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7FC89A89-C1CA-1840-AAC2-89A0D9693DA8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G4" i="19" l="1"/>
  <c r="AN6" i="8"/>
  <c r="AO6" i="8"/>
  <c r="AP6" i="8"/>
  <c r="AQ6" i="8"/>
  <c r="AR6" i="8"/>
  <c r="BO6" i="8"/>
  <c r="BP6" i="8"/>
  <c r="BQ6" i="8"/>
  <c r="BR6" i="8"/>
  <c r="BS6" i="8"/>
  <c r="CP6" i="8"/>
  <c r="CQ6" i="8"/>
  <c r="CR6" i="8"/>
  <c r="CS6" i="8"/>
  <c r="CT6" i="8"/>
  <c r="DR6" i="8"/>
  <c r="DS6" i="8"/>
  <c r="DT6" i="8"/>
  <c r="DU6" i="8"/>
  <c r="DV6" i="8"/>
  <c r="ER6" i="8"/>
  <c r="ES6" i="8"/>
  <c r="ET6" i="8"/>
  <c r="EU6" i="8"/>
  <c r="EV6" i="8"/>
  <c r="FR6" i="8"/>
  <c r="FS6" i="8"/>
  <c r="FT6" i="8"/>
  <c r="FU6" i="8"/>
  <c r="FV6" i="8"/>
  <c r="GR6" i="8"/>
  <c r="GS6" i="8"/>
  <c r="GT6" i="8"/>
  <c r="GU6" i="8"/>
  <c r="GV6" i="8"/>
  <c r="HR6" i="8"/>
  <c r="HS6" i="8"/>
  <c r="HT6" i="8"/>
  <c r="HU6" i="8"/>
  <c r="HV6" i="8"/>
  <c r="IR6" i="8"/>
  <c r="IS6" i="8"/>
  <c r="IT6" i="8"/>
  <c r="IU6" i="8"/>
  <c r="IV6" i="8"/>
  <c r="JR6" i="8"/>
  <c r="JS6" i="8"/>
  <c r="JW6" i="8" s="1"/>
  <c r="JT6" i="8"/>
  <c r="JU6" i="8"/>
  <c r="JV6" i="8"/>
  <c r="KR6" i="8"/>
  <c r="KS6" i="8"/>
  <c r="KT6" i="8"/>
  <c r="KU6" i="8"/>
  <c r="KV6" i="8"/>
  <c r="LR6" i="8"/>
  <c r="LS6" i="8"/>
  <c r="LT6" i="8"/>
  <c r="LU6" i="8"/>
  <c r="LV6" i="8"/>
  <c r="MR6" i="8"/>
  <c r="MS6" i="8"/>
  <c r="MT6" i="8"/>
  <c r="MU6" i="8"/>
  <c r="MV6" i="8"/>
  <c r="NR6" i="8"/>
  <c r="NS6" i="8"/>
  <c r="NT6" i="8"/>
  <c r="NU6" i="8"/>
  <c r="NV6" i="8"/>
  <c r="OR6" i="8"/>
  <c r="OS6" i="8"/>
  <c r="OT6" i="8"/>
  <c r="OU6" i="8"/>
  <c r="OV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OW6" i="8" l="1"/>
  <c r="GW6" i="8"/>
  <c r="PV6" i="8"/>
  <c r="PS6" i="8"/>
  <c r="IW6" i="8"/>
  <c r="LW6" i="8"/>
  <c r="KW6" i="8"/>
  <c r="DW6" i="8"/>
  <c r="HW6" i="8"/>
  <c r="CU6" i="8"/>
  <c r="PW6" i="8"/>
  <c r="NW6" i="8"/>
  <c r="MW6" i="8"/>
  <c r="FW6" i="8"/>
  <c r="EW6" i="8"/>
  <c r="BT6" i="8"/>
  <c r="PU6" i="8"/>
  <c r="PT6" i="8"/>
  <c r="N6" i="8"/>
  <c r="L6" i="8"/>
  <c r="M6" i="8" s="1"/>
  <c r="F6" i="8"/>
  <c r="CW6" i="8"/>
  <c r="O6" i="8"/>
  <c r="J6" i="8"/>
  <c r="I6" i="8"/>
  <c r="AS6" i="8"/>
  <c r="G6" i="8"/>
  <c r="PX6" i="8" l="1"/>
  <c r="H6" i="8"/>
  <c r="CV6" i="8"/>
  <c r="P6" i="8" s="1"/>
  <c r="Q6" i="8" s="1"/>
  <c r="K6" i="8"/>
  <c r="E6" i="8" l="1"/>
  <c r="R6" i="8"/>
  <c r="AR13" i="19" l="1"/>
  <c r="AS13" i="19"/>
  <c r="AT13" i="19"/>
  <c r="AU13" i="19"/>
  <c r="AW13" i="19"/>
  <c r="AX13" i="19"/>
  <c r="BU13" i="19"/>
  <c r="BV13" i="19"/>
  <c r="BW13" i="19"/>
  <c r="BX13" i="19"/>
  <c r="BZ13" i="19"/>
  <c r="CA13" i="19"/>
  <c r="CX13" i="19"/>
  <c r="CY13" i="19"/>
  <c r="CZ13" i="19"/>
  <c r="DA13" i="19"/>
  <c r="DC13" i="19"/>
  <c r="DD13" i="19"/>
  <c r="EC13" i="19"/>
  <c r="ED13" i="19"/>
  <c r="EE13" i="19"/>
  <c r="EF13" i="19"/>
  <c r="EH13" i="19"/>
  <c r="EI13" i="19"/>
  <c r="FE13" i="19"/>
  <c r="FF13" i="19"/>
  <c r="FG13" i="19"/>
  <c r="FH13" i="19"/>
  <c r="FJ13" i="19"/>
  <c r="FK13" i="19"/>
  <c r="GG13" i="19"/>
  <c r="GH13" i="19"/>
  <c r="GK13" i="19" s="1"/>
  <c r="GI13" i="19"/>
  <c r="GJ13" i="19"/>
  <c r="GL13" i="19"/>
  <c r="GM13" i="19"/>
  <c r="HI13" i="19"/>
  <c r="HJ13" i="19"/>
  <c r="HK13" i="19"/>
  <c r="HL13" i="19"/>
  <c r="HN13" i="19"/>
  <c r="HO13" i="19"/>
  <c r="IK13" i="19"/>
  <c r="IL13" i="19"/>
  <c r="IM13" i="19"/>
  <c r="IN13" i="19"/>
  <c r="IP13" i="19"/>
  <c r="IQ13" i="19"/>
  <c r="JM13" i="19"/>
  <c r="JN13" i="19"/>
  <c r="JO13" i="19"/>
  <c r="JP13" i="19"/>
  <c r="JR13" i="19"/>
  <c r="JS13" i="19"/>
  <c r="KO13" i="19"/>
  <c r="KP13" i="19"/>
  <c r="KS13" i="19" s="1"/>
  <c r="KQ13" i="19"/>
  <c r="KR13" i="19"/>
  <c r="KT13" i="19"/>
  <c r="KU13" i="19"/>
  <c r="LQ13" i="19"/>
  <c r="LR13" i="19"/>
  <c r="LS13" i="19"/>
  <c r="LT13" i="19"/>
  <c r="LV13" i="19"/>
  <c r="LW13" i="19"/>
  <c r="MS13" i="19"/>
  <c r="MT13" i="19"/>
  <c r="MU13" i="19"/>
  <c r="MV13" i="19"/>
  <c r="MX13" i="19"/>
  <c r="MY13" i="19"/>
  <c r="NU13" i="19"/>
  <c r="NV13" i="19"/>
  <c r="NW13" i="19"/>
  <c r="NX13" i="19"/>
  <c r="NZ13" i="19"/>
  <c r="OA13" i="19"/>
  <c r="OW13" i="19"/>
  <c r="OX13" i="19"/>
  <c r="PA13" i="19" s="1"/>
  <c r="OY13" i="19"/>
  <c r="OZ13" i="19"/>
  <c r="PB13" i="19"/>
  <c r="PC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A16" i="21"/>
  <c r="BZ16" i="21"/>
  <c r="BX16" i="21"/>
  <c r="BW16" i="21"/>
  <c r="BV16" i="21"/>
  <c r="BU16" i="21"/>
  <c r="CA15" i="21"/>
  <c r="BZ15" i="21"/>
  <c r="BX15" i="21"/>
  <c r="BW15" i="21"/>
  <c r="BV15" i="21"/>
  <c r="CB15" i="21" s="1"/>
  <c r="BU15" i="21"/>
  <c r="CA11" i="21"/>
  <c r="BZ11" i="21"/>
  <c r="BX11" i="21"/>
  <c r="BW11" i="21"/>
  <c r="BV11" i="21"/>
  <c r="BU11" i="21"/>
  <c r="CA14" i="21"/>
  <c r="BZ14" i="21"/>
  <c r="BX14" i="21"/>
  <c r="BW14" i="21"/>
  <c r="BV14" i="21"/>
  <c r="BU14" i="21"/>
  <c r="CA12" i="21"/>
  <c r="BZ12" i="21"/>
  <c r="BX12" i="21"/>
  <c r="BW12" i="21"/>
  <c r="BV12" i="21"/>
  <c r="BU12" i="21"/>
  <c r="CA13" i="21"/>
  <c r="BZ13" i="21"/>
  <c r="BX13" i="21"/>
  <c r="BW13" i="21"/>
  <c r="BV13" i="21"/>
  <c r="CB13" i="21" s="1"/>
  <c r="BU13" i="21"/>
  <c r="CA10" i="21"/>
  <c r="BZ10" i="21"/>
  <c r="BX10" i="21"/>
  <c r="BW10" i="21"/>
  <c r="BV10" i="21"/>
  <c r="BU10" i="21"/>
  <c r="CA8" i="21"/>
  <c r="BZ8" i="21"/>
  <c r="BX8" i="21"/>
  <c r="BW8" i="21"/>
  <c r="BV8" i="21"/>
  <c r="BU8" i="21"/>
  <c r="CA9" i="21"/>
  <c r="BZ9" i="21"/>
  <c r="BX9" i="21"/>
  <c r="BW9" i="21"/>
  <c r="BV9" i="21"/>
  <c r="BU9" i="21"/>
  <c r="CA6" i="21"/>
  <c r="BZ6" i="21"/>
  <c r="BX6" i="21"/>
  <c r="BW6" i="21"/>
  <c r="BV6" i="21"/>
  <c r="CB6" i="21" s="1"/>
  <c r="BU6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6" i="21"/>
  <c r="AW16" i="21"/>
  <c r="AU16" i="21"/>
  <c r="AT16" i="21"/>
  <c r="AS16" i="21"/>
  <c r="AY16" i="21" s="1"/>
  <c r="AR16" i="21"/>
  <c r="AX15" i="21"/>
  <c r="AW15" i="21"/>
  <c r="AU15" i="21"/>
  <c r="AT15" i="21"/>
  <c r="AS15" i="21"/>
  <c r="AR15" i="21"/>
  <c r="AX11" i="21"/>
  <c r="AW11" i="21"/>
  <c r="AU11" i="21"/>
  <c r="AT11" i="21"/>
  <c r="AS11" i="21"/>
  <c r="AR11" i="21"/>
  <c r="AX14" i="21"/>
  <c r="AW14" i="21"/>
  <c r="AU14" i="21"/>
  <c r="AT14" i="21"/>
  <c r="AS14" i="21"/>
  <c r="AR14" i="21"/>
  <c r="AX12" i="21"/>
  <c r="AW12" i="21"/>
  <c r="AU12" i="21"/>
  <c r="AT12" i="21"/>
  <c r="AS12" i="21"/>
  <c r="AY12" i="21" s="1"/>
  <c r="AR12" i="21"/>
  <c r="AX13" i="21"/>
  <c r="AW13" i="21"/>
  <c r="AU13" i="21"/>
  <c r="AT13" i="21"/>
  <c r="AS13" i="21"/>
  <c r="AR13" i="21"/>
  <c r="AX10" i="21"/>
  <c r="AW10" i="21"/>
  <c r="AU10" i="21"/>
  <c r="AT10" i="21"/>
  <c r="AS10" i="21"/>
  <c r="AR10" i="21"/>
  <c r="AX8" i="21"/>
  <c r="AW8" i="21"/>
  <c r="AU8" i="21"/>
  <c r="AT8" i="21"/>
  <c r="AS8" i="21"/>
  <c r="AR8" i="21"/>
  <c r="AX9" i="21"/>
  <c r="AW9" i="21"/>
  <c r="AU9" i="21"/>
  <c r="AT9" i="21"/>
  <c r="AS9" i="21"/>
  <c r="AR9" i="21"/>
  <c r="AX6" i="21"/>
  <c r="AW6" i="21"/>
  <c r="AU6" i="21"/>
  <c r="AT6" i="21"/>
  <c r="AS6" i="21"/>
  <c r="AR6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3" i="19"/>
  <c r="BZ23" i="19"/>
  <c r="BX23" i="19"/>
  <c r="BW23" i="19"/>
  <c r="BV23" i="19"/>
  <c r="BU23" i="19"/>
  <c r="CA22" i="19"/>
  <c r="BZ22" i="19"/>
  <c r="BX22" i="19"/>
  <c r="BW22" i="19"/>
  <c r="BV22" i="19"/>
  <c r="BU22" i="19"/>
  <c r="CA15" i="19"/>
  <c r="BZ15" i="19"/>
  <c r="BX15" i="19"/>
  <c r="BW15" i="19"/>
  <c r="BV15" i="19"/>
  <c r="BU15" i="19"/>
  <c r="CA21" i="19"/>
  <c r="BZ21" i="19"/>
  <c r="BX21" i="19"/>
  <c r="BW21" i="19"/>
  <c r="BV21" i="19"/>
  <c r="BU21" i="19"/>
  <c r="CA17" i="19"/>
  <c r="BZ17" i="19"/>
  <c r="BX17" i="19"/>
  <c r="BW17" i="19"/>
  <c r="BV17" i="19"/>
  <c r="BU17" i="19"/>
  <c r="CA20" i="19"/>
  <c r="BZ20" i="19"/>
  <c r="BX20" i="19"/>
  <c r="BW20" i="19"/>
  <c r="BV20" i="19"/>
  <c r="BU20" i="19"/>
  <c r="CA19" i="19"/>
  <c r="BZ19" i="19"/>
  <c r="BX19" i="19"/>
  <c r="BW19" i="19"/>
  <c r="BV19" i="19"/>
  <c r="BU19" i="19"/>
  <c r="CA12" i="19"/>
  <c r="BZ12" i="19"/>
  <c r="BX12" i="19"/>
  <c r="BW12" i="19"/>
  <c r="BV12" i="19"/>
  <c r="BU12" i="19"/>
  <c r="CA18" i="19"/>
  <c r="BZ18" i="19"/>
  <c r="BX18" i="19"/>
  <c r="BW18" i="19"/>
  <c r="BV18" i="19"/>
  <c r="BU18" i="19"/>
  <c r="CA11" i="19"/>
  <c r="BZ11" i="19"/>
  <c r="BX11" i="19"/>
  <c r="BW11" i="19"/>
  <c r="BV11" i="19"/>
  <c r="BU11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6" i="19"/>
  <c r="BZ6" i="19"/>
  <c r="BX6" i="19"/>
  <c r="BW6" i="19"/>
  <c r="BV6" i="19"/>
  <c r="BU6" i="19"/>
  <c r="CA9" i="19"/>
  <c r="BZ9" i="19"/>
  <c r="BX9" i="19"/>
  <c r="BW9" i="19"/>
  <c r="BV9" i="19"/>
  <c r="BU9" i="19"/>
  <c r="CA7" i="19"/>
  <c r="BZ7" i="19"/>
  <c r="BX7" i="19"/>
  <c r="BW7" i="19"/>
  <c r="BV7" i="19"/>
  <c r="BU7" i="19"/>
  <c r="CA10" i="19"/>
  <c r="BZ10" i="19"/>
  <c r="BX10" i="19"/>
  <c r="BW10" i="19"/>
  <c r="BV10" i="19"/>
  <c r="BU10" i="19"/>
  <c r="CA8" i="19"/>
  <c r="BZ8" i="19"/>
  <c r="BX8" i="19"/>
  <c r="BW8" i="19"/>
  <c r="BV8" i="19"/>
  <c r="BU8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23" i="19"/>
  <c r="AW23" i="19"/>
  <c r="AU23" i="19"/>
  <c r="AT23" i="19"/>
  <c r="AS23" i="19"/>
  <c r="AR23" i="19"/>
  <c r="AX22" i="19"/>
  <c r="AW22" i="19"/>
  <c r="AU22" i="19"/>
  <c r="AT22" i="19"/>
  <c r="AS22" i="19"/>
  <c r="AR22" i="19"/>
  <c r="AX15" i="19"/>
  <c r="AW15" i="19"/>
  <c r="AU15" i="19"/>
  <c r="AT15" i="19"/>
  <c r="AS15" i="19"/>
  <c r="AR15" i="19"/>
  <c r="AX21" i="19"/>
  <c r="AW21" i="19"/>
  <c r="AU21" i="19"/>
  <c r="AT21" i="19"/>
  <c r="AS21" i="19"/>
  <c r="AR21" i="19"/>
  <c r="AX17" i="19"/>
  <c r="AW17" i="19"/>
  <c r="AU17" i="19"/>
  <c r="AT17" i="19"/>
  <c r="AS17" i="19"/>
  <c r="AY17" i="19" s="1"/>
  <c r="AR17" i="19"/>
  <c r="AX20" i="19"/>
  <c r="AW20" i="19"/>
  <c r="AU20" i="19"/>
  <c r="AT20" i="19"/>
  <c r="AS20" i="19"/>
  <c r="AR20" i="19"/>
  <c r="AX19" i="19"/>
  <c r="AW19" i="19"/>
  <c r="AU19" i="19"/>
  <c r="AT19" i="19"/>
  <c r="AS19" i="19"/>
  <c r="AR19" i="19"/>
  <c r="AX12" i="19"/>
  <c r="AW12" i="19"/>
  <c r="AU12" i="19"/>
  <c r="AT12" i="19"/>
  <c r="AS12" i="19"/>
  <c r="AR12" i="19"/>
  <c r="AX18" i="19"/>
  <c r="AW18" i="19"/>
  <c r="AU18" i="19"/>
  <c r="AT18" i="19"/>
  <c r="AS18" i="19"/>
  <c r="AY18" i="19" s="1"/>
  <c r="AR18" i="19"/>
  <c r="AX11" i="19"/>
  <c r="AW11" i="19"/>
  <c r="AU11" i="19"/>
  <c r="AT11" i="19"/>
  <c r="AS11" i="19"/>
  <c r="AR11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6" i="19"/>
  <c r="AW6" i="19"/>
  <c r="AU6" i="19"/>
  <c r="AT6" i="19"/>
  <c r="AS6" i="19"/>
  <c r="AY6" i="19" s="1"/>
  <c r="AR6" i="19"/>
  <c r="AX9" i="19"/>
  <c r="AW9" i="19"/>
  <c r="AU9" i="19"/>
  <c r="AT9" i="19"/>
  <c r="AS9" i="19"/>
  <c r="AR9" i="19"/>
  <c r="AX7" i="19"/>
  <c r="AW7" i="19"/>
  <c r="AU7" i="19"/>
  <c r="AT7" i="19"/>
  <c r="AS7" i="19"/>
  <c r="AR7" i="19"/>
  <c r="AX10" i="19"/>
  <c r="AW10" i="19"/>
  <c r="AU10" i="19"/>
  <c r="AT10" i="19"/>
  <c r="AS10" i="19"/>
  <c r="AR10" i="19"/>
  <c r="AX8" i="19"/>
  <c r="AW8" i="19"/>
  <c r="AU8" i="19"/>
  <c r="AT8" i="19"/>
  <c r="AS8" i="19"/>
  <c r="AY8" i="19" s="1"/>
  <c r="AR8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BS11" i="8"/>
  <c r="BR11" i="8"/>
  <c r="BQ11" i="8"/>
  <c r="BP11" i="8"/>
  <c r="BO11" i="8"/>
  <c r="BS10" i="8"/>
  <c r="BR10" i="8"/>
  <c r="BQ10" i="8"/>
  <c r="BP10" i="8"/>
  <c r="BO10" i="8"/>
  <c r="BS9" i="8"/>
  <c r="BR9" i="8"/>
  <c r="BQ9" i="8"/>
  <c r="BP9" i="8"/>
  <c r="BO9" i="8"/>
  <c r="BS8" i="8"/>
  <c r="BR8" i="8"/>
  <c r="BQ8" i="8"/>
  <c r="BP8" i="8"/>
  <c r="BO8" i="8"/>
  <c r="BS7" i="8"/>
  <c r="BR7" i="8"/>
  <c r="BQ7" i="8"/>
  <c r="BP7" i="8"/>
  <c r="BO7" i="8"/>
  <c r="BS5" i="8"/>
  <c r="BR5" i="8"/>
  <c r="BQ5" i="8"/>
  <c r="BP5" i="8"/>
  <c r="BO5" i="8"/>
  <c r="BS4" i="8"/>
  <c r="BR4" i="8"/>
  <c r="BQ4" i="8"/>
  <c r="BP4" i="8"/>
  <c r="BO4" i="8"/>
  <c r="AR11" i="8"/>
  <c r="AQ11" i="8"/>
  <c r="AP11" i="8"/>
  <c r="AO11" i="8"/>
  <c r="AN11" i="8"/>
  <c r="AR10" i="8"/>
  <c r="AQ10" i="8"/>
  <c r="AP10" i="8"/>
  <c r="AO10" i="8"/>
  <c r="AN10" i="8"/>
  <c r="AR9" i="8"/>
  <c r="AQ9" i="8"/>
  <c r="AP9" i="8"/>
  <c r="AO9" i="8"/>
  <c r="AN9" i="8"/>
  <c r="AR8" i="8"/>
  <c r="AQ8" i="8"/>
  <c r="AP8" i="8"/>
  <c r="AO8" i="8"/>
  <c r="AN8" i="8"/>
  <c r="AR7" i="8"/>
  <c r="AQ7" i="8"/>
  <c r="AP7" i="8"/>
  <c r="AO7" i="8"/>
  <c r="AN7" i="8"/>
  <c r="AR5" i="8"/>
  <c r="AQ5" i="8"/>
  <c r="AP5" i="8"/>
  <c r="AO5" i="8"/>
  <c r="AN5" i="8"/>
  <c r="AR4" i="8"/>
  <c r="AQ4" i="8"/>
  <c r="AP4" i="8"/>
  <c r="AO4" i="8"/>
  <c r="AN4" i="8"/>
  <c r="BS8" i="18"/>
  <c r="BR8" i="18"/>
  <c r="BQ8" i="18"/>
  <c r="BP8" i="18"/>
  <c r="BT8" i="18" s="1"/>
  <c r="BO8" i="18"/>
  <c r="BS7" i="18"/>
  <c r="BR7" i="18"/>
  <c r="BQ7" i="18"/>
  <c r="BP7" i="18"/>
  <c r="BO7" i="18"/>
  <c r="BS6" i="18"/>
  <c r="BR6" i="18"/>
  <c r="BQ6" i="18"/>
  <c r="BP6" i="18"/>
  <c r="BO6" i="18"/>
  <c r="BS5" i="18"/>
  <c r="BR5" i="18"/>
  <c r="BQ5" i="18"/>
  <c r="BP5" i="18"/>
  <c r="BO5" i="18"/>
  <c r="BS4" i="18"/>
  <c r="BR4" i="18"/>
  <c r="BQ4" i="18"/>
  <c r="BP4" i="18"/>
  <c r="BO4" i="18"/>
  <c r="AR8" i="18"/>
  <c r="AQ8" i="18"/>
  <c r="AP8" i="18"/>
  <c r="AO8" i="18"/>
  <c r="AN8" i="18"/>
  <c r="AR7" i="18"/>
  <c r="AQ7" i="18"/>
  <c r="AP7" i="18"/>
  <c r="AO7" i="18"/>
  <c r="AN7" i="18"/>
  <c r="AR6" i="18"/>
  <c r="AQ6" i="18"/>
  <c r="AP6" i="18"/>
  <c r="AO6" i="18"/>
  <c r="AN6" i="18"/>
  <c r="AR5" i="18"/>
  <c r="AQ5" i="18"/>
  <c r="AP5" i="18"/>
  <c r="AO5" i="18"/>
  <c r="AN5" i="18"/>
  <c r="AR4" i="18"/>
  <c r="AQ4" i="18"/>
  <c r="AP4" i="18"/>
  <c r="AO4" i="18"/>
  <c r="AN4" i="18"/>
  <c r="BO9" i="24"/>
  <c r="BN9" i="24"/>
  <c r="BM9" i="24"/>
  <c r="BK9" i="24"/>
  <c r="BJ9" i="24"/>
  <c r="BI9" i="24"/>
  <c r="BH9" i="24"/>
  <c r="BG9" i="24"/>
  <c r="BF9" i="24"/>
  <c r="BO8" i="24"/>
  <c r="BN8" i="24"/>
  <c r="BM8" i="24"/>
  <c r="BK8" i="24"/>
  <c r="BJ8" i="24"/>
  <c r="BI8" i="24"/>
  <c r="BH8" i="24"/>
  <c r="BG8" i="24"/>
  <c r="BF8" i="24"/>
  <c r="BO7" i="24"/>
  <c r="BN7" i="24"/>
  <c r="BM7" i="24"/>
  <c r="BK7" i="24"/>
  <c r="BJ7" i="24"/>
  <c r="BI7" i="24"/>
  <c r="BH7" i="24"/>
  <c r="BG7" i="24"/>
  <c r="BF7" i="24"/>
  <c r="BO6" i="24"/>
  <c r="BN6" i="24"/>
  <c r="BM6" i="24"/>
  <c r="BK6" i="24"/>
  <c r="BJ6" i="24"/>
  <c r="BI6" i="24"/>
  <c r="BH6" i="24"/>
  <c r="BG6" i="24"/>
  <c r="BF6" i="24"/>
  <c r="BO5" i="24"/>
  <c r="BN5" i="24"/>
  <c r="BM5" i="24"/>
  <c r="BK5" i="24"/>
  <c r="BJ5" i="24"/>
  <c r="BI5" i="24"/>
  <c r="BH5" i="24"/>
  <c r="BG5" i="24"/>
  <c r="BF5" i="24"/>
  <c r="BO4" i="24"/>
  <c r="BN4" i="24"/>
  <c r="BM4" i="24"/>
  <c r="BK4" i="24"/>
  <c r="BJ4" i="24"/>
  <c r="BI4" i="24"/>
  <c r="BH4" i="24"/>
  <c r="BG4" i="24"/>
  <c r="BF4" i="24"/>
  <c r="AN9" i="24"/>
  <c r="AM9" i="24"/>
  <c r="AL9" i="24"/>
  <c r="AJ9" i="24"/>
  <c r="AI9" i="24"/>
  <c r="AH9" i="24"/>
  <c r="AG9" i="24"/>
  <c r="AK9" i="24" s="1"/>
  <c r="AF9" i="24"/>
  <c r="AE9" i="24"/>
  <c r="AN8" i="24"/>
  <c r="AM8" i="24"/>
  <c r="AL8" i="24"/>
  <c r="AJ8" i="24"/>
  <c r="AI8" i="24"/>
  <c r="AH8" i="24"/>
  <c r="AG8" i="24"/>
  <c r="AK8" i="24" s="1"/>
  <c r="AF8" i="24"/>
  <c r="AE8" i="24"/>
  <c r="AN7" i="24"/>
  <c r="AM7" i="24"/>
  <c r="AL7" i="24"/>
  <c r="AJ7" i="24"/>
  <c r="AI7" i="24"/>
  <c r="AH7" i="24"/>
  <c r="AG7" i="24"/>
  <c r="AK7" i="24" s="1"/>
  <c r="AF7" i="24"/>
  <c r="AE7" i="24"/>
  <c r="AN6" i="24"/>
  <c r="AM6" i="24"/>
  <c r="AL6" i="24"/>
  <c r="AJ6" i="24"/>
  <c r="AI6" i="24"/>
  <c r="AH6" i="24"/>
  <c r="AG6" i="24"/>
  <c r="AK6" i="24" s="1"/>
  <c r="AF6" i="24"/>
  <c r="AE6" i="24"/>
  <c r="AN5" i="24"/>
  <c r="AM5" i="24"/>
  <c r="AL5" i="24"/>
  <c r="AJ5" i="24"/>
  <c r="AI5" i="24"/>
  <c r="AH5" i="24"/>
  <c r="AG5" i="24"/>
  <c r="AK5" i="24" s="1"/>
  <c r="AF5" i="24"/>
  <c r="AE5" i="24"/>
  <c r="AN4" i="24"/>
  <c r="AM4" i="24"/>
  <c r="AL4" i="24"/>
  <c r="AJ4" i="24"/>
  <c r="AI4" i="24"/>
  <c r="AH4" i="24"/>
  <c r="AG4" i="24"/>
  <c r="AK4" i="24" s="1"/>
  <c r="AF4" i="24"/>
  <c r="AE4" i="24"/>
  <c r="BO8" i="23"/>
  <c r="BN8" i="23"/>
  <c r="BM8" i="23"/>
  <c r="BK8" i="23"/>
  <c r="BJ8" i="23"/>
  <c r="BI8" i="23"/>
  <c r="BH8" i="23"/>
  <c r="BL8" i="23" s="1"/>
  <c r="BG8" i="23"/>
  <c r="BF8" i="23"/>
  <c r="BO7" i="23"/>
  <c r="BN7" i="23"/>
  <c r="BM7" i="23"/>
  <c r="BK7" i="23"/>
  <c r="BJ7" i="23"/>
  <c r="BI7" i="23"/>
  <c r="BH7" i="23"/>
  <c r="BL7" i="23" s="1"/>
  <c r="BG7" i="23"/>
  <c r="BF7" i="23"/>
  <c r="BO6" i="23"/>
  <c r="BN6" i="23"/>
  <c r="BM6" i="23"/>
  <c r="BK6" i="23"/>
  <c r="BJ6" i="23"/>
  <c r="BI6" i="23"/>
  <c r="BH6" i="23"/>
  <c r="BL6" i="23" s="1"/>
  <c r="BP6" i="23" s="1"/>
  <c r="BG6" i="23"/>
  <c r="BF6" i="23"/>
  <c r="BO5" i="23"/>
  <c r="BN5" i="23"/>
  <c r="BM5" i="23"/>
  <c r="BK5" i="23"/>
  <c r="BJ5" i="23"/>
  <c r="BI5" i="23"/>
  <c r="BH5" i="23"/>
  <c r="BL5" i="23" s="1"/>
  <c r="BP5" i="23" s="1"/>
  <c r="BG5" i="23"/>
  <c r="BF5" i="23"/>
  <c r="BO4" i="23"/>
  <c r="BN4" i="23"/>
  <c r="BM4" i="23"/>
  <c r="BK4" i="23"/>
  <c r="BJ4" i="23"/>
  <c r="BI4" i="23"/>
  <c r="BH4" i="23"/>
  <c r="BG4" i="23"/>
  <c r="BF4" i="23"/>
  <c r="AN8" i="23"/>
  <c r="AM8" i="23"/>
  <c r="AL8" i="23"/>
  <c r="AJ8" i="23"/>
  <c r="AI8" i="23"/>
  <c r="AH8" i="23"/>
  <c r="AG8" i="23"/>
  <c r="AK8" i="23" s="1"/>
  <c r="AO8" i="23" s="1"/>
  <c r="AF8" i="23"/>
  <c r="AE8" i="23"/>
  <c r="AN7" i="23"/>
  <c r="AM7" i="23"/>
  <c r="AL7" i="23"/>
  <c r="AK7" i="23"/>
  <c r="AJ7" i="23"/>
  <c r="AI7" i="23"/>
  <c r="AH7" i="23"/>
  <c r="AG7" i="23"/>
  <c r="AF7" i="23"/>
  <c r="AE7" i="23"/>
  <c r="AN6" i="23"/>
  <c r="AM6" i="23"/>
  <c r="AL6" i="23"/>
  <c r="AJ6" i="23"/>
  <c r="AI6" i="23"/>
  <c r="AH6" i="23"/>
  <c r="AG6" i="23"/>
  <c r="AK6" i="23" s="1"/>
  <c r="AF6" i="23"/>
  <c r="AE6" i="23"/>
  <c r="AN5" i="23"/>
  <c r="AM5" i="23"/>
  <c r="AL5" i="23"/>
  <c r="AJ5" i="23"/>
  <c r="AI5" i="23"/>
  <c r="AH5" i="23"/>
  <c r="AG5" i="23"/>
  <c r="AK5" i="23" s="1"/>
  <c r="AF5" i="23"/>
  <c r="AE5" i="23"/>
  <c r="AN4" i="23"/>
  <c r="AM4" i="23"/>
  <c r="AL4" i="23"/>
  <c r="AJ4" i="23"/>
  <c r="AI4" i="23"/>
  <c r="AH4" i="23"/>
  <c r="AG4" i="23"/>
  <c r="AK4" i="23" s="1"/>
  <c r="AF4" i="23"/>
  <c r="AE4" i="23"/>
  <c r="BY10" i="22"/>
  <c r="BX10" i="22"/>
  <c r="BW10" i="22"/>
  <c r="BU10" i="22"/>
  <c r="BT10" i="22"/>
  <c r="BS10" i="22"/>
  <c r="BR10" i="22"/>
  <c r="BQ10" i="22"/>
  <c r="BP10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U10" i="22" s="1"/>
  <c r="AP10" i="22"/>
  <c r="AO10" i="22"/>
  <c r="AX14" i="22"/>
  <c r="AW14" i="22"/>
  <c r="AV14" i="22"/>
  <c r="AT14" i="22"/>
  <c r="AS14" i="22"/>
  <c r="AR14" i="22"/>
  <c r="AQ14" i="22"/>
  <c r="AU14" i="22" s="1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V20" i="4" s="1"/>
  <c r="BQ20" i="4"/>
  <c r="BP20" i="4"/>
  <c r="BY22" i="4"/>
  <c r="BX22" i="4"/>
  <c r="BW22" i="4"/>
  <c r="BU22" i="4"/>
  <c r="BT22" i="4"/>
  <c r="BS22" i="4"/>
  <c r="BR22" i="4"/>
  <c r="BQ22" i="4"/>
  <c r="BP22" i="4"/>
  <c r="BY12" i="4"/>
  <c r="BX12" i="4"/>
  <c r="BW12" i="4"/>
  <c r="BU12" i="4"/>
  <c r="BT12" i="4"/>
  <c r="BS12" i="4"/>
  <c r="BR12" i="4"/>
  <c r="BQ12" i="4"/>
  <c r="BP12" i="4"/>
  <c r="BY8" i="4"/>
  <c r="BX8" i="4"/>
  <c r="BW8" i="4"/>
  <c r="BU8" i="4"/>
  <c r="BT8" i="4"/>
  <c r="BS8" i="4"/>
  <c r="BR8" i="4"/>
  <c r="BQ8" i="4"/>
  <c r="BP8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V10" i="4" s="1"/>
  <c r="BQ10" i="4"/>
  <c r="BP10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0" i="4"/>
  <c r="AW20" i="4"/>
  <c r="AV20" i="4"/>
  <c r="AT20" i="4"/>
  <c r="AS20" i="4"/>
  <c r="AR20" i="4"/>
  <c r="AQ20" i="4"/>
  <c r="AU20" i="4" s="1"/>
  <c r="AP20" i="4"/>
  <c r="AO20" i="4"/>
  <c r="AX22" i="4"/>
  <c r="AW22" i="4"/>
  <c r="AV22" i="4"/>
  <c r="AT22" i="4"/>
  <c r="AS22" i="4"/>
  <c r="AR22" i="4"/>
  <c r="AQ22" i="4"/>
  <c r="AU22" i="4" s="1"/>
  <c r="AP22" i="4"/>
  <c r="AO22" i="4"/>
  <c r="AX12" i="4"/>
  <c r="AW12" i="4"/>
  <c r="AV12" i="4"/>
  <c r="AT12" i="4"/>
  <c r="AS12" i="4"/>
  <c r="AR12" i="4"/>
  <c r="AQ12" i="4"/>
  <c r="AP12" i="4"/>
  <c r="AO12" i="4"/>
  <c r="AX8" i="4"/>
  <c r="AW8" i="4"/>
  <c r="AV8" i="4"/>
  <c r="AT8" i="4"/>
  <c r="AS8" i="4"/>
  <c r="AR8" i="4"/>
  <c r="AQ8" i="4"/>
  <c r="AU8" i="4" s="1"/>
  <c r="AP8" i="4"/>
  <c r="AO8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Y23" i="19" l="1"/>
  <c r="AY6" i="21"/>
  <c r="AY13" i="21"/>
  <c r="AY15" i="21"/>
  <c r="CB7" i="21"/>
  <c r="CB10" i="21"/>
  <c r="CB11" i="21"/>
  <c r="CB8" i="19"/>
  <c r="CB6" i="19"/>
  <c r="CB23" i="19"/>
  <c r="AO5" i="23"/>
  <c r="BP7" i="23"/>
  <c r="BV11" i="22"/>
  <c r="BZ11" i="22" s="1"/>
  <c r="RG15" i="21"/>
  <c r="IR15" i="21"/>
  <c r="FL15" i="21"/>
  <c r="EG13" i="19"/>
  <c r="BT7" i="8"/>
  <c r="AS11" i="8"/>
  <c r="AO5" i="24"/>
  <c r="BL9" i="24"/>
  <c r="BP9" i="24" s="1"/>
  <c r="ED11" i="22"/>
  <c r="EK11" i="22" s="1"/>
  <c r="FL9" i="22"/>
  <c r="FS9" i="22" s="1"/>
  <c r="JJ10" i="22"/>
  <c r="JQ10" i="22" s="1"/>
  <c r="KR5" i="22"/>
  <c r="KY5" i="22" s="1"/>
  <c r="KR7" i="22"/>
  <c r="KY7" i="22" s="1"/>
  <c r="KR9" i="22"/>
  <c r="KY9" i="22" s="1"/>
  <c r="LZ10" i="22"/>
  <c r="MG10" i="22" s="1"/>
  <c r="NH5" i="22"/>
  <c r="NO5" i="22" s="1"/>
  <c r="NH7" i="22"/>
  <c r="NO7" i="22" s="1"/>
  <c r="NH9" i="22"/>
  <c r="NO9" i="22" s="1"/>
  <c r="OP6" i="22"/>
  <c r="OW6" i="22" s="1"/>
  <c r="RF6" i="22"/>
  <c r="RM6" i="22" s="1"/>
  <c r="AS8" i="8"/>
  <c r="BT11" i="8"/>
  <c r="AS9" i="8"/>
  <c r="QC13" i="19"/>
  <c r="CB13" i="19"/>
  <c r="RB13" i="19"/>
  <c r="NY13" i="19"/>
  <c r="MW13" i="19"/>
  <c r="LU13" i="19"/>
  <c r="JQ13" i="19"/>
  <c r="IO13" i="19"/>
  <c r="HM13" i="19"/>
  <c r="FI13" i="19"/>
  <c r="DE13" i="19"/>
  <c r="R13" i="19"/>
  <c r="S13" i="19" s="1"/>
  <c r="N13" i="19"/>
  <c r="O13" i="19" s="1"/>
  <c r="RG13" i="19"/>
  <c r="DB13" i="19"/>
  <c r="RD13" i="19"/>
  <c r="RH13" i="19"/>
  <c r="RC13" i="19"/>
  <c r="BY13" i="19"/>
  <c r="L13" i="19"/>
  <c r="M13" i="19" s="1"/>
  <c r="AV13" i="19"/>
  <c r="J13" i="19"/>
  <c r="RE13" i="19"/>
  <c r="QF13" i="19"/>
  <c r="PD13" i="19"/>
  <c r="OB13" i="19"/>
  <c r="MZ13" i="19"/>
  <c r="LX13" i="19"/>
  <c r="KV13" i="19"/>
  <c r="JT13" i="19"/>
  <c r="IR13" i="19"/>
  <c r="HP13" i="19"/>
  <c r="GN13" i="19"/>
  <c r="FL13" i="19"/>
  <c r="EJ13" i="19"/>
  <c r="P13" i="19"/>
  <c r="G13" i="19"/>
  <c r="AY13" i="19"/>
  <c r="F13" i="19"/>
  <c r="AY22" i="19"/>
  <c r="CB5" i="19"/>
  <c r="CB9" i="19"/>
  <c r="CB20" i="19"/>
  <c r="CB22" i="19"/>
  <c r="AS4" i="8"/>
  <c r="BT5" i="8"/>
  <c r="BT5" i="18"/>
  <c r="AS5" i="18"/>
  <c r="BT6" i="18"/>
  <c r="AS4" i="18"/>
  <c r="BT7" i="18"/>
  <c r="BL7" i="24"/>
  <c r="BP7" i="24" s="1"/>
  <c r="BL8" i="24"/>
  <c r="BP8" i="24" s="1"/>
  <c r="AO4" i="24"/>
  <c r="BL4" i="23"/>
  <c r="GT9" i="22"/>
  <c r="HA9" i="22" s="1"/>
  <c r="IB10" i="22"/>
  <c r="OP5" i="22"/>
  <c r="OW5" i="22" s="1"/>
  <c r="AU13" i="22"/>
  <c r="AY13" i="22" s="1"/>
  <c r="BV13" i="22"/>
  <c r="BZ13" i="22" s="1"/>
  <c r="BV6" i="22"/>
  <c r="BZ6" i="22" s="1"/>
  <c r="BV4" i="4"/>
  <c r="BZ4" i="4" s="1"/>
  <c r="KR4" i="22"/>
  <c r="KY4" i="22" s="1"/>
  <c r="NH8" i="22"/>
  <c r="NO8" i="22" s="1"/>
  <c r="RF13" i="22"/>
  <c r="RM13" i="22" s="1"/>
  <c r="II10" i="22"/>
  <c r="KR8" i="22"/>
  <c r="KY8" i="22" s="1"/>
  <c r="OP9" i="22"/>
  <c r="OW9" i="22" s="1"/>
  <c r="PX10" i="22"/>
  <c r="QE10" i="22" s="1"/>
  <c r="RF5" i="22"/>
  <c r="RM5" i="22" s="1"/>
  <c r="RF9" i="22"/>
  <c r="RM9" i="22" s="1"/>
  <c r="ED5" i="22"/>
  <c r="EK5" i="22" s="1"/>
  <c r="ED7" i="22"/>
  <c r="EK7" i="22" s="1"/>
  <c r="ED9" i="22"/>
  <c r="EK9" i="22" s="1"/>
  <c r="ED13" i="22"/>
  <c r="EK13" i="22" s="1"/>
  <c r="FL6" i="22"/>
  <c r="FS6" i="22" s="1"/>
  <c r="FL11" i="22"/>
  <c r="FS11" i="22" s="1"/>
  <c r="FL14" i="22"/>
  <c r="FS14" i="22" s="1"/>
  <c r="FL10" i="22"/>
  <c r="FS10" i="22" s="1"/>
  <c r="GT5" i="22"/>
  <c r="HA5" i="22" s="1"/>
  <c r="GT11" i="22"/>
  <c r="HA11" i="22" s="1"/>
  <c r="GT10" i="22"/>
  <c r="HA10" i="22" s="1"/>
  <c r="KR12" i="22"/>
  <c r="KY12" i="22" s="1"/>
  <c r="NH12" i="22"/>
  <c r="NO12" i="22" s="1"/>
  <c r="GT13" i="22"/>
  <c r="HA13" i="22" s="1"/>
  <c r="IB4" i="22"/>
  <c r="II4" i="22" s="1"/>
  <c r="IB8" i="22"/>
  <c r="II8" i="22" s="1"/>
  <c r="JJ5" i="22"/>
  <c r="JQ5" i="22" s="1"/>
  <c r="KR11" i="22"/>
  <c r="KY11" i="22" s="1"/>
  <c r="KR10" i="22"/>
  <c r="KY10" i="22" s="1"/>
  <c r="LZ5" i="22"/>
  <c r="MG5" i="22" s="1"/>
  <c r="NH11" i="22"/>
  <c r="NO11" i="22" s="1"/>
  <c r="NH10" i="22"/>
  <c r="NO10" i="22" s="1"/>
  <c r="OP11" i="22"/>
  <c r="OW11" i="22" s="1"/>
  <c r="AY8" i="4"/>
  <c r="AU18" i="4"/>
  <c r="AY18" i="4" s="1"/>
  <c r="AY22" i="4"/>
  <c r="BZ10" i="4"/>
  <c r="AY20" i="4"/>
  <c r="AU5" i="4"/>
  <c r="AY5" i="4" s="1"/>
  <c r="AU9" i="4"/>
  <c r="AY9" i="4" s="1"/>
  <c r="BZ20" i="4"/>
  <c r="BZ21" i="4"/>
  <c r="BV14" i="4"/>
  <c r="BZ14" i="4" s="1"/>
  <c r="BV22" i="4"/>
  <c r="BZ22" i="4" s="1"/>
  <c r="AU10" i="4"/>
  <c r="AY10" i="4" s="1"/>
  <c r="PA15" i="21"/>
  <c r="KS15" i="21"/>
  <c r="GK15" i="21"/>
  <c r="AY7" i="21"/>
  <c r="AY10" i="21"/>
  <c r="CB5" i="21"/>
  <c r="CB14" i="21"/>
  <c r="AY5" i="21"/>
  <c r="AY8" i="21"/>
  <c r="AY14" i="21"/>
  <c r="CB4" i="21"/>
  <c r="CB9" i="21"/>
  <c r="CB12" i="21"/>
  <c r="CB16" i="21"/>
  <c r="AY4" i="21"/>
  <c r="AY9" i="21"/>
  <c r="AY11" i="21"/>
  <c r="CB8" i="21"/>
  <c r="AY10" i="19"/>
  <c r="AY14" i="19"/>
  <c r="AY12" i="19"/>
  <c r="AY21" i="19"/>
  <c r="CB14" i="19"/>
  <c r="CB12" i="19"/>
  <c r="CB21" i="19"/>
  <c r="CB18" i="19"/>
  <c r="CB17" i="19"/>
  <c r="AY5" i="19"/>
  <c r="AY9" i="19"/>
  <c r="AY11" i="19"/>
  <c r="AY20" i="19"/>
  <c r="CB11" i="19"/>
  <c r="AY4" i="19"/>
  <c r="AY7" i="19"/>
  <c r="AY16" i="19"/>
  <c r="AY19" i="19"/>
  <c r="AY15" i="19"/>
  <c r="CB4" i="19"/>
  <c r="CB7" i="19"/>
  <c r="CB16" i="19"/>
  <c r="CB19" i="19"/>
  <c r="CB15" i="19"/>
  <c r="CB10" i="19"/>
  <c r="AS10" i="8"/>
  <c r="BT4" i="8"/>
  <c r="BT10" i="8"/>
  <c r="AS5" i="8"/>
  <c r="AS7" i="8"/>
  <c r="BT8" i="8"/>
  <c r="BT9" i="8"/>
  <c r="BT4" i="18"/>
  <c r="AS8" i="18"/>
  <c r="AS6" i="18"/>
  <c r="AS7" i="18"/>
  <c r="AO6" i="24"/>
  <c r="AO7" i="24"/>
  <c r="AO9" i="24"/>
  <c r="AO8" i="24"/>
  <c r="BL6" i="24"/>
  <c r="BP6" i="24" s="1"/>
  <c r="BL4" i="24"/>
  <c r="BP4" i="24" s="1"/>
  <c r="BL5" i="24"/>
  <c r="BP5" i="24" s="1"/>
  <c r="AO6" i="23"/>
  <c r="BP8" i="23"/>
  <c r="AO7" i="23"/>
  <c r="AO4" i="23"/>
  <c r="BP4" i="23"/>
  <c r="FL12" i="22"/>
  <c r="FS12" i="22" s="1"/>
  <c r="GT8" i="22"/>
  <c r="HA8" i="22" s="1"/>
  <c r="BZ7" i="22"/>
  <c r="JJ9" i="22"/>
  <c r="JQ9" i="22" s="1"/>
  <c r="JJ11" i="22"/>
  <c r="JQ11" i="22" s="1"/>
  <c r="PX8" i="22"/>
  <c r="QE8" i="22" s="1"/>
  <c r="PX12" i="22"/>
  <c r="QE12" i="22" s="1"/>
  <c r="BV5" i="22"/>
  <c r="BZ5" i="22" s="1"/>
  <c r="BV8" i="22"/>
  <c r="BZ8" i="22" s="1"/>
  <c r="JJ6" i="22"/>
  <c r="JQ6" i="22" s="1"/>
  <c r="OP10" i="22"/>
  <c r="OW10" i="22" s="1"/>
  <c r="PX5" i="22"/>
  <c r="QE5" i="22" s="1"/>
  <c r="PX7" i="22"/>
  <c r="QE7" i="22" s="1"/>
  <c r="PX9" i="22"/>
  <c r="QE9" i="22" s="1"/>
  <c r="PX11" i="22"/>
  <c r="QE11" i="22" s="1"/>
  <c r="IB5" i="22"/>
  <c r="II5" i="22" s="1"/>
  <c r="IB7" i="22"/>
  <c r="II7" i="22" s="1"/>
  <c r="IB12" i="22"/>
  <c r="II12" i="22" s="1"/>
  <c r="LZ4" i="22"/>
  <c r="MG4" i="22" s="1"/>
  <c r="LZ9" i="22"/>
  <c r="MG9" i="22" s="1"/>
  <c r="LZ11" i="22"/>
  <c r="MG11" i="22" s="1"/>
  <c r="AU8" i="22"/>
  <c r="AY8" i="22" s="1"/>
  <c r="AY14" i="22"/>
  <c r="AU6" i="22"/>
  <c r="AY6" i="22" s="1"/>
  <c r="ED10" i="22"/>
  <c r="EK10" i="22" s="1"/>
  <c r="FL5" i="22"/>
  <c r="FS5" i="22" s="1"/>
  <c r="IB9" i="22"/>
  <c r="II9" i="22" s="1"/>
  <c r="IB11" i="22"/>
  <c r="II11" i="22" s="1"/>
  <c r="LZ6" i="22"/>
  <c r="MG6" i="22" s="1"/>
  <c r="AU4" i="22"/>
  <c r="AY4" i="22" s="1"/>
  <c r="AY10" i="22"/>
  <c r="ED12" i="22"/>
  <c r="EK12" i="22" s="1"/>
  <c r="GT7" i="22"/>
  <c r="HA7" i="22" s="1"/>
  <c r="GT12" i="22"/>
  <c r="HA12" i="22" s="1"/>
  <c r="IB14" i="22"/>
  <c r="II14" i="22" s="1"/>
  <c r="JJ4" i="22"/>
  <c r="JQ4" i="22" s="1"/>
  <c r="JJ13" i="22"/>
  <c r="JQ13" i="22" s="1"/>
  <c r="KR14" i="22"/>
  <c r="KY14" i="22" s="1"/>
  <c r="LZ13" i="22"/>
  <c r="MG13" i="22" s="1"/>
  <c r="NH14" i="22"/>
  <c r="NO14" i="22" s="1"/>
  <c r="OP4" i="22"/>
  <c r="OW4" i="22" s="1"/>
  <c r="OP13" i="22"/>
  <c r="OW13" i="22" s="1"/>
  <c r="PX14" i="22"/>
  <c r="QE14" i="22" s="1"/>
  <c r="RF4" i="22"/>
  <c r="RM4" i="22" s="1"/>
  <c r="BV4" i="22"/>
  <c r="BZ4" i="22" s="1"/>
  <c r="BV9" i="22"/>
  <c r="BZ9" i="22" s="1"/>
  <c r="BV14" i="22"/>
  <c r="BZ14" i="22" s="1"/>
  <c r="IB6" i="22"/>
  <c r="II6" i="22" s="1"/>
  <c r="JJ8" i="22"/>
  <c r="JQ8" i="22" s="1"/>
  <c r="LZ8" i="22"/>
  <c r="MG8" i="22" s="1"/>
  <c r="OP8" i="22"/>
  <c r="OW8" i="22" s="1"/>
  <c r="RF8" i="22"/>
  <c r="RM8" i="22" s="1"/>
  <c r="ED14" i="22"/>
  <c r="EK14" i="22" s="1"/>
  <c r="FL4" i="22"/>
  <c r="FS4" i="22" s="1"/>
  <c r="FL13" i="22"/>
  <c r="FS13" i="22" s="1"/>
  <c r="GT14" i="22"/>
  <c r="HA14" i="22" s="1"/>
  <c r="JJ7" i="22"/>
  <c r="JQ7" i="22" s="1"/>
  <c r="JJ12" i="22"/>
  <c r="JQ12" i="22" s="1"/>
  <c r="KR6" i="22"/>
  <c r="KY6" i="22" s="1"/>
  <c r="LZ7" i="22"/>
  <c r="MG7" i="22" s="1"/>
  <c r="LZ12" i="22"/>
  <c r="MG12" i="22" s="1"/>
  <c r="NH6" i="22"/>
  <c r="NO6" i="22" s="1"/>
  <c r="OP7" i="22"/>
  <c r="OW7" i="22" s="1"/>
  <c r="OP12" i="22"/>
  <c r="OW12" i="22" s="1"/>
  <c r="PX6" i="22"/>
  <c r="QE6" i="22" s="1"/>
  <c r="RF7" i="22"/>
  <c r="RM7" i="22" s="1"/>
  <c r="RF12" i="22"/>
  <c r="RM12" i="22" s="1"/>
  <c r="AU5" i="22"/>
  <c r="AY5" i="22" s="1"/>
  <c r="AU9" i="22"/>
  <c r="AY9" i="22" s="1"/>
  <c r="AU12" i="22"/>
  <c r="AY12" i="22" s="1"/>
  <c r="AU7" i="22"/>
  <c r="AY7" i="22" s="1"/>
  <c r="AU11" i="22"/>
  <c r="AY11" i="22" s="1"/>
  <c r="ED4" i="22"/>
  <c r="EK4" i="22" s="1"/>
  <c r="FL8" i="22"/>
  <c r="FS8" i="22" s="1"/>
  <c r="GT4" i="22"/>
  <c r="HA4" i="22" s="1"/>
  <c r="RF11" i="22"/>
  <c r="RM11" i="22" s="1"/>
  <c r="RF14" i="22"/>
  <c r="RM14" i="22" s="1"/>
  <c r="RF10" i="22"/>
  <c r="RM10" i="22" s="1"/>
  <c r="BV12" i="22"/>
  <c r="BZ12" i="22" s="1"/>
  <c r="BV10" i="22"/>
  <c r="BZ10" i="22" s="1"/>
  <c r="ED6" i="22"/>
  <c r="EK6" i="22" s="1"/>
  <c r="ED8" i="22"/>
  <c r="EK8" i="22" s="1"/>
  <c r="FL7" i="22"/>
  <c r="FS7" i="22" s="1"/>
  <c r="GT6" i="22"/>
  <c r="HA6" i="22" s="1"/>
  <c r="IB13" i="22"/>
  <c r="II13" i="22" s="1"/>
  <c r="JJ14" i="22"/>
  <c r="JQ14" i="22" s="1"/>
  <c r="KR13" i="22"/>
  <c r="KY13" i="22" s="1"/>
  <c r="LZ14" i="22"/>
  <c r="MG14" i="22" s="1"/>
  <c r="NH4" i="22"/>
  <c r="NO4" i="22" s="1"/>
  <c r="NH13" i="22"/>
  <c r="NO13" i="22" s="1"/>
  <c r="OP14" i="22"/>
  <c r="OW14" i="22" s="1"/>
  <c r="PX4" i="22"/>
  <c r="QE4" i="22" s="1"/>
  <c r="PX13" i="22"/>
  <c r="QE13" i="22" s="1"/>
  <c r="AY21" i="4"/>
  <c r="BV16" i="4"/>
  <c r="BZ16" i="4" s="1"/>
  <c r="AU13" i="4"/>
  <c r="AY13" i="4" s="1"/>
  <c r="AU12" i="4"/>
  <c r="AY12" i="4" s="1"/>
  <c r="BV6" i="4"/>
  <c r="BZ6" i="4" s="1"/>
  <c r="BV13" i="4"/>
  <c r="BZ13" i="4" s="1"/>
  <c r="AU14" i="4"/>
  <c r="AY14" i="4" s="1"/>
  <c r="BV12" i="4"/>
  <c r="BZ12" i="4" s="1"/>
  <c r="AU4" i="4"/>
  <c r="AY4" i="4" s="1"/>
  <c r="AU19" i="4"/>
  <c r="AY19" i="4" s="1"/>
  <c r="AU15" i="4"/>
  <c r="AY15" i="4" s="1"/>
  <c r="BV15" i="4"/>
  <c r="BZ15" i="4" s="1"/>
  <c r="BV9" i="4"/>
  <c r="BZ9" i="4" s="1"/>
  <c r="BV19" i="4"/>
  <c r="BZ19" i="4" s="1"/>
  <c r="BV17" i="4"/>
  <c r="BZ17" i="4" s="1"/>
  <c r="AU7" i="4"/>
  <c r="AY7" i="4" s="1"/>
  <c r="AU16" i="4"/>
  <c r="AY16" i="4" s="1"/>
  <c r="BV7" i="4"/>
  <c r="BZ7" i="4" s="1"/>
  <c r="BV11" i="4"/>
  <c r="BZ11" i="4" s="1"/>
  <c r="BZ18" i="4"/>
  <c r="AU11" i="4"/>
  <c r="AY11" i="4" s="1"/>
  <c r="AU6" i="4"/>
  <c r="AY6" i="4" s="1"/>
  <c r="AY17" i="4"/>
  <c r="BV5" i="4"/>
  <c r="BZ5" i="4" s="1"/>
  <c r="BV8" i="4"/>
  <c r="BZ8" i="4" s="1"/>
  <c r="BY4" i="21"/>
  <c r="BY5" i="21"/>
  <c r="BY7" i="21"/>
  <c r="BY6" i="21"/>
  <c r="BY9" i="21"/>
  <c r="BY8" i="21"/>
  <c r="BY10" i="21"/>
  <c r="BY13" i="21"/>
  <c r="BY12" i="21"/>
  <c r="BY14" i="21"/>
  <c r="BY11" i="21"/>
  <c r="BY15" i="21"/>
  <c r="BY16" i="21"/>
  <c r="AV4" i="21"/>
  <c r="AV5" i="21"/>
  <c r="AV7" i="21"/>
  <c r="AV6" i="21"/>
  <c r="AV9" i="21"/>
  <c r="AV8" i="21"/>
  <c r="AV10" i="21"/>
  <c r="AV13" i="21"/>
  <c r="AV12" i="21"/>
  <c r="AV14" i="21"/>
  <c r="AV11" i="21"/>
  <c r="AV15" i="21"/>
  <c r="AV16" i="21"/>
  <c r="BY4" i="19"/>
  <c r="BY5" i="19"/>
  <c r="BY8" i="19"/>
  <c r="BY10" i="19"/>
  <c r="BY7" i="19"/>
  <c r="BY9" i="19"/>
  <c r="BY6" i="19"/>
  <c r="BY14" i="19"/>
  <c r="BY16" i="19"/>
  <c r="BY11" i="19"/>
  <c r="BY18" i="19"/>
  <c r="BY12" i="19"/>
  <c r="BY19" i="19"/>
  <c r="BY20" i="19"/>
  <c r="BY17" i="19"/>
  <c r="BY21" i="19"/>
  <c r="BY15" i="19"/>
  <c r="BY22" i="19"/>
  <c r="BY23" i="19"/>
  <c r="AV4" i="19"/>
  <c r="AV5" i="19"/>
  <c r="AV8" i="19"/>
  <c r="AV10" i="19"/>
  <c r="AV7" i="19"/>
  <c r="AV9" i="19"/>
  <c r="AV6" i="19"/>
  <c r="AV14" i="19"/>
  <c r="AV16" i="19"/>
  <c r="AV11" i="19"/>
  <c r="AV18" i="19"/>
  <c r="AV12" i="19"/>
  <c r="AV19" i="19"/>
  <c r="AV20" i="19"/>
  <c r="AV17" i="19"/>
  <c r="AV21" i="19"/>
  <c r="AV15" i="19"/>
  <c r="AV22" i="19"/>
  <c r="AV23" i="19"/>
  <c r="EJ15" i="21"/>
  <c r="DE15" i="21"/>
  <c r="EG15" i="21"/>
  <c r="JQ15" i="21"/>
  <c r="FI15" i="21"/>
  <c r="R15" i="21"/>
  <c r="S15" i="21" s="1"/>
  <c r="QC15" i="21"/>
  <c r="NY15" i="21"/>
  <c r="MW15" i="21"/>
  <c r="LU15" i="21"/>
  <c r="IO15" i="21"/>
  <c r="HM15" i="21"/>
  <c r="HP15" i="21"/>
  <c r="GN15" i="21"/>
  <c r="N15" i="21"/>
  <c r="O15" i="21" s="1"/>
  <c r="RC15" i="21"/>
  <c r="RD15" i="21"/>
  <c r="RB15" i="21"/>
  <c r="RH15" i="21"/>
  <c r="L15" i="21"/>
  <c r="M15" i="21" s="1"/>
  <c r="F15" i="21"/>
  <c r="DB15" i="21"/>
  <c r="J15" i="21"/>
  <c r="RE15" i="21"/>
  <c r="QF15" i="21"/>
  <c r="PD15" i="21"/>
  <c r="OB15" i="21"/>
  <c r="MZ15" i="21"/>
  <c r="LX15" i="21"/>
  <c r="KV15" i="21"/>
  <c r="JT15" i="21"/>
  <c r="P15" i="21"/>
  <c r="G15" i="21"/>
  <c r="DF13" i="19" l="1"/>
  <c r="DH13" i="19"/>
  <c r="RI13" i="19"/>
  <c r="I13" i="19"/>
  <c r="H13" i="19" s="1"/>
  <c r="RF13" i="19"/>
  <c r="K13" i="19"/>
  <c r="DG13" i="19"/>
  <c r="T13" i="19" s="1"/>
  <c r="Q13" i="19"/>
  <c r="DH15" i="21"/>
  <c r="RI15" i="21"/>
  <c r="RF15" i="21"/>
  <c r="I15" i="21"/>
  <c r="H15" i="21" s="1"/>
  <c r="DF15" i="21"/>
  <c r="A15" i="21"/>
  <c r="DG15" i="21"/>
  <c r="Q15" i="21"/>
  <c r="K15" i="21"/>
  <c r="E13" i="19" l="1"/>
  <c r="U13" i="19"/>
  <c r="V13" i="19"/>
  <c r="T15" i="21"/>
  <c r="E15" i="21" s="1"/>
  <c r="V15" i="21" l="1"/>
  <c r="U15" i="21"/>
  <c r="CX15" i="19" l="1"/>
  <c r="CY15" i="19"/>
  <c r="CZ15" i="19"/>
  <c r="DA15" i="19"/>
  <c r="DC15" i="19"/>
  <c r="DD15" i="19"/>
  <c r="EC15" i="19"/>
  <c r="ED15" i="19"/>
  <c r="EE15" i="19"/>
  <c r="EF15" i="19"/>
  <c r="EH15" i="19"/>
  <c r="EI15" i="19"/>
  <c r="FE15" i="19"/>
  <c r="FF15" i="19"/>
  <c r="FG15" i="19"/>
  <c r="FH15" i="19"/>
  <c r="FJ15" i="19"/>
  <c r="FK15" i="19"/>
  <c r="GG15" i="19"/>
  <c r="GH15" i="19"/>
  <c r="GI15" i="19"/>
  <c r="GJ15" i="19"/>
  <c r="GL15" i="19"/>
  <c r="GM15" i="19"/>
  <c r="HI15" i="19"/>
  <c r="HJ15" i="19"/>
  <c r="HK15" i="19"/>
  <c r="HL15" i="19"/>
  <c r="HN15" i="19"/>
  <c r="HO15" i="19"/>
  <c r="IK15" i="19"/>
  <c r="IL15" i="19"/>
  <c r="IM15" i="19"/>
  <c r="IN15" i="19"/>
  <c r="IP15" i="19"/>
  <c r="IQ15" i="19"/>
  <c r="JM15" i="19"/>
  <c r="JN15" i="19"/>
  <c r="JO15" i="19"/>
  <c r="JP15" i="19"/>
  <c r="JR15" i="19"/>
  <c r="JS15" i="19"/>
  <c r="KO15" i="19"/>
  <c r="KP15" i="19"/>
  <c r="KQ15" i="19"/>
  <c r="KR15" i="19"/>
  <c r="KT15" i="19"/>
  <c r="KU15" i="19"/>
  <c r="LQ15" i="19"/>
  <c r="LR15" i="19"/>
  <c r="LS15" i="19"/>
  <c r="LT15" i="19"/>
  <c r="LV15" i="19"/>
  <c r="LW15" i="19"/>
  <c r="MS15" i="19"/>
  <c r="MT15" i="19"/>
  <c r="MU15" i="19"/>
  <c r="MV15" i="19"/>
  <c r="MX15" i="19"/>
  <c r="MY15" i="19"/>
  <c r="NU15" i="19"/>
  <c r="NV15" i="19"/>
  <c r="NW15" i="19"/>
  <c r="NX15" i="19"/>
  <c r="NZ15" i="19"/>
  <c r="OA15" i="19"/>
  <c r="OW15" i="19"/>
  <c r="OX15" i="19"/>
  <c r="OY15" i="19"/>
  <c r="OZ15" i="19"/>
  <c r="PB15" i="19"/>
  <c r="PC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6" i="19"/>
  <c r="CY6" i="19"/>
  <c r="CZ6" i="19"/>
  <c r="DA6" i="19"/>
  <c r="DC6" i="19"/>
  <c r="DD6" i="19"/>
  <c r="EC6" i="19"/>
  <c r="ED6" i="19"/>
  <c r="EE6" i="19"/>
  <c r="EF6" i="19"/>
  <c r="EH6" i="19"/>
  <c r="EI6" i="19"/>
  <c r="FE6" i="19"/>
  <c r="FF6" i="19"/>
  <c r="FG6" i="19"/>
  <c r="FH6" i="19"/>
  <c r="FJ6" i="19"/>
  <c r="FK6" i="19"/>
  <c r="GG6" i="19"/>
  <c r="GH6" i="19"/>
  <c r="GI6" i="19"/>
  <c r="GJ6" i="19"/>
  <c r="GL6" i="19"/>
  <c r="GM6" i="19"/>
  <c r="HI6" i="19"/>
  <c r="HJ6" i="19"/>
  <c r="HK6" i="19"/>
  <c r="HL6" i="19"/>
  <c r="HN6" i="19"/>
  <c r="HO6" i="19"/>
  <c r="IK6" i="19"/>
  <c r="IL6" i="19"/>
  <c r="IM6" i="19"/>
  <c r="IN6" i="19"/>
  <c r="IP6" i="19"/>
  <c r="IQ6" i="19"/>
  <c r="JM6" i="19"/>
  <c r="JN6" i="19"/>
  <c r="JO6" i="19"/>
  <c r="JP6" i="19"/>
  <c r="JR6" i="19"/>
  <c r="JS6" i="19"/>
  <c r="KO6" i="19"/>
  <c r="KP6" i="19"/>
  <c r="KQ6" i="19"/>
  <c r="KR6" i="19"/>
  <c r="KT6" i="19"/>
  <c r="KU6" i="19"/>
  <c r="LQ6" i="19"/>
  <c r="LR6" i="19"/>
  <c r="LS6" i="19"/>
  <c r="LT6" i="19"/>
  <c r="LV6" i="19"/>
  <c r="LW6" i="19"/>
  <c r="MS6" i="19"/>
  <c r="MT6" i="19"/>
  <c r="MU6" i="19"/>
  <c r="MV6" i="19"/>
  <c r="MX6" i="19"/>
  <c r="MY6" i="19"/>
  <c r="NU6" i="19"/>
  <c r="NV6" i="19"/>
  <c r="NW6" i="19"/>
  <c r="NX6" i="19"/>
  <c r="NZ6" i="19"/>
  <c r="OA6" i="19"/>
  <c r="OW6" i="19"/>
  <c r="OX6" i="19"/>
  <c r="OY6" i="19"/>
  <c r="OZ6" i="19"/>
  <c r="PB6" i="19"/>
  <c r="PC6" i="19"/>
  <c r="PY6" i="19"/>
  <c r="PZ6" i="19"/>
  <c r="QA6" i="19"/>
  <c r="QB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9" i="19"/>
  <c r="CY19" i="19"/>
  <c r="CZ19" i="19"/>
  <c r="DA19" i="19"/>
  <c r="DC19" i="19"/>
  <c r="DD19" i="19"/>
  <c r="EC19" i="19"/>
  <c r="ED19" i="19"/>
  <c r="EE19" i="19"/>
  <c r="EF19" i="19"/>
  <c r="EH19" i="19"/>
  <c r="EI19" i="19"/>
  <c r="FE19" i="19"/>
  <c r="FF19" i="19"/>
  <c r="FG19" i="19"/>
  <c r="FH19" i="19"/>
  <c r="FJ19" i="19"/>
  <c r="FK19" i="19"/>
  <c r="GG19" i="19"/>
  <c r="GH19" i="19"/>
  <c r="GI19" i="19"/>
  <c r="GJ19" i="19"/>
  <c r="GL19" i="19"/>
  <c r="GM19" i="19"/>
  <c r="HI19" i="19"/>
  <c r="HJ19" i="19"/>
  <c r="HK19" i="19"/>
  <c r="HL19" i="19"/>
  <c r="HN19" i="19"/>
  <c r="HO19" i="19"/>
  <c r="IK19" i="19"/>
  <c r="IL19" i="19"/>
  <c r="IM19" i="19"/>
  <c r="IN19" i="19"/>
  <c r="IP19" i="19"/>
  <c r="IQ19" i="19"/>
  <c r="JM19" i="19"/>
  <c r="JN19" i="19"/>
  <c r="JO19" i="19"/>
  <c r="JP19" i="19"/>
  <c r="JR19" i="19"/>
  <c r="JS19" i="19"/>
  <c r="KO19" i="19"/>
  <c r="KP19" i="19"/>
  <c r="KQ19" i="19"/>
  <c r="KR19" i="19"/>
  <c r="KT19" i="19"/>
  <c r="KU19" i="19"/>
  <c r="LQ19" i="19"/>
  <c r="LR19" i="19"/>
  <c r="LS19" i="19"/>
  <c r="LT19" i="19"/>
  <c r="LV19" i="19"/>
  <c r="LW19" i="19"/>
  <c r="MS19" i="19"/>
  <c r="MT19" i="19"/>
  <c r="MU19" i="19"/>
  <c r="MV19" i="19"/>
  <c r="MX19" i="19"/>
  <c r="MY19" i="19"/>
  <c r="NU19" i="19"/>
  <c r="NV19" i="19"/>
  <c r="NW19" i="19"/>
  <c r="NX19" i="19"/>
  <c r="NZ19" i="19"/>
  <c r="OA19" i="19"/>
  <c r="OW19" i="19"/>
  <c r="OX19" i="19"/>
  <c r="OY19" i="19"/>
  <c r="OZ19" i="19"/>
  <c r="PB19" i="19"/>
  <c r="PC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8" i="19"/>
  <c r="CY18" i="19"/>
  <c r="CZ18" i="19"/>
  <c r="DA18" i="19"/>
  <c r="DC18" i="19"/>
  <c r="DD18" i="19"/>
  <c r="EC18" i="19"/>
  <c r="ED18" i="19"/>
  <c r="EE18" i="19"/>
  <c r="EF18" i="19"/>
  <c r="EH18" i="19"/>
  <c r="EI18" i="19"/>
  <c r="FE18" i="19"/>
  <c r="FF18" i="19"/>
  <c r="FG18" i="19"/>
  <c r="FH18" i="19"/>
  <c r="FJ18" i="19"/>
  <c r="FK18" i="19"/>
  <c r="GG18" i="19"/>
  <c r="GH18" i="19"/>
  <c r="GI18" i="19"/>
  <c r="GJ18" i="19"/>
  <c r="GL18" i="19"/>
  <c r="GM18" i="19"/>
  <c r="HI18" i="19"/>
  <c r="HJ18" i="19"/>
  <c r="HK18" i="19"/>
  <c r="HL18" i="19"/>
  <c r="HN18" i="19"/>
  <c r="HO18" i="19"/>
  <c r="IK18" i="19"/>
  <c r="IL18" i="19"/>
  <c r="IM18" i="19"/>
  <c r="IN18" i="19"/>
  <c r="IP18" i="19"/>
  <c r="IQ18" i="19"/>
  <c r="JM18" i="19"/>
  <c r="JN18" i="19"/>
  <c r="JO18" i="19"/>
  <c r="JP18" i="19"/>
  <c r="JR18" i="19"/>
  <c r="JS18" i="19"/>
  <c r="KO18" i="19"/>
  <c r="KP18" i="19"/>
  <c r="KQ18" i="19"/>
  <c r="KR18" i="19"/>
  <c r="KT18" i="19"/>
  <c r="KU18" i="19"/>
  <c r="LQ18" i="19"/>
  <c r="LR18" i="19"/>
  <c r="LS18" i="19"/>
  <c r="LT18" i="19"/>
  <c r="LV18" i="19"/>
  <c r="LW18" i="19"/>
  <c r="MS18" i="19"/>
  <c r="MT18" i="19"/>
  <c r="MU18" i="19"/>
  <c r="MV18" i="19"/>
  <c r="MX18" i="19"/>
  <c r="MY18" i="19"/>
  <c r="NU18" i="19"/>
  <c r="NV18" i="19"/>
  <c r="NW18" i="19"/>
  <c r="NX18" i="19"/>
  <c r="NZ18" i="19"/>
  <c r="OA18" i="19"/>
  <c r="OW18" i="19"/>
  <c r="OX18" i="19"/>
  <c r="OY18" i="19"/>
  <c r="OZ18" i="19"/>
  <c r="PB18" i="19"/>
  <c r="PC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P9" i="8"/>
  <c r="CQ9" i="8"/>
  <c r="CR9" i="8"/>
  <c r="CS9" i="8"/>
  <c r="CT9" i="8"/>
  <c r="DR9" i="8"/>
  <c r="DS9" i="8"/>
  <c r="DT9" i="8"/>
  <c r="DU9" i="8"/>
  <c r="DV9" i="8"/>
  <c r="ER9" i="8"/>
  <c r="ES9" i="8"/>
  <c r="ET9" i="8"/>
  <c r="EU9" i="8"/>
  <c r="EV9" i="8"/>
  <c r="FR9" i="8"/>
  <c r="FS9" i="8"/>
  <c r="FT9" i="8"/>
  <c r="FU9" i="8"/>
  <c r="FV9" i="8"/>
  <c r="GR9" i="8"/>
  <c r="GS9" i="8"/>
  <c r="GT9" i="8"/>
  <c r="GU9" i="8"/>
  <c r="GV9" i="8"/>
  <c r="HR9" i="8"/>
  <c r="HS9" i="8"/>
  <c r="HT9" i="8"/>
  <c r="HU9" i="8"/>
  <c r="HV9" i="8"/>
  <c r="IR9" i="8"/>
  <c r="IS9" i="8"/>
  <c r="IT9" i="8"/>
  <c r="IU9" i="8"/>
  <c r="IV9" i="8"/>
  <c r="JR9" i="8"/>
  <c r="JS9" i="8"/>
  <c r="JT9" i="8"/>
  <c r="JU9" i="8"/>
  <c r="JV9" i="8"/>
  <c r="KR9" i="8"/>
  <c r="KS9" i="8"/>
  <c r="KT9" i="8"/>
  <c r="KU9" i="8"/>
  <c r="KV9" i="8"/>
  <c r="LR9" i="8"/>
  <c r="LS9" i="8"/>
  <c r="LT9" i="8"/>
  <c r="LU9" i="8"/>
  <c r="LV9" i="8"/>
  <c r="MR9" i="8"/>
  <c r="MS9" i="8"/>
  <c r="MT9" i="8"/>
  <c r="MU9" i="8"/>
  <c r="MV9" i="8"/>
  <c r="NR9" i="8"/>
  <c r="NS9" i="8"/>
  <c r="NT9" i="8"/>
  <c r="NU9" i="8"/>
  <c r="NV9" i="8"/>
  <c r="OR9" i="8"/>
  <c r="OS9" i="8"/>
  <c r="OT9" i="8"/>
  <c r="OU9" i="8"/>
  <c r="OV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CP10" i="8"/>
  <c r="CQ10" i="8"/>
  <c r="CR10" i="8"/>
  <c r="CS10" i="8"/>
  <c r="CT10" i="8"/>
  <c r="DR10" i="8"/>
  <c r="DS10" i="8"/>
  <c r="DT10" i="8"/>
  <c r="DU10" i="8"/>
  <c r="DV10" i="8"/>
  <c r="ER10" i="8"/>
  <c r="ES10" i="8"/>
  <c r="ET10" i="8"/>
  <c r="EU10" i="8"/>
  <c r="EV10" i="8"/>
  <c r="FR10" i="8"/>
  <c r="FS10" i="8"/>
  <c r="FT10" i="8"/>
  <c r="FU10" i="8"/>
  <c r="FV10" i="8"/>
  <c r="GR10" i="8"/>
  <c r="GS10" i="8"/>
  <c r="GT10" i="8"/>
  <c r="GU10" i="8"/>
  <c r="GV10" i="8"/>
  <c r="HR10" i="8"/>
  <c r="HS10" i="8"/>
  <c r="HT10" i="8"/>
  <c r="HU10" i="8"/>
  <c r="HV10" i="8"/>
  <c r="IR10" i="8"/>
  <c r="IS10" i="8"/>
  <c r="IT10" i="8"/>
  <c r="IU10" i="8"/>
  <c r="IV10" i="8"/>
  <c r="JR10" i="8"/>
  <c r="JS10" i="8"/>
  <c r="JT10" i="8"/>
  <c r="JU10" i="8"/>
  <c r="JV10" i="8"/>
  <c r="KR10" i="8"/>
  <c r="KS10" i="8"/>
  <c r="KT10" i="8"/>
  <c r="KU10" i="8"/>
  <c r="KV10" i="8"/>
  <c r="LR10" i="8"/>
  <c r="LS10" i="8"/>
  <c r="LT10" i="8"/>
  <c r="LU10" i="8"/>
  <c r="LV10" i="8"/>
  <c r="MR10" i="8"/>
  <c r="MS10" i="8"/>
  <c r="MT10" i="8"/>
  <c r="MU10" i="8"/>
  <c r="MV10" i="8"/>
  <c r="NR10" i="8"/>
  <c r="NS10" i="8"/>
  <c r="NT10" i="8"/>
  <c r="NU10" i="8"/>
  <c r="NV10" i="8"/>
  <c r="OR10" i="8"/>
  <c r="OS10" i="8"/>
  <c r="OT10" i="8"/>
  <c r="OU10" i="8"/>
  <c r="OV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HW9" i="8" l="1"/>
  <c r="PA19" i="19"/>
  <c r="IO19" i="19"/>
  <c r="FW10" i="8"/>
  <c r="NW10" i="8"/>
  <c r="DE15" i="19"/>
  <c r="JW9" i="8"/>
  <c r="GW9" i="8"/>
  <c r="OW9" i="8"/>
  <c r="LW9" i="8"/>
  <c r="DW9" i="8"/>
  <c r="KS19" i="19"/>
  <c r="GK19" i="19"/>
  <c r="LU6" i="19"/>
  <c r="HM6" i="19"/>
  <c r="IO15" i="19"/>
  <c r="MW9" i="8"/>
  <c r="EW9" i="8"/>
  <c r="NW9" i="8"/>
  <c r="PV10" i="8"/>
  <c r="IW9" i="8"/>
  <c r="DB6" i="19"/>
  <c r="RG15" i="19"/>
  <c r="RB15" i="19"/>
  <c r="CU9" i="8"/>
  <c r="EG18" i="19"/>
  <c r="PA6" i="19"/>
  <c r="GK6" i="19"/>
  <c r="R15" i="19"/>
  <c r="S15" i="19" s="1"/>
  <c r="MW18" i="19"/>
  <c r="IO18" i="19"/>
  <c r="KS18" i="19"/>
  <c r="GK18" i="19"/>
  <c r="MW6" i="19"/>
  <c r="PA15" i="19"/>
  <c r="QC15" i="19"/>
  <c r="NY15" i="19"/>
  <c r="MW15" i="19"/>
  <c r="LU15" i="19"/>
  <c r="KS15" i="19"/>
  <c r="JQ15" i="19"/>
  <c r="HM15" i="19"/>
  <c r="GK15" i="19"/>
  <c r="FI15" i="19"/>
  <c r="EG15" i="19"/>
  <c r="P15" i="19"/>
  <c r="DG15" i="19" s="1"/>
  <c r="DB15" i="19"/>
  <c r="N15" i="19"/>
  <c r="O15" i="19" s="1"/>
  <c r="RD15" i="19"/>
  <c r="RC15" i="19"/>
  <c r="RH15" i="19"/>
  <c r="L15" i="19"/>
  <c r="M15" i="19" s="1"/>
  <c r="F15" i="19"/>
  <c r="J15" i="19"/>
  <c r="RE15" i="19"/>
  <c r="QF15" i="19"/>
  <c r="PD15" i="19"/>
  <c r="OB15" i="19"/>
  <c r="MZ15" i="19"/>
  <c r="LX15" i="19"/>
  <c r="KV15" i="19"/>
  <c r="JT15" i="19"/>
  <c r="IR15" i="19"/>
  <c r="HP15" i="19"/>
  <c r="GN15" i="19"/>
  <c r="FL15" i="19"/>
  <c r="EJ15" i="19"/>
  <c r="G15" i="19"/>
  <c r="RB6" i="19"/>
  <c r="IO6" i="19"/>
  <c r="DE18" i="19"/>
  <c r="RG19" i="19"/>
  <c r="QC6" i="19"/>
  <c r="NY6" i="19"/>
  <c r="KS6" i="19"/>
  <c r="JQ6" i="19"/>
  <c r="FI6" i="19"/>
  <c r="EG6" i="19"/>
  <c r="RD6" i="19"/>
  <c r="RC6" i="19"/>
  <c r="R6" i="19"/>
  <c r="DH6" i="19" s="1"/>
  <c r="RH6" i="19"/>
  <c r="N6" i="19"/>
  <c r="O6" i="19" s="1"/>
  <c r="RG6" i="19"/>
  <c r="F6" i="19"/>
  <c r="L6" i="19"/>
  <c r="DF6" i="19" s="1"/>
  <c r="P6" i="19"/>
  <c r="J6" i="19"/>
  <c r="RE6" i="19"/>
  <c r="QF6" i="19"/>
  <c r="PD6" i="19"/>
  <c r="OB6" i="19"/>
  <c r="MZ6" i="19"/>
  <c r="LX6" i="19"/>
  <c r="KV6" i="19"/>
  <c r="JT6" i="19"/>
  <c r="IR6" i="19"/>
  <c r="HP6" i="19"/>
  <c r="GN6" i="19"/>
  <c r="FL6" i="19"/>
  <c r="EJ6" i="19"/>
  <c r="G6" i="19"/>
  <c r="DE6" i="19"/>
  <c r="DE19" i="19"/>
  <c r="RB19" i="19"/>
  <c r="JQ19" i="19"/>
  <c r="QC19" i="19"/>
  <c r="NY19" i="19"/>
  <c r="MW19" i="19"/>
  <c r="LU19" i="19"/>
  <c r="HM19" i="19"/>
  <c r="FI19" i="19"/>
  <c r="EG19" i="19"/>
  <c r="R19" i="19"/>
  <c r="DH19" i="19" s="1"/>
  <c r="N19" i="19"/>
  <c r="O19" i="19" s="1"/>
  <c r="DB19" i="19"/>
  <c r="RC19" i="19"/>
  <c r="RD19" i="19"/>
  <c r="RH19" i="19"/>
  <c r="L19" i="19"/>
  <c r="DF19" i="19" s="1"/>
  <c r="F19" i="19"/>
  <c r="J19" i="19"/>
  <c r="K19" i="19" s="1"/>
  <c r="QF19" i="19"/>
  <c r="PD19" i="19"/>
  <c r="OB19" i="19"/>
  <c r="MZ19" i="19"/>
  <c r="LX19" i="19"/>
  <c r="KV19" i="19"/>
  <c r="JT19" i="19"/>
  <c r="IR19" i="19"/>
  <c r="HP19" i="19"/>
  <c r="GN19" i="19"/>
  <c r="FL19" i="19"/>
  <c r="EJ19" i="19"/>
  <c r="P19" i="19"/>
  <c r="G19" i="19"/>
  <c r="RE19" i="19"/>
  <c r="RG18" i="19"/>
  <c r="QC18" i="19"/>
  <c r="PA18" i="19"/>
  <c r="NY18" i="19"/>
  <c r="LU18" i="19"/>
  <c r="JQ18" i="19"/>
  <c r="HM18" i="19"/>
  <c r="FI18" i="19"/>
  <c r="RC18" i="19"/>
  <c r="N18" i="19"/>
  <c r="O18" i="19" s="1"/>
  <c r="DB18" i="19"/>
  <c r="RB18" i="19"/>
  <c r="R18" i="19"/>
  <c r="DH18" i="19" s="1"/>
  <c r="RD18" i="19"/>
  <c r="RH18" i="19"/>
  <c r="L18" i="19"/>
  <c r="DF18" i="19" s="1"/>
  <c r="F18" i="19"/>
  <c r="J18" i="19"/>
  <c r="RE18" i="19"/>
  <c r="QF18" i="19"/>
  <c r="PD18" i="19"/>
  <c r="OB18" i="19"/>
  <c r="MZ18" i="19"/>
  <c r="LX18" i="19"/>
  <c r="KV18" i="19"/>
  <c r="JT18" i="19"/>
  <c r="IR18" i="19"/>
  <c r="HP18" i="19"/>
  <c r="GN18" i="19"/>
  <c r="FL18" i="19"/>
  <c r="EJ18" i="19"/>
  <c r="P18" i="19"/>
  <c r="G18" i="19"/>
  <c r="KW9" i="8"/>
  <c r="FW9" i="8"/>
  <c r="PS9" i="8"/>
  <c r="N9" i="8"/>
  <c r="CW9" i="8" s="1"/>
  <c r="PV9" i="8"/>
  <c r="L9" i="8"/>
  <c r="CV9" i="8" s="1"/>
  <c r="PW9" i="8"/>
  <c r="PU9" i="8"/>
  <c r="PT9" i="8"/>
  <c r="F9" i="8"/>
  <c r="J9" i="8"/>
  <c r="I9" i="8"/>
  <c r="G9" i="8"/>
  <c r="OW10" i="8"/>
  <c r="GW10" i="8"/>
  <c r="MW10" i="8"/>
  <c r="PS10" i="8"/>
  <c r="IW10" i="8"/>
  <c r="DW10" i="8"/>
  <c r="LW10" i="8"/>
  <c r="KW10" i="8"/>
  <c r="JW10" i="8"/>
  <c r="HW10" i="8"/>
  <c r="EW10" i="8"/>
  <c r="CU10" i="8"/>
  <c r="PU10" i="8"/>
  <c r="N10" i="8"/>
  <c r="O10" i="8" s="1"/>
  <c r="PT10" i="8"/>
  <c r="L10" i="8"/>
  <c r="CV10" i="8" s="1"/>
  <c r="PW10" i="8"/>
  <c r="F10" i="8"/>
  <c r="J10" i="8"/>
  <c r="I10" i="8"/>
  <c r="G10" i="8"/>
  <c r="RF6" i="19" l="1"/>
  <c r="Q15" i="19"/>
  <c r="I6" i="19"/>
  <c r="H6" i="19" s="1"/>
  <c r="I15" i="19"/>
  <c r="H15" i="19" s="1"/>
  <c r="PX10" i="8"/>
  <c r="RI6" i="19"/>
  <c r="S19" i="19"/>
  <c r="DH15" i="19"/>
  <c r="RI19" i="19"/>
  <c r="RI15" i="19"/>
  <c r="RF18" i="19"/>
  <c r="RF15" i="19"/>
  <c r="DF15" i="19"/>
  <c r="K15" i="19"/>
  <c r="S6" i="19"/>
  <c r="M6" i="19"/>
  <c r="Q6" i="19"/>
  <c r="DG6" i="19"/>
  <c r="T6" i="19" s="1"/>
  <c r="K6" i="19"/>
  <c r="S18" i="19"/>
  <c r="I19" i="19"/>
  <c r="H19" i="19" s="1"/>
  <c r="RF19" i="19"/>
  <c r="RI18" i="19"/>
  <c r="M19" i="19"/>
  <c r="DG19" i="19"/>
  <c r="T19" i="19" s="1"/>
  <c r="Q19" i="19"/>
  <c r="I18" i="19"/>
  <c r="H18" i="19" s="1"/>
  <c r="M18" i="19"/>
  <c r="DG18" i="19"/>
  <c r="T18" i="19" s="1"/>
  <c r="Q18" i="19"/>
  <c r="K18" i="19"/>
  <c r="M9" i="8"/>
  <c r="O9" i="8"/>
  <c r="PX9" i="8"/>
  <c r="H9" i="8"/>
  <c r="P9" i="8"/>
  <c r="Q9" i="8" s="1"/>
  <c r="K9" i="8"/>
  <c r="H10" i="8"/>
  <c r="CW10" i="8"/>
  <c r="P10" i="8" s="1"/>
  <c r="M10" i="8"/>
  <c r="K10" i="8"/>
  <c r="T15" i="19" l="1"/>
  <c r="U15" i="19" s="1"/>
  <c r="U6" i="19"/>
  <c r="V6" i="19"/>
  <c r="E6" i="19"/>
  <c r="U19" i="19"/>
  <c r="V19" i="19"/>
  <c r="E19" i="19"/>
  <c r="E18" i="19"/>
  <c r="U18" i="19"/>
  <c r="V18" i="19"/>
  <c r="R9" i="8"/>
  <c r="E9" i="8"/>
  <c r="Q10" i="8"/>
  <c r="R10" i="8"/>
  <c r="E10" i="8"/>
  <c r="A10" i="8" s="1"/>
  <c r="E15" i="19" l="1"/>
  <c r="V15" i="19"/>
  <c r="CP6" i="18"/>
  <c r="CQ6" i="18"/>
  <c r="CR6" i="18"/>
  <c r="CS6" i="18"/>
  <c r="CT6" i="18"/>
  <c r="DR6" i="18"/>
  <c r="DS6" i="18"/>
  <c r="DT6" i="18"/>
  <c r="DU6" i="18"/>
  <c r="DV6" i="18"/>
  <c r="ER6" i="18"/>
  <c r="ES6" i="18"/>
  <c r="ET6" i="18"/>
  <c r="EU6" i="18"/>
  <c r="EV6" i="18"/>
  <c r="FR6" i="18"/>
  <c r="FS6" i="18"/>
  <c r="FT6" i="18"/>
  <c r="FU6" i="18"/>
  <c r="FV6" i="18"/>
  <c r="GR6" i="18"/>
  <c r="GS6" i="18"/>
  <c r="GT6" i="18"/>
  <c r="GU6" i="18"/>
  <c r="GV6" i="18"/>
  <c r="HR6" i="18"/>
  <c r="HS6" i="18"/>
  <c r="HT6" i="18"/>
  <c r="HU6" i="18"/>
  <c r="HV6" i="18"/>
  <c r="IR6" i="18"/>
  <c r="IS6" i="18"/>
  <c r="IT6" i="18"/>
  <c r="IU6" i="18"/>
  <c r="IV6" i="18"/>
  <c r="JR6" i="18"/>
  <c r="JS6" i="18"/>
  <c r="JT6" i="18"/>
  <c r="JU6" i="18"/>
  <c r="JV6" i="18"/>
  <c r="KR6" i="18"/>
  <c r="KS6" i="18"/>
  <c r="KT6" i="18"/>
  <c r="KU6" i="18"/>
  <c r="KV6" i="18"/>
  <c r="LR6" i="18"/>
  <c r="LS6" i="18"/>
  <c r="LT6" i="18"/>
  <c r="LU6" i="18"/>
  <c r="LV6" i="18"/>
  <c r="MR6" i="18"/>
  <c r="MS6" i="18"/>
  <c r="MT6" i="18"/>
  <c r="MU6" i="18"/>
  <c r="MV6" i="18"/>
  <c r="NR6" i="18"/>
  <c r="NS6" i="18"/>
  <c r="NT6" i="18"/>
  <c r="NU6" i="18"/>
  <c r="NV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CP8" i="18"/>
  <c r="CQ8" i="18"/>
  <c r="CR8" i="18"/>
  <c r="CS8" i="18"/>
  <c r="CT8" i="18"/>
  <c r="DR8" i="18"/>
  <c r="DS8" i="18"/>
  <c r="DT8" i="18"/>
  <c r="DU8" i="18"/>
  <c r="DV8" i="18"/>
  <c r="ER8" i="18"/>
  <c r="ES8" i="18"/>
  <c r="ET8" i="18"/>
  <c r="EU8" i="18"/>
  <c r="EV8" i="18"/>
  <c r="FR8" i="18"/>
  <c r="FS8" i="18"/>
  <c r="FT8" i="18"/>
  <c r="FU8" i="18"/>
  <c r="FV8" i="18"/>
  <c r="GR8" i="18"/>
  <c r="GS8" i="18"/>
  <c r="GT8" i="18"/>
  <c r="GU8" i="18"/>
  <c r="GV8" i="18"/>
  <c r="HR8" i="18"/>
  <c r="HS8" i="18"/>
  <c r="HT8" i="18"/>
  <c r="HU8" i="18"/>
  <c r="HV8" i="18"/>
  <c r="IR8" i="18"/>
  <c r="IS8" i="18"/>
  <c r="IT8" i="18"/>
  <c r="IU8" i="18"/>
  <c r="IV8" i="18"/>
  <c r="JR8" i="18"/>
  <c r="JS8" i="18"/>
  <c r="JT8" i="18"/>
  <c r="JU8" i="18"/>
  <c r="JV8" i="18"/>
  <c r="KR8" i="18"/>
  <c r="KS8" i="18"/>
  <c r="KT8" i="18"/>
  <c r="KU8" i="18"/>
  <c r="KV8" i="18"/>
  <c r="LR8" i="18"/>
  <c r="LS8" i="18"/>
  <c r="LT8" i="18"/>
  <c r="LU8" i="18"/>
  <c r="LV8" i="18"/>
  <c r="MR8" i="18"/>
  <c r="MS8" i="18"/>
  <c r="MT8" i="18"/>
  <c r="MU8" i="18"/>
  <c r="MV8" i="18"/>
  <c r="NR8" i="18"/>
  <c r="NS8" i="18"/>
  <c r="NT8" i="18"/>
  <c r="NU8" i="18"/>
  <c r="NV8" i="18"/>
  <c r="OR8" i="18"/>
  <c r="OS8" i="18"/>
  <c r="OT8" i="18"/>
  <c r="OU8" i="18"/>
  <c r="OV8" i="18"/>
  <c r="OX8" i="18"/>
  <c r="OY8" i="18"/>
  <c r="OZ8" i="18"/>
  <c r="PA8" i="18"/>
  <c r="PB8" i="18"/>
  <c r="PC8" i="18"/>
  <c r="PD8" i="18"/>
  <c r="PE8" i="18"/>
  <c r="PF8" i="18"/>
  <c r="PG8" i="18"/>
  <c r="PH8" i="18"/>
  <c r="PI8" i="18"/>
  <c r="PJ8" i="18"/>
  <c r="PK8" i="18"/>
  <c r="PL8" i="18"/>
  <c r="PM8" i="18"/>
  <c r="PN8" i="18"/>
  <c r="PO8" i="18"/>
  <c r="PP8" i="18"/>
  <c r="PQ8" i="18"/>
  <c r="CG8" i="24"/>
  <c r="CH8" i="24"/>
  <c r="CI8" i="24"/>
  <c r="CJ8" i="24"/>
  <c r="CK8" i="24"/>
  <c r="CL8" i="24"/>
  <c r="CN8" i="24"/>
  <c r="CO8" i="24"/>
  <c r="CP8" i="24"/>
  <c r="DN8" i="24"/>
  <c r="DO8" i="24"/>
  <c r="DP8" i="24"/>
  <c r="DQ8" i="24"/>
  <c r="DR8" i="24"/>
  <c r="DS8" i="24"/>
  <c r="DU8" i="24"/>
  <c r="DV8" i="24"/>
  <c r="DW8" i="24"/>
  <c r="DX8" i="24"/>
  <c r="DY8" i="24"/>
  <c r="DZ8" i="24"/>
  <c r="EV8" i="24"/>
  <c r="EW8" i="24"/>
  <c r="EX8" i="24"/>
  <c r="EY8" i="24"/>
  <c r="EZ8" i="24"/>
  <c r="FA8" i="24"/>
  <c r="FC8" i="24"/>
  <c r="FD8" i="24"/>
  <c r="FE8" i="24"/>
  <c r="FF8" i="24"/>
  <c r="FG8" i="24"/>
  <c r="FH8" i="24"/>
  <c r="GD8" i="24"/>
  <c r="GE8" i="24"/>
  <c r="GF8" i="24"/>
  <c r="GG8" i="24"/>
  <c r="GH8" i="24"/>
  <c r="GI8" i="24"/>
  <c r="GK8" i="24"/>
  <c r="GL8" i="24"/>
  <c r="GM8" i="24"/>
  <c r="GN8" i="24"/>
  <c r="GO8" i="24"/>
  <c r="GP8" i="24"/>
  <c r="HL8" i="24"/>
  <c r="HM8" i="24"/>
  <c r="HN8" i="24"/>
  <c r="HO8" i="24"/>
  <c r="HP8" i="24"/>
  <c r="HQ8" i="24"/>
  <c r="HS8" i="24"/>
  <c r="HT8" i="24"/>
  <c r="HU8" i="24"/>
  <c r="HV8" i="24"/>
  <c r="HW8" i="24"/>
  <c r="HX8" i="24"/>
  <c r="IT8" i="24"/>
  <c r="IU8" i="24"/>
  <c r="IV8" i="24"/>
  <c r="IW8" i="24"/>
  <c r="IX8" i="24"/>
  <c r="IY8" i="24"/>
  <c r="JA8" i="24"/>
  <c r="JB8" i="24"/>
  <c r="JC8" i="24"/>
  <c r="JD8" i="24"/>
  <c r="JE8" i="24"/>
  <c r="JF8" i="24"/>
  <c r="KB8" i="24"/>
  <c r="KC8" i="24"/>
  <c r="KD8" i="24"/>
  <c r="KE8" i="24"/>
  <c r="KF8" i="24"/>
  <c r="KG8" i="24"/>
  <c r="KI8" i="24"/>
  <c r="KJ8" i="24"/>
  <c r="KK8" i="24"/>
  <c r="KL8" i="24"/>
  <c r="KM8" i="24"/>
  <c r="KN8" i="24"/>
  <c r="LJ8" i="24"/>
  <c r="LK8" i="24"/>
  <c r="LL8" i="24"/>
  <c r="LM8" i="24"/>
  <c r="LN8" i="24"/>
  <c r="LO8" i="24"/>
  <c r="LQ8" i="24"/>
  <c r="LR8" i="24"/>
  <c r="LS8" i="24"/>
  <c r="LT8" i="24"/>
  <c r="LU8" i="24"/>
  <c r="LV8" i="24"/>
  <c r="MR8" i="24"/>
  <c r="MS8" i="24"/>
  <c r="MT8" i="24"/>
  <c r="MU8" i="24"/>
  <c r="MV8" i="24"/>
  <c r="MW8" i="24"/>
  <c r="MY8" i="24"/>
  <c r="MZ8" i="24"/>
  <c r="NA8" i="24"/>
  <c r="NB8" i="24"/>
  <c r="NC8" i="24"/>
  <c r="ND8" i="24"/>
  <c r="NZ8" i="24"/>
  <c r="OA8" i="24"/>
  <c r="OB8" i="24"/>
  <c r="OC8" i="24"/>
  <c r="OD8" i="24"/>
  <c r="OE8" i="24"/>
  <c r="OG8" i="24"/>
  <c r="OH8" i="24"/>
  <c r="OI8" i="24"/>
  <c r="OJ8" i="24"/>
  <c r="OK8" i="24"/>
  <c r="OL8" i="24"/>
  <c r="PH8" i="24"/>
  <c r="PI8" i="24"/>
  <c r="PJ8" i="24"/>
  <c r="PK8" i="24"/>
  <c r="PL8" i="24"/>
  <c r="PM8" i="24"/>
  <c r="PO8" i="24"/>
  <c r="PP8" i="24"/>
  <c r="PQ8" i="24"/>
  <c r="PR8" i="24"/>
  <c r="PS8" i="24"/>
  <c r="PT8" i="24"/>
  <c r="QP8" i="24"/>
  <c r="QQ8" i="24"/>
  <c r="QR8" i="24"/>
  <c r="QS8" i="24"/>
  <c r="QT8" i="24"/>
  <c r="QU8" i="24"/>
  <c r="QW8" i="24"/>
  <c r="QX8" i="24"/>
  <c r="QY8" i="24"/>
  <c r="QZ8" i="24"/>
  <c r="RA8" i="24"/>
  <c r="RB8" i="24"/>
  <c r="RX8" i="24"/>
  <c r="RY8" i="24"/>
  <c r="RZ8" i="24"/>
  <c r="SA8" i="24"/>
  <c r="SB8" i="24"/>
  <c r="SC8" i="24"/>
  <c r="SE8" i="24"/>
  <c r="SF8" i="24"/>
  <c r="SG8" i="24"/>
  <c r="SH8" i="24"/>
  <c r="SI8" i="24"/>
  <c r="SJ8" i="24"/>
  <c r="SL8" i="24"/>
  <c r="SM8" i="24"/>
  <c r="SN8" i="24"/>
  <c r="TB8" i="24" s="1"/>
  <c r="SO8" i="24"/>
  <c r="TC8" i="24" s="1"/>
  <c r="SP8" i="24"/>
  <c r="SQ8" i="24"/>
  <c r="SR8" i="24"/>
  <c r="SS8" i="24"/>
  <c r="TE8" i="24" s="1"/>
  <c r="ST8" i="24"/>
  <c r="TF8" i="24" s="1"/>
  <c r="SU8" i="24"/>
  <c r="SV8" i="24"/>
  <c r="SW8" i="24"/>
  <c r="SX8" i="24"/>
  <c r="TI8" i="24" s="1"/>
  <c r="SY8" i="24"/>
  <c r="TJ8" i="24" s="1"/>
  <c r="SZ8" i="24"/>
  <c r="CG6" i="24"/>
  <c r="CH6" i="24"/>
  <c r="CI6" i="24"/>
  <c r="CJ6" i="24"/>
  <c r="CK6" i="24"/>
  <c r="CL6" i="24"/>
  <c r="CN6" i="24"/>
  <c r="CO6" i="24"/>
  <c r="CP6" i="24"/>
  <c r="DN6" i="24"/>
  <c r="DO6" i="24"/>
  <c r="DP6" i="24"/>
  <c r="DQ6" i="24"/>
  <c r="DR6" i="24"/>
  <c r="DS6" i="24"/>
  <c r="DU6" i="24"/>
  <c r="DV6" i="24"/>
  <c r="DW6" i="24"/>
  <c r="DX6" i="24"/>
  <c r="DY6" i="24"/>
  <c r="DZ6" i="24"/>
  <c r="EV6" i="24"/>
  <c r="EW6" i="24"/>
  <c r="EX6" i="24"/>
  <c r="EY6" i="24"/>
  <c r="EZ6" i="24"/>
  <c r="FA6" i="24"/>
  <c r="FC6" i="24"/>
  <c r="FD6" i="24"/>
  <c r="FE6" i="24"/>
  <c r="FF6" i="24"/>
  <c r="FG6" i="24"/>
  <c r="FH6" i="24"/>
  <c r="GD6" i="24"/>
  <c r="GE6" i="24"/>
  <c r="GF6" i="24"/>
  <c r="GG6" i="24"/>
  <c r="GH6" i="24"/>
  <c r="GI6" i="24"/>
  <c r="GK6" i="24"/>
  <c r="GL6" i="24"/>
  <c r="GM6" i="24"/>
  <c r="GN6" i="24"/>
  <c r="GO6" i="24"/>
  <c r="GP6" i="24"/>
  <c r="HL6" i="24"/>
  <c r="HM6" i="24"/>
  <c r="HN6" i="24"/>
  <c r="HO6" i="24"/>
  <c r="HP6" i="24"/>
  <c r="HQ6" i="24"/>
  <c r="HS6" i="24"/>
  <c r="HT6" i="24"/>
  <c r="HU6" i="24"/>
  <c r="HV6" i="24"/>
  <c r="HW6" i="24"/>
  <c r="HX6" i="24"/>
  <c r="IT6" i="24"/>
  <c r="IU6" i="24"/>
  <c r="IV6" i="24"/>
  <c r="IW6" i="24"/>
  <c r="IX6" i="24"/>
  <c r="IY6" i="24"/>
  <c r="JA6" i="24"/>
  <c r="JB6" i="24"/>
  <c r="JC6" i="24"/>
  <c r="JD6" i="24"/>
  <c r="JE6" i="24"/>
  <c r="JF6" i="24"/>
  <c r="KB6" i="24"/>
  <c r="KC6" i="24"/>
  <c r="KD6" i="24"/>
  <c r="KE6" i="24"/>
  <c r="KF6" i="24"/>
  <c r="KG6" i="24"/>
  <c r="KI6" i="24"/>
  <c r="KJ6" i="24"/>
  <c r="KK6" i="24"/>
  <c r="KL6" i="24"/>
  <c r="KM6" i="24"/>
  <c r="KN6" i="24"/>
  <c r="LJ6" i="24"/>
  <c r="LK6" i="24"/>
  <c r="LL6" i="24"/>
  <c r="LM6" i="24"/>
  <c r="LN6" i="24"/>
  <c r="LO6" i="24"/>
  <c r="LQ6" i="24"/>
  <c r="LR6" i="24"/>
  <c r="LS6" i="24"/>
  <c r="LT6" i="24"/>
  <c r="LU6" i="24"/>
  <c r="LV6" i="24"/>
  <c r="MR6" i="24"/>
  <c r="MS6" i="24"/>
  <c r="MT6" i="24"/>
  <c r="MU6" i="24"/>
  <c r="MV6" i="24"/>
  <c r="MW6" i="24"/>
  <c r="MY6" i="24"/>
  <c r="MZ6" i="24"/>
  <c r="NA6" i="24"/>
  <c r="NB6" i="24"/>
  <c r="NC6" i="24"/>
  <c r="ND6" i="24"/>
  <c r="NZ6" i="24"/>
  <c r="OA6" i="24"/>
  <c r="OB6" i="24"/>
  <c r="OC6" i="24"/>
  <c r="OD6" i="24"/>
  <c r="OE6" i="24"/>
  <c r="OG6" i="24"/>
  <c r="OH6" i="24"/>
  <c r="OI6" i="24"/>
  <c r="OJ6" i="24"/>
  <c r="OK6" i="24"/>
  <c r="OL6" i="24"/>
  <c r="PH6" i="24"/>
  <c r="PI6" i="24"/>
  <c r="PJ6" i="24"/>
  <c r="PK6" i="24"/>
  <c r="PL6" i="24"/>
  <c r="PM6" i="24"/>
  <c r="PO6" i="24"/>
  <c r="PP6" i="24"/>
  <c r="PQ6" i="24"/>
  <c r="PR6" i="24"/>
  <c r="PS6" i="24"/>
  <c r="PT6" i="24"/>
  <c r="QP6" i="24"/>
  <c r="QQ6" i="24"/>
  <c r="QR6" i="24"/>
  <c r="QS6" i="24"/>
  <c r="QT6" i="24"/>
  <c r="QU6" i="24"/>
  <c r="QW6" i="24"/>
  <c r="QX6" i="24"/>
  <c r="QY6" i="24"/>
  <c r="QZ6" i="24"/>
  <c r="RA6" i="24"/>
  <c r="RB6" i="24"/>
  <c r="RX6" i="24"/>
  <c r="RY6" i="24"/>
  <c r="RZ6" i="24"/>
  <c r="SA6" i="24"/>
  <c r="SB6" i="24"/>
  <c r="SC6" i="24"/>
  <c r="SE6" i="24"/>
  <c r="SF6" i="24"/>
  <c r="SG6" i="24"/>
  <c r="SH6" i="24"/>
  <c r="SI6" i="24"/>
  <c r="SJ6" i="24"/>
  <c r="SL6" i="24"/>
  <c r="SM6" i="24"/>
  <c r="SN6" i="24"/>
  <c r="TB6" i="24" s="1"/>
  <c r="SO6" i="24"/>
  <c r="TC6" i="24" s="1"/>
  <c r="SP6" i="24"/>
  <c r="SQ6" i="24"/>
  <c r="SR6" i="24"/>
  <c r="SS6" i="24"/>
  <c r="TE6" i="24" s="1"/>
  <c r="ST6" i="24"/>
  <c r="TF6" i="24" s="1"/>
  <c r="SU6" i="24"/>
  <c r="SV6" i="24"/>
  <c r="SW6" i="24"/>
  <c r="SX6" i="24"/>
  <c r="TI6" i="24" s="1"/>
  <c r="SY6" i="24"/>
  <c r="TJ6" i="24" s="1"/>
  <c r="SZ6" i="24"/>
  <c r="CG8" i="23"/>
  <c r="CH8" i="23"/>
  <c r="CI8" i="23"/>
  <c r="CJ8" i="23"/>
  <c r="CK8" i="23"/>
  <c r="CL8" i="23"/>
  <c r="CN8" i="23"/>
  <c r="CO8" i="23"/>
  <c r="CP8" i="23"/>
  <c r="DN8" i="23"/>
  <c r="DO8" i="23"/>
  <c r="DP8" i="23"/>
  <c r="DQ8" i="23"/>
  <c r="DR8" i="23"/>
  <c r="DS8" i="23"/>
  <c r="DU8" i="23"/>
  <c r="DV8" i="23"/>
  <c r="DW8" i="23"/>
  <c r="DX8" i="23"/>
  <c r="DY8" i="23"/>
  <c r="DZ8" i="23"/>
  <c r="EV8" i="23"/>
  <c r="EW8" i="23"/>
  <c r="EX8" i="23"/>
  <c r="EY8" i="23"/>
  <c r="EZ8" i="23"/>
  <c r="FA8" i="23"/>
  <c r="FC8" i="23"/>
  <c r="FD8" i="23"/>
  <c r="FE8" i="23"/>
  <c r="FF8" i="23"/>
  <c r="FG8" i="23"/>
  <c r="FH8" i="23"/>
  <c r="GD8" i="23"/>
  <c r="GE8" i="23"/>
  <c r="GF8" i="23"/>
  <c r="GG8" i="23"/>
  <c r="GH8" i="23"/>
  <c r="GI8" i="23"/>
  <c r="GK8" i="23"/>
  <c r="GL8" i="23"/>
  <c r="GM8" i="23"/>
  <c r="GN8" i="23"/>
  <c r="GO8" i="23"/>
  <c r="GP8" i="23"/>
  <c r="HL8" i="23"/>
  <c r="HM8" i="23"/>
  <c r="HN8" i="23"/>
  <c r="HO8" i="23"/>
  <c r="HP8" i="23"/>
  <c r="HQ8" i="23"/>
  <c r="HS8" i="23"/>
  <c r="HT8" i="23"/>
  <c r="HU8" i="23"/>
  <c r="HV8" i="23"/>
  <c r="HW8" i="23"/>
  <c r="HX8" i="23"/>
  <c r="IT8" i="23"/>
  <c r="IU8" i="23"/>
  <c r="IV8" i="23"/>
  <c r="IW8" i="23"/>
  <c r="IX8" i="23"/>
  <c r="IY8" i="23"/>
  <c r="JA8" i="23"/>
  <c r="JB8" i="23"/>
  <c r="JC8" i="23"/>
  <c r="JD8" i="23"/>
  <c r="JE8" i="23"/>
  <c r="JF8" i="23"/>
  <c r="KB8" i="23"/>
  <c r="KC8" i="23"/>
  <c r="KD8" i="23"/>
  <c r="KE8" i="23"/>
  <c r="KF8" i="23"/>
  <c r="KG8" i="23"/>
  <c r="KI8" i="23"/>
  <c r="KJ8" i="23"/>
  <c r="KK8" i="23"/>
  <c r="KL8" i="23"/>
  <c r="KM8" i="23"/>
  <c r="KN8" i="23"/>
  <c r="LJ8" i="23"/>
  <c r="LK8" i="23"/>
  <c r="LL8" i="23"/>
  <c r="LM8" i="23"/>
  <c r="LN8" i="23"/>
  <c r="LO8" i="23"/>
  <c r="LQ8" i="23"/>
  <c r="LR8" i="23"/>
  <c r="LS8" i="23"/>
  <c r="LT8" i="23"/>
  <c r="LU8" i="23"/>
  <c r="LV8" i="23"/>
  <c r="MR8" i="23"/>
  <c r="MS8" i="23"/>
  <c r="MT8" i="23"/>
  <c r="MU8" i="23"/>
  <c r="MV8" i="23"/>
  <c r="MW8" i="23"/>
  <c r="MY8" i="23"/>
  <c r="MZ8" i="23"/>
  <c r="NA8" i="23"/>
  <c r="NB8" i="23"/>
  <c r="NC8" i="23"/>
  <c r="ND8" i="23"/>
  <c r="NZ8" i="23"/>
  <c r="OA8" i="23"/>
  <c r="OB8" i="23"/>
  <c r="OC8" i="23"/>
  <c r="OD8" i="23"/>
  <c r="OE8" i="23"/>
  <c r="OG8" i="23"/>
  <c r="OH8" i="23"/>
  <c r="OI8" i="23"/>
  <c r="OJ8" i="23"/>
  <c r="OK8" i="23"/>
  <c r="OL8" i="23"/>
  <c r="PH8" i="23"/>
  <c r="PI8" i="23"/>
  <c r="PJ8" i="23"/>
  <c r="PK8" i="23"/>
  <c r="PL8" i="23"/>
  <c r="PM8" i="23"/>
  <c r="PO8" i="23"/>
  <c r="PP8" i="23"/>
  <c r="PQ8" i="23"/>
  <c r="PR8" i="23"/>
  <c r="PS8" i="23"/>
  <c r="PT8" i="23"/>
  <c r="QP8" i="23"/>
  <c r="QQ8" i="23"/>
  <c r="QR8" i="23"/>
  <c r="QS8" i="23"/>
  <c r="QT8" i="23"/>
  <c r="QU8" i="23"/>
  <c r="QW8" i="23"/>
  <c r="QX8" i="23"/>
  <c r="QY8" i="23"/>
  <c r="QZ8" i="23"/>
  <c r="RA8" i="23"/>
  <c r="RB8" i="23"/>
  <c r="RX8" i="23"/>
  <c r="RY8" i="23"/>
  <c r="RZ8" i="23"/>
  <c r="SA8" i="23"/>
  <c r="SB8" i="23"/>
  <c r="SC8" i="23"/>
  <c r="SE8" i="23"/>
  <c r="SF8" i="23"/>
  <c r="SG8" i="23"/>
  <c r="SH8" i="23"/>
  <c r="SI8" i="23"/>
  <c r="SJ8" i="23"/>
  <c r="SL8" i="23"/>
  <c r="SM8" i="23"/>
  <c r="SN8" i="23"/>
  <c r="TB8" i="23" s="1"/>
  <c r="SO8" i="23"/>
  <c r="TC8" i="23" s="1"/>
  <c r="SP8" i="23"/>
  <c r="SQ8" i="23"/>
  <c r="SR8" i="23"/>
  <c r="SS8" i="23"/>
  <c r="TE8" i="23" s="1"/>
  <c r="ST8" i="23"/>
  <c r="TF8" i="23" s="1"/>
  <c r="SU8" i="23"/>
  <c r="SV8" i="23"/>
  <c r="SW8" i="23"/>
  <c r="SX8" i="23"/>
  <c r="TI8" i="23" s="1"/>
  <c r="SY8" i="23"/>
  <c r="TJ8" i="23" s="1"/>
  <c r="SZ8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IW8" i="18" l="1"/>
  <c r="FL14" i="4"/>
  <c r="FS14" i="4" s="1"/>
  <c r="SD8" i="24"/>
  <c r="SK8" i="24" s="1"/>
  <c r="PV8" i="18"/>
  <c r="KW6" i="18"/>
  <c r="OP21" i="4"/>
  <c r="OW21" i="4" s="1"/>
  <c r="HR8" i="24"/>
  <c r="HY8" i="24" s="1"/>
  <c r="JJ14" i="4"/>
  <c r="JQ14" i="4" s="1"/>
  <c r="GT14" i="4"/>
  <c r="HA14" i="4" s="1"/>
  <c r="JJ21" i="4"/>
  <c r="JQ21" i="4" s="1"/>
  <c r="GT21" i="4"/>
  <c r="HA21" i="4" s="1"/>
  <c r="ED21" i="4"/>
  <c r="EK21" i="4" s="1"/>
  <c r="FW6" i="18"/>
  <c r="PS6" i="18"/>
  <c r="IW6" i="18"/>
  <c r="CM8" i="23"/>
  <c r="CQ8" i="23" s="1"/>
  <c r="CW10" i="22"/>
  <c r="DA10" i="22" s="1"/>
  <c r="KR14" i="4"/>
  <c r="KY14" i="4" s="1"/>
  <c r="KR21" i="4"/>
  <c r="KY21" i="4" s="1"/>
  <c r="JW6" i="18"/>
  <c r="MX8" i="24"/>
  <c r="NE8" i="24" s="1"/>
  <c r="HR6" i="24"/>
  <c r="HY6" i="24" s="1"/>
  <c r="OP14" i="4"/>
  <c r="OW14" i="4" s="1"/>
  <c r="SN21" i="4"/>
  <c r="SU21" i="4" s="1"/>
  <c r="PS8" i="18"/>
  <c r="NW6" i="18"/>
  <c r="NW8" i="18"/>
  <c r="MW6" i="18"/>
  <c r="OW8" i="18"/>
  <c r="GW8" i="18"/>
  <c r="OW6" i="18"/>
  <c r="JW8" i="18"/>
  <c r="GW6" i="18"/>
  <c r="SD6" i="24"/>
  <c r="SK6" i="24" s="1"/>
  <c r="MX6" i="24"/>
  <c r="NE6" i="24" s="1"/>
  <c r="QV6" i="24"/>
  <c r="RC6" i="24" s="1"/>
  <c r="GJ6" i="24"/>
  <c r="GQ6" i="24" s="1"/>
  <c r="DT6" i="24"/>
  <c r="EA6" i="24" s="1"/>
  <c r="QV8" i="24"/>
  <c r="RC8" i="24" s="1"/>
  <c r="LP8" i="24"/>
  <c r="LW8" i="24" s="1"/>
  <c r="GJ8" i="24"/>
  <c r="GQ8" i="24" s="1"/>
  <c r="DT8" i="24"/>
  <c r="EA8" i="24" s="1"/>
  <c r="QV8" i="23"/>
  <c r="RC8" i="23" s="1"/>
  <c r="LP8" i="23"/>
  <c r="LW8" i="23" s="1"/>
  <c r="GJ8" i="23"/>
  <c r="GQ8" i="23" s="1"/>
  <c r="DT8" i="23"/>
  <c r="EA8" i="23" s="1"/>
  <c r="OF8" i="23"/>
  <c r="OM8" i="23" s="1"/>
  <c r="SD8" i="23"/>
  <c r="SK8" i="23" s="1"/>
  <c r="MX8" i="23"/>
  <c r="NE8" i="23" s="1"/>
  <c r="HR8" i="23"/>
  <c r="HY8" i="23" s="1"/>
  <c r="IZ8" i="23"/>
  <c r="JG8" i="23" s="1"/>
  <c r="CW12" i="22"/>
  <c r="DA12" i="22" s="1"/>
  <c r="FL21" i="4"/>
  <c r="FS21" i="4" s="1"/>
  <c r="PX21" i="4"/>
  <c r="QE21" i="4" s="1"/>
  <c r="ED14" i="4"/>
  <c r="EK14" i="4" s="1"/>
  <c r="LW6" i="18"/>
  <c r="HW6" i="18"/>
  <c r="EW6" i="18"/>
  <c r="DW6" i="18"/>
  <c r="CU6" i="18"/>
  <c r="N6" i="18"/>
  <c r="CW6" i="18" s="1"/>
  <c r="PW6" i="18"/>
  <c r="PU6" i="18"/>
  <c r="PT6" i="18"/>
  <c r="L6" i="18"/>
  <c r="CV6" i="18" s="1"/>
  <c r="PV6" i="18"/>
  <c r="F6" i="18"/>
  <c r="J6" i="18"/>
  <c r="I6" i="18"/>
  <c r="G6" i="18"/>
  <c r="KW8" i="18"/>
  <c r="FW8" i="18"/>
  <c r="MW8" i="18"/>
  <c r="LW8" i="18"/>
  <c r="HW8" i="18"/>
  <c r="EW8" i="18"/>
  <c r="DW8" i="18"/>
  <c r="N8" i="18"/>
  <c r="O8" i="18" s="1"/>
  <c r="CU8" i="18"/>
  <c r="PW8" i="18"/>
  <c r="L8" i="18"/>
  <c r="M8" i="18" s="1"/>
  <c r="PU8" i="18"/>
  <c r="PT8" i="18"/>
  <c r="F8" i="18"/>
  <c r="J8" i="18"/>
  <c r="I8" i="18"/>
  <c r="G8" i="18"/>
  <c r="CM8" i="24"/>
  <c r="CQ8" i="24" s="1"/>
  <c r="CM6" i="24"/>
  <c r="CQ6" i="24" s="1"/>
  <c r="PN8" i="24"/>
  <c r="PU8" i="24" s="1"/>
  <c r="OF8" i="24"/>
  <c r="OM8" i="24" s="1"/>
  <c r="KH8" i="24"/>
  <c r="KO8" i="24" s="1"/>
  <c r="IZ8" i="24"/>
  <c r="JG8" i="24" s="1"/>
  <c r="FB8" i="24"/>
  <c r="FI8" i="24" s="1"/>
  <c r="TK8" i="24"/>
  <c r="TG8" i="24"/>
  <c r="TD8" i="24"/>
  <c r="F8" i="24"/>
  <c r="J8" i="24"/>
  <c r="I8" i="24"/>
  <c r="G8" i="24"/>
  <c r="OF6" i="24"/>
  <c r="OM6" i="24" s="1"/>
  <c r="LP6" i="24"/>
  <c r="LW6" i="24" s="1"/>
  <c r="IZ6" i="24"/>
  <c r="JG6" i="24" s="1"/>
  <c r="PN6" i="24"/>
  <c r="TG6" i="24"/>
  <c r="TD6" i="24"/>
  <c r="PU6" i="24"/>
  <c r="KH6" i="24"/>
  <c r="KO6" i="24" s="1"/>
  <c r="FB6" i="24"/>
  <c r="FI6" i="24" s="1"/>
  <c r="TK6" i="24"/>
  <c r="F6" i="24"/>
  <c r="J6" i="24"/>
  <c r="I6" i="24"/>
  <c r="G6" i="24"/>
  <c r="PN8" i="23"/>
  <c r="PU8" i="23" s="1"/>
  <c r="KH8" i="23"/>
  <c r="KO8" i="23" s="1"/>
  <c r="FB8" i="23"/>
  <c r="FI8" i="23" s="1"/>
  <c r="TK8" i="23"/>
  <c r="TG8" i="23"/>
  <c r="TD8" i="23"/>
  <c r="F8" i="23"/>
  <c r="J8" i="23"/>
  <c r="I8" i="23"/>
  <c r="G8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T10" i="22"/>
  <c r="U10" i="22" s="1"/>
  <c r="I10" i="22"/>
  <c r="P10" i="22"/>
  <c r="N10" i="22"/>
  <c r="F10" i="22"/>
  <c r="CW14" i="22"/>
  <c r="DA14" i="22" s="1"/>
  <c r="J12" i="22"/>
  <c r="K12" i="22" s="1"/>
  <c r="TQ12" i="22"/>
  <c r="TN12" i="22"/>
  <c r="SN12" i="22"/>
  <c r="SU12" i="22" s="1"/>
  <c r="R12" i="22"/>
  <c r="S12" i="22" s="1"/>
  <c r="TU12" i="22"/>
  <c r="L12" i="22"/>
  <c r="M12" i="22" s="1"/>
  <c r="G12" i="22"/>
  <c r="T12" i="22"/>
  <c r="U12" i="22" s="1"/>
  <c r="I12" i="22"/>
  <c r="P12" i="22"/>
  <c r="N12" i="22"/>
  <c r="F12" i="22"/>
  <c r="TN14" i="22"/>
  <c r="J14" i="22"/>
  <c r="K14" i="22" s="1"/>
  <c r="SN14" i="22"/>
  <c r="SU14" i="22" s="1"/>
  <c r="TQ14" i="22"/>
  <c r="TU14" i="22"/>
  <c r="R14" i="22"/>
  <c r="S14" i="22" s="1"/>
  <c r="L14" i="22"/>
  <c r="M14" i="22" s="1"/>
  <c r="G14" i="22"/>
  <c r="T14" i="22"/>
  <c r="U14" i="22" s="1"/>
  <c r="I14" i="22"/>
  <c r="P14" i="22"/>
  <c r="N14" i="22"/>
  <c r="F14" i="22"/>
  <c r="CW21" i="4"/>
  <c r="DA21" i="4" s="1"/>
  <c r="TQ21" i="4"/>
  <c r="J21" i="4"/>
  <c r="K21" i="4" s="1"/>
  <c r="TN21" i="4"/>
  <c r="CW14" i="4"/>
  <c r="DA14" i="4" s="1"/>
  <c r="RF21" i="4"/>
  <c r="RM21" i="4" s="1"/>
  <c r="NH21" i="4"/>
  <c r="NO21" i="4" s="1"/>
  <c r="LZ21" i="4"/>
  <c r="MG21" i="4" s="1"/>
  <c r="IB21" i="4"/>
  <c r="II21" i="4" s="1"/>
  <c r="R21" i="4"/>
  <c r="S21" i="4" s="1"/>
  <c r="TU21" i="4"/>
  <c r="L21" i="4"/>
  <c r="M21" i="4" s="1"/>
  <c r="G21" i="4"/>
  <c r="T21" i="4"/>
  <c r="U21" i="4" s="1"/>
  <c r="I21" i="4"/>
  <c r="P21" i="4"/>
  <c r="N21" i="4"/>
  <c r="F21" i="4"/>
  <c r="PX14" i="4"/>
  <c r="QE14" i="4" s="1"/>
  <c r="SN14" i="4"/>
  <c r="SU14" i="4" s="1"/>
  <c r="RF14" i="4"/>
  <c r="RM14" i="4" s="1"/>
  <c r="NH14" i="4"/>
  <c r="NO14" i="4" s="1"/>
  <c r="LZ14" i="4"/>
  <c r="MG14" i="4" s="1"/>
  <c r="IB14" i="4"/>
  <c r="II14" i="4" s="1"/>
  <c r="TN14" i="4"/>
  <c r="L14" i="4"/>
  <c r="M14" i="4" s="1"/>
  <c r="TU14" i="4"/>
  <c r="TQ14" i="4"/>
  <c r="P14" i="4"/>
  <c r="DC14" i="4" s="1"/>
  <c r="N14" i="4"/>
  <c r="T14" i="4"/>
  <c r="U14" i="4" s="1"/>
  <c r="R14" i="4"/>
  <c r="S14" i="4" s="1"/>
  <c r="J14" i="4"/>
  <c r="K14" i="4" s="1"/>
  <c r="I14" i="4"/>
  <c r="G14" i="4"/>
  <c r="F14" i="4"/>
  <c r="DB14" i="4" l="1"/>
  <c r="PX8" i="18"/>
  <c r="TR10" i="22"/>
  <c r="TV10" i="22" s="1"/>
  <c r="PX6" i="18"/>
  <c r="TR12" i="22"/>
  <c r="TV12" i="22" s="1"/>
  <c r="O6" i="18"/>
  <c r="P6" i="18"/>
  <c r="Q6" i="18" s="1"/>
  <c r="H6" i="18"/>
  <c r="M6" i="18"/>
  <c r="K6" i="18"/>
  <c r="CW8" i="18"/>
  <c r="CV8" i="18"/>
  <c r="H8" i="18"/>
  <c r="K8" i="18"/>
  <c r="A8" i="18"/>
  <c r="TH8" i="24"/>
  <c r="TL8" i="24" s="1"/>
  <c r="TH6" i="24"/>
  <c r="TL6" i="24" s="1"/>
  <c r="H8" i="24"/>
  <c r="K8" i="24"/>
  <c r="CR8" i="24"/>
  <c r="CS8" i="24"/>
  <c r="A8" i="24" a="1"/>
  <c r="A8" i="24" s="1"/>
  <c r="H6" i="24"/>
  <c r="K6" i="24"/>
  <c r="CR6" i="24"/>
  <c r="CS6" i="24"/>
  <c r="TH8" i="23"/>
  <c r="TL8" i="23" s="1"/>
  <c r="H8" i="23"/>
  <c r="K8" i="23"/>
  <c r="CR8" i="23"/>
  <c r="CS8" i="23"/>
  <c r="A8" i="23" a="1"/>
  <c r="A8" i="23" s="1"/>
  <c r="O10" i="22"/>
  <c r="DB10" i="22"/>
  <c r="DC10" i="22"/>
  <c r="Q10" i="22"/>
  <c r="H10" i="22"/>
  <c r="TR14" i="22"/>
  <c r="TV14" i="22" s="1"/>
  <c r="DC12" i="22"/>
  <c r="Q12" i="22"/>
  <c r="H12" i="22"/>
  <c r="O12" i="22"/>
  <c r="DB12" i="22"/>
  <c r="A14" i="22" a="1"/>
  <c r="A14" i="22" s="1"/>
  <c r="O14" i="22"/>
  <c r="DB14" i="22"/>
  <c r="DC14" i="22"/>
  <c r="Q14" i="22"/>
  <c r="H14" i="22"/>
  <c r="TR21" i="4"/>
  <c r="TV21" i="4" s="1"/>
  <c r="A21" i="4" a="1"/>
  <c r="A21" i="4" s="1"/>
  <c r="O21" i="4"/>
  <c r="DB21" i="4"/>
  <c r="DC21" i="4"/>
  <c r="Q21" i="4"/>
  <c r="H21" i="4"/>
  <c r="TR14" i="4"/>
  <c r="TV14" i="4" s="1"/>
  <c r="O14" i="4"/>
  <c r="Q14" i="4"/>
  <c r="V14" i="4"/>
  <c r="H14" i="4"/>
  <c r="P8" i="18" l="1"/>
  <c r="E8" i="18" s="1"/>
  <c r="R6" i="18"/>
  <c r="E6" i="18"/>
  <c r="L8" i="24"/>
  <c r="M8" i="24" s="1"/>
  <c r="L6" i="24"/>
  <c r="L8" i="23"/>
  <c r="M8" i="23" s="1"/>
  <c r="V10" i="22"/>
  <c r="W10" i="22" s="1"/>
  <c r="V12" i="22"/>
  <c r="W12" i="22" s="1"/>
  <c r="V14" i="22"/>
  <c r="W14" i="22" s="1"/>
  <c r="E14" i="4"/>
  <c r="A14" i="4" s="1" a="1"/>
  <c r="A14" i="4" s="1"/>
  <c r="V21" i="4"/>
  <c r="X14" i="4"/>
  <c r="W14" i="4"/>
  <c r="Q8" i="18" l="1"/>
  <c r="R8" i="18"/>
  <c r="E8" i="24"/>
  <c r="N8" i="24"/>
  <c r="M6" i="24"/>
  <c r="N6" i="24"/>
  <c r="E6" i="24"/>
  <c r="E8" i="23"/>
  <c r="N8" i="23"/>
  <c r="X10" i="22"/>
  <c r="E10" i="22"/>
  <c r="E12" i="22"/>
  <c r="X12" i="22"/>
  <c r="X14" i="22"/>
  <c r="E14" i="22"/>
  <c r="W21" i="4"/>
  <c r="X21" i="4"/>
  <c r="E21" i="4"/>
  <c r="CQ8" i="4" l="1"/>
  <c r="CR8" i="4"/>
  <c r="CS8" i="4"/>
  <c r="CT8" i="4"/>
  <c r="CU8" i="4"/>
  <c r="CV8" i="4"/>
  <c r="CX8" i="4"/>
  <c r="CY8" i="4"/>
  <c r="CZ8" i="4"/>
  <c r="DX8" i="4"/>
  <c r="DY8" i="4"/>
  <c r="DZ8" i="4"/>
  <c r="EA8" i="4"/>
  <c r="EB8" i="4"/>
  <c r="EC8" i="4"/>
  <c r="EE8" i="4"/>
  <c r="EF8" i="4"/>
  <c r="EG8" i="4"/>
  <c r="EH8" i="4"/>
  <c r="EI8" i="4"/>
  <c r="EJ8" i="4"/>
  <c r="FF8" i="4"/>
  <c r="FG8" i="4"/>
  <c r="FH8" i="4"/>
  <c r="FI8" i="4"/>
  <c r="FJ8" i="4"/>
  <c r="FK8" i="4"/>
  <c r="FM8" i="4"/>
  <c r="FN8" i="4"/>
  <c r="FO8" i="4"/>
  <c r="FP8" i="4"/>
  <c r="FQ8" i="4"/>
  <c r="FR8" i="4"/>
  <c r="GN8" i="4"/>
  <c r="GO8" i="4"/>
  <c r="GP8" i="4"/>
  <c r="GQ8" i="4"/>
  <c r="GR8" i="4"/>
  <c r="GS8" i="4"/>
  <c r="GU8" i="4"/>
  <c r="GV8" i="4"/>
  <c r="GW8" i="4"/>
  <c r="GX8" i="4"/>
  <c r="GY8" i="4"/>
  <c r="GZ8" i="4"/>
  <c r="HV8" i="4"/>
  <c r="HW8" i="4"/>
  <c r="HX8" i="4"/>
  <c r="HY8" i="4"/>
  <c r="HZ8" i="4"/>
  <c r="IA8" i="4"/>
  <c r="IC8" i="4"/>
  <c r="ID8" i="4"/>
  <c r="IE8" i="4"/>
  <c r="IF8" i="4"/>
  <c r="IG8" i="4"/>
  <c r="IH8" i="4"/>
  <c r="JD8" i="4"/>
  <c r="JE8" i="4"/>
  <c r="JF8" i="4"/>
  <c r="JG8" i="4"/>
  <c r="JH8" i="4"/>
  <c r="JI8" i="4"/>
  <c r="JK8" i="4"/>
  <c r="JL8" i="4"/>
  <c r="JM8" i="4"/>
  <c r="JN8" i="4"/>
  <c r="JO8" i="4"/>
  <c r="JP8" i="4"/>
  <c r="KL8" i="4"/>
  <c r="KM8" i="4"/>
  <c r="KN8" i="4"/>
  <c r="KO8" i="4"/>
  <c r="KP8" i="4"/>
  <c r="KQ8" i="4"/>
  <c r="KS8" i="4"/>
  <c r="KT8" i="4"/>
  <c r="KU8" i="4"/>
  <c r="KV8" i="4"/>
  <c r="KW8" i="4"/>
  <c r="KX8" i="4"/>
  <c r="LT8" i="4"/>
  <c r="LU8" i="4"/>
  <c r="LV8" i="4"/>
  <c r="LW8" i="4"/>
  <c r="LX8" i="4"/>
  <c r="LY8" i="4"/>
  <c r="MA8" i="4"/>
  <c r="MB8" i="4"/>
  <c r="MC8" i="4"/>
  <c r="MD8" i="4"/>
  <c r="ME8" i="4"/>
  <c r="MF8" i="4"/>
  <c r="NB8" i="4"/>
  <c r="NC8" i="4"/>
  <c r="ND8" i="4"/>
  <c r="NE8" i="4"/>
  <c r="NF8" i="4"/>
  <c r="NG8" i="4"/>
  <c r="NI8" i="4"/>
  <c r="NJ8" i="4"/>
  <c r="NK8" i="4"/>
  <c r="NL8" i="4"/>
  <c r="NM8" i="4"/>
  <c r="NN8" i="4"/>
  <c r="OJ8" i="4"/>
  <c r="OK8" i="4"/>
  <c r="OL8" i="4"/>
  <c r="OM8" i="4"/>
  <c r="ON8" i="4"/>
  <c r="OO8" i="4"/>
  <c r="OQ8" i="4"/>
  <c r="OR8" i="4"/>
  <c r="OS8" i="4"/>
  <c r="OT8" i="4"/>
  <c r="OU8" i="4"/>
  <c r="OV8" i="4"/>
  <c r="PR8" i="4"/>
  <c r="PS8" i="4"/>
  <c r="PT8" i="4"/>
  <c r="PU8" i="4"/>
  <c r="PV8" i="4"/>
  <c r="PW8" i="4"/>
  <c r="PY8" i="4"/>
  <c r="PZ8" i="4"/>
  <c r="QA8" i="4"/>
  <c r="QB8" i="4"/>
  <c r="QC8" i="4"/>
  <c r="QD8" i="4"/>
  <c r="QZ8" i="4"/>
  <c r="RA8" i="4"/>
  <c r="RB8" i="4"/>
  <c r="RC8" i="4"/>
  <c r="RD8" i="4"/>
  <c r="RE8" i="4"/>
  <c r="RG8" i="4"/>
  <c r="RH8" i="4"/>
  <c r="RI8" i="4"/>
  <c r="RJ8" i="4"/>
  <c r="RK8" i="4"/>
  <c r="RL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G9" i="24"/>
  <c r="CH9" i="24"/>
  <c r="CI9" i="24"/>
  <c r="CJ9" i="24"/>
  <c r="CK9" i="24"/>
  <c r="CL9" i="24"/>
  <c r="CN9" i="24"/>
  <c r="CO9" i="24"/>
  <c r="CP9" i="24"/>
  <c r="DN9" i="24"/>
  <c r="DO9" i="24"/>
  <c r="DP9" i="24"/>
  <c r="DQ9" i="24"/>
  <c r="DR9" i="24"/>
  <c r="DS9" i="24"/>
  <c r="DU9" i="24"/>
  <c r="DV9" i="24"/>
  <c r="DW9" i="24"/>
  <c r="DX9" i="24"/>
  <c r="DY9" i="24"/>
  <c r="DZ9" i="24"/>
  <c r="EV9" i="24"/>
  <c r="EW9" i="24"/>
  <c r="EX9" i="24"/>
  <c r="EY9" i="24"/>
  <c r="EZ9" i="24"/>
  <c r="FA9" i="24"/>
  <c r="FC9" i="24"/>
  <c r="FD9" i="24"/>
  <c r="FE9" i="24"/>
  <c r="FF9" i="24"/>
  <c r="FG9" i="24"/>
  <c r="FH9" i="24"/>
  <c r="GD9" i="24"/>
  <c r="GE9" i="24"/>
  <c r="GF9" i="24"/>
  <c r="GG9" i="24"/>
  <c r="GH9" i="24"/>
  <c r="GI9" i="24"/>
  <c r="GK9" i="24"/>
  <c r="GL9" i="24"/>
  <c r="GM9" i="24"/>
  <c r="GN9" i="24"/>
  <c r="GO9" i="24"/>
  <c r="GP9" i="24"/>
  <c r="HL9" i="24"/>
  <c r="HM9" i="24"/>
  <c r="HN9" i="24"/>
  <c r="HO9" i="24"/>
  <c r="HP9" i="24"/>
  <c r="HQ9" i="24"/>
  <c r="HS9" i="24"/>
  <c r="HT9" i="24"/>
  <c r="HU9" i="24"/>
  <c r="HV9" i="24"/>
  <c r="HW9" i="24"/>
  <c r="HX9" i="24"/>
  <c r="IT9" i="24"/>
  <c r="IU9" i="24"/>
  <c r="IV9" i="24"/>
  <c r="IW9" i="24"/>
  <c r="IX9" i="24"/>
  <c r="IY9" i="24"/>
  <c r="JA9" i="24"/>
  <c r="JB9" i="24"/>
  <c r="JC9" i="24"/>
  <c r="JD9" i="24"/>
  <c r="JE9" i="24"/>
  <c r="JF9" i="24"/>
  <c r="KB9" i="24"/>
  <c r="KC9" i="24"/>
  <c r="KD9" i="24"/>
  <c r="KE9" i="24"/>
  <c r="KF9" i="24"/>
  <c r="KG9" i="24"/>
  <c r="KI9" i="24"/>
  <c r="KJ9" i="24"/>
  <c r="KK9" i="24"/>
  <c r="KL9" i="24"/>
  <c r="KM9" i="24"/>
  <c r="KN9" i="24"/>
  <c r="LJ9" i="24"/>
  <c r="LK9" i="24"/>
  <c r="LL9" i="24"/>
  <c r="LM9" i="24"/>
  <c r="LN9" i="24"/>
  <c r="LO9" i="24"/>
  <c r="LQ9" i="24"/>
  <c r="LR9" i="24"/>
  <c r="LS9" i="24"/>
  <c r="LT9" i="24"/>
  <c r="LU9" i="24"/>
  <c r="LV9" i="24"/>
  <c r="MR9" i="24"/>
  <c r="MS9" i="24"/>
  <c r="MT9" i="24"/>
  <c r="MU9" i="24"/>
  <c r="MV9" i="24"/>
  <c r="MW9" i="24"/>
  <c r="MY9" i="24"/>
  <c r="MZ9" i="24"/>
  <c r="NA9" i="24"/>
  <c r="NB9" i="24"/>
  <c r="NC9" i="24"/>
  <c r="ND9" i="24"/>
  <c r="NZ9" i="24"/>
  <c r="OA9" i="24"/>
  <c r="OB9" i="24"/>
  <c r="OC9" i="24"/>
  <c r="OD9" i="24"/>
  <c r="OE9" i="24"/>
  <c r="OG9" i="24"/>
  <c r="OH9" i="24"/>
  <c r="OI9" i="24"/>
  <c r="OJ9" i="24"/>
  <c r="OK9" i="24"/>
  <c r="OL9" i="24"/>
  <c r="PH9" i="24"/>
  <c r="PI9" i="24"/>
  <c r="PJ9" i="24"/>
  <c r="PK9" i="24"/>
  <c r="PL9" i="24"/>
  <c r="PM9" i="24"/>
  <c r="PO9" i="24"/>
  <c r="PP9" i="24"/>
  <c r="PQ9" i="24"/>
  <c r="PR9" i="24"/>
  <c r="PS9" i="24"/>
  <c r="PT9" i="24"/>
  <c r="QP9" i="24"/>
  <c r="QQ9" i="24"/>
  <c r="QR9" i="24"/>
  <c r="QS9" i="24"/>
  <c r="QT9" i="24"/>
  <c r="QU9" i="24"/>
  <c r="QW9" i="24"/>
  <c r="QX9" i="24"/>
  <c r="QY9" i="24"/>
  <c r="QZ9" i="24"/>
  <c r="RA9" i="24"/>
  <c r="RB9" i="24"/>
  <c r="RX9" i="24"/>
  <c r="RY9" i="24"/>
  <c r="RZ9" i="24"/>
  <c r="SA9" i="24"/>
  <c r="SB9" i="24"/>
  <c r="SC9" i="24"/>
  <c r="SE9" i="24"/>
  <c r="SF9" i="24"/>
  <c r="SG9" i="24"/>
  <c r="SH9" i="24"/>
  <c r="SI9" i="24"/>
  <c r="SJ9" i="24"/>
  <c r="SL9" i="24"/>
  <c r="SM9" i="24"/>
  <c r="SN9" i="24"/>
  <c r="TB9" i="24" s="1"/>
  <c r="SO9" i="24"/>
  <c r="TC9" i="24" s="1"/>
  <c r="SP9" i="24"/>
  <c r="SQ9" i="24"/>
  <c r="SR9" i="24"/>
  <c r="SS9" i="24"/>
  <c r="TE9" i="24" s="1"/>
  <c r="ST9" i="24"/>
  <c r="TF9" i="24" s="1"/>
  <c r="SU9" i="24"/>
  <c r="SV9" i="24"/>
  <c r="SW9" i="24"/>
  <c r="SX9" i="24"/>
  <c r="TI9" i="24" s="1"/>
  <c r="SY9" i="24"/>
  <c r="TJ9" i="24" s="1"/>
  <c r="SZ9" i="2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4" i="4"/>
  <c r="RK4" i="4"/>
  <c r="RJ4" i="4"/>
  <c r="RI4" i="4"/>
  <c r="RH4" i="4"/>
  <c r="RG4" i="4"/>
  <c r="RE4" i="4"/>
  <c r="RD4" i="4"/>
  <c r="RC4" i="4"/>
  <c r="RB4" i="4"/>
  <c r="RA4" i="4"/>
  <c r="QZ4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4" i="4"/>
  <c r="QC4" i="4"/>
  <c r="QB4" i="4"/>
  <c r="QA4" i="4"/>
  <c r="PZ4" i="4"/>
  <c r="PY4" i="4"/>
  <c r="PW4" i="4"/>
  <c r="PV4" i="4"/>
  <c r="PU4" i="4"/>
  <c r="PT4" i="4"/>
  <c r="PS4" i="4"/>
  <c r="PR4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4" i="4"/>
  <c r="OU4" i="4"/>
  <c r="OT4" i="4"/>
  <c r="OS4" i="4"/>
  <c r="OR4" i="4"/>
  <c r="OQ4" i="4"/>
  <c r="OO4" i="4"/>
  <c r="ON4" i="4"/>
  <c r="OM4" i="4"/>
  <c r="OL4" i="4"/>
  <c r="OK4" i="4"/>
  <c r="OJ4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4" i="4"/>
  <c r="NM4" i="4"/>
  <c r="NL4" i="4"/>
  <c r="NK4" i="4"/>
  <c r="NJ4" i="4"/>
  <c r="NI4" i="4"/>
  <c r="NG4" i="4"/>
  <c r="NF4" i="4"/>
  <c r="NE4" i="4"/>
  <c r="ND4" i="4"/>
  <c r="NC4" i="4"/>
  <c r="NB4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4" i="4"/>
  <c r="ME4" i="4"/>
  <c r="MD4" i="4"/>
  <c r="MC4" i="4"/>
  <c r="MB4" i="4"/>
  <c r="MA4" i="4"/>
  <c r="LY4" i="4"/>
  <c r="LX4" i="4"/>
  <c r="LW4" i="4"/>
  <c r="LV4" i="4"/>
  <c r="LU4" i="4"/>
  <c r="LT4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4" i="4"/>
  <c r="KW4" i="4"/>
  <c r="KV4" i="4"/>
  <c r="KU4" i="4"/>
  <c r="KT4" i="4"/>
  <c r="KS4" i="4"/>
  <c r="KQ4" i="4"/>
  <c r="KP4" i="4"/>
  <c r="KO4" i="4"/>
  <c r="KN4" i="4"/>
  <c r="KM4" i="4"/>
  <c r="KL4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4" i="4"/>
  <c r="JO4" i="4"/>
  <c r="JN4" i="4"/>
  <c r="JM4" i="4"/>
  <c r="JL4" i="4"/>
  <c r="JK4" i="4"/>
  <c r="JI4" i="4"/>
  <c r="JH4" i="4"/>
  <c r="JG4" i="4"/>
  <c r="JF4" i="4"/>
  <c r="JE4" i="4"/>
  <c r="JD4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4" i="4"/>
  <c r="IG4" i="4"/>
  <c r="IF4" i="4"/>
  <c r="IE4" i="4"/>
  <c r="ID4" i="4"/>
  <c r="IC4" i="4"/>
  <c r="IA4" i="4"/>
  <c r="HZ4" i="4"/>
  <c r="HY4" i="4"/>
  <c r="HX4" i="4"/>
  <c r="HW4" i="4"/>
  <c r="HV4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4" i="4"/>
  <c r="GY4" i="4"/>
  <c r="GX4" i="4"/>
  <c r="GW4" i="4"/>
  <c r="GV4" i="4"/>
  <c r="GU4" i="4"/>
  <c r="GS4" i="4"/>
  <c r="GR4" i="4"/>
  <c r="GQ4" i="4"/>
  <c r="GP4" i="4"/>
  <c r="GO4" i="4"/>
  <c r="GN4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4" i="4"/>
  <c r="FQ4" i="4"/>
  <c r="FP4" i="4"/>
  <c r="FO4" i="4"/>
  <c r="FN4" i="4"/>
  <c r="FM4" i="4"/>
  <c r="FK4" i="4"/>
  <c r="FJ4" i="4"/>
  <c r="FI4" i="4"/>
  <c r="FH4" i="4"/>
  <c r="FG4" i="4"/>
  <c r="FF4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4" i="4"/>
  <c r="EI4" i="4"/>
  <c r="EH4" i="4"/>
  <c r="EG4" i="4"/>
  <c r="EF4" i="4"/>
  <c r="EE4" i="4"/>
  <c r="EC4" i="4"/>
  <c r="EB4" i="4"/>
  <c r="EA4" i="4"/>
  <c r="DZ4" i="4"/>
  <c r="DY4" i="4"/>
  <c r="DX4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DT9" i="24" l="1"/>
  <c r="EA9" i="24" s="1"/>
  <c r="MX9" i="24"/>
  <c r="NE9" i="24" s="1"/>
  <c r="HR9" i="24"/>
  <c r="HY9" i="24" s="1"/>
  <c r="OP8" i="4"/>
  <c r="OW8" i="4" s="1"/>
  <c r="LZ8" i="4"/>
  <c r="MG8" i="4" s="1"/>
  <c r="JJ8" i="4"/>
  <c r="JQ8" i="4" s="1"/>
  <c r="GT8" i="4"/>
  <c r="HA8" i="4" s="1"/>
  <c r="ED8" i="4"/>
  <c r="EK8" i="4" s="1"/>
  <c r="PX8" i="4"/>
  <c r="QE8" i="4" s="1"/>
  <c r="RF8" i="4"/>
  <c r="RM8" i="4" s="1"/>
  <c r="CM9" i="24"/>
  <c r="CQ9" i="24" s="1"/>
  <c r="CW8" i="4"/>
  <c r="DA8" i="4" s="1"/>
  <c r="SN8" i="4"/>
  <c r="SU8" i="4" s="1"/>
  <c r="KR8" i="4"/>
  <c r="KY8" i="4" s="1"/>
  <c r="FL8" i="4"/>
  <c r="FS8" i="4" s="1"/>
  <c r="J8" i="4"/>
  <c r="K8" i="4" s="1"/>
  <c r="TN8" i="4"/>
  <c r="NH8" i="4"/>
  <c r="NO8" i="4" s="1"/>
  <c r="IB8" i="4"/>
  <c r="II8" i="4" s="1"/>
  <c r="R8" i="4"/>
  <c r="S8" i="4" s="1"/>
  <c r="TQ8" i="4"/>
  <c r="TU8" i="4"/>
  <c r="L8" i="4"/>
  <c r="M8" i="4" s="1"/>
  <c r="G8" i="4"/>
  <c r="T8" i="4"/>
  <c r="U8" i="4" s="1"/>
  <c r="I8" i="4"/>
  <c r="P8" i="4"/>
  <c r="N8" i="4"/>
  <c r="F8" i="4"/>
  <c r="GT19" i="4"/>
  <c r="HA19" i="4" s="1"/>
  <c r="GT16" i="4"/>
  <c r="HA16" i="4" s="1"/>
  <c r="KR15" i="4"/>
  <c r="KY15" i="4" s="1"/>
  <c r="KR17" i="4"/>
  <c r="KY17" i="4" s="1"/>
  <c r="KR20" i="4"/>
  <c r="KY20" i="4" s="1"/>
  <c r="KR22" i="4"/>
  <c r="KY22" i="4" s="1"/>
  <c r="LZ18" i="4"/>
  <c r="MG18" i="4" s="1"/>
  <c r="LZ12" i="4"/>
  <c r="MG12" i="4" s="1"/>
  <c r="NH10" i="4"/>
  <c r="NO10" i="4" s="1"/>
  <c r="NH19" i="4"/>
  <c r="NO19" i="4" s="1"/>
  <c r="OP4" i="4"/>
  <c r="OW4" i="4" s="1"/>
  <c r="OP11" i="4"/>
  <c r="OW11" i="4" s="1"/>
  <c r="OP16" i="4"/>
  <c r="OW16" i="4" s="1"/>
  <c r="OP18" i="4"/>
  <c r="OW18" i="4" s="1"/>
  <c r="OP12" i="4"/>
  <c r="OW12" i="4" s="1"/>
  <c r="PX20" i="4"/>
  <c r="QE20" i="4" s="1"/>
  <c r="RF6" i="4"/>
  <c r="RM6" i="4" s="1"/>
  <c r="RF7" i="4"/>
  <c r="RM7" i="4" s="1"/>
  <c r="RF4" i="4"/>
  <c r="RM4" i="4" s="1"/>
  <c r="RF18" i="4"/>
  <c r="RM18" i="4" s="1"/>
  <c r="RF12" i="4"/>
  <c r="RM12" i="4" s="1"/>
  <c r="OF9" i="24"/>
  <c r="OM9" i="24" s="1"/>
  <c r="KR18" i="4"/>
  <c r="KY18" i="4" s="1"/>
  <c r="LZ22" i="4"/>
  <c r="MG22" i="4" s="1"/>
  <c r="NH7" i="4"/>
  <c r="NO7" i="4" s="1"/>
  <c r="NH4" i="4"/>
  <c r="NO4" i="4" s="1"/>
  <c r="OP13" i="4"/>
  <c r="OW13" i="4" s="1"/>
  <c r="OP17" i="4"/>
  <c r="OW17" i="4" s="1"/>
  <c r="OP22" i="4"/>
  <c r="OW22" i="4" s="1"/>
  <c r="RF5" i="4"/>
  <c r="RM5" i="4" s="1"/>
  <c r="RF9" i="4"/>
  <c r="RM9" i="4" s="1"/>
  <c r="RF22" i="4"/>
  <c r="RM22" i="4" s="1"/>
  <c r="SD9" i="24"/>
  <c r="SK9" i="24" s="1"/>
  <c r="LP9" i="24"/>
  <c r="LW9" i="24" s="1"/>
  <c r="IZ9" i="24"/>
  <c r="JG9" i="24" s="1"/>
  <c r="GJ9" i="24"/>
  <c r="GQ9" i="24" s="1"/>
  <c r="PN9" i="24"/>
  <c r="PU9" i="24" s="1"/>
  <c r="FB9" i="24"/>
  <c r="FI9" i="24" s="1"/>
  <c r="GT18" i="4"/>
  <c r="HA18" i="4" s="1"/>
  <c r="IB5" i="4"/>
  <c r="II5" i="4" s="1"/>
  <c r="IB17" i="4"/>
  <c r="II17" i="4" s="1"/>
  <c r="GT15" i="4"/>
  <c r="HA15" i="4" s="1"/>
  <c r="GT20" i="4"/>
  <c r="HA20" i="4" s="1"/>
  <c r="IB6" i="4"/>
  <c r="II6" i="4" s="1"/>
  <c r="IB7" i="4"/>
  <c r="II7" i="4" s="1"/>
  <c r="IB4" i="4"/>
  <c r="II4" i="4" s="1"/>
  <c r="IB18" i="4"/>
  <c r="II18" i="4" s="1"/>
  <c r="IB12" i="4"/>
  <c r="II12" i="4" s="1"/>
  <c r="KR6" i="4"/>
  <c r="KY6" i="4" s="1"/>
  <c r="KR4" i="4"/>
  <c r="KY4" i="4" s="1"/>
  <c r="KR11" i="4"/>
  <c r="KY11" i="4" s="1"/>
  <c r="KR16" i="4"/>
  <c r="KY16" i="4" s="1"/>
  <c r="ED9" i="4"/>
  <c r="EK9" i="4" s="1"/>
  <c r="ED13" i="4"/>
  <c r="EK13" i="4" s="1"/>
  <c r="ED17" i="4"/>
  <c r="EK17" i="4" s="1"/>
  <c r="ED22" i="4"/>
  <c r="EK22" i="4" s="1"/>
  <c r="FL18" i="4"/>
  <c r="FS18" i="4" s="1"/>
  <c r="GT5" i="4"/>
  <c r="HA5" i="4" s="1"/>
  <c r="ED4" i="4"/>
  <c r="EK4" i="4" s="1"/>
  <c r="ED11" i="4"/>
  <c r="EK11" i="4" s="1"/>
  <c r="ED16" i="4"/>
  <c r="EK16" i="4" s="1"/>
  <c r="ED18" i="4"/>
  <c r="EK18" i="4" s="1"/>
  <c r="ED12" i="4"/>
  <c r="EK12" i="4" s="1"/>
  <c r="FL17" i="4"/>
  <c r="FS17" i="4" s="1"/>
  <c r="FL20" i="4"/>
  <c r="FS20" i="4" s="1"/>
  <c r="FL22" i="4"/>
  <c r="FS22" i="4" s="1"/>
  <c r="GT6" i="4"/>
  <c r="HA6" i="4" s="1"/>
  <c r="GT7" i="4"/>
  <c r="HA7" i="4" s="1"/>
  <c r="GT4" i="4"/>
  <c r="HA4" i="4" s="1"/>
  <c r="JJ11" i="4"/>
  <c r="JQ11" i="4" s="1"/>
  <c r="JJ16" i="4"/>
  <c r="JQ16" i="4" s="1"/>
  <c r="JJ18" i="4"/>
  <c r="JQ18" i="4" s="1"/>
  <c r="JJ12" i="4"/>
  <c r="JQ12" i="4" s="1"/>
  <c r="QV9" i="24"/>
  <c r="RC9" i="24" s="1"/>
  <c r="KH9" i="24"/>
  <c r="KO9" i="24" s="1"/>
  <c r="TD9" i="24"/>
  <c r="TK9" i="24"/>
  <c r="TG9" i="24"/>
  <c r="F9" i="24"/>
  <c r="J9" i="24"/>
  <c r="I9" i="24"/>
  <c r="G9" i="24"/>
  <c r="KR7" i="4"/>
  <c r="KY7" i="4" s="1"/>
  <c r="JJ10" i="4"/>
  <c r="JQ10" i="4" s="1"/>
  <c r="JJ4" i="4"/>
  <c r="JQ4" i="4" s="1"/>
  <c r="IB22" i="4"/>
  <c r="II22" i="4" s="1"/>
  <c r="JJ7" i="4"/>
  <c r="JQ7" i="4" s="1"/>
  <c r="KR9" i="4"/>
  <c r="KY9" i="4" s="1"/>
  <c r="KR13" i="4"/>
  <c r="KY13" i="4" s="1"/>
  <c r="ED7" i="4"/>
  <c r="EK7" i="4" s="1"/>
  <c r="FL5" i="4"/>
  <c r="FS5" i="4" s="1"/>
  <c r="FL9" i="4"/>
  <c r="FS9" i="4" s="1"/>
  <c r="FL13" i="4"/>
  <c r="FS13" i="4" s="1"/>
  <c r="LZ7" i="4"/>
  <c r="MG7" i="4" s="1"/>
  <c r="LZ4" i="4"/>
  <c r="MG4" i="4" s="1"/>
  <c r="LZ16" i="4"/>
  <c r="MG16" i="4" s="1"/>
  <c r="NH17" i="4"/>
  <c r="NO17" i="4" s="1"/>
  <c r="NH22" i="4"/>
  <c r="NO22" i="4" s="1"/>
  <c r="OP7" i="4"/>
  <c r="OW7" i="4" s="1"/>
  <c r="PX9" i="4"/>
  <c r="QE9" i="4" s="1"/>
  <c r="PX13" i="4"/>
  <c r="QE13" i="4" s="1"/>
  <c r="PX17" i="4"/>
  <c r="QE17" i="4" s="1"/>
  <c r="FL6" i="4"/>
  <c r="FS6" i="4" s="1"/>
  <c r="FL4" i="4"/>
  <c r="FS4" i="4" s="1"/>
  <c r="FL11" i="4"/>
  <c r="FS11" i="4" s="1"/>
  <c r="FL16" i="4"/>
  <c r="FS16" i="4" s="1"/>
  <c r="LZ10" i="4"/>
  <c r="MG10" i="4" s="1"/>
  <c r="LZ19" i="4"/>
  <c r="MG19" i="4" s="1"/>
  <c r="LZ15" i="4"/>
  <c r="MG15" i="4" s="1"/>
  <c r="NH11" i="4"/>
  <c r="NO11" i="4" s="1"/>
  <c r="NH16" i="4"/>
  <c r="NO16" i="4" s="1"/>
  <c r="NH18" i="4"/>
  <c r="NO18" i="4" s="1"/>
  <c r="NH12" i="4"/>
  <c r="NO12" i="4" s="1"/>
  <c r="OP10" i="4"/>
  <c r="OW10" i="4" s="1"/>
  <c r="PX6" i="4"/>
  <c r="QE6" i="4" s="1"/>
  <c r="PX7" i="4"/>
  <c r="QE7" i="4" s="1"/>
  <c r="PX4" i="4"/>
  <c r="QE4" i="4" s="1"/>
  <c r="PX11" i="4"/>
  <c r="QE11" i="4" s="1"/>
  <c r="PX16" i="4"/>
  <c r="QE16" i="4" s="1"/>
  <c r="PX18" i="4"/>
  <c r="QE18" i="4" s="1"/>
  <c r="PX12" i="4"/>
  <c r="QE12" i="4" s="1"/>
  <c r="FL7" i="4"/>
  <c r="FS7" i="4" s="1"/>
  <c r="IB10" i="4"/>
  <c r="II10" i="4" s="1"/>
  <c r="IB16" i="4"/>
  <c r="II16" i="4" s="1"/>
  <c r="RF16" i="4"/>
  <c r="RM16" i="4" s="1"/>
  <c r="GT10" i="4"/>
  <c r="HA10" i="4" s="1"/>
  <c r="IB19" i="4"/>
  <c r="II19" i="4" s="1"/>
  <c r="IB13" i="4"/>
  <c r="II13" i="4" s="1"/>
  <c r="IB15" i="4"/>
  <c r="II15" i="4" s="1"/>
  <c r="JJ13" i="4"/>
  <c r="JQ13" i="4" s="1"/>
  <c r="JJ17" i="4"/>
  <c r="JQ17" i="4" s="1"/>
  <c r="JJ22" i="4"/>
  <c r="JQ22" i="4" s="1"/>
  <c r="RF19" i="4"/>
  <c r="RM19" i="4" s="1"/>
  <c r="RF13" i="4"/>
  <c r="RM13" i="4" s="1"/>
  <c r="RF15" i="4"/>
  <c r="RM15" i="4" s="1"/>
  <c r="RF17" i="4"/>
  <c r="RM17" i="4" s="1"/>
  <c r="GT9" i="4"/>
  <c r="HA9" i="4" s="1"/>
  <c r="ED10" i="4"/>
  <c r="EK10" i="4" s="1"/>
  <c r="GT13" i="4"/>
  <c r="HA13" i="4" s="1"/>
  <c r="IB9" i="4"/>
  <c r="II9" i="4" s="1"/>
  <c r="PX22" i="4"/>
  <c r="QE22" i="4" s="1"/>
  <c r="ED19" i="4"/>
  <c r="EK19" i="4" s="1"/>
  <c r="FL10" i="4"/>
  <c r="FS10" i="4" s="1"/>
  <c r="FL12" i="4"/>
  <c r="FS12" i="4" s="1"/>
  <c r="GT11" i="4"/>
  <c r="HA11" i="4" s="1"/>
  <c r="GT17" i="4"/>
  <c r="HA17" i="4" s="1"/>
  <c r="LZ5" i="4"/>
  <c r="MG5" i="4" s="1"/>
  <c r="ED5" i="4"/>
  <c r="EK5" i="4" s="1"/>
  <c r="ED15" i="4"/>
  <c r="EK15" i="4" s="1"/>
  <c r="FL19" i="4"/>
  <c r="FS19" i="4" s="1"/>
  <c r="GT22" i="4"/>
  <c r="HA22" i="4" s="1"/>
  <c r="IB11" i="4"/>
  <c r="II11" i="4" s="1"/>
  <c r="IB20" i="4"/>
  <c r="II20" i="4" s="1"/>
  <c r="JJ19" i="4"/>
  <c r="JQ19" i="4" s="1"/>
  <c r="KR10" i="4"/>
  <c r="KY10" i="4" s="1"/>
  <c r="LZ6" i="4"/>
  <c r="MG6" i="4" s="1"/>
  <c r="LZ9" i="4"/>
  <c r="MG9" i="4" s="1"/>
  <c r="LZ20" i="4"/>
  <c r="MG20" i="4" s="1"/>
  <c r="NH5" i="4"/>
  <c r="NO5" i="4" s="1"/>
  <c r="NH15" i="4"/>
  <c r="NO15" i="4" s="1"/>
  <c r="OP19" i="4"/>
  <c r="OW19" i="4" s="1"/>
  <c r="PX10" i="4"/>
  <c r="QE10" i="4" s="1"/>
  <c r="RF11" i="4"/>
  <c r="RM11" i="4" s="1"/>
  <c r="RF20" i="4"/>
  <c r="RM20" i="4" s="1"/>
  <c r="ED6" i="4"/>
  <c r="EK6" i="4" s="1"/>
  <c r="ED20" i="4"/>
  <c r="EK20" i="4" s="1"/>
  <c r="FL15" i="4"/>
  <c r="FS15" i="4" s="1"/>
  <c r="GT12" i="4"/>
  <c r="HA12" i="4" s="1"/>
  <c r="JJ5" i="4"/>
  <c r="JQ5" i="4" s="1"/>
  <c r="JJ15" i="4"/>
  <c r="JQ15" i="4" s="1"/>
  <c r="LZ13" i="4"/>
  <c r="MG13" i="4" s="1"/>
  <c r="NH6" i="4"/>
  <c r="NO6" i="4" s="1"/>
  <c r="NH9" i="4"/>
  <c r="NO9" i="4" s="1"/>
  <c r="NH20" i="4"/>
  <c r="NO20" i="4" s="1"/>
  <c r="OP5" i="4"/>
  <c r="OW5" i="4" s="1"/>
  <c r="OP15" i="4"/>
  <c r="OW15" i="4" s="1"/>
  <c r="PX19" i="4"/>
  <c r="QE19" i="4" s="1"/>
  <c r="JJ6" i="4"/>
  <c r="JQ6" i="4" s="1"/>
  <c r="JJ9" i="4"/>
  <c r="JQ9" i="4" s="1"/>
  <c r="JJ20" i="4"/>
  <c r="JQ20" i="4" s="1"/>
  <c r="KR5" i="4"/>
  <c r="KY5" i="4" s="1"/>
  <c r="KR19" i="4"/>
  <c r="KY19" i="4" s="1"/>
  <c r="KR12" i="4"/>
  <c r="KY12" i="4" s="1"/>
  <c r="LZ11" i="4"/>
  <c r="MG11" i="4" s="1"/>
  <c r="LZ17" i="4"/>
  <c r="MG17" i="4" s="1"/>
  <c r="NH13" i="4"/>
  <c r="NO13" i="4" s="1"/>
  <c r="OP6" i="4"/>
  <c r="OW6" i="4" s="1"/>
  <c r="OP9" i="4"/>
  <c r="OW9" i="4" s="1"/>
  <c r="OP20" i="4"/>
  <c r="OW20" i="4" s="1"/>
  <c r="PX5" i="4"/>
  <c r="QE5" i="4" s="1"/>
  <c r="PX15" i="4"/>
  <c r="QE15" i="4" s="1"/>
  <c r="RF10" i="4"/>
  <c r="RM10" i="4" s="1"/>
  <c r="CX14" i="21"/>
  <c r="CY14" i="21"/>
  <c r="CZ14" i="21"/>
  <c r="DA14" i="21"/>
  <c r="DC14" i="21"/>
  <c r="DD14" i="21"/>
  <c r="EC14" i="21"/>
  <c r="ED14" i="21"/>
  <c r="EE14" i="21"/>
  <c r="EF14" i="21"/>
  <c r="EH14" i="21"/>
  <c r="EI14" i="21"/>
  <c r="FE14" i="21"/>
  <c r="FF14" i="21"/>
  <c r="FG14" i="21"/>
  <c r="FH14" i="21"/>
  <c r="FJ14" i="21"/>
  <c r="FK14" i="21"/>
  <c r="GG14" i="21"/>
  <c r="GH14" i="21"/>
  <c r="GI14" i="21"/>
  <c r="GJ14" i="21"/>
  <c r="GL14" i="21"/>
  <c r="GM14" i="21"/>
  <c r="HI14" i="21"/>
  <c r="HJ14" i="21"/>
  <c r="HK14" i="21"/>
  <c r="HL14" i="21"/>
  <c r="HN14" i="21"/>
  <c r="HO14" i="21"/>
  <c r="IK14" i="21"/>
  <c r="IL14" i="21"/>
  <c r="IM14" i="21"/>
  <c r="IN14" i="21"/>
  <c r="IP14" i="21"/>
  <c r="IQ14" i="21"/>
  <c r="JM14" i="21"/>
  <c r="JN14" i="21"/>
  <c r="JO14" i="21"/>
  <c r="JP14" i="21"/>
  <c r="JR14" i="21"/>
  <c r="JS14" i="21"/>
  <c r="KO14" i="21"/>
  <c r="KP14" i="21"/>
  <c r="KQ14" i="21"/>
  <c r="KR14" i="21"/>
  <c r="KT14" i="21"/>
  <c r="KU14" i="21"/>
  <c r="LQ14" i="21"/>
  <c r="LR14" i="21"/>
  <c r="LS14" i="21"/>
  <c r="LT14" i="21"/>
  <c r="LV14" i="21"/>
  <c r="LW14" i="21"/>
  <c r="MS14" i="21"/>
  <c r="MT14" i="21"/>
  <c r="MU14" i="21"/>
  <c r="MV14" i="21"/>
  <c r="MX14" i="21"/>
  <c r="MY14" i="21"/>
  <c r="NU14" i="21"/>
  <c r="NV14" i="21"/>
  <c r="NW14" i="21"/>
  <c r="NX14" i="21"/>
  <c r="NZ14" i="21"/>
  <c r="OA14" i="21"/>
  <c r="OW14" i="21"/>
  <c r="OX14" i="21"/>
  <c r="OY14" i="21"/>
  <c r="OZ14" i="21"/>
  <c r="PB14" i="21"/>
  <c r="PC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12" i="21"/>
  <c r="CY12" i="21"/>
  <c r="CZ12" i="21"/>
  <c r="DA12" i="21"/>
  <c r="DC12" i="21"/>
  <c r="DD12" i="21"/>
  <c r="EC12" i="21"/>
  <c r="ED12" i="21"/>
  <c r="EE12" i="21"/>
  <c r="EF12" i="21"/>
  <c r="EH12" i="21"/>
  <c r="EI12" i="21"/>
  <c r="FE12" i="21"/>
  <c r="FF12" i="21"/>
  <c r="FG12" i="21"/>
  <c r="FH12" i="21"/>
  <c r="FJ12" i="21"/>
  <c r="FK12" i="21"/>
  <c r="GG12" i="21"/>
  <c r="GH12" i="21"/>
  <c r="GI12" i="21"/>
  <c r="GJ12" i="21"/>
  <c r="GL12" i="21"/>
  <c r="GM12" i="21"/>
  <c r="HI12" i="21"/>
  <c r="HJ12" i="21"/>
  <c r="HK12" i="21"/>
  <c r="HL12" i="21"/>
  <c r="HN12" i="21"/>
  <c r="HO12" i="21"/>
  <c r="IK12" i="21"/>
  <c r="IL12" i="21"/>
  <c r="IM12" i="21"/>
  <c r="IN12" i="21"/>
  <c r="IP12" i="21"/>
  <c r="IQ12" i="21"/>
  <c r="JM12" i="21"/>
  <c r="JN12" i="21"/>
  <c r="JO12" i="21"/>
  <c r="JP12" i="21"/>
  <c r="JR12" i="21"/>
  <c r="JS12" i="21"/>
  <c r="KO12" i="21"/>
  <c r="KP12" i="21"/>
  <c r="KQ12" i="21"/>
  <c r="KR12" i="21"/>
  <c r="KT12" i="21"/>
  <c r="KU12" i="21"/>
  <c r="LQ12" i="21"/>
  <c r="LR12" i="21"/>
  <c r="LS12" i="21"/>
  <c r="LT12" i="21"/>
  <c r="LV12" i="21"/>
  <c r="LW12" i="21"/>
  <c r="MS12" i="21"/>
  <c r="MT12" i="21"/>
  <c r="MU12" i="21"/>
  <c r="MV12" i="21"/>
  <c r="MX12" i="21"/>
  <c r="MY12" i="21"/>
  <c r="NU12" i="21"/>
  <c r="NV12" i="21"/>
  <c r="NW12" i="21"/>
  <c r="NX12" i="21"/>
  <c r="NZ12" i="21"/>
  <c r="OA12" i="21"/>
  <c r="OW12" i="21"/>
  <c r="OX12" i="21"/>
  <c r="OY12" i="21"/>
  <c r="OZ12" i="21"/>
  <c r="PB12" i="21"/>
  <c r="PC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10" i="19"/>
  <c r="CY10" i="19"/>
  <c r="CZ10" i="19"/>
  <c r="DA10" i="19"/>
  <c r="DC10" i="19"/>
  <c r="DD10" i="19"/>
  <c r="EC10" i="19"/>
  <c r="ED10" i="19"/>
  <c r="EE10" i="19"/>
  <c r="EF10" i="19"/>
  <c r="EH10" i="19"/>
  <c r="EI10" i="19"/>
  <c r="FE10" i="19"/>
  <c r="FF10" i="19"/>
  <c r="FG10" i="19"/>
  <c r="FH10" i="19"/>
  <c r="FJ10" i="19"/>
  <c r="FK10" i="19"/>
  <c r="GG10" i="19"/>
  <c r="GH10" i="19"/>
  <c r="GI10" i="19"/>
  <c r="GJ10" i="19"/>
  <c r="GL10" i="19"/>
  <c r="GM10" i="19"/>
  <c r="HI10" i="19"/>
  <c r="HJ10" i="19"/>
  <c r="HK10" i="19"/>
  <c r="HL10" i="19"/>
  <c r="HN10" i="19"/>
  <c r="HO10" i="19"/>
  <c r="IK10" i="19"/>
  <c r="IL10" i="19"/>
  <c r="IM10" i="19"/>
  <c r="IN10" i="19"/>
  <c r="IP10" i="19"/>
  <c r="IQ10" i="19"/>
  <c r="JM10" i="19"/>
  <c r="JN10" i="19"/>
  <c r="JO10" i="19"/>
  <c r="JP10" i="19"/>
  <c r="JR10" i="19"/>
  <c r="JS10" i="19"/>
  <c r="KO10" i="19"/>
  <c r="KP10" i="19"/>
  <c r="KQ10" i="19"/>
  <c r="KR10" i="19"/>
  <c r="KT10" i="19"/>
  <c r="KU10" i="19"/>
  <c r="LQ10" i="19"/>
  <c r="LR10" i="19"/>
  <c r="LS10" i="19"/>
  <c r="LT10" i="19"/>
  <c r="LV10" i="19"/>
  <c r="LW10" i="19"/>
  <c r="MS10" i="19"/>
  <c r="MT10" i="19"/>
  <c r="MU10" i="19"/>
  <c r="MV10" i="19"/>
  <c r="MX10" i="19"/>
  <c r="MY10" i="19"/>
  <c r="NU10" i="19"/>
  <c r="NV10" i="19"/>
  <c r="NW10" i="19"/>
  <c r="NX10" i="19"/>
  <c r="NZ10" i="19"/>
  <c r="OA10" i="19"/>
  <c r="OW10" i="19"/>
  <c r="OX10" i="19"/>
  <c r="OY10" i="19"/>
  <c r="OZ10" i="19"/>
  <c r="PB10" i="19"/>
  <c r="PC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P5" i="8"/>
  <c r="CQ5" i="8"/>
  <c r="CR5" i="8"/>
  <c r="CS5" i="8"/>
  <c r="CT5" i="8"/>
  <c r="DR5" i="8"/>
  <c r="DS5" i="8"/>
  <c r="DT5" i="8"/>
  <c r="DU5" i="8"/>
  <c r="DV5" i="8"/>
  <c r="ER5" i="8"/>
  <c r="ES5" i="8"/>
  <c r="ET5" i="8"/>
  <c r="EU5" i="8"/>
  <c r="EV5" i="8"/>
  <c r="FR5" i="8"/>
  <c r="FS5" i="8"/>
  <c r="FT5" i="8"/>
  <c r="FU5" i="8"/>
  <c r="FV5" i="8"/>
  <c r="GR5" i="8"/>
  <c r="GS5" i="8"/>
  <c r="GT5" i="8"/>
  <c r="GU5" i="8"/>
  <c r="GV5" i="8"/>
  <c r="HR5" i="8"/>
  <c r="HS5" i="8"/>
  <c r="HT5" i="8"/>
  <c r="HU5" i="8"/>
  <c r="HV5" i="8"/>
  <c r="IR5" i="8"/>
  <c r="IS5" i="8"/>
  <c r="IT5" i="8"/>
  <c r="IU5" i="8"/>
  <c r="IV5" i="8"/>
  <c r="JR5" i="8"/>
  <c r="JS5" i="8"/>
  <c r="JT5" i="8"/>
  <c r="JU5" i="8"/>
  <c r="JV5" i="8"/>
  <c r="KR5" i="8"/>
  <c r="KS5" i="8"/>
  <c r="KT5" i="8"/>
  <c r="KU5" i="8"/>
  <c r="KV5" i="8"/>
  <c r="LR5" i="8"/>
  <c r="LS5" i="8"/>
  <c r="LT5" i="8"/>
  <c r="LU5" i="8"/>
  <c r="LV5" i="8"/>
  <c r="MR5" i="8"/>
  <c r="MS5" i="8"/>
  <c r="MT5" i="8"/>
  <c r="MU5" i="8"/>
  <c r="MV5" i="8"/>
  <c r="NR5" i="8"/>
  <c r="NS5" i="8"/>
  <c r="NT5" i="8"/>
  <c r="NU5" i="8"/>
  <c r="NV5" i="8"/>
  <c r="OR5" i="8"/>
  <c r="OS5" i="8"/>
  <c r="OT5" i="8"/>
  <c r="OU5" i="8"/>
  <c r="OV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CP7" i="18"/>
  <c r="CQ7" i="18"/>
  <c r="CR7" i="18"/>
  <c r="CS7" i="18"/>
  <c r="CT7" i="18"/>
  <c r="DR7" i="18"/>
  <c r="DS7" i="18"/>
  <c r="DT7" i="18"/>
  <c r="DU7" i="18"/>
  <c r="DV7" i="18"/>
  <c r="ER7" i="18"/>
  <c r="ES7" i="18"/>
  <c r="ET7" i="18"/>
  <c r="EU7" i="18"/>
  <c r="EV7" i="18"/>
  <c r="FR7" i="18"/>
  <c r="FS7" i="18"/>
  <c r="FT7" i="18"/>
  <c r="FU7" i="18"/>
  <c r="FV7" i="18"/>
  <c r="GR7" i="18"/>
  <c r="GS7" i="18"/>
  <c r="GT7" i="18"/>
  <c r="GU7" i="18"/>
  <c r="GV7" i="18"/>
  <c r="HR7" i="18"/>
  <c r="HS7" i="18"/>
  <c r="HT7" i="18"/>
  <c r="HU7" i="18"/>
  <c r="HV7" i="18"/>
  <c r="IR7" i="18"/>
  <c r="IS7" i="18"/>
  <c r="IT7" i="18"/>
  <c r="IU7" i="18"/>
  <c r="IV7" i="18"/>
  <c r="JR7" i="18"/>
  <c r="JS7" i="18"/>
  <c r="JT7" i="18"/>
  <c r="JU7" i="18"/>
  <c r="JV7" i="18"/>
  <c r="KR7" i="18"/>
  <c r="KS7" i="18"/>
  <c r="KT7" i="18"/>
  <c r="KU7" i="18"/>
  <c r="KV7" i="18"/>
  <c r="LR7" i="18"/>
  <c r="LS7" i="18"/>
  <c r="LT7" i="18"/>
  <c r="LU7" i="18"/>
  <c r="LV7" i="18"/>
  <c r="MR7" i="18"/>
  <c r="MS7" i="18"/>
  <c r="MT7" i="18"/>
  <c r="MU7" i="18"/>
  <c r="MV7" i="18"/>
  <c r="NR7" i="18"/>
  <c r="NS7" i="18"/>
  <c r="NT7" i="18"/>
  <c r="NU7" i="18"/>
  <c r="NV7" i="18"/>
  <c r="OR7" i="18"/>
  <c r="OS7" i="18"/>
  <c r="OT7" i="18"/>
  <c r="OU7" i="18"/>
  <c r="OV7" i="18"/>
  <c r="OX7" i="18"/>
  <c r="OY7" i="18"/>
  <c r="OZ7" i="18"/>
  <c r="PA7" i="18"/>
  <c r="PB7" i="18"/>
  <c r="PC7" i="18"/>
  <c r="PD7" i="18"/>
  <c r="PE7" i="18"/>
  <c r="PF7" i="18"/>
  <c r="PG7" i="18"/>
  <c r="PH7" i="18"/>
  <c r="PI7" i="18"/>
  <c r="PJ7" i="18"/>
  <c r="PK7" i="18"/>
  <c r="PL7" i="18"/>
  <c r="PM7" i="18"/>
  <c r="PN7" i="18"/>
  <c r="PO7" i="18"/>
  <c r="PP7" i="18"/>
  <c r="PQ7" i="18"/>
  <c r="PA12" i="21" l="1"/>
  <c r="MW10" i="19"/>
  <c r="TR8" i="4"/>
  <c r="TV8" i="4" s="1"/>
  <c r="O8" i="4"/>
  <c r="DB8" i="4"/>
  <c r="DC8" i="4"/>
  <c r="Q8" i="4"/>
  <c r="H8" i="4"/>
  <c r="CU5" i="8"/>
  <c r="HW7" i="18"/>
  <c r="CU7" i="18"/>
  <c r="TH9" i="24"/>
  <c r="TL9" i="24" s="1"/>
  <c r="DE14" i="21"/>
  <c r="QC12" i="21"/>
  <c r="HM12" i="21"/>
  <c r="MW14" i="21"/>
  <c r="IO14" i="21"/>
  <c r="PA10" i="19"/>
  <c r="KS10" i="19"/>
  <c r="IW5" i="8"/>
  <c r="IW7" i="18"/>
  <c r="H9" i="24"/>
  <c r="K9" i="24"/>
  <c r="CR9" i="24"/>
  <c r="CS9" i="24"/>
  <c r="A9" i="24" a="1"/>
  <c r="A9" i="24" s="1"/>
  <c r="PA14" i="21"/>
  <c r="KS14" i="21"/>
  <c r="GK14" i="21"/>
  <c r="NY10" i="19"/>
  <c r="FI10" i="19"/>
  <c r="GK10" i="19"/>
  <c r="IO10" i="19"/>
  <c r="EG10" i="19"/>
  <c r="NW5" i="8"/>
  <c r="PV5" i="8"/>
  <c r="PS5" i="8"/>
  <c r="FW5" i="8"/>
  <c r="JW7" i="18"/>
  <c r="LW7" i="18"/>
  <c r="DW7" i="18"/>
  <c r="R14" i="21"/>
  <c r="DH14" i="21" s="1"/>
  <c r="LX12" i="21"/>
  <c r="DE10" i="19"/>
  <c r="QC10" i="19"/>
  <c r="EW5" i="8"/>
  <c r="OW5" i="8"/>
  <c r="MW5" i="8"/>
  <c r="DW5" i="8"/>
  <c r="GW5" i="8"/>
  <c r="MW7" i="18"/>
  <c r="OW7" i="18"/>
  <c r="PS7" i="18"/>
  <c r="KW7" i="18"/>
  <c r="GW7" i="18"/>
  <c r="GK12" i="21"/>
  <c r="RG14" i="21"/>
  <c r="RB14" i="21"/>
  <c r="QC14" i="21"/>
  <c r="OB14" i="21"/>
  <c r="LU14" i="21"/>
  <c r="JQ14" i="21"/>
  <c r="HM14" i="21"/>
  <c r="FI14" i="21"/>
  <c r="EG14" i="21"/>
  <c r="DB14" i="21"/>
  <c r="RD14" i="21"/>
  <c r="RC14" i="21"/>
  <c r="N14" i="21"/>
  <c r="O14" i="21" s="1"/>
  <c r="RH14" i="21"/>
  <c r="L14" i="21"/>
  <c r="M14" i="21" s="1"/>
  <c r="F14" i="21"/>
  <c r="J14" i="21"/>
  <c r="K14" i="21" s="1"/>
  <c r="MZ14" i="21"/>
  <c r="KV14" i="21"/>
  <c r="JT14" i="21"/>
  <c r="IR14" i="21"/>
  <c r="HP14" i="21"/>
  <c r="GN14" i="21"/>
  <c r="FL14" i="21"/>
  <c r="EJ14" i="21"/>
  <c r="QF14" i="21"/>
  <c r="P14" i="21"/>
  <c r="PD14" i="21"/>
  <c r="G14" i="21"/>
  <c r="RE14" i="21"/>
  <c r="LX14" i="21"/>
  <c r="NY14" i="21"/>
  <c r="RB12" i="21"/>
  <c r="EJ12" i="21"/>
  <c r="RG12" i="21"/>
  <c r="N12" i="21"/>
  <c r="O12" i="21" s="1"/>
  <c r="JQ12" i="21"/>
  <c r="NY12" i="21"/>
  <c r="MW12" i="21"/>
  <c r="KV12" i="21"/>
  <c r="IR12" i="21"/>
  <c r="FL12" i="21"/>
  <c r="DE12" i="21"/>
  <c r="DB12" i="21"/>
  <c r="R12" i="21"/>
  <c r="DH12" i="21" s="1"/>
  <c r="RD12" i="21"/>
  <c r="RC12" i="21"/>
  <c r="RH12" i="21"/>
  <c r="L12" i="21"/>
  <c r="M12" i="21" s="1"/>
  <c r="F12" i="21"/>
  <c r="J12" i="21"/>
  <c r="K12" i="21" s="1"/>
  <c r="QF12" i="21"/>
  <c r="HP12" i="21"/>
  <c r="MZ12" i="21"/>
  <c r="P12" i="21"/>
  <c r="OB12" i="21"/>
  <c r="G12" i="21"/>
  <c r="RE12" i="21"/>
  <c r="PD12" i="21"/>
  <c r="JT12" i="21"/>
  <c r="GN12" i="21"/>
  <c r="LU12" i="21"/>
  <c r="KS12" i="21"/>
  <c r="IO12" i="21"/>
  <c r="FI12" i="21"/>
  <c r="EG12" i="21"/>
  <c r="RB10" i="19"/>
  <c r="RG10" i="19"/>
  <c r="LU10" i="19"/>
  <c r="JQ10" i="19"/>
  <c r="HM10" i="19"/>
  <c r="R10" i="19"/>
  <c r="S10" i="19" s="1"/>
  <c r="DB10" i="19"/>
  <c r="RD10" i="19"/>
  <c r="RC10" i="19"/>
  <c r="RH10" i="19"/>
  <c r="N10" i="19"/>
  <c r="O10" i="19" s="1"/>
  <c r="L10" i="19"/>
  <c r="M10" i="19" s="1"/>
  <c r="J10" i="19"/>
  <c r="K10" i="19" s="1"/>
  <c r="QF10" i="19"/>
  <c r="PD10" i="19"/>
  <c r="OB10" i="19"/>
  <c r="MZ10" i="19"/>
  <c r="LX10" i="19"/>
  <c r="KV10" i="19"/>
  <c r="JT10" i="19"/>
  <c r="IR10" i="19"/>
  <c r="HP10" i="19"/>
  <c r="GN10" i="19"/>
  <c r="FL10" i="19"/>
  <c r="EJ10" i="19"/>
  <c r="RE10" i="19"/>
  <c r="P10" i="19"/>
  <c r="G10" i="19"/>
  <c r="F10" i="19"/>
  <c r="LW5" i="8"/>
  <c r="KW5" i="8"/>
  <c r="JW5" i="8"/>
  <c r="HW5" i="8"/>
  <c r="N5" i="8"/>
  <c r="CW5" i="8" s="1"/>
  <c r="PW5" i="8"/>
  <c r="L5" i="8"/>
  <c r="M5" i="8" s="1"/>
  <c r="PU5" i="8"/>
  <c r="PT5" i="8"/>
  <c r="F5" i="8"/>
  <c r="J5" i="8"/>
  <c r="I5" i="8"/>
  <c r="G5" i="8"/>
  <c r="FW7" i="18"/>
  <c r="PU7" i="18"/>
  <c r="NW7" i="18"/>
  <c r="EW7" i="18"/>
  <c r="N7" i="18"/>
  <c r="CW7" i="18" s="1"/>
  <c r="PV7" i="18"/>
  <c r="L7" i="18"/>
  <c r="CV7" i="18" s="1"/>
  <c r="PW7" i="18"/>
  <c r="PT7" i="18"/>
  <c r="F7" i="18"/>
  <c r="J7" i="18"/>
  <c r="I7" i="18"/>
  <c r="G7" i="18"/>
  <c r="RF10" i="19" l="1"/>
  <c r="V8" i="4"/>
  <c r="E8" i="4" s="1"/>
  <c r="DF14" i="21"/>
  <c r="L9" i="24"/>
  <c r="RI14" i="21"/>
  <c r="I14" i="21"/>
  <c r="H14" i="21" s="1"/>
  <c r="S14" i="21"/>
  <c r="DH10" i="19"/>
  <c r="O5" i="8"/>
  <c r="RI12" i="21"/>
  <c r="RF14" i="21"/>
  <c r="DG14" i="21"/>
  <c r="Q14" i="21"/>
  <c r="RF12" i="21"/>
  <c r="I12" i="21"/>
  <c r="H12" i="21" s="1"/>
  <c r="DF12" i="21"/>
  <c r="S12" i="21"/>
  <c r="DG12" i="21"/>
  <c r="Q12" i="21"/>
  <c r="RI10" i="19"/>
  <c r="DF10" i="19"/>
  <c r="I10" i="19"/>
  <c r="H10" i="19" s="1"/>
  <c r="DG10" i="19"/>
  <c r="Q10" i="19"/>
  <c r="CV5" i="8"/>
  <c r="P5" i="8" s="1"/>
  <c r="Q5" i="8" s="1"/>
  <c r="PX5" i="8"/>
  <c r="H5" i="8"/>
  <c r="K5" i="8"/>
  <c r="O7" i="18"/>
  <c r="PX7" i="18"/>
  <c r="P7" i="18"/>
  <c r="Q7" i="18" s="1"/>
  <c r="M7" i="18"/>
  <c r="H7" i="18"/>
  <c r="K7" i="18"/>
  <c r="W8" i="4" l="1"/>
  <c r="X8" i="4"/>
  <c r="T14" i="21"/>
  <c r="V14" i="21" s="1"/>
  <c r="E9" i="24"/>
  <c r="N9" i="24"/>
  <c r="T12" i="21"/>
  <c r="U12" i="21" s="1"/>
  <c r="M9" i="24"/>
  <c r="T10" i="19"/>
  <c r="U10" i="19" s="1"/>
  <c r="R5" i="8"/>
  <c r="E5" i="8"/>
  <c r="R7" i="18"/>
  <c r="E7" i="18"/>
  <c r="A7" i="18" s="1"/>
  <c r="E14" i="21" l="1"/>
  <c r="U14" i="21"/>
  <c r="E12" i="21"/>
  <c r="V12" i="21"/>
  <c r="E10" i="19"/>
  <c r="V10" i="19"/>
  <c r="CG4" i="23" l="1"/>
  <c r="CH4" i="23"/>
  <c r="CI4" i="23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CG4" i="24"/>
  <c r="CH4" i="24"/>
  <c r="CI4" i="24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7" i="24"/>
  <c r="SY7" i="24"/>
  <c r="TJ7" i="24" s="1"/>
  <c r="SX7" i="24"/>
  <c r="TI7" i="24" s="1"/>
  <c r="SW7" i="24"/>
  <c r="SV7" i="24"/>
  <c r="SU7" i="24"/>
  <c r="ST7" i="24"/>
  <c r="TF7" i="24" s="1"/>
  <c r="SS7" i="24"/>
  <c r="TE7" i="24" s="1"/>
  <c r="SR7" i="24"/>
  <c r="SQ7" i="24"/>
  <c r="SP7" i="24"/>
  <c r="SO7" i="24"/>
  <c r="TC7" i="24" s="1"/>
  <c r="SN7" i="24"/>
  <c r="TB7" i="24" s="1"/>
  <c r="SM7" i="24"/>
  <c r="SL7" i="24"/>
  <c r="SJ7" i="24"/>
  <c r="SI7" i="24"/>
  <c r="SH7" i="24"/>
  <c r="SG7" i="24"/>
  <c r="SF7" i="24"/>
  <c r="SE7" i="24"/>
  <c r="SC7" i="24"/>
  <c r="SB7" i="24"/>
  <c r="SA7" i="24"/>
  <c r="RZ7" i="24"/>
  <c r="RY7" i="24"/>
  <c r="RX7" i="24"/>
  <c r="RB7" i="24"/>
  <c r="RA7" i="24"/>
  <c r="QZ7" i="24"/>
  <c r="QY7" i="24"/>
  <c r="QX7" i="24"/>
  <c r="QW7" i="24"/>
  <c r="QU7" i="24"/>
  <c r="QT7" i="24"/>
  <c r="QS7" i="24"/>
  <c r="QR7" i="24"/>
  <c r="QQ7" i="24"/>
  <c r="QP7" i="24"/>
  <c r="PT7" i="24"/>
  <c r="PS7" i="24"/>
  <c r="PR7" i="24"/>
  <c r="PQ7" i="24"/>
  <c r="PP7" i="24"/>
  <c r="PO7" i="24"/>
  <c r="PM7" i="24"/>
  <c r="PL7" i="24"/>
  <c r="PK7" i="24"/>
  <c r="PJ7" i="24"/>
  <c r="PI7" i="24"/>
  <c r="PH7" i="24"/>
  <c r="OL7" i="24"/>
  <c r="OK7" i="24"/>
  <c r="OJ7" i="24"/>
  <c r="OI7" i="24"/>
  <c r="OH7" i="24"/>
  <c r="OG7" i="24"/>
  <c r="OE7" i="24"/>
  <c r="OD7" i="24"/>
  <c r="OC7" i="24"/>
  <c r="OB7" i="24"/>
  <c r="OA7" i="24"/>
  <c r="NZ7" i="24"/>
  <c r="ND7" i="24"/>
  <c r="NC7" i="24"/>
  <c r="NB7" i="24"/>
  <c r="NA7" i="24"/>
  <c r="MZ7" i="24"/>
  <c r="MY7" i="24"/>
  <c r="MW7" i="24"/>
  <c r="MV7" i="24"/>
  <c r="MU7" i="24"/>
  <c r="MT7" i="24"/>
  <c r="MS7" i="24"/>
  <c r="MR7" i="24"/>
  <c r="LV7" i="24"/>
  <c r="LU7" i="24"/>
  <c r="LT7" i="24"/>
  <c r="LS7" i="24"/>
  <c r="LR7" i="24"/>
  <c r="LQ7" i="24"/>
  <c r="LO7" i="24"/>
  <c r="LN7" i="24"/>
  <c r="LM7" i="24"/>
  <c r="LL7" i="24"/>
  <c r="LK7" i="24"/>
  <c r="LJ7" i="24"/>
  <c r="KN7" i="24"/>
  <c r="KM7" i="24"/>
  <c r="KL7" i="24"/>
  <c r="KK7" i="24"/>
  <c r="KJ7" i="24"/>
  <c r="KI7" i="24"/>
  <c r="KG7" i="24"/>
  <c r="KF7" i="24"/>
  <c r="KE7" i="24"/>
  <c r="KD7" i="24"/>
  <c r="KC7" i="24"/>
  <c r="KB7" i="24"/>
  <c r="JF7" i="24"/>
  <c r="JE7" i="24"/>
  <c r="JD7" i="24"/>
  <c r="JC7" i="24"/>
  <c r="JB7" i="24"/>
  <c r="JA7" i="24"/>
  <c r="IY7" i="24"/>
  <c r="IX7" i="24"/>
  <c r="IW7" i="24"/>
  <c r="IV7" i="24"/>
  <c r="IU7" i="24"/>
  <c r="IT7" i="24"/>
  <c r="HX7" i="24"/>
  <c r="HW7" i="24"/>
  <c r="HV7" i="24"/>
  <c r="HU7" i="24"/>
  <c r="HT7" i="24"/>
  <c r="HS7" i="24"/>
  <c r="HQ7" i="24"/>
  <c r="HP7" i="24"/>
  <c r="HO7" i="24"/>
  <c r="HN7" i="24"/>
  <c r="HM7" i="24"/>
  <c r="HL7" i="24"/>
  <c r="GP7" i="24"/>
  <c r="GO7" i="24"/>
  <c r="GN7" i="24"/>
  <c r="GM7" i="24"/>
  <c r="GL7" i="24"/>
  <c r="GK7" i="24"/>
  <c r="GI7" i="24"/>
  <c r="GH7" i="24"/>
  <c r="GG7" i="24"/>
  <c r="GF7" i="24"/>
  <c r="GE7" i="24"/>
  <c r="GD7" i="24"/>
  <c r="FH7" i="24"/>
  <c r="FG7" i="24"/>
  <c r="FF7" i="24"/>
  <c r="FE7" i="24"/>
  <c r="FD7" i="24"/>
  <c r="FC7" i="24"/>
  <c r="FA7" i="24"/>
  <c r="EZ7" i="24"/>
  <c r="EY7" i="24"/>
  <c r="EX7" i="24"/>
  <c r="EW7" i="24"/>
  <c r="EV7" i="24"/>
  <c r="DZ7" i="24"/>
  <c r="DY7" i="24"/>
  <c r="DX7" i="24"/>
  <c r="DW7" i="24"/>
  <c r="DV7" i="24"/>
  <c r="DU7" i="24"/>
  <c r="DS7" i="24"/>
  <c r="DR7" i="24"/>
  <c r="DQ7" i="24"/>
  <c r="DP7" i="24"/>
  <c r="DO7" i="24"/>
  <c r="DN7" i="24"/>
  <c r="CP7" i="24"/>
  <c r="CO7" i="24"/>
  <c r="CN7" i="24"/>
  <c r="CL7" i="24"/>
  <c r="CK7" i="24"/>
  <c r="CJ7" i="24"/>
  <c r="CI7" i="24"/>
  <c r="CH7" i="24"/>
  <c r="CG7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H5" i="24"/>
  <c r="CG5" i="24"/>
  <c r="CG6" i="23"/>
  <c r="CH6" i="23"/>
  <c r="CI6" i="23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ST6" i="23"/>
  <c r="TF6" i="23" s="1"/>
  <c r="SU6" i="23"/>
  <c r="SV6" i="23"/>
  <c r="SW6" i="23"/>
  <c r="SX6" i="23"/>
  <c r="TI6" i="23" s="1"/>
  <c r="SY6" i="23"/>
  <c r="TJ6" i="23" s="1"/>
  <c r="SZ6" i="23"/>
  <c r="CG7" i="23"/>
  <c r="CH7" i="23"/>
  <c r="CI7" i="23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Y7" i="23"/>
  <c r="MZ7" i="23"/>
  <c r="NA7" i="23"/>
  <c r="NB7" i="23"/>
  <c r="NC7" i="23"/>
  <c r="ND7" i="23"/>
  <c r="NZ7" i="23"/>
  <c r="OA7" i="23"/>
  <c r="OB7" i="23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11" i="22"/>
  <c r="TI11" i="22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ED14" i="19"/>
  <c r="CX14" i="19"/>
  <c r="CY14" i="19"/>
  <c r="CZ14" i="19"/>
  <c r="DA14" i="19"/>
  <c r="DC14" i="19"/>
  <c r="DD14" i="19"/>
  <c r="EC14" i="19"/>
  <c r="EE14" i="19"/>
  <c r="EF14" i="19"/>
  <c r="EH14" i="19"/>
  <c r="EI14" i="19"/>
  <c r="FE14" i="19"/>
  <c r="FF14" i="19"/>
  <c r="FG14" i="19"/>
  <c r="FH14" i="19"/>
  <c r="FJ14" i="19"/>
  <c r="FK14" i="19"/>
  <c r="GG14" i="19"/>
  <c r="GH14" i="19"/>
  <c r="GI14" i="19"/>
  <c r="GJ14" i="19"/>
  <c r="GL14" i="19"/>
  <c r="GM14" i="19"/>
  <c r="HI14" i="19"/>
  <c r="HJ14" i="19"/>
  <c r="HK14" i="19"/>
  <c r="HL14" i="19"/>
  <c r="HN14" i="19"/>
  <c r="HO14" i="19"/>
  <c r="IK14" i="19"/>
  <c r="IL14" i="19"/>
  <c r="IM14" i="19"/>
  <c r="IN14" i="19"/>
  <c r="IP14" i="19"/>
  <c r="IQ14" i="19"/>
  <c r="JM14" i="19"/>
  <c r="JN14" i="19"/>
  <c r="JO14" i="19"/>
  <c r="JP14" i="19"/>
  <c r="JR14" i="19"/>
  <c r="JS14" i="19"/>
  <c r="KO14" i="19"/>
  <c r="KP14" i="19"/>
  <c r="KQ14" i="19"/>
  <c r="KR14" i="19"/>
  <c r="KT14" i="19"/>
  <c r="KU14" i="19"/>
  <c r="LQ14" i="19"/>
  <c r="LR14" i="19"/>
  <c r="LS14" i="19"/>
  <c r="LT14" i="19"/>
  <c r="LV14" i="19"/>
  <c r="LW14" i="19"/>
  <c r="MS14" i="19"/>
  <c r="MT14" i="19"/>
  <c r="MU14" i="19"/>
  <c r="MV14" i="19"/>
  <c r="MX14" i="19"/>
  <c r="MY14" i="19"/>
  <c r="NU14" i="19"/>
  <c r="NV14" i="19"/>
  <c r="NW14" i="19"/>
  <c r="NX14" i="19"/>
  <c r="NZ14" i="19"/>
  <c r="OA14" i="19"/>
  <c r="OW14" i="19"/>
  <c r="OX14" i="19"/>
  <c r="OY14" i="19"/>
  <c r="OZ14" i="19"/>
  <c r="PB14" i="19"/>
  <c r="PC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M7" i="24" l="1"/>
  <c r="CM5" i="24"/>
  <c r="CM4" i="24"/>
  <c r="CQ4" i="24" s="1"/>
  <c r="CM7" i="23"/>
  <c r="CQ7" i="23" s="1"/>
  <c r="CM6" i="23"/>
  <c r="CQ6" i="23" s="1"/>
  <c r="CM4" i="23"/>
  <c r="CQ4" i="23" s="1"/>
  <c r="OF4" i="23"/>
  <c r="OM4" i="23" s="1"/>
  <c r="MX4" i="23"/>
  <c r="NE4" i="23" s="1"/>
  <c r="CW7" i="22"/>
  <c r="HR4" i="23"/>
  <c r="HY4" i="23" s="1"/>
  <c r="LP5" i="24"/>
  <c r="SD4" i="24"/>
  <c r="SK4" i="24" s="1"/>
  <c r="CW13" i="22"/>
  <c r="DA13" i="22" s="1"/>
  <c r="TU13" i="22"/>
  <c r="QV4" i="24"/>
  <c r="RC4" i="24" s="1"/>
  <c r="OF4" i="24"/>
  <c r="OM4" i="24" s="1"/>
  <c r="LP4" i="24"/>
  <c r="LW4" i="24" s="1"/>
  <c r="IZ4" i="24"/>
  <c r="JG4" i="24" s="1"/>
  <c r="GJ4" i="24"/>
  <c r="GQ4" i="24" s="1"/>
  <c r="SD4" i="23"/>
  <c r="SK4" i="23" s="1"/>
  <c r="PN4" i="23"/>
  <c r="PU4" i="23" s="1"/>
  <c r="QV5" i="23"/>
  <c r="RC5" i="23" s="1"/>
  <c r="MX5" i="23"/>
  <c r="NE5" i="23" s="1"/>
  <c r="CQ5" i="23"/>
  <c r="DT4" i="24"/>
  <c r="EA4" i="24" s="1"/>
  <c r="MX4" i="24"/>
  <c r="NE4" i="24" s="1"/>
  <c r="HR4" i="24"/>
  <c r="HY4" i="24" s="1"/>
  <c r="PN4" i="24"/>
  <c r="PU4" i="24" s="1"/>
  <c r="DT4" i="23"/>
  <c r="EA4" i="23" s="1"/>
  <c r="LP5" i="23"/>
  <c r="LW5" i="23" s="1"/>
  <c r="QV6" i="23"/>
  <c r="RC6" i="23" s="1"/>
  <c r="KH4" i="23"/>
  <c r="KO4" i="23" s="1"/>
  <c r="FB5" i="23"/>
  <c r="FI5" i="23" s="1"/>
  <c r="QV4" i="23"/>
  <c r="RC4" i="23" s="1"/>
  <c r="LP4" i="23"/>
  <c r="LW4" i="23" s="1"/>
  <c r="IZ4" i="23"/>
  <c r="JG4" i="23" s="1"/>
  <c r="P4" i="22"/>
  <c r="DC4" i="22" s="1"/>
  <c r="GJ4" i="23"/>
  <c r="GQ4" i="23" s="1"/>
  <c r="GJ5" i="23"/>
  <c r="GQ5" i="23" s="1"/>
  <c r="FB4" i="23"/>
  <c r="FI4" i="23" s="1"/>
  <c r="TK4" i="23"/>
  <c r="TG4" i="23"/>
  <c r="TD4" i="23"/>
  <c r="J4" i="23"/>
  <c r="F4" i="23"/>
  <c r="I4" i="23"/>
  <c r="G4" i="23"/>
  <c r="HR5" i="23"/>
  <c r="HY5" i="23" s="1"/>
  <c r="PN5" i="23"/>
  <c r="PU5" i="23" s="1"/>
  <c r="SD5" i="23"/>
  <c r="SK5" i="23" s="1"/>
  <c r="OF5" i="23"/>
  <c r="OM5" i="23" s="1"/>
  <c r="KH5" i="23"/>
  <c r="KO5" i="23" s="1"/>
  <c r="IZ5" i="23"/>
  <c r="JG5" i="23" s="1"/>
  <c r="DT5" i="23"/>
  <c r="EA5" i="23" s="1"/>
  <c r="TK5" i="23"/>
  <c r="TG5" i="23"/>
  <c r="TD5" i="23"/>
  <c r="F5" i="23"/>
  <c r="J5" i="23"/>
  <c r="I5" i="23"/>
  <c r="G5" i="23"/>
  <c r="LP6" i="23"/>
  <c r="LW6" i="23" s="1"/>
  <c r="KH4" i="24"/>
  <c r="KO4" i="24" s="1"/>
  <c r="FB4" i="24"/>
  <c r="FI4" i="24" s="1"/>
  <c r="TK4" i="24"/>
  <c r="TD4" i="24"/>
  <c r="F4" i="24"/>
  <c r="J4" i="24"/>
  <c r="I4" i="24"/>
  <c r="G4" i="24"/>
  <c r="TG4" i="24"/>
  <c r="LP7" i="24"/>
  <c r="LW7" i="24" s="1"/>
  <c r="SN5" i="22"/>
  <c r="SU5" i="22" s="1"/>
  <c r="SN11" i="22"/>
  <c r="SU11" i="22" s="1"/>
  <c r="P13" i="22"/>
  <c r="Q13" i="22" s="1"/>
  <c r="F5" i="24"/>
  <c r="I7" i="24"/>
  <c r="I5" i="24"/>
  <c r="FB7" i="24"/>
  <c r="FI7" i="24" s="1"/>
  <c r="HR7" i="24"/>
  <c r="HY7" i="24" s="1"/>
  <c r="KH7" i="24"/>
  <c r="KO7" i="24" s="1"/>
  <c r="CQ5" i="24"/>
  <c r="FB5" i="24"/>
  <c r="FI5" i="24" s="1"/>
  <c r="MX7" i="24"/>
  <c r="NE7" i="24" s="1"/>
  <c r="PN7" i="24"/>
  <c r="PU7" i="24" s="1"/>
  <c r="DT5" i="24"/>
  <c r="EA5" i="24" s="1"/>
  <c r="IZ5" i="24"/>
  <c r="JG5" i="24" s="1"/>
  <c r="OF5" i="24"/>
  <c r="OM5" i="24" s="1"/>
  <c r="QV5" i="24"/>
  <c r="RC5" i="24" s="1"/>
  <c r="J5" i="24"/>
  <c r="TG7" i="24"/>
  <c r="F7" i="24"/>
  <c r="OF7" i="24"/>
  <c r="OM7" i="24" s="1"/>
  <c r="QV7" i="24"/>
  <c r="RC7" i="24" s="1"/>
  <c r="G7" i="24"/>
  <c r="G5" i="24"/>
  <c r="J7" i="24"/>
  <c r="K7" i="24" s="1"/>
  <c r="PN7" i="23"/>
  <c r="PU7" i="23" s="1"/>
  <c r="P9" i="22"/>
  <c r="Q9" i="22" s="1"/>
  <c r="SN8" i="22"/>
  <c r="SU8" i="22" s="1"/>
  <c r="SN9" i="22"/>
  <c r="SU9" i="22" s="1"/>
  <c r="DA7" i="22"/>
  <c r="CW4" i="22"/>
  <c r="DA4" i="22" s="1"/>
  <c r="SN4" i="22"/>
  <c r="SU4" i="22" s="1"/>
  <c r="P8" i="22"/>
  <c r="DC8" i="22" s="1"/>
  <c r="TD5" i="24"/>
  <c r="TG5" i="24"/>
  <c r="LW5" i="24"/>
  <c r="TK5" i="24"/>
  <c r="TD7" i="24"/>
  <c r="GJ5" i="24"/>
  <c r="GQ5" i="24" s="1"/>
  <c r="SD7" i="24"/>
  <c r="SK7" i="24" s="1"/>
  <c r="TK7" i="24"/>
  <c r="HR5" i="24"/>
  <c r="HY5" i="24" s="1"/>
  <c r="KH5" i="24"/>
  <c r="KO5" i="24" s="1"/>
  <c r="MX5" i="24"/>
  <c r="NE5" i="24" s="1"/>
  <c r="PN5" i="24"/>
  <c r="PU5" i="24" s="1"/>
  <c r="SD5" i="24"/>
  <c r="SK5" i="24" s="1"/>
  <c r="CQ7" i="24"/>
  <c r="DT7" i="24"/>
  <c r="EA7" i="24" s="1"/>
  <c r="GJ7" i="24"/>
  <c r="GQ7" i="24" s="1"/>
  <c r="IZ7" i="24"/>
  <c r="JG7" i="24" s="1"/>
  <c r="J7" i="23"/>
  <c r="J6" i="23"/>
  <c r="K6" i="23" s="1"/>
  <c r="SD6" i="23"/>
  <c r="SK6" i="23" s="1"/>
  <c r="PN6" i="23"/>
  <c r="PU6" i="23" s="1"/>
  <c r="KH6" i="23"/>
  <c r="KO6" i="23" s="1"/>
  <c r="FB6" i="23"/>
  <c r="FI6" i="23" s="1"/>
  <c r="OF7" i="23"/>
  <c r="OM7" i="23" s="1"/>
  <c r="LP7" i="23"/>
  <c r="LW7" i="23" s="1"/>
  <c r="IZ7" i="23"/>
  <c r="JG7" i="23" s="1"/>
  <c r="DT7" i="23"/>
  <c r="EA7" i="23" s="1"/>
  <c r="KH7" i="23"/>
  <c r="KO7" i="23" s="1"/>
  <c r="FB7" i="23"/>
  <c r="FI7" i="23" s="1"/>
  <c r="IZ6" i="23"/>
  <c r="JG6" i="23" s="1"/>
  <c r="DT6" i="23"/>
  <c r="EA6" i="23" s="1"/>
  <c r="TG7" i="23"/>
  <c r="TD6" i="23"/>
  <c r="TG6" i="23"/>
  <c r="SD7" i="23"/>
  <c r="SK7" i="23" s="1"/>
  <c r="GJ7" i="23"/>
  <c r="GQ7" i="23" s="1"/>
  <c r="MX6" i="23"/>
  <c r="NE6" i="23" s="1"/>
  <c r="F7" i="23"/>
  <c r="HR6" i="23"/>
  <c r="HY6" i="23" s="1"/>
  <c r="TD7" i="23"/>
  <c r="MX7" i="23"/>
  <c r="NE7" i="23" s="1"/>
  <c r="GJ6" i="23"/>
  <c r="GQ6" i="23" s="1"/>
  <c r="TK6" i="23"/>
  <c r="QV7" i="23"/>
  <c r="RC7" i="23" s="1"/>
  <c r="HR7" i="23"/>
  <c r="HY7" i="23" s="1"/>
  <c r="OF6" i="23"/>
  <c r="OM6" i="23" s="1"/>
  <c r="I6" i="23"/>
  <c r="TK7" i="23"/>
  <c r="G6" i="23"/>
  <c r="TE6" i="23"/>
  <c r="F6" i="23"/>
  <c r="I7" i="23"/>
  <c r="G7" i="23"/>
  <c r="J5" i="22"/>
  <c r="K5" i="22" s="1"/>
  <c r="TU8" i="22"/>
  <c r="CW5" i="22"/>
  <c r="DA5" i="22" s="1"/>
  <c r="L7" i="22"/>
  <c r="M7" i="22" s="1"/>
  <c r="TQ4" i="22"/>
  <c r="TN7" i="22"/>
  <c r="TU5" i="22"/>
  <c r="TN8" i="22"/>
  <c r="L9" i="22"/>
  <c r="M9" i="22" s="1"/>
  <c r="R4" i="22"/>
  <c r="S4" i="22" s="1"/>
  <c r="L8" i="22"/>
  <c r="M8" i="22" s="1"/>
  <c r="T8" i="22"/>
  <c r="U8" i="22" s="1"/>
  <c r="I6" i="22"/>
  <c r="TU4" i="22"/>
  <c r="TQ7" i="22"/>
  <c r="TN9" i="22"/>
  <c r="N8" i="22"/>
  <c r="TQ9" i="22"/>
  <c r="F5" i="22"/>
  <c r="P6" i="22"/>
  <c r="Q6" i="22" s="1"/>
  <c r="TN6" i="22"/>
  <c r="TQ6" i="22"/>
  <c r="N9" i="22"/>
  <c r="P11" i="22"/>
  <c r="DC11" i="22" s="1"/>
  <c r="L5" i="22"/>
  <c r="M5" i="22" s="1"/>
  <c r="J4" i="22"/>
  <c r="K4" i="22" s="1"/>
  <c r="TU9" i="22"/>
  <c r="TQ8" i="22"/>
  <c r="TN11" i="22"/>
  <c r="N5" i="22"/>
  <c r="T5" i="22"/>
  <c r="U5" i="22" s="1"/>
  <c r="TQ5" i="22"/>
  <c r="T6" i="22"/>
  <c r="U6" i="22" s="1"/>
  <c r="CW6" i="22"/>
  <c r="DA6" i="22" s="1"/>
  <c r="N4" i="22"/>
  <c r="J7" i="22"/>
  <c r="K7" i="22" s="1"/>
  <c r="G9" i="22"/>
  <c r="TQ11" i="22"/>
  <c r="P5" i="22"/>
  <c r="I5" i="22"/>
  <c r="SN7" i="22"/>
  <c r="SU7" i="22" s="1"/>
  <c r="TU7" i="22"/>
  <c r="CW9" i="22"/>
  <c r="DA9" i="22" s="1"/>
  <c r="CW11" i="22"/>
  <c r="DA11" i="22" s="1"/>
  <c r="TN13" i="22"/>
  <c r="TN4" i="22"/>
  <c r="T13" i="22"/>
  <c r="U13" i="22" s="1"/>
  <c r="SN13" i="22"/>
  <c r="SU13" i="22" s="1"/>
  <c r="TQ13" i="22"/>
  <c r="G5" i="22"/>
  <c r="T4" i="22"/>
  <c r="U4" i="22" s="1"/>
  <c r="I9" i="22"/>
  <c r="R8" i="22"/>
  <c r="S8" i="22" s="1"/>
  <c r="R7" i="22"/>
  <c r="S7" i="22" s="1"/>
  <c r="R5" i="22"/>
  <c r="S5" i="22" s="1"/>
  <c r="TN5" i="22"/>
  <c r="L6" i="22"/>
  <c r="T7" i="22"/>
  <c r="U7" i="22" s="1"/>
  <c r="F4" i="22"/>
  <c r="I4" i="22"/>
  <c r="R6" i="22"/>
  <c r="S6" i="22" s="1"/>
  <c r="F6" i="22"/>
  <c r="SN6" i="22"/>
  <c r="SU6" i="22" s="1"/>
  <c r="P7" i="22"/>
  <c r="F9" i="22"/>
  <c r="I8" i="22"/>
  <c r="F8" i="22"/>
  <c r="I11" i="22"/>
  <c r="J6" i="22"/>
  <c r="G6" i="22"/>
  <c r="N6" i="22"/>
  <c r="CW8" i="22"/>
  <c r="DA8" i="22" s="1"/>
  <c r="I13" i="22"/>
  <c r="N13" i="22"/>
  <c r="F13" i="22"/>
  <c r="G7" i="22"/>
  <c r="J8" i="22"/>
  <c r="DC13" i="22"/>
  <c r="TU6" i="22"/>
  <c r="F7" i="22"/>
  <c r="N7" i="22"/>
  <c r="J11" i="22"/>
  <c r="TU11" i="22"/>
  <c r="TT11" i="22"/>
  <c r="J9" i="22"/>
  <c r="R9" i="22"/>
  <c r="S9" i="22" s="1"/>
  <c r="G8" i="22"/>
  <c r="L4" i="22"/>
  <c r="I7" i="22"/>
  <c r="T9" i="22"/>
  <c r="U9" i="22" s="1"/>
  <c r="N11" i="22"/>
  <c r="L11" i="22"/>
  <c r="L13" i="22"/>
  <c r="G4" i="22"/>
  <c r="F11" i="22"/>
  <c r="T11" i="22"/>
  <c r="U11" i="22" s="1"/>
  <c r="R11" i="22"/>
  <c r="S11" i="22" s="1"/>
  <c r="G13" i="22"/>
  <c r="J13" i="22"/>
  <c r="R13" i="22"/>
  <c r="S13" i="22" s="1"/>
  <c r="G11" i="22"/>
  <c r="QC14" i="19"/>
  <c r="LU14" i="19"/>
  <c r="NY14" i="19"/>
  <c r="JQ14" i="19"/>
  <c r="FI14" i="19"/>
  <c r="DB14" i="19"/>
  <c r="R14" i="19"/>
  <c r="HM14" i="19"/>
  <c r="RD14" i="19"/>
  <c r="IO14" i="19"/>
  <c r="EG14" i="19"/>
  <c r="RH14" i="19"/>
  <c r="RG14" i="19"/>
  <c r="PA14" i="19"/>
  <c r="KS14" i="19"/>
  <c r="GK14" i="19"/>
  <c r="N14" i="19"/>
  <c r="O14" i="19" s="1"/>
  <c r="L14" i="19"/>
  <c r="DF14" i="19" s="1"/>
  <c r="RC14" i="19"/>
  <c r="DE14" i="19"/>
  <c r="RB14" i="19"/>
  <c r="MW14" i="19"/>
  <c r="J14" i="19"/>
  <c r="K14" i="19" s="1"/>
  <c r="F14" i="19"/>
  <c r="RE14" i="19"/>
  <c r="QF14" i="19"/>
  <c r="PD14" i="19"/>
  <c r="OB14" i="19"/>
  <c r="MZ14" i="19"/>
  <c r="LX14" i="19"/>
  <c r="KV14" i="19"/>
  <c r="JT14" i="19"/>
  <c r="IR14" i="19"/>
  <c r="HP14" i="19"/>
  <c r="GN14" i="19"/>
  <c r="FL14" i="19"/>
  <c r="EJ14" i="19"/>
  <c r="P14" i="19"/>
  <c r="G14" i="19"/>
  <c r="DB4" i="22" l="1"/>
  <c r="CR4" i="23"/>
  <c r="TR9" i="22"/>
  <c r="TV9" i="22" s="1"/>
  <c r="TR7" i="22"/>
  <c r="TV7" i="22" s="1"/>
  <c r="Q4" i="22"/>
  <c r="TR5" i="22"/>
  <c r="TV5" i="22" s="1"/>
  <c r="DC9" i="22"/>
  <c r="Q11" i="22"/>
  <c r="CR4" i="24"/>
  <c r="CS4" i="24"/>
  <c r="Q8" i="22"/>
  <c r="O9" i="22"/>
  <c r="DB9" i="22"/>
  <c r="O11" i="22"/>
  <c r="DB11" i="22"/>
  <c r="V11" i="22" s="1"/>
  <c r="X11" i="22" s="1"/>
  <c r="O7" i="22"/>
  <c r="DB7" i="22"/>
  <c r="O5" i="22"/>
  <c r="DB5" i="22"/>
  <c r="O8" i="22"/>
  <c r="DB8" i="22"/>
  <c r="V8" i="22" s="1"/>
  <c r="X8" i="22" s="1"/>
  <c r="O6" i="22"/>
  <c r="DB6" i="22"/>
  <c r="O13" i="22"/>
  <c r="DB13" i="22"/>
  <c r="V13" i="22" s="1"/>
  <c r="X13" i="22" s="1"/>
  <c r="Q5" i="22"/>
  <c r="DC5" i="22"/>
  <c r="O4" i="22"/>
  <c r="TR8" i="22"/>
  <c r="TV8" i="22" s="1"/>
  <c r="TR4" i="22"/>
  <c r="TV4" i="22" s="1"/>
  <c r="H9" i="22"/>
  <c r="CS4" i="23"/>
  <c r="TR13" i="22"/>
  <c r="TV13" i="22" s="1"/>
  <c r="TR11" i="22"/>
  <c r="TV11" i="22" s="1"/>
  <c r="TH4" i="24"/>
  <c r="TL4" i="24" s="1"/>
  <c r="K4" i="24"/>
  <c r="TH4" i="23"/>
  <c r="TL4" i="23" s="1"/>
  <c r="K4" i="23"/>
  <c r="H4" i="23"/>
  <c r="H5" i="23"/>
  <c r="TH5" i="23"/>
  <c r="TL5" i="23" s="1"/>
  <c r="K5" i="23"/>
  <c r="CS5" i="23"/>
  <c r="CR5" i="23"/>
  <c r="TH7" i="23"/>
  <c r="TL7" i="23" s="1"/>
  <c r="H4" i="24"/>
  <c r="H4" i="22"/>
  <c r="H5" i="24"/>
  <c r="TH7" i="24"/>
  <c r="TL7" i="24" s="1"/>
  <c r="CS7" i="24"/>
  <c r="CR7" i="24"/>
  <c r="K5" i="24"/>
  <c r="CS5" i="24"/>
  <c r="CR5" i="24"/>
  <c r="H7" i="24"/>
  <c r="CR6" i="23"/>
  <c r="CS6" i="23"/>
  <c r="CS7" i="23"/>
  <c r="CR7" i="23"/>
  <c r="K7" i="23"/>
  <c r="TH5" i="24"/>
  <c r="TL5" i="24" s="1"/>
  <c r="TH6" i="23"/>
  <c r="TL6" i="23" s="1"/>
  <c r="A7" i="24" a="1"/>
  <c r="A7" i="24" s="1"/>
  <c r="H7" i="23"/>
  <c r="H6" i="23"/>
  <c r="H5" i="22"/>
  <c r="DC6" i="22"/>
  <c r="H8" i="22"/>
  <c r="H11" i="22"/>
  <c r="H13" i="22"/>
  <c r="TR6" i="22"/>
  <c r="TV6" i="22" s="1"/>
  <c r="K9" i="22"/>
  <c r="M13" i="22"/>
  <c r="M4" i="22"/>
  <c r="V4" i="22"/>
  <c r="X4" i="22" s="1"/>
  <c r="A13" i="22" a="1"/>
  <c r="A13" i="22" s="1"/>
  <c r="K6" i="22"/>
  <c r="K13" i="22"/>
  <c r="K8" i="22"/>
  <c r="M6" i="22"/>
  <c r="M11" i="22"/>
  <c r="H7" i="22"/>
  <c r="DC7" i="22"/>
  <c r="Q7" i="22"/>
  <c r="K11" i="22"/>
  <c r="H6" i="22"/>
  <c r="Q14" i="19"/>
  <c r="DG14" i="19"/>
  <c r="S14" i="19"/>
  <c r="DH14" i="19"/>
  <c r="M14" i="19"/>
  <c r="RF14" i="19"/>
  <c r="I14" i="19"/>
  <c r="H14" i="19" s="1"/>
  <c r="RI14" i="19"/>
  <c r="L4" i="23" l="1"/>
  <c r="N4" i="23" s="1"/>
  <c r="V9" i="22"/>
  <c r="X9" i="22" s="1"/>
  <c r="V7" i="22"/>
  <c r="X7" i="22" s="1"/>
  <c r="T14" i="19"/>
  <c r="U14" i="19" s="1"/>
  <c r="L4" i="24"/>
  <c r="E4" i="23"/>
  <c r="L5" i="23"/>
  <c r="E5" i="23" s="1"/>
  <c r="L5" i="24"/>
  <c r="L6" i="23"/>
  <c r="L7" i="24"/>
  <c r="N7" i="24" s="1"/>
  <c r="L7" i="23"/>
  <c r="N7" i="23" s="1"/>
  <c r="V6" i="22"/>
  <c r="X6" i="22" s="1"/>
  <c r="V5" i="22"/>
  <c r="X5" i="22" s="1"/>
  <c r="E4" i="22"/>
  <c r="E13" i="22"/>
  <c r="E8" i="22"/>
  <c r="E11" i="22"/>
  <c r="W8" i="22"/>
  <c r="W13" i="22"/>
  <c r="W11" i="22"/>
  <c r="W4" i="22"/>
  <c r="M4" i="23" l="1"/>
  <c r="W9" i="22"/>
  <c r="E9" i="22"/>
  <c r="N4" i="24"/>
  <c r="E4" i="24"/>
  <c r="E5" i="24"/>
  <c r="N5" i="24"/>
  <c r="M5" i="23"/>
  <c r="N5" i="23"/>
  <c r="M6" i="23"/>
  <c r="N6" i="23"/>
  <c r="W6" i="22"/>
  <c r="E5" i="22"/>
  <c r="V14" i="19"/>
  <c r="E14" i="19"/>
  <c r="M4" i="24"/>
  <c r="E7" i="22"/>
  <c r="W7" i="22"/>
  <c r="M5" i="24"/>
  <c r="E6" i="23"/>
  <c r="M7" i="24"/>
  <c r="E7" i="24"/>
  <c r="M7" i="23"/>
  <c r="E7" i="23"/>
  <c r="A7" i="23" s="1" a="1"/>
  <c r="A7" i="23" s="1"/>
  <c r="W5" i="22"/>
  <c r="E6" i="22"/>
  <c r="CX22" i="19"/>
  <c r="CY22" i="19"/>
  <c r="CZ22" i="19"/>
  <c r="DA22" i="19"/>
  <c r="DC22" i="19"/>
  <c r="DD22" i="19"/>
  <c r="EC22" i="19"/>
  <c r="ED22" i="19"/>
  <c r="EE22" i="19"/>
  <c r="EF22" i="19"/>
  <c r="EH22" i="19"/>
  <c r="EI22" i="19"/>
  <c r="FE22" i="19"/>
  <c r="FF22" i="19"/>
  <c r="FG22" i="19"/>
  <c r="FH22" i="19"/>
  <c r="FJ22" i="19"/>
  <c r="FK22" i="19"/>
  <c r="GG22" i="19"/>
  <c r="GH22" i="19"/>
  <c r="GI22" i="19"/>
  <c r="GJ22" i="19"/>
  <c r="GL22" i="19"/>
  <c r="GM22" i="19"/>
  <c r="HI22" i="19"/>
  <c r="HJ22" i="19"/>
  <c r="HK22" i="19"/>
  <c r="HL22" i="19"/>
  <c r="HN22" i="19"/>
  <c r="HO22" i="19"/>
  <c r="IK22" i="19"/>
  <c r="IL22" i="19"/>
  <c r="IM22" i="19"/>
  <c r="IN22" i="19"/>
  <c r="IP22" i="19"/>
  <c r="IQ22" i="19"/>
  <c r="JM22" i="19"/>
  <c r="JN22" i="19"/>
  <c r="JO22" i="19"/>
  <c r="JP22" i="19"/>
  <c r="JR22" i="19"/>
  <c r="JS22" i="19"/>
  <c r="KO22" i="19"/>
  <c r="KP22" i="19"/>
  <c r="KQ22" i="19"/>
  <c r="KR22" i="19"/>
  <c r="KT22" i="19"/>
  <c r="KU22" i="19"/>
  <c r="LQ22" i="19"/>
  <c r="LR22" i="19"/>
  <c r="LS22" i="19"/>
  <c r="LT22" i="19"/>
  <c r="LV22" i="19"/>
  <c r="LW22" i="19"/>
  <c r="MS22" i="19"/>
  <c r="MT22" i="19"/>
  <c r="MU22" i="19"/>
  <c r="MV22" i="19"/>
  <c r="MX22" i="19"/>
  <c r="MY22" i="19"/>
  <c r="NU22" i="19"/>
  <c r="NV22" i="19"/>
  <c r="NW22" i="19"/>
  <c r="NX22" i="19"/>
  <c r="NZ22" i="19"/>
  <c r="OA22" i="19"/>
  <c r="OW22" i="19"/>
  <c r="OX22" i="19"/>
  <c r="OY22" i="19"/>
  <c r="OZ22" i="19"/>
  <c r="PB22" i="19"/>
  <c r="PC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10" i="22" l="1" a="1"/>
  <c r="A10" i="22" s="1"/>
  <c r="A12" i="22" a="1"/>
  <c r="A12" i="22" s="1"/>
  <c r="A6" i="24" a="1"/>
  <c r="A6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GK22" i="19"/>
  <c r="A8" i="22" a="1"/>
  <c r="A8" i="22" s="1"/>
  <c r="R18" i="4"/>
  <c r="S18" i="4" s="1"/>
  <c r="T18" i="4"/>
  <c r="U18" i="4" s="1"/>
  <c r="A7" i="22" a="1"/>
  <c r="A7" i="22" s="1"/>
  <c r="A11" i="22" a="1"/>
  <c r="A11" i="22" s="1"/>
  <c r="A6" i="22" a="1"/>
  <c r="A6" i="22" s="1"/>
  <c r="A9" i="22" a="1"/>
  <c r="A9" i="22" s="1"/>
  <c r="A5" i="22" a="1"/>
  <c r="A5" i="22" s="1"/>
  <c r="A4" i="22" a="1"/>
  <c r="A4" i="22" s="1"/>
  <c r="DE22" i="19"/>
  <c r="IO22" i="19"/>
  <c r="EG22" i="19"/>
  <c r="MW22" i="19"/>
  <c r="HM22" i="19"/>
  <c r="CW18" i="4"/>
  <c r="DA18" i="4" s="1"/>
  <c r="QC22" i="19"/>
  <c r="PA22" i="19"/>
  <c r="NY22" i="19"/>
  <c r="LU22" i="19"/>
  <c r="KS22" i="19"/>
  <c r="JQ22" i="19"/>
  <c r="FI22" i="19"/>
  <c r="N22" i="19"/>
  <c r="O22" i="19" s="1"/>
  <c r="RG22" i="19"/>
  <c r="DB22" i="19"/>
  <c r="L22" i="19"/>
  <c r="RH22" i="19"/>
  <c r="RD22" i="19"/>
  <c r="RC22" i="19"/>
  <c r="RB22" i="19"/>
  <c r="R22" i="19"/>
  <c r="DH22" i="19" s="1"/>
  <c r="F22" i="19"/>
  <c r="J22" i="19"/>
  <c r="K22" i="19" s="1"/>
  <c r="RE22" i="19"/>
  <c r="QF22" i="19"/>
  <c r="PD22" i="19"/>
  <c r="OB22" i="19"/>
  <c r="MZ22" i="19"/>
  <c r="LX22" i="19"/>
  <c r="KV22" i="19"/>
  <c r="JT22" i="19"/>
  <c r="IR22" i="19"/>
  <c r="HP22" i="19"/>
  <c r="GN22" i="19"/>
  <c r="FL22" i="19"/>
  <c r="EJ22" i="19"/>
  <c r="P22" i="19"/>
  <c r="G22" i="19"/>
  <c r="SN18" i="4"/>
  <c r="SU18" i="4" s="1"/>
  <c r="J18" i="4"/>
  <c r="K18" i="4" s="1"/>
  <c r="TN18" i="4"/>
  <c r="TQ18" i="4"/>
  <c r="TU18" i="4"/>
  <c r="L18" i="4"/>
  <c r="G18" i="4"/>
  <c r="I18" i="4"/>
  <c r="P18" i="4"/>
  <c r="DC18" i="4" s="1"/>
  <c r="N18" i="4"/>
  <c r="F18" i="4"/>
  <c r="C22" i="11" l="1"/>
  <c r="D18" i="11"/>
  <c r="O18" i="4"/>
  <c r="DB18" i="4"/>
  <c r="V18" i="4" s="1"/>
  <c r="X18" i="4" s="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DF22" i="19"/>
  <c r="Q22" i="19"/>
  <c r="DG22" i="19"/>
  <c r="M18" i="4"/>
  <c r="S22" i="19"/>
  <c r="I22" i="19"/>
  <c r="H22" i="19" s="1"/>
  <c r="RI22" i="19"/>
  <c r="A18" i="4" a="1"/>
  <c r="A18" i="4" s="1"/>
  <c r="RF22" i="19"/>
  <c r="A22" i="19"/>
  <c r="TR18" i="4"/>
  <c r="TV18" i="4" s="1"/>
  <c r="Q18" i="4"/>
  <c r="H18" i="4"/>
  <c r="T22" i="19" l="1"/>
  <c r="U22" i="19" s="1"/>
  <c r="W18" i="4"/>
  <c r="E18" i="4"/>
  <c r="E22" i="19" l="1"/>
  <c r="V22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F13" i="4"/>
  <c r="J13" i="4"/>
  <c r="I13" i="4"/>
  <c r="TN13" i="4"/>
  <c r="G13" i="4"/>
  <c r="N13" i="4"/>
  <c r="O13" i="4" l="1"/>
  <c r="DB13" i="4"/>
  <c r="V13" i="4" s="1"/>
  <c r="X13" i="4" s="1"/>
  <c r="M13" i="4"/>
  <c r="TR13" i="4"/>
  <c r="TV13" i="4" s="1"/>
  <c r="Q13" i="4"/>
  <c r="H13" i="4"/>
  <c r="K13" i="4"/>
  <c r="A13" i="4" a="1"/>
  <c r="A13" i="4" s="1"/>
  <c r="W13" i="4" l="1"/>
  <c r="E13" i="4"/>
  <c r="QZ11" i="21" l="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PC13" i="21"/>
  <c r="PB13" i="21"/>
  <c r="OZ13" i="21"/>
  <c r="OY13" i="21"/>
  <c r="OX13" i="21"/>
  <c r="OW13" i="21"/>
  <c r="OA13" i="21"/>
  <c r="NZ13" i="21"/>
  <c r="NX13" i="21"/>
  <c r="NW13" i="21"/>
  <c r="NV13" i="21"/>
  <c r="NU13" i="21"/>
  <c r="MY13" i="21"/>
  <c r="MX13" i="21"/>
  <c r="MV13" i="21"/>
  <c r="MU13" i="21"/>
  <c r="MT13" i="21"/>
  <c r="MS13" i="21"/>
  <c r="LW13" i="21"/>
  <c r="LV13" i="21"/>
  <c r="LT13" i="21"/>
  <c r="LS13" i="21"/>
  <c r="LR13" i="21"/>
  <c r="LQ13" i="21"/>
  <c r="KU13" i="21"/>
  <c r="KT13" i="21"/>
  <c r="KR13" i="21"/>
  <c r="KQ13" i="21"/>
  <c r="KP13" i="21"/>
  <c r="KO13" i="21"/>
  <c r="JS13" i="21"/>
  <c r="JR13" i="21"/>
  <c r="JP13" i="21"/>
  <c r="JO13" i="21"/>
  <c r="JN13" i="21"/>
  <c r="JM13" i="21"/>
  <c r="IQ13" i="21"/>
  <c r="IP13" i="21"/>
  <c r="IN13" i="21"/>
  <c r="IM13" i="21"/>
  <c r="IL13" i="21"/>
  <c r="IK13" i="21"/>
  <c r="HO13" i="21"/>
  <c r="HN13" i="21"/>
  <c r="HL13" i="21"/>
  <c r="HK13" i="21"/>
  <c r="HJ13" i="21"/>
  <c r="HI13" i="21"/>
  <c r="GM13" i="21"/>
  <c r="GL13" i="21"/>
  <c r="GJ13" i="21"/>
  <c r="GI13" i="21"/>
  <c r="GH13" i="21"/>
  <c r="GG13" i="21"/>
  <c r="FK13" i="21"/>
  <c r="FJ13" i="21"/>
  <c r="FH13" i="21"/>
  <c r="FG13" i="21"/>
  <c r="FF13" i="21"/>
  <c r="FE13" i="21"/>
  <c r="EI13" i="21"/>
  <c r="EH13" i="21"/>
  <c r="EF13" i="21"/>
  <c r="EE13" i="21"/>
  <c r="ED13" i="21"/>
  <c r="EC13" i="21"/>
  <c r="DD13" i="21"/>
  <c r="DC13" i="21"/>
  <c r="DA13" i="21"/>
  <c r="CZ13" i="21"/>
  <c r="CY13" i="21"/>
  <c r="CX13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PC16" i="21"/>
  <c r="PB16" i="21"/>
  <c r="OZ16" i="21"/>
  <c r="OY16" i="21"/>
  <c r="OX16" i="21"/>
  <c r="OW16" i="21"/>
  <c r="OA16" i="21"/>
  <c r="NZ16" i="21"/>
  <c r="NX16" i="21"/>
  <c r="NW16" i="21"/>
  <c r="NV16" i="21"/>
  <c r="NU16" i="21"/>
  <c r="MY16" i="21"/>
  <c r="MX16" i="21"/>
  <c r="MV16" i="21"/>
  <c r="MU16" i="21"/>
  <c r="MT16" i="21"/>
  <c r="MS16" i="21"/>
  <c r="LW16" i="21"/>
  <c r="LV16" i="21"/>
  <c r="LT16" i="21"/>
  <c r="LS16" i="21"/>
  <c r="LR16" i="21"/>
  <c r="LQ16" i="21"/>
  <c r="KU16" i="21"/>
  <c r="KT16" i="21"/>
  <c r="KR16" i="21"/>
  <c r="KQ16" i="21"/>
  <c r="KP16" i="21"/>
  <c r="KO16" i="21"/>
  <c r="JS16" i="21"/>
  <c r="JR16" i="21"/>
  <c r="JP16" i="21"/>
  <c r="JO16" i="21"/>
  <c r="JN16" i="21"/>
  <c r="JM16" i="21"/>
  <c r="IQ16" i="21"/>
  <c r="IP16" i="21"/>
  <c r="IN16" i="21"/>
  <c r="IM16" i="21"/>
  <c r="IL16" i="21"/>
  <c r="IK16" i="21"/>
  <c r="HO16" i="21"/>
  <c r="HN16" i="21"/>
  <c r="HL16" i="21"/>
  <c r="HK16" i="21"/>
  <c r="HJ16" i="21"/>
  <c r="HI16" i="21"/>
  <c r="GM16" i="21"/>
  <c r="GL16" i="21"/>
  <c r="GJ16" i="21"/>
  <c r="GI16" i="21"/>
  <c r="GH16" i="21"/>
  <c r="GG16" i="21"/>
  <c r="FK16" i="21"/>
  <c r="FJ16" i="21"/>
  <c r="FH16" i="21"/>
  <c r="FG16" i="21"/>
  <c r="FF16" i="21"/>
  <c r="FE16" i="21"/>
  <c r="EI16" i="21"/>
  <c r="EH16" i="21"/>
  <c r="EF16" i="21"/>
  <c r="EE16" i="21"/>
  <c r="ED16" i="21"/>
  <c r="EC16" i="21"/>
  <c r="DD16" i="21"/>
  <c r="DC16" i="21"/>
  <c r="DA16" i="21"/>
  <c r="CZ16" i="21"/>
  <c r="CY16" i="21"/>
  <c r="CX16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20" i="19"/>
  <c r="QB11" i="19"/>
  <c r="QB17" i="19"/>
  <c r="QB21" i="19"/>
  <c r="QB8" i="19"/>
  <c r="QB16" i="19"/>
  <c r="QB12" i="19"/>
  <c r="QB23" i="19"/>
  <c r="QB7" i="19"/>
  <c r="QB9" i="19"/>
  <c r="QB4" i="19"/>
  <c r="QB5" i="19"/>
  <c r="OZ20" i="19"/>
  <c r="OZ11" i="19"/>
  <c r="OZ17" i="19"/>
  <c r="OZ21" i="19"/>
  <c r="OZ8" i="19"/>
  <c r="OZ16" i="19"/>
  <c r="OZ12" i="19"/>
  <c r="OZ23" i="19"/>
  <c r="OZ7" i="19"/>
  <c r="OZ9" i="19"/>
  <c r="OZ4" i="19"/>
  <c r="OZ5" i="19"/>
  <c r="NX20" i="19"/>
  <c r="NX11" i="19"/>
  <c r="NX17" i="19"/>
  <c r="NX21" i="19"/>
  <c r="NX8" i="19"/>
  <c r="NX16" i="19"/>
  <c r="NX12" i="19"/>
  <c r="NX23" i="19"/>
  <c r="NX7" i="19"/>
  <c r="NX9" i="19"/>
  <c r="NX4" i="19"/>
  <c r="NX5" i="19"/>
  <c r="MV20" i="19"/>
  <c r="MV11" i="19"/>
  <c r="MV17" i="19"/>
  <c r="MV21" i="19"/>
  <c r="MV8" i="19"/>
  <c r="MV16" i="19"/>
  <c r="MV12" i="19"/>
  <c r="MV23" i="19"/>
  <c r="MV7" i="19"/>
  <c r="MV9" i="19"/>
  <c r="MV4" i="19"/>
  <c r="MV5" i="19"/>
  <c r="LT20" i="19"/>
  <c r="LT11" i="19"/>
  <c r="LT17" i="19"/>
  <c r="LT21" i="19"/>
  <c r="LT8" i="19"/>
  <c r="LT16" i="19"/>
  <c r="LT12" i="19"/>
  <c r="LT23" i="19"/>
  <c r="LT7" i="19"/>
  <c r="LT9" i="19"/>
  <c r="LT4" i="19"/>
  <c r="LT5" i="19"/>
  <c r="KR20" i="19"/>
  <c r="KR11" i="19"/>
  <c r="KR17" i="19"/>
  <c r="KR21" i="19"/>
  <c r="KR8" i="19"/>
  <c r="KR16" i="19"/>
  <c r="KR12" i="19"/>
  <c r="KR23" i="19"/>
  <c r="KR7" i="19"/>
  <c r="KR9" i="19"/>
  <c r="KR4" i="19"/>
  <c r="KR5" i="19"/>
  <c r="JP20" i="19"/>
  <c r="JP11" i="19"/>
  <c r="JP17" i="19"/>
  <c r="JP21" i="19"/>
  <c r="JP8" i="19"/>
  <c r="JP16" i="19"/>
  <c r="JP12" i="19"/>
  <c r="JP23" i="19"/>
  <c r="JP7" i="19"/>
  <c r="JP9" i="19"/>
  <c r="JP4" i="19"/>
  <c r="JP5" i="19"/>
  <c r="IN20" i="19"/>
  <c r="IN11" i="19"/>
  <c r="IN17" i="19"/>
  <c r="IN21" i="19"/>
  <c r="IN8" i="19"/>
  <c r="IN16" i="19"/>
  <c r="IN12" i="19"/>
  <c r="IN23" i="19"/>
  <c r="IN7" i="19"/>
  <c r="IN9" i="19"/>
  <c r="IN4" i="19"/>
  <c r="IN5" i="19"/>
  <c r="HL20" i="19"/>
  <c r="HL11" i="19"/>
  <c r="HL17" i="19"/>
  <c r="HL21" i="19"/>
  <c r="HL8" i="19"/>
  <c r="HL16" i="19"/>
  <c r="HL12" i="19"/>
  <c r="HL23" i="19"/>
  <c r="HL7" i="19"/>
  <c r="HL9" i="19"/>
  <c r="HL4" i="19"/>
  <c r="HL5" i="19"/>
  <c r="GJ20" i="19"/>
  <c r="GJ11" i="19"/>
  <c r="GJ17" i="19"/>
  <c r="GJ21" i="19"/>
  <c r="GJ8" i="19"/>
  <c r="GJ16" i="19"/>
  <c r="GJ12" i="19"/>
  <c r="GJ23" i="19"/>
  <c r="GJ7" i="19"/>
  <c r="GJ9" i="19"/>
  <c r="GJ4" i="19"/>
  <c r="GJ5" i="19"/>
  <c r="FH20" i="19"/>
  <c r="FH11" i="19"/>
  <c r="FH17" i="19"/>
  <c r="FH21" i="19"/>
  <c r="FH8" i="19"/>
  <c r="FH16" i="19"/>
  <c r="FH12" i="19"/>
  <c r="FH23" i="19"/>
  <c r="FH7" i="19"/>
  <c r="FH9" i="19"/>
  <c r="FH4" i="19"/>
  <c r="FH5" i="19"/>
  <c r="EF4" i="19"/>
  <c r="EF9" i="19"/>
  <c r="EF7" i="19"/>
  <c r="EF23" i="19"/>
  <c r="EF12" i="19"/>
  <c r="EF16" i="19"/>
  <c r="EF8" i="19"/>
  <c r="EF21" i="19"/>
  <c r="EF17" i="19"/>
  <c r="EF11" i="19"/>
  <c r="EF20" i="19"/>
  <c r="EF5" i="19"/>
  <c r="DA20" i="19"/>
  <c r="DA11" i="19"/>
  <c r="DA17" i="19"/>
  <c r="DA21" i="19"/>
  <c r="DA8" i="19"/>
  <c r="DA16" i="19"/>
  <c r="DA12" i="19"/>
  <c r="DA23" i="19"/>
  <c r="DA7" i="19"/>
  <c r="DA9" i="19"/>
  <c r="DA4" i="19"/>
  <c r="DA5" i="19"/>
  <c r="OT8" i="8"/>
  <c r="OT11" i="8"/>
  <c r="OT7" i="8"/>
  <c r="OT4" i="8"/>
  <c r="NT11" i="8"/>
  <c r="NT7" i="8"/>
  <c r="NT4" i="8"/>
  <c r="NT8" i="8"/>
  <c r="MT11" i="8"/>
  <c r="MT7" i="8"/>
  <c r="MT4" i="8"/>
  <c r="MT8" i="8"/>
  <c r="LT11" i="8"/>
  <c r="LT7" i="8"/>
  <c r="LT4" i="8"/>
  <c r="LT8" i="8"/>
  <c r="KT11" i="8"/>
  <c r="KT7" i="8"/>
  <c r="KT4" i="8"/>
  <c r="KT8" i="8"/>
  <c r="JT11" i="8"/>
  <c r="JT7" i="8"/>
  <c r="JT4" i="8"/>
  <c r="JT8" i="8"/>
  <c r="IT11" i="8"/>
  <c r="IT7" i="8"/>
  <c r="IT4" i="8"/>
  <c r="IT8" i="8"/>
  <c r="HT11" i="8"/>
  <c r="HT7" i="8"/>
  <c r="HT4" i="8"/>
  <c r="HT8" i="8"/>
  <c r="GT11" i="8"/>
  <c r="GT7" i="8"/>
  <c r="GT4" i="8"/>
  <c r="GT8" i="8"/>
  <c r="FT11" i="8"/>
  <c r="FT7" i="8"/>
  <c r="FT4" i="8"/>
  <c r="FT8" i="8"/>
  <c r="ET11" i="8"/>
  <c r="ET7" i="8"/>
  <c r="ET4" i="8"/>
  <c r="ET8" i="8"/>
  <c r="DT11" i="8"/>
  <c r="DT7" i="8"/>
  <c r="DT4" i="8"/>
  <c r="DT8" i="8"/>
  <c r="CR11" i="8"/>
  <c r="CR7" i="8"/>
  <c r="CR4" i="8"/>
  <c r="CR8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9" i="19"/>
  <c r="QA7" i="19"/>
  <c r="QA23" i="19"/>
  <c r="QA12" i="19"/>
  <c r="QA16" i="19"/>
  <c r="QA8" i="19"/>
  <c r="QA21" i="19"/>
  <c r="QA17" i="19"/>
  <c r="QA11" i="19"/>
  <c r="QA20" i="19"/>
  <c r="QA5" i="19"/>
  <c r="OY4" i="19"/>
  <c r="OY9" i="19"/>
  <c r="OY7" i="19"/>
  <c r="OY23" i="19"/>
  <c r="OY12" i="19"/>
  <c r="OY16" i="19"/>
  <c r="OY8" i="19"/>
  <c r="OY21" i="19"/>
  <c r="OY17" i="19"/>
  <c r="OY11" i="19"/>
  <c r="OY20" i="19"/>
  <c r="OY5" i="19"/>
  <c r="NW4" i="19"/>
  <c r="NW9" i="19"/>
  <c r="NW7" i="19"/>
  <c r="NW23" i="19"/>
  <c r="NW12" i="19"/>
  <c r="NW16" i="19"/>
  <c r="NW8" i="19"/>
  <c r="NW21" i="19"/>
  <c r="NW17" i="19"/>
  <c r="NW11" i="19"/>
  <c r="NW20" i="19"/>
  <c r="NW5" i="19"/>
  <c r="MU4" i="19"/>
  <c r="MU9" i="19"/>
  <c r="MU7" i="19"/>
  <c r="MU23" i="19"/>
  <c r="MU12" i="19"/>
  <c r="MU16" i="19"/>
  <c r="MU8" i="19"/>
  <c r="MU21" i="19"/>
  <c r="MU17" i="19"/>
  <c r="MU11" i="19"/>
  <c r="MU20" i="19"/>
  <c r="MU5" i="19"/>
  <c r="LS4" i="19"/>
  <c r="LS9" i="19"/>
  <c r="LS7" i="19"/>
  <c r="LS23" i="19"/>
  <c r="LS12" i="19"/>
  <c r="LS16" i="19"/>
  <c r="LS8" i="19"/>
  <c r="LS21" i="19"/>
  <c r="LS17" i="19"/>
  <c r="LS11" i="19"/>
  <c r="LS20" i="19"/>
  <c r="LS5" i="19"/>
  <c r="KQ4" i="19"/>
  <c r="KQ9" i="19"/>
  <c r="KQ7" i="19"/>
  <c r="KQ23" i="19"/>
  <c r="KQ12" i="19"/>
  <c r="KQ16" i="19"/>
  <c r="KQ8" i="19"/>
  <c r="KQ21" i="19"/>
  <c r="KQ17" i="19"/>
  <c r="KQ11" i="19"/>
  <c r="KQ20" i="19"/>
  <c r="KQ5" i="19"/>
  <c r="JO5" i="19"/>
  <c r="JO4" i="19"/>
  <c r="JO9" i="19"/>
  <c r="JO7" i="19"/>
  <c r="JO23" i="19"/>
  <c r="JO12" i="19"/>
  <c r="JO16" i="19"/>
  <c r="JO8" i="19"/>
  <c r="JO21" i="19"/>
  <c r="JO17" i="19"/>
  <c r="JO11" i="19"/>
  <c r="JO20" i="19"/>
  <c r="IM4" i="19"/>
  <c r="IM9" i="19"/>
  <c r="IM7" i="19"/>
  <c r="IM23" i="19"/>
  <c r="IM12" i="19"/>
  <c r="IM16" i="19"/>
  <c r="IM8" i="19"/>
  <c r="IM21" i="19"/>
  <c r="IM17" i="19"/>
  <c r="IM11" i="19"/>
  <c r="IM20" i="19"/>
  <c r="IM5" i="19"/>
  <c r="HK4" i="19"/>
  <c r="HK9" i="19"/>
  <c r="HK7" i="19"/>
  <c r="HK23" i="19"/>
  <c r="HK12" i="19"/>
  <c r="HK16" i="19"/>
  <c r="HK8" i="19"/>
  <c r="HK21" i="19"/>
  <c r="HK17" i="19"/>
  <c r="HK11" i="19"/>
  <c r="HK20" i="19"/>
  <c r="HK5" i="19"/>
  <c r="GI4" i="19"/>
  <c r="GI9" i="19"/>
  <c r="GI7" i="19"/>
  <c r="GI23" i="19"/>
  <c r="GI12" i="19"/>
  <c r="GI16" i="19"/>
  <c r="GI8" i="19"/>
  <c r="GI21" i="19"/>
  <c r="GI17" i="19"/>
  <c r="GI11" i="19"/>
  <c r="GI20" i="19"/>
  <c r="GI5" i="19"/>
  <c r="FG4" i="19"/>
  <c r="FG9" i="19"/>
  <c r="FG7" i="19"/>
  <c r="FG23" i="19"/>
  <c r="FG12" i="19"/>
  <c r="FG16" i="19"/>
  <c r="FG8" i="19"/>
  <c r="FG21" i="19"/>
  <c r="FG17" i="19"/>
  <c r="FG11" i="19"/>
  <c r="FG20" i="19"/>
  <c r="FG5" i="19"/>
  <c r="EE4" i="19"/>
  <c r="EE9" i="19"/>
  <c r="EE7" i="19"/>
  <c r="EE23" i="19"/>
  <c r="EE12" i="19"/>
  <c r="EE16" i="19"/>
  <c r="EE8" i="19"/>
  <c r="EE21" i="19"/>
  <c r="EE17" i="19"/>
  <c r="EE11" i="19"/>
  <c r="EE20" i="19"/>
  <c r="EE5" i="19"/>
  <c r="CZ5" i="19"/>
  <c r="CZ4" i="19"/>
  <c r="P4" i="19" s="1"/>
  <c r="CZ9" i="19"/>
  <c r="CZ7" i="19"/>
  <c r="CZ23" i="19"/>
  <c r="CZ12" i="19"/>
  <c r="CZ16" i="19"/>
  <c r="CZ8" i="19"/>
  <c r="CZ21" i="19"/>
  <c r="CZ17" i="19"/>
  <c r="CZ11" i="19"/>
  <c r="CZ20" i="19"/>
  <c r="CX23" i="19"/>
  <c r="CY23" i="19"/>
  <c r="DC23" i="19"/>
  <c r="DD23" i="19"/>
  <c r="EC23" i="19"/>
  <c r="ED23" i="19"/>
  <c r="EH23" i="19"/>
  <c r="EI23" i="19"/>
  <c r="FE23" i="19"/>
  <c r="FF23" i="19"/>
  <c r="FJ23" i="19"/>
  <c r="FK23" i="19"/>
  <c r="GG23" i="19"/>
  <c r="GH23" i="19"/>
  <c r="GL23" i="19"/>
  <c r="GM23" i="19"/>
  <c r="HI23" i="19"/>
  <c r="HJ23" i="19"/>
  <c r="HN23" i="19"/>
  <c r="HO23" i="19"/>
  <c r="IK23" i="19"/>
  <c r="IL23" i="19"/>
  <c r="IP23" i="19"/>
  <c r="IQ23" i="19"/>
  <c r="JM23" i="19"/>
  <c r="JN23" i="19"/>
  <c r="JR23" i="19"/>
  <c r="JS23" i="19"/>
  <c r="KO23" i="19"/>
  <c r="KP23" i="19"/>
  <c r="KT23" i="19"/>
  <c r="KU23" i="19"/>
  <c r="LQ23" i="19"/>
  <c r="LR23" i="19"/>
  <c r="LV23" i="19"/>
  <c r="LW23" i="19"/>
  <c r="MS23" i="19"/>
  <c r="MT23" i="19"/>
  <c r="MX23" i="19"/>
  <c r="MY23" i="19"/>
  <c r="NU23" i="19"/>
  <c r="NV23" i="19"/>
  <c r="NZ23" i="19"/>
  <c r="OA23" i="19"/>
  <c r="OW23" i="19"/>
  <c r="OX23" i="19"/>
  <c r="PB23" i="19"/>
  <c r="PC23" i="19"/>
  <c r="PY23" i="19"/>
  <c r="PZ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2" i="19"/>
  <c r="CY12" i="19"/>
  <c r="DB12" i="19" s="1"/>
  <c r="DC12" i="19"/>
  <c r="DD12" i="19"/>
  <c r="EC12" i="19"/>
  <c r="ED12" i="19"/>
  <c r="EH12" i="19"/>
  <c r="EI12" i="19"/>
  <c r="FE12" i="19"/>
  <c r="FF12" i="19"/>
  <c r="FJ12" i="19"/>
  <c r="FK12" i="19"/>
  <c r="GG12" i="19"/>
  <c r="GH12" i="19"/>
  <c r="GL12" i="19"/>
  <c r="GM12" i="19"/>
  <c r="HI12" i="19"/>
  <c r="HJ12" i="19"/>
  <c r="HN12" i="19"/>
  <c r="HO12" i="19"/>
  <c r="IK12" i="19"/>
  <c r="IL12" i="19"/>
  <c r="IP12" i="19"/>
  <c r="IQ12" i="19"/>
  <c r="JM12" i="19"/>
  <c r="JN12" i="19"/>
  <c r="JQ12" i="19" s="1"/>
  <c r="JR12" i="19"/>
  <c r="JS12" i="19"/>
  <c r="KO12" i="19"/>
  <c r="KP12" i="19"/>
  <c r="KT12" i="19"/>
  <c r="KU12" i="19"/>
  <c r="LQ12" i="19"/>
  <c r="LR12" i="19"/>
  <c r="LV12" i="19"/>
  <c r="LW12" i="19"/>
  <c r="MS12" i="19"/>
  <c r="MT12" i="19"/>
  <c r="MX12" i="19"/>
  <c r="MY12" i="19"/>
  <c r="NU12" i="19"/>
  <c r="NV12" i="19"/>
  <c r="NZ12" i="19"/>
  <c r="OA12" i="19"/>
  <c r="OW12" i="19"/>
  <c r="OX12" i="19"/>
  <c r="PB12" i="19"/>
  <c r="PC12" i="19"/>
  <c r="PY12" i="19"/>
  <c r="PZ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6" i="19"/>
  <c r="CY16" i="19"/>
  <c r="DC16" i="19"/>
  <c r="DD16" i="19"/>
  <c r="EC16" i="19"/>
  <c r="ED16" i="19"/>
  <c r="EG16" i="19" s="1"/>
  <c r="EH16" i="19"/>
  <c r="EI16" i="19"/>
  <c r="FE16" i="19"/>
  <c r="FF16" i="19"/>
  <c r="FI16" i="19" s="1"/>
  <c r="FJ16" i="19"/>
  <c r="FK16" i="19"/>
  <c r="GG16" i="19"/>
  <c r="GH16" i="19"/>
  <c r="GK16" i="19" s="1"/>
  <c r="GL16" i="19"/>
  <c r="GM16" i="19"/>
  <c r="HI16" i="19"/>
  <c r="HJ16" i="19"/>
  <c r="HM16" i="19" s="1"/>
  <c r="HN16" i="19"/>
  <c r="HO16" i="19"/>
  <c r="IK16" i="19"/>
  <c r="IL16" i="19"/>
  <c r="IO16" i="19" s="1"/>
  <c r="IP16" i="19"/>
  <c r="IQ16" i="19"/>
  <c r="JM16" i="19"/>
  <c r="JN16" i="19"/>
  <c r="JR16" i="19"/>
  <c r="JS16" i="19"/>
  <c r="KO16" i="19"/>
  <c r="KP16" i="19"/>
  <c r="KS16" i="19" s="1"/>
  <c r="KT16" i="19"/>
  <c r="KU16" i="19"/>
  <c r="LQ16" i="19"/>
  <c r="LR16" i="19"/>
  <c r="LU16" i="19" s="1"/>
  <c r="LV16" i="19"/>
  <c r="LW16" i="19"/>
  <c r="MS16" i="19"/>
  <c r="MT16" i="19"/>
  <c r="MW16" i="19" s="1"/>
  <c r="MX16" i="19"/>
  <c r="MY16" i="19"/>
  <c r="NU16" i="19"/>
  <c r="NV16" i="19"/>
  <c r="NY16" i="19" s="1"/>
  <c r="NZ16" i="19"/>
  <c r="OA16" i="19"/>
  <c r="OW16" i="19"/>
  <c r="OX16" i="19"/>
  <c r="PA16" i="19" s="1"/>
  <c r="PB16" i="19"/>
  <c r="PC16" i="19"/>
  <c r="PY16" i="19"/>
  <c r="PZ16" i="19"/>
  <c r="QC16" i="19" s="1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8" i="19"/>
  <c r="CY8" i="19"/>
  <c r="DC8" i="19"/>
  <c r="DD8" i="19"/>
  <c r="EC8" i="19"/>
  <c r="ED8" i="19"/>
  <c r="EH8" i="19"/>
  <c r="EI8" i="19"/>
  <c r="FE8" i="19"/>
  <c r="FF8" i="19"/>
  <c r="FJ8" i="19"/>
  <c r="FK8" i="19"/>
  <c r="GG8" i="19"/>
  <c r="GH8" i="19"/>
  <c r="GL8" i="19"/>
  <c r="GM8" i="19"/>
  <c r="HI8" i="19"/>
  <c r="HJ8" i="19"/>
  <c r="HN8" i="19"/>
  <c r="HO8" i="19"/>
  <c r="IK8" i="19"/>
  <c r="IL8" i="19"/>
  <c r="IP8" i="19"/>
  <c r="IQ8" i="19"/>
  <c r="JM8" i="19"/>
  <c r="JN8" i="19"/>
  <c r="JR8" i="19"/>
  <c r="JS8" i="19"/>
  <c r="KO8" i="19"/>
  <c r="KP8" i="19"/>
  <c r="KT8" i="19"/>
  <c r="KU8" i="19"/>
  <c r="LQ8" i="19"/>
  <c r="LR8" i="19"/>
  <c r="LV8" i="19"/>
  <c r="LW8" i="19"/>
  <c r="MS8" i="19"/>
  <c r="MT8" i="19"/>
  <c r="MW8" i="19" s="1"/>
  <c r="MX8" i="19"/>
  <c r="MY8" i="19"/>
  <c r="NU8" i="19"/>
  <c r="NV8" i="19"/>
  <c r="NZ8" i="19"/>
  <c r="OA8" i="19"/>
  <c r="OW8" i="19"/>
  <c r="OX8" i="19"/>
  <c r="PA8" i="19" s="1"/>
  <c r="PB8" i="19"/>
  <c r="PC8" i="19"/>
  <c r="PY8" i="19"/>
  <c r="PZ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1" i="19"/>
  <c r="CY21" i="19"/>
  <c r="DC21" i="19"/>
  <c r="DD21" i="19"/>
  <c r="EC21" i="19"/>
  <c r="ED21" i="19"/>
  <c r="EH21" i="19"/>
  <c r="EI21" i="19"/>
  <c r="FE21" i="19"/>
  <c r="FF21" i="19"/>
  <c r="FI21" i="19" s="1"/>
  <c r="FJ21" i="19"/>
  <c r="FK21" i="19"/>
  <c r="GG21" i="19"/>
  <c r="GH21" i="19"/>
  <c r="GL21" i="19"/>
  <c r="GM21" i="19"/>
  <c r="HI21" i="19"/>
  <c r="HJ21" i="19"/>
  <c r="HM21" i="19" s="1"/>
  <c r="HN21" i="19"/>
  <c r="HO21" i="19"/>
  <c r="IK21" i="19"/>
  <c r="IL21" i="19"/>
  <c r="IP21" i="19"/>
  <c r="IQ21" i="19"/>
  <c r="JM21" i="19"/>
  <c r="JN21" i="19"/>
  <c r="JR21" i="19"/>
  <c r="JS21" i="19"/>
  <c r="KO21" i="19"/>
  <c r="KP21" i="19"/>
  <c r="KT21" i="19"/>
  <c r="KU21" i="19"/>
  <c r="LQ21" i="19"/>
  <c r="LR21" i="19"/>
  <c r="LU21" i="19" s="1"/>
  <c r="LV21" i="19"/>
  <c r="LW21" i="19"/>
  <c r="MS21" i="19"/>
  <c r="MT21" i="19"/>
  <c r="MX21" i="19"/>
  <c r="MY21" i="19"/>
  <c r="NU21" i="19"/>
  <c r="NV21" i="19"/>
  <c r="NY21" i="19" s="1"/>
  <c r="NZ21" i="19"/>
  <c r="OA21" i="19"/>
  <c r="OW21" i="19"/>
  <c r="OX21" i="19"/>
  <c r="PB21" i="19"/>
  <c r="PC21" i="19"/>
  <c r="PY21" i="19"/>
  <c r="PZ21" i="19"/>
  <c r="QC21" i="19" s="1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7" i="19"/>
  <c r="CY17" i="19"/>
  <c r="DC17" i="19"/>
  <c r="DD17" i="19"/>
  <c r="EC17" i="19"/>
  <c r="ED17" i="19"/>
  <c r="EH17" i="19"/>
  <c r="EI17" i="19"/>
  <c r="FE17" i="19"/>
  <c r="FF17" i="19"/>
  <c r="FJ17" i="19"/>
  <c r="FK17" i="19"/>
  <c r="GG17" i="19"/>
  <c r="GH17" i="19"/>
  <c r="GL17" i="19"/>
  <c r="GM17" i="19"/>
  <c r="HI17" i="19"/>
  <c r="HJ17" i="19"/>
  <c r="HN17" i="19"/>
  <c r="HO17" i="19"/>
  <c r="IK17" i="19"/>
  <c r="IL17" i="19"/>
  <c r="IP17" i="19"/>
  <c r="IQ17" i="19"/>
  <c r="JM17" i="19"/>
  <c r="JN17" i="19"/>
  <c r="JR17" i="19"/>
  <c r="JS17" i="19"/>
  <c r="KO17" i="19"/>
  <c r="KP17" i="19"/>
  <c r="KT17" i="19"/>
  <c r="KU17" i="19"/>
  <c r="LQ17" i="19"/>
  <c r="LR17" i="19"/>
  <c r="LV17" i="19"/>
  <c r="LW17" i="19"/>
  <c r="MS17" i="19"/>
  <c r="MT17" i="19"/>
  <c r="MX17" i="19"/>
  <c r="MY17" i="19"/>
  <c r="NU17" i="19"/>
  <c r="NV17" i="19"/>
  <c r="NZ17" i="19"/>
  <c r="OA17" i="19"/>
  <c r="OW17" i="19"/>
  <c r="OX17" i="19"/>
  <c r="PB17" i="19"/>
  <c r="PC17" i="19"/>
  <c r="PY17" i="19"/>
  <c r="PZ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1" i="19"/>
  <c r="CY11" i="19"/>
  <c r="DC11" i="19"/>
  <c r="DD11" i="19"/>
  <c r="EC11" i="19"/>
  <c r="ED11" i="19"/>
  <c r="EH11" i="19"/>
  <c r="EI11" i="19"/>
  <c r="FE11" i="19"/>
  <c r="FF11" i="19"/>
  <c r="FJ11" i="19"/>
  <c r="FK11" i="19"/>
  <c r="GG11" i="19"/>
  <c r="GH11" i="19"/>
  <c r="GL11" i="19"/>
  <c r="GM11" i="19"/>
  <c r="HI11" i="19"/>
  <c r="HJ11" i="19"/>
  <c r="HN11" i="19"/>
  <c r="HO11" i="19"/>
  <c r="IK11" i="19"/>
  <c r="IL11" i="19"/>
  <c r="IP11" i="19"/>
  <c r="IQ11" i="19"/>
  <c r="JM11" i="19"/>
  <c r="JN11" i="19"/>
  <c r="JR11" i="19"/>
  <c r="JS11" i="19"/>
  <c r="KO11" i="19"/>
  <c r="KP11" i="19"/>
  <c r="KT11" i="19"/>
  <c r="KU11" i="19"/>
  <c r="LQ11" i="19"/>
  <c r="LR11" i="19"/>
  <c r="LV11" i="19"/>
  <c r="LW11" i="19"/>
  <c r="MS11" i="19"/>
  <c r="MT11" i="19"/>
  <c r="MX11" i="19"/>
  <c r="MY11" i="19"/>
  <c r="NU11" i="19"/>
  <c r="NV11" i="19"/>
  <c r="NZ11" i="19"/>
  <c r="OA11" i="19"/>
  <c r="OW11" i="19"/>
  <c r="OX11" i="19"/>
  <c r="PB11" i="19"/>
  <c r="PC11" i="19"/>
  <c r="PY11" i="19"/>
  <c r="PZ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20" i="19"/>
  <c r="CY20" i="19"/>
  <c r="DC20" i="19"/>
  <c r="DD20" i="19"/>
  <c r="EC20" i="19"/>
  <c r="ED20" i="19"/>
  <c r="EH20" i="19"/>
  <c r="EI20" i="19"/>
  <c r="FE20" i="19"/>
  <c r="FF20" i="19"/>
  <c r="FJ20" i="19"/>
  <c r="FK20" i="19"/>
  <c r="GG20" i="19"/>
  <c r="GH20" i="19"/>
  <c r="GL20" i="19"/>
  <c r="GM20" i="19"/>
  <c r="HI20" i="19"/>
  <c r="HJ20" i="19"/>
  <c r="HN20" i="19"/>
  <c r="HO20" i="19"/>
  <c r="IK20" i="19"/>
  <c r="IL20" i="19"/>
  <c r="IP20" i="19"/>
  <c r="IQ20" i="19"/>
  <c r="JM20" i="19"/>
  <c r="JN20" i="19"/>
  <c r="JR20" i="19"/>
  <c r="JS20" i="19"/>
  <c r="KO20" i="19"/>
  <c r="KP20" i="19"/>
  <c r="KT20" i="19"/>
  <c r="KU20" i="19"/>
  <c r="LQ20" i="19"/>
  <c r="LR20" i="19"/>
  <c r="LV20" i="19"/>
  <c r="LW20" i="19"/>
  <c r="MS20" i="19"/>
  <c r="MT20" i="19"/>
  <c r="MX20" i="19"/>
  <c r="MY20" i="19"/>
  <c r="NU20" i="19"/>
  <c r="NV20" i="19"/>
  <c r="NZ20" i="19"/>
  <c r="OA20" i="19"/>
  <c r="OW20" i="19"/>
  <c r="OX20" i="19"/>
  <c r="PB20" i="19"/>
  <c r="PC20" i="19"/>
  <c r="PY20" i="19"/>
  <c r="PZ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PC7" i="19"/>
  <c r="PB7" i="19"/>
  <c r="OX7" i="19"/>
  <c r="PA7" i="19" s="1"/>
  <c r="OW7" i="19"/>
  <c r="OA7" i="19"/>
  <c r="NZ7" i="19"/>
  <c r="NV7" i="19"/>
  <c r="NU7" i="19"/>
  <c r="MY7" i="19"/>
  <c r="MX7" i="19"/>
  <c r="MT7" i="19"/>
  <c r="MW7" i="19" s="1"/>
  <c r="MS7" i="19"/>
  <c r="LW7" i="19"/>
  <c r="LV7" i="19"/>
  <c r="LR7" i="19"/>
  <c r="LQ7" i="19"/>
  <c r="KU7" i="19"/>
  <c r="KT7" i="19"/>
  <c r="KP7" i="19"/>
  <c r="KS7" i="19" s="1"/>
  <c r="KO7" i="19"/>
  <c r="JS7" i="19"/>
  <c r="JR7" i="19"/>
  <c r="JN7" i="19"/>
  <c r="JQ7" i="19" s="1"/>
  <c r="JM7" i="19"/>
  <c r="IQ7" i="19"/>
  <c r="IP7" i="19"/>
  <c r="IL7" i="19"/>
  <c r="IO7" i="19" s="1"/>
  <c r="IK7" i="19"/>
  <c r="HO7" i="19"/>
  <c r="HN7" i="19"/>
  <c r="HJ7" i="19"/>
  <c r="HI7" i="19"/>
  <c r="GM7" i="19"/>
  <c r="GL7" i="19"/>
  <c r="GH7" i="19"/>
  <c r="GK7" i="19" s="1"/>
  <c r="GG7" i="19"/>
  <c r="FK7" i="19"/>
  <c r="FJ7" i="19"/>
  <c r="FF7" i="19"/>
  <c r="FE7" i="19"/>
  <c r="EI7" i="19"/>
  <c r="EH7" i="19"/>
  <c r="ED7" i="19"/>
  <c r="EG7" i="19" s="1"/>
  <c r="EC7" i="19"/>
  <c r="DD7" i="19"/>
  <c r="DC7" i="19"/>
  <c r="CY7" i="19"/>
  <c r="DB7" i="19" s="1"/>
  <c r="CX7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PC9" i="19"/>
  <c r="PB9" i="19"/>
  <c r="OX9" i="19"/>
  <c r="OW9" i="19"/>
  <c r="OA9" i="19"/>
  <c r="NZ9" i="19"/>
  <c r="NV9" i="19"/>
  <c r="NU9" i="19"/>
  <c r="MY9" i="19"/>
  <c r="MX9" i="19"/>
  <c r="MT9" i="19"/>
  <c r="MS9" i="19"/>
  <c r="LW9" i="19"/>
  <c r="LV9" i="19"/>
  <c r="LR9" i="19"/>
  <c r="LQ9" i="19"/>
  <c r="KU9" i="19"/>
  <c r="KT9" i="19"/>
  <c r="KP9" i="19"/>
  <c r="KO9" i="19"/>
  <c r="JS9" i="19"/>
  <c r="JR9" i="19"/>
  <c r="JN9" i="19"/>
  <c r="JM9" i="19"/>
  <c r="IQ9" i="19"/>
  <c r="IP9" i="19"/>
  <c r="IL9" i="19"/>
  <c r="IK9" i="19"/>
  <c r="HO9" i="19"/>
  <c r="HN9" i="19"/>
  <c r="HJ9" i="19"/>
  <c r="HI9" i="19"/>
  <c r="GM9" i="19"/>
  <c r="GL9" i="19"/>
  <c r="GH9" i="19"/>
  <c r="GG9" i="19"/>
  <c r="FK9" i="19"/>
  <c r="FJ9" i="19"/>
  <c r="FF9" i="19"/>
  <c r="FE9" i="19"/>
  <c r="EI9" i="19"/>
  <c r="EH9" i="19"/>
  <c r="ED9" i="19"/>
  <c r="EC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PC4" i="19"/>
  <c r="PB4" i="19"/>
  <c r="OX4" i="19"/>
  <c r="OW4" i="19"/>
  <c r="OA4" i="19"/>
  <c r="NZ4" i="19"/>
  <c r="NV4" i="19"/>
  <c r="NU4" i="19"/>
  <c r="MY4" i="19"/>
  <c r="MX4" i="19"/>
  <c r="MT4" i="19"/>
  <c r="MS4" i="19"/>
  <c r="LW4" i="19"/>
  <c r="LV4" i="19"/>
  <c r="LR4" i="19"/>
  <c r="LQ4" i="19"/>
  <c r="KU4" i="19"/>
  <c r="KT4" i="19"/>
  <c r="KP4" i="19"/>
  <c r="KO4" i="19"/>
  <c r="JS4" i="19"/>
  <c r="JR4" i="19"/>
  <c r="JN4" i="19"/>
  <c r="JM4" i="19"/>
  <c r="IQ4" i="19"/>
  <c r="IP4" i="19"/>
  <c r="IL4" i="19"/>
  <c r="IK4" i="19"/>
  <c r="HO4" i="19"/>
  <c r="HN4" i="19"/>
  <c r="HJ4" i="19"/>
  <c r="HI4" i="19"/>
  <c r="GM4" i="19"/>
  <c r="GL4" i="19"/>
  <c r="GH4" i="19"/>
  <c r="GG4" i="19"/>
  <c r="FK4" i="19"/>
  <c r="FJ4" i="19"/>
  <c r="FF4" i="19"/>
  <c r="FE4" i="19"/>
  <c r="EI4" i="19"/>
  <c r="EH4" i="19"/>
  <c r="ED4" i="19"/>
  <c r="EC4" i="19"/>
  <c r="DD4" i="19"/>
  <c r="DC4" i="19"/>
  <c r="CY4" i="19"/>
  <c r="CX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11" i="8"/>
  <c r="PF11" i="8"/>
  <c r="PG11" i="8"/>
  <c r="PH11" i="8"/>
  <c r="PI11" i="8"/>
  <c r="PE7" i="8"/>
  <c r="PF7" i="8"/>
  <c r="PG7" i="8"/>
  <c r="PH7" i="8"/>
  <c r="PI7" i="8"/>
  <c r="PE4" i="8"/>
  <c r="PF4" i="8"/>
  <c r="PG4" i="8"/>
  <c r="PH4" i="8"/>
  <c r="PI4" i="8"/>
  <c r="PF8" i="8"/>
  <c r="PG8" i="8"/>
  <c r="PH8" i="8"/>
  <c r="PI8" i="8"/>
  <c r="PA17" i="19" l="1"/>
  <c r="MW17" i="19"/>
  <c r="KS17" i="19"/>
  <c r="EG4" i="19"/>
  <c r="GK4" i="19"/>
  <c r="IO4" i="19"/>
  <c r="KS4" i="19"/>
  <c r="MW4" i="19"/>
  <c r="PA4" i="19"/>
  <c r="QC12" i="19"/>
  <c r="NY12" i="19"/>
  <c r="LU12" i="19"/>
  <c r="HM12" i="19"/>
  <c r="FI12" i="19"/>
  <c r="JQ23" i="19"/>
  <c r="PA20" i="19"/>
  <c r="MW20" i="19"/>
  <c r="KS20" i="19"/>
  <c r="IO20" i="19"/>
  <c r="GK20" i="19"/>
  <c r="EG20" i="19"/>
  <c r="QC8" i="19"/>
  <c r="NY8" i="19"/>
  <c r="LU8" i="19"/>
  <c r="HM8" i="19"/>
  <c r="FI8" i="19"/>
  <c r="JQ16" i="19"/>
  <c r="QC11" i="19"/>
  <c r="NY11" i="19"/>
  <c r="LU11" i="19"/>
  <c r="HM11" i="19"/>
  <c r="FI11" i="19"/>
  <c r="JQ17" i="19"/>
  <c r="DB17" i="19"/>
  <c r="DB4" i="19"/>
  <c r="FI4" i="19"/>
  <c r="HM4" i="19"/>
  <c r="JQ4" i="19"/>
  <c r="LU4" i="19"/>
  <c r="NY4" i="19"/>
  <c r="QC4" i="19"/>
  <c r="FI9" i="19"/>
  <c r="HM9" i="19"/>
  <c r="LU9" i="19"/>
  <c r="NY9" i="19"/>
  <c r="QC9" i="19"/>
  <c r="PA23" i="19"/>
  <c r="MW23" i="19"/>
  <c r="KS23" i="19"/>
  <c r="N20" i="19"/>
  <c r="O20" i="19" s="1"/>
  <c r="PA11" i="19"/>
  <c r="IO17" i="19"/>
  <c r="GK17" i="19"/>
  <c r="EG17" i="19"/>
  <c r="KS8" i="19"/>
  <c r="IO8" i="19"/>
  <c r="GK8" i="19"/>
  <c r="EG8" i="19"/>
  <c r="EG9" i="19"/>
  <c r="GK9" i="19"/>
  <c r="IO9" i="19"/>
  <c r="KS9" i="19"/>
  <c r="MW9" i="19"/>
  <c r="PA9" i="19"/>
  <c r="IO23" i="19"/>
  <c r="GK23" i="19"/>
  <c r="EG23" i="19"/>
  <c r="Q4" i="19"/>
  <c r="DG4" i="19"/>
  <c r="JQ20" i="19"/>
  <c r="DB20" i="19"/>
  <c r="QC23" i="19"/>
  <c r="NY23" i="19"/>
  <c r="LU23" i="19"/>
  <c r="HM23" i="19"/>
  <c r="FI23" i="19"/>
  <c r="FI5" i="19"/>
  <c r="HM5" i="19"/>
  <c r="LU5" i="19"/>
  <c r="NY5" i="19"/>
  <c r="QC5" i="19"/>
  <c r="PA21" i="19"/>
  <c r="MW21" i="19"/>
  <c r="KS21" i="19"/>
  <c r="IO21" i="19"/>
  <c r="GK21" i="19"/>
  <c r="EG21" i="19"/>
  <c r="PA6" i="21"/>
  <c r="GK13" i="21"/>
  <c r="KS13" i="21"/>
  <c r="IO7" i="21"/>
  <c r="FI5" i="21"/>
  <c r="DB23" i="19"/>
  <c r="MW11" i="19"/>
  <c r="KS11" i="19"/>
  <c r="IO11" i="19"/>
  <c r="GK11" i="19"/>
  <c r="EG11" i="19"/>
  <c r="KS11" i="21"/>
  <c r="PA11" i="21"/>
  <c r="FI13" i="21"/>
  <c r="JQ13" i="21"/>
  <c r="NY13" i="21"/>
  <c r="EJ6" i="21"/>
  <c r="IR6" i="21"/>
  <c r="GN4" i="21"/>
  <c r="RB13" i="21"/>
  <c r="LU6" i="21"/>
  <c r="KS7" i="21"/>
  <c r="FI9" i="21"/>
  <c r="NY9" i="21"/>
  <c r="R9" i="21"/>
  <c r="IR11" i="21"/>
  <c r="RB11" i="21"/>
  <c r="RG11" i="21"/>
  <c r="QC17" i="19"/>
  <c r="NY17" i="19"/>
  <c r="LU17" i="19"/>
  <c r="HM17" i="19"/>
  <c r="FI17" i="19"/>
  <c r="PA12" i="19"/>
  <c r="MW12" i="19"/>
  <c r="KS12" i="19"/>
  <c r="IO12" i="19"/>
  <c r="GK12" i="19"/>
  <c r="EG12" i="19"/>
  <c r="MZ9" i="21"/>
  <c r="PD9" i="21"/>
  <c r="QF6" i="21"/>
  <c r="HP5" i="21"/>
  <c r="JT5" i="21"/>
  <c r="LX5" i="21"/>
  <c r="JQ11" i="21"/>
  <c r="NY11" i="21"/>
  <c r="QF9" i="21"/>
  <c r="EG11" i="21"/>
  <c r="IO11" i="21"/>
  <c r="DB9" i="21"/>
  <c r="RG13" i="21"/>
  <c r="RH11" i="21"/>
  <c r="DB16" i="19"/>
  <c r="PS4" i="18"/>
  <c r="PV5" i="18"/>
  <c r="QC5" i="21"/>
  <c r="PA4" i="21"/>
  <c r="FI7" i="21"/>
  <c r="QC9" i="21"/>
  <c r="L11" i="21"/>
  <c r="PA5" i="21"/>
  <c r="RD7" i="21"/>
  <c r="EJ5" i="21"/>
  <c r="JT7" i="21"/>
  <c r="IR5" i="21"/>
  <c r="RB5" i="21"/>
  <c r="RG5" i="21"/>
  <c r="R4" i="21"/>
  <c r="LX4" i="21"/>
  <c r="OB4" i="21"/>
  <c r="LU9" i="21"/>
  <c r="QC4" i="21"/>
  <c r="LU7" i="21"/>
  <c r="FI11" i="21"/>
  <c r="GN8" i="21"/>
  <c r="KV8" i="21"/>
  <c r="PD8" i="21"/>
  <c r="DE10" i="21"/>
  <c r="FL10" i="21"/>
  <c r="JT10" i="21"/>
  <c r="OB10" i="21"/>
  <c r="EJ16" i="21"/>
  <c r="IR16" i="21"/>
  <c r="MZ16" i="21"/>
  <c r="RE16" i="21"/>
  <c r="R13" i="21"/>
  <c r="DE13" i="21"/>
  <c r="L9" i="21"/>
  <c r="DF9" i="21" s="1"/>
  <c r="MZ6" i="21"/>
  <c r="GN5" i="21"/>
  <c r="OB7" i="21"/>
  <c r="P13" i="21"/>
  <c r="P9" i="21"/>
  <c r="FI6" i="21"/>
  <c r="FL8" i="21"/>
  <c r="JT8" i="21"/>
  <c r="OB8" i="21"/>
  <c r="R16" i="21"/>
  <c r="DH16" i="21" s="1"/>
  <c r="DE16" i="21"/>
  <c r="HP16" i="21"/>
  <c r="LX16" i="21"/>
  <c r="QF16" i="21"/>
  <c r="PA13" i="21"/>
  <c r="EJ9" i="21"/>
  <c r="IR9" i="21"/>
  <c r="R11" i="21"/>
  <c r="RD11" i="21"/>
  <c r="N6" i="21"/>
  <c r="O6" i="21" s="1"/>
  <c r="JQ6" i="21"/>
  <c r="NY6" i="21"/>
  <c r="RB4" i="21"/>
  <c r="HM7" i="21"/>
  <c r="KV7" i="21"/>
  <c r="RE7" i="21"/>
  <c r="JT11" i="21"/>
  <c r="QC20" i="19"/>
  <c r="NY20" i="19"/>
  <c r="LU20" i="19"/>
  <c r="HM20" i="19"/>
  <c r="FI20" i="19"/>
  <c r="JQ11" i="19"/>
  <c r="DB11" i="19"/>
  <c r="P9" i="19"/>
  <c r="DB9" i="19"/>
  <c r="JQ9" i="19"/>
  <c r="FI7" i="19"/>
  <c r="HM7" i="19"/>
  <c r="LU7" i="19"/>
  <c r="NY7" i="19"/>
  <c r="QC7" i="19"/>
  <c r="IR4" i="21"/>
  <c r="KV4" i="21"/>
  <c r="GK7" i="21"/>
  <c r="QF7" i="21"/>
  <c r="LX6" i="21"/>
  <c r="FL5" i="21"/>
  <c r="MZ4" i="21"/>
  <c r="IR7" i="21"/>
  <c r="EJ8" i="21"/>
  <c r="IR8" i="21"/>
  <c r="MZ8" i="21"/>
  <c r="RB8" i="21"/>
  <c r="R10" i="21"/>
  <c r="DH10" i="21" s="1"/>
  <c r="DB10" i="21"/>
  <c r="LX9" i="21"/>
  <c r="P11" i="21"/>
  <c r="R6" i="21"/>
  <c r="KV6" i="21"/>
  <c r="HM5" i="21"/>
  <c r="HP4" i="21"/>
  <c r="JQ4" i="21"/>
  <c r="P7" i="21"/>
  <c r="PD7" i="21"/>
  <c r="KV9" i="21"/>
  <c r="HP6" i="21"/>
  <c r="GK5" i="21"/>
  <c r="P4" i="21"/>
  <c r="NY4" i="21"/>
  <c r="EG7" i="21"/>
  <c r="GN7" i="21"/>
  <c r="JQ7" i="21"/>
  <c r="HP8" i="21"/>
  <c r="LX8" i="21"/>
  <c r="QF8" i="21"/>
  <c r="GN10" i="21"/>
  <c r="KV10" i="21"/>
  <c r="PD10" i="21"/>
  <c r="N13" i="21"/>
  <c r="O13" i="21" s="1"/>
  <c r="HP9" i="21"/>
  <c r="RB6" i="21"/>
  <c r="DB5" i="21"/>
  <c r="NY5" i="21"/>
  <c r="EG4" i="21"/>
  <c r="IO4" i="21"/>
  <c r="JT9" i="21"/>
  <c r="RE9" i="21"/>
  <c r="DB11" i="21"/>
  <c r="HM11" i="21"/>
  <c r="KV11" i="21"/>
  <c r="MW11" i="21"/>
  <c r="GK6" i="21"/>
  <c r="P5" i="21"/>
  <c r="MW4" i="21"/>
  <c r="P8" i="21"/>
  <c r="RG16" i="21"/>
  <c r="RC13" i="21"/>
  <c r="RD13" i="21"/>
  <c r="GK9" i="21"/>
  <c r="DB4" i="21"/>
  <c r="MW7" i="21"/>
  <c r="RC16" i="21"/>
  <c r="RI16" i="21" s="1"/>
  <c r="RD16" i="21"/>
  <c r="RH16" i="21"/>
  <c r="HM13" i="21"/>
  <c r="LU13" i="21"/>
  <c r="QC13" i="21"/>
  <c r="KS9" i="21"/>
  <c r="GK11" i="21"/>
  <c r="LU11" i="21"/>
  <c r="QC11" i="21"/>
  <c r="RD8" i="21"/>
  <c r="P10" i="21"/>
  <c r="G16" i="21"/>
  <c r="PA9" i="21"/>
  <c r="RH9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N8" i="21"/>
  <c r="O8" i="21" s="1"/>
  <c r="P16" i="21"/>
  <c r="N9" i="21"/>
  <c r="O9" i="21" s="1"/>
  <c r="EG9" i="21"/>
  <c r="MW9" i="21"/>
  <c r="RB9" i="21"/>
  <c r="RG9" i="21"/>
  <c r="G11" i="21"/>
  <c r="P6" i="21"/>
  <c r="DE6" i="21"/>
  <c r="RG7" i="21"/>
  <c r="L8" i="21"/>
  <c r="DF8" i="21" s="1"/>
  <c r="FI8" i="21"/>
  <c r="GK8" i="21"/>
  <c r="HM8" i="21"/>
  <c r="IO8" i="21"/>
  <c r="JQ8" i="21"/>
  <c r="KS8" i="21"/>
  <c r="LU8" i="21"/>
  <c r="MW8" i="21"/>
  <c r="NY8" i="21"/>
  <c r="PA8" i="21"/>
  <c r="QC8" i="21"/>
  <c r="RH8" i="21"/>
  <c r="L10" i="21"/>
  <c r="DF10" i="21" s="1"/>
  <c r="EJ10" i="21"/>
  <c r="IR10" i="21"/>
  <c r="MZ10" i="21"/>
  <c r="RE10" i="21"/>
  <c r="RG10" i="21"/>
  <c r="DB16" i="21"/>
  <c r="GN16" i="21"/>
  <c r="KV16" i="21"/>
  <c r="PD16" i="21"/>
  <c r="N11" i="21"/>
  <c r="O11" i="21" s="1"/>
  <c r="HP11" i="21"/>
  <c r="QF11" i="21"/>
  <c r="KS6" i="21"/>
  <c r="RH6" i="21"/>
  <c r="N5" i="21"/>
  <c r="O5" i="21" s="1"/>
  <c r="JQ5" i="21"/>
  <c r="FL7" i="21"/>
  <c r="RG8" i="21"/>
  <c r="N10" i="21"/>
  <c r="O10" i="21" s="1"/>
  <c r="RD10" i="21"/>
  <c r="GN11" i="21"/>
  <c r="PD11" i="21"/>
  <c r="GN6" i="21"/>
  <c r="PD6" i="21"/>
  <c r="EJ4" i="21"/>
  <c r="JT4" i="21"/>
  <c r="QF4" i="21"/>
  <c r="EJ7" i="21"/>
  <c r="MZ7" i="21"/>
  <c r="HP10" i="21"/>
  <c r="LX10" i="21"/>
  <c r="QF10" i="21"/>
  <c r="FL16" i="21"/>
  <c r="JT16" i="21"/>
  <c r="OB16" i="21"/>
  <c r="RH13" i="21"/>
  <c r="GN9" i="21"/>
  <c r="JQ9" i="21"/>
  <c r="RD9" i="21"/>
  <c r="FL11" i="21"/>
  <c r="OB11" i="21"/>
  <c r="RE11" i="21"/>
  <c r="FL6" i="21"/>
  <c r="IO6" i="21"/>
  <c r="OB6" i="21"/>
  <c r="RG6" i="21"/>
  <c r="EG5" i="21"/>
  <c r="QF5" i="21"/>
  <c r="LU4" i="21"/>
  <c r="PD4" i="21"/>
  <c r="RC4" i="21"/>
  <c r="RD4" i="21"/>
  <c r="LX7" i="21"/>
  <c r="DB8" i="21"/>
  <c r="RH10" i="21"/>
  <c r="FL9" i="21"/>
  <c r="IO9" i="21"/>
  <c r="OB9" i="21"/>
  <c r="EJ11" i="21"/>
  <c r="MZ11" i="21"/>
  <c r="HM6" i="21"/>
  <c r="QC6" i="21"/>
  <c r="RD6" i="21"/>
  <c r="FI4" i="21"/>
  <c r="KS4" i="21"/>
  <c r="EG13" i="21"/>
  <c r="IO13" i="21"/>
  <c r="MW13" i="21"/>
  <c r="HM9" i="21"/>
  <c r="LX11" i="21"/>
  <c r="RE5" i="19"/>
  <c r="RE7" i="19"/>
  <c r="PU8" i="8"/>
  <c r="FW4" i="18"/>
  <c r="CU5" i="18"/>
  <c r="EW5" i="18"/>
  <c r="GW5" i="18"/>
  <c r="IW5" i="18"/>
  <c r="MW5" i="18"/>
  <c r="OW5" i="18"/>
  <c r="EW4" i="18"/>
  <c r="JQ21" i="19"/>
  <c r="DB21" i="19"/>
  <c r="RE23" i="19"/>
  <c r="JQ8" i="19"/>
  <c r="DB8" i="19"/>
  <c r="RE12" i="19"/>
  <c r="RE20" i="19"/>
  <c r="RE4" i="19"/>
  <c r="RE11" i="19"/>
  <c r="RE17" i="19"/>
  <c r="RE9" i="19"/>
  <c r="RE21" i="19"/>
  <c r="F5" i="19"/>
  <c r="RE8" i="19"/>
  <c r="G5" i="19"/>
  <c r="DB5" i="19"/>
  <c r="JQ5" i="19"/>
  <c r="RE16" i="19"/>
  <c r="EG8" i="21"/>
  <c r="G10" i="21"/>
  <c r="DE8" i="21"/>
  <c r="F4" i="21"/>
  <c r="L5" i="21"/>
  <c r="RC10" i="21"/>
  <c r="F6" i="21"/>
  <c r="RE5" i="21"/>
  <c r="RC8" i="21"/>
  <c r="F13" i="21"/>
  <c r="G6" i="21"/>
  <c r="RC6" i="21"/>
  <c r="RE4" i="21"/>
  <c r="RB7" i="21"/>
  <c r="G13" i="21"/>
  <c r="J8" i="21"/>
  <c r="RE6" i="21"/>
  <c r="RE8" i="21"/>
  <c r="J10" i="21"/>
  <c r="K10" i="21" s="1"/>
  <c r="F11" i="21"/>
  <c r="RC11" i="21"/>
  <c r="F10" i="21"/>
  <c r="L6" i="21"/>
  <c r="DF6" i="21" s="1"/>
  <c r="J5" i="21"/>
  <c r="F5" i="21"/>
  <c r="J16" i="21"/>
  <c r="G5" i="21"/>
  <c r="J13" i="21"/>
  <c r="L16" i="21"/>
  <c r="DF16" i="21" s="1"/>
  <c r="F16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8" i="21"/>
  <c r="DB7" i="21"/>
  <c r="DE7" i="21"/>
  <c r="R8" i="21"/>
  <c r="DH8" i="21" s="1"/>
  <c r="DE5" i="21"/>
  <c r="PD5" i="21"/>
  <c r="RH4" i="21"/>
  <c r="RG4" i="21"/>
  <c r="IO5" i="21"/>
  <c r="OB5" i="21"/>
  <c r="MZ5" i="21"/>
  <c r="RC5" i="21"/>
  <c r="G4" i="21"/>
  <c r="F7" i="21"/>
  <c r="RH7" i="21"/>
  <c r="G7" i="21"/>
  <c r="L7" i="21"/>
  <c r="DF7" i="21" s="1"/>
  <c r="J7" i="21"/>
  <c r="EJ13" i="21"/>
  <c r="FL13" i="21"/>
  <c r="GN13" i="21"/>
  <c r="HP13" i="21"/>
  <c r="IR13" i="21"/>
  <c r="JT13" i="21"/>
  <c r="KV13" i="21"/>
  <c r="LX13" i="21"/>
  <c r="MZ13" i="21"/>
  <c r="OB13" i="21"/>
  <c r="PD13" i="21"/>
  <c r="QF13" i="21"/>
  <c r="RE13" i="21"/>
  <c r="F9" i="21"/>
  <c r="DE9" i="21"/>
  <c r="RC9" i="21"/>
  <c r="G9" i="21"/>
  <c r="DE11" i="21"/>
  <c r="EG10" i="21"/>
  <c r="FI10" i="21"/>
  <c r="GK10" i="21"/>
  <c r="HM10" i="21"/>
  <c r="IO10" i="21"/>
  <c r="JQ10" i="21"/>
  <c r="KS10" i="21"/>
  <c r="LU10" i="21"/>
  <c r="MW10" i="21"/>
  <c r="NY10" i="21"/>
  <c r="PA10" i="21"/>
  <c r="QC10" i="21"/>
  <c r="RB10" i="21"/>
  <c r="DB13" i="21"/>
  <c r="G8" i="21"/>
  <c r="EG16" i="21"/>
  <c r="FI16" i="21"/>
  <c r="GK16" i="21"/>
  <c r="HM16" i="21"/>
  <c r="IO16" i="21"/>
  <c r="JQ16" i="21"/>
  <c r="KS16" i="21"/>
  <c r="LU16" i="21"/>
  <c r="MW16" i="21"/>
  <c r="NY16" i="21"/>
  <c r="PA16" i="21"/>
  <c r="QC16" i="21"/>
  <c r="RB16" i="21"/>
  <c r="L13" i="21"/>
  <c r="DF13" i="21" s="1"/>
  <c r="J9" i="21"/>
  <c r="N16" i="21"/>
  <c r="O16" i="21" s="1"/>
  <c r="J11" i="21"/>
  <c r="IR21" i="19"/>
  <c r="GN21" i="19"/>
  <c r="J5" i="19"/>
  <c r="P17" i="19"/>
  <c r="N11" i="19"/>
  <c r="O11" i="19" s="1"/>
  <c r="N5" i="19"/>
  <c r="O5" i="19" s="1"/>
  <c r="DE20" i="19"/>
  <c r="QF20" i="19"/>
  <c r="QF17" i="19"/>
  <c r="P23" i="19"/>
  <c r="N17" i="19"/>
  <c r="O17" i="19" s="1"/>
  <c r="N9" i="19"/>
  <c r="O9" i="19" s="1"/>
  <c r="EJ16" i="19"/>
  <c r="N4" i="19"/>
  <c r="O4" i="19" s="1"/>
  <c r="P20" i="19"/>
  <c r="P11" i="19"/>
  <c r="OB17" i="19"/>
  <c r="OB8" i="19"/>
  <c r="PD23" i="19"/>
  <c r="KV23" i="19"/>
  <c r="P16" i="19"/>
  <c r="LX12" i="19"/>
  <c r="P12" i="19"/>
  <c r="PU4" i="8"/>
  <c r="PU11" i="8"/>
  <c r="PU7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21" i="19"/>
  <c r="P8" i="19"/>
  <c r="N23" i="19"/>
  <c r="O23" i="19" s="1"/>
  <c r="N16" i="19"/>
  <c r="O16" i="19" s="1"/>
  <c r="N12" i="19"/>
  <c r="O12" i="19" s="1"/>
  <c r="N7" i="19"/>
  <c r="O7" i="19" s="1"/>
  <c r="N21" i="19"/>
  <c r="O21" i="19" s="1"/>
  <c r="N8" i="19"/>
  <c r="O8" i="19" s="1"/>
  <c r="P5" i="19"/>
  <c r="P7" i="19"/>
  <c r="FL8" i="19"/>
  <c r="HP11" i="19"/>
  <c r="KV21" i="19"/>
  <c r="LX17" i="19"/>
  <c r="PD16" i="19"/>
  <c r="GN16" i="19"/>
  <c r="MZ20" i="19"/>
  <c r="KV20" i="19"/>
  <c r="MZ16" i="19"/>
  <c r="DE23" i="19"/>
  <c r="QF12" i="19"/>
  <c r="QF11" i="19"/>
  <c r="RG17" i="19"/>
  <c r="JT21" i="19"/>
  <c r="HP21" i="19"/>
  <c r="FL21" i="19"/>
  <c r="DE8" i="19"/>
  <c r="GN12" i="19"/>
  <c r="EJ12" i="19"/>
  <c r="RD17" i="19"/>
  <c r="J11" i="19"/>
  <c r="K11" i="19" s="1"/>
  <c r="MZ17" i="19"/>
  <c r="KV17" i="19"/>
  <c r="IR17" i="19"/>
  <c r="OB20" i="19"/>
  <c r="KV11" i="19"/>
  <c r="DE12" i="19"/>
  <c r="RB17" i="19"/>
  <c r="QF23" i="19"/>
  <c r="FL11" i="19"/>
  <c r="R8" i="19"/>
  <c r="LX16" i="19"/>
  <c r="RG20" i="19"/>
  <c r="RB20" i="19"/>
  <c r="EJ20" i="19"/>
  <c r="OB21" i="19"/>
  <c r="PD8" i="19"/>
  <c r="IR8" i="19"/>
  <c r="MZ23" i="19"/>
  <c r="RC8" i="19"/>
  <c r="JT20" i="19"/>
  <c r="FL20" i="19"/>
  <c r="GN11" i="19"/>
  <c r="EJ11" i="19"/>
  <c r="EJ8" i="19"/>
  <c r="R16" i="19"/>
  <c r="PD12" i="19"/>
  <c r="MZ12" i="19"/>
  <c r="PD20" i="19"/>
  <c r="PD21" i="19"/>
  <c r="DE16" i="19"/>
  <c r="R23" i="19"/>
  <c r="RG11" i="19"/>
  <c r="OB11" i="19"/>
  <c r="LX11" i="19"/>
  <c r="R17" i="19"/>
  <c r="RD21" i="19"/>
  <c r="LX8" i="19"/>
  <c r="JT8" i="19"/>
  <c r="RD23" i="19"/>
  <c r="RC23" i="19"/>
  <c r="JT23" i="19"/>
  <c r="HP23" i="19"/>
  <c r="HP17" i="19"/>
  <c r="FL17" i="19"/>
  <c r="DE17" i="19"/>
  <c r="KV16" i="19"/>
  <c r="IR16" i="19"/>
  <c r="RG23" i="19"/>
  <c r="RB23" i="19"/>
  <c r="EJ7" i="19"/>
  <c r="GN7" i="19"/>
  <c r="IR7" i="19"/>
  <c r="KV7" i="19"/>
  <c r="MZ7" i="19"/>
  <c r="PD7" i="19"/>
  <c r="MZ11" i="19"/>
  <c r="LX21" i="19"/>
  <c r="JT12" i="19"/>
  <c r="HP12" i="19"/>
  <c r="GN23" i="19"/>
  <c r="EJ23" i="19"/>
  <c r="IR11" i="19"/>
  <c r="RD8" i="19"/>
  <c r="GN8" i="19"/>
  <c r="RB16" i="19"/>
  <c r="QF16" i="19"/>
  <c r="JT16" i="19"/>
  <c r="RC17" i="19"/>
  <c r="F17" i="19"/>
  <c r="G21" i="19"/>
  <c r="RH20" i="19"/>
  <c r="RD20" i="19"/>
  <c r="R20" i="19"/>
  <c r="DH20" i="19" s="1"/>
  <c r="JT11" i="19"/>
  <c r="MZ21" i="19"/>
  <c r="HP8" i="19"/>
  <c r="RH16" i="19"/>
  <c r="OB16" i="19"/>
  <c r="FL12" i="19"/>
  <c r="R12" i="19"/>
  <c r="DH12" i="19" s="1"/>
  <c r="F20" i="19"/>
  <c r="RH11" i="19"/>
  <c r="RD11" i="19"/>
  <c r="RC11" i="19"/>
  <c r="PD11" i="19"/>
  <c r="RH17" i="19"/>
  <c r="J17" i="19"/>
  <c r="RC21" i="19"/>
  <c r="DE21" i="19"/>
  <c r="MZ8" i="19"/>
  <c r="G16" i="19"/>
  <c r="KV12" i="19"/>
  <c r="FL23" i="19"/>
  <c r="RC20" i="19"/>
  <c r="GN17" i="19"/>
  <c r="RG21" i="19"/>
  <c r="RB21" i="19"/>
  <c r="QF21" i="19"/>
  <c r="KV8" i="19"/>
  <c r="RD16" i="19"/>
  <c r="RC16" i="19"/>
  <c r="IR12" i="19"/>
  <c r="IR20" i="19"/>
  <c r="GN20" i="19"/>
  <c r="L20" i="19"/>
  <c r="DF20" i="19" s="1"/>
  <c r="R11" i="19"/>
  <c r="EJ17" i="19"/>
  <c r="RH21" i="19"/>
  <c r="RG8" i="19"/>
  <c r="RB8" i="19"/>
  <c r="QF8" i="19"/>
  <c r="RG16" i="19"/>
  <c r="OB12" i="19"/>
  <c r="G12" i="19"/>
  <c r="IR23" i="19"/>
  <c r="RB11" i="19"/>
  <c r="DE11" i="19"/>
  <c r="JT17" i="19"/>
  <c r="RH8" i="19"/>
  <c r="HP16" i="19"/>
  <c r="RD12" i="19"/>
  <c r="RC12" i="19"/>
  <c r="F12" i="19"/>
  <c r="L23" i="19"/>
  <c r="LX20" i="19"/>
  <c r="HP20" i="19"/>
  <c r="PD17" i="19"/>
  <c r="EJ21" i="19"/>
  <c r="FL16" i="19"/>
  <c r="RG12" i="19"/>
  <c r="RB12" i="19"/>
  <c r="OB23" i="19"/>
  <c r="LX23" i="19"/>
  <c r="F23" i="19"/>
  <c r="G8" i="19"/>
  <c r="F21" i="19"/>
  <c r="F16" i="19"/>
  <c r="F11" i="19"/>
  <c r="F8" i="19"/>
  <c r="L12" i="19"/>
  <c r="DF12" i="19" s="1"/>
  <c r="G17" i="19"/>
  <c r="R21" i="19"/>
  <c r="DH21" i="19" s="1"/>
  <c r="L16" i="19"/>
  <c r="DF16" i="19" s="1"/>
  <c r="J23" i="19"/>
  <c r="J20" i="19"/>
  <c r="G11" i="19"/>
  <c r="L8" i="19"/>
  <c r="DF8" i="19" s="1"/>
  <c r="J12" i="19"/>
  <c r="RH23" i="19"/>
  <c r="G20" i="19"/>
  <c r="L21" i="19"/>
  <c r="DF21" i="19" s="1"/>
  <c r="J16" i="19"/>
  <c r="RH12" i="19"/>
  <c r="L17" i="19"/>
  <c r="DF17" i="19" s="1"/>
  <c r="J8" i="19"/>
  <c r="G23" i="19"/>
  <c r="L11" i="19"/>
  <c r="DF11" i="19" s="1"/>
  <c r="J21" i="19"/>
  <c r="HP7" i="19"/>
  <c r="JT7" i="19"/>
  <c r="OB7" i="19"/>
  <c r="QF7" i="19"/>
  <c r="GN5" i="19"/>
  <c r="KV5" i="19"/>
  <c r="PD5" i="19"/>
  <c r="DE9" i="19"/>
  <c r="FL9" i="19"/>
  <c r="HP9" i="19"/>
  <c r="JT9" i="19"/>
  <c r="LX9" i="19"/>
  <c r="OB9" i="19"/>
  <c r="QF9" i="19"/>
  <c r="RH7" i="19"/>
  <c r="JT4" i="19"/>
  <c r="RG7" i="19"/>
  <c r="R9" i="19"/>
  <c r="EJ4" i="19"/>
  <c r="GN4" i="19"/>
  <c r="IR4" i="19"/>
  <c r="KV4" i="19"/>
  <c r="MZ4" i="19"/>
  <c r="PD4" i="19"/>
  <c r="RB4" i="19"/>
  <c r="KV9" i="19"/>
  <c r="MZ9" i="19"/>
  <c r="LX5" i="19"/>
  <c r="OB5" i="19"/>
  <c r="QF5" i="19"/>
  <c r="RG5" i="19"/>
  <c r="L5" i="19"/>
  <c r="RB9" i="19"/>
  <c r="R4" i="19"/>
  <c r="RH4" i="19"/>
  <c r="GN9" i="19"/>
  <c r="R5" i="19"/>
  <c r="DH5" i="19" s="1"/>
  <c r="DE5" i="19"/>
  <c r="HP5" i="19"/>
  <c r="JT5" i="19"/>
  <c r="J4" i="19"/>
  <c r="PD9" i="19"/>
  <c r="LX7" i="19"/>
  <c r="RC9" i="19"/>
  <c r="RH5" i="19"/>
  <c r="RH9" i="19"/>
  <c r="L7" i="19"/>
  <c r="RC4" i="19"/>
  <c r="RD4" i="19"/>
  <c r="RG9" i="19"/>
  <c r="R7" i="19"/>
  <c r="EJ5" i="19"/>
  <c r="RB5" i="19"/>
  <c r="J7" i="19"/>
  <c r="RB7" i="19"/>
  <c r="IR5" i="19"/>
  <c r="MZ5" i="19"/>
  <c r="RC5" i="19"/>
  <c r="RD5" i="19"/>
  <c r="FL4" i="19"/>
  <c r="HP4" i="19"/>
  <c r="LX4" i="19"/>
  <c r="J9" i="19"/>
  <c r="DE7" i="19"/>
  <c r="RC7" i="19"/>
  <c r="RD7" i="19"/>
  <c r="RD9" i="19"/>
  <c r="FL5" i="19"/>
  <c r="DE4" i="19"/>
  <c r="OB4" i="19"/>
  <c r="QF4" i="19"/>
  <c r="RG4" i="19"/>
  <c r="EJ9" i="19"/>
  <c r="IR9" i="19"/>
  <c r="FL7" i="19"/>
  <c r="L9" i="19"/>
  <c r="DF9" i="19" s="1"/>
  <c r="L4" i="19"/>
  <c r="DF4" i="19" s="1"/>
  <c r="F7" i="19"/>
  <c r="F9" i="19"/>
  <c r="G7" i="19"/>
  <c r="F4" i="19"/>
  <c r="G9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RF11" i="21" l="1"/>
  <c r="S10" i="21"/>
  <c r="Q4" i="21"/>
  <c r="DG4" i="21"/>
  <c r="S11" i="21"/>
  <c r="DH11" i="21"/>
  <c r="S4" i="21"/>
  <c r="DH4" i="21"/>
  <c r="M11" i="21"/>
  <c r="DF11" i="21"/>
  <c r="S9" i="21"/>
  <c r="DH9" i="21"/>
  <c r="Q8" i="21"/>
  <c r="DG8" i="21"/>
  <c r="T8" i="21" s="1"/>
  <c r="M5" i="21"/>
  <c r="DF5" i="21"/>
  <c r="Q16" i="21"/>
  <c r="DG16" i="21"/>
  <c r="T16" i="21" s="1"/>
  <c r="V16" i="21" s="1"/>
  <c r="Q6" i="21"/>
  <c r="DG6" i="21"/>
  <c r="S7" i="21"/>
  <c r="DH7" i="21"/>
  <c r="S6" i="21"/>
  <c r="DH6" i="21"/>
  <c r="Q5" i="21"/>
  <c r="DG5" i="21"/>
  <c r="Q11" i="21"/>
  <c r="DG11" i="21"/>
  <c r="Q10" i="21"/>
  <c r="DG10" i="21"/>
  <c r="T10" i="21" s="1"/>
  <c r="Q9" i="21"/>
  <c r="DG9" i="21"/>
  <c r="S13" i="21"/>
  <c r="DH13" i="21"/>
  <c r="Q7" i="21"/>
  <c r="DG7" i="21"/>
  <c r="Q13" i="21"/>
  <c r="DG13" i="21"/>
  <c r="S4" i="19"/>
  <c r="DH4" i="19"/>
  <c r="S9" i="19"/>
  <c r="DH9" i="19"/>
  <c r="Q9" i="19"/>
  <c r="DG9" i="19"/>
  <c r="S23" i="19"/>
  <c r="DH23" i="19"/>
  <c r="Q11" i="19"/>
  <c r="DG11" i="19"/>
  <c r="M5" i="19"/>
  <c r="DF5" i="19"/>
  <c r="Q12" i="19"/>
  <c r="DG12" i="19"/>
  <c r="T12" i="19" s="1"/>
  <c r="Q20" i="19"/>
  <c r="DG20" i="19"/>
  <c r="T20" i="19" s="1"/>
  <c r="M7" i="19"/>
  <c r="DF7" i="19"/>
  <c r="M23" i="19"/>
  <c r="DF23" i="19"/>
  <c r="Q16" i="19"/>
  <c r="DG16" i="19"/>
  <c r="S17" i="19"/>
  <c r="DH17" i="19"/>
  <c r="Q7" i="19"/>
  <c r="DG7" i="19"/>
  <c r="Q8" i="19"/>
  <c r="DG8" i="19"/>
  <c r="Q17" i="19"/>
  <c r="DG17" i="19"/>
  <c r="S11" i="19"/>
  <c r="DH11" i="19"/>
  <c r="S8" i="19"/>
  <c r="DH8" i="19"/>
  <c r="Q5" i="19"/>
  <c r="DG5" i="19"/>
  <c r="Q21" i="19"/>
  <c r="DG21" i="19"/>
  <c r="S7" i="19"/>
  <c r="DH7" i="19"/>
  <c r="S16" i="19"/>
  <c r="DH16" i="19"/>
  <c r="Q23" i="19"/>
  <c r="DG23" i="19"/>
  <c r="O5" i="18"/>
  <c r="CW5" i="18"/>
  <c r="M4" i="18"/>
  <c r="M5" i="18"/>
  <c r="CV5" i="18"/>
  <c r="CW4" i="18"/>
  <c r="M9" i="21"/>
  <c r="M10" i="21"/>
  <c r="I11" i="21"/>
  <c r="H11" i="21" s="1"/>
  <c r="RF10" i="21"/>
  <c r="RF16" i="21"/>
  <c r="I23" i="19"/>
  <c r="H23" i="19" s="1"/>
  <c r="I9" i="21"/>
  <c r="H9" i="21" s="1"/>
  <c r="RI6" i="21"/>
  <c r="RI13" i="21"/>
  <c r="I11" i="19"/>
  <c r="H11" i="19" s="1"/>
  <c r="I17" i="19"/>
  <c r="H17" i="19" s="1"/>
  <c r="I4" i="19"/>
  <c r="H4" i="19" s="1"/>
  <c r="I12" i="19"/>
  <c r="H12" i="19" s="1"/>
  <c r="RF13" i="21"/>
  <c r="RF11" i="19"/>
  <c r="RF7" i="19"/>
  <c r="I16" i="19"/>
  <c r="H16" i="19" s="1"/>
  <c r="A16" i="21"/>
  <c r="RI4" i="21"/>
  <c r="RI10" i="21"/>
  <c r="RF4" i="21"/>
  <c r="RI8" i="21"/>
  <c r="RF6" i="21"/>
  <c r="S16" i="21"/>
  <c r="K5" i="21"/>
  <c r="K8" i="21"/>
  <c r="K13" i="21"/>
  <c r="K16" i="21"/>
  <c r="I8" i="19"/>
  <c r="H8" i="19" s="1"/>
  <c r="K4" i="19"/>
  <c r="K7" i="19"/>
  <c r="K9" i="19"/>
  <c r="K17" i="19"/>
  <c r="I20" i="19"/>
  <c r="H20" i="19" s="1"/>
  <c r="RF8" i="21"/>
  <c r="M16" i="21"/>
  <c r="RF12" i="19"/>
  <c r="I9" i="19"/>
  <c r="H9" i="19" s="1"/>
  <c r="I21" i="19"/>
  <c r="H21" i="19" s="1"/>
  <c r="I7" i="19"/>
  <c r="H7" i="19" s="1"/>
  <c r="M8" i="21"/>
  <c r="I8" i="21"/>
  <c r="H8" i="21" s="1"/>
  <c r="I4" i="21"/>
  <c r="H4" i="21" s="1"/>
  <c r="I10" i="21"/>
  <c r="H10" i="21" s="1"/>
  <c r="I16" i="21"/>
  <c r="H16" i="21" s="1"/>
  <c r="RI11" i="21"/>
  <c r="RF23" i="19"/>
  <c r="RF4" i="19"/>
  <c r="H5" i="19"/>
  <c r="PX4" i="18"/>
  <c r="RF21" i="19"/>
  <c r="RF9" i="19"/>
  <c r="I5" i="19"/>
  <c r="RF8" i="19"/>
  <c r="RI5" i="19"/>
  <c r="RF5" i="19"/>
  <c r="RF16" i="19"/>
  <c r="RI20" i="19"/>
  <c r="RF20" i="19"/>
  <c r="RF17" i="19"/>
  <c r="I6" i="21"/>
  <c r="H6" i="21" s="1"/>
  <c r="I7" i="21"/>
  <c r="H7" i="21" s="1"/>
  <c r="M6" i="21"/>
  <c r="M4" i="21"/>
  <c r="I5" i="21"/>
  <c r="H5" i="21" s="1"/>
  <c r="K4" i="21"/>
  <c r="RI5" i="21"/>
  <c r="RF5" i="21"/>
  <c r="I13" i="21"/>
  <c r="H13" i="21" s="1"/>
  <c r="RI9" i="21"/>
  <c r="RF9" i="21"/>
  <c r="K7" i="21"/>
  <c r="S8" i="21"/>
  <c r="RI7" i="21"/>
  <c r="RF7" i="21"/>
  <c r="K11" i="21"/>
  <c r="M7" i="21"/>
  <c r="S5" i="21"/>
  <c r="M13" i="21"/>
  <c r="K9" i="21"/>
  <c r="K6" i="21"/>
  <c r="S12" i="19"/>
  <c r="PX5" i="18"/>
  <c r="H5" i="18"/>
  <c r="RI11" i="19"/>
  <c r="RI12" i="19"/>
  <c r="RI16" i="19"/>
  <c r="M20" i="19"/>
  <c r="RI21" i="19"/>
  <c r="S20" i="19"/>
  <c r="RI8" i="19"/>
  <c r="RI23" i="19"/>
  <c r="RI17" i="19"/>
  <c r="M8" i="19"/>
  <c r="M11" i="19"/>
  <c r="M12" i="19"/>
  <c r="M17" i="19"/>
  <c r="K12" i="19"/>
  <c r="S21" i="19"/>
  <c r="K16" i="19"/>
  <c r="M21" i="19"/>
  <c r="K21" i="19"/>
  <c r="K20" i="19"/>
  <c r="K23" i="19"/>
  <c r="K8" i="19"/>
  <c r="M16" i="19"/>
  <c r="S5" i="19"/>
  <c r="RI7" i="19"/>
  <c r="RI4" i="19"/>
  <c r="RI9" i="19"/>
  <c r="M9" i="19"/>
  <c r="M4" i="19"/>
  <c r="K5" i="19"/>
  <c r="K4" i="18"/>
  <c r="K5" i="18"/>
  <c r="T5" i="21" l="1"/>
  <c r="T9" i="21"/>
  <c r="U9" i="21" s="1"/>
  <c r="T6" i="21"/>
  <c r="U6" i="21" s="1"/>
  <c r="T13" i="21"/>
  <c r="E13" i="21" s="1"/>
  <c r="T5" i="19"/>
  <c r="V5" i="19" s="1"/>
  <c r="T11" i="21"/>
  <c r="U11" i="21" s="1"/>
  <c r="E10" i="21"/>
  <c r="T7" i="21"/>
  <c r="V7" i="21" s="1"/>
  <c r="U10" i="21"/>
  <c r="V10" i="21"/>
  <c r="T4" i="21"/>
  <c r="E4" i="21" s="1"/>
  <c r="T23" i="19"/>
  <c r="U23" i="19" s="1"/>
  <c r="P5" i="18"/>
  <c r="R5" i="18" s="1"/>
  <c r="V6" i="21"/>
  <c r="U16" i="21"/>
  <c r="E16" i="21"/>
  <c r="E8" i="21"/>
  <c r="E5" i="21"/>
  <c r="E20" i="19"/>
  <c r="E12" i="19"/>
  <c r="T16" i="19"/>
  <c r="E16" i="19" s="1"/>
  <c r="T8" i="19"/>
  <c r="U8" i="19" s="1"/>
  <c r="V8" i="21"/>
  <c r="U8" i="21"/>
  <c r="V5" i="21"/>
  <c r="U5" i="21"/>
  <c r="T17" i="19"/>
  <c r="E17" i="19" s="1"/>
  <c r="T11" i="19"/>
  <c r="V11" i="19" s="1"/>
  <c r="U12" i="19"/>
  <c r="V12" i="19"/>
  <c r="U20" i="19"/>
  <c r="V20" i="19"/>
  <c r="T21" i="19"/>
  <c r="E21" i="19" s="1"/>
  <c r="T9" i="19"/>
  <c r="V9" i="19" s="1"/>
  <c r="T4" i="19"/>
  <c r="V4" i="19" s="1"/>
  <c r="T7" i="19"/>
  <c r="E7" i="19" s="1"/>
  <c r="E9" i="21" l="1"/>
  <c r="V9" i="21"/>
  <c r="U13" i="21"/>
  <c r="E6" i="21"/>
  <c r="V13" i="21"/>
  <c r="E5" i="19"/>
  <c r="U5" i="19"/>
  <c r="E11" i="21"/>
  <c r="A11" i="21" s="1"/>
  <c r="V11" i="21"/>
  <c r="E7" i="21"/>
  <c r="U7" i="21"/>
  <c r="DR4" i="18"/>
  <c r="V4" i="21"/>
  <c r="U4" i="21"/>
  <c r="Q5" i="18"/>
  <c r="V23" i="19"/>
  <c r="E23" i="19"/>
  <c r="E5" i="18"/>
  <c r="E4" i="19"/>
  <c r="E8" i="19"/>
  <c r="V8" i="19"/>
  <c r="E9" i="19"/>
  <c r="V16" i="19"/>
  <c r="E11" i="19"/>
  <c r="U16" i="19"/>
  <c r="V17" i="19"/>
  <c r="U17" i="19"/>
  <c r="U11" i="19"/>
  <c r="U4" i="19"/>
  <c r="U21" i="19"/>
  <c r="V21" i="19"/>
  <c r="A16" i="19"/>
  <c r="U9" i="19"/>
  <c r="U7" i="19"/>
  <c r="V7" i="19"/>
  <c r="A13" i="19" l="1"/>
  <c r="A12" i="19"/>
  <c r="A11" i="19"/>
  <c r="A10" i="21"/>
  <c r="A18" i="19"/>
  <c r="A15" i="19"/>
  <c r="A19" i="19"/>
  <c r="A6" i="19"/>
  <c r="A10" i="19"/>
  <c r="A5" i="21"/>
  <c r="A6" i="21" a="1"/>
  <c r="A6" i="21" s="1"/>
  <c r="A14" i="21"/>
  <c r="A12" i="21"/>
  <c r="A8" i="21"/>
  <c r="A4" i="21"/>
  <c r="A7" i="21"/>
  <c r="A13" i="21"/>
  <c r="A9" i="21"/>
  <c r="A14" i="19"/>
  <c r="A5" i="19" a="1"/>
  <c r="A5" i="19" s="1"/>
  <c r="A7" i="19"/>
  <c r="A21" i="19"/>
  <c r="A17" i="19"/>
  <c r="A23" i="19"/>
  <c r="A20" i="19"/>
  <c r="A8" i="19"/>
  <c r="A4" i="19"/>
  <c r="A9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20" i="4"/>
  <c r="SS20" i="4"/>
  <c r="SR20" i="4"/>
  <c r="SQ20" i="4"/>
  <c r="SP20" i="4"/>
  <c r="SO20" i="4"/>
  <c r="SM20" i="4"/>
  <c r="SL20" i="4"/>
  <c r="SK20" i="4"/>
  <c r="SJ20" i="4"/>
  <c r="SI20" i="4"/>
  <c r="SH2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0" i="4"/>
  <c r="CY9" i="4"/>
  <c r="CY11" i="4"/>
  <c r="CY19" i="4"/>
  <c r="CY22" i="4"/>
  <c r="CY12" i="4"/>
  <c r="CY16" i="4"/>
  <c r="CY17" i="4"/>
  <c r="CY15" i="4"/>
  <c r="CY20" i="4"/>
  <c r="CY6" i="4"/>
  <c r="CX6" i="4"/>
  <c r="CU6" i="4"/>
  <c r="CU5" i="4"/>
  <c r="CU7" i="4"/>
  <c r="CU10" i="4"/>
  <c r="CU9" i="4"/>
  <c r="CU11" i="4"/>
  <c r="CU19" i="4"/>
  <c r="CU22" i="4"/>
  <c r="CU12" i="4"/>
  <c r="CU16" i="4"/>
  <c r="CU17" i="4"/>
  <c r="CU15" i="4"/>
  <c r="CU20" i="4"/>
  <c r="CU4" i="4"/>
  <c r="CT4" i="4"/>
  <c r="CR6" i="4"/>
  <c r="CR5" i="4"/>
  <c r="CR7" i="4"/>
  <c r="CR10" i="4"/>
  <c r="CR9" i="4"/>
  <c r="CR11" i="4"/>
  <c r="CR19" i="4"/>
  <c r="CR22" i="4"/>
  <c r="CR12" i="4"/>
  <c r="CR16" i="4"/>
  <c r="CR17" i="4"/>
  <c r="CR15" i="4"/>
  <c r="CR20" i="4"/>
  <c r="CR4" i="4"/>
  <c r="CQ4" i="4"/>
  <c r="CQ6" i="4"/>
  <c r="CQ5" i="4"/>
  <c r="CQ7" i="4"/>
  <c r="CQ10" i="4"/>
  <c r="CQ9" i="4"/>
  <c r="CQ11" i="4"/>
  <c r="CQ19" i="4"/>
  <c r="CQ22" i="4"/>
  <c r="CQ12" i="4"/>
  <c r="CQ16" i="4"/>
  <c r="CQ17" i="4"/>
  <c r="CQ15" i="4"/>
  <c r="CQ20" i="4"/>
  <c r="SN15" i="4" l="1"/>
  <c r="SU15" i="4" s="1"/>
  <c r="SN22" i="4"/>
  <c r="SU22" i="4" s="1"/>
  <c r="SN4" i="4"/>
  <c r="SU4" i="4" s="1"/>
  <c r="SN6" i="4"/>
  <c r="SU6" i="4" s="1"/>
  <c r="SN5" i="4"/>
  <c r="SU5" i="4" s="1"/>
  <c r="SN10" i="4"/>
  <c r="SU10" i="4" s="1"/>
  <c r="SN9" i="4"/>
  <c r="SU9" i="4" s="1"/>
  <c r="SN11" i="4"/>
  <c r="SU11" i="4" s="1"/>
  <c r="SN12" i="4"/>
  <c r="SU12" i="4" s="1"/>
  <c r="SN16" i="4"/>
  <c r="SU16" i="4" s="1"/>
  <c r="SN17" i="4"/>
  <c r="SU17" i="4" s="1"/>
  <c r="SN7" i="4"/>
  <c r="SU7" i="4" s="1"/>
  <c r="SN19" i="4"/>
  <c r="SU19" i="4" s="1"/>
  <c r="SN20" i="4"/>
  <c r="SU20" i="4" s="1"/>
  <c r="CP11" i="8"/>
  <c r="CQ11" i="8"/>
  <c r="CS11" i="8"/>
  <c r="CT11" i="8"/>
  <c r="DR11" i="8"/>
  <c r="DS11" i="8"/>
  <c r="DU11" i="8"/>
  <c r="DV11" i="8"/>
  <c r="ER11" i="8"/>
  <c r="ES11" i="8"/>
  <c r="EU11" i="8"/>
  <c r="EV11" i="8"/>
  <c r="FR11" i="8"/>
  <c r="FS11" i="8"/>
  <c r="FU11" i="8"/>
  <c r="FV11" i="8"/>
  <c r="GR11" i="8"/>
  <c r="GS11" i="8"/>
  <c r="GU11" i="8"/>
  <c r="GV11" i="8"/>
  <c r="HR11" i="8"/>
  <c r="HS11" i="8"/>
  <c r="HU11" i="8"/>
  <c r="HV11" i="8"/>
  <c r="IR11" i="8"/>
  <c r="IS11" i="8"/>
  <c r="IU11" i="8"/>
  <c r="IV11" i="8"/>
  <c r="JR11" i="8"/>
  <c r="JS11" i="8"/>
  <c r="JU11" i="8"/>
  <c r="JV11" i="8"/>
  <c r="KR11" i="8"/>
  <c r="KS11" i="8"/>
  <c r="KU11" i="8"/>
  <c r="KV11" i="8"/>
  <c r="LR11" i="8"/>
  <c r="LS11" i="8"/>
  <c r="LU11" i="8"/>
  <c r="LV11" i="8"/>
  <c r="MR11" i="8"/>
  <c r="MS11" i="8"/>
  <c r="MU11" i="8"/>
  <c r="MV11" i="8"/>
  <c r="NR11" i="8"/>
  <c r="NS11" i="8"/>
  <c r="NU11" i="8"/>
  <c r="NV11" i="8"/>
  <c r="OR11" i="8"/>
  <c r="OS11" i="8"/>
  <c r="OU11" i="8"/>
  <c r="OV11" i="8"/>
  <c r="OX11" i="8"/>
  <c r="OY11" i="8"/>
  <c r="OZ11" i="8"/>
  <c r="PA11" i="8"/>
  <c r="PB11" i="8"/>
  <c r="PC11" i="8"/>
  <c r="PD11" i="8"/>
  <c r="PJ11" i="8"/>
  <c r="PK11" i="8"/>
  <c r="PL11" i="8"/>
  <c r="PM11" i="8"/>
  <c r="PN11" i="8"/>
  <c r="PO11" i="8"/>
  <c r="PP11" i="8"/>
  <c r="PQ11" i="8"/>
  <c r="G11" i="8" l="1"/>
  <c r="I11" i="8"/>
  <c r="F11" i="8"/>
  <c r="J11" i="8"/>
  <c r="L11" i="8"/>
  <c r="CV11" i="8" s="1"/>
  <c r="N11" i="8"/>
  <c r="NW11" i="8"/>
  <c r="JW11" i="8"/>
  <c r="DW11" i="8"/>
  <c r="LW11" i="8"/>
  <c r="GW11" i="8"/>
  <c r="KW11" i="8"/>
  <c r="EW11" i="8"/>
  <c r="MW11" i="8"/>
  <c r="IW11" i="8"/>
  <c r="CU11" i="8"/>
  <c r="PV11" i="8"/>
  <c r="PS11" i="8"/>
  <c r="OW11" i="8"/>
  <c r="HW11" i="8"/>
  <c r="FW11" i="8"/>
  <c r="PW11" i="8"/>
  <c r="PT11" i="8"/>
  <c r="O11" i="8" l="1"/>
  <c r="CW11" i="8"/>
  <c r="M11" i="8"/>
  <c r="PX11" i="8"/>
  <c r="K11" i="8"/>
  <c r="P11" i="8" l="1"/>
  <c r="E11" i="8" s="1"/>
  <c r="R11" i="8" l="1"/>
  <c r="Q11" i="8"/>
  <c r="CS20" i="4"/>
  <c r="CT20" i="4"/>
  <c r="CV20" i="4"/>
  <c r="CX20" i="4"/>
  <c r="CZ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20" i="4" l="1"/>
  <c r="U20" i="4" s="1"/>
  <c r="R20" i="4"/>
  <c r="S20" i="4" s="1"/>
  <c r="N20" i="4"/>
  <c r="L20" i="4"/>
  <c r="J20" i="4"/>
  <c r="TU20" i="4"/>
  <c r="G20" i="4"/>
  <c r="I20" i="4"/>
  <c r="F20" i="4"/>
  <c r="TQ20" i="4"/>
  <c r="TN20" i="4"/>
  <c r="CW20" i="4"/>
  <c r="DA20" i="4" s="1"/>
  <c r="P20" i="4"/>
  <c r="DC20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4" i="8"/>
  <c r="CS7" i="8"/>
  <c r="NV7" i="8"/>
  <c r="NU7" i="8"/>
  <c r="NS7" i="8"/>
  <c r="NR7" i="8"/>
  <c r="NV4" i="8"/>
  <c r="NU4" i="8"/>
  <c r="NS4" i="8"/>
  <c r="NR4" i="8"/>
  <c r="NV8" i="8"/>
  <c r="NU8" i="8"/>
  <c r="NS8" i="8"/>
  <c r="NR8" i="8"/>
  <c r="MV7" i="8"/>
  <c r="MU7" i="8"/>
  <c r="MS7" i="8"/>
  <c r="MR7" i="8"/>
  <c r="MV4" i="8"/>
  <c r="MU4" i="8"/>
  <c r="MS4" i="8"/>
  <c r="MR4" i="8"/>
  <c r="MV8" i="8"/>
  <c r="MU8" i="8"/>
  <c r="MS8" i="8"/>
  <c r="MR8" i="8"/>
  <c r="LV7" i="8"/>
  <c r="LU7" i="8"/>
  <c r="LS7" i="8"/>
  <c r="LR7" i="8"/>
  <c r="LV4" i="8"/>
  <c r="LU4" i="8"/>
  <c r="LS4" i="8"/>
  <c r="LR4" i="8"/>
  <c r="LV8" i="8"/>
  <c r="LU8" i="8"/>
  <c r="LS8" i="8"/>
  <c r="LR8" i="8"/>
  <c r="KV7" i="8"/>
  <c r="KU7" i="8"/>
  <c r="KS7" i="8"/>
  <c r="KR7" i="8"/>
  <c r="KV4" i="8"/>
  <c r="KU4" i="8"/>
  <c r="KS4" i="8"/>
  <c r="KR4" i="8"/>
  <c r="KV8" i="8"/>
  <c r="KU8" i="8"/>
  <c r="KS8" i="8"/>
  <c r="KR8" i="8"/>
  <c r="JV7" i="8"/>
  <c r="JU7" i="8"/>
  <c r="JS7" i="8"/>
  <c r="JR7" i="8"/>
  <c r="JV4" i="8"/>
  <c r="JU4" i="8"/>
  <c r="JS4" i="8"/>
  <c r="JR4" i="8"/>
  <c r="JV8" i="8"/>
  <c r="JU8" i="8"/>
  <c r="JS8" i="8"/>
  <c r="JR8" i="8"/>
  <c r="IV7" i="8"/>
  <c r="IU7" i="8"/>
  <c r="IS7" i="8"/>
  <c r="IR7" i="8"/>
  <c r="IV4" i="8"/>
  <c r="IU4" i="8"/>
  <c r="IS4" i="8"/>
  <c r="IR4" i="8"/>
  <c r="IV8" i="8"/>
  <c r="IU8" i="8"/>
  <c r="IS8" i="8"/>
  <c r="IR8" i="8"/>
  <c r="HV7" i="8"/>
  <c r="HU7" i="8"/>
  <c r="HS7" i="8"/>
  <c r="HR7" i="8"/>
  <c r="HV4" i="8"/>
  <c r="HU4" i="8"/>
  <c r="HS4" i="8"/>
  <c r="HR4" i="8"/>
  <c r="HV8" i="8"/>
  <c r="HU8" i="8"/>
  <c r="HS8" i="8"/>
  <c r="HR8" i="8"/>
  <c r="GV7" i="8"/>
  <c r="GU7" i="8"/>
  <c r="GS7" i="8"/>
  <c r="GR7" i="8"/>
  <c r="GV4" i="8"/>
  <c r="GU4" i="8"/>
  <c r="GS4" i="8"/>
  <c r="GR4" i="8"/>
  <c r="GV8" i="8"/>
  <c r="GU8" i="8"/>
  <c r="GS8" i="8"/>
  <c r="GR8" i="8"/>
  <c r="FV7" i="8"/>
  <c r="FU7" i="8"/>
  <c r="FS7" i="8"/>
  <c r="FR7" i="8"/>
  <c r="FV4" i="8"/>
  <c r="FU4" i="8"/>
  <c r="FS4" i="8"/>
  <c r="FR4" i="8"/>
  <c r="FV8" i="8"/>
  <c r="FU8" i="8"/>
  <c r="FS8" i="8"/>
  <c r="FR8" i="8"/>
  <c r="EV7" i="8"/>
  <c r="EU7" i="8"/>
  <c r="ES7" i="8"/>
  <c r="ER7" i="8"/>
  <c r="EV4" i="8"/>
  <c r="EU4" i="8"/>
  <c r="ES4" i="8"/>
  <c r="ER4" i="8"/>
  <c r="EV8" i="8"/>
  <c r="EU8" i="8"/>
  <c r="ES8" i="8"/>
  <c r="ER8" i="8"/>
  <c r="DV7" i="8"/>
  <c r="DU7" i="8"/>
  <c r="DS7" i="8"/>
  <c r="DR7" i="8"/>
  <c r="DV4" i="8"/>
  <c r="DU4" i="8"/>
  <c r="DS4" i="8"/>
  <c r="DR4" i="8"/>
  <c r="DV8" i="8"/>
  <c r="DU8" i="8"/>
  <c r="DS8" i="8"/>
  <c r="DR8" i="8"/>
  <c r="CP4" i="8"/>
  <c r="CQ4" i="8"/>
  <c r="L4" i="8" s="1"/>
  <c r="CT4" i="8"/>
  <c r="N4" i="8" s="1"/>
  <c r="OR4" i="8"/>
  <c r="OS4" i="8"/>
  <c r="OU4" i="8"/>
  <c r="OV4" i="8"/>
  <c r="OX4" i="8"/>
  <c r="OY4" i="8"/>
  <c r="OZ4" i="8"/>
  <c r="PA4" i="8"/>
  <c r="PB4" i="8"/>
  <c r="PC4" i="8"/>
  <c r="PD4" i="8"/>
  <c r="PJ4" i="8"/>
  <c r="PK4" i="8"/>
  <c r="PL4" i="8"/>
  <c r="PM4" i="8"/>
  <c r="PN4" i="8"/>
  <c r="PO4" i="8"/>
  <c r="PP4" i="8"/>
  <c r="PQ4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V4" i="8" l="1"/>
  <c r="O20" i="4"/>
  <c r="DB20" i="4"/>
  <c r="V20" i="4" s="1"/>
  <c r="X20" i="4" s="1"/>
  <c r="R17" i="4"/>
  <c r="S17" i="4" s="1"/>
  <c r="T17" i="4"/>
  <c r="U17" i="4" s="1"/>
  <c r="T15" i="4"/>
  <c r="U15" i="4" s="1"/>
  <c r="R15" i="4"/>
  <c r="S15" i="4" s="1"/>
  <c r="R9" i="4"/>
  <c r="S9" i="4" s="1"/>
  <c r="T9" i="4"/>
  <c r="U9" i="4" s="1"/>
  <c r="O4" i="8"/>
  <c r="CW4" i="8"/>
  <c r="N15" i="4"/>
  <c r="N9" i="4"/>
  <c r="N17" i="4"/>
  <c r="K20" i="4"/>
  <c r="L9" i="4"/>
  <c r="I4" i="8"/>
  <c r="G4" i="8"/>
  <c r="F4" i="8"/>
  <c r="G17" i="4"/>
  <c r="M4" i="8"/>
  <c r="J4" i="8"/>
  <c r="J17" i="4"/>
  <c r="K17" i="4" s="1"/>
  <c r="I9" i="4"/>
  <c r="F15" i="4"/>
  <c r="J9" i="4"/>
  <c r="I17" i="4"/>
  <c r="L15" i="4"/>
  <c r="L17" i="4"/>
  <c r="J15" i="4"/>
  <c r="F9" i="4"/>
  <c r="G15" i="4"/>
  <c r="TR20" i="4"/>
  <c r="TV20" i="4" s="1"/>
  <c r="G9" i="4"/>
  <c r="I15" i="4"/>
  <c r="F17" i="4"/>
  <c r="TU9" i="4"/>
  <c r="TN9" i="4"/>
  <c r="H20" i="4"/>
  <c r="Q15" i="4"/>
  <c r="Q17" i="4"/>
  <c r="TQ15" i="4"/>
  <c r="TQ17" i="4"/>
  <c r="Q9" i="4"/>
  <c r="M20" i="4"/>
  <c r="TU15" i="4"/>
  <c r="TU17" i="4"/>
  <c r="TQ9" i="4"/>
  <c r="TN15" i="4"/>
  <c r="TN17" i="4"/>
  <c r="Q20" i="4"/>
  <c r="CW9" i="4"/>
  <c r="DA9" i="4" s="1"/>
  <c r="CW15" i="4"/>
  <c r="DA15" i="4" s="1"/>
  <c r="CW17" i="4"/>
  <c r="DA17" i="4" s="1"/>
  <c r="EW7" i="8"/>
  <c r="LW7" i="8"/>
  <c r="LW4" i="8"/>
  <c r="EW4" i="8"/>
  <c r="MW4" i="8"/>
  <c r="LW8" i="8"/>
  <c r="MW8" i="8"/>
  <c r="NW8" i="8"/>
  <c r="EW8" i="8"/>
  <c r="GW8" i="8"/>
  <c r="DW8" i="8"/>
  <c r="GW4" i="8"/>
  <c r="FW8" i="8"/>
  <c r="HW8" i="8"/>
  <c r="IW8" i="8"/>
  <c r="JW8" i="8"/>
  <c r="KW8" i="8"/>
  <c r="FW4" i="8"/>
  <c r="FW7" i="8"/>
  <c r="KW4" i="8"/>
  <c r="KW7" i="8"/>
  <c r="DW4" i="8"/>
  <c r="DW7" i="8"/>
  <c r="JW4" i="8"/>
  <c r="JW7" i="8"/>
  <c r="NW4" i="8"/>
  <c r="NW7" i="8"/>
  <c r="GW7" i="8"/>
  <c r="HW4" i="8"/>
  <c r="HW7" i="8"/>
  <c r="IW4" i="8"/>
  <c r="IW7" i="8"/>
  <c r="MW7" i="8"/>
  <c r="OW4" i="8"/>
  <c r="PV4" i="8"/>
  <c r="PS4" i="8"/>
  <c r="CU4" i="8"/>
  <c r="PT4" i="8"/>
  <c r="PW4" i="8"/>
  <c r="O17" i="4" l="1"/>
  <c r="DB17" i="4"/>
  <c r="V17" i="4" s="1"/>
  <c r="X17" i="4" s="1"/>
  <c r="O9" i="4"/>
  <c r="DB9" i="4"/>
  <c r="V9" i="4" s="1"/>
  <c r="O15" i="4"/>
  <c r="DB15" i="4"/>
  <c r="V15" i="4" s="1"/>
  <c r="W20" i="4"/>
  <c r="H17" i="4"/>
  <c r="TR17" i="4"/>
  <c r="TV17" i="4" s="1"/>
  <c r="K9" i="4"/>
  <c r="K15" i="4"/>
  <c r="H15" i="4"/>
  <c r="H9" i="4"/>
  <c r="TR15" i="4"/>
  <c r="TV15" i="4" s="1"/>
  <c r="TR9" i="4"/>
  <c r="TV9" i="4" s="1"/>
  <c r="M15" i="4"/>
  <c r="M17" i="4"/>
  <c r="M9" i="4"/>
  <c r="PX4" i="8"/>
  <c r="P4" i="8"/>
  <c r="K4" i="8"/>
  <c r="X15" i="4" l="1"/>
  <c r="W15" i="4"/>
  <c r="X9" i="4"/>
  <c r="W9" i="4"/>
  <c r="W17" i="4"/>
  <c r="E4" i="8"/>
  <c r="R4" i="8"/>
  <c r="Q4" i="8"/>
  <c r="E15" i="4" l="1"/>
  <c r="E20" i="4"/>
  <c r="E17" i="4"/>
  <c r="E9" i="4" l="1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1" i="4"/>
  <c r="CT11" i="4"/>
  <c r="CV11" i="4"/>
  <c r="CX11" i="4"/>
  <c r="CZ11" i="4"/>
  <c r="P11" i="4" s="1"/>
  <c r="DC11" i="4" s="1"/>
  <c r="CS10" i="4"/>
  <c r="CT10" i="4"/>
  <c r="CV10" i="4"/>
  <c r="CX10" i="4"/>
  <c r="CZ10" i="4"/>
  <c r="P10" i="4" s="1"/>
  <c r="DC10" i="4" s="1"/>
  <c r="CS6" i="4"/>
  <c r="CT6" i="4"/>
  <c r="CV6" i="4"/>
  <c r="CZ6" i="4"/>
  <c r="P6" i="4" s="1"/>
  <c r="DC6" i="4" s="1"/>
  <c r="CS22" i="4"/>
  <c r="CT22" i="4"/>
  <c r="CV22" i="4"/>
  <c r="CX22" i="4"/>
  <c r="CZ22" i="4"/>
  <c r="P22" i="4" s="1"/>
  <c r="DC22" i="4" s="1"/>
  <c r="CS16" i="4"/>
  <c r="CT16" i="4"/>
  <c r="CV16" i="4"/>
  <c r="CX16" i="4"/>
  <c r="CZ16" i="4"/>
  <c r="P16" i="4" s="1"/>
  <c r="DC16" i="4" s="1"/>
  <c r="CS12" i="4"/>
  <c r="CT12" i="4"/>
  <c r="CV12" i="4"/>
  <c r="CX12" i="4"/>
  <c r="CZ12" i="4"/>
  <c r="P12" i="4" s="1"/>
  <c r="DC12" i="4" s="1"/>
  <c r="CV4" i="4"/>
  <c r="CS4" i="4"/>
  <c r="OU7" i="8"/>
  <c r="OU8" i="8"/>
  <c r="CS8" i="8"/>
  <c r="T5" i="4" l="1"/>
  <c r="U5" i="4" s="1"/>
  <c r="R5" i="4"/>
  <c r="S5" i="4" s="1"/>
  <c r="T11" i="4"/>
  <c r="U11" i="4" s="1"/>
  <c r="R11" i="4"/>
  <c r="S11" i="4" s="1"/>
  <c r="T16" i="4"/>
  <c r="U16" i="4" s="1"/>
  <c r="R16" i="4"/>
  <c r="S16" i="4" s="1"/>
  <c r="T12" i="4"/>
  <c r="U12" i="4" s="1"/>
  <c r="R12" i="4"/>
  <c r="S12" i="4" s="1"/>
  <c r="T19" i="4"/>
  <c r="U19" i="4" s="1"/>
  <c r="R19" i="4"/>
  <c r="S19" i="4" s="1"/>
  <c r="T7" i="4"/>
  <c r="U7" i="4" s="1"/>
  <c r="R7" i="4"/>
  <c r="S7" i="4" s="1"/>
  <c r="T22" i="4"/>
  <c r="U22" i="4" s="1"/>
  <c r="R22" i="4"/>
  <c r="S22" i="4" s="1"/>
  <c r="T10" i="4"/>
  <c r="U10" i="4" s="1"/>
  <c r="R10" i="4"/>
  <c r="S10" i="4" s="1"/>
  <c r="N11" i="4"/>
  <c r="N16" i="4"/>
  <c r="N5" i="4"/>
  <c r="N12" i="4"/>
  <c r="N19" i="4"/>
  <c r="N4" i="4"/>
  <c r="N22" i="4"/>
  <c r="N7" i="4"/>
  <c r="N10" i="4"/>
  <c r="L6" i="4"/>
  <c r="M6" i="4" s="1"/>
  <c r="N6" i="4"/>
  <c r="J12" i="4"/>
  <c r="K12" i="4" s="1"/>
  <c r="L12" i="4"/>
  <c r="L19" i="4"/>
  <c r="J19" i="4"/>
  <c r="K19" i="4" s="1"/>
  <c r="L4" i="4"/>
  <c r="J4" i="4"/>
  <c r="L22" i="4"/>
  <c r="J22" i="4"/>
  <c r="K22" i="4" s="1"/>
  <c r="L7" i="4"/>
  <c r="J7" i="4"/>
  <c r="J10" i="4"/>
  <c r="K10" i="4" s="1"/>
  <c r="L10" i="4"/>
  <c r="L5" i="4"/>
  <c r="J5" i="4"/>
  <c r="K5" i="4" s="1"/>
  <c r="J16" i="4"/>
  <c r="K16" i="4" s="1"/>
  <c r="L16" i="4"/>
  <c r="J11" i="4"/>
  <c r="K11" i="4" s="1"/>
  <c r="L11" i="4"/>
  <c r="J6" i="4"/>
  <c r="K6" i="4" s="1"/>
  <c r="F22" i="4"/>
  <c r="G22" i="4"/>
  <c r="I22" i="4"/>
  <c r="I7" i="4"/>
  <c r="G7" i="4"/>
  <c r="F7" i="4"/>
  <c r="I10" i="4"/>
  <c r="F10" i="4"/>
  <c r="G10" i="4"/>
  <c r="G5" i="4"/>
  <c r="I5" i="4"/>
  <c r="F5" i="4"/>
  <c r="G16" i="4"/>
  <c r="I16" i="4"/>
  <c r="F16" i="4"/>
  <c r="F11" i="4"/>
  <c r="G11" i="4"/>
  <c r="I11" i="4"/>
  <c r="I12" i="4"/>
  <c r="G12" i="4"/>
  <c r="F12" i="4"/>
  <c r="F19" i="4"/>
  <c r="G19" i="4"/>
  <c r="I19" i="4"/>
  <c r="TQ11" i="4"/>
  <c r="TU6" i="4"/>
  <c r="TQ10" i="4"/>
  <c r="TU12" i="4"/>
  <c r="TQ16" i="4"/>
  <c r="TQ5" i="4"/>
  <c r="TN19" i="4"/>
  <c r="Q19" i="4"/>
  <c r="Q12" i="4"/>
  <c r="TU11" i="4"/>
  <c r="TQ7" i="4"/>
  <c r="TQ22" i="4"/>
  <c r="TU5" i="4"/>
  <c r="TQ19" i="4"/>
  <c r="Q22" i="4"/>
  <c r="TQ4" i="4"/>
  <c r="TU10" i="4"/>
  <c r="Q6" i="4"/>
  <c r="TU16" i="4"/>
  <c r="Q5" i="4"/>
  <c r="TQ12" i="4"/>
  <c r="TU7" i="4"/>
  <c r="Q7" i="4"/>
  <c r="Q10" i="4"/>
  <c r="Q16" i="4"/>
  <c r="Q11" i="4"/>
  <c r="TU4" i="4"/>
  <c r="TU22" i="4"/>
  <c r="TQ6" i="4"/>
  <c r="TU19" i="4"/>
  <c r="CW22" i="4"/>
  <c r="DA22" i="4" s="1"/>
  <c r="CW19" i="4"/>
  <c r="DA19" i="4" s="1"/>
  <c r="CW7" i="4"/>
  <c r="DA7" i="4" s="1"/>
  <c r="CW5" i="4"/>
  <c r="DA5" i="4" s="1"/>
  <c r="CW4" i="4"/>
  <c r="CW6" i="4"/>
  <c r="DA6" i="4" s="1"/>
  <c r="CW10" i="4"/>
  <c r="DA10" i="4" s="1"/>
  <c r="CW16" i="4"/>
  <c r="DA16" i="4" s="1"/>
  <c r="CW11" i="4"/>
  <c r="DA11" i="4" s="1"/>
  <c r="CW12" i="4"/>
  <c r="DA12" i="4" s="1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OY8" i="8"/>
  <c r="OZ8" i="8"/>
  <c r="PA8" i="8"/>
  <c r="PB8" i="8"/>
  <c r="PC8" i="8"/>
  <c r="PD8" i="8"/>
  <c r="PE8" i="8"/>
  <c r="PJ8" i="8"/>
  <c r="PK8" i="8"/>
  <c r="PL8" i="8"/>
  <c r="PM8" i="8"/>
  <c r="PN8" i="8"/>
  <c r="PO8" i="8"/>
  <c r="PP8" i="8"/>
  <c r="PQ8" i="8"/>
  <c r="OX8" i="8"/>
  <c r="SV4" i="4"/>
  <c r="CT7" i="8"/>
  <c r="N7" i="8" s="1"/>
  <c r="CQ7" i="8"/>
  <c r="CP7" i="8"/>
  <c r="CT8" i="8"/>
  <c r="N8" i="8" s="1"/>
  <c r="CQ8" i="8"/>
  <c r="CP8" i="8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1" i="4"/>
  <c r="SX11" i="4"/>
  <c r="TL11" i="4" s="1"/>
  <c r="SY11" i="4"/>
  <c r="TM11" i="4" s="1"/>
  <c r="SW10" i="4"/>
  <c r="SX10" i="4"/>
  <c r="TL10" i="4" s="1"/>
  <c r="SY10" i="4"/>
  <c r="TM10" i="4" s="1"/>
  <c r="SW6" i="4"/>
  <c r="SX6" i="4"/>
  <c r="TL6" i="4" s="1"/>
  <c r="SY6" i="4"/>
  <c r="TM6" i="4" s="1"/>
  <c r="SW22" i="4"/>
  <c r="SX22" i="4"/>
  <c r="TL22" i="4" s="1"/>
  <c r="SY22" i="4"/>
  <c r="TM22" i="4" s="1"/>
  <c r="SW16" i="4"/>
  <c r="SX16" i="4"/>
  <c r="TL16" i="4" s="1"/>
  <c r="SY16" i="4"/>
  <c r="TM16" i="4" s="1"/>
  <c r="SW12" i="4"/>
  <c r="SX12" i="4"/>
  <c r="TL12" i="4" s="1"/>
  <c r="SY12" i="4"/>
  <c r="TM12" i="4" s="1"/>
  <c r="SV5" i="4"/>
  <c r="SV7" i="4"/>
  <c r="SV11" i="4"/>
  <c r="SV10" i="4"/>
  <c r="SV6" i="4"/>
  <c r="SV22" i="4"/>
  <c r="SV16" i="4"/>
  <c r="SV12" i="4"/>
  <c r="O6" i="4" l="1"/>
  <c r="DB6" i="4"/>
  <c r="O12" i="4"/>
  <c r="DB12" i="4"/>
  <c r="V12" i="4" s="1"/>
  <c r="O5" i="4"/>
  <c r="DB5" i="4"/>
  <c r="V5" i="4" s="1"/>
  <c r="O10" i="4"/>
  <c r="DB10" i="4"/>
  <c r="V10" i="4" s="1"/>
  <c r="X10" i="4" s="1"/>
  <c r="O16" i="4"/>
  <c r="DB16" i="4"/>
  <c r="V16" i="4" s="1"/>
  <c r="X16" i="4" s="1"/>
  <c r="O7" i="4"/>
  <c r="DB7" i="4"/>
  <c r="V7" i="4" s="1"/>
  <c r="X7" i="4" s="1"/>
  <c r="O11" i="4"/>
  <c r="DB11" i="4"/>
  <c r="V11" i="4" s="1"/>
  <c r="X11" i="4" s="1"/>
  <c r="O22" i="4"/>
  <c r="DB22" i="4"/>
  <c r="V22" i="4" s="1"/>
  <c r="O4" i="4"/>
  <c r="DB4" i="4"/>
  <c r="O19" i="4"/>
  <c r="DB19" i="4"/>
  <c r="V19" i="4" s="1"/>
  <c r="O8" i="8"/>
  <c r="O7" i="8"/>
  <c r="K7" i="4"/>
  <c r="PT8" i="8"/>
  <c r="L8" i="8"/>
  <c r="CV8" i="8" s="1"/>
  <c r="J8" i="8"/>
  <c r="J7" i="8"/>
  <c r="L7" i="8"/>
  <c r="H16" i="4"/>
  <c r="H11" i="4"/>
  <c r="H7" i="4"/>
  <c r="H10" i="4"/>
  <c r="H12" i="4"/>
  <c r="H5" i="4"/>
  <c r="H22" i="4"/>
  <c r="TN7" i="4"/>
  <c r="TR7" i="4" s="1"/>
  <c r="TV7" i="4" s="1"/>
  <c r="H19" i="4"/>
  <c r="TN10" i="4"/>
  <c r="TR10" i="4" s="1"/>
  <c r="TV10" i="4" s="1"/>
  <c r="M12" i="4"/>
  <c r="M4" i="4"/>
  <c r="M7" i="4"/>
  <c r="TN11" i="4"/>
  <c r="TR11" i="4" s="1"/>
  <c r="TV11" i="4" s="1"/>
  <c r="M11" i="4"/>
  <c r="M19" i="4"/>
  <c r="TN6" i="4"/>
  <c r="TR6" i="4" s="1"/>
  <c r="TV6" i="4" s="1"/>
  <c r="M10" i="4"/>
  <c r="TN12" i="4"/>
  <c r="TR12" i="4" s="1"/>
  <c r="TV12" i="4" s="1"/>
  <c r="TN5" i="4"/>
  <c r="TR5" i="4" s="1"/>
  <c r="TV5" i="4" s="1"/>
  <c r="M16" i="4"/>
  <c r="M5" i="4"/>
  <c r="M22" i="4"/>
  <c r="TN16" i="4"/>
  <c r="TR16" i="4" s="1"/>
  <c r="TV16" i="4" s="1"/>
  <c r="TN4" i="4"/>
  <c r="TR4" i="4" s="1"/>
  <c r="TV4" i="4" s="1"/>
  <c r="TN22" i="4"/>
  <c r="TR22" i="4" s="1"/>
  <c r="TV22" i="4" s="1"/>
  <c r="TR19" i="4"/>
  <c r="TV19" i="4" s="1"/>
  <c r="K4" i="4"/>
  <c r="PV7" i="8"/>
  <c r="PV8" i="8"/>
  <c r="CU7" i="8"/>
  <c r="CU8" i="8"/>
  <c r="CZ4" i="4"/>
  <c r="G4" i="4" s="1"/>
  <c r="CX4" i="4"/>
  <c r="OR7" i="8"/>
  <c r="OS7" i="8"/>
  <c r="OV7" i="8"/>
  <c r="CW7" i="8" s="1"/>
  <c r="CV7" i="8" l="1"/>
  <c r="X12" i="4"/>
  <c r="W12" i="4"/>
  <c r="X5" i="4"/>
  <c r="W5" i="4"/>
  <c r="X22" i="4"/>
  <c r="W22" i="4"/>
  <c r="X19" i="4"/>
  <c r="W19" i="4"/>
  <c r="W10" i="4"/>
  <c r="W11" i="4"/>
  <c r="W16" i="4"/>
  <c r="W7" i="4"/>
  <c r="R4" i="4"/>
  <c r="S4" i="4" s="1"/>
  <c r="T4" i="4"/>
  <c r="U4" i="4" s="1"/>
  <c r="F4" i="4"/>
  <c r="G7" i="8"/>
  <c r="I7" i="8"/>
  <c r="F7" i="8"/>
  <c r="M7" i="8"/>
  <c r="M8" i="8"/>
  <c r="I4" i="4"/>
  <c r="P4" i="4"/>
  <c r="DC4" i="4" s="1"/>
  <c r="V4" i="4" s="1"/>
  <c r="X4" i="4" s="1"/>
  <c r="DA4" i="4"/>
  <c r="K7" i="8"/>
  <c r="OW7" i="8"/>
  <c r="PS7" i="8"/>
  <c r="PT7" i="8"/>
  <c r="PW7" i="8"/>
  <c r="W4" i="4" l="1"/>
  <c r="H4" i="4"/>
  <c r="Q4" i="4"/>
  <c r="E19" i="4"/>
  <c r="PX7" i="8"/>
  <c r="P7" i="8" l="1"/>
  <c r="E7" i="8" s="1"/>
  <c r="R7" i="8" l="1"/>
  <c r="Q7" i="8"/>
  <c r="E12" i="4" l="1"/>
  <c r="PS8" i="8" l="1"/>
  <c r="PW8" i="8"/>
  <c r="PX8" i="8" l="1"/>
  <c r="E22" i="4" l="1"/>
  <c r="OS8" i="8"/>
  <c r="K8" i="8" l="1"/>
  <c r="E4" i="4" l="1"/>
  <c r="A20" i="4" l="1" a="1"/>
  <c r="A20" i="4" s="1"/>
  <c r="A15" i="4" a="1"/>
  <c r="A15" i="4" s="1"/>
  <c r="A17" i="4" a="1"/>
  <c r="A17" i="4" s="1"/>
  <c r="A19" i="4" a="1"/>
  <c r="A19" i="4" s="1"/>
  <c r="OV8" i="8"/>
  <c r="OR8" i="8"/>
  <c r="G8" i="8" l="1"/>
  <c r="CW8" i="8"/>
  <c r="I8" i="8"/>
  <c r="F8" i="8"/>
  <c r="OW8" i="8"/>
  <c r="H8" i="8" l="1"/>
  <c r="E16" i="4"/>
  <c r="A16" i="4" a="1"/>
  <c r="A16" i="4" s="1"/>
  <c r="P8" i="8"/>
  <c r="E8" i="8" s="1"/>
  <c r="A5" i="8" s="1"/>
  <c r="A6" i="8" l="1"/>
  <c r="A11" i="8"/>
  <c r="A9" i="8"/>
  <c r="Q8" i="8"/>
  <c r="R8" i="8"/>
  <c r="A4" i="8"/>
  <c r="E11" i="4" l="1"/>
  <c r="E7" i="4" l="1"/>
  <c r="E10" i="4" l="1"/>
  <c r="E5" i="4"/>
  <c r="A7" i="8"/>
  <c r="A12" i="4" l="1" a="1"/>
  <c r="A12" i="4" s="1"/>
  <c r="A22" i="4" a="1"/>
  <c r="A22" i="4" s="1"/>
  <c r="A8" i="8"/>
  <c r="C34" i="11" l="1"/>
  <c r="C35" i="11"/>
  <c r="C36" i="11"/>
  <c r="C37" i="11"/>
  <c r="C38" i="11"/>
  <c r="C39" i="11"/>
  <c r="C40" i="11"/>
  <c r="C41" i="11"/>
  <c r="D41" i="11"/>
  <c r="H7" i="8"/>
  <c r="D38" i="11" s="1"/>
  <c r="H4" i="8"/>
  <c r="D35" i="11" s="1"/>
  <c r="H11" i="8"/>
  <c r="D39" i="11" s="1"/>
  <c r="D40" i="11" l="1"/>
  <c r="D36" i="11"/>
  <c r="D37" i="11"/>
  <c r="D34" i="11"/>
  <c r="T6" i="4" l="1"/>
  <c r="U6" i="4" s="1"/>
  <c r="R6" i="4"/>
  <c r="S6" i="4" s="1"/>
  <c r="F6" i="4"/>
  <c r="G6" i="4"/>
  <c r="I6" i="4"/>
  <c r="H6" i="4" l="1"/>
  <c r="V6" i="4"/>
  <c r="X6" i="4" s="1"/>
  <c r="W6" i="4" l="1"/>
  <c r="E6" i="4"/>
  <c r="A8" i="4" s="1" a="1"/>
  <c r="A8" i="4" s="1"/>
  <c r="A4" i="4" l="1" a="1"/>
  <c r="A4" i="4" s="1"/>
  <c r="A11" i="4" a="1"/>
  <c r="A11" i="4" s="1"/>
  <c r="A9" i="4" a="1"/>
  <c r="A9" i="4" s="1"/>
  <c r="A6" i="4" a="1"/>
  <c r="A6" i="4" s="1"/>
  <c r="A10" i="4" a="1"/>
  <c r="A10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l="1"/>
  <c r="CV4" i="18"/>
  <c r="P4" i="18" s="1"/>
  <c r="I4" i="18"/>
  <c r="G4" i="18"/>
  <c r="F4" i="18"/>
  <c r="R4" i="18" l="1"/>
  <c r="Q4" i="18"/>
  <c r="E4" i="18"/>
  <c r="A4" i="18" s="1"/>
  <c r="H4" i="18"/>
  <c r="A5" i="18" l="1"/>
  <c r="A6" i="18"/>
  <c r="C29" i="11" l="1"/>
  <c r="D26" i="11"/>
  <c r="C26" i="11"/>
  <c r="C31" i="11"/>
  <c r="C27" i="11"/>
  <c r="D32" i="11"/>
  <c r="D29" i="11"/>
  <c r="C28" i="11"/>
  <c r="C33" i="11"/>
  <c r="D27" i="11"/>
  <c r="C30" i="11"/>
  <c r="D28" i="11"/>
  <c r="C32" i="11"/>
  <c r="D30" i="11"/>
  <c r="D31" i="11"/>
  <c r="D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<sst xmlns="http://schemas.openxmlformats.org/spreadsheetml/2006/main" count="5029" uniqueCount="212">
  <si>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</si>
  <si>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</si>
  <si>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</si>
  <si>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</si>
  <si>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</si>
  <si>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</si>
  <si>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</si>
  <si>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</si>
  <si>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</si>
  <si>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</si>
  <si>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</si>
  <si>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</si>
  <si>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</si>
  <si>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</si>
  <si>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</si>
  <si>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</si>
  <si>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</si>
  <si>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</si>
  <si>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</si>
  <si>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</si>
  <si>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</si>
  <si>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</si>
  <si>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</si>
  <si>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</si>
  <si>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</si>
  <si>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</si>
  <si>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</si>
  <si>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</si>
  <si>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</si>
  <si>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</si>
  <si>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</si>
  <si>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</si>
  <si>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</si>
  <si>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</si>
  <si>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</si>
  <si>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</si>
  <si>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</si>
  <si>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</si>
  <si>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</si>
  <si>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</si>
  <si>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</si>
  <si>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</si>
  <si>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</si>
  <si>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</si>
  <si>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</si>
  <si>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</si>
  <si>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</si>
  <si>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</si>
  <si>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</si>
  <si>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</si>
  <si>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</si>
  <si>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</si>
  <si>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</si>
  <si>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</si>
  <si>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</si>
  <si>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</si>
  <si>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</si>
  <si>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</si>
  <si>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</si>
  <si>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</si>
  <si>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</si>
  <si>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</si>
  <si>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</si>
  <si>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</si>
  <si>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</si>
  <si>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</si>
  <si>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</si>
  <si>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</si>
  <si>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</si>
  <si>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</si>
  <si>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</si>
  <si>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</si>
  <si>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</si>
  <si>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</si>
  <si>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</si>
  <si>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</si>
  <si>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</si>
  <si>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</si>
  <si>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</si>
  <si>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</si>
  <si>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</si>
  <si>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</si>
  <si>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</si>
  <si>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</si>
  <si>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</si>
  <si>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</si>
  <si>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</si>
  <si>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</si>
  <si>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</si>
  <si>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</si>
  <si>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</si>
  <si>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</si>
  <si>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</si>
  <si>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</si>
  <si>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</si>
  <si>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</si>
  <si>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</si>
  <si>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</si>
  <si>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</si>
  <si>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</si>
  <si>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</si>
  <si>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</si>
  <si>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</si>
  <si>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</si>
  <si>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</si>
  <si>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</si>
  <si>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1997/1998</t>
  </si>
  <si>
    <t>MÉTHOT &amp; MILETTE</t>
  </si>
  <si>
    <t>2021 World Championships All-Around Team Finals (Nov 21)</t>
  </si>
  <si>
    <t>2021 WAGC (Nov 27)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</si>
  <si>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</si>
  <si>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</si>
  <si>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</si>
  <si>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</si>
  <si>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</si>
  <si>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</si>
  <si>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</si>
  <si>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</si>
  <si>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</si>
  <si>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</si>
  <si>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</si>
  <si>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</si>
  <si>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</si>
  <si>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</si>
  <si>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</si>
  <si>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</si>
  <si>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</si>
  <si>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</si>
  <si>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</si>
  <si>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</si>
  <si>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</si>
  <si>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</si>
  <si>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</si>
  <si>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</si>
  <si>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</si>
  <si>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</si>
  <si>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</si>
  <si>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</si>
  <si>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</si>
  <si>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</si>
  <si>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</si>
  <si>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</si>
  <si>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</si>
  <si>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</si>
  <si>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</si>
  <si>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</si>
  <si>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</si>
  <si>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</si>
  <si>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</si>
  <si>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</si>
  <si>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</si>
  <si>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</si>
  <si>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</si>
  <si>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</si>
  <si>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</si>
  <si>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</si>
  <si>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</si>
  <si>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</si>
  <si>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</si>
  <si>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</si>
  <si>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</si>
  <si>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</si>
  <si>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</si>
  <si>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</si>
  <si>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</si>
  <si>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</si>
  <si>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</si>
  <si>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</si>
  <si>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</si>
  <si>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</si>
  <si>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</si>
  <si>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</si>
  <si>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</si>
  <si>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</si>
  <si>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</si>
  <si>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</si>
  <si>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</si>
  <si>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</si>
  <si>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</si>
  <si>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</si>
  <si>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</si>
  <si>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</si>
  <si>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</si>
  <si>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</si>
  <si>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</si>
  <si>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</si>
  <si>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</si>
  <si>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</si>
  <si>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</si>
  <si>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</si>
  <si>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</si>
  <si>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</si>
  <si>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</si>
  <si>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</si>
  <si>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</si>
  <si>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</si>
  <si>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</si>
  <si>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</si>
  <si>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</si>
  <si>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</si>
  <si>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</si>
  <si>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</si>
  <si>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</si>
  <si>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</si>
  <si>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</si>
  <si>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</si>
  <si>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</si>
  <si>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</si>
  <si>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MCCONNELL, Jocelyn</t>
  </si>
  <si>
    <t>2022 3rd Domestic Trial</t>
  </si>
  <si>
    <t>BIANCHET, Anthony</t>
  </si>
  <si>
    <t>IBACH,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</si>
</sst>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41</v>
      </c>
      <c r="B1" t="s">
        <v>1</v>
      </c>
      <c r="C1" t="s">
        <v>43</v>
      </c>
      <c r="D1" s="70" t="s">
        <v>12</v>
      </c>
      <c r="E1" s="31"/>
      <c r="F1" s="31"/>
      <c r="J1" s="31"/>
      <c r="K1" s="31"/>
      <c r="L1" s="31"/>
    </row>
    <row r="2" spans="1:12" x14ac:dyDescent="0.2">
      <c r="A2" s="10" t="s">
        <v>42</v>
      </c>
      <c r="B2" s="10">
        <v>1</v>
      </c>
      <c r="C2" s="10" t="str">
        <f>IF(B2&gt;MAX('TRA-M'!A:A),"",INDEX('TRA-M'!B:B,MATCH(B2,'TRA-M'!A:A,0)))</f>
        <v>CHARTIER, Jérémy</v>
      </c>
      <c r="D2" s="67" t="str">
        <f>IF(B2&gt;MAX('TRA-M'!A:A),"",INDEX('TRA-M'!H:H,MATCH(B2,'TRA-M'!A:A,0)))</f>
        <v>Merit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Excellence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AUBIN, Rémi</v>
      </c>
      <c r="D4" s="67" t="str">
        <f>IF(B4&gt;MAX('TRA-M'!A:A),"",INDEX('TRA-M'!H:H,MATCH(B4,'TRA-M'!A:A,0)))</f>
        <v>Excellence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DODD, Gavin</v>
      </c>
      <c r="D6" s="67" t="str">
        <f>IF(B6&gt;MAX('TRA-M'!A:A),"",INDEX('TRA-M'!H:H,MATCH(B6,'TRA-M'!A:A,0)))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STIRLING, Trevor</v>
      </c>
      <c r="D8" s="67" t="str">
        <f>IF(B8&gt;MAX('TRA-M'!A:A),"",INDEX('TRA-M'!H:H,MATCH(B8,'TRA-M'!A:A,0)))</f>
        <v>National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45</v>
      </c>
      <c r="B10" s="12">
        <v>1</v>
      </c>
      <c r="C10" s="12" t="str">
        <f>IF(B2&gt;MAX('TRA-W'!A:A),"",INDEX('TRA-W'!B:B,MATCH(B2,'TRA-W'!A:A,0)))</f>
        <v>MÉTHOT, Sophiane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MILETTE, Sarah</v>
      </c>
      <c r="D11" s="102" t="str">
        <f>IF(B3&gt;MAX('TRA-W'!A:A),"",INDEX('TRA-W'!H:H,MATCH(B3,'TRA-W'!A:A,0)))</f>
        <v>Excellence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BONHAM, Maja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Worlds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SOEHN, Kalena</v>
      </c>
      <c r="D16" s="102" t="str">
        <f>IF(B8&gt;MAX('TRA-W'!A:A),"",INDEX('TRA-W'!H:H,MATCH(B8,'TRA-W'!A:A,0)))</f>
        <v>No DD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NOGA-BARD, Kasha</v>
      </c>
      <c r="D17" s="102" t="str">
        <f>IF(B9&gt;MAX('TRA-W'!A:A),"",INDEX('TRA-W'!H:H,MATCH(B9,'TRA-W'!A:A,0)))</f>
        <v>No DD</v>
      </c>
      <c r="J17" s="31"/>
    </row>
    <row r="18" spans="1:10" x14ac:dyDescent="0.2">
      <c r="A18" s="10" t="s">
        <v>46</v>
      </c>
      <c r="B18" s="10">
        <v>1</v>
      </c>
      <c r="C18" s="10" t="str">
        <f>IF(B2&gt;MAX('SYN-M'!A:A),"",INDEX('SYN-M'!B:B,MATCH(B2,'SYN-M'!A:A,0)))</f>
        <v>CHARTIER &amp; AUBIN</v>
      </c>
      <c r="D18" s="67" t="str">
        <f>IF(B2&gt;MAX('SYN-M'!A:A),"",INDEX('SYN-M'!H:H,MATCH(B2,'SYN-M'!A:A,0)))</f>
        <v>National Team</v>
      </c>
      <c r="J18" s="31"/>
    </row>
    <row r="19" spans="1:10" x14ac:dyDescent="0.2">
      <c r="A19" s="10"/>
      <c r="B19" s="10">
        <v>2</v>
      </c>
      <c r="C19" s="10" t="str">
        <f>IF(B3&gt;MAX('SYN-M'!A:A),"",INDEX('SYN-M'!B:B,MATCH(B3,'SYN-M'!A:A,0)))</f>
        <v>SHUH &amp; SOEHN</v>
      </c>
      <c r="D19" s="101" t="str">
        <f>IF(B3&gt;MAX('SYN-M'!A:A),"",INDEX('SYN-M'!H:H,MATCH(B3,'SYN-M'!A:A,0)))</f>
        <v>Excellence</v>
      </c>
      <c r="J19" s="31"/>
    </row>
    <row r="20" spans="1:10" x14ac:dyDescent="0.2">
      <c r="A20" s="10"/>
      <c r="B20" s="10">
        <v>3</v>
      </c>
      <c r="C20" s="10" t="str">
        <f>IF(B4&gt;MAX('SYN-M'!A:A),"",INDEX('SYN-M'!B:B,MATCH(B4,'SYN-M'!A:A,0)))</f>
        <v>CLOUTIER &amp; LEVASSEUR</v>
      </c>
      <c r="D20" s="101" t="str">
        <f>IF(B4&gt;MAX('SYN-M'!A:A),"",INDEX('SYN-M'!H:H,MATCH(B4,'SYN-M'!A:A,0)))</f>
        <v>No DD</v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47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Worlds Team</v>
      </c>
    </row>
    <row r="24" spans="1:10" x14ac:dyDescent="0.2">
      <c r="A24" s="12"/>
      <c r="B24" s="12">
        <v>3</v>
      </c>
      <c r="C24" s="12" t="str">
        <f>IF(B4&gt;MAX('SYN-W'!A:A),"",INDEX('SYN-W'!B:B,MATCH(B4,'SYN-W'!A:A,0)))</f>
        <v>NOSSACK &amp; SOEHN</v>
      </c>
      <c r="D24" s="102" t="str">
        <f>IF(B4&gt;MAX('SYN-W'!A:A),"",INDEX('SYN-W'!H:H,MATCH(B4,'SYN-W'!A:A,0)))</f>
        <v>National Team</v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48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x14ac:dyDescent="0.2">
      <c r="A28" s="10"/>
      <c r="B28" s="10">
        <v>3</v>
      </c>
      <c r="C28" s="10" t="str">
        <f>IF(B4&gt;MAX('TUM-M'!A:A),"",INDEX('TUM-M'!B:B,MATCH(B4,'TUM-M'!A:A,0)))</f>
        <v>MALEK, Philo</v>
      </c>
      <c r="D28" s="88" t="str">
        <f>IF(B4&gt;MAX('TUM-M'!A:A),"",INDEX('TUM-M'!H:H,MATCH(B4,'TUM-M'!A:A,0)))</f>
        <v>Excellence</v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49</v>
      </c>
      <c r="B34" s="12">
        <v>1</v>
      </c>
      <c r="C34" s="12" t="str">
        <f>IF(B2&gt;MAX('TUM-W'!A:A),"",INDEX('TUM-W'!B:B,MATCH(B2,'TUM-W'!A:A,0)))</f>
        <v>SIMINIUC, Alexandra</v>
      </c>
      <c r="D34" s="68" t="str">
        <f>IF(B2&gt;MAX('TUM-W'!A:A),"",INDEX('TUM-W'!H:H,MATCH(B2,'TUM-W'!A:A,0)))</f>
        <v>National Team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THOMPSON, Abby</v>
      </c>
      <c r="D35" s="68" t="str">
        <f>IF(B3&gt;MAX('TUM-W'!A:A),"",INDEX('TUM-W'!H:H,MATCH(B3,'TUM-W'!A:A,0)))</f>
        <v>Excellence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IBACH, Sam</v>
      </c>
      <c r="D36" s="68" t="str">
        <f>IF(B4&gt;MAX('TUM-W'!A:A),"",INDEX('TUM-W'!H:H,MATCH(B4,'TUM-W'!A:A,0)))</f>
        <v>National Team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PILLINGER, Taylor</v>
      </c>
      <c r="D37" s="68" t="str">
        <f>IF(B5&gt;MAX('TUM-W'!A:A),"",INDEX('TUM-W'!H:H,MATCH(B5,'TUM-W'!A:A,0)))</f>
        <v>Worlds Team</v>
      </c>
    </row>
    <row r="38" spans="1:4" x14ac:dyDescent="0.2">
      <c r="A38" s="12"/>
      <c r="B38" s="12">
        <v>5</v>
      </c>
      <c r="C38" s="12" t="str">
        <f>IF(B6&gt;MAX('TUM-W'!A:A),"",INDEX('TUM-W'!B:B,MATCH(B6,'TUM-W'!A:A,0)))</f>
        <v>SUGRIM, Jordan</v>
      </c>
      <c r="D38" s="68" t="str">
        <f>IF(B6&gt;MAX('TUM-W'!A:A),"",INDEX('TUM-W'!H:H,MATCH(B6,'TUM-W'!A:A,0)))</f>
        <v>Excellence</v>
      </c>
    </row>
    <row r="39" spans="1:4" x14ac:dyDescent="0.2">
      <c r="A39" s="12"/>
      <c r="B39" s="12">
        <v>6</v>
      </c>
      <c r="C39" s="12" t="str">
        <f>IF(B7&gt;MAX('TUM-W'!A:A),"",INDEX('TUM-W'!B:B,MATCH(B7,'TUM-W'!A:A,0)))</f>
        <v>SCHOLES, Hannah</v>
      </c>
      <c r="D39" s="68" t="str">
        <f>IF(B7&gt;MAX('TUM-W'!A:A),"",INDEX('TUM-W'!H:H,MATCH(B7,'TUM-W'!A:A,0)))</f>
        <v>No DD</v>
      </c>
    </row>
    <row r="40" spans="1:4" x14ac:dyDescent="0.2">
      <c r="A40" s="12"/>
      <c r="B40" s="12">
        <v>7</v>
      </c>
      <c r="C40" s="12" t="str">
        <f>IF(B8&gt;MAX('TUM-W'!A:A),"",INDEX('TUM-W'!B:B,MATCH(B8,'TUM-W'!A:A,0)))</f>
        <v>DONG, Helen</v>
      </c>
      <c r="D40" s="68" t="str">
        <f>IF(B8&gt;MAX('TUM-W'!A:A),"",INDEX('TUM-W'!H:H,MATCH(B8,'TUM-W'!A:A,0)))</f>
        <v>No DD</v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50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BLAKELY, Zach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88" t="str">
        <f>IF(B5&gt;MAX('DMT-M'!A:A),"",INDEX('DMT-M'!H:H,MATCH(B5,'DMT-M'!A:A,0)))</f>
        <v>Worlds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ARMSTRONG, Mark</v>
      </c>
      <c r="D46" s="88" t="str">
        <f>IF(B6&gt;MAX('DMT-M'!A:A),"",INDEX('DMT-M'!H:H,MATCH(B6,'DMT-M'!A:A,0)))</f>
        <v>Worlds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PEDERSEN, Mitchel</v>
      </c>
      <c r="D47" s="88" t="str">
        <f>IF(B7&gt;MAX('DMT-M'!A:A),"",INDEX('DMT-M'!H:H,MATCH(B7,'DMT-M'!A:A,0)))</f>
        <v>National Team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MEYER, Jeremy</v>
      </c>
      <c r="D48" s="88" t="str">
        <f>IF(B8&gt;MAX('DMT-M'!A:A),"",INDEX('DMT-M'!H:H,MATCH(B8,'DMT-M'!A:A,0)))</f>
        <v>National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NEUFELD, Simon</v>
      </c>
      <c r="D49" s="88" t="str">
        <f>IF(B9&gt;MAX('DMT-M'!A:A),"",INDEX('DMT-M'!H:H,MATCH(B9,'DMT-M'!A:A,0)))</f>
        <v>Worlds Team</v>
      </c>
    </row>
    <row r="50" spans="1:5" x14ac:dyDescent="0.2">
      <c r="A50" s="12" t="s">
        <v>51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Merit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Merit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HOWELL, Kayla</v>
      </c>
      <c r="D54" s="95" t="str">
        <f>IF(B6&gt;MAX('DMT-W'!A:A),"",INDEX('DMT-W'!H:H,MATCH(B6,'DMT-W'!A:A,0)))</f>
        <v>National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SOEHN, Kalena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DODD, Kristina</v>
      </c>
      <c r="D56" s="95" t="str">
        <f>IF(B8&gt;MAX('DMT-W'!A:A),"",INDEX('DMT-W'!H:H,MATCH(B8,'DMT-W'!A:A,0)))</f>
        <v>Worlds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ANAKA, Ashley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39</v>
      </c>
    </row>
    <row r="60" spans="1:5" x14ac:dyDescent="0.2">
      <c r="B60" s="31" t="s">
        <v>37</v>
      </c>
    </row>
    <row r="61" spans="1:5" x14ac:dyDescent="0.2">
      <c r="B61" s="31" t="s">
        <v>38</v>
      </c>
    </row>
    <row r="62" spans="1:5" x14ac:dyDescent="0.2">
      <c r="B62" s="17" t="s">
        <v>63</v>
      </c>
      <c r="D62" s="31" t="s">
        <v>61</v>
      </c>
    </row>
    <row r="63" spans="1:5" x14ac:dyDescent="0.2">
      <c r="B63" s="17" t="s">
        <v>72</v>
      </c>
      <c r="D63" s="31" t="s">
        <v>61</v>
      </c>
      <c r="E63" t="s">
        <v>61</v>
      </c>
    </row>
    <row r="64" spans="1:5" x14ac:dyDescent="0.2">
      <c r="B64" s="31" t="s">
        <v>62</v>
      </c>
      <c r="D64" s="31"/>
    </row>
    <row r="65" spans="1:4" x14ac:dyDescent="0.2">
      <c r="B65" s="31" t="s">
        <v>73</v>
      </c>
      <c r="D65" s="31"/>
    </row>
    <row r="66" spans="1:4" x14ac:dyDescent="0.2">
      <c r="A66" t="s">
        <v>44</v>
      </c>
      <c r="B66" s="111">
        <v>44831</v>
      </c>
      <c r="C66" s="111"/>
    </row>
    <row r="67" spans="1:4" x14ac:dyDescent="0.2">
      <c r="B67" s="59" t="s">
        <v>209</v>
      </c>
    </row>
    <row r="68" spans="1:4" x14ac:dyDescent="0.2">
      <c r="B68" s="59"/>
    </row>
    <row r="69" spans="1:4" x14ac:dyDescent="0.2">
      <c r="B69" s="59"/>
    </row>
    <row r="70" spans="1:4" x14ac:dyDescent="0.2">
      <c r="B70" s="59"/>
    </row>
    <row r="71" spans="1:4" x14ac:dyDescent="0.2">
      <c r="B71" s="59"/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112</v>
      </c>
      <c r="K1" s="117" t="s">
        <v>34</v>
      </c>
      <c r="L1" s="119" t="s">
        <v>113</v>
      </c>
      <c r="M1" s="117" t="s">
        <v>34</v>
      </c>
      <c r="N1" s="119" t="s">
        <v>141</v>
      </c>
      <c r="O1" s="117" t="s">
        <v>34</v>
      </c>
      <c r="P1" s="117" t="s">
        <v>13</v>
      </c>
      <c r="Q1" s="117" t="s">
        <v>34</v>
      </c>
      <c r="R1" s="117" t="s">
        <v>114</v>
      </c>
      <c r="S1" s="117" t="s">
        <v>34</v>
      </c>
      <c r="T1" s="119" t="s">
        <v>115</v>
      </c>
      <c r="U1" s="117" t="s">
        <v>34</v>
      </c>
      <c r="V1" s="121" t="s">
        <v>14</v>
      </c>
      <c r="W1" s="117" t="s">
        <v>35</v>
      </c>
      <c r="X1" s="117" t="s">
        <v>34</v>
      </c>
      <c r="Y1" s="114" t="s">
        <v>127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209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14</v>
      </c>
      <c r="DC1" s="116"/>
      <c r="DD1" s="114" t="s">
        <v>103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108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111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157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173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174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175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69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19</v>
      </c>
      <c r="Z2" s="112"/>
      <c r="AA2" s="112"/>
      <c r="AB2" s="112"/>
      <c r="AC2" s="112"/>
      <c r="AD2" s="112" t="s">
        <v>20</v>
      </c>
      <c r="AE2" s="112"/>
      <c r="AF2" s="112"/>
      <c r="AG2" s="112"/>
      <c r="AH2" s="112"/>
      <c r="AI2" s="112" t="s">
        <v>23</v>
      </c>
      <c r="AJ2" s="112"/>
      <c r="AK2" s="112"/>
      <c r="AL2" s="112"/>
      <c r="AM2" s="112"/>
      <c r="AN2" s="48"/>
      <c r="AO2" s="73" t="s">
        <v>116</v>
      </c>
      <c r="AP2" s="73" t="s">
        <v>117</v>
      </c>
      <c r="AQ2" s="73" t="s">
        <v>21</v>
      </c>
      <c r="AR2" s="73" t="s">
        <v>82</v>
      </c>
      <c r="AS2" s="73" t="s">
        <v>118</v>
      </c>
      <c r="AT2" s="73" t="s">
        <v>22</v>
      </c>
      <c r="AU2" s="73" t="s">
        <v>24</v>
      </c>
      <c r="AV2" s="73" t="s">
        <v>119</v>
      </c>
      <c r="AW2" s="73" t="s">
        <v>120</v>
      </c>
      <c r="AX2" s="73" t="s">
        <v>23</v>
      </c>
      <c r="AY2" s="73" t="s">
        <v>18</v>
      </c>
      <c r="AZ2" s="113" t="s">
        <v>19</v>
      </c>
      <c r="BA2" s="113"/>
      <c r="BB2" s="113"/>
      <c r="BC2" s="113"/>
      <c r="BD2" s="113"/>
      <c r="BE2" s="113" t="s">
        <v>20</v>
      </c>
      <c r="BF2" s="113"/>
      <c r="BG2" s="113"/>
      <c r="BH2" s="113"/>
      <c r="BI2" s="113"/>
      <c r="BJ2" s="113" t="s">
        <v>23</v>
      </c>
      <c r="BK2" s="113"/>
      <c r="BL2" s="113"/>
      <c r="BM2" s="113"/>
      <c r="BN2" s="113"/>
      <c r="BO2" s="47"/>
      <c r="BP2" s="72" t="s">
        <v>116</v>
      </c>
      <c r="BQ2" s="72" t="s">
        <v>117</v>
      </c>
      <c r="BR2" s="72" t="s">
        <v>21</v>
      </c>
      <c r="BS2" s="72" t="s">
        <v>82</v>
      </c>
      <c r="BT2" s="72" t="s">
        <v>118</v>
      </c>
      <c r="BU2" s="72" t="s">
        <v>22</v>
      </c>
      <c r="BV2" s="72" t="s">
        <v>24</v>
      </c>
      <c r="BW2" s="72" t="s">
        <v>119</v>
      </c>
      <c r="BX2" s="72" t="s">
        <v>120</v>
      </c>
      <c r="BY2" s="72" t="s">
        <v>23</v>
      </c>
      <c r="BZ2" s="72" t="s">
        <v>18</v>
      </c>
      <c r="CA2" s="112" t="s">
        <v>19</v>
      </c>
      <c r="CB2" s="112"/>
      <c r="CC2" s="112"/>
      <c r="CD2" s="112"/>
      <c r="CE2" s="112"/>
      <c r="CF2" s="112" t="s">
        <v>20</v>
      </c>
      <c r="CG2" s="112"/>
      <c r="CH2" s="112"/>
      <c r="CI2" s="112"/>
      <c r="CJ2" s="112"/>
      <c r="CK2" s="112" t="s">
        <v>23</v>
      </c>
      <c r="CL2" s="112"/>
      <c r="CM2" s="112"/>
      <c r="CN2" s="112"/>
      <c r="CO2" s="112"/>
      <c r="CP2" s="60"/>
      <c r="CQ2" s="73" t="s">
        <v>116</v>
      </c>
      <c r="CR2" s="73" t="s">
        <v>117</v>
      </c>
      <c r="CS2" s="73" t="s">
        <v>21</v>
      </c>
      <c r="CT2" s="73" t="s">
        <v>82</v>
      </c>
      <c r="CU2" s="73" t="s">
        <v>118</v>
      </c>
      <c r="CV2" s="73" t="s">
        <v>22</v>
      </c>
      <c r="CW2" s="73" t="s">
        <v>24</v>
      </c>
      <c r="CX2" s="73" t="s">
        <v>119</v>
      </c>
      <c r="CY2" s="73" t="s">
        <v>120</v>
      </c>
      <c r="CZ2" s="73" t="s">
        <v>23</v>
      </c>
      <c r="DA2" s="73" t="s">
        <v>18</v>
      </c>
      <c r="DB2" s="86" t="s">
        <v>24</v>
      </c>
      <c r="DC2" s="86" t="s">
        <v>23</v>
      </c>
      <c r="DD2" s="112" t="s">
        <v>19</v>
      </c>
      <c r="DE2" s="112"/>
      <c r="DF2" s="112"/>
      <c r="DG2" s="112"/>
      <c r="DH2" s="112"/>
      <c r="DI2" s="112" t="s">
        <v>20</v>
      </c>
      <c r="DJ2" s="112"/>
      <c r="DK2" s="112"/>
      <c r="DL2" s="112"/>
      <c r="DM2" s="112"/>
      <c r="DN2" s="112" t="s">
        <v>121</v>
      </c>
      <c r="DO2" s="112"/>
      <c r="DP2" s="112"/>
      <c r="DQ2" s="112"/>
      <c r="DR2" s="112"/>
      <c r="DS2" s="112" t="s">
        <v>23</v>
      </c>
      <c r="DT2" s="112"/>
      <c r="DU2" s="112"/>
      <c r="DV2" s="112"/>
      <c r="DW2" s="112"/>
      <c r="DX2" s="73" t="s">
        <v>116</v>
      </c>
      <c r="DY2" s="73" t="s">
        <v>117</v>
      </c>
      <c r="DZ2" s="73" t="s">
        <v>21</v>
      </c>
      <c r="EA2" s="73" t="s">
        <v>82</v>
      </c>
      <c r="EB2" s="73" t="s">
        <v>118</v>
      </c>
      <c r="EC2" s="73" t="s">
        <v>22</v>
      </c>
      <c r="ED2" s="73" t="s">
        <v>24</v>
      </c>
      <c r="EE2" s="73" t="s">
        <v>122</v>
      </c>
      <c r="EF2" s="73" t="s">
        <v>123</v>
      </c>
      <c r="EG2" s="73" t="s">
        <v>121</v>
      </c>
      <c r="EH2" s="73" t="s">
        <v>119</v>
      </c>
      <c r="EI2" s="73" t="s">
        <v>120</v>
      </c>
      <c r="EJ2" s="73" t="s">
        <v>23</v>
      </c>
      <c r="EK2" s="100" t="s">
        <v>18</v>
      </c>
      <c r="EL2" s="113" t="s">
        <v>19</v>
      </c>
      <c r="EM2" s="113"/>
      <c r="EN2" s="113"/>
      <c r="EO2" s="113"/>
      <c r="EP2" s="113"/>
      <c r="EQ2" s="113" t="s">
        <v>20</v>
      </c>
      <c r="ER2" s="113"/>
      <c r="ES2" s="113"/>
      <c r="ET2" s="113"/>
      <c r="EU2" s="113"/>
      <c r="EV2" s="113" t="s">
        <v>121</v>
      </c>
      <c r="EW2" s="113"/>
      <c r="EX2" s="113"/>
      <c r="EY2" s="113"/>
      <c r="EZ2" s="113"/>
      <c r="FA2" s="113" t="s">
        <v>23</v>
      </c>
      <c r="FB2" s="113"/>
      <c r="FC2" s="113"/>
      <c r="FD2" s="113"/>
      <c r="FE2" s="113"/>
      <c r="FF2" s="72" t="s">
        <v>116</v>
      </c>
      <c r="FG2" s="72" t="s">
        <v>117</v>
      </c>
      <c r="FH2" s="72" t="s">
        <v>21</v>
      </c>
      <c r="FI2" s="72" t="s">
        <v>82</v>
      </c>
      <c r="FJ2" s="72" t="s">
        <v>118</v>
      </c>
      <c r="FK2" s="72" t="s">
        <v>22</v>
      </c>
      <c r="FL2" s="72" t="s">
        <v>24</v>
      </c>
      <c r="FM2" s="72" t="s">
        <v>122</v>
      </c>
      <c r="FN2" s="72" t="s">
        <v>123</v>
      </c>
      <c r="FO2" s="72" t="s">
        <v>121</v>
      </c>
      <c r="FP2" s="72" t="s">
        <v>119</v>
      </c>
      <c r="FQ2" s="72" t="s">
        <v>120</v>
      </c>
      <c r="FR2" s="72" t="s">
        <v>23</v>
      </c>
      <c r="FS2" s="99" t="s">
        <v>18</v>
      </c>
      <c r="FT2" s="112" t="s">
        <v>19</v>
      </c>
      <c r="FU2" s="112"/>
      <c r="FV2" s="112"/>
      <c r="FW2" s="112"/>
      <c r="FX2" s="112"/>
      <c r="FY2" s="112" t="s">
        <v>20</v>
      </c>
      <c r="FZ2" s="112"/>
      <c r="GA2" s="112"/>
      <c r="GB2" s="112"/>
      <c r="GC2" s="112"/>
      <c r="GD2" s="112" t="s">
        <v>121</v>
      </c>
      <c r="GE2" s="112"/>
      <c r="GF2" s="112"/>
      <c r="GG2" s="112"/>
      <c r="GH2" s="112"/>
      <c r="GI2" s="112" t="s">
        <v>23</v>
      </c>
      <c r="GJ2" s="112"/>
      <c r="GK2" s="112"/>
      <c r="GL2" s="112"/>
      <c r="GM2" s="112"/>
      <c r="GN2" s="73" t="s">
        <v>116</v>
      </c>
      <c r="GO2" s="73" t="s">
        <v>117</v>
      </c>
      <c r="GP2" s="73" t="s">
        <v>21</v>
      </c>
      <c r="GQ2" s="73" t="s">
        <v>82</v>
      </c>
      <c r="GR2" s="73" t="s">
        <v>118</v>
      </c>
      <c r="GS2" s="73" t="s">
        <v>22</v>
      </c>
      <c r="GT2" s="73" t="s">
        <v>24</v>
      </c>
      <c r="GU2" s="73" t="s">
        <v>122</v>
      </c>
      <c r="GV2" s="73" t="s">
        <v>123</v>
      </c>
      <c r="GW2" s="73" t="s">
        <v>121</v>
      </c>
      <c r="GX2" s="73" t="s">
        <v>119</v>
      </c>
      <c r="GY2" s="73" t="s">
        <v>120</v>
      </c>
      <c r="GZ2" s="73" t="s">
        <v>23</v>
      </c>
      <c r="HA2" s="100" t="s">
        <v>18</v>
      </c>
      <c r="HB2" s="113" t="s">
        <v>19</v>
      </c>
      <c r="HC2" s="113"/>
      <c r="HD2" s="113"/>
      <c r="HE2" s="113"/>
      <c r="HF2" s="113"/>
      <c r="HG2" s="113" t="s">
        <v>20</v>
      </c>
      <c r="HH2" s="113"/>
      <c r="HI2" s="113"/>
      <c r="HJ2" s="113"/>
      <c r="HK2" s="113"/>
      <c r="HL2" s="113" t="s">
        <v>121</v>
      </c>
      <c r="HM2" s="113"/>
      <c r="HN2" s="113"/>
      <c r="HO2" s="113"/>
      <c r="HP2" s="113"/>
      <c r="HQ2" s="113" t="s">
        <v>23</v>
      </c>
      <c r="HR2" s="113"/>
      <c r="HS2" s="113"/>
      <c r="HT2" s="113"/>
      <c r="HU2" s="113"/>
      <c r="HV2" s="72" t="s">
        <v>116</v>
      </c>
      <c r="HW2" s="72" t="s">
        <v>117</v>
      </c>
      <c r="HX2" s="72" t="s">
        <v>21</v>
      </c>
      <c r="HY2" s="72" t="s">
        <v>82</v>
      </c>
      <c r="HZ2" s="72" t="s">
        <v>118</v>
      </c>
      <c r="IA2" s="72" t="s">
        <v>22</v>
      </c>
      <c r="IB2" s="72" t="s">
        <v>24</v>
      </c>
      <c r="IC2" s="72" t="s">
        <v>122</v>
      </c>
      <c r="ID2" s="72" t="s">
        <v>123</v>
      </c>
      <c r="IE2" s="72" t="s">
        <v>121</v>
      </c>
      <c r="IF2" s="72" t="s">
        <v>119</v>
      </c>
      <c r="IG2" s="72" t="s">
        <v>120</v>
      </c>
      <c r="IH2" s="72" t="s">
        <v>23</v>
      </c>
      <c r="II2" s="99" t="s">
        <v>18</v>
      </c>
      <c r="IJ2" s="112" t="s">
        <v>19</v>
      </c>
      <c r="IK2" s="112"/>
      <c r="IL2" s="112"/>
      <c r="IM2" s="112"/>
      <c r="IN2" s="112"/>
      <c r="IO2" s="112" t="s">
        <v>20</v>
      </c>
      <c r="IP2" s="112"/>
      <c r="IQ2" s="112"/>
      <c r="IR2" s="112"/>
      <c r="IS2" s="112"/>
      <c r="IT2" s="112" t="s">
        <v>121</v>
      </c>
      <c r="IU2" s="112"/>
      <c r="IV2" s="112"/>
      <c r="IW2" s="112"/>
      <c r="IX2" s="112"/>
      <c r="IY2" s="112" t="s">
        <v>23</v>
      </c>
      <c r="IZ2" s="112"/>
      <c r="JA2" s="112"/>
      <c r="JB2" s="112"/>
      <c r="JC2" s="112"/>
      <c r="JD2" s="73" t="s">
        <v>116</v>
      </c>
      <c r="JE2" s="73" t="s">
        <v>117</v>
      </c>
      <c r="JF2" s="73" t="s">
        <v>21</v>
      </c>
      <c r="JG2" s="73" t="s">
        <v>82</v>
      </c>
      <c r="JH2" s="73" t="s">
        <v>118</v>
      </c>
      <c r="JI2" s="73" t="s">
        <v>22</v>
      </c>
      <c r="JJ2" s="73" t="s">
        <v>24</v>
      </c>
      <c r="JK2" s="73" t="s">
        <v>122</v>
      </c>
      <c r="JL2" s="73" t="s">
        <v>123</v>
      </c>
      <c r="JM2" s="73" t="s">
        <v>121</v>
      </c>
      <c r="JN2" s="73" t="s">
        <v>119</v>
      </c>
      <c r="JO2" s="73" t="s">
        <v>120</v>
      </c>
      <c r="JP2" s="73" t="s">
        <v>23</v>
      </c>
      <c r="JQ2" s="100" t="s">
        <v>18</v>
      </c>
      <c r="JR2" s="113" t="s">
        <v>19</v>
      </c>
      <c r="JS2" s="113"/>
      <c r="JT2" s="113"/>
      <c r="JU2" s="113"/>
      <c r="JV2" s="113"/>
      <c r="JW2" s="113" t="s">
        <v>20</v>
      </c>
      <c r="JX2" s="113"/>
      <c r="JY2" s="113"/>
      <c r="JZ2" s="113"/>
      <c r="KA2" s="113"/>
      <c r="KB2" s="113" t="s">
        <v>121</v>
      </c>
      <c r="KC2" s="113"/>
      <c r="KD2" s="113"/>
      <c r="KE2" s="113"/>
      <c r="KF2" s="113"/>
      <c r="KG2" s="113" t="s">
        <v>23</v>
      </c>
      <c r="KH2" s="113"/>
      <c r="KI2" s="113"/>
      <c r="KJ2" s="113"/>
      <c r="KK2" s="113"/>
      <c r="KL2" s="72" t="s">
        <v>116</v>
      </c>
      <c r="KM2" s="72" t="s">
        <v>117</v>
      </c>
      <c r="KN2" s="72" t="s">
        <v>21</v>
      </c>
      <c r="KO2" s="72" t="s">
        <v>82</v>
      </c>
      <c r="KP2" s="72" t="s">
        <v>118</v>
      </c>
      <c r="KQ2" s="72" t="s">
        <v>22</v>
      </c>
      <c r="KR2" s="72" t="s">
        <v>24</v>
      </c>
      <c r="KS2" s="72" t="s">
        <v>122</v>
      </c>
      <c r="KT2" s="72" t="s">
        <v>123</v>
      </c>
      <c r="KU2" s="72" t="s">
        <v>121</v>
      </c>
      <c r="KV2" s="72" t="s">
        <v>119</v>
      </c>
      <c r="KW2" s="72" t="s">
        <v>120</v>
      </c>
      <c r="KX2" s="72" t="s">
        <v>23</v>
      </c>
      <c r="KY2" s="72" t="s">
        <v>18</v>
      </c>
      <c r="KZ2" s="112" t="s">
        <v>19</v>
      </c>
      <c r="LA2" s="112"/>
      <c r="LB2" s="112"/>
      <c r="LC2" s="112"/>
      <c r="LD2" s="112"/>
      <c r="LE2" s="112" t="s">
        <v>20</v>
      </c>
      <c r="LF2" s="112"/>
      <c r="LG2" s="112"/>
      <c r="LH2" s="112"/>
      <c r="LI2" s="112"/>
      <c r="LJ2" s="112" t="s">
        <v>121</v>
      </c>
      <c r="LK2" s="112"/>
      <c r="LL2" s="112"/>
      <c r="LM2" s="112"/>
      <c r="LN2" s="112"/>
      <c r="LO2" s="112" t="s">
        <v>23</v>
      </c>
      <c r="LP2" s="112"/>
      <c r="LQ2" s="112"/>
      <c r="LR2" s="112"/>
      <c r="LS2" s="112"/>
      <c r="LT2" s="73" t="s">
        <v>116</v>
      </c>
      <c r="LU2" s="73" t="s">
        <v>117</v>
      </c>
      <c r="LV2" s="73" t="s">
        <v>21</v>
      </c>
      <c r="LW2" s="73" t="s">
        <v>82</v>
      </c>
      <c r="LX2" s="73" t="s">
        <v>118</v>
      </c>
      <c r="LY2" s="73" t="s">
        <v>22</v>
      </c>
      <c r="LZ2" s="73" t="s">
        <v>24</v>
      </c>
      <c r="MA2" s="73" t="s">
        <v>122</v>
      </c>
      <c r="MB2" s="73" t="s">
        <v>123</v>
      </c>
      <c r="MC2" s="73" t="s">
        <v>121</v>
      </c>
      <c r="MD2" s="73" t="s">
        <v>119</v>
      </c>
      <c r="ME2" s="73" t="s">
        <v>120</v>
      </c>
      <c r="MF2" s="73" t="s">
        <v>23</v>
      </c>
      <c r="MG2" s="73" t="s">
        <v>18</v>
      </c>
      <c r="MH2" s="113" t="s">
        <v>19</v>
      </c>
      <c r="MI2" s="113"/>
      <c r="MJ2" s="113"/>
      <c r="MK2" s="113"/>
      <c r="ML2" s="113"/>
      <c r="MM2" s="113" t="s">
        <v>20</v>
      </c>
      <c r="MN2" s="113"/>
      <c r="MO2" s="113"/>
      <c r="MP2" s="113"/>
      <c r="MQ2" s="113"/>
      <c r="MR2" s="113" t="s">
        <v>121</v>
      </c>
      <c r="MS2" s="113"/>
      <c r="MT2" s="113"/>
      <c r="MU2" s="113"/>
      <c r="MV2" s="113"/>
      <c r="MW2" s="113" t="s">
        <v>23</v>
      </c>
      <c r="MX2" s="113"/>
      <c r="MY2" s="113"/>
      <c r="MZ2" s="113"/>
      <c r="NA2" s="113"/>
      <c r="NB2" s="72" t="s">
        <v>116</v>
      </c>
      <c r="NC2" s="72" t="s">
        <v>117</v>
      </c>
      <c r="ND2" s="72" t="s">
        <v>21</v>
      </c>
      <c r="NE2" s="72" t="s">
        <v>82</v>
      </c>
      <c r="NF2" s="72" t="s">
        <v>118</v>
      </c>
      <c r="NG2" s="72" t="s">
        <v>22</v>
      </c>
      <c r="NH2" s="72" t="s">
        <v>24</v>
      </c>
      <c r="NI2" s="72" t="s">
        <v>122</v>
      </c>
      <c r="NJ2" s="72" t="s">
        <v>123</v>
      </c>
      <c r="NK2" s="72" t="s">
        <v>121</v>
      </c>
      <c r="NL2" s="72" t="s">
        <v>119</v>
      </c>
      <c r="NM2" s="72" t="s">
        <v>120</v>
      </c>
      <c r="NN2" s="72" t="s">
        <v>23</v>
      </c>
      <c r="NO2" s="72" t="s">
        <v>18</v>
      </c>
      <c r="NP2" s="112" t="s">
        <v>19</v>
      </c>
      <c r="NQ2" s="112"/>
      <c r="NR2" s="112"/>
      <c r="NS2" s="112"/>
      <c r="NT2" s="112"/>
      <c r="NU2" s="112" t="s">
        <v>20</v>
      </c>
      <c r="NV2" s="112"/>
      <c r="NW2" s="112"/>
      <c r="NX2" s="112"/>
      <c r="NY2" s="112"/>
      <c r="NZ2" s="112" t="s">
        <v>121</v>
      </c>
      <c r="OA2" s="112"/>
      <c r="OB2" s="112"/>
      <c r="OC2" s="112"/>
      <c r="OD2" s="112"/>
      <c r="OE2" s="112" t="s">
        <v>23</v>
      </c>
      <c r="OF2" s="112"/>
      <c r="OG2" s="112"/>
      <c r="OH2" s="112"/>
      <c r="OI2" s="112"/>
      <c r="OJ2" s="73" t="s">
        <v>116</v>
      </c>
      <c r="OK2" s="73" t="s">
        <v>117</v>
      </c>
      <c r="OL2" s="73" t="s">
        <v>21</v>
      </c>
      <c r="OM2" s="73" t="s">
        <v>82</v>
      </c>
      <c r="ON2" s="73" t="s">
        <v>118</v>
      </c>
      <c r="OO2" s="73" t="s">
        <v>22</v>
      </c>
      <c r="OP2" s="73" t="s">
        <v>24</v>
      </c>
      <c r="OQ2" s="73" t="s">
        <v>122</v>
      </c>
      <c r="OR2" s="73" t="s">
        <v>123</v>
      </c>
      <c r="OS2" s="73" t="s">
        <v>121</v>
      </c>
      <c r="OT2" s="73" t="s">
        <v>119</v>
      </c>
      <c r="OU2" s="73" t="s">
        <v>120</v>
      </c>
      <c r="OV2" s="73" t="s">
        <v>23</v>
      </c>
      <c r="OW2" s="73" t="s">
        <v>18</v>
      </c>
      <c r="OX2" s="113" t="s">
        <v>19</v>
      </c>
      <c r="OY2" s="113"/>
      <c r="OZ2" s="113"/>
      <c r="PA2" s="113"/>
      <c r="PB2" s="113"/>
      <c r="PC2" s="113" t="s">
        <v>20</v>
      </c>
      <c r="PD2" s="113"/>
      <c r="PE2" s="113"/>
      <c r="PF2" s="113"/>
      <c r="PG2" s="113"/>
      <c r="PH2" s="113" t="s">
        <v>121</v>
      </c>
      <c r="PI2" s="113"/>
      <c r="PJ2" s="113"/>
      <c r="PK2" s="113"/>
      <c r="PL2" s="113"/>
      <c r="PM2" s="113" t="s">
        <v>23</v>
      </c>
      <c r="PN2" s="113"/>
      <c r="PO2" s="113"/>
      <c r="PP2" s="113"/>
      <c r="PQ2" s="113"/>
      <c r="PR2" s="72" t="s">
        <v>116</v>
      </c>
      <c r="PS2" s="72" t="s">
        <v>117</v>
      </c>
      <c r="PT2" s="72" t="s">
        <v>21</v>
      </c>
      <c r="PU2" s="72" t="s">
        <v>82</v>
      </c>
      <c r="PV2" s="72" t="s">
        <v>118</v>
      </c>
      <c r="PW2" s="72" t="s">
        <v>22</v>
      </c>
      <c r="PX2" s="72" t="s">
        <v>24</v>
      </c>
      <c r="PY2" s="72" t="s">
        <v>122</v>
      </c>
      <c r="PZ2" s="72" t="s">
        <v>123</v>
      </c>
      <c r="QA2" s="72" t="s">
        <v>121</v>
      </c>
      <c r="QB2" s="72" t="s">
        <v>119</v>
      </c>
      <c r="QC2" s="72" t="s">
        <v>120</v>
      </c>
      <c r="QD2" s="72" t="s">
        <v>23</v>
      </c>
      <c r="QE2" s="72" t="s">
        <v>18</v>
      </c>
      <c r="QF2" s="112" t="s">
        <v>19</v>
      </c>
      <c r="QG2" s="112"/>
      <c r="QH2" s="112"/>
      <c r="QI2" s="112"/>
      <c r="QJ2" s="112"/>
      <c r="QK2" s="112" t="s">
        <v>20</v>
      </c>
      <c r="QL2" s="112"/>
      <c r="QM2" s="112"/>
      <c r="QN2" s="112"/>
      <c r="QO2" s="112"/>
      <c r="QP2" s="112" t="s">
        <v>121</v>
      </c>
      <c r="QQ2" s="112"/>
      <c r="QR2" s="112"/>
      <c r="QS2" s="112"/>
      <c r="QT2" s="112"/>
      <c r="QU2" s="112" t="s">
        <v>23</v>
      </c>
      <c r="QV2" s="112"/>
      <c r="QW2" s="112"/>
      <c r="QX2" s="112"/>
      <c r="QY2" s="112"/>
      <c r="QZ2" s="73" t="s">
        <v>116</v>
      </c>
      <c r="RA2" s="73" t="s">
        <v>117</v>
      </c>
      <c r="RB2" s="73" t="s">
        <v>21</v>
      </c>
      <c r="RC2" s="73" t="s">
        <v>82</v>
      </c>
      <c r="RD2" s="73" t="s">
        <v>118</v>
      </c>
      <c r="RE2" s="73" t="s">
        <v>22</v>
      </c>
      <c r="RF2" s="73" t="s">
        <v>24</v>
      </c>
      <c r="RG2" s="73" t="s">
        <v>122</v>
      </c>
      <c r="RH2" s="73" t="s">
        <v>123</v>
      </c>
      <c r="RI2" s="73" t="s">
        <v>121</v>
      </c>
      <c r="RJ2" s="73" t="s">
        <v>119</v>
      </c>
      <c r="RK2" s="73" t="s">
        <v>120</v>
      </c>
      <c r="RL2" s="73" t="s">
        <v>23</v>
      </c>
      <c r="RM2" s="73" t="s">
        <v>18</v>
      </c>
      <c r="RN2" s="113" t="s">
        <v>19</v>
      </c>
      <c r="RO2" s="113"/>
      <c r="RP2" s="113"/>
      <c r="RQ2" s="113"/>
      <c r="RR2" s="113"/>
      <c r="RS2" s="113" t="s">
        <v>20</v>
      </c>
      <c r="RT2" s="113"/>
      <c r="RU2" s="113"/>
      <c r="RV2" s="113"/>
      <c r="RW2" s="113"/>
      <c r="RX2" s="113" t="s">
        <v>121</v>
      </c>
      <c r="RY2" s="113"/>
      <c r="RZ2" s="113"/>
      <c r="SA2" s="113"/>
      <c r="SB2" s="113"/>
      <c r="SC2" s="113" t="s">
        <v>23</v>
      </c>
      <c r="SD2" s="113"/>
      <c r="SE2" s="113"/>
      <c r="SF2" s="113"/>
      <c r="SG2" s="113"/>
      <c r="SH2" s="72" t="s">
        <v>116</v>
      </c>
      <c r="SI2" s="72" t="s">
        <v>117</v>
      </c>
      <c r="SJ2" s="72" t="s">
        <v>21</v>
      </c>
      <c r="SK2" s="72" t="s">
        <v>82</v>
      </c>
      <c r="SL2" s="72" t="s">
        <v>118</v>
      </c>
      <c r="SM2" s="72" t="s">
        <v>22</v>
      </c>
      <c r="SN2" s="72" t="s">
        <v>24</v>
      </c>
      <c r="SO2" s="72" t="s">
        <v>122</v>
      </c>
      <c r="SP2" s="72" t="s">
        <v>123</v>
      </c>
      <c r="SQ2" s="72" t="s">
        <v>121</v>
      </c>
      <c r="SR2" s="72" t="s">
        <v>119</v>
      </c>
      <c r="SS2" s="72" t="s">
        <v>120</v>
      </c>
      <c r="ST2" s="72" t="s">
        <v>23</v>
      </c>
      <c r="SU2" s="72" t="s">
        <v>18</v>
      </c>
      <c r="SV2" s="112" t="s">
        <v>19</v>
      </c>
      <c r="SW2" s="112"/>
      <c r="SX2" s="112"/>
      <c r="SY2" s="112"/>
      <c r="SZ2" s="112"/>
      <c r="TA2" s="112" t="s">
        <v>20</v>
      </c>
      <c r="TB2" s="112"/>
      <c r="TC2" s="112"/>
      <c r="TD2" s="112"/>
      <c r="TE2" s="112"/>
      <c r="TF2" s="112" t="s">
        <v>23</v>
      </c>
      <c r="TG2" s="112"/>
      <c r="TH2" s="112"/>
      <c r="TI2" s="112"/>
      <c r="TJ2" s="112"/>
      <c r="TK2" s="57"/>
      <c r="TL2" s="73" t="s">
        <v>116</v>
      </c>
      <c r="TM2" s="73" t="s">
        <v>117</v>
      </c>
      <c r="TN2" s="73" t="s">
        <v>21</v>
      </c>
      <c r="TO2" s="73" t="s">
        <v>82</v>
      </c>
      <c r="TP2" s="73" t="s">
        <v>118</v>
      </c>
      <c r="TQ2" s="73" t="s">
        <v>22</v>
      </c>
      <c r="TR2" s="73" t="s">
        <v>24</v>
      </c>
      <c r="TS2" s="73" t="s">
        <v>119</v>
      </c>
      <c r="TT2" s="73" t="s">
        <v>120</v>
      </c>
      <c r="TU2" s="73" t="s">
        <v>23</v>
      </c>
      <c r="TV2" s="73" t="s">
        <v>18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23" t="s">
        <v>15</v>
      </c>
      <c r="Z3" s="23" t="s">
        <v>16</v>
      </c>
      <c r="AA3" s="23" t="s">
        <v>10</v>
      </c>
      <c r="AB3" s="23" t="s">
        <v>17</v>
      </c>
      <c r="AC3" s="29" t="s">
        <v>31</v>
      </c>
      <c r="AD3" s="62" t="s">
        <v>15</v>
      </c>
      <c r="AE3" s="62" t="s">
        <v>16</v>
      </c>
      <c r="AF3" s="62" t="s">
        <v>10</v>
      </c>
      <c r="AG3" s="62" t="s">
        <v>17</v>
      </c>
      <c r="AH3" s="62" t="s">
        <v>31</v>
      </c>
      <c r="AI3" s="23" t="s">
        <v>15</v>
      </c>
      <c r="AJ3" s="23" t="s">
        <v>16</v>
      </c>
      <c r="AK3" s="23" t="s">
        <v>10</v>
      </c>
      <c r="AL3" s="23" t="s">
        <v>17</v>
      </c>
      <c r="AM3" s="29" t="s">
        <v>31</v>
      </c>
      <c r="AN3" s="48" t="s">
        <v>57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15</v>
      </c>
      <c r="BA3" s="24" t="s">
        <v>16</v>
      </c>
      <c r="BB3" s="24" t="s">
        <v>10</v>
      </c>
      <c r="BC3" s="24" t="s">
        <v>17</v>
      </c>
      <c r="BD3" s="30" t="s">
        <v>31</v>
      </c>
      <c r="BE3" s="63" t="s">
        <v>15</v>
      </c>
      <c r="BF3" s="63" t="s">
        <v>16</v>
      </c>
      <c r="BG3" s="63" t="s">
        <v>10</v>
      </c>
      <c r="BH3" s="63" t="s">
        <v>17</v>
      </c>
      <c r="BI3" s="63" t="s">
        <v>31</v>
      </c>
      <c r="BJ3" s="24" t="s">
        <v>15</v>
      </c>
      <c r="BK3" s="24" t="s">
        <v>16</v>
      </c>
      <c r="BL3" s="24" t="s">
        <v>10</v>
      </c>
      <c r="BM3" s="30" t="s">
        <v>17</v>
      </c>
      <c r="BN3" s="24" t="s">
        <v>31</v>
      </c>
      <c r="BO3" s="47" t="s">
        <v>57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15</v>
      </c>
      <c r="CB3" s="60" t="s">
        <v>16</v>
      </c>
      <c r="CC3" s="60" t="s">
        <v>10</v>
      </c>
      <c r="CD3" s="60" t="s">
        <v>17</v>
      </c>
      <c r="CE3" s="60" t="s">
        <v>31</v>
      </c>
      <c r="CF3" s="62" t="s">
        <v>15</v>
      </c>
      <c r="CG3" s="62" t="s">
        <v>16</v>
      </c>
      <c r="CH3" s="62" t="s">
        <v>10</v>
      </c>
      <c r="CI3" s="62" t="s">
        <v>17</v>
      </c>
      <c r="CJ3" s="62" t="s">
        <v>31</v>
      </c>
      <c r="CK3" s="60" t="s">
        <v>15</v>
      </c>
      <c r="CL3" s="60" t="s">
        <v>16</v>
      </c>
      <c r="CM3" s="60" t="s">
        <v>10</v>
      </c>
      <c r="CN3" s="60" t="s">
        <v>17</v>
      </c>
      <c r="CO3" s="60" t="s">
        <v>31</v>
      </c>
      <c r="CP3" s="60" t="s">
        <v>57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15</v>
      </c>
      <c r="DE3" s="23" t="s">
        <v>16</v>
      </c>
      <c r="DF3" s="23" t="s">
        <v>10</v>
      </c>
      <c r="DG3" s="23" t="s">
        <v>17</v>
      </c>
      <c r="DH3" s="29" t="s">
        <v>31</v>
      </c>
      <c r="DI3" s="23" t="s">
        <v>15</v>
      </c>
      <c r="DJ3" s="23" t="s">
        <v>16</v>
      </c>
      <c r="DK3" s="23" t="s">
        <v>10</v>
      </c>
      <c r="DL3" s="23" t="s">
        <v>17</v>
      </c>
      <c r="DM3" s="29" t="s">
        <v>31</v>
      </c>
      <c r="DN3" s="73" t="s">
        <v>15</v>
      </c>
      <c r="DO3" s="73" t="s">
        <v>16</v>
      </c>
      <c r="DP3" s="73" t="s">
        <v>10</v>
      </c>
      <c r="DQ3" s="73" t="s">
        <v>17</v>
      </c>
      <c r="DR3" s="73" t="s">
        <v>31</v>
      </c>
      <c r="DS3" s="23" t="s">
        <v>15</v>
      </c>
      <c r="DT3" s="23" t="s">
        <v>16</v>
      </c>
      <c r="DU3" s="23" t="s">
        <v>10</v>
      </c>
      <c r="DV3" s="23" t="s">
        <v>17</v>
      </c>
      <c r="DW3" s="29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15</v>
      </c>
      <c r="EM3" s="72" t="s">
        <v>16</v>
      </c>
      <c r="EN3" s="72" t="s">
        <v>10</v>
      </c>
      <c r="EO3" s="72" t="s">
        <v>17</v>
      </c>
      <c r="EP3" s="72" t="s">
        <v>31</v>
      </c>
      <c r="EQ3" s="72" t="s">
        <v>15</v>
      </c>
      <c r="ER3" s="72" t="s">
        <v>16</v>
      </c>
      <c r="ES3" s="72" t="s">
        <v>10</v>
      </c>
      <c r="ET3" s="72" t="s">
        <v>17</v>
      </c>
      <c r="EU3" s="72" t="s">
        <v>31</v>
      </c>
      <c r="EV3" s="72" t="s">
        <v>15</v>
      </c>
      <c r="EW3" s="72" t="s">
        <v>16</v>
      </c>
      <c r="EX3" s="72" t="s">
        <v>10</v>
      </c>
      <c r="EY3" s="72" t="s">
        <v>17</v>
      </c>
      <c r="EZ3" s="72" t="s">
        <v>31</v>
      </c>
      <c r="FA3" s="72" t="s">
        <v>15</v>
      </c>
      <c r="FB3" s="72" t="s">
        <v>16</v>
      </c>
      <c r="FC3" s="72" t="s">
        <v>10</v>
      </c>
      <c r="FD3" s="72" t="s">
        <v>17</v>
      </c>
      <c r="FE3" s="7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15</v>
      </c>
      <c r="FU3" s="73" t="s">
        <v>16</v>
      </c>
      <c r="FV3" s="73" t="s">
        <v>10</v>
      </c>
      <c r="FW3" s="73" t="s">
        <v>17</v>
      </c>
      <c r="FX3" s="73" t="s">
        <v>31</v>
      </c>
      <c r="FY3" s="73" t="s">
        <v>15</v>
      </c>
      <c r="FZ3" s="73" t="s">
        <v>16</v>
      </c>
      <c r="GA3" s="73" t="s">
        <v>10</v>
      </c>
      <c r="GB3" s="73" t="s">
        <v>17</v>
      </c>
      <c r="GC3" s="73" t="s">
        <v>31</v>
      </c>
      <c r="GD3" s="73" t="s">
        <v>15</v>
      </c>
      <c r="GE3" s="73" t="s">
        <v>16</v>
      </c>
      <c r="GF3" s="73" t="s">
        <v>10</v>
      </c>
      <c r="GG3" s="73" t="s">
        <v>17</v>
      </c>
      <c r="GH3" s="73" t="s">
        <v>31</v>
      </c>
      <c r="GI3" s="73" t="s">
        <v>15</v>
      </c>
      <c r="GJ3" s="73" t="s">
        <v>16</v>
      </c>
      <c r="GK3" s="73" t="s">
        <v>10</v>
      </c>
      <c r="GL3" s="73" t="s">
        <v>17</v>
      </c>
      <c r="GM3" s="73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15</v>
      </c>
      <c r="HC3" s="72" t="s">
        <v>16</v>
      </c>
      <c r="HD3" s="72" t="s">
        <v>10</v>
      </c>
      <c r="HE3" s="72" t="s">
        <v>17</v>
      </c>
      <c r="HF3" s="72" t="s">
        <v>31</v>
      </c>
      <c r="HG3" s="72" t="s">
        <v>15</v>
      </c>
      <c r="HH3" s="72" t="s">
        <v>16</v>
      </c>
      <c r="HI3" s="72" t="s">
        <v>10</v>
      </c>
      <c r="HJ3" s="72" t="s">
        <v>17</v>
      </c>
      <c r="HK3" s="72" t="s">
        <v>31</v>
      </c>
      <c r="HL3" s="72" t="s">
        <v>15</v>
      </c>
      <c r="HM3" s="72" t="s">
        <v>16</v>
      </c>
      <c r="HN3" s="72" t="s">
        <v>10</v>
      </c>
      <c r="HO3" s="72" t="s">
        <v>17</v>
      </c>
      <c r="HP3" s="72" t="s">
        <v>31</v>
      </c>
      <c r="HQ3" s="72" t="s">
        <v>15</v>
      </c>
      <c r="HR3" s="72" t="s">
        <v>16</v>
      </c>
      <c r="HS3" s="72" t="s">
        <v>10</v>
      </c>
      <c r="HT3" s="72" t="s">
        <v>17</v>
      </c>
      <c r="HU3" s="7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15</v>
      </c>
      <c r="IK3" s="73" t="s">
        <v>16</v>
      </c>
      <c r="IL3" s="73" t="s">
        <v>10</v>
      </c>
      <c r="IM3" s="73" t="s">
        <v>17</v>
      </c>
      <c r="IN3" s="73" t="s">
        <v>31</v>
      </c>
      <c r="IO3" s="73" t="s">
        <v>15</v>
      </c>
      <c r="IP3" s="73" t="s">
        <v>16</v>
      </c>
      <c r="IQ3" s="73" t="s">
        <v>10</v>
      </c>
      <c r="IR3" s="73" t="s">
        <v>17</v>
      </c>
      <c r="IS3" s="73" t="s">
        <v>31</v>
      </c>
      <c r="IT3" s="73" t="s">
        <v>15</v>
      </c>
      <c r="IU3" s="73" t="s">
        <v>16</v>
      </c>
      <c r="IV3" s="73" t="s">
        <v>10</v>
      </c>
      <c r="IW3" s="73" t="s">
        <v>17</v>
      </c>
      <c r="IX3" s="73" t="s">
        <v>31</v>
      </c>
      <c r="IY3" s="73" t="s">
        <v>15</v>
      </c>
      <c r="IZ3" s="73" t="s">
        <v>16</v>
      </c>
      <c r="JA3" s="73" t="s">
        <v>10</v>
      </c>
      <c r="JB3" s="73" t="s">
        <v>17</v>
      </c>
      <c r="JC3" s="73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15</v>
      </c>
      <c r="JS3" s="72" t="s">
        <v>16</v>
      </c>
      <c r="JT3" s="72" t="s">
        <v>10</v>
      </c>
      <c r="JU3" s="72" t="s">
        <v>17</v>
      </c>
      <c r="JV3" s="72" t="s">
        <v>31</v>
      </c>
      <c r="JW3" s="72" t="s">
        <v>15</v>
      </c>
      <c r="JX3" s="72" t="s">
        <v>16</v>
      </c>
      <c r="JY3" s="72" t="s">
        <v>10</v>
      </c>
      <c r="JZ3" s="72" t="s">
        <v>17</v>
      </c>
      <c r="KA3" s="72" t="s">
        <v>31</v>
      </c>
      <c r="KB3" s="72" t="s">
        <v>15</v>
      </c>
      <c r="KC3" s="72" t="s">
        <v>16</v>
      </c>
      <c r="KD3" s="72" t="s">
        <v>10</v>
      </c>
      <c r="KE3" s="72" t="s">
        <v>17</v>
      </c>
      <c r="KF3" s="72" t="s">
        <v>31</v>
      </c>
      <c r="KG3" s="72" t="s">
        <v>15</v>
      </c>
      <c r="KH3" s="72" t="s">
        <v>16</v>
      </c>
      <c r="KI3" s="72" t="s">
        <v>10</v>
      </c>
      <c r="KJ3" s="72" t="s">
        <v>17</v>
      </c>
      <c r="KK3" s="7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15</v>
      </c>
      <c r="LA3" s="73" t="s">
        <v>16</v>
      </c>
      <c r="LB3" s="73" t="s">
        <v>10</v>
      </c>
      <c r="LC3" s="73" t="s">
        <v>17</v>
      </c>
      <c r="LD3" s="73" t="s">
        <v>31</v>
      </c>
      <c r="LE3" s="73" t="s">
        <v>15</v>
      </c>
      <c r="LF3" s="73" t="s">
        <v>16</v>
      </c>
      <c r="LG3" s="73" t="s">
        <v>10</v>
      </c>
      <c r="LH3" s="73" t="s">
        <v>17</v>
      </c>
      <c r="LI3" s="73" t="s">
        <v>31</v>
      </c>
      <c r="LJ3" s="73" t="s">
        <v>15</v>
      </c>
      <c r="LK3" s="73" t="s">
        <v>16</v>
      </c>
      <c r="LL3" s="73" t="s">
        <v>10</v>
      </c>
      <c r="LM3" s="73" t="s">
        <v>17</v>
      </c>
      <c r="LN3" s="73" t="s">
        <v>31</v>
      </c>
      <c r="LO3" s="73" t="s">
        <v>15</v>
      </c>
      <c r="LP3" s="73" t="s">
        <v>16</v>
      </c>
      <c r="LQ3" s="73" t="s">
        <v>10</v>
      </c>
      <c r="LR3" s="73" t="s">
        <v>17</v>
      </c>
      <c r="LS3" s="73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15</v>
      </c>
      <c r="MI3" s="72" t="s">
        <v>16</v>
      </c>
      <c r="MJ3" s="72" t="s">
        <v>10</v>
      </c>
      <c r="MK3" s="72" t="s">
        <v>17</v>
      </c>
      <c r="ML3" s="72" t="s">
        <v>31</v>
      </c>
      <c r="MM3" s="72" t="s">
        <v>15</v>
      </c>
      <c r="MN3" s="72" t="s">
        <v>16</v>
      </c>
      <c r="MO3" s="72" t="s">
        <v>10</v>
      </c>
      <c r="MP3" s="72" t="s">
        <v>17</v>
      </c>
      <c r="MQ3" s="72" t="s">
        <v>31</v>
      </c>
      <c r="MR3" s="72" t="s">
        <v>15</v>
      </c>
      <c r="MS3" s="72" t="s">
        <v>16</v>
      </c>
      <c r="MT3" s="72" t="s">
        <v>10</v>
      </c>
      <c r="MU3" s="72" t="s">
        <v>17</v>
      </c>
      <c r="MV3" s="72" t="s">
        <v>31</v>
      </c>
      <c r="MW3" s="72" t="s">
        <v>15</v>
      </c>
      <c r="MX3" s="72" t="s">
        <v>16</v>
      </c>
      <c r="MY3" s="72" t="s">
        <v>10</v>
      </c>
      <c r="MZ3" s="72" t="s">
        <v>17</v>
      </c>
      <c r="NA3" s="7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15</v>
      </c>
      <c r="NQ3" s="73" t="s">
        <v>16</v>
      </c>
      <c r="NR3" s="73" t="s">
        <v>10</v>
      </c>
      <c r="NS3" s="73" t="s">
        <v>17</v>
      </c>
      <c r="NT3" s="73" t="s">
        <v>31</v>
      </c>
      <c r="NU3" s="73" t="s">
        <v>15</v>
      </c>
      <c r="NV3" s="73" t="s">
        <v>16</v>
      </c>
      <c r="NW3" s="73" t="s">
        <v>10</v>
      </c>
      <c r="NX3" s="73" t="s">
        <v>17</v>
      </c>
      <c r="NY3" s="73" t="s">
        <v>31</v>
      </c>
      <c r="NZ3" s="73" t="s">
        <v>15</v>
      </c>
      <c r="OA3" s="73" t="s">
        <v>16</v>
      </c>
      <c r="OB3" s="73" t="s">
        <v>10</v>
      </c>
      <c r="OC3" s="73" t="s">
        <v>17</v>
      </c>
      <c r="OD3" s="73" t="s">
        <v>31</v>
      </c>
      <c r="OE3" s="73" t="s">
        <v>15</v>
      </c>
      <c r="OF3" s="73" t="s">
        <v>16</v>
      </c>
      <c r="OG3" s="73" t="s">
        <v>10</v>
      </c>
      <c r="OH3" s="73" t="s">
        <v>17</v>
      </c>
      <c r="OI3" s="73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15</v>
      </c>
      <c r="OY3" s="72" t="s">
        <v>16</v>
      </c>
      <c r="OZ3" s="72" t="s">
        <v>10</v>
      </c>
      <c r="PA3" s="72" t="s">
        <v>17</v>
      </c>
      <c r="PB3" s="72" t="s">
        <v>31</v>
      </c>
      <c r="PC3" s="72" t="s">
        <v>15</v>
      </c>
      <c r="PD3" s="72" t="s">
        <v>16</v>
      </c>
      <c r="PE3" s="72" t="s">
        <v>10</v>
      </c>
      <c r="PF3" s="72" t="s">
        <v>17</v>
      </c>
      <c r="PG3" s="72" t="s">
        <v>31</v>
      </c>
      <c r="PH3" s="72" t="s">
        <v>15</v>
      </c>
      <c r="PI3" s="72" t="s">
        <v>16</v>
      </c>
      <c r="PJ3" s="72" t="s">
        <v>10</v>
      </c>
      <c r="PK3" s="72" t="s">
        <v>17</v>
      </c>
      <c r="PL3" s="72" t="s">
        <v>31</v>
      </c>
      <c r="PM3" s="72" t="s">
        <v>15</v>
      </c>
      <c r="PN3" s="72" t="s">
        <v>16</v>
      </c>
      <c r="PO3" s="72" t="s">
        <v>10</v>
      </c>
      <c r="PP3" s="72" t="s">
        <v>17</v>
      </c>
      <c r="PQ3" s="7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15</v>
      </c>
      <c r="QG3" s="73" t="s">
        <v>16</v>
      </c>
      <c r="QH3" s="73" t="s">
        <v>10</v>
      </c>
      <c r="QI3" s="73" t="s">
        <v>17</v>
      </c>
      <c r="QJ3" s="73" t="s">
        <v>31</v>
      </c>
      <c r="QK3" s="73" t="s">
        <v>15</v>
      </c>
      <c r="QL3" s="73" t="s">
        <v>16</v>
      </c>
      <c r="QM3" s="73" t="s">
        <v>10</v>
      </c>
      <c r="QN3" s="73" t="s">
        <v>17</v>
      </c>
      <c r="QO3" s="73" t="s">
        <v>31</v>
      </c>
      <c r="QP3" s="73" t="s">
        <v>15</v>
      </c>
      <c r="QQ3" s="73" t="s">
        <v>16</v>
      </c>
      <c r="QR3" s="73" t="s">
        <v>10</v>
      </c>
      <c r="QS3" s="73" t="s">
        <v>17</v>
      </c>
      <c r="QT3" s="73" t="s">
        <v>31</v>
      </c>
      <c r="QU3" s="73" t="s">
        <v>15</v>
      </c>
      <c r="QV3" s="73" t="s">
        <v>16</v>
      </c>
      <c r="QW3" s="73" t="s">
        <v>10</v>
      </c>
      <c r="QX3" s="73" t="s">
        <v>17</v>
      </c>
      <c r="QY3" s="73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15</v>
      </c>
      <c r="RO3" s="72" t="s">
        <v>16</v>
      </c>
      <c r="RP3" s="72" t="s">
        <v>10</v>
      </c>
      <c r="RQ3" s="72" t="s">
        <v>17</v>
      </c>
      <c r="RR3" s="72" t="s">
        <v>31</v>
      </c>
      <c r="RS3" s="72" t="s">
        <v>15</v>
      </c>
      <c r="RT3" s="72" t="s">
        <v>16</v>
      </c>
      <c r="RU3" s="72" t="s">
        <v>10</v>
      </c>
      <c r="RV3" s="72" t="s">
        <v>17</v>
      </c>
      <c r="RW3" s="72" t="s">
        <v>31</v>
      </c>
      <c r="RX3" s="72" t="s">
        <v>15</v>
      </c>
      <c r="RY3" s="72" t="s">
        <v>16</v>
      </c>
      <c r="RZ3" s="72" t="s">
        <v>10</v>
      </c>
      <c r="SA3" s="72" t="s">
        <v>17</v>
      </c>
      <c r="SB3" s="72" t="s">
        <v>31</v>
      </c>
      <c r="SC3" s="72" t="s">
        <v>15</v>
      </c>
      <c r="SD3" s="72" t="s">
        <v>16</v>
      </c>
      <c r="SE3" s="72" t="s">
        <v>10</v>
      </c>
      <c r="SF3" s="72" t="s">
        <v>17</v>
      </c>
      <c r="SG3" s="7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15</v>
      </c>
      <c r="SW3" s="57" t="s">
        <v>16</v>
      </c>
      <c r="SX3" s="57" t="s">
        <v>10</v>
      </c>
      <c r="SY3" s="57" t="s">
        <v>17</v>
      </c>
      <c r="SZ3" s="57" t="s">
        <v>31</v>
      </c>
      <c r="TA3" s="62" t="s">
        <v>15</v>
      </c>
      <c r="TB3" s="62" t="s">
        <v>16</v>
      </c>
      <c r="TC3" s="62" t="s">
        <v>10</v>
      </c>
      <c r="TD3" s="62" t="s">
        <v>17</v>
      </c>
      <c r="TE3" s="62" t="s">
        <v>31</v>
      </c>
      <c r="TF3" s="57" t="s">
        <v>15</v>
      </c>
      <c r="TG3" s="57" t="s">
        <v>16</v>
      </c>
      <c r="TH3" s="57" t="s">
        <v>10</v>
      </c>
      <c r="TI3" s="57" t="s">
        <v>17</v>
      </c>
      <c r="TJ3" s="57" t="s">
        <v>31</v>
      </c>
      <c r="TK3" s="57" t="s">
        <v>57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64</v>
      </c>
      <c r="C4" s="7" t="s">
        <v>8</v>
      </c>
      <c r="D4" s="7">
        <v>2001</v>
      </c>
      <c r="E4" s="14">
        <f>SUM(J4:V4)+SUM(J4:T4)*0.0000001+SUM(J4)*0.0000000000001</f>
        <v>272.12502706650599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59.88000000000001</v>
      </c>
      <c r="K4" s="13" t="str">
        <f>IF(J4="","",IF(OR(J4=CS4,J4=CV4),$CA$1,IF(OR(J4=BR4,J4=BU4),$AZ$1,IF(OR(J4=AQ4,J4=AT4),$Y$1,""))))</f>
        <v>2022 Nationals</v>
      </c>
      <c r="L4" s="13">
        <f>IF(COUNT(AQ4,AT4,BR4,BU4,CS4,CV4)&gt;1,LARGE((AQ4,AT4,BR4,BU4,CS4,CV4),2),0)</f>
        <v>59.8</v>
      </c>
      <c r="M4" s="13" t="str">
        <f>IF(L4="","",IF(OR(L4=CS4,L4=CV4),$CA$1,IF(OR(L4=BR4,L4=BU4),$AZ$1,IF(OR(L4=AQ4,L4=AT4),$Y$1,""))))</f>
        <v>2022 3rd Domestic Trial</v>
      </c>
      <c r="N4" s="13">
        <f>IF(COUNT(AQ4,AT4,BR4,BU4,CS4,CV4)&gt;2,LARGE((AQ4,AT4,BR4,BU4,CS4,CV4),3),0)</f>
        <v>58.054999999999993</v>
      </c>
      <c r="O4" s="13" t="str">
        <f>IF(N4="","",IF(OR(N4=CS4,N4=CV4),$CA$1,IF(OR(N4=BR4,N4=BU4),$AZ$1,IF(OR(N4=AQ4,N4=AT4),$Y$1,""))))</f>
        <v>2022 Elite Canada</v>
      </c>
      <c r="P4" s="13">
        <f>IF(MAX(AX4,BY4,CZ4)&gt;0,MAX(AX4,BY4,CZ4),0)</f>
        <v>58.53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17.100000000000001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3rd Domestic Trial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13">
        <f>IF(MAX(DB4,DC4)&gt;0,MAX(DB4,DC4),"")</f>
        <v>1.460000000000008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SUI (July 2)</v>
      </c>
      <c r="Y4" s="42">
        <v>13.8</v>
      </c>
      <c r="Z4" s="42">
        <v>6.6</v>
      </c>
      <c r="AA4" s="42">
        <v>12.1</v>
      </c>
      <c r="AB4" s="42">
        <v>13.935</v>
      </c>
      <c r="AC4" s="42">
        <v>0</v>
      </c>
      <c r="AD4" s="42">
        <v>16.899999999999999</v>
      </c>
      <c r="AE4" s="42">
        <v>8.3000000000000007</v>
      </c>
      <c r="AF4" s="42">
        <v>15.6</v>
      </c>
      <c r="AG4" s="42">
        <v>17.254999999999999</v>
      </c>
      <c r="AH4" s="42">
        <v>0</v>
      </c>
      <c r="AI4" s="42">
        <v>3.1</v>
      </c>
      <c r="AJ4" s="42">
        <v>1.7</v>
      </c>
      <c r="AK4" s="42">
        <v>3.8</v>
      </c>
      <c r="AL4" s="42">
        <v>3.55</v>
      </c>
      <c r="AM4" s="42">
        <v>0</v>
      </c>
      <c r="AN4" s="51"/>
      <c r="AO4" s="74">
        <f>IF(AA4&gt;0,AA4,"")</f>
        <v>12.1</v>
      </c>
      <c r="AP4" s="74">
        <f>IF(AB4&gt;0,AB4,"")</f>
        <v>13.935</v>
      </c>
      <c r="AQ4" s="76">
        <f>IF(SUM(Y4:AB4)-AC4&gt;0,SUM(Y4:AB4)-AC4,"")</f>
        <v>46.435000000000002</v>
      </c>
      <c r="AR4" s="76">
        <f>IF(AF4&gt;0,AF4,"")</f>
        <v>15.6</v>
      </c>
      <c r="AS4" s="76">
        <f>IF(AG4&gt;0,AG4,"")</f>
        <v>17.254999999999999</v>
      </c>
      <c r="AT4" s="76">
        <f>IF(SUM(AD4:AG4)-AH4&gt;0,SUM(AD4:AG4)-AH4,"")</f>
        <v>58.054999999999993</v>
      </c>
      <c r="AU4" s="76">
        <f>IF(AQ4="","",MAX(AQ4,AT4))</f>
        <v>58.054999999999993</v>
      </c>
      <c r="AV4" s="76">
        <f>IF(AK4&gt;0,AK4,"")</f>
        <v>3.8</v>
      </c>
      <c r="AW4" s="76">
        <f>IF(AL4&gt;0,AL4,"")</f>
        <v>3.55</v>
      </c>
      <c r="AX4" s="76">
        <f>IF(SUM(AI4:AL4)-AM4&gt;0,SUM(AI4:AL4)-AM4,"")</f>
        <v>12.149999999999999</v>
      </c>
      <c r="AY4" s="76">
        <f>IF(SUM(AU4,AX4)&gt;0,SUM(AU4,AX4),"")</f>
        <v>70.204999999999984</v>
      </c>
      <c r="AZ4" s="46">
        <v>17.100000000000001</v>
      </c>
      <c r="BA4" s="46">
        <v>9.6</v>
      </c>
      <c r="BB4" s="46">
        <v>16.2</v>
      </c>
      <c r="BC4" s="46">
        <v>16.98</v>
      </c>
      <c r="BD4" s="46">
        <v>0</v>
      </c>
      <c r="BE4" s="46">
        <v>5.3</v>
      </c>
      <c r="BF4" s="46">
        <v>2.7</v>
      </c>
      <c r="BG4" s="46">
        <v>5.6</v>
      </c>
      <c r="BH4" s="46">
        <v>5.39</v>
      </c>
      <c r="BI4" s="46">
        <v>0</v>
      </c>
      <c r="BJ4" s="46">
        <v>16.5</v>
      </c>
      <c r="BK4" s="46">
        <v>9</v>
      </c>
      <c r="BL4" s="46">
        <v>16.2</v>
      </c>
      <c r="BM4" s="46">
        <v>16.829999999999998</v>
      </c>
      <c r="BN4" s="46">
        <v>0</v>
      </c>
      <c r="BO4" s="52"/>
      <c r="BP4" s="75">
        <f>IF(BB4&gt;0,BB4,"")</f>
        <v>16.2</v>
      </c>
      <c r="BQ4" s="75">
        <f>IF(BC4&gt;0,BC4,"")</f>
        <v>16.98</v>
      </c>
      <c r="BR4" s="16">
        <f>IF(SUM(AZ4:BC4)-BD4&gt;0,SUM(AZ4:BC4)-BD4,"")</f>
        <v>59.88000000000001</v>
      </c>
      <c r="BS4" s="16">
        <f>IF(BG4&gt;0,BG4,"")</f>
        <v>5.6</v>
      </c>
      <c r="BT4" s="16">
        <f>IF(BH4&gt;0,BH4,"")</f>
        <v>5.39</v>
      </c>
      <c r="BU4" s="16">
        <f>IF(SUM(BE4:BH4)-BI4&gt;0,SUM(BE4:BH4)-BI4,"")</f>
        <v>18.989999999999998</v>
      </c>
      <c r="BV4" s="16">
        <f>IF(BR4="","",MAX(BR4,BU4))</f>
        <v>59.88000000000001</v>
      </c>
      <c r="BW4" s="16">
        <f>IF(BL4&gt;0,BL4,"")</f>
        <v>16.2</v>
      </c>
      <c r="BX4" s="16">
        <f>IF(BM4&gt;0,BM4,"")</f>
        <v>16.829999999999998</v>
      </c>
      <c r="BY4" s="16">
        <f>IF(SUM(BJ4:BM4)-BN4&gt;0,SUM(BJ4:BM4)-BN4,"")</f>
        <v>58.53</v>
      </c>
      <c r="BZ4" s="16">
        <f>IF(SUM(BV4,BY4)&gt;0,SUM(BV4,BY4),"")</f>
        <v>118.41000000000001</v>
      </c>
      <c r="CA4" s="42">
        <v>16.399999999999999</v>
      </c>
      <c r="CB4" s="42">
        <v>9</v>
      </c>
      <c r="CC4" s="42">
        <v>17.100000000000001</v>
      </c>
      <c r="CD4" s="42">
        <v>17.3</v>
      </c>
      <c r="CE4" s="42">
        <v>0</v>
      </c>
      <c r="CF4" s="42">
        <v>6.3</v>
      </c>
      <c r="CG4" s="42">
        <v>3.4</v>
      </c>
      <c r="CH4" s="42">
        <v>7.4</v>
      </c>
      <c r="CI4" s="42">
        <v>7.15</v>
      </c>
      <c r="CJ4" s="42">
        <v>0</v>
      </c>
      <c r="CK4" s="42">
        <v>14.3</v>
      </c>
      <c r="CL4" s="42">
        <v>7.6</v>
      </c>
      <c r="CM4" s="42">
        <v>15.3</v>
      </c>
      <c r="CN4" s="42">
        <v>15.73</v>
      </c>
      <c r="CO4" s="42">
        <v>0</v>
      </c>
      <c r="CP4" s="51"/>
      <c r="CQ4" s="74">
        <f>IF(CC4&gt;0,CC4,"")</f>
        <v>17.100000000000001</v>
      </c>
      <c r="CR4" s="74">
        <f>IF(CD4&gt;0,CD4,"")</f>
        <v>17.3</v>
      </c>
      <c r="CS4" s="76">
        <f>IF(SUM(CA4:CD4)-CE4&gt;0,SUM(CA4:CD4)-CE4,"")</f>
        <v>59.8</v>
      </c>
      <c r="CT4" s="76">
        <f>IF(CH4&gt;0,CH4,"")</f>
        <v>7.4</v>
      </c>
      <c r="CU4" s="76">
        <f>IF(CI4&gt;0,CI4,"")</f>
        <v>7.15</v>
      </c>
      <c r="CV4" s="76">
        <f>IF(SUM(CF4:CI4)-CJ4&gt;0,SUM(CF4:CI4)-CJ4,"")</f>
        <v>24.25</v>
      </c>
      <c r="CW4" s="76">
        <f>IF(CS4="","",MAX(CS4,CV4))</f>
        <v>59.8</v>
      </c>
      <c r="CX4" s="76">
        <f>IF(CM4&gt;0,CM4,"")</f>
        <v>15.3</v>
      </c>
      <c r="CY4" s="76">
        <f>IF(CN4&gt;0,CN4,"")</f>
        <v>15.73</v>
      </c>
      <c r="CZ4" s="76">
        <f>IF(SUM(CK4:CN4)-CO4&gt;0,SUM(CK4:CN4)-CO4,"")</f>
        <v>52.930000000000007</v>
      </c>
      <c r="DA4" s="76">
        <f>IF(SUM(CW4,CZ4)&gt;0,SUM(CW4,CZ4),"")</f>
        <v>112.73</v>
      </c>
      <c r="DB4" s="87">
        <f>IF(N4&gt;=0.001,IF(MAX(ED4,FL4,GT4,IB4,JJ4,KR4,LZ4,NH4,OP4,PX4,RF4,SN4)-IF(N4="",0,N4)&gt;0.001,MAX(ED4,FL4,GT4,IB4,JJ4,KR4,LZ4,NH4,OP4,PX4,RF4,SN4)-IF(N4="",0,N4),""),"")</f>
        <v>1.460000000000008</v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>IF(DF4&gt;0,DF4,"")</f>
        <v/>
      </c>
      <c r="DY4" s="76" t="str">
        <f>IF(DG4&gt;0,DG4,"")</f>
        <v/>
      </c>
      <c r="DZ4" s="76" t="str">
        <f>IF(SUM(DD4:DG4)-DH4&gt;0,SUM(DD4:DG4)-DH4,"")</f>
        <v/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 t="str">
        <f>IF(MAX(DZ4,EC4)&gt;0,MAX(DZ4,EC4),"")</f>
        <v/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 t="str">
        <f>IF(SUM(ED4,EJ4)&gt;0,SUM(ED4,EJ4),"")</f>
        <v/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 t="str">
        <f>IF(SUM(FL4,FR4)&gt;0,SUM(FL4,FR4),"")</f>
        <v/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>
        <v>14.8</v>
      </c>
      <c r="HC4" s="26">
        <v>9.1999999999999993</v>
      </c>
      <c r="HD4" s="26">
        <v>16.2</v>
      </c>
      <c r="HE4" s="26">
        <v>16.760000000000002</v>
      </c>
      <c r="HF4" s="26">
        <v>0</v>
      </c>
      <c r="HG4" s="26">
        <v>4.5999999999999996</v>
      </c>
      <c r="HH4" s="26">
        <v>2.7</v>
      </c>
      <c r="HI4" s="26">
        <v>5.6</v>
      </c>
      <c r="HJ4" s="26">
        <v>5.32</v>
      </c>
      <c r="HK4" s="26">
        <v>0</v>
      </c>
      <c r="HL4" s="26">
        <v>7.8</v>
      </c>
      <c r="HM4" s="26">
        <v>4.5</v>
      </c>
      <c r="HN4" s="26">
        <v>8.6</v>
      </c>
      <c r="HO4" s="26">
        <v>8.66</v>
      </c>
      <c r="HP4" s="26">
        <v>0</v>
      </c>
      <c r="HQ4" s="26"/>
      <c r="HR4" s="26"/>
      <c r="HS4" s="26"/>
      <c r="HT4" s="26"/>
      <c r="HU4" s="26"/>
      <c r="HV4" s="16">
        <f>IF(HD4&gt;0,HD4,"")</f>
        <v>16.2</v>
      </c>
      <c r="HW4" s="16">
        <f>IF(HE4&gt;0,HE4,"")</f>
        <v>16.760000000000002</v>
      </c>
      <c r="HX4" s="16">
        <f>IF(SUM(HB4:HE4)-HF4&gt;0,SUM(HB4:HE4)-HF4,"")</f>
        <v>56.960000000000008</v>
      </c>
      <c r="HY4" s="16">
        <f>IF(HI4&gt;0,HI4,"")</f>
        <v>5.6</v>
      </c>
      <c r="HZ4" s="16">
        <f>IF(HJ4&gt;0,HJ4,"")</f>
        <v>5.32</v>
      </c>
      <c r="IA4" s="16">
        <f>IF(SUM(HG4:HJ4)-HK4&gt;0,SUM(HG4:HJ4)-HK4,"")</f>
        <v>18.22</v>
      </c>
      <c r="IB4" s="16">
        <f>IF(MAX(HX4,IA4)&gt;0,MAX(HX4,IA4),"")</f>
        <v>56.960000000000008</v>
      </c>
      <c r="IC4" s="16">
        <f>IF(HN4&gt;0,HN4,"")</f>
        <v>8.6</v>
      </c>
      <c r="ID4" s="16">
        <f>IF(HO4&gt;0,HO4,"")</f>
        <v>8.66</v>
      </c>
      <c r="IE4" s="16">
        <f>IF(SUM(HL4:HO4)-HP4&gt;0,SUM(HL4:HO4)-HP4,"")</f>
        <v>29.56</v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>
        <f>IF(SUM(IB4,IH4)&gt;0,SUM(IB4,IH4),"")</f>
        <v>56.960000000000008</v>
      </c>
      <c r="IJ4" s="25">
        <v>15.9</v>
      </c>
      <c r="IK4" s="25">
        <v>9.1</v>
      </c>
      <c r="IL4" s="25">
        <v>16.2</v>
      </c>
      <c r="IM4" s="25">
        <v>16.86</v>
      </c>
      <c r="IN4" s="25">
        <v>0</v>
      </c>
      <c r="IO4" s="25">
        <v>16.2</v>
      </c>
      <c r="IP4" s="25">
        <v>9.3000000000000007</v>
      </c>
      <c r="IQ4" s="25">
        <v>16.2</v>
      </c>
      <c r="IR4" s="25">
        <v>17.23</v>
      </c>
      <c r="IS4" s="25">
        <v>0</v>
      </c>
      <c r="IT4" s="25"/>
      <c r="IU4" s="25"/>
      <c r="IV4" s="25"/>
      <c r="IW4" s="25"/>
      <c r="IX4" s="25"/>
      <c r="IY4" s="25">
        <v>16.100000000000001</v>
      </c>
      <c r="IZ4" s="25">
        <v>9.1</v>
      </c>
      <c r="JA4" s="25">
        <v>16.2</v>
      </c>
      <c r="JB4" s="25">
        <v>16.95</v>
      </c>
      <c r="JC4" s="25">
        <v>0</v>
      </c>
      <c r="JD4" s="76">
        <f>IF(IL4&gt;0,IL4,"")</f>
        <v>16.2</v>
      </c>
      <c r="JE4" s="76">
        <f>IF(IM4&gt;0,IM4,"")</f>
        <v>16.86</v>
      </c>
      <c r="JF4" s="76">
        <f>IF(SUM(IJ4:IM4)-IN4&gt;0,SUM(IJ4:IM4)-IN4,"")</f>
        <v>58.06</v>
      </c>
      <c r="JG4" s="76">
        <f>IF(IQ4&gt;0,IQ4,"")</f>
        <v>16.2</v>
      </c>
      <c r="JH4" s="76">
        <f>IF(IR4&gt;0,IR4,"")</f>
        <v>17.23</v>
      </c>
      <c r="JI4" s="76">
        <f>IF(SUM(IO4:IR4)-IS4&gt;0,SUM(IO4:IR4)-IS4,"")</f>
        <v>58.930000000000007</v>
      </c>
      <c r="JJ4" s="76">
        <f>IF(MAX(JF4,JI4)&gt;0,MAX(JF4,JI4),"")</f>
        <v>58.930000000000007</v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>
        <f>IF(JA4&gt;0,JA4,"")</f>
        <v>16.2</v>
      </c>
      <c r="JO4" s="76">
        <f>IF(JB4&gt;0,JB4,"")</f>
        <v>16.95</v>
      </c>
      <c r="JP4" s="76">
        <f>IF(SUM(IY4:JB4)-JC4&gt;0,SUM(IY4:JB4)-JC4,"")</f>
        <v>58.350000000000009</v>
      </c>
      <c r="JQ4" s="76">
        <f>IF(SUM(JJ4,JP4)&gt;0,SUM(JJ4,JP4),"")</f>
        <v>117.28000000000002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>
        <v>3.3</v>
      </c>
      <c r="LA4" s="25">
        <v>1.8</v>
      </c>
      <c r="LB4" s="25">
        <v>3.8</v>
      </c>
      <c r="LC4" s="25">
        <v>3.5750000000000002</v>
      </c>
      <c r="LD4" s="25">
        <v>0</v>
      </c>
      <c r="LE4" s="25">
        <v>16.8</v>
      </c>
      <c r="LF4" s="25">
        <v>9.3000000000000007</v>
      </c>
      <c r="LG4" s="25">
        <v>16.2</v>
      </c>
      <c r="LH4" s="25">
        <v>17.215</v>
      </c>
      <c r="LI4" s="25">
        <v>0</v>
      </c>
      <c r="LJ4" s="25">
        <v>14.5</v>
      </c>
      <c r="LK4" s="25">
        <v>8.6999999999999993</v>
      </c>
      <c r="LL4" s="25">
        <v>16.2</v>
      </c>
      <c r="LM4" s="25">
        <v>17.004999999999999</v>
      </c>
      <c r="LN4" s="25">
        <v>0</v>
      </c>
      <c r="LO4" s="25"/>
      <c r="LP4" s="25"/>
      <c r="LQ4" s="25"/>
      <c r="LR4" s="25"/>
      <c r="LS4" s="25"/>
      <c r="LT4" s="76">
        <f>IF(LB4&gt;0,LB4,"")</f>
        <v>3.8</v>
      </c>
      <c r="LU4" s="76">
        <f>IF(LC4&gt;0,LC4,"")</f>
        <v>3.5750000000000002</v>
      </c>
      <c r="LV4" s="76">
        <f>IF(SUM(KZ4:LC4)-LD4&gt;0,SUM(KZ4:LC4)-LD4,"")</f>
        <v>12.474999999999998</v>
      </c>
      <c r="LW4" s="76">
        <f>IF(LG4&gt;0,LG4,"")</f>
        <v>16.2</v>
      </c>
      <c r="LX4" s="76">
        <f>IF(LH4&gt;0,LH4,"")</f>
        <v>17.215</v>
      </c>
      <c r="LY4" s="76">
        <f>IF(SUM(LE4:LH4)-LI4&gt;0,SUM(LE4:LH4)-LI4,"")</f>
        <v>59.515000000000001</v>
      </c>
      <c r="LZ4" s="76">
        <f>IF(MAX(LV4,LY4)&gt;0,MAX(LV4,LY4),"")</f>
        <v>59.515000000000001</v>
      </c>
      <c r="MA4" s="76">
        <f>IF(LL4&gt;0,LL4,"")</f>
        <v>16.2</v>
      </c>
      <c r="MB4" s="76">
        <f>IF(LM4&gt;0,LM4,"")</f>
        <v>17.004999999999999</v>
      </c>
      <c r="MC4" s="76">
        <f>IF(SUM(LJ4:LM4)-LN4&gt;0,SUM(LJ4:LM4)-LN4,"")</f>
        <v>56.405000000000001</v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>
        <f>IF(SUM(LZ4,MF4)&gt;0,SUM(LZ4,MF4),"")</f>
        <v>59.515000000000001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16.75</v>
      </c>
      <c r="SW4" s="42">
        <f>IF($CP4="P",CB4,(CB4+BA4)/2)</f>
        <v>9.3000000000000007</v>
      </c>
      <c r="SX4" s="42">
        <f>IF($CP4="P",CC4,(CC4+BB4)/2)</f>
        <v>16.649999999999999</v>
      </c>
      <c r="SY4" s="42">
        <f>IF($CP4="P",CD4,(CD4+BC4)/2)</f>
        <v>17.14</v>
      </c>
      <c r="SZ4" s="42">
        <f>IF($CP4="P",CE4,(CE4+BD4)/2)</f>
        <v>0</v>
      </c>
      <c r="TA4" s="42">
        <f>IF($CP4="P",CF4,(CF4+BE4)/2)</f>
        <v>5.8</v>
      </c>
      <c r="TB4" s="42">
        <f>IF($CP4="P",CG4,(CG4+BF4)/2)</f>
        <v>3.05</v>
      </c>
      <c r="TC4" s="42">
        <f>IF($CP4="P",CH4,(CH4+BG4)/2)</f>
        <v>6.5</v>
      </c>
      <c r="TD4" s="42">
        <f>IF($CP4="P",CI4,(CI4+BH4)/2)</f>
        <v>6.27</v>
      </c>
      <c r="TE4" s="42">
        <f>IF($CP4="P",CJ4,(CJ4+BI4)/2)</f>
        <v>0</v>
      </c>
      <c r="TF4" s="42">
        <f>IF($CP4="P",CK4,(CK4+BJ4)/2)</f>
        <v>15.4</v>
      </c>
      <c r="TG4" s="42">
        <f>IF($CP4="P",CL4,(CL4+BK4)/2)</f>
        <v>8.3000000000000007</v>
      </c>
      <c r="TH4" s="42">
        <f>IF($CP4="P",CM4,(CM4+BL4)/2)</f>
        <v>15.75</v>
      </c>
      <c r="TI4" s="42">
        <f>IF($CP4="P",CN4,(CN4+BM4)/2)</f>
        <v>16.28</v>
      </c>
      <c r="TJ4" s="42">
        <f>IF($CP4="P",CO4,(CO4+BN4)/2)</f>
        <v>0</v>
      </c>
      <c r="TK4" s="51" t="s">
        <v>58</v>
      </c>
      <c r="TL4" s="76">
        <f>IF(SX4&gt;0,SX4,"")</f>
        <v>16.649999999999999</v>
      </c>
      <c r="TM4" s="76">
        <f>IF(SY4&gt;0,SY4,"")</f>
        <v>17.14</v>
      </c>
      <c r="TN4" s="76">
        <f>IF(SUM(SV4:SY4)-SZ4&gt;0,SUM(SV4:SY4)-SZ4,"")</f>
        <v>59.84</v>
      </c>
      <c r="TO4" s="76">
        <f>IF(TC4&gt;0,TC4,"")</f>
        <v>6.5</v>
      </c>
      <c r="TP4" s="76">
        <f>IF(TD4&gt;0,TD4,"")</f>
        <v>6.27</v>
      </c>
      <c r="TQ4" s="76">
        <f>IF(SUM(TA4:TD4)-TE4&gt;0,SUM(TA4:TD4)-TE4,"")</f>
        <v>21.619999999999997</v>
      </c>
      <c r="TR4" s="76">
        <f>IF(MAX(TN4,TQ4)&gt;0,MAX(TN4,TQ4),"")</f>
        <v>59.84</v>
      </c>
      <c r="TS4" s="76">
        <f>IF(TH4&gt;0,TH4,"")</f>
        <v>15.75</v>
      </c>
      <c r="TT4" s="76">
        <f>IF(TI4&gt;0,TI4,"")</f>
        <v>16.28</v>
      </c>
      <c r="TU4" s="76">
        <f>IF(SUM(TF4:TI4)-TJ4&gt;0,SUM(TF4:TI4)-TJ4,"")</f>
        <v>55.730000000000004</v>
      </c>
      <c r="TV4" s="76">
        <f>IF(SUM(TR4,TU4)&gt;0,SUM(TR4,TU4),"")</f>
        <v>115.57000000000001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268.11502681150591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DZ5&gt;=EK$29,DZ5&lt;&gt;""),AND(EC5&gt;=EK$29,EC5&lt;&gt;""),AND(EG5&gt;=EK$29,EG5&lt;&gt;""),AND(EJ5&gt;=EK$29,EJ5&lt;&gt;""),AND(FH5&gt;=FS$29,FH5&lt;&gt;""),AND(FK5&gt;=FS$29,FK5&lt;&gt;""),AND(FO5&gt;=FS$29,FO5&lt;&gt;""),AND(FR5&gt;=FS$29,FR5&lt;&gt;""),AND(GP5&gt;=HA$29,GP5&lt;&gt;""),AND(GS5&gt;=HA$29,GS5&lt;&gt;""),AND(GW5&gt;=HA$29,GW5&lt;&gt;""),AND(GZ5&gt;=HA$29,GZ5&lt;&gt;""),AND(HX5&gt;=II$29,HX5&lt;&gt;""),AND(IA5&gt;=II$29,IA5&lt;&gt;""),AND(IE5&gt;=II$29,IE5&lt;&gt;""),AND(IH5&gt;=II$29,IH5&lt;&gt;""),AND(JF5&gt;=JQ$29,JF5&lt;&gt;""),AND(JI5&gt;=JQ$29,JI5&lt;&gt;""),AND(JM5&gt;=JQ$29,JM5&lt;&gt;""),AND(JP5&gt;=JQ$29,JP5&lt;&gt;""),AND(KN5&gt;=KY$29,KN5&lt;&gt;""),AND(KQ5&gt;=KY$29,KQ5&lt;&gt;""),AND(KU5&gt;=KY$29,KU5&lt;&gt;""),AND(KX5&gt;=KY$29,KX5&lt;&gt;""),AND(LV5&gt;=MG$29,LV5&lt;&gt;""),AND(LY5&gt;=MG$29,LY5&lt;&gt;""),AND(MC5&gt;=MG$29,MC5&lt;&gt;""),AND(MF5&gt;=MG$29,MF5&lt;&gt;""),AND(ND5&gt;=NO$29,ND5&lt;&gt;""),AND(NG5&gt;=NO$29,NG5&lt;&gt;""),AND(NK5&gt;=NO$29,NK5&lt;&gt;""),AND(NN5&gt;=NO$29,NN5&lt;&gt;""),AND(OL5&gt;=OW$29,OL5&lt;&gt;""),AND(OO5&gt;=OW$29,OO5&lt;&gt;""),AND(OS5&gt;=OW$29,OS5&lt;&gt;""),AND(OV5&gt;=OW$29,OV5&lt;&gt;""),AND(PT5&gt;=QE$29,PT5&lt;&gt;""),AND(PW5&gt;=QE$29,PW5&lt;&gt;""),AND(QA5&gt;=QE$29,QA5&lt;&gt;""),AND(QD5&gt;=QE$29,QD5&lt;&gt;""),AND(RB5&gt;=RM$29,RB5&lt;&gt;""),AND(RE5&gt;=RM$29,RE5&lt;&gt;""),AND(RI5&gt;=RM$29,RI5&lt;&gt;""),AND(RL5&gt;=RM$29,RL5&lt;&gt;""),AND(SJ5&gt;=SU$29,SJ5&lt;&gt;""),AND(SM5&gt;=SU$29,SM5&lt;&gt;""),AND(SQ5&gt;=SU$29,SQ5&lt;&gt;""),AND(ST5&gt;=SU$29,ST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Excellence",IF(I5="P","Worlds Team",IF(F5="P","National Team","")))))</f>
        <v>Excellence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J5" s="13">
        <f>IF(COUNT(AQ5,AT5,BR5,BU5,CS5,CV5)&gt;0,LARGE((AQ5,AT5,BR5,BU5,CS5,CV5),1),0)</f>
        <v>58.900000000000006</v>
      </c>
      <c r="K5" s="13" t="str">
        <f>IF(J5="","",IF(OR(J5=CS5,J5=CV5),$CA$1,IF(OR(J5=BR5,J5=BU5),$AZ$1,IF(OR(J5=AQ5,J5=AT5),$Y$1,""))))</f>
        <v>2022 3rd Domestic Trial</v>
      </c>
      <c r="L5" s="13">
        <f>IF(COUNT(AQ5,AT5,BR5,BU5,CS5,CV5)&gt;1,LARGE((AQ5,AT5,BR5,BU5,CS5,CV5),2),0)</f>
        <v>58.56</v>
      </c>
      <c r="M5" s="13" t="str">
        <f>IF(L5="","",IF(OR(L5=CS5,L5=CV5),$CA$1,IF(OR(L5=BR5,L5=BU5),$AZ$1,IF(OR(L5=AQ5,L5=AT5),$Y$1,""))))</f>
        <v>2022 Nationals</v>
      </c>
      <c r="N5" s="13">
        <f>IF(COUNT(AQ5,AT5,BR5,BU5,CS5,CV5)&gt;2,LARGE((AQ5,AT5,BR5,BU5,CS5,CV5),3),0)</f>
        <v>58.174999999999997</v>
      </c>
      <c r="O5" s="13" t="str">
        <f>IF(N5="","",IF(OR(N5=CS5,N5=CV5),$CA$1,IF(OR(N5=BR5,N5=BU5),$AZ$1,IF(OR(N5=AQ5,N5=AT5),$Y$1,""))))</f>
        <v>2022 Elite Canada</v>
      </c>
      <c r="P5" s="13">
        <f>IF(MAX(AX5,BY5,CZ5)&gt;0,MAX(AX5,BY5,CZ5),0)</f>
        <v>58.42</v>
      </c>
      <c r="Q5" s="13" t="str">
        <f>IF(P5="","",IF(P5=CZ5,$CA$1,IF(P5=BY5,$AZ$1,IF(P5=AX5,$Y$1,""))))</f>
        <v>2022 3rd Domestic Trial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,IF(DX5&gt;=$EK$25,DY5,0),IF(EA5&gt;=$EK$25,EB5,0),IF(EE5&gt;=$EK$25,EF5,0),IF(EH5&gt;=$EK$25,EI5,0),IF(FF5&gt;=$FS$25,FG5,0),IF(FI5&gt;=$FS$25,FJ5,0),IF(FM5&gt;=$FS$25,FN5,0),IF(FP5&gt;=$FS$25,FQ5,0),IF(GN5&gt;=$HA$25,GO5,0),IF(GQ5&gt;=$HA$25,GR5,0),IF(GU5&gt;=$HA$25,GV5,0),IF(GX5&gt;=$HA$25,GY5,0),IF(HV5&gt;=$II$25,HW5,0),IF(HY5&gt;=$II$25,HZ5,0),IF(IC5&gt;=$II$25,ID5,0),IF(IF5&gt;=$II$25,IG5,0),IF(JD5&gt;=$JQ$25,JE5,0),IF(JG5&gt;=$JQ$25,JH5,0),IF(JK5&gt;=$JQ$25,JL5,0),IF(JN5&gt;=$JQ$25,JO5,0),IF(KL5&gt;=$KY$25,KM5,0),IF(KO5&gt;=$KY$25,KP5,0),IF(KS5&gt;=$KY$25,KT5,0),IF(KV5&gt;=$KY$25,KW5,0),IF(LT5&gt;=$MG$25,LU5,0),IF(LW5&gt;=$MG$25,LX5,0),IF(MA5&gt;=$MG$25,MB5,0),IF(MD5&gt;=$MG$25,ME5,0),IF(NB5&gt;=$NO$25,NC5,0),IF(NE5&gt;=$NO$25,NF5,0),IF(NI5&gt;=$NO$25,NJ5,0),IF(NL5&gt;=$NO$25,NM5,0),IF(OJ5&gt;=$OW$25,OK5,0),IF(OM5&gt;=$OW$25,ON5,0),IF(OQ5&gt;=$OW$25,OR5,0),IF(OT5&gt;=$OW$25,OU5,0),IF(PR5&gt;=$QE$25,PS5,0),IF(PU5&gt;=$QE$25,PV5,0),IF(PY5&gt;=$QE$25,PZ5,0),IF(QB5&gt;=$QE$25,QC5,0),IF(QZ5&gt;=$RM$25,RA5,0),IF(RC5&gt;=$RM$25,RD5,0),IF(RG5&gt;=$RM$25,RH5,0),IF(RJ5&gt;=$RM$25,RK5,0),IF(SH5&gt;=$SU$25,SI5,0),IF(SK5&gt;=$SU$25,SL5,0),IF(SO5&gt;=$SU$25,SP5,0),IF(SR5&gt;=$SU$25,SS5,0)),0)</f>
        <v>16.96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Nationals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42">
        <v>16.899999999999999</v>
      </c>
      <c r="Z5" s="42">
        <v>9.3000000000000007</v>
      </c>
      <c r="AA5" s="42">
        <v>15.4</v>
      </c>
      <c r="AB5" s="42">
        <v>16.574999999999999</v>
      </c>
      <c r="AC5" s="42">
        <v>0</v>
      </c>
      <c r="AD5" s="42">
        <v>3.1</v>
      </c>
      <c r="AE5" s="42">
        <v>1.6</v>
      </c>
      <c r="AF5" s="42">
        <v>3.6</v>
      </c>
      <c r="AG5" s="42">
        <v>3.5150000000000001</v>
      </c>
      <c r="AH5" s="42">
        <v>0</v>
      </c>
      <c r="AI5" s="42">
        <v>15.7</v>
      </c>
      <c r="AJ5" s="42">
        <v>8.6999999999999993</v>
      </c>
      <c r="AK5" s="42">
        <v>16.3</v>
      </c>
      <c r="AL5" s="42">
        <v>16.295000000000002</v>
      </c>
      <c r="AM5" s="42">
        <v>0</v>
      </c>
      <c r="AN5" s="51"/>
      <c r="AO5" s="74">
        <f>IF(AA5&gt;0,AA5,"")</f>
        <v>15.4</v>
      </c>
      <c r="AP5" s="74">
        <f>IF(AB5&gt;0,AB5,"")</f>
        <v>16.574999999999999</v>
      </c>
      <c r="AQ5" s="76">
        <f>IF(SUM(Y5:AB5)-AC5&gt;0,SUM(Y5:AB5)-AC5,"")</f>
        <v>58.174999999999997</v>
      </c>
      <c r="AR5" s="76">
        <f>IF(AF5&gt;0,AF5,"")</f>
        <v>3.6</v>
      </c>
      <c r="AS5" s="76">
        <f>IF(AG5&gt;0,AG5,"")</f>
        <v>3.5150000000000001</v>
      </c>
      <c r="AT5" s="76">
        <f>IF(SUM(AD5:AG5)-AH5&gt;0,SUM(AD5:AG5)-AH5,"")</f>
        <v>11.815000000000001</v>
      </c>
      <c r="AU5" s="76">
        <f>IF(AQ5="","",MAX(AQ5,AT5))</f>
        <v>58.174999999999997</v>
      </c>
      <c r="AV5" s="76">
        <f>IF(AK5&gt;0,AK5,"")</f>
        <v>16.3</v>
      </c>
      <c r="AW5" s="76">
        <f>IF(AL5&gt;0,AL5,"")</f>
        <v>16.295000000000002</v>
      </c>
      <c r="AX5" s="76">
        <f>IF(SUM(AI5:AL5)-AM5&gt;0,SUM(AI5:AL5)-AM5,"")</f>
        <v>56.995000000000005</v>
      </c>
      <c r="AY5" s="76">
        <f>IF(SUM(AU5,AX5)&gt;0,SUM(AU5,AX5),"")</f>
        <v>115.17</v>
      </c>
      <c r="AZ5" s="46">
        <v>16.899999999999999</v>
      </c>
      <c r="BA5" s="46">
        <v>9.3000000000000007</v>
      </c>
      <c r="BB5" s="46">
        <v>15.4</v>
      </c>
      <c r="BC5" s="46">
        <v>16.96</v>
      </c>
      <c r="BD5" s="46">
        <v>0</v>
      </c>
      <c r="BE5" s="46">
        <v>15.4</v>
      </c>
      <c r="BF5" s="46">
        <v>8.6</v>
      </c>
      <c r="BG5" s="46">
        <v>15.5</v>
      </c>
      <c r="BH5" s="46">
        <v>15.75</v>
      </c>
      <c r="BI5" s="46">
        <v>0</v>
      </c>
      <c r="BJ5" s="46">
        <v>17</v>
      </c>
      <c r="BK5" s="46">
        <v>9.1999999999999993</v>
      </c>
      <c r="BL5" s="46">
        <v>15.4</v>
      </c>
      <c r="BM5" s="46">
        <v>16.3</v>
      </c>
      <c r="BN5" s="46">
        <v>0</v>
      </c>
      <c r="BO5" s="52"/>
      <c r="BP5" s="75">
        <f>IF(BB5&gt;0,BB5,"")</f>
        <v>15.4</v>
      </c>
      <c r="BQ5" s="75">
        <f>IF(BC5&gt;0,BC5,"")</f>
        <v>16.96</v>
      </c>
      <c r="BR5" s="16">
        <f>IF(SUM(AZ5:BC5)-BD5&gt;0,SUM(AZ5:BC5)-BD5,"")</f>
        <v>58.56</v>
      </c>
      <c r="BS5" s="16">
        <f>IF(BG5&gt;0,BG5,"")</f>
        <v>15.5</v>
      </c>
      <c r="BT5" s="16">
        <f>IF(BH5&gt;0,BH5,"")</f>
        <v>15.75</v>
      </c>
      <c r="BU5" s="16">
        <f>IF(SUM(BE5:BH5)-BI5&gt;0,SUM(BE5:BH5)-BI5,"")</f>
        <v>55.25</v>
      </c>
      <c r="BV5" s="16">
        <f>IF(BR5="","",MAX(BR5,BU5))</f>
        <v>58.56</v>
      </c>
      <c r="BW5" s="16">
        <f>IF(BL5&gt;0,BL5,"")</f>
        <v>15.4</v>
      </c>
      <c r="BX5" s="16">
        <f>IF(BM5&gt;0,BM5,"")</f>
        <v>16.3</v>
      </c>
      <c r="BY5" s="16">
        <f>IF(SUM(BJ5:BM5)-BN5&gt;0,SUM(BJ5:BM5)-BN5,"")</f>
        <v>57.900000000000006</v>
      </c>
      <c r="BZ5" s="16">
        <f>IF(SUM(BV5,BY5)&gt;0,SUM(BV5,BY5),"")</f>
        <v>116.46000000000001</v>
      </c>
      <c r="CA5" s="42">
        <v>15.4</v>
      </c>
      <c r="CB5" s="42">
        <v>9.1999999999999993</v>
      </c>
      <c r="CC5" s="42">
        <v>16.899999999999999</v>
      </c>
      <c r="CD5" s="42">
        <v>16.53</v>
      </c>
      <c r="CE5" s="42">
        <v>0</v>
      </c>
      <c r="CF5" s="42">
        <v>15.9</v>
      </c>
      <c r="CG5" s="42">
        <v>9.4</v>
      </c>
      <c r="CH5" s="42">
        <v>17.100000000000001</v>
      </c>
      <c r="CI5" s="42">
        <v>16.5</v>
      </c>
      <c r="CJ5" s="42">
        <v>0</v>
      </c>
      <c r="CK5" s="42">
        <v>15.7</v>
      </c>
      <c r="CL5" s="42">
        <v>9.4</v>
      </c>
      <c r="CM5" s="42">
        <v>17.100000000000001</v>
      </c>
      <c r="CN5" s="42">
        <v>16.22</v>
      </c>
      <c r="CO5" s="42">
        <v>0</v>
      </c>
      <c r="CP5" s="51"/>
      <c r="CQ5" s="74">
        <f>IF(CC5&gt;0,CC5,"")</f>
        <v>16.899999999999999</v>
      </c>
      <c r="CR5" s="74">
        <f>IF(CD5&gt;0,CD5,"")</f>
        <v>16.53</v>
      </c>
      <c r="CS5" s="76">
        <f>IF(SUM(CA5:CD5)-CE5&gt;0,SUM(CA5:CD5)-CE5,"")</f>
        <v>58.03</v>
      </c>
      <c r="CT5" s="76">
        <f>IF(CH5&gt;0,CH5,"")</f>
        <v>17.100000000000001</v>
      </c>
      <c r="CU5" s="76">
        <f>IF(CI5&gt;0,CI5,"")</f>
        <v>16.5</v>
      </c>
      <c r="CV5" s="76">
        <f>IF(SUM(CF5:CI5)-CJ5&gt;0,SUM(CF5:CI5)-CJ5,"")</f>
        <v>58.900000000000006</v>
      </c>
      <c r="CW5" s="76">
        <f>IF(CS5="","",MAX(CS5,CV5))</f>
        <v>58.900000000000006</v>
      </c>
      <c r="CX5" s="76">
        <f>IF(CM5&gt;0,CM5,"")</f>
        <v>17.100000000000001</v>
      </c>
      <c r="CY5" s="76">
        <f>IF(CN5&gt;0,CN5,"")</f>
        <v>16.22</v>
      </c>
      <c r="CZ5" s="76">
        <f>IF(SUM(CK5:CN5)-CO5&gt;0,SUM(CK5:CN5)-CO5,"")</f>
        <v>58.42</v>
      </c>
      <c r="DA5" s="76">
        <f>IF(SUM(CW5,CZ5)&gt;0,SUM(CW5,CZ5),"")</f>
        <v>117.32000000000001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14.1</v>
      </c>
      <c r="DE5" s="25">
        <v>8.6999999999999993</v>
      </c>
      <c r="DF5" s="25">
        <v>15.9</v>
      </c>
      <c r="DG5" s="25">
        <v>15.9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>IF(DF5&gt;0,DF5,"")</f>
        <v>15.9</v>
      </c>
      <c r="DY5" s="76">
        <f>IF(DG5&gt;0,DG5,"")</f>
        <v>15.9</v>
      </c>
      <c r="DZ5" s="76">
        <f>IF(SUM(DD5:DG5)-DH5&gt;0,SUM(DD5:DG5)-DH5,"")</f>
        <v>54.599999999999994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54.599999999999994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>
        <f>IF(SUM(ED5,EJ5)&gt;0,SUM(ED5,EJ5),"")</f>
        <v>54.599999999999994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>
        <v>11.7</v>
      </c>
      <c r="HC5" s="26">
        <v>7.4</v>
      </c>
      <c r="HD5" s="26">
        <v>13</v>
      </c>
      <c r="HE5" s="26">
        <v>12.7</v>
      </c>
      <c r="HF5" s="26">
        <v>0</v>
      </c>
      <c r="HG5" s="26">
        <v>15</v>
      </c>
      <c r="HH5" s="26">
        <v>8.9</v>
      </c>
      <c r="HI5" s="26">
        <v>15.5</v>
      </c>
      <c r="HJ5" s="26">
        <v>15.53</v>
      </c>
      <c r="HK5" s="26">
        <v>0</v>
      </c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>
        <f>IF(HD5&gt;0,HD5,"")</f>
        <v>13</v>
      </c>
      <c r="HW5" s="16">
        <f>IF(HE5&gt;0,HE5,"")</f>
        <v>12.7</v>
      </c>
      <c r="HX5" s="16">
        <f>IF(SUM(HB5:HE5)-HF5&gt;0,SUM(HB5:HE5)-HF5,"")</f>
        <v>44.8</v>
      </c>
      <c r="HY5" s="16">
        <f>IF(HI5&gt;0,HI5,"")</f>
        <v>15.5</v>
      </c>
      <c r="HZ5" s="16">
        <f>IF(HJ5&gt;0,HJ5,"")</f>
        <v>15.53</v>
      </c>
      <c r="IA5" s="16">
        <f>IF(SUM(HG5:HJ5)-HK5&gt;0,SUM(HG5:HJ5)-HK5,"")</f>
        <v>54.93</v>
      </c>
      <c r="IB5" s="16">
        <f>IF(MAX(HX5,IA5)&gt;0,MAX(HX5,IA5),"")</f>
        <v>54.93</v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>
        <f>IF(SUM(IB5,IH5)&gt;0,SUM(IB5,IH5),"")</f>
        <v>54.93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>
        <v>15.7</v>
      </c>
      <c r="JS5" s="26">
        <v>9.5</v>
      </c>
      <c r="JT5" s="26">
        <v>15.4</v>
      </c>
      <c r="JU5" s="26">
        <v>15.914999999999999</v>
      </c>
      <c r="JV5" s="26">
        <v>0</v>
      </c>
      <c r="JW5" s="26">
        <v>14.9</v>
      </c>
      <c r="JX5" s="26">
        <v>9.1999999999999993</v>
      </c>
      <c r="JY5" s="26">
        <v>16.899999999999999</v>
      </c>
      <c r="JZ5" s="26">
        <v>16.045000000000002</v>
      </c>
      <c r="KA5" s="26">
        <v>0</v>
      </c>
      <c r="KB5" s="26"/>
      <c r="KC5" s="26"/>
      <c r="KD5" s="26"/>
      <c r="KE5" s="26"/>
      <c r="KF5" s="26"/>
      <c r="KG5" s="26">
        <v>15.3</v>
      </c>
      <c r="KH5" s="26">
        <v>8.9</v>
      </c>
      <c r="KI5" s="26">
        <v>17.100000000000001</v>
      </c>
      <c r="KJ5" s="26">
        <v>16.190000000000001</v>
      </c>
      <c r="KK5" s="26">
        <v>0</v>
      </c>
      <c r="KL5" s="16">
        <f>IF(JT5&gt;0,JT5,"")</f>
        <v>15.4</v>
      </c>
      <c r="KM5" s="16">
        <f>IF(JU5&gt;0,JU5,"")</f>
        <v>15.914999999999999</v>
      </c>
      <c r="KN5" s="16">
        <f>IF(SUM(JR5:JU5)-JV5&gt;0,SUM(JR5:JU5)-JV5,"")</f>
        <v>56.515000000000001</v>
      </c>
      <c r="KO5" s="16">
        <f>IF(JY5&gt;0,JY5,"")</f>
        <v>16.899999999999999</v>
      </c>
      <c r="KP5" s="16">
        <f>IF(JZ5&gt;0,JZ5,"")</f>
        <v>16.045000000000002</v>
      </c>
      <c r="KQ5" s="16">
        <f>IF(SUM(JW5:JZ5)-KA5&gt;0,SUM(JW5:JZ5)-KA5,"")</f>
        <v>57.045000000000002</v>
      </c>
      <c r="KR5" s="16">
        <f>IF(MAX(KN5,KQ5)&gt;0,MAX(KN5,KQ5),"")</f>
        <v>57.045000000000002</v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>
        <f>IF(KI5&gt;0,KI5,"")</f>
        <v>17.100000000000001</v>
      </c>
      <c r="KW5" s="16">
        <f>IF(KJ5&gt;0,KJ5,"")</f>
        <v>16.190000000000001</v>
      </c>
      <c r="KX5" s="16">
        <f>IF(SUM(KG5:KJ5)-KK5&gt;0,SUM(KG5:KJ5)-KK5,"")</f>
        <v>57.490000000000009</v>
      </c>
      <c r="KY5" s="16">
        <f>IF(SUM(KR5,KX5)&gt;0,SUM(KR5,KX5),"")</f>
        <v>114.53500000000001</v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16.149999999999999</v>
      </c>
      <c r="SW5" s="42">
        <f>IF($CP5="P",CB5,(CB5+BA5)/2)</f>
        <v>9.25</v>
      </c>
      <c r="SX5" s="42">
        <f>IF($CP5="P",CC5,(CC5+BB5)/2)</f>
        <v>16.149999999999999</v>
      </c>
      <c r="SY5" s="42">
        <f>IF($CP5="P",CD5,(CD5+BC5)/2)</f>
        <v>16.745000000000001</v>
      </c>
      <c r="SZ5" s="42">
        <f>IF($CP5="P",CE5,(CE5+BD5)/2)</f>
        <v>0</v>
      </c>
      <c r="TA5" s="42">
        <f>IF($CP5="P",CF5,(CF5+BE5)/2)</f>
        <v>15.65</v>
      </c>
      <c r="TB5" s="42">
        <f>IF($CP5="P",CG5,(CG5+BF5)/2)</f>
        <v>9</v>
      </c>
      <c r="TC5" s="42">
        <f>IF($CP5="P",CH5,(CH5+BG5)/2)</f>
        <v>16.3</v>
      </c>
      <c r="TD5" s="42">
        <f>IF($CP5="P",CI5,(CI5+BH5)/2)</f>
        <v>16.125</v>
      </c>
      <c r="TE5" s="42">
        <f>IF($CP5="P",CJ5,(CJ5+BI5)/2)</f>
        <v>0</v>
      </c>
      <c r="TF5" s="42">
        <f>IF($CP5="P",CK5,(CK5+BJ5)/2)</f>
        <v>16.350000000000001</v>
      </c>
      <c r="TG5" s="42">
        <f>IF($CP5="P",CL5,(CL5+BK5)/2)</f>
        <v>9.3000000000000007</v>
      </c>
      <c r="TH5" s="42">
        <f>IF($CP5="P",CM5,(CM5+BL5)/2)</f>
        <v>16.25</v>
      </c>
      <c r="TI5" s="42">
        <f>IF($CP5="P",CN5,(CN5+BM5)/2)</f>
        <v>16.259999999999998</v>
      </c>
      <c r="TJ5" s="42">
        <f>IF($CP5="P",CO5,(CO5+BN5)/2)</f>
        <v>0</v>
      </c>
      <c r="TK5" s="51" t="s">
        <v>58</v>
      </c>
      <c r="TL5" s="76">
        <f>IF(SX5&gt;0,SX5,"")</f>
        <v>16.149999999999999</v>
      </c>
      <c r="TM5" s="76">
        <f>IF(SY5&gt;0,SY5,"")</f>
        <v>16.745000000000001</v>
      </c>
      <c r="TN5" s="76">
        <f>IF(SUM(SV5:SY5)-SZ5&gt;0,SUM(SV5:SY5)-SZ5,"")</f>
        <v>58.295000000000002</v>
      </c>
      <c r="TO5" s="76">
        <f>IF(TC5&gt;0,TC5,"")</f>
        <v>16.3</v>
      </c>
      <c r="TP5" s="76">
        <f>IF(TD5&gt;0,TD5,"")</f>
        <v>16.125</v>
      </c>
      <c r="TQ5" s="76">
        <f>IF(SUM(TA5:TD5)-TE5&gt;0,SUM(TA5:TD5)-TE5,"")</f>
        <v>57.075000000000003</v>
      </c>
      <c r="TR5" s="76">
        <f>IF(MAX(TN5,TQ5)&gt;0,MAX(TN5,TQ5),"")</f>
        <v>58.295000000000002</v>
      </c>
      <c r="TS5" s="76">
        <f>IF(TH5&gt;0,TH5,"")</f>
        <v>16.25</v>
      </c>
      <c r="TT5" s="76">
        <f>IF(TI5&gt;0,TI5,"")</f>
        <v>16.259999999999998</v>
      </c>
      <c r="TU5" s="76">
        <f>IF(SUM(TF5:TI5)-TJ5&gt;0,SUM(TF5:TI5)-TJ5,"")</f>
        <v>58.160000000000004</v>
      </c>
      <c r="TV5" s="76">
        <f>IF(SUM(TR5,TU5)&gt;0,SUM(TR5,TU5),"")</f>
        <v>116.45500000000001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74</v>
      </c>
      <c r="C6" s="7" t="s">
        <v>8</v>
      </c>
      <c r="D6" s="18">
        <v>2001</v>
      </c>
      <c r="E6" s="14">
        <f>SUM(J6:V6)+SUM(J6:T6)*0.0000001+SUM(J6)*0.0000000000001</f>
        <v>266.24002662400579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DZ6&gt;=EK$29,DZ6&lt;&gt;""),AND(EC6&gt;=EK$29,EC6&lt;&gt;""),AND(EG6&gt;=EK$29,EG6&lt;&gt;""),AND(EJ6&gt;=EK$29,EJ6&lt;&gt;""),AND(FH6&gt;=FS$29,FH6&lt;&gt;""),AND(FK6&gt;=FS$29,FK6&lt;&gt;""),AND(FO6&gt;=FS$29,FO6&lt;&gt;""),AND(FR6&gt;=FS$29,FR6&lt;&gt;""),AND(GP6&gt;=HA$29,GP6&lt;&gt;""),AND(GS6&gt;=HA$29,GS6&lt;&gt;""),AND(GW6&gt;=HA$29,GW6&lt;&gt;""),AND(GZ6&gt;=HA$29,GZ6&lt;&gt;""),AND(HX6&gt;=II$29,HX6&lt;&gt;""),AND(IA6&gt;=II$29,IA6&lt;&gt;""),AND(IE6&gt;=II$29,IE6&lt;&gt;""),AND(IH6&gt;=II$29,IH6&lt;&gt;""),AND(JF6&gt;=JQ$29,JF6&lt;&gt;""),AND(JI6&gt;=JQ$29,JI6&lt;&gt;""),AND(JM6&gt;=JQ$29,JM6&lt;&gt;""),AND(JP6&gt;=JQ$29,JP6&lt;&gt;""),AND(KN6&gt;=KY$29,KN6&lt;&gt;""),AND(KQ6&gt;=KY$29,KQ6&lt;&gt;""),AND(KU6&gt;=KY$29,KU6&lt;&gt;""),AND(KX6&gt;=KY$29,KX6&lt;&gt;""),AND(LV6&gt;=MG$29,LV6&lt;&gt;""),AND(LY6&gt;=MG$29,LY6&lt;&gt;""),AND(MC6&gt;=MG$29,MC6&lt;&gt;""),AND(MF6&gt;=MG$29,MF6&lt;&gt;""),AND(ND6&gt;=NO$29,ND6&lt;&gt;""),AND(NG6&gt;=NO$29,NG6&lt;&gt;""),AND(NK6&gt;=NO$29,NK6&lt;&gt;""),AND(NN6&gt;=NO$29,NN6&lt;&gt;""),AND(OL6&gt;=OW$29,OL6&lt;&gt;""),AND(OO6&gt;=OW$29,OO6&lt;&gt;""),AND(OS6&gt;=OW$29,OS6&lt;&gt;""),AND(OV6&gt;=OW$29,OV6&lt;&gt;""),AND(PT6&gt;=QE$29,PT6&lt;&gt;""),AND(PW6&gt;=QE$29,PW6&lt;&gt;""),AND(QA6&gt;=QE$29,QA6&lt;&gt;""),AND(QD6&gt;=QE$29,QD6&lt;&gt;""),AND(RB6&gt;=RM$29,RB6&lt;&gt;""),AND(RE6&gt;=RM$29,RE6&lt;&gt;""),AND(RI6&gt;=RM$29,RI6&lt;&gt;""),AND(RL6&gt;=RM$29,RL6&lt;&gt;""),AND(SJ6&gt;=SU$29,SJ6&lt;&gt;""),AND(SM6&gt;=SU$29,SM6&lt;&gt;""),AND(SQ6&gt;=SU$29,SQ6&lt;&gt;""),AND(ST6&gt;=SU$29,ST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Excellence",IF(I6="P","Worlds Team",IF(F6="P","National Team","")))))</f>
        <v>Excellence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J6" s="13">
        <f>IF(COUNT(AQ6,AT6,BR6,BU6,CS6,CV6)&gt;0,LARGE((AQ6,AT6,BR6,BU6,CS6,CV6),1),0)</f>
        <v>58.14</v>
      </c>
      <c r="K6" s="13" t="str">
        <f>IF(J6="","",IF(OR(J6=CS6,J6=CV6),$CA$1,IF(OR(J6=BR6,J6=BU6),$AZ$1,IF(OR(J6=AQ6,J6=AT6),$Y$1,""))))</f>
        <v>2022 Nationals</v>
      </c>
      <c r="L6" s="13">
        <f>IF(COUNT(AQ6,AT6,BR6,BU6,CS6,CV6)&gt;1,LARGE((AQ6,AT6,BR6,BU6,CS6,CV6),2),0)</f>
        <v>58.13000000000001</v>
      </c>
      <c r="M6" s="13" t="str">
        <f>IF(L6="","",IF(OR(L6=CS6,L6=CV6),$CA$1,IF(OR(L6=BR6,L6=BU6),$AZ$1,IF(OR(L6=AQ6,L6=AT6),$Y$1,""))))</f>
        <v>2022 Nationals</v>
      </c>
      <c r="N6" s="13">
        <f>IF(COUNT(AQ6,AT6,BR6,BU6,CS6,CV6)&gt;2,LARGE((AQ6,AT6,BR6,BU6,CS6,CV6),3),0)</f>
        <v>57.41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58.58</v>
      </c>
      <c r="Q6" s="13" t="str">
        <f>IF(P6="","",IF(P6=CZ6,$CA$1,IF(P6=BY6,$AZ$1,IF(P6=AX6,$Y$1,""))))</f>
        <v>2022 3rd Domestic Trial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3rd Domestic Trial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,IF(DX6&gt;=$EK$25,DY6,0),IF(EA6&gt;=$EK$25,EB6,0),IF(EE6&gt;=$EK$25,EF6,0),IF(EH6&gt;=$EK$25,EI6,0),IF(FF6&gt;=$FS$25,FG6,0),IF(FI6&gt;=$FS$25,FJ6,0),IF(FM6&gt;=$FS$25,FN6,0),IF(FP6&gt;=$FS$25,FQ6,0),IF(GN6&gt;=$HA$25,GO6,0),IF(GQ6&gt;=$HA$25,GR6,0),IF(GU6&gt;=$HA$25,GV6,0),IF(GX6&gt;=$HA$25,GY6,0),IF(HV6&gt;=$II$25,HW6,0),IF(HY6&gt;=$II$25,HZ6,0),IF(IC6&gt;=$II$25,ID6,0),IF(IF6&gt;=$II$25,IG6,0),IF(JD6&gt;=$JQ$25,JE6,0),IF(JG6&gt;=$JQ$25,JH6,0),IF(JK6&gt;=$JQ$25,JL6,0),IF(JN6&gt;=$JQ$25,JO6,0),IF(KL6&gt;=$KY$25,KM6,0),IF(KO6&gt;=$KY$25,KP6,0),IF(KS6&gt;=$KY$25,KT6,0),IF(KV6&gt;=$KY$25,KW6,0),IF(LT6&gt;=$MG$25,LU6,0),IF(LW6&gt;=$MG$25,LX6,0),IF(MA6&gt;=$MG$25,MB6,0),IF(MD6&gt;=$MG$25,ME6,0),IF(NB6&gt;=$NO$25,NC6,0),IF(NE6&gt;=$NO$25,NF6,0),IF(NI6&gt;=$NO$25,NJ6,0),IF(NL6&gt;=$NO$25,NM6,0),IF(OJ6&gt;=$OW$25,OK6,0),IF(OM6&gt;=$OW$25,ON6,0),IF(OQ6&gt;=$OW$25,OR6,0),IF(OT6&gt;=$OW$25,OU6,0),IF(PR6&gt;=$QE$25,PS6,0),IF(PU6&gt;=$QE$25,PV6,0),IF(PY6&gt;=$QE$25,PZ6,0),IF(QB6&gt;=$QE$25,QC6,0),IF(QZ6&gt;=$RM$25,RA6,0),IF(RC6&gt;=$RM$25,RD6,0),IF(RG6&gt;=$RM$25,RH6,0),IF(RJ6&gt;=$RM$25,RK6,0),IF(SH6&gt;=$SU$25,SI6,0),IF(SK6&gt;=$SU$25,SL6,0),IF(SO6&gt;=$SU$25,SP6,0),IF(SR6&gt;=$SU$25,SS6,0)),0)</f>
        <v>17.78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42">
        <v>16.100000000000001</v>
      </c>
      <c r="Z6" s="42">
        <v>9</v>
      </c>
      <c r="AA6" s="42">
        <v>15</v>
      </c>
      <c r="AB6" s="42">
        <v>17.309999999999999</v>
      </c>
      <c r="AC6" s="42">
        <v>0</v>
      </c>
      <c r="AD6" s="42">
        <v>14.9</v>
      </c>
      <c r="AE6" s="42">
        <v>9</v>
      </c>
      <c r="AF6" s="42">
        <v>12.7</v>
      </c>
      <c r="AG6" s="42">
        <v>17.29</v>
      </c>
      <c r="AH6" s="42">
        <v>0.8</v>
      </c>
      <c r="AI6" s="42">
        <v>15.7</v>
      </c>
      <c r="AJ6" s="42">
        <v>9.4</v>
      </c>
      <c r="AK6" s="42">
        <v>15.6</v>
      </c>
      <c r="AL6" s="42">
        <v>17.350000000000001</v>
      </c>
      <c r="AM6" s="42">
        <v>0</v>
      </c>
      <c r="AN6" s="51"/>
      <c r="AO6" s="74">
        <f>IF(AA6&gt;0,AA6,"")</f>
        <v>15</v>
      </c>
      <c r="AP6" s="74">
        <f>IF(AB6&gt;0,AB6,"")</f>
        <v>17.309999999999999</v>
      </c>
      <c r="AQ6" s="76">
        <f>IF(SUM(Y6:AB6)-AC6&gt;0,SUM(Y6:AB6)-AC6,"")</f>
        <v>57.41</v>
      </c>
      <c r="AR6" s="76">
        <f>IF(AF6&gt;0,AF6,"")</f>
        <v>12.7</v>
      </c>
      <c r="AS6" s="76">
        <f>IF(AG6&gt;0,AG6,"")</f>
        <v>17.29</v>
      </c>
      <c r="AT6" s="76">
        <f>IF(SUM(AD6:AG6)-AH6&gt;0,SUM(AD6:AG6)-AH6,"")</f>
        <v>53.089999999999996</v>
      </c>
      <c r="AU6" s="76">
        <f>IF(AQ6="","",MAX(AQ6,AT6))</f>
        <v>57.41</v>
      </c>
      <c r="AV6" s="76">
        <f>IF(AK6&gt;0,AK6,"")</f>
        <v>15.6</v>
      </c>
      <c r="AW6" s="76">
        <f>IF(AL6&gt;0,AL6,"")</f>
        <v>17.350000000000001</v>
      </c>
      <c r="AX6" s="76">
        <f>IF(SUM(AI6:AL6)-AM6&gt;0,SUM(AI6:AL6)-AM6,"")</f>
        <v>58.050000000000004</v>
      </c>
      <c r="AY6" s="76">
        <f>IF(SUM(AU6,AX6)&gt;0,SUM(AU6,AX6),"")</f>
        <v>115.46000000000001</v>
      </c>
      <c r="AZ6" s="46">
        <v>15.9</v>
      </c>
      <c r="BA6" s="46">
        <v>9.3000000000000007</v>
      </c>
      <c r="BB6" s="46">
        <v>16.2</v>
      </c>
      <c r="BC6" s="46">
        <v>16.73</v>
      </c>
      <c r="BD6" s="46">
        <v>0</v>
      </c>
      <c r="BE6" s="46">
        <v>15.8</v>
      </c>
      <c r="BF6" s="46">
        <v>9</v>
      </c>
      <c r="BG6" s="46">
        <v>16.2</v>
      </c>
      <c r="BH6" s="46">
        <v>17.14</v>
      </c>
      <c r="BI6" s="46">
        <v>0</v>
      </c>
      <c r="BJ6" s="46">
        <v>15.7</v>
      </c>
      <c r="BK6" s="46">
        <v>9.4</v>
      </c>
      <c r="BL6" s="46">
        <v>16.2</v>
      </c>
      <c r="BM6" s="46">
        <v>16.940000000000001</v>
      </c>
      <c r="BN6" s="46">
        <v>0</v>
      </c>
      <c r="BO6" s="52"/>
      <c r="BP6" s="75">
        <f>IF(BB6&gt;0,BB6,"")</f>
        <v>16.2</v>
      </c>
      <c r="BQ6" s="75">
        <f>IF(BC6&gt;0,BC6,"")</f>
        <v>16.73</v>
      </c>
      <c r="BR6" s="16">
        <f>IF(SUM(AZ6:BC6)-BD6&gt;0,SUM(AZ6:BC6)-BD6,"")</f>
        <v>58.13000000000001</v>
      </c>
      <c r="BS6" s="16">
        <f>IF(BG6&gt;0,BG6,"")</f>
        <v>16.2</v>
      </c>
      <c r="BT6" s="16">
        <f>IF(BH6&gt;0,BH6,"")</f>
        <v>17.14</v>
      </c>
      <c r="BU6" s="16">
        <f>IF(SUM(BE6:BH6)-BI6&gt;0,SUM(BE6:BH6)-BI6,"")</f>
        <v>58.14</v>
      </c>
      <c r="BV6" s="16">
        <f>IF(BR6="","",MAX(BR6,BU6))</f>
        <v>58.14</v>
      </c>
      <c r="BW6" s="16">
        <f>IF(BL6&gt;0,BL6,"")</f>
        <v>16.2</v>
      </c>
      <c r="BX6" s="16">
        <f>IF(BM6&gt;0,BM6,"")</f>
        <v>16.940000000000001</v>
      </c>
      <c r="BY6" s="16">
        <f>IF(SUM(BJ6:BM6)-BN6&gt;0,SUM(BJ6:BM6)-BN6,"")</f>
        <v>58.239999999999995</v>
      </c>
      <c r="BZ6" s="16">
        <f>IF(SUM(BV6,BY6)&gt;0,SUM(BV6,BY6),"")</f>
        <v>116.38</v>
      </c>
      <c r="CA6" s="42">
        <v>4.5</v>
      </c>
      <c r="CB6" s="42">
        <v>2.9</v>
      </c>
      <c r="CC6" s="42">
        <v>5.5</v>
      </c>
      <c r="CD6" s="42">
        <v>5.5</v>
      </c>
      <c r="CE6" s="42">
        <v>0</v>
      </c>
      <c r="CF6" s="42">
        <v>14.1</v>
      </c>
      <c r="CG6" s="42">
        <v>8.8000000000000007</v>
      </c>
      <c r="CH6" s="42">
        <v>14.5</v>
      </c>
      <c r="CI6" s="42">
        <v>17.36</v>
      </c>
      <c r="CJ6" s="42">
        <v>0</v>
      </c>
      <c r="CK6" s="42">
        <v>15.2</v>
      </c>
      <c r="CL6" s="42">
        <v>9.4</v>
      </c>
      <c r="CM6" s="42">
        <v>16.2</v>
      </c>
      <c r="CN6" s="42">
        <v>17.78</v>
      </c>
      <c r="CO6" s="42">
        <v>0</v>
      </c>
      <c r="CP6" s="51"/>
      <c r="CQ6" s="74">
        <f>IF(CC6&gt;0,CC6,"")</f>
        <v>5.5</v>
      </c>
      <c r="CR6" s="74">
        <f>IF(CD6&gt;0,CD6,"")</f>
        <v>5.5</v>
      </c>
      <c r="CS6" s="76">
        <f>IF(SUM(CA6:CD6)-CE6&gt;0,SUM(CA6:CD6)-CE6,"")</f>
        <v>18.399999999999999</v>
      </c>
      <c r="CT6" s="76">
        <f>IF(CH6&gt;0,CH6,"")</f>
        <v>14.5</v>
      </c>
      <c r="CU6" s="76">
        <f>IF(CI6&gt;0,CI6,"")</f>
        <v>17.36</v>
      </c>
      <c r="CV6" s="76">
        <f>IF(SUM(CF6:CI6)-CJ6&gt;0,SUM(CF6:CI6)-CJ6,"")</f>
        <v>54.76</v>
      </c>
      <c r="CW6" s="76">
        <f>IF(CS6="","",MAX(CS6,CV6))</f>
        <v>54.76</v>
      </c>
      <c r="CX6" s="76">
        <f>IF(CM6&gt;0,CM6,"")</f>
        <v>16.2</v>
      </c>
      <c r="CY6" s="76">
        <f>IF(CN6&gt;0,CN6,"")</f>
        <v>17.78</v>
      </c>
      <c r="CZ6" s="76">
        <f>IF(SUM(CK6:CN6)-CO6&gt;0,SUM(CK6:CN6)-CO6,"")</f>
        <v>58.58</v>
      </c>
      <c r="DA6" s="76">
        <f>IF(SUM(CW6,CZ6)&gt;0,SUM(CW6,CZ6),"")</f>
        <v>113.34</v>
      </c>
      <c r="DB6" s="87" t="str">
        <f>IF(N6&gt;=0.001,IF(MAX(ED6,FL6,GT6,IB6,JJ6,KR6,LZ6,NH6,OP6,PX6,RF6,SN6)-IF(N6="",0,N6)&gt;0.001,MAX(ED6,FL6,GT6,IB6,JJ6,KR6,LZ6,NH6,OP6,PX6,RF6,SN6)-IF(N6="",0,N6),""),"")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14.9</v>
      </c>
      <c r="DE6" s="25">
        <v>9.1999999999999993</v>
      </c>
      <c r="DF6" s="25">
        <v>15.4</v>
      </c>
      <c r="DG6" s="25">
        <v>16.43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>
        <f>IF(DF6&gt;0,DF6,"")</f>
        <v>15.4</v>
      </c>
      <c r="DY6" s="76">
        <f>IF(DG6&gt;0,DG6,"")</f>
        <v>16.43</v>
      </c>
      <c r="DZ6" s="76">
        <f>IF(SUM(DD6:DG6)-DH6&gt;0,SUM(DD6:DG6)-DH6,"")</f>
        <v>55.93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55.93</v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55.93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>
        <v>14.8</v>
      </c>
      <c r="FB6" s="26">
        <v>9.4</v>
      </c>
      <c r="FC6" s="26">
        <v>15.6</v>
      </c>
      <c r="FD6" s="26">
        <v>16.614999999999998</v>
      </c>
      <c r="FE6" s="26">
        <v>0</v>
      </c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>
        <f>IF(FC6&gt;0,FC6,"")</f>
        <v>15.6</v>
      </c>
      <c r="FQ6" s="16">
        <f>IF(FD6&gt;0,FD6,"")</f>
        <v>16.614999999999998</v>
      </c>
      <c r="FR6" s="16">
        <f>IF(SUM(FA6:FD6)-FE6&gt;0,SUM(FA6:FD6)-FE6,"")</f>
        <v>56.415000000000006</v>
      </c>
      <c r="FS6" s="16">
        <f>IF(SUM(FL6,FR6)&gt;0,SUM(FL6,FR6),"")</f>
        <v>56.415000000000006</v>
      </c>
      <c r="FT6" s="25">
        <v>14.4</v>
      </c>
      <c r="FU6" s="25">
        <v>9.5</v>
      </c>
      <c r="FV6" s="25">
        <v>15.4</v>
      </c>
      <c r="FW6" s="25">
        <v>16.574999999999999</v>
      </c>
      <c r="FX6" s="25">
        <v>0</v>
      </c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>
        <v>3</v>
      </c>
      <c r="GJ6" s="25">
        <v>1.8</v>
      </c>
      <c r="GK6" s="25">
        <v>3.2</v>
      </c>
      <c r="GL6" s="25">
        <v>3.5649999999999999</v>
      </c>
      <c r="GM6" s="25">
        <v>0</v>
      </c>
      <c r="GN6" s="76">
        <f>IF(FV6&gt;0,FV6,"")</f>
        <v>15.4</v>
      </c>
      <c r="GO6" s="76">
        <f>IF(FW6&gt;0,FW6,"")</f>
        <v>16.574999999999999</v>
      </c>
      <c r="GP6" s="76">
        <f>IF(SUM(FT6:FW6)-FX6&gt;0,SUM(FT6:FW6)-FX6,"")</f>
        <v>55.875</v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>
        <f>IF(MAX(GP6,GS6)&gt;0,MAX(GP6,GS6),"")</f>
        <v>55.875</v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>
        <f>IF(GK6&gt;0,GK6,"")</f>
        <v>3.2</v>
      </c>
      <c r="GY6" s="76">
        <f>IF(GL6&gt;0,GL6,"")</f>
        <v>3.5649999999999999</v>
      </c>
      <c r="GZ6" s="76">
        <f>IF(SUM(GI6:GL6)-GM6&gt;0,SUM(GI6:GL6)-GM6,"")</f>
        <v>11.565</v>
      </c>
      <c r="HA6" s="76">
        <f>IF(SUM(GT6,GZ6)&gt;0,SUM(GT6,GZ6),"")</f>
        <v>67.44</v>
      </c>
      <c r="HB6" s="26">
        <v>13.2</v>
      </c>
      <c r="HC6" s="26">
        <v>8.6999999999999993</v>
      </c>
      <c r="HD6" s="26">
        <v>15</v>
      </c>
      <c r="HE6" s="26">
        <v>16.04</v>
      </c>
      <c r="HF6" s="26">
        <v>0</v>
      </c>
      <c r="HG6" s="26">
        <v>1.4</v>
      </c>
      <c r="HH6" s="26">
        <v>1</v>
      </c>
      <c r="HI6" s="26">
        <v>2</v>
      </c>
      <c r="HJ6" s="26">
        <v>1.77</v>
      </c>
      <c r="HK6" s="26">
        <v>0</v>
      </c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>
        <f>IF(HD6&gt;0,HD6,"")</f>
        <v>15</v>
      </c>
      <c r="HW6" s="16">
        <f>IF(HE6&gt;0,HE6,"")</f>
        <v>16.04</v>
      </c>
      <c r="HX6" s="16">
        <f>IF(SUM(HB6:HE6)-HF6&gt;0,SUM(HB6:HE6)-HF6,"")</f>
        <v>52.94</v>
      </c>
      <c r="HY6" s="16">
        <f>IF(HI6&gt;0,HI6,"")</f>
        <v>2</v>
      </c>
      <c r="HZ6" s="16">
        <f>IF(HJ6&gt;0,HJ6,"")</f>
        <v>1.77</v>
      </c>
      <c r="IA6" s="16">
        <f>IF(SUM(HG6:HJ6)-HK6&gt;0,SUM(HG6:HJ6)-HK6,"")</f>
        <v>6.17</v>
      </c>
      <c r="IB6" s="16">
        <f>IF(MAX(HX6,IA6)&gt;0,MAX(HX6,IA6),"")</f>
        <v>52.94</v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>
        <f>IF(SUM(IB6,IH6)&gt;0,SUM(IB6,IH6),"")</f>
        <v>52.94</v>
      </c>
      <c r="IJ6" s="25">
        <v>4.5999999999999996</v>
      </c>
      <c r="IK6" s="25">
        <v>2.7</v>
      </c>
      <c r="IL6" s="25">
        <v>5.5</v>
      </c>
      <c r="IM6" s="25">
        <v>5.35</v>
      </c>
      <c r="IN6" s="25">
        <v>0</v>
      </c>
      <c r="IO6" s="25">
        <v>14.6</v>
      </c>
      <c r="IP6" s="25">
        <v>9.1</v>
      </c>
      <c r="IQ6" s="25">
        <v>16.2</v>
      </c>
      <c r="IR6" s="25">
        <v>16.95</v>
      </c>
      <c r="IS6" s="25">
        <v>0</v>
      </c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>
        <f>IF(IL6&gt;0,IL6,"")</f>
        <v>5.5</v>
      </c>
      <c r="JE6" s="76">
        <f>IF(IM6&gt;0,IM6,"")</f>
        <v>5.35</v>
      </c>
      <c r="JF6" s="76">
        <f>IF(SUM(IJ6:IM6)-IN6&gt;0,SUM(IJ6:IM6)-IN6,"")</f>
        <v>18.149999999999999</v>
      </c>
      <c r="JG6" s="76">
        <f>IF(IQ6&gt;0,IQ6,"")</f>
        <v>16.2</v>
      </c>
      <c r="JH6" s="76">
        <f>IF(IR6&gt;0,IR6,"")</f>
        <v>16.95</v>
      </c>
      <c r="JI6" s="76">
        <f>IF(SUM(IO6:IR6)-IS6&gt;0,SUM(IO6:IR6)-IS6,"")</f>
        <v>56.849999999999994</v>
      </c>
      <c r="JJ6" s="76">
        <f>IF(MAX(JF6,JI6)&gt;0,MAX(JF6,JI6),"")</f>
        <v>56.849999999999994</v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>
        <f>IF(SUM(JJ6,JP6)&gt;0,SUM(JJ6,JP6),"")</f>
        <v>56.849999999999994</v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>
        <v>1.6</v>
      </c>
      <c r="LA6" s="25">
        <v>1</v>
      </c>
      <c r="LB6" s="25">
        <v>2</v>
      </c>
      <c r="LC6" s="25">
        <v>1.825</v>
      </c>
      <c r="LD6" s="25">
        <v>0</v>
      </c>
      <c r="LE6" s="25">
        <v>15.1</v>
      </c>
      <c r="LF6" s="25">
        <v>8.9</v>
      </c>
      <c r="LG6" s="25">
        <v>16.2</v>
      </c>
      <c r="LH6" s="25">
        <v>16.86</v>
      </c>
      <c r="LI6" s="25">
        <v>0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2</v>
      </c>
      <c r="LU6" s="76">
        <f>IF(LC6&gt;0,LC6,"")</f>
        <v>1.825</v>
      </c>
      <c r="LV6" s="76">
        <f>IF(SUM(KZ6:LC6)-LD6&gt;0,SUM(KZ6:LC6)-LD6,"")</f>
        <v>6.4249999999999998</v>
      </c>
      <c r="LW6" s="76">
        <f>IF(LG6&gt;0,LG6,"")</f>
        <v>16.2</v>
      </c>
      <c r="LX6" s="76">
        <f>IF(LH6&gt;0,LH6,"")</f>
        <v>16.86</v>
      </c>
      <c r="LY6" s="76">
        <f>IF(SUM(LE6:LH6)-LI6&gt;0,SUM(LE6:LH6)-LI6,"")</f>
        <v>57.06</v>
      </c>
      <c r="LZ6" s="76">
        <f>IF(MAX(LV6,LY6)&gt;0,MAX(LV6,LY6),"")</f>
        <v>57.06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57.06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10.199999999999999</v>
      </c>
      <c r="SW6" s="42">
        <f>IF($CP6="P",CB6,(CB6+BA6)/2)</f>
        <v>6.1000000000000005</v>
      </c>
      <c r="SX6" s="42">
        <f>IF($CP6="P",CC6,(CC6+BB6)/2)</f>
        <v>10.85</v>
      </c>
      <c r="SY6" s="42">
        <f>IF($CP6="P",CD6,(CD6+BC6)/2)</f>
        <v>11.115</v>
      </c>
      <c r="SZ6" s="42">
        <f>IF($CP6="P",CE6,(CE6+BD6)/2)</f>
        <v>0</v>
      </c>
      <c r="TA6" s="42">
        <f>IF($CP6="P",CF6,(CF6+BE6)/2)</f>
        <v>14.95</v>
      </c>
      <c r="TB6" s="42">
        <f>IF($CP6="P",CG6,(CG6+BF6)/2)</f>
        <v>8.9</v>
      </c>
      <c r="TC6" s="42">
        <f>IF($CP6="P",CH6,(CH6+BG6)/2)</f>
        <v>15.35</v>
      </c>
      <c r="TD6" s="42">
        <f>IF($CP6="P",CI6,(CI6+BH6)/2)</f>
        <v>17.25</v>
      </c>
      <c r="TE6" s="42">
        <f>IF($CP6="P",CJ6,(CJ6+BI6)/2)</f>
        <v>0</v>
      </c>
      <c r="TF6" s="42">
        <f>IF($CP6="P",CK6,(CK6+BJ6)/2)</f>
        <v>15.45</v>
      </c>
      <c r="TG6" s="42">
        <f>IF($CP6="P",CL6,(CL6+BK6)/2)</f>
        <v>9.4</v>
      </c>
      <c r="TH6" s="42">
        <f>IF($CP6="P",CM6,(CM6+BL6)/2)</f>
        <v>16.2</v>
      </c>
      <c r="TI6" s="42">
        <f>IF($CP6="P",CN6,(CN6+BM6)/2)</f>
        <v>17.36</v>
      </c>
      <c r="TJ6" s="42">
        <f>IF($CP6="P",CO6,(CO6+BN6)/2)</f>
        <v>0</v>
      </c>
      <c r="TK6" s="51" t="s">
        <v>58</v>
      </c>
      <c r="TL6" s="76">
        <f>IF(SX6&gt;0,SX6,"")</f>
        <v>10.85</v>
      </c>
      <c r="TM6" s="76">
        <f>IF(SY6&gt;0,SY6,"")</f>
        <v>11.115</v>
      </c>
      <c r="TN6" s="76">
        <f>IF(SUM(SV6:SY6)-SZ6&gt;0,SUM(SV6:SY6)-SZ6,"")</f>
        <v>38.265000000000001</v>
      </c>
      <c r="TO6" s="76">
        <f>IF(TC6&gt;0,TC6,"")</f>
        <v>15.35</v>
      </c>
      <c r="TP6" s="76">
        <f>IF(TD6&gt;0,TD6,"")</f>
        <v>17.25</v>
      </c>
      <c r="TQ6" s="76">
        <f>IF(SUM(TA6:TD6)-TE6&gt;0,SUM(TA6:TD6)-TE6,"")</f>
        <v>56.45</v>
      </c>
      <c r="TR6" s="76">
        <f>IF(MAX(TN6,TQ6)&gt;0,MAX(TN6,TQ6),"")</f>
        <v>56.45</v>
      </c>
      <c r="TS6" s="76">
        <f>IF(TH6&gt;0,TH6,"")</f>
        <v>16.2</v>
      </c>
      <c r="TT6" s="76">
        <f>IF(TI6&gt;0,TI6,"")</f>
        <v>17.36</v>
      </c>
      <c r="TU6" s="76">
        <f>IF(SUM(TF6:TI6)-TJ6&gt;0,SUM(TF6:TI6)-TJ6,"")</f>
        <v>58.41</v>
      </c>
      <c r="TV6" s="76">
        <f>IF(SUM(TR6,TU6)&gt;0,SUM(TR6,TU6),"")</f>
        <v>114.86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6" t="s">
        <v>7</v>
      </c>
      <c r="C7" s="7" t="s">
        <v>3</v>
      </c>
      <c r="D7" s="18">
        <v>1997</v>
      </c>
      <c r="E7" s="14">
        <f>SUM(J7:V7)+SUM(J7:T7)*0.0000001+SUM(J7)*0.0000000000001</f>
        <v>259.95002599500566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DZ7&gt;=EK$29,DZ7&lt;&gt;""),AND(EC7&gt;=EK$29,EC7&lt;&gt;""),AND(EG7&gt;=EK$29,EG7&lt;&gt;""),AND(EJ7&gt;=EK$29,EJ7&lt;&gt;""),AND(FH7&gt;=FS$29,FH7&lt;&gt;""),AND(FK7&gt;=FS$29,FK7&lt;&gt;""),AND(FO7&gt;=FS$29,FO7&lt;&gt;""),AND(FR7&gt;=FS$29,FR7&lt;&gt;""),AND(GP7&gt;=HA$29,GP7&lt;&gt;""),AND(GS7&gt;=HA$29,GS7&lt;&gt;""),AND(GW7&gt;=HA$29,GW7&lt;&gt;""),AND(GZ7&gt;=HA$29,GZ7&lt;&gt;""),AND(HX7&gt;=II$29,HX7&lt;&gt;""),AND(IA7&gt;=II$29,IA7&lt;&gt;""),AND(IE7&gt;=II$29,IE7&lt;&gt;""),AND(IH7&gt;=II$29,IH7&lt;&gt;""),AND(JF7&gt;=JQ$29,JF7&lt;&gt;""),AND(JI7&gt;=JQ$29,JI7&lt;&gt;""),AND(JM7&gt;=JQ$29,JM7&lt;&gt;""),AND(JP7&gt;=JQ$29,JP7&lt;&gt;""),AND(KN7&gt;=KY$29,KN7&lt;&gt;""),AND(KQ7&gt;=KY$29,KQ7&lt;&gt;""),AND(KU7&gt;=KY$29,KU7&lt;&gt;""),AND(KX7&gt;=KY$29,KX7&lt;&gt;""),AND(LV7&gt;=MG$29,LV7&lt;&gt;""),AND(LY7&gt;=MG$29,LY7&lt;&gt;""),AND(MC7&gt;=MG$29,MC7&lt;&gt;""),AND(MF7&gt;=MG$29,MF7&lt;&gt;""),AND(ND7&gt;=NO$29,ND7&lt;&gt;""),AND(NG7&gt;=NO$29,NG7&lt;&gt;""),AND(NK7&gt;=NO$29,NK7&lt;&gt;""),AND(NN7&gt;=NO$29,NN7&lt;&gt;""),AND(OL7&gt;=OW$29,OL7&lt;&gt;""),AND(OO7&gt;=OW$29,OO7&lt;&gt;""),AND(OS7&gt;=OW$29,OS7&lt;&gt;""),AND(OV7&gt;=OW$29,OV7&lt;&gt;""),AND(PT7&gt;=QE$29,PT7&lt;&gt;""),AND(PW7&gt;=QE$29,PW7&lt;&gt;""),AND(QA7&gt;=QE$29,QA7&lt;&gt;""),AND(QD7&gt;=QE$29,QD7&lt;&gt;""),AND(RB7&gt;=RM$29,RB7&lt;&gt;""),AND(RE7&gt;=RM$29,RE7&lt;&gt;""),AND(RI7&gt;=RM$29,RI7&lt;&gt;""),AND(RL7&gt;=RM$29,RL7&lt;&gt;""),AND(SJ7&gt;=SU$29,SJ7&lt;&gt;""),AND(SM7&gt;=SU$29,SM7&lt;&gt;""),AND(SQ7&gt;=SU$29,SQ7&lt;&gt;""),AND(ST7&gt;=SU$29,ST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J7" s="13">
        <f>IF(COUNT(AQ7,AT7,BR7,BU7,CS7,CV7)&gt;0,LARGE((AQ7,AT7,BR7,BU7,CS7,CV7),1),0)</f>
        <v>56.69</v>
      </c>
      <c r="K7" s="13" t="str">
        <f>IF(J7="","",IF(OR(J7=CS7,J7=CV7),$CA$1,IF(OR(J7=BR7,J7=BU7),$AZ$1,IF(OR(J7=AQ7,J7=AT7),$Y$1,""))))</f>
        <v>2022 Elite Canada</v>
      </c>
      <c r="L7" s="13">
        <f>IF(COUNT(AQ7,AT7,BR7,BU7,CS7,CV7)&gt;1,LARGE((AQ7,AT7,BR7,BU7,CS7,CV7),2),0)</f>
        <v>56.57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56.410000000000004</v>
      </c>
      <c r="O7" s="13" t="str">
        <f>IF(N7="","",IF(OR(N7=CS7,N7=CV7),$CA$1,IF(OR(N7=BR7,N7=BU7),$AZ$1,IF(OR(N7=AQ7,N7=AT7),$Y$1,""))))</f>
        <v>2022 3rd Domestic Trial</v>
      </c>
      <c r="P7" s="13">
        <f>IF(MAX(AX7,BY7,CZ7)&gt;0,MAX(AX7,BY7,CZ7),0)</f>
        <v>56.79</v>
      </c>
      <c r="Q7" s="13" t="str">
        <f>IF(P7="","",IF(P7=CZ7,$CA$1,IF(P7=BY7,$AZ$1,IF(P7=AX7,$Y$1,""))))</f>
        <v>2022 3rd Domestic Trial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,IF(DX7&gt;=$EK$25,DY7,0),IF(EA7&gt;=$EK$25,EB7,0),IF(EE7&gt;=$EK$25,EF7,0),IF(EH7&gt;=$EK$25,EI7,0),IF(FF7&gt;=$FS$25,FG7,0),IF(FI7&gt;=$FS$25,FJ7,0),IF(FM7&gt;=$FS$25,FN7,0),IF(FP7&gt;=$FS$25,FQ7,0),IF(GN7&gt;=$HA$25,GO7,0),IF(GQ7&gt;=$HA$25,GR7,0),IF(GU7&gt;=$HA$25,GV7,0),IF(GX7&gt;=$HA$25,GY7,0),IF(HV7&gt;=$II$25,HW7,0),IF(HY7&gt;=$II$25,HZ7,0),IF(IC7&gt;=$II$25,ID7,0),IF(IF7&gt;=$II$25,IG7,0),IF(JD7&gt;=$JQ$25,JE7,0),IF(JG7&gt;=$JQ$25,JH7,0),IF(JK7&gt;=$JQ$25,JL7,0),IF(JN7&gt;=$JQ$25,JO7,0),IF(KL7&gt;=$KY$25,KM7,0),IF(KO7&gt;=$KY$25,KP7,0),IF(KS7&gt;=$KY$25,KT7,0),IF(KV7&gt;=$KY$25,KW7,0),IF(LT7&gt;=$MG$25,LU7,0),IF(LW7&gt;=$MG$25,LX7,0),IF(MA7&gt;=$MG$25,MB7,0),IF(MD7&gt;=$MG$25,ME7,0),IF(NB7&gt;=$NO$25,NC7,0),IF(NE7&gt;=$NO$25,NF7,0),IF(NI7&gt;=$NO$25,NJ7,0),IF(NL7&gt;=$NO$25,NM7,0),IF(OJ7&gt;=$OW$25,OK7,0),IF(OM7&gt;=$OW$25,ON7,0),IF(OQ7&gt;=$OW$25,OR7,0),IF(OT7&gt;=$OW$25,OU7,0),IF(PR7&gt;=$QE$25,PS7,0),IF(PU7&gt;=$QE$25,PV7,0),IF(PY7&gt;=$QE$25,PZ7,0),IF(QB7&gt;=$QE$25,QC7,0),IF(QZ7&gt;=$RM$25,RA7,0),IF(RC7&gt;=$RM$25,RD7,0),IF(RG7&gt;=$RM$25,RH7,0),IF(RJ7&gt;=$RM$25,RK7,0),IF(SH7&gt;=$SU$25,SI7,0),IF(SK7&gt;=$SU$25,SL7,0),IF(SO7&gt;=$SU$25,SP7,0),IF(SR7&gt;=$SU$25,SS7,0)),0)</f>
        <v>16.39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Elite Canada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42">
        <v>15</v>
      </c>
      <c r="Z7" s="42">
        <v>9.3000000000000007</v>
      </c>
      <c r="AA7" s="42">
        <v>16.2</v>
      </c>
      <c r="AB7" s="42">
        <v>16.07</v>
      </c>
      <c r="AC7" s="42">
        <v>0</v>
      </c>
      <c r="AD7" s="42">
        <v>15</v>
      </c>
      <c r="AE7" s="42">
        <v>9.1</v>
      </c>
      <c r="AF7" s="42">
        <v>16.2</v>
      </c>
      <c r="AG7" s="42">
        <v>16.39</v>
      </c>
      <c r="AH7" s="42">
        <v>0</v>
      </c>
      <c r="AI7" s="42">
        <v>14.1</v>
      </c>
      <c r="AJ7" s="42">
        <v>8.8000000000000007</v>
      </c>
      <c r="AK7" s="42">
        <v>16.2</v>
      </c>
      <c r="AL7" s="42">
        <v>16.11</v>
      </c>
      <c r="AM7" s="42">
        <v>0</v>
      </c>
      <c r="AN7" s="51"/>
      <c r="AO7" s="74">
        <f>IF(AA7&gt;0,AA7,"")</f>
        <v>16.2</v>
      </c>
      <c r="AP7" s="74">
        <f>IF(AB7&gt;0,AB7,"")</f>
        <v>16.07</v>
      </c>
      <c r="AQ7" s="76">
        <f>IF(SUM(Y7:AB7)-AC7&gt;0,SUM(Y7:AB7)-AC7,"")</f>
        <v>56.57</v>
      </c>
      <c r="AR7" s="76">
        <f>IF(AF7&gt;0,AF7,"")</f>
        <v>16.2</v>
      </c>
      <c r="AS7" s="76">
        <f>IF(AG7&gt;0,AG7,"")</f>
        <v>16.39</v>
      </c>
      <c r="AT7" s="76">
        <f>IF(SUM(AD7:AG7)-AH7&gt;0,SUM(AD7:AG7)-AH7,"")</f>
        <v>56.69</v>
      </c>
      <c r="AU7" s="76">
        <f>IF(AQ7="","",MAX(AQ7,AT7))</f>
        <v>56.69</v>
      </c>
      <c r="AV7" s="76">
        <f>IF(AK7&gt;0,AK7,"")</f>
        <v>16.2</v>
      </c>
      <c r="AW7" s="76">
        <f>IF(AL7&gt;0,AL7,"")</f>
        <v>16.11</v>
      </c>
      <c r="AX7" s="76">
        <f>IF(SUM(AI7:AL7)-AM7&gt;0,SUM(AI7:AL7)-AM7,"")</f>
        <v>55.209999999999994</v>
      </c>
      <c r="AY7" s="76">
        <f>IF(SUM(AU7,AX7)&gt;0,SUM(AU7,AX7),"")</f>
        <v>111.89999999999999</v>
      </c>
      <c r="AZ7" s="46">
        <v>13.6</v>
      </c>
      <c r="BA7" s="46">
        <v>9.1</v>
      </c>
      <c r="BB7" s="46">
        <v>14.8</v>
      </c>
      <c r="BC7" s="46">
        <v>15.69</v>
      </c>
      <c r="BD7" s="46">
        <v>0</v>
      </c>
      <c r="BE7" s="46">
        <v>14.6</v>
      </c>
      <c r="BF7" s="46">
        <v>9.4</v>
      </c>
      <c r="BG7" s="46">
        <v>16.2</v>
      </c>
      <c r="BH7" s="46">
        <v>15.73</v>
      </c>
      <c r="BI7" s="46">
        <v>0</v>
      </c>
      <c r="BJ7" s="46">
        <v>15.4</v>
      </c>
      <c r="BK7" s="46">
        <v>9.1999999999999993</v>
      </c>
      <c r="BL7" s="46">
        <v>15.6</v>
      </c>
      <c r="BM7" s="46">
        <v>15.93</v>
      </c>
      <c r="BN7" s="46">
        <v>0</v>
      </c>
      <c r="BO7" s="52"/>
      <c r="BP7" s="75">
        <f>IF(BB7&gt;0,BB7,"")</f>
        <v>14.8</v>
      </c>
      <c r="BQ7" s="75">
        <f>IF(BC7&gt;0,BC7,"")</f>
        <v>15.69</v>
      </c>
      <c r="BR7" s="16">
        <f>IF(SUM(AZ7:BC7)-BD7&gt;0,SUM(AZ7:BC7)-BD7,"")</f>
        <v>53.19</v>
      </c>
      <c r="BS7" s="16">
        <f>IF(BG7&gt;0,BG7,"")</f>
        <v>16.2</v>
      </c>
      <c r="BT7" s="16">
        <f>IF(BH7&gt;0,BH7,"")</f>
        <v>15.73</v>
      </c>
      <c r="BU7" s="16">
        <f>IF(SUM(BE7:BH7)-BI7&gt;0,SUM(BE7:BH7)-BI7,"")</f>
        <v>55.930000000000007</v>
      </c>
      <c r="BV7" s="16">
        <f>IF(BR7="","",MAX(BR7,BU7))</f>
        <v>55.930000000000007</v>
      </c>
      <c r="BW7" s="16">
        <f>IF(BL7&gt;0,BL7,"")</f>
        <v>15.6</v>
      </c>
      <c r="BX7" s="16">
        <f>IF(BM7&gt;0,BM7,"")</f>
        <v>15.93</v>
      </c>
      <c r="BY7" s="16">
        <f>IF(SUM(BJ7:BM7)-BN7&gt;0,SUM(BJ7:BM7)-BN7,"")</f>
        <v>56.13</v>
      </c>
      <c r="BZ7" s="16">
        <f>IF(SUM(BV7,BY7)&gt;0,SUM(BV7,BY7),"")</f>
        <v>112.06</v>
      </c>
      <c r="CA7" s="42">
        <v>14</v>
      </c>
      <c r="CB7" s="42">
        <v>9.1</v>
      </c>
      <c r="CC7" s="42">
        <v>17.100000000000001</v>
      </c>
      <c r="CD7" s="42">
        <v>16.21</v>
      </c>
      <c r="CE7" s="42">
        <v>0</v>
      </c>
      <c r="CF7" s="42">
        <v>8.3000000000000007</v>
      </c>
      <c r="CG7" s="42">
        <v>5.7</v>
      </c>
      <c r="CH7" s="42">
        <v>10.7</v>
      </c>
      <c r="CI7" s="42">
        <v>10.32</v>
      </c>
      <c r="CJ7" s="42">
        <v>0</v>
      </c>
      <c r="CK7" s="42">
        <v>14</v>
      </c>
      <c r="CL7" s="42">
        <v>9.4</v>
      </c>
      <c r="CM7" s="42">
        <v>17.100000000000001</v>
      </c>
      <c r="CN7" s="42">
        <v>16.29</v>
      </c>
      <c r="CO7" s="42">
        <v>0</v>
      </c>
      <c r="CP7" s="51"/>
      <c r="CQ7" s="74">
        <f>IF(CC7&gt;0,CC7,"")</f>
        <v>17.100000000000001</v>
      </c>
      <c r="CR7" s="74">
        <f>IF(CD7&gt;0,CD7,"")</f>
        <v>16.21</v>
      </c>
      <c r="CS7" s="76">
        <f>IF(SUM(CA7:CD7)-CE7&gt;0,SUM(CA7:CD7)-CE7,"")</f>
        <v>56.410000000000004</v>
      </c>
      <c r="CT7" s="76">
        <f>IF(CH7&gt;0,CH7,"")</f>
        <v>10.7</v>
      </c>
      <c r="CU7" s="76">
        <f>IF(CI7&gt;0,CI7,"")</f>
        <v>10.32</v>
      </c>
      <c r="CV7" s="76">
        <f>IF(SUM(CF7:CI7)-CJ7&gt;0,SUM(CF7:CI7)-CJ7,"")</f>
        <v>35.019999999999996</v>
      </c>
      <c r="CW7" s="76">
        <f>IF(CS7="","",MAX(CS7,CV7))</f>
        <v>56.410000000000004</v>
      </c>
      <c r="CX7" s="76">
        <f>IF(CM7&gt;0,CM7,"")</f>
        <v>17.100000000000001</v>
      </c>
      <c r="CY7" s="76">
        <f>IF(CN7&gt;0,CN7,"")</f>
        <v>16.29</v>
      </c>
      <c r="CZ7" s="76">
        <f>IF(SUM(CK7:CN7)-CO7&gt;0,SUM(CK7:CN7)-CO7,"")</f>
        <v>56.79</v>
      </c>
      <c r="DA7" s="76">
        <f>IF(SUM(CW7,CZ7)&gt;0,SUM(CW7,CZ7),"")</f>
        <v>113.2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>
        <v>13.8</v>
      </c>
      <c r="DE7" s="25">
        <v>9.1999999999999993</v>
      </c>
      <c r="DF7" s="25">
        <v>15.6</v>
      </c>
      <c r="DG7" s="25">
        <v>15.6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>IF(DF7&gt;0,DF7,"")</f>
        <v>15.6</v>
      </c>
      <c r="DY7" s="76">
        <f>IF(DG7&gt;0,DG7,"")</f>
        <v>15.6</v>
      </c>
      <c r="DZ7" s="76">
        <f>IF(SUM(DD7:DG7)-DH7&gt;0,SUM(DD7:DG7)-DH7,"")</f>
        <v>54.2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54.2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>
        <f>IF(SUM(ED7,EJ7)&gt;0,SUM(ED7,EJ7),"")</f>
        <v>54.2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>
        <v>13.3</v>
      </c>
      <c r="HC7" s="26">
        <v>9.4</v>
      </c>
      <c r="HD7" s="26">
        <v>16.2</v>
      </c>
      <c r="HE7" s="26">
        <v>15.25</v>
      </c>
      <c r="HF7" s="26">
        <v>0</v>
      </c>
      <c r="HG7" s="26">
        <v>13.8</v>
      </c>
      <c r="HH7" s="26">
        <v>9.3000000000000007</v>
      </c>
      <c r="HI7" s="26">
        <v>16.2</v>
      </c>
      <c r="HJ7" s="26">
        <v>15.32</v>
      </c>
      <c r="HK7" s="26">
        <v>0</v>
      </c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>
        <f>IF(HD7&gt;0,HD7,"")</f>
        <v>16.2</v>
      </c>
      <c r="HW7" s="16">
        <f>IF(HE7&gt;0,HE7,"")</f>
        <v>15.25</v>
      </c>
      <c r="HX7" s="16">
        <f>IF(SUM(HB7:HE7)-HF7&gt;0,SUM(HB7:HE7)-HF7,"")</f>
        <v>54.150000000000006</v>
      </c>
      <c r="HY7" s="16">
        <f>IF(HI7&gt;0,HI7,"")</f>
        <v>16.2</v>
      </c>
      <c r="HZ7" s="16">
        <f>IF(HJ7&gt;0,HJ7,"")</f>
        <v>15.32</v>
      </c>
      <c r="IA7" s="16">
        <f>IF(SUM(HG7:HJ7)-HK7&gt;0,SUM(HG7:HJ7)-HK7,"")</f>
        <v>54.62</v>
      </c>
      <c r="IB7" s="16">
        <f>IF(MAX(HX7,IA7)&gt;0,MAX(HX7,IA7),"")</f>
        <v>54.62</v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>
        <f>IF(SUM(IB7,IH7)&gt;0,SUM(IB7,IH7),"")</f>
        <v>54.62</v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>
        <v>14</v>
      </c>
      <c r="JS7" s="26">
        <v>9</v>
      </c>
      <c r="JT7" s="26">
        <v>15.8</v>
      </c>
      <c r="JU7" s="26">
        <v>15.32</v>
      </c>
      <c r="JV7" s="26">
        <v>0</v>
      </c>
      <c r="JW7" s="26">
        <v>13.8</v>
      </c>
      <c r="JX7" s="26">
        <v>9.5</v>
      </c>
      <c r="JY7" s="26">
        <v>15.8</v>
      </c>
      <c r="JZ7" s="26">
        <v>15.545</v>
      </c>
      <c r="KA7" s="26">
        <v>0</v>
      </c>
      <c r="KB7" s="26"/>
      <c r="KC7" s="26"/>
      <c r="KD7" s="26"/>
      <c r="KE7" s="26"/>
      <c r="KF7" s="26"/>
      <c r="KG7" s="26">
        <v>3</v>
      </c>
      <c r="KH7" s="26">
        <v>1.8</v>
      </c>
      <c r="KI7" s="26">
        <v>3.8</v>
      </c>
      <c r="KJ7" s="26">
        <v>3.45</v>
      </c>
      <c r="KK7" s="26">
        <v>0</v>
      </c>
      <c r="KL7" s="16">
        <f>IF(JT7&gt;0,JT7,"")</f>
        <v>15.8</v>
      </c>
      <c r="KM7" s="16">
        <f>IF(JU7&gt;0,JU7,"")</f>
        <v>15.32</v>
      </c>
      <c r="KN7" s="16">
        <f>IF(SUM(JR7:JU7)-JV7&gt;0,SUM(JR7:JU7)-JV7,"")</f>
        <v>54.12</v>
      </c>
      <c r="KO7" s="16">
        <f>IF(JY7&gt;0,JY7,"")</f>
        <v>15.8</v>
      </c>
      <c r="KP7" s="16">
        <f>IF(JZ7&gt;0,JZ7,"")</f>
        <v>15.545</v>
      </c>
      <c r="KQ7" s="16">
        <f>IF(SUM(JW7:JZ7)-KA7&gt;0,SUM(JW7:JZ7)-KA7,"")</f>
        <v>54.645000000000003</v>
      </c>
      <c r="KR7" s="16">
        <f>IF(MAX(KN7,KQ7)&gt;0,MAX(KN7,KQ7),"")</f>
        <v>54.645000000000003</v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>
        <f>IF(KI7&gt;0,KI7,"")</f>
        <v>3.8</v>
      </c>
      <c r="KW7" s="16">
        <f>IF(KJ7&gt;0,KJ7,"")</f>
        <v>3.45</v>
      </c>
      <c r="KX7" s="16">
        <f>IF(SUM(KG7:KJ7)-KK7&gt;0,SUM(KG7:KJ7)-KK7,"")</f>
        <v>12.05</v>
      </c>
      <c r="KY7" s="16">
        <f>IF(SUM(KR7,KX7)&gt;0,SUM(KR7,KX7),"")</f>
        <v>66.695000000000007</v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13.8</v>
      </c>
      <c r="SW7" s="42">
        <f>IF($CP7="P",CB7,(CB7+BA7)/2)</f>
        <v>9.1</v>
      </c>
      <c r="SX7" s="42">
        <f>IF($CP7="P",CC7,(CC7+BB7)/2)</f>
        <v>15.950000000000001</v>
      </c>
      <c r="SY7" s="42">
        <f>IF($CP7="P",CD7,(CD7+BC7)/2)</f>
        <v>15.95</v>
      </c>
      <c r="SZ7" s="42">
        <f>IF($CP7="P",CE7,(CE7+BD7)/2)</f>
        <v>0</v>
      </c>
      <c r="TA7" s="42">
        <f>IF($CP7="P",CF7,(CF7+BE7)/2)</f>
        <v>11.45</v>
      </c>
      <c r="TB7" s="42">
        <f>IF($CP7="P",CG7,(CG7+BF7)/2)</f>
        <v>7.5500000000000007</v>
      </c>
      <c r="TC7" s="42">
        <f>IF($CP7="P",CH7,(CH7+BG7)/2)</f>
        <v>13.45</v>
      </c>
      <c r="TD7" s="42">
        <f>IF($CP7="P",CI7,(CI7+BH7)/2)</f>
        <v>13.025</v>
      </c>
      <c r="TE7" s="42">
        <f>IF($CP7="P",CJ7,(CJ7+BI7)/2)</f>
        <v>0</v>
      </c>
      <c r="TF7" s="42">
        <f>IF($CP7="P",CK7,(CK7+BJ7)/2)</f>
        <v>14.7</v>
      </c>
      <c r="TG7" s="42">
        <f>IF($CP7="P",CL7,(CL7+BK7)/2)</f>
        <v>9.3000000000000007</v>
      </c>
      <c r="TH7" s="42">
        <f>IF($CP7="P",CM7,(CM7+BL7)/2)</f>
        <v>16.350000000000001</v>
      </c>
      <c r="TI7" s="42">
        <f>IF($CP7="P",CN7,(CN7+BM7)/2)</f>
        <v>16.11</v>
      </c>
      <c r="TJ7" s="42">
        <f>IF($CP7="P",CO7,(CO7+BN7)/2)</f>
        <v>0</v>
      </c>
      <c r="TK7" s="51" t="s">
        <v>58</v>
      </c>
      <c r="TL7" s="76">
        <f>IF(SX7&gt;0,SX7,"")</f>
        <v>15.950000000000001</v>
      </c>
      <c r="TM7" s="76">
        <f>IF(SY7&gt;0,SY7,"")</f>
        <v>15.95</v>
      </c>
      <c r="TN7" s="76">
        <f>IF(SUM(SV7:SY7)-SZ7&gt;0,SUM(SV7:SY7)-SZ7,"")</f>
        <v>54.8</v>
      </c>
      <c r="TO7" s="76">
        <f>IF(TC7&gt;0,TC7,"")</f>
        <v>13.45</v>
      </c>
      <c r="TP7" s="76">
        <f>IF(TD7&gt;0,TD7,"")</f>
        <v>13.025</v>
      </c>
      <c r="TQ7" s="76">
        <f>IF(SUM(TA7:TD7)-TE7&gt;0,SUM(TA7:TD7)-TE7,"")</f>
        <v>45.475000000000001</v>
      </c>
      <c r="TR7" s="76">
        <f>IF(MAX(TN7,TQ7)&gt;0,MAX(TN7,TQ7),"")</f>
        <v>54.8</v>
      </c>
      <c r="TS7" s="76">
        <f>IF(TH7&gt;0,TH7,"")</f>
        <v>16.350000000000001</v>
      </c>
      <c r="TT7" s="76">
        <f>IF(TI7&gt;0,TI7,"")</f>
        <v>16.11</v>
      </c>
      <c r="TU7" s="76">
        <f>IF(SUM(TF7:TI7)-TJ7&gt;0,SUM(TF7:TI7)-TJ7,"")</f>
        <v>56.46</v>
      </c>
      <c r="TV7" s="76">
        <f>IF(SUM(TR7,TU7)&gt;0,SUM(TR7,TU7),"")</f>
        <v>111.25999999999999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92</v>
      </c>
      <c r="C8" s="7" t="s">
        <v>6</v>
      </c>
      <c r="D8" s="5">
        <v>2003</v>
      </c>
      <c r="E8" s="14">
        <f>SUM(J8:V8)+SUM(J8:T8)*0.0000001+SUM(J8)*0.0000000000001</f>
        <v>223.57002235700551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DZ8&gt;=EK$29,DZ8&lt;&gt;""),AND(EC8&gt;=EK$29,EC8&lt;&gt;""),AND(EG8&gt;=EK$29,EG8&lt;&gt;""),AND(EJ8&gt;=EK$29,EJ8&lt;&gt;""),AND(FH8&gt;=FS$29,FH8&lt;&gt;""),AND(FK8&gt;=FS$29,FK8&lt;&gt;""),AND(FO8&gt;=FS$29,FO8&lt;&gt;""),AND(FR8&gt;=FS$29,FR8&lt;&gt;""),AND(GP8&gt;=HA$29,GP8&lt;&gt;""),AND(GS8&gt;=HA$29,GS8&lt;&gt;""),AND(GW8&gt;=HA$29,GW8&lt;&gt;""),AND(GZ8&gt;=HA$29,GZ8&lt;&gt;""),AND(HX8&gt;=II$29,HX8&lt;&gt;""),AND(IA8&gt;=II$29,IA8&lt;&gt;""),AND(IE8&gt;=II$29,IE8&lt;&gt;""),AND(IH8&gt;=II$29,IH8&lt;&gt;""),AND(JF8&gt;=JQ$29,JF8&lt;&gt;""),AND(JI8&gt;=JQ$29,JI8&lt;&gt;""),AND(JM8&gt;=JQ$29,JM8&lt;&gt;""),AND(JP8&gt;=JQ$29,JP8&lt;&gt;""),AND(KN8&gt;=KY$29,KN8&lt;&gt;""),AND(KQ8&gt;=KY$29,KQ8&lt;&gt;""),AND(KU8&gt;=KY$29,KU8&lt;&gt;""),AND(KX8&gt;=KY$29,KX8&lt;&gt;""),AND(LV8&gt;=MG$29,LV8&lt;&gt;""),AND(LY8&gt;=MG$29,LY8&lt;&gt;""),AND(MC8&gt;=MG$29,MC8&lt;&gt;""),AND(MF8&gt;=MG$29,MF8&lt;&gt;""),AND(ND8&gt;=NO$29,ND8&lt;&gt;""),AND(NG8&gt;=NO$29,NG8&lt;&gt;""),AND(NK8&gt;=NO$29,NK8&lt;&gt;""),AND(NN8&gt;=NO$29,NN8&lt;&gt;""),AND(OL8&gt;=OW$29,OL8&lt;&gt;""),AND(OO8&gt;=OW$29,OO8&lt;&gt;""),AND(OS8&gt;=OW$29,OS8&lt;&gt;""),AND(OV8&gt;=OW$29,OV8&lt;&gt;""),AND(PT8&gt;=QE$29,PT8&lt;&gt;""),AND(PW8&gt;=QE$29,PW8&lt;&gt;""),AND(QA8&gt;=QE$29,QA8&lt;&gt;""),AND(QD8&gt;=QE$29,QD8&lt;&gt;""),AND(RB8&gt;=RM$29,RB8&lt;&gt;""),AND(RE8&gt;=RM$29,RE8&lt;&gt;""),AND(RI8&gt;=RM$29,RI8&lt;&gt;""),AND(RL8&gt;=RM$29,RL8&lt;&gt;""),AND(SJ8&gt;=SU$29,SJ8&lt;&gt;""),AND(SM8&gt;=SU$29,SM8&lt;&gt;""),AND(SQ8&gt;=SU$29,SQ8&lt;&gt;""),AND(ST8&gt;=SU$29,ST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Excellence",IF(I8="P","Worlds Team",IF(F8="P","National Team","")))))</f>
        <v>National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/>
      </c>
      <c r="J8" s="13">
        <f>IF(COUNT(AQ8,AT8,BR8,BU8,CS8,CV8)&gt;0,LARGE((AQ8,AT8,BR8,BU8,CS8,CV8),1),0)</f>
        <v>54.739999999999995</v>
      </c>
      <c r="K8" s="13" t="str">
        <f>IF(J8="","",IF(OR(J8=CS8,J8=CV8),$CA$1,IF(OR(J8=BR8,J8=BU8),$AZ$1,IF(OR(J8=AQ8,J8=AT8),$Y$1,""))))</f>
        <v>2022 3rd Domestic Trial</v>
      </c>
      <c r="L8" s="13">
        <f>IF(COUNT(AQ8,AT8,BR8,BU8,CS8,CV8)&gt;1,LARGE((AQ8,AT8,BR8,BU8,CS8,CV8),2),0)</f>
        <v>53.48</v>
      </c>
      <c r="M8" s="13" t="str">
        <f>IF(L8="","",IF(OR(L8=CS8,L8=CV8),$CA$1,IF(OR(L8=BR8,L8=BU8),$AZ$1,IF(OR(L8=AQ8,L8=AT8),$Y$1,""))))</f>
        <v>2022 Nationals</v>
      </c>
      <c r="N8" s="13">
        <f>IF(COUNT(AQ8,AT8,BR8,BU8,CS8,CV8)&gt;2,LARGE((AQ8,AT8,BR8,BU8,CS8,CV8),3),0)</f>
        <v>28.41</v>
      </c>
      <c r="O8" s="13" t="str">
        <f>IF(N8="","",IF(OR(N8=CS8,N8=CV8),$CA$1,IF(OR(N8=BR8,N8=BU8),$AZ$1,IF(OR(N8=AQ8,N8=AT8),$Y$1,""))))</f>
        <v>2022 3rd Domestic Trial</v>
      </c>
      <c r="P8" s="13">
        <f>IF(MAX(AX8,BY8,CZ8)&gt;0,MAX(AX8,BY8,CZ8),0)</f>
        <v>54.870000000000005</v>
      </c>
      <c r="Q8" s="13" t="str">
        <f>IF(P8="","",IF(P8=CZ8,$CA$1,IF(P8=BY8,$AZ$1,IF(P8=AX8,$Y$1,""))))</f>
        <v>2022 3rd Domestic Trial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3rd Domestic Trial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,IF(DX8&gt;=$EK$25,DY8,0),IF(EA8&gt;=$EK$25,EB8,0),IF(EE8&gt;=$EK$25,EF8,0),IF(EH8&gt;=$EK$25,EI8,0),IF(FF8&gt;=$FS$25,FG8,0),IF(FI8&gt;=$FS$25,FJ8,0),IF(FM8&gt;=$FS$25,FN8,0),IF(FP8&gt;=$FS$25,FQ8,0),IF(GN8&gt;=$HA$25,GO8,0),IF(GQ8&gt;=$HA$25,GR8,0),IF(GU8&gt;=$HA$25,GV8,0),IF(GX8&gt;=$HA$25,GY8,0),IF(HV8&gt;=$II$25,HW8,0),IF(HY8&gt;=$II$25,HZ8,0),IF(IC8&gt;=$II$25,ID8,0),IF(IF8&gt;=$II$25,IG8,0),IF(JD8&gt;=$JQ$25,JE8,0),IF(JG8&gt;=$JQ$25,JH8,0),IF(JK8&gt;=$JQ$25,JL8,0),IF(JN8&gt;=$JQ$25,JO8,0),IF(KL8&gt;=$KY$25,KM8,0),IF(KO8&gt;=$KY$25,KP8,0),IF(KS8&gt;=$KY$25,KT8,0),IF(KV8&gt;=$KY$25,KW8,0),IF(LT8&gt;=$MG$25,LU8,0),IF(LW8&gt;=$MG$25,LX8,0),IF(MA8&gt;=$MG$25,MB8,0),IF(MD8&gt;=$MG$25,ME8,0),IF(NB8&gt;=$NO$25,NC8,0),IF(NE8&gt;=$NO$25,NF8,0),IF(NI8&gt;=$NO$25,NJ8,0),IF(NL8&gt;=$NO$25,NM8,0),IF(OJ8&gt;=$OW$25,OK8,0),IF(OM8&gt;=$OW$25,ON8,0),IF(OQ8&gt;=$OW$25,OR8,0),IF(OT8&gt;=$OW$25,OU8,0),IF(PR8&gt;=$QE$25,PS8,0),IF(PU8&gt;=$QE$25,PV8,0),IF(PY8&gt;=$QE$25,PZ8,0),IF(QB8&gt;=$QE$25,QC8,0),IF(QZ8&gt;=$RM$25,RA8,0),IF(RC8&gt;=$RM$25,RD8,0),IF(RG8&gt;=$RM$25,RH8,0),IF(RJ8&gt;=$RM$25,RK8,0),IF(SH8&gt;=$SU$25,SI8,0),IF(SK8&gt;=$SU$25,SL8,0),IF(SO8&gt;=$SU$25,SP8,0),IF(SR8&gt;=$SU$25,SS8,0)),0)</f>
        <v>16.27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51"/>
      <c r="AO8" s="74" t="str">
        <f>IF(AA8&gt;0,AA8,"")</f>
        <v/>
      </c>
      <c r="AP8" s="74" t="str">
        <f>IF(AB8&gt;0,AB8,"")</f>
        <v/>
      </c>
      <c r="AQ8" s="76" t="str">
        <f>IF(SUM(Y8:AB8)-AC8&gt;0,SUM(Y8:AB8)-AC8,"")</f>
        <v/>
      </c>
      <c r="AR8" s="76" t="str">
        <f>IF(AF8&gt;0,AF8,"")</f>
        <v/>
      </c>
      <c r="AS8" s="76" t="str">
        <f>IF(AG8&gt;0,AG8,"")</f>
        <v/>
      </c>
      <c r="AT8" s="76" t="str">
        <f>IF(SUM(AD8:AG8)-AH8&gt;0,SUM(AD8:AG8)-AH8,"")</f>
        <v/>
      </c>
      <c r="AU8" s="76" t="str">
        <f>IF(AQ8="","",MAX(AQ8,AT8))</f>
        <v/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 t="str">
        <f>IF(SUM(AU8,AX8)&gt;0,SUM(AU8,AX8),"")</f>
        <v/>
      </c>
      <c r="AZ8" s="46">
        <v>15.2</v>
      </c>
      <c r="BA8" s="46">
        <v>9.1999999999999993</v>
      </c>
      <c r="BB8" s="46">
        <v>13.1</v>
      </c>
      <c r="BC8" s="46">
        <v>16.38</v>
      </c>
      <c r="BD8" s="46">
        <v>0.4</v>
      </c>
      <c r="BE8" s="46">
        <v>6.4</v>
      </c>
      <c r="BF8" s="46">
        <v>3.9</v>
      </c>
      <c r="BG8" s="46">
        <v>6.9</v>
      </c>
      <c r="BH8" s="46">
        <v>6.87</v>
      </c>
      <c r="BI8" s="46">
        <v>0</v>
      </c>
      <c r="BJ8" s="46">
        <v>15</v>
      </c>
      <c r="BK8" s="46">
        <v>8.9</v>
      </c>
      <c r="BL8" s="46">
        <v>13.7</v>
      </c>
      <c r="BM8" s="46">
        <v>15.99</v>
      </c>
      <c r="BN8" s="46">
        <v>0</v>
      </c>
      <c r="BO8" s="52"/>
      <c r="BP8" s="75">
        <f>IF(BB8&gt;0,BB8,"")</f>
        <v>13.1</v>
      </c>
      <c r="BQ8" s="75">
        <f>IF(BC8&gt;0,BC8,"")</f>
        <v>16.38</v>
      </c>
      <c r="BR8" s="16">
        <f>IF(SUM(AZ8:BC8)-BD8&gt;0,SUM(AZ8:BC8)-BD8,"")</f>
        <v>53.48</v>
      </c>
      <c r="BS8" s="16">
        <f>IF(BG8&gt;0,BG8,"")</f>
        <v>6.9</v>
      </c>
      <c r="BT8" s="16">
        <f>IF(BH8&gt;0,BH8,"")</f>
        <v>6.87</v>
      </c>
      <c r="BU8" s="16">
        <f>IF(SUM(BE8:BH8)-BI8&gt;0,SUM(BE8:BH8)-BI8,"")</f>
        <v>24.070000000000004</v>
      </c>
      <c r="BV8" s="16">
        <f>IF(BR8="","",MAX(BR8,BU8))</f>
        <v>53.48</v>
      </c>
      <c r="BW8" s="16">
        <f>IF(BL8&gt;0,BL8,"")</f>
        <v>13.7</v>
      </c>
      <c r="BX8" s="16">
        <f>IF(BM8&gt;0,BM8,"")</f>
        <v>15.99</v>
      </c>
      <c r="BY8" s="16">
        <f>IF(SUM(BJ8:BM8)-BN8&gt;0,SUM(BJ8:BM8)-BN8,"")</f>
        <v>53.589999999999996</v>
      </c>
      <c r="BZ8" s="16">
        <f>IF(SUM(BV8,BY8)&gt;0,SUM(BV8,BY8),"")</f>
        <v>107.07</v>
      </c>
      <c r="CA8" s="42">
        <v>14.02</v>
      </c>
      <c r="CB8" s="42">
        <v>9</v>
      </c>
      <c r="CC8" s="42">
        <v>15.8</v>
      </c>
      <c r="CD8" s="42">
        <v>16.12</v>
      </c>
      <c r="CE8" s="42">
        <v>0.2</v>
      </c>
      <c r="CF8" s="42">
        <v>6.6</v>
      </c>
      <c r="CG8" s="42">
        <v>4.8</v>
      </c>
      <c r="CH8" s="42">
        <v>8.6</v>
      </c>
      <c r="CI8" s="42">
        <v>8.41</v>
      </c>
      <c r="CJ8" s="42">
        <v>0</v>
      </c>
      <c r="CK8" s="42">
        <v>14</v>
      </c>
      <c r="CL8" s="42">
        <v>8.8000000000000007</v>
      </c>
      <c r="CM8" s="42">
        <v>15.8</v>
      </c>
      <c r="CN8" s="42">
        <v>16.27</v>
      </c>
      <c r="CO8" s="42">
        <v>0</v>
      </c>
      <c r="CP8" s="51"/>
      <c r="CQ8" s="74">
        <f>IF(CC8&gt;0,CC8,"")</f>
        <v>15.8</v>
      </c>
      <c r="CR8" s="74">
        <f>IF(CD8&gt;0,CD8,"")</f>
        <v>16.12</v>
      </c>
      <c r="CS8" s="76">
        <f>IF(SUM(CA8:CD8)-CE8&gt;0,SUM(CA8:CD8)-CE8,"")</f>
        <v>54.739999999999995</v>
      </c>
      <c r="CT8" s="76">
        <f>IF(CH8&gt;0,CH8,"")</f>
        <v>8.6</v>
      </c>
      <c r="CU8" s="76">
        <f>IF(CI8&gt;0,CI8,"")</f>
        <v>8.41</v>
      </c>
      <c r="CV8" s="76">
        <f>IF(SUM(CF8:CI8)-CJ8&gt;0,SUM(CF8:CI8)-CJ8,"")</f>
        <v>28.41</v>
      </c>
      <c r="CW8" s="76">
        <f>IF(CS8="","",MAX(CS8,CV8))</f>
        <v>54.739999999999995</v>
      </c>
      <c r="CX8" s="76">
        <f>IF(CM8&gt;0,CM8,"")</f>
        <v>15.8</v>
      </c>
      <c r="CY8" s="76">
        <f>IF(CN8&gt;0,CN8,"")</f>
        <v>16.27</v>
      </c>
      <c r="CZ8" s="76">
        <f>IF(SUM(CK8:CN8)-CO8&gt;0,SUM(CK8:CN8)-CO8,"")</f>
        <v>54.870000000000005</v>
      </c>
      <c r="DA8" s="76">
        <f>IF(SUM(CW8,CZ8)&gt;0,SUM(CW8,CZ8),"")</f>
        <v>109.61</v>
      </c>
      <c r="DB8" s="87" t="str">
        <f>IF(N8&gt;=0.001,IF(MAX(ED8,FL8,GT8,IB8,JJ8,KR8,LZ8,NH8,OP8,PX8,RF8,SN8)-IF(N8="",0,N8)&gt;0.001,MAX(ED8,FL8,GT8,IB8,JJ8,KR8,LZ8,NH8,OP8,PX8,RF8,SN8)-IF(N8="",0,N8),""),"")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14.61</v>
      </c>
      <c r="SW8" s="42">
        <f>IF($CP8="P",CB8,(CB8+BA8)/2)</f>
        <v>9.1</v>
      </c>
      <c r="SX8" s="42">
        <f>IF($CP8="P",CC8,(CC8+BB8)/2)</f>
        <v>14.45</v>
      </c>
      <c r="SY8" s="42">
        <f>IF($CP8="P",CD8,(CD8+BC8)/2)</f>
        <v>16.25</v>
      </c>
      <c r="SZ8" s="42">
        <f>IF($CP8="P",CE8,(CE8+BD8)/2)</f>
        <v>0.30000000000000004</v>
      </c>
      <c r="TA8" s="42">
        <f>IF($CP8="P",CF8,(CF8+BE8)/2)</f>
        <v>6.5</v>
      </c>
      <c r="TB8" s="42">
        <f>IF($CP8="P",CG8,(CG8+BF8)/2)</f>
        <v>4.3499999999999996</v>
      </c>
      <c r="TC8" s="42">
        <f>IF($CP8="P",CH8,(CH8+BG8)/2)</f>
        <v>7.75</v>
      </c>
      <c r="TD8" s="42">
        <f>IF($CP8="P",CI8,(CI8+BH8)/2)</f>
        <v>7.6400000000000006</v>
      </c>
      <c r="TE8" s="42">
        <f>IF($CP8="P",CJ8,(CJ8+BI8)/2)</f>
        <v>0</v>
      </c>
      <c r="TF8" s="42">
        <f>IF($CP8="P",CK8,(CK8+BJ8)/2)</f>
        <v>14.5</v>
      </c>
      <c r="TG8" s="42">
        <f>IF($CP8="P",CL8,(CL8+BK8)/2)</f>
        <v>8.8500000000000014</v>
      </c>
      <c r="TH8" s="42">
        <f>IF($CP8="P",CM8,(CM8+BL8)/2)</f>
        <v>14.75</v>
      </c>
      <c r="TI8" s="42">
        <f>IF($CP8="P",CN8,(CN8+BM8)/2)</f>
        <v>16.13</v>
      </c>
      <c r="TJ8" s="42">
        <f>IF($CP8="P",CO8,(CO8+BN8)/2)</f>
        <v>0</v>
      </c>
      <c r="TK8" s="51" t="s">
        <v>58</v>
      </c>
      <c r="TL8" s="76">
        <f>IF(SX8&gt;0,SX8,"")</f>
        <v>14.45</v>
      </c>
      <c r="TM8" s="76">
        <f>IF(SY8&gt;0,SY8,"")</f>
        <v>16.25</v>
      </c>
      <c r="TN8" s="76">
        <f>IF(SUM(SV8:SY8)-SZ8&gt;0,SUM(SV8:SY8)-SZ8,"")</f>
        <v>54.11</v>
      </c>
      <c r="TO8" s="76">
        <f>IF(TC8&gt;0,TC8,"")</f>
        <v>7.75</v>
      </c>
      <c r="TP8" s="76">
        <f>IF(TD8&gt;0,TD8,"")</f>
        <v>7.6400000000000006</v>
      </c>
      <c r="TQ8" s="76">
        <f>IF(SUM(TA8:TD8)-TE8&gt;0,SUM(TA8:TD8)-TE8,"")</f>
        <v>26.240000000000002</v>
      </c>
      <c r="TR8" s="76">
        <f>IF(MAX(TN8,TQ8)&gt;0,MAX(TN8,TQ8),"")</f>
        <v>54.11</v>
      </c>
      <c r="TS8" s="76">
        <f>IF(TH8&gt;0,TH8,"")</f>
        <v>14.75</v>
      </c>
      <c r="TT8" s="76">
        <f>IF(TI8&gt;0,TI8,"")</f>
        <v>16.13</v>
      </c>
      <c r="TU8" s="76">
        <f>IF(SUM(TF8:TI8)-TJ8&gt;0,SUM(TF8:TI8)-TJ8,"")</f>
        <v>54.230000000000004</v>
      </c>
      <c r="TV8" s="76">
        <f>IF(SUM(TR8,TU8)&gt;0,SUM(TR8,TU8),"")</f>
        <v>108.34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97</v>
      </c>
      <c r="C9" s="7" t="s">
        <v>3</v>
      </c>
      <c r="D9" s="5">
        <v>1988</v>
      </c>
      <c r="E9" s="14">
        <f>SUM(J9:V9)+SUM(J9:T9)*0.0000001+SUM(J9)*0.0000000000001</f>
        <v>204.14501680750556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DZ9&gt;=EK$29,DZ9&lt;&gt;""),AND(EC9&gt;=EK$29,EC9&lt;&gt;""),AND(EG9&gt;=EK$29,EG9&lt;&gt;""),AND(EJ9&gt;=EK$29,EJ9&lt;&gt;""),AND(FH9&gt;=FS$29,FH9&lt;&gt;""),AND(FK9&gt;=FS$29,FK9&lt;&gt;""),AND(FO9&gt;=FS$29,FO9&lt;&gt;""),AND(FR9&gt;=FS$29,FR9&lt;&gt;""),AND(GP9&gt;=HA$29,GP9&lt;&gt;""),AND(GS9&gt;=HA$29,GS9&lt;&gt;""),AND(GW9&gt;=HA$29,GW9&lt;&gt;""),AND(GZ9&gt;=HA$29,GZ9&lt;&gt;""),AND(HX9&gt;=II$29,HX9&lt;&gt;""),AND(IA9&gt;=II$29,IA9&lt;&gt;""),AND(IE9&gt;=II$29,IE9&lt;&gt;""),AND(IH9&gt;=II$29,IH9&lt;&gt;""),AND(JF9&gt;=JQ$29,JF9&lt;&gt;""),AND(JI9&gt;=JQ$29,JI9&lt;&gt;""),AND(JM9&gt;=JQ$29,JM9&lt;&gt;""),AND(JP9&gt;=JQ$29,JP9&lt;&gt;""),AND(KN9&gt;=KY$29,KN9&lt;&gt;""),AND(KQ9&gt;=KY$29,KQ9&lt;&gt;""),AND(KU9&gt;=KY$29,KU9&lt;&gt;""),AND(KX9&gt;=KY$29,KX9&lt;&gt;""),AND(LV9&gt;=MG$29,LV9&lt;&gt;""),AND(LY9&gt;=MG$29,LY9&lt;&gt;""),AND(MC9&gt;=MG$29,MC9&lt;&gt;""),AND(MF9&gt;=MG$29,MF9&lt;&gt;""),AND(ND9&gt;=NO$29,ND9&lt;&gt;""),AND(NG9&gt;=NO$29,NG9&lt;&gt;""),AND(NK9&gt;=NO$29,NK9&lt;&gt;""),AND(NN9&gt;=NO$29,NN9&lt;&gt;""),AND(OL9&gt;=OW$29,OL9&lt;&gt;""),AND(OO9&gt;=OW$29,OO9&lt;&gt;""),AND(OS9&gt;=OW$29,OS9&lt;&gt;""),AND(OV9&gt;=OW$29,OV9&lt;&gt;""),AND(PT9&gt;=QE$29,PT9&lt;&gt;""),AND(PW9&gt;=QE$29,PW9&lt;&gt;""),AND(QA9&gt;=QE$29,QA9&lt;&gt;""),AND(QD9&gt;=QE$29,QD9&lt;&gt;""),AND(RB9&gt;=RM$29,RB9&lt;&gt;""),AND(RE9&gt;=RM$29,RE9&lt;&gt;""),AND(RI9&gt;=RM$29,RI9&lt;&gt;""),AND(RL9&gt;=RM$29,RL9&lt;&gt;""),AND(SJ9&gt;=SU$29,SJ9&lt;&gt;""),AND(SM9&gt;=SU$29,SM9&lt;&gt;""),AND(SQ9&gt;=SU$29,SQ9&lt;&gt;""),AND(ST9&gt;=SU$29,ST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J9" s="13">
        <f>IF(COUNT(AQ9,AT9,BR9,BU9,CS9,CV9)&gt;0,LARGE((AQ9,AT9,BR9,BU9,CS9,CV9),1),0)</f>
        <v>55.295000000000002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22.31</v>
      </c>
      <c r="M9" s="13" t="str">
        <f>IF(L9="","",IF(OR(L9=CS9,L9=CV9),$CA$1,IF(OR(L9=BR9,L9=BU9),$AZ$1,IF(OR(L9=AQ9,L9=AT9),$Y$1,""))))</f>
        <v>2022 Nationals</v>
      </c>
      <c r="N9" s="13">
        <f>IF(COUNT(AQ9,AT9,BR9,BU9,CS9,CV9)&gt;2,LARGE((AQ9,AT9,BR9,BU9,CS9,CV9),3),0)</f>
        <v>16.079999999999998</v>
      </c>
      <c r="O9" s="13" t="str">
        <f>IF(N9="","",IF(OR(N9=CS9,N9=CV9),$CA$1,IF(OR(N9=BR9,N9=BU9),$AZ$1,IF(OR(N9=AQ9,N9=AT9),$Y$1,""))))</f>
        <v>2022 Nationals</v>
      </c>
      <c r="P9" s="13">
        <f>IF(MAX(AX9,BY9,CZ9)&gt;0,MAX(AX9,BY9,CZ9),0)</f>
        <v>43.594999999999999</v>
      </c>
      <c r="Q9" s="13" t="str">
        <f>IF(P9="","",IF(P9=CZ9,$CA$1,IF(P9=BY9,$AZ$1,IF(P9=AX9,$Y$1,""))))</f>
        <v>2022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,IF(DX9&gt;=$EK$25,DY9,0),IF(EA9&gt;=$EK$25,EB9,0),IF(EE9&gt;=$EK$25,EF9,0),IF(EH9&gt;=$EK$25,EI9,0),IF(FF9&gt;=$FS$25,FG9,0),IF(FI9&gt;=$FS$25,FJ9,0),IF(FM9&gt;=$FS$25,FN9,0),IF(FP9&gt;=$FS$25,FQ9,0),IF(GN9&gt;=$HA$25,GO9,0),IF(GQ9&gt;=$HA$25,GR9,0),IF(GU9&gt;=$HA$25,GV9,0),IF(GX9&gt;=$HA$25,GY9,0),IF(HV9&gt;=$II$25,HW9,0),IF(HY9&gt;=$II$25,HZ9,0),IF(IC9&gt;=$II$25,ID9,0),IF(IF9&gt;=$II$25,IG9,0),IF(JD9&gt;=$JQ$25,JE9,0),IF(JG9&gt;=$JQ$25,JH9,0),IF(JK9&gt;=$JQ$25,JL9,0),IF(JN9&gt;=$JQ$25,JO9,0),IF(KL9&gt;=$KY$25,KM9,0),IF(KO9&gt;=$KY$25,KP9,0),IF(KS9&gt;=$KY$25,KT9,0),IF(KV9&gt;=$KY$25,KW9,0),IF(LT9&gt;=$MG$25,LU9,0),IF(LW9&gt;=$MG$25,LX9,0),IF(MA9&gt;=$MG$25,MB9,0),IF(MD9&gt;=$MG$25,ME9,0),IF(NB9&gt;=$NO$25,NC9,0),IF(NE9&gt;=$NO$25,NF9,0),IF(NI9&gt;=$NO$25,NJ9,0),IF(NL9&gt;=$NO$25,NM9,0),IF(OJ9&gt;=$OW$25,OK9,0),IF(OM9&gt;=$OW$25,ON9,0),IF(OQ9&gt;=$OW$25,OR9,0),IF(OT9&gt;=$OW$25,OU9,0),IF(PR9&gt;=$QE$25,PS9,0),IF(PU9&gt;=$QE$25,PV9,0),IF(PY9&gt;=$QE$25,PZ9,0),IF(QB9&gt;=$QE$25,QC9,0),IF(QZ9&gt;=$RM$25,RA9,0),IF(RC9&gt;=$RM$25,RD9,0),IF(RG9&gt;=$RM$25,RH9,0),IF(RJ9&gt;=$RM$25,RK9,0),IF(SH9&gt;=$SU$25,SI9,0),IF(SK9&gt;=$SU$25,SL9,0),IF(SO9&gt;=$SU$25,SP9,0),IF(SR9&gt;=$SU$25,SS9,0)),0)</f>
        <v>15.395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Elite Canada</v>
      </c>
      <c r="V9" s="13">
        <f>IF(MAX(DB9,DC9)&gt;0,MAX(DB9,DC9),"")</f>
        <v>36.07</v>
      </c>
      <c r="W9" s="16" t="str">
        <f>IF(V9="","",IF(V9=DB9,"("&amp;DB$2&amp;")",IF(V9=DC9,"("&amp;DC$2&amp;")")))</f>
        <v>(Prelim)</v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Pan Am Championships (June 28)</v>
      </c>
      <c r="Y9" s="42">
        <v>15.4</v>
      </c>
      <c r="Z9" s="42">
        <v>9.1</v>
      </c>
      <c r="AA9" s="42">
        <v>15.4</v>
      </c>
      <c r="AB9" s="42">
        <v>15.395</v>
      </c>
      <c r="AC9" s="42">
        <v>0</v>
      </c>
      <c r="AD9" s="42">
        <v>3</v>
      </c>
      <c r="AE9" s="42">
        <v>1.8</v>
      </c>
      <c r="AF9" s="42">
        <v>3.4</v>
      </c>
      <c r="AG9" s="42">
        <v>3.3</v>
      </c>
      <c r="AH9" s="42">
        <v>0</v>
      </c>
      <c r="AI9" s="42">
        <v>11.6</v>
      </c>
      <c r="AJ9" s="42">
        <v>7.1</v>
      </c>
      <c r="AK9" s="42">
        <v>12.3</v>
      </c>
      <c r="AL9" s="42">
        <v>12.595000000000001</v>
      </c>
      <c r="AM9" s="42">
        <v>0</v>
      </c>
      <c r="AN9" s="51"/>
      <c r="AO9" s="74">
        <f>IF(AA9&gt;0,AA9,"")</f>
        <v>15.4</v>
      </c>
      <c r="AP9" s="74">
        <f>IF(AB9&gt;0,AB9,"")</f>
        <v>15.395</v>
      </c>
      <c r="AQ9" s="76">
        <f>IF(SUM(Y9:AB9)-AC9&gt;0,SUM(Y9:AB9)-AC9,"")</f>
        <v>55.295000000000002</v>
      </c>
      <c r="AR9" s="76">
        <f>IF(AF9&gt;0,AF9,"")</f>
        <v>3.4</v>
      </c>
      <c r="AS9" s="76">
        <f>IF(AG9&gt;0,AG9,"")</f>
        <v>3.3</v>
      </c>
      <c r="AT9" s="76">
        <f>IF(SUM(AD9:AG9)-AH9&gt;0,SUM(AD9:AG9)-AH9,"")</f>
        <v>11.5</v>
      </c>
      <c r="AU9" s="76">
        <f>IF(AQ9="","",MAX(AQ9,AT9))</f>
        <v>55.295000000000002</v>
      </c>
      <c r="AV9" s="76">
        <f>IF(AK9&gt;0,AK9,"")</f>
        <v>12.3</v>
      </c>
      <c r="AW9" s="76">
        <f>IF(AL9&gt;0,AL9,"")</f>
        <v>12.595000000000001</v>
      </c>
      <c r="AX9" s="76">
        <f>IF(SUM(AI9:AL9)-AM9&gt;0,SUM(AI9:AL9)-AM9,"")</f>
        <v>43.594999999999999</v>
      </c>
      <c r="AY9" s="76">
        <f>IF(SUM(AU9,AX9)&gt;0,SUM(AU9,AX9),"")</f>
        <v>98.89</v>
      </c>
      <c r="AZ9" s="46">
        <v>3.9</v>
      </c>
      <c r="BA9" s="46">
        <v>2.4</v>
      </c>
      <c r="BB9" s="46">
        <v>5.0999999999999996</v>
      </c>
      <c r="BC9" s="46">
        <v>4.68</v>
      </c>
      <c r="BD9" s="46">
        <v>0</v>
      </c>
      <c r="BE9" s="46">
        <v>5.5</v>
      </c>
      <c r="BF9" s="46">
        <v>3.8</v>
      </c>
      <c r="BG9" s="46">
        <v>6.7</v>
      </c>
      <c r="BH9" s="46">
        <v>6.31</v>
      </c>
      <c r="BI9" s="46">
        <v>0</v>
      </c>
      <c r="BJ9" s="46"/>
      <c r="BK9" s="46"/>
      <c r="BL9" s="46"/>
      <c r="BM9" s="46"/>
      <c r="BN9" s="46"/>
      <c r="BO9" s="52"/>
      <c r="BP9" s="75">
        <f>IF(BB9&gt;0,BB9,"")</f>
        <v>5.0999999999999996</v>
      </c>
      <c r="BQ9" s="75">
        <f>IF(BC9&gt;0,BC9,"")</f>
        <v>4.68</v>
      </c>
      <c r="BR9" s="16">
        <f>IF(SUM(AZ9:BC9)-BD9&gt;0,SUM(AZ9:BC9)-BD9,"")</f>
        <v>16.079999999999998</v>
      </c>
      <c r="BS9" s="16">
        <f>IF(BG9&gt;0,BG9,"")</f>
        <v>6.7</v>
      </c>
      <c r="BT9" s="16">
        <f>IF(BH9&gt;0,BH9,"")</f>
        <v>6.31</v>
      </c>
      <c r="BU9" s="16">
        <f>IF(SUM(BE9:BH9)-BI9&gt;0,SUM(BE9:BH9)-BI9,"")</f>
        <v>22.31</v>
      </c>
      <c r="BV9" s="16">
        <f>IF(BR9="","",MAX(BR9,BU9))</f>
        <v>22.31</v>
      </c>
      <c r="BW9" s="16" t="str">
        <f>IF(BL9&gt;0,BL9,"")</f>
        <v/>
      </c>
      <c r="BX9" s="16" t="str">
        <f>IF(BM9&gt;0,BM9,"")</f>
        <v/>
      </c>
      <c r="BY9" s="16" t="str">
        <f>IF(SUM(BJ9:BM9)-BN9&gt;0,SUM(BJ9:BM9)-BN9,"")</f>
        <v/>
      </c>
      <c r="BZ9" s="16">
        <f>IF(SUM(BV9,BY9)&gt;0,SUM(BV9,BY9),"")</f>
        <v>22.31</v>
      </c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51"/>
      <c r="CQ9" s="74" t="str">
        <f>IF(CC9&gt;0,CC9,"")</f>
        <v/>
      </c>
      <c r="CR9" s="74" t="str">
        <f>IF(CD9&gt;0,CD9,"")</f>
        <v/>
      </c>
      <c r="CS9" s="76" t="str">
        <f>IF(SUM(CA9:CD9)-CE9&gt;0,SUM(CA9:CD9)-CE9,"")</f>
        <v/>
      </c>
      <c r="CT9" s="76" t="str">
        <f>IF(CH9&gt;0,CH9,"")</f>
        <v/>
      </c>
      <c r="CU9" s="76" t="str">
        <f>IF(CI9&gt;0,CI9,"")</f>
        <v/>
      </c>
      <c r="CV9" s="76" t="str">
        <f>IF(SUM(CF9:CI9)-CJ9&gt;0,SUM(CF9:CI9)-CJ9,"")</f>
        <v/>
      </c>
      <c r="CW9" s="76" t="str">
        <f>IF(CS9="","",MAX(CS9,CV9))</f>
        <v/>
      </c>
      <c r="CX9" s="76" t="str">
        <f>IF(CM9&gt;0,CM9,"")</f>
        <v/>
      </c>
      <c r="CY9" s="76" t="str">
        <f>IF(CN9&gt;0,CN9,"")</f>
        <v/>
      </c>
      <c r="CZ9" s="76" t="str">
        <f>IF(SUM(CK9:CN9)-CO9&gt;0,SUM(CK9:CN9)-CO9,"")</f>
        <v/>
      </c>
      <c r="DA9" s="76" t="str">
        <f>IF(SUM(CW9,CZ9)&gt;0,SUM(CW9,CZ9),"")</f>
        <v/>
      </c>
      <c r="DB9" s="87">
        <f>IF(N9&gt;=0.001,IF(MAX(ED9,FL9,GT9,IB9,JJ9,KR9,LZ9,NH9,OP9,PX9,RF9,SN9)-IF(N9="",0,N9)&gt;0.001,MAX(ED9,FL9,GT9,IB9,JJ9,KR9,LZ9,NH9,OP9,PX9,RF9,SN9)-IF(N9="",0,N9),""),"")</f>
        <v>36.07</v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>
        <v>13.1</v>
      </c>
      <c r="JS9" s="26">
        <v>9.1999999999999993</v>
      </c>
      <c r="JT9" s="26">
        <v>15.2</v>
      </c>
      <c r="JU9" s="26">
        <v>14.65</v>
      </c>
      <c r="JV9" s="26">
        <v>0</v>
      </c>
      <c r="JW9" s="26">
        <v>2.6</v>
      </c>
      <c r="JX9" s="26">
        <v>1.7</v>
      </c>
      <c r="JY9" s="26">
        <v>3.4</v>
      </c>
      <c r="JZ9" s="26">
        <v>3.16</v>
      </c>
      <c r="KA9" s="26">
        <v>0</v>
      </c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>
        <f>IF(JT9&gt;0,JT9,"")</f>
        <v>15.2</v>
      </c>
      <c r="KM9" s="16">
        <f>IF(JU9&gt;0,JU9,"")</f>
        <v>14.65</v>
      </c>
      <c r="KN9" s="16">
        <f>IF(SUM(JR9:JU9)-JV9&gt;0,SUM(JR9:JU9)-JV9,"")</f>
        <v>52.15</v>
      </c>
      <c r="KO9" s="16">
        <f>IF(JY9&gt;0,JY9,"")</f>
        <v>3.4</v>
      </c>
      <c r="KP9" s="16">
        <f>IF(JZ9&gt;0,JZ9,"")</f>
        <v>3.16</v>
      </c>
      <c r="KQ9" s="16">
        <f>IF(SUM(JW9:JZ9)-KA9&gt;0,SUM(JW9:JZ9)-KA9,"")</f>
        <v>10.86</v>
      </c>
      <c r="KR9" s="16">
        <f>IF(MAX(KN9,KQ9)&gt;0,MAX(KN9,KQ9),"")</f>
        <v>52.15</v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>
        <f>IF(SUM(KR9,KX9)&gt;0,SUM(KR9,KX9),"")</f>
        <v>52.15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1.95</v>
      </c>
      <c r="SW9" s="42">
        <f>IF($CP9="P",CB9,(CB9+BA9)/2)</f>
        <v>1.2</v>
      </c>
      <c r="SX9" s="42">
        <f>IF($CP9="P",CC9,(CC9+BB9)/2)</f>
        <v>2.5499999999999998</v>
      </c>
      <c r="SY9" s="42">
        <f>IF($CP9="P",CD9,(CD9+BC9)/2)</f>
        <v>2.34</v>
      </c>
      <c r="SZ9" s="42">
        <f>IF($CP9="P",CE9,(CE9+BD9)/2)</f>
        <v>0</v>
      </c>
      <c r="TA9" s="42">
        <f>IF($CP9="P",CF9,(CF9+BE9)/2)</f>
        <v>2.75</v>
      </c>
      <c r="TB9" s="42">
        <f>IF($CP9="P",CG9,(CG9+BF9)/2)</f>
        <v>1.9</v>
      </c>
      <c r="TC9" s="42">
        <f>IF($CP9="P",CH9,(CH9+BG9)/2)</f>
        <v>3.35</v>
      </c>
      <c r="TD9" s="42">
        <f>IF($CP9="P",CI9,(CI9+BH9)/2)</f>
        <v>3.1549999999999998</v>
      </c>
      <c r="TE9" s="42">
        <f>IF($CP9="P",CJ9,(CJ9+BI9)/2)</f>
        <v>0</v>
      </c>
      <c r="TF9" s="42">
        <f>IF($CP9="P",CK9,(CK9+BJ9)/2)</f>
        <v>0</v>
      </c>
      <c r="TG9" s="42">
        <f>IF($CP9="P",CL9,(CL9+BK9)/2)</f>
        <v>0</v>
      </c>
      <c r="TH9" s="42">
        <f>IF($CP9="P",CM9,(CM9+BL9)/2)</f>
        <v>0</v>
      </c>
      <c r="TI9" s="42">
        <f>IF($CP9="P",CN9,(CN9+BM9)/2)</f>
        <v>0</v>
      </c>
      <c r="TJ9" s="42">
        <f>IF($CP9="P",CO9,(CO9+BN9)/2)</f>
        <v>0</v>
      </c>
      <c r="TK9" s="51" t="s">
        <v>58</v>
      </c>
      <c r="TL9" s="76">
        <f>IF(SX9&gt;0,SX9,"")</f>
        <v>2.5499999999999998</v>
      </c>
      <c r="TM9" s="76">
        <f>IF(SY9&gt;0,SY9,"")</f>
        <v>2.34</v>
      </c>
      <c r="TN9" s="76">
        <f>IF(SUM(SV9:SY9)-SZ9&gt;0,SUM(SV9:SY9)-SZ9,"")</f>
        <v>8.0399999999999991</v>
      </c>
      <c r="TO9" s="76">
        <f>IF(TC9&gt;0,TC9,"")</f>
        <v>3.35</v>
      </c>
      <c r="TP9" s="76">
        <f>IF(TD9&gt;0,TD9,"")</f>
        <v>3.1549999999999998</v>
      </c>
      <c r="TQ9" s="76">
        <f>IF(SUM(TA9:TD9)-TE9&gt;0,SUM(TA9:TD9)-TE9,"")</f>
        <v>11.154999999999999</v>
      </c>
      <c r="TR9" s="76">
        <f>IF(MAX(TN9,TQ9)&gt;0,MAX(TN9,TQ9),"")</f>
        <v>11.154999999999999</v>
      </c>
      <c r="TS9" s="76" t="str">
        <f>IF(TH9&gt;0,TH9,"")</f>
        <v/>
      </c>
      <c r="TT9" s="76" t="str">
        <f>IF(TI9&gt;0,TI9,"")</f>
        <v/>
      </c>
      <c r="TU9" s="76" t="str">
        <f>IF(SUM(TF9:TI9)-TJ9&gt;0,SUM(TF9:TI9)-TJ9,"")</f>
        <v/>
      </c>
      <c r="TV9" s="76">
        <f>IF(SUM(TR9,TU9)&gt;0,SUM(TR9,TU9),"")</f>
        <v>11.154999999999999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8" t="s">
        <v>30</v>
      </c>
      <c r="C10" s="4" t="s">
        <v>6</v>
      </c>
      <c r="D10" s="7">
        <v>1995</v>
      </c>
      <c r="E10" s="14">
        <f>SUM(J10:V10)+SUM(J10:T10)*0.0000001+SUM(J10)*0.0000000000001</f>
        <v>199.47101994710565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DZ10&gt;=EK$29,DZ10&lt;&gt;""),AND(EC10&gt;=EK$29,EC10&lt;&gt;""),AND(EG10&gt;=EK$29,EG10&lt;&gt;""),AND(EJ10&gt;=EK$29,EJ10&lt;&gt;""),AND(FH10&gt;=FS$29,FH10&lt;&gt;""),AND(FK10&gt;=FS$29,FK10&lt;&gt;""),AND(FO10&gt;=FS$29,FO10&lt;&gt;""),AND(FR10&gt;=FS$29,FR10&lt;&gt;""),AND(GP10&gt;=HA$29,GP10&lt;&gt;""),AND(GS10&gt;=HA$29,GS10&lt;&gt;""),AND(GW10&gt;=HA$29,GW10&lt;&gt;""),AND(GZ10&gt;=HA$29,GZ10&lt;&gt;""),AND(HX10&gt;=II$29,HX10&lt;&gt;""),AND(IA10&gt;=II$29,IA10&lt;&gt;""),AND(IE10&gt;=II$29,IE10&lt;&gt;""),AND(IH10&gt;=II$29,IH10&lt;&gt;""),AND(JF10&gt;=JQ$29,JF10&lt;&gt;""),AND(JI10&gt;=JQ$29,JI10&lt;&gt;""),AND(JM10&gt;=JQ$29,JM10&lt;&gt;""),AND(JP10&gt;=JQ$29,JP10&lt;&gt;""),AND(KN10&gt;=KY$29,KN10&lt;&gt;""),AND(KQ10&gt;=KY$29,KQ10&lt;&gt;""),AND(KU10&gt;=KY$29,KU10&lt;&gt;""),AND(KX10&gt;=KY$29,KX10&lt;&gt;""),AND(LV10&gt;=MG$29,LV10&lt;&gt;""),AND(LY10&gt;=MG$29,LY10&lt;&gt;""),AND(MC10&gt;=MG$29,MC10&lt;&gt;""),AND(MF10&gt;=MG$29,MF10&lt;&gt;""),AND(ND10&gt;=NO$29,ND10&lt;&gt;""),AND(NG10&gt;=NO$29,NG10&lt;&gt;""),AND(NK10&gt;=NO$29,NK10&lt;&gt;""),AND(NN10&gt;=NO$29,NN10&lt;&gt;""),AND(OL10&gt;=OW$29,OL10&lt;&gt;""),AND(OO10&gt;=OW$29,OO10&lt;&gt;""),AND(OS10&gt;=OW$29,OS10&lt;&gt;""),AND(OV10&gt;=OW$29,OV10&lt;&gt;""),AND(PT10&gt;=QE$29,PT10&lt;&gt;""),AND(PW10&gt;=QE$29,PW10&lt;&gt;""),AND(QA10&gt;=QE$29,QA10&lt;&gt;""),AND(QD10&gt;=QE$29,QD10&lt;&gt;""),AND(RB10&gt;=RM$29,RB10&lt;&gt;""),AND(RE10&gt;=RM$29,RE10&lt;&gt;""),AND(RI10&gt;=RM$29,RI10&lt;&gt;""),AND(RL10&gt;=RM$29,RL10&lt;&gt;""),AND(SJ10&gt;=SU$29,SJ10&lt;&gt;""),AND(SM10&gt;=SU$29,SM10&lt;&gt;""),AND(SQ10&gt;=SU$29,SQ10&lt;&gt;""),AND(ST10&gt;=SU$29,ST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Excellence",IF(I10="P","Worlds Team",IF(F10="P","National Team","")))))</f>
        <v>National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/>
      </c>
      <c r="J10" s="13">
        <f>IF(COUNT(AQ10,AT10,BR10,BU10,CS10,CV10)&gt;0,LARGE((AQ10,AT10,BR10,BU10,CS10,CV10),1),0)</f>
        <v>56.614999999999995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55.713000000000001</v>
      </c>
      <c r="M10" s="13" t="str">
        <f>IF(L10="","",IF(OR(L10=CS10,L10=CV10),$CA$1,IF(OR(L10=BR10,L10=BU10),$AZ$1,IF(OR(L10=AQ10,L10=AT10),$Y$1,""))))</f>
        <v>2022 Elite Canada</v>
      </c>
      <c r="N10" s="13">
        <f>IF(COUNT(AQ10,AT10,BR10,BU10,CS10,CV10)&gt;2,LARGE((AQ10,AT10,BR10,BU10,CS10,CV10),3),0)</f>
        <v>0</v>
      </c>
      <c r="O10" s="13" t="str">
        <f>IF(N10="","",IF(OR(N10=CS10,N10=CV10),$CA$1,IF(OR(N10=BR10,N10=BU10),$AZ$1,IF(OR(N10=AQ10,N10=AT10),$Y$1,""))))</f>
        <v/>
      </c>
      <c r="P10" s="13">
        <f>IF(MAX(AX10,BY10,CZ10)&gt;0,MAX(AX10,BY10,CZ10),0)</f>
        <v>55.028000000000006</v>
      </c>
      <c r="Q10" s="13" t="str">
        <f>IF(P10="","",IF(P10=CZ10,$CA$1,IF(P10=BY10,$AZ$1,IF(P10=AX10,$Y$1,""))))</f>
        <v>2022 Elite Canada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Elite Canada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,IF(DX10&gt;=$EK$25,DY10,0),IF(EA10&gt;=$EK$25,EB10,0),IF(EE10&gt;=$EK$25,EF10,0),IF(EH10&gt;=$EK$25,EI10,0),IF(FF10&gt;=$FS$25,FG10,0),IF(FI10&gt;=$FS$25,FJ10,0),IF(FM10&gt;=$FS$25,FN10,0),IF(FP10&gt;=$FS$25,FQ10,0),IF(GN10&gt;=$HA$25,GO10,0),IF(GQ10&gt;=$HA$25,GR10,0),IF(GU10&gt;=$HA$25,GV10,0),IF(GX10&gt;=$HA$25,GY10,0),IF(HV10&gt;=$II$25,HW10,0),IF(HY10&gt;=$II$25,HZ10,0),IF(IC10&gt;=$II$25,ID10,0),IF(IF10&gt;=$II$25,IG10,0),IF(JD10&gt;=$JQ$25,JE10,0),IF(JG10&gt;=$JQ$25,JH10,0),IF(JK10&gt;=$JQ$25,JL10,0),IF(JN10&gt;=$JQ$25,JO10,0),IF(KL10&gt;=$KY$25,KM10,0),IF(KO10&gt;=$KY$25,KP10,0),IF(KS10&gt;=$KY$25,KT10,0),IF(KV10&gt;=$KY$25,KW10,0),IF(LT10&gt;=$MG$25,LU10,0),IF(LW10&gt;=$MG$25,LX10,0),IF(MA10&gt;=$MG$25,MB10,0),IF(MD10&gt;=$MG$25,ME10,0),IF(NB10&gt;=$NO$25,NC10,0),IF(NE10&gt;=$NO$25,NF10,0),IF(NI10&gt;=$NO$25,NJ10,0),IF(NL10&gt;=$NO$25,NM10,0),IF(OJ10&gt;=$OW$25,OK10,0),IF(OM10&gt;=$OW$25,ON10,0),IF(OQ10&gt;=$OW$25,OR10,0),IF(OT10&gt;=$OW$25,OU10,0),IF(PR10&gt;=$QE$25,PS10,0),IF(PU10&gt;=$QE$25,PV10,0),IF(PY10&gt;=$QE$25,PZ10,0),IF(QB10&gt;=$QE$25,QC10,0),IF(QZ10&gt;=$RM$25,RA10,0),IF(RC10&gt;=$RM$25,RD10,0),IF(RG10&gt;=$RM$25,RH10,0),IF(RJ10&gt;=$RM$25,RK10,0),IF(SH10&gt;=$SU$25,SI10,0),IF(SK10&gt;=$SU$25,SL10,0),IF(SO10&gt;=$SU$25,SP10,0),IF(SR10&gt;=$SU$25,SS10,0)),0)</f>
        <v>16.715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Elite Canada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>
        <v>15.25</v>
      </c>
      <c r="Z10" s="42">
        <v>9.25</v>
      </c>
      <c r="AA10" s="42">
        <v>15</v>
      </c>
      <c r="AB10" s="42">
        <v>16.213000000000001</v>
      </c>
      <c r="AC10" s="42">
        <v>0</v>
      </c>
      <c r="AD10" s="42">
        <v>15.4</v>
      </c>
      <c r="AE10" s="42">
        <v>9.1</v>
      </c>
      <c r="AF10" s="42">
        <v>15.4</v>
      </c>
      <c r="AG10" s="42">
        <v>16.715</v>
      </c>
      <c r="AH10" s="42">
        <v>0</v>
      </c>
      <c r="AI10" s="42">
        <v>15.55</v>
      </c>
      <c r="AJ10" s="42">
        <v>8.8999999999999986</v>
      </c>
      <c r="AK10" s="42">
        <v>14.2</v>
      </c>
      <c r="AL10" s="42">
        <v>16.428000000000001</v>
      </c>
      <c r="AM10" s="42">
        <v>0.05</v>
      </c>
      <c r="AN10" s="51" t="s">
        <v>58</v>
      </c>
      <c r="AO10" s="74">
        <f>IF(AA10&gt;0,AA10,"")</f>
        <v>15</v>
      </c>
      <c r="AP10" s="74">
        <f>IF(AB10&gt;0,AB10,"")</f>
        <v>16.213000000000001</v>
      </c>
      <c r="AQ10" s="76">
        <f>IF(SUM(Y10:AB10)-AC10&gt;0,SUM(Y10:AB10)-AC10,"")</f>
        <v>55.713000000000001</v>
      </c>
      <c r="AR10" s="76">
        <f>IF(AF10&gt;0,AF10,"")</f>
        <v>15.4</v>
      </c>
      <c r="AS10" s="76">
        <f>IF(AG10&gt;0,AG10,"")</f>
        <v>16.715</v>
      </c>
      <c r="AT10" s="76">
        <f>IF(SUM(AD10:AG10)-AH10&gt;0,SUM(AD10:AG10)-AH10,"")</f>
        <v>56.614999999999995</v>
      </c>
      <c r="AU10" s="76">
        <f>IF(AQ10="","",MAX(AQ10,AT10))</f>
        <v>56.614999999999995</v>
      </c>
      <c r="AV10" s="76">
        <f>IF(AK10&gt;0,AK10,"")</f>
        <v>14.2</v>
      </c>
      <c r="AW10" s="76">
        <f>IF(AL10&gt;0,AL10,"")</f>
        <v>16.428000000000001</v>
      </c>
      <c r="AX10" s="76">
        <f>IF(SUM(AI10:AL10)-AM10&gt;0,SUM(AI10:AL10)-AM10,"")</f>
        <v>55.028000000000006</v>
      </c>
      <c r="AY10" s="76">
        <f>IF(SUM(AU10,AX10)&gt;0,SUM(AU10,AX10),"")</f>
        <v>111.643</v>
      </c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52"/>
      <c r="BP10" s="75" t="str">
        <f>IF(BB10&gt;0,BB10,"")</f>
        <v/>
      </c>
      <c r="BQ10" s="75" t="str">
        <f>IF(BC10&gt;0,BC10,"")</f>
        <v/>
      </c>
      <c r="BR10" s="16" t="str">
        <f>IF(SUM(AZ10:BC10)-BD10&gt;0,SUM(AZ10:BC10)-BD10,"")</f>
        <v/>
      </c>
      <c r="BS10" s="16" t="str">
        <f>IF(BG10&gt;0,BG10,"")</f>
        <v/>
      </c>
      <c r="BT10" s="16" t="str">
        <f>IF(BH10&gt;0,BH10,"")</f>
        <v/>
      </c>
      <c r="BU10" s="16" t="str">
        <f>IF(SUM(BE10:BH10)-BI10&gt;0,SUM(BE10:BH10)-BI10,"")</f>
        <v/>
      </c>
      <c r="BV10" s="16" t="str">
        <f>IF(BR10="","",MAX(BR10,BU10))</f>
        <v/>
      </c>
      <c r="BW10" s="16" t="str">
        <f>IF(BL10&gt;0,BL10,"")</f>
        <v/>
      </c>
      <c r="BX10" s="16" t="str">
        <f>IF(BM10&gt;0,BM10,"")</f>
        <v/>
      </c>
      <c r="BY10" s="16" t="str">
        <f>IF(SUM(BJ10:BM10)-BN10&gt;0,SUM(BJ10:BM10)-BN10,"")</f>
        <v/>
      </c>
      <c r="BZ10" s="16" t="str">
        <f>IF(SUM(BV10,BY10)&gt;0,SUM(BV10,BY10),"")</f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>IF(CC10&gt;0,CC10,"")</f>
        <v/>
      </c>
      <c r="CR10" s="74" t="str">
        <f>IF(CD10&gt;0,CD10,"")</f>
        <v/>
      </c>
      <c r="CS10" s="76" t="str">
        <f>IF(SUM(CA10:CD10)-CE10&gt;0,SUM(CA10:CD10)-CE10,"")</f>
        <v/>
      </c>
      <c r="CT10" s="76" t="str">
        <f>IF(CH10&gt;0,CH10,"")</f>
        <v/>
      </c>
      <c r="CU10" s="76" t="str">
        <f>IF(CI10&gt;0,CI10,"")</f>
        <v/>
      </c>
      <c r="CV10" s="76" t="str">
        <f>IF(SUM(CF10:CI10)-CJ10&gt;0,SUM(CF10:CI10)-CJ10,"")</f>
        <v/>
      </c>
      <c r="CW10" s="76" t="str">
        <f>IF(CS10="","",MAX(CS10,CV10))</f>
        <v/>
      </c>
      <c r="CX10" s="76" t="str">
        <f>IF(CM10&gt;0,CM10,"")</f>
        <v/>
      </c>
      <c r="CY10" s="76" t="str">
        <f>IF(CN10&gt;0,CN10,"")</f>
        <v/>
      </c>
      <c r="CZ10" s="76" t="str">
        <f>IF(SUM(CK10:CN10)-CO10&gt;0,SUM(CK10:CN10)-CO10,"")</f>
        <v/>
      </c>
      <c r="DA10" s="76" t="str">
        <f>IF(SUM(CW10,CZ10)&gt;0,SUM(CW10,CZ10),"")</f>
        <v/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>
        <v>14</v>
      </c>
      <c r="DE10" s="25">
        <v>9.5</v>
      </c>
      <c r="DF10" s="25">
        <v>15</v>
      </c>
      <c r="DG10" s="25">
        <v>15.64</v>
      </c>
      <c r="DH10" s="25">
        <v>0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>
        <f>IF(DF10&gt;0,DF10,"")</f>
        <v>15</v>
      </c>
      <c r="DY10" s="76">
        <f>IF(DG10&gt;0,DG10,"")</f>
        <v>15.64</v>
      </c>
      <c r="DZ10" s="76">
        <f>IF(SUM(DD10:DG10)-DH10&gt;0,SUM(DD10:DG10)-DH10,"")</f>
        <v>54.14</v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>
        <f>IF(MAX(DZ10,EC10)&gt;0,MAX(DZ10,EC10),"")</f>
        <v>54.14</v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>
        <f>IF(SUM(ED10,EJ10)&gt;0,SUM(ED10,EJ10),"")</f>
        <v>54.14</v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>
        <v>11.7</v>
      </c>
      <c r="IK10" s="25">
        <v>8.3000000000000007</v>
      </c>
      <c r="IL10" s="25">
        <v>13.8</v>
      </c>
      <c r="IM10" s="25">
        <v>14</v>
      </c>
      <c r="IN10" s="25">
        <v>0</v>
      </c>
      <c r="IO10" s="25">
        <v>1.4</v>
      </c>
      <c r="IP10" s="25">
        <v>0.9</v>
      </c>
      <c r="IQ10" s="25">
        <v>2</v>
      </c>
      <c r="IR10" s="25">
        <v>1.74</v>
      </c>
      <c r="IS10" s="25">
        <v>0</v>
      </c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>
        <f>IF(IL10&gt;0,IL10,"")</f>
        <v>13.8</v>
      </c>
      <c r="JE10" s="76">
        <f>IF(IM10&gt;0,IM10,"")</f>
        <v>14</v>
      </c>
      <c r="JF10" s="76">
        <f>IF(SUM(IJ10:IM10)-IN10&gt;0,SUM(IJ10:IM10)-IN10,"")</f>
        <v>47.8</v>
      </c>
      <c r="JG10" s="76">
        <f>IF(IQ10&gt;0,IQ10,"")</f>
        <v>2</v>
      </c>
      <c r="JH10" s="76">
        <f>IF(IR10&gt;0,IR10,"")</f>
        <v>1.74</v>
      </c>
      <c r="JI10" s="76">
        <f>IF(SUM(IO10:IR10)-IS10&gt;0,SUM(IO10:IR10)-IS10,"")</f>
        <v>6.04</v>
      </c>
      <c r="JJ10" s="76">
        <f>IF(MAX(JF10,JI10)&gt;0,MAX(JF10,JI10),"")</f>
        <v>47.8</v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>
        <f>IF(SUM(JJ10,JP10)&gt;0,SUM(JJ10,JP10),"")</f>
        <v>47.8</v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>
        <v>7.5</v>
      </c>
      <c r="LA10" s="25">
        <v>8.4</v>
      </c>
      <c r="LB10" s="25">
        <v>4.5999999999999996</v>
      </c>
      <c r="LC10" s="25">
        <v>8.32</v>
      </c>
      <c r="LD10" s="25">
        <v>0</v>
      </c>
      <c r="LE10" s="25">
        <v>14.3</v>
      </c>
      <c r="LF10" s="25">
        <v>9.1999999999999993</v>
      </c>
      <c r="LG10" s="25">
        <v>15.4</v>
      </c>
      <c r="LH10" s="25">
        <v>15.77</v>
      </c>
      <c r="LI10" s="25">
        <v>0</v>
      </c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>
        <f>IF(LB10&gt;0,LB10,"")</f>
        <v>4.5999999999999996</v>
      </c>
      <c r="LU10" s="76">
        <f>IF(LC10&gt;0,LC10,"")</f>
        <v>8.32</v>
      </c>
      <c r="LV10" s="76">
        <f>IF(SUM(KZ10:LC10)-LD10&gt;0,SUM(KZ10:LC10)-LD10,"")</f>
        <v>28.82</v>
      </c>
      <c r="LW10" s="76">
        <f>IF(LG10&gt;0,LG10,"")</f>
        <v>15.4</v>
      </c>
      <c r="LX10" s="76">
        <f>IF(LH10&gt;0,LH10,"")</f>
        <v>15.77</v>
      </c>
      <c r="LY10" s="76">
        <f>IF(SUM(LE10:LH10)-LI10&gt;0,SUM(LE10:LH10)-LI10,"")</f>
        <v>54.67</v>
      </c>
      <c r="LZ10" s="76">
        <f>IF(MAX(LV10,LY10)&gt;0,MAX(LV10,LY10),"")</f>
        <v>54.67</v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>
        <f>IF(SUM(LZ10,MF10)&gt;0,SUM(LZ10,MF10),"")</f>
        <v>54.67</v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0</v>
      </c>
      <c r="SW10" s="42">
        <f>IF($CP10="P",CB10,(CB10+BA10)/2)</f>
        <v>0</v>
      </c>
      <c r="SX10" s="42">
        <f>IF($CP10="P",CC10,(CC10+BB10)/2)</f>
        <v>0</v>
      </c>
      <c r="SY10" s="42">
        <f>IF($CP10="P",CD10,(CD10+BC10)/2)</f>
        <v>0</v>
      </c>
      <c r="SZ10" s="42">
        <f>IF($CP10="P",CE10,(CE10+BD10)/2)</f>
        <v>0</v>
      </c>
      <c r="TA10" s="42">
        <f>IF($CP10="P",CF10,(CF10+BE10)/2)</f>
        <v>0</v>
      </c>
      <c r="TB10" s="42">
        <f>IF($CP10="P",CG10,(CG10+BF10)/2)</f>
        <v>0</v>
      </c>
      <c r="TC10" s="42">
        <f>IF($CP10="P",CH10,(CH10+BG10)/2)</f>
        <v>0</v>
      </c>
      <c r="TD10" s="42">
        <f>IF($CP10="P",CI10,(CI10+BH10)/2)</f>
        <v>0</v>
      </c>
      <c r="TE10" s="42">
        <f>IF($CP10="P",CJ10,(CJ10+BI10)/2)</f>
        <v>0</v>
      </c>
      <c r="TF10" s="42">
        <f>IF($CP10="P",CK10,(CK10+BJ10)/2)</f>
        <v>0</v>
      </c>
      <c r="TG10" s="42">
        <f>IF($CP10="P",CL10,(CL10+BK10)/2)</f>
        <v>0</v>
      </c>
      <c r="TH10" s="42">
        <f>IF($CP10="P",CM10,(CM10+BL10)/2)</f>
        <v>0</v>
      </c>
      <c r="TI10" s="42">
        <f>IF($CP10="P",CN10,(CN10+BM10)/2)</f>
        <v>0</v>
      </c>
      <c r="TJ10" s="42">
        <f>IF($CP10="P",CO10,(CO10+BN10)/2)</f>
        <v>0</v>
      </c>
      <c r="TK10" s="51" t="s">
        <v>58</v>
      </c>
      <c r="TL10" s="76" t="str">
        <f>IF(SX10&gt;0,SX10,"")</f>
        <v/>
      </c>
      <c r="TM10" s="76" t="str">
        <f>IF(SY10&gt;0,SY10,"")</f>
        <v/>
      </c>
      <c r="TN10" s="76" t="str">
        <f>IF(SUM(SV10:SY10)-SZ10&gt;0,SUM(SV10:SY10)-SZ10,"")</f>
        <v/>
      </c>
      <c r="TO10" s="76" t="str">
        <f>IF(TC10&gt;0,TC10,"")</f>
        <v/>
      </c>
      <c r="TP10" s="76" t="str">
        <f>IF(TD10&gt;0,TD10,"")</f>
        <v/>
      </c>
      <c r="TQ10" s="76" t="str">
        <f>IF(SUM(TA10:TD10)-TE10&gt;0,SUM(TA10:TD10)-TE10,"")</f>
        <v/>
      </c>
      <c r="TR10" s="76" t="str">
        <f>IF(MAX(TN10,TQ10)&gt;0,MAX(TN10,TQ10),"")</f>
        <v/>
      </c>
      <c r="TS10" s="76" t="str">
        <f>IF(TH10&gt;0,TH10,"")</f>
        <v/>
      </c>
      <c r="TT10" s="76" t="str">
        <f>IF(TI10&gt;0,TI10,"")</f>
        <v/>
      </c>
      <c r="TU10" s="76" t="str">
        <f>IF(SUM(TF10:TI10)-TJ10&gt;0,SUM(TF10:TI10)-TJ10,"")</f>
        <v/>
      </c>
      <c r="TV10" s="76" t="str">
        <f>IF(SUM(TR10,TU10)&gt;0,SUM(TR10,TU10),"")</f>
        <v/>
      </c>
    </row>
    <row r="11" spans="1:542" x14ac:dyDescent="0.2">
      <c r="A11" s="5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>8</v>
      </c>
      <c r="B11" s="6" t="s">
        <v>56</v>
      </c>
      <c r="C11" s="7" t="s">
        <v>5</v>
      </c>
      <c r="D11" s="18">
        <v>1999</v>
      </c>
      <c r="E11" s="14">
        <f>SUM(J11:V11)+SUM(J11:T11)*0.0000001+SUM(J11)*0.0000000000001</f>
        <v>244.28502442850535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DZ11&gt;=EK$29,DZ11&lt;&gt;""),AND(EC11&gt;=EK$29,EC11&lt;&gt;""),AND(EG11&gt;=EK$29,EG11&lt;&gt;""),AND(EJ11&gt;=EK$29,EJ11&lt;&gt;""),AND(FH11&gt;=FS$29,FH11&lt;&gt;""),AND(FK11&gt;=FS$29,FK11&lt;&gt;""),AND(FO11&gt;=FS$29,FO11&lt;&gt;""),AND(FR11&gt;=FS$29,FR11&lt;&gt;""),AND(GP11&gt;=HA$29,GP11&lt;&gt;""),AND(GS11&gt;=HA$29,GS11&lt;&gt;""),AND(GW11&gt;=HA$29,GW11&lt;&gt;""),AND(GZ11&gt;=HA$29,GZ11&lt;&gt;""),AND(HX11&gt;=II$29,HX11&lt;&gt;""),AND(IA11&gt;=II$29,IA11&lt;&gt;""),AND(IE11&gt;=II$29,IE11&lt;&gt;""),AND(IH11&gt;=II$29,IH11&lt;&gt;""),AND(JF11&gt;=JQ$29,JF11&lt;&gt;""),AND(JI11&gt;=JQ$29,JI11&lt;&gt;""),AND(JM11&gt;=JQ$29,JM11&lt;&gt;""),AND(JP11&gt;=JQ$29,JP11&lt;&gt;""),AND(KN11&gt;=KY$29,KN11&lt;&gt;""),AND(KQ11&gt;=KY$29,KQ11&lt;&gt;""),AND(KU11&gt;=KY$29,KU11&lt;&gt;""),AND(KX11&gt;=KY$29,KX11&lt;&gt;""),AND(LV11&gt;=MG$29,LV11&lt;&gt;""),AND(LY11&gt;=MG$29,LY11&lt;&gt;""),AND(MC11&gt;=MG$29,MC11&lt;&gt;""),AND(MF11&gt;=MG$29,MF11&lt;&gt;""),AND(ND11&gt;=NO$29,ND11&lt;&gt;""),AND(NG11&gt;=NO$29,NG11&lt;&gt;""),AND(NK11&gt;=NO$29,NK11&lt;&gt;""),AND(NN11&gt;=NO$29,NN11&lt;&gt;""),AND(OL11&gt;=OW$29,OL11&lt;&gt;""),AND(OO11&gt;=OW$29,OO11&lt;&gt;""),AND(OS11&gt;=OW$29,OS11&lt;&gt;""),AND(OV11&gt;=OW$29,OV11&lt;&gt;""),AND(PT11&gt;=QE$29,PT11&lt;&gt;""),AND(PW11&gt;=QE$29,PW11&lt;&gt;""),AND(QA11&gt;=QE$29,QA11&lt;&gt;""),AND(QD11&gt;=QE$29,QD11&lt;&gt;""),AND(RB11&gt;=RM$29,RB11&lt;&gt;""),AND(RE11&gt;=RM$29,RE11&lt;&gt;""),AND(RI11&gt;=RM$29,RI11&lt;&gt;""),AND(RL11&gt;=RM$29,RL11&lt;&gt;""),AND(SJ11&gt;=SU$29,SJ11&lt;&gt;""),AND(SM11&gt;=SU$29,SM11&lt;&gt;""),AND(SQ11&gt;=SU$29,SQ11&lt;&gt;""),AND(ST11&gt;=SU$29,ST11&lt;&gt;"")),"P","")</f>
        <v>P</v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Excellence",IF(I11="P","Worlds Team",IF(F11="P","National Team","")))))</f>
        <v>No DD</v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J11" s="13">
        <f>IF(COUNT(AQ11,AT11,BR11,BU11,CS11,CV11)&gt;0,LARGE((AQ11,AT11,BR11,BU11,CS11,CV11),1),0)</f>
        <v>53.36</v>
      </c>
      <c r="K11" s="13" t="str">
        <f>IF(J11="","",IF(OR(J11=CS11,J11=CV11),$CA$1,IF(OR(J11=BR11,J11=BU11),$AZ$1,IF(OR(J11=AQ11,J11=AT11),$Y$1,""))))</f>
        <v>2022 Elite Canada</v>
      </c>
      <c r="L11" s="13">
        <f>IF(COUNT(AQ11,AT11,BR11,BU11,CS11,CV11)&gt;1,LARGE((AQ11,AT11,BR11,BU11,CS11,CV11),2),0)</f>
        <v>53.075000000000003</v>
      </c>
      <c r="M11" s="13" t="str">
        <f>IF(L11="","",IF(OR(L11=CS11,L11=CV11),$CA$1,IF(OR(L11=BR11,L11=BU11),$AZ$1,IF(OR(L11=AQ11,L11=AT11),$Y$1,""))))</f>
        <v>2022 3rd Domestic Trial</v>
      </c>
      <c r="N11" s="13">
        <f>IF(COUNT(AQ11,AT11,BR11,BU11,CS11,CV11)&gt;2,LARGE((AQ11,AT11,BR11,BU11,CS11,CV11),3),0)</f>
        <v>52.79</v>
      </c>
      <c r="O11" s="13" t="str">
        <f>IF(N11="","",IF(OR(N11=CS11,N11=CV11),$CA$1,IF(OR(N11=BR11,N11=BU11),$AZ$1,IF(OR(N11=AQ11,N11=AT11),$Y$1,""))))</f>
        <v>2022 Nationals</v>
      </c>
      <c r="P11" s="13">
        <f>IF(MAX(AX11,BY11,CZ11)&gt;0,MAX(AX11,BY11,CZ11),0)</f>
        <v>54.169999999999995</v>
      </c>
      <c r="Q11" s="13" t="str">
        <f>IF(P11="","",IF(P11=CZ11,$CA$1,IF(P11=BY11,$AZ$1,IF(P11=AX11,$Y$1,""))))</f>
        <v>2022 Elite Canada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Nationals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,IF(DX11&gt;=$EK$25,DY11,0),IF(EA11&gt;=$EK$25,EB11,0),IF(EE11&gt;=$EK$25,EF11,0),IF(EH11&gt;=$EK$25,EI11,0),IF(FF11&gt;=$FS$25,FG11,0),IF(FI11&gt;=$FS$25,FJ11,0),IF(FM11&gt;=$FS$25,FN11,0),IF(FP11&gt;=$FS$25,FQ11,0),IF(GN11&gt;=$HA$25,GO11,0),IF(GQ11&gt;=$HA$25,GR11,0),IF(GU11&gt;=$HA$25,GV11,0),IF(GX11&gt;=$HA$25,GY11,0),IF(HV11&gt;=$II$25,HW11,0),IF(HY11&gt;=$II$25,HZ11,0),IF(IC11&gt;=$II$25,ID11,0),IF(IF11&gt;=$II$25,IG11,0),IF(JD11&gt;=$JQ$25,JE11,0),IF(JG11&gt;=$JQ$25,JH11,0),IF(JK11&gt;=$JQ$25,JL11,0),IF(JN11&gt;=$JQ$25,JO11,0),IF(KL11&gt;=$KY$25,KM11,0),IF(KO11&gt;=$KY$25,KP11,0),IF(KS11&gt;=$KY$25,KT11,0),IF(KV11&gt;=$KY$25,KW11,0),IF(LT11&gt;=$MG$25,LU11,0),IF(LW11&gt;=$MG$25,LX11,0),IF(MA11&gt;=$MG$25,MB11,0),IF(MD11&gt;=$MG$25,ME11,0),IF(NB11&gt;=$NO$25,NC11,0),IF(NE11&gt;=$NO$25,NF11,0),IF(NI11&gt;=$NO$25,NJ11,0),IF(NL11&gt;=$NO$25,NM11,0),IF(OJ11&gt;=$OW$25,OK11,0),IF(OM11&gt;=$OW$25,ON11,0),IF(OQ11&gt;=$OW$25,OR11,0),IF(OT11&gt;=$OW$25,OU11,0),IF(PR11&gt;=$QE$25,PS11,0),IF(PU11&gt;=$QE$25,PV11,0),IF(PY11&gt;=$QE$25,PZ11,0),IF(QB11&gt;=$QE$25,QC11,0),IF(QZ11&gt;=$RM$25,RA11,0),IF(RC11&gt;=$RM$25,RD11,0),IF(RG11&gt;=$RM$25,RH11,0),IF(RJ11&gt;=$RM$25,RK11,0),IF(SH11&gt;=$SU$25,SI11,0),IF(SK11&gt;=$SU$25,SL11,0),IF(SO11&gt;=$SU$25,SP11,0),IF(SR11&gt;=$SU$25,SS11,0)),0)</f>
        <v>15.49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2022 Nationals</v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42">
        <v>14.3</v>
      </c>
      <c r="Z11" s="42">
        <v>8.9</v>
      </c>
      <c r="AA11" s="42">
        <v>14.8</v>
      </c>
      <c r="AB11" s="42">
        <v>15.36</v>
      </c>
      <c r="AC11" s="42">
        <v>0</v>
      </c>
      <c r="AD11" s="42">
        <v>15</v>
      </c>
      <c r="AE11" s="42">
        <v>9.4</v>
      </c>
      <c r="AF11" s="42">
        <v>12.7</v>
      </c>
      <c r="AG11" s="42">
        <v>15.87</v>
      </c>
      <c r="AH11" s="42">
        <v>0.8</v>
      </c>
      <c r="AI11" s="42">
        <v>14.6</v>
      </c>
      <c r="AJ11" s="42">
        <v>9.1</v>
      </c>
      <c r="AK11" s="42">
        <v>14.6</v>
      </c>
      <c r="AL11" s="42">
        <v>15.87</v>
      </c>
      <c r="AM11" s="42">
        <v>0</v>
      </c>
      <c r="AN11" s="51"/>
      <c r="AO11" s="74">
        <f>IF(AA11&gt;0,AA11,"")</f>
        <v>14.8</v>
      </c>
      <c r="AP11" s="74">
        <f>IF(AB11&gt;0,AB11,"")</f>
        <v>15.36</v>
      </c>
      <c r="AQ11" s="76">
        <f>IF(SUM(Y11:AB11)-AC11&gt;0,SUM(Y11:AB11)-AC11,"")</f>
        <v>53.36</v>
      </c>
      <c r="AR11" s="76">
        <f>IF(AF11&gt;0,AF11,"")</f>
        <v>12.7</v>
      </c>
      <c r="AS11" s="76">
        <f>IF(AG11&gt;0,AG11,"")</f>
        <v>15.87</v>
      </c>
      <c r="AT11" s="76">
        <f>IF(SUM(AD11:AG11)-AH11&gt;0,SUM(AD11:AG11)-AH11,"")</f>
        <v>52.169999999999995</v>
      </c>
      <c r="AU11" s="76">
        <f>IF(AQ11="","",MAX(AQ11,AT11))</f>
        <v>53.36</v>
      </c>
      <c r="AV11" s="76">
        <f>IF(AK11&gt;0,AK11,"")</f>
        <v>14.6</v>
      </c>
      <c r="AW11" s="76">
        <f>IF(AL11&gt;0,AL11,"")</f>
        <v>15.87</v>
      </c>
      <c r="AX11" s="76">
        <f>IF(SUM(AI11:AL11)-AM11&gt;0,SUM(AI11:AL11)-AM11,"")</f>
        <v>54.169999999999995</v>
      </c>
      <c r="AY11" s="76">
        <f>IF(SUM(AU11,AX11)&gt;0,SUM(AU11,AX11),"")</f>
        <v>107.53</v>
      </c>
      <c r="AZ11" s="46">
        <v>12.8</v>
      </c>
      <c r="BA11" s="46">
        <v>9.1</v>
      </c>
      <c r="BB11" s="46">
        <v>15.4</v>
      </c>
      <c r="BC11" s="46">
        <v>15.49</v>
      </c>
      <c r="BD11" s="46">
        <v>0</v>
      </c>
      <c r="BE11" s="46">
        <v>10.6</v>
      </c>
      <c r="BF11" s="46">
        <v>6.2</v>
      </c>
      <c r="BG11" s="46">
        <v>10.9</v>
      </c>
      <c r="BH11" s="46">
        <v>14.29</v>
      </c>
      <c r="BI11" s="46">
        <v>0</v>
      </c>
      <c r="BJ11" s="46">
        <v>9.4</v>
      </c>
      <c r="BK11" s="46">
        <v>5.4</v>
      </c>
      <c r="BL11" s="46">
        <v>9</v>
      </c>
      <c r="BM11" s="46">
        <v>9.49</v>
      </c>
      <c r="BN11" s="46">
        <v>0</v>
      </c>
      <c r="BO11" s="52"/>
      <c r="BP11" s="75">
        <f>IF(BB11&gt;0,BB11,"")</f>
        <v>15.4</v>
      </c>
      <c r="BQ11" s="75">
        <f>IF(BC11&gt;0,BC11,"")</f>
        <v>15.49</v>
      </c>
      <c r="BR11" s="16">
        <f>IF(SUM(AZ11:BC11)-BD11&gt;0,SUM(AZ11:BC11)-BD11,"")</f>
        <v>52.79</v>
      </c>
      <c r="BS11" s="16">
        <f>IF(BG11&gt;0,BG11,"")</f>
        <v>10.9</v>
      </c>
      <c r="BT11" s="16">
        <f>IF(BH11&gt;0,BH11,"")</f>
        <v>14.29</v>
      </c>
      <c r="BU11" s="16">
        <f>IF(SUM(BE11:BH11)-BI11&gt;0,SUM(BE11:BH11)-BI11,"")</f>
        <v>41.99</v>
      </c>
      <c r="BV11" s="16">
        <f>IF(BR11="","",MAX(BR11,BU11))</f>
        <v>52.79</v>
      </c>
      <c r="BW11" s="16">
        <f>IF(BL11&gt;0,BL11,"")</f>
        <v>9</v>
      </c>
      <c r="BX11" s="16">
        <f>IF(BM11&gt;0,BM11,"")</f>
        <v>9.49</v>
      </c>
      <c r="BY11" s="16">
        <f>IF(SUM(BJ11:BM11)-BN11&gt;0,SUM(BJ11:BM11)-BN11,"")</f>
        <v>33.29</v>
      </c>
      <c r="BZ11" s="16">
        <f>IF(SUM(BV11,BY11)&gt;0,SUM(BV11,BY11),"")</f>
        <v>86.08</v>
      </c>
      <c r="CA11" s="42">
        <v>13.55</v>
      </c>
      <c r="CB11" s="42">
        <v>9</v>
      </c>
      <c r="CC11" s="42">
        <v>15.100000000000001</v>
      </c>
      <c r="CD11" s="42">
        <v>15.425000000000001</v>
      </c>
      <c r="CE11" s="42">
        <v>0</v>
      </c>
      <c r="CF11" s="42">
        <v>12.8</v>
      </c>
      <c r="CG11" s="42">
        <v>7.8000000000000007</v>
      </c>
      <c r="CH11" s="42">
        <v>11.8</v>
      </c>
      <c r="CI11" s="42">
        <v>15.079999999999998</v>
      </c>
      <c r="CJ11" s="42">
        <v>0.4</v>
      </c>
      <c r="CK11" s="42">
        <v>12</v>
      </c>
      <c r="CL11" s="42">
        <v>7.25</v>
      </c>
      <c r="CM11" s="42">
        <v>11.8</v>
      </c>
      <c r="CN11" s="42">
        <v>12.68</v>
      </c>
      <c r="CO11" s="42">
        <v>0</v>
      </c>
      <c r="CP11" s="51" t="s">
        <v>58</v>
      </c>
      <c r="CQ11" s="74">
        <f>IF(CC11&gt;0,CC11,"")</f>
        <v>15.100000000000001</v>
      </c>
      <c r="CR11" s="74">
        <f>IF(CD11&gt;0,CD11,"")</f>
        <v>15.425000000000001</v>
      </c>
      <c r="CS11" s="76">
        <f>IF(SUM(CA11:CD11)-CE11&gt;0,SUM(CA11:CD11)-CE11,"")</f>
        <v>53.075000000000003</v>
      </c>
      <c r="CT11" s="76">
        <f>IF(CH11&gt;0,CH11,"")</f>
        <v>11.8</v>
      </c>
      <c r="CU11" s="76">
        <f>IF(CI11&gt;0,CI11,"")</f>
        <v>15.079999999999998</v>
      </c>
      <c r="CV11" s="76">
        <f>IF(SUM(CF11:CI11)-CJ11&gt;0,SUM(CF11:CI11)-CJ11,"")</f>
        <v>47.080000000000005</v>
      </c>
      <c r="CW11" s="76">
        <f>IF(CS11="","",MAX(CS11,CV11))</f>
        <v>53.075000000000003</v>
      </c>
      <c r="CX11" s="76">
        <f>IF(CM11&gt;0,CM11,"")</f>
        <v>11.8</v>
      </c>
      <c r="CY11" s="76">
        <f>IF(CN11&gt;0,CN11,"")</f>
        <v>12.68</v>
      </c>
      <c r="CZ11" s="76">
        <f>IF(SUM(CK11:CN11)-CO11&gt;0,SUM(CK11:CN11)-CO11,"")</f>
        <v>43.730000000000004</v>
      </c>
      <c r="DA11" s="76">
        <f>IF(SUM(CW11,CZ11)&gt;0,SUM(CW11,CZ11),"")</f>
        <v>96.805000000000007</v>
      </c>
      <c r="DB11" s="87" t="str">
        <f>IF(N11&gt;=0.001,IF(MAX(ED11,FL11,GT11,IB11,JJ11,KR11,LZ11,NH11,OP11,PX11,RF11,SN11)-IF(N11="",0,N11)&gt;0.001,MAX(ED11,FL11,GT11,IB11,JJ11,KR11,LZ11,NH11,OP11,PX11,RF11,SN11)-IF(N11="",0,N11),""),"")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13.55</v>
      </c>
      <c r="SW11" s="42">
        <f>IF($CP11="P",CB11,(CB11+BA11)/2)</f>
        <v>9</v>
      </c>
      <c r="SX11" s="42">
        <f>IF($CP11="P",CC11,(CC11+BB11)/2)</f>
        <v>15.100000000000001</v>
      </c>
      <c r="SY11" s="42">
        <f>IF($CP11="P",CD11,(CD11+BC11)/2)</f>
        <v>15.425000000000001</v>
      </c>
      <c r="SZ11" s="42">
        <f>IF($CP11="P",CE11,(CE11+BD11)/2)</f>
        <v>0</v>
      </c>
      <c r="TA11" s="42">
        <f>IF($CP11="P",CF11,(CF11+BE11)/2)</f>
        <v>12.8</v>
      </c>
      <c r="TB11" s="42">
        <f>IF($CP11="P",CG11,(CG11+BF11)/2)</f>
        <v>7.8000000000000007</v>
      </c>
      <c r="TC11" s="42">
        <f>IF($CP11="P",CH11,(CH11+BG11)/2)</f>
        <v>11.8</v>
      </c>
      <c r="TD11" s="42">
        <f>IF($CP11="P",CI11,(CI11+BH11)/2)</f>
        <v>15.079999999999998</v>
      </c>
      <c r="TE11" s="42">
        <f>IF($CP11="P",CJ11,(CJ11+BI11)/2)</f>
        <v>0.4</v>
      </c>
      <c r="TF11" s="42">
        <f>IF($CP11="P",CK11,(CK11+BJ11)/2)</f>
        <v>12</v>
      </c>
      <c r="TG11" s="42">
        <f>IF($CP11="P",CL11,(CL11+BK11)/2)</f>
        <v>7.25</v>
      </c>
      <c r="TH11" s="42">
        <f>IF($CP11="P",CM11,(CM11+BL11)/2)</f>
        <v>11.8</v>
      </c>
      <c r="TI11" s="42">
        <f>IF($CP11="P",CN11,(CN11+BM11)/2)</f>
        <v>12.68</v>
      </c>
      <c r="TJ11" s="42">
        <f>IF($CP11="P",CO11,(CO11+BN11)/2)</f>
        <v>0</v>
      </c>
      <c r="TK11" s="51" t="s">
        <v>58</v>
      </c>
      <c r="TL11" s="76">
        <f>IF(SX11&gt;0,SX11,"")</f>
        <v>15.100000000000001</v>
      </c>
      <c r="TM11" s="76">
        <f>IF(SY11&gt;0,SY11,"")</f>
        <v>15.425000000000001</v>
      </c>
      <c r="TN11" s="76">
        <f>IF(SUM(SV11:SY11)-SZ11&gt;0,SUM(SV11:SY11)-SZ11,"")</f>
        <v>53.075000000000003</v>
      </c>
      <c r="TO11" s="76">
        <f>IF(TC11&gt;0,TC11,"")</f>
        <v>11.8</v>
      </c>
      <c r="TP11" s="76">
        <f>IF(TD11&gt;0,TD11,"")</f>
        <v>15.079999999999998</v>
      </c>
      <c r="TQ11" s="76">
        <f>IF(SUM(TA11:TD11)-TE11&gt;0,SUM(TA11:TD11)-TE11,"")</f>
        <v>47.080000000000005</v>
      </c>
      <c r="TR11" s="76">
        <f>IF(MAX(TN11,TQ11)&gt;0,MAX(TN11,TQ11),"")</f>
        <v>53.075000000000003</v>
      </c>
      <c r="TS11" s="76">
        <f>IF(TH11&gt;0,TH11,"")</f>
        <v>11.8</v>
      </c>
      <c r="TT11" s="76">
        <f>IF(TI11&gt;0,TI11,"")</f>
        <v>12.68</v>
      </c>
      <c r="TU11" s="76">
        <f>IF(SUM(TF11:TI11)-TJ11&gt;0,SUM(TF11:TI11)-TJ11,"")</f>
        <v>43.730000000000004</v>
      </c>
      <c r="TV11" s="76">
        <f>IF(SUM(TR11,TU11)&gt;0,SUM(TR11,TU11),"")</f>
        <v>96.805000000000007</v>
      </c>
    </row>
    <row r="12" spans="1:542" x14ac:dyDescent="0.2">
      <c r="A12" s="5" t="str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/>
      </c>
      <c r="B12" s="6" t="s">
        <v>78</v>
      </c>
      <c r="C12" s="7" t="s">
        <v>77</v>
      </c>
      <c r="D12" s="18">
        <v>2001</v>
      </c>
      <c r="E12" s="14">
        <f>SUM(J12:V12)+SUM(J12:T12)*0.0000001+SUM(J12)*0.0000000000001</f>
        <v>237.17002371700531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DZ12&gt;=EK$29,DZ12&lt;&gt;""),AND(EC12&gt;=EK$29,EC12&lt;&gt;""),AND(EG12&gt;=EK$29,EG12&lt;&gt;""),AND(EJ12&gt;=EK$29,EJ12&lt;&gt;""),AND(FH12&gt;=FS$29,FH12&lt;&gt;""),AND(FK12&gt;=FS$29,FK12&lt;&gt;""),AND(FO12&gt;=FS$29,FO12&lt;&gt;""),AND(FR12&gt;=FS$29,FR12&lt;&gt;""),AND(GP12&gt;=HA$29,GP12&lt;&gt;""),AND(GS12&gt;=HA$29,GS12&lt;&gt;""),AND(GW12&gt;=HA$29,GW12&lt;&gt;""),AND(GZ12&gt;=HA$29,GZ12&lt;&gt;""),AND(HX12&gt;=II$29,HX12&lt;&gt;""),AND(IA12&gt;=II$29,IA12&lt;&gt;""),AND(IE12&gt;=II$29,IE12&lt;&gt;""),AND(IH12&gt;=II$29,IH12&lt;&gt;""),AND(JF12&gt;=JQ$29,JF12&lt;&gt;""),AND(JI12&gt;=JQ$29,JI12&lt;&gt;""),AND(JM12&gt;=JQ$29,JM12&lt;&gt;""),AND(JP12&gt;=JQ$29,JP12&lt;&gt;""),AND(KN12&gt;=KY$29,KN12&lt;&gt;""),AND(KQ12&gt;=KY$29,KQ12&lt;&gt;""),AND(KU12&gt;=KY$29,KU12&lt;&gt;""),AND(KX12&gt;=KY$29,KX12&lt;&gt;""),AND(LV12&gt;=MG$29,LV12&lt;&gt;""),AND(LY12&gt;=MG$29,LY12&lt;&gt;""),AND(MC12&gt;=MG$29,MC12&lt;&gt;""),AND(MF12&gt;=MG$29,MF12&lt;&gt;""),AND(ND12&gt;=NO$29,ND12&lt;&gt;""),AND(NG12&gt;=NO$29,NG12&lt;&gt;""),AND(NK12&gt;=NO$29,NK12&lt;&gt;""),AND(NN12&gt;=NO$29,NN12&lt;&gt;""),AND(OL12&gt;=OW$29,OL12&lt;&gt;""),AND(OO12&gt;=OW$29,OO12&lt;&gt;""),AND(OS12&gt;=OW$29,OS12&lt;&gt;""),AND(OV12&gt;=OW$29,OV12&lt;&gt;""),AND(PT12&gt;=QE$29,PT12&lt;&gt;""),AND(PW12&gt;=QE$29,PW12&lt;&gt;""),AND(QA12&gt;=QE$29,QA12&lt;&gt;""),AND(QD12&gt;=QE$29,QD12&lt;&gt;""),AND(RB12&gt;=RM$29,RB12&lt;&gt;""),AND(RE12&gt;=RM$29,RE12&lt;&gt;""),AND(RI12&gt;=RM$29,RI12&lt;&gt;""),AND(RL12&gt;=RM$29,RL12&lt;&gt;""),AND(SJ12&gt;=SU$29,SJ12&lt;&gt;""),AND(SM12&gt;=SU$29,SM12&lt;&gt;""),AND(SQ12&gt;=SU$29,SQ12&lt;&gt;""),AND(ST12&gt;=SU$29,ST12&lt;&gt;"")),"P","")</f>
        <v/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Excellence",IF(I12="P","Worlds Team",IF(F12="P","National Team","")))))</f>
        <v/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J12" s="13">
        <f>IF(COUNT(AQ12,AT12,BR12,BU12,CS12,CV12)&gt;0,LARGE((AQ12,AT12,BR12,BU12,CS12,CV12),1),0)</f>
        <v>53.089999999999996</v>
      </c>
      <c r="K12" s="13" t="str">
        <f>IF(J12="","",IF(OR(J12=CS12,J12=CV12),$CA$1,IF(OR(J12=BR12,J12=BU12),$AZ$1,IF(OR(J12=AQ12,J12=AT12),$Y$1,""))))</f>
        <v>2022 3rd Domestic Trial</v>
      </c>
      <c r="L12" s="13">
        <f>IF(COUNT(AQ12,AT12,BR12,BU12,CS12,CV12)&gt;1,LARGE((AQ12,AT12,BR12,BU12,CS12,CV12),2),0)</f>
        <v>51.839999999999996</v>
      </c>
      <c r="M12" s="13" t="str">
        <f>IF(L12="","",IF(OR(L12=CS12,L12=CV12),$CA$1,IF(OR(L12=BR12,L12=BU12),$AZ$1,IF(OR(L12=AQ12,L12=AT12),$Y$1,""))))</f>
        <v>2022 3rd Domestic Trial</v>
      </c>
      <c r="N12" s="13">
        <f>IF(COUNT(AQ12,AT12,BR12,BU12,CS12,CV12)&gt;2,LARGE((AQ12,AT12,BR12,BU12,CS12,CV12),3),0)</f>
        <v>49.16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52.74</v>
      </c>
      <c r="Q12" s="13" t="str">
        <f>IF(P12="","",IF(P12=CZ12,$CA$1,IF(P12=BY12,$AZ$1,IF(P12=AX12,$Y$1,""))))</f>
        <v>2022 3rd Domestic Trial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3rd Domestic Trial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,IF(DX12&gt;=$EK$25,DY12,0),IF(EA12&gt;=$EK$25,EB12,0),IF(EE12&gt;=$EK$25,EF12,0),IF(EH12&gt;=$EK$25,EI12,0),IF(FF12&gt;=$FS$25,FG12,0),IF(FI12&gt;=$FS$25,FJ12,0),IF(FM12&gt;=$FS$25,FN12,0),IF(FP12&gt;=$FS$25,FQ12,0),IF(GN12&gt;=$HA$25,GO12,0),IF(GQ12&gt;=$HA$25,GR12,0),IF(GU12&gt;=$HA$25,GV12,0),IF(GX12&gt;=$HA$25,GY12,0),IF(HV12&gt;=$II$25,HW12,0),IF(HY12&gt;=$II$25,HZ12,0),IF(IC12&gt;=$II$25,ID12,0),IF(IF12&gt;=$II$25,IG12,0),IF(JD12&gt;=$JQ$25,JE12,0),IF(JG12&gt;=$JQ$25,JH12,0),IF(JK12&gt;=$JQ$25,JL12,0),IF(JN12&gt;=$JQ$25,JO12,0),IF(KL12&gt;=$KY$25,KM12,0),IF(KO12&gt;=$KY$25,KP12,0),IF(KS12&gt;=$KY$25,KT12,0),IF(KV12&gt;=$KY$25,KW12,0),IF(LT12&gt;=$MG$25,LU12,0),IF(LW12&gt;=$MG$25,LX12,0),IF(MA12&gt;=$MG$25,MB12,0),IF(MD12&gt;=$MG$25,ME12,0),IF(NB12&gt;=$NO$25,NC12,0),IF(NE12&gt;=$NO$25,NF12,0),IF(NI12&gt;=$NO$25,NJ12,0),IF(NL12&gt;=$NO$25,NM12,0),IF(OJ12&gt;=$OW$25,OK12,0),IF(OM12&gt;=$OW$25,ON12,0),IF(OQ12&gt;=$OW$25,OR12,0),IF(OT12&gt;=$OW$25,OU12,0),IF(PR12&gt;=$QE$25,PS12,0),IF(PU12&gt;=$QE$25,PV12,0),IF(PY12&gt;=$QE$25,PZ12,0),IF(QB12&gt;=$QE$25,QC12,0),IF(QZ12&gt;=$RM$25,RA12,0),IF(RC12&gt;=$RM$25,RD12,0),IF(RG12&gt;=$RM$25,RH12,0),IF(RJ12&gt;=$RM$25,RK12,0),IF(SH12&gt;=$SU$25,SI12,0),IF(SK12&gt;=$SU$25,SL12,0),IF(SO12&gt;=$SU$25,SP12,0),IF(SR12&gt;=$SU$25,SS12,0)),0)</f>
        <v>14.94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2022 3rd Domestic Trial</v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13.7</v>
      </c>
      <c r="Z12" s="42">
        <v>9.1999999999999993</v>
      </c>
      <c r="AA12" s="42">
        <v>12.3</v>
      </c>
      <c r="AB12" s="42">
        <v>15.16</v>
      </c>
      <c r="AC12" s="42">
        <v>1.2</v>
      </c>
      <c r="AD12" s="42">
        <v>12.1</v>
      </c>
      <c r="AE12" s="42">
        <v>7.7</v>
      </c>
      <c r="AF12" s="42">
        <v>13</v>
      </c>
      <c r="AG12" s="42">
        <v>13.67</v>
      </c>
      <c r="AH12" s="42">
        <v>0</v>
      </c>
      <c r="AI12" s="42"/>
      <c r="AJ12" s="42"/>
      <c r="AK12" s="42"/>
      <c r="AL12" s="42"/>
      <c r="AM12" s="42"/>
      <c r="AN12" s="51"/>
      <c r="AO12" s="74">
        <f>IF(AA12&gt;0,AA12,"")</f>
        <v>12.3</v>
      </c>
      <c r="AP12" s="74">
        <f>IF(AB12&gt;0,AB12,"")</f>
        <v>15.16</v>
      </c>
      <c r="AQ12" s="76">
        <f>IF(SUM(Y12:AB12)-AC12&gt;0,SUM(Y12:AB12)-AC12,"")</f>
        <v>49.16</v>
      </c>
      <c r="AR12" s="76">
        <f>IF(AF12&gt;0,AF12,"")</f>
        <v>13</v>
      </c>
      <c r="AS12" s="76">
        <f>IF(AG12&gt;0,AG12,"")</f>
        <v>13.67</v>
      </c>
      <c r="AT12" s="76">
        <f>IF(SUM(AD12:AG12)-AH12&gt;0,SUM(AD12:AG12)-AH12,"")</f>
        <v>46.47</v>
      </c>
      <c r="AU12" s="76">
        <f>IF(AQ12="","",MAX(AQ12,AT12))</f>
        <v>49.16</v>
      </c>
      <c r="AV12" s="76" t="str">
        <f>IF(AK12&gt;0,AK12,"")</f>
        <v/>
      </c>
      <c r="AW12" s="76" t="str">
        <f>IF(AL12&gt;0,AL12,"")</f>
        <v/>
      </c>
      <c r="AX12" s="76" t="str">
        <f>IF(SUM(AI12:AL12)-AM12&gt;0,SUM(AI12:AL12)-AM12,"")</f>
        <v/>
      </c>
      <c r="AY12" s="76">
        <f>IF(SUM(AU12,AX12)&gt;0,SUM(AU12,AX12),"")</f>
        <v>49.16</v>
      </c>
      <c r="AZ12" s="46">
        <v>3</v>
      </c>
      <c r="BA12" s="46">
        <v>1.8</v>
      </c>
      <c r="BB12" s="46">
        <v>3.2</v>
      </c>
      <c r="BC12" s="46">
        <v>3.47</v>
      </c>
      <c r="BD12" s="46">
        <v>0</v>
      </c>
      <c r="BE12" s="46">
        <v>1.4</v>
      </c>
      <c r="BF12" s="46">
        <v>0.8</v>
      </c>
      <c r="BG12" s="46">
        <v>2</v>
      </c>
      <c r="BH12" s="46">
        <v>1.62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3.2</v>
      </c>
      <c r="BQ12" s="75">
        <f>IF(BC12&gt;0,BC12,"")</f>
        <v>3.47</v>
      </c>
      <c r="BR12" s="16">
        <f>IF(SUM(AZ12:BC12)-BD12&gt;0,SUM(AZ12:BC12)-BD12,"")</f>
        <v>11.47</v>
      </c>
      <c r="BS12" s="16">
        <f>IF(BG12&gt;0,BG12,"")</f>
        <v>2</v>
      </c>
      <c r="BT12" s="16">
        <f>IF(BH12&gt;0,BH12,"")</f>
        <v>1.62</v>
      </c>
      <c r="BU12" s="16">
        <f>IF(SUM(BE12:BH12)-BI12&gt;0,SUM(BE12:BH12)-BI12,"")</f>
        <v>5.82</v>
      </c>
      <c r="BV12" s="16">
        <f>IF(BR12="","",MAX(BR12,BU12))</f>
        <v>11.47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11.47</v>
      </c>
      <c r="CA12" s="42">
        <v>13.9</v>
      </c>
      <c r="CB12" s="42">
        <v>9</v>
      </c>
      <c r="CC12" s="42">
        <v>15.2</v>
      </c>
      <c r="CD12" s="42">
        <v>14.99</v>
      </c>
      <c r="CE12" s="42">
        <v>0</v>
      </c>
      <c r="CF12" s="42">
        <v>12</v>
      </c>
      <c r="CG12" s="42">
        <v>9.5</v>
      </c>
      <c r="CH12" s="42">
        <v>15.4</v>
      </c>
      <c r="CI12" s="42">
        <v>14.94</v>
      </c>
      <c r="CJ12" s="42">
        <v>0</v>
      </c>
      <c r="CK12" s="42">
        <v>14.7</v>
      </c>
      <c r="CL12" s="42">
        <v>9.4</v>
      </c>
      <c r="CM12" s="42">
        <v>13.8</v>
      </c>
      <c r="CN12" s="42">
        <v>15.04</v>
      </c>
      <c r="CO12" s="42">
        <v>0.2</v>
      </c>
      <c r="CP12" s="51"/>
      <c r="CQ12" s="74">
        <f>IF(CC12&gt;0,CC12,"")</f>
        <v>15.2</v>
      </c>
      <c r="CR12" s="74">
        <f>IF(CD12&gt;0,CD12,"")</f>
        <v>14.99</v>
      </c>
      <c r="CS12" s="76">
        <f>IF(SUM(CA12:CD12)-CE12&gt;0,SUM(CA12:CD12)-CE12,"")</f>
        <v>53.089999999999996</v>
      </c>
      <c r="CT12" s="76">
        <f>IF(CH12&gt;0,CH12,"")</f>
        <v>15.4</v>
      </c>
      <c r="CU12" s="76">
        <f>IF(CI12&gt;0,CI12,"")</f>
        <v>14.94</v>
      </c>
      <c r="CV12" s="76">
        <f>IF(SUM(CF12:CI12)-CJ12&gt;0,SUM(CF12:CI12)-CJ12,"")</f>
        <v>51.839999999999996</v>
      </c>
      <c r="CW12" s="76">
        <f>IF(CS12="","",MAX(CS12,CV12))</f>
        <v>53.089999999999996</v>
      </c>
      <c r="CX12" s="76">
        <f>IF(CM12&gt;0,CM12,"")</f>
        <v>13.8</v>
      </c>
      <c r="CY12" s="76">
        <f>IF(CN12&gt;0,CN12,"")</f>
        <v>15.04</v>
      </c>
      <c r="CZ12" s="76">
        <f>IF(SUM(CK12:CN12)-CO12&gt;0,SUM(CK12:CN12)-CO12,"")</f>
        <v>52.74</v>
      </c>
      <c r="DA12" s="76">
        <f>IF(SUM(CW12,CZ12)&gt;0,SUM(CW12,CZ12),"")</f>
        <v>105.83</v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8.4499999999999993</v>
      </c>
      <c r="SW12" s="42">
        <f>IF($CP12="P",CB12,(CB12+BA12)/2)</f>
        <v>5.4</v>
      </c>
      <c r="SX12" s="42">
        <f>IF($CP12="P",CC12,(CC12+BB12)/2)</f>
        <v>9.1999999999999993</v>
      </c>
      <c r="SY12" s="42">
        <f>IF($CP12="P",CD12,(CD12+BC12)/2)</f>
        <v>9.23</v>
      </c>
      <c r="SZ12" s="42">
        <f>IF($CP12="P",CE12,(CE12+BD12)/2)</f>
        <v>0</v>
      </c>
      <c r="TA12" s="42">
        <f>IF($CP12="P",CF12,(CF12+BE12)/2)</f>
        <v>6.7</v>
      </c>
      <c r="TB12" s="42">
        <f>IF($CP12="P",CG12,(CG12+BF12)/2)</f>
        <v>5.15</v>
      </c>
      <c r="TC12" s="42">
        <f>IF($CP12="P",CH12,(CH12+BG12)/2)</f>
        <v>8.6999999999999993</v>
      </c>
      <c r="TD12" s="42">
        <f>IF($CP12="P",CI12,(CI12+BH12)/2)</f>
        <v>8.2799999999999994</v>
      </c>
      <c r="TE12" s="42">
        <f>IF($CP12="P",CJ12,(CJ12+BI12)/2)</f>
        <v>0</v>
      </c>
      <c r="TF12" s="42">
        <f>IF($CP12="P",CK12,(CK12+BJ12)/2)</f>
        <v>7.35</v>
      </c>
      <c r="TG12" s="42">
        <f>IF($CP12="P",CL12,(CL12+BK12)/2)</f>
        <v>4.7</v>
      </c>
      <c r="TH12" s="42">
        <f>IF($CP12="P",CM12,(CM12+BL12)/2)</f>
        <v>6.9</v>
      </c>
      <c r="TI12" s="42">
        <f>IF($CP12="P",CN12,(CN12+BM12)/2)</f>
        <v>7.52</v>
      </c>
      <c r="TJ12" s="42">
        <f>IF($CP12="P",CO12,(CO12+BN12)/2)</f>
        <v>0.1</v>
      </c>
      <c r="TK12" s="51" t="s">
        <v>58</v>
      </c>
      <c r="TL12" s="76">
        <f>IF(SX12&gt;0,SX12,"")</f>
        <v>9.1999999999999993</v>
      </c>
      <c r="TM12" s="76">
        <f>IF(SY12&gt;0,SY12,"")</f>
        <v>9.23</v>
      </c>
      <c r="TN12" s="76">
        <f>IF(SUM(SV12:SY12)-SZ12&gt;0,SUM(SV12:SY12)-SZ12,"")</f>
        <v>32.28</v>
      </c>
      <c r="TO12" s="76">
        <f>IF(TC12&gt;0,TC12,"")</f>
        <v>8.6999999999999993</v>
      </c>
      <c r="TP12" s="76">
        <f>IF(TD12&gt;0,TD12,"")</f>
        <v>8.2799999999999994</v>
      </c>
      <c r="TQ12" s="76">
        <f>IF(SUM(TA12:TD12)-TE12&gt;0,SUM(TA12:TD12)-TE12,"")</f>
        <v>28.83</v>
      </c>
      <c r="TR12" s="76">
        <f>IF(MAX(TN12,TQ12)&gt;0,MAX(TN12,TQ12),"")</f>
        <v>32.28</v>
      </c>
      <c r="TS12" s="76">
        <f>IF(TH12&gt;0,TH12,"")</f>
        <v>6.9</v>
      </c>
      <c r="TT12" s="76">
        <f>IF(TI12&gt;0,TI12,"")</f>
        <v>7.52</v>
      </c>
      <c r="TU12" s="76">
        <f>IF(SUM(TF12:TI12)-TJ12&gt;0,SUM(TF12:TI12)-TJ12,"")</f>
        <v>26.37</v>
      </c>
      <c r="TV12" s="76">
        <f>IF(SUM(TR12,TU12)&gt;0,SUM(TR12,TU12),"")</f>
        <v>58.650000000000006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142</v>
      </c>
      <c r="C13" s="7" t="s">
        <v>8</v>
      </c>
      <c r="D13" s="5">
        <v>2005</v>
      </c>
      <c r="E13" s="14">
        <f>SUM(J13:V13)+SUM(J13:T13)*0.0000001+SUM(J13)*0.0000000000001</f>
        <v>223.62502236250532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DZ13&gt;=EK$29,DZ13&lt;&gt;""),AND(EC13&gt;=EK$29,EC13&lt;&gt;""),AND(EG13&gt;=EK$29,EG13&lt;&gt;""),AND(EJ13&gt;=EK$29,EJ13&lt;&gt;""),AND(FH13&gt;=FS$29,FH13&lt;&gt;""),AND(FK13&gt;=FS$29,FK13&lt;&gt;""),AND(FO13&gt;=FS$29,FO13&lt;&gt;""),AND(FR13&gt;=FS$29,FR13&lt;&gt;""),AND(GP13&gt;=HA$29,GP13&lt;&gt;""),AND(GS13&gt;=HA$29,GS13&lt;&gt;""),AND(GW13&gt;=HA$29,GW13&lt;&gt;""),AND(GZ13&gt;=HA$29,GZ13&lt;&gt;""),AND(HX13&gt;=II$29,HX13&lt;&gt;""),AND(IA13&gt;=II$29,IA13&lt;&gt;""),AND(IE13&gt;=II$29,IE13&lt;&gt;""),AND(IH13&gt;=II$29,IH13&lt;&gt;""),AND(JF13&gt;=JQ$29,JF13&lt;&gt;""),AND(JI13&gt;=JQ$29,JI13&lt;&gt;""),AND(JM13&gt;=JQ$29,JM13&lt;&gt;""),AND(JP13&gt;=JQ$29,JP13&lt;&gt;""),AND(KN13&gt;=KY$29,KN13&lt;&gt;""),AND(KQ13&gt;=KY$29,KQ13&lt;&gt;""),AND(KU13&gt;=KY$29,KU13&lt;&gt;""),AND(KX13&gt;=KY$29,KX13&lt;&gt;""),AND(LV13&gt;=MG$29,LV13&lt;&gt;""),AND(LY13&gt;=MG$29,LY13&lt;&gt;""),AND(MC13&gt;=MG$29,MC13&lt;&gt;""),AND(MF13&gt;=MG$29,MF13&lt;&gt;""),AND(ND13&gt;=NO$29,ND13&lt;&gt;""),AND(NG13&gt;=NO$29,NG13&lt;&gt;""),AND(NK13&gt;=NO$29,NK13&lt;&gt;""),AND(NN13&gt;=NO$29,NN13&lt;&gt;""),AND(OL13&gt;=OW$29,OL13&lt;&gt;""),AND(OO13&gt;=OW$29,OO13&lt;&gt;""),AND(OS13&gt;=OW$29,OS13&lt;&gt;""),AND(OV13&gt;=OW$29,OV13&lt;&gt;""),AND(PT13&gt;=QE$29,PT13&lt;&gt;""),AND(PW13&gt;=QE$29,PW13&lt;&gt;""),AND(QA13&gt;=QE$29,QA13&lt;&gt;""),AND(QD13&gt;=QE$29,QD13&lt;&gt;""),AND(RB13&gt;=RM$29,RB13&lt;&gt;""),AND(RE13&gt;=RM$29,RE13&lt;&gt;""),AND(RI13&gt;=RM$29,RI13&lt;&gt;""),AND(RL13&gt;=RM$29,RL13&lt;&gt;""),AND(SJ13&gt;=SU$29,SJ13&lt;&gt;""),AND(SM13&gt;=SU$29,SM13&lt;&gt;""),AND(SQ13&gt;=SU$29,SQ13&lt;&gt;""),AND(ST13&gt;=SU$29,ST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J13" s="13">
        <f>IF(COUNT(AQ13,AT13,BR13,BU13,CS13,CV13)&gt;0,LARGE((AQ13,AT13,BR13,BU13,CS13,CV13),1),0)</f>
        <v>53.150000000000006</v>
      </c>
      <c r="K13" s="13" t="str">
        <f>IF(J13="","",IF(OR(J13=CS13,J13=CV13),$CA$1,IF(OR(J13=BR13,J13=BU13),$AZ$1,IF(OR(J13=AQ13,J13=AT13),$Y$1,""))))</f>
        <v>2022 3rd Domestic Trial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51.86</v>
      </c>
      <c r="O13" s="13" t="str">
        <f>IF(N13="","",IF(OR(N13=CS13,N13=CV13),$CA$1,IF(OR(N13=BR13,N13=BU13),$AZ$1,IF(OR(N13=AQ13,N13=AT13),$Y$1,""))))</f>
        <v>2022 Nationals</v>
      </c>
      <c r="P13" s="13">
        <f>IF(MAX(AX13,BY13,CZ13)&gt;0,MAX(AX13,BY13,CZ13),0)</f>
        <v>52.069999999999993</v>
      </c>
      <c r="Q13" s="13" t="str">
        <f>IF(P13="","",IF(P13=CZ13,$CA$1,IF(P13=BY13,$AZ$1,IF(P13=AX13,$Y$1,""))))</f>
        <v>2022 Nationals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13.5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,IF(DX13&gt;=$EK$25,DY13,0),IF(EA13&gt;=$EK$25,EB13,0),IF(EE13&gt;=$EK$25,EF13,0),IF(EH13&gt;=$EK$25,EI13,0),IF(FF13&gt;=$FS$25,FG13,0),IF(FI13&gt;=$FS$25,FJ13,0),IF(FM13&gt;=$FS$25,FN13,0),IF(FP13&gt;=$FS$25,FQ13,0),IF(GN13&gt;=$HA$25,GO13,0),IF(GQ13&gt;=$HA$25,GR13,0),IF(GU13&gt;=$HA$25,GV13,0),IF(GX13&gt;=$HA$25,GY13,0),IF(HV13&gt;=$II$25,HW13,0),IF(HY13&gt;=$II$25,HZ13,0),IF(IC13&gt;=$II$25,ID13,0),IF(IF13&gt;=$II$25,IG13,0),IF(JD13&gt;=$JQ$25,JE13,0),IF(JG13&gt;=$JQ$25,JH13,0),IF(JK13&gt;=$JQ$25,JL13,0),IF(JN13&gt;=$JQ$25,JO13,0),IF(KL13&gt;=$KY$25,KM13,0),IF(KO13&gt;=$KY$25,KP13,0),IF(KS13&gt;=$KY$25,KT13,0),IF(KV13&gt;=$KY$25,KW13,0),IF(LT13&gt;=$MG$25,LU13,0),IF(LW13&gt;=$MG$25,LX13,0),IF(MA13&gt;=$MG$25,MB13,0),IF(MD13&gt;=$MG$25,ME13,0),IF(NB13&gt;=$NO$25,NC13,0),IF(NE13&gt;=$NO$25,NF13,0),IF(NI13&gt;=$NO$25,NJ13,0),IF(NL13&gt;=$NO$25,NM13,0),IF(OJ13&gt;=$OW$25,OK13,0),IF(OM13&gt;=$OW$25,ON13,0),IF(OQ13&gt;=$OW$25,OR13,0),IF(OT13&gt;=$OW$25,OU13,0),IF(PR13&gt;=$QE$25,PS13,0),IF(PU13&gt;=$QE$25,PV13,0),IF(PY13&gt;=$QE$25,PZ13,0),IF(QB13&gt;=$QE$25,QC13,0),IF(QZ13&gt;=$RM$25,RA13,0),IF(RC13&gt;=$RM$25,RD13,0),IF(RG13&gt;=$RM$25,RH13,0),IF(RJ13&gt;=$RM$25,RK13,0),IF(SH13&gt;=$SU$25,SI13,0),IF(SK13&gt;=$SU$25,SL13,0),IF(SO13&gt;=$SU$25,SP13,0),IF(SR13&gt;=$SU$25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42">
        <v>15.7</v>
      </c>
      <c r="Z13" s="42">
        <v>9.3000000000000007</v>
      </c>
      <c r="AA13" s="42">
        <v>13.5</v>
      </c>
      <c r="AB13" s="42">
        <v>14.744999999999999</v>
      </c>
      <c r="AC13" s="42">
        <v>0.2</v>
      </c>
      <c r="AD13" s="42">
        <v>13.9</v>
      </c>
      <c r="AE13" s="42">
        <v>9.1</v>
      </c>
      <c r="AF13" s="42">
        <v>12.5</v>
      </c>
      <c r="AG13" s="42">
        <v>14.91</v>
      </c>
      <c r="AH13" s="42">
        <v>1</v>
      </c>
      <c r="AI13" s="42">
        <v>6.3</v>
      </c>
      <c r="AJ13" s="42">
        <v>3.2</v>
      </c>
      <c r="AK13" s="42">
        <v>5.6</v>
      </c>
      <c r="AL13" s="42">
        <v>6.29</v>
      </c>
      <c r="AM13" s="42">
        <v>0</v>
      </c>
      <c r="AN13" s="51"/>
      <c r="AO13" s="74">
        <f>IF(AA13&gt;0,AA13,"")</f>
        <v>13.5</v>
      </c>
      <c r="AP13" s="74">
        <f>IF(AB13&gt;0,AB13,"")</f>
        <v>14.744999999999999</v>
      </c>
      <c r="AQ13" s="76">
        <f>IF(SUM(Y13:AB13)-AC13&gt;0,SUM(Y13:AB13)-AC13,"")</f>
        <v>53.044999999999995</v>
      </c>
      <c r="AR13" s="76">
        <f>IF(AF13&gt;0,AF13,"")</f>
        <v>12.5</v>
      </c>
      <c r="AS13" s="76">
        <f>IF(AG13&gt;0,AG13,"")</f>
        <v>14.91</v>
      </c>
      <c r="AT13" s="76">
        <f>IF(SUM(AD13:AG13)-AH13&gt;0,SUM(AD13:AG13)-AH13,"")</f>
        <v>49.41</v>
      </c>
      <c r="AU13" s="76">
        <f>IF(AQ13="","",MAX(AQ13,AT13))</f>
        <v>53.044999999999995</v>
      </c>
      <c r="AV13" s="76">
        <f>IF(AK13&gt;0,AK13,"")</f>
        <v>5.6</v>
      </c>
      <c r="AW13" s="76">
        <f>IF(AL13&gt;0,AL13,"")</f>
        <v>6.29</v>
      </c>
      <c r="AX13" s="76">
        <f>IF(SUM(AI13:AL13)-AM13&gt;0,SUM(AI13:AL13)-AM13,"")</f>
        <v>21.39</v>
      </c>
      <c r="AY13" s="76">
        <f>IF(SUM(AU13,AX13)&gt;0,SUM(AU13,AX13),"")</f>
        <v>74.435000000000002</v>
      </c>
      <c r="AZ13" s="46">
        <v>4.5</v>
      </c>
      <c r="BA13" s="46">
        <v>2.6</v>
      </c>
      <c r="BB13" s="46">
        <v>4.4000000000000004</v>
      </c>
      <c r="BC13" s="46">
        <v>4.54</v>
      </c>
      <c r="BD13" s="46">
        <v>0.2</v>
      </c>
      <c r="BE13" s="46">
        <v>15</v>
      </c>
      <c r="BF13" s="46">
        <v>9.1</v>
      </c>
      <c r="BG13" s="46">
        <v>13.5</v>
      </c>
      <c r="BH13" s="46">
        <v>14.46</v>
      </c>
      <c r="BI13" s="46">
        <v>0.2</v>
      </c>
      <c r="BJ13" s="46">
        <v>15.2</v>
      </c>
      <c r="BK13" s="46">
        <v>9.1999999999999993</v>
      </c>
      <c r="BL13" s="46">
        <v>13.5</v>
      </c>
      <c r="BM13" s="46">
        <v>14.37</v>
      </c>
      <c r="BN13" s="46">
        <v>0.2</v>
      </c>
      <c r="BO13" s="52"/>
      <c r="BP13" s="75">
        <f>IF(BB13&gt;0,BB13,"")</f>
        <v>4.4000000000000004</v>
      </c>
      <c r="BQ13" s="75">
        <f>IF(BC13&gt;0,BC13,"")</f>
        <v>4.54</v>
      </c>
      <c r="BR13" s="16">
        <f>IF(SUM(AZ13:BC13)-BD13&gt;0,SUM(AZ13:BC13)-BD13,"")</f>
        <v>15.84</v>
      </c>
      <c r="BS13" s="16">
        <f>IF(BG13&gt;0,BG13,"")</f>
        <v>13.5</v>
      </c>
      <c r="BT13" s="16">
        <f>IF(BH13&gt;0,BH13,"")</f>
        <v>14.46</v>
      </c>
      <c r="BU13" s="16">
        <f>IF(SUM(BE13:BH13)-BI13&gt;0,SUM(BE13:BH13)-BI13,"")</f>
        <v>51.86</v>
      </c>
      <c r="BV13" s="16">
        <f>IF(BR13="","",MAX(BR13,BU13))</f>
        <v>51.86</v>
      </c>
      <c r="BW13" s="16">
        <f>IF(BL13&gt;0,BL13,"")</f>
        <v>13.5</v>
      </c>
      <c r="BX13" s="16">
        <f>IF(BM13&gt;0,BM13,"")</f>
        <v>14.37</v>
      </c>
      <c r="BY13" s="16">
        <f>IF(SUM(BJ13:BM13)-BN13&gt;0,SUM(BJ13:BM13)-BN13,"")</f>
        <v>52.069999999999993</v>
      </c>
      <c r="BZ13" s="16">
        <f>IF(SUM(BV13,BY13)&gt;0,SUM(BV13,BY13),"")</f>
        <v>103.92999999999999</v>
      </c>
      <c r="CA13" s="42">
        <v>15.4</v>
      </c>
      <c r="CB13" s="42">
        <v>9.1999999999999993</v>
      </c>
      <c r="CC13" s="42">
        <v>13.5</v>
      </c>
      <c r="CD13" s="42">
        <v>15.05</v>
      </c>
      <c r="CE13" s="42">
        <v>0</v>
      </c>
      <c r="CF13" s="42">
        <v>13.7</v>
      </c>
      <c r="CG13" s="42">
        <v>9.3000000000000007</v>
      </c>
      <c r="CH13" s="42">
        <v>12.3</v>
      </c>
      <c r="CI13" s="42">
        <v>14.56</v>
      </c>
      <c r="CJ13" s="42">
        <v>1.2</v>
      </c>
      <c r="CK13" s="42">
        <v>6.1</v>
      </c>
      <c r="CL13" s="42">
        <v>3.6</v>
      </c>
      <c r="CM13" s="42">
        <v>5.8</v>
      </c>
      <c r="CN13" s="42">
        <v>6</v>
      </c>
      <c r="CO13" s="42">
        <v>0</v>
      </c>
      <c r="CP13" s="51"/>
      <c r="CQ13" s="74">
        <f>IF(CC13&gt;0,CC13,"")</f>
        <v>13.5</v>
      </c>
      <c r="CR13" s="74">
        <f>IF(CD13&gt;0,CD13,"")</f>
        <v>15.05</v>
      </c>
      <c r="CS13" s="76">
        <f>IF(SUM(CA13:CD13)-CE13&gt;0,SUM(CA13:CD13)-CE13,"")</f>
        <v>53.150000000000006</v>
      </c>
      <c r="CT13" s="76">
        <f>IF(CH13&gt;0,CH13,"")</f>
        <v>12.3</v>
      </c>
      <c r="CU13" s="76">
        <f>IF(CI13&gt;0,CI13,"")</f>
        <v>14.56</v>
      </c>
      <c r="CV13" s="76">
        <f>IF(SUM(CF13:CI13)-CJ13&gt;0,SUM(CF13:CI13)-CJ13,"")</f>
        <v>48.66</v>
      </c>
      <c r="CW13" s="76">
        <f>IF(CS13="","",MAX(CS13,CV13))</f>
        <v>53.150000000000006</v>
      </c>
      <c r="CX13" s="76">
        <f>IF(CM13&gt;0,CM13,"")</f>
        <v>5.8</v>
      </c>
      <c r="CY13" s="76">
        <f>IF(CN13&gt;0,CN13,"")</f>
        <v>6</v>
      </c>
      <c r="CZ13" s="76">
        <f>IF(SUM(CK13:CN13)-CO13&gt;0,SUM(CK13:CN13)-CO13,"")</f>
        <v>21.5</v>
      </c>
      <c r="DA13" s="76">
        <f>IF(SUM(CW13,CZ13)&gt;0,SUM(CW13,CZ13),"")</f>
        <v>74.650000000000006</v>
      </c>
      <c r="DB13" s="87" t="str">
        <f>IF(N13&gt;=0.001,IF(MAX(ED13,FL13,GT13,IB13,JJ13,KR13,LZ13,NH13,OP13,PX13,RF13,SN13)-IF(N13="",0,N13)&gt;0.001,MAX(ED13,FL13,GT13,IB13,JJ13,KR13,LZ13,NH13,OP13,PX13,RF13,SN13)-IF(N13="",0,N13),""),"")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9.9499999999999993</v>
      </c>
      <c r="SW13" s="42">
        <f>IF($CP13="P",CB13,(CB13+BA13)/2)</f>
        <v>5.8999999999999995</v>
      </c>
      <c r="SX13" s="42">
        <f>IF($CP13="P",CC13,(CC13+BB13)/2)</f>
        <v>8.9499999999999993</v>
      </c>
      <c r="SY13" s="42">
        <f>IF($CP13="P",CD13,(CD13+BC13)/2)</f>
        <v>9.7949999999999999</v>
      </c>
      <c r="SZ13" s="42">
        <f>IF($CP13="P",CE13,(CE13+BD13)/2)</f>
        <v>0.1</v>
      </c>
      <c r="TA13" s="42">
        <f>IF($CP13="P",CF13,(CF13+BE13)/2)</f>
        <v>14.35</v>
      </c>
      <c r="TB13" s="42">
        <f>IF($CP13="P",CG13,(CG13+BF13)/2)</f>
        <v>9.1999999999999993</v>
      </c>
      <c r="TC13" s="42">
        <f>IF($CP13="P",CH13,(CH13+BG13)/2)</f>
        <v>12.9</v>
      </c>
      <c r="TD13" s="42">
        <f>IF($CP13="P",CI13,(CI13+BH13)/2)</f>
        <v>14.510000000000002</v>
      </c>
      <c r="TE13" s="42">
        <f>IF($CP13="P",CJ13,(CJ13+BI13)/2)</f>
        <v>0.7</v>
      </c>
      <c r="TF13" s="42">
        <f>IF($CP13="P",CK13,(CK13+BJ13)/2)</f>
        <v>10.649999999999999</v>
      </c>
      <c r="TG13" s="42">
        <f>IF($CP13="P",CL13,(CL13+BK13)/2)</f>
        <v>6.3999999999999995</v>
      </c>
      <c r="TH13" s="42">
        <f>IF($CP13="P",CM13,(CM13+BL13)/2)</f>
        <v>9.65</v>
      </c>
      <c r="TI13" s="42">
        <f>IF($CP13="P",CN13,(CN13+BM13)/2)</f>
        <v>10.184999999999999</v>
      </c>
      <c r="TJ13" s="42">
        <f>IF($CP13="P",CO13,(CO13+BN13)/2)</f>
        <v>0.1</v>
      </c>
      <c r="TK13" s="51" t="s">
        <v>58</v>
      </c>
      <c r="TL13" s="76">
        <f>IF(SX13&gt;0,SX13,"")</f>
        <v>8.9499999999999993</v>
      </c>
      <c r="TM13" s="76">
        <f>IF(SY13&gt;0,SY13,"")</f>
        <v>9.7949999999999999</v>
      </c>
      <c r="TN13" s="76">
        <f>IF(SUM(SV13:SY13)-SZ13&gt;0,SUM(SV13:SY13)-SZ13,"")</f>
        <v>34.494999999999997</v>
      </c>
      <c r="TO13" s="76">
        <f>IF(TC13&gt;0,TC13,"")</f>
        <v>12.9</v>
      </c>
      <c r="TP13" s="76">
        <f>IF(TD13&gt;0,TD13,"")</f>
        <v>14.510000000000002</v>
      </c>
      <c r="TQ13" s="76">
        <f>IF(SUM(TA13:TD13)-TE13&gt;0,SUM(TA13:TD13)-TE13,"")</f>
        <v>50.259999999999991</v>
      </c>
      <c r="TR13" s="76">
        <f>IF(MAX(TN13,TQ13)&gt;0,MAX(TN13,TQ13),"")</f>
        <v>50.259999999999991</v>
      </c>
      <c r="TS13" s="76">
        <f>IF(TH13&gt;0,TH13,"")</f>
        <v>9.65</v>
      </c>
      <c r="TT13" s="76">
        <f>IF(TI13&gt;0,TI13,"")</f>
        <v>10.184999999999999</v>
      </c>
      <c r="TU13" s="76">
        <f>IF(SUM(TF13:TI13)-TJ13&gt;0,SUM(TF13:TI13)-TJ13,"")</f>
        <v>36.784999999999989</v>
      </c>
      <c r="TV13" s="76">
        <f>IF(SUM(TR13,TU13)&gt;0,SUM(TR13,TU13),"")</f>
        <v>87.044999999999987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184</v>
      </c>
      <c r="C14" s="7" t="s">
        <v>183</v>
      </c>
      <c r="D14" s="5">
        <v>2004</v>
      </c>
      <c r="E14" s="14">
        <f>SUM(J14:V14)+SUM(J14:T14)*0.0000001+SUM(J14)*0.0000000000001</f>
        <v>221.22002212200525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DZ14&gt;=EK$29,DZ14&lt;&gt;""),AND(EC14&gt;=EK$29,EC14&lt;&gt;""),AND(EG14&gt;=EK$29,EG14&lt;&gt;""),AND(EJ14&gt;=EK$29,EJ14&lt;&gt;""),AND(FH14&gt;=FS$29,FH14&lt;&gt;""),AND(FK14&gt;=FS$29,FK14&lt;&gt;""),AND(FO14&gt;=FS$29,FO14&lt;&gt;""),AND(FR14&gt;=FS$29,FR14&lt;&gt;""),AND(GP14&gt;=HA$29,GP14&lt;&gt;""),AND(GS14&gt;=HA$29,GS14&lt;&gt;""),AND(GW14&gt;=HA$29,GW14&lt;&gt;""),AND(GZ14&gt;=HA$29,GZ14&lt;&gt;""),AND(HX14&gt;=II$29,HX14&lt;&gt;""),AND(IA14&gt;=II$29,IA14&lt;&gt;""),AND(IE14&gt;=II$29,IE14&lt;&gt;""),AND(IH14&gt;=II$29,IH14&lt;&gt;""),AND(JF14&gt;=JQ$29,JF14&lt;&gt;""),AND(JI14&gt;=JQ$29,JI14&lt;&gt;""),AND(JM14&gt;=JQ$29,JM14&lt;&gt;""),AND(JP14&gt;=JQ$29,JP14&lt;&gt;""),AND(KN14&gt;=KY$29,KN14&lt;&gt;""),AND(KQ14&gt;=KY$29,KQ14&lt;&gt;""),AND(KU14&gt;=KY$29,KU14&lt;&gt;""),AND(KX14&gt;=KY$29,KX14&lt;&gt;""),AND(LV14&gt;=MG$29,LV14&lt;&gt;""),AND(LY14&gt;=MG$29,LY14&lt;&gt;""),AND(MC14&gt;=MG$29,MC14&lt;&gt;""),AND(MF14&gt;=MG$29,MF14&lt;&gt;""),AND(ND14&gt;=NO$29,ND14&lt;&gt;""),AND(NG14&gt;=NO$29,NG14&lt;&gt;""),AND(NK14&gt;=NO$29,NK14&lt;&gt;""),AND(NN14&gt;=NO$29,NN14&lt;&gt;""),AND(OL14&gt;=OW$29,OL14&lt;&gt;""),AND(OO14&gt;=OW$29,OO14&lt;&gt;""),AND(OS14&gt;=OW$29,OS14&lt;&gt;""),AND(OV14&gt;=OW$29,OV14&lt;&gt;""),AND(PT14&gt;=QE$29,PT14&lt;&gt;""),AND(PW14&gt;=QE$29,PW14&lt;&gt;""),AND(QA14&gt;=QE$29,QA14&lt;&gt;""),AND(QD14&gt;=QE$29,QD14&lt;&gt;""),AND(RB14&gt;=RM$29,RB14&lt;&gt;""),AND(RE14&gt;=RM$29,RE14&lt;&gt;""),AND(RI14&gt;=RM$29,RI14&lt;&gt;""),AND(RL14&gt;=RM$29,RL14&lt;&gt;""),AND(SJ14&gt;=SU$29,SJ14&lt;&gt;""),AND(SM14&gt;=SU$29,SM14&lt;&gt;""),AND(SQ14&gt;=SU$29,SQ14&lt;&gt;""),AND(ST14&gt;=SU$29,ST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J14" s="13">
        <f>IF(COUNT(AQ14,AT14,BR14,BU14,CS14,CV14)&gt;0,LARGE((AQ14,AT14,BR14,BU14,CS14,CV14),1),0)</f>
        <v>52.91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52.660000000000004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47.98</v>
      </c>
      <c r="O14" s="13" t="str">
        <f>IF(N14="","",IF(OR(N14=CS14,N14=CV14),$CA$1,IF(OR(N14=BR14,N14=BU14),$AZ$1,IF(OR(N14=AQ14,N14=AT14),$Y$1,""))))</f>
        <v>2022 Nationals</v>
      </c>
      <c r="P14" s="13">
        <f>IF(MAX(AX14,BY14,CZ14)&gt;0,MAX(AX14,BY14,CZ14),0)</f>
        <v>53.67</v>
      </c>
      <c r="Q14" s="13" t="str">
        <f>IF(P14="","",IF(P14=CZ14,$CA$1,IF(P14=BY14,$AZ$1,IF(P14=AX14,$Y$1,""))))</f>
        <v>2022 Nationals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,IF(DX14&gt;=$EK$25,DY14,0),IF(EA14&gt;=$EK$25,EB14,0),IF(EE14&gt;=$EK$25,EF14,0),IF(EH14&gt;=$EK$25,EI14,0),IF(FF14&gt;=$FS$25,FG14,0),IF(FI14&gt;=$FS$25,FJ14,0),IF(FM14&gt;=$FS$25,FN14,0),IF(FP14&gt;=$FS$25,FQ14,0),IF(GN14&gt;=$HA$25,GO14,0),IF(GQ14&gt;=$HA$25,GR14,0),IF(GU14&gt;=$HA$25,GV14,0),IF(GX14&gt;=$HA$25,GY14,0),IF(HV14&gt;=$II$25,HW14,0),IF(HY14&gt;=$II$25,HZ14,0),IF(IC14&gt;=$II$25,ID14,0),IF(IF14&gt;=$II$25,IG14,0),IF(JD14&gt;=$JQ$25,JE14,0),IF(JG14&gt;=$JQ$25,JH14,0),IF(JK14&gt;=$JQ$25,JL14,0),IF(JN14&gt;=$JQ$25,JO14,0),IF(KL14&gt;=$KY$25,KM14,0),IF(KO14&gt;=$KY$25,KP14,0),IF(KS14&gt;=$KY$25,KT14,0),IF(KV14&gt;=$KY$25,KW14,0),IF(LT14&gt;=$MG$25,LU14,0),IF(LW14&gt;=$MG$25,LX14,0),IF(MA14&gt;=$MG$25,MB14,0),IF(MD14&gt;=$MG$25,ME14,0),IF(NB14&gt;=$NO$25,NC14,0),IF(NE14&gt;=$NO$25,NF14,0),IF(NI14&gt;=$NO$25,NJ14,0),IF(NL14&gt;=$NO$25,NM14,0),IF(OJ14&gt;=$OW$25,OK14,0),IF(OM14&gt;=$OW$25,ON14,0),IF(OQ14&gt;=$OW$25,OR14,0),IF(OT14&gt;=$OW$25,OU14,0),IF(PR14&gt;=$QE$25,PS14,0),IF(PU14&gt;=$QE$25,PV14,0),IF(PY14&gt;=$QE$25,PZ14,0),IF(QB14&gt;=$QE$25,QC14,0),IF(QZ14&gt;=$RM$25,RA14,0),IF(RC14&gt;=$RM$25,RD14,0),IF(RG14&gt;=$RM$25,RH14,0),IF(RJ14&gt;=$RM$25,RK14,0),IF(SH14&gt;=$SU$25,SI14,0),IF(SK14&gt;=$SU$25,SL14,0),IF(SO14&gt;=$SU$25,SP14,0),IF(SR14&gt;=$SU$25,SS14,0)),0)</f>
        <v>0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>
        <v>14.8</v>
      </c>
      <c r="Z14" s="42">
        <v>9.1</v>
      </c>
      <c r="AA14" s="42">
        <v>2.9</v>
      </c>
      <c r="AB14" s="42">
        <v>16.86</v>
      </c>
      <c r="AC14" s="42">
        <v>0</v>
      </c>
      <c r="AD14" s="42">
        <v>13.9</v>
      </c>
      <c r="AE14" s="42">
        <v>8.8000000000000007</v>
      </c>
      <c r="AF14" s="42">
        <v>14</v>
      </c>
      <c r="AG14" s="42">
        <v>15.96</v>
      </c>
      <c r="AH14" s="42">
        <v>0</v>
      </c>
      <c r="AI14" s="42">
        <v>14.5</v>
      </c>
      <c r="AJ14" s="42">
        <v>9.1</v>
      </c>
      <c r="AK14" s="42">
        <v>13.8</v>
      </c>
      <c r="AL14" s="42">
        <v>16.27</v>
      </c>
      <c r="AM14" s="42">
        <v>0</v>
      </c>
      <c r="AN14" s="51"/>
      <c r="AO14" s="74">
        <f>IF(AA14&gt;0,AA14,"")</f>
        <v>2.9</v>
      </c>
      <c r="AP14" s="74">
        <f>IF(AB14&gt;0,AB14,"")</f>
        <v>16.86</v>
      </c>
      <c r="AQ14" s="76">
        <f>IF(SUM(Y14:AB14)-AC14&gt;0,SUM(Y14:AB14)-AC14,"")</f>
        <v>43.66</v>
      </c>
      <c r="AR14" s="76">
        <f>IF(AF14&gt;0,AF14,"")</f>
        <v>14</v>
      </c>
      <c r="AS14" s="76">
        <f>IF(AG14&gt;0,AG14,"")</f>
        <v>15.96</v>
      </c>
      <c r="AT14" s="76">
        <f>IF(SUM(AD14:AG14)-AH14&gt;0,SUM(AD14:AG14)-AH14,"")</f>
        <v>52.660000000000004</v>
      </c>
      <c r="AU14" s="76">
        <f>IF(AQ14="","",MAX(AQ14,AT14))</f>
        <v>52.660000000000004</v>
      </c>
      <c r="AV14" s="76">
        <f>IF(AK14&gt;0,AK14,"")</f>
        <v>13.8</v>
      </c>
      <c r="AW14" s="76">
        <f>IF(AL14&gt;0,AL14,"")</f>
        <v>16.27</v>
      </c>
      <c r="AX14" s="76">
        <f>IF(SUM(AI14:AL14)-AM14&gt;0,SUM(AI14:AL14)-AM14,"")</f>
        <v>53.67</v>
      </c>
      <c r="AY14" s="76">
        <f>IF(SUM(AU14,AX14)&gt;0,SUM(AU14,AX14),"")</f>
        <v>106.33000000000001</v>
      </c>
      <c r="AZ14" s="46">
        <v>14.5</v>
      </c>
      <c r="BA14" s="46">
        <v>9.1999999999999993</v>
      </c>
      <c r="BB14" s="46">
        <v>13.6</v>
      </c>
      <c r="BC14" s="46">
        <v>15.61</v>
      </c>
      <c r="BD14" s="46">
        <v>0</v>
      </c>
      <c r="BE14" s="46">
        <v>11.8</v>
      </c>
      <c r="BF14" s="46">
        <v>8.9</v>
      </c>
      <c r="BG14" s="46">
        <v>12.3</v>
      </c>
      <c r="BH14" s="46">
        <v>16.18</v>
      </c>
      <c r="BI14" s="46">
        <v>1.2</v>
      </c>
      <c r="BJ14" s="46">
        <v>15</v>
      </c>
      <c r="BK14" s="46">
        <v>9.5</v>
      </c>
      <c r="BL14" s="46">
        <v>13.6</v>
      </c>
      <c r="BM14" s="46">
        <v>15.97</v>
      </c>
      <c r="BN14" s="46">
        <v>0.4</v>
      </c>
      <c r="BO14" s="52"/>
      <c r="BP14" s="75">
        <f>IF(BB14&gt;0,BB14,"")</f>
        <v>13.6</v>
      </c>
      <c r="BQ14" s="75">
        <f>IF(BC14&gt;0,BC14,"")</f>
        <v>15.61</v>
      </c>
      <c r="BR14" s="16">
        <f>IF(SUM(AZ14:BC14)-BD14&gt;0,SUM(AZ14:BC14)-BD14,"")</f>
        <v>52.91</v>
      </c>
      <c r="BS14" s="16">
        <f>IF(BG14&gt;0,BG14,"")</f>
        <v>12.3</v>
      </c>
      <c r="BT14" s="16">
        <f>IF(BH14&gt;0,BH14,"")</f>
        <v>16.18</v>
      </c>
      <c r="BU14" s="16">
        <f>IF(SUM(BE14:BH14)-BI14&gt;0,SUM(BE14:BH14)-BI14,"")</f>
        <v>47.98</v>
      </c>
      <c r="BV14" s="16">
        <f>IF(BR14="","",MAX(BR14,BU14))</f>
        <v>52.91</v>
      </c>
      <c r="BW14" s="16">
        <f>IF(BL14&gt;0,BL14,"")</f>
        <v>13.6</v>
      </c>
      <c r="BX14" s="16">
        <f>IF(BM14&gt;0,BM14,"")</f>
        <v>15.97</v>
      </c>
      <c r="BY14" s="16">
        <f>IF(SUM(BJ14:BM14)-BN14&gt;0,SUM(BJ14:BM14)-BN14,"")</f>
        <v>53.67</v>
      </c>
      <c r="BZ14" s="16">
        <f>IF(SUM(BV14,BY14)&gt;0,SUM(BV14,BY14),"")</f>
        <v>106.58</v>
      </c>
      <c r="CA14" s="42">
        <v>1.5</v>
      </c>
      <c r="CB14" s="42">
        <v>1</v>
      </c>
      <c r="CC14" s="42">
        <v>2</v>
      </c>
      <c r="CD14" s="42">
        <v>1.81</v>
      </c>
      <c r="CE14" s="42">
        <v>0</v>
      </c>
      <c r="CF14" s="42">
        <v>5.8</v>
      </c>
      <c r="CG14" s="42">
        <v>3.8</v>
      </c>
      <c r="CH14" s="42">
        <v>5.5</v>
      </c>
      <c r="CI14" s="42">
        <v>7.01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>IF(CC14&gt;0,CC14,"")</f>
        <v>2</v>
      </c>
      <c r="CR14" s="74">
        <f>IF(CD14&gt;0,CD14,"")</f>
        <v>1.81</v>
      </c>
      <c r="CS14" s="76">
        <f>IF(SUM(CA14:CD14)-CE14&gt;0,SUM(CA14:CD14)-CE14,"")</f>
        <v>6.3100000000000005</v>
      </c>
      <c r="CT14" s="76">
        <f>IF(CH14&gt;0,CH14,"")</f>
        <v>5.5</v>
      </c>
      <c r="CU14" s="76">
        <f>IF(CI14&gt;0,CI14,"")</f>
        <v>7.01</v>
      </c>
      <c r="CV14" s="76">
        <f>IF(SUM(CF14:CI14)-CJ14&gt;0,SUM(CF14:CI14)-CJ14,"")</f>
        <v>22.11</v>
      </c>
      <c r="CW14" s="76">
        <f>IF(CS14="","",MAX(CS14,CV14))</f>
        <v>22.11</v>
      </c>
      <c r="CX14" s="76" t="str">
        <f>IF(CM14&gt;0,CM14,"")</f>
        <v/>
      </c>
      <c r="CY14" s="76" t="str">
        <f>IF(CN14&gt;0,CN14,"")</f>
        <v/>
      </c>
      <c r="CZ14" s="76" t="str">
        <f>IF(SUM(CK14:CN14)-CO14&gt;0,SUM(CK14:CN14)-CO14,"")</f>
        <v/>
      </c>
      <c r="DA14" s="76">
        <f>IF(SUM(CW14,CZ14)&gt;0,SUM(CW14,CZ14),"")</f>
        <v>22.11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8</v>
      </c>
      <c r="SW14" s="42">
        <f>IF($CP14="P",CB14,(CB14+BA14)/2)</f>
        <v>5.0999999999999996</v>
      </c>
      <c r="SX14" s="42">
        <f>IF($CP14="P",CC14,(CC14+BB14)/2)</f>
        <v>7.8</v>
      </c>
      <c r="SY14" s="42">
        <f>IF($CP14="P",CD14,(CD14+BC14)/2)</f>
        <v>8.7099999999999991</v>
      </c>
      <c r="SZ14" s="42">
        <f>IF($CP14="P",CE14,(CE14+BD14)/2)</f>
        <v>0</v>
      </c>
      <c r="TA14" s="42">
        <f>IF($CP14="P",CF14,(CF14+BE14)/2)</f>
        <v>8.8000000000000007</v>
      </c>
      <c r="TB14" s="42">
        <f>IF($CP14="P",CG14,(CG14+BF14)/2)</f>
        <v>6.35</v>
      </c>
      <c r="TC14" s="42">
        <f>IF($CP14="P",CH14,(CH14+BG14)/2)</f>
        <v>8.9</v>
      </c>
      <c r="TD14" s="42">
        <f>IF($CP14="P",CI14,(CI14+BH14)/2)</f>
        <v>11.594999999999999</v>
      </c>
      <c r="TE14" s="42">
        <f>IF($CP14="P",CJ14,(CJ14+BI14)/2)</f>
        <v>0.6</v>
      </c>
      <c r="TF14" s="42">
        <f>IF($CP14="P",CK14,(CK14+BJ14)/2)</f>
        <v>7.5</v>
      </c>
      <c r="TG14" s="42">
        <f>IF($CP14="P",CL14,(CL14+BK14)/2)</f>
        <v>4.75</v>
      </c>
      <c r="TH14" s="42">
        <f>IF($CP14="P",CM14,(CM14+BL14)/2)</f>
        <v>6.8</v>
      </c>
      <c r="TI14" s="42">
        <f>IF($CP14="P",CN14,(CN14+BM14)/2)</f>
        <v>7.9850000000000003</v>
      </c>
      <c r="TJ14" s="42">
        <f>IF($CP14="P",CO14,(CO14+BN14)/2)</f>
        <v>0.2</v>
      </c>
      <c r="TK14" s="51" t="s">
        <v>58</v>
      </c>
      <c r="TL14" s="76">
        <f>IF(SX14&gt;0,SX14,"")</f>
        <v>7.8</v>
      </c>
      <c r="TM14" s="76">
        <f>IF(SY14&gt;0,SY14,"")</f>
        <v>8.7099999999999991</v>
      </c>
      <c r="TN14" s="76">
        <f>IF(SUM(SV14:SY14)-SZ14&gt;0,SUM(SV14:SY14)-SZ14,"")</f>
        <v>29.61</v>
      </c>
      <c r="TO14" s="76">
        <f>IF(TC14&gt;0,TC14,"")</f>
        <v>8.9</v>
      </c>
      <c r="TP14" s="76">
        <f>IF(TD14&gt;0,TD14,"")</f>
        <v>11.594999999999999</v>
      </c>
      <c r="TQ14" s="76">
        <f>IF(SUM(TA14:TD14)-TE14&gt;0,SUM(TA14:TD14)-TE14,"")</f>
        <v>35.044999999999995</v>
      </c>
      <c r="TR14" s="76">
        <f>IF(MAX(TN14,TQ14)&gt;0,MAX(TN14,TQ14),"")</f>
        <v>35.044999999999995</v>
      </c>
      <c r="TS14" s="76">
        <f>IF(TH14&gt;0,TH14,"")</f>
        <v>6.8</v>
      </c>
      <c r="TT14" s="76">
        <f>IF(TI14&gt;0,TI14,"")</f>
        <v>7.9850000000000003</v>
      </c>
      <c r="TU14" s="76">
        <f>IF(SUM(TF14:TI14)-TJ14&gt;0,SUM(TF14:TI14)-TJ14,"")</f>
        <v>26.835000000000001</v>
      </c>
      <c r="TV14" s="76">
        <f>IF(SUM(TR14,TU14)&gt;0,SUM(TR14,TU14),"")</f>
        <v>61.879999999999995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96</v>
      </c>
      <c r="C15" s="7" t="s">
        <v>8</v>
      </c>
      <c r="D15" s="5">
        <v>2004</v>
      </c>
      <c r="E15" s="14">
        <f>SUM(J15:V15)+SUM(J15:T15)*0.0000001+SUM(J15)*0.0000000000001</f>
        <v>218.87502188750528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DZ15&gt;=EK$29,DZ15&lt;&gt;""),AND(EC15&gt;=EK$29,EC15&lt;&gt;""),AND(EG15&gt;=EK$29,EG15&lt;&gt;""),AND(EJ15&gt;=EK$29,EJ15&lt;&gt;""),AND(FH15&gt;=FS$29,FH15&lt;&gt;""),AND(FK15&gt;=FS$29,FK15&lt;&gt;""),AND(FO15&gt;=FS$29,FO15&lt;&gt;""),AND(FR15&gt;=FS$29,FR15&lt;&gt;""),AND(GP15&gt;=HA$29,GP15&lt;&gt;""),AND(GS15&gt;=HA$29,GS15&lt;&gt;""),AND(GW15&gt;=HA$29,GW15&lt;&gt;""),AND(GZ15&gt;=HA$29,GZ15&lt;&gt;""),AND(HX15&gt;=II$29,HX15&lt;&gt;""),AND(IA15&gt;=II$29,IA15&lt;&gt;""),AND(IE15&gt;=II$29,IE15&lt;&gt;""),AND(IH15&gt;=II$29,IH15&lt;&gt;""),AND(JF15&gt;=JQ$29,JF15&lt;&gt;""),AND(JI15&gt;=JQ$29,JI15&lt;&gt;""),AND(JM15&gt;=JQ$29,JM15&lt;&gt;""),AND(JP15&gt;=JQ$29,JP15&lt;&gt;""),AND(KN15&gt;=KY$29,KN15&lt;&gt;""),AND(KQ15&gt;=KY$29,KQ15&lt;&gt;""),AND(KU15&gt;=KY$29,KU15&lt;&gt;""),AND(KX15&gt;=KY$29,KX15&lt;&gt;""),AND(LV15&gt;=MG$29,LV15&lt;&gt;""),AND(LY15&gt;=MG$29,LY15&lt;&gt;""),AND(MC15&gt;=MG$29,MC15&lt;&gt;""),AND(MF15&gt;=MG$29,MF15&lt;&gt;""),AND(ND15&gt;=NO$29,ND15&lt;&gt;""),AND(NG15&gt;=NO$29,NG15&lt;&gt;""),AND(NK15&gt;=NO$29,NK15&lt;&gt;""),AND(NN15&gt;=NO$29,NN15&lt;&gt;""),AND(OL15&gt;=OW$29,OL15&lt;&gt;""),AND(OO15&gt;=OW$29,OO15&lt;&gt;""),AND(OS15&gt;=OW$29,OS15&lt;&gt;""),AND(OV15&gt;=OW$29,OV15&lt;&gt;""),AND(PT15&gt;=QE$29,PT15&lt;&gt;""),AND(PW15&gt;=QE$29,PW15&lt;&gt;""),AND(QA15&gt;=QE$29,QA15&lt;&gt;""),AND(QD15&gt;=QE$29,QD15&lt;&gt;""),AND(RB15&gt;=RM$29,RB15&lt;&gt;""),AND(RE15&gt;=RM$29,RE15&lt;&gt;""),AND(RI15&gt;=RM$29,RI15&lt;&gt;""),AND(RL15&gt;=RM$29,RL15&lt;&gt;""),AND(SJ15&gt;=SU$29,SJ15&lt;&gt;""),AND(SM15&gt;=SU$29,SM15&lt;&gt;""),AND(SQ15&gt;=SU$29,SQ15&lt;&gt;""),AND(ST15&gt;=SU$29,ST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51.78</v>
      </c>
      <c r="M15" s="13" t="str">
        <f>IF(L15="","",IF(OR(L15=CS15,L15=CV15),$CA$1,IF(OR(L15=BR15,L15=BU15),$AZ$1,IF(OR(L15=AQ15,L15=AT15),$Y$1,""))))</f>
        <v>2022 Nationals</v>
      </c>
      <c r="N15" s="13">
        <f>IF(COUNT(AQ15,AT15,BR15,BU15,CS15,CV15)&gt;2,LARGE((AQ15,AT15,BR15,BU15,CS15,CV15),3),0)</f>
        <v>51.5</v>
      </c>
      <c r="O15" s="13" t="str">
        <f>IF(N15="","",IF(OR(N15=CS15,N15=CV15),$CA$1,IF(OR(N15=BR15,N15=BU15),$AZ$1,IF(OR(N15=AQ15,N15=AT15),$Y$1,""))))</f>
        <v>2022 Nationals</v>
      </c>
      <c r="P15" s="13">
        <f>IF(MAX(AX15,BY15,CZ15)&gt;0,MAX(AX15,BY15,CZ15),0)</f>
        <v>49.300000000000004</v>
      </c>
      <c r="Q15" s="13" t="str">
        <f>IF(P15="","",IF(P15=CZ15,$CA$1,IF(P15=BY15,$AZ$1,IF(P15=AX15,$Y$1,""))))</f>
        <v>2022 Nationals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Nationals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,IF(DX15&gt;=$EK$25,DY15,0),IF(EA15&gt;=$EK$25,EB15,0),IF(EE15&gt;=$EK$25,EF15,0),IF(EH15&gt;=$EK$25,EI15,0),IF(FF15&gt;=$FS$25,FG15,0),IF(FI15&gt;=$FS$25,FJ15,0),IF(FM15&gt;=$FS$25,FN15,0),IF(FP15&gt;=$FS$25,FQ15,0),IF(GN15&gt;=$HA$25,GO15,0),IF(GQ15&gt;=$HA$25,GR15,0),IF(GU15&gt;=$HA$25,GV15,0),IF(GX15&gt;=$HA$25,GY15,0),IF(HV15&gt;=$II$25,HW15,0),IF(HY15&gt;=$II$25,HZ15,0),IF(IC15&gt;=$II$25,ID15,0),IF(IF15&gt;=$II$25,IG15,0),IF(JD15&gt;=$JQ$25,JE15,0),IF(JG15&gt;=$JQ$25,JH15,0),IF(JK15&gt;=$JQ$25,JL15,0),IF(JN15&gt;=$JQ$25,JO15,0),IF(KL15&gt;=$KY$25,KM15,0),IF(KO15&gt;=$KY$25,KP15,0),IF(KS15&gt;=$KY$25,KT15,0),IF(KV15&gt;=$KY$25,KW15,0),IF(LT15&gt;=$MG$25,LU15,0),IF(LW15&gt;=$MG$25,LX15,0),IF(MA15&gt;=$MG$25,MB15,0),IF(MD15&gt;=$MG$25,ME15,0),IF(NB15&gt;=$NO$25,NC15,0),IF(NE15&gt;=$NO$25,NF15,0),IF(NI15&gt;=$NO$25,NJ15,0),IF(NL15&gt;=$NO$25,NM15,0),IF(OJ15&gt;=$OW$25,OK15,0),IF(OM15&gt;=$OW$25,ON15,0),IF(OQ15&gt;=$OW$25,OR15,0),IF(OT15&gt;=$OW$25,OU15,0),IF(PR15&gt;=$QE$25,PS15,0),IF(PU15&gt;=$QE$25,PV15,0),IF(PY15&gt;=$QE$25,PZ15,0),IF(QB15&gt;=$QE$25,QC15,0),IF(QZ15&gt;=$RM$25,RA15,0),IF(RC15&gt;=$RM$25,RD15,0),IF(RG15&gt;=$RM$25,RH15,0),IF(RJ15&gt;=$RM$25,RK15,0),IF(SH15&gt;=$SU$25,SI15,0),IF(SK15&gt;=$SU$25,SL15,0),IF(SO15&gt;=$SU$25,SP15,0),IF(SR15&gt;=$SU$25,SS15,0)),0)</f>
        <v>0</v>
      </c>
      <c r="U15" s="13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42">
        <v>14.5</v>
      </c>
      <c r="Z15" s="42">
        <v>8.9</v>
      </c>
      <c r="AA15" s="42">
        <v>12.6</v>
      </c>
      <c r="AB15" s="42">
        <v>14.345000000000001</v>
      </c>
      <c r="AC15" s="42">
        <v>0.9</v>
      </c>
      <c r="AD15" s="42">
        <v>14.7</v>
      </c>
      <c r="AE15" s="42">
        <v>9.6999999999999993</v>
      </c>
      <c r="AF15" s="42">
        <v>13.5</v>
      </c>
      <c r="AG15" s="42">
        <v>14.895</v>
      </c>
      <c r="AH15" s="42">
        <v>0</v>
      </c>
      <c r="AI15" s="42">
        <v>12.9</v>
      </c>
      <c r="AJ15" s="42">
        <v>9.6999999999999993</v>
      </c>
      <c r="AK15" s="42">
        <v>12.6</v>
      </c>
      <c r="AL15" s="42">
        <v>14.545</v>
      </c>
      <c r="AM15" s="42">
        <v>0.9</v>
      </c>
      <c r="AN15" s="51"/>
      <c r="AO15" s="74">
        <f>IF(AA15&gt;0,AA15,"")</f>
        <v>12.6</v>
      </c>
      <c r="AP15" s="74">
        <f>IF(AB15&gt;0,AB15,"")</f>
        <v>14.345000000000001</v>
      </c>
      <c r="AQ15" s="76">
        <f>IF(SUM(Y15:AB15)-AC15&gt;0,SUM(Y15:AB15)-AC15,"")</f>
        <v>49.445</v>
      </c>
      <c r="AR15" s="76">
        <f>IF(AF15&gt;0,AF15,"")</f>
        <v>13.5</v>
      </c>
      <c r="AS15" s="76">
        <f>IF(AG15&gt;0,AG15,"")</f>
        <v>14.895</v>
      </c>
      <c r="AT15" s="76">
        <f>IF(SUM(AD15:AG15)-AH15&gt;0,SUM(AD15:AG15)-AH15,"")</f>
        <v>52.795000000000002</v>
      </c>
      <c r="AU15" s="76">
        <f>IF(AQ15="","",MAX(AQ15,AT15))</f>
        <v>52.795000000000002</v>
      </c>
      <c r="AV15" s="76">
        <f>IF(AK15&gt;0,AK15,"")</f>
        <v>12.6</v>
      </c>
      <c r="AW15" s="76">
        <f>IF(AL15&gt;0,AL15,"")</f>
        <v>14.545</v>
      </c>
      <c r="AX15" s="76">
        <f>IF(SUM(AI15:AL15)-AM15&gt;0,SUM(AI15:AL15)-AM15,"")</f>
        <v>48.845000000000006</v>
      </c>
      <c r="AY15" s="76">
        <f>IF(SUM(AU15,AX15)&gt;0,SUM(AU15,AX15),"")</f>
        <v>101.64000000000001</v>
      </c>
      <c r="AZ15" s="46">
        <v>14.8</v>
      </c>
      <c r="BA15" s="46">
        <v>9</v>
      </c>
      <c r="BB15" s="46">
        <v>13.5</v>
      </c>
      <c r="BC15" s="46">
        <v>14.2</v>
      </c>
      <c r="BD15" s="46">
        <v>0</v>
      </c>
      <c r="BE15" s="46">
        <v>14.9</v>
      </c>
      <c r="BF15" s="46">
        <v>9.1</v>
      </c>
      <c r="BG15" s="46">
        <v>13.5</v>
      </c>
      <c r="BH15" s="46">
        <v>14.28</v>
      </c>
      <c r="BI15" s="46">
        <v>0</v>
      </c>
      <c r="BJ15" s="46">
        <v>12.9</v>
      </c>
      <c r="BK15" s="46">
        <v>9</v>
      </c>
      <c r="BL15" s="46">
        <v>13.3</v>
      </c>
      <c r="BM15" s="46">
        <v>14.1</v>
      </c>
      <c r="BN15" s="46">
        <v>0</v>
      </c>
      <c r="BO15" s="52"/>
      <c r="BP15" s="75">
        <f>IF(BB15&gt;0,BB15,"")</f>
        <v>13.5</v>
      </c>
      <c r="BQ15" s="75">
        <f>IF(BC15&gt;0,BC15,"")</f>
        <v>14.2</v>
      </c>
      <c r="BR15" s="16">
        <f>IF(SUM(AZ15:BC15)-BD15&gt;0,SUM(AZ15:BC15)-BD15,"")</f>
        <v>51.5</v>
      </c>
      <c r="BS15" s="16">
        <f>IF(BG15&gt;0,BG15,"")</f>
        <v>13.5</v>
      </c>
      <c r="BT15" s="16">
        <f>IF(BH15&gt;0,BH15,"")</f>
        <v>14.28</v>
      </c>
      <c r="BU15" s="16">
        <f>IF(SUM(BE15:BH15)-BI15&gt;0,SUM(BE15:BH15)-BI15,"")</f>
        <v>51.78</v>
      </c>
      <c r="BV15" s="16">
        <f>IF(BR15="","",MAX(BR15,BU15))</f>
        <v>51.78</v>
      </c>
      <c r="BW15" s="16">
        <f>IF(BL15&gt;0,BL15,"")</f>
        <v>13.3</v>
      </c>
      <c r="BX15" s="16">
        <f>IF(BM15&gt;0,BM15,"")</f>
        <v>14.1</v>
      </c>
      <c r="BY15" s="16">
        <f>IF(SUM(BJ15:BM15)-BN15&gt;0,SUM(BJ15:BM15)-BN15,"")</f>
        <v>49.300000000000004</v>
      </c>
      <c r="BZ15" s="16">
        <f>IF(SUM(BV15,BY15)&gt;0,SUM(BV15,BY15),"")</f>
        <v>101.08000000000001</v>
      </c>
      <c r="CA15" s="42">
        <v>1.4</v>
      </c>
      <c r="CB15" s="42">
        <v>0.9</v>
      </c>
      <c r="CC15" s="42">
        <v>1.7</v>
      </c>
      <c r="CD15" s="42">
        <v>1.65</v>
      </c>
      <c r="CE15" s="42">
        <v>0</v>
      </c>
      <c r="CF15" s="42">
        <v>10.9</v>
      </c>
      <c r="CG15" s="42">
        <v>7.3</v>
      </c>
      <c r="CH15" s="42">
        <v>10.8</v>
      </c>
      <c r="CI15" s="42">
        <v>12.28</v>
      </c>
      <c r="CJ15" s="42">
        <v>0</v>
      </c>
      <c r="CK15" s="42">
        <v>0</v>
      </c>
      <c r="CL15" s="42">
        <v>0</v>
      </c>
      <c r="CM15" s="42">
        <v>0</v>
      </c>
      <c r="CN15" s="42">
        <v>0</v>
      </c>
      <c r="CO15" s="42">
        <v>0</v>
      </c>
      <c r="CP15" s="51"/>
      <c r="CQ15" s="74">
        <f>IF(CC15&gt;0,CC15,"")</f>
        <v>1.7</v>
      </c>
      <c r="CR15" s="74">
        <f>IF(CD15&gt;0,CD15,"")</f>
        <v>1.65</v>
      </c>
      <c r="CS15" s="76">
        <f>IF(SUM(CA15:CD15)-CE15&gt;0,SUM(CA15:CD15)-CE15,"")</f>
        <v>5.65</v>
      </c>
      <c r="CT15" s="76">
        <f>IF(CH15&gt;0,CH15,"")</f>
        <v>10.8</v>
      </c>
      <c r="CU15" s="76">
        <f>IF(CI15&gt;0,CI15,"")</f>
        <v>12.28</v>
      </c>
      <c r="CV15" s="76">
        <f>IF(SUM(CF15:CI15)-CJ15&gt;0,SUM(CF15:CI15)-CJ15,"")</f>
        <v>41.28</v>
      </c>
      <c r="CW15" s="76">
        <f>IF(CS15="","",MAX(CS15,CV15))</f>
        <v>41.28</v>
      </c>
      <c r="CX15" s="76" t="str">
        <f>IF(CM15&gt;0,CM15,"")</f>
        <v/>
      </c>
      <c r="CY15" s="76" t="str">
        <f>IF(CN15&gt;0,CN15,"")</f>
        <v/>
      </c>
      <c r="CZ15" s="76" t="str">
        <f>IF(SUM(CK15:CN15)-CO15&gt;0,SUM(CK15:CN15)-CO15,"")</f>
        <v/>
      </c>
      <c r="DA15" s="76">
        <f>IF(SUM(CW15,CZ15)&gt;0,SUM(CW15,CZ15),"")</f>
        <v>41.28</v>
      </c>
      <c r="DB15" s="87" t="str">
        <f>IF(N15&gt;=0.001,IF(MAX(ED15,FL15,GT15,IB15,JJ15,KR15,LZ15,NH15,OP15,PX15,RF15,SN15)-IF(N15="",0,N15)&gt;0.001,MAX(ED15,FL15,GT15,IB15,JJ15,KR15,LZ15,NH15,OP15,PX15,RF15,SN15)-IF(N15="",0,N15),""),"")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8.1</v>
      </c>
      <c r="SW15" s="42">
        <f>IF($CP15="P",CB15,(CB15+BA15)/2)</f>
        <v>4.95</v>
      </c>
      <c r="SX15" s="42">
        <f>IF($CP15="P",CC15,(CC15+BB15)/2)</f>
        <v>7.6</v>
      </c>
      <c r="SY15" s="42">
        <f>IF($CP15="P",CD15,(CD15+BC15)/2)</f>
        <v>7.9249999999999998</v>
      </c>
      <c r="SZ15" s="42">
        <f>IF($CP15="P",CE15,(CE15+BD15)/2)</f>
        <v>0</v>
      </c>
      <c r="TA15" s="42">
        <f>IF($CP15="P",CF15,(CF15+BE15)/2)</f>
        <v>12.9</v>
      </c>
      <c r="TB15" s="42">
        <f>IF($CP15="P",CG15,(CG15+BF15)/2)</f>
        <v>8.1999999999999993</v>
      </c>
      <c r="TC15" s="42">
        <f>IF($CP15="P",CH15,(CH15+BG15)/2)</f>
        <v>12.15</v>
      </c>
      <c r="TD15" s="42">
        <f>IF($CP15="P",CI15,(CI15+BH15)/2)</f>
        <v>13.28</v>
      </c>
      <c r="TE15" s="42">
        <f>IF($CP15="P",CJ15,(CJ15+BI15)/2)</f>
        <v>0</v>
      </c>
      <c r="TF15" s="42">
        <f>IF($CP15="P",CK15,(CK15+BJ15)/2)</f>
        <v>6.45</v>
      </c>
      <c r="TG15" s="42">
        <f>IF($CP15="P",CL15,(CL15+BK15)/2)</f>
        <v>4.5</v>
      </c>
      <c r="TH15" s="42">
        <f>IF($CP15="P",CM15,(CM15+BL15)/2)</f>
        <v>6.65</v>
      </c>
      <c r="TI15" s="42">
        <f>IF($CP15="P",CN15,(CN15+BM15)/2)</f>
        <v>7.05</v>
      </c>
      <c r="TJ15" s="42">
        <f>IF($CP15="P",CO15,(CO15+BN15)/2)</f>
        <v>0</v>
      </c>
      <c r="TK15" s="51" t="s">
        <v>58</v>
      </c>
      <c r="TL15" s="76">
        <f>IF(SX15&gt;0,SX15,"")</f>
        <v>7.6</v>
      </c>
      <c r="TM15" s="76">
        <f>IF(SY15&gt;0,SY15,"")</f>
        <v>7.9249999999999998</v>
      </c>
      <c r="TN15" s="76">
        <f>IF(SUM(SV15:SY15)-SZ15&gt;0,SUM(SV15:SY15)-SZ15,"")</f>
        <v>28.574999999999999</v>
      </c>
      <c r="TO15" s="76">
        <f>IF(TC15&gt;0,TC15,"")</f>
        <v>12.15</v>
      </c>
      <c r="TP15" s="76">
        <f>IF(TD15&gt;0,TD15,"")</f>
        <v>13.28</v>
      </c>
      <c r="TQ15" s="76">
        <f>IF(SUM(TA15:TD15)-TE15&gt;0,SUM(TA15:TD15)-TE15,"")</f>
        <v>46.53</v>
      </c>
      <c r="TR15" s="76">
        <f>IF(MAX(TN15,TQ15)&gt;0,MAX(TN15,TQ15),"")</f>
        <v>46.53</v>
      </c>
      <c r="TS15" s="76">
        <f>IF(TH15&gt;0,TH15,"")</f>
        <v>6.65</v>
      </c>
      <c r="TT15" s="76">
        <f>IF(TI15&gt;0,TI15,"")</f>
        <v>7.05</v>
      </c>
      <c r="TU15" s="76">
        <f>IF(SUM(TF15:TI15)-TJ15&gt;0,SUM(TF15:TI15)-TJ15,"")</f>
        <v>24.650000000000002</v>
      </c>
      <c r="TV15" s="76">
        <f>IF(SUM(TR15,TU15)&gt;0,SUM(TR15,TU15),"")</f>
        <v>71.180000000000007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33</v>
      </c>
      <c r="C16" s="7" t="s">
        <v>8</v>
      </c>
      <c r="D16" s="18">
        <v>1998</v>
      </c>
      <c r="E16" s="14">
        <f>SUM(J16:V16)+SUM(J16:T16)*0.0000001+SUM(J16)*0.0000000000001</f>
        <v>175.45501754550526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DZ16&gt;=EK$29,DZ16&lt;&gt;""),AND(EC16&gt;=EK$29,EC16&lt;&gt;""),AND(EG16&gt;=EK$29,EG16&lt;&gt;""),AND(EJ16&gt;=EK$29,EJ16&lt;&gt;""),AND(FH16&gt;=FS$29,FH16&lt;&gt;""),AND(FK16&gt;=FS$29,FK16&lt;&gt;""),AND(FO16&gt;=FS$29,FO16&lt;&gt;""),AND(FR16&gt;=FS$29,FR16&lt;&gt;""),AND(GP16&gt;=HA$29,GP16&lt;&gt;""),AND(GS16&gt;=HA$29,GS16&lt;&gt;""),AND(GW16&gt;=HA$29,GW16&lt;&gt;""),AND(GZ16&gt;=HA$29,GZ16&lt;&gt;""),AND(HX16&gt;=II$29,HX16&lt;&gt;""),AND(IA16&gt;=II$29,IA16&lt;&gt;""),AND(IE16&gt;=II$29,IE16&lt;&gt;""),AND(IH16&gt;=II$29,IH16&lt;&gt;""),AND(JF16&gt;=JQ$29,JF16&lt;&gt;""),AND(JI16&gt;=JQ$29,JI16&lt;&gt;""),AND(JM16&gt;=JQ$29,JM16&lt;&gt;""),AND(JP16&gt;=JQ$29,JP16&lt;&gt;""),AND(KN16&gt;=KY$29,KN16&lt;&gt;""),AND(KQ16&gt;=KY$29,KQ16&lt;&gt;""),AND(KU16&gt;=KY$29,KU16&lt;&gt;""),AND(KX16&gt;=KY$29,KX16&lt;&gt;""),AND(LV16&gt;=MG$29,LV16&lt;&gt;""),AND(LY16&gt;=MG$29,LY16&lt;&gt;""),AND(MC16&gt;=MG$29,MC16&lt;&gt;""),AND(MF16&gt;=MG$29,MF16&lt;&gt;""),AND(ND16&gt;=NO$29,ND16&lt;&gt;""),AND(NG16&gt;=NO$29,NG16&lt;&gt;""),AND(NK16&gt;=NO$29,NK16&lt;&gt;""),AND(NN16&gt;=NO$29,NN16&lt;&gt;""),AND(OL16&gt;=OW$29,OL16&lt;&gt;""),AND(OO16&gt;=OW$29,OO16&lt;&gt;""),AND(OS16&gt;=OW$29,OS16&lt;&gt;""),AND(OV16&gt;=OW$29,OV16&lt;&gt;""),AND(PT16&gt;=QE$29,PT16&lt;&gt;""),AND(PW16&gt;=QE$29,PW16&lt;&gt;""),AND(QA16&gt;=QE$29,QA16&lt;&gt;""),AND(QD16&gt;=QE$29,QD16&lt;&gt;""),AND(RB16&gt;=RM$29,RB16&lt;&gt;""),AND(RE16&gt;=RM$29,RE16&lt;&gt;""),AND(RI16&gt;=RM$29,RI16&lt;&gt;""),AND(RL16&gt;=RM$29,RL16&lt;&gt;""),AND(SJ16&gt;=SU$29,SJ16&lt;&gt;""),AND(SM16&gt;=SU$29,SM16&lt;&gt;""),AND(SQ16&gt;=SU$29,SQ16&lt;&gt;""),AND(ST16&gt;=SU$29,ST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J16" s="13">
        <f>IF(COUNT(AQ16,AT16,BR16,BU16,CS16,CV16)&gt;0,LARGE((AQ16,AT16,BR16,BU16,CS16,CV16),1),0)</f>
        <v>52.464999999999996</v>
      </c>
      <c r="K16" s="13" t="str">
        <f>IF(J16="","",IF(OR(J16=CS16,J16=CV16),$CA$1,IF(OR(J16=BR16,J16=BU16),$AZ$1,IF(OR(J16=AQ16,J16=AT16),$Y$1,""))))</f>
        <v>2022 Elite Canada</v>
      </c>
      <c r="L16" s="13">
        <f>IF(COUNT(AQ16,AT16,BR16,BU16,CS16,CV16)&gt;1,LARGE((AQ16,AT16,BR16,BU16,CS16,CV16),2),0)</f>
        <v>48.969999999999992</v>
      </c>
      <c r="M16" s="13" t="str">
        <f>IF(L16="","",IF(OR(L16=CS16,L16=CV16),$CA$1,IF(OR(L16=BR16,L16=BU16),$AZ$1,IF(OR(L16=AQ16,L16=AT16),$Y$1,""))))</f>
        <v>2022 Elite Canada</v>
      </c>
      <c r="N16" s="13">
        <f>IF(COUNT(AQ16,AT16,BR16,BU16,CS16,CV16)&gt;2,LARGE((AQ16,AT16,BR16,BU16,CS16,CV16),3),0)</f>
        <v>48.89</v>
      </c>
      <c r="O16" s="13" t="str">
        <f>IF(N16="","",IF(OR(N16=CS16,N16=CV16),$CA$1,IF(OR(N16=BR16,N16=BU16),$AZ$1,IF(OR(N16=AQ16,N16=AT16),$Y$1,""))))</f>
        <v>2022 Nationals</v>
      </c>
      <c r="P16" s="13">
        <f>IF(MAX(AX16,BY16,CZ16)&gt;0,MAX(AX16,BY16,CZ16),0)</f>
        <v>11.33</v>
      </c>
      <c r="Q16" s="13" t="str">
        <f>IF(P16="","",IF(P16=CZ16,$CA$1,IF(P16=BY16,$AZ$1,IF(P16=AX16,$Y$1,""))))</f>
        <v>2022 Elite Canada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13.8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,IF(DX16&gt;=$EK$25,DY16,0),IF(EA16&gt;=$EK$25,EB16,0),IF(EE16&gt;=$EK$25,EF16,0),IF(EH16&gt;=$EK$25,EI16,0),IF(FF16&gt;=$FS$25,FG16,0),IF(FI16&gt;=$FS$25,FJ16,0),IF(FM16&gt;=$FS$25,FN16,0),IF(FP16&gt;=$FS$25,FQ16,0),IF(GN16&gt;=$HA$25,GO16,0),IF(GQ16&gt;=$HA$25,GR16,0),IF(GU16&gt;=$HA$25,GV16,0),IF(GX16&gt;=$HA$25,GY16,0),IF(HV16&gt;=$II$25,HW16,0),IF(HY16&gt;=$II$25,HZ16,0),IF(IC16&gt;=$II$25,ID16,0),IF(IF16&gt;=$II$25,IG16,0),IF(JD16&gt;=$JQ$25,JE16,0),IF(JG16&gt;=$JQ$25,JH16,0),IF(JK16&gt;=$JQ$25,JL16,0),IF(JN16&gt;=$JQ$25,JO16,0),IF(KL16&gt;=$KY$25,KM16,0),IF(KO16&gt;=$KY$25,KP16,0),IF(KS16&gt;=$KY$25,KT16,0),IF(KV16&gt;=$KY$25,KW16,0),IF(LT16&gt;=$MG$25,LU16,0),IF(LW16&gt;=$MG$25,LX16,0),IF(MA16&gt;=$MG$25,MB16,0),IF(MD16&gt;=$MG$25,ME16,0),IF(NB16&gt;=$NO$25,NC16,0),IF(NE16&gt;=$NO$25,NF16,0),IF(NI16&gt;=$NO$25,NJ16,0),IF(NL16&gt;=$NO$25,NM16,0),IF(OJ16&gt;=$OW$25,OK16,0),IF(OM16&gt;=$OW$25,ON16,0),IF(OQ16&gt;=$OW$25,OR16,0),IF(OT16&gt;=$OW$25,OU16,0),IF(PR16&gt;=$QE$25,PS16,0),IF(PU16&gt;=$QE$25,PV16,0),IF(PY16&gt;=$QE$25,PZ16,0),IF(QB16&gt;=$QE$25,QC16,0),IF(QZ16&gt;=$RM$25,RA16,0),IF(RC16&gt;=$RM$25,RD16,0),IF(RG16&gt;=$RM$25,RH16,0),IF(RJ16&gt;=$RM$25,RK16,0),IF(SH16&gt;=$SU$25,SI16,0),IF(SK16&gt;=$SU$25,SL16,0),IF(SO16&gt;=$SU$25,SP16,0),IF(SR16&gt;=$SU$25,SS16,0)),0)</f>
        <v>0</v>
      </c>
      <c r="U16" s="13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42">
        <v>12.1</v>
      </c>
      <c r="Z16" s="42">
        <v>9.1999999999999993</v>
      </c>
      <c r="AA16" s="42">
        <v>12.8</v>
      </c>
      <c r="AB16" s="42">
        <v>15.57</v>
      </c>
      <c r="AC16" s="42">
        <v>0.7</v>
      </c>
      <c r="AD16" s="42">
        <v>14.4</v>
      </c>
      <c r="AE16" s="42">
        <v>8.9</v>
      </c>
      <c r="AF16" s="42">
        <v>13.8</v>
      </c>
      <c r="AG16" s="42">
        <v>15.565</v>
      </c>
      <c r="AH16" s="42">
        <v>0.2</v>
      </c>
      <c r="AI16" s="42">
        <v>2.9</v>
      </c>
      <c r="AJ16" s="42">
        <v>1.7</v>
      </c>
      <c r="AK16" s="42">
        <v>3.4</v>
      </c>
      <c r="AL16" s="42">
        <v>3.33</v>
      </c>
      <c r="AM16" s="42">
        <v>0</v>
      </c>
      <c r="AN16" s="51"/>
      <c r="AO16" s="74">
        <f>IF(AA16&gt;0,AA16,"")</f>
        <v>12.8</v>
      </c>
      <c r="AP16" s="74">
        <f>IF(AB16&gt;0,AB16,"")</f>
        <v>15.57</v>
      </c>
      <c r="AQ16" s="76">
        <f>IF(SUM(Y16:AB16)-AC16&gt;0,SUM(Y16:AB16)-AC16,"")</f>
        <v>48.969999999999992</v>
      </c>
      <c r="AR16" s="76">
        <f>IF(AF16&gt;0,AF16,"")</f>
        <v>13.8</v>
      </c>
      <c r="AS16" s="76">
        <f>IF(AG16&gt;0,AG16,"")</f>
        <v>15.565</v>
      </c>
      <c r="AT16" s="76">
        <f>IF(SUM(AD16:AG16)-AH16&gt;0,SUM(AD16:AG16)-AH16,"")</f>
        <v>52.464999999999996</v>
      </c>
      <c r="AU16" s="76">
        <f>IF(AQ16="","",MAX(AQ16,AT16))</f>
        <v>52.464999999999996</v>
      </c>
      <c r="AV16" s="76">
        <f>IF(AK16&gt;0,AK16,"")</f>
        <v>3.4</v>
      </c>
      <c r="AW16" s="76">
        <f>IF(AL16&gt;0,AL16,"")</f>
        <v>3.33</v>
      </c>
      <c r="AX16" s="76">
        <f>IF(SUM(AI16:AL16)-AM16&gt;0,SUM(AI16:AL16)-AM16,"")</f>
        <v>11.33</v>
      </c>
      <c r="AY16" s="76">
        <f>IF(SUM(AU16,AX16)&gt;0,SUM(AU16,AX16),"")</f>
        <v>63.794999999999995</v>
      </c>
      <c r="AZ16" s="46">
        <v>12.6</v>
      </c>
      <c r="BA16" s="46">
        <v>9</v>
      </c>
      <c r="BB16" s="46">
        <v>12.9</v>
      </c>
      <c r="BC16" s="46">
        <v>14.99</v>
      </c>
      <c r="BD16" s="46">
        <v>0.6</v>
      </c>
      <c r="BE16" s="46">
        <v>12.9</v>
      </c>
      <c r="BF16" s="46">
        <v>8.5</v>
      </c>
      <c r="BG16" s="46">
        <v>12</v>
      </c>
      <c r="BH16" s="46">
        <v>15.45</v>
      </c>
      <c r="BI16" s="46">
        <v>0</v>
      </c>
      <c r="BJ16" s="46"/>
      <c r="BK16" s="46"/>
      <c r="BL16" s="46"/>
      <c r="BM16" s="46"/>
      <c r="BN16" s="46"/>
      <c r="BO16" s="52"/>
      <c r="BP16" s="75">
        <f>IF(BB16&gt;0,BB16,"")</f>
        <v>12.9</v>
      </c>
      <c r="BQ16" s="75">
        <f>IF(BC16&gt;0,BC16,"")</f>
        <v>14.99</v>
      </c>
      <c r="BR16" s="16">
        <f>IF(SUM(AZ16:BC16)-BD16&gt;0,SUM(AZ16:BC16)-BD16,"")</f>
        <v>48.89</v>
      </c>
      <c r="BS16" s="16">
        <f>IF(BG16&gt;0,BG16,"")</f>
        <v>12</v>
      </c>
      <c r="BT16" s="16">
        <f>IF(BH16&gt;0,BH16,"")</f>
        <v>15.45</v>
      </c>
      <c r="BU16" s="16">
        <f>IF(SUM(BE16:BH16)-BI16&gt;0,SUM(BE16:BH16)-BI16,"")</f>
        <v>48.849999999999994</v>
      </c>
      <c r="BV16" s="16">
        <f>IF(BR16="","",MAX(BR16,BU16))</f>
        <v>48.89</v>
      </c>
      <c r="BW16" s="16" t="str">
        <f>IF(BL16&gt;0,BL16,"")</f>
        <v/>
      </c>
      <c r="BX16" s="16" t="str">
        <f>IF(BM16&gt;0,BM16,"")</f>
        <v/>
      </c>
      <c r="BY16" s="16" t="str">
        <f>IF(SUM(BJ16:BM16)-BN16&gt;0,SUM(BJ16:BM16)-BN16,"")</f>
        <v/>
      </c>
      <c r="BZ16" s="16">
        <f>IF(SUM(BV16,BY16)&gt;0,SUM(BV16,BY16),"")</f>
        <v>48.89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IF(N16&gt;=0.001,IF(MAX(ED16,FL16,GT16,IB16,JJ16,KR16,LZ16,NH16,OP16,PX16,RF16,SN16)-IF(N16="",0,N16)&gt;0.001,MAX(ED16,FL16,GT16,IB16,JJ16,KR16,LZ16,NH16,OP16,PX16,RF16,SN16)-IF(N16="",0,N16),""),"")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6.3</v>
      </c>
      <c r="SW16" s="42">
        <f>IF($CP16="P",CB16,(CB16+BA16)/2)</f>
        <v>4.5</v>
      </c>
      <c r="SX16" s="42">
        <f>IF($CP16="P",CC16,(CC16+BB16)/2)</f>
        <v>6.45</v>
      </c>
      <c r="SY16" s="42">
        <f>IF($CP16="P",CD16,(CD16+BC16)/2)</f>
        <v>7.4950000000000001</v>
      </c>
      <c r="SZ16" s="42">
        <f>IF($CP16="P",CE16,(CE16+BD16)/2)</f>
        <v>0.3</v>
      </c>
      <c r="TA16" s="42">
        <f>IF($CP16="P",CF16,(CF16+BE16)/2)</f>
        <v>6.45</v>
      </c>
      <c r="TB16" s="42">
        <f>IF($CP16="P",CG16,(CG16+BF16)/2)</f>
        <v>4.25</v>
      </c>
      <c r="TC16" s="42">
        <f>IF($CP16="P",CH16,(CH16+BG16)/2)</f>
        <v>6</v>
      </c>
      <c r="TD16" s="42">
        <f>IF($CP16="P",CI16,(CI16+BH16)/2)</f>
        <v>7.7249999999999996</v>
      </c>
      <c r="TE16" s="42">
        <f>IF($CP16="P",CJ16,(CJ16+BI16)/2)</f>
        <v>0</v>
      </c>
      <c r="TF16" s="42">
        <f>IF($CP16="P",CK16,(CK16+BJ16)/2)</f>
        <v>0</v>
      </c>
      <c r="TG16" s="42">
        <f>IF($CP16="P",CL16,(CL16+BK16)/2)</f>
        <v>0</v>
      </c>
      <c r="TH16" s="42">
        <f>IF($CP16="P",CM16,(CM16+BL16)/2)</f>
        <v>0</v>
      </c>
      <c r="TI16" s="42">
        <f>IF($CP16="P",CN16,(CN16+BM16)/2)</f>
        <v>0</v>
      </c>
      <c r="TJ16" s="42">
        <f>IF($CP16="P",CO16,(CO16+BN16)/2)</f>
        <v>0</v>
      </c>
      <c r="TK16" s="51" t="s">
        <v>58</v>
      </c>
      <c r="TL16" s="76">
        <f>IF(SX16&gt;0,SX16,"")</f>
        <v>6.45</v>
      </c>
      <c r="TM16" s="76">
        <f>IF(SY16&gt;0,SY16,"")</f>
        <v>7.4950000000000001</v>
      </c>
      <c r="TN16" s="76">
        <f>IF(SUM(SV16:SY16)-SZ16&gt;0,SUM(SV16:SY16)-SZ16,"")</f>
        <v>24.445</v>
      </c>
      <c r="TO16" s="76">
        <f>IF(TC16&gt;0,TC16,"")</f>
        <v>6</v>
      </c>
      <c r="TP16" s="76">
        <f>IF(TD16&gt;0,TD16,"")</f>
        <v>7.7249999999999996</v>
      </c>
      <c r="TQ16" s="76">
        <f>IF(SUM(TA16:TD16)-TE16&gt;0,SUM(TA16:TD16)-TE16,"")</f>
        <v>24.424999999999997</v>
      </c>
      <c r="TR16" s="76">
        <f>IF(MAX(TN16,TQ16)&gt;0,MAX(TN16,TQ16),"")</f>
        <v>24.445</v>
      </c>
      <c r="TS16" s="76" t="str">
        <f>IF(TH16&gt;0,TH16,"")</f>
        <v/>
      </c>
      <c r="TT16" s="76" t="str">
        <f>IF(TI16&gt;0,TI16,"")</f>
        <v/>
      </c>
      <c r="TU16" s="76" t="str">
        <f>IF(SUM(TF16:TI16)-TJ16&gt;0,SUM(TF16:TI16)-TJ16,"")</f>
        <v/>
      </c>
      <c r="TV16" s="76">
        <f>IF(SUM(TR16,TU16)&gt;0,SUM(TR16,TU16),"")</f>
        <v>24.445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89</v>
      </c>
      <c r="C17" s="7" t="s">
        <v>5</v>
      </c>
      <c r="D17" s="5">
        <v>2003</v>
      </c>
      <c r="E17" s="14">
        <f>SUM(J17:V17)+SUM(J17:T17)*0.0000001+SUM(J17)*0.0000000000001</f>
        <v>173.12001731200499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DZ17&gt;=EK$29,DZ17&lt;&gt;""),AND(EC17&gt;=EK$29,EC17&lt;&gt;""),AND(EG17&gt;=EK$29,EG17&lt;&gt;""),AND(EJ17&gt;=EK$29,EJ17&lt;&gt;""),AND(FH17&gt;=FS$29,FH17&lt;&gt;""),AND(FK17&gt;=FS$29,FK17&lt;&gt;""),AND(FO17&gt;=FS$29,FO17&lt;&gt;""),AND(FR17&gt;=FS$29,FR17&lt;&gt;""),AND(GP17&gt;=HA$29,GP17&lt;&gt;""),AND(GS17&gt;=HA$29,GS17&lt;&gt;""),AND(GW17&gt;=HA$29,GW17&lt;&gt;""),AND(GZ17&gt;=HA$29,GZ17&lt;&gt;""),AND(HX17&gt;=II$29,HX17&lt;&gt;""),AND(IA17&gt;=II$29,IA17&lt;&gt;""),AND(IE17&gt;=II$29,IE17&lt;&gt;""),AND(IH17&gt;=II$29,IH17&lt;&gt;""),AND(JF17&gt;=JQ$29,JF17&lt;&gt;""),AND(JI17&gt;=JQ$29,JI17&lt;&gt;""),AND(JM17&gt;=JQ$29,JM17&lt;&gt;""),AND(JP17&gt;=JQ$29,JP17&lt;&gt;""),AND(KN17&gt;=KY$29,KN17&lt;&gt;""),AND(KQ17&gt;=KY$29,KQ17&lt;&gt;""),AND(KU17&gt;=KY$29,KU17&lt;&gt;""),AND(KX17&gt;=KY$29,KX17&lt;&gt;""),AND(LV17&gt;=MG$29,LV17&lt;&gt;""),AND(LY17&gt;=MG$29,LY17&lt;&gt;""),AND(MC17&gt;=MG$29,MC17&lt;&gt;""),AND(MF17&gt;=MG$29,MF17&lt;&gt;""),AND(ND17&gt;=NO$29,ND17&lt;&gt;""),AND(NG17&gt;=NO$29,NG17&lt;&gt;""),AND(NK17&gt;=NO$29,NK17&lt;&gt;""),AND(NN17&gt;=NO$29,NN17&lt;&gt;""),AND(OL17&gt;=OW$29,OL17&lt;&gt;""),AND(OO17&gt;=OW$29,OO17&lt;&gt;""),AND(OS17&gt;=OW$29,OS17&lt;&gt;""),AND(OV17&gt;=OW$29,OV17&lt;&gt;""),AND(PT17&gt;=QE$29,PT17&lt;&gt;""),AND(PW17&gt;=QE$29,PW17&lt;&gt;""),AND(QA17&gt;=QE$29,QA17&lt;&gt;""),AND(QD17&gt;=QE$29,QD17&lt;&gt;""),AND(RB17&gt;=RM$29,RB17&lt;&gt;""),AND(RE17&gt;=RM$29,RE17&lt;&gt;""),AND(RI17&gt;=RM$29,RI17&lt;&gt;""),AND(RL17&gt;=RM$29,RL17&lt;&gt;""),AND(SJ17&gt;=SU$29,SJ17&lt;&gt;""),AND(SM17&gt;=SU$29,SM17&lt;&gt;""),AND(SQ17&gt;=SU$29,SQ17&lt;&gt;""),AND(ST17&gt;=SU$29,ST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J17" s="13">
        <f>IF(COUNT(AQ17,AT17,BR17,BU17,CS17,CV17)&gt;0,LARGE((AQ17,AT17,BR17,BU17,CS17,CV17),1),0)</f>
        <v>49.83</v>
      </c>
      <c r="K17" s="13" t="str">
        <f>IF(J17="","",IF(OR(J17=CS17,J17=CV17),$CA$1,IF(OR(J17=BR17,J17=BU17),$AZ$1,IF(OR(J17=AQ17,J17=AT17),$Y$1,""))))</f>
        <v>2022 3rd Domestic Trial</v>
      </c>
      <c r="L17" s="13">
        <f>IF(COUNT(AQ17,AT17,BR17,BU17,CS17,CV17)&gt;1,LARGE((AQ17,AT17,BR17,BU17,CS17,CV17),2),0)</f>
        <v>48.620000000000005</v>
      </c>
      <c r="M17" s="13" t="str">
        <f>IF(L17="","",IF(OR(L17=CS17,L17=CV17),$CA$1,IF(OR(L17=BR17,L17=BU17),$AZ$1,IF(OR(L17=AQ17,L17=AT17),$Y$1,""))))</f>
        <v>2022 Nationals</v>
      </c>
      <c r="N17" s="13">
        <f>IF(COUNT(AQ17,AT17,BR17,BU17,CS17,CV17)&gt;2,LARGE((AQ17,AT17,BR17,BU17,CS17,CV17),3),0)</f>
        <v>10.85</v>
      </c>
      <c r="O17" s="13" t="str">
        <f>IF(N17="","",IF(OR(N17=CS17,N17=CV17),$CA$1,IF(OR(N17=BR17,N17=BU17),$AZ$1,IF(OR(N17=AQ17,N17=AT17),$Y$1,""))))</f>
        <v>2022 Nationals</v>
      </c>
      <c r="P17" s="13">
        <f>IF(MAX(AX17,BY17,CZ17)&gt;0,MAX(AX17,BY17,CZ17),0)</f>
        <v>49.92</v>
      </c>
      <c r="Q17" s="13" t="str">
        <f>IF(P17="","",IF(P17=CZ17,$CA$1,IF(P17=BY17,$AZ$1,IF(P17=AX17,$Y$1,""))))</f>
        <v>2022 3rd Domestic Trial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13.9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2022 3rd Domestic Trial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,IF(DX17&gt;=$EK$25,DY17,0),IF(EA17&gt;=$EK$25,EB17,0),IF(EE17&gt;=$EK$25,EF17,0),IF(EH17&gt;=$EK$25,EI17,0),IF(FF17&gt;=$FS$25,FG17,0),IF(FI17&gt;=$FS$25,FJ17,0),IF(FM17&gt;=$FS$25,FN17,0),IF(FP17&gt;=$FS$25,FQ17,0),IF(GN17&gt;=$HA$25,GO17,0),IF(GQ17&gt;=$HA$25,GR17,0),IF(GU17&gt;=$HA$25,GV17,0),IF(GX17&gt;=$HA$25,GY17,0),IF(HV17&gt;=$II$25,HW17,0),IF(HY17&gt;=$II$25,HZ17,0),IF(IC17&gt;=$II$25,ID17,0),IF(IF17&gt;=$II$25,IG17,0),IF(JD17&gt;=$JQ$25,JE17,0),IF(JG17&gt;=$JQ$25,JH17,0),IF(JK17&gt;=$JQ$25,JL17,0),IF(JN17&gt;=$JQ$25,JO17,0),IF(KL17&gt;=$KY$25,KM17,0),IF(KO17&gt;=$KY$25,KP17,0),IF(KS17&gt;=$KY$25,KT17,0),IF(KV17&gt;=$KY$25,KW17,0),IF(LT17&gt;=$MG$25,LU17,0),IF(LW17&gt;=$MG$25,LX17,0),IF(MA17&gt;=$MG$25,MB17,0),IF(MD17&gt;=$MG$25,ME17,0),IF(NB17&gt;=$NO$25,NC17,0),IF(NE17&gt;=$NO$25,NF17,0),IF(NI17&gt;=$NO$25,NJ17,0),IF(NL17&gt;=$NO$25,NM17,0),IF(OJ17&gt;=$OW$25,OK17,0),IF(OM17&gt;=$OW$25,ON17,0),IF(OQ17&gt;=$OW$25,OR17,0),IF(OT17&gt;=$OW$25,OU17,0),IF(PR17&gt;=$QE$25,PS17,0),IF(PU17&gt;=$QE$25,PV17,0),IF(PY17&gt;=$QE$25,PZ17,0),IF(QB17&gt;=$QE$25,QC17,0),IF(QZ17&gt;=$RM$25,RA17,0),IF(RC17&gt;=$RM$25,RD17,0),IF(RG17&gt;=$RM$25,RH17,0),IF(RJ17&gt;=$RM$25,RK17,0),IF(SH17&gt;=$SU$25,SI17,0),IF(SK17&gt;=$SU$25,SL17,0),IF(SO17&gt;=$SU$25,SP17,0),IF(SR17&gt;=$SU$25,SS17,0)),0)</f>
        <v>0</v>
      </c>
      <c r="U17" s="13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>IF(AA17&gt;0,AA17,"")</f>
        <v/>
      </c>
      <c r="AP17" s="74" t="str">
        <f>IF(AB17&gt;0,AB17,"")</f>
        <v/>
      </c>
      <c r="AQ17" s="76" t="str">
        <f>IF(SUM(Y17:AB17)-AC17&gt;0,SUM(Y17:AB17)-AC17,"")</f>
        <v/>
      </c>
      <c r="AR17" s="76" t="str">
        <f>IF(AF17&gt;0,AF17,"")</f>
        <v/>
      </c>
      <c r="AS17" s="76" t="str">
        <f>IF(AG17&gt;0,AG17,"")</f>
        <v/>
      </c>
      <c r="AT17" s="76" t="str">
        <f>IF(SUM(AD17:AG17)-AH17&gt;0,SUM(AD17:AG17)-AH17,"")</f>
        <v/>
      </c>
      <c r="AU17" s="76" t="str">
        <f>IF(AQ17="","",MAX(AQ17,AT17))</f>
        <v/>
      </c>
      <c r="AV17" s="76" t="str">
        <f>IF(AK17&gt;0,AK17,"")</f>
        <v/>
      </c>
      <c r="AW17" s="76" t="str">
        <f>IF(AL17&gt;0,AL17,"")</f>
        <v/>
      </c>
      <c r="AX17" s="76" t="str">
        <f>IF(SUM(AI17:AL17)-AM17&gt;0,SUM(AI17:AL17)-AM17,"")</f>
        <v/>
      </c>
      <c r="AY17" s="76" t="str">
        <f>IF(SUM(AU17,AX17)&gt;0,SUM(AU17,AX17),"")</f>
        <v/>
      </c>
      <c r="AZ17" s="46">
        <v>2.8</v>
      </c>
      <c r="BA17" s="46">
        <v>2</v>
      </c>
      <c r="BB17" s="46">
        <v>2.9</v>
      </c>
      <c r="BC17" s="46">
        <v>3.15</v>
      </c>
      <c r="BD17" s="46">
        <v>0</v>
      </c>
      <c r="BE17" s="46">
        <v>11.5</v>
      </c>
      <c r="BF17" s="46">
        <v>9</v>
      </c>
      <c r="BG17" s="46">
        <v>13.7</v>
      </c>
      <c r="BH17" s="46">
        <v>14.42</v>
      </c>
      <c r="BI17" s="46">
        <v>0</v>
      </c>
      <c r="BJ17" s="46"/>
      <c r="BK17" s="46"/>
      <c r="BL17" s="46"/>
      <c r="BM17" s="46"/>
      <c r="BN17" s="46"/>
      <c r="BO17" s="52"/>
      <c r="BP17" s="75">
        <f>IF(BB17&gt;0,BB17,"")</f>
        <v>2.9</v>
      </c>
      <c r="BQ17" s="75">
        <f>IF(BC17&gt;0,BC17,"")</f>
        <v>3.15</v>
      </c>
      <c r="BR17" s="16">
        <f>IF(SUM(AZ17:BC17)-BD17&gt;0,SUM(AZ17:BC17)-BD17,"")</f>
        <v>10.85</v>
      </c>
      <c r="BS17" s="16">
        <f>IF(BG17&gt;0,BG17,"")</f>
        <v>13.7</v>
      </c>
      <c r="BT17" s="16">
        <f>IF(BH17&gt;0,BH17,"")</f>
        <v>14.42</v>
      </c>
      <c r="BU17" s="16">
        <f>IF(SUM(BE17:BH17)-BI17&gt;0,SUM(BE17:BH17)-BI17,"")</f>
        <v>48.620000000000005</v>
      </c>
      <c r="BV17" s="16">
        <f>IF(BR17="","",MAX(BR17,BU17))</f>
        <v>48.620000000000005</v>
      </c>
      <c r="BW17" s="16" t="str">
        <f>IF(BL17&gt;0,BL17,"")</f>
        <v/>
      </c>
      <c r="BX17" s="16" t="str">
        <f>IF(BM17&gt;0,BM17,"")</f>
        <v/>
      </c>
      <c r="BY17" s="16" t="str">
        <f>IF(SUM(BJ17:BM17)-BN17&gt;0,SUM(BJ17:BM17)-BN17,"")</f>
        <v/>
      </c>
      <c r="BZ17" s="16">
        <f>IF(SUM(BV17,BY17)&gt;0,SUM(BV17,BY17),"")</f>
        <v>48.620000000000005</v>
      </c>
      <c r="CA17" s="42">
        <v>12.5</v>
      </c>
      <c r="CB17" s="42">
        <v>9</v>
      </c>
      <c r="CC17" s="42">
        <v>13.9</v>
      </c>
      <c r="CD17" s="42">
        <v>14.43</v>
      </c>
      <c r="CE17" s="42">
        <v>0</v>
      </c>
      <c r="CF17" s="42">
        <v>1.2</v>
      </c>
      <c r="CG17" s="42">
        <v>1</v>
      </c>
      <c r="CH17" s="42">
        <v>1.7</v>
      </c>
      <c r="CI17" s="42">
        <v>1.6</v>
      </c>
      <c r="CJ17" s="42">
        <v>0</v>
      </c>
      <c r="CK17" s="42">
        <v>12.2</v>
      </c>
      <c r="CL17" s="42">
        <v>9.3000000000000007</v>
      </c>
      <c r="CM17" s="42">
        <v>13.7</v>
      </c>
      <c r="CN17" s="42">
        <v>14.72</v>
      </c>
      <c r="CO17" s="42">
        <v>0</v>
      </c>
      <c r="CP17" s="51"/>
      <c r="CQ17" s="74">
        <f>IF(CC17&gt;0,CC17,"")</f>
        <v>13.9</v>
      </c>
      <c r="CR17" s="74">
        <f>IF(CD17&gt;0,CD17,"")</f>
        <v>14.43</v>
      </c>
      <c r="CS17" s="76">
        <f>IF(SUM(CA17:CD17)-CE17&gt;0,SUM(CA17:CD17)-CE17,"")</f>
        <v>49.83</v>
      </c>
      <c r="CT17" s="76">
        <f>IF(CH17&gt;0,CH17,"")</f>
        <v>1.7</v>
      </c>
      <c r="CU17" s="76">
        <f>IF(CI17&gt;0,CI17,"")</f>
        <v>1.6</v>
      </c>
      <c r="CV17" s="76">
        <f>IF(SUM(CF17:CI17)-CJ17&gt;0,SUM(CF17:CI17)-CJ17,"")</f>
        <v>5.5</v>
      </c>
      <c r="CW17" s="76">
        <f>IF(CS17="","",MAX(CS17,CV17))</f>
        <v>49.83</v>
      </c>
      <c r="CX17" s="76">
        <f>IF(CM17&gt;0,CM17,"")</f>
        <v>13.7</v>
      </c>
      <c r="CY17" s="76">
        <f>IF(CN17&gt;0,CN17,"")</f>
        <v>14.72</v>
      </c>
      <c r="CZ17" s="76">
        <f>IF(SUM(CK17:CN17)-CO17&gt;0,SUM(CK17:CN17)-CO17,"")</f>
        <v>49.92</v>
      </c>
      <c r="DA17" s="76">
        <f>IF(SUM(CW17,CZ17)&gt;0,SUM(CW17,CZ17),"")</f>
        <v>99.75</v>
      </c>
      <c r="DB17" s="87" t="str">
        <f>IF(N17&gt;=0.001,IF(MAX(ED17,FL17,GT17,IB17,JJ17,KR17,LZ17,NH17,OP17,PX17,RF17,SN17)-IF(N17="",0,N17)&gt;0.001,MAX(ED17,FL17,GT17,IB17,JJ17,KR17,LZ17,NH17,OP17,PX17,RF17,SN17)-IF(N17="",0,N17),""),"")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7.65</v>
      </c>
      <c r="SW17" s="42">
        <f>IF($CP17="P",CB17,(CB17+BA17)/2)</f>
        <v>5.5</v>
      </c>
      <c r="SX17" s="42">
        <f>IF($CP17="P",CC17,(CC17+BB17)/2)</f>
        <v>8.4</v>
      </c>
      <c r="SY17" s="42">
        <f>IF($CP17="P",CD17,(CD17+BC17)/2)</f>
        <v>8.7899999999999991</v>
      </c>
      <c r="SZ17" s="42">
        <f>IF($CP17="P",CE17,(CE17+BD17)/2)</f>
        <v>0</v>
      </c>
      <c r="TA17" s="42">
        <f>IF($CP17="P",CF17,(CF17+BE17)/2)</f>
        <v>6.35</v>
      </c>
      <c r="TB17" s="42">
        <f>IF($CP17="P",CG17,(CG17+BF17)/2)</f>
        <v>5</v>
      </c>
      <c r="TC17" s="42">
        <f>IF($CP17="P",CH17,(CH17+BG17)/2)</f>
        <v>7.6999999999999993</v>
      </c>
      <c r="TD17" s="42">
        <f>IF($CP17="P",CI17,(CI17+BH17)/2)</f>
        <v>8.01</v>
      </c>
      <c r="TE17" s="42">
        <f>IF($CP17="P",CJ17,(CJ17+BI17)/2)</f>
        <v>0</v>
      </c>
      <c r="TF17" s="42">
        <f>IF($CP17="P",CK17,(CK17+BJ17)/2)</f>
        <v>6.1</v>
      </c>
      <c r="TG17" s="42">
        <f>IF($CP17="P",CL17,(CL17+BK17)/2)</f>
        <v>4.6500000000000004</v>
      </c>
      <c r="TH17" s="42">
        <f>IF($CP17="P",CM17,(CM17+BL17)/2)</f>
        <v>6.85</v>
      </c>
      <c r="TI17" s="42">
        <f>IF($CP17="P",CN17,(CN17+BM17)/2)</f>
        <v>7.36</v>
      </c>
      <c r="TJ17" s="42">
        <f>IF($CP17="P",CO17,(CO17+BN17)/2)</f>
        <v>0</v>
      </c>
      <c r="TK17" s="51" t="s">
        <v>58</v>
      </c>
      <c r="TL17" s="76">
        <f>IF(SX17&gt;0,SX17,"")</f>
        <v>8.4</v>
      </c>
      <c r="TM17" s="76">
        <f>IF(SY17&gt;0,SY17,"")</f>
        <v>8.7899999999999991</v>
      </c>
      <c r="TN17" s="76">
        <f>IF(SUM(SV17:SY17)-SZ17&gt;0,SUM(SV17:SY17)-SZ17,"")</f>
        <v>30.34</v>
      </c>
      <c r="TO17" s="76">
        <f>IF(TC17&gt;0,TC17,"")</f>
        <v>7.6999999999999993</v>
      </c>
      <c r="TP17" s="76">
        <f>IF(TD17&gt;0,TD17,"")</f>
        <v>8.01</v>
      </c>
      <c r="TQ17" s="76">
        <f>IF(SUM(TA17:TD17)-TE17&gt;0,SUM(TA17:TD17)-TE17,"")</f>
        <v>27.059999999999995</v>
      </c>
      <c r="TR17" s="76">
        <f>IF(MAX(TN17,TQ17)&gt;0,MAX(TN17,TQ17),"")</f>
        <v>30.34</v>
      </c>
      <c r="TS17" s="76">
        <f>IF(TH17&gt;0,TH17,"")</f>
        <v>6.85</v>
      </c>
      <c r="TT17" s="76">
        <f>IF(TI17&gt;0,TI17,"")</f>
        <v>7.36</v>
      </c>
      <c r="TU17" s="76">
        <f>IF(SUM(TF17:TI17)-TJ17&gt;0,SUM(TF17:TI17)-TJ17,"")</f>
        <v>24.96</v>
      </c>
      <c r="TV17" s="76">
        <f>IF(SUM(TR17,TU17)&gt;0,SUM(TR17,TU17),"")</f>
        <v>55.3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80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DZ18&gt;=EK$29,DZ18&lt;&gt;""),AND(EC18&gt;=EK$29,EC18&lt;&gt;""),AND(EG18&gt;=EK$29,EG18&lt;&gt;""),AND(EJ18&gt;=EK$29,EJ18&lt;&gt;""),AND(FH18&gt;=FS$29,FH18&lt;&gt;""),AND(FK18&gt;=FS$29,FK18&lt;&gt;""),AND(FO18&gt;=FS$29,FO18&lt;&gt;""),AND(FR18&gt;=FS$29,FR18&lt;&gt;""),AND(GP18&gt;=HA$29,GP18&lt;&gt;""),AND(GS18&gt;=HA$29,GS18&lt;&gt;""),AND(GW18&gt;=HA$29,GW18&lt;&gt;""),AND(GZ18&gt;=HA$29,GZ18&lt;&gt;""),AND(HX18&gt;=II$29,HX18&lt;&gt;""),AND(IA18&gt;=II$29,IA18&lt;&gt;""),AND(IE18&gt;=II$29,IE18&lt;&gt;""),AND(IH18&gt;=II$29,IH18&lt;&gt;""),AND(JF18&gt;=JQ$29,JF18&lt;&gt;""),AND(JI18&gt;=JQ$29,JI18&lt;&gt;""),AND(JM18&gt;=JQ$29,JM18&lt;&gt;""),AND(JP18&gt;=JQ$29,JP18&lt;&gt;""),AND(KN18&gt;=KY$29,KN18&lt;&gt;""),AND(KQ18&gt;=KY$29,KQ18&lt;&gt;""),AND(KU18&gt;=KY$29,KU18&lt;&gt;""),AND(KX18&gt;=KY$29,KX18&lt;&gt;""),AND(LV18&gt;=MG$29,LV18&lt;&gt;""),AND(LY18&gt;=MG$29,LY18&lt;&gt;""),AND(MC18&gt;=MG$29,MC18&lt;&gt;""),AND(MF18&gt;=MG$29,MF18&lt;&gt;""),AND(ND18&gt;=NO$29,ND18&lt;&gt;""),AND(NG18&gt;=NO$29,NG18&lt;&gt;""),AND(NK18&gt;=NO$29,NK18&lt;&gt;""),AND(NN18&gt;=NO$29,NN18&lt;&gt;""),AND(OL18&gt;=OW$29,OL18&lt;&gt;""),AND(OO18&gt;=OW$29,OO18&lt;&gt;""),AND(OS18&gt;=OW$29,OS18&lt;&gt;""),AND(OV18&gt;=OW$29,OV18&lt;&gt;""),AND(PT18&gt;=QE$29,PT18&lt;&gt;""),AND(PW18&gt;=QE$29,PW18&lt;&gt;""),AND(QA18&gt;=QE$29,QA18&lt;&gt;""),AND(QD18&gt;=QE$29,QD18&lt;&gt;""),AND(RB18&gt;=RM$29,RB18&lt;&gt;""),AND(RE18&gt;=RM$29,RE18&lt;&gt;""),AND(RI18&gt;=RM$29,RI18&lt;&gt;""),AND(RL18&gt;=RM$29,RL18&lt;&gt;""),AND(SJ18&gt;=SU$29,SJ18&lt;&gt;""),AND(SM18&gt;=SU$29,SM18&lt;&gt;""),AND(SQ18&gt;=SU$29,SQ18&lt;&gt;""),AND(ST18&gt;=SU$29,ST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14.6</v>
      </c>
      <c r="S18" s="13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,IF(DX18&gt;=$EK$25,DY18,0),IF(EA18&gt;=$EK$25,EB18,0),IF(EE18&gt;=$EK$25,EF18,0),IF(EH18&gt;=$EK$25,EI18,0),IF(FF18&gt;=$FS$25,FG18,0),IF(FI18&gt;=$FS$25,FJ18,0),IF(FM18&gt;=$FS$25,FN18,0),IF(FP18&gt;=$FS$25,FQ18,0),IF(GN18&gt;=$HA$25,GO18,0),IF(GQ18&gt;=$HA$25,GR18,0),IF(GU18&gt;=$HA$25,GV18,0),IF(GX18&gt;=$HA$25,GY18,0),IF(HV18&gt;=$II$25,HW18,0),IF(HY18&gt;=$II$25,HZ18,0),IF(IC18&gt;=$II$25,ID18,0),IF(IF18&gt;=$II$25,IG18,0),IF(JD18&gt;=$JQ$25,JE18,0),IF(JG18&gt;=$JQ$25,JH18,0),IF(JK18&gt;=$JQ$25,JL18,0),IF(JN18&gt;=$JQ$25,JO18,0),IF(KL18&gt;=$KY$25,KM18,0),IF(KO18&gt;=$KY$25,KP18,0),IF(KS18&gt;=$KY$25,KT18,0),IF(KV18&gt;=$KY$25,KW18,0),IF(LT18&gt;=$MG$25,LU18,0),IF(LW18&gt;=$MG$25,LX18,0),IF(MA18&gt;=$MG$25,MB18,0),IF(MD18&gt;=$MG$25,ME18,0),IF(NB18&gt;=$NO$25,NC18,0),IF(NE18&gt;=$NO$25,NF18,0),IF(NI18&gt;=$NO$25,NJ18,0),IF(NL18&gt;=$NO$25,NM18,0),IF(OJ18&gt;=$OW$25,OK18,0),IF(OM18&gt;=$OW$25,ON18,0),IF(OQ18&gt;=$OW$25,OR18,0),IF(OT18&gt;=$OW$25,OU18,0),IF(PR18&gt;=$QE$25,PS18,0),IF(PU18&gt;=$QE$25,PV18,0),IF(PY18&gt;=$QE$25,PZ18,0),IF(QB18&gt;=$QE$25,QC18,0),IF(QZ18&gt;=$RM$25,RA18,0),IF(RC18&gt;=$RM$25,RD18,0),IF(RG18&gt;=$RM$25,RH18,0),IF(RJ18&gt;=$RM$25,RK18,0),IF(SH18&gt;=$SU$25,SI18,0),IF(SK18&gt;=$SU$25,SL18,0),IF(SO18&gt;=$SU$25,SP18,0),IF(SR18&gt;=$SU$25,SS18,0)),0)</f>
        <v>0</v>
      </c>
      <c r="U18" s="13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13" t="str">
        <f>IF(MAX(DB18,DC18)&gt;0,MAX(DB18,DC18),"")</f>
        <v/>
      </c>
      <c r="W18" s="16" t="str">
        <f>IF(V18="","",IF(V18=DB18,"("&amp;DB$2&amp;")",IF(V18=DC18,"("&amp;DC$2&amp;")")))</f>
        <v/>
      </c>
      <c r="X18" s="13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42">
        <v>12.7</v>
      </c>
      <c r="Z18" s="42">
        <v>9.1</v>
      </c>
      <c r="AA18" s="42">
        <v>14.6</v>
      </c>
      <c r="AB18" s="42">
        <v>15.37</v>
      </c>
      <c r="AC18" s="42">
        <v>0</v>
      </c>
      <c r="AD18" s="42">
        <v>11.7</v>
      </c>
      <c r="AE18" s="42">
        <v>7.5</v>
      </c>
      <c r="AF18" s="42">
        <v>11.9</v>
      </c>
      <c r="AG18" s="42">
        <v>12.055</v>
      </c>
      <c r="AH18" s="42">
        <v>0</v>
      </c>
      <c r="AI18" s="42">
        <v>13.5</v>
      </c>
      <c r="AJ18" s="42">
        <v>9.1</v>
      </c>
      <c r="AK18" s="42">
        <v>14.2</v>
      </c>
      <c r="AL18" s="42">
        <v>14.885</v>
      </c>
      <c r="AM18" s="42">
        <v>0</v>
      </c>
      <c r="AN18" s="51"/>
      <c r="AO18" s="74">
        <f>IF(AA18&gt;0,AA18,"")</f>
        <v>14.6</v>
      </c>
      <c r="AP18" s="74">
        <f>IF(AB18&gt;0,AB18,"")</f>
        <v>15.37</v>
      </c>
      <c r="AQ18" s="76">
        <f>IF(SUM(Y18:AB18)-AC18&gt;0,SUM(Y18:AB18)-AC18,"")</f>
        <v>51.769999999999996</v>
      </c>
      <c r="AR18" s="76">
        <f>IF(AF18&gt;0,AF18,"")</f>
        <v>11.9</v>
      </c>
      <c r="AS18" s="76">
        <f>IF(AG18&gt;0,AG18,"")</f>
        <v>12.055</v>
      </c>
      <c r="AT18" s="76">
        <f>IF(SUM(AD18:AG18)-AH18&gt;0,SUM(AD18:AG18)-AH18,"")</f>
        <v>43.155000000000001</v>
      </c>
      <c r="AU18" s="76">
        <f>IF(AQ18="","",MAX(AQ18,AT18))</f>
        <v>51.769999999999996</v>
      </c>
      <c r="AV18" s="76">
        <f>IF(AK18&gt;0,AK18,"")</f>
        <v>14.2</v>
      </c>
      <c r="AW18" s="76">
        <f>IF(AL18&gt;0,AL18,"")</f>
        <v>14.885</v>
      </c>
      <c r="AX18" s="76">
        <f>IF(SUM(AI18:AL18)-AM18&gt;0,SUM(AI18:AL18)-AM18,"")</f>
        <v>51.684999999999995</v>
      </c>
      <c r="AY18" s="76">
        <f>IF(SUM(AU18,AX18)&gt;0,SUM(AU18,AX18),"")</f>
        <v>103.45499999999998</v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51"/>
      <c r="CQ18" s="74" t="str">
        <f>IF(CC18&gt;0,CC18,"")</f>
        <v/>
      </c>
      <c r="CR18" s="74" t="str">
        <f>IF(CD18&gt;0,CD18,"")</f>
        <v/>
      </c>
      <c r="CS18" s="76" t="str">
        <f>IF(SUM(CA18:CD18)-CE18&gt;0,SUM(CA18:CD18)-CE18,"")</f>
        <v/>
      </c>
      <c r="CT18" s="76" t="str">
        <f>IF(CH18&gt;0,CH18,"")</f>
        <v/>
      </c>
      <c r="CU18" s="76" t="str">
        <f>IF(CI18&gt;0,CI18,"")</f>
        <v/>
      </c>
      <c r="CV18" s="76" t="str">
        <f>IF(SUM(CF18:CI18)-CJ18&gt;0,SUM(CF18:CI18)-CJ18,"")</f>
        <v/>
      </c>
      <c r="CW18" s="76" t="str">
        <f>IF(CS18="","",MAX(CS18,CV18))</f>
        <v/>
      </c>
      <c r="CX18" s="76" t="str">
        <f>IF(CM18&gt;0,CM18,"")</f>
        <v/>
      </c>
      <c r="CY18" s="76" t="str">
        <f>IF(CN18&gt;0,CN18,"")</f>
        <v/>
      </c>
      <c r="CZ18" s="76" t="str">
        <f>IF(SUM(CK18:CN18)-CO18&gt;0,SUM(CK18:CN18)-CO18,"")</f>
        <v/>
      </c>
      <c r="DA18" s="76" t="str">
        <f>IF(SUM(CW18,CZ18)&gt;0,SUM(CW18,CZ18),"")</f>
        <v/>
      </c>
      <c r="DB18" s="87" t="str">
        <f>IF(N18&gt;=0.001,IF(MAX(ED18,FL18,GT18,IB18,JJ18,KR18,LZ18,NH18,OP18,PX18,RF18,SN18)-IF(N18="",0,N18)&gt;0.001,MAX(ED18,FL18,GT18,IB18,JJ18,KR18,LZ18,NH18,OP18,PX18,RF18,SN18)-IF(N18="",0,N18),""),"")</f>
        <v/>
      </c>
      <c r="DC18" s="87" t="str">
        <f>IF(P18&gt;=0.001,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>IF(DF18&gt;0,DF18,"")</f>
        <v/>
      </c>
      <c r="DY18" s="76" t="str">
        <f>IF(DG18&gt;0,DG18,"")</f>
        <v/>
      </c>
      <c r="DZ18" s="76" t="str">
        <f>IF(SUM(DD18:DG18)-DH18&gt;0,SUM(DD18:DG18)-DH18,"")</f>
        <v/>
      </c>
      <c r="EA18" s="76" t="str">
        <f>IF(DK18&gt;0,DK18,"")</f>
        <v/>
      </c>
      <c r="EB18" s="76" t="str">
        <f>IF(DL18&gt;0,DL18,"")</f>
        <v/>
      </c>
      <c r="EC18" s="76" t="str">
        <f>IF(SUM(DI18:DL18)-DM18&gt;0,SUM(DI18:DL18)-DM18,"")</f>
        <v/>
      </c>
      <c r="ED18" s="76" t="str">
        <f>IF(MAX(DZ18,EC18)&gt;0,MAX(DZ18,EC18),"")</f>
        <v/>
      </c>
      <c r="EE18" s="76" t="str">
        <f>IF(DP18&gt;0,DP18,"")</f>
        <v/>
      </c>
      <c r="EF18" s="76" t="str">
        <f>IF(DQ18&gt;0,DQ18,"")</f>
        <v/>
      </c>
      <c r="EG18" s="76" t="str">
        <f>IF(SUM(DN18:DQ18)-DR18&gt;0,SUM(DN18:DQ18)-DR18,"")</f>
        <v/>
      </c>
      <c r="EH18" s="76" t="str">
        <f>IF(DU18&gt;0,DU18,"")</f>
        <v/>
      </c>
      <c r="EI18" s="76" t="str">
        <f>IF(DV18&gt;0,DV18,"")</f>
        <v/>
      </c>
      <c r="EJ18" s="76" t="str">
        <f>IF(SUM(DS18:DV18)-DW18&gt;0,SUM(DS18:DV18)-DW18,"")</f>
        <v/>
      </c>
      <c r="EK18" s="76" t="str">
        <f>IF(SUM(ED18,EJ18)&gt;0,SUM(ED18,EJ18),"")</f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>IF(EN18&gt;0,EN18,"")</f>
        <v/>
      </c>
      <c r="FG18" s="16" t="str">
        <f>IF(EO18&gt;0,EO18,"")</f>
        <v/>
      </c>
      <c r="FH18" s="16" t="str">
        <f>IF(SUM(EL18:EO18)-EP18&gt;0,SUM(EL18:EO18)-EP18,"")</f>
        <v/>
      </c>
      <c r="FI18" s="16" t="str">
        <f>IF(ES18&gt;0,ES18,"")</f>
        <v/>
      </c>
      <c r="FJ18" s="16" t="str">
        <f>IF(ET18&gt;0,ET18,"")</f>
        <v/>
      </c>
      <c r="FK18" s="16" t="str">
        <f>IF(SUM(EQ18:ET18)-EU18&gt;0,SUM(EQ18:ET18)-EU18,"")</f>
        <v/>
      </c>
      <c r="FL18" s="16" t="str">
        <f>IF(MAX(FH18,FK18)&gt;0,MAX(FH18,FK18),"")</f>
        <v/>
      </c>
      <c r="FM18" s="16" t="str">
        <f>IF(EX18&gt;0,EX18,"")</f>
        <v/>
      </c>
      <c r="FN18" s="16" t="str">
        <f>IF(EY18&gt;0,EY18,"")</f>
        <v/>
      </c>
      <c r="FO18" s="16" t="str">
        <f>IF(SUM(EV18:EY18)-EZ18&gt;0,SUM(EV18:EY18)-EZ18,"")</f>
        <v/>
      </c>
      <c r="FP18" s="16" t="str">
        <f>IF(FC18&gt;0,FC18,"")</f>
        <v/>
      </c>
      <c r="FQ18" s="16" t="str">
        <f>IF(FD18&gt;0,FD18,"")</f>
        <v/>
      </c>
      <c r="FR18" s="16" t="str">
        <f>IF(SUM(FA18:FD18)-FE18&gt;0,SUM(FA18:FD18)-FE18,"")</f>
        <v/>
      </c>
      <c r="FS18" s="16" t="str">
        <f>IF(SUM(FL18,FR18)&gt;0,SUM(FL18,FR18),"")</f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>IF(FV18&gt;0,FV18,"")</f>
        <v/>
      </c>
      <c r="GO18" s="76" t="str">
        <f>IF(FW18&gt;0,FW18,"")</f>
        <v/>
      </c>
      <c r="GP18" s="76" t="str">
        <f>IF(SUM(FT18:FW18)-FX18&gt;0,SUM(FT18:FW18)-FX18,"")</f>
        <v/>
      </c>
      <c r="GQ18" s="76" t="str">
        <f>IF(GA18&gt;0,GA18,"")</f>
        <v/>
      </c>
      <c r="GR18" s="76" t="str">
        <f>IF(GB18&gt;0,GB18,"")</f>
        <v/>
      </c>
      <c r="GS18" s="76" t="str">
        <f>IF(SUM(FY18:GB18)-GC18&gt;0,SUM(FY18:GB18)-GC18,"")</f>
        <v/>
      </c>
      <c r="GT18" s="76" t="str">
        <f>IF(MAX(GP18,GS18)&gt;0,MAX(GP18,GS18),"")</f>
        <v/>
      </c>
      <c r="GU18" s="76" t="str">
        <f>IF(GF18&gt;0,GF18,"")</f>
        <v/>
      </c>
      <c r="GV18" s="76" t="str">
        <f>IF(GG18&gt;0,GG18,"")</f>
        <v/>
      </c>
      <c r="GW18" s="76" t="str">
        <f>IF(SUM(GD18:GG18)-GH18&gt;0,SUM(GD18:GG18)-GH18,"")</f>
        <v/>
      </c>
      <c r="GX18" s="76" t="str">
        <f>IF(GK18&gt;0,GK18,"")</f>
        <v/>
      </c>
      <c r="GY18" s="76" t="str">
        <f>IF(GL18&gt;0,GL18,"")</f>
        <v/>
      </c>
      <c r="GZ18" s="76" t="str">
        <f>IF(SUM(GI18:GL18)-GM18&gt;0,SUM(GI18:GL18)-GM18,"")</f>
        <v/>
      </c>
      <c r="HA18" s="76" t="str">
        <f>IF(SUM(GT18,GZ18)&gt;0,SUM(GT18,GZ18),"")</f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>IF(HD18&gt;0,HD18,"")</f>
        <v/>
      </c>
      <c r="HW18" s="16" t="str">
        <f>IF(HE18&gt;0,HE18,"")</f>
        <v/>
      </c>
      <c r="HX18" s="16" t="str">
        <f>IF(SUM(HB18:HE18)-HF18&gt;0,SUM(HB18:HE18)-HF18,"")</f>
        <v/>
      </c>
      <c r="HY18" s="16" t="str">
        <f>IF(HI18&gt;0,HI18,"")</f>
        <v/>
      </c>
      <c r="HZ18" s="16" t="str">
        <f>IF(HJ18&gt;0,HJ18,"")</f>
        <v/>
      </c>
      <c r="IA18" s="16" t="str">
        <f>IF(SUM(HG18:HJ18)-HK18&gt;0,SUM(HG18:HJ18)-HK18,"")</f>
        <v/>
      </c>
      <c r="IB18" s="16" t="str">
        <f>IF(MAX(HX18,IA18)&gt;0,MAX(HX18,IA18),"")</f>
        <v/>
      </c>
      <c r="IC18" s="16" t="str">
        <f>IF(HN18&gt;0,HN18,"")</f>
        <v/>
      </c>
      <c r="ID18" s="16" t="str">
        <f>IF(HO18&gt;0,HO18,"")</f>
        <v/>
      </c>
      <c r="IE18" s="16" t="str">
        <f>IF(SUM(HL18:HO18)-HP18&gt;0,SUM(HL18:HO18)-HP18,"")</f>
        <v/>
      </c>
      <c r="IF18" s="16" t="str">
        <f>IF(HS18&gt;0,HS18,"")</f>
        <v/>
      </c>
      <c r="IG18" s="16" t="str">
        <f>IF(HT18&gt;0,HT18,"")</f>
        <v/>
      </c>
      <c r="IH18" s="16" t="str">
        <f>IF(SUM(HQ18:HT18)-HU18&gt;0,SUM(HQ18:HT18)-HU18,"")</f>
        <v/>
      </c>
      <c r="II18" s="16" t="str">
        <f>IF(SUM(IB18,IH18)&gt;0,SUM(IB18,IH18),"")</f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>IF(IL18&gt;0,IL18,"")</f>
        <v/>
      </c>
      <c r="JE18" s="76" t="str">
        <f>IF(IM18&gt;0,IM18,"")</f>
        <v/>
      </c>
      <c r="JF18" s="76" t="str">
        <f>IF(SUM(IJ18:IM18)-IN18&gt;0,SUM(IJ18:IM18)-IN18,"")</f>
        <v/>
      </c>
      <c r="JG18" s="76" t="str">
        <f>IF(IQ18&gt;0,IQ18,"")</f>
        <v/>
      </c>
      <c r="JH18" s="76" t="str">
        <f>IF(IR18&gt;0,IR18,"")</f>
        <v/>
      </c>
      <c r="JI18" s="76" t="str">
        <f>IF(SUM(IO18:IR18)-IS18&gt;0,SUM(IO18:IR18)-IS18,"")</f>
        <v/>
      </c>
      <c r="JJ18" s="76" t="str">
        <f>IF(MAX(JF18,JI18)&gt;0,MAX(JF18,JI18),"")</f>
        <v/>
      </c>
      <c r="JK18" s="76" t="str">
        <f>IF(IV18&gt;0,IV18,"")</f>
        <v/>
      </c>
      <c r="JL18" s="76" t="str">
        <f>IF(IW18&gt;0,IW18,"")</f>
        <v/>
      </c>
      <c r="JM18" s="76" t="str">
        <f>IF(SUM(IT18:IW18)-IX18&gt;0,SUM(IT18:IW18)-IX18,"")</f>
        <v/>
      </c>
      <c r="JN18" s="76" t="str">
        <f>IF(JA18&gt;0,JA18,"")</f>
        <v/>
      </c>
      <c r="JO18" s="76" t="str">
        <f>IF(JB18&gt;0,JB18,"")</f>
        <v/>
      </c>
      <c r="JP18" s="76" t="str">
        <f>IF(SUM(IY18:JB18)-JC18&gt;0,SUM(IY18:JB18)-JC18,"")</f>
        <v/>
      </c>
      <c r="JQ18" s="76" t="str">
        <f>IF(SUM(JJ18,JP18)&gt;0,SUM(JJ18,JP18),"")</f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>IF(JT18&gt;0,JT18,"")</f>
        <v/>
      </c>
      <c r="KM18" s="16" t="str">
        <f>IF(JU18&gt;0,JU18,"")</f>
        <v/>
      </c>
      <c r="KN18" s="16" t="str">
        <f>IF(SUM(JR18:JU18)-JV18&gt;0,SUM(JR18:JU18)-JV18,"")</f>
        <v/>
      </c>
      <c r="KO18" s="16" t="str">
        <f>IF(JY18&gt;0,JY18,"")</f>
        <v/>
      </c>
      <c r="KP18" s="16" t="str">
        <f>IF(JZ18&gt;0,JZ18,"")</f>
        <v/>
      </c>
      <c r="KQ18" s="16" t="str">
        <f>IF(SUM(JW18:JZ18)-KA18&gt;0,SUM(JW18:JZ18)-KA18,"")</f>
        <v/>
      </c>
      <c r="KR18" s="16" t="str">
        <f>IF(MAX(KN18,KQ18)&gt;0,MAX(KN18,KQ18),"")</f>
        <v/>
      </c>
      <c r="KS18" s="16" t="str">
        <f>IF(KD18&gt;0,KD18,"")</f>
        <v/>
      </c>
      <c r="KT18" s="16" t="str">
        <f>IF(KE18&gt;0,KE18,"")</f>
        <v/>
      </c>
      <c r="KU18" s="16" t="str">
        <f>IF(SUM(KB18:KE18)-KF18&gt;0,SUM(KB18:KE18)-KF18,"")</f>
        <v/>
      </c>
      <c r="KV18" s="16" t="str">
        <f>IF(KI18&gt;0,KI18,"")</f>
        <v/>
      </c>
      <c r="KW18" s="16" t="str">
        <f>IF(KJ18&gt;0,KJ18,"")</f>
        <v/>
      </c>
      <c r="KX18" s="16" t="str">
        <f>IF(SUM(KG18:KJ18)-KK18&gt;0,SUM(KG18:KJ18)-KK18,"")</f>
        <v/>
      </c>
      <c r="KY18" s="16" t="str">
        <f>IF(SUM(KR18,KX18)&gt;0,SUM(KR18,KX18),"")</f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>IF(LB18&gt;0,LB18,"")</f>
        <v/>
      </c>
      <c r="LU18" s="76" t="str">
        <f>IF(LC18&gt;0,LC18,"")</f>
        <v/>
      </c>
      <c r="LV18" s="76" t="str">
        <f>IF(SUM(KZ18:LC18)-LD18&gt;0,SUM(KZ18:LC18)-LD18,"")</f>
        <v/>
      </c>
      <c r="LW18" s="76" t="str">
        <f>IF(LG18&gt;0,LG18,"")</f>
        <v/>
      </c>
      <c r="LX18" s="76" t="str">
        <f>IF(LH18&gt;0,LH18,"")</f>
        <v/>
      </c>
      <c r="LY18" s="76" t="str">
        <f>IF(SUM(LE18:LH18)-LI18&gt;0,SUM(LE18:LH18)-LI18,"")</f>
        <v/>
      </c>
      <c r="LZ18" s="76" t="str">
        <f>IF(MAX(LV18,LY18)&gt;0,MAX(LV18,LY18),"")</f>
        <v/>
      </c>
      <c r="MA18" s="76" t="str">
        <f>IF(LL18&gt;0,LL18,"")</f>
        <v/>
      </c>
      <c r="MB18" s="76" t="str">
        <f>IF(LM18&gt;0,LM18,"")</f>
        <v/>
      </c>
      <c r="MC18" s="76" t="str">
        <f>IF(SUM(LJ18:LM18)-LN18&gt;0,SUM(LJ18:LM18)-LN18,"")</f>
        <v/>
      </c>
      <c r="MD18" s="76" t="str">
        <f>IF(LQ18&gt;0,LQ18,"")</f>
        <v/>
      </c>
      <c r="ME18" s="76" t="str">
        <f>IF(LR18&gt;0,LR18,"")</f>
        <v/>
      </c>
      <c r="MF18" s="76" t="str">
        <f>IF(SUM(LO18:LR18)-LS18&gt;0,SUM(LO18:LR18)-LS18,"")</f>
        <v/>
      </c>
      <c r="MG18" s="76" t="str">
        <f>IF(SUM(LZ18,MF18)&gt;0,SUM(LZ18,MF18),"")</f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>IF(MJ18&gt;0,MJ18,"")</f>
        <v/>
      </c>
      <c r="NC18" s="16" t="str">
        <f>IF(MK18&gt;0,MK18,"")</f>
        <v/>
      </c>
      <c r="ND18" s="16" t="str">
        <f>IF(SUM(MH18:MK18)-ML18&gt;0,SUM(MH18:MK18)-ML18,"")</f>
        <v/>
      </c>
      <c r="NE18" s="16" t="str">
        <f>IF(MO18&gt;0,MO18,"")</f>
        <v/>
      </c>
      <c r="NF18" s="16" t="str">
        <f>IF(MP18&gt;0,MP18,"")</f>
        <v/>
      </c>
      <c r="NG18" s="16" t="str">
        <f>IF(SUM(MM18:MP18)-MQ18&gt;0,SUM(MM18:MP18)-MQ18,"")</f>
        <v/>
      </c>
      <c r="NH18" s="16" t="str">
        <f>IF(MAX(ND18,NG18)&gt;0,MAX(ND18,NG18),"")</f>
        <v/>
      </c>
      <c r="NI18" s="16" t="str">
        <f>IF(MT18&gt;0,MT18,"")</f>
        <v/>
      </c>
      <c r="NJ18" s="16" t="str">
        <f>IF(MU18&gt;0,MU18,"")</f>
        <v/>
      </c>
      <c r="NK18" s="16" t="str">
        <f>IF(SUM(MR18:MU18)-MV18&gt;0,SUM(MR18:MU18)-MV18,"")</f>
        <v/>
      </c>
      <c r="NL18" s="16" t="str">
        <f>IF(MY18&gt;0,MY18,"")</f>
        <v/>
      </c>
      <c r="NM18" s="16" t="str">
        <f>IF(MZ18&gt;0,MZ18,"")</f>
        <v/>
      </c>
      <c r="NN18" s="16" t="str">
        <f>IF(SUM(MW18:MZ18)-NA18&gt;0,SUM(MW18:MZ18)-NA18,"")</f>
        <v/>
      </c>
      <c r="NO18" s="16" t="str">
        <f>IF(SUM(NH18,NN18)&gt;0,SUM(NH18,NN18),"")</f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>IF(NR18&gt;0,NR18,"")</f>
        <v/>
      </c>
      <c r="OK18" s="76" t="str">
        <f>IF(NS18&gt;0,NS18,"")</f>
        <v/>
      </c>
      <c r="OL18" s="76" t="str">
        <f>IF(SUM(NP18:NS18)-NT18&gt;0,SUM(NP18:NS18)-NT18,"")</f>
        <v/>
      </c>
      <c r="OM18" s="76" t="str">
        <f>IF(NW18&gt;0,NW18,"")</f>
        <v/>
      </c>
      <c r="ON18" s="76" t="str">
        <f>IF(NX18&gt;0,NX18,"")</f>
        <v/>
      </c>
      <c r="OO18" s="76" t="str">
        <f>IF(SUM(NU18:NX18)-NY18&gt;0,SUM(NU18:NX18)-NY18,"")</f>
        <v/>
      </c>
      <c r="OP18" s="76" t="str">
        <f>IF(MAX(OL18,OO18)&gt;0,MAX(OL18,OO18),"")</f>
        <v/>
      </c>
      <c r="OQ18" s="76" t="str">
        <f>IF(OB18&gt;0,OB18,"")</f>
        <v/>
      </c>
      <c r="OR18" s="76" t="str">
        <f>IF(OC18&gt;0,OC18,"")</f>
        <v/>
      </c>
      <c r="OS18" s="76" t="str">
        <f>IF(SUM(NZ18:OC18)-OD18&gt;0,SUM(NZ18:OC18)-OD18,"")</f>
        <v/>
      </c>
      <c r="OT18" s="76" t="str">
        <f>IF(OG18&gt;0,OG18,"")</f>
        <v/>
      </c>
      <c r="OU18" s="76" t="str">
        <f>IF(OH18&gt;0,OH18,"")</f>
        <v/>
      </c>
      <c r="OV18" s="76" t="str">
        <f>IF(SUM(OE18:OH18)-OI18&gt;0,SUM(OE18:OH18)-OI18,"")</f>
        <v/>
      </c>
      <c r="OW18" s="76" t="str">
        <f>IF(SUM(OP18,OV18)&gt;0,SUM(OP18,OV18),"")</f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>IF(OZ18&gt;0,OZ18,"")</f>
        <v/>
      </c>
      <c r="PS18" s="16" t="str">
        <f>IF(PA18&gt;0,PA18,"")</f>
        <v/>
      </c>
      <c r="PT18" s="16" t="str">
        <f>IF(SUM(OX18:PA18)-PB18&gt;0,SUM(OX18:PA18)-PB18,"")</f>
        <v/>
      </c>
      <c r="PU18" s="16" t="str">
        <f>IF(PE18&gt;0,PE18,"")</f>
        <v/>
      </c>
      <c r="PV18" s="16" t="str">
        <f>IF(PF18&gt;0,PF18,"")</f>
        <v/>
      </c>
      <c r="PW18" s="16" t="str">
        <f>IF(SUM(PC18:PF18)-PG18&gt;0,SUM(PC18:PF18)-PG18,"")</f>
        <v/>
      </c>
      <c r="PX18" s="16" t="str">
        <f>IF(MAX(PT18,PW18)&gt;0,MAX(PT18,PW18),"")</f>
        <v/>
      </c>
      <c r="PY18" s="16" t="str">
        <f>IF(PJ18&gt;0,PJ18,"")</f>
        <v/>
      </c>
      <c r="PZ18" s="16" t="str">
        <f>IF(PK18&gt;0,PK18,"")</f>
        <v/>
      </c>
      <c r="QA18" s="16" t="str">
        <f>IF(SUM(PH18:PK18)-PL18&gt;0,SUM(PH18:PK18)-PL18,"")</f>
        <v/>
      </c>
      <c r="QB18" s="16" t="str">
        <f>IF(PO18&gt;0,PO18,"")</f>
        <v/>
      </c>
      <c r="QC18" s="16" t="str">
        <f>IF(PP18&gt;0,PP18,"")</f>
        <v/>
      </c>
      <c r="QD18" s="16" t="str">
        <f>IF(SUM(PM18:PP18)-PQ18&gt;0,SUM(PM18:PP18)-PQ18,"")</f>
        <v/>
      </c>
      <c r="QE18" s="16" t="str">
        <f>IF(SUM(PX18,QD18)&gt;0,SUM(PX18,QD18),"")</f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>IF(QH18&gt;0,QH18,"")</f>
        <v/>
      </c>
      <c r="RA18" s="76" t="str">
        <f>IF(QI18&gt;0,QI18,"")</f>
        <v/>
      </c>
      <c r="RB18" s="76" t="str">
        <f>IF(SUM(QF18:QI18)-QJ18&gt;0,SUM(QF18:QI18)-QJ18,"")</f>
        <v/>
      </c>
      <c r="RC18" s="76" t="str">
        <f>IF(QM18&gt;0,QM18,"")</f>
        <v/>
      </c>
      <c r="RD18" s="76" t="str">
        <f>IF(QN18&gt;0,QN18,"")</f>
        <v/>
      </c>
      <c r="RE18" s="76" t="str">
        <f>IF(SUM(QK18:QN18)-QO18&gt;0,SUM(QK18:QN18)-QO18,"")</f>
        <v/>
      </c>
      <c r="RF18" s="76" t="str">
        <f>IF(MAX(RB18,RE18)&gt;0,MAX(RB18,RE18),"")</f>
        <v/>
      </c>
      <c r="RG18" s="76" t="str">
        <f>IF(QR18&gt;0,QR18,"")</f>
        <v/>
      </c>
      <c r="RH18" s="76" t="str">
        <f>IF(QS18&gt;0,QS18,"")</f>
        <v/>
      </c>
      <c r="RI18" s="76" t="str">
        <f>IF(SUM(QP18:QS18)-QT18&gt;0,SUM(QP18:QS18)-QT18,"")</f>
        <v/>
      </c>
      <c r="RJ18" s="76" t="str">
        <f>IF(QW18&gt;0,QW18,"")</f>
        <v/>
      </c>
      <c r="RK18" s="76" t="str">
        <f>IF(QX18&gt;0,QX18,"")</f>
        <v/>
      </c>
      <c r="RL18" s="76" t="str">
        <f>IF(SUM(QU18:QX18)-QY18&gt;0,SUM(QU18:QX18)-QY18,"")</f>
        <v/>
      </c>
      <c r="RM18" s="76" t="str">
        <f>IF(SUM(RF18,RL18)&gt;0,SUM(RF18,RL18),"")</f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>IF(RP18&gt;0,RP18,"")</f>
        <v/>
      </c>
      <c r="SI18" s="16" t="str">
        <f>IF(RQ18&gt;0,RQ18,"")</f>
        <v/>
      </c>
      <c r="SJ18" s="16" t="str">
        <f>IF(SUM(RN18:RQ18)-RR18&gt;0,SUM(RN18:RQ18)-RR18,"")</f>
        <v/>
      </c>
      <c r="SK18" s="16" t="str">
        <f>IF(RU18&gt;0,RU18,"")</f>
        <v/>
      </c>
      <c r="SL18" s="16" t="str">
        <f>IF(RV18&gt;0,RV18,"")</f>
        <v/>
      </c>
      <c r="SM18" s="16" t="str">
        <f>IF(SUM(RS18:RV18)-RW18&gt;0,SUM(RS18:RV18)-RW18,"")</f>
        <v/>
      </c>
      <c r="SN18" s="16" t="str">
        <f>IF(MAX(SJ18,SM18)&gt;0,MAX(SJ18,SM18),"")</f>
        <v/>
      </c>
      <c r="SO18" s="16" t="str">
        <f>IF(RZ18&gt;0,RZ18,"")</f>
        <v/>
      </c>
      <c r="SP18" s="16" t="str">
        <f>IF(SA18&gt;0,SA18,"")</f>
        <v/>
      </c>
      <c r="SQ18" s="16" t="str">
        <f>IF(SUM(RX18:SA18)-SB18&gt;0,SUM(RX18:SA18)-SB18,"")</f>
        <v/>
      </c>
      <c r="SR18" s="16" t="str">
        <f>IF(SE18&gt;0,SE18,"")</f>
        <v/>
      </c>
      <c r="SS18" s="16" t="str">
        <f>IF(SF18&gt;0,SF18,"")</f>
        <v/>
      </c>
      <c r="ST18" s="16" t="str">
        <f>IF(SUM(SC18:SF18)-SG18&gt;0,SUM(SC18:SF18)-SG18,"")</f>
        <v/>
      </c>
      <c r="SU18" s="16" t="str">
        <f>IF(SUM(SN18,ST18)&gt;0,SUM(SN18,ST18),"")</f>
        <v/>
      </c>
      <c r="SV18" s="42">
        <f>IF($CP18="P",CA18,(CA18+AZ18)/2)</f>
        <v>0</v>
      </c>
      <c r="SW18" s="42">
        <f>IF($CP18="P",CB18,(CB18+BA18)/2)</f>
        <v>0</v>
      </c>
      <c r="SX18" s="42">
        <f>IF($CP18="P",CC18,(CC18+BB18)/2)</f>
        <v>0</v>
      </c>
      <c r="SY18" s="42">
        <f>IF($CP18="P",CD18,(CD18+BC18)/2)</f>
        <v>0</v>
      </c>
      <c r="SZ18" s="42">
        <f>IF($CP18="P",CE18,(CE18+BD18)/2)</f>
        <v>0</v>
      </c>
      <c r="TA18" s="42">
        <f>IF($CP18="P",CF18,(CF18+BE18)/2)</f>
        <v>0</v>
      </c>
      <c r="TB18" s="42">
        <f>IF($CP18="P",CG18,(CG18+BF18)/2)</f>
        <v>0</v>
      </c>
      <c r="TC18" s="42">
        <f>IF($CP18="P",CH18,(CH18+BG18)/2)</f>
        <v>0</v>
      </c>
      <c r="TD18" s="42">
        <f>IF($CP18="P",CI18,(CI18+BH18)/2)</f>
        <v>0</v>
      </c>
      <c r="TE18" s="42">
        <f>IF($CP18="P",CJ18,(CJ18+BI18)/2)</f>
        <v>0</v>
      </c>
      <c r="TF18" s="42">
        <f>IF($CP18="P",CK18,(CK18+BJ18)/2)</f>
        <v>0</v>
      </c>
      <c r="TG18" s="42">
        <f>IF($CP18="P",CL18,(CL18+BK18)/2)</f>
        <v>0</v>
      </c>
      <c r="TH18" s="42">
        <f>IF($CP18="P",CM18,(CM18+BL18)/2)</f>
        <v>0</v>
      </c>
      <c r="TI18" s="42">
        <f>IF($CP18="P",CN18,(CN18+BM18)/2)</f>
        <v>0</v>
      </c>
      <c r="TJ18" s="42">
        <f>IF($CP18="P",CO18,(CO18+BN18)/2)</f>
        <v>0</v>
      </c>
      <c r="TK18" s="51" t="s">
        <v>58</v>
      </c>
      <c r="TL18" s="76" t="str">
        <f>IF(SX18&gt;0,SX18,"")</f>
        <v/>
      </c>
      <c r="TM18" s="76" t="str">
        <f>IF(SY18&gt;0,SY18,"")</f>
        <v/>
      </c>
      <c r="TN18" s="76" t="str">
        <f>IF(SUM(SV18:SY18)-SZ18&gt;0,SUM(SV18:SY18)-SZ18,"")</f>
        <v/>
      </c>
      <c r="TO18" s="76" t="str">
        <f>IF(TC18&gt;0,TC18,"")</f>
        <v/>
      </c>
      <c r="TP18" s="76" t="str">
        <f>IF(TD18&gt;0,TD18,"")</f>
        <v/>
      </c>
      <c r="TQ18" s="76" t="str">
        <f>IF(SUM(TA18:TD18)-TE18&gt;0,SUM(TA18:TD18)-TE18,"")</f>
        <v/>
      </c>
      <c r="TR18" s="76" t="str">
        <f>IF(MAX(TN18,TQ18)&gt;0,MAX(TN18,TQ18),"")</f>
        <v/>
      </c>
      <c r="TS18" s="76" t="str">
        <f>IF(TH18&gt;0,TH18,"")</f>
        <v/>
      </c>
      <c r="TT18" s="76" t="str">
        <f>IF(TI18&gt;0,TI18,"")</f>
        <v/>
      </c>
      <c r="TU18" s="76" t="str">
        <f>IF(SUM(TF18:TI18)-TJ18&gt;0,SUM(TF18:TI18)-TJ18,"")</f>
        <v/>
      </c>
      <c r="TV18" s="76" t="str">
        <f>IF(SUM(TR18,TU18)&gt;0,SUM(TR18,TU18),"")</f>
        <v/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83</v>
      </c>
      <c r="C19" s="7" t="s">
        <v>3</v>
      </c>
      <c r="D19" s="18">
        <v>2003</v>
      </c>
      <c r="E19" s="14">
        <f>SUM(J19:V19)+SUM(J19:T19)*0.0000001+SUM(J19)*0.0000000000001</f>
        <v>155.28501552850531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DZ19&gt;=EK$29,DZ19&lt;&gt;""),AND(EC19&gt;=EK$29,EC19&lt;&gt;""),AND(EG19&gt;=EK$29,EG19&lt;&gt;""),AND(EJ19&gt;=EK$29,EJ19&lt;&gt;""),AND(FH19&gt;=FS$29,FH19&lt;&gt;""),AND(FK19&gt;=FS$29,FK19&lt;&gt;""),AND(FO19&gt;=FS$29,FO19&lt;&gt;""),AND(FR19&gt;=FS$29,FR19&lt;&gt;""),AND(GP19&gt;=HA$29,GP19&lt;&gt;""),AND(GS19&gt;=HA$29,GS19&lt;&gt;""),AND(GW19&gt;=HA$29,GW19&lt;&gt;""),AND(GZ19&gt;=HA$29,GZ19&lt;&gt;""),AND(HX19&gt;=II$29,HX19&lt;&gt;""),AND(IA19&gt;=II$29,IA19&lt;&gt;""),AND(IE19&gt;=II$29,IE19&lt;&gt;""),AND(IH19&gt;=II$29,IH19&lt;&gt;""),AND(JF19&gt;=JQ$29,JF19&lt;&gt;""),AND(JI19&gt;=JQ$29,JI19&lt;&gt;""),AND(JM19&gt;=JQ$29,JM19&lt;&gt;""),AND(JP19&gt;=JQ$29,JP19&lt;&gt;""),AND(KN19&gt;=KY$29,KN19&lt;&gt;""),AND(KQ19&gt;=KY$29,KQ19&lt;&gt;""),AND(KU19&gt;=KY$29,KU19&lt;&gt;""),AND(KX19&gt;=KY$29,KX19&lt;&gt;""),AND(LV19&gt;=MG$29,LV19&lt;&gt;""),AND(LY19&gt;=MG$29,LY19&lt;&gt;""),AND(MC19&gt;=MG$29,MC19&lt;&gt;""),AND(MF19&gt;=MG$29,MF19&lt;&gt;""),AND(ND19&gt;=NO$29,ND19&lt;&gt;""),AND(NG19&gt;=NO$29,NG19&lt;&gt;""),AND(NK19&gt;=NO$29,NK19&lt;&gt;""),AND(NN19&gt;=NO$29,NN19&lt;&gt;""),AND(OL19&gt;=OW$29,OL19&lt;&gt;""),AND(OO19&gt;=OW$29,OO19&lt;&gt;""),AND(OS19&gt;=OW$29,OS19&lt;&gt;""),AND(OV19&gt;=OW$29,OV19&lt;&gt;""),AND(PT19&gt;=QE$29,PT19&lt;&gt;""),AND(PW19&gt;=QE$29,PW19&lt;&gt;""),AND(QA19&gt;=QE$29,QA19&lt;&gt;""),AND(QD19&gt;=QE$29,QD19&lt;&gt;""),AND(RB19&gt;=RM$29,RB19&lt;&gt;""),AND(RE19&gt;=RM$29,RE19&lt;&gt;""),AND(RI19&gt;=RM$29,RI19&lt;&gt;""),AND(RL19&gt;=RM$29,RL19&lt;&gt;""),AND(SJ19&gt;=SU$29,SJ19&lt;&gt;""),AND(SM19&gt;=SU$29,SM19&lt;&gt;""),AND(SQ19&gt;=SU$29,SQ19&lt;&gt;""),AND(ST19&gt;=SU$29,ST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J19" s="13">
        <f>IF(COUNT(AQ19,AT19,BR19,BU19,CS19,CV19)&gt;0,LARGE((AQ19,AT19,BR19,BU19,CS19,CV19),1),0)</f>
        <v>53.239999999999995</v>
      </c>
      <c r="K19" s="13" t="str">
        <f>IF(J19="","",IF(OR(J19=CS19,J19=CV19),$CA$1,IF(OR(J19=BR19,J19=BU19),$AZ$1,IF(OR(J19=AQ19,J19=AT19),$Y$1,""))))</f>
        <v>2022 Nationals</v>
      </c>
      <c r="L19" s="13">
        <f>IF(COUNT(AQ19,AT19,BR19,BU19,CS19,CV19)&gt;1,LARGE((AQ19,AT19,BR19,BU19,CS19,CV19),2),0)</f>
        <v>48.805000000000007</v>
      </c>
      <c r="M19" s="13" t="str">
        <f>IF(L19="","",IF(OR(L19=CS19,L19=CV19),$CA$1,IF(OR(L19=BR19,L19=BU19),$AZ$1,IF(OR(L19=AQ19,L19=AT19),$Y$1,""))))</f>
        <v>2022 Elite Canada</v>
      </c>
      <c r="N19" s="13">
        <f>IF(COUNT(AQ19,AT19,BR19,BU19,CS19,CV19)&gt;2,LARGE((AQ19,AT19,BR19,BU19,CS19,CV19),3),0)</f>
        <v>27.65</v>
      </c>
      <c r="O19" s="13" t="str">
        <f>IF(N19="","",IF(OR(N19=CS19,N19=CV19),$CA$1,IF(OR(N19=BR19,N19=BU19),$AZ$1,IF(OR(N19=AQ19,N19=AT19),$Y$1,""))))</f>
        <v>2022 Elite Canada</v>
      </c>
      <c r="P19" s="13">
        <f>IF(MAX(AX19,BY19,CZ19)&gt;0,MAX(AX19,BY19,CZ19),0)</f>
        <v>11.19</v>
      </c>
      <c r="Q19" s="13" t="str">
        <f>IF(P19="","",IF(P19=CZ19,$CA$1,IF(P19=BY19,$AZ$1,IF(P19=AX19,$Y$1,""))))</f>
        <v>2022 Nationals</v>
      </c>
      <c r="R19" s="13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13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2022 Nationals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,IF(DX19&gt;=$EK$25,DY19,0),IF(EA19&gt;=$EK$25,EB19,0),IF(EE19&gt;=$EK$25,EF19,0),IF(EH19&gt;=$EK$25,EI19,0),IF(FF19&gt;=$FS$25,FG19,0),IF(FI19&gt;=$FS$25,FJ19,0),IF(FM19&gt;=$FS$25,FN19,0),IF(FP19&gt;=$FS$25,FQ19,0),IF(GN19&gt;=$HA$25,GO19,0),IF(GQ19&gt;=$HA$25,GR19,0),IF(GU19&gt;=$HA$25,GV19,0),IF(GX19&gt;=$HA$25,GY19,0),IF(HV19&gt;=$II$25,HW19,0),IF(HY19&gt;=$II$25,HZ19,0),IF(IC19&gt;=$II$25,ID19,0),IF(IF19&gt;=$II$25,IG19,0),IF(JD19&gt;=$JQ$25,JE19,0),IF(JG19&gt;=$JQ$25,JH19,0),IF(JK19&gt;=$JQ$25,JL19,0),IF(JN19&gt;=$JQ$25,JO19,0),IF(KL19&gt;=$KY$25,KM19,0),IF(KO19&gt;=$KY$25,KP19,0),IF(KS19&gt;=$KY$25,KT19,0),IF(KV19&gt;=$KY$25,KW19,0),IF(LT19&gt;=$MG$25,LU19,0),IF(LW19&gt;=$MG$25,LX19,0),IF(MA19&gt;=$MG$25,MB19,0),IF(MD19&gt;=$MG$25,ME19,0),IF(NB19&gt;=$NO$25,NC19,0),IF(NE19&gt;=$NO$25,NF19,0),IF(NI19&gt;=$NO$25,NJ19,0),IF(NL19&gt;=$NO$25,NM19,0),IF(OJ19&gt;=$OW$25,OK19,0),IF(OM19&gt;=$OW$25,ON19,0),IF(OQ19&gt;=$OW$25,OR19,0),IF(OT19&gt;=$OW$25,OU19,0),IF(PR19&gt;=$QE$25,PS19,0),IF(PU19&gt;=$QE$25,PV19,0),IF(PY19&gt;=$QE$25,PZ19,0),IF(QB19&gt;=$QE$25,QC19,0),IF(QZ19&gt;=$RM$25,RA19,0),IF(RC19&gt;=$RM$25,RD19,0),IF(RG19&gt;=$RM$25,RH19,0),IF(RJ19&gt;=$RM$25,RK19,0),IF(SH19&gt;=$SU$25,SI19,0),IF(SK19&gt;=$SU$25,SL19,0),IF(SO19&gt;=$SU$25,SP19,0),IF(SR19&gt;=$SU$25,SS19,0)),0)</f>
        <v>0</v>
      </c>
      <c r="U19" s="13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13" t="str">
        <f>IF(MAX(DB19,DC19)&gt;0,MAX(DB19,DC19),"")</f>
        <v/>
      </c>
      <c r="W19" s="16" t="str">
        <f>IF(V19="","",IF(V19=DB19,"("&amp;DB$2&amp;")",IF(V19=DC19,"("&amp;DC$2&amp;")")))</f>
        <v/>
      </c>
      <c r="X19" s="13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42">
        <v>6.8</v>
      </c>
      <c r="Z19" s="42">
        <v>4.5999999999999996</v>
      </c>
      <c r="AA19" s="42">
        <v>8.1999999999999993</v>
      </c>
      <c r="AB19" s="42">
        <v>8.0500000000000007</v>
      </c>
      <c r="AC19" s="42">
        <v>0</v>
      </c>
      <c r="AD19" s="42">
        <v>10.8</v>
      </c>
      <c r="AE19" s="42">
        <v>8.9</v>
      </c>
      <c r="AF19" s="42">
        <v>13.6</v>
      </c>
      <c r="AG19" s="42">
        <v>15.505000000000001</v>
      </c>
      <c r="AH19" s="42">
        <v>0</v>
      </c>
      <c r="AI19" s="42"/>
      <c r="AJ19" s="42"/>
      <c r="AK19" s="42"/>
      <c r="AL19" s="42"/>
      <c r="AM19" s="42"/>
      <c r="AN19" s="51"/>
      <c r="AO19" s="74">
        <f>IF(AA19&gt;0,AA19,"")</f>
        <v>8.1999999999999993</v>
      </c>
      <c r="AP19" s="74">
        <f>IF(AB19&gt;0,AB19,"")</f>
        <v>8.0500000000000007</v>
      </c>
      <c r="AQ19" s="76">
        <f>IF(SUM(Y19:AB19)-AC19&gt;0,SUM(Y19:AB19)-AC19,"")</f>
        <v>27.65</v>
      </c>
      <c r="AR19" s="76">
        <f>IF(AF19&gt;0,AF19,"")</f>
        <v>13.6</v>
      </c>
      <c r="AS19" s="76">
        <f>IF(AG19&gt;0,AG19,"")</f>
        <v>15.505000000000001</v>
      </c>
      <c r="AT19" s="76">
        <f>IF(SUM(AD19:AG19)-AH19&gt;0,SUM(AD19:AG19)-AH19,"")</f>
        <v>48.805000000000007</v>
      </c>
      <c r="AU19" s="76">
        <f>IF(AQ19="","",MAX(AQ19,AT19))</f>
        <v>48.805000000000007</v>
      </c>
      <c r="AV19" s="76" t="str">
        <f>IF(AK19&gt;0,AK19,"")</f>
        <v/>
      </c>
      <c r="AW19" s="76" t="str">
        <f>IF(AL19&gt;0,AL19,"")</f>
        <v/>
      </c>
      <c r="AX19" s="76" t="str">
        <f>IF(SUM(AI19:AL19)-AM19&gt;0,SUM(AI19:AL19)-AM19,"")</f>
        <v/>
      </c>
      <c r="AY19" s="76">
        <f>IF(SUM(AU19,AX19)&gt;0,SUM(AU19,AX19),"")</f>
        <v>48.805000000000007</v>
      </c>
      <c r="AZ19" s="46">
        <v>14.6</v>
      </c>
      <c r="BA19" s="46">
        <v>9.1999999999999993</v>
      </c>
      <c r="BB19" s="46">
        <v>14.4</v>
      </c>
      <c r="BC19" s="46">
        <v>15.04</v>
      </c>
      <c r="BD19" s="46">
        <v>0</v>
      </c>
      <c r="BE19" s="46">
        <v>3</v>
      </c>
      <c r="BF19" s="46">
        <v>1.7</v>
      </c>
      <c r="BG19" s="46">
        <v>3.4</v>
      </c>
      <c r="BH19" s="46">
        <v>3.32</v>
      </c>
      <c r="BI19" s="46">
        <v>0</v>
      </c>
      <c r="BJ19" s="46">
        <v>3</v>
      </c>
      <c r="BK19" s="46">
        <v>1.6</v>
      </c>
      <c r="BL19" s="46">
        <v>3.4</v>
      </c>
      <c r="BM19" s="46">
        <v>3.19</v>
      </c>
      <c r="BN19" s="46">
        <v>0</v>
      </c>
      <c r="BO19" s="52"/>
      <c r="BP19" s="75">
        <f>IF(BB19&gt;0,BB19,"")</f>
        <v>14.4</v>
      </c>
      <c r="BQ19" s="75">
        <f>IF(BC19&gt;0,BC19,"")</f>
        <v>15.04</v>
      </c>
      <c r="BR19" s="16">
        <f>IF(SUM(AZ19:BC19)-BD19&gt;0,SUM(AZ19:BC19)-BD19,"")</f>
        <v>53.239999999999995</v>
      </c>
      <c r="BS19" s="16">
        <f>IF(BG19&gt;0,BG19,"")</f>
        <v>3.4</v>
      </c>
      <c r="BT19" s="16">
        <f>IF(BH19&gt;0,BH19,"")</f>
        <v>3.32</v>
      </c>
      <c r="BU19" s="16">
        <f>IF(SUM(BE19:BH19)-BI19&gt;0,SUM(BE19:BH19)-BI19,"")</f>
        <v>11.42</v>
      </c>
      <c r="BV19" s="16">
        <f>IF(BR19="","",MAX(BR19,BU19))</f>
        <v>53.239999999999995</v>
      </c>
      <c r="BW19" s="16">
        <f>IF(BL19&gt;0,BL19,"")</f>
        <v>3.4</v>
      </c>
      <c r="BX19" s="16">
        <f>IF(BM19&gt;0,BM19,"")</f>
        <v>3.19</v>
      </c>
      <c r="BY19" s="16">
        <f>IF(SUM(BJ19:BM19)-BN19&gt;0,SUM(BJ19:BM19)-BN19,"")</f>
        <v>11.19</v>
      </c>
      <c r="BZ19" s="16">
        <f>IF(SUM(BV19,BY19)&gt;0,SUM(BV19,BY19),"")</f>
        <v>64.429999999999993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IF(N19&gt;=0.001,IF(MAX(ED19,FL19,GT19,IB19,JJ19,KR19,LZ19,NH19,OP19,PX19,RF19,SN19)-IF(N19="",0,N19)&gt;0.001,MAX(ED19,FL19,GT19,IB19,JJ19,KR19,LZ19,NH19,OP19,PX19,RF19,SN19)-IF(N19="",0,N19),""),"")</f>
        <v/>
      </c>
      <c r="DC19" s="87" t="str">
        <f>IF(P19&gt;=0.001,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>IF(DF19&gt;0,DF19,"")</f>
        <v/>
      </c>
      <c r="DY19" s="76" t="str">
        <f>IF(DG19&gt;0,DG19,"")</f>
        <v/>
      </c>
      <c r="DZ19" s="76" t="str">
        <f>IF(SUM(DD19:DG19)-DH19&gt;0,SUM(DD19:DG19)-DH19,"")</f>
        <v/>
      </c>
      <c r="EA19" s="76" t="str">
        <f>IF(DK19&gt;0,DK19,"")</f>
        <v/>
      </c>
      <c r="EB19" s="76" t="str">
        <f>IF(DL19&gt;0,DL19,"")</f>
        <v/>
      </c>
      <c r="EC19" s="76" t="str">
        <f>IF(SUM(DI19:DL19)-DM19&gt;0,SUM(DI19:DL19)-DM19,"")</f>
        <v/>
      </c>
      <c r="ED19" s="76" t="str">
        <f>IF(MAX(DZ19,EC19)&gt;0,MAX(DZ19,EC19),"")</f>
        <v/>
      </c>
      <c r="EE19" s="76" t="str">
        <f>IF(DP19&gt;0,DP19,"")</f>
        <v/>
      </c>
      <c r="EF19" s="76" t="str">
        <f>IF(DQ19&gt;0,DQ19,"")</f>
        <v/>
      </c>
      <c r="EG19" s="76" t="str">
        <f>IF(SUM(DN19:DQ19)-DR19&gt;0,SUM(DN19:DQ19)-DR19,"")</f>
        <v/>
      </c>
      <c r="EH19" s="76" t="str">
        <f>IF(DU19&gt;0,DU19,"")</f>
        <v/>
      </c>
      <c r="EI19" s="76" t="str">
        <f>IF(DV19&gt;0,DV19,"")</f>
        <v/>
      </c>
      <c r="EJ19" s="76" t="str">
        <f>IF(SUM(DS19:DV19)-DW19&gt;0,SUM(DS19:DV19)-DW19,"")</f>
        <v/>
      </c>
      <c r="EK19" s="76" t="str">
        <f>IF(SUM(ED19,EJ19)&gt;0,SUM(ED19,EJ19),"")</f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>IF(EN19&gt;0,EN19,"")</f>
        <v/>
      </c>
      <c r="FG19" s="16" t="str">
        <f>IF(EO19&gt;0,EO19,"")</f>
        <v/>
      </c>
      <c r="FH19" s="16" t="str">
        <f>IF(SUM(EL19:EO19)-EP19&gt;0,SUM(EL19:EO19)-EP19,"")</f>
        <v/>
      </c>
      <c r="FI19" s="16" t="str">
        <f>IF(ES19&gt;0,ES19,"")</f>
        <v/>
      </c>
      <c r="FJ19" s="16" t="str">
        <f>IF(ET19&gt;0,ET19,"")</f>
        <v/>
      </c>
      <c r="FK19" s="16" t="str">
        <f>IF(SUM(EQ19:ET19)-EU19&gt;0,SUM(EQ19:ET19)-EU19,"")</f>
        <v/>
      </c>
      <c r="FL19" s="16" t="str">
        <f>IF(MAX(FH19,FK19)&gt;0,MAX(FH19,FK19),"")</f>
        <v/>
      </c>
      <c r="FM19" s="16" t="str">
        <f>IF(EX19&gt;0,EX19,"")</f>
        <v/>
      </c>
      <c r="FN19" s="16" t="str">
        <f>IF(EY19&gt;0,EY19,"")</f>
        <v/>
      </c>
      <c r="FO19" s="16" t="str">
        <f>IF(SUM(EV19:EY19)-EZ19&gt;0,SUM(EV19:EY19)-EZ19,"")</f>
        <v/>
      </c>
      <c r="FP19" s="16" t="str">
        <f>IF(FC19&gt;0,FC19,"")</f>
        <v/>
      </c>
      <c r="FQ19" s="16" t="str">
        <f>IF(FD19&gt;0,FD19,"")</f>
        <v/>
      </c>
      <c r="FR19" s="16" t="str">
        <f>IF(SUM(FA19:FD19)-FE19&gt;0,SUM(FA19:FD19)-FE19,"")</f>
        <v/>
      </c>
      <c r="FS19" s="16" t="str">
        <f>IF(SUM(FL19,FR19)&gt;0,SUM(FL19,FR19),"")</f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>IF(FV19&gt;0,FV19,"")</f>
        <v/>
      </c>
      <c r="GO19" s="76" t="str">
        <f>IF(FW19&gt;0,FW19,"")</f>
        <v/>
      </c>
      <c r="GP19" s="76" t="str">
        <f>IF(SUM(FT19:FW19)-FX19&gt;0,SUM(FT19:FW19)-FX19,"")</f>
        <v/>
      </c>
      <c r="GQ19" s="76" t="str">
        <f>IF(GA19&gt;0,GA19,"")</f>
        <v/>
      </c>
      <c r="GR19" s="76" t="str">
        <f>IF(GB19&gt;0,GB19,"")</f>
        <v/>
      </c>
      <c r="GS19" s="76" t="str">
        <f>IF(SUM(FY19:GB19)-GC19&gt;0,SUM(FY19:GB19)-GC19,"")</f>
        <v/>
      </c>
      <c r="GT19" s="76" t="str">
        <f>IF(MAX(GP19,GS19)&gt;0,MAX(GP19,GS19),"")</f>
        <v/>
      </c>
      <c r="GU19" s="76" t="str">
        <f>IF(GF19&gt;0,GF19,"")</f>
        <v/>
      </c>
      <c r="GV19" s="76" t="str">
        <f>IF(GG19&gt;0,GG19,"")</f>
        <v/>
      </c>
      <c r="GW19" s="76" t="str">
        <f>IF(SUM(GD19:GG19)-GH19&gt;0,SUM(GD19:GG19)-GH19,"")</f>
        <v/>
      </c>
      <c r="GX19" s="76" t="str">
        <f>IF(GK19&gt;0,GK19,"")</f>
        <v/>
      </c>
      <c r="GY19" s="76" t="str">
        <f>IF(GL19&gt;0,GL19,"")</f>
        <v/>
      </c>
      <c r="GZ19" s="76" t="str">
        <f>IF(SUM(GI19:GL19)-GM19&gt;0,SUM(GI19:GL19)-GM19,"")</f>
        <v/>
      </c>
      <c r="HA19" s="76" t="str">
        <f>IF(SUM(GT19,GZ19)&gt;0,SUM(GT19,GZ19),"")</f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>IF(HD19&gt;0,HD19,"")</f>
        <v/>
      </c>
      <c r="HW19" s="16" t="str">
        <f>IF(HE19&gt;0,HE19,"")</f>
        <v/>
      </c>
      <c r="HX19" s="16" t="str">
        <f>IF(SUM(HB19:HE19)-HF19&gt;0,SUM(HB19:HE19)-HF19,"")</f>
        <v/>
      </c>
      <c r="HY19" s="16" t="str">
        <f>IF(HI19&gt;0,HI19,"")</f>
        <v/>
      </c>
      <c r="HZ19" s="16" t="str">
        <f>IF(HJ19&gt;0,HJ19,"")</f>
        <v/>
      </c>
      <c r="IA19" s="16" t="str">
        <f>IF(SUM(HG19:HJ19)-HK19&gt;0,SUM(HG19:HJ19)-HK19,"")</f>
        <v/>
      </c>
      <c r="IB19" s="16" t="str">
        <f>IF(MAX(HX19,IA19)&gt;0,MAX(HX19,IA19),"")</f>
        <v/>
      </c>
      <c r="IC19" s="16" t="str">
        <f>IF(HN19&gt;0,HN19,"")</f>
        <v/>
      </c>
      <c r="ID19" s="16" t="str">
        <f>IF(HO19&gt;0,HO19,"")</f>
        <v/>
      </c>
      <c r="IE19" s="16" t="str">
        <f>IF(SUM(HL19:HO19)-HP19&gt;0,SUM(HL19:HO19)-HP19,"")</f>
        <v/>
      </c>
      <c r="IF19" s="16" t="str">
        <f>IF(HS19&gt;0,HS19,"")</f>
        <v/>
      </c>
      <c r="IG19" s="16" t="str">
        <f>IF(HT19&gt;0,HT19,"")</f>
        <v/>
      </c>
      <c r="IH19" s="16" t="str">
        <f>IF(SUM(HQ19:HT19)-HU19&gt;0,SUM(HQ19:HT19)-HU19,"")</f>
        <v/>
      </c>
      <c r="II19" s="16" t="str">
        <f>IF(SUM(IB19,IH19)&gt;0,SUM(IB19,IH19),"")</f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>IF(IL19&gt;0,IL19,"")</f>
        <v/>
      </c>
      <c r="JE19" s="76" t="str">
        <f>IF(IM19&gt;0,IM19,"")</f>
        <v/>
      </c>
      <c r="JF19" s="76" t="str">
        <f>IF(SUM(IJ19:IM19)-IN19&gt;0,SUM(IJ19:IM19)-IN19,"")</f>
        <v/>
      </c>
      <c r="JG19" s="76" t="str">
        <f>IF(IQ19&gt;0,IQ19,"")</f>
        <v/>
      </c>
      <c r="JH19" s="76" t="str">
        <f>IF(IR19&gt;0,IR19,"")</f>
        <v/>
      </c>
      <c r="JI19" s="76" t="str">
        <f>IF(SUM(IO19:IR19)-IS19&gt;0,SUM(IO19:IR19)-IS19,"")</f>
        <v/>
      </c>
      <c r="JJ19" s="76" t="str">
        <f>IF(MAX(JF19,JI19)&gt;0,MAX(JF19,JI19),"")</f>
        <v/>
      </c>
      <c r="JK19" s="76" t="str">
        <f>IF(IV19&gt;0,IV19,"")</f>
        <v/>
      </c>
      <c r="JL19" s="76" t="str">
        <f>IF(IW19&gt;0,IW19,"")</f>
        <v/>
      </c>
      <c r="JM19" s="76" t="str">
        <f>IF(SUM(IT19:IW19)-IX19&gt;0,SUM(IT19:IW19)-IX19,"")</f>
        <v/>
      </c>
      <c r="JN19" s="76" t="str">
        <f>IF(JA19&gt;0,JA19,"")</f>
        <v/>
      </c>
      <c r="JO19" s="76" t="str">
        <f>IF(JB19&gt;0,JB19,"")</f>
        <v/>
      </c>
      <c r="JP19" s="76" t="str">
        <f>IF(SUM(IY19:JB19)-JC19&gt;0,SUM(IY19:JB19)-JC19,"")</f>
        <v/>
      </c>
      <c r="JQ19" s="76" t="str">
        <f>IF(SUM(JJ19,JP19)&gt;0,SUM(JJ19,JP19),"")</f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>IF(JT19&gt;0,JT19,"")</f>
        <v/>
      </c>
      <c r="KM19" s="16" t="str">
        <f>IF(JU19&gt;0,JU19,"")</f>
        <v/>
      </c>
      <c r="KN19" s="16" t="str">
        <f>IF(SUM(JR19:JU19)-JV19&gt;0,SUM(JR19:JU19)-JV19,"")</f>
        <v/>
      </c>
      <c r="KO19" s="16" t="str">
        <f>IF(JY19&gt;0,JY19,"")</f>
        <v/>
      </c>
      <c r="KP19" s="16" t="str">
        <f>IF(JZ19&gt;0,JZ19,"")</f>
        <v/>
      </c>
      <c r="KQ19" s="16" t="str">
        <f>IF(SUM(JW19:JZ19)-KA19&gt;0,SUM(JW19:JZ19)-KA19,"")</f>
        <v/>
      </c>
      <c r="KR19" s="16" t="str">
        <f>IF(MAX(KN19,KQ19)&gt;0,MAX(KN19,KQ19),"")</f>
        <v/>
      </c>
      <c r="KS19" s="16" t="str">
        <f>IF(KD19&gt;0,KD19,"")</f>
        <v/>
      </c>
      <c r="KT19" s="16" t="str">
        <f>IF(KE19&gt;0,KE19,"")</f>
        <v/>
      </c>
      <c r="KU19" s="16" t="str">
        <f>IF(SUM(KB19:KE19)-KF19&gt;0,SUM(KB19:KE19)-KF19,"")</f>
        <v/>
      </c>
      <c r="KV19" s="16" t="str">
        <f>IF(KI19&gt;0,KI19,"")</f>
        <v/>
      </c>
      <c r="KW19" s="16" t="str">
        <f>IF(KJ19&gt;0,KJ19,"")</f>
        <v/>
      </c>
      <c r="KX19" s="16" t="str">
        <f>IF(SUM(KG19:KJ19)-KK19&gt;0,SUM(KG19:KJ19)-KK19,"")</f>
        <v/>
      </c>
      <c r="KY19" s="16" t="str">
        <f>IF(SUM(KR19,KX19)&gt;0,SUM(KR19,KX19),"")</f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>IF(LB19&gt;0,LB19,"")</f>
        <v/>
      </c>
      <c r="LU19" s="76" t="str">
        <f>IF(LC19&gt;0,LC19,"")</f>
        <v/>
      </c>
      <c r="LV19" s="76" t="str">
        <f>IF(SUM(KZ19:LC19)-LD19&gt;0,SUM(KZ19:LC19)-LD19,"")</f>
        <v/>
      </c>
      <c r="LW19" s="76" t="str">
        <f>IF(LG19&gt;0,LG19,"")</f>
        <v/>
      </c>
      <c r="LX19" s="76" t="str">
        <f>IF(LH19&gt;0,LH19,"")</f>
        <v/>
      </c>
      <c r="LY19" s="76" t="str">
        <f>IF(SUM(LE19:LH19)-LI19&gt;0,SUM(LE19:LH19)-LI19,"")</f>
        <v/>
      </c>
      <c r="LZ19" s="76" t="str">
        <f>IF(MAX(LV19,LY19)&gt;0,MAX(LV19,LY19),"")</f>
        <v/>
      </c>
      <c r="MA19" s="76" t="str">
        <f>IF(LL19&gt;0,LL19,"")</f>
        <v/>
      </c>
      <c r="MB19" s="76" t="str">
        <f>IF(LM19&gt;0,LM19,"")</f>
        <v/>
      </c>
      <c r="MC19" s="76" t="str">
        <f>IF(SUM(LJ19:LM19)-LN19&gt;0,SUM(LJ19:LM19)-LN19,"")</f>
        <v/>
      </c>
      <c r="MD19" s="76" t="str">
        <f>IF(LQ19&gt;0,LQ19,"")</f>
        <v/>
      </c>
      <c r="ME19" s="76" t="str">
        <f>IF(LR19&gt;0,LR19,"")</f>
        <v/>
      </c>
      <c r="MF19" s="76" t="str">
        <f>IF(SUM(LO19:LR19)-LS19&gt;0,SUM(LO19:LR19)-LS19,"")</f>
        <v/>
      </c>
      <c r="MG19" s="76" t="str">
        <f>IF(SUM(LZ19,MF19)&gt;0,SUM(LZ19,MF19),"")</f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>IF(MJ19&gt;0,MJ19,"")</f>
        <v/>
      </c>
      <c r="NC19" s="16" t="str">
        <f>IF(MK19&gt;0,MK19,"")</f>
        <v/>
      </c>
      <c r="ND19" s="16" t="str">
        <f>IF(SUM(MH19:MK19)-ML19&gt;0,SUM(MH19:MK19)-ML19,"")</f>
        <v/>
      </c>
      <c r="NE19" s="16" t="str">
        <f>IF(MO19&gt;0,MO19,"")</f>
        <v/>
      </c>
      <c r="NF19" s="16" t="str">
        <f>IF(MP19&gt;0,MP19,"")</f>
        <v/>
      </c>
      <c r="NG19" s="16" t="str">
        <f>IF(SUM(MM19:MP19)-MQ19&gt;0,SUM(MM19:MP19)-MQ19,"")</f>
        <v/>
      </c>
      <c r="NH19" s="16" t="str">
        <f>IF(MAX(ND19,NG19)&gt;0,MAX(ND19,NG19),"")</f>
        <v/>
      </c>
      <c r="NI19" s="16" t="str">
        <f>IF(MT19&gt;0,MT19,"")</f>
        <v/>
      </c>
      <c r="NJ19" s="16" t="str">
        <f>IF(MU19&gt;0,MU19,"")</f>
        <v/>
      </c>
      <c r="NK19" s="16" t="str">
        <f>IF(SUM(MR19:MU19)-MV19&gt;0,SUM(MR19:MU19)-MV19,"")</f>
        <v/>
      </c>
      <c r="NL19" s="16" t="str">
        <f>IF(MY19&gt;0,MY19,"")</f>
        <v/>
      </c>
      <c r="NM19" s="16" t="str">
        <f>IF(MZ19&gt;0,MZ19,"")</f>
        <v/>
      </c>
      <c r="NN19" s="16" t="str">
        <f>IF(SUM(MW19:MZ19)-NA19&gt;0,SUM(MW19:MZ19)-NA19,"")</f>
        <v/>
      </c>
      <c r="NO19" s="16" t="str">
        <f>IF(SUM(NH19,NN19)&gt;0,SUM(NH19,NN19),"")</f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>IF(NR19&gt;0,NR19,"")</f>
        <v/>
      </c>
      <c r="OK19" s="76" t="str">
        <f>IF(NS19&gt;0,NS19,"")</f>
        <v/>
      </c>
      <c r="OL19" s="76" t="str">
        <f>IF(SUM(NP19:NS19)-NT19&gt;0,SUM(NP19:NS19)-NT19,"")</f>
        <v/>
      </c>
      <c r="OM19" s="76" t="str">
        <f>IF(NW19&gt;0,NW19,"")</f>
        <v/>
      </c>
      <c r="ON19" s="76" t="str">
        <f>IF(NX19&gt;0,NX19,"")</f>
        <v/>
      </c>
      <c r="OO19" s="76" t="str">
        <f>IF(SUM(NU19:NX19)-NY19&gt;0,SUM(NU19:NX19)-NY19,"")</f>
        <v/>
      </c>
      <c r="OP19" s="76" t="str">
        <f>IF(MAX(OL19,OO19)&gt;0,MAX(OL19,OO19),"")</f>
        <v/>
      </c>
      <c r="OQ19" s="76" t="str">
        <f>IF(OB19&gt;0,OB19,"")</f>
        <v/>
      </c>
      <c r="OR19" s="76" t="str">
        <f>IF(OC19&gt;0,OC19,"")</f>
        <v/>
      </c>
      <c r="OS19" s="76" t="str">
        <f>IF(SUM(NZ19:OC19)-OD19&gt;0,SUM(NZ19:OC19)-OD19,"")</f>
        <v/>
      </c>
      <c r="OT19" s="76" t="str">
        <f>IF(OG19&gt;0,OG19,"")</f>
        <v/>
      </c>
      <c r="OU19" s="76" t="str">
        <f>IF(OH19&gt;0,OH19,"")</f>
        <v/>
      </c>
      <c r="OV19" s="76" t="str">
        <f>IF(SUM(OE19:OH19)-OI19&gt;0,SUM(OE19:OH19)-OI19,"")</f>
        <v/>
      </c>
      <c r="OW19" s="76" t="str">
        <f>IF(SUM(OP19,OV19)&gt;0,SUM(OP19,OV19),"")</f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>IF(OZ19&gt;0,OZ19,"")</f>
        <v/>
      </c>
      <c r="PS19" s="16" t="str">
        <f>IF(PA19&gt;0,PA19,"")</f>
        <v/>
      </c>
      <c r="PT19" s="16" t="str">
        <f>IF(SUM(OX19:PA19)-PB19&gt;0,SUM(OX19:PA19)-PB19,"")</f>
        <v/>
      </c>
      <c r="PU19" s="16" t="str">
        <f>IF(PE19&gt;0,PE19,"")</f>
        <v/>
      </c>
      <c r="PV19" s="16" t="str">
        <f>IF(PF19&gt;0,PF19,"")</f>
        <v/>
      </c>
      <c r="PW19" s="16" t="str">
        <f>IF(SUM(PC19:PF19)-PG19&gt;0,SUM(PC19:PF19)-PG19,"")</f>
        <v/>
      </c>
      <c r="PX19" s="16" t="str">
        <f>IF(MAX(PT19,PW19)&gt;0,MAX(PT19,PW19),"")</f>
        <v/>
      </c>
      <c r="PY19" s="16" t="str">
        <f>IF(PJ19&gt;0,PJ19,"")</f>
        <v/>
      </c>
      <c r="PZ19" s="16" t="str">
        <f>IF(PK19&gt;0,PK19,"")</f>
        <v/>
      </c>
      <c r="QA19" s="16" t="str">
        <f>IF(SUM(PH19:PK19)-PL19&gt;0,SUM(PH19:PK19)-PL19,"")</f>
        <v/>
      </c>
      <c r="QB19" s="16" t="str">
        <f>IF(PO19&gt;0,PO19,"")</f>
        <v/>
      </c>
      <c r="QC19" s="16" t="str">
        <f>IF(PP19&gt;0,PP19,"")</f>
        <v/>
      </c>
      <c r="QD19" s="16" t="str">
        <f>IF(SUM(PM19:PP19)-PQ19&gt;0,SUM(PM19:PP19)-PQ19,"")</f>
        <v/>
      </c>
      <c r="QE19" s="16" t="str">
        <f>IF(SUM(PX19,QD19)&gt;0,SUM(PX19,QD19),"")</f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>IF(QH19&gt;0,QH19,"")</f>
        <v/>
      </c>
      <c r="RA19" s="76" t="str">
        <f>IF(QI19&gt;0,QI19,"")</f>
        <v/>
      </c>
      <c r="RB19" s="76" t="str">
        <f>IF(SUM(QF19:QI19)-QJ19&gt;0,SUM(QF19:QI19)-QJ19,"")</f>
        <v/>
      </c>
      <c r="RC19" s="76" t="str">
        <f>IF(QM19&gt;0,QM19,"")</f>
        <v/>
      </c>
      <c r="RD19" s="76" t="str">
        <f>IF(QN19&gt;0,QN19,"")</f>
        <v/>
      </c>
      <c r="RE19" s="76" t="str">
        <f>IF(SUM(QK19:QN19)-QO19&gt;0,SUM(QK19:QN19)-QO19,"")</f>
        <v/>
      </c>
      <c r="RF19" s="76" t="str">
        <f>IF(MAX(RB19,RE19)&gt;0,MAX(RB19,RE19),"")</f>
        <v/>
      </c>
      <c r="RG19" s="76" t="str">
        <f>IF(QR19&gt;0,QR19,"")</f>
        <v/>
      </c>
      <c r="RH19" s="76" t="str">
        <f>IF(QS19&gt;0,QS19,"")</f>
        <v/>
      </c>
      <c r="RI19" s="76" t="str">
        <f>IF(SUM(QP19:QS19)-QT19&gt;0,SUM(QP19:QS19)-QT19,"")</f>
        <v/>
      </c>
      <c r="RJ19" s="76" t="str">
        <f>IF(QW19&gt;0,QW19,"")</f>
        <v/>
      </c>
      <c r="RK19" s="76" t="str">
        <f>IF(QX19&gt;0,QX19,"")</f>
        <v/>
      </c>
      <c r="RL19" s="76" t="str">
        <f>IF(SUM(QU19:QX19)-QY19&gt;0,SUM(QU19:QX19)-QY19,"")</f>
        <v/>
      </c>
      <c r="RM19" s="76" t="str">
        <f>IF(SUM(RF19,RL19)&gt;0,SUM(RF19,RL19),"")</f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>IF(RP19&gt;0,RP19,"")</f>
        <v/>
      </c>
      <c r="SI19" s="16" t="str">
        <f>IF(RQ19&gt;0,RQ19,"")</f>
        <v/>
      </c>
      <c r="SJ19" s="16" t="str">
        <f>IF(SUM(RN19:RQ19)-RR19&gt;0,SUM(RN19:RQ19)-RR19,"")</f>
        <v/>
      </c>
      <c r="SK19" s="16" t="str">
        <f>IF(RU19&gt;0,RU19,"")</f>
        <v/>
      </c>
      <c r="SL19" s="16" t="str">
        <f>IF(RV19&gt;0,RV19,"")</f>
        <v/>
      </c>
      <c r="SM19" s="16" t="str">
        <f>IF(SUM(RS19:RV19)-RW19&gt;0,SUM(RS19:RV19)-RW19,"")</f>
        <v/>
      </c>
      <c r="SN19" s="16" t="str">
        <f>IF(MAX(SJ19,SM19)&gt;0,MAX(SJ19,SM19),"")</f>
        <v/>
      </c>
      <c r="SO19" s="16" t="str">
        <f>IF(RZ19&gt;0,RZ19,"")</f>
        <v/>
      </c>
      <c r="SP19" s="16" t="str">
        <f>IF(SA19&gt;0,SA19,"")</f>
        <v/>
      </c>
      <c r="SQ19" s="16" t="str">
        <f>IF(SUM(RX19:SA19)-SB19&gt;0,SUM(RX19:SA19)-SB19,"")</f>
        <v/>
      </c>
      <c r="SR19" s="16" t="str">
        <f>IF(SE19&gt;0,SE19,"")</f>
        <v/>
      </c>
      <c r="SS19" s="16" t="str">
        <f>IF(SF19&gt;0,SF19,"")</f>
        <v/>
      </c>
      <c r="ST19" s="16" t="str">
        <f>IF(SUM(SC19:SF19)-SG19&gt;0,SUM(SC19:SF19)-SG19,"")</f>
        <v/>
      </c>
      <c r="SU19" s="16" t="str">
        <f>IF(SUM(SN19,ST19)&gt;0,SUM(SN19,ST19),"")</f>
        <v/>
      </c>
      <c r="SV19" s="42">
        <f>IF($CP19="P",CA19,(CA19+AZ19)/2)</f>
        <v>7.3</v>
      </c>
      <c r="SW19" s="42">
        <f>IF($CP19="P",CB19,(CB19+BA19)/2)</f>
        <v>4.5999999999999996</v>
      </c>
      <c r="SX19" s="42">
        <f>IF($CP19="P",CC19,(CC19+BB19)/2)</f>
        <v>7.2</v>
      </c>
      <c r="SY19" s="42">
        <f>IF($CP19="P",CD19,(CD19+BC19)/2)</f>
        <v>7.52</v>
      </c>
      <c r="SZ19" s="42">
        <f>IF($CP19="P",CE19,(CE19+BD19)/2)</f>
        <v>0</v>
      </c>
      <c r="TA19" s="42">
        <f>IF($CP19="P",CF19,(CF19+BE19)/2)</f>
        <v>1.5</v>
      </c>
      <c r="TB19" s="42">
        <f>IF($CP19="P",CG19,(CG19+BF19)/2)</f>
        <v>0.85</v>
      </c>
      <c r="TC19" s="42">
        <f>IF($CP19="P",CH19,(CH19+BG19)/2)</f>
        <v>1.7</v>
      </c>
      <c r="TD19" s="42">
        <f>IF($CP19="P",CI19,(CI19+BH19)/2)</f>
        <v>1.66</v>
      </c>
      <c r="TE19" s="42">
        <f>IF($CP19="P",CJ19,(CJ19+BI19)/2)</f>
        <v>0</v>
      </c>
      <c r="TF19" s="42">
        <f>IF($CP19="P",CK19,(CK19+BJ19)/2)</f>
        <v>1.5</v>
      </c>
      <c r="TG19" s="42">
        <f>IF($CP19="P",CL19,(CL19+BK19)/2)</f>
        <v>0.8</v>
      </c>
      <c r="TH19" s="42">
        <f>IF($CP19="P",CM19,(CM19+BL19)/2)</f>
        <v>1.7</v>
      </c>
      <c r="TI19" s="42">
        <f>IF($CP19="P",CN19,(CN19+BM19)/2)</f>
        <v>1.595</v>
      </c>
      <c r="TJ19" s="42">
        <f>IF($CP19="P",CO19,(CO19+BN19)/2)</f>
        <v>0</v>
      </c>
      <c r="TK19" s="51" t="s">
        <v>58</v>
      </c>
      <c r="TL19" s="76">
        <f>IF(SX19&gt;0,SX19,"")</f>
        <v>7.2</v>
      </c>
      <c r="TM19" s="76">
        <f>IF(SY19&gt;0,SY19,"")</f>
        <v>7.52</v>
      </c>
      <c r="TN19" s="76">
        <f>IF(SUM(SV19:SY19)-SZ19&gt;0,SUM(SV19:SY19)-SZ19,"")</f>
        <v>26.619999999999997</v>
      </c>
      <c r="TO19" s="76">
        <f>IF(TC19&gt;0,TC19,"")</f>
        <v>1.7</v>
      </c>
      <c r="TP19" s="76">
        <f>IF(TD19&gt;0,TD19,"")</f>
        <v>1.66</v>
      </c>
      <c r="TQ19" s="76">
        <f>IF(SUM(TA19:TD19)-TE19&gt;0,SUM(TA19:TD19)-TE19,"")</f>
        <v>5.71</v>
      </c>
      <c r="TR19" s="76">
        <f>IF(MAX(TN19,TQ19)&gt;0,MAX(TN19,TQ19),"")</f>
        <v>26.619999999999997</v>
      </c>
      <c r="TS19" s="76">
        <f>IF(TH19&gt;0,TH19,"")</f>
        <v>1.7</v>
      </c>
      <c r="TT19" s="76">
        <f>IF(TI19&gt;0,TI19,"")</f>
        <v>1.595</v>
      </c>
      <c r="TU19" s="76">
        <f>IF(SUM(TF19:TI19)-TJ19&gt;0,SUM(TF19:TI19)-TJ19,"")</f>
        <v>5.5949999999999998</v>
      </c>
      <c r="TV19" s="76">
        <f>IF(SUM(TR19,TU19)&gt;0,SUM(TR19,TU19),"")</f>
        <v>32.214999999999996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98</v>
      </c>
      <c r="C20" s="7" t="s">
        <v>8</v>
      </c>
      <c r="D20" s="5">
        <v>2002</v>
      </c>
      <c r="E20" s="14">
        <f>SUM(J20:V20)+SUM(J20:T20)*0.0000001+SUM(J20)*0.0000000000001</f>
        <v>131.41001314100515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DZ20&gt;=EK$29,DZ20&lt;&gt;""),AND(EC20&gt;=EK$29,EC20&lt;&gt;""),AND(EG20&gt;=EK$29,EG20&lt;&gt;""),AND(EJ20&gt;=EK$29,EJ20&lt;&gt;""),AND(FH20&gt;=FS$29,FH20&lt;&gt;""),AND(FK20&gt;=FS$29,FK20&lt;&gt;""),AND(FO20&gt;=FS$29,FO20&lt;&gt;""),AND(FR20&gt;=FS$29,FR20&lt;&gt;""),AND(GP20&gt;=HA$29,GP20&lt;&gt;""),AND(GS20&gt;=HA$29,GS20&lt;&gt;""),AND(GW20&gt;=HA$29,GW20&lt;&gt;""),AND(GZ20&gt;=HA$29,GZ20&lt;&gt;""),AND(HX20&gt;=II$29,HX20&lt;&gt;""),AND(IA20&gt;=II$29,IA20&lt;&gt;""),AND(IE20&gt;=II$29,IE20&lt;&gt;""),AND(IH20&gt;=II$29,IH20&lt;&gt;""),AND(JF20&gt;=JQ$29,JF20&lt;&gt;""),AND(JI20&gt;=JQ$29,JI20&lt;&gt;""),AND(JM20&gt;=JQ$29,JM20&lt;&gt;""),AND(JP20&gt;=JQ$29,JP20&lt;&gt;""),AND(KN20&gt;=KY$29,KN20&lt;&gt;""),AND(KQ20&gt;=KY$29,KQ20&lt;&gt;""),AND(KU20&gt;=KY$29,KU20&lt;&gt;""),AND(KX20&gt;=KY$29,KX20&lt;&gt;""),AND(LV20&gt;=MG$29,LV20&lt;&gt;""),AND(LY20&gt;=MG$29,LY20&lt;&gt;""),AND(MC20&gt;=MG$29,MC20&lt;&gt;""),AND(MF20&gt;=MG$29,MF20&lt;&gt;""),AND(ND20&gt;=NO$29,ND20&lt;&gt;""),AND(NG20&gt;=NO$29,NG20&lt;&gt;""),AND(NK20&gt;=NO$29,NK20&lt;&gt;""),AND(NN20&gt;=NO$29,NN20&lt;&gt;""),AND(OL20&gt;=OW$29,OL20&lt;&gt;""),AND(OO20&gt;=OW$29,OO20&lt;&gt;""),AND(OS20&gt;=OW$29,OS20&lt;&gt;""),AND(OV20&gt;=OW$29,OV20&lt;&gt;""),AND(PT20&gt;=QE$29,PT20&lt;&gt;""),AND(PW20&gt;=QE$29,PW20&lt;&gt;""),AND(QA20&gt;=QE$29,QA20&lt;&gt;""),AND(QD20&gt;=QE$29,QD20&lt;&gt;""),AND(RB20&gt;=RM$29,RB20&lt;&gt;""),AND(RE20&gt;=RM$29,RE20&lt;&gt;""),AND(RI20&gt;=RM$29,RI20&lt;&gt;""),AND(RL20&gt;=RM$29,RL20&lt;&gt;""),AND(SJ20&gt;=SU$29,SJ20&lt;&gt;""),AND(SM20&gt;=SU$29,SM20&lt;&gt;""),AND(SQ20&gt;=SU$29,SQ20&lt;&gt;""),AND(ST20&gt;=SU$29,ST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J20" s="13">
        <f>IF(COUNT(AQ20,AT20,BR20,BU20,CS20,CV20)&gt;0,LARGE((AQ20,AT20,BR20,BU20,CS20,CV20),1),0)</f>
        <v>51.47</v>
      </c>
      <c r="K20" s="13" t="str">
        <f>IF(J20="","",IF(OR(J20=CS20,J20=CV20),$CA$1,IF(OR(J20=BR20,J20=BU20),$AZ$1,IF(OR(J20=AQ20,J20=AT20),$Y$1,""))))</f>
        <v>2022 3rd Domestic Trial</v>
      </c>
      <c r="L20" s="13">
        <f>IF(COUNT(AQ20,AT20,BR20,BU20,CS20,CV20)&gt;1,LARGE((AQ20,AT20,BR20,BU20,CS20,CV20),2),0)</f>
        <v>15.73</v>
      </c>
      <c r="M20" s="13" t="str">
        <f>IF(L20="","",IF(OR(L20=CS20,L20=CV20),$CA$1,IF(OR(L20=BR20,L20=BU20),$AZ$1,IF(OR(L20=AQ20,L20=AT20),$Y$1,""))))</f>
        <v>2022 3rd Domestic Trial</v>
      </c>
      <c r="N20" s="13">
        <f>IF(COUNT(AQ20,AT20,BR20,BU20,CS20,CV20)&gt;2,LARGE((AQ20,AT20,BR20,BU20,CS20,CV20),3),0)</f>
        <v>0</v>
      </c>
      <c r="O20" s="13" t="str">
        <f>IF(N20="","",IF(OR(N20=CS20,N20=CV20),$CA$1,IF(OR(N20=BR20,N20=BU20),$AZ$1,IF(OR(N20=AQ20,N20=AT20),$Y$1,""))))</f>
        <v/>
      </c>
      <c r="P20" s="13">
        <f>IF(MAX(AX20,BY20,CZ20)&gt;0,MAX(AX20,BY20,CZ20),0)</f>
        <v>50.309999999999995</v>
      </c>
      <c r="Q20" s="13" t="str">
        <f>IF(P20="","",IF(P20=CZ20,$CA$1,IF(P20=BY20,$AZ$1,IF(P20=AX20,$Y$1,""))))</f>
        <v>2022 3rd Domestic Trial</v>
      </c>
      <c r="R20" s="13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13.9</v>
      </c>
      <c r="S20" s="13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3rd Domestic Trial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,IF(DX20&gt;=$EK$25,DY20,0),IF(EA20&gt;=$EK$25,EB20,0),IF(EE20&gt;=$EK$25,EF20,0),IF(EH20&gt;=$EK$25,EI20,0),IF(FF20&gt;=$FS$25,FG20,0),IF(FI20&gt;=$FS$25,FJ20,0),IF(FM20&gt;=$FS$25,FN20,0),IF(FP20&gt;=$FS$25,FQ20,0),IF(GN20&gt;=$HA$25,GO20,0),IF(GQ20&gt;=$HA$25,GR20,0),IF(GU20&gt;=$HA$25,GV20,0),IF(GX20&gt;=$HA$25,GY20,0),IF(HV20&gt;=$II$25,HW20,0),IF(HY20&gt;=$II$25,HZ20,0),IF(IC20&gt;=$II$25,ID20,0),IF(IF20&gt;=$II$25,IG20,0),IF(JD20&gt;=$JQ$25,JE20,0),IF(JG20&gt;=$JQ$25,JH20,0),IF(JK20&gt;=$JQ$25,JL20,0),IF(JN20&gt;=$JQ$25,JO20,0),IF(KL20&gt;=$KY$25,KM20,0),IF(KO20&gt;=$KY$25,KP20,0),IF(KS20&gt;=$KY$25,KT20,0),IF(KV20&gt;=$KY$25,KW20,0),IF(LT20&gt;=$MG$25,LU20,0),IF(LW20&gt;=$MG$25,LX20,0),IF(MA20&gt;=$MG$25,MB20,0),IF(MD20&gt;=$MG$25,ME20,0),IF(NB20&gt;=$NO$25,NC20,0),IF(NE20&gt;=$NO$25,NF20,0),IF(NI20&gt;=$NO$25,NJ20,0),IF(NL20&gt;=$NO$25,NM20,0),IF(OJ20&gt;=$OW$25,OK20,0),IF(OM20&gt;=$OW$25,ON20,0),IF(OQ20&gt;=$OW$25,OR20,0),IF(OT20&gt;=$OW$25,OU20,0),IF(PR20&gt;=$QE$25,PS20,0),IF(PU20&gt;=$QE$25,PV20,0),IF(PY20&gt;=$QE$25,PZ20,0),IF(QB20&gt;=$QE$25,QC20,0),IF(QZ20&gt;=$RM$25,RA20,0),IF(RC20&gt;=$RM$25,RD20,0),IF(RG20&gt;=$RM$25,RH20,0),IF(RJ20&gt;=$RM$25,RK20,0),IF(SH20&gt;=$SU$25,SI20,0),IF(SK20&gt;=$SU$25,SL20,0),IF(SO20&gt;=$SU$25,SP20,0),IF(SR20&gt;=$SU$25,SS20,0)),0)</f>
        <v>0</v>
      </c>
      <c r="U20" s="13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13" t="str">
        <f>IF(MAX(DB20,DC20)&gt;0,MAX(DB20,DC20),"")</f>
        <v/>
      </c>
      <c r="W20" s="16" t="str">
        <f>IF(V20="","",IF(V20=DB20,"("&amp;DB$2&amp;")",IF(V20=DC20,"("&amp;DC$2&amp;")")))</f>
        <v/>
      </c>
      <c r="X20" s="13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51"/>
      <c r="AO20" s="74" t="str">
        <f>IF(AA20&gt;0,AA20,"")</f>
        <v/>
      </c>
      <c r="AP20" s="74" t="str">
        <f>IF(AB20&gt;0,AB20,"")</f>
        <v/>
      </c>
      <c r="AQ20" s="76" t="str">
        <f>IF(SUM(Y20:AB20)-AC20&gt;0,SUM(Y20:AB20)-AC20,"")</f>
        <v/>
      </c>
      <c r="AR20" s="76" t="str">
        <f>IF(AF20&gt;0,AF20,"")</f>
        <v/>
      </c>
      <c r="AS20" s="76" t="str">
        <f>IF(AG20&gt;0,AG20,"")</f>
        <v/>
      </c>
      <c r="AT20" s="76" t="str">
        <f>IF(SUM(AD20:AG20)-AH20&gt;0,SUM(AD20:AG20)-AH20,"")</f>
        <v/>
      </c>
      <c r="AU20" s="76" t="str">
        <f>IF(AQ20="","",MAX(AQ20,AT20))</f>
        <v/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 t="str">
        <f>IF(SUM(AU20,AX20)&gt;0,SUM(AU20,AX20),"")</f>
        <v/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4.2</v>
      </c>
      <c r="CB20" s="42">
        <v>2.6</v>
      </c>
      <c r="CC20" s="42">
        <v>4</v>
      </c>
      <c r="CD20" s="42">
        <v>4.93</v>
      </c>
      <c r="CE20" s="42">
        <v>0</v>
      </c>
      <c r="CF20" s="42">
        <v>13.9</v>
      </c>
      <c r="CG20" s="42">
        <v>9.5</v>
      </c>
      <c r="CH20" s="42">
        <v>13.1</v>
      </c>
      <c r="CI20" s="42">
        <v>15.37</v>
      </c>
      <c r="CJ20" s="42">
        <v>0.4</v>
      </c>
      <c r="CK20" s="42">
        <v>12.8</v>
      </c>
      <c r="CL20" s="42">
        <v>8.6</v>
      </c>
      <c r="CM20" s="42">
        <v>13.9</v>
      </c>
      <c r="CN20" s="42">
        <v>15.41</v>
      </c>
      <c r="CO20" s="42">
        <v>0.4</v>
      </c>
      <c r="CP20" s="51"/>
      <c r="CQ20" s="74">
        <f>IF(CC20&gt;0,CC20,"")</f>
        <v>4</v>
      </c>
      <c r="CR20" s="74">
        <f>IF(CD20&gt;0,CD20,"")</f>
        <v>4.93</v>
      </c>
      <c r="CS20" s="76">
        <f>IF(SUM(CA20:CD20)-CE20&gt;0,SUM(CA20:CD20)-CE20,"")</f>
        <v>15.73</v>
      </c>
      <c r="CT20" s="76">
        <f>IF(CH20&gt;0,CH20,"")</f>
        <v>13.1</v>
      </c>
      <c r="CU20" s="76">
        <f>IF(CI20&gt;0,CI20,"")</f>
        <v>15.37</v>
      </c>
      <c r="CV20" s="76">
        <f>IF(SUM(CF20:CI20)-CJ20&gt;0,SUM(CF20:CI20)-CJ20,"")</f>
        <v>51.47</v>
      </c>
      <c r="CW20" s="76">
        <f>IF(CS20="","",MAX(CS20,CV20))</f>
        <v>51.47</v>
      </c>
      <c r="CX20" s="76">
        <f>IF(CM20&gt;0,CM20,"")</f>
        <v>13.9</v>
      </c>
      <c r="CY20" s="76">
        <f>IF(CN20&gt;0,CN20,"")</f>
        <v>15.41</v>
      </c>
      <c r="CZ20" s="76">
        <f>IF(SUM(CK20:CN20)-CO20&gt;0,SUM(CK20:CN20)-CO20,"")</f>
        <v>50.309999999999995</v>
      </c>
      <c r="DA20" s="76">
        <f>IF(SUM(CW20,CZ20)&gt;0,SUM(CW20,CZ20),"")</f>
        <v>101.78</v>
      </c>
      <c r="DB20" s="87" t="str">
        <f>IF(N20&gt;=0.001,IF(MAX(ED20,FL20,GT20,IB20,JJ20,KR20,LZ20,NH20,OP20,PX20,RF20,SN20)-IF(N20="",0,N20)&gt;0.001,MAX(ED20,FL20,GT20,IB20,JJ20,KR20,LZ20,NH20,OP20,PX20,RF20,SN20)-IF(N20="",0,N20),""),"")</f>
        <v/>
      </c>
      <c r="DC20" s="87" t="str">
        <f>IF(P20&gt;=0.001,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>IF(DF20&gt;0,DF20,"")</f>
        <v/>
      </c>
      <c r="DY20" s="76" t="str">
        <f>IF(DG20&gt;0,DG20,"")</f>
        <v/>
      </c>
      <c r="DZ20" s="76" t="str">
        <f>IF(SUM(DD20:DG20)-DH20&gt;0,SUM(DD20:DG20)-DH20,"")</f>
        <v/>
      </c>
      <c r="EA20" s="76" t="str">
        <f>IF(DK20&gt;0,DK20,"")</f>
        <v/>
      </c>
      <c r="EB20" s="76" t="str">
        <f>IF(DL20&gt;0,DL20,"")</f>
        <v/>
      </c>
      <c r="EC20" s="76" t="str">
        <f>IF(SUM(DI20:DL20)-DM20&gt;0,SUM(DI20:DL20)-DM20,"")</f>
        <v/>
      </c>
      <c r="ED20" s="76" t="str">
        <f>IF(MAX(DZ20,EC20)&gt;0,MAX(DZ20,EC20),"")</f>
        <v/>
      </c>
      <c r="EE20" s="76" t="str">
        <f>IF(DP20&gt;0,DP20,"")</f>
        <v/>
      </c>
      <c r="EF20" s="76" t="str">
        <f>IF(DQ20&gt;0,DQ20,"")</f>
        <v/>
      </c>
      <c r="EG20" s="76" t="str">
        <f>IF(SUM(DN20:DQ20)-DR20&gt;0,SUM(DN20:DQ20)-DR20,"")</f>
        <v/>
      </c>
      <c r="EH20" s="76" t="str">
        <f>IF(DU20&gt;0,DU20,"")</f>
        <v/>
      </c>
      <c r="EI20" s="76" t="str">
        <f>IF(DV20&gt;0,DV20,"")</f>
        <v/>
      </c>
      <c r="EJ20" s="76" t="str">
        <f>IF(SUM(DS20:DV20)-DW20&gt;0,SUM(DS20:DV20)-DW20,"")</f>
        <v/>
      </c>
      <c r="EK20" s="76" t="str">
        <f>IF(SUM(ED20,EJ20)&gt;0,SUM(ED20,EJ20),"")</f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>IF(EN20&gt;0,EN20,"")</f>
        <v/>
      </c>
      <c r="FG20" s="16" t="str">
        <f>IF(EO20&gt;0,EO20,"")</f>
        <v/>
      </c>
      <c r="FH20" s="16" t="str">
        <f>IF(SUM(EL20:EO20)-EP20&gt;0,SUM(EL20:EO20)-EP20,"")</f>
        <v/>
      </c>
      <c r="FI20" s="16" t="str">
        <f>IF(ES20&gt;0,ES20,"")</f>
        <v/>
      </c>
      <c r="FJ20" s="16" t="str">
        <f>IF(ET20&gt;0,ET20,"")</f>
        <v/>
      </c>
      <c r="FK20" s="16" t="str">
        <f>IF(SUM(EQ20:ET20)-EU20&gt;0,SUM(EQ20:ET20)-EU20,"")</f>
        <v/>
      </c>
      <c r="FL20" s="16" t="str">
        <f>IF(MAX(FH20,FK20)&gt;0,MAX(FH20,FK20),"")</f>
        <v/>
      </c>
      <c r="FM20" s="16" t="str">
        <f>IF(EX20&gt;0,EX20,"")</f>
        <v/>
      </c>
      <c r="FN20" s="16" t="str">
        <f>IF(EY20&gt;0,EY20,"")</f>
        <v/>
      </c>
      <c r="FO20" s="16" t="str">
        <f>IF(SUM(EV20:EY20)-EZ20&gt;0,SUM(EV20:EY20)-EZ20,"")</f>
        <v/>
      </c>
      <c r="FP20" s="16" t="str">
        <f>IF(FC20&gt;0,FC20,"")</f>
        <v/>
      </c>
      <c r="FQ20" s="16" t="str">
        <f>IF(FD20&gt;0,FD20,"")</f>
        <v/>
      </c>
      <c r="FR20" s="16" t="str">
        <f>IF(SUM(FA20:FD20)-FE20&gt;0,SUM(FA20:FD20)-FE20,"")</f>
        <v/>
      </c>
      <c r="FS20" s="16" t="str">
        <f>IF(SUM(FL20,FR20)&gt;0,SUM(FL20,FR20),"")</f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>IF(FV20&gt;0,FV20,"")</f>
        <v/>
      </c>
      <c r="GO20" s="76" t="str">
        <f>IF(FW20&gt;0,FW20,"")</f>
        <v/>
      </c>
      <c r="GP20" s="76" t="str">
        <f>IF(SUM(FT20:FW20)-FX20&gt;0,SUM(FT20:FW20)-FX20,"")</f>
        <v/>
      </c>
      <c r="GQ20" s="76" t="str">
        <f>IF(GA20&gt;0,GA20,"")</f>
        <v/>
      </c>
      <c r="GR20" s="76" t="str">
        <f>IF(GB20&gt;0,GB20,"")</f>
        <v/>
      </c>
      <c r="GS20" s="76" t="str">
        <f>IF(SUM(FY20:GB20)-GC20&gt;0,SUM(FY20:GB20)-GC20,"")</f>
        <v/>
      </c>
      <c r="GT20" s="76" t="str">
        <f>IF(MAX(GP20,GS20)&gt;0,MAX(GP20,GS20),"")</f>
        <v/>
      </c>
      <c r="GU20" s="76" t="str">
        <f>IF(GF20&gt;0,GF20,"")</f>
        <v/>
      </c>
      <c r="GV20" s="76" t="str">
        <f>IF(GG20&gt;0,GG20,"")</f>
        <v/>
      </c>
      <c r="GW20" s="76" t="str">
        <f>IF(SUM(GD20:GG20)-GH20&gt;0,SUM(GD20:GG20)-GH20,"")</f>
        <v/>
      </c>
      <c r="GX20" s="76" t="str">
        <f>IF(GK20&gt;0,GK20,"")</f>
        <v/>
      </c>
      <c r="GY20" s="76" t="str">
        <f>IF(GL20&gt;0,GL20,"")</f>
        <v/>
      </c>
      <c r="GZ20" s="76" t="str">
        <f>IF(SUM(GI20:GL20)-GM20&gt;0,SUM(GI20:GL20)-GM20,"")</f>
        <v/>
      </c>
      <c r="HA20" s="76" t="str">
        <f>IF(SUM(GT20,GZ20)&gt;0,SUM(GT20,GZ20),"")</f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>IF(HD20&gt;0,HD20,"")</f>
        <v/>
      </c>
      <c r="HW20" s="16" t="str">
        <f>IF(HE20&gt;0,HE20,"")</f>
        <v/>
      </c>
      <c r="HX20" s="16" t="str">
        <f>IF(SUM(HB20:HE20)-HF20&gt;0,SUM(HB20:HE20)-HF20,"")</f>
        <v/>
      </c>
      <c r="HY20" s="16" t="str">
        <f>IF(HI20&gt;0,HI20,"")</f>
        <v/>
      </c>
      <c r="HZ20" s="16" t="str">
        <f>IF(HJ20&gt;0,HJ20,"")</f>
        <v/>
      </c>
      <c r="IA20" s="16" t="str">
        <f>IF(SUM(HG20:HJ20)-HK20&gt;0,SUM(HG20:HJ20)-HK20,"")</f>
        <v/>
      </c>
      <c r="IB20" s="16" t="str">
        <f>IF(MAX(HX20,IA20)&gt;0,MAX(HX20,IA20),"")</f>
        <v/>
      </c>
      <c r="IC20" s="16" t="str">
        <f>IF(HN20&gt;0,HN20,"")</f>
        <v/>
      </c>
      <c r="ID20" s="16" t="str">
        <f>IF(HO20&gt;0,HO20,"")</f>
        <v/>
      </c>
      <c r="IE20" s="16" t="str">
        <f>IF(SUM(HL20:HO20)-HP20&gt;0,SUM(HL20:HO20)-HP20,"")</f>
        <v/>
      </c>
      <c r="IF20" s="16" t="str">
        <f>IF(HS20&gt;0,HS20,"")</f>
        <v/>
      </c>
      <c r="IG20" s="16" t="str">
        <f>IF(HT20&gt;0,HT20,"")</f>
        <v/>
      </c>
      <c r="IH20" s="16" t="str">
        <f>IF(SUM(HQ20:HT20)-HU20&gt;0,SUM(HQ20:HT20)-HU20,"")</f>
        <v/>
      </c>
      <c r="II20" s="16" t="str">
        <f>IF(SUM(IB20,IH20)&gt;0,SUM(IB20,IH20),"")</f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>IF(IL20&gt;0,IL20,"")</f>
        <v/>
      </c>
      <c r="JE20" s="76" t="str">
        <f>IF(IM20&gt;0,IM20,"")</f>
        <v/>
      </c>
      <c r="JF20" s="76" t="str">
        <f>IF(SUM(IJ20:IM20)-IN20&gt;0,SUM(IJ20:IM20)-IN20,"")</f>
        <v/>
      </c>
      <c r="JG20" s="76" t="str">
        <f>IF(IQ20&gt;0,IQ20,"")</f>
        <v/>
      </c>
      <c r="JH20" s="76" t="str">
        <f>IF(IR20&gt;0,IR20,"")</f>
        <v/>
      </c>
      <c r="JI20" s="76" t="str">
        <f>IF(SUM(IO20:IR20)-IS20&gt;0,SUM(IO20:IR20)-IS20,"")</f>
        <v/>
      </c>
      <c r="JJ20" s="76" t="str">
        <f>IF(MAX(JF20,JI20)&gt;0,MAX(JF20,JI20),"")</f>
        <v/>
      </c>
      <c r="JK20" s="76" t="str">
        <f>IF(IV20&gt;0,IV20,"")</f>
        <v/>
      </c>
      <c r="JL20" s="76" t="str">
        <f>IF(IW20&gt;0,IW20,"")</f>
        <v/>
      </c>
      <c r="JM20" s="76" t="str">
        <f>IF(SUM(IT20:IW20)-IX20&gt;0,SUM(IT20:IW20)-IX20,"")</f>
        <v/>
      </c>
      <c r="JN20" s="76" t="str">
        <f>IF(JA20&gt;0,JA20,"")</f>
        <v/>
      </c>
      <c r="JO20" s="76" t="str">
        <f>IF(JB20&gt;0,JB20,"")</f>
        <v/>
      </c>
      <c r="JP20" s="76" t="str">
        <f>IF(SUM(IY20:JB20)-JC20&gt;0,SUM(IY20:JB20)-JC20,"")</f>
        <v/>
      </c>
      <c r="JQ20" s="76" t="str">
        <f>IF(SUM(JJ20,JP20)&gt;0,SUM(JJ20,JP20),"")</f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>IF(JT20&gt;0,JT20,"")</f>
        <v/>
      </c>
      <c r="KM20" s="16" t="str">
        <f>IF(JU20&gt;0,JU20,"")</f>
        <v/>
      </c>
      <c r="KN20" s="16" t="str">
        <f>IF(SUM(JR20:JU20)-JV20&gt;0,SUM(JR20:JU20)-JV20,"")</f>
        <v/>
      </c>
      <c r="KO20" s="16" t="str">
        <f>IF(JY20&gt;0,JY20,"")</f>
        <v/>
      </c>
      <c r="KP20" s="16" t="str">
        <f>IF(JZ20&gt;0,JZ20,"")</f>
        <v/>
      </c>
      <c r="KQ20" s="16" t="str">
        <f>IF(SUM(JW20:JZ20)-KA20&gt;0,SUM(JW20:JZ20)-KA20,"")</f>
        <v/>
      </c>
      <c r="KR20" s="16" t="str">
        <f>IF(MAX(KN20,KQ20)&gt;0,MAX(KN20,KQ20),"")</f>
        <v/>
      </c>
      <c r="KS20" s="16" t="str">
        <f>IF(KD20&gt;0,KD20,"")</f>
        <v/>
      </c>
      <c r="KT20" s="16" t="str">
        <f>IF(KE20&gt;0,KE20,"")</f>
        <v/>
      </c>
      <c r="KU20" s="16" t="str">
        <f>IF(SUM(KB20:KE20)-KF20&gt;0,SUM(KB20:KE20)-KF20,"")</f>
        <v/>
      </c>
      <c r="KV20" s="16" t="str">
        <f>IF(KI20&gt;0,KI20,"")</f>
        <v/>
      </c>
      <c r="KW20" s="16" t="str">
        <f>IF(KJ20&gt;0,KJ20,"")</f>
        <v/>
      </c>
      <c r="KX20" s="16" t="str">
        <f>IF(SUM(KG20:KJ20)-KK20&gt;0,SUM(KG20:KJ20)-KK20,"")</f>
        <v/>
      </c>
      <c r="KY20" s="16" t="str">
        <f>IF(SUM(KR20,KX20)&gt;0,SUM(KR20,KX20),"")</f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>IF(LB20&gt;0,LB20,"")</f>
        <v/>
      </c>
      <c r="LU20" s="76" t="str">
        <f>IF(LC20&gt;0,LC20,"")</f>
        <v/>
      </c>
      <c r="LV20" s="76" t="str">
        <f>IF(SUM(KZ20:LC20)-LD20&gt;0,SUM(KZ20:LC20)-LD20,"")</f>
        <v/>
      </c>
      <c r="LW20" s="76" t="str">
        <f>IF(LG20&gt;0,LG20,"")</f>
        <v/>
      </c>
      <c r="LX20" s="76" t="str">
        <f>IF(LH20&gt;0,LH20,"")</f>
        <v/>
      </c>
      <c r="LY20" s="76" t="str">
        <f>IF(SUM(LE20:LH20)-LI20&gt;0,SUM(LE20:LH20)-LI20,"")</f>
        <v/>
      </c>
      <c r="LZ20" s="76" t="str">
        <f>IF(MAX(LV20,LY20)&gt;0,MAX(LV20,LY20),"")</f>
        <v/>
      </c>
      <c r="MA20" s="76" t="str">
        <f>IF(LL20&gt;0,LL20,"")</f>
        <v/>
      </c>
      <c r="MB20" s="76" t="str">
        <f>IF(LM20&gt;0,LM20,"")</f>
        <v/>
      </c>
      <c r="MC20" s="76" t="str">
        <f>IF(SUM(LJ20:LM20)-LN20&gt;0,SUM(LJ20:LM20)-LN20,"")</f>
        <v/>
      </c>
      <c r="MD20" s="76" t="str">
        <f>IF(LQ20&gt;0,LQ20,"")</f>
        <v/>
      </c>
      <c r="ME20" s="76" t="str">
        <f>IF(LR20&gt;0,LR20,"")</f>
        <v/>
      </c>
      <c r="MF20" s="76" t="str">
        <f>IF(SUM(LO20:LR20)-LS20&gt;0,SUM(LO20:LR20)-LS20,"")</f>
        <v/>
      </c>
      <c r="MG20" s="76" t="str">
        <f>IF(SUM(LZ20,MF20)&gt;0,SUM(LZ20,MF20),"")</f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>IF(MJ20&gt;0,MJ20,"")</f>
        <v/>
      </c>
      <c r="NC20" s="16" t="str">
        <f>IF(MK20&gt;0,MK20,"")</f>
        <v/>
      </c>
      <c r="ND20" s="16" t="str">
        <f>IF(SUM(MH20:MK20)-ML20&gt;0,SUM(MH20:MK20)-ML20,"")</f>
        <v/>
      </c>
      <c r="NE20" s="16" t="str">
        <f>IF(MO20&gt;0,MO20,"")</f>
        <v/>
      </c>
      <c r="NF20" s="16" t="str">
        <f>IF(MP20&gt;0,MP20,"")</f>
        <v/>
      </c>
      <c r="NG20" s="16" t="str">
        <f>IF(SUM(MM20:MP20)-MQ20&gt;0,SUM(MM20:MP20)-MQ20,"")</f>
        <v/>
      </c>
      <c r="NH20" s="16" t="str">
        <f>IF(MAX(ND20,NG20)&gt;0,MAX(ND20,NG20),"")</f>
        <v/>
      </c>
      <c r="NI20" s="16" t="str">
        <f>IF(MT20&gt;0,MT20,"")</f>
        <v/>
      </c>
      <c r="NJ20" s="16" t="str">
        <f>IF(MU20&gt;0,MU20,"")</f>
        <v/>
      </c>
      <c r="NK20" s="16" t="str">
        <f>IF(SUM(MR20:MU20)-MV20&gt;0,SUM(MR20:MU20)-MV20,"")</f>
        <v/>
      </c>
      <c r="NL20" s="16" t="str">
        <f>IF(MY20&gt;0,MY20,"")</f>
        <v/>
      </c>
      <c r="NM20" s="16" t="str">
        <f>IF(MZ20&gt;0,MZ20,"")</f>
        <v/>
      </c>
      <c r="NN20" s="16" t="str">
        <f>IF(SUM(MW20:MZ20)-NA20&gt;0,SUM(MW20:MZ20)-NA20,"")</f>
        <v/>
      </c>
      <c r="NO20" s="16" t="str">
        <f>IF(SUM(NH20,NN20)&gt;0,SUM(NH20,NN20),"")</f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>IF(NR20&gt;0,NR20,"")</f>
        <v/>
      </c>
      <c r="OK20" s="76" t="str">
        <f>IF(NS20&gt;0,NS20,"")</f>
        <v/>
      </c>
      <c r="OL20" s="76" t="str">
        <f>IF(SUM(NP20:NS20)-NT20&gt;0,SUM(NP20:NS20)-NT20,"")</f>
        <v/>
      </c>
      <c r="OM20" s="76" t="str">
        <f>IF(NW20&gt;0,NW20,"")</f>
        <v/>
      </c>
      <c r="ON20" s="76" t="str">
        <f>IF(NX20&gt;0,NX20,"")</f>
        <v/>
      </c>
      <c r="OO20" s="76" t="str">
        <f>IF(SUM(NU20:NX20)-NY20&gt;0,SUM(NU20:NX20)-NY20,"")</f>
        <v/>
      </c>
      <c r="OP20" s="76" t="str">
        <f>IF(MAX(OL20,OO20)&gt;0,MAX(OL20,OO20),"")</f>
        <v/>
      </c>
      <c r="OQ20" s="76" t="str">
        <f>IF(OB20&gt;0,OB20,"")</f>
        <v/>
      </c>
      <c r="OR20" s="76" t="str">
        <f>IF(OC20&gt;0,OC20,"")</f>
        <v/>
      </c>
      <c r="OS20" s="76" t="str">
        <f>IF(SUM(NZ20:OC20)-OD20&gt;0,SUM(NZ20:OC20)-OD20,"")</f>
        <v/>
      </c>
      <c r="OT20" s="76" t="str">
        <f>IF(OG20&gt;0,OG20,"")</f>
        <v/>
      </c>
      <c r="OU20" s="76" t="str">
        <f>IF(OH20&gt;0,OH20,"")</f>
        <v/>
      </c>
      <c r="OV20" s="76" t="str">
        <f>IF(SUM(OE20:OH20)-OI20&gt;0,SUM(OE20:OH20)-OI20,"")</f>
        <v/>
      </c>
      <c r="OW20" s="76" t="str">
        <f>IF(SUM(OP20,OV20)&gt;0,SUM(OP20,OV20),"")</f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>IF(OZ20&gt;0,OZ20,"")</f>
        <v/>
      </c>
      <c r="PS20" s="16" t="str">
        <f>IF(PA20&gt;0,PA20,"")</f>
        <v/>
      </c>
      <c r="PT20" s="16" t="str">
        <f>IF(SUM(OX20:PA20)-PB20&gt;0,SUM(OX20:PA20)-PB20,"")</f>
        <v/>
      </c>
      <c r="PU20" s="16" t="str">
        <f>IF(PE20&gt;0,PE20,"")</f>
        <v/>
      </c>
      <c r="PV20" s="16" t="str">
        <f>IF(PF20&gt;0,PF20,"")</f>
        <v/>
      </c>
      <c r="PW20" s="16" t="str">
        <f>IF(SUM(PC20:PF20)-PG20&gt;0,SUM(PC20:PF20)-PG20,"")</f>
        <v/>
      </c>
      <c r="PX20" s="16" t="str">
        <f>IF(MAX(PT20,PW20)&gt;0,MAX(PT20,PW20),"")</f>
        <v/>
      </c>
      <c r="PY20" s="16" t="str">
        <f>IF(PJ20&gt;0,PJ20,"")</f>
        <v/>
      </c>
      <c r="PZ20" s="16" t="str">
        <f>IF(PK20&gt;0,PK20,"")</f>
        <v/>
      </c>
      <c r="QA20" s="16" t="str">
        <f>IF(SUM(PH20:PK20)-PL20&gt;0,SUM(PH20:PK20)-PL20,"")</f>
        <v/>
      </c>
      <c r="QB20" s="16" t="str">
        <f>IF(PO20&gt;0,PO20,"")</f>
        <v/>
      </c>
      <c r="QC20" s="16" t="str">
        <f>IF(PP20&gt;0,PP20,"")</f>
        <v/>
      </c>
      <c r="QD20" s="16" t="str">
        <f>IF(SUM(PM20:PP20)-PQ20&gt;0,SUM(PM20:PP20)-PQ20,"")</f>
        <v/>
      </c>
      <c r="QE20" s="16" t="str">
        <f>IF(SUM(PX20,QD20)&gt;0,SUM(PX20,QD20),"")</f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>IF(QH20&gt;0,QH20,"")</f>
        <v/>
      </c>
      <c r="RA20" s="76" t="str">
        <f>IF(QI20&gt;0,QI20,"")</f>
        <v/>
      </c>
      <c r="RB20" s="76" t="str">
        <f>IF(SUM(QF20:QI20)-QJ20&gt;0,SUM(QF20:QI20)-QJ20,"")</f>
        <v/>
      </c>
      <c r="RC20" s="76" t="str">
        <f>IF(QM20&gt;0,QM20,"")</f>
        <v/>
      </c>
      <c r="RD20" s="76" t="str">
        <f>IF(QN20&gt;0,QN20,"")</f>
        <v/>
      </c>
      <c r="RE20" s="76" t="str">
        <f>IF(SUM(QK20:QN20)-QO20&gt;0,SUM(QK20:QN20)-QO20,"")</f>
        <v/>
      </c>
      <c r="RF20" s="76" t="str">
        <f>IF(MAX(RB20,RE20)&gt;0,MAX(RB20,RE20),"")</f>
        <v/>
      </c>
      <c r="RG20" s="76" t="str">
        <f>IF(QR20&gt;0,QR20,"")</f>
        <v/>
      </c>
      <c r="RH20" s="76" t="str">
        <f>IF(QS20&gt;0,QS20,"")</f>
        <v/>
      </c>
      <c r="RI20" s="76" t="str">
        <f>IF(SUM(QP20:QS20)-QT20&gt;0,SUM(QP20:QS20)-QT20,"")</f>
        <v/>
      </c>
      <c r="RJ20" s="76" t="str">
        <f>IF(QW20&gt;0,QW20,"")</f>
        <v/>
      </c>
      <c r="RK20" s="76" t="str">
        <f>IF(QX20&gt;0,QX20,"")</f>
        <v/>
      </c>
      <c r="RL20" s="76" t="str">
        <f>IF(SUM(QU20:QX20)-QY20&gt;0,SUM(QU20:QX20)-QY20,"")</f>
        <v/>
      </c>
      <c r="RM20" s="76" t="str">
        <f>IF(SUM(RF20,RL20)&gt;0,SUM(RF20,RL20),"")</f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>IF(RP20&gt;0,RP20,"")</f>
        <v/>
      </c>
      <c r="SI20" s="16" t="str">
        <f>IF(RQ20&gt;0,RQ20,"")</f>
        <v/>
      </c>
      <c r="SJ20" s="16" t="str">
        <f>IF(SUM(RN20:RQ20)-RR20&gt;0,SUM(RN20:RQ20)-RR20,"")</f>
        <v/>
      </c>
      <c r="SK20" s="16" t="str">
        <f>IF(RU20&gt;0,RU20,"")</f>
        <v/>
      </c>
      <c r="SL20" s="16" t="str">
        <f>IF(RV20&gt;0,RV20,"")</f>
        <v/>
      </c>
      <c r="SM20" s="16" t="str">
        <f>IF(SUM(RS20:RV20)-RW20&gt;0,SUM(RS20:RV20)-RW20,"")</f>
        <v/>
      </c>
      <c r="SN20" s="16" t="str">
        <f>IF(MAX(SJ20,SM20)&gt;0,MAX(SJ20,SM20),"")</f>
        <v/>
      </c>
      <c r="SO20" s="16" t="str">
        <f>IF(RZ20&gt;0,RZ20,"")</f>
        <v/>
      </c>
      <c r="SP20" s="16" t="str">
        <f>IF(SA20&gt;0,SA20,"")</f>
        <v/>
      </c>
      <c r="SQ20" s="16" t="str">
        <f>IF(SUM(RX20:SA20)-SB20&gt;0,SUM(RX20:SA20)-SB20,"")</f>
        <v/>
      </c>
      <c r="SR20" s="16" t="str">
        <f>IF(SE20&gt;0,SE20,"")</f>
        <v/>
      </c>
      <c r="SS20" s="16" t="str">
        <f>IF(SF20&gt;0,SF20,"")</f>
        <v/>
      </c>
      <c r="ST20" s="16" t="str">
        <f>IF(SUM(SC20:SF20)-SG20&gt;0,SUM(SC20:SF20)-SG20,"")</f>
        <v/>
      </c>
      <c r="SU20" s="16" t="str">
        <f>IF(SUM(SN20,ST20)&gt;0,SUM(SN20,ST20),"")</f>
        <v/>
      </c>
      <c r="SV20" s="42">
        <f>IF($CP20="P",CA20,(CA20+AZ20)/2)</f>
        <v>2.1</v>
      </c>
      <c r="SW20" s="42">
        <f>IF($CP20="P",CB20,(CB20+BA20)/2)</f>
        <v>1.3</v>
      </c>
      <c r="SX20" s="42">
        <f>IF($CP20="P",CC20,(CC20+BB20)/2)</f>
        <v>2</v>
      </c>
      <c r="SY20" s="42">
        <f>IF($CP20="P",CD20,(CD20+BC20)/2)</f>
        <v>2.4649999999999999</v>
      </c>
      <c r="SZ20" s="42">
        <f>IF($CP20="P",CE20,(CE20+BD20)/2)</f>
        <v>0</v>
      </c>
      <c r="TA20" s="42">
        <f>IF($CP20="P",CF20,(CF20+BE20)/2)</f>
        <v>6.95</v>
      </c>
      <c r="TB20" s="42">
        <f>IF($CP20="P",CG20,(CG20+BF20)/2)</f>
        <v>4.75</v>
      </c>
      <c r="TC20" s="42">
        <f>IF($CP20="P",CH20,(CH20+BG20)/2)</f>
        <v>6.55</v>
      </c>
      <c r="TD20" s="42">
        <f>IF($CP20="P",CI20,(CI20+BH20)/2)</f>
        <v>7.6849999999999996</v>
      </c>
      <c r="TE20" s="42">
        <f>IF($CP20="P",CJ20,(CJ20+BI20)/2)</f>
        <v>0.2</v>
      </c>
      <c r="TF20" s="42">
        <f>IF($CP20="P",CK20,(CK20+BJ20)/2)</f>
        <v>6.4</v>
      </c>
      <c r="TG20" s="42">
        <f>IF($CP20="P",CL20,(CL20+BK20)/2)</f>
        <v>4.3</v>
      </c>
      <c r="TH20" s="42">
        <f>IF($CP20="P",CM20,(CM20+BL20)/2)</f>
        <v>6.95</v>
      </c>
      <c r="TI20" s="42">
        <f>IF($CP20="P",CN20,(CN20+BM20)/2)</f>
        <v>7.7050000000000001</v>
      </c>
      <c r="TJ20" s="42">
        <f>IF($CP20="P",CO20,(CO20+BN20)/2)</f>
        <v>0.2</v>
      </c>
      <c r="TK20" s="51" t="s">
        <v>58</v>
      </c>
      <c r="TL20" s="76">
        <f>IF(SX20&gt;0,SX20,"")</f>
        <v>2</v>
      </c>
      <c r="TM20" s="76">
        <f>IF(SY20&gt;0,SY20,"")</f>
        <v>2.4649999999999999</v>
      </c>
      <c r="TN20" s="76">
        <f>IF(SUM(SV20:SY20)-SZ20&gt;0,SUM(SV20:SY20)-SZ20,"")</f>
        <v>7.8650000000000002</v>
      </c>
      <c r="TO20" s="76">
        <f>IF(TC20&gt;0,TC20,"")</f>
        <v>6.55</v>
      </c>
      <c r="TP20" s="76">
        <f>IF(TD20&gt;0,TD20,"")</f>
        <v>7.6849999999999996</v>
      </c>
      <c r="TQ20" s="76">
        <f>IF(SUM(TA20:TD20)-TE20&gt;0,SUM(TA20:TD20)-TE20,"")</f>
        <v>25.734999999999999</v>
      </c>
      <c r="TR20" s="76">
        <f>IF(MAX(TN20,TQ20)&gt;0,MAX(TN20,TQ20),"")</f>
        <v>25.734999999999999</v>
      </c>
      <c r="TS20" s="76">
        <f>IF(TH20&gt;0,TH20,"")</f>
        <v>6.95</v>
      </c>
      <c r="TT20" s="76">
        <f>IF(TI20&gt;0,TI20,"")</f>
        <v>7.7050000000000001</v>
      </c>
      <c r="TU20" s="76">
        <f>IF(SUM(TF20:TI20)-TJ20&gt;0,SUM(TF20:TI20)-TJ20,"")</f>
        <v>25.154999999999998</v>
      </c>
      <c r="TV20" s="76">
        <f>IF(SUM(TR20,TU20)&gt;0,SUM(TR20,TU20),"")</f>
        <v>50.89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185</v>
      </c>
      <c r="C21" s="7" t="s">
        <v>5</v>
      </c>
      <c r="D21" s="5">
        <v>1993</v>
      </c>
      <c r="E21" s="14">
        <f>SUM(J21:V21)+SUM(J21:T21)*0.0000001+SUM(J21)*0.0000000000001</f>
        <v>65.670006567004734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DZ21&gt;=EK$29,DZ21&lt;&gt;""),AND(EC21&gt;=EK$29,EC21&lt;&gt;""),AND(EG21&gt;=EK$29,EG21&lt;&gt;""),AND(EJ21&gt;=EK$29,EJ21&lt;&gt;""),AND(FH21&gt;=FS$29,FH21&lt;&gt;""),AND(FK21&gt;=FS$29,FK21&lt;&gt;""),AND(FO21&gt;=FS$29,FO21&lt;&gt;""),AND(FR21&gt;=FS$29,FR21&lt;&gt;""),AND(GP21&gt;=HA$29,GP21&lt;&gt;""),AND(GS21&gt;=HA$29,GS21&lt;&gt;""),AND(GW21&gt;=HA$29,GW21&lt;&gt;""),AND(GZ21&gt;=HA$29,GZ21&lt;&gt;""),AND(HX21&gt;=II$29,HX21&lt;&gt;""),AND(IA21&gt;=II$29,IA21&lt;&gt;""),AND(IE21&gt;=II$29,IE21&lt;&gt;""),AND(IH21&gt;=II$29,IH21&lt;&gt;""),AND(JF21&gt;=JQ$29,JF21&lt;&gt;""),AND(JI21&gt;=JQ$29,JI21&lt;&gt;""),AND(JM21&gt;=JQ$29,JM21&lt;&gt;""),AND(JP21&gt;=JQ$29,JP21&lt;&gt;""),AND(KN21&gt;=KY$29,KN21&lt;&gt;""),AND(KQ21&gt;=KY$29,KQ21&lt;&gt;""),AND(KU21&gt;=KY$29,KU21&lt;&gt;""),AND(KX21&gt;=KY$29,KX21&lt;&gt;""),AND(LV21&gt;=MG$29,LV21&lt;&gt;""),AND(LY21&gt;=MG$29,LY21&lt;&gt;""),AND(MC21&gt;=MG$29,MC21&lt;&gt;""),AND(MF21&gt;=MG$29,MF21&lt;&gt;""),AND(ND21&gt;=NO$29,ND21&lt;&gt;""),AND(NG21&gt;=NO$29,NG21&lt;&gt;""),AND(NK21&gt;=NO$29,NK21&lt;&gt;""),AND(NN21&gt;=NO$29,NN21&lt;&gt;""),AND(OL21&gt;=OW$29,OL21&lt;&gt;""),AND(OO21&gt;=OW$29,OO21&lt;&gt;""),AND(OS21&gt;=OW$29,OS21&lt;&gt;""),AND(OV21&gt;=OW$29,OV21&lt;&gt;""),AND(PT21&gt;=QE$29,PT21&lt;&gt;""),AND(PW21&gt;=QE$29,PW21&lt;&gt;""),AND(QA21&gt;=QE$29,QA21&lt;&gt;""),AND(QD21&gt;=QE$29,QD21&lt;&gt;""),AND(RB21&gt;=RM$29,RB21&lt;&gt;""),AND(RE21&gt;=RM$29,RE21&lt;&gt;""),AND(RI21&gt;=RM$29,RI21&lt;&gt;""),AND(RL21&gt;=RM$29,RL21&lt;&gt;""),AND(SJ21&gt;=SU$29,SJ21&lt;&gt;""),AND(SM21&gt;=SU$29,SM21&lt;&gt;""),AND(SQ21&gt;=SU$29,SQ21&lt;&gt;""),AND(ST21&gt;=SU$29,ST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J21" s="13">
        <f>IF(COUNT(AQ21,AT21,BR21,BU21,CS21,CV21)&gt;0,LARGE((AQ21,AT21,BR21,BU21,CS21,CV21),1),0)</f>
        <v>47.27</v>
      </c>
      <c r="K21" s="13" t="str">
        <f>IF(J21="","",IF(OR(J21=CS21,J21=CV21),$CA$1,IF(OR(J21=BR21,J21=BU21),$AZ$1,IF(OR(J21=AQ21,J21=AT21),$Y$1,""))))</f>
        <v>2022 Nationals</v>
      </c>
      <c r="L21" s="13">
        <f>IF(COUNT(AQ21,AT21,BR21,BU21,CS21,CV21)&gt;1,LARGE((AQ21,AT21,BR21,BU21,CS21,CV21),2),0)</f>
        <v>5.5</v>
      </c>
      <c r="M21" s="13" t="str">
        <f>IF(L21="","",IF(OR(L21=CS21,L21=CV21),$CA$1,IF(OR(L21=BR21,L21=BU21),$AZ$1,IF(OR(L21=AQ21,L21=AT21),$Y$1,""))))</f>
        <v>2022 Nationals</v>
      </c>
      <c r="N21" s="13">
        <f>IF(COUNT(AQ21,AT21,BR21,BU21,CS21,CV21)&gt;2,LARGE((AQ21,AT21,BR21,BU21,CS21,CV21),3),0)</f>
        <v>0</v>
      </c>
      <c r="O21" s="13" t="str">
        <f>IF(N21="","",IF(OR(N21=CS21,N21=CV21),$CA$1,IF(OR(N21=BR21,N21=BU21),$AZ$1,IF(OR(N21=AQ21,N21=AT21),$Y$1,""))))</f>
        <v/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12.9</v>
      </c>
      <c r="S21" s="13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2022 Nationals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,IF(DX21&gt;=$EK$25,DY21,0),IF(EA21&gt;=$EK$25,EB21,0),IF(EE21&gt;=$EK$25,EF21,0),IF(EH21&gt;=$EK$25,EI21,0),IF(FF21&gt;=$FS$25,FG21,0),IF(FI21&gt;=$FS$25,FJ21,0),IF(FM21&gt;=$FS$25,FN21,0),IF(FP21&gt;=$FS$25,FQ21,0),IF(GN21&gt;=$HA$25,GO21,0),IF(GQ21&gt;=$HA$25,GR21,0),IF(GU21&gt;=$HA$25,GV21,0),IF(GX21&gt;=$HA$25,GY21,0),IF(HV21&gt;=$II$25,HW21,0),IF(HY21&gt;=$II$25,HZ21,0),IF(IC21&gt;=$II$25,ID21,0),IF(IF21&gt;=$II$25,IG21,0),IF(JD21&gt;=$JQ$25,JE21,0),IF(JG21&gt;=$JQ$25,JH21,0),IF(JK21&gt;=$JQ$25,JL21,0),IF(JN21&gt;=$JQ$25,JO21,0),IF(KL21&gt;=$KY$25,KM21,0),IF(KO21&gt;=$KY$25,KP21,0),IF(KS21&gt;=$KY$25,KT21,0),IF(KV21&gt;=$KY$25,KW21,0),IF(LT21&gt;=$MG$25,LU21,0),IF(LW21&gt;=$MG$25,LX21,0),IF(MA21&gt;=$MG$25,MB21,0),IF(MD21&gt;=$MG$25,ME21,0),IF(NB21&gt;=$NO$25,NC21,0),IF(NE21&gt;=$NO$25,NF21,0),IF(NI21&gt;=$NO$25,NJ21,0),IF(NL21&gt;=$NO$25,NM21,0),IF(OJ21&gt;=$OW$25,OK21,0),IF(OM21&gt;=$OW$25,ON21,0),IF(OQ21&gt;=$OW$25,OR21,0),IF(OT21&gt;=$OW$25,OU21,0),IF(PR21&gt;=$QE$25,PS21,0),IF(PU21&gt;=$QE$25,PV21,0),IF(PY21&gt;=$QE$25,PZ21,0),IF(QB21&gt;=$QE$25,QC21,0),IF(QZ21&gt;=$RM$25,RA21,0),IF(RC21&gt;=$RM$25,RD21,0),IF(RG21&gt;=$RM$25,RH21,0),IF(RJ21&gt;=$RM$25,RK21,0),IF(SH21&gt;=$SU$25,SI21,0),IF(SK21&gt;=$SU$25,SL21,0),IF(SO21&gt;=$SU$25,SP21,0),IF(SR21&gt;=$SU$25,SS21,0)),0)</f>
        <v>0</v>
      </c>
      <c r="U21" s="13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13" t="str">
        <f>IF(MAX(DB21,DC21)&gt;0,MAX(DB21,DC21),"")</f>
        <v/>
      </c>
      <c r="W21" s="16" t="str">
        <f>IF(V21="","",IF(V21=DB21,"("&amp;DB$2&amp;")",IF(V21=DC21,"("&amp;DC$2&amp;")")))</f>
        <v/>
      </c>
      <c r="X21" s="13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51"/>
      <c r="AO21" s="74" t="str">
        <f>IF(AA21&gt;0,AA21,"")</f>
        <v/>
      </c>
      <c r="AP21" s="74" t="str">
        <f>IF(AB21&gt;0,AB21,"")</f>
        <v/>
      </c>
      <c r="AQ21" s="76" t="str">
        <f>IF(SUM(Y21:AB21)-AC21&gt;0,SUM(Y21:AB21)-AC21,"")</f>
        <v/>
      </c>
      <c r="AR21" s="76" t="str">
        <f>IF(AF21&gt;0,AF21,"")</f>
        <v/>
      </c>
      <c r="AS21" s="76" t="str">
        <f>IF(AG21&gt;0,AG21,"")</f>
        <v/>
      </c>
      <c r="AT21" s="76" t="str">
        <f>IF(SUM(AD21:AG21)-AH21&gt;0,SUM(AD21:AG21)-AH21,"")</f>
        <v/>
      </c>
      <c r="AU21" s="76" t="str">
        <f>IF(AQ21="","",MAX(AQ21,AT21))</f>
        <v/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 t="str">
        <f>IF(SUM(AU21,AX21)&gt;0,SUM(AU21,AX21),"")</f>
        <v/>
      </c>
      <c r="AZ21" s="46">
        <v>11.6</v>
      </c>
      <c r="BA21" s="46">
        <v>9.1</v>
      </c>
      <c r="BB21" s="46">
        <v>12.9</v>
      </c>
      <c r="BC21" s="46">
        <v>14.27</v>
      </c>
      <c r="BD21" s="46">
        <v>0.6</v>
      </c>
      <c r="BE21" s="46">
        <v>1.4</v>
      </c>
      <c r="BF21" s="46">
        <v>1</v>
      </c>
      <c r="BG21" s="46">
        <v>1.5</v>
      </c>
      <c r="BH21" s="46">
        <v>1.6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12.9</v>
      </c>
      <c r="BQ21" s="75">
        <f>IF(BC21&gt;0,BC21,"")</f>
        <v>14.27</v>
      </c>
      <c r="BR21" s="16">
        <f>IF(SUM(AZ21:BC21)-BD21&gt;0,SUM(AZ21:BC21)-BD21,"")</f>
        <v>47.27</v>
      </c>
      <c r="BS21" s="16">
        <f>IF(BG21&gt;0,BG21,"")</f>
        <v>1.5</v>
      </c>
      <c r="BT21" s="16">
        <f>IF(BH21&gt;0,BH21,"")</f>
        <v>1.6</v>
      </c>
      <c r="BU21" s="16">
        <f>IF(SUM(BE21:BH21)-BI21&gt;0,SUM(BE21:BH21)-BI21,"")</f>
        <v>5.5</v>
      </c>
      <c r="BV21" s="16">
        <f>IF(BR21="","",MAX(BR21,BU21))</f>
        <v>47.27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47.27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IF(N21&gt;=0.001,IF(MAX(ED21,FL21,GT21,IB21,JJ21,KR21,LZ21,NH21,OP21,PX21,RF21,SN21)-IF(N21="",0,N21)&gt;0.001,MAX(ED21,FL21,GT21,IB21,JJ21,KR21,LZ21,NH21,OP21,PX21,RF21,SN21)-IF(N21="",0,N21),""),"")</f>
        <v/>
      </c>
      <c r="DC21" s="87" t="str">
        <f>IF(P21&gt;=0.001,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>IF(DF21&gt;0,DF21,"")</f>
        <v/>
      </c>
      <c r="DY21" s="76" t="str">
        <f>IF(DG21&gt;0,DG21,"")</f>
        <v/>
      </c>
      <c r="DZ21" s="76" t="str">
        <f>IF(SUM(DD21:DG21)-DH21&gt;0,SUM(DD21:DG21)-DH21,"")</f>
        <v/>
      </c>
      <c r="EA21" s="76" t="str">
        <f>IF(DK21&gt;0,DK21,"")</f>
        <v/>
      </c>
      <c r="EB21" s="76" t="str">
        <f>IF(DL21&gt;0,DL21,"")</f>
        <v/>
      </c>
      <c r="EC21" s="76" t="str">
        <f>IF(SUM(DI21:DL21)-DM21&gt;0,SUM(DI21:DL21)-DM21,"")</f>
        <v/>
      </c>
      <c r="ED21" s="76" t="str">
        <f>IF(MAX(DZ21,EC21)&gt;0,MAX(DZ21,EC21),"")</f>
        <v/>
      </c>
      <c r="EE21" s="76" t="str">
        <f>IF(DP21&gt;0,DP21,"")</f>
        <v/>
      </c>
      <c r="EF21" s="76" t="str">
        <f>IF(DQ21&gt;0,DQ21,"")</f>
        <v/>
      </c>
      <c r="EG21" s="76" t="str">
        <f>IF(SUM(DN21:DQ21)-DR21&gt;0,SUM(DN21:DQ21)-DR21,"")</f>
        <v/>
      </c>
      <c r="EH21" s="76" t="str">
        <f>IF(DU21&gt;0,DU21,"")</f>
        <v/>
      </c>
      <c r="EI21" s="76" t="str">
        <f>IF(DV21&gt;0,DV21,"")</f>
        <v/>
      </c>
      <c r="EJ21" s="76" t="str">
        <f>IF(SUM(DS21:DV21)-DW21&gt;0,SUM(DS21:DV21)-DW21,"")</f>
        <v/>
      </c>
      <c r="EK21" s="76" t="str">
        <f>IF(SUM(ED21,EJ21)&gt;0,SUM(ED21,EJ21),"")</f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>IF(EN21&gt;0,EN21,"")</f>
        <v/>
      </c>
      <c r="FG21" s="16" t="str">
        <f>IF(EO21&gt;0,EO21,"")</f>
        <v/>
      </c>
      <c r="FH21" s="16" t="str">
        <f>IF(SUM(EL21:EO21)-EP21&gt;0,SUM(EL21:EO21)-EP21,"")</f>
        <v/>
      </c>
      <c r="FI21" s="16" t="str">
        <f>IF(ES21&gt;0,ES21,"")</f>
        <v/>
      </c>
      <c r="FJ21" s="16" t="str">
        <f>IF(ET21&gt;0,ET21,"")</f>
        <v/>
      </c>
      <c r="FK21" s="16" t="str">
        <f>IF(SUM(EQ21:ET21)-EU21&gt;0,SUM(EQ21:ET21)-EU21,"")</f>
        <v/>
      </c>
      <c r="FL21" s="16" t="str">
        <f>IF(MAX(FH21,FK21)&gt;0,MAX(FH21,FK21),"")</f>
        <v/>
      </c>
      <c r="FM21" s="16" t="str">
        <f>IF(EX21&gt;0,EX21,"")</f>
        <v/>
      </c>
      <c r="FN21" s="16" t="str">
        <f>IF(EY21&gt;0,EY21,"")</f>
        <v/>
      </c>
      <c r="FO21" s="16" t="str">
        <f>IF(SUM(EV21:EY21)-EZ21&gt;0,SUM(EV21:EY21)-EZ21,"")</f>
        <v/>
      </c>
      <c r="FP21" s="16" t="str">
        <f>IF(FC21&gt;0,FC21,"")</f>
        <v/>
      </c>
      <c r="FQ21" s="16" t="str">
        <f>IF(FD21&gt;0,FD21,"")</f>
        <v/>
      </c>
      <c r="FR21" s="16" t="str">
        <f>IF(SUM(FA21:FD21)-FE21&gt;0,SUM(FA21:FD21)-FE21,"")</f>
        <v/>
      </c>
      <c r="FS21" s="16" t="str">
        <f>IF(SUM(FL21,FR21)&gt;0,SUM(FL21,FR21),"")</f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>IF(FV21&gt;0,FV21,"")</f>
        <v/>
      </c>
      <c r="GO21" s="76" t="str">
        <f>IF(FW21&gt;0,FW21,"")</f>
        <v/>
      </c>
      <c r="GP21" s="76" t="str">
        <f>IF(SUM(FT21:FW21)-FX21&gt;0,SUM(FT21:FW21)-FX21,"")</f>
        <v/>
      </c>
      <c r="GQ21" s="76" t="str">
        <f>IF(GA21&gt;0,GA21,"")</f>
        <v/>
      </c>
      <c r="GR21" s="76" t="str">
        <f>IF(GB21&gt;0,GB21,"")</f>
        <v/>
      </c>
      <c r="GS21" s="76" t="str">
        <f>IF(SUM(FY21:GB21)-GC21&gt;0,SUM(FY21:GB21)-GC21,"")</f>
        <v/>
      </c>
      <c r="GT21" s="76" t="str">
        <f>IF(MAX(GP21,GS21)&gt;0,MAX(GP21,GS21),"")</f>
        <v/>
      </c>
      <c r="GU21" s="76" t="str">
        <f>IF(GF21&gt;0,GF21,"")</f>
        <v/>
      </c>
      <c r="GV21" s="76" t="str">
        <f>IF(GG21&gt;0,GG21,"")</f>
        <v/>
      </c>
      <c r="GW21" s="76" t="str">
        <f>IF(SUM(GD21:GG21)-GH21&gt;0,SUM(GD21:GG21)-GH21,"")</f>
        <v/>
      </c>
      <c r="GX21" s="76" t="str">
        <f>IF(GK21&gt;0,GK21,"")</f>
        <v/>
      </c>
      <c r="GY21" s="76" t="str">
        <f>IF(GL21&gt;0,GL21,"")</f>
        <v/>
      </c>
      <c r="GZ21" s="76" t="str">
        <f>IF(SUM(GI21:GL21)-GM21&gt;0,SUM(GI21:GL21)-GM21,"")</f>
        <v/>
      </c>
      <c r="HA21" s="76" t="str">
        <f>IF(SUM(GT21,GZ21)&gt;0,SUM(GT21,GZ21),"")</f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>IF(HD21&gt;0,HD21,"")</f>
        <v/>
      </c>
      <c r="HW21" s="16" t="str">
        <f>IF(HE21&gt;0,HE21,"")</f>
        <v/>
      </c>
      <c r="HX21" s="16" t="str">
        <f>IF(SUM(HB21:HE21)-HF21&gt;0,SUM(HB21:HE21)-HF21,"")</f>
        <v/>
      </c>
      <c r="HY21" s="16" t="str">
        <f>IF(HI21&gt;0,HI21,"")</f>
        <v/>
      </c>
      <c r="HZ21" s="16" t="str">
        <f>IF(HJ21&gt;0,HJ21,"")</f>
        <v/>
      </c>
      <c r="IA21" s="16" t="str">
        <f>IF(SUM(HG21:HJ21)-HK21&gt;0,SUM(HG21:HJ21)-HK21,"")</f>
        <v/>
      </c>
      <c r="IB21" s="16" t="str">
        <f>IF(MAX(HX21,IA21)&gt;0,MAX(HX21,IA21),"")</f>
        <v/>
      </c>
      <c r="IC21" s="16" t="str">
        <f>IF(HN21&gt;0,HN21,"")</f>
        <v/>
      </c>
      <c r="ID21" s="16" t="str">
        <f>IF(HO21&gt;0,HO21,"")</f>
        <v/>
      </c>
      <c r="IE21" s="16" t="str">
        <f>IF(SUM(HL21:HO21)-HP21&gt;0,SUM(HL21:HO21)-HP21,"")</f>
        <v/>
      </c>
      <c r="IF21" s="16" t="str">
        <f>IF(HS21&gt;0,HS21,"")</f>
        <v/>
      </c>
      <c r="IG21" s="16" t="str">
        <f>IF(HT21&gt;0,HT21,"")</f>
        <v/>
      </c>
      <c r="IH21" s="16" t="str">
        <f>IF(SUM(HQ21:HT21)-HU21&gt;0,SUM(HQ21:HT21)-HU21,"")</f>
        <v/>
      </c>
      <c r="II21" s="16" t="str">
        <f>IF(SUM(IB21,IH21)&gt;0,SUM(IB21,IH21),"")</f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>IF(IL21&gt;0,IL21,"")</f>
        <v/>
      </c>
      <c r="JE21" s="76" t="str">
        <f>IF(IM21&gt;0,IM21,"")</f>
        <v/>
      </c>
      <c r="JF21" s="76" t="str">
        <f>IF(SUM(IJ21:IM21)-IN21&gt;0,SUM(IJ21:IM21)-IN21,"")</f>
        <v/>
      </c>
      <c r="JG21" s="76" t="str">
        <f>IF(IQ21&gt;0,IQ21,"")</f>
        <v/>
      </c>
      <c r="JH21" s="76" t="str">
        <f>IF(IR21&gt;0,IR21,"")</f>
        <v/>
      </c>
      <c r="JI21" s="76" t="str">
        <f>IF(SUM(IO21:IR21)-IS21&gt;0,SUM(IO21:IR21)-IS21,"")</f>
        <v/>
      </c>
      <c r="JJ21" s="76" t="str">
        <f>IF(MAX(JF21,JI21)&gt;0,MAX(JF21,JI21),"")</f>
        <v/>
      </c>
      <c r="JK21" s="76" t="str">
        <f>IF(IV21&gt;0,IV21,"")</f>
        <v/>
      </c>
      <c r="JL21" s="76" t="str">
        <f>IF(IW21&gt;0,IW21,"")</f>
        <v/>
      </c>
      <c r="JM21" s="76" t="str">
        <f>IF(SUM(IT21:IW21)-IX21&gt;0,SUM(IT21:IW21)-IX21,"")</f>
        <v/>
      </c>
      <c r="JN21" s="76" t="str">
        <f>IF(JA21&gt;0,JA21,"")</f>
        <v/>
      </c>
      <c r="JO21" s="76" t="str">
        <f>IF(JB21&gt;0,JB21,"")</f>
        <v/>
      </c>
      <c r="JP21" s="76" t="str">
        <f>IF(SUM(IY21:JB21)-JC21&gt;0,SUM(IY21:JB21)-JC21,"")</f>
        <v/>
      </c>
      <c r="JQ21" s="76" t="str">
        <f>IF(SUM(JJ21,JP21)&gt;0,SUM(JJ21,JP21),"")</f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>IF(JT21&gt;0,JT21,"")</f>
        <v/>
      </c>
      <c r="KM21" s="16" t="str">
        <f>IF(JU21&gt;0,JU21,"")</f>
        <v/>
      </c>
      <c r="KN21" s="16" t="str">
        <f>IF(SUM(JR21:JU21)-JV21&gt;0,SUM(JR21:JU21)-JV21,"")</f>
        <v/>
      </c>
      <c r="KO21" s="16" t="str">
        <f>IF(JY21&gt;0,JY21,"")</f>
        <v/>
      </c>
      <c r="KP21" s="16" t="str">
        <f>IF(JZ21&gt;0,JZ21,"")</f>
        <v/>
      </c>
      <c r="KQ21" s="16" t="str">
        <f>IF(SUM(JW21:JZ21)-KA21&gt;0,SUM(JW21:JZ21)-KA21,"")</f>
        <v/>
      </c>
      <c r="KR21" s="16" t="str">
        <f>IF(MAX(KN21,KQ21)&gt;0,MAX(KN21,KQ21),"")</f>
        <v/>
      </c>
      <c r="KS21" s="16" t="str">
        <f>IF(KD21&gt;0,KD21,"")</f>
        <v/>
      </c>
      <c r="KT21" s="16" t="str">
        <f>IF(KE21&gt;0,KE21,"")</f>
        <v/>
      </c>
      <c r="KU21" s="16" t="str">
        <f>IF(SUM(KB21:KE21)-KF21&gt;0,SUM(KB21:KE21)-KF21,"")</f>
        <v/>
      </c>
      <c r="KV21" s="16" t="str">
        <f>IF(KI21&gt;0,KI21,"")</f>
        <v/>
      </c>
      <c r="KW21" s="16" t="str">
        <f>IF(KJ21&gt;0,KJ21,"")</f>
        <v/>
      </c>
      <c r="KX21" s="16" t="str">
        <f>IF(SUM(KG21:KJ21)-KK21&gt;0,SUM(KG21:KJ21)-KK21,"")</f>
        <v/>
      </c>
      <c r="KY21" s="16" t="str">
        <f>IF(SUM(KR21,KX21)&gt;0,SUM(KR21,KX21),"")</f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>IF(LB21&gt;0,LB21,"")</f>
        <v/>
      </c>
      <c r="LU21" s="76" t="str">
        <f>IF(LC21&gt;0,LC21,"")</f>
        <v/>
      </c>
      <c r="LV21" s="76" t="str">
        <f>IF(SUM(KZ21:LC21)-LD21&gt;0,SUM(KZ21:LC21)-LD21,"")</f>
        <v/>
      </c>
      <c r="LW21" s="76" t="str">
        <f>IF(LG21&gt;0,LG21,"")</f>
        <v/>
      </c>
      <c r="LX21" s="76" t="str">
        <f>IF(LH21&gt;0,LH21,"")</f>
        <v/>
      </c>
      <c r="LY21" s="76" t="str">
        <f>IF(SUM(LE21:LH21)-LI21&gt;0,SUM(LE21:LH21)-LI21,"")</f>
        <v/>
      </c>
      <c r="LZ21" s="76" t="str">
        <f>IF(MAX(LV21,LY21)&gt;0,MAX(LV21,LY21),"")</f>
        <v/>
      </c>
      <c r="MA21" s="76" t="str">
        <f>IF(LL21&gt;0,LL21,"")</f>
        <v/>
      </c>
      <c r="MB21" s="76" t="str">
        <f>IF(LM21&gt;0,LM21,"")</f>
        <v/>
      </c>
      <c r="MC21" s="76" t="str">
        <f>IF(SUM(LJ21:LM21)-LN21&gt;0,SUM(LJ21:LM21)-LN21,"")</f>
        <v/>
      </c>
      <c r="MD21" s="76" t="str">
        <f>IF(LQ21&gt;0,LQ21,"")</f>
        <v/>
      </c>
      <c r="ME21" s="76" t="str">
        <f>IF(LR21&gt;0,LR21,"")</f>
        <v/>
      </c>
      <c r="MF21" s="76" t="str">
        <f>IF(SUM(LO21:LR21)-LS21&gt;0,SUM(LO21:LR21)-LS21,"")</f>
        <v/>
      </c>
      <c r="MG21" s="76" t="str">
        <f>IF(SUM(LZ21,MF21)&gt;0,SUM(LZ21,MF21),"")</f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>IF(MJ21&gt;0,MJ21,"")</f>
        <v/>
      </c>
      <c r="NC21" s="16" t="str">
        <f>IF(MK21&gt;0,MK21,"")</f>
        <v/>
      </c>
      <c r="ND21" s="16" t="str">
        <f>IF(SUM(MH21:MK21)-ML21&gt;0,SUM(MH21:MK21)-ML21,"")</f>
        <v/>
      </c>
      <c r="NE21" s="16" t="str">
        <f>IF(MO21&gt;0,MO21,"")</f>
        <v/>
      </c>
      <c r="NF21" s="16" t="str">
        <f>IF(MP21&gt;0,MP21,"")</f>
        <v/>
      </c>
      <c r="NG21" s="16" t="str">
        <f>IF(SUM(MM21:MP21)-MQ21&gt;0,SUM(MM21:MP21)-MQ21,"")</f>
        <v/>
      </c>
      <c r="NH21" s="16" t="str">
        <f>IF(MAX(ND21,NG21)&gt;0,MAX(ND21,NG21),"")</f>
        <v/>
      </c>
      <c r="NI21" s="16" t="str">
        <f>IF(MT21&gt;0,MT21,"")</f>
        <v/>
      </c>
      <c r="NJ21" s="16" t="str">
        <f>IF(MU21&gt;0,MU21,"")</f>
        <v/>
      </c>
      <c r="NK21" s="16" t="str">
        <f>IF(SUM(MR21:MU21)-MV21&gt;0,SUM(MR21:MU21)-MV21,"")</f>
        <v/>
      </c>
      <c r="NL21" s="16" t="str">
        <f>IF(MY21&gt;0,MY21,"")</f>
        <v/>
      </c>
      <c r="NM21" s="16" t="str">
        <f>IF(MZ21&gt;0,MZ21,"")</f>
        <v/>
      </c>
      <c r="NN21" s="16" t="str">
        <f>IF(SUM(MW21:MZ21)-NA21&gt;0,SUM(MW21:MZ21)-NA21,"")</f>
        <v/>
      </c>
      <c r="NO21" s="16" t="str">
        <f>IF(SUM(NH21,NN21)&gt;0,SUM(NH21,NN21),"")</f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>IF(NR21&gt;0,NR21,"")</f>
        <v/>
      </c>
      <c r="OK21" s="76" t="str">
        <f>IF(NS21&gt;0,NS21,"")</f>
        <v/>
      </c>
      <c r="OL21" s="76" t="str">
        <f>IF(SUM(NP21:NS21)-NT21&gt;0,SUM(NP21:NS21)-NT21,"")</f>
        <v/>
      </c>
      <c r="OM21" s="76" t="str">
        <f>IF(NW21&gt;0,NW21,"")</f>
        <v/>
      </c>
      <c r="ON21" s="76" t="str">
        <f>IF(NX21&gt;0,NX21,"")</f>
        <v/>
      </c>
      <c r="OO21" s="76" t="str">
        <f>IF(SUM(NU21:NX21)-NY21&gt;0,SUM(NU21:NX21)-NY21,"")</f>
        <v/>
      </c>
      <c r="OP21" s="76" t="str">
        <f>IF(MAX(OL21,OO21)&gt;0,MAX(OL21,OO21),"")</f>
        <v/>
      </c>
      <c r="OQ21" s="76" t="str">
        <f>IF(OB21&gt;0,OB21,"")</f>
        <v/>
      </c>
      <c r="OR21" s="76" t="str">
        <f>IF(OC21&gt;0,OC21,"")</f>
        <v/>
      </c>
      <c r="OS21" s="76" t="str">
        <f>IF(SUM(NZ21:OC21)-OD21&gt;0,SUM(NZ21:OC21)-OD21,"")</f>
        <v/>
      </c>
      <c r="OT21" s="76" t="str">
        <f>IF(OG21&gt;0,OG21,"")</f>
        <v/>
      </c>
      <c r="OU21" s="76" t="str">
        <f>IF(OH21&gt;0,OH21,"")</f>
        <v/>
      </c>
      <c r="OV21" s="76" t="str">
        <f>IF(SUM(OE21:OH21)-OI21&gt;0,SUM(OE21:OH21)-OI21,"")</f>
        <v/>
      </c>
      <c r="OW21" s="76" t="str">
        <f>IF(SUM(OP21,OV21)&gt;0,SUM(OP21,OV21),"")</f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>IF(OZ21&gt;0,OZ21,"")</f>
        <v/>
      </c>
      <c r="PS21" s="16" t="str">
        <f>IF(PA21&gt;0,PA21,"")</f>
        <v/>
      </c>
      <c r="PT21" s="16" t="str">
        <f>IF(SUM(OX21:PA21)-PB21&gt;0,SUM(OX21:PA21)-PB21,"")</f>
        <v/>
      </c>
      <c r="PU21" s="16" t="str">
        <f>IF(PE21&gt;0,PE21,"")</f>
        <v/>
      </c>
      <c r="PV21" s="16" t="str">
        <f>IF(PF21&gt;0,PF21,"")</f>
        <v/>
      </c>
      <c r="PW21" s="16" t="str">
        <f>IF(SUM(PC21:PF21)-PG21&gt;0,SUM(PC21:PF21)-PG21,"")</f>
        <v/>
      </c>
      <c r="PX21" s="16" t="str">
        <f>IF(MAX(PT21,PW21)&gt;0,MAX(PT21,PW21),"")</f>
        <v/>
      </c>
      <c r="PY21" s="16" t="str">
        <f>IF(PJ21&gt;0,PJ21,"")</f>
        <v/>
      </c>
      <c r="PZ21" s="16" t="str">
        <f>IF(PK21&gt;0,PK21,"")</f>
        <v/>
      </c>
      <c r="QA21" s="16" t="str">
        <f>IF(SUM(PH21:PK21)-PL21&gt;0,SUM(PH21:PK21)-PL21,"")</f>
        <v/>
      </c>
      <c r="QB21" s="16" t="str">
        <f>IF(PO21&gt;0,PO21,"")</f>
        <v/>
      </c>
      <c r="QC21" s="16" t="str">
        <f>IF(PP21&gt;0,PP21,"")</f>
        <v/>
      </c>
      <c r="QD21" s="16" t="str">
        <f>IF(SUM(PM21:PP21)-PQ21&gt;0,SUM(PM21:PP21)-PQ21,"")</f>
        <v/>
      </c>
      <c r="QE21" s="16" t="str">
        <f>IF(SUM(PX21,QD21)&gt;0,SUM(PX21,QD21),"")</f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>IF(QH21&gt;0,QH21,"")</f>
        <v/>
      </c>
      <c r="RA21" s="76" t="str">
        <f>IF(QI21&gt;0,QI21,"")</f>
        <v/>
      </c>
      <c r="RB21" s="76" t="str">
        <f>IF(SUM(QF21:QI21)-QJ21&gt;0,SUM(QF21:QI21)-QJ21,"")</f>
        <v/>
      </c>
      <c r="RC21" s="76" t="str">
        <f>IF(QM21&gt;0,QM21,"")</f>
        <v/>
      </c>
      <c r="RD21" s="76" t="str">
        <f>IF(QN21&gt;0,QN21,"")</f>
        <v/>
      </c>
      <c r="RE21" s="76" t="str">
        <f>IF(SUM(QK21:QN21)-QO21&gt;0,SUM(QK21:QN21)-QO21,"")</f>
        <v/>
      </c>
      <c r="RF21" s="76" t="str">
        <f>IF(MAX(RB21,RE21)&gt;0,MAX(RB21,RE21),"")</f>
        <v/>
      </c>
      <c r="RG21" s="76" t="str">
        <f>IF(QR21&gt;0,QR21,"")</f>
        <v/>
      </c>
      <c r="RH21" s="76" t="str">
        <f>IF(QS21&gt;0,QS21,"")</f>
        <v/>
      </c>
      <c r="RI21" s="76" t="str">
        <f>IF(SUM(QP21:QS21)-QT21&gt;0,SUM(QP21:QS21)-QT21,"")</f>
        <v/>
      </c>
      <c r="RJ21" s="76" t="str">
        <f>IF(QW21&gt;0,QW21,"")</f>
        <v/>
      </c>
      <c r="RK21" s="76" t="str">
        <f>IF(QX21&gt;0,QX21,"")</f>
        <v/>
      </c>
      <c r="RL21" s="76" t="str">
        <f>IF(SUM(QU21:QX21)-QY21&gt;0,SUM(QU21:QX21)-QY21,"")</f>
        <v/>
      </c>
      <c r="RM21" s="76" t="str">
        <f>IF(SUM(RF21,RL21)&gt;0,SUM(RF21,RL21),"")</f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>IF(RP21&gt;0,RP21,"")</f>
        <v/>
      </c>
      <c r="SI21" s="16" t="str">
        <f>IF(RQ21&gt;0,RQ21,"")</f>
        <v/>
      </c>
      <c r="SJ21" s="16" t="str">
        <f>IF(SUM(RN21:RQ21)-RR21&gt;0,SUM(RN21:RQ21)-RR21,"")</f>
        <v/>
      </c>
      <c r="SK21" s="16" t="str">
        <f>IF(RU21&gt;0,RU21,"")</f>
        <v/>
      </c>
      <c r="SL21" s="16" t="str">
        <f>IF(RV21&gt;0,RV21,"")</f>
        <v/>
      </c>
      <c r="SM21" s="16" t="str">
        <f>IF(SUM(RS21:RV21)-RW21&gt;0,SUM(RS21:RV21)-RW21,"")</f>
        <v/>
      </c>
      <c r="SN21" s="16" t="str">
        <f>IF(MAX(SJ21,SM21)&gt;0,MAX(SJ21,SM21),"")</f>
        <v/>
      </c>
      <c r="SO21" s="16" t="str">
        <f>IF(RZ21&gt;0,RZ21,"")</f>
        <v/>
      </c>
      <c r="SP21" s="16" t="str">
        <f>IF(SA21&gt;0,SA21,"")</f>
        <v/>
      </c>
      <c r="SQ21" s="16" t="str">
        <f>IF(SUM(RX21:SA21)-SB21&gt;0,SUM(RX21:SA21)-SB21,"")</f>
        <v/>
      </c>
      <c r="SR21" s="16" t="str">
        <f>IF(SE21&gt;0,SE21,"")</f>
        <v/>
      </c>
      <c r="SS21" s="16" t="str">
        <f>IF(SF21&gt;0,SF21,"")</f>
        <v/>
      </c>
      <c r="ST21" s="16" t="str">
        <f>IF(SUM(SC21:SF21)-SG21&gt;0,SUM(SC21:SF21)-SG21,"")</f>
        <v/>
      </c>
      <c r="SU21" s="16" t="str">
        <f>IF(SUM(SN21,ST21)&gt;0,SUM(SN21,ST21),"")</f>
        <v/>
      </c>
      <c r="SV21" s="42">
        <f>IF($CP21="P",CA21,(CA21+AZ21)/2)</f>
        <v>5.8</v>
      </c>
      <c r="SW21" s="42">
        <f>IF($CP21="P",CB21,(CB21+BA21)/2)</f>
        <v>4.55</v>
      </c>
      <c r="SX21" s="42">
        <f>IF($CP21="P",CC21,(CC21+BB21)/2)</f>
        <v>6.45</v>
      </c>
      <c r="SY21" s="42">
        <f>IF($CP21="P",CD21,(CD21+BC21)/2)</f>
        <v>7.1349999999999998</v>
      </c>
      <c r="SZ21" s="42">
        <f>IF($CP21="P",CE21,(CE21+BD21)/2)</f>
        <v>0.3</v>
      </c>
      <c r="TA21" s="42">
        <f>IF($CP21="P",CF21,(CF21+BE21)/2)</f>
        <v>0.7</v>
      </c>
      <c r="TB21" s="42">
        <f>IF($CP21="P",CG21,(CG21+BF21)/2)</f>
        <v>0.5</v>
      </c>
      <c r="TC21" s="42">
        <f>IF($CP21="P",CH21,(CH21+BG21)/2)</f>
        <v>0.75</v>
      </c>
      <c r="TD21" s="42">
        <f>IF($CP21="P",CI21,(CI21+BH21)/2)</f>
        <v>0.8</v>
      </c>
      <c r="TE21" s="42">
        <f>IF($CP21="P",CJ21,(CJ21+BI21)/2)</f>
        <v>0</v>
      </c>
      <c r="TF21" s="42">
        <f>IF($CP21="P",CK21,(CK21+BJ21)/2)</f>
        <v>0</v>
      </c>
      <c r="TG21" s="42">
        <f>IF($CP21="P",CL21,(CL21+BK21)/2)</f>
        <v>0</v>
      </c>
      <c r="TH21" s="42">
        <f>IF($CP21="P",CM21,(CM21+BL21)/2)</f>
        <v>0</v>
      </c>
      <c r="TI21" s="42">
        <f>IF($CP21="P",CN21,(CN21+BM21)/2)</f>
        <v>0</v>
      </c>
      <c r="TJ21" s="42">
        <f>IF($CP21="P",CO21,(CO21+BN21)/2)</f>
        <v>0</v>
      </c>
      <c r="TK21" s="51" t="s">
        <v>58</v>
      </c>
      <c r="TL21" s="76">
        <f>IF(SX21&gt;0,SX21,"")</f>
        <v>6.45</v>
      </c>
      <c r="TM21" s="76">
        <f>IF(SY21&gt;0,SY21,"")</f>
        <v>7.1349999999999998</v>
      </c>
      <c r="TN21" s="76">
        <f>IF(SUM(SV21:SY21)-SZ21&gt;0,SUM(SV21:SY21)-SZ21,"")</f>
        <v>23.635000000000002</v>
      </c>
      <c r="TO21" s="76">
        <f>IF(TC21&gt;0,TC21,"")</f>
        <v>0.75</v>
      </c>
      <c r="TP21" s="76">
        <f>IF(TD21&gt;0,TD21,"")</f>
        <v>0.8</v>
      </c>
      <c r="TQ21" s="76">
        <f>IF(SUM(TA21:TD21)-TE21&gt;0,SUM(TA21:TD21)-TE21,"")</f>
        <v>2.75</v>
      </c>
      <c r="TR21" s="76">
        <f>IF(MAX(TN21,TQ21)&gt;0,MAX(TN21,TQ21),"")</f>
        <v>23.635000000000002</v>
      </c>
      <c r="TS21" s="76" t="str">
        <f>IF(TH21&gt;0,TH21,"")</f>
        <v/>
      </c>
      <c r="TT21" s="76" t="str">
        <f>IF(TI21&gt;0,TI21,"")</f>
        <v/>
      </c>
      <c r="TU21" s="76" t="str">
        <f>IF(SUM(TF21:TI21)-TJ21&gt;0,SUM(TF21:TI21)-TJ21,"")</f>
        <v/>
      </c>
      <c r="TV21" s="76">
        <f>IF(SUM(TR21,TU21)&gt;0,SUM(TR21,TU21),"")</f>
        <v>23.635000000000002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70</v>
      </c>
      <c r="C22" s="7" t="s">
        <v>5</v>
      </c>
      <c r="D22" s="18">
        <v>1991</v>
      </c>
      <c r="E22" s="14">
        <f>SUM(J22:V22)+SUM(J22:T22)*0.0000001+SUM(J22)*0.0000000000001</f>
        <v>19.500001950001074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X22&gt;=EK$25,DX22&lt;&gt;"",DZ22&gt;=EK$29,DZ22&lt;&gt;""),AND(EA22&gt;=EK$25,EA22&lt;&gt;"",EC22&gt;=EK$29,EC22&lt;&gt;""),AND(EE22&gt;=EK$25,EE22&lt;&gt;"",EG22&gt;=EK$29,EG22&lt;&gt;""),AND(EH22&gt;=EK$25,EH22&lt;&gt;"",EJ22&gt;=EK$29,EJ22&lt;&gt;""),AND(FF22&gt;=FS$25,FF22&lt;&gt;"",FH22&gt;=FS$29,FH22&lt;&gt;""),AND(FI22&gt;=FS$25,FI22&lt;&gt;"",FK22&gt;=FS$29,FK22&lt;&gt;""),AND(FM22&gt;=FS$25,FM22&lt;&gt;"",FO22&gt;=FS$29,FO22&lt;&gt;""),AND(FP22&gt;=FS$25,FP22&lt;&gt;"",FR22&gt;=FS$29,FR22&lt;&gt;""),AND(GN22&gt;=HA$25,GN22&lt;&gt;"",GP22&gt;=HA$29,GP22&lt;&gt;""),AND(GQ22&gt;=HA$25,GQ22&lt;&gt;"",GS22&gt;=HA$29,GS22&lt;&gt;""),AND(GU22&gt;=HA$25,GU22&lt;&gt;"",GW22&gt;=HA$29,GW22&lt;&gt;""),AND(GX22&gt;=HA$25,GX22&lt;&gt;"",GZ22&gt;=HA$29,GZ22&lt;&gt;""),AND(HV22&gt;=II$25,HV22&lt;&gt;"",HX22&gt;=II$29,HX22&lt;&gt;""),AND(HY22&gt;=II$25,HY22&lt;&gt;"",IA22&gt;=II$29,IA22&lt;&gt;""),AND(IC22&gt;=II$25,IC22&lt;&gt;"",IE22&gt;=II$29,IE22&lt;&gt;""),AND(IF22&gt;=II$25,IF22&lt;&gt;"",IH22&gt;=II$29,IH22&lt;&gt;""),AND(JD22&gt;=JQ$25,JD22&lt;&gt;"",JF22&gt;=JQ$29,JF22&lt;&gt;""),AND(JG22&gt;=JQ$25,JG22&lt;&gt;"",JI22&gt;=JQ$29,JI22&lt;&gt;""),AND(JK22&gt;=JQ$25,JK22&lt;&gt;"",JM22&gt;=JQ$29,JM22&lt;&gt;""),AND(JN22&gt;=JQ$25,JN22&lt;&gt;"",JP22&gt;=JQ$29,JP22&lt;&gt;""),AND(KL22&gt;=KY$25,KL22&lt;&gt;"",KN22&gt;=KY$29,KN22&lt;&gt;""),AND(KO22&gt;=KY$25,KO22&lt;&gt;"",KQ22&gt;=KY$29,KQ22&lt;&gt;""),AND(KS22&gt;=KY$25,KS22&lt;&gt;"",KU22&gt;=KY$29,KU22&lt;&gt;""),AND(KV22&gt;=KY$25,KV22&lt;&gt;"",KX22&gt;=KY$29,KX22&lt;&gt;""),AND(LT22&gt;=MG$25,LT22&lt;&gt;"",LV22&gt;=MG$29,LV22&lt;&gt;""),AND(LW22&gt;=MG$25,LW22&lt;&gt;"",LY22&gt;=MG$29,LY22&lt;&gt;""),AND(MA22&gt;=MG$25,MA22&lt;&gt;"",MC22&gt;=MG$29,MC22&lt;&gt;""),AND(MD22&gt;=MG$25,MD22&lt;&gt;"",MF22&gt;=MG$29,MF22&lt;&gt;""),AND(NB22&gt;=NO$25,NB22&lt;&gt;"",ND22&gt;=NO$29,ND22&lt;&gt;""),AND(NE22&gt;=NO$25,NE22&lt;&gt;"",NG22&gt;=NO$29,NG22&lt;&gt;""),AND(NI22&gt;=NO$25,NI22&lt;&gt;"",NK22&gt;=NO$29,NK22&lt;&gt;""),AND(NL22&gt;=NO$25,NL22&lt;&gt;"",NN22&gt;=NO$29,NN22&lt;&gt;""),AND(OJ22&gt;=OW$25,OJ22&lt;&gt;"",OL22&gt;=OW$29,OL22&lt;&gt;""),AND(OM22&gt;=OW$25,OM22&lt;&gt;"",OO22&gt;=OW$29,OO22&lt;&gt;""),AND(OQ22&gt;=OW$25,OQ22&lt;&gt;"",OS22&gt;=OW$29,OS22&lt;&gt;""),AND(OT22&gt;=OW$25,OT22&lt;&gt;"",OV22&gt;=OW$29,OV22&lt;&gt;""),AND(PR22&gt;=QE$25,PR22&lt;&gt;"",PT22&gt;=QE$29,PT22&lt;&gt;""),AND(PU22&gt;=QE$25,PU22&lt;&gt;"",PW22&gt;=QE$29,PW22&lt;&gt;""),AND(PY22&gt;=QE$25,PY22&lt;&gt;"",QA22&gt;=QE$29,QA22&lt;&gt;""),AND(QB22&gt;=QE$25,QB22&lt;&gt;"",QD22&gt;=QE$29,QD22&lt;&gt;""),AND(QZ22&gt;=RM$25,QZ22&lt;&gt;"",RB22&gt;=RM$29,RB22&lt;&gt;""),AND(RC22&gt;=RM$25,RC22&lt;&gt;"",RE22&gt;=RM$29,RE22&lt;&gt;""),AND(RG22&gt;=RM$25,RG22&lt;&gt;"",RI22&gt;=RM$29,RI22&lt;&gt;""),AND(RJ22&gt;=RM$25,RJ22&lt;&gt;"",RL22&gt;=RM$29,RL22&lt;&gt;""),AND(SH22&gt;=SU$25,SH22&lt;&gt;"",SJ22&gt;=SU$29,SJ22&lt;&gt;""),AND(SK22&gt;=SU$25,SK22&lt;&gt;"",SM22&gt;=SU$29,SM22&lt;&gt;""),AND(SO22&gt;=SU$25,SO22&lt;&gt;"",SQ22&gt;=SU$29,SQ22&lt;&gt;""),AND(SR22&gt;=SU$25,SR22&lt;&gt;"",ST22&gt;=SU$29,ST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DZ22&gt;=EK$29,DZ22&lt;&gt;""),AND(EC22&gt;=EK$29,EC22&lt;&gt;""),AND(EG22&gt;=EK$29,EG22&lt;&gt;""),AND(EJ22&gt;=EK$29,EJ22&lt;&gt;""),AND(FH22&gt;=FS$29,FH22&lt;&gt;""),AND(FK22&gt;=FS$29,FK22&lt;&gt;""),AND(FO22&gt;=FS$29,FO22&lt;&gt;""),AND(FR22&gt;=FS$29,FR22&lt;&gt;""),AND(GP22&gt;=HA$29,GP22&lt;&gt;""),AND(GS22&gt;=HA$29,GS22&lt;&gt;""),AND(GW22&gt;=HA$29,GW22&lt;&gt;""),AND(GZ22&gt;=HA$29,GZ22&lt;&gt;""),AND(HX22&gt;=II$29,HX22&lt;&gt;""),AND(IA22&gt;=II$29,IA22&lt;&gt;""),AND(IE22&gt;=II$29,IE22&lt;&gt;""),AND(IH22&gt;=II$29,IH22&lt;&gt;""),AND(JF22&gt;=JQ$29,JF22&lt;&gt;""),AND(JI22&gt;=JQ$29,JI22&lt;&gt;""),AND(JM22&gt;=JQ$29,JM22&lt;&gt;""),AND(JP22&gt;=JQ$29,JP22&lt;&gt;""),AND(KN22&gt;=KY$29,KN22&lt;&gt;""),AND(KQ22&gt;=KY$29,KQ22&lt;&gt;""),AND(KU22&gt;=KY$29,KU22&lt;&gt;""),AND(KX22&gt;=KY$29,KX22&lt;&gt;""),AND(LV22&gt;=MG$29,LV22&lt;&gt;""),AND(LY22&gt;=MG$29,LY22&lt;&gt;""),AND(MC22&gt;=MG$29,MC22&lt;&gt;""),AND(MF22&gt;=MG$29,MF22&lt;&gt;""),AND(ND22&gt;=NO$29,ND22&lt;&gt;""),AND(NG22&gt;=NO$29,NG22&lt;&gt;""),AND(NK22&gt;=NO$29,NK22&lt;&gt;""),AND(NN22&gt;=NO$29,NN22&lt;&gt;""),AND(OL22&gt;=OW$29,OL22&lt;&gt;""),AND(OO22&gt;=OW$29,OO22&lt;&gt;""),AND(OS22&gt;=OW$29,OS22&lt;&gt;""),AND(OV22&gt;=OW$29,OV22&lt;&gt;""),AND(PT22&gt;=QE$29,PT22&lt;&gt;""),AND(PW22&gt;=QE$29,PW22&lt;&gt;""),AND(QA22&gt;=QE$29,QA22&lt;&gt;""),AND(QD22&gt;=QE$29,QD22&lt;&gt;""),AND(RB22&gt;=RM$29,RB22&lt;&gt;""),AND(RE22&gt;=RM$29,RE22&lt;&gt;""),AND(RI22&gt;=RM$29,RI22&lt;&gt;""),AND(RL22&gt;=RM$29,RL22&lt;&gt;""),AND(SJ22&gt;=SU$29,SJ22&lt;&gt;""),AND(SM22&gt;=SU$29,SM22&lt;&gt;""),AND(SQ22&gt;=SU$29,SQ22&lt;&gt;""),AND(ST22&gt;=SU$29,ST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J22" s="13">
        <f>IF(COUNT(AQ22,AT22,BR22,BU22,CS22,CV22)&gt;0,LARGE((AQ22,AT22,BR22,BU22,CS22,CV22),1),0)</f>
        <v>10.719999999999999</v>
      </c>
      <c r="K22" s="13" t="str">
        <f>IF(J22="","",IF(OR(J22=CS22,J22=CV22),$CA$1,IF(OR(J22=BR22,J22=BU22),$AZ$1,IF(OR(J22=AQ22,J22=AT22),$Y$1,""))))</f>
        <v>2022 Nationals</v>
      </c>
      <c r="L22" s="13">
        <f>IF(COUNT(AQ22,AT22,BR22,BU22,CS22,CV22)&gt;1,LARGE((AQ22,AT22,BR22,BU22,CS22,CV22),2),0)</f>
        <v>6.1800000000000006</v>
      </c>
      <c r="M22" s="13" t="str">
        <f>IF(L22="","",IF(OR(L22=CS22,L22=CV22),$CA$1,IF(OR(L22=BR22,L22=BU22),$AZ$1,IF(OR(L22=AQ22,L22=AT22),$Y$1,""))))</f>
        <v>2022 Nationals</v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2.6</v>
      </c>
      <c r="S22" s="13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2022 Nationals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,IF(DX22&gt;=$EK$25,DY22,0),IF(EA22&gt;=$EK$25,EB22,0),IF(EE22&gt;=$EK$25,EF22,0),IF(EH22&gt;=$EK$25,EI22,0),IF(FF22&gt;=$FS$25,FG22,0),IF(FI22&gt;=$FS$25,FJ22,0),IF(FM22&gt;=$FS$25,FN22,0),IF(FP22&gt;=$FS$25,FQ22,0),IF(GN22&gt;=$HA$25,GO22,0),IF(GQ22&gt;=$HA$25,GR22,0),IF(GU22&gt;=$HA$25,GV22,0),IF(GX22&gt;=$HA$25,GY22,0),IF(HV22&gt;=$II$25,HW22,0),IF(HY22&gt;=$II$25,HZ22,0),IF(IC22&gt;=$II$25,ID22,0),IF(IF22&gt;=$II$25,IG22,0),IF(JD22&gt;=$JQ$25,JE22,0),IF(JG22&gt;=$JQ$25,JH22,0),IF(JK22&gt;=$JQ$25,JL22,0),IF(JN22&gt;=$JQ$25,JO22,0),IF(KL22&gt;=$KY$25,KM22,0),IF(KO22&gt;=$KY$25,KP22,0),IF(KS22&gt;=$KY$25,KT22,0),IF(KV22&gt;=$KY$25,KW22,0),IF(LT22&gt;=$MG$25,LU22,0),IF(LW22&gt;=$MG$25,LX22,0),IF(MA22&gt;=$MG$25,MB22,0),IF(MD22&gt;=$MG$25,ME22,0),IF(NB22&gt;=$NO$25,NC22,0),IF(NE22&gt;=$NO$25,NF22,0),IF(NI22&gt;=$NO$25,NJ22,0),IF(NL22&gt;=$NO$25,NM22,0),IF(OJ22&gt;=$OW$25,OK22,0),IF(OM22&gt;=$OW$25,ON22,0),IF(OQ22&gt;=$OW$25,OR22,0),IF(OT22&gt;=$OW$25,OU22,0),IF(PR22&gt;=$QE$25,PS22,0),IF(PU22&gt;=$QE$25,PV22,0),IF(PY22&gt;=$QE$25,PZ22,0),IF(QB22&gt;=$QE$25,QC22,0),IF(QZ22&gt;=$RM$25,RA22,0),IF(RC22&gt;=$RM$25,RD22,0),IF(RG22&gt;=$RM$25,RH22,0),IF(RJ22&gt;=$RM$25,RK22,0),IF(SH22&gt;=$SU$25,SI22,0),IF(SK22&gt;=$SU$25,SL22,0),IF(SO22&gt;=$SU$25,SP22,0),IF(SR22&gt;=$SU$25,SS22,0)),0)</f>
        <v>0</v>
      </c>
      <c r="U22" s="13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13" t="str">
        <f>IF(MAX(DB22,DC22)&gt;0,MAX(DB22,DC22),"")</f>
        <v/>
      </c>
      <c r="W22" s="16" t="str">
        <f>IF(V22="","",IF(V22=DB22,"("&amp;DB$2&amp;")",IF(V22=DC22,"("&amp;DC$2&amp;")")))</f>
        <v/>
      </c>
      <c r="X22" s="13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 t="str">
        <f>IF(AF22&gt;0,AF22,"")</f>
        <v/>
      </c>
      <c r="AS22" s="76" t="str">
        <f>IF(AG22&gt;0,AG22,"")</f>
        <v/>
      </c>
      <c r="AT22" s="76" t="str">
        <f>IF(SUM(AD22:AG22)-AH22&gt;0,SUM(AD22:AG22)-AH22,"")</f>
        <v/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>
        <v>1.4</v>
      </c>
      <c r="BA22" s="46">
        <v>1</v>
      </c>
      <c r="BB22" s="46">
        <v>2</v>
      </c>
      <c r="BC22" s="46">
        <v>1.78</v>
      </c>
      <c r="BD22" s="46">
        <v>0</v>
      </c>
      <c r="BE22" s="46">
        <v>2.8</v>
      </c>
      <c r="BF22" s="46">
        <v>1.8</v>
      </c>
      <c r="BG22" s="46">
        <v>2.6</v>
      </c>
      <c r="BH22" s="46">
        <v>3.52</v>
      </c>
      <c r="BI22" s="46">
        <v>0</v>
      </c>
      <c r="BJ22" s="46"/>
      <c r="BK22" s="46"/>
      <c r="BL22" s="46"/>
      <c r="BM22" s="46"/>
      <c r="BN22" s="46"/>
      <c r="BO22" s="52"/>
      <c r="BP22" s="75">
        <f>IF(BB22&gt;0,BB22,"")</f>
        <v>2</v>
      </c>
      <c r="BQ22" s="75">
        <f>IF(BC22&gt;0,BC22,"")</f>
        <v>1.78</v>
      </c>
      <c r="BR22" s="16">
        <f>IF(SUM(AZ22:BC22)-BD22&gt;0,SUM(AZ22:BC22)-BD22,"")</f>
        <v>6.1800000000000006</v>
      </c>
      <c r="BS22" s="16">
        <f>IF(BG22&gt;0,BG22,"")</f>
        <v>2.6</v>
      </c>
      <c r="BT22" s="16">
        <f>IF(BH22&gt;0,BH22,"")</f>
        <v>3.52</v>
      </c>
      <c r="BU22" s="16">
        <f>IF(SUM(BE22:BH22)-BI22&gt;0,SUM(BE22:BH22)-BI22,"")</f>
        <v>10.719999999999999</v>
      </c>
      <c r="BV22" s="16">
        <f>IF(BR22="","",MAX(BR22,BU22))</f>
        <v>10.719999999999999</v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>
        <f>IF(SUM(BV22,BY22)&gt;0,SUM(BV22,BY22),"")</f>
        <v>10.719999999999999</v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IF(N22&gt;=0.001,IF(MAX(ED22,FL22,GT22,IB22,JJ22,KR22,LZ22,NH22,OP22,PX22,RF22,SN22)-IF(N22="",0,N22)&gt;0.001,MAX(ED22,FL22,GT22,IB22,JJ22,KR22,LZ22,NH22,OP22,PX22,RF22,SN22)-IF(N22="",0,N22),""),"")</f>
        <v/>
      </c>
      <c r="DC22" s="87" t="str">
        <f>IF(P22&gt;=0.001,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>IF(DF22&gt;0,DF22,"")</f>
        <v/>
      </c>
      <c r="DY22" s="76" t="str">
        <f>IF(DG22&gt;0,DG22,"")</f>
        <v/>
      </c>
      <c r="DZ22" s="76" t="str">
        <f>IF(SUM(DD22:DG22)-DH22&gt;0,SUM(DD22:DG22)-DH22,"")</f>
        <v/>
      </c>
      <c r="EA22" s="76" t="str">
        <f>IF(DK22&gt;0,DK22,"")</f>
        <v/>
      </c>
      <c r="EB22" s="76" t="str">
        <f>IF(DL22&gt;0,DL22,"")</f>
        <v/>
      </c>
      <c r="EC22" s="76" t="str">
        <f>IF(SUM(DI22:DL22)-DM22&gt;0,SUM(DI22:DL22)-DM22,"")</f>
        <v/>
      </c>
      <c r="ED22" s="76" t="str">
        <f>IF(MAX(DZ22,EC22)&gt;0,MAX(DZ22,EC22),"")</f>
        <v/>
      </c>
      <c r="EE22" s="76" t="str">
        <f>IF(DP22&gt;0,DP22,"")</f>
        <v/>
      </c>
      <c r="EF22" s="76" t="str">
        <f>IF(DQ22&gt;0,DQ22,"")</f>
        <v/>
      </c>
      <c r="EG22" s="76" t="str">
        <f>IF(SUM(DN22:DQ22)-DR22&gt;0,SUM(DN22:DQ22)-DR22,"")</f>
        <v/>
      </c>
      <c r="EH22" s="76" t="str">
        <f>IF(DU22&gt;0,DU22,"")</f>
        <v/>
      </c>
      <c r="EI22" s="76" t="str">
        <f>IF(DV22&gt;0,DV22,"")</f>
        <v/>
      </c>
      <c r="EJ22" s="76" t="str">
        <f>IF(SUM(DS22:DV22)-DW22&gt;0,SUM(DS22:DV22)-DW22,"")</f>
        <v/>
      </c>
      <c r="EK22" s="76" t="str">
        <f>IF(SUM(ED22,EJ22)&gt;0,SUM(ED22,EJ22),"")</f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>IF(EN22&gt;0,EN22,"")</f>
        <v/>
      </c>
      <c r="FG22" s="16" t="str">
        <f>IF(EO22&gt;0,EO22,"")</f>
        <v/>
      </c>
      <c r="FH22" s="16" t="str">
        <f>IF(SUM(EL22:EO22)-EP22&gt;0,SUM(EL22:EO22)-EP22,"")</f>
        <v/>
      </c>
      <c r="FI22" s="16" t="str">
        <f>IF(ES22&gt;0,ES22,"")</f>
        <v/>
      </c>
      <c r="FJ22" s="16" t="str">
        <f>IF(ET22&gt;0,ET22,"")</f>
        <v/>
      </c>
      <c r="FK22" s="16" t="str">
        <f>IF(SUM(EQ22:ET22)-EU22&gt;0,SUM(EQ22:ET22)-EU22,"")</f>
        <v/>
      </c>
      <c r="FL22" s="16" t="str">
        <f>IF(MAX(FH22,FK22)&gt;0,MAX(FH22,FK22),"")</f>
        <v/>
      </c>
      <c r="FM22" s="16" t="str">
        <f>IF(EX22&gt;0,EX22,"")</f>
        <v/>
      </c>
      <c r="FN22" s="16" t="str">
        <f>IF(EY22&gt;0,EY22,"")</f>
        <v/>
      </c>
      <c r="FO22" s="16" t="str">
        <f>IF(SUM(EV22:EY22)-EZ22&gt;0,SUM(EV22:EY22)-EZ22,"")</f>
        <v/>
      </c>
      <c r="FP22" s="16" t="str">
        <f>IF(FC22&gt;0,FC22,"")</f>
        <v/>
      </c>
      <c r="FQ22" s="16" t="str">
        <f>IF(FD22&gt;0,FD22,"")</f>
        <v/>
      </c>
      <c r="FR22" s="16" t="str">
        <f>IF(SUM(FA22:FD22)-FE22&gt;0,SUM(FA22:FD22)-FE22,"")</f>
        <v/>
      </c>
      <c r="FS22" s="16" t="str">
        <f>IF(SUM(FL22,FR22)&gt;0,SUM(FL22,FR22),"")</f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>IF(FV22&gt;0,FV22,"")</f>
        <v/>
      </c>
      <c r="GO22" s="76" t="str">
        <f>IF(FW22&gt;0,FW22,"")</f>
        <v/>
      </c>
      <c r="GP22" s="76" t="str">
        <f>IF(SUM(FT22:FW22)-FX22&gt;0,SUM(FT22:FW22)-FX22,"")</f>
        <v/>
      </c>
      <c r="GQ22" s="76" t="str">
        <f>IF(GA22&gt;0,GA22,"")</f>
        <v/>
      </c>
      <c r="GR22" s="76" t="str">
        <f>IF(GB22&gt;0,GB22,"")</f>
        <v/>
      </c>
      <c r="GS22" s="76" t="str">
        <f>IF(SUM(FY22:GB22)-GC22&gt;0,SUM(FY22:GB22)-GC22,"")</f>
        <v/>
      </c>
      <c r="GT22" s="76" t="str">
        <f>IF(MAX(GP22,GS22)&gt;0,MAX(GP22,GS22),"")</f>
        <v/>
      </c>
      <c r="GU22" s="76" t="str">
        <f>IF(GF22&gt;0,GF22,"")</f>
        <v/>
      </c>
      <c r="GV22" s="76" t="str">
        <f>IF(GG22&gt;0,GG22,"")</f>
        <v/>
      </c>
      <c r="GW22" s="76" t="str">
        <f>IF(SUM(GD22:GG22)-GH22&gt;0,SUM(GD22:GG22)-GH22,"")</f>
        <v/>
      </c>
      <c r="GX22" s="76" t="str">
        <f>IF(GK22&gt;0,GK22,"")</f>
        <v/>
      </c>
      <c r="GY22" s="76" t="str">
        <f>IF(GL22&gt;0,GL22,"")</f>
        <v/>
      </c>
      <c r="GZ22" s="76" t="str">
        <f>IF(SUM(GI22:GL22)-GM22&gt;0,SUM(GI22:GL22)-GM22,"")</f>
        <v/>
      </c>
      <c r="HA22" s="76" t="str">
        <f>IF(SUM(GT22,GZ22)&gt;0,SUM(GT22,GZ22),"")</f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>IF(HD22&gt;0,HD22,"")</f>
        <v/>
      </c>
      <c r="HW22" s="16" t="str">
        <f>IF(HE22&gt;0,HE22,"")</f>
        <v/>
      </c>
      <c r="HX22" s="16" t="str">
        <f>IF(SUM(HB22:HE22)-HF22&gt;0,SUM(HB22:HE22)-HF22,"")</f>
        <v/>
      </c>
      <c r="HY22" s="16" t="str">
        <f>IF(HI22&gt;0,HI22,"")</f>
        <v/>
      </c>
      <c r="HZ22" s="16" t="str">
        <f>IF(HJ22&gt;0,HJ22,"")</f>
        <v/>
      </c>
      <c r="IA22" s="16" t="str">
        <f>IF(SUM(HG22:HJ22)-HK22&gt;0,SUM(HG22:HJ22)-HK22,"")</f>
        <v/>
      </c>
      <c r="IB22" s="16" t="str">
        <f>IF(MAX(HX22,IA22)&gt;0,MAX(HX22,IA22),"")</f>
        <v/>
      </c>
      <c r="IC22" s="16" t="str">
        <f>IF(HN22&gt;0,HN22,"")</f>
        <v/>
      </c>
      <c r="ID22" s="16" t="str">
        <f>IF(HO22&gt;0,HO22,"")</f>
        <v/>
      </c>
      <c r="IE22" s="16" t="str">
        <f>IF(SUM(HL22:HO22)-HP22&gt;0,SUM(HL22:HO22)-HP22,"")</f>
        <v/>
      </c>
      <c r="IF22" s="16" t="str">
        <f>IF(HS22&gt;0,HS22,"")</f>
        <v/>
      </c>
      <c r="IG22" s="16" t="str">
        <f>IF(HT22&gt;0,HT22,"")</f>
        <v/>
      </c>
      <c r="IH22" s="16" t="str">
        <f>IF(SUM(HQ22:HT22)-HU22&gt;0,SUM(HQ22:HT22)-HU22,"")</f>
        <v/>
      </c>
      <c r="II22" s="16" t="str">
        <f>IF(SUM(IB22,IH22)&gt;0,SUM(IB22,IH22),"")</f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>IF(IL22&gt;0,IL22,"")</f>
        <v/>
      </c>
      <c r="JE22" s="76" t="str">
        <f>IF(IM22&gt;0,IM22,"")</f>
        <v/>
      </c>
      <c r="JF22" s="76" t="str">
        <f>IF(SUM(IJ22:IM22)-IN22&gt;0,SUM(IJ22:IM22)-IN22,"")</f>
        <v/>
      </c>
      <c r="JG22" s="76" t="str">
        <f>IF(IQ22&gt;0,IQ22,"")</f>
        <v/>
      </c>
      <c r="JH22" s="76" t="str">
        <f>IF(IR22&gt;0,IR22,"")</f>
        <v/>
      </c>
      <c r="JI22" s="76" t="str">
        <f>IF(SUM(IO22:IR22)-IS22&gt;0,SUM(IO22:IR22)-IS22,"")</f>
        <v/>
      </c>
      <c r="JJ22" s="76" t="str">
        <f>IF(MAX(JF22,JI22)&gt;0,MAX(JF22,JI22),"")</f>
        <v/>
      </c>
      <c r="JK22" s="76" t="str">
        <f>IF(IV22&gt;0,IV22,"")</f>
        <v/>
      </c>
      <c r="JL22" s="76" t="str">
        <f>IF(IW22&gt;0,IW22,"")</f>
        <v/>
      </c>
      <c r="JM22" s="76" t="str">
        <f>IF(SUM(IT22:IW22)-IX22&gt;0,SUM(IT22:IW22)-IX22,"")</f>
        <v/>
      </c>
      <c r="JN22" s="76" t="str">
        <f>IF(JA22&gt;0,JA22,"")</f>
        <v/>
      </c>
      <c r="JO22" s="76" t="str">
        <f>IF(JB22&gt;0,JB22,"")</f>
        <v/>
      </c>
      <c r="JP22" s="76" t="str">
        <f>IF(SUM(IY22:JB22)-JC22&gt;0,SUM(IY22:JB22)-JC22,"")</f>
        <v/>
      </c>
      <c r="JQ22" s="76" t="str">
        <f>IF(SUM(JJ22,JP22)&gt;0,SUM(JJ22,JP22),"")</f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>IF(JT22&gt;0,JT22,"")</f>
        <v/>
      </c>
      <c r="KM22" s="16" t="str">
        <f>IF(JU22&gt;0,JU22,"")</f>
        <v/>
      </c>
      <c r="KN22" s="16" t="str">
        <f>IF(SUM(JR22:JU22)-JV22&gt;0,SUM(JR22:JU22)-JV22,"")</f>
        <v/>
      </c>
      <c r="KO22" s="16" t="str">
        <f>IF(JY22&gt;0,JY22,"")</f>
        <v/>
      </c>
      <c r="KP22" s="16" t="str">
        <f>IF(JZ22&gt;0,JZ22,"")</f>
        <v/>
      </c>
      <c r="KQ22" s="16" t="str">
        <f>IF(SUM(JW22:JZ22)-KA22&gt;0,SUM(JW22:JZ22)-KA22,"")</f>
        <v/>
      </c>
      <c r="KR22" s="16" t="str">
        <f>IF(MAX(KN22,KQ22)&gt;0,MAX(KN22,KQ22),"")</f>
        <v/>
      </c>
      <c r="KS22" s="16" t="str">
        <f>IF(KD22&gt;0,KD22,"")</f>
        <v/>
      </c>
      <c r="KT22" s="16" t="str">
        <f>IF(KE22&gt;0,KE22,"")</f>
        <v/>
      </c>
      <c r="KU22" s="16" t="str">
        <f>IF(SUM(KB22:KE22)-KF22&gt;0,SUM(KB22:KE22)-KF22,"")</f>
        <v/>
      </c>
      <c r="KV22" s="16" t="str">
        <f>IF(KI22&gt;0,KI22,"")</f>
        <v/>
      </c>
      <c r="KW22" s="16" t="str">
        <f>IF(KJ22&gt;0,KJ22,"")</f>
        <v/>
      </c>
      <c r="KX22" s="16" t="str">
        <f>IF(SUM(KG22:KJ22)-KK22&gt;0,SUM(KG22:KJ22)-KK22,"")</f>
        <v/>
      </c>
      <c r="KY22" s="16" t="str">
        <f>IF(SUM(KR22,KX22)&gt;0,SUM(KR22,KX22),"")</f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>IF(LB22&gt;0,LB22,"")</f>
        <v/>
      </c>
      <c r="LU22" s="76" t="str">
        <f>IF(LC22&gt;0,LC22,"")</f>
        <v/>
      </c>
      <c r="LV22" s="76" t="str">
        <f>IF(SUM(KZ22:LC22)-LD22&gt;0,SUM(KZ22:LC22)-LD22,"")</f>
        <v/>
      </c>
      <c r="LW22" s="76" t="str">
        <f>IF(LG22&gt;0,LG22,"")</f>
        <v/>
      </c>
      <c r="LX22" s="76" t="str">
        <f>IF(LH22&gt;0,LH22,"")</f>
        <v/>
      </c>
      <c r="LY22" s="76" t="str">
        <f>IF(SUM(LE22:LH22)-LI22&gt;0,SUM(LE22:LH22)-LI22,"")</f>
        <v/>
      </c>
      <c r="LZ22" s="76" t="str">
        <f>IF(MAX(LV22,LY22)&gt;0,MAX(LV22,LY22),"")</f>
        <v/>
      </c>
      <c r="MA22" s="76" t="str">
        <f>IF(LL22&gt;0,LL22,"")</f>
        <v/>
      </c>
      <c r="MB22" s="76" t="str">
        <f>IF(LM22&gt;0,LM22,"")</f>
        <v/>
      </c>
      <c r="MC22" s="76" t="str">
        <f>IF(SUM(LJ22:LM22)-LN22&gt;0,SUM(LJ22:LM22)-LN22,"")</f>
        <v/>
      </c>
      <c r="MD22" s="76" t="str">
        <f>IF(LQ22&gt;0,LQ22,"")</f>
        <v/>
      </c>
      <c r="ME22" s="76" t="str">
        <f>IF(LR22&gt;0,LR22,"")</f>
        <v/>
      </c>
      <c r="MF22" s="76" t="str">
        <f>IF(SUM(LO22:LR22)-LS22&gt;0,SUM(LO22:LR22)-LS22,"")</f>
        <v/>
      </c>
      <c r="MG22" s="76" t="str">
        <f>IF(SUM(LZ22,MF22)&gt;0,SUM(LZ22,MF22),"")</f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>IF(MJ22&gt;0,MJ22,"")</f>
        <v/>
      </c>
      <c r="NC22" s="16" t="str">
        <f>IF(MK22&gt;0,MK22,"")</f>
        <v/>
      </c>
      <c r="ND22" s="16" t="str">
        <f>IF(SUM(MH22:MK22)-ML22&gt;0,SUM(MH22:MK22)-ML22,"")</f>
        <v/>
      </c>
      <c r="NE22" s="16" t="str">
        <f>IF(MO22&gt;0,MO22,"")</f>
        <v/>
      </c>
      <c r="NF22" s="16" t="str">
        <f>IF(MP22&gt;0,MP22,"")</f>
        <v/>
      </c>
      <c r="NG22" s="16" t="str">
        <f>IF(SUM(MM22:MP22)-MQ22&gt;0,SUM(MM22:MP22)-MQ22,"")</f>
        <v/>
      </c>
      <c r="NH22" s="16" t="str">
        <f>IF(MAX(ND22,NG22)&gt;0,MAX(ND22,NG22),"")</f>
        <v/>
      </c>
      <c r="NI22" s="16" t="str">
        <f>IF(MT22&gt;0,MT22,"")</f>
        <v/>
      </c>
      <c r="NJ22" s="16" t="str">
        <f>IF(MU22&gt;0,MU22,"")</f>
        <v/>
      </c>
      <c r="NK22" s="16" t="str">
        <f>IF(SUM(MR22:MU22)-MV22&gt;0,SUM(MR22:MU22)-MV22,"")</f>
        <v/>
      </c>
      <c r="NL22" s="16" t="str">
        <f>IF(MY22&gt;0,MY22,"")</f>
        <v/>
      </c>
      <c r="NM22" s="16" t="str">
        <f>IF(MZ22&gt;0,MZ22,"")</f>
        <v/>
      </c>
      <c r="NN22" s="16" t="str">
        <f>IF(SUM(MW22:MZ22)-NA22&gt;0,SUM(MW22:MZ22)-NA22,"")</f>
        <v/>
      </c>
      <c r="NO22" s="16" t="str">
        <f>IF(SUM(NH22,NN22)&gt;0,SUM(NH22,NN22),"")</f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>IF(NR22&gt;0,NR22,"")</f>
        <v/>
      </c>
      <c r="OK22" s="76" t="str">
        <f>IF(NS22&gt;0,NS22,"")</f>
        <v/>
      </c>
      <c r="OL22" s="76" t="str">
        <f>IF(SUM(NP22:NS22)-NT22&gt;0,SUM(NP22:NS22)-NT22,"")</f>
        <v/>
      </c>
      <c r="OM22" s="76" t="str">
        <f>IF(NW22&gt;0,NW22,"")</f>
        <v/>
      </c>
      <c r="ON22" s="76" t="str">
        <f>IF(NX22&gt;0,NX22,"")</f>
        <v/>
      </c>
      <c r="OO22" s="76" t="str">
        <f>IF(SUM(NU22:NX22)-NY22&gt;0,SUM(NU22:NX22)-NY22,"")</f>
        <v/>
      </c>
      <c r="OP22" s="76" t="str">
        <f>IF(MAX(OL22,OO22)&gt;0,MAX(OL22,OO22),"")</f>
        <v/>
      </c>
      <c r="OQ22" s="76" t="str">
        <f>IF(OB22&gt;0,OB22,"")</f>
        <v/>
      </c>
      <c r="OR22" s="76" t="str">
        <f>IF(OC22&gt;0,OC22,"")</f>
        <v/>
      </c>
      <c r="OS22" s="76" t="str">
        <f>IF(SUM(NZ22:OC22)-OD22&gt;0,SUM(NZ22:OC22)-OD22,"")</f>
        <v/>
      </c>
      <c r="OT22" s="76" t="str">
        <f>IF(OG22&gt;0,OG22,"")</f>
        <v/>
      </c>
      <c r="OU22" s="76" t="str">
        <f>IF(OH22&gt;0,OH22,"")</f>
        <v/>
      </c>
      <c r="OV22" s="76" t="str">
        <f>IF(SUM(OE22:OH22)-OI22&gt;0,SUM(OE22:OH22)-OI22,"")</f>
        <v/>
      </c>
      <c r="OW22" s="76" t="str">
        <f>IF(SUM(OP22,OV22)&gt;0,SUM(OP22,OV22),"")</f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>IF(OZ22&gt;0,OZ22,"")</f>
        <v/>
      </c>
      <c r="PS22" s="16" t="str">
        <f>IF(PA22&gt;0,PA22,"")</f>
        <v/>
      </c>
      <c r="PT22" s="16" t="str">
        <f>IF(SUM(OX22:PA22)-PB22&gt;0,SUM(OX22:PA22)-PB22,"")</f>
        <v/>
      </c>
      <c r="PU22" s="16" t="str">
        <f>IF(PE22&gt;0,PE22,"")</f>
        <v/>
      </c>
      <c r="PV22" s="16" t="str">
        <f>IF(PF22&gt;0,PF22,"")</f>
        <v/>
      </c>
      <c r="PW22" s="16" t="str">
        <f>IF(SUM(PC22:PF22)-PG22&gt;0,SUM(PC22:PF22)-PG22,"")</f>
        <v/>
      </c>
      <c r="PX22" s="16" t="str">
        <f>IF(MAX(PT22,PW22)&gt;0,MAX(PT22,PW22),"")</f>
        <v/>
      </c>
      <c r="PY22" s="16" t="str">
        <f>IF(PJ22&gt;0,PJ22,"")</f>
        <v/>
      </c>
      <c r="PZ22" s="16" t="str">
        <f>IF(PK22&gt;0,PK22,"")</f>
        <v/>
      </c>
      <c r="QA22" s="16" t="str">
        <f>IF(SUM(PH22:PK22)-PL22&gt;0,SUM(PH22:PK22)-PL22,"")</f>
        <v/>
      </c>
      <c r="QB22" s="16" t="str">
        <f>IF(PO22&gt;0,PO22,"")</f>
        <v/>
      </c>
      <c r="QC22" s="16" t="str">
        <f>IF(PP22&gt;0,PP22,"")</f>
        <v/>
      </c>
      <c r="QD22" s="16" t="str">
        <f>IF(SUM(PM22:PP22)-PQ22&gt;0,SUM(PM22:PP22)-PQ22,"")</f>
        <v/>
      </c>
      <c r="QE22" s="16" t="str">
        <f>IF(SUM(PX22,QD22)&gt;0,SUM(PX22,QD22),"")</f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>IF(QH22&gt;0,QH22,"")</f>
        <v/>
      </c>
      <c r="RA22" s="76" t="str">
        <f>IF(QI22&gt;0,QI22,"")</f>
        <v/>
      </c>
      <c r="RB22" s="76" t="str">
        <f>IF(SUM(QF22:QI22)-QJ22&gt;0,SUM(QF22:QI22)-QJ22,"")</f>
        <v/>
      </c>
      <c r="RC22" s="76" t="str">
        <f>IF(QM22&gt;0,QM22,"")</f>
        <v/>
      </c>
      <c r="RD22" s="76" t="str">
        <f>IF(QN22&gt;0,QN22,"")</f>
        <v/>
      </c>
      <c r="RE22" s="76" t="str">
        <f>IF(SUM(QK22:QN22)-QO22&gt;0,SUM(QK22:QN22)-QO22,"")</f>
        <v/>
      </c>
      <c r="RF22" s="76" t="str">
        <f>IF(MAX(RB22,RE22)&gt;0,MAX(RB22,RE22),"")</f>
        <v/>
      </c>
      <c r="RG22" s="76" t="str">
        <f>IF(QR22&gt;0,QR22,"")</f>
        <v/>
      </c>
      <c r="RH22" s="76" t="str">
        <f>IF(QS22&gt;0,QS22,"")</f>
        <v/>
      </c>
      <c r="RI22" s="76" t="str">
        <f>IF(SUM(QP22:QS22)-QT22&gt;0,SUM(QP22:QS22)-QT22,"")</f>
        <v/>
      </c>
      <c r="RJ22" s="76" t="str">
        <f>IF(QW22&gt;0,QW22,"")</f>
        <v/>
      </c>
      <c r="RK22" s="76" t="str">
        <f>IF(QX22&gt;0,QX22,"")</f>
        <v/>
      </c>
      <c r="RL22" s="76" t="str">
        <f>IF(SUM(QU22:QX22)-QY22&gt;0,SUM(QU22:QX22)-QY22,"")</f>
        <v/>
      </c>
      <c r="RM22" s="76" t="str">
        <f>IF(SUM(RF22,RL22)&gt;0,SUM(RF22,RL22),"")</f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>IF(RP22&gt;0,RP22,"")</f>
        <v/>
      </c>
      <c r="SI22" s="16" t="str">
        <f>IF(RQ22&gt;0,RQ22,"")</f>
        <v/>
      </c>
      <c r="SJ22" s="16" t="str">
        <f>IF(SUM(RN22:RQ22)-RR22&gt;0,SUM(RN22:RQ22)-RR22,"")</f>
        <v/>
      </c>
      <c r="SK22" s="16" t="str">
        <f>IF(RU22&gt;0,RU22,"")</f>
        <v/>
      </c>
      <c r="SL22" s="16" t="str">
        <f>IF(RV22&gt;0,RV22,"")</f>
        <v/>
      </c>
      <c r="SM22" s="16" t="str">
        <f>IF(SUM(RS22:RV22)-RW22&gt;0,SUM(RS22:RV22)-RW22,"")</f>
        <v/>
      </c>
      <c r="SN22" s="16" t="str">
        <f>IF(MAX(SJ22,SM22)&gt;0,MAX(SJ22,SM22),"")</f>
        <v/>
      </c>
      <c r="SO22" s="16" t="str">
        <f>IF(RZ22&gt;0,RZ22,"")</f>
        <v/>
      </c>
      <c r="SP22" s="16" t="str">
        <f>IF(SA22&gt;0,SA22,"")</f>
        <v/>
      </c>
      <c r="SQ22" s="16" t="str">
        <f>IF(SUM(RX22:SA22)-SB22&gt;0,SUM(RX22:SA22)-SB22,"")</f>
        <v/>
      </c>
      <c r="SR22" s="16" t="str">
        <f>IF(SE22&gt;0,SE22,"")</f>
        <v/>
      </c>
      <c r="SS22" s="16" t="str">
        <f>IF(SF22&gt;0,SF22,"")</f>
        <v/>
      </c>
      <c r="ST22" s="16" t="str">
        <f>IF(SUM(SC22:SF22)-SG22&gt;0,SUM(SC22:SF22)-SG22,"")</f>
        <v/>
      </c>
      <c r="SU22" s="16" t="str">
        <f>IF(SUM(SN22,ST22)&gt;0,SUM(SN22,ST22),"")</f>
        <v/>
      </c>
      <c r="SV22" s="42">
        <f>IF($CP22="P",CA22,(CA22+AZ22)/2)</f>
        <v>0.7</v>
      </c>
      <c r="SW22" s="42">
        <f>IF($CP22="P",CB22,(CB22+BA22)/2)</f>
        <v>0.5</v>
      </c>
      <c r="SX22" s="42">
        <f>IF($CP22="P",CC22,(CC22+BB22)/2)</f>
        <v>1</v>
      </c>
      <c r="SY22" s="42">
        <f>IF($CP22="P",CD22,(CD22+BC22)/2)</f>
        <v>0.89</v>
      </c>
      <c r="SZ22" s="42">
        <f>IF($CP22="P",CE22,(CE22+BD22)/2)</f>
        <v>0</v>
      </c>
      <c r="TA22" s="42">
        <f>IF($CP22="P",CF22,(CF22+BE22)/2)</f>
        <v>1.4</v>
      </c>
      <c r="TB22" s="42">
        <f>IF($CP22="P",CG22,(CG22+BF22)/2)</f>
        <v>0.9</v>
      </c>
      <c r="TC22" s="42">
        <f>IF($CP22="P",CH22,(CH22+BG22)/2)</f>
        <v>1.3</v>
      </c>
      <c r="TD22" s="42">
        <f>IF($CP22="P",CI22,(CI22+BH22)/2)</f>
        <v>1.76</v>
      </c>
      <c r="TE22" s="42">
        <f>IF($CP22="P",CJ22,(CJ22+BI22)/2)</f>
        <v>0</v>
      </c>
      <c r="TF22" s="42">
        <f>IF($CP22="P",CK22,(CK22+BJ22)/2)</f>
        <v>0</v>
      </c>
      <c r="TG22" s="42">
        <f>IF($CP22="P",CL22,(CL22+BK22)/2)</f>
        <v>0</v>
      </c>
      <c r="TH22" s="42">
        <f>IF($CP22="P",CM22,(CM22+BL22)/2)</f>
        <v>0</v>
      </c>
      <c r="TI22" s="42">
        <f>IF($CP22="P",CN22,(CN22+BM22)/2)</f>
        <v>0</v>
      </c>
      <c r="TJ22" s="42">
        <f>IF($CP22="P",CO22,(CO22+BN22)/2)</f>
        <v>0</v>
      </c>
      <c r="TK22" s="51" t="s">
        <v>58</v>
      </c>
      <c r="TL22" s="76">
        <f>IF(SX22&gt;0,SX22,"")</f>
        <v>1</v>
      </c>
      <c r="TM22" s="76">
        <f>IF(SY22&gt;0,SY22,"")</f>
        <v>0.89</v>
      </c>
      <c r="TN22" s="76">
        <f>IF(SUM(SV22:SY22)-SZ22&gt;0,SUM(SV22:SY22)-SZ22,"")</f>
        <v>3.0900000000000003</v>
      </c>
      <c r="TO22" s="76">
        <f>IF(TC22&gt;0,TC22,"")</f>
        <v>1.3</v>
      </c>
      <c r="TP22" s="76">
        <f>IF(TD22&gt;0,TD22,"")</f>
        <v>1.76</v>
      </c>
      <c r="TQ22" s="76">
        <f>IF(SUM(TA22:TD22)-TE22&gt;0,SUM(TA22:TD22)-TE22,"")</f>
        <v>5.3599999999999994</v>
      </c>
      <c r="TR22" s="76">
        <f>IF(MAX(TN22,TQ22)&gt;0,MAX(TN22,TQ22),"")</f>
        <v>5.3599999999999994</v>
      </c>
      <c r="TS22" s="76" t="str">
        <f>IF(TH22&gt;0,TH22,"")</f>
        <v/>
      </c>
      <c r="TT22" s="76" t="str">
        <f>IF(TI22&gt;0,TI22,"")</f>
        <v/>
      </c>
      <c r="TU22" s="76" t="str">
        <f>IF(SUM(TF22:TI22)-TJ22&gt;0,SUM(TF22:TI22)-TJ22,"")</f>
        <v/>
      </c>
      <c r="TV22" s="76">
        <f>IF(SUM(TR22,TU22)&gt;0,SUM(TR22,TU22),"")</f>
        <v>5.3599999999999994</v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55</v>
      </c>
      <c r="C25" s="35"/>
      <c r="G25" s="3"/>
      <c r="AR25" s="77"/>
      <c r="AS25" s="77"/>
      <c r="AT25" s="77"/>
      <c r="AV25" s="56"/>
      <c r="AW25" s="56"/>
      <c r="AY25" s="78">
        <v>15.4</v>
      </c>
      <c r="BS25" s="77"/>
      <c r="BT25" s="77"/>
      <c r="BU25" s="77"/>
      <c r="BW25" s="56"/>
      <c r="BX25" s="56"/>
      <c r="BZ25" s="78">
        <v>15.4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14.4</v>
      </c>
      <c r="GN25" s="35"/>
      <c r="GO25" s="35"/>
      <c r="GX25" s="33"/>
      <c r="GY25" s="33"/>
      <c r="HA25" s="78">
        <v>14.4</v>
      </c>
      <c r="HV25" s="35"/>
      <c r="HW25" s="35"/>
      <c r="IF25" s="33"/>
      <c r="IG25" s="33"/>
      <c r="II25" s="78">
        <v>15.4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54</v>
      </c>
      <c r="C26" s="35"/>
      <c r="X26" s="2"/>
      <c r="AR26" s="77"/>
      <c r="AS26" s="77"/>
      <c r="AT26" s="77"/>
      <c r="AV26" s="56"/>
      <c r="AW26" s="56"/>
      <c r="AY26" s="79">
        <v>16</v>
      </c>
      <c r="BS26" s="77"/>
      <c r="BT26" s="77"/>
      <c r="BU26" s="77"/>
      <c r="BW26" s="56"/>
      <c r="BX26" s="56"/>
      <c r="BZ26" s="79">
        <v>16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15.4</v>
      </c>
      <c r="FF26" s="35"/>
      <c r="FG26" s="35"/>
      <c r="FP26" s="33"/>
      <c r="FQ26" s="33"/>
      <c r="FS26" s="79">
        <v>15.4</v>
      </c>
      <c r="GN26" s="35"/>
      <c r="GO26" s="35"/>
      <c r="GX26" s="33"/>
      <c r="GY26" s="33"/>
      <c r="HA26" s="79">
        <v>15.4</v>
      </c>
      <c r="HV26" s="35"/>
      <c r="HW26" s="35"/>
      <c r="IF26" s="33"/>
      <c r="IG26" s="33"/>
      <c r="II26" s="79">
        <v>16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68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16.2</v>
      </c>
      <c r="BS27" s="77"/>
      <c r="BT27" s="77"/>
      <c r="BU27" s="77"/>
      <c r="BW27" s="56"/>
      <c r="BX27" s="56"/>
      <c r="BZ27" s="80">
        <v>16.2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15.4</v>
      </c>
      <c r="GN27" s="35"/>
      <c r="GO27" s="35"/>
      <c r="GX27" s="33"/>
      <c r="GY27" s="33"/>
      <c r="HA27" s="80">
        <v>15.4</v>
      </c>
      <c r="HV27" s="35"/>
      <c r="HW27" s="35"/>
      <c r="IF27" s="33"/>
      <c r="IG27" s="33"/>
      <c r="II27" s="80">
        <v>16.2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81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17.100000000000001</v>
      </c>
      <c r="BS28" s="77"/>
      <c r="BT28" s="77"/>
      <c r="BU28" s="77"/>
      <c r="BW28" s="56"/>
      <c r="BX28" s="56"/>
      <c r="BZ28" s="81">
        <v>17.100000000000001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15.4</v>
      </c>
      <c r="GN28" s="35"/>
      <c r="GO28" s="35"/>
      <c r="GX28" s="33"/>
      <c r="GY28" s="33"/>
      <c r="HA28" s="81">
        <v>15.4</v>
      </c>
      <c r="HV28" s="35"/>
      <c r="HW28" s="35"/>
      <c r="IF28" s="33"/>
      <c r="IG28" s="33"/>
      <c r="II28" s="81">
        <v>17.100000000000001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52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54</v>
      </c>
      <c r="BS29" s="77"/>
      <c r="BT29" s="77"/>
      <c r="BU29" s="77"/>
      <c r="BW29" s="56"/>
      <c r="BX29" s="56"/>
      <c r="BZ29" s="82">
        <v>54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54.5</v>
      </c>
      <c r="FF29" s="35"/>
      <c r="FG29" s="35"/>
      <c r="FP29" s="33"/>
      <c r="FQ29" s="33"/>
      <c r="FS29" s="82">
        <v>58</v>
      </c>
      <c r="GN29" s="35"/>
      <c r="GO29" s="35"/>
      <c r="GX29" s="33"/>
      <c r="GY29" s="33"/>
      <c r="HA29" s="82">
        <v>55</v>
      </c>
      <c r="HV29" s="35"/>
      <c r="HW29" s="35"/>
      <c r="IF29" s="33"/>
      <c r="IG29" s="33"/>
      <c r="II29" s="82">
        <v>54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53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54.6</v>
      </c>
      <c r="FF30" s="35"/>
      <c r="FG30" s="35"/>
      <c r="FP30" s="33"/>
      <c r="FQ30" s="33"/>
      <c r="FS30" s="83">
        <v>58</v>
      </c>
      <c r="GN30" s="35"/>
      <c r="GO30" s="35"/>
      <c r="GX30" s="33"/>
      <c r="GY30" s="33"/>
      <c r="HA30" s="83">
        <v>56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67</v>
      </c>
      <c r="C31" s="35"/>
      <c r="AR31" s="77"/>
      <c r="AS31" s="77"/>
      <c r="AT31" s="77"/>
      <c r="AU31" s="56"/>
      <c r="AV31" s="56"/>
      <c r="AW31" s="56"/>
      <c r="AX31" s="56"/>
      <c r="AY31" s="84">
        <v>57</v>
      </c>
      <c r="BS31" s="77"/>
      <c r="BT31" s="77"/>
      <c r="BU31" s="77"/>
      <c r="BW31" s="56"/>
      <c r="BX31" s="56"/>
      <c r="BZ31" s="84">
        <v>57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58</v>
      </c>
      <c r="GN31" s="35"/>
      <c r="GO31" s="35"/>
      <c r="GX31" s="33"/>
      <c r="GY31" s="33"/>
      <c r="GZ31" s="71"/>
      <c r="HA31" s="84">
        <v>58</v>
      </c>
      <c r="HV31" s="35"/>
      <c r="HW31" s="35"/>
      <c r="IF31" s="33"/>
      <c r="IG31" s="33"/>
      <c r="IH31" s="71"/>
      <c r="II31" s="84">
        <v>57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36</v>
      </c>
      <c r="C32" s="35"/>
      <c r="P32" s="2"/>
      <c r="AR32" s="77"/>
      <c r="AS32" s="77"/>
      <c r="AT32" s="77"/>
      <c r="AU32" s="56"/>
      <c r="AV32" s="77"/>
      <c r="AW32" s="77"/>
      <c r="AX32" s="56"/>
      <c r="AY32" s="85">
        <v>59</v>
      </c>
      <c r="BS32" s="77"/>
      <c r="BT32" s="77"/>
      <c r="BU32" s="77"/>
      <c r="BW32" s="77"/>
      <c r="BX32" s="56"/>
      <c r="BZ32" s="85">
        <v>59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124</v>
      </c>
      <c r="EI32" s="33"/>
      <c r="EK32" s="85">
        <v>59.4</v>
      </c>
      <c r="FF32" s="35"/>
      <c r="FG32" s="35"/>
      <c r="FP32" s="77"/>
      <c r="FQ32" s="33"/>
      <c r="FS32" s="85">
        <v>59.4</v>
      </c>
      <c r="GN32" s="35"/>
      <c r="GO32" s="35"/>
      <c r="GX32" s="33" t="s">
        <v>124</v>
      </c>
      <c r="GY32" s="33"/>
      <c r="HA32" s="85">
        <v>59.4</v>
      </c>
      <c r="HV32" s="35"/>
      <c r="HW32" s="35"/>
      <c r="IF32" s="77"/>
      <c r="IG32" s="33"/>
      <c r="II32" s="85">
        <v>59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59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8" operator="containsText" text="No DD">
      <formula>NOT(ISERROR(SEARCH("No DD",H1)))</formula>
    </cfRule>
    <cfRule type="containsText" dxfId="746" priority="229" operator="containsText" text="Merit">
      <formula>NOT(ISERROR(SEARCH("Merit",H1)))</formula>
    </cfRule>
    <cfRule type="containsText" dxfId="745" priority="230" operator="containsText" text="Excellence">
      <formula>NOT(ISERROR(SEARCH("Excellence",H1)))</formula>
    </cfRule>
    <cfRule type="containsText" dxfId="744" priority="231" operator="containsText" text="Worlds Team">
      <formula>NOT(ISERROR(SEARCH("Worlds Team",H1)))</formula>
    </cfRule>
    <cfRule type="containsText" dxfId="743" priority="232" operator="containsText" text="National Team">
      <formula>NOT(ISERROR(SEARCH("National Team",H1)))</formula>
    </cfRule>
  </conditionalFormatting>
  <conditionalFormatting sqref="A1:A1048576">
    <cfRule type="expression" dxfId="742" priority="37562">
      <formula>AND(G1&lt;&gt;"",F1="")</formula>
    </cfRule>
  </conditionalFormatting>
  <conditionalFormatting sqref="Y4:AY22">
    <cfRule type="expression" dxfId="741" priority="51274" stopIfTrue="1">
      <formula>IF($AN4&lt;&gt;"",1,0)</formula>
    </cfRule>
  </conditionalFormatting>
  <conditionalFormatting sqref="AZ4:BZ22">
    <cfRule type="expression" dxfId="740" priority="209" stopIfTrue="1">
      <formula>IF($BO4&lt;&gt;"",1,0)</formula>
    </cfRule>
  </conditionalFormatting>
  <conditionalFormatting sqref="CA4:DA22">
    <cfRule type="expression" dxfId="739" priority="205" stopIfTrue="1">
      <formula>IF($CP4&lt;&gt;"",1,0)</formula>
    </cfRule>
  </conditionalFormatting>
  <conditionalFormatting sqref="M1:M3 O1:O3 K1:K1048576 Q1:Q1048576 M4:O1048576 S1:S1048576 U1:U1048576">
    <cfRule type="expression" dxfId="738" priority="52650">
      <formula>IF(K1=$CA$1,1,0)</formula>
    </cfRule>
    <cfRule type="expression" dxfId="737" priority="52651">
      <formula>IF(K1=$AZ$1,1,0)</formula>
    </cfRule>
    <cfRule type="expression" dxfId="736" priority="52652">
      <formula>IF(K1=$Y$1,1,0)</formula>
    </cfRule>
  </conditionalFormatting>
  <conditionalFormatting sqref="BW33:BW1048576 BP1:BP1048576 BS1:BS1048576 BW1:BW31">
    <cfRule type="cellIs" dxfId="735" priority="52631" operator="between">
      <formula>$BZ$28</formula>
      <formula>1000</formula>
    </cfRule>
    <cfRule type="cellIs" dxfId="734" priority="52632" operator="between">
      <formula>$BZ$27</formula>
      <formula>$BZ$28</formula>
    </cfRule>
    <cfRule type="cellIs" dxfId="733" priority="52633" operator="between">
      <formula>$BZ$26</formula>
      <formula>$BZ$27</formula>
    </cfRule>
    <cfRule type="cellIs" dxfId="732" priority="52634" operator="between">
      <formula>$BZ$25</formula>
      <formula>$BZ$26</formula>
    </cfRule>
  </conditionalFormatting>
  <conditionalFormatting sqref="CX33:CX1048576 CQ1:CQ1048576 CT1:CT1048576 CX1:CX31">
    <cfRule type="cellIs" dxfId="731" priority="51508" operator="between">
      <formula>$DA$28</formula>
      <formula>1000</formula>
    </cfRule>
    <cfRule type="cellIs" dxfId="730" priority="51509" operator="between">
      <formula>$DA$27</formula>
      <formula>$DA$28</formula>
    </cfRule>
    <cfRule type="cellIs" dxfId="729" priority="51510" operator="between">
      <formula>$DA$26</formula>
      <formula>$DA$27</formula>
    </cfRule>
    <cfRule type="cellIs" dxfId="728" priority="51511" operator="between">
      <formula>$DA$25</formula>
      <formula>$DA$26</formula>
    </cfRule>
  </conditionalFormatting>
  <conditionalFormatting sqref="EH33:EH1048576 DX1:DX1048576 EA1:EA1048576 EE1:EE1048576 EH1:EH31">
    <cfRule type="cellIs" dxfId="727" priority="52659" operator="between">
      <formula>$EK$28</formula>
      <formula>1000</formula>
    </cfRule>
    <cfRule type="cellIs" dxfId="726" priority="52660" operator="between">
      <formula>$EK$27</formula>
      <formula>$EK$28</formula>
    </cfRule>
    <cfRule type="cellIs" dxfId="725" priority="52661" operator="between">
      <formula>$EK$26</formula>
      <formula>$EK$27</formula>
    </cfRule>
    <cfRule type="cellIs" dxfId="724" priority="52662" operator="between">
      <formula>$EK$25</formula>
      <formula>$EK$26</formula>
    </cfRule>
  </conditionalFormatting>
  <conditionalFormatting sqref="FP33:FP1048576 FF1:FF1048576 FI1:FI1048576 FM1:FM1048576 FP1:FP31">
    <cfRule type="cellIs" dxfId="723" priority="189" operator="between">
      <formula>$FS$28</formula>
      <formula>1000</formula>
    </cfRule>
    <cfRule type="cellIs" dxfId="722" priority="190" operator="between">
      <formula>$FS$27</formula>
      <formula>$FS$28</formula>
    </cfRule>
    <cfRule type="cellIs" dxfId="721" priority="191" operator="between">
      <formula>$FS$26</formula>
      <formula>$FS$27</formula>
    </cfRule>
    <cfRule type="cellIs" dxfId="720" priority="192" operator="between">
      <formula>$FS$25</formula>
      <formula>$FS$26</formula>
    </cfRule>
  </conditionalFormatting>
  <conditionalFormatting sqref="IF33:IF1048576 HV1:HV1048576 HY1:HY1048576 IC1:IC1048576 IF1:IF31">
    <cfRule type="cellIs" dxfId="719" priority="157" operator="between">
      <formula>$II$28</formula>
      <formula>1000</formula>
    </cfRule>
    <cfRule type="cellIs" dxfId="718" priority="158" operator="between">
      <formula>$II$27</formula>
      <formula>$II$28</formula>
    </cfRule>
    <cfRule type="cellIs" dxfId="717" priority="159" operator="between">
      <formula>$II$26</formula>
      <formula>$II$27</formula>
    </cfRule>
    <cfRule type="cellIs" dxfId="716" priority="160" operator="between">
      <formula>$II$25</formula>
      <formula>$II$26</formula>
    </cfRule>
  </conditionalFormatting>
  <conditionalFormatting sqref="AW32 AO1:AO1048576 AR1:AR1048576 AV1:AV1048576">
    <cfRule type="cellIs" dxfId="715" priority="21" operator="between">
      <formula>$AY$28</formula>
      <formula>1000</formula>
    </cfRule>
    <cfRule type="cellIs" dxfId="714" priority="22" operator="between">
      <formula>$AY$27</formula>
      <formula>$AY$28</formula>
    </cfRule>
    <cfRule type="cellIs" dxfId="713" priority="23" operator="between">
      <formula>$AY$26</formula>
      <formula>$AY$27</formula>
    </cfRule>
    <cfRule type="cellIs" dxfId="712" priority="24" operator="between">
      <formula>$AY$25</formula>
      <formula>$AY$26</formula>
    </cfRule>
  </conditionalFormatting>
  <conditionalFormatting sqref="BW32">
    <cfRule type="cellIs" dxfId="711" priority="17" operator="between">
      <formula>$AY$28</formula>
      <formula>1000</formula>
    </cfRule>
    <cfRule type="cellIs" dxfId="710" priority="18" operator="between">
      <formula>$AY$27</formula>
      <formula>$AY$28</formula>
    </cfRule>
    <cfRule type="cellIs" dxfId="709" priority="19" operator="between">
      <formula>$AY$26</formula>
      <formula>$AY$27</formula>
    </cfRule>
    <cfRule type="cellIs" dxfId="708" priority="20" operator="between">
      <formula>$AY$25</formula>
      <formula>$AY$26</formula>
    </cfRule>
  </conditionalFormatting>
  <conditionalFormatting sqref="CX32">
    <cfRule type="cellIs" dxfId="707" priority="13" operator="between">
      <formula>$AY$28</formula>
      <formula>1000</formula>
    </cfRule>
    <cfRule type="cellIs" dxfId="706" priority="14" operator="between">
      <formula>$AY$27</formula>
      <formula>$AY$28</formula>
    </cfRule>
    <cfRule type="cellIs" dxfId="705" priority="15" operator="between">
      <formula>$AY$26</formula>
      <formula>$AY$27</formula>
    </cfRule>
    <cfRule type="cellIs" dxfId="704" priority="16" operator="between">
      <formula>$AY$25</formula>
      <formula>$AY$26</formula>
    </cfRule>
  </conditionalFormatting>
  <conditionalFormatting sqref="EH32">
    <cfRule type="cellIs" dxfId="703" priority="9" operator="between">
      <formula>$AY$28</formula>
      <formula>1000</formula>
    </cfRule>
    <cfRule type="cellIs" dxfId="702" priority="10" operator="between">
      <formula>$AY$27</formula>
      <formula>$AY$28</formula>
    </cfRule>
    <cfRule type="cellIs" dxfId="701" priority="11" operator="between">
      <formula>$AY$26</formula>
      <formula>$AY$27</formula>
    </cfRule>
    <cfRule type="cellIs" dxfId="700" priority="12" operator="between">
      <formula>$AY$25</formula>
      <formula>$AY$26</formula>
    </cfRule>
  </conditionalFormatting>
  <conditionalFormatting sqref="FP32">
    <cfRule type="cellIs" dxfId="699" priority="5" operator="between">
      <formula>$AY$28</formula>
      <formula>1000</formula>
    </cfRule>
    <cfRule type="cellIs" dxfId="698" priority="6" operator="between">
      <formula>$AY$27</formula>
      <formula>$AY$28</formula>
    </cfRule>
    <cfRule type="cellIs" dxfId="697" priority="7" operator="between">
      <formula>$AY$26</formula>
      <formula>$AY$27</formula>
    </cfRule>
    <cfRule type="cellIs" dxfId="696" priority="8" operator="between">
      <formula>$AY$25</formula>
      <formula>$AY$26</formula>
    </cfRule>
  </conditionalFormatting>
  <conditionalFormatting sqref="IF32">
    <cfRule type="cellIs" dxfId="695" priority="1" operator="between">
      <formula>$AY$28</formula>
      <formula>1000</formula>
    </cfRule>
    <cfRule type="cellIs" dxfId="694" priority="2" operator="between">
      <formula>$AY$27</formula>
      <formula>$AY$28</formula>
    </cfRule>
    <cfRule type="cellIs" dxfId="693" priority="3" operator="between">
      <formula>$AY$26</formula>
      <formula>$AY$27</formula>
    </cfRule>
    <cfRule type="cellIs" dxfId="692" priority="4" operator="between">
      <formula>$AY$25</formula>
      <formula>$AY$26</formula>
    </cfRule>
  </conditionalFormatting>
  <conditionalFormatting sqref="CV1:CV1048576 AT1:AT1048576">
    <cfRule type="cellIs" dxfId="691" priority="68884" operator="between">
      <formula>AY$32</formula>
      <formula>1000</formula>
    </cfRule>
    <cfRule type="cellIs" dxfId="690" priority="68885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9" priority="68896" operator="between">
      <formula>EK$32</formula>
      <formula>1000</formula>
    </cfRule>
    <cfRule type="cellIs" dxfId="688" priority="68897" operator="between">
      <formula>EK$31</formula>
      <formula>EK$32</formula>
    </cfRule>
  </conditionalFormatting>
  <conditionalFormatting sqref="AQ1:AQ1048576 AT1:AT1048576 AX1:AX1048576">
    <cfRule type="cellIs" dxfId="687" priority="68968" operator="between">
      <formula>$AY$32</formula>
      <formula>1000</formula>
    </cfRule>
    <cfRule type="cellIs" dxfId="686" priority="68969" operator="between">
      <formula>$AY$31</formula>
      <formula>$AY$32</formula>
    </cfRule>
    <cfRule type="cellIs" dxfId="685" priority="68970" operator="between">
      <formula>$AY$30</formula>
      <formula>$AY$31</formula>
    </cfRule>
    <cfRule type="cellIs" dxfId="684" priority="68971" operator="between">
      <formula>$AY$29</formula>
      <formula>$AY$30</formula>
    </cfRule>
  </conditionalFormatting>
  <conditionalFormatting sqref="BR1:BR1048576 BU1:BU1048576 BY1:BY1048576">
    <cfRule type="cellIs" dxfId="683" priority="69004" operator="between">
      <formula>$BZ$32</formula>
      <formula>1000</formula>
    </cfRule>
    <cfRule type="cellIs" dxfId="682" priority="69005" operator="between">
      <formula>$BZ$31</formula>
      <formula>$BZ$32</formula>
    </cfRule>
    <cfRule type="cellIs" dxfId="681" priority="69006" operator="between">
      <formula>$BZ$30</formula>
      <formula>$BZ$31</formula>
    </cfRule>
    <cfRule type="cellIs" dxfId="680" priority="69007" operator="between">
      <formula>$BZ$29</formula>
      <formula>$BZ$30</formula>
    </cfRule>
  </conditionalFormatting>
  <conditionalFormatting sqref="CS1:CS1048576 CV1:CV1048576 CZ1:CZ1048576">
    <cfRule type="cellIs" dxfId="679" priority="69040" operator="between">
      <formula>$DA$32</formula>
      <formula>1000</formula>
    </cfRule>
    <cfRule type="cellIs" dxfId="678" priority="69041" operator="between">
      <formula>$DA$31</formula>
      <formula>$DA$32</formula>
    </cfRule>
    <cfRule type="cellIs" dxfId="677" priority="69042" operator="between">
      <formula>$DA$30</formula>
      <formula>$DA$31</formula>
    </cfRule>
    <cfRule type="cellIs" dxfId="676" priority="69043" operator="between">
      <formula>$DA$29</formula>
      <formula>$DA$30</formula>
    </cfRule>
  </conditionalFormatting>
  <conditionalFormatting sqref="NB1:NB1048576 NE1:NE1048576 NI1:NI1048576 NL1:NL1048576">
    <cfRule type="cellIs" dxfId="675" priority="69076" operator="between">
      <formula>$NO$25</formula>
      <formula>$NO$26</formula>
    </cfRule>
  </conditionalFormatting>
  <conditionalFormatting sqref="DZ1:DZ1048576 EC1:EC1048576 EG1:EG1048576 EJ1:EJ1048576">
    <cfRule type="cellIs" dxfId="674" priority="69088" operator="between">
      <formula>$EK$32</formula>
      <formula>1000</formula>
    </cfRule>
    <cfRule type="cellIs" dxfId="673" priority="69089" operator="between">
      <formula>$EK$31</formula>
      <formula>$EK$32</formula>
    </cfRule>
    <cfRule type="cellIs" dxfId="672" priority="69090" operator="between">
      <formula>$EK$30</formula>
      <formula>$EK$31</formula>
    </cfRule>
    <cfRule type="cellIs" dxfId="671" priority="69091" operator="between">
      <formula>$EK$29</formula>
      <formula>$EK$30</formula>
    </cfRule>
  </conditionalFormatting>
  <conditionalFormatting sqref="FH1:FH1048576 FK1:FK1048576 FO1:FO1048576 FR1:FR1048576">
    <cfRule type="cellIs" dxfId="670" priority="69136" operator="between">
      <formula>$FS$32</formula>
      <formula>1000</formula>
    </cfRule>
    <cfRule type="cellIs" dxfId="669" priority="69137" operator="between">
      <formula>$FS$31</formula>
      <formula>$FS$32</formula>
    </cfRule>
    <cfRule type="cellIs" dxfId="668" priority="69138" operator="between">
      <formula>$FS$30</formula>
      <formula>$FS$31</formula>
    </cfRule>
    <cfRule type="cellIs" dxfId="667" priority="69139" operator="between">
      <formula>$FS$29</formula>
      <formula>$FS$30</formula>
    </cfRule>
  </conditionalFormatting>
  <conditionalFormatting sqref="GN1:GN1048576 GQ1:GQ1048576 GU1:GU1048576 GX1:GX1048576">
    <cfRule type="cellIs" dxfId="666" priority="69184" operator="between">
      <formula>$HA$28</formula>
      <formula>1000</formula>
    </cfRule>
    <cfRule type="cellIs" dxfId="665" priority="69185" operator="between">
      <formula>$HA$27</formula>
      <formula>$HA$28</formula>
    </cfRule>
    <cfRule type="cellIs" dxfId="664" priority="69186" operator="between">
      <formula>$HA$26</formula>
      <formula>$HA$27</formula>
    </cfRule>
    <cfRule type="cellIs" dxfId="663" priority="69187" operator="between">
      <formula>$HA$25</formula>
      <formula>$HA$26</formula>
    </cfRule>
  </conditionalFormatting>
  <conditionalFormatting sqref="GP1:GP1048576 GS1:GS1048576 GW1:GW1048576 GZ1:GZ1048576">
    <cfRule type="cellIs" dxfId="662" priority="69232" operator="between">
      <formula>$HA$32</formula>
      <formula>1000</formula>
    </cfRule>
    <cfRule type="cellIs" dxfId="661" priority="69233" operator="between">
      <formula>$HA$31</formula>
      <formula>$HA$32</formula>
    </cfRule>
    <cfRule type="cellIs" dxfId="660" priority="69234" operator="between">
      <formula>$HA$30</formula>
      <formula>$HA$31</formula>
    </cfRule>
    <cfRule type="cellIs" dxfId="659" priority="69235" operator="between">
      <formula>$HA$29</formula>
      <formula>$HA$30</formula>
    </cfRule>
  </conditionalFormatting>
  <conditionalFormatting sqref="HX1:HX1048576 IA1:IA1048576 IE1:IE1048576 IH1:IH1048576">
    <cfRule type="cellIs" dxfId="658" priority="69280" operator="between">
      <formula>$II$32</formula>
      <formula>1000</formula>
    </cfRule>
    <cfRule type="cellIs" dxfId="657" priority="69281" operator="between">
      <formula>$II$31</formula>
      <formula>$II$32</formula>
    </cfRule>
    <cfRule type="cellIs" dxfId="656" priority="69282" operator="between">
      <formula>$II$30</formula>
      <formula>$II$31</formula>
    </cfRule>
    <cfRule type="cellIs" dxfId="655" priority="69283" operator="between">
      <formula>$II$29</formula>
      <formula>$II$30</formula>
    </cfRule>
  </conditionalFormatting>
  <conditionalFormatting sqref="JD1:JD1048576 JG1:JG1048576 JK1:JK1048576 JN1:JN1048576">
    <cfRule type="cellIs" dxfId="654" priority="69328" operator="between">
      <formula>$JQ$28</formula>
      <formula>1000</formula>
    </cfRule>
    <cfRule type="cellIs" dxfId="653" priority="69329" operator="between">
      <formula>$JQ$27</formula>
      <formula>$JQ$28</formula>
    </cfRule>
    <cfRule type="cellIs" dxfId="652" priority="69330" operator="between">
      <formula>$JQ$26</formula>
      <formula>$JQ$27</formula>
    </cfRule>
    <cfRule type="cellIs" dxfId="651" priority="69331" operator="between">
      <formula>$JQ$25</formula>
      <formula>$JQ$26</formula>
    </cfRule>
  </conditionalFormatting>
  <conditionalFormatting sqref="JF1:JF1048576 JI1:JI1048576 JM1:JM1048576 JP1:JP1048576">
    <cfRule type="cellIs" dxfId="650" priority="69376" operator="between">
      <formula>$JQ$32</formula>
      <formula>1000</formula>
    </cfRule>
    <cfRule type="cellIs" dxfId="649" priority="69377" operator="between">
      <formula>$JQ$31</formula>
      <formula>$JQ$32</formula>
    </cfRule>
    <cfRule type="cellIs" dxfId="648" priority="69378" operator="between">
      <formula>$JQ$30</formula>
      <formula>$JQ$31</formula>
    </cfRule>
    <cfRule type="cellIs" dxfId="647" priority="69379" operator="between">
      <formula>$JQ$29</formula>
      <formula>$JQ$30</formula>
    </cfRule>
  </conditionalFormatting>
  <conditionalFormatting sqref="KL1:KL1048576 KO1:KO1048576 KS1:KS1048576 KV1:KV1048576">
    <cfRule type="cellIs" dxfId="646" priority="69424" operator="between">
      <formula>$KY$28</formula>
      <formula>1000</formula>
    </cfRule>
    <cfRule type="cellIs" dxfId="645" priority="69425" operator="between">
      <formula>$KY$27</formula>
      <formula>$KY$28</formula>
    </cfRule>
    <cfRule type="cellIs" dxfId="644" priority="69426" operator="between">
      <formula>$KY$26</formula>
      <formula>$KY$27</formula>
    </cfRule>
    <cfRule type="cellIs" dxfId="643" priority="69427" operator="between">
      <formula>$KY$25</formula>
      <formula>$KY$26</formula>
    </cfRule>
  </conditionalFormatting>
  <conditionalFormatting sqref="KN1:KN1048576 KQ1:KQ1048576 KU1:KU1048576 KX1:KX1048576">
    <cfRule type="cellIs" dxfId="642" priority="69472" operator="between">
      <formula>$KY$32</formula>
      <formula>1000</formula>
    </cfRule>
    <cfRule type="cellIs" dxfId="641" priority="69473" operator="between">
      <formula>$KY$31</formula>
      <formula>$KY$32</formula>
    </cfRule>
    <cfRule type="cellIs" dxfId="640" priority="69474" operator="between">
      <formula>$KY$30</formula>
      <formula>$KY$31</formula>
    </cfRule>
    <cfRule type="cellIs" dxfId="639" priority="69475" operator="between">
      <formula>$KY$29</formula>
      <formula>$KY$30</formula>
    </cfRule>
  </conditionalFormatting>
  <conditionalFormatting sqref="LT1:LT1048576 LW1:LW1048576 MA1:MA1048576 MD1:MD1048576">
    <cfRule type="cellIs" dxfId="638" priority="69520" operator="between">
      <formula>$MG$28</formula>
      <formula>1000</formula>
    </cfRule>
    <cfRule type="cellIs" dxfId="637" priority="69521" operator="between">
      <formula>$MG$27</formula>
      <formula>$MG$28</formula>
    </cfRule>
    <cfRule type="cellIs" dxfId="636" priority="69522" operator="between">
      <formula>$MG$26</formula>
      <formula>$MG$27</formula>
    </cfRule>
    <cfRule type="cellIs" dxfId="635" priority="69523" operator="between">
      <formula>$MG$25</formula>
      <formula>$MG$26</formula>
    </cfRule>
  </conditionalFormatting>
  <conditionalFormatting sqref="LV1:LV1048576 LY1:LY1048576 MC1:MC1048576 MF1:MF1048576">
    <cfRule type="cellIs" dxfId="634" priority="69568" operator="between">
      <formula>$MG$32</formula>
      <formula>1000</formula>
    </cfRule>
    <cfRule type="cellIs" dxfId="633" priority="69569" operator="between">
      <formula>$MG$31</formula>
      <formula>$MG$32</formula>
    </cfRule>
    <cfRule type="cellIs" dxfId="632" priority="69570" operator="between">
      <formula>$MG$30</formula>
      <formula>$MG$31</formula>
    </cfRule>
    <cfRule type="cellIs" dxfId="631" priority="69571" operator="between">
      <formula>$MG$29</formula>
      <formula>$MG$30</formula>
    </cfRule>
  </conditionalFormatting>
  <conditionalFormatting sqref="NB1:NB1048576 NE1:NE1048576 NI1:NI1048576">
    <cfRule type="cellIs" dxfId="630" priority="69616" operator="between">
      <formula>$NO$28</formula>
      <formula>1000</formula>
    </cfRule>
    <cfRule type="cellIs" dxfId="629" priority="69617" operator="between">
      <formula>$NO$27</formula>
      <formula>$NO$28</formula>
    </cfRule>
    <cfRule type="cellIs" dxfId="628" priority="69618" operator="between">
      <formula>$NO$26</formula>
      <formula>$NO$27</formula>
    </cfRule>
  </conditionalFormatting>
  <conditionalFormatting sqref="ND1:ND1048576 NG1:NG1048576 NK1:NK1048576 NN1:NN1048576">
    <cfRule type="cellIs" dxfId="627" priority="69643" operator="between">
      <formula>$NO$32</formula>
      <formula>1000</formula>
    </cfRule>
    <cfRule type="cellIs" dxfId="626" priority="69644" operator="between">
      <formula>$NO$31</formula>
      <formula>$NO$32</formula>
    </cfRule>
    <cfRule type="cellIs" dxfId="625" priority="69645" operator="between">
      <formula>$NO$30</formula>
      <formula>$NO$31</formula>
    </cfRule>
    <cfRule type="cellIs" dxfId="624" priority="69646" operator="between">
      <formula>$NO$29</formula>
      <formula>$NO$30</formula>
    </cfRule>
  </conditionalFormatting>
  <conditionalFormatting sqref="OJ1:OJ1048576 OM1:OM1048576 OQ1:OQ1048576 OT1:OT1048576">
    <cfRule type="cellIs" dxfId="623" priority="69691" operator="between">
      <formula>$OW$28</formula>
      <formula>1000</formula>
    </cfRule>
    <cfRule type="cellIs" dxfId="622" priority="69692" operator="between">
      <formula>$OW$27</formula>
      <formula>$OW$28</formula>
    </cfRule>
    <cfRule type="cellIs" dxfId="621" priority="69693" operator="between">
      <formula>$OW$26</formula>
      <formula>$OW$27</formula>
    </cfRule>
    <cfRule type="cellIs" dxfId="620" priority="69694" operator="between">
      <formula>$OW$25</formula>
      <formula>$OW$26</formula>
    </cfRule>
  </conditionalFormatting>
  <conditionalFormatting sqref="OL1:OL1048576 OO1:OO1048576 OS1:OS1048576 OV1:OV1048576">
    <cfRule type="cellIs" dxfId="619" priority="69739" operator="between">
      <formula>$OW$32</formula>
      <formula>1000</formula>
    </cfRule>
    <cfRule type="cellIs" dxfId="618" priority="69740" operator="between">
      <formula>$OW$31</formula>
      <formula>$OW$32</formula>
    </cfRule>
    <cfRule type="cellIs" dxfId="617" priority="69741" operator="between">
      <formula>$OW$30</formula>
      <formula>$OW$31</formula>
    </cfRule>
    <cfRule type="cellIs" dxfId="616" priority="69742" operator="between">
      <formula>$OW$29</formula>
      <formula>$OW$30</formula>
    </cfRule>
  </conditionalFormatting>
  <conditionalFormatting sqref="PR1:PR1048576 PU1:PU1048576 PY1:PY1048576 QB1:QB1048576">
    <cfRule type="cellIs" dxfId="615" priority="69787" operator="between">
      <formula>$QE$28</formula>
      <formula>1000</formula>
    </cfRule>
    <cfRule type="cellIs" dxfId="614" priority="69788" operator="between">
      <formula>$QE$27</formula>
      <formula>$QE$28</formula>
    </cfRule>
    <cfRule type="cellIs" dxfId="613" priority="69789" operator="between">
      <formula>$QE$26</formula>
      <formula>$QE$27</formula>
    </cfRule>
    <cfRule type="cellIs" dxfId="612" priority="69790" operator="between">
      <formula>$QE$25</formula>
      <formula>$QE$26</formula>
    </cfRule>
  </conditionalFormatting>
  <conditionalFormatting sqref="PT1:PT1048576 PW1:PW1048576 QA1:QA1048576 QD1:QD1048576">
    <cfRule type="cellIs" dxfId="611" priority="69835" operator="between">
      <formula>$QE$32</formula>
      <formula>1000</formula>
    </cfRule>
    <cfRule type="cellIs" dxfId="610" priority="69836" operator="between">
      <formula>$QE$31</formula>
      <formula>$QE$32</formula>
    </cfRule>
    <cfRule type="cellIs" dxfId="609" priority="69837" operator="between">
      <formula>$QE$30</formula>
      <formula>$QE$31</formula>
    </cfRule>
    <cfRule type="cellIs" dxfId="608" priority="69838" operator="between">
      <formula>$QE$29</formula>
      <formula>$QE$30</formula>
    </cfRule>
  </conditionalFormatting>
  <conditionalFormatting sqref="QZ1:QZ1048576 RC1:RC1048576 RG1:RG1048576 RJ1:RJ1048576">
    <cfRule type="cellIs" dxfId="607" priority="69883" operator="between">
      <formula>$RM$28</formula>
      <formula>1000</formula>
    </cfRule>
    <cfRule type="cellIs" dxfId="606" priority="69884" operator="between">
      <formula>$RM$27</formula>
      <formula>$RM$28</formula>
    </cfRule>
    <cfRule type="cellIs" dxfId="605" priority="69885" operator="between">
      <formula>$RM$26</formula>
      <formula>$RM$27</formula>
    </cfRule>
    <cfRule type="cellIs" dxfId="604" priority="69886" operator="between">
      <formula>$RM$25</formula>
      <formula>$RM$26</formula>
    </cfRule>
  </conditionalFormatting>
  <conditionalFormatting sqref="RB1:RB1048576 RE1:RE1048576 RI1:RI1048576 RL1:RL1048576">
    <cfRule type="cellIs" dxfId="603" priority="69931" operator="between">
      <formula>$RM$32</formula>
      <formula>1000</formula>
    </cfRule>
    <cfRule type="cellIs" dxfId="602" priority="69932" operator="between">
      <formula>$RM$31</formula>
      <formula>$RM$32</formula>
    </cfRule>
    <cfRule type="cellIs" dxfId="601" priority="69933" operator="between">
      <formula>$RM$30</formula>
      <formula>$RM$31</formula>
    </cfRule>
    <cfRule type="cellIs" dxfId="600" priority="69934" operator="between">
      <formula>$RM$29</formula>
      <formula>$RM$30</formula>
    </cfRule>
  </conditionalFormatting>
  <conditionalFormatting sqref="SH1:SH1048576 SK1:SK1048576 SO1:SO1048576 SR1:SR1048576">
    <cfRule type="cellIs" dxfId="599" priority="69979" operator="between">
      <formula>$SU$28</formula>
      <formula>1000</formula>
    </cfRule>
    <cfRule type="cellIs" dxfId="598" priority="69980" operator="between">
      <formula>$SU$27</formula>
      <formula>$SU$28</formula>
    </cfRule>
    <cfRule type="cellIs" dxfId="597" priority="69981" operator="between">
      <formula>$SU$26</formula>
      <formula>$SU$27</formula>
    </cfRule>
    <cfRule type="cellIs" dxfId="596" priority="69982" operator="between">
      <formula>$SU$25</formula>
      <formula>$SU$26</formula>
    </cfRule>
  </conditionalFormatting>
  <conditionalFormatting sqref="SJ1:SJ1048576 SM1:SM1048576 SQ1:SQ1048576 ST1:ST1048576">
    <cfRule type="cellIs" dxfId="595" priority="70027" operator="between">
      <formula>$SU$32</formula>
      <formula>1000</formula>
    </cfRule>
    <cfRule type="cellIs" dxfId="594" priority="70028" operator="between">
      <formula>$SU$31</formula>
      <formula>$SU$32</formula>
    </cfRule>
    <cfRule type="cellIs" dxfId="593" priority="70029" operator="between">
      <formula>$SU$30</formula>
      <formula>$SU$31</formula>
    </cfRule>
    <cfRule type="cellIs" dxfId="592" priority="70030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112</v>
      </c>
      <c r="K1" s="117" t="s">
        <v>34</v>
      </c>
      <c r="L1" s="119" t="s">
        <v>113</v>
      </c>
      <c r="M1" s="117" t="s">
        <v>34</v>
      </c>
      <c r="N1" s="119" t="s">
        <v>141</v>
      </c>
      <c r="O1" s="117" t="s">
        <v>34</v>
      </c>
      <c r="P1" s="117" t="s">
        <v>13</v>
      </c>
      <c r="Q1" s="117" t="s">
        <v>34</v>
      </c>
      <c r="R1" s="117" t="s">
        <v>114</v>
      </c>
      <c r="S1" s="117" t="s">
        <v>34</v>
      </c>
      <c r="T1" s="119" t="s">
        <v>115</v>
      </c>
      <c r="U1" s="117" t="s">
        <v>34</v>
      </c>
      <c r="V1" s="121" t="s">
        <v>14</v>
      </c>
      <c r="W1" s="117" t="s">
        <v>35</v>
      </c>
      <c r="X1" s="117" t="s">
        <v>34</v>
      </c>
      <c r="Y1" s="114" t="s">
        <v>127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209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14</v>
      </c>
      <c r="DC1" s="116"/>
      <c r="DD1" s="114" t="s">
        <v>125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104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108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109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111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157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173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 t="s">
        <v>178</v>
      </c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 t="s">
        <v>174</v>
      </c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 t="s">
        <v>175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69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19</v>
      </c>
      <c r="Z2" s="112"/>
      <c r="AA2" s="112"/>
      <c r="AB2" s="112"/>
      <c r="AC2" s="112"/>
      <c r="AD2" s="112" t="s">
        <v>20</v>
      </c>
      <c r="AE2" s="112"/>
      <c r="AF2" s="112"/>
      <c r="AG2" s="112"/>
      <c r="AH2" s="112"/>
      <c r="AI2" s="112" t="s">
        <v>23</v>
      </c>
      <c r="AJ2" s="112"/>
      <c r="AK2" s="112"/>
      <c r="AL2" s="112"/>
      <c r="AM2" s="112"/>
      <c r="AN2" s="101"/>
      <c r="AO2" s="101" t="s">
        <v>116</v>
      </c>
      <c r="AP2" s="101" t="s">
        <v>117</v>
      </c>
      <c r="AQ2" s="101" t="s">
        <v>21</v>
      </c>
      <c r="AR2" s="101" t="s">
        <v>82</v>
      </c>
      <c r="AS2" s="101" t="s">
        <v>118</v>
      </c>
      <c r="AT2" s="101" t="s">
        <v>22</v>
      </c>
      <c r="AU2" s="101" t="s">
        <v>24</v>
      </c>
      <c r="AV2" s="101" t="s">
        <v>119</v>
      </c>
      <c r="AW2" s="101" t="s">
        <v>120</v>
      </c>
      <c r="AX2" s="101" t="s">
        <v>23</v>
      </c>
      <c r="AY2" s="101" t="s">
        <v>18</v>
      </c>
      <c r="AZ2" s="113" t="s">
        <v>19</v>
      </c>
      <c r="BA2" s="113"/>
      <c r="BB2" s="113"/>
      <c r="BC2" s="113"/>
      <c r="BD2" s="113"/>
      <c r="BE2" s="113" t="s">
        <v>20</v>
      </c>
      <c r="BF2" s="113"/>
      <c r="BG2" s="113"/>
      <c r="BH2" s="113"/>
      <c r="BI2" s="113"/>
      <c r="BJ2" s="113" t="s">
        <v>23</v>
      </c>
      <c r="BK2" s="113"/>
      <c r="BL2" s="113"/>
      <c r="BM2" s="113"/>
      <c r="BN2" s="113"/>
      <c r="BO2" s="102"/>
      <c r="BP2" s="102" t="s">
        <v>116</v>
      </c>
      <c r="BQ2" s="102" t="s">
        <v>117</v>
      </c>
      <c r="BR2" s="102" t="s">
        <v>21</v>
      </c>
      <c r="BS2" s="102" t="s">
        <v>82</v>
      </c>
      <c r="BT2" s="102" t="s">
        <v>118</v>
      </c>
      <c r="BU2" s="102" t="s">
        <v>22</v>
      </c>
      <c r="BV2" s="102" t="s">
        <v>24</v>
      </c>
      <c r="BW2" s="102" t="s">
        <v>119</v>
      </c>
      <c r="BX2" s="102" t="s">
        <v>120</v>
      </c>
      <c r="BY2" s="102" t="s">
        <v>23</v>
      </c>
      <c r="BZ2" s="102" t="s">
        <v>18</v>
      </c>
      <c r="CA2" s="112" t="s">
        <v>19</v>
      </c>
      <c r="CB2" s="112"/>
      <c r="CC2" s="112"/>
      <c r="CD2" s="112"/>
      <c r="CE2" s="112"/>
      <c r="CF2" s="112" t="s">
        <v>20</v>
      </c>
      <c r="CG2" s="112"/>
      <c r="CH2" s="112"/>
      <c r="CI2" s="112"/>
      <c r="CJ2" s="112"/>
      <c r="CK2" s="112" t="s">
        <v>23</v>
      </c>
      <c r="CL2" s="112"/>
      <c r="CM2" s="112"/>
      <c r="CN2" s="112"/>
      <c r="CO2" s="112"/>
      <c r="CP2" s="101"/>
      <c r="CQ2" s="101" t="s">
        <v>116</v>
      </c>
      <c r="CR2" s="101" t="s">
        <v>117</v>
      </c>
      <c r="CS2" s="101" t="s">
        <v>21</v>
      </c>
      <c r="CT2" s="101" t="s">
        <v>82</v>
      </c>
      <c r="CU2" s="101" t="s">
        <v>118</v>
      </c>
      <c r="CV2" s="101" t="s">
        <v>22</v>
      </c>
      <c r="CW2" s="101" t="s">
        <v>24</v>
      </c>
      <c r="CX2" s="101" t="s">
        <v>119</v>
      </c>
      <c r="CY2" s="101" t="s">
        <v>120</v>
      </c>
      <c r="CZ2" s="101" t="s">
        <v>23</v>
      </c>
      <c r="DA2" s="101" t="s">
        <v>18</v>
      </c>
      <c r="DB2" s="86" t="s">
        <v>24</v>
      </c>
      <c r="DC2" s="86" t="s">
        <v>23</v>
      </c>
      <c r="DD2" s="112" t="s">
        <v>19</v>
      </c>
      <c r="DE2" s="112"/>
      <c r="DF2" s="112"/>
      <c r="DG2" s="112"/>
      <c r="DH2" s="112"/>
      <c r="DI2" s="112" t="s">
        <v>20</v>
      </c>
      <c r="DJ2" s="112"/>
      <c r="DK2" s="112"/>
      <c r="DL2" s="112"/>
      <c r="DM2" s="112"/>
      <c r="DN2" s="112" t="s">
        <v>121</v>
      </c>
      <c r="DO2" s="112"/>
      <c r="DP2" s="112"/>
      <c r="DQ2" s="112"/>
      <c r="DR2" s="112"/>
      <c r="DS2" s="112" t="s">
        <v>23</v>
      </c>
      <c r="DT2" s="112"/>
      <c r="DU2" s="112"/>
      <c r="DV2" s="112"/>
      <c r="DW2" s="112"/>
      <c r="DX2" s="101" t="s">
        <v>116</v>
      </c>
      <c r="DY2" s="101" t="s">
        <v>117</v>
      </c>
      <c r="DZ2" s="101" t="s">
        <v>21</v>
      </c>
      <c r="EA2" s="101" t="s">
        <v>82</v>
      </c>
      <c r="EB2" s="101" t="s">
        <v>118</v>
      </c>
      <c r="EC2" s="101" t="s">
        <v>22</v>
      </c>
      <c r="ED2" s="101" t="s">
        <v>24</v>
      </c>
      <c r="EE2" s="101" t="s">
        <v>122</v>
      </c>
      <c r="EF2" s="101" t="s">
        <v>123</v>
      </c>
      <c r="EG2" s="101" t="s">
        <v>121</v>
      </c>
      <c r="EH2" s="101" t="s">
        <v>119</v>
      </c>
      <c r="EI2" s="101" t="s">
        <v>120</v>
      </c>
      <c r="EJ2" s="101" t="s">
        <v>23</v>
      </c>
      <c r="EK2" s="101" t="s">
        <v>18</v>
      </c>
      <c r="EL2" s="113" t="s">
        <v>19</v>
      </c>
      <c r="EM2" s="113"/>
      <c r="EN2" s="113"/>
      <c r="EO2" s="113"/>
      <c r="EP2" s="113"/>
      <c r="EQ2" s="113" t="s">
        <v>20</v>
      </c>
      <c r="ER2" s="113"/>
      <c r="ES2" s="113"/>
      <c r="ET2" s="113"/>
      <c r="EU2" s="113"/>
      <c r="EV2" s="113" t="s">
        <v>121</v>
      </c>
      <c r="EW2" s="113"/>
      <c r="EX2" s="113"/>
      <c r="EY2" s="113"/>
      <c r="EZ2" s="113"/>
      <c r="FA2" s="113" t="s">
        <v>23</v>
      </c>
      <c r="FB2" s="113"/>
      <c r="FC2" s="113"/>
      <c r="FD2" s="113"/>
      <c r="FE2" s="113"/>
      <c r="FF2" s="102" t="s">
        <v>116</v>
      </c>
      <c r="FG2" s="102" t="s">
        <v>117</v>
      </c>
      <c r="FH2" s="102" t="s">
        <v>21</v>
      </c>
      <c r="FI2" s="102" t="s">
        <v>82</v>
      </c>
      <c r="FJ2" s="102" t="s">
        <v>118</v>
      </c>
      <c r="FK2" s="102" t="s">
        <v>22</v>
      </c>
      <c r="FL2" s="102" t="s">
        <v>24</v>
      </c>
      <c r="FM2" s="102" t="s">
        <v>122</v>
      </c>
      <c r="FN2" s="102" t="s">
        <v>123</v>
      </c>
      <c r="FO2" s="102" t="s">
        <v>121</v>
      </c>
      <c r="FP2" s="102" t="s">
        <v>119</v>
      </c>
      <c r="FQ2" s="102" t="s">
        <v>120</v>
      </c>
      <c r="FR2" s="102" t="s">
        <v>23</v>
      </c>
      <c r="FS2" s="102" t="s">
        <v>18</v>
      </c>
      <c r="FT2" s="112" t="s">
        <v>19</v>
      </c>
      <c r="FU2" s="112"/>
      <c r="FV2" s="112"/>
      <c r="FW2" s="112"/>
      <c r="FX2" s="112"/>
      <c r="FY2" s="112" t="s">
        <v>20</v>
      </c>
      <c r="FZ2" s="112"/>
      <c r="GA2" s="112"/>
      <c r="GB2" s="112"/>
      <c r="GC2" s="112"/>
      <c r="GD2" s="112" t="s">
        <v>121</v>
      </c>
      <c r="GE2" s="112"/>
      <c r="GF2" s="112"/>
      <c r="GG2" s="112"/>
      <c r="GH2" s="112"/>
      <c r="GI2" s="112" t="s">
        <v>23</v>
      </c>
      <c r="GJ2" s="112"/>
      <c r="GK2" s="112"/>
      <c r="GL2" s="112"/>
      <c r="GM2" s="112"/>
      <c r="GN2" s="101" t="s">
        <v>116</v>
      </c>
      <c r="GO2" s="101" t="s">
        <v>117</v>
      </c>
      <c r="GP2" s="101" t="s">
        <v>21</v>
      </c>
      <c r="GQ2" s="101" t="s">
        <v>82</v>
      </c>
      <c r="GR2" s="101" t="s">
        <v>118</v>
      </c>
      <c r="GS2" s="101" t="s">
        <v>22</v>
      </c>
      <c r="GT2" s="101" t="s">
        <v>24</v>
      </c>
      <c r="GU2" s="101" t="s">
        <v>122</v>
      </c>
      <c r="GV2" s="101" t="s">
        <v>123</v>
      </c>
      <c r="GW2" s="101" t="s">
        <v>121</v>
      </c>
      <c r="GX2" s="101" t="s">
        <v>119</v>
      </c>
      <c r="GY2" s="101" t="s">
        <v>120</v>
      </c>
      <c r="GZ2" s="101" t="s">
        <v>23</v>
      </c>
      <c r="HA2" s="101" t="s">
        <v>18</v>
      </c>
      <c r="HB2" s="113" t="s">
        <v>19</v>
      </c>
      <c r="HC2" s="113"/>
      <c r="HD2" s="113"/>
      <c r="HE2" s="113"/>
      <c r="HF2" s="113"/>
      <c r="HG2" s="113" t="s">
        <v>20</v>
      </c>
      <c r="HH2" s="113"/>
      <c r="HI2" s="113"/>
      <c r="HJ2" s="113"/>
      <c r="HK2" s="113"/>
      <c r="HL2" s="113" t="s">
        <v>121</v>
      </c>
      <c r="HM2" s="113"/>
      <c r="HN2" s="113"/>
      <c r="HO2" s="113"/>
      <c r="HP2" s="113"/>
      <c r="HQ2" s="113" t="s">
        <v>23</v>
      </c>
      <c r="HR2" s="113"/>
      <c r="HS2" s="113"/>
      <c r="HT2" s="113"/>
      <c r="HU2" s="113"/>
      <c r="HV2" s="102" t="s">
        <v>116</v>
      </c>
      <c r="HW2" s="102" t="s">
        <v>117</v>
      </c>
      <c r="HX2" s="102" t="s">
        <v>21</v>
      </c>
      <c r="HY2" s="102" t="s">
        <v>82</v>
      </c>
      <c r="HZ2" s="102" t="s">
        <v>118</v>
      </c>
      <c r="IA2" s="102" t="s">
        <v>22</v>
      </c>
      <c r="IB2" s="102" t="s">
        <v>24</v>
      </c>
      <c r="IC2" s="102" t="s">
        <v>122</v>
      </c>
      <c r="ID2" s="102" t="s">
        <v>123</v>
      </c>
      <c r="IE2" s="102" t="s">
        <v>121</v>
      </c>
      <c r="IF2" s="102" t="s">
        <v>119</v>
      </c>
      <c r="IG2" s="102" t="s">
        <v>120</v>
      </c>
      <c r="IH2" s="102" t="s">
        <v>23</v>
      </c>
      <c r="II2" s="102" t="s">
        <v>18</v>
      </c>
      <c r="IJ2" s="112" t="s">
        <v>19</v>
      </c>
      <c r="IK2" s="112"/>
      <c r="IL2" s="112"/>
      <c r="IM2" s="112"/>
      <c r="IN2" s="112"/>
      <c r="IO2" s="112" t="s">
        <v>20</v>
      </c>
      <c r="IP2" s="112"/>
      <c r="IQ2" s="112"/>
      <c r="IR2" s="112"/>
      <c r="IS2" s="112"/>
      <c r="IT2" s="112" t="s">
        <v>121</v>
      </c>
      <c r="IU2" s="112"/>
      <c r="IV2" s="112"/>
      <c r="IW2" s="112"/>
      <c r="IX2" s="112"/>
      <c r="IY2" s="112" t="s">
        <v>23</v>
      </c>
      <c r="IZ2" s="112"/>
      <c r="JA2" s="112"/>
      <c r="JB2" s="112"/>
      <c r="JC2" s="112"/>
      <c r="JD2" s="101" t="s">
        <v>116</v>
      </c>
      <c r="JE2" s="101" t="s">
        <v>117</v>
      </c>
      <c r="JF2" s="101" t="s">
        <v>21</v>
      </c>
      <c r="JG2" s="101" t="s">
        <v>82</v>
      </c>
      <c r="JH2" s="101" t="s">
        <v>118</v>
      </c>
      <c r="JI2" s="101" t="s">
        <v>22</v>
      </c>
      <c r="JJ2" s="101" t="s">
        <v>24</v>
      </c>
      <c r="JK2" s="101" t="s">
        <v>122</v>
      </c>
      <c r="JL2" s="101" t="s">
        <v>123</v>
      </c>
      <c r="JM2" s="101" t="s">
        <v>121</v>
      </c>
      <c r="JN2" s="101" t="s">
        <v>119</v>
      </c>
      <c r="JO2" s="101" t="s">
        <v>120</v>
      </c>
      <c r="JP2" s="101" t="s">
        <v>23</v>
      </c>
      <c r="JQ2" s="101" t="s">
        <v>18</v>
      </c>
      <c r="JR2" s="113" t="s">
        <v>19</v>
      </c>
      <c r="JS2" s="113"/>
      <c r="JT2" s="113"/>
      <c r="JU2" s="113"/>
      <c r="JV2" s="113"/>
      <c r="JW2" s="113" t="s">
        <v>20</v>
      </c>
      <c r="JX2" s="113"/>
      <c r="JY2" s="113"/>
      <c r="JZ2" s="113"/>
      <c r="KA2" s="113"/>
      <c r="KB2" s="113" t="s">
        <v>121</v>
      </c>
      <c r="KC2" s="113"/>
      <c r="KD2" s="113"/>
      <c r="KE2" s="113"/>
      <c r="KF2" s="113"/>
      <c r="KG2" s="113" t="s">
        <v>23</v>
      </c>
      <c r="KH2" s="113"/>
      <c r="KI2" s="113"/>
      <c r="KJ2" s="113"/>
      <c r="KK2" s="113"/>
      <c r="KL2" s="102" t="s">
        <v>116</v>
      </c>
      <c r="KM2" s="102" t="s">
        <v>117</v>
      </c>
      <c r="KN2" s="102" t="s">
        <v>21</v>
      </c>
      <c r="KO2" s="102" t="s">
        <v>82</v>
      </c>
      <c r="KP2" s="102" t="s">
        <v>118</v>
      </c>
      <c r="KQ2" s="102" t="s">
        <v>22</v>
      </c>
      <c r="KR2" s="102" t="s">
        <v>24</v>
      </c>
      <c r="KS2" s="102" t="s">
        <v>122</v>
      </c>
      <c r="KT2" s="102" t="s">
        <v>123</v>
      </c>
      <c r="KU2" s="102" t="s">
        <v>121</v>
      </c>
      <c r="KV2" s="102" t="s">
        <v>119</v>
      </c>
      <c r="KW2" s="102" t="s">
        <v>120</v>
      </c>
      <c r="KX2" s="102" t="s">
        <v>23</v>
      </c>
      <c r="KY2" s="102" t="s">
        <v>18</v>
      </c>
      <c r="KZ2" s="112" t="s">
        <v>19</v>
      </c>
      <c r="LA2" s="112"/>
      <c r="LB2" s="112"/>
      <c r="LC2" s="112"/>
      <c r="LD2" s="112"/>
      <c r="LE2" s="112" t="s">
        <v>20</v>
      </c>
      <c r="LF2" s="112"/>
      <c r="LG2" s="112"/>
      <c r="LH2" s="112"/>
      <c r="LI2" s="112"/>
      <c r="LJ2" s="112" t="s">
        <v>121</v>
      </c>
      <c r="LK2" s="112"/>
      <c r="LL2" s="112"/>
      <c r="LM2" s="112"/>
      <c r="LN2" s="112"/>
      <c r="LO2" s="112" t="s">
        <v>23</v>
      </c>
      <c r="LP2" s="112"/>
      <c r="LQ2" s="112"/>
      <c r="LR2" s="112"/>
      <c r="LS2" s="112"/>
      <c r="LT2" s="101" t="s">
        <v>116</v>
      </c>
      <c r="LU2" s="101" t="s">
        <v>117</v>
      </c>
      <c r="LV2" s="101" t="s">
        <v>21</v>
      </c>
      <c r="LW2" s="101" t="s">
        <v>82</v>
      </c>
      <c r="LX2" s="101" t="s">
        <v>118</v>
      </c>
      <c r="LY2" s="101" t="s">
        <v>22</v>
      </c>
      <c r="LZ2" s="101" t="s">
        <v>24</v>
      </c>
      <c r="MA2" s="101" t="s">
        <v>122</v>
      </c>
      <c r="MB2" s="101" t="s">
        <v>123</v>
      </c>
      <c r="MC2" s="101" t="s">
        <v>121</v>
      </c>
      <c r="MD2" s="101" t="s">
        <v>119</v>
      </c>
      <c r="ME2" s="101" t="s">
        <v>120</v>
      </c>
      <c r="MF2" s="101" t="s">
        <v>23</v>
      </c>
      <c r="MG2" s="101" t="s">
        <v>18</v>
      </c>
      <c r="MH2" s="113" t="s">
        <v>19</v>
      </c>
      <c r="MI2" s="113"/>
      <c r="MJ2" s="113"/>
      <c r="MK2" s="113"/>
      <c r="ML2" s="113"/>
      <c r="MM2" s="113" t="s">
        <v>20</v>
      </c>
      <c r="MN2" s="113"/>
      <c r="MO2" s="113"/>
      <c r="MP2" s="113"/>
      <c r="MQ2" s="113"/>
      <c r="MR2" s="113" t="s">
        <v>121</v>
      </c>
      <c r="MS2" s="113"/>
      <c r="MT2" s="113"/>
      <c r="MU2" s="113"/>
      <c r="MV2" s="113"/>
      <c r="MW2" s="113" t="s">
        <v>23</v>
      </c>
      <c r="MX2" s="113"/>
      <c r="MY2" s="113"/>
      <c r="MZ2" s="113"/>
      <c r="NA2" s="113"/>
      <c r="NB2" s="102" t="s">
        <v>116</v>
      </c>
      <c r="NC2" s="102" t="s">
        <v>117</v>
      </c>
      <c r="ND2" s="102" t="s">
        <v>21</v>
      </c>
      <c r="NE2" s="102" t="s">
        <v>82</v>
      </c>
      <c r="NF2" s="102" t="s">
        <v>118</v>
      </c>
      <c r="NG2" s="102" t="s">
        <v>22</v>
      </c>
      <c r="NH2" s="102" t="s">
        <v>24</v>
      </c>
      <c r="NI2" s="102" t="s">
        <v>122</v>
      </c>
      <c r="NJ2" s="102" t="s">
        <v>123</v>
      </c>
      <c r="NK2" s="102" t="s">
        <v>121</v>
      </c>
      <c r="NL2" s="102" t="s">
        <v>119</v>
      </c>
      <c r="NM2" s="102" t="s">
        <v>120</v>
      </c>
      <c r="NN2" s="102" t="s">
        <v>23</v>
      </c>
      <c r="NO2" s="102" t="s">
        <v>18</v>
      </c>
      <c r="NP2" s="112" t="s">
        <v>19</v>
      </c>
      <c r="NQ2" s="112"/>
      <c r="NR2" s="112"/>
      <c r="NS2" s="112"/>
      <c r="NT2" s="112"/>
      <c r="NU2" s="112" t="s">
        <v>20</v>
      </c>
      <c r="NV2" s="112"/>
      <c r="NW2" s="112"/>
      <c r="NX2" s="112"/>
      <c r="NY2" s="112"/>
      <c r="NZ2" s="112" t="s">
        <v>121</v>
      </c>
      <c r="OA2" s="112"/>
      <c r="OB2" s="112"/>
      <c r="OC2" s="112"/>
      <c r="OD2" s="112"/>
      <c r="OE2" s="112" t="s">
        <v>23</v>
      </c>
      <c r="OF2" s="112"/>
      <c r="OG2" s="112"/>
      <c r="OH2" s="112"/>
      <c r="OI2" s="112"/>
      <c r="OJ2" s="101" t="s">
        <v>116</v>
      </c>
      <c r="OK2" s="101" t="s">
        <v>117</v>
      </c>
      <c r="OL2" s="101" t="s">
        <v>21</v>
      </c>
      <c r="OM2" s="101" t="s">
        <v>82</v>
      </c>
      <c r="ON2" s="101" t="s">
        <v>118</v>
      </c>
      <c r="OO2" s="101" t="s">
        <v>22</v>
      </c>
      <c r="OP2" s="101" t="s">
        <v>24</v>
      </c>
      <c r="OQ2" s="101" t="s">
        <v>122</v>
      </c>
      <c r="OR2" s="101" t="s">
        <v>123</v>
      </c>
      <c r="OS2" s="101" t="s">
        <v>121</v>
      </c>
      <c r="OT2" s="101" t="s">
        <v>119</v>
      </c>
      <c r="OU2" s="101" t="s">
        <v>120</v>
      </c>
      <c r="OV2" s="101" t="s">
        <v>23</v>
      </c>
      <c r="OW2" s="101" t="s">
        <v>18</v>
      </c>
      <c r="OX2" s="113" t="s">
        <v>19</v>
      </c>
      <c r="OY2" s="113"/>
      <c r="OZ2" s="113"/>
      <c r="PA2" s="113"/>
      <c r="PB2" s="113"/>
      <c r="PC2" s="113" t="s">
        <v>20</v>
      </c>
      <c r="PD2" s="113"/>
      <c r="PE2" s="113"/>
      <c r="PF2" s="113"/>
      <c r="PG2" s="113"/>
      <c r="PH2" s="113" t="s">
        <v>121</v>
      </c>
      <c r="PI2" s="113"/>
      <c r="PJ2" s="113"/>
      <c r="PK2" s="113"/>
      <c r="PL2" s="113"/>
      <c r="PM2" s="113" t="s">
        <v>23</v>
      </c>
      <c r="PN2" s="113"/>
      <c r="PO2" s="113"/>
      <c r="PP2" s="113"/>
      <c r="PQ2" s="113"/>
      <c r="PR2" s="102" t="s">
        <v>116</v>
      </c>
      <c r="PS2" s="102" t="s">
        <v>117</v>
      </c>
      <c r="PT2" s="102" t="s">
        <v>21</v>
      </c>
      <c r="PU2" s="102" t="s">
        <v>82</v>
      </c>
      <c r="PV2" s="102" t="s">
        <v>118</v>
      </c>
      <c r="PW2" s="102" t="s">
        <v>22</v>
      </c>
      <c r="PX2" s="102" t="s">
        <v>24</v>
      </c>
      <c r="PY2" s="102" t="s">
        <v>122</v>
      </c>
      <c r="PZ2" s="102" t="s">
        <v>123</v>
      </c>
      <c r="QA2" s="102" t="s">
        <v>121</v>
      </c>
      <c r="QB2" s="102" t="s">
        <v>119</v>
      </c>
      <c r="QC2" s="102" t="s">
        <v>120</v>
      </c>
      <c r="QD2" s="102" t="s">
        <v>23</v>
      </c>
      <c r="QE2" s="102" t="s">
        <v>18</v>
      </c>
      <c r="QF2" s="112" t="s">
        <v>19</v>
      </c>
      <c r="QG2" s="112"/>
      <c r="QH2" s="112"/>
      <c r="QI2" s="112"/>
      <c r="QJ2" s="112"/>
      <c r="QK2" s="112" t="s">
        <v>20</v>
      </c>
      <c r="QL2" s="112"/>
      <c r="QM2" s="112"/>
      <c r="QN2" s="112"/>
      <c r="QO2" s="112"/>
      <c r="QP2" s="112" t="s">
        <v>121</v>
      </c>
      <c r="QQ2" s="112"/>
      <c r="QR2" s="112"/>
      <c r="QS2" s="112"/>
      <c r="QT2" s="112"/>
      <c r="QU2" s="112" t="s">
        <v>23</v>
      </c>
      <c r="QV2" s="112"/>
      <c r="QW2" s="112"/>
      <c r="QX2" s="112"/>
      <c r="QY2" s="112"/>
      <c r="QZ2" s="101" t="s">
        <v>116</v>
      </c>
      <c r="RA2" s="101" t="s">
        <v>117</v>
      </c>
      <c r="RB2" s="101" t="s">
        <v>21</v>
      </c>
      <c r="RC2" s="101" t="s">
        <v>82</v>
      </c>
      <c r="RD2" s="101" t="s">
        <v>118</v>
      </c>
      <c r="RE2" s="101" t="s">
        <v>22</v>
      </c>
      <c r="RF2" s="101" t="s">
        <v>24</v>
      </c>
      <c r="RG2" s="101" t="s">
        <v>122</v>
      </c>
      <c r="RH2" s="101" t="s">
        <v>123</v>
      </c>
      <c r="RI2" s="101" t="s">
        <v>121</v>
      </c>
      <c r="RJ2" s="101" t="s">
        <v>119</v>
      </c>
      <c r="RK2" s="101" t="s">
        <v>120</v>
      </c>
      <c r="RL2" s="101" t="s">
        <v>23</v>
      </c>
      <c r="RM2" s="101" t="s">
        <v>18</v>
      </c>
      <c r="RN2" s="113" t="s">
        <v>19</v>
      </c>
      <c r="RO2" s="113"/>
      <c r="RP2" s="113"/>
      <c r="RQ2" s="113"/>
      <c r="RR2" s="113"/>
      <c r="RS2" s="113" t="s">
        <v>20</v>
      </c>
      <c r="RT2" s="113"/>
      <c r="RU2" s="113"/>
      <c r="RV2" s="113"/>
      <c r="RW2" s="113"/>
      <c r="RX2" s="113" t="s">
        <v>121</v>
      </c>
      <c r="RY2" s="113"/>
      <c r="RZ2" s="113"/>
      <c r="SA2" s="113"/>
      <c r="SB2" s="113"/>
      <c r="SC2" s="113" t="s">
        <v>23</v>
      </c>
      <c r="SD2" s="113"/>
      <c r="SE2" s="113"/>
      <c r="SF2" s="113"/>
      <c r="SG2" s="113"/>
      <c r="SH2" s="102" t="s">
        <v>116</v>
      </c>
      <c r="SI2" s="102" t="s">
        <v>117</v>
      </c>
      <c r="SJ2" s="102" t="s">
        <v>21</v>
      </c>
      <c r="SK2" s="102" t="s">
        <v>82</v>
      </c>
      <c r="SL2" s="102" t="s">
        <v>118</v>
      </c>
      <c r="SM2" s="102" t="s">
        <v>22</v>
      </c>
      <c r="SN2" s="102" t="s">
        <v>24</v>
      </c>
      <c r="SO2" s="102" t="s">
        <v>122</v>
      </c>
      <c r="SP2" s="102" t="s">
        <v>123</v>
      </c>
      <c r="SQ2" s="102" t="s">
        <v>121</v>
      </c>
      <c r="SR2" s="102" t="s">
        <v>119</v>
      </c>
      <c r="SS2" s="102" t="s">
        <v>120</v>
      </c>
      <c r="ST2" s="102" t="s">
        <v>23</v>
      </c>
      <c r="SU2" s="102" t="s">
        <v>18</v>
      </c>
      <c r="SV2" s="112" t="s">
        <v>19</v>
      </c>
      <c r="SW2" s="112"/>
      <c r="SX2" s="112"/>
      <c r="SY2" s="112"/>
      <c r="SZ2" s="112"/>
      <c r="TA2" s="112" t="s">
        <v>20</v>
      </c>
      <c r="TB2" s="112"/>
      <c r="TC2" s="112"/>
      <c r="TD2" s="112"/>
      <c r="TE2" s="112"/>
      <c r="TF2" s="112" t="s">
        <v>23</v>
      </c>
      <c r="TG2" s="112"/>
      <c r="TH2" s="112"/>
      <c r="TI2" s="112"/>
      <c r="TJ2" s="112"/>
      <c r="TK2" s="101"/>
      <c r="TL2" s="101" t="s">
        <v>116</v>
      </c>
      <c r="TM2" s="101" t="s">
        <v>117</v>
      </c>
      <c r="TN2" s="101" t="s">
        <v>21</v>
      </c>
      <c r="TO2" s="101" t="s">
        <v>82</v>
      </c>
      <c r="TP2" s="101" t="s">
        <v>118</v>
      </c>
      <c r="TQ2" s="101" t="s">
        <v>22</v>
      </c>
      <c r="TR2" s="101" t="s">
        <v>24</v>
      </c>
      <c r="TS2" s="101" t="s">
        <v>119</v>
      </c>
      <c r="TT2" s="101" t="s">
        <v>120</v>
      </c>
      <c r="TU2" s="101" t="s">
        <v>23</v>
      </c>
      <c r="TV2" s="101" t="s">
        <v>18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101" t="s">
        <v>15</v>
      </c>
      <c r="Z3" s="101" t="s">
        <v>16</v>
      </c>
      <c r="AA3" s="101" t="s">
        <v>10</v>
      </c>
      <c r="AB3" s="101" t="s">
        <v>17</v>
      </c>
      <c r="AC3" s="101" t="s">
        <v>31</v>
      </c>
      <c r="AD3" s="101" t="s">
        <v>15</v>
      </c>
      <c r="AE3" s="101" t="s">
        <v>16</v>
      </c>
      <c r="AF3" s="101" t="s">
        <v>10</v>
      </c>
      <c r="AG3" s="101" t="s">
        <v>17</v>
      </c>
      <c r="AH3" s="101" t="s">
        <v>31</v>
      </c>
      <c r="AI3" s="101" t="s">
        <v>15</v>
      </c>
      <c r="AJ3" s="101" t="s">
        <v>16</v>
      </c>
      <c r="AK3" s="101" t="s">
        <v>10</v>
      </c>
      <c r="AL3" s="101" t="s">
        <v>17</v>
      </c>
      <c r="AM3" s="101" t="s">
        <v>31</v>
      </c>
      <c r="AN3" s="101" t="s">
        <v>57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15</v>
      </c>
      <c r="BA3" s="102" t="s">
        <v>16</v>
      </c>
      <c r="BB3" s="102" t="s">
        <v>10</v>
      </c>
      <c r="BC3" s="102" t="s">
        <v>17</v>
      </c>
      <c r="BD3" s="102" t="s">
        <v>31</v>
      </c>
      <c r="BE3" s="102" t="s">
        <v>15</v>
      </c>
      <c r="BF3" s="102" t="s">
        <v>16</v>
      </c>
      <c r="BG3" s="102" t="s">
        <v>10</v>
      </c>
      <c r="BH3" s="102" t="s">
        <v>17</v>
      </c>
      <c r="BI3" s="102" t="s">
        <v>31</v>
      </c>
      <c r="BJ3" s="102" t="s">
        <v>15</v>
      </c>
      <c r="BK3" s="102" t="s">
        <v>16</v>
      </c>
      <c r="BL3" s="102" t="s">
        <v>10</v>
      </c>
      <c r="BM3" s="102" t="s">
        <v>17</v>
      </c>
      <c r="BN3" s="102" t="s">
        <v>31</v>
      </c>
      <c r="BO3" s="102" t="s">
        <v>57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15</v>
      </c>
      <c r="CB3" s="101" t="s">
        <v>16</v>
      </c>
      <c r="CC3" s="101" t="s">
        <v>10</v>
      </c>
      <c r="CD3" s="101" t="s">
        <v>17</v>
      </c>
      <c r="CE3" s="101" t="s">
        <v>31</v>
      </c>
      <c r="CF3" s="101" t="s">
        <v>15</v>
      </c>
      <c r="CG3" s="101" t="s">
        <v>16</v>
      </c>
      <c r="CH3" s="101" t="s">
        <v>10</v>
      </c>
      <c r="CI3" s="101" t="s">
        <v>17</v>
      </c>
      <c r="CJ3" s="101" t="s">
        <v>31</v>
      </c>
      <c r="CK3" s="101" t="s">
        <v>15</v>
      </c>
      <c r="CL3" s="101" t="s">
        <v>16</v>
      </c>
      <c r="CM3" s="101" t="s">
        <v>10</v>
      </c>
      <c r="CN3" s="101" t="s">
        <v>17</v>
      </c>
      <c r="CO3" s="101" t="s">
        <v>31</v>
      </c>
      <c r="CP3" s="101" t="s">
        <v>57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15</v>
      </c>
      <c r="DE3" s="101" t="s">
        <v>16</v>
      </c>
      <c r="DF3" s="101" t="s">
        <v>10</v>
      </c>
      <c r="DG3" s="101" t="s">
        <v>17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17</v>
      </c>
      <c r="DM3" s="101" t="s">
        <v>31</v>
      </c>
      <c r="DN3" s="101" t="s">
        <v>15</v>
      </c>
      <c r="DO3" s="101" t="s">
        <v>16</v>
      </c>
      <c r="DP3" s="101" t="s">
        <v>10</v>
      </c>
      <c r="DQ3" s="101" t="s">
        <v>17</v>
      </c>
      <c r="DR3" s="101" t="s">
        <v>31</v>
      </c>
      <c r="DS3" s="101" t="s">
        <v>15</v>
      </c>
      <c r="DT3" s="101" t="s">
        <v>16</v>
      </c>
      <c r="DU3" s="101" t="s">
        <v>10</v>
      </c>
      <c r="DV3" s="101" t="s">
        <v>17</v>
      </c>
      <c r="DW3" s="101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15</v>
      </c>
      <c r="EM3" s="102" t="s">
        <v>16</v>
      </c>
      <c r="EN3" s="102" t="s">
        <v>10</v>
      </c>
      <c r="EO3" s="102" t="s">
        <v>17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17</v>
      </c>
      <c r="EU3" s="102" t="s">
        <v>31</v>
      </c>
      <c r="EV3" s="102" t="s">
        <v>15</v>
      </c>
      <c r="EW3" s="102" t="s">
        <v>16</v>
      </c>
      <c r="EX3" s="102" t="s">
        <v>10</v>
      </c>
      <c r="EY3" s="102" t="s">
        <v>17</v>
      </c>
      <c r="EZ3" s="102" t="s">
        <v>31</v>
      </c>
      <c r="FA3" s="102" t="s">
        <v>15</v>
      </c>
      <c r="FB3" s="102" t="s">
        <v>16</v>
      </c>
      <c r="FC3" s="102" t="s">
        <v>10</v>
      </c>
      <c r="FD3" s="102" t="s">
        <v>17</v>
      </c>
      <c r="FE3" s="10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15</v>
      </c>
      <c r="FU3" s="101" t="s">
        <v>16</v>
      </c>
      <c r="FV3" s="101" t="s">
        <v>10</v>
      </c>
      <c r="FW3" s="101" t="s">
        <v>17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17</v>
      </c>
      <c r="GC3" s="101" t="s">
        <v>31</v>
      </c>
      <c r="GD3" s="101" t="s">
        <v>15</v>
      </c>
      <c r="GE3" s="101" t="s">
        <v>16</v>
      </c>
      <c r="GF3" s="101" t="s">
        <v>10</v>
      </c>
      <c r="GG3" s="101" t="s">
        <v>17</v>
      </c>
      <c r="GH3" s="101" t="s">
        <v>31</v>
      </c>
      <c r="GI3" s="101" t="s">
        <v>15</v>
      </c>
      <c r="GJ3" s="101" t="s">
        <v>16</v>
      </c>
      <c r="GK3" s="101" t="s">
        <v>10</v>
      </c>
      <c r="GL3" s="101" t="s">
        <v>17</v>
      </c>
      <c r="GM3" s="101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15</v>
      </c>
      <c r="HC3" s="102" t="s">
        <v>16</v>
      </c>
      <c r="HD3" s="102" t="s">
        <v>10</v>
      </c>
      <c r="HE3" s="102" t="s">
        <v>17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17</v>
      </c>
      <c r="HK3" s="102" t="s">
        <v>31</v>
      </c>
      <c r="HL3" s="102" t="s">
        <v>15</v>
      </c>
      <c r="HM3" s="102" t="s">
        <v>16</v>
      </c>
      <c r="HN3" s="102" t="s">
        <v>10</v>
      </c>
      <c r="HO3" s="102" t="s">
        <v>17</v>
      </c>
      <c r="HP3" s="102" t="s">
        <v>31</v>
      </c>
      <c r="HQ3" s="102" t="s">
        <v>15</v>
      </c>
      <c r="HR3" s="102" t="s">
        <v>16</v>
      </c>
      <c r="HS3" s="102" t="s">
        <v>10</v>
      </c>
      <c r="HT3" s="102" t="s">
        <v>17</v>
      </c>
      <c r="HU3" s="10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15</v>
      </c>
      <c r="IK3" s="101" t="s">
        <v>16</v>
      </c>
      <c r="IL3" s="101" t="s">
        <v>10</v>
      </c>
      <c r="IM3" s="101" t="s">
        <v>17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17</v>
      </c>
      <c r="IS3" s="101" t="s">
        <v>31</v>
      </c>
      <c r="IT3" s="101" t="s">
        <v>15</v>
      </c>
      <c r="IU3" s="101" t="s">
        <v>16</v>
      </c>
      <c r="IV3" s="101" t="s">
        <v>10</v>
      </c>
      <c r="IW3" s="101" t="s">
        <v>17</v>
      </c>
      <c r="IX3" s="101" t="s">
        <v>31</v>
      </c>
      <c r="IY3" s="101" t="s">
        <v>15</v>
      </c>
      <c r="IZ3" s="101" t="s">
        <v>16</v>
      </c>
      <c r="JA3" s="101" t="s">
        <v>10</v>
      </c>
      <c r="JB3" s="101" t="s">
        <v>17</v>
      </c>
      <c r="JC3" s="101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15</v>
      </c>
      <c r="JS3" s="102" t="s">
        <v>16</v>
      </c>
      <c r="JT3" s="102" t="s">
        <v>10</v>
      </c>
      <c r="JU3" s="102" t="s">
        <v>17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17</v>
      </c>
      <c r="KA3" s="102" t="s">
        <v>31</v>
      </c>
      <c r="KB3" s="102" t="s">
        <v>15</v>
      </c>
      <c r="KC3" s="102" t="s">
        <v>16</v>
      </c>
      <c r="KD3" s="102" t="s">
        <v>10</v>
      </c>
      <c r="KE3" s="102" t="s">
        <v>17</v>
      </c>
      <c r="KF3" s="102" t="s">
        <v>31</v>
      </c>
      <c r="KG3" s="102" t="s">
        <v>15</v>
      </c>
      <c r="KH3" s="102" t="s">
        <v>16</v>
      </c>
      <c r="KI3" s="102" t="s">
        <v>10</v>
      </c>
      <c r="KJ3" s="102" t="s">
        <v>17</v>
      </c>
      <c r="KK3" s="10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15</v>
      </c>
      <c r="LA3" s="101" t="s">
        <v>16</v>
      </c>
      <c r="LB3" s="101" t="s">
        <v>10</v>
      </c>
      <c r="LC3" s="101" t="s">
        <v>17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17</v>
      </c>
      <c r="LI3" s="101" t="s">
        <v>31</v>
      </c>
      <c r="LJ3" s="101" t="s">
        <v>15</v>
      </c>
      <c r="LK3" s="101" t="s">
        <v>16</v>
      </c>
      <c r="LL3" s="101" t="s">
        <v>10</v>
      </c>
      <c r="LM3" s="101" t="s">
        <v>17</v>
      </c>
      <c r="LN3" s="101" t="s">
        <v>31</v>
      </c>
      <c r="LO3" s="101" t="s">
        <v>15</v>
      </c>
      <c r="LP3" s="101" t="s">
        <v>16</v>
      </c>
      <c r="LQ3" s="101" t="s">
        <v>10</v>
      </c>
      <c r="LR3" s="101" t="s">
        <v>17</v>
      </c>
      <c r="LS3" s="101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15</v>
      </c>
      <c r="MI3" s="102" t="s">
        <v>16</v>
      </c>
      <c r="MJ3" s="102" t="s">
        <v>10</v>
      </c>
      <c r="MK3" s="102" t="s">
        <v>17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17</v>
      </c>
      <c r="MQ3" s="102" t="s">
        <v>31</v>
      </c>
      <c r="MR3" s="102" t="s">
        <v>15</v>
      </c>
      <c r="MS3" s="102" t="s">
        <v>16</v>
      </c>
      <c r="MT3" s="102" t="s">
        <v>10</v>
      </c>
      <c r="MU3" s="102" t="s">
        <v>17</v>
      </c>
      <c r="MV3" s="102" t="s">
        <v>31</v>
      </c>
      <c r="MW3" s="102" t="s">
        <v>15</v>
      </c>
      <c r="MX3" s="102" t="s">
        <v>16</v>
      </c>
      <c r="MY3" s="102" t="s">
        <v>10</v>
      </c>
      <c r="MZ3" s="102" t="s">
        <v>17</v>
      </c>
      <c r="NA3" s="10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15</v>
      </c>
      <c r="NQ3" s="101" t="s">
        <v>16</v>
      </c>
      <c r="NR3" s="101" t="s">
        <v>10</v>
      </c>
      <c r="NS3" s="101" t="s">
        <v>17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17</v>
      </c>
      <c r="NY3" s="101" t="s">
        <v>31</v>
      </c>
      <c r="NZ3" s="101" t="s">
        <v>15</v>
      </c>
      <c r="OA3" s="101" t="s">
        <v>16</v>
      </c>
      <c r="OB3" s="101" t="s">
        <v>10</v>
      </c>
      <c r="OC3" s="101" t="s">
        <v>17</v>
      </c>
      <c r="OD3" s="101" t="s">
        <v>31</v>
      </c>
      <c r="OE3" s="101" t="s">
        <v>15</v>
      </c>
      <c r="OF3" s="101" t="s">
        <v>16</v>
      </c>
      <c r="OG3" s="101" t="s">
        <v>10</v>
      </c>
      <c r="OH3" s="101" t="s">
        <v>17</v>
      </c>
      <c r="OI3" s="101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15</v>
      </c>
      <c r="OY3" s="102" t="s">
        <v>16</v>
      </c>
      <c r="OZ3" s="102" t="s">
        <v>10</v>
      </c>
      <c r="PA3" s="102" t="s">
        <v>17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17</v>
      </c>
      <c r="PG3" s="102" t="s">
        <v>31</v>
      </c>
      <c r="PH3" s="102" t="s">
        <v>15</v>
      </c>
      <c r="PI3" s="102" t="s">
        <v>16</v>
      </c>
      <c r="PJ3" s="102" t="s">
        <v>10</v>
      </c>
      <c r="PK3" s="102" t="s">
        <v>17</v>
      </c>
      <c r="PL3" s="102" t="s">
        <v>31</v>
      </c>
      <c r="PM3" s="102" t="s">
        <v>15</v>
      </c>
      <c r="PN3" s="102" t="s">
        <v>16</v>
      </c>
      <c r="PO3" s="102" t="s">
        <v>10</v>
      </c>
      <c r="PP3" s="102" t="s">
        <v>17</v>
      </c>
      <c r="PQ3" s="10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15</v>
      </c>
      <c r="QG3" s="101" t="s">
        <v>16</v>
      </c>
      <c r="QH3" s="101" t="s">
        <v>10</v>
      </c>
      <c r="QI3" s="101" t="s">
        <v>17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17</v>
      </c>
      <c r="QO3" s="101" t="s">
        <v>31</v>
      </c>
      <c r="QP3" s="101" t="s">
        <v>15</v>
      </c>
      <c r="QQ3" s="101" t="s">
        <v>16</v>
      </c>
      <c r="QR3" s="101" t="s">
        <v>10</v>
      </c>
      <c r="QS3" s="101" t="s">
        <v>17</v>
      </c>
      <c r="QT3" s="101" t="s">
        <v>31</v>
      </c>
      <c r="QU3" s="101" t="s">
        <v>15</v>
      </c>
      <c r="QV3" s="101" t="s">
        <v>16</v>
      </c>
      <c r="QW3" s="101" t="s">
        <v>10</v>
      </c>
      <c r="QX3" s="101" t="s">
        <v>17</v>
      </c>
      <c r="QY3" s="101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15</v>
      </c>
      <c r="RO3" s="102" t="s">
        <v>16</v>
      </c>
      <c r="RP3" s="102" t="s">
        <v>10</v>
      </c>
      <c r="RQ3" s="102" t="s">
        <v>17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17</v>
      </c>
      <c r="RW3" s="102" t="s">
        <v>31</v>
      </c>
      <c r="RX3" s="102" t="s">
        <v>15</v>
      </c>
      <c r="RY3" s="102" t="s">
        <v>16</v>
      </c>
      <c r="RZ3" s="102" t="s">
        <v>10</v>
      </c>
      <c r="SA3" s="102" t="s">
        <v>17</v>
      </c>
      <c r="SB3" s="102" t="s">
        <v>31</v>
      </c>
      <c r="SC3" s="102" t="s">
        <v>15</v>
      </c>
      <c r="SD3" s="102" t="s">
        <v>16</v>
      </c>
      <c r="SE3" s="102" t="s">
        <v>10</v>
      </c>
      <c r="SF3" s="102" t="s">
        <v>17</v>
      </c>
      <c r="SG3" s="10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15</v>
      </c>
      <c r="SW3" s="101" t="s">
        <v>16</v>
      </c>
      <c r="SX3" s="101" t="s">
        <v>10</v>
      </c>
      <c r="SY3" s="101" t="s">
        <v>17</v>
      </c>
      <c r="SZ3" s="101" t="s">
        <v>31</v>
      </c>
      <c r="TA3" s="101" t="s">
        <v>15</v>
      </c>
      <c r="TB3" s="101" t="s">
        <v>16</v>
      </c>
      <c r="TC3" s="101" t="s">
        <v>10</v>
      </c>
      <c r="TD3" s="101" t="s">
        <v>17</v>
      </c>
      <c r="TE3" s="101" t="s">
        <v>31</v>
      </c>
      <c r="TF3" s="101" t="s">
        <v>15</v>
      </c>
      <c r="TG3" s="101" t="s">
        <v>16</v>
      </c>
      <c r="TH3" s="101" t="s">
        <v>10</v>
      </c>
      <c r="TI3" s="101" t="s">
        <v>17</v>
      </c>
      <c r="TJ3" s="101" t="s">
        <v>31</v>
      </c>
      <c r="TK3" s="101" t="s">
        <v>57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25</v>
      </c>
      <c r="C4" s="7" t="s">
        <v>8</v>
      </c>
      <c r="D4" s="18">
        <v>1998</v>
      </c>
      <c r="E4" s="14">
        <f>SUM(J4:V4)+SUM(J4:T4)*0.0000001+SUM(J4)*0.0000000000001</f>
        <v>250.45002499000552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55.160000000000004</v>
      </c>
      <c r="K4" s="13" t="str">
        <f>IF(J4="","",IF(OR(J4=CS4,J4=CV4),$CA$1,IF(OR(J4=BR4,J4=BU4),$AZ$1,IF(OR(J4=AQ4,J4=AT4),$Y$1,""))))</f>
        <v>2022 Nationals</v>
      </c>
      <c r="L4" s="13">
        <f>IF(COUNT(AQ4,AT4,BR4,BU4,CS4,CV4)&gt;1,LARGE((AQ4,AT4,BR4,BU4,CS4,CV4),2),0)</f>
        <v>54.58</v>
      </c>
      <c r="M4" s="13" t="str">
        <f>IF(L4="","",IF(OR(L4=CS4,L4=CV4),$CA$1,IF(OR(L4=BR4,L4=BU4),$AZ$1,IF(OR(L4=AQ4,L4=AT4),$Y$1,""))))</f>
        <v>2022 Nationals</v>
      </c>
      <c r="N4" s="13">
        <f>IF(COUNT(AQ4,AT4,BR4,BU4,CS4,CV4)&gt;2,LARGE((AQ4,AT4,BR4,BU4,CS4,CV4),3),0)</f>
        <v>54.55</v>
      </c>
      <c r="O4" s="13" t="str">
        <f>IF(N4="","",IF(OR(N4=CS4,N4=CV4),$CA$1,IF(OR(N4=BR4,N4=BU4),$AZ$1,IF(OR(N4=AQ4,N4=AT4),$Y$1,""))))</f>
        <v>2022 Elite Canada</v>
      </c>
      <c r="P4" s="13">
        <f>IF(MAX(AX4,BY4,CZ4)&gt;0,MAX(AX4,BY4,CZ4),0)</f>
        <v>55.149999999999991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15.46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Nationals</v>
      </c>
      <c r="V4" s="13">
        <f>IF(MAX(DB4,DC4)&gt;0,MAX(DB4,DC4),"")</f>
        <v>0.55000000000000426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42">
        <v>16.5</v>
      </c>
      <c r="Z4" s="42">
        <v>9.6</v>
      </c>
      <c r="AA4" s="42">
        <v>13.5</v>
      </c>
      <c r="AB4" s="42">
        <v>14.95</v>
      </c>
      <c r="AC4" s="42">
        <v>0</v>
      </c>
      <c r="AD4" s="42">
        <v>16.600000000000001</v>
      </c>
      <c r="AE4" s="42">
        <v>9.3000000000000007</v>
      </c>
      <c r="AF4" s="42">
        <v>13.7</v>
      </c>
      <c r="AG4" s="42">
        <v>14.92</v>
      </c>
      <c r="AH4" s="42">
        <v>0</v>
      </c>
      <c r="AI4" s="42">
        <v>8.1999999999999993</v>
      </c>
      <c r="AJ4" s="42">
        <v>4.3</v>
      </c>
      <c r="AK4" s="42">
        <v>6.5</v>
      </c>
      <c r="AL4" s="42">
        <v>7.77</v>
      </c>
      <c r="AM4" s="42">
        <v>0</v>
      </c>
      <c r="AN4" s="51"/>
      <c r="AO4" s="74">
        <f>IF(AA4&gt;0,AA4,"")</f>
        <v>13.5</v>
      </c>
      <c r="AP4" s="74">
        <f>IF(AB4&gt;0,AB4,"")</f>
        <v>14.95</v>
      </c>
      <c r="AQ4" s="76">
        <f>IF(SUM(Y4:AB4)-AC4&gt;0,SUM(Y4:AB4)-AC4,"")</f>
        <v>54.55</v>
      </c>
      <c r="AR4" s="76">
        <f>IF(AF4&gt;0,AF4,"")</f>
        <v>13.7</v>
      </c>
      <c r="AS4" s="76">
        <f>IF(AG4&gt;0,AG4,"")</f>
        <v>14.92</v>
      </c>
      <c r="AT4" s="76">
        <f>IF(SUM(AD4:AG4)-AH4&gt;0,SUM(AD4:AG4)-AH4,"")</f>
        <v>54.52</v>
      </c>
      <c r="AU4" s="76">
        <f>IF(AQ4="","",MAX(AQ4,AT4))</f>
        <v>54.55</v>
      </c>
      <c r="AV4" s="76">
        <f>IF(AK4&gt;0,AK4,"")</f>
        <v>6.5</v>
      </c>
      <c r="AW4" s="76">
        <f>IF(AL4&gt;0,AL4,"")</f>
        <v>7.77</v>
      </c>
      <c r="AX4" s="76">
        <f>IF(SUM(AI4:AL4)-AM4&gt;0,SUM(AI4:AL4)-AM4,"")</f>
        <v>26.77</v>
      </c>
      <c r="AY4" s="76">
        <f>IF(SUM(AU4,AX4)&gt;0,SUM(AU4,AX4),"")</f>
        <v>81.319999999999993</v>
      </c>
      <c r="AZ4" s="46">
        <v>16.100000000000001</v>
      </c>
      <c r="BA4" s="46">
        <v>9.4</v>
      </c>
      <c r="BB4" s="46">
        <v>14.4</v>
      </c>
      <c r="BC4" s="46">
        <v>14.88</v>
      </c>
      <c r="BD4" s="46">
        <v>0.2</v>
      </c>
      <c r="BE4" s="46">
        <v>16</v>
      </c>
      <c r="BF4" s="46">
        <v>9.3000000000000007</v>
      </c>
      <c r="BG4" s="46">
        <v>14.4</v>
      </c>
      <c r="BH4" s="46">
        <v>15.46</v>
      </c>
      <c r="BI4" s="46">
        <v>0</v>
      </c>
      <c r="BJ4" s="46">
        <v>16.100000000000001</v>
      </c>
      <c r="BK4" s="46">
        <v>9.4</v>
      </c>
      <c r="BL4" s="46">
        <v>14.4</v>
      </c>
      <c r="BM4" s="46">
        <v>15.45</v>
      </c>
      <c r="BN4" s="46">
        <v>0.2</v>
      </c>
      <c r="BO4" s="52"/>
      <c r="BP4" s="75">
        <f>IF(BB4&gt;0,BB4,"")</f>
        <v>14.4</v>
      </c>
      <c r="BQ4" s="75">
        <f>IF(BC4&gt;0,BC4,"")</f>
        <v>14.88</v>
      </c>
      <c r="BR4" s="16">
        <f>IF(SUM(AZ4:BC4)-BD4&gt;0,SUM(AZ4:BC4)-BD4,"")</f>
        <v>54.58</v>
      </c>
      <c r="BS4" s="16">
        <f>IF(BG4&gt;0,BG4,"")</f>
        <v>14.4</v>
      </c>
      <c r="BT4" s="16">
        <f>IF(BH4&gt;0,BH4,"")</f>
        <v>15.46</v>
      </c>
      <c r="BU4" s="16">
        <f>IF(SUM(BE4:BH4)-BI4&gt;0,SUM(BE4:BH4)-BI4,"")</f>
        <v>55.160000000000004</v>
      </c>
      <c r="BV4" s="16">
        <f>IF(BR4="","",MAX(BR4,BU4))</f>
        <v>55.160000000000004</v>
      </c>
      <c r="BW4" s="16">
        <f>IF(BL4&gt;0,BL4,"")</f>
        <v>14.4</v>
      </c>
      <c r="BX4" s="16">
        <f>IF(BM4&gt;0,BM4,"")</f>
        <v>15.45</v>
      </c>
      <c r="BY4" s="16">
        <f>IF(SUM(BJ4:BM4)-BN4&gt;0,SUM(BJ4:BM4)-BN4,"")</f>
        <v>55.149999999999991</v>
      </c>
      <c r="BZ4" s="16">
        <f>IF(SUM(BV4,BY4)&gt;0,SUM(BV4,BY4),"")</f>
        <v>110.31</v>
      </c>
      <c r="CA4" s="42">
        <v>15.78</v>
      </c>
      <c r="CB4" s="42">
        <v>9.4</v>
      </c>
      <c r="CC4" s="42">
        <v>14</v>
      </c>
      <c r="CD4" s="42">
        <v>15.1</v>
      </c>
      <c r="CE4" s="42">
        <v>0</v>
      </c>
      <c r="CF4" s="42">
        <v>15.6</v>
      </c>
      <c r="CG4" s="42">
        <v>9.1</v>
      </c>
      <c r="CH4" s="42">
        <v>14.4</v>
      </c>
      <c r="CI4" s="42">
        <v>15.05</v>
      </c>
      <c r="CJ4" s="42">
        <v>0</v>
      </c>
      <c r="CK4" s="42">
        <v>15.8</v>
      </c>
      <c r="CL4" s="42">
        <v>8.5</v>
      </c>
      <c r="CM4" s="42">
        <v>13.4</v>
      </c>
      <c r="CN4" s="42">
        <v>15</v>
      </c>
      <c r="CO4" s="42">
        <v>0</v>
      </c>
      <c r="CP4" s="51"/>
      <c r="CQ4" s="74">
        <f>IF(CC4&gt;0,CC4,"")</f>
        <v>14</v>
      </c>
      <c r="CR4" s="74">
        <f>IF(CD4&gt;0,CD4,"")</f>
        <v>15.1</v>
      </c>
      <c r="CS4" s="76">
        <f>IF(SUM(CA4:CD4)-CE4&gt;0,SUM(CA4:CD4)-CE4,"")</f>
        <v>54.28</v>
      </c>
      <c r="CT4" s="76">
        <f>IF(CH4&gt;0,CH4,"")</f>
        <v>14.4</v>
      </c>
      <c r="CU4" s="76">
        <f>IF(CI4&gt;0,CI4,"")</f>
        <v>15.05</v>
      </c>
      <c r="CV4" s="76">
        <f>IF(SUM(CF4:CI4)-CJ4&gt;0,SUM(CF4:CI4)-CJ4,"")</f>
        <v>54.150000000000006</v>
      </c>
      <c r="CW4" s="76">
        <f>IF(CS4="","",MAX(CS4,CV4))</f>
        <v>54.28</v>
      </c>
      <c r="CX4" s="76">
        <f>IF(CM4&gt;0,CM4,"")</f>
        <v>13.4</v>
      </c>
      <c r="CY4" s="76">
        <f>IF(CN4&gt;0,CN4,"")</f>
        <v>15</v>
      </c>
      <c r="CZ4" s="76">
        <f>IF(SUM(CK4:CN4)-CO4&gt;0,SUM(CK4:CN4)-CO4,"")</f>
        <v>52.7</v>
      </c>
      <c r="DA4" s="76">
        <f>IF(SUM(CW4,CZ4)&gt;0,SUM(CW4,CZ4),"")</f>
        <v>106.98</v>
      </c>
      <c r="DB4" s="87">
        <f>IF(N4&gt;=0.001,IF(MAX(ED4,FL4,GT4,IB4,JJ4,KR4,LZ4,NH4,OP4,PX4,RF4,SN4)-IF(N4="",0,N4)&gt;0.001,MAX(ED4,FL4,GT4,IB4,JJ4,KR4,LZ4,NH4,OP4,PX4,RF4,SN4)-IF(N4="",0,N4),""),"")</f>
        <v>0.55000000000000426</v>
      </c>
      <c r="DC4" s="87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0.46000000000000796</v>
      </c>
      <c r="DD4" s="25">
        <v>15.6</v>
      </c>
      <c r="DE4" s="25">
        <v>8.9</v>
      </c>
      <c r="DF4" s="25">
        <v>13.7</v>
      </c>
      <c r="DG4" s="25">
        <v>14.355</v>
      </c>
      <c r="DH4" s="25">
        <v>0</v>
      </c>
      <c r="DI4" s="25"/>
      <c r="DJ4" s="25"/>
      <c r="DK4" s="25"/>
      <c r="DL4" s="25"/>
      <c r="DM4" s="25"/>
      <c r="DN4" s="25">
        <v>15.1</v>
      </c>
      <c r="DO4" s="25">
        <v>9.3000000000000007</v>
      </c>
      <c r="DP4" s="25">
        <v>13.3</v>
      </c>
      <c r="DQ4" s="25">
        <v>14.535</v>
      </c>
      <c r="DR4" s="25">
        <v>0</v>
      </c>
      <c r="DS4" s="25"/>
      <c r="DT4" s="25"/>
      <c r="DU4" s="25"/>
      <c r="DV4" s="25"/>
      <c r="DW4" s="25"/>
      <c r="DX4" s="76">
        <f>IF(DF4&gt;0,DF4,"")</f>
        <v>13.7</v>
      </c>
      <c r="DY4" s="76">
        <f>IF(DG4&gt;0,DG4,"")</f>
        <v>14.355</v>
      </c>
      <c r="DZ4" s="76">
        <f>IF(SUM(DD4:DG4)-DH4&gt;0,SUM(DD4:DG4)-DH4,"")</f>
        <v>52.555000000000007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52.555000000000007</v>
      </c>
      <c r="EE4" s="76">
        <f>IF(DP4&gt;0,DP4,"")</f>
        <v>13.3</v>
      </c>
      <c r="EF4" s="76">
        <f>IF(DQ4&gt;0,DQ4,"")</f>
        <v>14.535</v>
      </c>
      <c r="EG4" s="76">
        <f>IF(SUM(DN4:DQ4)-DR4&gt;0,SUM(DN4:DQ4)-DR4,"")</f>
        <v>52.234999999999999</v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>
        <f>IF(SUM(ED4,EJ4)&gt;0,SUM(ED4,EJ4),"")</f>
        <v>52.555000000000007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14</v>
      </c>
      <c r="FB4" s="26">
        <v>8.6999999999999993</v>
      </c>
      <c r="FC4" s="26">
        <v>12.1</v>
      </c>
      <c r="FD4" s="26">
        <v>13.19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12.1</v>
      </c>
      <c r="FQ4" s="16">
        <f>IF(FD4&gt;0,FD4,"")</f>
        <v>13.19</v>
      </c>
      <c r="FR4" s="16">
        <f>IF(SUM(FA4:FD4)-FE4&gt;0,SUM(FA4:FD4)-FE4,"")</f>
        <v>47.989999999999995</v>
      </c>
      <c r="FS4" s="16">
        <f>IF(SUM(FL4,FR4)&gt;0,SUM(FL4,FR4),"")</f>
        <v>47.989999999999995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>
        <v>14.7</v>
      </c>
      <c r="JS4" s="26">
        <v>9.3000000000000007</v>
      </c>
      <c r="JT4" s="26">
        <v>14.2</v>
      </c>
      <c r="JU4" s="26">
        <v>14.38</v>
      </c>
      <c r="JV4" s="26">
        <v>0</v>
      </c>
      <c r="JW4" s="26"/>
      <c r="JX4" s="26"/>
      <c r="JY4" s="26"/>
      <c r="JZ4" s="26"/>
      <c r="KA4" s="26"/>
      <c r="KB4" s="26">
        <v>15.6</v>
      </c>
      <c r="KC4" s="26">
        <v>9.3000000000000007</v>
      </c>
      <c r="KD4" s="26">
        <v>14.4</v>
      </c>
      <c r="KE4" s="26">
        <v>14.75</v>
      </c>
      <c r="KF4" s="26">
        <v>0</v>
      </c>
      <c r="KG4" s="26">
        <v>1.6</v>
      </c>
      <c r="KH4" s="26">
        <v>0.8</v>
      </c>
      <c r="KI4" s="26">
        <v>2</v>
      </c>
      <c r="KJ4" s="26">
        <v>1.61</v>
      </c>
      <c r="KK4" s="26">
        <v>0</v>
      </c>
      <c r="KL4" s="16">
        <f>IF(JT4&gt;0,JT4,"")</f>
        <v>14.2</v>
      </c>
      <c r="KM4" s="16">
        <f>IF(JU4&gt;0,JU4,"")</f>
        <v>14.38</v>
      </c>
      <c r="KN4" s="16">
        <f>IF(SUM(JR4:JU4)-JV4&gt;0,SUM(JR4:JU4)-JV4,"")</f>
        <v>52.580000000000005</v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>
        <f>IF(MAX(KN4,KQ4)&gt;0,MAX(KN4,KQ4),"")</f>
        <v>52.580000000000005</v>
      </c>
      <c r="KS4" s="16">
        <f>IF(KD4&gt;0,KD4,"")</f>
        <v>14.4</v>
      </c>
      <c r="KT4" s="16">
        <f>IF(KE4&gt;0,KE4,"")</f>
        <v>14.75</v>
      </c>
      <c r="KU4" s="16">
        <f>IF(SUM(KB4:KE4)-KF4&gt;0,SUM(KB4:KE4)-KF4,"")</f>
        <v>54.05</v>
      </c>
      <c r="KV4" s="16">
        <f>IF(KI4&gt;0,KI4,"")</f>
        <v>2</v>
      </c>
      <c r="KW4" s="16">
        <f>IF(KJ4&gt;0,KJ4,"")</f>
        <v>1.61</v>
      </c>
      <c r="KX4" s="16">
        <f>IF(SUM(KG4:KJ4)-KK4&gt;0,SUM(KG4:KJ4)-KK4,"")</f>
        <v>6.0100000000000007</v>
      </c>
      <c r="KY4" s="16">
        <f>IF(SUM(KR4,KX4)&gt;0,SUM(KR4,KX4),"")</f>
        <v>58.59</v>
      </c>
      <c r="KZ4" s="25">
        <v>15.8</v>
      </c>
      <c r="LA4" s="25">
        <v>9.8000000000000007</v>
      </c>
      <c r="LB4" s="25">
        <v>14.4</v>
      </c>
      <c r="LC4" s="25">
        <v>15.1</v>
      </c>
      <c r="LD4" s="25">
        <v>0</v>
      </c>
      <c r="LE4" s="25">
        <v>15.7</v>
      </c>
      <c r="LF4" s="25">
        <v>9.4</v>
      </c>
      <c r="LG4" s="25">
        <v>15</v>
      </c>
      <c r="LH4" s="25">
        <v>14.94</v>
      </c>
      <c r="LI4" s="25">
        <v>0.2</v>
      </c>
      <c r="LJ4" s="25"/>
      <c r="LK4" s="25"/>
      <c r="LL4" s="25"/>
      <c r="LM4" s="25"/>
      <c r="LN4" s="25"/>
      <c r="LO4" s="25">
        <v>15</v>
      </c>
      <c r="LP4" s="25">
        <v>9.6</v>
      </c>
      <c r="LQ4" s="25">
        <v>14.2</v>
      </c>
      <c r="LR4" s="25">
        <v>15.19</v>
      </c>
      <c r="LS4" s="25">
        <v>0</v>
      </c>
      <c r="LT4" s="76">
        <f>IF(LB4&gt;0,LB4,"")</f>
        <v>14.4</v>
      </c>
      <c r="LU4" s="76">
        <f>IF(LC4&gt;0,LC4,"")</f>
        <v>15.1</v>
      </c>
      <c r="LV4" s="76">
        <f>IF(SUM(KZ4:LC4)-LD4&gt;0,SUM(KZ4:LC4)-LD4,"")</f>
        <v>55.1</v>
      </c>
      <c r="LW4" s="76">
        <f>IF(LG4&gt;0,LG4,"")</f>
        <v>15</v>
      </c>
      <c r="LX4" s="76">
        <f>IF(LH4&gt;0,LH4,"")</f>
        <v>14.94</v>
      </c>
      <c r="LY4" s="76">
        <f>IF(SUM(LE4:LH4)-LI4&gt;0,SUM(LE4:LH4)-LI4,"")</f>
        <v>54.839999999999996</v>
      </c>
      <c r="LZ4" s="76">
        <f>IF(MAX(LV4,LY4)&gt;0,MAX(LV4,LY4),"")</f>
        <v>55.1</v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>
        <f>IF(LQ4&gt;0,LQ4,"")</f>
        <v>14.2</v>
      </c>
      <c r="ME4" s="76">
        <f>IF(LR4&gt;0,LR4,"")</f>
        <v>15.19</v>
      </c>
      <c r="MF4" s="76">
        <f>IF(SUM(LO4:LR4)-LS4&gt;0,SUM(LO4:LR4)-LS4,"")</f>
        <v>53.989999999999995</v>
      </c>
      <c r="MG4" s="76">
        <f>IF(SUM(LZ4,MF4)&gt;0,SUM(LZ4,MF4),"")</f>
        <v>109.09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>
        <v>15.4</v>
      </c>
      <c r="OY4" s="26">
        <v>9.6</v>
      </c>
      <c r="OZ4" s="26">
        <v>14.4</v>
      </c>
      <c r="PA4" s="26">
        <v>15.1</v>
      </c>
      <c r="PB4" s="26">
        <v>0.2</v>
      </c>
      <c r="PC4" s="26">
        <v>15.6</v>
      </c>
      <c r="PD4" s="26">
        <v>9</v>
      </c>
      <c r="PE4" s="26">
        <v>14</v>
      </c>
      <c r="PF4" s="26">
        <v>14.99</v>
      </c>
      <c r="PG4" s="26">
        <v>0.2</v>
      </c>
      <c r="PH4" s="26">
        <v>16.399999999999999</v>
      </c>
      <c r="PI4" s="26">
        <v>9.6999999999999993</v>
      </c>
      <c r="PJ4" s="26">
        <v>14.4</v>
      </c>
      <c r="PK4" s="26">
        <v>15.11</v>
      </c>
      <c r="PL4" s="26">
        <v>0</v>
      </c>
      <c r="PM4" s="26">
        <v>15.5</v>
      </c>
      <c r="PN4" s="26">
        <v>9.3000000000000007</v>
      </c>
      <c r="PO4" s="26">
        <v>14.4</v>
      </c>
      <c r="PP4" s="26">
        <v>15.115</v>
      </c>
      <c r="PQ4" s="26">
        <v>0</v>
      </c>
      <c r="PR4" s="16">
        <f>IF(OZ4&gt;0,OZ4,"")</f>
        <v>14.4</v>
      </c>
      <c r="PS4" s="16">
        <f>IF(PA4&gt;0,PA4,"")</f>
        <v>15.1</v>
      </c>
      <c r="PT4" s="16">
        <f>IF(SUM(OX4:PA4)-PB4&gt;0,SUM(OX4:PA4)-PB4,"")</f>
        <v>54.3</v>
      </c>
      <c r="PU4" s="16">
        <f>IF(PE4&gt;0,PE4,"")</f>
        <v>14</v>
      </c>
      <c r="PV4" s="16">
        <f>IF(PF4&gt;0,PF4,"")</f>
        <v>14.99</v>
      </c>
      <c r="PW4" s="16">
        <f>IF(SUM(PC4:PF4)-PG4&gt;0,SUM(PC4:PF4)-PG4,"")</f>
        <v>53.39</v>
      </c>
      <c r="PX4" s="16">
        <f>IF(MAX(PT4,PW4)&gt;0,MAX(PT4,PW4),"")</f>
        <v>54.3</v>
      </c>
      <c r="PY4" s="16">
        <f>IF(PJ4&gt;0,PJ4,"")</f>
        <v>14.4</v>
      </c>
      <c r="PZ4" s="16">
        <f>IF(PK4&gt;0,PK4,"")</f>
        <v>15.11</v>
      </c>
      <c r="QA4" s="16">
        <f>IF(SUM(PH4:PK4)-PL4&gt;0,SUM(PH4:PK4)-PL4,"")</f>
        <v>55.61</v>
      </c>
      <c r="QB4" s="16">
        <f>IF(PO4&gt;0,PO4,"")</f>
        <v>14.4</v>
      </c>
      <c r="QC4" s="16">
        <f>IF(PP4&gt;0,PP4,"")</f>
        <v>15.115</v>
      </c>
      <c r="QD4" s="16">
        <f>IF(SUM(PM4:PP4)-PQ4&gt;0,SUM(PM4:PP4)-PQ4,"")</f>
        <v>54.315000000000005</v>
      </c>
      <c r="QE4" s="16">
        <f>IF(SUM(PX4,QD4)&gt;0,SUM(PX4,QD4),"")</f>
        <v>108.61500000000001</v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15.940000000000001</v>
      </c>
      <c r="SW4" s="42">
        <f>IF($CP4="P",CB4,(CB4+BA4)/2)</f>
        <v>9.4</v>
      </c>
      <c r="SX4" s="42">
        <f>IF($CP4="P",CC4,(CC4+BB4)/2)</f>
        <v>14.2</v>
      </c>
      <c r="SY4" s="42">
        <f>IF($CP4="P",CD4,(CD4+BC4)/2)</f>
        <v>14.99</v>
      </c>
      <c r="SZ4" s="42">
        <f>IF($CP4="P",CE4,(CE4+BD4)/2)</f>
        <v>0.1</v>
      </c>
      <c r="TA4" s="42">
        <f>IF($CP4="P",CF4,(CF4+BE4)/2)</f>
        <v>15.8</v>
      </c>
      <c r="TB4" s="42">
        <f>IF($CP4="P",CG4,(CG4+BF4)/2)</f>
        <v>9.1999999999999993</v>
      </c>
      <c r="TC4" s="42">
        <f>IF($CP4="P",CH4,(CH4+BG4)/2)</f>
        <v>14.4</v>
      </c>
      <c r="TD4" s="42">
        <f>IF($CP4="P",CI4,(CI4+BH4)/2)</f>
        <v>15.255000000000001</v>
      </c>
      <c r="TE4" s="42">
        <f>IF($CP4="P",CJ4,(CJ4+BI4)/2)</f>
        <v>0</v>
      </c>
      <c r="TF4" s="42">
        <f>IF($CP4="P",CK4,(CK4+BJ4)/2)</f>
        <v>15.950000000000001</v>
      </c>
      <c r="TG4" s="42">
        <f>IF($CP4="P",CL4,(CL4+BK4)/2)</f>
        <v>8.9499999999999993</v>
      </c>
      <c r="TH4" s="42">
        <f>IF($CP4="P",CM4,(CM4+BL4)/2)</f>
        <v>13.9</v>
      </c>
      <c r="TI4" s="42">
        <f>IF($CP4="P",CN4,(CN4+BM4)/2)</f>
        <v>15.225</v>
      </c>
      <c r="TJ4" s="42">
        <f>IF($CP4="P",CO4,(CO4+BN4)/2)</f>
        <v>0.1</v>
      </c>
      <c r="TK4" s="51" t="s">
        <v>58</v>
      </c>
      <c r="TL4" s="76">
        <f>IF(SX4&gt;0,SX4,"")</f>
        <v>14.2</v>
      </c>
      <c r="TM4" s="76">
        <f>IF(SY4&gt;0,SY4,"")</f>
        <v>14.99</v>
      </c>
      <c r="TN4" s="76">
        <f>IF(SUM(SV4:SY4)-SZ4&gt;0,SUM(SV4:SY4)-SZ4,"")</f>
        <v>54.430000000000007</v>
      </c>
      <c r="TO4" s="76">
        <f>IF(TC4&gt;0,TC4,"")</f>
        <v>14.4</v>
      </c>
      <c r="TP4" s="76">
        <f>IF(TD4&gt;0,TD4,"")</f>
        <v>15.255000000000001</v>
      </c>
      <c r="TQ4" s="76">
        <f>IF(SUM(TA4:TD4)-TE4&gt;0,SUM(TA4:TD4)-TE4,"")</f>
        <v>54.655000000000001</v>
      </c>
      <c r="TR4" s="76">
        <f>IF(MAX(TN4,TQ4)&gt;0,MAX(TN4,TQ4),"")</f>
        <v>54.655000000000001</v>
      </c>
      <c r="TS4" s="76">
        <f>IF(TH4&gt;0,TH4,"")</f>
        <v>13.9</v>
      </c>
      <c r="TT4" s="76">
        <f>IF(TI4&gt;0,TI4,"")</f>
        <v>15.225</v>
      </c>
      <c r="TU4" s="76">
        <f>IF(SUM(TF4:TI4)-TJ4&gt;0,SUM(TF4:TI4)-TJ4,"")</f>
        <v>53.924999999999997</v>
      </c>
      <c r="TV4" s="76">
        <f>IF(SUM(TR4,TU4)&gt;0,SUM(TR4,TU4),"")</f>
        <v>108.58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26</v>
      </c>
      <c r="C5" s="7" t="s">
        <v>8</v>
      </c>
      <c r="D5" s="18">
        <v>1997</v>
      </c>
      <c r="E5" s="14">
        <f>SUM(J5:V5)+SUM(J5:T5)*0.0000001+SUM(J5)*0.0000000000001</f>
        <v>247.6550247320055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),"P","")</f>
        <v>P</v>
      </c>
      <c r="J5" s="13">
        <f>IF(COUNT(AQ5,AT5,BR5,BU5,CS5,CV5)&gt;0,LARGE((AQ5,AT5,BR5,BU5,CS5,CV5),1),0)</f>
        <v>54.808749999999996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54.429999999999993</v>
      </c>
      <c r="M5" s="13" t="str">
        <f>IF(L5="","",IF(OR(L5=CS5,L5=CV5),$CA$1,IF(OR(L5=BR5,L5=BU5),$AZ$1,IF(OR(L5=AQ5,L5=AT5),$Y$1,""))))</f>
        <v>2022 3rd Domestic Trial</v>
      </c>
      <c r="N5" s="13">
        <f>IF(COUNT(AQ5,AT5,BR5,BU5,CS5,CV5)&gt;2,LARGE((AQ5,AT5,BR5,BU5,CS5,CV5),3),0)</f>
        <v>54.180000000000007</v>
      </c>
      <c r="O5" s="13" t="str">
        <f>IF(N5="","",IF(OR(N5=CS5,N5=CV5),$CA$1,IF(OR(N5=BR5,N5=BU5),$AZ$1,IF(OR(N5=AQ5,N5=AT5),$Y$1,""))))</f>
        <v>2022 Nationals</v>
      </c>
      <c r="P5" s="13">
        <f>IF(MAX(AX5,BY5,CZ5)&gt;0,MAX(AX5,BY5,CZ5),0)</f>
        <v>53.93</v>
      </c>
      <c r="Q5" s="13" t="str">
        <f>IF(P5="","",IF(P5=CZ5,$CA$1,IF(P5=BY5,$AZ$1,IF(P5=AX5,$Y$1,""))))</f>
        <v>2022 Nationals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2021 World Championships All-Around Team Finals (Nov 21)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,IF(DX5&gt;=$EK$17,DY5,0),IF(EA5&gt;=$EK$17,EB5,0),IF(EE5&gt;=$EK$17,EF5,0),IF(EH5&gt;=$EK$17,EI5,0),IF(FF5&gt;=$FS$17,FG5,0),IF(FI5&gt;=$FS$17,FJ5,0),IF(FM5&gt;=$FS$17,FN5,0),IF(FP5&gt;=$FS$17,FQ5,0),IF(GN5&gt;=$HA$17,GO5,0),IF(GQ5&gt;=$HA$17,GR5,0),IF(GU5&gt;=$HA$17,GV5,0),IF(GX5&gt;=$HA$17,GY5,0),IF(HV5&gt;=$II$17,HW5,0),IF(HY5&gt;=$II$17,HZ5,0),IF(IC5&gt;=$II$17,ID5,0),IF(IF5&gt;=$II$17,IG5,0),IF(JD5&gt;=$JQ$17,JE5,0),IF(JG5&gt;=$JQ$17,JH5,0),IF(JK5&gt;=$JQ$17,JL5,0),IF(JN5&gt;=$JQ$17,JO5,0),IF(KL5&gt;=$KY$17,KM5,0),IF(KO5&gt;=$KY$17,KP5,0),IF(KS5&gt;=$KY$17,KT5,0),IF(KV5&gt;=$KY$17,KW5,0),IF(LT5&gt;=$MG$17,LU5,0),IF(LW5&gt;=$MG$17,LX5,0),IF(MA5&gt;=$MG$17,MB5,0),IF(MD5&gt;=$MG$17,ME5,0),IF(NB5&gt;=$NO$17,NC5,0),IF(NE5&gt;=$NO$17,NF5,0),IF(NI5&gt;=$NO$17,NJ5,0),IF(NL5&gt;=$NO$17,NM5,0),IF(OJ5&gt;=$OW$17,OK5,0),IF(OM5&gt;=$OW$17,ON5,0),IF(OQ5&gt;=$OW$17,OR5,0),IF(OT5&gt;=$OW$17,OU5,0),IF(PR5&gt;=$QE$17,PS5,0),IF(PU5&gt;=$QE$17,PV5,0),IF(PY5&gt;=$QE$17,PZ5,0),IF(QB5&gt;=$QE$17,QC5,0),IF(QZ5&gt;=$RM$17,RA5,0),IF(RC5&gt;=$RM$17,RD5,0),IF(RG5&gt;=$RM$17,RH5,0),IF(RJ5&gt;=$RM$17,RK5,0),IF(SH5&gt;=$SU$17,SI5,0),IF(SK5&gt;=$SU$17,SL5,0),IF(SO5&gt;=$SU$17,SP5,0),IF(SR5&gt;=$SU$17,SS5,0)),0)</f>
        <v>15.571249999999999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Elite Canada</v>
      </c>
      <c r="V5" s="13">
        <f>IF(MAX(DB5,DC5)&gt;0,MAX(DB5,DC5),"")</f>
        <v>0.33500000000000085</v>
      </c>
      <c r="W5" s="16" t="str">
        <f>IF(V5="","",IF(V5=DB5,"("&amp;DB$2&amp;")",IF(V5=DC5,"("&amp;DC$2&amp;")")))</f>
        <v>(Final)</v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2021 World Championships All-Around Team Finals (Nov 21)</v>
      </c>
      <c r="Y5" s="42">
        <v>16.299999999999997</v>
      </c>
      <c r="Z5" s="42">
        <v>9.0875000000000004</v>
      </c>
      <c r="AA5" s="42">
        <v>13.850000000000001</v>
      </c>
      <c r="AB5" s="42">
        <v>15.571249999999999</v>
      </c>
      <c r="AC5" s="42">
        <v>0</v>
      </c>
      <c r="AD5" s="42">
        <v>13.975000000000001</v>
      </c>
      <c r="AE5" s="42">
        <v>7.85</v>
      </c>
      <c r="AF5" s="42">
        <v>12.600000000000001</v>
      </c>
      <c r="AG5" s="42">
        <v>13.54125</v>
      </c>
      <c r="AH5" s="42">
        <v>0</v>
      </c>
      <c r="AI5" s="42">
        <v>15.675000000000001</v>
      </c>
      <c r="AJ5" s="42">
        <v>9.1999999999999993</v>
      </c>
      <c r="AK5" s="42">
        <v>13.524999999999999</v>
      </c>
      <c r="AL5" s="42">
        <v>15.35</v>
      </c>
      <c r="AM5" s="42">
        <v>0</v>
      </c>
      <c r="AN5" s="51" t="s">
        <v>58</v>
      </c>
      <c r="AO5" s="74">
        <f>IF(AA5&gt;0,AA5,"")</f>
        <v>13.850000000000001</v>
      </c>
      <c r="AP5" s="74">
        <f>IF(AB5&gt;0,AB5,"")</f>
        <v>15.571249999999999</v>
      </c>
      <c r="AQ5" s="76">
        <f>IF(SUM(Y5:AB5)-AC5&gt;0,SUM(Y5:AB5)-AC5,"")</f>
        <v>54.808749999999996</v>
      </c>
      <c r="AR5" s="76">
        <f>IF(AF5&gt;0,AF5,"")</f>
        <v>12.600000000000001</v>
      </c>
      <c r="AS5" s="76">
        <f>IF(AG5&gt;0,AG5,"")</f>
        <v>13.54125</v>
      </c>
      <c r="AT5" s="76">
        <f>IF(SUM(AD5:AG5)-AH5&gt;0,SUM(AD5:AG5)-AH5,"")</f>
        <v>47.966250000000002</v>
      </c>
      <c r="AU5" s="76">
        <f>IF(AQ5="","",MAX(AQ5,AT5))</f>
        <v>54.808749999999996</v>
      </c>
      <c r="AV5" s="76">
        <f>IF(AK5&gt;0,AK5,"")</f>
        <v>13.524999999999999</v>
      </c>
      <c r="AW5" s="76">
        <f>IF(AL5&gt;0,AL5,"")</f>
        <v>15.35</v>
      </c>
      <c r="AX5" s="76">
        <f>IF(SUM(AI5:AL5)-AM5&gt;0,SUM(AI5:AL5)-AM5,"")</f>
        <v>53.75</v>
      </c>
      <c r="AY5" s="76">
        <f>IF(SUM(AU5,AX5)&gt;0,SUM(AU5,AX5),"")</f>
        <v>108.55875</v>
      </c>
      <c r="AZ5" s="46">
        <v>12.3</v>
      </c>
      <c r="BA5" s="46">
        <v>6.8</v>
      </c>
      <c r="BB5" s="46">
        <v>9.3000000000000007</v>
      </c>
      <c r="BC5" s="46">
        <v>12.28</v>
      </c>
      <c r="BD5" s="46">
        <v>0.2</v>
      </c>
      <c r="BE5" s="46">
        <v>16</v>
      </c>
      <c r="BF5" s="46">
        <v>9.1</v>
      </c>
      <c r="BG5" s="46">
        <v>13.6</v>
      </c>
      <c r="BH5" s="46">
        <v>15.48</v>
      </c>
      <c r="BI5" s="46">
        <v>0</v>
      </c>
      <c r="BJ5" s="46">
        <v>16.5</v>
      </c>
      <c r="BK5" s="46">
        <v>9.1999999999999993</v>
      </c>
      <c r="BL5" s="46">
        <v>13</v>
      </c>
      <c r="BM5" s="46">
        <v>15.43</v>
      </c>
      <c r="BN5" s="46">
        <v>0.2</v>
      </c>
      <c r="BO5" s="52"/>
      <c r="BP5" s="75">
        <f>IF(BB5&gt;0,BB5,"")</f>
        <v>9.3000000000000007</v>
      </c>
      <c r="BQ5" s="75">
        <f>IF(BC5&gt;0,BC5,"")</f>
        <v>12.28</v>
      </c>
      <c r="BR5" s="16">
        <f>IF(SUM(AZ5:BC5)-BD5&gt;0,SUM(AZ5:BC5)-BD5,"")</f>
        <v>40.479999999999997</v>
      </c>
      <c r="BS5" s="16">
        <f>IF(BG5&gt;0,BG5,"")</f>
        <v>13.6</v>
      </c>
      <c r="BT5" s="16">
        <f>IF(BH5&gt;0,BH5,"")</f>
        <v>15.48</v>
      </c>
      <c r="BU5" s="16">
        <f>IF(SUM(BE5:BH5)-BI5&gt;0,SUM(BE5:BH5)-BI5,"")</f>
        <v>54.180000000000007</v>
      </c>
      <c r="BV5" s="16">
        <f>IF(BR5="","",MAX(BR5,BU5))</f>
        <v>54.180000000000007</v>
      </c>
      <c r="BW5" s="16">
        <f>IF(BL5&gt;0,BL5,"")</f>
        <v>13</v>
      </c>
      <c r="BX5" s="16">
        <f>IF(BM5&gt;0,BM5,"")</f>
        <v>15.43</v>
      </c>
      <c r="BY5" s="16">
        <f>IF(SUM(BJ5:BM5)-BN5&gt;0,SUM(BJ5:BM5)-BN5,"")</f>
        <v>53.93</v>
      </c>
      <c r="BZ5" s="16">
        <f>IF(SUM(BV5,BY5)&gt;0,SUM(BV5,BY5),"")</f>
        <v>108.11000000000001</v>
      </c>
      <c r="CA5" s="42">
        <v>16.2</v>
      </c>
      <c r="CB5" s="42">
        <v>9.1999999999999993</v>
      </c>
      <c r="CC5" s="42">
        <v>13</v>
      </c>
      <c r="CD5" s="42">
        <v>15.15</v>
      </c>
      <c r="CE5" s="42">
        <v>0</v>
      </c>
      <c r="CF5" s="42">
        <v>15.7</v>
      </c>
      <c r="CG5" s="42">
        <v>9.6</v>
      </c>
      <c r="CH5" s="42">
        <v>13.8</v>
      </c>
      <c r="CI5" s="42">
        <v>15.33</v>
      </c>
      <c r="CJ5" s="42">
        <v>0</v>
      </c>
      <c r="CK5" s="42">
        <v>4.62</v>
      </c>
      <c r="CL5" s="42">
        <v>2.8</v>
      </c>
      <c r="CM5" s="42">
        <v>4.7</v>
      </c>
      <c r="CN5" s="42">
        <v>4.83</v>
      </c>
      <c r="CO5" s="42">
        <v>0.2</v>
      </c>
      <c r="CP5" s="51"/>
      <c r="CQ5" s="74">
        <f>IF(CC5&gt;0,CC5,"")</f>
        <v>13</v>
      </c>
      <c r="CR5" s="74">
        <f>IF(CD5&gt;0,CD5,"")</f>
        <v>15.15</v>
      </c>
      <c r="CS5" s="76">
        <f>IF(SUM(CA5:CD5)-CE5&gt;0,SUM(CA5:CD5)-CE5,"")</f>
        <v>53.55</v>
      </c>
      <c r="CT5" s="76">
        <f>IF(CH5&gt;0,CH5,"")</f>
        <v>13.8</v>
      </c>
      <c r="CU5" s="76">
        <f>IF(CI5&gt;0,CI5,"")</f>
        <v>15.33</v>
      </c>
      <c r="CV5" s="76">
        <f>IF(SUM(CF5:CI5)-CJ5&gt;0,SUM(CF5:CI5)-CJ5,"")</f>
        <v>54.429999999999993</v>
      </c>
      <c r="CW5" s="76">
        <f>IF(CS5="","",MAX(CS5,CV5))</f>
        <v>54.429999999999993</v>
      </c>
      <c r="CX5" s="76">
        <f>IF(CM5&gt;0,CM5,"")</f>
        <v>4.7</v>
      </c>
      <c r="CY5" s="76">
        <f>IF(CN5&gt;0,CN5,"")</f>
        <v>4.83</v>
      </c>
      <c r="CZ5" s="76">
        <f>IF(SUM(CK5:CN5)-CO5&gt;0,SUM(CK5:CN5)-CO5,"")</f>
        <v>16.750000000000004</v>
      </c>
      <c r="DA5" s="76">
        <f>IF(SUM(CW5,CZ5)&gt;0,SUM(CW5,CZ5),"")</f>
        <v>71.179999999999993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>0.33500000000000085</v>
      </c>
      <c r="DD5" s="25">
        <v>15.4</v>
      </c>
      <c r="DE5" s="25">
        <v>9.1999999999999993</v>
      </c>
      <c r="DF5" s="25">
        <v>13.3</v>
      </c>
      <c r="DG5" s="25">
        <v>15.154999999999999</v>
      </c>
      <c r="DH5" s="25">
        <v>0</v>
      </c>
      <c r="DI5" s="25"/>
      <c r="DJ5" s="25"/>
      <c r="DK5" s="25"/>
      <c r="DL5" s="25"/>
      <c r="DM5" s="25"/>
      <c r="DN5" s="25">
        <v>15.2</v>
      </c>
      <c r="DO5" s="25">
        <v>9.1</v>
      </c>
      <c r="DP5" s="25">
        <v>14.4</v>
      </c>
      <c r="DQ5" s="25">
        <v>15.21</v>
      </c>
      <c r="DR5" s="25">
        <v>0</v>
      </c>
      <c r="DS5" s="25">
        <v>14.9</v>
      </c>
      <c r="DT5" s="25">
        <v>9.1</v>
      </c>
      <c r="DU5" s="25">
        <v>11.9</v>
      </c>
      <c r="DV5" s="25">
        <v>14.984999999999999</v>
      </c>
      <c r="DW5" s="25"/>
      <c r="DX5" s="76">
        <f>IF(DF5&gt;0,DF5,"")</f>
        <v>13.3</v>
      </c>
      <c r="DY5" s="76">
        <f>IF(DG5&gt;0,DG5,"")</f>
        <v>15.154999999999999</v>
      </c>
      <c r="DZ5" s="76">
        <f>IF(SUM(DD5:DG5)-DH5&gt;0,SUM(DD5:DG5)-DH5,"")</f>
        <v>53.055000000000007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53.055000000000007</v>
      </c>
      <c r="EE5" s="76">
        <f>IF(DP5&gt;0,DP5,"")</f>
        <v>14.4</v>
      </c>
      <c r="EF5" s="76">
        <f>IF(DQ5&gt;0,DQ5,"")</f>
        <v>15.21</v>
      </c>
      <c r="EG5" s="76">
        <f>IF(SUM(DN5:DQ5)-DR5&gt;0,SUM(DN5:DQ5)-DR5,"")</f>
        <v>53.91</v>
      </c>
      <c r="EH5" s="76">
        <f>IF(DU5&gt;0,DU5,"")</f>
        <v>11.9</v>
      </c>
      <c r="EI5" s="76">
        <f>IF(DV5&gt;0,DV5,"")</f>
        <v>14.984999999999999</v>
      </c>
      <c r="EJ5" s="76">
        <f>IF(SUM(DS5:DV5)-DW5&gt;0,SUM(DS5:DV5)-DW5,"")</f>
        <v>50.884999999999998</v>
      </c>
      <c r="EK5" s="76">
        <f>IF(SUM(ED5,EJ5)&gt;0,SUM(ED5,EJ5),"")</f>
        <v>103.94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>
        <v>14.8</v>
      </c>
      <c r="FB5" s="26">
        <v>9.5</v>
      </c>
      <c r="FC5" s="26">
        <v>14.2</v>
      </c>
      <c r="FD5" s="26">
        <v>15.145</v>
      </c>
      <c r="FE5" s="26">
        <v>0</v>
      </c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>
        <f>IF(FC5&gt;0,FC5,"")</f>
        <v>14.2</v>
      </c>
      <c r="FQ5" s="16">
        <f>IF(FD5&gt;0,FD5,"")</f>
        <v>15.145</v>
      </c>
      <c r="FR5" s="16">
        <f>IF(SUM(FA5:FD5)-FE5&gt;0,SUM(FA5:FD5)-FE5,"")</f>
        <v>53.644999999999996</v>
      </c>
      <c r="FS5" s="16">
        <f>IF(SUM(FL5,FR5)&gt;0,SUM(FL5,FR5),"")</f>
        <v>53.644999999999996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15.3</v>
      </c>
      <c r="GJ5" s="25">
        <v>9.5</v>
      </c>
      <c r="GK5" s="25">
        <v>14.4</v>
      </c>
      <c r="GL5" s="25">
        <v>15.065</v>
      </c>
      <c r="GM5" s="25">
        <v>0</v>
      </c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>
        <f>IF(GK5&gt;0,GK5,"")</f>
        <v>14.4</v>
      </c>
      <c r="GY5" s="76">
        <f>IF(GL5&gt;0,GL5,"")</f>
        <v>15.065</v>
      </c>
      <c r="GZ5" s="76">
        <f>IF(SUM(GI5:GL5)-GM5&gt;0,SUM(GI5:GL5)-GM5,"")</f>
        <v>54.265000000000001</v>
      </c>
      <c r="HA5" s="76">
        <f>IF(SUM(GT5,GZ5)&gt;0,SUM(GT5,GZ5),"")</f>
        <v>54.265000000000001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>
        <v>14.9</v>
      </c>
      <c r="JS5" s="26">
        <v>9.3000000000000007</v>
      </c>
      <c r="JT5" s="26">
        <v>13</v>
      </c>
      <c r="JU5" s="26">
        <v>14.53</v>
      </c>
      <c r="JV5" s="26">
        <v>0</v>
      </c>
      <c r="JW5" s="26">
        <v>14.9</v>
      </c>
      <c r="JX5" s="26">
        <v>9.6999999999999993</v>
      </c>
      <c r="JY5" s="26">
        <v>12.8</v>
      </c>
      <c r="JZ5" s="26">
        <v>14.81</v>
      </c>
      <c r="KA5" s="26">
        <v>0</v>
      </c>
      <c r="KB5" s="26">
        <v>1.6</v>
      </c>
      <c r="KC5" s="26">
        <v>0.9</v>
      </c>
      <c r="KD5" s="26">
        <v>2</v>
      </c>
      <c r="KE5" s="26">
        <v>1.65</v>
      </c>
      <c r="KF5" s="26">
        <v>0</v>
      </c>
      <c r="KG5" s="26"/>
      <c r="KH5" s="26"/>
      <c r="KI5" s="26"/>
      <c r="KJ5" s="26"/>
      <c r="KK5" s="26"/>
      <c r="KL5" s="16">
        <f>IF(JT5&gt;0,JT5,"")</f>
        <v>13</v>
      </c>
      <c r="KM5" s="16">
        <f>IF(JU5&gt;0,JU5,"")</f>
        <v>14.53</v>
      </c>
      <c r="KN5" s="16">
        <f>IF(SUM(JR5:JU5)-JV5&gt;0,SUM(JR5:JU5)-JV5,"")</f>
        <v>51.730000000000004</v>
      </c>
      <c r="KO5" s="16">
        <f>IF(JY5&gt;0,JY5,"")</f>
        <v>12.8</v>
      </c>
      <c r="KP5" s="16">
        <f>IF(JZ5&gt;0,JZ5,"")</f>
        <v>14.81</v>
      </c>
      <c r="KQ5" s="16">
        <f>IF(SUM(JW5:JZ5)-KA5&gt;0,SUM(JW5:JZ5)-KA5,"")</f>
        <v>52.210000000000008</v>
      </c>
      <c r="KR5" s="16">
        <f>IF(MAX(KN5,KQ5)&gt;0,MAX(KN5,KQ5),"")</f>
        <v>52.210000000000008</v>
      </c>
      <c r="KS5" s="16">
        <f>IF(KD5&gt;0,KD5,"")</f>
        <v>2</v>
      </c>
      <c r="KT5" s="16">
        <f>IF(KE5&gt;0,KE5,"")</f>
        <v>1.65</v>
      </c>
      <c r="KU5" s="16">
        <f>IF(SUM(KB5:KE5)-KF5&gt;0,SUM(KB5:KE5)-KF5,"")</f>
        <v>6.15</v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>
        <f>IF(SUM(KR5,KX5)&gt;0,SUM(KR5,KX5),"")</f>
        <v>52.210000000000008</v>
      </c>
      <c r="KZ5" s="25">
        <v>15.2</v>
      </c>
      <c r="LA5" s="25">
        <v>9</v>
      </c>
      <c r="LB5" s="25">
        <v>13</v>
      </c>
      <c r="LC5" s="25">
        <v>15.48</v>
      </c>
      <c r="LD5" s="25">
        <v>0</v>
      </c>
      <c r="LE5" s="25">
        <v>0</v>
      </c>
      <c r="LF5" s="25">
        <v>0</v>
      </c>
      <c r="LG5" s="25">
        <v>0</v>
      </c>
      <c r="LH5" s="25">
        <v>0</v>
      </c>
      <c r="LI5" s="25">
        <v>0</v>
      </c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>
        <f>IF(LB5&gt;0,LB5,"")</f>
        <v>13</v>
      </c>
      <c r="LU5" s="76">
        <f>IF(LC5&gt;0,LC5,"")</f>
        <v>15.48</v>
      </c>
      <c r="LV5" s="76">
        <f>IF(SUM(KZ5:LC5)-LD5&gt;0,SUM(KZ5:LC5)-LD5,"")</f>
        <v>52.680000000000007</v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>
        <f>IF(MAX(LV5,LY5)&gt;0,MAX(LV5,LY5),"")</f>
        <v>52.680000000000007</v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>
        <f>IF(SUM(LZ5,MF5)&gt;0,SUM(LZ5,MF5),"")</f>
        <v>52.680000000000007</v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>
        <v>1.6</v>
      </c>
      <c r="OY5" s="26">
        <v>0.8</v>
      </c>
      <c r="OZ5" s="26">
        <v>2</v>
      </c>
      <c r="PA5" s="26">
        <v>1.675</v>
      </c>
      <c r="PB5" s="26">
        <v>0</v>
      </c>
      <c r="PC5" s="26">
        <v>15.9</v>
      </c>
      <c r="PD5" s="26">
        <v>9</v>
      </c>
      <c r="PE5" s="26">
        <v>13.8</v>
      </c>
      <c r="PF5" s="26">
        <v>15.09</v>
      </c>
      <c r="PG5" s="26">
        <v>0</v>
      </c>
      <c r="PH5" s="26">
        <v>15.3</v>
      </c>
      <c r="PI5" s="26">
        <v>8.6999999999999993</v>
      </c>
      <c r="PJ5" s="26">
        <v>13.2</v>
      </c>
      <c r="PK5" s="26">
        <v>15.115</v>
      </c>
      <c r="PL5" s="26">
        <v>0</v>
      </c>
      <c r="PM5" s="26"/>
      <c r="PN5" s="26"/>
      <c r="PO5" s="26"/>
      <c r="PP5" s="26"/>
      <c r="PQ5" s="26"/>
      <c r="PR5" s="16">
        <f>IF(OZ5&gt;0,OZ5,"")</f>
        <v>2</v>
      </c>
      <c r="PS5" s="16">
        <f>IF(PA5&gt;0,PA5,"")</f>
        <v>1.675</v>
      </c>
      <c r="PT5" s="16">
        <f>IF(SUM(OX5:PA5)-PB5&gt;0,SUM(OX5:PA5)-PB5,"")</f>
        <v>6.0750000000000002</v>
      </c>
      <c r="PU5" s="16">
        <f>IF(PE5&gt;0,PE5,"")</f>
        <v>13.8</v>
      </c>
      <c r="PV5" s="16">
        <f>IF(PF5&gt;0,PF5,"")</f>
        <v>15.09</v>
      </c>
      <c r="PW5" s="16">
        <f>IF(SUM(PC5:PF5)-PG5&gt;0,SUM(PC5:PF5)-PG5,"")</f>
        <v>53.790000000000006</v>
      </c>
      <c r="PX5" s="16">
        <f>IF(MAX(PT5,PW5)&gt;0,MAX(PT5,PW5),"")</f>
        <v>53.790000000000006</v>
      </c>
      <c r="PY5" s="16">
        <f>IF(PJ5&gt;0,PJ5,"")</f>
        <v>13.2</v>
      </c>
      <c r="PZ5" s="16">
        <f>IF(PK5&gt;0,PK5,"")</f>
        <v>15.115</v>
      </c>
      <c r="QA5" s="16">
        <f>IF(SUM(PH5:PK5)-PL5&gt;0,SUM(PH5:PK5)-PL5,"")</f>
        <v>52.315000000000005</v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>
        <f>IF(SUM(PX5,QD5)&gt;0,SUM(PX5,QD5),"")</f>
        <v>53.790000000000006</v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14.25</v>
      </c>
      <c r="SW5" s="42">
        <f>IF($CP5="P",CB5,(CB5+BA5)/2)</f>
        <v>8</v>
      </c>
      <c r="SX5" s="42">
        <f>IF($CP5="P",CC5,(CC5+BB5)/2)</f>
        <v>11.15</v>
      </c>
      <c r="SY5" s="42">
        <f>IF($CP5="P",CD5,(CD5+BC5)/2)</f>
        <v>13.715</v>
      </c>
      <c r="SZ5" s="42">
        <f>IF($CP5="P",CE5,(CE5+BD5)/2)</f>
        <v>0.1</v>
      </c>
      <c r="TA5" s="42">
        <f>IF($CP5="P",CF5,(CF5+BE5)/2)</f>
        <v>15.85</v>
      </c>
      <c r="TB5" s="42">
        <f>IF($CP5="P",CG5,(CG5+BF5)/2)</f>
        <v>9.35</v>
      </c>
      <c r="TC5" s="42">
        <f>IF($CP5="P",CH5,(CH5+BG5)/2)</f>
        <v>13.7</v>
      </c>
      <c r="TD5" s="42">
        <f>IF($CP5="P",CI5,(CI5+BH5)/2)</f>
        <v>15.405000000000001</v>
      </c>
      <c r="TE5" s="42">
        <f>IF($CP5="P",CJ5,(CJ5+BI5)/2)</f>
        <v>0</v>
      </c>
      <c r="TF5" s="42">
        <f>IF($CP5="P",CK5,(CK5+BJ5)/2)</f>
        <v>10.56</v>
      </c>
      <c r="TG5" s="42">
        <f>IF($CP5="P",CL5,(CL5+BK5)/2)</f>
        <v>6</v>
      </c>
      <c r="TH5" s="42">
        <f>IF($CP5="P",CM5,(CM5+BL5)/2)</f>
        <v>8.85</v>
      </c>
      <c r="TI5" s="42">
        <f>IF($CP5="P",CN5,(CN5+BM5)/2)</f>
        <v>10.129999999999999</v>
      </c>
      <c r="TJ5" s="42">
        <f>IF($CP5="P",CO5,(CO5+BN5)/2)</f>
        <v>0.2</v>
      </c>
      <c r="TK5" s="51" t="s">
        <v>58</v>
      </c>
      <c r="TL5" s="76">
        <f>IF(SX5&gt;0,SX5,"")</f>
        <v>11.15</v>
      </c>
      <c r="TM5" s="76">
        <f>IF(SY5&gt;0,SY5,"")</f>
        <v>13.715</v>
      </c>
      <c r="TN5" s="76">
        <f>IF(SUM(SV5:SY5)-SZ5&gt;0,SUM(SV5:SY5)-SZ5,"")</f>
        <v>47.014999999999993</v>
      </c>
      <c r="TO5" s="76">
        <f>IF(TC5&gt;0,TC5,"")</f>
        <v>13.7</v>
      </c>
      <c r="TP5" s="76">
        <f>IF(TD5&gt;0,TD5,"")</f>
        <v>15.405000000000001</v>
      </c>
      <c r="TQ5" s="76">
        <f>IF(SUM(TA5:TD5)-TE5&gt;0,SUM(TA5:TD5)-TE5,"")</f>
        <v>54.305</v>
      </c>
      <c r="TR5" s="76">
        <f>IF(MAX(TN5,TQ5)&gt;0,MAX(TN5,TQ5),"")</f>
        <v>54.305</v>
      </c>
      <c r="TS5" s="76">
        <f>IF(TH5&gt;0,TH5,"")</f>
        <v>8.85</v>
      </c>
      <c r="TT5" s="76">
        <f>IF(TI5&gt;0,TI5,"")</f>
        <v>10.129999999999999</v>
      </c>
      <c r="TU5" s="76">
        <f>IF(SUM(TF5:TI5)-TJ5&gt;0,SUM(TF5:TI5)-TJ5,"")</f>
        <v>35.340000000000003</v>
      </c>
      <c r="TV5" s="76">
        <f>IF(SUM(TR5,TU5)&gt;0,SUM(TR5,TU5),"")</f>
        <v>89.64500000000001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28</v>
      </c>
      <c r="C6" s="4" t="s">
        <v>3</v>
      </c>
      <c r="D6" s="5">
        <v>1998</v>
      </c>
      <c r="E6" s="14">
        <f>SUM(J6:V6)+SUM(J6:T6)*0.0000001+SUM(J6)*0.0000000000001</f>
        <v>246.98502469500551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),"P","")</f>
        <v>P</v>
      </c>
      <c r="J6" s="13">
        <f>IF(COUNT(AQ6,AT6,BR6,BU6,CS6,CV6)&gt;0,LARGE((AQ6,AT6,BR6,BU6,CS6,CV6),1),0)</f>
        <v>54.720000000000006</v>
      </c>
      <c r="K6" s="13" t="str">
        <f>IF(J6="","",IF(OR(J6=CS6,J6=CV6),$CA$1,IF(OR(J6=BR6,J6=BU6),$AZ$1,IF(OR(J6=AQ6,J6=AT6),$Y$1,""))))</f>
        <v>2022 Nationals</v>
      </c>
      <c r="L6" s="13">
        <f>IF(COUNT(AQ6,AT6,BR6,BU6,CS6,CV6)&gt;1,LARGE((AQ6,AT6,BR6,BU6,CS6,CV6),2),0)</f>
        <v>54.67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53.06</v>
      </c>
      <c r="O6" s="13" t="str">
        <f>IF(N6="","",IF(OR(N6=CS6,N6=CV6),$CA$1,IF(OR(N6=BR6,N6=BU6),$AZ$1,IF(OR(N6=AQ6,N6=AT6),$Y$1,""))))</f>
        <v>2022 3rd Domestic Trial</v>
      </c>
      <c r="P6" s="13">
        <f>IF(MAX(AX6,BY6,CZ6)&gt;0,MAX(AX6,BY6,CZ6),0)</f>
        <v>54.9</v>
      </c>
      <c r="Q6" s="13" t="str">
        <f>IF(P6="","",IF(P6=CZ6,$CA$1,IF(P6=BY6,$AZ$1,IF(P6=AX6,$Y$1,""))))</f>
        <v>2022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3rd Domestic Trial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,IF(DX6&gt;=$EK$17,DY6,0),IF(EA6&gt;=$EK$17,EB6,0),IF(EE6&gt;=$EK$17,EF6,0),IF(EH6&gt;=$EK$17,EI6,0),IF(FF6&gt;=$FS$17,FG6,0),IF(FI6&gt;=$FS$17,FJ6,0),IF(FM6&gt;=$FS$17,FN6,0),IF(FP6&gt;=$FS$17,FQ6,0),IF(GN6&gt;=$HA$17,GO6,0),IF(GQ6&gt;=$HA$17,GR6,0),IF(GU6&gt;=$HA$17,GV6,0),IF(GX6&gt;=$HA$17,GY6,0),IF(HV6&gt;=$II$17,HW6,0),IF(HY6&gt;=$II$17,HZ6,0),IF(IC6&gt;=$II$17,ID6,0),IF(IF6&gt;=$II$17,IG6,0),IF(JD6&gt;=$JQ$17,JE6,0),IF(JG6&gt;=$JQ$17,JH6,0),IF(JK6&gt;=$JQ$17,JL6,0),IF(JN6&gt;=$JQ$17,JO6,0),IF(KL6&gt;=$KY$17,KM6,0),IF(KO6&gt;=$KY$17,KP6,0),IF(KS6&gt;=$KY$17,KT6,0),IF(KV6&gt;=$KY$17,KW6,0),IF(LT6&gt;=$MG$17,LU6,0),IF(LW6&gt;=$MG$17,LX6,0),IF(MA6&gt;=$MG$17,MB6,0),IF(MD6&gt;=$MG$17,ME6,0),IF(NB6&gt;=$NO$17,NC6,0),IF(NE6&gt;=$NO$17,NF6,0),IF(NI6&gt;=$NO$17,NJ6,0),IF(NL6&gt;=$NO$17,NM6,0),IF(OJ6&gt;=$OW$17,OK6,0),IF(OM6&gt;=$OW$17,ON6,0),IF(OQ6&gt;=$OW$17,OR6,0),IF(OT6&gt;=$OW$17,OU6,0),IF(PR6&gt;=$QE$17,PS6,0),IF(PU6&gt;=$QE$17,PV6,0),IF(PY6&gt;=$QE$17,PZ6,0),IF(QB6&gt;=$QE$17,QC6,0),IF(QZ6&gt;=$RM$17,RA6,0),IF(RC6&gt;=$RM$17,RD6,0),IF(RG6&gt;=$RM$17,RH6,0),IF(RJ6&gt;=$RM$17,RK6,0),IF(SH6&gt;=$SU$17,SI6,0),IF(SK6&gt;=$SU$17,SL6,0),IF(SO6&gt;=$SU$17,SP6,0),IF(SR6&gt;=$SU$17,SS6,0)),0)</f>
        <v>15.4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Elite Canada</v>
      </c>
      <c r="V6" s="13">
        <f>IF(MAX(DB6,DC6)&gt;0,MAX(DB6,DC6),"")</f>
        <v>3.4999999999996589E-2</v>
      </c>
      <c r="W6" s="16" t="str">
        <f>IF(V6="","",IF(V6=DB6,"("&amp;DB$2&amp;")",IF(V6=DC6,"("&amp;DC$2&amp;")")))</f>
        <v>(Prelim)</v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2021 World Championships (Nov 21)</v>
      </c>
      <c r="Y6" s="42">
        <v>11.6</v>
      </c>
      <c r="Z6" s="42">
        <v>6.8500000000000005</v>
      </c>
      <c r="AA6" s="42">
        <v>10.600000000000001</v>
      </c>
      <c r="AB6" s="42">
        <v>11.522499999999999</v>
      </c>
      <c r="AC6" s="42">
        <v>0</v>
      </c>
      <c r="AD6" s="42">
        <v>16.25</v>
      </c>
      <c r="AE6" s="42">
        <v>9.3999999999999986</v>
      </c>
      <c r="AF6" s="42">
        <v>13.8</v>
      </c>
      <c r="AG6" s="42">
        <v>15.22</v>
      </c>
      <c r="AH6" s="42">
        <v>0</v>
      </c>
      <c r="AI6" s="42">
        <v>16.25</v>
      </c>
      <c r="AJ6" s="42">
        <v>9.25</v>
      </c>
      <c r="AK6" s="42">
        <v>14</v>
      </c>
      <c r="AL6" s="42">
        <v>15.4</v>
      </c>
      <c r="AM6" s="42">
        <v>0</v>
      </c>
      <c r="AN6" s="51" t="s">
        <v>58</v>
      </c>
      <c r="AO6" s="74">
        <f>IF(AA6&gt;0,AA6,"")</f>
        <v>10.600000000000001</v>
      </c>
      <c r="AP6" s="74">
        <f>IF(AB6&gt;0,AB6,"")</f>
        <v>11.522499999999999</v>
      </c>
      <c r="AQ6" s="76">
        <f>IF(SUM(Y6:AB6)-AC6&gt;0,SUM(Y6:AB6)-AC6,"")</f>
        <v>40.572499999999998</v>
      </c>
      <c r="AR6" s="76">
        <f>IF(AF6&gt;0,AF6,"")</f>
        <v>13.8</v>
      </c>
      <c r="AS6" s="76">
        <f>IF(AG6&gt;0,AG6,"")</f>
        <v>15.22</v>
      </c>
      <c r="AT6" s="76">
        <f>IF(SUM(AD6:AG6)-AH6&gt;0,SUM(AD6:AG6)-AH6,"")</f>
        <v>54.67</v>
      </c>
      <c r="AU6" s="76">
        <f>IF(AQ6="","",MAX(AQ6,AT6))</f>
        <v>54.67</v>
      </c>
      <c r="AV6" s="76">
        <f>IF(AK6&gt;0,AK6,"")</f>
        <v>14</v>
      </c>
      <c r="AW6" s="76">
        <f>IF(AL6&gt;0,AL6,"")</f>
        <v>15.4</v>
      </c>
      <c r="AX6" s="76">
        <f>IF(SUM(AI6:AL6)-AM6&gt;0,SUM(AI6:AL6)-AM6,"")</f>
        <v>54.9</v>
      </c>
      <c r="AY6" s="76">
        <f>IF(SUM(AU6,AX6)&gt;0,SUM(AU6,AX6),"")</f>
        <v>109.57</v>
      </c>
      <c r="AZ6" s="46">
        <v>16.3</v>
      </c>
      <c r="BA6" s="46">
        <v>9.4</v>
      </c>
      <c r="BB6" s="46">
        <v>14.2</v>
      </c>
      <c r="BC6" s="46">
        <v>14.82</v>
      </c>
      <c r="BD6" s="46">
        <v>0</v>
      </c>
      <c r="BE6" s="46">
        <v>1.6</v>
      </c>
      <c r="BF6" s="46">
        <v>1</v>
      </c>
      <c r="BG6" s="46">
        <v>2</v>
      </c>
      <c r="BH6" s="46">
        <v>1.77</v>
      </c>
      <c r="BI6" s="46">
        <v>0.4</v>
      </c>
      <c r="BJ6" s="46">
        <v>4.5</v>
      </c>
      <c r="BK6" s="46">
        <v>2.7</v>
      </c>
      <c r="BL6" s="46">
        <v>4.9000000000000004</v>
      </c>
      <c r="BM6" s="46">
        <v>4.7300000000000004</v>
      </c>
      <c r="BN6" s="46">
        <v>0</v>
      </c>
      <c r="BO6" s="52"/>
      <c r="BP6" s="75">
        <f>IF(BB6&gt;0,BB6,"")</f>
        <v>14.2</v>
      </c>
      <c r="BQ6" s="75">
        <f>IF(BC6&gt;0,BC6,"")</f>
        <v>14.82</v>
      </c>
      <c r="BR6" s="16">
        <f>IF(SUM(AZ6:BC6)-BD6&gt;0,SUM(AZ6:BC6)-BD6,"")</f>
        <v>54.720000000000006</v>
      </c>
      <c r="BS6" s="16">
        <f>IF(BG6&gt;0,BG6,"")</f>
        <v>2</v>
      </c>
      <c r="BT6" s="16">
        <f>IF(BH6&gt;0,BH6,"")</f>
        <v>1.77</v>
      </c>
      <c r="BU6" s="16">
        <f>IF(SUM(BE6:BH6)-BI6&gt;0,SUM(BE6:BH6)-BI6,"")</f>
        <v>5.9699999999999989</v>
      </c>
      <c r="BV6" s="16">
        <f>IF(BR6="","",MAX(BR6,BU6))</f>
        <v>54.720000000000006</v>
      </c>
      <c r="BW6" s="16">
        <f>IF(BL6&gt;0,BL6,"")</f>
        <v>4.9000000000000004</v>
      </c>
      <c r="BX6" s="16">
        <f>IF(BM6&gt;0,BM6,"")</f>
        <v>4.7300000000000004</v>
      </c>
      <c r="BY6" s="16">
        <f>IF(SUM(BJ6:BM6)-BN6&gt;0,SUM(BJ6:BM6)-BN6,"")</f>
        <v>16.830000000000002</v>
      </c>
      <c r="BZ6" s="16">
        <f>IF(SUM(BV6,BY6)&gt;0,SUM(BV6,BY6),"")</f>
        <v>71.550000000000011</v>
      </c>
      <c r="CA6" s="42">
        <v>14.9</v>
      </c>
      <c r="CB6" s="42">
        <v>8.8000000000000007</v>
      </c>
      <c r="CC6" s="42">
        <v>14.2</v>
      </c>
      <c r="CD6" s="42">
        <v>15.16</v>
      </c>
      <c r="CE6" s="42">
        <v>0</v>
      </c>
      <c r="CF6" s="42">
        <v>1.5</v>
      </c>
      <c r="CG6" s="42">
        <v>1</v>
      </c>
      <c r="CH6" s="42">
        <v>2</v>
      </c>
      <c r="CI6" s="42">
        <v>1.66</v>
      </c>
      <c r="CJ6" s="42">
        <v>0</v>
      </c>
      <c r="CK6" s="42">
        <v>15.1</v>
      </c>
      <c r="CL6" s="42">
        <v>9.3000000000000007</v>
      </c>
      <c r="CM6" s="42">
        <v>14.2</v>
      </c>
      <c r="CN6" s="42">
        <v>15.16</v>
      </c>
      <c r="CO6" s="42">
        <v>0</v>
      </c>
      <c r="CP6" s="51"/>
      <c r="CQ6" s="74">
        <f>IF(CC6&gt;0,CC6,"")</f>
        <v>14.2</v>
      </c>
      <c r="CR6" s="74">
        <f>IF(CD6&gt;0,CD6,"")</f>
        <v>15.16</v>
      </c>
      <c r="CS6" s="76">
        <f>IF(SUM(CA6:CD6)-CE6&gt;0,SUM(CA6:CD6)-CE6,"")</f>
        <v>53.06</v>
      </c>
      <c r="CT6" s="76">
        <f>IF(CH6&gt;0,CH6,"")</f>
        <v>2</v>
      </c>
      <c r="CU6" s="76">
        <f>IF(CI6&gt;0,CI6,"")</f>
        <v>1.66</v>
      </c>
      <c r="CV6" s="76">
        <f>IF(SUM(CF6:CI6)-CJ6&gt;0,SUM(CF6:CI6)-CJ6,"")</f>
        <v>6.16</v>
      </c>
      <c r="CW6" s="76">
        <f>IF(CS6="","",MAX(CS6,CV6))</f>
        <v>53.06</v>
      </c>
      <c r="CX6" s="76">
        <f>IF(CM6&gt;0,CM6,"")</f>
        <v>14.2</v>
      </c>
      <c r="CY6" s="76">
        <f>IF(CN6&gt;0,CN6,"")</f>
        <v>15.16</v>
      </c>
      <c r="CZ6" s="76">
        <f>IF(SUM(CK6:CN6)-CO6&gt;0,SUM(CK6:CN6)-CO6,"")</f>
        <v>53.759999999999991</v>
      </c>
      <c r="DA6" s="76">
        <f>IF(SUM(CW6,CZ6)&gt;0,SUM(CW6,CZ6),"")</f>
        <v>106.82</v>
      </c>
      <c r="DB6" s="87">
        <f>IF(N6&gt;=0.001,IF(MAX(ED6,FL6,GT6,IB6,JJ6,KR6,LZ6,NH6,OP6,PX6,RF6,SN6)-IF(N6="",0,N6)&gt;0.001,MAX(ED6,FL6,GT6,IB6,JJ6,KR6,LZ6,NH6,OP6,PX6,RF6,SN6)-IF(N6="",0,N6),""),"")</f>
        <v>3.4999999999996589E-2</v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14.8</v>
      </c>
      <c r="DE6" s="25">
        <v>9.5</v>
      </c>
      <c r="DF6" s="25">
        <v>14.2</v>
      </c>
      <c r="DG6" s="25">
        <v>14.595000000000001</v>
      </c>
      <c r="DH6" s="25">
        <v>0</v>
      </c>
      <c r="DI6" s="25"/>
      <c r="DJ6" s="25"/>
      <c r="DK6" s="25"/>
      <c r="DL6" s="25"/>
      <c r="DM6" s="25"/>
      <c r="DN6" s="25">
        <v>15.4</v>
      </c>
      <c r="DO6" s="25">
        <v>9.3000000000000007</v>
      </c>
      <c r="DP6" s="25">
        <v>14.2</v>
      </c>
      <c r="DQ6" s="25">
        <v>14.435</v>
      </c>
      <c r="DR6" s="25">
        <v>0</v>
      </c>
      <c r="DS6" s="25"/>
      <c r="DT6" s="25"/>
      <c r="DU6" s="25"/>
      <c r="DV6" s="25"/>
      <c r="DW6" s="25"/>
      <c r="DX6" s="76">
        <f>IF(DF6&gt;0,DF6,"")</f>
        <v>14.2</v>
      </c>
      <c r="DY6" s="76">
        <f>IF(DG6&gt;0,DG6,"")</f>
        <v>14.595000000000001</v>
      </c>
      <c r="DZ6" s="76">
        <f>IF(SUM(DD6:DG6)-DH6&gt;0,SUM(DD6:DG6)-DH6,"")</f>
        <v>53.094999999999999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53.094999999999999</v>
      </c>
      <c r="EE6" s="76">
        <f>IF(DP6&gt;0,DP6,"")</f>
        <v>14.2</v>
      </c>
      <c r="EF6" s="76">
        <f>IF(DQ6&gt;0,DQ6,"")</f>
        <v>14.435</v>
      </c>
      <c r="EG6" s="76">
        <f>IF(SUM(DN6:DQ6)-DR6&gt;0,SUM(DN6:DQ6)-DR6,"")</f>
        <v>53.335000000000008</v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53.094999999999999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>
        <v>14.9</v>
      </c>
      <c r="FB6" s="26">
        <v>9.5</v>
      </c>
      <c r="FC6" s="26">
        <v>14.2</v>
      </c>
      <c r="FD6" s="26">
        <v>14.67</v>
      </c>
      <c r="FE6" s="26">
        <v>0</v>
      </c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>
        <f>IF(FC6&gt;0,FC6,"")</f>
        <v>14.2</v>
      </c>
      <c r="FQ6" s="16">
        <f>IF(FD6&gt;0,FD6,"")</f>
        <v>14.67</v>
      </c>
      <c r="FR6" s="16">
        <f>IF(SUM(FA6:FD6)-FE6&gt;0,SUM(FA6:FD6)-FE6,"")</f>
        <v>53.269999999999996</v>
      </c>
      <c r="FS6" s="16">
        <f>IF(SUM(FL6,FR6)&gt;0,SUM(FL6,FR6),"")</f>
        <v>53.269999999999996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 t="str">
        <f>IF(SUM(GT6,GZ6)&gt;0,SUM(GT6,GZ6),"")</f>
        <v/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 t="str">
        <f>IF(SUM(IB6,IH6)&gt;0,SUM(IB6,IH6),"")</f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>
        <v>13.7</v>
      </c>
      <c r="JS6" s="26">
        <v>8.9</v>
      </c>
      <c r="JT6" s="26">
        <v>14.2</v>
      </c>
      <c r="JU6" s="26">
        <v>14.04</v>
      </c>
      <c r="JV6" s="26">
        <v>0</v>
      </c>
      <c r="JW6" s="26">
        <v>14.3</v>
      </c>
      <c r="JX6" s="26">
        <v>9.3000000000000007</v>
      </c>
      <c r="JY6" s="26">
        <v>14.2</v>
      </c>
      <c r="JZ6" s="26">
        <v>14.15</v>
      </c>
      <c r="KA6" s="26">
        <v>0</v>
      </c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>
        <f>IF(JT6&gt;0,JT6,"")</f>
        <v>14.2</v>
      </c>
      <c r="KM6" s="16">
        <f>IF(JU6&gt;0,JU6,"")</f>
        <v>14.04</v>
      </c>
      <c r="KN6" s="16">
        <f>IF(SUM(JR6:JU6)-JV6&gt;0,SUM(JR6:JU6)-JV6,"")</f>
        <v>50.839999999999996</v>
      </c>
      <c r="KO6" s="16">
        <f>IF(JY6&gt;0,JY6,"")</f>
        <v>14.2</v>
      </c>
      <c r="KP6" s="16">
        <f>IF(JZ6&gt;0,JZ6,"")</f>
        <v>14.15</v>
      </c>
      <c r="KQ6" s="16">
        <f>IF(SUM(JW6:JZ6)-KA6&gt;0,SUM(JW6:JZ6)-KA6,"")</f>
        <v>51.949999999999996</v>
      </c>
      <c r="KR6" s="16">
        <f>IF(MAX(KN6,KQ6)&gt;0,MAX(KN6,KQ6),"")</f>
        <v>51.949999999999996</v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>
        <f>IF(SUM(KR6,KX6)&gt;0,SUM(KR6,KX6),"")</f>
        <v>51.949999999999996</v>
      </c>
      <c r="KZ6" s="25">
        <v>14.5</v>
      </c>
      <c r="LA6" s="25">
        <v>8.5</v>
      </c>
      <c r="LB6" s="25">
        <v>14.2</v>
      </c>
      <c r="LC6" s="25">
        <v>14.45</v>
      </c>
      <c r="LD6" s="25">
        <v>0</v>
      </c>
      <c r="LE6" s="25">
        <v>14.6</v>
      </c>
      <c r="LF6" s="25">
        <v>8.6999999999999993</v>
      </c>
      <c r="LG6" s="25">
        <v>14.2</v>
      </c>
      <c r="LH6" s="25">
        <v>14.55</v>
      </c>
      <c r="LI6" s="25">
        <v>0.4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14.2</v>
      </c>
      <c r="LU6" s="76">
        <f>IF(LC6&gt;0,LC6,"")</f>
        <v>14.45</v>
      </c>
      <c r="LV6" s="76">
        <f>IF(SUM(KZ6:LC6)-LD6&gt;0,SUM(KZ6:LC6)-LD6,"")</f>
        <v>51.650000000000006</v>
      </c>
      <c r="LW6" s="76">
        <f>IF(LG6&gt;0,LG6,"")</f>
        <v>14.2</v>
      </c>
      <c r="LX6" s="76">
        <f>IF(LH6&gt;0,LH6,"")</f>
        <v>14.55</v>
      </c>
      <c r="LY6" s="76">
        <f>IF(SUM(LE6:LH6)-LI6&gt;0,SUM(LE6:LH6)-LI6,"")</f>
        <v>51.65</v>
      </c>
      <c r="LZ6" s="76">
        <f>IF(MAX(LV6,LY6)&gt;0,MAX(LV6,LY6),"")</f>
        <v>51.650000000000006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51.650000000000006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>
        <v>15.1</v>
      </c>
      <c r="OY6" s="26">
        <v>9.1</v>
      </c>
      <c r="OZ6" s="26">
        <v>14.2</v>
      </c>
      <c r="PA6" s="26">
        <v>14.29</v>
      </c>
      <c r="PB6" s="26">
        <v>0</v>
      </c>
      <c r="PC6" s="26">
        <v>1.7</v>
      </c>
      <c r="PD6" s="26">
        <v>1</v>
      </c>
      <c r="PE6" s="26">
        <v>2</v>
      </c>
      <c r="PF6" s="26">
        <v>1.615</v>
      </c>
      <c r="PG6" s="26">
        <v>0</v>
      </c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>
        <f>IF(OZ6&gt;0,OZ6,"")</f>
        <v>14.2</v>
      </c>
      <c r="PS6" s="16">
        <f>IF(PA6&gt;0,PA6,"")</f>
        <v>14.29</v>
      </c>
      <c r="PT6" s="16">
        <f>IF(SUM(OX6:PA6)-PB6&gt;0,SUM(OX6:PA6)-PB6,"")</f>
        <v>52.69</v>
      </c>
      <c r="PU6" s="16">
        <f>IF(PE6&gt;0,PE6,"")</f>
        <v>2</v>
      </c>
      <c r="PV6" s="16">
        <f>IF(PF6&gt;0,PF6,"")</f>
        <v>1.615</v>
      </c>
      <c r="PW6" s="16">
        <f>IF(SUM(PC6:PF6)-PG6&gt;0,SUM(PC6:PF6)-PG6,"")</f>
        <v>6.3150000000000004</v>
      </c>
      <c r="PX6" s="16">
        <f>IF(MAX(PT6,PW6)&gt;0,MAX(PT6,PW6),"")</f>
        <v>52.69</v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>
        <f>IF(SUM(PX6,QD6)&gt;0,SUM(PX6,QD6),"")</f>
        <v>52.69</v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15.600000000000001</v>
      </c>
      <c r="SW6" s="42">
        <f>IF($CP6="P",CB6,(CB6+BA6)/2)</f>
        <v>9.1000000000000014</v>
      </c>
      <c r="SX6" s="42">
        <f>IF($CP6="P",CC6,(CC6+BB6)/2)</f>
        <v>14.2</v>
      </c>
      <c r="SY6" s="42">
        <f>IF($CP6="P",CD6,(CD6+BC6)/2)</f>
        <v>14.99</v>
      </c>
      <c r="SZ6" s="42">
        <f>IF($CP6="P",CE6,(CE6+BD6)/2)</f>
        <v>0</v>
      </c>
      <c r="TA6" s="42">
        <f>IF($CP6="P",CF6,(CF6+BE6)/2)</f>
        <v>1.55</v>
      </c>
      <c r="TB6" s="42">
        <f>IF($CP6="P",CG6,(CG6+BF6)/2)</f>
        <v>1</v>
      </c>
      <c r="TC6" s="42">
        <f>IF($CP6="P",CH6,(CH6+BG6)/2)</f>
        <v>2</v>
      </c>
      <c r="TD6" s="42">
        <f>IF($CP6="P",CI6,(CI6+BH6)/2)</f>
        <v>1.7149999999999999</v>
      </c>
      <c r="TE6" s="42">
        <f>IF($CP6="P",CJ6,(CJ6+BI6)/2)</f>
        <v>0.2</v>
      </c>
      <c r="TF6" s="42">
        <f>IF($CP6="P",CK6,(CK6+BJ6)/2)</f>
        <v>9.8000000000000007</v>
      </c>
      <c r="TG6" s="42">
        <f>IF($CP6="P",CL6,(CL6+BK6)/2)</f>
        <v>6</v>
      </c>
      <c r="TH6" s="42">
        <f>IF($CP6="P",CM6,(CM6+BL6)/2)</f>
        <v>9.5500000000000007</v>
      </c>
      <c r="TI6" s="42">
        <f>IF($CP6="P",CN6,(CN6+BM6)/2)</f>
        <v>9.9450000000000003</v>
      </c>
      <c r="TJ6" s="42">
        <f>IF($CP6="P",CO6,(CO6+BN6)/2)</f>
        <v>0</v>
      </c>
      <c r="TK6" s="51" t="s">
        <v>58</v>
      </c>
      <c r="TL6" s="76">
        <f>IF(SX6&gt;0,SX6,"")</f>
        <v>14.2</v>
      </c>
      <c r="TM6" s="76">
        <f>IF(SY6&gt;0,SY6,"")</f>
        <v>14.99</v>
      </c>
      <c r="TN6" s="76">
        <f>IF(SUM(SV6:SY6)-SZ6&gt;0,SUM(SV6:SY6)-SZ6,"")</f>
        <v>53.890000000000008</v>
      </c>
      <c r="TO6" s="76">
        <f>IF(TC6&gt;0,TC6,"")</f>
        <v>2</v>
      </c>
      <c r="TP6" s="76">
        <f>IF(TD6&gt;0,TD6,"")</f>
        <v>1.7149999999999999</v>
      </c>
      <c r="TQ6" s="76">
        <f>IF(SUM(TA6:TD6)-TE6&gt;0,SUM(TA6:TD6)-TE6,"")</f>
        <v>6.0649999999999995</v>
      </c>
      <c r="TR6" s="76">
        <f>IF(MAX(TN6,TQ6)&gt;0,MAX(TN6,TQ6),"")</f>
        <v>53.890000000000008</v>
      </c>
      <c r="TS6" s="76">
        <f>IF(TH6&gt;0,TH6,"")</f>
        <v>9.5500000000000007</v>
      </c>
      <c r="TT6" s="76">
        <f>IF(TI6&gt;0,TI6,"")</f>
        <v>9.9450000000000003</v>
      </c>
      <c r="TU6" s="76">
        <f>IF(SUM(TF6:TI6)-TJ6&gt;0,SUM(TF6:TI6)-TJ6,"")</f>
        <v>35.295000000000002</v>
      </c>
      <c r="TV6" s="76">
        <f>IF(SUM(TR6,TU6)&gt;0,SUM(TR6,TU6),"")</f>
        <v>89.185000000000002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27</v>
      </c>
      <c r="C7" s="4" t="s">
        <v>6</v>
      </c>
      <c r="D7" s="7">
        <v>1992</v>
      </c>
      <c r="E7" s="14">
        <f>SUM(J7:V7)+SUM(J7:T7)*0.0000001+SUM(J7)*0.0000000000001</f>
        <v>244.51002441000543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),"Excellence",IF(I7="P","Worlds Team",IF(F7="P","National Team","")))))</f>
        <v>Merit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),"P","")</f>
        <v>P</v>
      </c>
      <c r="J7" s="13">
        <f>IF(COUNT(AQ7,AT7,BR7,BU7,CS7,CV7)&gt;0,LARGE((AQ7,AT7,BR7,BU7,CS7,CV7),1),0)</f>
        <v>54.19</v>
      </c>
      <c r="K7" s="13" t="str">
        <f>IF(J7="","",IF(OR(J7=CS7,J7=CV7),$CA$1,IF(OR(J7=BR7,J7=BU7),$AZ$1,IF(OR(J7=AQ7,J7=AT7),$Y$1,""))))</f>
        <v>2022 Nationals</v>
      </c>
      <c r="L7" s="13">
        <f>IF(COUNT(AQ7,AT7,BR7,BU7,CS7,CV7)&gt;1,LARGE((AQ7,AT7,BR7,BU7,CS7,CV7),2),0)</f>
        <v>53.68</v>
      </c>
      <c r="M7" s="13" t="str">
        <f>IF(L7="","",IF(OR(L7=CS7,L7=CV7),$CA$1,IF(OR(L7=BR7,L7=BU7),$AZ$1,IF(OR(L7=AQ7,L7=AT7),$Y$1,""))))</f>
        <v>2022 3rd Domestic Trial</v>
      </c>
      <c r="N7" s="13">
        <f>IF(COUNT(AQ7,AT7,BR7,BU7,CS7,CV7)&gt;2,LARGE((AQ7,AT7,BR7,BU7,CS7,CV7),3),0)</f>
        <v>53.58</v>
      </c>
      <c r="O7" s="13" t="str">
        <f>IF(N7="","",IF(OR(N7=CS7,N7=CV7),$CA$1,IF(OR(N7=BR7,N7=BU7),$AZ$1,IF(OR(N7=AQ7,N7=AT7),$Y$1,""))))</f>
        <v>2022 Nationals</v>
      </c>
      <c r="P7" s="13">
        <f>IF(MAX(AX7,BY7,CZ7)&gt;0,MAX(AX7,BY7,CZ7),0)</f>
        <v>53.09</v>
      </c>
      <c r="Q7" s="13" t="str">
        <f>IF(P7="","",IF(P7=CZ7,$CA$1,IF(P7=BY7,$AZ$1,IF(P7=AX7,$Y$1,""))))</f>
        <v>2022 Nationals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14.6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World Cup SUI (July 2)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,IF(DX7&gt;=$EK$17,DY7,0),IF(EA7&gt;=$EK$17,EB7,0),IF(EE7&gt;=$EK$17,EF7,0),IF(EH7&gt;=$EK$17,EI7,0),IF(FF7&gt;=$FS$17,FG7,0),IF(FI7&gt;=$FS$17,FJ7,0),IF(FM7&gt;=$FS$17,FN7,0),IF(FP7&gt;=$FS$17,FQ7,0),IF(GN7&gt;=$HA$17,GO7,0),IF(GQ7&gt;=$HA$17,GR7,0),IF(GU7&gt;=$HA$17,GV7,0),IF(GX7&gt;=$HA$17,GY7,0),IF(HV7&gt;=$II$17,HW7,0),IF(HY7&gt;=$II$17,HZ7,0),IF(IC7&gt;=$II$17,ID7,0),IF(IF7&gt;=$II$17,IG7,0),IF(JD7&gt;=$JQ$17,JE7,0),IF(JG7&gt;=$JQ$17,JH7,0),IF(JK7&gt;=$JQ$17,JL7,0),IF(JN7&gt;=$JQ$17,JO7,0),IF(KL7&gt;=$KY$17,KM7,0),IF(KO7&gt;=$KY$17,KP7,0),IF(KS7&gt;=$KY$17,KT7,0),IF(KV7&gt;=$KY$17,KW7,0),IF(LT7&gt;=$MG$17,LU7,0),IF(LW7&gt;=$MG$17,LX7,0),IF(MA7&gt;=$MG$17,MB7,0),IF(MD7&gt;=$MG$17,ME7,0),IF(NB7&gt;=$NO$17,NC7,0),IF(NE7&gt;=$NO$17,NF7,0),IF(NI7&gt;=$NO$17,NJ7,0),IF(NL7&gt;=$NO$17,NM7,0),IF(OJ7&gt;=$OW$17,OK7,0),IF(OM7&gt;=$OW$17,ON7,0),IF(OQ7&gt;=$OW$17,OR7,0),IF(OT7&gt;=$OW$17,OU7,0),IF(PR7&gt;=$QE$17,PS7,0),IF(PU7&gt;=$QE$17,PV7,0),IF(PY7&gt;=$QE$17,PZ7,0),IF(QB7&gt;=$QE$17,QC7,0),IF(QZ7&gt;=$RM$17,RA7,0),IF(RC7&gt;=$RM$17,RD7,0),IF(RG7&gt;=$RM$17,RH7,0),IF(RJ7&gt;=$RM$17,RK7,0),IF(SH7&gt;=$SU$17,SI7,0),IF(SK7&gt;=$SU$17,SL7,0),IF(SO7&gt;=$SU$17,SP7,0),IF(SR7&gt;=$SU$17,SS7,0)),0)</f>
        <v>14.96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World Cup POR (June 26)</v>
      </c>
      <c r="V7" s="13">
        <f>IF(MAX(DB7,DC7)&gt;0,MAX(DB7,DC7),"")</f>
        <v>0.40999999999999659</v>
      </c>
      <c r="W7" s="16" t="str">
        <f>IF(V7="","",IF(V7=DB7,"("&amp;DB$2&amp;")",IF(V7=DC7,"("&amp;DC$2&amp;")")))</f>
        <v>(Final)</v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2022 World Cup SUI (July 2)</v>
      </c>
      <c r="Y7" s="42">
        <v>15.2</v>
      </c>
      <c r="Z7" s="42">
        <v>9.5</v>
      </c>
      <c r="AA7" s="42">
        <v>14</v>
      </c>
      <c r="AB7" s="42">
        <v>14.73</v>
      </c>
      <c r="AC7" s="42">
        <v>0</v>
      </c>
      <c r="AD7" s="42">
        <v>15.2</v>
      </c>
      <c r="AE7" s="42">
        <v>9.5</v>
      </c>
      <c r="AF7" s="42">
        <v>14</v>
      </c>
      <c r="AG7" s="42">
        <v>14.85</v>
      </c>
      <c r="AH7" s="42">
        <v>0</v>
      </c>
      <c r="AI7" s="42">
        <v>14.6</v>
      </c>
      <c r="AJ7" s="42">
        <v>9.1999999999999993</v>
      </c>
      <c r="AK7" s="42">
        <v>14</v>
      </c>
      <c r="AL7" s="42">
        <v>14.5</v>
      </c>
      <c r="AM7" s="42">
        <v>0</v>
      </c>
      <c r="AN7" s="51"/>
      <c r="AO7" s="74">
        <f>IF(AA7&gt;0,AA7,"")</f>
        <v>14</v>
      </c>
      <c r="AP7" s="74">
        <f>IF(AB7&gt;0,AB7,"")</f>
        <v>14.73</v>
      </c>
      <c r="AQ7" s="76">
        <f>IF(SUM(Y7:AB7)-AC7&gt;0,SUM(Y7:AB7)-AC7,"")</f>
        <v>53.430000000000007</v>
      </c>
      <c r="AR7" s="76">
        <f>IF(AF7&gt;0,AF7,"")</f>
        <v>14</v>
      </c>
      <c r="AS7" s="76">
        <f>IF(AG7&gt;0,AG7,"")</f>
        <v>14.85</v>
      </c>
      <c r="AT7" s="76">
        <f>IF(SUM(AD7:AG7)-AH7&gt;0,SUM(AD7:AG7)-AH7,"")</f>
        <v>53.550000000000004</v>
      </c>
      <c r="AU7" s="76">
        <f>IF(AQ7="","",MAX(AQ7,AT7))</f>
        <v>53.550000000000004</v>
      </c>
      <c r="AV7" s="76">
        <f>IF(AK7&gt;0,AK7,"")</f>
        <v>14</v>
      </c>
      <c r="AW7" s="76">
        <f>IF(AL7&gt;0,AL7,"")</f>
        <v>14.5</v>
      </c>
      <c r="AX7" s="76">
        <f>IF(SUM(AI7:AL7)-AM7&gt;0,SUM(AI7:AL7)-AM7,"")</f>
        <v>52.3</v>
      </c>
      <c r="AY7" s="76">
        <f>IF(SUM(AU7,AX7)&gt;0,SUM(AU7,AX7),"")</f>
        <v>105.85</v>
      </c>
      <c r="AZ7" s="41">
        <v>15.8</v>
      </c>
      <c r="BA7" s="41">
        <v>9.6</v>
      </c>
      <c r="BB7" s="41">
        <v>14</v>
      </c>
      <c r="BC7" s="41">
        <v>14.79</v>
      </c>
      <c r="BD7" s="41">
        <v>0</v>
      </c>
      <c r="BE7" s="41">
        <v>15.4</v>
      </c>
      <c r="BF7" s="41">
        <v>9.5</v>
      </c>
      <c r="BG7" s="41">
        <v>14</v>
      </c>
      <c r="BH7" s="41">
        <v>14.68</v>
      </c>
      <c r="BI7" s="41">
        <v>0</v>
      </c>
      <c r="BJ7" s="41">
        <v>15.2</v>
      </c>
      <c r="BK7" s="41">
        <v>9.3000000000000007</v>
      </c>
      <c r="BL7" s="41">
        <v>14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14.79</v>
      </c>
      <c r="BR7" s="16">
        <f>IF(SUM(AZ7:BC7)-BD7&gt;0,SUM(AZ7:BC7)-BD7,"")</f>
        <v>54.19</v>
      </c>
      <c r="BS7" s="16">
        <f>IF(BG7&gt;0,BG7,"")</f>
        <v>14</v>
      </c>
      <c r="BT7" s="16">
        <f>IF(BH7&gt;0,BH7,"")</f>
        <v>14.68</v>
      </c>
      <c r="BU7" s="16">
        <f>IF(SUM(BE7:BH7)-BI7&gt;0,SUM(BE7:BH7)-BI7,"")</f>
        <v>53.58</v>
      </c>
      <c r="BV7" s="16">
        <f>IF(BR7="","",MAX(BR7,BU7))</f>
        <v>54.19</v>
      </c>
      <c r="BW7" s="16">
        <f>IF(BL7&gt;0,BL7,"")</f>
        <v>14</v>
      </c>
      <c r="BX7" s="16">
        <f>IF(BM7&gt;0,BM7,"")</f>
        <v>14.59</v>
      </c>
      <c r="BY7" s="16">
        <f>IF(SUM(BJ7:BM7)-BN7&gt;0,SUM(BJ7:BM7)-BN7,"")</f>
        <v>53.09</v>
      </c>
      <c r="BZ7" s="16">
        <f>IF(SUM(BV7,BY7)&gt;0,SUM(BV7,BY7),"")</f>
        <v>107.28</v>
      </c>
      <c r="CA7" s="42">
        <v>14.8</v>
      </c>
      <c r="CB7" s="42">
        <v>9.3000000000000007</v>
      </c>
      <c r="CC7" s="42">
        <v>13.3</v>
      </c>
      <c r="CD7" s="42">
        <v>14.67</v>
      </c>
      <c r="CE7" s="42">
        <v>0</v>
      </c>
      <c r="CF7" s="42">
        <v>15.1</v>
      </c>
      <c r="CG7" s="42">
        <v>9.8000000000000007</v>
      </c>
      <c r="CH7" s="42">
        <v>14</v>
      </c>
      <c r="CI7" s="42">
        <v>14.78</v>
      </c>
      <c r="CJ7" s="42">
        <v>0</v>
      </c>
      <c r="CK7" s="42">
        <v>14.6</v>
      </c>
      <c r="CL7" s="42">
        <v>9.4</v>
      </c>
      <c r="CM7" s="42">
        <v>14</v>
      </c>
      <c r="CN7" s="42">
        <v>14.62</v>
      </c>
      <c r="CO7" s="42">
        <v>0</v>
      </c>
      <c r="CP7" s="51"/>
      <c r="CQ7" s="74">
        <f>IF(CC7&gt;0,CC7,"")</f>
        <v>13.3</v>
      </c>
      <c r="CR7" s="74">
        <f>IF(CD7&gt;0,CD7,"")</f>
        <v>14.67</v>
      </c>
      <c r="CS7" s="76">
        <f>IF(SUM(CA7:CD7)-CE7&gt;0,SUM(CA7:CD7)-CE7,"")</f>
        <v>52.070000000000007</v>
      </c>
      <c r="CT7" s="76">
        <f>IF(CH7&gt;0,CH7,"")</f>
        <v>14</v>
      </c>
      <c r="CU7" s="76">
        <f>IF(CI7&gt;0,CI7,"")</f>
        <v>14.78</v>
      </c>
      <c r="CV7" s="76">
        <f>IF(SUM(CF7:CI7)-CJ7&gt;0,SUM(CF7:CI7)-CJ7,"")</f>
        <v>53.68</v>
      </c>
      <c r="CW7" s="76">
        <f>IF(CS7="","",MAX(CS7,CV7))</f>
        <v>53.68</v>
      </c>
      <c r="CX7" s="76">
        <f>IF(CM7&gt;0,CM7,"")</f>
        <v>14</v>
      </c>
      <c r="CY7" s="76">
        <f>IF(CN7&gt;0,CN7,"")</f>
        <v>14.62</v>
      </c>
      <c r="CZ7" s="76">
        <f>IF(SUM(CK7:CN7)-CO7&gt;0,SUM(CK7:CN7)-CO7,"")</f>
        <v>52.62</v>
      </c>
      <c r="DA7" s="76">
        <f>IF(SUM(CW7,CZ7)&gt;0,SUM(CW7,CZ7),"")</f>
        <v>106.3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>0.40999999999999659</v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 t="str">
        <f>IF(DF7&gt;0,DF7,"")</f>
        <v/>
      </c>
      <c r="DY7" s="76" t="str">
        <f>IF(DG7&gt;0,DG7,"")</f>
        <v/>
      </c>
      <c r="DZ7" s="76" t="str">
        <f>IF(SUM(DD7:DG7)-DH7&gt;0,SUM(DD7:DG7)-DH7,"")</f>
        <v/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 t="str">
        <f>IF(MAX(DZ7,EC7)&gt;0,MAX(DZ7,EC7),"")</f>
        <v/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 t="str">
        <f>IF(SUM(ED7,EJ7)&gt;0,SUM(ED7,EJ7),"")</f>
        <v/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>
        <v>14.1</v>
      </c>
      <c r="JS7" s="26">
        <v>9.1999999999999993</v>
      </c>
      <c r="JT7" s="26">
        <v>14</v>
      </c>
      <c r="JU7" s="26">
        <v>14.28</v>
      </c>
      <c r="JV7" s="26">
        <v>0</v>
      </c>
      <c r="JW7" s="26">
        <v>15.1</v>
      </c>
      <c r="JX7" s="26">
        <v>9.1</v>
      </c>
      <c r="JY7" s="26">
        <v>14</v>
      </c>
      <c r="JZ7" s="26">
        <v>14.41</v>
      </c>
      <c r="KA7" s="26">
        <v>0</v>
      </c>
      <c r="KB7" s="26">
        <v>14.2</v>
      </c>
      <c r="KC7" s="26">
        <v>9.1</v>
      </c>
      <c r="KD7" s="26">
        <v>14</v>
      </c>
      <c r="KE7" s="26">
        <v>13.89</v>
      </c>
      <c r="KF7" s="26">
        <v>0</v>
      </c>
      <c r="KG7" s="26"/>
      <c r="KH7" s="26"/>
      <c r="KI7" s="26"/>
      <c r="KJ7" s="26"/>
      <c r="KK7" s="26"/>
      <c r="KL7" s="16">
        <f>IF(JT7&gt;0,JT7,"")</f>
        <v>14</v>
      </c>
      <c r="KM7" s="16">
        <f>IF(JU7&gt;0,JU7,"")</f>
        <v>14.28</v>
      </c>
      <c r="KN7" s="16">
        <f>IF(SUM(JR7:JU7)-JV7&gt;0,SUM(JR7:JU7)-JV7,"")</f>
        <v>51.58</v>
      </c>
      <c r="KO7" s="16">
        <f>IF(JY7&gt;0,JY7,"")</f>
        <v>14</v>
      </c>
      <c r="KP7" s="16">
        <f>IF(JZ7&gt;0,JZ7,"")</f>
        <v>14.41</v>
      </c>
      <c r="KQ7" s="16">
        <f>IF(SUM(JW7:JZ7)-KA7&gt;0,SUM(JW7:JZ7)-KA7,"")</f>
        <v>52.61</v>
      </c>
      <c r="KR7" s="16">
        <f>IF(MAX(KN7,KQ7)&gt;0,MAX(KN7,KQ7),"")</f>
        <v>52.61</v>
      </c>
      <c r="KS7" s="16">
        <f>IF(KD7&gt;0,KD7,"")</f>
        <v>14</v>
      </c>
      <c r="KT7" s="16">
        <f>IF(KE7&gt;0,KE7,"")</f>
        <v>13.89</v>
      </c>
      <c r="KU7" s="16">
        <f>IF(SUM(KB7:KE7)-KF7&gt;0,SUM(KB7:KE7)-KF7,"")</f>
        <v>51.19</v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>
        <f>IF(SUM(KR7,KX7)&gt;0,SUM(KR7,KX7),"")</f>
        <v>52.61</v>
      </c>
      <c r="KZ7" s="25">
        <v>14.4</v>
      </c>
      <c r="LA7" s="25">
        <v>9.4</v>
      </c>
      <c r="LB7" s="25">
        <v>14</v>
      </c>
      <c r="LC7" s="25">
        <v>14.58</v>
      </c>
      <c r="LD7" s="25">
        <v>0</v>
      </c>
      <c r="LE7" s="25">
        <v>15</v>
      </c>
      <c r="LF7" s="25">
        <v>9.6999999999999993</v>
      </c>
      <c r="LG7" s="25">
        <v>14</v>
      </c>
      <c r="LH7" s="25">
        <v>14.85</v>
      </c>
      <c r="LI7" s="25">
        <v>0</v>
      </c>
      <c r="LJ7" s="25"/>
      <c r="LK7" s="25"/>
      <c r="LL7" s="25"/>
      <c r="LM7" s="25"/>
      <c r="LN7" s="25"/>
      <c r="LO7" s="25">
        <v>14.7</v>
      </c>
      <c r="LP7" s="25">
        <v>9</v>
      </c>
      <c r="LQ7" s="25">
        <v>14</v>
      </c>
      <c r="LR7" s="25">
        <v>14.96</v>
      </c>
      <c r="LS7" s="25">
        <v>0</v>
      </c>
      <c r="LT7" s="76">
        <f>IF(LB7&gt;0,LB7,"")</f>
        <v>14</v>
      </c>
      <c r="LU7" s="76">
        <f>IF(LC7&gt;0,LC7,"")</f>
        <v>14.58</v>
      </c>
      <c r="LV7" s="76">
        <f>IF(SUM(KZ7:LC7)-LD7&gt;0,SUM(KZ7:LC7)-LD7,"")</f>
        <v>52.379999999999995</v>
      </c>
      <c r="LW7" s="76">
        <f>IF(LG7&gt;0,LG7,"")</f>
        <v>14</v>
      </c>
      <c r="LX7" s="76">
        <f>IF(LH7&gt;0,LH7,"")</f>
        <v>14.85</v>
      </c>
      <c r="LY7" s="76">
        <f>IF(SUM(LE7:LH7)-LI7&gt;0,SUM(LE7:LH7)-LI7,"")</f>
        <v>53.550000000000004</v>
      </c>
      <c r="LZ7" s="76">
        <f>IF(MAX(LV7,LY7)&gt;0,MAX(LV7,LY7),"")</f>
        <v>53.550000000000004</v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>
        <f>IF(LQ7&gt;0,LQ7,"")</f>
        <v>14</v>
      </c>
      <c r="ME7" s="76">
        <f>IF(LR7&gt;0,LR7,"")</f>
        <v>14.96</v>
      </c>
      <c r="MF7" s="76">
        <f>IF(SUM(LO7:LR7)-LS7&gt;0,SUM(LO7:LR7)-LS7,"")</f>
        <v>52.660000000000004</v>
      </c>
      <c r="MG7" s="76">
        <f>IF(SUM(LZ7,MF7)&gt;0,SUM(LZ7,MF7),"")</f>
        <v>106.21000000000001</v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>
        <v>2.8</v>
      </c>
      <c r="OY7" s="26">
        <v>1.7</v>
      </c>
      <c r="OZ7" s="26">
        <v>3.4</v>
      </c>
      <c r="PA7" s="26">
        <v>3.04</v>
      </c>
      <c r="PB7" s="26">
        <v>0</v>
      </c>
      <c r="PC7" s="26">
        <v>14.6</v>
      </c>
      <c r="PD7" s="26">
        <v>9.5</v>
      </c>
      <c r="PE7" s="26">
        <v>14</v>
      </c>
      <c r="PF7" s="26">
        <v>14.605</v>
      </c>
      <c r="PG7" s="26">
        <v>0</v>
      </c>
      <c r="PH7" s="26">
        <v>14.8</v>
      </c>
      <c r="PI7" s="26">
        <v>9.5</v>
      </c>
      <c r="PJ7" s="26">
        <v>14.6</v>
      </c>
      <c r="PK7" s="26">
        <v>14.6</v>
      </c>
      <c r="PL7" s="26">
        <v>0</v>
      </c>
      <c r="PM7" s="26"/>
      <c r="PN7" s="26"/>
      <c r="PO7" s="26"/>
      <c r="PP7" s="26"/>
      <c r="PQ7" s="26"/>
      <c r="PR7" s="16">
        <f>IF(OZ7&gt;0,OZ7,"")</f>
        <v>3.4</v>
      </c>
      <c r="PS7" s="16">
        <f>IF(PA7&gt;0,PA7,"")</f>
        <v>3.04</v>
      </c>
      <c r="PT7" s="16">
        <f>IF(SUM(OX7:PA7)-PB7&gt;0,SUM(OX7:PA7)-PB7,"")</f>
        <v>10.940000000000001</v>
      </c>
      <c r="PU7" s="16">
        <f>IF(PE7&gt;0,PE7,"")</f>
        <v>14</v>
      </c>
      <c r="PV7" s="16">
        <f>IF(PF7&gt;0,PF7,"")</f>
        <v>14.605</v>
      </c>
      <c r="PW7" s="16">
        <f>IF(SUM(PC7:PF7)-PG7&gt;0,SUM(PC7:PF7)-PG7,"")</f>
        <v>52.704999999999998</v>
      </c>
      <c r="PX7" s="16">
        <f>IF(MAX(PT7,PW7)&gt;0,MAX(PT7,PW7),"")</f>
        <v>52.704999999999998</v>
      </c>
      <c r="PY7" s="16">
        <f>IF(PJ7&gt;0,PJ7,"")</f>
        <v>14.6</v>
      </c>
      <c r="PZ7" s="16">
        <f>IF(PK7&gt;0,PK7,"")</f>
        <v>14.6</v>
      </c>
      <c r="QA7" s="16">
        <f>IF(SUM(PH7:PK7)-PL7&gt;0,SUM(PH7:PK7)-PL7,"")</f>
        <v>53.5</v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>
        <f>IF(SUM(PX7,QD7)&gt;0,SUM(PX7,QD7),"")</f>
        <v>52.704999999999998</v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15.3</v>
      </c>
      <c r="SW7" s="42">
        <f>IF($CP7="P",CB7,(CB7+BA7)/2)</f>
        <v>9.4499999999999993</v>
      </c>
      <c r="SX7" s="42">
        <f>IF($CP7="P",CC7,(CC7+BB7)/2)</f>
        <v>13.65</v>
      </c>
      <c r="SY7" s="42">
        <f>IF($CP7="P",CD7,(CD7+BC7)/2)</f>
        <v>14.73</v>
      </c>
      <c r="SZ7" s="42">
        <f>IF($CP7="P",CE7,(CE7+BD7)/2)</f>
        <v>0</v>
      </c>
      <c r="TA7" s="42">
        <f>IF($CP7="P",CF7,(CF7+BE7)/2)</f>
        <v>15.25</v>
      </c>
      <c r="TB7" s="42">
        <f>IF($CP7="P",CG7,(CG7+BF7)/2)</f>
        <v>9.65</v>
      </c>
      <c r="TC7" s="42">
        <f>IF($CP7="P",CH7,(CH7+BG7)/2)</f>
        <v>14</v>
      </c>
      <c r="TD7" s="42">
        <f>IF($CP7="P",CI7,(CI7+BH7)/2)</f>
        <v>14.73</v>
      </c>
      <c r="TE7" s="42">
        <f>IF($CP7="P",CJ7,(CJ7+BI7)/2)</f>
        <v>0</v>
      </c>
      <c r="TF7" s="42">
        <f>IF($CP7="P",CK7,(CK7+BJ7)/2)</f>
        <v>14.899999999999999</v>
      </c>
      <c r="TG7" s="42">
        <f>IF($CP7="P",CL7,(CL7+BK7)/2)</f>
        <v>9.3500000000000014</v>
      </c>
      <c r="TH7" s="42">
        <f>IF($CP7="P",CM7,(CM7+BL7)/2)</f>
        <v>14</v>
      </c>
      <c r="TI7" s="42">
        <f>IF($CP7="P",CN7,(CN7+BM7)/2)</f>
        <v>14.605</v>
      </c>
      <c r="TJ7" s="42">
        <f>IF($CP7="P",CO7,(CO7+BN7)/2)</f>
        <v>0</v>
      </c>
      <c r="TK7" s="51" t="s">
        <v>58</v>
      </c>
      <c r="TL7" s="76">
        <f>IF(SX7&gt;0,SX7,"")</f>
        <v>13.65</v>
      </c>
      <c r="TM7" s="76">
        <f>IF(SY7&gt;0,SY7,"")</f>
        <v>14.73</v>
      </c>
      <c r="TN7" s="76">
        <f>IF(SUM(SV7:SY7)-SZ7&gt;0,SUM(SV7:SY7)-SZ7,"")</f>
        <v>53.129999999999995</v>
      </c>
      <c r="TO7" s="76">
        <f>IF(TC7&gt;0,TC7,"")</f>
        <v>14</v>
      </c>
      <c r="TP7" s="76">
        <f>IF(TD7&gt;0,TD7,"")</f>
        <v>14.73</v>
      </c>
      <c r="TQ7" s="76">
        <f>IF(SUM(TA7:TD7)-TE7&gt;0,SUM(TA7:TD7)-TE7,"")</f>
        <v>53.629999999999995</v>
      </c>
      <c r="TR7" s="76">
        <f>IF(MAX(TN7,TQ7)&gt;0,MAX(TN7,TQ7),"")</f>
        <v>53.629999999999995</v>
      </c>
      <c r="TS7" s="76">
        <f>IF(TH7&gt;0,TH7,"")</f>
        <v>14</v>
      </c>
      <c r="TT7" s="76">
        <f>IF(TI7&gt;0,TI7,"")</f>
        <v>14.605</v>
      </c>
      <c r="TU7" s="76">
        <f>IF(SUM(TF7:TI7)-TJ7&gt;0,SUM(TF7:TI7)-TJ7,"")</f>
        <v>52.855000000000004</v>
      </c>
      <c r="TV7" s="76">
        <f>IF(SUM(TR7,TU7)&gt;0,SUM(TR7,TU7),"")</f>
        <v>106.485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85</v>
      </c>
      <c r="C8" s="7" t="s">
        <v>6</v>
      </c>
      <c r="D8" s="7">
        <v>2002</v>
      </c>
      <c r="E8" s="14">
        <f>SUM(J8:V8)+SUM(J8:T8)*0.0000001+SUM(J8)*0.0000000000001</f>
        <v>230.11502298850519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),"P","")</f>
        <v/>
      </c>
      <c r="J8" s="13">
        <f>IF(COUNT(AQ8,AT8,BR8,BU8,CS8,CV8)&gt;0,LARGE((AQ8,AT8,BR8,BU8,CS8,CV8),1),0)</f>
        <v>51.75</v>
      </c>
      <c r="K8" s="13" t="str">
        <f>IF(J8="","",IF(OR(J8=CS8,J8=CV8),$CA$1,IF(OR(J8=BR8,J8=BU8),$AZ$1,IF(OR(J8=AQ8,J8=AT8),$Y$1,""))))</f>
        <v>2022 Nationals</v>
      </c>
      <c r="L8" s="13">
        <f>IF(COUNT(AQ8,AT8,BR8,BU8,CS8,CV8)&gt;1,LARGE((AQ8,AT8,BR8,BU8,CS8,CV8),2),0)</f>
        <v>50.309999999999995</v>
      </c>
      <c r="M8" s="13" t="str">
        <f>IF(L8="","",IF(OR(L8=CS8,L8=CV8),$CA$1,IF(OR(L8=BR8,L8=BU8),$AZ$1,IF(OR(L8=AQ8,L8=AT8),$Y$1,""))))</f>
        <v>2022 Nationals</v>
      </c>
      <c r="N8" s="13">
        <f>IF(COUNT(AQ8,AT8,BR8,BU8,CS8,CV8)&gt;2,LARGE((AQ8,AT8,BR8,BU8,CS8,CV8),3),0)</f>
        <v>49.774999999999999</v>
      </c>
      <c r="O8" s="13" t="str">
        <f>IF(N8="","",IF(OR(N8=CS8,N8=CV8),$CA$1,IF(OR(N8=BR8,N8=BU8),$AZ$1,IF(OR(N8=AQ8,N8=AT8),$Y$1,""))))</f>
        <v>2022 Elite Canada</v>
      </c>
      <c r="P8" s="13">
        <f>IF(MAX(AX8,BY8,CZ8)&gt;0,MAX(AX8,BY8,CZ8),0)</f>
        <v>51.075000000000003</v>
      </c>
      <c r="Q8" s="13" t="str">
        <f>IF(P8="","",IF(P8=CZ8,$CA$1,IF(P8=BY8,$AZ$1,IF(P8=AX8,$Y$1,""))))</f>
        <v>2022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12.9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Elite Canada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,IF(DX8&gt;=$EK$17,DY8,0),IF(EA8&gt;=$EK$17,EB8,0),IF(EE8&gt;=$EK$17,EF8,0),IF(EH8&gt;=$EK$17,EI8,0),IF(FF8&gt;=$FS$17,FG8,0),IF(FI8&gt;=$FS$17,FJ8,0),IF(FM8&gt;=$FS$17,FN8,0),IF(FP8&gt;=$FS$17,FQ8,0),IF(GN8&gt;=$HA$17,GO8,0),IF(GQ8&gt;=$HA$17,GR8,0),IF(GU8&gt;=$HA$17,GV8,0),IF(GX8&gt;=$HA$17,GY8,0),IF(HV8&gt;=$II$17,HW8,0),IF(HY8&gt;=$II$17,HZ8,0),IF(IC8&gt;=$II$17,ID8,0),IF(IF8&gt;=$II$17,IG8,0),IF(JD8&gt;=$JQ$17,JE8,0),IF(JG8&gt;=$JQ$17,JH8,0),IF(JK8&gt;=$JQ$17,JL8,0),IF(JN8&gt;=$JQ$17,JO8,0),IF(KL8&gt;=$KY$17,KM8,0),IF(KO8&gt;=$KY$17,KP8,0),IF(KS8&gt;=$KY$17,KT8,0),IF(KV8&gt;=$KY$17,KW8,0),IF(LT8&gt;=$MG$17,LU8,0),IF(LW8&gt;=$MG$17,LX8,0),IF(MA8&gt;=$MG$17,MB8,0),IF(MD8&gt;=$MG$17,ME8,0),IF(NB8&gt;=$NO$17,NC8,0),IF(NE8&gt;=$NO$17,NF8,0),IF(NI8&gt;=$NO$17,NJ8,0),IF(NL8&gt;=$NO$17,NM8,0),IF(OJ8&gt;=$OW$17,OK8,0),IF(OM8&gt;=$OW$17,ON8,0),IF(OQ8&gt;=$OW$17,OR8,0),IF(OT8&gt;=$OW$17,OU8,0),IF(PR8&gt;=$QE$17,PS8,0),IF(PU8&gt;=$QE$17,PV8,0),IF(PY8&gt;=$QE$17,PZ8,0),IF(QB8&gt;=$QE$17,QC8,0),IF(QZ8&gt;=$RM$17,RA8,0),IF(RC8&gt;=$RM$17,RD8,0),IF(RG8&gt;=$RM$17,RH8,0),IF(RJ8&gt;=$RM$17,RK8,0),IF(SH8&gt;=$SU$17,SI8,0),IF(SK8&gt;=$SU$17,SL8,0),IF(SO8&gt;=$SU$17,SP8,0),IF(SR8&gt;=$SU$17,SS8,0)),0)</f>
        <v>14.074999999999999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Elite Canada</v>
      </c>
      <c r="V8" s="13">
        <f>IF(MAX(DB8,DC8)&gt;0,MAX(DB8,DC8),"")</f>
        <v>0.23000000000000398</v>
      </c>
      <c r="W8" s="16" t="str">
        <f>IF(V8="","",IF(V8=DB8,"("&amp;DB$2&amp;")",IF(V8=DC8,"("&amp;DC$2&amp;")")))</f>
        <v>(Prelim)</v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Pan Am Championships (June 28)</v>
      </c>
      <c r="Y8" s="42">
        <v>14.1</v>
      </c>
      <c r="Z8" s="42">
        <v>8.9</v>
      </c>
      <c r="AA8" s="42">
        <v>12.9</v>
      </c>
      <c r="AB8" s="42">
        <v>13.875</v>
      </c>
      <c r="AC8" s="42">
        <v>0</v>
      </c>
      <c r="AD8" s="42">
        <v>4.4000000000000004</v>
      </c>
      <c r="AE8" s="42">
        <v>2.8</v>
      </c>
      <c r="AF8" s="42">
        <v>4.4000000000000004</v>
      </c>
      <c r="AG8" s="42">
        <v>4.3449999999999998</v>
      </c>
      <c r="AH8" s="42">
        <v>0</v>
      </c>
      <c r="AI8" s="42">
        <v>14.9</v>
      </c>
      <c r="AJ8" s="42">
        <v>9.1999999999999993</v>
      </c>
      <c r="AK8" s="42">
        <v>12.9</v>
      </c>
      <c r="AL8" s="42">
        <v>14.074999999999999</v>
      </c>
      <c r="AM8" s="42">
        <v>0</v>
      </c>
      <c r="AN8" s="51"/>
      <c r="AO8" s="74">
        <f>IF(AA8&gt;0,AA8,"")</f>
        <v>12.9</v>
      </c>
      <c r="AP8" s="74">
        <f>IF(AB8&gt;0,AB8,"")</f>
        <v>13.875</v>
      </c>
      <c r="AQ8" s="76">
        <f>IF(SUM(Y8:AB8)-AC8&gt;0,SUM(Y8:AB8)-AC8,"")</f>
        <v>49.774999999999999</v>
      </c>
      <c r="AR8" s="76">
        <f>IF(AF8&gt;0,AF8,"")</f>
        <v>4.4000000000000004</v>
      </c>
      <c r="AS8" s="76">
        <f>IF(AG8&gt;0,AG8,"")</f>
        <v>4.3449999999999998</v>
      </c>
      <c r="AT8" s="76">
        <f>IF(SUM(AD8:AG8)-AH8&gt;0,SUM(AD8:AG8)-AH8,"")</f>
        <v>15.945</v>
      </c>
      <c r="AU8" s="76">
        <f>IF(AQ8="","",MAX(AQ8,AT8))</f>
        <v>49.774999999999999</v>
      </c>
      <c r="AV8" s="76">
        <f>IF(AK8&gt;0,AK8,"")</f>
        <v>12.9</v>
      </c>
      <c r="AW8" s="76">
        <f>IF(AL8&gt;0,AL8,"")</f>
        <v>14.074999999999999</v>
      </c>
      <c r="AX8" s="76">
        <f>IF(SUM(AI8:AL8)-AM8&gt;0,SUM(AI8:AL8)-AM8,"")</f>
        <v>51.075000000000003</v>
      </c>
      <c r="AY8" s="76">
        <f>IF(SUM(AU8,AX8)&gt;0,SUM(AU8,AX8),"")</f>
        <v>100.85</v>
      </c>
      <c r="AZ8" s="46">
        <v>14.5</v>
      </c>
      <c r="BA8" s="46">
        <v>9.3000000000000007</v>
      </c>
      <c r="BB8" s="46">
        <v>12</v>
      </c>
      <c r="BC8" s="46">
        <v>14.51</v>
      </c>
      <c r="BD8" s="46">
        <v>0</v>
      </c>
      <c r="BE8" s="46">
        <v>15.6</v>
      </c>
      <c r="BF8" s="46">
        <v>9.3000000000000007</v>
      </c>
      <c r="BG8" s="46">
        <v>12</v>
      </c>
      <c r="BH8" s="46">
        <v>14.85</v>
      </c>
      <c r="BI8" s="46">
        <v>0</v>
      </c>
      <c r="BJ8" s="46">
        <v>15.2</v>
      </c>
      <c r="BK8" s="46">
        <v>9</v>
      </c>
      <c r="BL8" s="46">
        <v>11.3</v>
      </c>
      <c r="BM8" s="46">
        <v>14.66</v>
      </c>
      <c r="BN8" s="46">
        <v>0</v>
      </c>
      <c r="BO8" s="52"/>
      <c r="BP8" s="75">
        <f>IF(BB8&gt;0,BB8,"")</f>
        <v>12</v>
      </c>
      <c r="BQ8" s="75">
        <f>IF(BC8&gt;0,BC8,"")</f>
        <v>14.51</v>
      </c>
      <c r="BR8" s="16">
        <f>IF(SUM(AZ8:BC8)-BD8&gt;0,SUM(AZ8:BC8)-BD8,"")</f>
        <v>50.309999999999995</v>
      </c>
      <c r="BS8" s="16">
        <f>IF(BG8&gt;0,BG8,"")</f>
        <v>12</v>
      </c>
      <c r="BT8" s="16">
        <f>IF(BH8&gt;0,BH8,"")</f>
        <v>14.85</v>
      </c>
      <c r="BU8" s="16">
        <f>IF(SUM(BE8:BH8)-BI8&gt;0,SUM(BE8:BH8)-BI8,"")</f>
        <v>51.75</v>
      </c>
      <c r="BV8" s="16">
        <f>IF(BR8="","",MAX(BR8,BU8))</f>
        <v>51.75</v>
      </c>
      <c r="BW8" s="16">
        <f>IF(BL8&gt;0,BL8,"")</f>
        <v>11.3</v>
      </c>
      <c r="BX8" s="16">
        <f>IF(BM8&gt;0,BM8,"")</f>
        <v>14.66</v>
      </c>
      <c r="BY8" s="16">
        <f>IF(SUM(BJ8:BM8)-BN8&gt;0,SUM(BJ8:BM8)-BN8,"")</f>
        <v>50.16</v>
      </c>
      <c r="BZ8" s="16">
        <f>IF(SUM(BV8,BY8)&gt;0,SUM(BV8,BY8),"")</f>
        <v>101.91</v>
      </c>
      <c r="CA8" s="42">
        <v>11.6</v>
      </c>
      <c r="CB8" s="42">
        <v>8.1999999999999993</v>
      </c>
      <c r="CC8" s="42">
        <v>11.7</v>
      </c>
      <c r="CD8" s="42">
        <v>12.72</v>
      </c>
      <c r="CE8" s="42">
        <v>0</v>
      </c>
      <c r="CF8" s="42">
        <v>2.2000000000000002</v>
      </c>
      <c r="CG8" s="42">
        <v>1.7</v>
      </c>
      <c r="CH8" s="42">
        <v>2.7</v>
      </c>
      <c r="CI8" s="42">
        <v>2.89</v>
      </c>
      <c r="CJ8" s="42">
        <v>0</v>
      </c>
      <c r="CK8" s="42">
        <v>7.7</v>
      </c>
      <c r="CL8" s="42">
        <v>5.6</v>
      </c>
      <c r="CM8" s="42">
        <v>8.1</v>
      </c>
      <c r="CN8" s="42">
        <v>8.7899999999999991</v>
      </c>
      <c r="CO8" s="42">
        <v>0</v>
      </c>
      <c r="CP8" s="51"/>
      <c r="CQ8" s="74">
        <f>IF(CC8&gt;0,CC8,"")</f>
        <v>11.7</v>
      </c>
      <c r="CR8" s="74">
        <f>IF(CD8&gt;0,CD8,"")</f>
        <v>12.72</v>
      </c>
      <c r="CS8" s="76">
        <f>IF(SUM(CA8:CD8)-CE8&gt;0,SUM(CA8:CD8)-CE8,"")</f>
        <v>44.22</v>
      </c>
      <c r="CT8" s="76">
        <f>IF(CH8&gt;0,CH8,"")</f>
        <v>2.7</v>
      </c>
      <c r="CU8" s="76">
        <f>IF(CI8&gt;0,CI8,"")</f>
        <v>2.89</v>
      </c>
      <c r="CV8" s="76">
        <f>IF(SUM(CF8:CI8)-CJ8&gt;0,SUM(CF8:CI8)-CJ8,"")</f>
        <v>9.49</v>
      </c>
      <c r="CW8" s="76">
        <f>IF(CS8="","",MAX(CS8,CV8))</f>
        <v>44.22</v>
      </c>
      <c r="CX8" s="76">
        <f>IF(CM8&gt;0,CM8,"")</f>
        <v>8.1</v>
      </c>
      <c r="CY8" s="76">
        <f>IF(CN8&gt;0,CN8,"")</f>
        <v>8.7899999999999991</v>
      </c>
      <c r="CZ8" s="76">
        <f>IF(SUM(CK8:CN8)-CO8&gt;0,SUM(CK8:CN8)-CO8,"")</f>
        <v>30.189999999999998</v>
      </c>
      <c r="DA8" s="76">
        <f>IF(SUM(CW8,CZ8)&gt;0,SUM(CW8,CZ8),"")</f>
        <v>74.41</v>
      </c>
      <c r="DB8" s="87">
        <f>IF(N8&gt;=0.001,IF(MAX(ED8,FL8,GT8,IB8,JJ8,KR8,LZ8,NH8,OP8,PX8,RF8,SN8)-IF(N8="",0,N8)&gt;0.001,MAX(ED8,FL8,GT8,IB8,JJ8,KR8,LZ8,NH8,OP8,PX8,RF8,SN8)-IF(N8="",0,N8),""),"")</f>
        <v>0.23000000000000398</v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>
        <v>14.5</v>
      </c>
      <c r="HC8" s="26">
        <v>8.9</v>
      </c>
      <c r="HD8" s="26">
        <v>10.7</v>
      </c>
      <c r="HE8" s="26">
        <v>13.74</v>
      </c>
      <c r="HF8" s="26">
        <v>0</v>
      </c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>
        <f>IF(HD8&gt;0,HD8,"")</f>
        <v>10.7</v>
      </c>
      <c r="HW8" s="16">
        <f>IF(HE8&gt;0,HE8,"")</f>
        <v>13.74</v>
      </c>
      <c r="HX8" s="16">
        <f>IF(SUM(HB8:HE8)-HF8&gt;0,SUM(HB8:HE8)-HF8,"")</f>
        <v>47.839999999999996</v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>
        <f>IF(MAX(HX8,IA8)&gt;0,MAX(HX8,IA8),"")</f>
        <v>47.839999999999996</v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>
        <f>IF(SUM(IB8,IH8)&gt;0,SUM(IB8,IH8),"")</f>
        <v>47.839999999999996</v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>
        <v>15.2</v>
      </c>
      <c r="NQ8" s="25">
        <v>11.3</v>
      </c>
      <c r="NR8" s="25">
        <v>9.1999999999999993</v>
      </c>
      <c r="NS8" s="25">
        <v>14.305</v>
      </c>
      <c r="NT8" s="25">
        <v>0</v>
      </c>
      <c r="NU8" s="25">
        <v>9.1</v>
      </c>
      <c r="NV8" s="25">
        <v>7.2</v>
      </c>
      <c r="NW8" s="25">
        <v>5.3</v>
      </c>
      <c r="NX8" s="25">
        <v>8.59</v>
      </c>
      <c r="NY8" s="25">
        <v>0</v>
      </c>
      <c r="NZ8" s="25"/>
      <c r="OA8" s="25"/>
      <c r="OB8" s="25"/>
      <c r="OC8" s="25"/>
      <c r="OD8" s="25"/>
      <c r="OE8" s="25">
        <v>9.6999999999999993</v>
      </c>
      <c r="OF8" s="25">
        <v>6.4</v>
      </c>
      <c r="OG8" s="25">
        <v>9.4</v>
      </c>
      <c r="OH8" s="25">
        <v>9.8949999999999996</v>
      </c>
      <c r="OI8" s="25">
        <v>0</v>
      </c>
      <c r="OJ8" s="76">
        <f>IF(NR8&gt;0,NR8,"")</f>
        <v>9.1999999999999993</v>
      </c>
      <c r="OK8" s="76">
        <f>IF(NS8&gt;0,NS8,"")</f>
        <v>14.305</v>
      </c>
      <c r="OL8" s="76">
        <f>IF(SUM(NP8:NS8)-NT8&gt;0,SUM(NP8:NS8)-NT8,"")</f>
        <v>50.005000000000003</v>
      </c>
      <c r="OM8" s="76">
        <f>IF(NW8&gt;0,NW8,"")</f>
        <v>5.3</v>
      </c>
      <c r="ON8" s="76">
        <f>IF(NX8&gt;0,NX8,"")</f>
        <v>8.59</v>
      </c>
      <c r="OO8" s="76">
        <f>IF(SUM(NU8:NX8)-NY8&gt;0,SUM(NU8:NX8)-NY8,"")</f>
        <v>30.19</v>
      </c>
      <c r="OP8" s="76">
        <f>IF(MAX(OL8,OO8)&gt;0,MAX(OL8,OO8),"")</f>
        <v>50.005000000000003</v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>
        <f>IF(OG8&gt;0,OG8,"")</f>
        <v>9.4</v>
      </c>
      <c r="OU8" s="76">
        <f>IF(OH8&gt;0,OH8,"")</f>
        <v>9.8949999999999996</v>
      </c>
      <c r="OV8" s="76">
        <f>IF(SUM(OE8:OH8)-OI8&gt;0,SUM(OE8:OH8)-OI8,"")</f>
        <v>35.394999999999996</v>
      </c>
      <c r="OW8" s="76">
        <f>IF(SUM(OP8,OV8)&gt;0,SUM(OP8,OV8),"")</f>
        <v>85.4</v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13.05</v>
      </c>
      <c r="SW8" s="42">
        <f>IF($CP8="P",CB8,(CB8+BA8)/2)</f>
        <v>8.75</v>
      </c>
      <c r="SX8" s="42">
        <f>IF($CP8="P",CC8,(CC8+BB8)/2)</f>
        <v>11.85</v>
      </c>
      <c r="SY8" s="42">
        <f>IF($CP8="P",CD8,(CD8+BC8)/2)</f>
        <v>13.615</v>
      </c>
      <c r="SZ8" s="42">
        <f>IF($CP8="P",CE8,(CE8+BD8)/2)</f>
        <v>0</v>
      </c>
      <c r="TA8" s="42">
        <f>IF($CP8="P",CF8,(CF8+BE8)/2)</f>
        <v>8.9</v>
      </c>
      <c r="TB8" s="42">
        <f>IF($CP8="P",CG8,(CG8+BF8)/2)</f>
        <v>5.5</v>
      </c>
      <c r="TC8" s="42">
        <f>IF($CP8="P",CH8,(CH8+BG8)/2)</f>
        <v>7.35</v>
      </c>
      <c r="TD8" s="42">
        <f>IF($CP8="P",CI8,(CI8+BH8)/2)</f>
        <v>8.8699999999999992</v>
      </c>
      <c r="TE8" s="42">
        <f>IF($CP8="P",CJ8,(CJ8+BI8)/2)</f>
        <v>0</v>
      </c>
      <c r="TF8" s="42">
        <f>IF($CP8="P",CK8,(CK8+BJ8)/2)</f>
        <v>11.45</v>
      </c>
      <c r="TG8" s="42">
        <f>IF($CP8="P",CL8,(CL8+BK8)/2)</f>
        <v>7.3</v>
      </c>
      <c r="TH8" s="42">
        <f>IF($CP8="P",CM8,(CM8+BL8)/2)</f>
        <v>9.6999999999999993</v>
      </c>
      <c r="TI8" s="42">
        <f>IF($CP8="P",CN8,(CN8+BM8)/2)</f>
        <v>11.725</v>
      </c>
      <c r="TJ8" s="42">
        <f>IF($CP8="P",CO8,(CO8+BN8)/2)</f>
        <v>0</v>
      </c>
      <c r="TK8" s="51" t="s">
        <v>58</v>
      </c>
      <c r="TL8" s="76">
        <f>IF(SX8&gt;0,SX8,"")</f>
        <v>11.85</v>
      </c>
      <c r="TM8" s="76">
        <f>IF(SY8&gt;0,SY8,"")</f>
        <v>13.615</v>
      </c>
      <c r="TN8" s="76">
        <f>IF(SUM(SV8:SY8)-SZ8&gt;0,SUM(SV8:SY8)-SZ8,"")</f>
        <v>47.265000000000001</v>
      </c>
      <c r="TO8" s="76">
        <f>IF(TC8&gt;0,TC8,"")</f>
        <v>7.35</v>
      </c>
      <c r="TP8" s="76">
        <f>IF(TD8&gt;0,TD8,"")</f>
        <v>8.8699999999999992</v>
      </c>
      <c r="TQ8" s="76">
        <f>IF(SUM(TA8:TD8)-TE8&gt;0,SUM(TA8:TD8)-TE8,"")</f>
        <v>30.619999999999997</v>
      </c>
      <c r="TR8" s="76">
        <f>IF(MAX(TN8,TQ8)&gt;0,MAX(TN8,TQ8),"")</f>
        <v>47.265000000000001</v>
      </c>
      <c r="TS8" s="76">
        <f>IF(TH8&gt;0,TH8,"")</f>
        <v>9.6999999999999993</v>
      </c>
      <c r="TT8" s="76">
        <f>IF(TI8&gt;0,TI8,"")</f>
        <v>11.725</v>
      </c>
      <c r="TU8" s="76">
        <f>IF(SUM(TF8:TI8)-TJ8&gt;0,SUM(TF8:TI8)-TJ8,"")</f>
        <v>40.174999999999997</v>
      </c>
      <c r="TV8" s="76">
        <f>IF(SUM(TR8,TU8)&gt;0,SUM(TR8,TU8),"")</f>
        <v>87.44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75</v>
      </c>
      <c r="C9" s="7" t="s">
        <v>6</v>
      </c>
      <c r="D9" s="5">
        <v>2001</v>
      </c>
      <c r="E9" s="14">
        <f>SUM(J9:V9)+SUM(J9:T9)*0.0000001+SUM(J9)*0.0000000000001</f>
        <v>229.9700210390051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),"Excellence",IF(I9="P","Worlds Team",IF(F9="P","National Team","")))))</f>
        <v>Worlds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),"P","")</f>
        <v>P</v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50.460000000000008</v>
      </c>
      <c r="M9" s="13" t="str">
        <f>IF(L9="","",IF(OR(L9=CS9,L9=CV9),$CA$1,IF(OR(L9=BR9,L9=BU9),$AZ$1,IF(OR(L9=AQ9,L9=AT9),$Y$1,""))))</f>
        <v>2022 Nationals</v>
      </c>
      <c r="N9" s="13">
        <f>IF(COUNT(AQ9,AT9,BR9,BU9,CS9,CV9)&gt;2,LARGE((AQ9,AT9,BR9,BU9,CS9,CV9),3),0)</f>
        <v>49.760000000000005</v>
      </c>
      <c r="O9" s="13" t="str">
        <f>IF(N9="","",IF(OR(N9=CS9,N9=CV9),$CA$1,IF(OR(N9=BR9,N9=BU9),$AZ$1,IF(OR(N9=AQ9,N9=AT9),$Y$1,""))))</f>
        <v>2022 3rd Domestic Trial</v>
      </c>
      <c r="P9" s="13">
        <f>IF(MAX(AX9,BY9,CZ9)&gt;0,MAX(AX9,BY9,CZ9),0)</f>
        <v>30.490000000000002</v>
      </c>
      <c r="Q9" s="13" t="str">
        <f>IF(P9="","",IF(P9=CZ9,$CA$1,IF(P9=BY9,$AZ$1,IF(P9=AX9,$Y$1,""))))</f>
        <v>2022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Pan Am Championships (June 28)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,IF(DX9&gt;=$EK$17,DY9,0),IF(EA9&gt;=$EK$17,EB9,0),IF(EE9&gt;=$EK$17,EF9,0),IF(EH9&gt;=$EK$17,EI9,0),IF(FF9&gt;=$FS$17,FG9,0),IF(FI9&gt;=$FS$17,FJ9,0),IF(FM9&gt;=$FS$17,FN9,0),IF(FP9&gt;=$FS$17,FQ9,0),IF(GN9&gt;=$HA$17,GO9,0),IF(GQ9&gt;=$HA$17,GR9,0),IF(GU9&gt;=$HA$17,GV9,0),IF(GX9&gt;=$HA$17,GY9,0),IF(HV9&gt;=$II$17,HW9,0),IF(HY9&gt;=$II$17,HZ9,0),IF(IC9&gt;=$II$17,ID9,0),IF(IF9&gt;=$II$17,IG9,0),IF(JD9&gt;=$JQ$17,JE9,0),IF(JG9&gt;=$JQ$17,JH9,0),IF(JK9&gt;=$JQ$17,JL9,0),IF(JN9&gt;=$JQ$17,JO9,0),IF(KL9&gt;=$KY$17,KM9,0),IF(KO9&gt;=$KY$17,KP9,0),IF(KS9&gt;=$KY$17,KT9,0),IF(KV9&gt;=$KY$17,KW9,0),IF(LT9&gt;=$MG$17,LU9,0),IF(LW9&gt;=$MG$17,LX9,0),IF(MA9&gt;=$MG$17,MB9,0),IF(MD9&gt;=$MG$17,ME9,0),IF(NB9&gt;=$NO$17,NC9,0),IF(NE9&gt;=$NO$17,NF9,0),IF(NI9&gt;=$NO$17,NJ9,0),IF(NL9&gt;=$NO$17,NM9,0),IF(OJ9&gt;=$OW$17,OK9,0),IF(OM9&gt;=$OW$17,ON9,0),IF(OQ9&gt;=$OW$17,OR9,0),IF(OT9&gt;=$OW$17,OU9,0),IF(PR9&gt;=$QE$17,PS9,0),IF(PU9&gt;=$QE$17,PV9,0),IF(PY9&gt;=$QE$17,PZ9,0),IF(QB9&gt;=$QE$17,QC9,0),IF(QZ9&gt;=$RM$17,RA9,0),IF(RC9&gt;=$RM$17,RD9,0),IF(RG9&gt;=$RM$17,RH9,0),IF(RJ9&gt;=$RM$17,RK9,0),IF(SH9&gt;=$SU$17,SI9,0),IF(SK9&gt;=$SU$17,SL9,0),IF(SO9&gt;=$SU$17,SP9,0),IF(SR9&gt;=$SU$17,SS9,0)),0)</f>
        <v>14.87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3rd Domestic Trial</v>
      </c>
      <c r="V9" s="13">
        <f>IF(MAX(DB9,DC9)&gt;0,MAX(DB9,DC9),"")</f>
        <v>19.579999999999991</v>
      </c>
      <c r="W9" s="16" t="str">
        <f>IF(V9="","",IF(V9=DB9,"("&amp;DB$2&amp;")",IF(V9=DC9,"("&amp;DC$2&amp;")")))</f>
        <v>(Final)</v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Pan Am Championships (June 28)</v>
      </c>
      <c r="Y9" s="42">
        <v>13.6</v>
      </c>
      <c r="Z9" s="42">
        <v>9.4</v>
      </c>
      <c r="AA9" s="42">
        <v>13.3</v>
      </c>
      <c r="AB9" s="42">
        <v>14.71</v>
      </c>
      <c r="AC9" s="42">
        <v>0</v>
      </c>
      <c r="AD9" s="42">
        <v>12.1</v>
      </c>
      <c r="AE9" s="42">
        <v>9.1999999999999993</v>
      </c>
      <c r="AF9" s="42">
        <v>13.4</v>
      </c>
      <c r="AG9" s="42">
        <v>14.34</v>
      </c>
      <c r="AH9" s="42">
        <v>0</v>
      </c>
      <c r="AI9" s="42">
        <v>8.1999999999999993</v>
      </c>
      <c r="AJ9" s="42">
        <v>5.2</v>
      </c>
      <c r="AK9" s="42">
        <v>8.1</v>
      </c>
      <c r="AL9" s="42">
        <v>8.99</v>
      </c>
      <c r="AM9" s="42">
        <v>0</v>
      </c>
      <c r="AN9" s="51"/>
      <c r="AO9" s="74">
        <f>IF(AA9&gt;0,AA9,"")</f>
        <v>13.3</v>
      </c>
      <c r="AP9" s="74">
        <f>IF(AB9&gt;0,AB9,"")</f>
        <v>14.71</v>
      </c>
      <c r="AQ9" s="76">
        <f>IF(SUM(Y9:AB9)-AC9&gt;0,SUM(Y9:AB9)-AC9,"")</f>
        <v>51.01</v>
      </c>
      <c r="AR9" s="76">
        <f>IF(AF9&gt;0,AF9,"")</f>
        <v>13.4</v>
      </c>
      <c r="AS9" s="76">
        <f>IF(AG9&gt;0,AG9,"")</f>
        <v>14.34</v>
      </c>
      <c r="AT9" s="76">
        <f>IF(SUM(AD9:AG9)-AH9&gt;0,SUM(AD9:AG9)-AH9,"")</f>
        <v>49.039999999999992</v>
      </c>
      <c r="AU9" s="76">
        <f>IF(AQ9="","",MAX(AQ9,AT9))</f>
        <v>51.01</v>
      </c>
      <c r="AV9" s="76">
        <f>IF(AK9&gt;0,AK9,"")</f>
        <v>8.1</v>
      </c>
      <c r="AW9" s="76">
        <f>IF(AL9&gt;0,AL9,"")</f>
        <v>8.99</v>
      </c>
      <c r="AX9" s="76">
        <f>IF(SUM(AI9:AL9)-AM9&gt;0,SUM(AI9:AL9)-AM9,"")</f>
        <v>30.490000000000002</v>
      </c>
      <c r="AY9" s="76">
        <f>IF(SUM(AU9,AX9)&gt;0,SUM(AU9,AX9),"")</f>
        <v>81.5</v>
      </c>
      <c r="AZ9" s="46">
        <v>12.7</v>
      </c>
      <c r="BA9" s="46">
        <v>9.1</v>
      </c>
      <c r="BB9" s="46">
        <v>13.3</v>
      </c>
      <c r="BC9" s="46">
        <v>14.32</v>
      </c>
      <c r="BD9" s="46">
        <v>0</v>
      </c>
      <c r="BE9" s="46">
        <v>13.2</v>
      </c>
      <c r="BF9" s="46">
        <v>9.4</v>
      </c>
      <c r="BG9" s="46">
        <v>13.3</v>
      </c>
      <c r="BH9" s="46">
        <v>14.56</v>
      </c>
      <c r="BI9" s="46">
        <v>0</v>
      </c>
      <c r="BJ9" s="46">
        <v>1.4</v>
      </c>
      <c r="BK9" s="46">
        <v>0.8</v>
      </c>
      <c r="BL9" s="46">
        <v>1.7</v>
      </c>
      <c r="BM9" s="46">
        <v>1.67</v>
      </c>
      <c r="BN9" s="46">
        <v>0</v>
      </c>
      <c r="BO9" s="52"/>
      <c r="BP9" s="75">
        <f>IF(BB9&gt;0,BB9,"")</f>
        <v>13.3</v>
      </c>
      <c r="BQ9" s="75">
        <f>IF(BC9&gt;0,BC9,"")</f>
        <v>14.32</v>
      </c>
      <c r="BR9" s="16">
        <f>IF(SUM(AZ9:BC9)-BD9&gt;0,SUM(AZ9:BC9)-BD9,"")</f>
        <v>49.419999999999995</v>
      </c>
      <c r="BS9" s="16">
        <f>IF(BG9&gt;0,BG9,"")</f>
        <v>13.3</v>
      </c>
      <c r="BT9" s="16">
        <f>IF(BH9&gt;0,BH9,"")</f>
        <v>14.56</v>
      </c>
      <c r="BU9" s="16">
        <f>IF(SUM(BE9:BH9)-BI9&gt;0,SUM(BE9:BH9)-BI9,"")</f>
        <v>50.460000000000008</v>
      </c>
      <c r="BV9" s="16">
        <f>IF(BR9="","",MAX(BR9,BU9))</f>
        <v>50.460000000000008</v>
      </c>
      <c r="BW9" s="16">
        <f>IF(BL9&gt;0,BL9,"")</f>
        <v>1.7</v>
      </c>
      <c r="BX9" s="16">
        <f>IF(BM9&gt;0,BM9,"")</f>
        <v>1.67</v>
      </c>
      <c r="BY9" s="16">
        <f>IF(SUM(BJ9:BM9)-BN9&gt;0,SUM(BJ9:BM9)-BN9,"")</f>
        <v>5.57</v>
      </c>
      <c r="BZ9" s="16">
        <f>IF(SUM(BV9,BY9)&gt;0,SUM(BV9,BY9),"")</f>
        <v>56.030000000000008</v>
      </c>
      <c r="CA9" s="42">
        <v>13.1</v>
      </c>
      <c r="CB9" s="42">
        <v>8.4</v>
      </c>
      <c r="CC9" s="42">
        <v>13.3</v>
      </c>
      <c r="CD9" s="42">
        <v>14.87</v>
      </c>
      <c r="CE9" s="42">
        <v>0</v>
      </c>
      <c r="CF9" s="42">
        <v>13.1</v>
      </c>
      <c r="CG9" s="42">
        <v>8.5</v>
      </c>
      <c r="CH9" s="42">
        <v>13.3</v>
      </c>
      <c r="CI9" s="42">
        <v>14.86</v>
      </c>
      <c r="CJ9" s="42">
        <v>0</v>
      </c>
      <c r="CK9" s="42">
        <v>5.2</v>
      </c>
      <c r="CL9" s="42">
        <v>3.4</v>
      </c>
      <c r="CM9" s="42">
        <v>5.8</v>
      </c>
      <c r="CN9" s="42">
        <v>6.06</v>
      </c>
      <c r="CO9" s="42">
        <v>0.2</v>
      </c>
      <c r="CP9" s="51"/>
      <c r="CQ9" s="74">
        <f>IF(CC9&gt;0,CC9,"")</f>
        <v>13.3</v>
      </c>
      <c r="CR9" s="74">
        <f>IF(CD9&gt;0,CD9,"")</f>
        <v>14.87</v>
      </c>
      <c r="CS9" s="76">
        <f>IF(SUM(CA9:CD9)-CE9&gt;0,SUM(CA9:CD9)-CE9,"")</f>
        <v>49.669999999999995</v>
      </c>
      <c r="CT9" s="76">
        <f>IF(CH9&gt;0,CH9,"")</f>
        <v>13.3</v>
      </c>
      <c r="CU9" s="76">
        <f>IF(CI9&gt;0,CI9,"")</f>
        <v>14.86</v>
      </c>
      <c r="CV9" s="76">
        <f>IF(SUM(CF9:CI9)-CJ9&gt;0,SUM(CF9:CI9)-CJ9,"")</f>
        <v>49.760000000000005</v>
      </c>
      <c r="CW9" s="76">
        <f>IF(CS9="","",MAX(CS9,CV9))</f>
        <v>49.760000000000005</v>
      </c>
      <c r="CX9" s="76">
        <f>IF(CM9&gt;0,CM9,"")</f>
        <v>5.8</v>
      </c>
      <c r="CY9" s="76">
        <f>IF(CN9&gt;0,CN9,"")</f>
        <v>6.06</v>
      </c>
      <c r="CZ9" s="76">
        <f>IF(SUM(CK9:CN9)-CO9&gt;0,SUM(CK9:CN9)-CO9,"")</f>
        <v>20.259999999999998</v>
      </c>
      <c r="DA9" s="76">
        <f>IF(SUM(CW9,CZ9)&gt;0,SUM(CW9,CZ9),"")</f>
        <v>70.02000000000001</v>
      </c>
      <c r="DB9" s="87">
        <f>IF(N9&gt;=0.001,IF(MAX(ED9,FL9,GT9,IB9,JJ9,KR9,LZ9,NH9,OP9,PX9,RF9,SN9)-IF(N9="",0,N9)&gt;0.001,MAX(ED9,FL9,GT9,IB9,JJ9,KR9,LZ9,NH9,OP9,PX9,RF9,SN9)-IF(N9="",0,N9),""),"")</f>
        <v>1.7399999999999949</v>
      </c>
      <c r="DC9" s="87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>19.579999999999991</v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>
        <v>12.8</v>
      </c>
      <c r="IK9" s="25">
        <v>8.6999999999999993</v>
      </c>
      <c r="IL9" s="25">
        <v>11.1</v>
      </c>
      <c r="IM9" s="25">
        <v>14.565</v>
      </c>
      <c r="IN9" s="25">
        <v>0</v>
      </c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>
        <v>3.2</v>
      </c>
      <c r="IZ9" s="25">
        <v>1.8</v>
      </c>
      <c r="JA9" s="25">
        <v>2</v>
      </c>
      <c r="JB9" s="25">
        <v>3.31</v>
      </c>
      <c r="JC9" s="25">
        <v>0</v>
      </c>
      <c r="JD9" s="76">
        <f>IF(IL9&gt;0,IL9,"")</f>
        <v>11.1</v>
      </c>
      <c r="JE9" s="76">
        <f>IF(IM9&gt;0,IM9,"")</f>
        <v>14.565</v>
      </c>
      <c r="JF9" s="76">
        <f>IF(SUM(IJ9:IM9)-IN9&gt;0,SUM(IJ9:IM9)-IN9,"")</f>
        <v>47.164999999999999</v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>
        <f>IF(MAX(JF9,JI9)&gt;0,MAX(JF9,JI9),"")</f>
        <v>47.164999999999999</v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>
        <f>IF(JA9&gt;0,JA9,"")</f>
        <v>2</v>
      </c>
      <c r="JO9" s="76">
        <f>IF(JB9&gt;0,JB9,"")</f>
        <v>3.31</v>
      </c>
      <c r="JP9" s="76">
        <f>IF(SUM(IY9:JB9)-JC9&gt;0,SUM(IY9:JB9)-JC9,"")</f>
        <v>10.31</v>
      </c>
      <c r="JQ9" s="76">
        <f>IF(SUM(JJ9,JP9)&gt;0,SUM(JJ9,JP9),"")</f>
        <v>57.475000000000001</v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>
        <v>13.3</v>
      </c>
      <c r="NQ9" s="25">
        <v>8.5</v>
      </c>
      <c r="NR9" s="25">
        <v>13.3</v>
      </c>
      <c r="NS9" s="25">
        <v>14.08</v>
      </c>
      <c r="NT9" s="25">
        <v>0</v>
      </c>
      <c r="NU9" s="25">
        <v>14.2</v>
      </c>
      <c r="NV9" s="25">
        <v>9.5</v>
      </c>
      <c r="NW9" s="25">
        <v>13.3</v>
      </c>
      <c r="NX9" s="25">
        <v>14.5</v>
      </c>
      <c r="NY9" s="25">
        <v>0</v>
      </c>
      <c r="NZ9" s="25"/>
      <c r="OA9" s="25"/>
      <c r="OB9" s="25"/>
      <c r="OC9" s="25"/>
      <c r="OD9" s="25"/>
      <c r="OE9" s="25">
        <v>13.1</v>
      </c>
      <c r="OF9" s="25">
        <v>8.6999999999999993</v>
      </c>
      <c r="OG9" s="25">
        <v>13.8</v>
      </c>
      <c r="OH9" s="25">
        <v>14.47</v>
      </c>
      <c r="OI9" s="25">
        <v>0</v>
      </c>
      <c r="OJ9" s="76">
        <f>IF(NR9&gt;0,NR9,"")</f>
        <v>13.3</v>
      </c>
      <c r="OK9" s="76">
        <f>IF(NS9&gt;0,NS9,"")</f>
        <v>14.08</v>
      </c>
      <c r="OL9" s="76">
        <f>IF(SUM(NP9:NS9)-NT9&gt;0,SUM(NP9:NS9)-NT9,"")</f>
        <v>49.18</v>
      </c>
      <c r="OM9" s="76">
        <f>IF(NW9&gt;0,NW9,"")</f>
        <v>13.3</v>
      </c>
      <c r="ON9" s="76">
        <f>IF(NX9&gt;0,NX9,"")</f>
        <v>14.5</v>
      </c>
      <c r="OO9" s="76">
        <f>IF(SUM(NU9:NX9)-NY9&gt;0,SUM(NU9:NX9)-NY9,"")</f>
        <v>51.5</v>
      </c>
      <c r="OP9" s="76">
        <f>IF(MAX(OL9,OO9)&gt;0,MAX(OL9,OO9),"")</f>
        <v>51.5</v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>
        <f>IF(OG9&gt;0,OG9,"")</f>
        <v>13.8</v>
      </c>
      <c r="OU9" s="76">
        <f>IF(OH9&gt;0,OH9,"")</f>
        <v>14.47</v>
      </c>
      <c r="OV9" s="76">
        <f>IF(SUM(OE9:OH9)-OI9&gt;0,SUM(OE9:OH9)-OI9,"")</f>
        <v>50.069999999999993</v>
      </c>
      <c r="OW9" s="76">
        <f>IF(SUM(OP9,OV9)&gt;0,SUM(OP9,OV9),"")</f>
        <v>101.57</v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12.899999999999999</v>
      </c>
      <c r="SW9" s="42">
        <f>IF($CP9="P",CB9,(CB9+BA9)/2)</f>
        <v>8.75</v>
      </c>
      <c r="SX9" s="42">
        <f>IF($CP9="P",CC9,(CC9+BB9)/2)</f>
        <v>13.3</v>
      </c>
      <c r="SY9" s="42">
        <f>IF($CP9="P",CD9,(CD9+BC9)/2)</f>
        <v>14.594999999999999</v>
      </c>
      <c r="SZ9" s="42">
        <f>IF($CP9="P",CE9,(CE9+BD9)/2)</f>
        <v>0</v>
      </c>
      <c r="TA9" s="42">
        <f>IF($CP9="P",CF9,(CF9+BE9)/2)</f>
        <v>13.149999999999999</v>
      </c>
      <c r="TB9" s="42">
        <f>IF($CP9="P",CG9,(CG9+BF9)/2)</f>
        <v>8.9499999999999993</v>
      </c>
      <c r="TC9" s="42">
        <f>IF($CP9="P",CH9,(CH9+BG9)/2)</f>
        <v>13.3</v>
      </c>
      <c r="TD9" s="42">
        <f>IF($CP9="P",CI9,(CI9+BH9)/2)</f>
        <v>14.71</v>
      </c>
      <c r="TE9" s="42">
        <f>IF($CP9="P",CJ9,(CJ9+BI9)/2)</f>
        <v>0</v>
      </c>
      <c r="TF9" s="42">
        <f>IF($CP9="P",CK9,(CK9+BJ9)/2)</f>
        <v>3.3</v>
      </c>
      <c r="TG9" s="42">
        <f>IF($CP9="P",CL9,(CL9+BK9)/2)</f>
        <v>2.1</v>
      </c>
      <c r="TH9" s="42">
        <f>IF($CP9="P",CM9,(CM9+BL9)/2)</f>
        <v>3.75</v>
      </c>
      <c r="TI9" s="42">
        <f>IF($CP9="P",CN9,(CN9+BM9)/2)</f>
        <v>3.8649999999999998</v>
      </c>
      <c r="TJ9" s="42">
        <f>IF($CP9="P",CO9,(CO9+BN9)/2)</f>
        <v>0.1</v>
      </c>
      <c r="TK9" s="51" t="s">
        <v>58</v>
      </c>
      <c r="TL9" s="76">
        <f>IF(SX9&gt;0,SX9,"")</f>
        <v>13.3</v>
      </c>
      <c r="TM9" s="76">
        <f>IF(SY9&gt;0,SY9,"")</f>
        <v>14.594999999999999</v>
      </c>
      <c r="TN9" s="76">
        <f>IF(SUM(SV9:SY9)-SZ9&gt;0,SUM(SV9:SY9)-SZ9,"")</f>
        <v>49.545000000000002</v>
      </c>
      <c r="TO9" s="76">
        <f>IF(TC9&gt;0,TC9,"")</f>
        <v>13.3</v>
      </c>
      <c r="TP9" s="76">
        <f>IF(TD9&gt;0,TD9,"")</f>
        <v>14.71</v>
      </c>
      <c r="TQ9" s="76">
        <f>IF(SUM(TA9:TD9)-TE9&gt;0,SUM(TA9:TD9)-TE9,"")</f>
        <v>50.11</v>
      </c>
      <c r="TR9" s="76">
        <f>IF(MAX(TN9,TQ9)&gt;0,MAX(TN9,TQ9),"")</f>
        <v>50.11</v>
      </c>
      <c r="TS9" s="76">
        <f>IF(TH9&gt;0,TH9,"")</f>
        <v>3.75</v>
      </c>
      <c r="TT9" s="76">
        <f>IF(TI9&gt;0,TI9,"")</f>
        <v>3.8649999999999998</v>
      </c>
      <c r="TU9" s="76">
        <f>IF(SUM(TF9:TI9)-TJ9&gt;0,SUM(TF9:TI9)-TJ9,"")</f>
        <v>12.915000000000001</v>
      </c>
      <c r="TV9" s="76">
        <f>IF(SUM(TR9,TU9)&gt;0,SUM(TR9,TU9),"")</f>
        <v>63.024999999999999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102</v>
      </c>
      <c r="C10" s="7" t="s">
        <v>5</v>
      </c>
      <c r="D10" s="18">
        <v>1999</v>
      </c>
      <c r="E10" s="14">
        <f>SUM(J10:V10)+SUM(J10:T10)*0.0000001+SUM(J10)*0.0000000000001</f>
        <v>224.72002247200504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),"P","")</f>
        <v/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),"Excellence",IF(I10="P","Worlds Team",IF(F10="P","National Team","")))))</f>
        <v>No DD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),"P","")</f>
        <v/>
      </c>
      <c r="J10" s="13">
        <f>IF(COUNT(AQ10,AT10,BR10,BU10,CS10,CV10)&gt;0,LARGE((AQ10,AT10,BR10,BU10,CS10,CV10),1),0)</f>
        <v>50.620000000000005</v>
      </c>
      <c r="K10" s="13" t="str">
        <f>IF(J10="","",IF(OR(J10=CS10,J10=CV10),$CA$1,IF(OR(J10=BR10,J10=BU10),$AZ$1,IF(OR(J10=AQ10,J10=AT10),$Y$1,""))))</f>
        <v>2022 Nationals</v>
      </c>
      <c r="L10" s="13">
        <f>IF(COUNT(AQ10,AT10,BR10,BU10,CS10,CV10)&gt;1,LARGE((AQ10,AT10,BR10,BU10,CS10,CV10),2),0)</f>
        <v>50.019999999999996</v>
      </c>
      <c r="M10" s="13" t="str">
        <f>IF(L10="","",IF(OR(L10=CS10,L10=CV10),$CA$1,IF(OR(L10=BR10,L10=BU10),$AZ$1,IF(OR(L10=AQ10,L10=AT10),$Y$1,""))))</f>
        <v>2022 Nationals</v>
      </c>
      <c r="N10" s="13">
        <f>IF(COUNT(AQ10,AT10,BR10,BU10,CS10,CV10)&gt;2,LARGE((AQ10,AT10,BR10,BU10,CS10,CV10),3),0)</f>
        <v>49.43</v>
      </c>
      <c r="O10" s="13" t="str">
        <f>IF(N10="","",IF(OR(N10=CS10,N10=CV10),$CA$1,IF(OR(N10=BR10,N10=BU10),$AZ$1,IF(OR(N10=AQ10,N10=AT10),$Y$1,""))))</f>
        <v>2022 3rd Domestic Trial</v>
      </c>
      <c r="P10" s="13">
        <f>IF(MAX(AX10,BY10,CZ10)&gt;0,MAX(AX10,BY10,CZ10),0)</f>
        <v>48.32</v>
      </c>
      <c r="Q10" s="13" t="str">
        <f>IF(P10="","",IF(P10=CZ10,$CA$1,IF(P10=BY10,$AZ$1,IF(P10=AX10,$Y$1,""))))</f>
        <v>2022 3rd Domestic Trial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3rd Domestic Trial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,IF(DX10&gt;=$EK$17,DY10,0),IF(EA10&gt;=$EK$17,EB10,0),IF(EE10&gt;=$EK$17,EF10,0),IF(EH10&gt;=$EK$17,EI10,0),IF(FF10&gt;=$FS$17,FG10,0),IF(FI10&gt;=$FS$17,FJ10,0),IF(FM10&gt;=$FS$17,FN10,0),IF(FP10&gt;=$FS$17,FQ10,0),IF(GN10&gt;=$HA$17,GO10,0),IF(GQ10&gt;=$HA$17,GR10,0),IF(GU10&gt;=$HA$17,GV10,0),IF(GX10&gt;=$HA$17,GY10,0),IF(HV10&gt;=$II$17,HW10,0),IF(HY10&gt;=$II$17,HZ10,0),IF(IC10&gt;=$II$17,ID10,0),IF(IF10&gt;=$II$17,IG10,0),IF(JD10&gt;=$JQ$17,JE10,0),IF(JG10&gt;=$JQ$17,JH10,0),IF(JK10&gt;=$JQ$17,JL10,0),IF(JN10&gt;=$JQ$17,JO10,0),IF(KL10&gt;=$KY$17,KM10,0),IF(KO10&gt;=$KY$17,KP10,0),IF(KS10&gt;=$KY$17,KT10,0),IF(KV10&gt;=$KY$17,KW10,0),IF(LT10&gt;=$MG$17,LU10,0),IF(LW10&gt;=$MG$17,LX10,0),IF(MA10&gt;=$MG$17,MB10,0),IF(MD10&gt;=$MG$17,ME10,0),IF(NB10&gt;=$NO$17,NC10,0),IF(NE10&gt;=$NO$17,NF10,0),IF(NI10&gt;=$NO$17,NJ10,0),IF(NL10&gt;=$NO$17,NM10,0),IF(OJ10&gt;=$OW$17,OK10,0),IF(OM10&gt;=$OW$17,ON10,0),IF(OQ10&gt;=$OW$17,OR10,0),IF(OT10&gt;=$OW$17,OU10,0),IF(PR10&gt;=$QE$17,PS10,0),IF(PU10&gt;=$QE$17,PV10,0),IF(PY10&gt;=$QE$17,PZ10,0),IF(QB10&gt;=$QE$17,QC10,0),IF(QZ10&gt;=$RM$17,RA10,0),IF(RC10&gt;=$RM$17,RD10,0),IF(RG10&gt;=$RM$17,RH10,0),IF(RJ10&gt;=$RM$17,RK10,0),IF(SH10&gt;=$SU$17,SI10,0),IF(SK10&gt;=$SU$17,SL10,0),IF(SO10&gt;=$SU$17,SP10,0),IF(SR10&gt;=$SU$17,SS10,0)),0)</f>
        <v>13.63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3rd Domestic Trial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51"/>
      <c r="AO10" s="74" t="str">
        <f>IF(AA10&gt;0,AA10,"")</f>
        <v/>
      </c>
      <c r="AP10" s="74" t="str">
        <f>IF(AB10&gt;0,AB10,"")</f>
        <v/>
      </c>
      <c r="AQ10" s="76" t="str">
        <f>IF(SUM(Y10:AB10)-AC10&gt;0,SUM(Y10:AB10)-AC10,"")</f>
        <v/>
      </c>
      <c r="AR10" s="76" t="str">
        <f>IF(AF10&gt;0,AF10,"")</f>
        <v/>
      </c>
      <c r="AS10" s="76" t="str">
        <f>IF(AG10&gt;0,AG10,"")</f>
        <v/>
      </c>
      <c r="AT10" s="76" t="str">
        <f>IF(SUM(AD10:AG10)-AH10&gt;0,SUM(AD10:AG10)-AH10,"")</f>
        <v/>
      </c>
      <c r="AU10" s="76" t="str">
        <f>IF(AQ10="","",MAX(AQ10,AT10))</f>
        <v/>
      </c>
      <c r="AV10" s="76" t="str">
        <f>IF(AK10&gt;0,AK10,"")</f>
        <v/>
      </c>
      <c r="AW10" s="76" t="str">
        <f>IF(AL10&gt;0,AL10,"")</f>
        <v/>
      </c>
      <c r="AX10" s="76" t="str">
        <f>IF(SUM(AI10:AL10)-AM10&gt;0,SUM(AI10:AL10)-AM10,"")</f>
        <v/>
      </c>
      <c r="AY10" s="76" t="str">
        <f>IF(SUM(AU10,AX10)&gt;0,SUM(AU10,AX10),"")</f>
        <v/>
      </c>
      <c r="AZ10" s="46">
        <v>14.8</v>
      </c>
      <c r="BA10" s="46">
        <v>9.1</v>
      </c>
      <c r="BB10" s="46">
        <v>12</v>
      </c>
      <c r="BC10" s="46">
        <v>14.12</v>
      </c>
      <c r="BD10" s="46">
        <v>0</v>
      </c>
      <c r="BE10" s="46">
        <v>15.3</v>
      </c>
      <c r="BF10" s="46">
        <v>9.4</v>
      </c>
      <c r="BG10" s="46">
        <v>12</v>
      </c>
      <c r="BH10" s="46">
        <v>13.92</v>
      </c>
      <c r="BI10" s="46">
        <v>0</v>
      </c>
      <c r="BJ10" s="46">
        <v>1.6</v>
      </c>
      <c r="BK10" s="46">
        <v>0.9</v>
      </c>
      <c r="BL10" s="46">
        <v>1.7</v>
      </c>
      <c r="BM10" s="46">
        <v>1.67</v>
      </c>
      <c r="BN10" s="46">
        <v>0</v>
      </c>
      <c r="BO10" s="52"/>
      <c r="BP10" s="75">
        <f>IF(BB10&gt;0,BB10,"")</f>
        <v>12</v>
      </c>
      <c r="BQ10" s="75">
        <f>IF(BC10&gt;0,BC10,"")</f>
        <v>14.12</v>
      </c>
      <c r="BR10" s="16">
        <f>IF(SUM(AZ10:BC10)-BD10&gt;0,SUM(AZ10:BC10)-BD10,"")</f>
        <v>50.019999999999996</v>
      </c>
      <c r="BS10" s="16">
        <f>IF(BG10&gt;0,BG10,"")</f>
        <v>12</v>
      </c>
      <c r="BT10" s="16">
        <f>IF(BH10&gt;0,BH10,"")</f>
        <v>13.92</v>
      </c>
      <c r="BU10" s="16">
        <f>IF(SUM(BE10:BH10)-BI10&gt;0,SUM(BE10:BH10)-BI10,"")</f>
        <v>50.620000000000005</v>
      </c>
      <c r="BV10" s="16">
        <f>IF(BR10="","",MAX(BR10,BU10))</f>
        <v>50.620000000000005</v>
      </c>
      <c r="BW10" s="16">
        <f>IF(BL10&gt;0,BL10,"")</f>
        <v>1.7</v>
      </c>
      <c r="BX10" s="16">
        <f>IF(BM10&gt;0,BM10,"")</f>
        <v>1.67</v>
      </c>
      <c r="BY10" s="16">
        <f>IF(SUM(BJ10:BM10)-BN10&gt;0,SUM(BJ10:BM10)-BN10,"")</f>
        <v>5.87</v>
      </c>
      <c r="BZ10" s="16">
        <f>IF(SUM(BV10,BY10)&gt;0,SUM(BV10,BY10),"")</f>
        <v>56.49</v>
      </c>
      <c r="CA10" s="42">
        <v>12.7</v>
      </c>
      <c r="CB10" s="42">
        <v>7.5</v>
      </c>
      <c r="CC10" s="42">
        <v>11.3</v>
      </c>
      <c r="CD10" s="42">
        <v>12.49</v>
      </c>
      <c r="CE10" s="42">
        <v>0</v>
      </c>
      <c r="CF10" s="42">
        <v>13.8</v>
      </c>
      <c r="CG10" s="42">
        <v>9.3000000000000007</v>
      </c>
      <c r="CH10" s="42">
        <v>12.7</v>
      </c>
      <c r="CI10" s="42">
        <v>13.63</v>
      </c>
      <c r="CJ10" s="42">
        <v>0</v>
      </c>
      <c r="CK10" s="42">
        <v>13.3</v>
      </c>
      <c r="CL10" s="42">
        <v>9.5</v>
      </c>
      <c r="CM10" s="42">
        <v>12.7</v>
      </c>
      <c r="CN10" s="42">
        <v>12.82</v>
      </c>
      <c r="CO10" s="42">
        <v>0</v>
      </c>
      <c r="CP10" s="51"/>
      <c r="CQ10" s="74">
        <f>IF(CC10&gt;0,CC10,"")</f>
        <v>11.3</v>
      </c>
      <c r="CR10" s="74">
        <f>IF(CD10&gt;0,CD10,"")</f>
        <v>12.49</v>
      </c>
      <c r="CS10" s="76">
        <f>IF(SUM(CA10:CD10)-CE10&gt;0,SUM(CA10:CD10)-CE10,"")</f>
        <v>43.99</v>
      </c>
      <c r="CT10" s="76">
        <f>IF(CH10&gt;0,CH10,"")</f>
        <v>12.7</v>
      </c>
      <c r="CU10" s="76">
        <f>IF(CI10&gt;0,CI10,"")</f>
        <v>13.63</v>
      </c>
      <c r="CV10" s="76">
        <f>IF(SUM(CF10:CI10)-CJ10&gt;0,SUM(CF10:CI10)-CJ10,"")</f>
        <v>49.43</v>
      </c>
      <c r="CW10" s="76">
        <f>IF(CS10="","",MAX(CS10,CV10))</f>
        <v>49.43</v>
      </c>
      <c r="CX10" s="76">
        <f>IF(CM10&gt;0,CM10,"")</f>
        <v>12.7</v>
      </c>
      <c r="CY10" s="76">
        <f>IF(CN10&gt;0,CN10,"")</f>
        <v>12.82</v>
      </c>
      <c r="CZ10" s="76">
        <f>IF(SUM(CK10:CN10)-CO10&gt;0,SUM(CK10:CN10)-CO10,"")</f>
        <v>48.32</v>
      </c>
      <c r="DA10" s="76">
        <f>IF(SUM(CW10,CZ10)&gt;0,SUM(CW10,CZ10),"")</f>
        <v>97.75</v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13.75</v>
      </c>
      <c r="SW10" s="42">
        <f>IF($CP10="P",CB10,(CB10+BA10)/2)</f>
        <v>8.3000000000000007</v>
      </c>
      <c r="SX10" s="42">
        <f>IF($CP10="P",CC10,(CC10+BB10)/2)</f>
        <v>11.65</v>
      </c>
      <c r="SY10" s="42">
        <f>IF($CP10="P",CD10,(CD10+BC10)/2)</f>
        <v>13.305</v>
      </c>
      <c r="SZ10" s="42">
        <f>IF($CP10="P",CE10,(CE10+BD10)/2)</f>
        <v>0</v>
      </c>
      <c r="TA10" s="42">
        <f>IF($CP10="P",CF10,(CF10+BE10)/2)</f>
        <v>14.55</v>
      </c>
      <c r="TB10" s="42">
        <f>IF($CP10="P",CG10,(CG10+BF10)/2)</f>
        <v>9.3500000000000014</v>
      </c>
      <c r="TC10" s="42">
        <f>IF($CP10="P",CH10,(CH10+BG10)/2)</f>
        <v>12.35</v>
      </c>
      <c r="TD10" s="42">
        <f>IF($CP10="P",CI10,(CI10+BH10)/2)</f>
        <v>13.775</v>
      </c>
      <c r="TE10" s="42">
        <f>IF($CP10="P",CJ10,(CJ10+BI10)/2)</f>
        <v>0</v>
      </c>
      <c r="TF10" s="42">
        <f>IF($CP10="P",CK10,(CK10+BJ10)/2)</f>
        <v>7.45</v>
      </c>
      <c r="TG10" s="42">
        <f>IF($CP10="P",CL10,(CL10+BK10)/2)</f>
        <v>5.2</v>
      </c>
      <c r="TH10" s="42">
        <f>IF($CP10="P",CM10,(CM10+BL10)/2)</f>
        <v>7.1999999999999993</v>
      </c>
      <c r="TI10" s="42">
        <f>IF($CP10="P",CN10,(CN10+BM10)/2)</f>
        <v>7.2450000000000001</v>
      </c>
      <c r="TJ10" s="42">
        <f>IF($CP10="P",CO10,(CO10+BN10)/2)</f>
        <v>0</v>
      </c>
      <c r="TK10" s="51" t="s">
        <v>58</v>
      </c>
      <c r="TL10" s="76">
        <f>IF(SX10&gt;0,SX10,"")</f>
        <v>11.65</v>
      </c>
      <c r="TM10" s="76">
        <f>IF(SY10&gt;0,SY10,"")</f>
        <v>13.305</v>
      </c>
      <c r="TN10" s="76">
        <f>IF(SUM(SV10:SY10)-SZ10&gt;0,SUM(SV10:SY10)-SZ10,"")</f>
        <v>47.005000000000003</v>
      </c>
      <c r="TO10" s="76">
        <f>IF(TC10&gt;0,TC10,"")</f>
        <v>12.35</v>
      </c>
      <c r="TP10" s="76">
        <f>IF(TD10&gt;0,TD10,"")</f>
        <v>13.775</v>
      </c>
      <c r="TQ10" s="76">
        <f>IF(SUM(TA10:TD10)-TE10&gt;0,SUM(TA10:TD10)-TE10,"")</f>
        <v>50.024999999999999</v>
      </c>
      <c r="TR10" s="76">
        <f>IF(MAX(TN10,TQ10)&gt;0,MAX(TN10,TQ10),"")</f>
        <v>50.024999999999999</v>
      </c>
      <c r="TS10" s="76">
        <f>IF(TH10&gt;0,TH10,"")</f>
        <v>7.1999999999999993</v>
      </c>
      <c r="TT10" s="76">
        <f>IF(TI10&gt;0,TI10,"")</f>
        <v>7.2450000000000001</v>
      </c>
      <c r="TU10" s="76">
        <f>IF(SUM(TF10:TI10)-TJ10&gt;0,SUM(TF10:TI10)-TJ10,"")</f>
        <v>27.095000000000002</v>
      </c>
      <c r="TV10" s="76">
        <f>IF(SUM(TR10,TU10)&gt;0,SUM(TR10,TU10),"")</f>
        <v>77.12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143</v>
      </c>
      <c r="C11" s="7" t="s">
        <v>3</v>
      </c>
      <c r="D11" s="5">
        <v>2001</v>
      </c>
      <c r="E11" s="14">
        <f>SUM(J11:V11)+SUM(J11:T11)*0.0000001+SUM(J11)*0.0000000000001</f>
        <v>213.25002121400499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),"P","")</f>
        <v/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),"Excellence",IF(I11="P","Worlds Team",IF(F11="P","National Team","")))))</f>
        <v>No DD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),"P","")</f>
        <v/>
      </c>
      <c r="J11" s="13">
        <f>IF(COUNT(AQ11,AT11,BR11,BU11,CS11,CV11)&gt;0,LARGE((AQ11,AT11,BR11,BU11,CS11,CV11),1),0)</f>
        <v>50.069999999999993</v>
      </c>
      <c r="K11" s="13" t="str">
        <f>IF(J11="","",IF(OR(J11=CS11,J11=CV11),$CA$1,IF(OR(J11=BR11,J11=BU11),$AZ$1,IF(OR(J11=AQ11,J11=AT11),$Y$1,""))))</f>
        <v>2022 Elite Canada</v>
      </c>
      <c r="L11" s="13">
        <f>IF(COUNT(AQ11,AT11,BR11,BU11,CS11,CV11)&gt;1,LARGE((AQ11,AT11,BR11,BU11,CS11,CV11),2),0)</f>
        <v>49.519999999999996</v>
      </c>
      <c r="M11" s="13" t="str">
        <f>IF(L11="","",IF(OR(L11=CS11,L11=CV11),$CA$1,IF(OR(L11=BR11,L11=BU11),$AZ$1,IF(OR(L11=AQ11,L11=AT11),$Y$1,""))))</f>
        <v>2022 3rd Domestic Trial</v>
      </c>
      <c r="N11" s="13">
        <f>IF(COUNT(AQ11,AT11,BR11,BU11,CS11,CV11)&gt;2,LARGE((AQ11,AT11,BR11,BU11,CS11,CV11),3),0)</f>
        <v>48.769999999999996</v>
      </c>
      <c r="O11" s="13" t="str">
        <f>IF(N11="","",IF(OR(N11=CS11,N11=CV11),$CA$1,IF(OR(N11=BR11,N11=BU11),$AZ$1,IF(OR(N11=AQ11,N11=AT11),$Y$1,""))))</f>
        <v>2022 Nationals</v>
      </c>
      <c r="P11" s="13">
        <f>IF(MAX(AX11,BY11,CZ11)&gt;0,MAX(AX11,BY11,CZ11),0)</f>
        <v>51.379999999999995</v>
      </c>
      <c r="Q11" s="13" t="str">
        <f>IF(P11="","",IF(P11=CZ11,$CA$1,IF(P11=BY11,$AZ$1,IF(P11=AX11,$Y$1,""))))</f>
        <v>2022 3rd Domestic Trial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3rd Domestic Trial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,IF(DX11&gt;=$EK$17,DY11,0),IF(EA11&gt;=$EK$17,EB11,0),IF(EE11&gt;=$EK$17,EF11,0),IF(EH11&gt;=$EK$17,EI11,0),IF(FF11&gt;=$FS$17,FG11,0),IF(FI11&gt;=$FS$17,FJ11,0),IF(FM11&gt;=$FS$17,FN11,0),IF(FP11&gt;=$FS$17,FQ11,0),IF(GN11&gt;=$HA$17,GO11,0),IF(GQ11&gt;=$HA$17,GR11,0),IF(GU11&gt;=$HA$17,GV11,0),IF(GX11&gt;=$HA$17,GY11,0),IF(HV11&gt;=$II$17,HW11,0),IF(HY11&gt;=$II$17,HZ11,0),IF(IC11&gt;=$II$17,ID11,0),IF(IF11&gt;=$II$17,IG11,0),IF(JD11&gt;=$JQ$17,JE11,0),IF(JG11&gt;=$JQ$17,JH11,0),IF(JK11&gt;=$JQ$17,JL11,0),IF(JN11&gt;=$JQ$17,JO11,0),IF(KL11&gt;=$KY$17,KM11,0),IF(KO11&gt;=$KY$17,KP11,0),IF(KS11&gt;=$KY$17,KT11,0),IF(KV11&gt;=$KY$17,KW11,0),IF(LT11&gt;=$MG$17,LU11,0),IF(LW11&gt;=$MG$17,LX11,0),IF(MA11&gt;=$MG$17,MB11,0),IF(MD11&gt;=$MG$17,ME11,0),IF(NB11&gt;=$NO$17,NC11,0),IF(NE11&gt;=$NO$17,NF11,0),IF(NI11&gt;=$NO$17,NJ11,0),IF(NL11&gt;=$NO$17,NM11,0),IF(OJ11&gt;=$OW$17,OK11,0),IF(OM11&gt;=$OW$17,ON11,0),IF(OQ11&gt;=$OW$17,OR11,0),IF(OT11&gt;=$OW$17,OU11,0),IF(PR11&gt;=$QE$17,PS11,0),IF(PU11&gt;=$QE$17,PV11,0),IF(PY11&gt;=$QE$17,PZ11,0),IF(QB11&gt;=$QE$17,QC11,0),IF(QZ11&gt;=$RM$17,RA11,0),IF(RC11&gt;=$RM$17,RD11,0),IF(RG11&gt;=$RM$17,RH11,0),IF(RJ11&gt;=$RM$17,RK11,0),IF(SH11&gt;=$SU$17,SI11,0),IF(SK11&gt;=$SU$17,SL11,0),IF(SO11&gt;=$SU$17,SP11,0),IF(SR11&gt;=$SU$17,SS11,0)),0)</f>
        <v>0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13">
        <f>IF(MAX(DB11,DC11)&gt;0,MAX(DB11,DC11),"")</f>
        <v>1.1100000000000065</v>
      </c>
      <c r="W11" s="16" t="str">
        <f>IF(V11="","",IF(V11=DB11,"("&amp;DB$2&amp;")",IF(V11=DC11,"("&amp;DC$2&amp;")")))</f>
        <v>(Prelim)</v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Coimbra Gym Fest (June 26)</v>
      </c>
      <c r="Y11" s="42">
        <v>14.1</v>
      </c>
      <c r="Z11" s="42">
        <v>8.3000000000000007</v>
      </c>
      <c r="AA11" s="42">
        <v>10.8</v>
      </c>
      <c r="AB11" s="42">
        <v>13.17</v>
      </c>
      <c r="AC11" s="42">
        <v>0</v>
      </c>
      <c r="AD11" s="42">
        <v>14.2</v>
      </c>
      <c r="AE11" s="42">
        <v>9.4</v>
      </c>
      <c r="AF11" s="42">
        <v>12.2</v>
      </c>
      <c r="AG11" s="42">
        <v>14.27</v>
      </c>
      <c r="AH11" s="42">
        <v>0</v>
      </c>
      <c r="AI11" s="42">
        <v>14.9</v>
      </c>
      <c r="AJ11" s="42">
        <v>9.3000000000000007</v>
      </c>
      <c r="AK11" s="42">
        <v>12.2</v>
      </c>
      <c r="AL11" s="42">
        <v>14.72</v>
      </c>
      <c r="AM11" s="42">
        <v>0</v>
      </c>
      <c r="AN11" s="51"/>
      <c r="AO11" s="74">
        <f>IF(AA11&gt;0,AA11,"")</f>
        <v>10.8</v>
      </c>
      <c r="AP11" s="74">
        <f>IF(AB11&gt;0,AB11,"")</f>
        <v>13.17</v>
      </c>
      <c r="AQ11" s="76">
        <f>IF(SUM(Y11:AB11)-AC11&gt;0,SUM(Y11:AB11)-AC11,"")</f>
        <v>46.370000000000005</v>
      </c>
      <c r="AR11" s="76">
        <f>IF(AF11&gt;0,AF11,"")</f>
        <v>12.2</v>
      </c>
      <c r="AS11" s="76">
        <f>IF(AG11&gt;0,AG11,"")</f>
        <v>14.27</v>
      </c>
      <c r="AT11" s="76">
        <f>IF(SUM(AD11:AG11)-AH11&gt;0,SUM(AD11:AG11)-AH11,"")</f>
        <v>50.069999999999993</v>
      </c>
      <c r="AU11" s="76">
        <f>IF(AQ11="","",MAX(AQ11,AT11))</f>
        <v>50.069999999999993</v>
      </c>
      <c r="AV11" s="76">
        <f>IF(AK11&gt;0,AK11,"")</f>
        <v>12.2</v>
      </c>
      <c r="AW11" s="76">
        <f>IF(AL11&gt;0,AL11,"")</f>
        <v>14.72</v>
      </c>
      <c r="AX11" s="76">
        <f>IF(SUM(AI11:AL11)-AM11&gt;0,SUM(AI11:AL11)-AM11,"")</f>
        <v>51.120000000000005</v>
      </c>
      <c r="AY11" s="76">
        <f>IF(SUM(AU11,AX11)&gt;0,SUM(AU11,AX11),"")</f>
        <v>101.19</v>
      </c>
      <c r="AZ11" s="46">
        <v>5.6</v>
      </c>
      <c r="BA11" s="46">
        <v>3.5</v>
      </c>
      <c r="BB11" s="46">
        <v>5</v>
      </c>
      <c r="BC11" s="46">
        <v>6.16</v>
      </c>
      <c r="BD11" s="46">
        <v>0</v>
      </c>
      <c r="BE11" s="46">
        <v>13.4</v>
      </c>
      <c r="BF11" s="46">
        <v>8.9</v>
      </c>
      <c r="BG11" s="46">
        <v>12.2</v>
      </c>
      <c r="BH11" s="46">
        <v>14.27</v>
      </c>
      <c r="BI11" s="46">
        <v>0</v>
      </c>
      <c r="BJ11" s="46">
        <v>12.7</v>
      </c>
      <c r="BK11" s="46">
        <v>8.3000000000000007</v>
      </c>
      <c r="BL11" s="46">
        <v>10.8</v>
      </c>
      <c r="BM11" s="46">
        <v>13.2</v>
      </c>
      <c r="BN11" s="46">
        <v>0</v>
      </c>
      <c r="BO11" s="52"/>
      <c r="BP11" s="75">
        <f>IF(BB11&gt;0,BB11,"")</f>
        <v>5</v>
      </c>
      <c r="BQ11" s="75">
        <f>IF(BC11&gt;0,BC11,"")</f>
        <v>6.16</v>
      </c>
      <c r="BR11" s="16">
        <f>IF(SUM(AZ11:BC11)-BD11&gt;0,SUM(AZ11:BC11)-BD11,"")</f>
        <v>20.259999999999998</v>
      </c>
      <c r="BS11" s="16">
        <f>IF(BG11&gt;0,BG11,"")</f>
        <v>12.2</v>
      </c>
      <c r="BT11" s="16">
        <f>IF(BH11&gt;0,BH11,"")</f>
        <v>14.27</v>
      </c>
      <c r="BU11" s="16">
        <f>IF(SUM(BE11:BH11)-BI11&gt;0,SUM(BE11:BH11)-BI11,"")</f>
        <v>48.769999999999996</v>
      </c>
      <c r="BV11" s="16">
        <f>IF(BR11="","",MAX(BR11,BU11))</f>
        <v>48.769999999999996</v>
      </c>
      <c r="BW11" s="16">
        <f>IF(BL11&gt;0,BL11,"")</f>
        <v>10.8</v>
      </c>
      <c r="BX11" s="16">
        <f>IF(BM11&gt;0,BM11,"")</f>
        <v>13.2</v>
      </c>
      <c r="BY11" s="16">
        <f>IF(SUM(BJ11:BM11)-BN11&gt;0,SUM(BJ11:BM11)-BN11,"")</f>
        <v>45</v>
      </c>
      <c r="BZ11" s="16">
        <f>IF(SUM(BV11,BY11)&gt;0,SUM(BV11,BY11),"")</f>
        <v>93.77</v>
      </c>
      <c r="CA11" s="42">
        <v>12.1</v>
      </c>
      <c r="CB11" s="42">
        <v>8.3000000000000007</v>
      </c>
      <c r="CC11" s="42">
        <v>12.4</v>
      </c>
      <c r="CD11" s="42">
        <v>14.95</v>
      </c>
      <c r="CE11" s="42">
        <v>0</v>
      </c>
      <c r="CF11" s="42">
        <v>13.3</v>
      </c>
      <c r="CG11" s="42">
        <v>9.1</v>
      </c>
      <c r="CH11" s="42">
        <v>12.2</v>
      </c>
      <c r="CI11" s="42">
        <v>14.92</v>
      </c>
      <c r="CJ11" s="42">
        <v>0</v>
      </c>
      <c r="CK11" s="42">
        <v>14.7</v>
      </c>
      <c r="CL11" s="42">
        <v>9.1999999999999993</v>
      </c>
      <c r="CM11" s="42">
        <v>12.4</v>
      </c>
      <c r="CN11" s="42">
        <v>15.08</v>
      </c>
      <c r="CO11" s="42">
        <v>0</v>
      </c>
      <c r="CP11" s="51"/>
      <c r="CQ11" s="74">
        <f>IF(CC11&gt;0,CC11,"")</f>
        <v>12.4</v>
      </c>
      <c r="CR11" s="74">
        <f>IF(CD11&gt;0,CD11,"")</f>
        <v>14.95</v>
      </c>
      <c r="CS11" s="76">
        <f>IF(SUM(CA11:CD11)-CE11&gt;0,SUM(CA11:CD11)-CE11,"")</f>
        <v>47.75</v>
      </c>
      <c r="CT11" s="76">
        <f>IF(CH11&gt;0,CH11,"")</f>
        <v>12.2</v>
      </c>
      <c r="CU11" s="76">
        <f>IF(CI11&gt;0,CI11,"")</f>
        <v>14.92</v>
      </c>
      <c r="CV11" s="76">
        <f>IF(SUM(CF11:CI11)-CJ11&gt;0,SUM(CF11:CI11)-CJ11,"")</f>
        <v>49.519999999999996</v>
      </c>
      <c r="CW11" s="76">
        <f>IF(CS11="","",MAX(CS11,CV11))</f>
        <v>49.519999999999996</v>
      </c>
      <c r="CX11" s="76">
        <f>IF(CM11&gt;0,CM11,"")</f>
        <v>12.4</v>
      </c>
      <c r="CY11" s="76">
        <f>IF(CN11&gt;0,CN11,"")</f>
        <v>15.08</v>
      </c>
      <c r="CZ11" s="76">
        <f>IF(SUM(CK11:CN11)-CO11&gt;0,SUM(CK11:CN11)-CO11,"")</f>
        <v>51.379999999999995</v>
      </c>
      <c r="DA11" s="76">
        <f>IF(SUM(CW11,CZ11)&gt;0,SUM(CW11,CZ11),"")</f>
        <v>100.89999999999999</v>
      </c>
      <c r="DB11" s="87">
        <f>IF(N11&gt;=0.001,IF(MAX(ED11,FL11,GT11,IB11,JJ11,KR11,LZ11,NH11,OP11,PX11,RF11,SN11)-IF(N11="",0,N11)&gt;0.001,MAX(ED11,FL11,GT11,IB11,JJ11,KR11,LZ11,NH11,OP11,PX11,RF11,SN11)-IF(N11="",0,N11),""),"")</f>
        <v>1.1100000000000065</v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>
        <v>13</v>
      </c>
      <c r="MI11" s="26">
        <v>8.8000000000000007</v>
      </c>
      <c r="MJ11" s="26">
        <v>11.5</v>
      </c>
      <c r="MK11" s="26">
        <v>14.27</v>
      </c>
      <c r="ML11" s="26">
        <v>0</v>
      </c>
      <c r="MM11" s="26">
        <v>14.2</v>
      </c>
      <c r="MN11" s="26">
        <v>8.8000000000000007</v>
      </c>
      <c r="MO11" s="26">
        <v>12.2</v>
      </c>
      <c r="MP11" s="26">
        <v>14.68</v>
      </c>
      <c r="MQ11" s="26">
        <v>0</v>
      </c>
      <c r="MR11" s="26"/>
      <c r="MS11" s="26"/>
      <c r="MT11" s="26"/>
      <c r="MU11" s="26"/>
      <c r="MV11" s="26"/>
      <c r="MW11" s="26">
        <v>13.4</v>
      </c>
      <c r="MX11" s="26">
        <v>9.1</v>
      </c>
      <c r="MY11" s="26">
        <v>12.2</v>
      </c>
      <c r="MZ11" s="26">
        <v>14.36</v>
      </c>
      <c r="NA11" s="26">
        <v>0</v>
      </c>
      <c r="NB11" s="16">
        <f>IF(MJ11&gt;0,MJ11,"")</f>
        <v>11.5</v>
      </c>
      <c r="NC11" s="16">
        <f>IF(MK11&gt;0,MK11,"")</f>
        <v>14.27</v>
      </c>
      <c r="ND11" s="16">
        <f>IF(SUM(MH11:MK11)-ML11&gt;0,SUM(MH11:MK11)-ML11,"")</f>
        <v>47.569999999999993</v>
      </c>
      <c r="NE11" s="16">
        <f>IF(MO11&gt;0,MO11,"")</f>
        <v>12.2</v>
      </c>
      <c r="NF11" s="16">
        <f>IF(MP11&gt;0,MP11,"")</f>
        <v>14.68</v>
      </c>
      <c r="NG11" s="16">
        <f>IF(SUM(MM11:MP11)-MQ11&gt;0,SUM(MM11:MP11)-MQ11,"")</f>
        <v>49.88</v>
      </c>
      <c r="NH11" s="16">
        <f>IF(MAX(ND11,NG11)&gt;0,MAX(ND11,NG11),"")</f>
        <v>49.88</v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>
        <f>IF(MY11&gt;0,MY11,"")</f>
        <v>12.2</v>
      </c>
      <c r="NM11" s="16">
        <f>IF(MZ11&gt;0,MZ11,"")</f>
        <v>14.36</v>
      </c>
      <c r="NN11" s="16">
        <f>IF(SUM(MW11:MZ11)-NA11&gt;0,SUM(MW11:MZ11)-NA11,"")</f>
        <v>49.06</v>
      </c>
      <c r="NO11" s="16">
        <f>IF(SUM(NH11,NN11)&gt;0,SUM(NH11,NN11),"")</f>
        <v>98.94</v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8.85</v>
      </c>
      <c r="SW11" s="42">
        <f>IF($CP11="P",CB11,(CB11+BA11)/2)</f>
        <v>5.9</v>
      </c>
      <c r="SX11" s="42">
        <f>IF($CP11="P",CC11,(CC11+BB11)/2)</f>
        <v>8.6999999999999993</v>
      </c>
      <c r="SY11" s="42">
        <f>IF($CP11="P",CD11,(CD11+BC11)/2)</f>
        <v>10.555</v>
      </c>
      <c r="SZ11" s="42">
        <f>IF($CP11="P",CE11,(CE11+BD11)/2)</f>
        <v>0</v>
      </c>
      <c r="TA11" s="42">
        <f>IF($CP11="P",CF11,(CF11+BE11)/2)</f>
        <v>13.350000000000001</v>
      </c>
      <c r="TB11" s="42">
        <f>IF($CP11="P",CG11,(CG11+BF11)/2)</f>
        <v>9</v>
      </c>
      <c r="TC11" s="42">
        <f>IF($CP11="P",CH11,(CH11+BG11)/2)</f>
        <v>12.2</v>
      </c>
      <c r="TD11" s="42">
        <f>IF($CP11="P",CI11,(CI11+BH11)/2)</f>
        <v>14.594999999999999</v>
      </c>
      <c r="TE11" s="42">
        <f>IF($CP11="P",CJ11,(CJ11+BI11)/2)</f>
        <v>0</v>
      </c>
      <c r="TF11" s="42">
        <f>IF($CP11="P",CK11,(CK11+BJ11)/2)</f>
        <v>13.7</v>
      </c>
      <c r="TG11" s="42">
        <f>IF($CP11="P",CL11,(CL11+BK11)/2)</f>
        <v>8.75</v>
      </c>
      <c r="TH11" s="42">
        <f>IF($CP11="P",CM11,(CM11+BL11)/2)</f>
        <v>11.600000000000001</v>
      </c>
      <c r="TI11" s="42">
        <f>IF($CP11="P",CN11,(CN11+BM11)/2)</f>
        <v>14.14</v>
      </c>
      <c r="TJ11" s="42">
        <f>IF($CP11="P",CO11,(CO11+BN11)/2)</f>
        <v>0</v>
      </c>
      <c r="TK11" s="51" t="s">
        <v>58</v>
      </c>
      <c r="TL11" s="76">
        <f>IF(SX11&gt;0,SX11,"")</f>
        <v>8.6999999999999993</v>
      </c>
      <c r="TM11" s="76">
        <f>IF(SY11&gt;0,SY11,"")</f>
        <v>10.555</v>
      </c>
      <c r="TN11" s="76">
        <f>IF(SUM(SV11:SY11)-SZ11&gt;0,SUM(SV11:SY11)-SZ11,"")</f>
        <v>34.004999999999995</v>
      </c>
      <c r="TO11" s="76">
        <f>IF(TC11&gt;0,TC11,"")</f>
        <v>12.2</v>
      </c>
      <c r="TP11" s="76">
        <f>IF(TD11&gt;0,TD11,"")</f>
        <v>14.594999999999999</v>
      </c>
      <c r="TQ11" s="76">
        <f>IF(SUM(TA11:TD11)-TE11&gt;0,SUM(TA11:TD11)-TE11,"")</f>
        <v>49.144999999999996</v>
      </c>
      <c r="TR11" s="76">
        <f>IF(MAX(TN11,TQ11)&gt;0,MAX(TN11,TQ11),"")</f>
        <v>49.144999999999996</v>
      </c>
      <c r="TS11" s="76">
        <f>IF(TH11&gt;0,TH11,"")</f>
        <v>11.600000000000001</v>
      </c>
      <c r="TT11" s="76">
        <f>IF(TI11&gt;0,TI11,"")</f>
        <v>14.14</v>
      </c>
      <c r="TU11" s="76">
        <f>IF(SUM(TF11:TI11)-TJ11&gt;0,SUM(TF11:TI11)-TJ11,"")</f>
        <v>48.19</v>
      </c>
      <c r="TV11" s="76">
        <f>IF(SUM(TR11,TU11)&gt;0,SUM(TR11,TU11),"")</f>
        <v>97.334999999999994</v>
      </c>
    </row>
    <row r="12" spans="1:542" x14ac:dyDescent="0.2">
      <c r="A12" s="5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>9</v>
      </c>
      <c r="B12" s="6" t="s">
        <v>187</v>
      </c>
      <c r="C12" s="7" t="s">
        <v>3</v>
      </c>
      <c r="D12" s="18">
        <v>2004</v>
      </c>
      <c r="E12" s="14">
        <f>SUM(J12:V12)+SUM(J12:T12)*0.0000001+SUM(J12)*0.0000000000001</f>
        <v>212.37002123700506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),"P","")</f>
        <v>P</v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),"Excellence",IF(I12="P","Worlds Team",IF(F12="P","National Team","")))))</f>
        <v>No DD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),"P","")</f>
        <v/>
      </c>
      <c r="J12" s="13">
        <f>IF(COUNT(AQ12,AT12,BR12,BU12,CS12,CV12)&gt;0,LARGE((AQ12,AT12,BR12,BU12,CS12,CV12),1),0)</f>
        <v>50.72</v>
      </c>
      <c r="K12" s="13" t="str">
        <f>IF(J12="","",IF(OR(J12=CS12,J12=CV12),$CA$1,IF(OR(J12=BR12,J12=BU12),$AZ$1,IF(OR(J12=AQ12,J12=AT12),$Y$1,""))))</f>
        <v>2022 Nationals</v>
      </c>
      <c r="L12" s="13">
        <f>IF(COUNT(AQ12,AT12,BR12,BU12,CS12,CV12)&gt;1,LARGE((AQ12,AT12,BR12,BU12,CS12,CV12),2),0)</f>
        <v>50.410000000000004</v>
      </c>
      <c r="M12" s="13" t="str">
        <f>IF(L12="","",IF(OR(L12=CS12,L12=CV12),$CA$1,IF(OR(L12=BR12,L12=BU12),$AZ$1,IF(OR(L12=AQ12,L12=AT12),$Y$1,""))))</f>
        <v>2022 Nationals</v>
      </c>
      <c r="N12" s="13">
        <f>IF(COUNT(AQ12,AT12,BR12,BU12,CS12,CV12)&gt;2,LARGE((AQ12,AT12,BR12,BU12,CS12,CV12),3),0)</f>
        <v>49.419999999999995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50.019999999999996</v>
      </c>
      <c r="Q12" s="13" t="str">
        <f>IF(P12="","",IF(P12=CZ12,$CA$1,IF(P12=BY12,$AZ$1,IF(P12=AX12,$Y$1,""))))</f>
        <v>2022 Nationals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11.8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Nationals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,IF(DX12&gt;=$EK$17,DY12,0),IF(EA12&gt;=$EK$17,EB12,0),IF(EE12&gt;=$EK$17,EF12,0),IF(EH12&gt;=$EK$17,EI12,0),IF(FF12&gt;=$FS$17,FG12,0),IF(FI12&gt;=$FS$17,FJ12,0),IF(FM12&gt;=$FS$17,FN12,0),IF(FP12&gt;=$FS$17,FQ12,0),IF(GN12&gt;=$HA$17,GO12,0),IF(GQ12&gt;=$HA$17,GR12,0),IF(GU12&gt;=$HA$17,GV12,0),IF(GX12&gt;=$HA$17,GY12,0),IF(HV12&gt;=$II$17,HW12,0),IF(HY12&gt;=$II$17,HZ12,0),IF(IC12&gt;=$II$17,ID12,0),IF(IF12&gt;=$II$17,IG12,0),IF(JD12&gt;=$JQ$17,JE12,0),IF(JG12&gt;=$JQ$17,JH12,0),IF(JK12&gt;=$JQ$17,JL12,0),IF(JN12&gt;=$JQ$17,JO12,0),IF(KL12&gt;=$KY$17,KM12,0),IF(KO12&gt;=$KY$17,KP12,0),IF(KS12&gt;=$KY$17,KT12,0),IF(KV12&gt;=$KY$17,KW12,0),IF(LT12&gt;=$MG$17,LU12,0),IF(LW12&gt;=$MG$17,LX12,0),IF(MA12&gt;=$MG$17,MB12,0),IF(MD12&gt;=$MG$17,ME12,0),IF(NB12&gt;=$NO$17,NC12,0),IF(NE12&gt;=$NO$17,NF12,0),IF(NI12&gt;=$NO$17,NJ12,0),IF(NL12&gt;=$NO$17,NM12,0),IF(OJ12&gt;=$OW$17,OK12,0),IF(OM12&gt;=$OW$17,ON12,0),IF(OQ12&gt;=$OW$17,OR12,0),IF(OT12&gt;=$OW$17,OU12,0),IF(PR12&gt;=$QE$17,PS12,0),IF(PU12&gt;=$QE$17,PV12,0),IF(PY12&gt;=$QE$17,PZ12,0),IF(QB12&gt;=$QE$17,QC12,0),IF(QZ12&gt;=$RM$17,RA12,0),IF(RC12&gt;=$RM$17,RD12,0),IF(RG12&gt;=$RM$17,RH12,0),IF(RJ12&gt;=$RM$17,RK12,0),IF(SH12&gt;=$SU$17,SI12,0),IF(SK12&gt;=$SU$17,SL12,0),IF(SO12&gt;=$SU$17,SP12,0),IF(SR12&gt;=$SU$17,SS12,0)),0)</f>
        <v>0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15.6</v>
      </c>
      <c r="Z12" s="42">
        <v>9.4</v>
      </c>
      <c r="AA12" s="42">
        <v>2.2999999999999998</v>
      </c>
      <c r="AB12" s="42">
        <v>15.66</v>
      </c>
      <c r="AC12" s="42">
        <v>0</v>
      </c>
      <c r="AD12" s="42">
        <v>13.5</v>
      </c>
      <c r="AE12" s="42">
        <v>9.5</v>
      </c>
      <c r="AF12" s="42">
        <v>11.8</v>
      </c>
      <c r="AG12" s="42">
        <v>14.62</v>
      </c>
      <c r="AH12" s="42">
        <v>0</v>
      </c>
      <c r="AI12" s="42">
        <v>14.1</v>
      </c>
      <c r="AJ12" s="42">
        <v>9.1</v>
      </c>
      <c r="AK12" s="42">
        <v>11.8</v>
      </c>
      <c r="AL12" s="42">
        <v>14.56</v>
      </c>
      <c r="AM12" s="42">
        <v>0</v>
      </c>
      <c r="AN12" s="51"/>
      <c r="AO12" s="74">
        <f>IF(AA12&gt;0,AA12,"")</f>
        <v>2.2999999999999998</v>
      </c>
      <c r="AP12" s="74">
        <f>IF(AB12&gt;0,AB12,"")</f>
        <v>15.66</v>
      </c>
      <c r="AQ12" s="76">
        <f>IF(SUM(Y12:AB12)-AC12&gt;0,SUM(Y12:AB12)-AC12,"")</f>
        <v>42.96</v>
      </c>
      <c r="AR12" s="76">
        <f>IF(AF12&gt;0,AF12,"")</f>
        <v>11.8</v>
      </c>
      <c r="AS12" s="76">
        <f>IF(AG12&gt;0,AG12,"")</f>
        <v>14.62</v>
      </c>
      <c r="AT12" s="76">
        <f>IF(SUM(AD12:AG12)-AH12&gt;0,SUM(AD12:AG12)-AH12,"")</f>
        <v>49.419999999999995</v>
      </c>
      <c r="AU12" s="76">
        <f>IF(AQ12="","",MAX(AQ12,AT12))</f>
        <v>49.419999999999995</v>
      </c>
      <c r="AV12" s="76">
        <f>IF(AK12&gt;0,AK12,"")</f>
        <v>11.8</v>
      </c>
      <c r="AW12" s="76">
        <f>IF(AL12&gt;0,AL12,"")</f>
        <v>14.56</v>
      </c>
      <c r="AX12" s="76">
        <f>IF(SUM(AI12:AL12)-AM12&gt;0,SUM(AI12:AL12)-AM12,"")</f>
        <v>49.56</v>
      </c>
      <c r="AY12" s="76">
        <f>IF(SUM(AU12,AX12)&gt;0,SUM(AU12,AX12),"")</f>
        <v>98.97999999999999</v>
      </c>
      <c r="AZ12" s="46">
        <v>14.8</v>
      </c>
      <c r="BA12" s="46">
        <v>9.5</v>
      </c>
      <c r="BB12" s="46">
        <v>11.8</v>
      </c>
      <c r="BC12" s="46">
        <v>14.31</v>
      </c>
      <c r="BD12" s="46">
        <v>0</v>
      </c>
      <c r="BE12" s="46">
        <v>15</v>
      </c>
      <c r="BF12" s="46">
        <v>9.3000000000000007</v>
      </c>
      <c r="BG12" s="46">
        <v>11.8</v>
      </c>
      <c r="BH12" s="46">
        <v>14.62</v>
      </c>
      <c r="BI12" s="46">
        <v>0</v>
      </c>
      <c r="BJ12" s="46">
        <v>15.2</v>
      </c>
      <c r="BK12" s="46">
        <v>8.8000000000000007</v>
      </c>
      <c r="BL12" s="46">
        <v>11.8</v>
      </c>
      <c r="BM12" s="46">
        <v>14.22</v>
      </c>
      <c r="BN12" s="46">
        <v>0</v>
      </c>
      <c r="BO12" s="52"/>
      <c r="BP12" s="75">
        <f>IF(BB12&gt;0,BB12,"")</f>
        <v>11.8</v>
      </c>
      <c r="BQ12" s="75">
        <f>IF(BC12&gt;0,BC12,"")</f>
        <v>14.31</v>
      </c>
      <c r="BR12" s="16">
        <f>IF(SUM(AZ12:BC12)-BD12&gt;0,SUM(AZ12:BC12)-BD12,"")</f>
        <v>50.410000000000004</v>
      </c>
      <c r="BS12" s="16">
        <f>IF(BG12&gt;0,BG12,"")</f>
        <v>11.8</v>
      </c>
      <c r="BT12" s="16">
        <f>IF(BH12&gt;0,BH12,"")</f>
        <v>14.62</v>
      </c>
      <c r="BU12" s="16">
        <f>IF(SUM(BE12:BH12)-BI12&gt;0,SUM(BE12:BH12)-BI12,"")</f>
        <v>50.72</v>
      </c>
      <c r="BV12" s="16">
        <f>IF(BR12="","",MAX(BR12,BU12))</f>
        <v>50.72</v>
      </c>
      <c r="BW12" s="16">
        <f>IF(BL12&gt;0,BL12,"")</f>
        <v>11.8</v>
      </c>
      <c r="BX12" s="16">
        <f>IF(BM12&gt;0,BM12,"")</f>
        <v>14.22</v>
      </c>
      <c r="BY12" s="16">
        <f>IF(SUM(BJ12:BM12)-BN12&gt;0,SUM(BJ12:BM12)-BN12,"")</f>
        <v>50.019999999999996</v>
      </c>
      <c r="BZ12" s="16">
        <f>IF(SUM(BV12,BY12)&gt;0,SUM(BV12,BY12),"")</f>
        <v>100.74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7.4</v>
      </c>
      <c r="SW12" s="42">
        <f>IF($CP12="P",CB12,(CB12+BA12)/2)</f>
        <v>4.75</v>
      </c>
      <c r="SX12" s="42">
        <f>IF($CP12="P",CC12,(CC12+BB12)/2)</f>
        <v>5.9</v>
      </c>
      <c r="SY12" s="42">
        <f>IF($CP12="P",CD12,(CD12+BC12)/2)</f>
        <v>7.1550000000000002</v>
      </c>
      <c r="SZ12" s="42">
        <f>IF($CP12="P",CE12,(CE12+BD12)/2)</f>
        <v>0</v>
      </c>
      <c r="TA12" s="42">
        <f>IF($CP12="P",CF12,(CF12+BE12)/2)</f>
        <v>7.5</v>
      </c>
      <c r="TB12" s="42">
        <f>IF($CP12="P",CG12,(CG12+BF12)/2)</f>
        <v>4.6500000000000004</v>
      </c>
      <c r="TC12" s="42">
        <f>IF($CP12="P",CH12,(CH12+BG12)/2)</f>
        <v>5.9</v>
      </c>
      <c r="TD12" s="42">
        <f>IF($CP12="P",CI12,(CI12+BH12)/2)</f>
        <v>7.31</v>
      </c>
      <c r="TE12" s="42">
        <f>IF($CP12="P",CJ12,(CJ12+BI12)/2)</f>
        <v>0</v>
      </c>
      <c r="TF12" s="42">
        <f>IF($CP12="P",CK12,(CK12+BJ12)/2)</f>
        <v>7.6</v>
      </c>
      <c r="TG12" s="42">
        <f>IF($CP12="P",CL12,(CL12+BK12)/2)</f>
        <v>4.4000000000000004</v>
      </c>
      <c r="TH12" s="42">
        <f>IF($CP12="P",CM12,(CM12+BL12)/2)</f>
        <v>5.9</v>
      </c>
      <c r="TI12" s="42">
        <f>IF($CP12="P",CN12,(CN12+BM12)/2)</f>
        <v>7.11</v>
      </c>
      <c r="TJ12" s="42">
        <f>IF($CP12="P",CO12,(CO12+BN12)/2)</f>
        <v>0</v>
      </c>
      <c r="TK12" s="51" t="s">
        <v>58</v>
      </c>
      <c r="TL12" s="76">
        <f>IF(SX12&gt;0,SX12,"")</f>
        <v>5.9</v>
      </c>
      <c r="TM12" s="76">
        <f>IF(SY12&gt;0,SY12,"")</f>
        <v>7.1550000000000002</v>
      </c>
      <c r="TN12" s="76">
        <f>IF(SUM(SV12:SY12)-SZ12&gt;0,SUM(SV12:SY12)-SZ12,"")</f>
        <v>25.205000000000002</v>
      </c>
      <c r="TO12" s="76">
        <f>IF(TC12&gt;0,TC12,"")</f>
        <v>5.9</v>
      </c>
      <c r="TP12" s="76">
        <f>IF(TD12&gt;0,TD12,"")</f>
        <v>7.31</v>
      </c>
      <c r="TQ12" s="76">
        <f>IF(SUM(TA12:TD12)-TE12&gt;0,SUM(TA12:TD12)-TE12,"")</f>
        <v>25.36</v>
      </c>
      <c r="TR12" s="76">
        <f>IF(MAX(TN12,TQ12)&gt;0,MAX(TN12,TQ12),"")</f>
        <v>25.36</v>
      </c>
      <c r="TS12" s="76">
        <f>IF(TH12&gt;0,TH12,"")</f>
        <v>5.9</v>
      </c>
      <c r="TT12" s="76">
        <f>IF(TI12&gt;0,TI12,"")</f>
        <v>7.11</v>
      </c>
      <c r="TU12" s="76">
        <f>IF(SUM(TF12:TI12)-TJ12&gt;0,SUM(TF12:TI12)-TJ12,"")</f>
        <v>25.009999999999998</v>
      </c>
      <c r="TV12" s="76">
        <f>IF(SUM(TR12,TU12)&gt;0,SUM(TR12,TU12),"")</f>
        <v>50.37</v>
      </c>
    </row>
    <row r="13" spans="1:542" x14ac:dyDescent="0.2">
      <c r="A13" s="5" t="str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/>
      </c>
      <c r="B13" s="6" t="s">
        <v>84</v>
      </c>
      <c r="C13" s="7" t="s">
        <v>3</v>
      </c>
      <c r="D13" s="18">
        <v>2002</v>
      </c>
      <c r="E13" s="14">
        <f>SUM(J13:V13)+SUM(J13:T13)*0.0000001+SUM(J13)*0.0000000000001</f>
        <v>199.00501990050483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),"P","")</f>
        <v/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),"P","")</f>
        <v/>
      </c>
      <c r="J13" s="13">
        <f>IF(COUNT(AQ13,AT13,BR13,BU13,CS13,CV13)&gt;0,LARGE((AQ13,AT13,BR13,BU13,CS13,CV13),1),0)</f>
        <v>48.37</v>
      </c>
      <c r="K13" s="13" t="str">
        <f>IF(J13="","",IF(OR(J13=CS13,J13=CV13),$CA$1,IF(OR(J13=BR13,J13=BU13),$AZ$1,IF(OR(J13=AQ13,J13=AT13),$Y$1,""))))</f>
        <v>2022 Nationals</v>
      </c>
      <c r="L13" s="13">
        <f>IF(COUNT(AQ13,AT13,BR13,BU13,CS13,CV13)&gt;1,LARGE((AQ13,AT13,BR13,BU13,CS13,CV13),2),0)</f>
        <v>48.36</v>
      </c>
      <c r="M13" s="13" t="str">
        <f>IF(L13="","",IF(OR(L13=CS13,L13=CV13),$CA$1,IF(OR(L13=BR13,L13=BU13),$AZ$1,IF(OR(L13=AQ13,L13=AT13),$Y$1,""))))</f>
        <v>2022 3rd Domestic Trial</v>
      </c>
      <c r="N13" s="13">
        <f>IF(COUNT(AQ13,AT13,BR13,BU13,CS13,CV13)&gt;2,LARGE((AQ13,AT13,BR13,BU13,CS13,CV13),3),0)</f>
        <v>47.089999999999996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43.884999999999998</v>
      </c>
      <c r="Q13" s="13" t="str">
        <f>IF(P13="","",IF(P13=CZ13,$CA$1,IF(P13=BY13,$AZ$1,IF(P13=AX13,$Y$1,""))))</f>
        <v>2022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11.3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,IF(DX13&gt;=$EK$17,DY13,0),IF(EA13&gt;=$EK$17,EB13,0),IF(EE13&gt;=$EK$17,EF13,0),IF(EH13&gt;=$EK$17,EI13,0),IF(FF13&gt;=$FS$17,FG13,0),IF(FI13&gt;=$FS$17,FJ13,0),IF(FM13&gt;=$FS$17,FN13,0),IF(FP13&gt;=$FS$17,FQ13,0),IF(GN13&gt;=$HA$17,GO13,0),IF(GQ13&gt;=$HA$17,GR13,0),IF(GU13&gt;=$HA$17,GV13,0),IF(GX13&gt;=$HA$17,GY13,0),IF(HV13&gt;=$II$17,HW13,0),IF(HY13&gt;=$II$17,HZ13,0),IF(IC13&gt;=$II$17,ID13,0),IF(IF13&gt;=$II$17,IG13,0),IF(JD13&gt;=$JQ$17,JE13,0),IF(JG13&gt;=$JQ$17,JH13,0),IF(JK13&gt;=$JQ$17,JL13,0),IF(JN13&gt;=$JQ$17,JO13,0),IF(KL13&gt;=$KY$17,KM13,0),IF(KO13&gt;=$KY$17,KP13,0),IF(KS13&gt;=$KY$17,KT13,0),IF(KV13&gt;=$KY$17,KW13,0),IF(LT13&gt;=$MG$17,LU13,0),IF(LW13&gt;=$MG$17,LX13,0),IF(MA13&gt;=$MG$17,MB13,0),IF(MD13&gt;=$MG$17,ME13,0),IF(NB13&gt;=$NO$17,NC13,0),IF(NE13&gt;=$NO$17,NF13,0),IF(NI13&gt;=$NO$17,NJ13,0),IF(NL13&gt;=$NO$17,NM13,0),IF(OJ13&gt;=$OW$17,OK13,0),IF(OM13&gt;=$OW$17,ON13,0),IF(OQ13&gt;=$OW$17,OR13,0),IF(OT13&gt;=$OW$17,OU13,0),IF(PR13&gt;=$QE$17,PS13,0),IF(PU13&gt;=$QE$17,PV13,0),IF(PY13&gt;=$QE$17,PZ13,0),IF(QB13&gt;=$QE$17,QC13,0),IF(QZ13&gt;=$RM$17,RA13,0),IF(RC13&gt;=$RM$17,RD13,0),IF(RG13&gt;=$RM$17,RH13,0),IF(RJ13&gt;=$RM$17,RK13,0),IF(SH13&gt;=$SU$17,SI13,0),IF(SK13&gt;=$SU$17,SL13,0),IF(SO13&gt;=$SU$17,SP13,0),IF(SR13&gt;=$SU$17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42">
        <v>12.5</v>
      </c>
      <c r="Z13" s="42">
        <v>9.1999999999999993</v>
      </c>
      <c r="AA13" s="42">
        <v>10.6</v>
      </c>
      <c r="AB13" s="42">
        <v>13.984999999999999</v>
      </c>
      <c r="AC13" s="42">
        <v>0.6</v>
      </c>
      <c r="AD13" s="42">
        <v>13.4</v>
      </c>
      <c r="AE13" s="42">
        <v>9.1</v>
      </c>
      <c r="AF13" s="42">
        <v>10.6</v>
      </c>
      <c r="AG13" s="42">
        <v>14.59</v>
      </c>
      <c r="AH13" s="42">
        <v>0.6</v>
      </c>
      <c r="AI13" s="42">
        <v>13.3</v>
      </c>
      <c r="AJ13" s="42">
        <v>7.8</v>
      </c>
      <c r="AK13" s="42">
        <v>9.9</v>
      </c>
      <c r="AL13" s="42">
        <v>12.885</v>
      </c>
      <c r="AM13" s="42">
        <v>0</v>
      </c>
      <c r="AN13" s="51"/>
      <c r="AO13" s="74">
        <f>IF(AA13&gt;0,AA13,"")</f>
        <v>10.6</v>
      </c>
      <c r="AP13" s="74">
        <f>IF(AB13&gt;0,AB13,"")</f>
        <v>13.984999999999999</v>
      </c>
      <c r="AQ13" s="76">
        <f>IF(SUM(Y13:AB13)-AC13&gt;0,SUM(Y13:AB13)-AC13,"")</f>
        <v>45.684999999999995</v>
      </c>
      <c r="AR13" s="76">
        <f>IF(AF13&gt;0,AF13,"")</f>
        <v>10.6</v>
      </c>
      <c r="AS13" s="76">
        <f>IF(AG13&gt;0,AG13,"")</f>
        <v>14.59</v>
      </c>
      <c r="AT13" s="76">
        <f>IF(SUM(AD13:AG13)-AH13&gt;0,SUM(AD13:AG13)-AH13,"")</f>
        <v>47.089999999999996</v>
      </c>
      <c r="AU13" s="76">
        <f>IF(AQ13="","",MAX(AQ13,AT13))</f>
        <v>47.089999999999996</v>
      </c>
      <c r="AV13" s="76">
        <f>IF(AK13&gt;0,AK13,"")</f>
        <v>9.9</v>
      </c>
      <c r="AW13" s="76">
        <f>IF(AL13&gt;0,AL13,"")</f>
        <v>12.885</v>
      </c>
      <c r="AX13" s="76">
        <f>IF(SUM(AI13:AL13)-AM13&gt;0,SUM(AI13:AL13)-AM13,"")</f>
        <v>43.884999999999998</v>
      </c>
      <c r="AY13" s="76">
        <f>IF(SUM(AU13,AX13)&gt;0,SUM(AU13,AX13),"")</f>
        <v>90.974999999999994</v>
      </c>
      <c r="AZ13" s="46">
        <v>14.3</v>
      </c>
      <c r="BA13" s="46">
        <v>8.9</v>
      </c>
      <c r="BB13" s="46">
        <v>11.3</v>
      </c>
      <c r="BC13" s="46">
        <v>13.87</v>
      </c>
      <c r="BD13" s="46">
        <v>0</v>
      </c>
      <c r="BE13" s="46">
        <v>13.3</v>
      </c>
      <c r="BF13" s="46">
        <v>9</v>
      </c>
      <c r="BG13" s="46">
        <v>10.6</v>
      </c>
      <c r="BH13" s="46">
        <v>13.73</v>
      </c>
      <c r="BI13" s="46">
        <v>0.6</v>
      </c>
      <c r="BJ13" s="46"/>
      <c r="BK13" s="46"/>
      <c r="BL13" s="46"/>
      <c r="BM13" s="46"/>
      <c r="BN13" s="46"/>
      <c r="BO13" s="52"/>
      <c r="BP13" s="75">
        <f>IF(BB13&gt;0,BB13,"")</f>
        <v>11.3</v>
      </c>
      <c r="BQ13" s="75">
        <f>IF(BC13&gt;0,BC13,"")</f>
        <v>13.87</v>
      </c>
      <c r="BR13" s="16">
        <f>IF(SUM(AZ13:BC13)-BD13&gt;0,SUM(AZ13:BC13)-BD13,"")</f>
        <v>48.37</v>
      </c>
      <c r="BS13" s="16">
        <f>IF(BG13&gt;0,BG13,"")</f>
        <v>10.6</v>
      </c>
      <c r="BT13" s="16">
        <f>IF(BH13&gt;0,BH13,"")</f>
        <v>13.73</v>
      </c>
      <c r="BU13" s="16">
        <f>IF(SUM(BE13:BH13)-BI13&gt;0,SUM(BE13:BH13)-BI13,"")</f>
        <v>46.029999999999994</v>
      </c>
      <c r="BV13" s="16">
        <f>IF(BR13="","",MAX(BR13,BU13))</f>
        <v>48.37</v>
      </c>
      <c r="BW13" s="16" t="str">
        <f>IF(BL13&gt;0,BL13,"")</f>
        <v/>
      </c>
      <c r="BX13" s="16" t="str">
        <f>IF(BM13&gt;0,BM13,"")</f>
        <v/>
      </c>
      <c r="BY13" s="16" t="str">
        <f>IF(SUM(BJ13:BM13)-BN13&gt;0,SUM(BJ13:BM13)-BN13,"")</f>
        <v/>
      </c>
      <c r="BZ13" s="16">
        <f>IF(SUM(BV13,BY13)&gt;0,SUM(BV13,BY13),"")</f>
        <v>48.37</v>
      </c>
      <c r="CA13" s="42">
        <v>13.7</v>
      </c>
      <c r="CB13" s="42">
        <v>9</v>
      </c>
      <c r="CC13" s="42">
        <v>11.3</v>
      </c>
      <c r="CD13" s="42">
        <v>14.36</v>
      </c>
      <c r="CE13" s="42">
        <v>0</v>
      </c>
      <c r="CF13" s="42">
        <v>10.8</v>
      </c>
      <c r="CG13" s="42">
        <v>7.2</v>
      </c>
      <c r="CH13" s="42">
        <v>8.8000000000000007</v>
      </c>
      <c r="CI13" s="42">
        <v>11.63</v>
      </c>
      <c r="CJ13" s="42">
        <v>0</v>
      </c>
      <c r="CK13" s="42">
        <v>3.9</v>
      </c>
      <c r="CL13" s="42">
        <v>2.8</v>
      </c>
      <c r="CM13" s="42">
        <v>3.5</v>
      </c>
      <c r="CN13" s="42">
        <v>4.5999999999999996</v>
      </c>
      <c r="CO13" s="42">
        <v>0</v>
      </c>
      <c r="CP13" s="51"/>
      <c r="CQ13" s="74">
        <f>IF(CC13&gt;0,CC13,"")</f>
        <v>11.3</v>
      </c>
      <c r="CR13" s="74">
        <f>IF(CD13&gt;0,CD13,"")</f>
        <v>14.36</v>
      </c>
      <c r="CS13" s="76">
        <f>IF(SUM(CA13:CD13)-CE13&gt;0,SUM(CA13:CD13)-CE13,"")</f>
        <v>48.36</v>
      </c>
      <c r="CT13" s="76">
        <f>IF(CH13&gt;0,CH13,"")</f>
        <v>8.8000000000000007</v>
      </c>
      <c r="CU13" s="76">
        <f>IF(CI13&gt;0,CI13,"")</f>
        <v>11.63</v>
      </c>
      <c r="CV13" s="76">
        <f>IF(SUM(CF13:CI13)-CJ13&gt;0,SUM(CF13:CI13)-CJ13,"")</f>
        <v>38.43</v>
      </c>
      <c r="CW13" s="76">
        <f>IF(CS13="","",MAX(CS13,CV13))</f>
        <v>48.36</v>
      </c>
      <c r="CX13" s="76">
        <f>IF(CM13&gt;0,CM13,"")</f>
        <v>3.5</v>
      </c>
      <c r="CY13" s="76">
        <f>IF(CN13&gt;0,CN13,"")</f>
        <v>4.5999999999999996</v>
      </c>
      <c r="CZ13" s="76">
        <f>IF(SUM(CK13:CN13)-CO13&gt;0,SUM(CK13:CN13)-CO13,"")</f>
        <v>14.799999999999999</v>
      </c>
      <c r="DA13" s="76">
        <f>IF(SUM(CW13,CZ13)&gt;0,SUM(CW13,CZ13),"")</f>
        <v>63.16</v>
      </c>
      <c r="DB13" s="87" t="str">
        <f>IF(N13&gt;=0.001,IF(MAX(ED13,FL13,GT13,IB13,JJ13,KR13,LZ13,NH13,OP13,PX13,RF13,SN13)-IF(N13="",0,N13)&gt;0.001,MAX(ED13,FL13,GT13,IB13,JJ13,KR13,LZ13,NH13,OP13,PX13,RF13,SN13)-IF(N13="",0,N13),""),"")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14</v>
      </c>
      <c r="SW13" s="42">
        <f>IF($CP13="P",CB13,(CB13+BA13)/2)</f>
        <v>8.9499999999999993</v>
      </c>
      <c r="SX13" s="42">
        <f>IF($CP13="P",CC13,(CC13+BB13)/2)</f>
        <v>11.3</v>
      </c>
      <c r="SY13" s="42">
        <f>IF($CP13="P",CD13,(CD13+BC13)/2)</f>
        <v>14.114999999999998</v>
      </c>
      <c r="SZ13" s="42">
        <f>IF($CP13="P",CE13,(CE13+BD13)/2)</f>
        <v>0</v>
      </c>
      <c r="TA13" s="42">
        <f>IF($CP13="P",CF13,(CF13+BE13)/2)</f>
        <v>12.05</v>
      </c>
      <c r="TB13" s="42">
        <f>IF($CP13="P",CG13,(CG13+BF13)/2)</f>
        <v>8.1</v>
      </c>
      <c r="TC13" s="42">
        <f>IF($CP13="P",CH13,(CH13+BG13)/2)</f>
        <v>9.6999999999999993</v>
      </c>
      <c r="TD13" s="42">
        <f>IF($CP13="P",CI13,(CI13+BH13)/2)</f>
        <v>12.68</v>
      </c>
      <c r="TE13" s="42">
        <f>IF($CP13="P",CJ13,(CJ13+BI13)/2)</f>
        <v>0.3</v>
      </c>
      <c r="TF13" s="42">
        <f>IF($CP13="P",CK13,(CK13+BJ13)/2)</f>
        <v>1.95</v>
      </c>
      <c r="TG13" s="42">
        <f>IF($CP13="P",CL13,(CL13+BK13)/2)</f>
        <v>1.4</v>
      </c>
      <c r="TH13" s="42">
        <f>IF($CP13="P",CM13,(CM13+BL13)/2)</f>
        <v>1.75</v>
      </c>
      <c r="TI13" s="42">
        <f>IF($CP13="P",CN13,(CN13+BM13)/2)</f>
        <v>2.2999999999999998</v>
      </c>
      <c r="TJ13" s="42">
        <f>IF($CP13="P",CO13,(CO13+BN13)/2)</f>
        <v>0</v>
      </c>
      <c r="TK13" s="51" t="s">
        <v>58</v>
      </c>
      <c r="TL13" s="76">
        <f>IF(SX13&gt;0,SX13,"")</f>
        <v>11.3</v>
      </c>
      <c r="TM13" s="76">
        <f>IF(SY13&gt;0,SY13,"")</f>
        <v>14.114999999999998</v>
      </c>
      <c r="TN13" s="76">
        <f>IF(SUM(SV13:SY13)-SZ13&gt;0,SUM(SV13:SY13)-SZ13,"")</f>
        <v>48.364999999999995</v>
      </c>
      <c r="TO13" s="76">
        <f>IF(TC13&gt;0,TC13,"")</f>
        <v>9.6999999999999993</v>
      </c>
      <c r="TP13" s="76">
        <f>IF(TD13&gt;0,TD13,"")</f>
        <v>12.68</v>
      </c>
      <c r="TQ13" s="76">
        <f>IF(SUM(TA13:TD13)-TE13&gt;0,SUM(TA13:TD13)-TE13,"")</f>
        <v>42.230000000000004</v>
      </c>
      <c r="TR13" s="76">
        <f>IF(MAX(TN13,TQ13)&gt;0,MAX(TN13,TQ13),"")</f>
        <v>48.364999999999995</v>
      </c>
      <c r="TS13" s="76">
        <f>IF(TH13&gt;0,TH13,"")</f>
        <v>1.75</v>
      </c>
      <c r="TT13" s="76">
        <f>IF(TI13&gt;0,TI13,"")</f>
        <v>2.2999999999999998</v>
      </c>
      <c r="TU13" s="76">
        <f>IF(SUM(TF13:TI13)-TJ13&gt;0,SUM(TF13:TI13)-TJ13,"")</f>
        <v>7.3999999999999995</v>
      </c>
      <c r="TV13" s="76">
        <f>IF(SUM(TR13,TU13)&gt;0,SUM(TR13,TU13),"")</f>
        <v>55.764999999999993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186</v>
      </c>
      <c r="C14" s="7" t="s">
        <v>5</v>
      </c>
      <c r="D14" s="18">
        <v>2004</v>
      </c>
      <c r="E14" s="14">
        <f>SUM(J14:V14)+SUM(J14:T14)*0.0000001+SUM(J14)*0.0000000000001</f>
        <v>139.93001399300488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),"P","")</f>
        <v/>
      </c>
      <c r="J14" s="13">
        <f>IF(COUNT(AQ14,AT14,BR14,BU14,CS14,CV14)&gt;0,LARGE((AQ14,AT14,BR14,BU14,CS14,CV14),1),0)</f>
        <v>48.730000000000004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10.46</v>
      </c>
      <c r="M14" s="13" t="str">
        <f>IF(L14="","",IF(OR(L14=CS14,L14=CV14),$CA$1,IF(OR(L14=BR14,L14=BU14),$AZ$1,IF(OR(L14=AQ14,L14=AT14),$Y$1,""))))</f>
        <v>2022 3rd Domestic Trial</v>
      </c>
      <c r="N14" s="13">
        <f>IF(COUNT(AQ14,AT14,BR14,BU14,CS14,CV14)&gt;2,LARGE((AQ14,AT14,BR14,BU14,CS14,CV14),3),0)</f>
        <v>10.16</v>
      </c>
      <c r="O14" s="13" t="str">
        <f>IF(N14="","",IF(OR(N14=CS14,N14=CV14),$CA$1,IF(OR(N14=BR14,N14=BU14),$AZ$1,IF(OR(N14=AQ14,N14=AT14),$Y$1,""))))</f>
        <v>2022 3rd Domestic Trial</v>
      </c>
      <c r="P14" s="13">
        <f>IF(MAX(AX14,BY14,CZ14)&gt;0,MAX(AX14,BY14,CZ14),0)</f>
        <v>43.849999999999994</v>
      </c>
      <c r="Q14" s="13" t="str">
        <f>IF(P14="","",IF(P14=CZ14,$CA$1,IF(P14=BY14,$AZ$1,IF(P14=AX14,$Y$1,""))))</f>
        <v>2022 Nationals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12.7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Nationals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,IF(DX14&gt;=$EK$17,DY14,0),IF(EA14&gt;=$EK$17,EB14,0),IF(EE14&gt;=$EK$17,EF14,0),IF(EH14&gt;=$EK$17,EI14,0),IF(FF14&gt;=$FS$17,FG14,0),IF(FI14&gt;=$FS$17,FJ14,0),IF(FM14&gt;=$FS$17,FN14,0),IF(FP14&gt;=$FS$17,FQ14,0),IF(GN14&gt;=$HA$17,GO14,0),IF(GQ14&gt;=$HA$17,GR14,0),IF(GU14&gt;=$HA$17,GV14,0),IF(GX14&gt;=$HA$17,GY14,0),IF(HV14&gt;=$II$17,HW14,0),IF(HY14&gt;=$II$17,HZ14,0),IF(IC14&gt;=$II$17,ID14,0),IF(IF14&gt;=$II$17,IG14,0),IF(JD14&gt;=$JQ$17,JE14,0),IF(JG14&gt;=$JQ$17,JH14,0),IF(JK14&gt;=$JQ$17,JL14,0),IF(JN14&gt;=$JQ$17,JO14,0),IF(KL14&gt;=$KY$17,KM14,0),IF(KO14&gt;=$KY$17,KP14,0),IF(KS14&gt;=$KY$17,KT14,0),IF(KV14&gt;=$KY$17,KW14,0),IF(LT14&gt;=$MG$17,LU14,0),IF(LW14&gt;=$MG$17,LX14,0),IF(MA14&gt;=$MG$17,MB14,0),IF(MD14&gt;=$MG$17,ME14,0),IF(NB14&gt;=$NO$17,NC14,0),IF(NE14&gt;=$NO$17,NF14,0),IF(NI14&gt;=$NO$17,NJ14,0),IF(NL14&gt;=$NO$17,NM14,0),IF(OJ14&gt;=$OW$17,OK14,0),IF(OM14&gt;=$OW$17,ON14,0),IF(OQ14&gt;=$OW$17,OR14,0),IF(OT14&gt;=$OW$17,OU14,0),IF(PR14&gt;=$QE$17,PS14,0),IF(PU14&gt;=$QE$17,PV14,0),IF(PY14&gt;=$QE$17,PZ14,0),IF(QB14&gt;=$QE$17,QC14,0),IF(QZ14&gt;=$RM$17,RA14,0),IF(RC14&gt;=$RM$17,RD14,0),IF(RG14&gt;=$RM$17,RH14,0),IF(RJ14&gt;=$RM$17,RK14,0),IF(SH14&gt;=$SU$17,SI14,0),IF(SK14&gt;=$SU$17,SL14,0),IF(SO14&gt;=$SU$17,SP14,0),IF(SR14&gt;=$SU$17,SS14,0)),0)</f>
        <v>14.03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2022 Nationals</v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51"/>
      <c r="AO14" s="74" t="str">
        <f>IF(AA14&gt;0,AA14,"")</f>
        <v/>
      </c>
      <c r="AP14" s="74" t="str">
        <f>IF(AB14&gt;0,AB14,"")</f>
        <v/>
      </c>
      <c r="AQ14" s="76" t="str">
        <f>IF(SUM(Y14:AB14)-AC14&gt;0,SUM(Y14:AB14)-AC14,"")</f>
        <v/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 t="str">
        <f>IF(AQ14="","",MAX(AQ14,AT14))</f>
        <v/>
      </c>
      <c r="AV14" s="76" t="str">
        <f>IF(AK14&gt;0,AK14,"")</f>
        <v/>
      </c>
      <c r="AW14" s="76" t="str">
        <f>IF(AL14&gt;0,AL14,"")</f>
        <v/>
      </c>
      <c r="AX14" s="76" t="str">
        <f>IF(SUM(AI14:AL14)-AM14&gt;0,SUM(AI14:AL14)-AM14,"")</f>
        <v/>
      </c>
      <c r="AY14" s="76" t="str">
        <f>IF(SUM(AU14,AX14)&gt;0,SUM(AU14,AX14),"")</f>
        <v/>
      </c>
      <c r="AZ14" s="46">
        <v>1.4</v>
      </c>
      <c r="BA14" s="46">
        <v>1</v>
      </c>
      <c r="BB14" s="46">
        <v>1.5</v>
      </c>
      <c r="BC14" s="46">
        <v>1.58</v>
      </c>
      <c r="BD14" s="46">
        <v>0</v>
      </c>
      <c r="BE14" s="46">
        <v>13</v>
      </c>
      <c r="BF14" s="46">
        <v>9</v>
      </c>
      <c r="BG14" s="46">
        <v>12.7</v>
      </c>
      <c r="BH14" s="46">
        <v>14.03</v>
      </c>
      <c r="BI14" s="46">
        <v>0</v>
      </c>
      <c r="BJ14" s="46">
        <v>11.7</v>
      </c>
      <c r="BK14" s="46">
        <v>8.1</v>
      </c>
      <c r="BL14" s="46">
        <v>11.3</v>
      </c>
      <c r="BM14" s="46">
        <v>12.75</v>
      </c>
      <c r="BN14" s="46">
        <v>0</v>
      </c>
      <c r="BO14" s="52"/>
      <c r="BP14" s="75">
        <f>IF(BB14&gt;0,BB14,"")</f>
        <v>1.5</v>
      </c>
      <c r="BQ14" s="75">
        <f>IF(BC14&gt;0,BC14,"")</f>
        <v>1.58</v>
      </c>
      <c r="BR14" s="16">
        <f>IF(SUM(AZ14:BC14)-BD14&gt;0,SUM(AZ14:BC14)-BD14,"")</f>
        <v>5.48</v>
      </c>
      <c r="BS14" s="16">
        <f>IF(BG14&gt;0,BG14,"")</f>
        <v>12.7</v>
      </c>
      <c r="BT14" s="16">
        <f>IF(BH14&gt;0,BH14,"")</f>
        <v>14.03</v>
      </c>
      <c r="BU14" s="16">
        <f>IF(SUM(BE14:BH14)-BI14&gt;0,SUM(BE14:BH14)-BI14,"")</f>
        <v>48.730000000000004</v>
      </c>
      <c r="BV14" s="16">
        <f>IF(BR14="","",MAX(BR14,BU14))</f>
        <v>48.730000000000004</v>
      </c>
      <c r="BW14" s="16">
        <f>IF(BL14&gt;0,BL14,"")</f>
        <v>11.3</v>
      </c>
      <c r="BX14" s="16">
        <f>IF(BM14&gt;0,BM14,"")</f>
        <v>12.75</v>
      </c>
      <c r="BY14" s="16">
        <f>IF(SUM(BJ14:BM14)-BN14&gt;0,SUM(BJ14:BM14)-BN14,"")</f>
        <v>43.849999999999994</v>
      </c>
      <c r="BZ14" s="16">
        <f>IF(SUM(BV14,BY14)&gt;0,SUM(BV14,BY14),"")</f>
        <v>92.58</v>
      </c>
      <c r="CA14" s="42">
        <v>2.9</v>
      </c>
      <c r="CB14" s="42">
        <v>1.7</v>
      </c>
      <c r="CC14" s="42">
        <v>2.7</v>
      </c>
      <c r="CD14" s="42">
        <v>3.16</v>
      </c>
      <c r="CE14" s="42">
        <v>0</v>
      </c>
      <c r="CF14" s="42">
        <v>2.6</v>
      </c>
      <c r="CG14" s="42">
        <v>1.8</v>
      </c>
      <c r="CH14" s="42">
        <v>2.7</v>
      </c>
      <c r="CI14" s="42">
        <v>3.06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>IF(CC14&gt;0,CC14,"")</f>
        <v>2.7</v>
      </c>
      <c r="CR14" s="74">
        <f>IF(CD14&gt;0,CD14,"")</f>
        <v>3.16</v>
      </c>
      <c r="CS14" s="76">
        <f>IF(SUM(CA14:CD14)-CE14&gt;0,SUM(CA14:CD14)-CE14,"")</f>
        <v>10.46</v>
      </c>
      <c r="CT14" s="76">
        <f>IF(CH14&gt;0,CH14,"")</f>
        <v>2.7</v>
      </c>
      <c r="CU14" s="76">
        <f>IF(CI14&gt;0,CI14,"")</f>
        <v>3.06</v>
      </c>
      <c r="CV14" s="76">
        <f>IF(SUM(CF14:CI14)-CJ14&gt;0,SUM(CF14:CI14)-CJ14,"")</f>
        <v>10.16</v>
      </c>
      <c r="CW14" s="76">
        <f>IF(CS14="","",MAX(CS14,CV14))</f>
        <v>10.46</v>
      </c>
      <c r="CX14" s="76" t="str">
        <f>IF(CM14&gt;0,CM14,"")</f>
        <v/>
      </c>
      <c r="CY14" s="76" t="str">
        <f>IF(CN14&gt;0,CN14,"")</f>
        <v/>
      </c>
      <c r="CZ14" s="76" t="str">
        <f>IF(SUM(CK14:CN14)-CO14&gt;0,SUM(CK14:CN14)-CO14,"")</f>
        <v/>
      </c>
      <c r="DA14" s="76">
        <f>IF(SUM(CW14,CZ14)&gt;0,SUM(CW14,CZ14),"")</f>
        <v>10.46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2.15</v>
      </c>
      <c r="SW14" s="42">
        <f>IF($CP14="P",CB14,(CB14+BA14)/2)</f>
        <v>1.35</v>
      </c>
      <c r="SX14" s="42">
        <f>IF($CP14="P",CC14,(CC14+BB14)/2)</f>
        <v>2.1</v>
      </c>
      <c r="SY14" s="42">
        <f>IF($CP14="P",CD14,(CD14+BC14)/2)</f>
        <v>2.37</v>
      </c>
      <c r="SZ14" s="42">
        <f>IF($CP14="P",CE14,(CE14+BD14)/2)</f>
        <v>0</v>
      </c>
      <c r="TA14" s="42">
        <f>IF($CP14="P",CF14,(CF14+BE14)/2)</f>
        <v>7.8</v>
      </c>
      <c r="TB14" s="42">
        <f>IF($CP14="P",CG14,(CG14+BF14)/2)</f>
        <v>5.4</v>
      </c>
      <c r="TC14" s="42">
        <f>IF($CP14="P",CH14,(CH14+BG14)/2)</f>
        <v>7.6999999999999993</v>
      </c>
      <c r="TD14" s="42">
        <f>IF($CP14="P",CI14,(CI14+BH14)/2)</f>
        <v>8.5449999999999999</v>
      </c>
      <c r="TE14" s="42">
        <f>IF($CP14="P",CJ14,(CJ14+BI14)/2)</f>
        <v>0</v>
      </c>
      <c r="TF14" s="42">
        <f>IF($CP14="P",CK14,(CK14+BJ14)/2)</f>
        <v>5.85</v>
      </c>
      <c r="TG14" s="42">
        <f>IF($CP14="P",CL14,(CL14+BK14)/2)</f>
        <v>4.05</v>
      </c>
      <c r="TH14" s="42">
        <f>IF($CP14="P",CM14,(CM14+BL14)/2)</f>
        <v>5.65</v>
      </c>
      <c r="TI14" s="42">
        <f>IF($CP14="P",CN14,(CN14+BM14)/2)</f>
        <v>6.375</v>
      </c>
      <c r="TJ14" s="42">
        <f>IF($CP14="P",CO14,(CO14+BN14)/2)</f>
        <v>0</v>
      </c>
      <c r="TK14" s="51" t="s">
        <v>58</v>
      </c>
      <c r="TL14" s="76">
        <f>IF(SX14&gt;0,SX14,"")</f>
        <v>2.1</v>
      </c>
      <c r="TM14" s="76">
        <f>IF(SY14&gt;0,SY14,"")</f>
        <v>2.37</v>
      </c>
      <c r="TN14" s="76">
        <f>IF(SUM(SV14:SY14)-SZ14&gt;0,SUM(SV14:SY14)-SZ14,"")</f>
        <v>7.97</v>
      </c>
      <c r="TO14" s="76">
        <f>IF(TC14&gt;0,TC14,"")</f>
        <v>7.6999999999999993</v>
      </c>
      <c r="TP14" s="76">
        <f>IF(TD14&gt;0,TD14,"")</f>
        <v>8.5449999999999999</v>
      </c>
      <c r="TQ14" s="76">
        <f>IF(SUM(TA14:TD14)-TE14&gt;0,SUM(TA14:TD14)-TE14,"")</f>
        <v>29.445</v>
      </c>
      <c r="TR14" s="76">
        <f>IF(MAX(TN14,TQ14)&gt;0,MAX(TN14,TQ14),"")</f>
        <v>29.445</v>
      </c>
      <c r="TS14" s="76">
        <f>IF(TH14&gt;0,TH14,"")</f>
        <v>5.65</v>
      </c>
      <c r="TT14" s="76">
        <f>IF(TI14&gt;0,TI14,"")</f>
        <v>6.375</v>
      </c>
      <c r="TU14" s="76">
        <f>IF(SUM(TF14:TI14)-TJ14&gt;0,SUM(TF14:TI14)-TJ14,"")</f>
        <v>21.924999999999997</v>
      </c>
      <c r="TV14" s="76">
        <f>IF(SUM(TR14,TU14)&gt;0,SUM(TR14,TU14),"")</f>
        <v>51.37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55</v>
      </c>
      <c r="C17" s="35"/>
      <c r="G17" s="3"/>
      <c r="AR17" s="77"/>
      <c r="AS17" s="77"/>
      <c r="AT17" s="77"/>
      <c r="AV17" s="56"/>
      <c r="AW17" s="56"/>
      <c r="AY17" s="78">
        <v>12.7</v>
      </c>
      <c r="BS17" s="77"/>
      <c r="BT17" s="77"/>
      <c r="BU17" s="77"/>
      <c r="BW17" s="56"/>
      <c r="BX17" s="56"/>
      <c r="BZ17" s="78">
        <v>12.7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12.2</v>
      </c>
      <c r="GN17" s="35"/>
      <c r="GO17" s="35"/>
      <c r="GX17" s="33"/>
      <c r="GY17" s="33"/>
      <c r="HA17" s="78">
        <v>12.2</v>
      </c>
      <c r="HV17" s="35"/>
      <c r="HW17" s="35"/>
      <c r="IF17" s="33"/>
      <c r="IG17" s="33"/>
      <c r="II17" s="78">
        <v>12.2</v>
      </c>
      <c r="JD17" s="35"/>
      <c r="JE17" s="35"/>
      <c r="JN17" s="33"/>
      <c r="JO17" s="33"/>
      <c r="JQ17" s="78">
        <v>12.2</v>
      </c>
      <c r="KL17" s="35"/>
      <c r="KM17" s="35"/>
      <c r="KV17" s="33"/>
      <c r="KW17" s="33"/>
      <c r="KY17" s="78">
        <v>12.7</v>
      </c>
      <c r="LT17" s="35"/>
      <c r="LU17" s="35"/>
      <c r="MD17" s="33"/>
      <c r="ME17" s="33"/>
      <c r="MG17" s="78">
        <v>12.7</v>
      </c>
      <c r="NB17" s="35"/>
      <c r="NC17" s="35"/>
      <c r="NL17" s="33"/>
      <c r="NM17" s="33"/>
      <c r="NO17" s="78">
        <v>12.7</v>
      </c>
      <c r="OJ17" s="35"/>
      <c r="OK17" s="35"/>
      <c r="OT17" s="33"/>
      <c r="OU17" s="33"/>
      <c r="OW17" s="78">
        <v>12.7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54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68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13.5</v>
      </c>
      <c r="BS19" s="77"/>
      <c r="BT19" s="77"/>
      <c r="BU19" s="77"/>
      <c r="BW19" s="56"/>
      <c r="BX19" s="56"/>
      <c r="BZ19" s="80">
        <v>13.5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13.1</v>
      </c>
      <c r="GN19" s="35"/>
      <c r="GO19" s="35"/>
      <c r="GX19" s="33"/>
      <c r="GY19" s="33"/>
      <c r="HA19" s="80">
        <v>13.1</v>
      </c>
      <c r="HV19" s="35"/>
      <c r="HW19" s="35"/>
      <c r="IF19" s="33"/>
      <c r="IG19" s="33"/>
      <c r="II19" s="80">
        <v>13.1</v>
      </c>
      <c r="JD19" s="35"/>
      <c r="JE19" s="35"/>
      <c r="JN19" s="33"/>
      <c r="JO19" s="33"/>
      <c r="JQ19" s="80">
        <v>13.1</v>
      </c>
      <c r="KL19" s="35"/>
      <c r="KM19" s="35"/>
      <c r="KV19" s="33"/>
      <c r="KW19" s="33"/>
      <c r="KY19" s="80">
        <v>13.5</v>
      </c>
      <c r="LT19" s="35"/>
      <c r="LU19" s="35"/>
      <c r="MD19" s="33"/>
      <c r="ME19" s="33"/>
      <c r="MG19" s="80">
        <v>13.5</v>
      </c>
      <c r="NB19" s="35"/>
      <c r="NC19" s="35"/>
      <c r="NL19" s="33"/>
      <c r="NM19" s="33"/>
      <c r="NO19" s="80">
        <v>13.5</v>
      </c>
      <c r="OJ19" s="35"/>
      <c r="OK19" s="35"/>
      <c r="OT19" s="33"/>
      <c r="OU19" s="33"/>
      <c r="OW19" s="80">
        <v>13.5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81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14</v>
      </c>
      <c r="BS20" s="77"/>
      <c r="BT20" s="77"/>
      <c r="BU20" s="77"/>
      <c r="BW20" s="56"/>
      <c r="BX20" s="56"/>
      <c r="BZ20" s="81">
        <v>14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13.1</v>
      </c>
      <c r="GN20" s="35"/>
      <c r="GO20" s="35"/>
      <c r="GX20" s="33"/>
      <c r="GY20" s="33"/>
      <c r="HA20" s="81">
        <v>13.1</v>
      </c>
      <c r="HV20" s="35"/>
      <c r="HW20" s="35"/>
      <c r="IF20" s="33"/>
      <c r="IG20" s="33"/>
      <c r="II20" s="81">
        <v>13.1</v>
      </c>
      <c r="JD20" s="35"/>
      <c r="JE20" s="35"/>
      <c r="JN20" s="33"/>
      <c r="JO20" s="33"/>
      <c r="JQ20" s="81">
        <v>13.1</v>
      </c>
      <c r="KL20" s="35"/>
      <c r="KM20" s="35"/>
      <c r="KV20" s="33"/>
      <c r="KW20" s="33"/>
      <c r="KY20" s="81">
        <v>14</v>
      </c>
      <c r="LT20" s="35"/>
      <c r="LU20" s="35"/>
      <c r="MD20" s="33"/>
      <c r="ME20" s="33"/>
      <c r="MG20" s="81">
        <v>14</v>
      </c>
      <c r="NB20" s="35"/>
      <c r="NC20" s="35"/>
      <c r="NL20" s="33"/>
      <c r="NM20" s="33"/>
      <c r="NO20" s="81">
        <v>14</v>
      </c>
      <c r="OJ20" s="35"/>
      <c r="OK20" s="35"/>
      <c r="OT20" s="33"/>
      <c r="OU20" s="33"/>
      <c r="OW20" s="81">
        <v>14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52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49.5</v>
      </c>
      <c r="BS21" s="77"/>
      <c r="BT21" s="77"/>
      <c r="BU21" s="77"/>
      <c r="BW21" s="56"/>
      <c r="BX21" s="56"/>
      <c r="BZ21" s="82">
        <v>49.5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53</v>
      </c>
      <c r="GN21" s="35"/>
      <c r="GO21" s="35"/>
      <c r="GX21" s="33"/>
      <c r="GY21" s="33"/>
      <c r="HA21" s="82">
        <v>53</v>
      </c>
      <c r="HV21" s="35"/>
      <c r="HW21" s="35"/>
      <c r="IF21" s="33"/>
      <c r="IG21" s="33"/>
      <c r="II21" s="82">
        <v>53</v>
      </c>
      <c r="JD21" s="35"/>
      <c r="JE21" s="35"/>
      <c r="JN21" s="33"/>
      <c r="JO21" s="33"/>
      <c r="JQ21" s="82">
        <v>53</v>
      </c>
      <c r="KL21" s="35"/>
      <c r="KM21" s="35"/>
      <c r="KV21" s="33"/>
      <c r="KW21" s="33"/>
      <c r="KY21" s="82">
        <v>49.5</v>
      </c>
      <c r="LT21" s="35"/>
      <c r="LU21" s="35"/>
      <c r="MD21" s="33"/>
      <c r="ME21" s="33"/>
      <c r="MG21" s="82">
        <v>49.5</v>
      </c>
      <c r="NB21" s="35"/>
      <c r="NC21" s="35"/>
      <c r="NL21" s="33"/>
      <c r="NM21" s="33"/>
      <c r="NO21" s="82">
        <v>49.5</v>
      </c>
      <c r="OJ21" s="35"/>
      <c r="OK21" s="35"/>
      <c r="OT21" s="33"/>
      <c r="OU21" s="33"/>
      <c r="OW21" s="82">
        <v>49.5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53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51.3</v>
      </c>
      <c r="BS22" s="77"/>
      <c r="BT22" s="77"/>
      <c r="BU22" s="77"/>
      <c r="BW22" s="56"/>
      <c r="BX22" s="56"/>
      <c r="BZ22" s="83">
        <v>51.3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53</v>
      </c>
      <c r="GN22" s="35"/>
      <c r="GO22" s="35"/>
      <c r="GX22" s="33"/>
      <c r="GY22" s="33"/>
      <c r="HA22" s="83">
        <v>53</v>
      </c>
      <c r="HV22" s="35"/>
      <c r="HW22" s="35"/>
      <c r="IF22" s="33"/>
      <c r="IG22" s="33"/>
      <c r="II22" s="83">
        <v>53</v>
      </c>
      <c r="JD22" s="35"/>
      <c r="JE22" s="35"/>
      <c r="JN22" s="33"/>
      <c r="JO22" s="33"/>
      <c r="JQ22" s="83">
        <v>53</v>
      </c>
      <c r="KL22" s="35"/>
      <c r="KM22" s="35"/>
      <c r="KV22" s="33"/>
      <c r="KW22" s="33"/>
      <c r="KY22" s="83">
        <v>51.3</v>
      </c>
      <c r="LT22" s="35"/>
      <c r="LU22" s="35"/>
      <c r="MD22" s="33"/>
      <c r="ME22" s="33"/>
      <c r="MG22" s="83">
        <v>51.3</v>
      </c>
      <c r="NB22" s="35"/>
      <c r="NC22" s="35"/>
      <c r="NL22" s="33"/>
      <c r="NM22" s="33"/>
      <c r="NO22" s="83">
        <v>51.3</v>
      </c>
      <c r="OJ22" s="35"/>
      <c r="OK22" s="35"/>
      <c r="OT22" s="33"/>
      <c r="OU22" s="33"/>
      <c r="OW22" s="83">
        <v>51.3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67</v>
      </c>
      <c r="C23" s="35"/>
      <c r="AR23" s="77"/>
      <c r="AS23" s="77"/>
      <c r="AT23" s="77"/>
      <c r="AU23" s="56"/>
      <c r="AV23" s="56"/>
      <c r="AW23" s="56"/>
      <c r="AX23" s="56"/>
      <c r="AY23" s="84">
        <v>52.2</v>
      </c>
      <c r="BS23" s="77"/>
      <c r="BT23" s="77"/>
      <c r="BU23" s="77"/>
      <c r="BW23" s="56"/>
      <c r="BX23" s="56"/>
      <c r="BZ23" s="84">
        <v>52.2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53</v>
      </c>
      <c r="GN23" s="35"/>
      <c r="GO23" s="35"/>
      <c r="GX23" s="33"/>
      <c r="GY23" s="33"/>
      <c r="GZ23" s="71"/>
      <c r="HA23" s="84">
        <v>53</v>
      </c>
      <c r="HV23" s="35"/>
      <c r="HW23" s="35"/>
      <c r="IF23" s="33"/>
      <c r="IG23" s="33"/>
      <c r="IH23" s="71"/>
      <c r="II23" s="84">
        <v>53</v>
      </c>
      <c r="JD23" s="35"/>
      <c r="JE23" s="35"/>
      <c r="JN23" s="33"/>
      <c r="JO23" s="33"/>
      <c r="JP23" s="71"/>
      <c r="JQ23" s="84">
        <v>53</v>
      </c>
      <c r="KL23" s="35"/>
      <c r="KM23" s="35"/>
      <c r="KV23" s="33"/>
      <c r="KW23" s="33"/>
      <c r="KX23" s="71"/>
      <c r="KY23" s="84">
        <v>52.2</v>
      </c>
      <c r="LT23" s="35"/>
      <c r="LU23" s="35"/>
      <c r="MD23" s="33"/>
      <c r="ME23" s="33"/>
      <c r="MF23" s="71"/>
      <c r="MG23" s="84">
        <v>52.2</v>
      </c>
      <c r="NB23" s="35"/>
      <c r="NC23" s="35"/>
      <c r="NL23" s="33"/>
      <c r="NM23" s="33"/>
      <c r="NN23" s="71"/>
      <c r="NO23" s="84">
        <v>52.2</v>
      </c>
      <c r="OJ23" s="35"/>
      <c r="OK23" s="35"/>
      <c r="OT23" s="33"/>
      <c r="OU23" s="33"/>
      <c r="OV23" s="71"/>
      <c r="OW23" s="84">
        <v>52.2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36</v>
      </c>
      <c r="C24" s="35"/>
      <c r="P24" s="2"/>
      <c r="AR24" s="77"/>
      <c r="AS24" s="77"/>
      <c r="AT24" s="77"/>
      <c r="AU24" s="56"/>
      <c r="AV24" s="77"/>
      <c r="AW24" s="77"/>
      <c r="AX24" s="56"/>
      <c r="AY24" s="85">
        <v>54</v>
      </c>
      <c r="BS24" s="77"/>
      <c r="BT24" s="77"/>
      <c r="BU24" s="77"/>
      <c r="BW24" s="77"/>
      <c r="BX24" s="56"/>
      <c r="BZ24" s="85">
        <v>54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/>
      <c r="EI24" s="33"/>
      <c r="EK24" s="85">
        <v>54.5</v>
      </c>
      <c r="FF24" s="35"/>
      <c r="FG24" s="35"/>
      <c r="FP24" s="77" t="s">
        <v>124</v>
      </c>
      <c r="FQ24" s="33"/>
      <c r="FS24" s="85">
        <v>54.5</v>
      </c>
      <c r="GN24" s="35"/>
      <c r="GO24" s="35"/>
      <c r="GX24" s="33"/>
      <c r="GY24" s="33"/>
      <c r="HA24" s="85">
        <v>54.5</v>
      </c>
      <c r="HV24" s="35"/>
      <c r="HW24" s="35"/>
      <c r="IF24" s="77"/>
      <c r="IG24" s="33"/>
      <c r="II24" s="85">
        <v>54.5</v>
      </c>
      <c r="JD24" s="35"/>
      <c r="JE24" s="35"/>
      <c r="JN24" s="33"/>
      <c r="JO24" s="33"/>
      <c r="JQ24" s="85">
        <v>54.5</v>
      </c>
      <c r="KL24" s="35"/>
      <c r="KM24" s="35"/>
      <c r="KV24" s="33"/>
      <c r="KW24" s="33"/>
      <c r="KY24" s="85">
        <v>54</v>
      </c>
      <c r="LT24" s="35"/>
      <c r="LU24" s="35"/>
      <c r="MD24" s="33"/>
      <c r="ME24" s="33"/>
      <c r="MG24" s="85">
        <v>54</v>
      </c>
      <c r="NB24" s="35"/>
      <c r="NC24" s="35"/>
      <c r="NL24" s="33"/>
      <c r="NM24" s="33"/>
      <c r="NO24" s="85">
        <v>54</v>
      </c>
      <c r="OJ24" s="35"/>
      <c r="OK24" s="35"/>
      <c r="OT24" s="33"/>
      <c r="OU24" s="33"/>
      <c r="OW24" s="85">
        <v>54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59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4">
      <sortCondition descending="1" ref="F1:F15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1" priority="35" operator="containsText" text="No DD">
      <formula>NOT(ISERROR(SEARCH("No DD",H1)))</formula>
    </cfRule>
    <cfRule type="containsText" dxfId="590" priority="36" operator="containsText" text="Merit">
      <formula>NOT(ISERROR(SEARCH("Merit",H1)))</formula>
    </cfRule>
    <cfRule type="containsText" dxfId="589" priority="37" operator="containsText" text="Excellence">
      <formula>NOT(ISERROR(SEARCH("Excellence",H1)))</formula>
    </cfRule>
    <cfRule type="containsText" dxfId="588" priority="38" operator="containsText" text="Worlds Team">
      <formula>NOT(ISERROR(SEARCH("Worlds Team",H1)))</formula>
    </cfRule>
    <cfRule type="containsText" dxfId="587" priority="39" operator="containsText" text="National Team">
      <formula>NOT(ISERROR(SEARCH("National Team",H1)))</formula>
    </cfRule>
  </conditionalFormatting>
  <conditionalFormatting sqref="A1:A1048576">
    <cfRule type="expression" dxfId="586" priority="40">
      <formula>AND(G1&lt;&gt;"",F1="")</formula>
    </cfRule>
  </conditionalFormatting>
  <conditionalFormatting sqref="Y4:AY14">
    <cfRule type="expression" dxfId="585" priority="41" stopIfTrue="1">
      <formula>IF($AN4&lt;&gt;"",1,0)</formula>
    </cfRule>
  </conditionalFormatting>
  <conditionalFormatting sqref="AZ4:BZ14">
    <cfRule type="expression" dxfId="584" priority="34" stopIfTrue="1">
      <formula>IF($BO4&lt;&gt;"",1,0)</formula>
    </cfRule>
  </conditionalFormatting>
  <conditionalFormatting sqref="CA4:DA14">
    <cfRule type="expression" dxfId="583" priority="33" stopIfTrue="1">
      <formula>IF($CP4&lt;&gt;"",1,0)</formula>
    </cfRule>
  </conditionalFormatting>
  <conditionalFormatting sqref="M1:M3 O1:O3 K1:K1048576 Q1:Q1048576 M4:O1048576 S1:S1048576 U1:U1048576">
    <cfRule type="expression" dxfId="582" priority="50">
      <formula>IF(K1=$CA$1,1,0)</formula>
    </cfRule>
    <cfRule type="expression" dxfId="581" priority="51">
      <formula>IF(K1=$AZ$1,1,0)</formula>
    </cfRule>
    <cfRule type="expression" dxfId="580" priority="52">
      <formula>IF(K1=$Y$1,1,0)</formula>
    </cfRule>
  </conditionalFormatting>
  <conditionalFormatting sqref="BW25:BW1048576 BP1:BP1048576 BS1:BS1048576 BW1:BW23">
    <cfRule type="cellIs" dxfId="579" priority="46" operator="between">
      <formula>$BZ$20</formula>
      <formula>1000</formula>
    </cfRule>
    <cfRule type="cellIs" dxfId="578" priority="47" operator="between">
      <formula>$BZ$19</formula>
      <formula>$BZ$20</formula>
    </cfRule>
    <cfRule type="cellIs" dxfId="577" priority="48" operator="between">
      <formula>$BZ$18</formula>
      <formula>$BZ$19</formula>
    </cfRule>
    <cfRule type="cellIs" dxfId="576" priority="49" operator="between">
      <formula>$BZ$17</formula>
      <formula>$BZ$18</formula>
    </cfRule>
  </conditionalFormatting>
  <conditionalFormatting sqref="CX25:CX1048576 CQ1:CQ1048576 CT1:CT1048576 CX1:CX23">
    <cfRule type="cellIs" dxfId="575" priority="42" operator="between">
      <formula>$DA$20</formula>
      <formula>1000</formula>
    </cfRule>
    <cfRule type="cellIs" dxfId="574" priority="43" operator="between">
      <formula>$DA$19</formula>
      <formula>$DA$20</formula>
    </cfRule>
    <cfRule type="cellIs" dxfId="573" priority="44" operator="between">
      <formula>$DA$18</formula>
      <formula>$DA$19</formula>
    </cfRule>
    <cfRule type="cellIs" dxfId="572" priority="45" operator="between">
      <formula>$DA$17</formula>
      <formula>$DA$18</formula>
    </cfRule>
  </conditionalFormatting>
  <conditionalFormatting sqref="EH25:EH1048576 DX1:DX1048576 EA1:EA1048576 EE1:EE1048576 EH1:EH23">
    <cfRule type="cellIs" dxfId="571" priority="53" operator="between">
      <formula>$EK$20</formula>
      <formula>1000</formula>
    </cfRule>
    <cfRule type="cellIs" dxfId="570" priority="54" operator="between">
      <formula>$EK$19</formula>
      <formula>$EK$20</formula>
    </cfRule>
    <cfRule type="cellIs" dxfId="569" priority="55" operator="between">
      <formula>$EK$18</formula>
      <formula>$EK$19</formula>
    </cfRule>
    <cfRule type="cellIs" dxfId="568" priority="56" operator="between">
      <formula>$EK$17</formula>
      <formula>$EK$18</formula>
    </cfRule>
  </conditionalFormatting>
  <conditionalFormatting sqref="FP25:FP1048576 FF1:FF1048576 FI1:FI1048576 FM1:FM1048576 FP1:FP23">
    <cfRule type="cellIs" dxfId="567" priority="29" operator="between">
      <formula>$FS$20</formula>
      <formula>1000</formula>
    </cfRule>
    <cfRule type="cellIs" dxfId="566" priority="30" operator="between">
      <formula>$FS$19</formula>
      <formula>$FS$20</formula>
    </cfRule>
    <cfRule type="cellIs" dxfId="565" priority="31" operator="between">
      <formula>$FS$18</formula>
      <formula>$FS$19</formula>
    </cfRule>
    <cfRule type="cellIs" dxfId="564" priority="32" operator="between">
      <formula>$FS$17</formula>
      <formula>$FS$18</formula>
    </cfRule>
  </conditionalFormatting>
  <conditionalFormatting sqref="IF25:IF1048576 HV1:HV1048576 HY1:HY1048576 IC1:IC1048576 IF1:IF23">
    <cfRule type="cellIs" dxfId="563" priority="25" operator="between">
      <formula>$II$20</formula>
      <formula>1000</formula>
    </cfRule>
    <cfRule type="cellIs" dxfId="562" priority="26" operator="between">
      <formula>$II$19</formula>
      <formula>$II$20</formula>
    </cfRule>
    <cfRule type="cellIs" dxfId="561" priority="27" operator="between">
      <formula>$II$18</formula>
      <formula>$II$19</formula>
    </cfRule>
    <cfRule type="cellIs" dxfId="560" priority="28" operator="between">
      <formula>$II$17</formula>
      <formula>$II$18</formula>
    </cfRule>
  </conditionalFormatting>
  <conditionalFormatting sqref="AW24 AO1:AO1048576 AR1:AR1048576 AV1:AV1048576">
    <cfRule type="cellIs" dxfId="559" priority="21" operator="between">
      <formula>$AY$20</formula>
      <formula>1000</formula>
    </cfRule>
    <cfRule type="cellIs" dxfId="558" priority="22" operator="between">
      <formula>$AY$19</formula>
      <formula>$AY$20</formula>
    </cfRule>
    <cfRule type="cellIs" dxfId="557" priority="23" operator="between">
      <formula>$AY$18</formula>
      <formula>$AY$19</formula>
    </cfRule>
    <cfRule type="cellIs" dxfId="556" priority="24" operator="between">
      <formula>$AY$17</formula>
      <formula>$AY$18</formula>
    </cfRule>
  </conditionalFormatting>
  <conditionalFormatting sqref="BW24">
    <cfRule type="cellIs" dxfId="555" priority="17" operator="between">
      <formula>$AY$20</formula>
      <formula>1000</formula>
    </cfRule>
    <cfRule type="cellIs" dxfId="554" priority="18" operator="between">
      <formula>$AY$19</formula>
      <formula>$AY$20</formula>
    </cfRule>
    <cfRule type="cellIs" dxfId="553" priority="19" operator="between">
      <formula>$AY$18</formula>
      <formula>$AY$19</formula>
    </cfRule>
    <cfRule type="cellIs" dxfId="552" priority="20" operator="between">
      <formula>$AY$17</formula>
      <formula>$AY$18</formula>
    </cfRule>
  </conditionalFormatting>
  <conditionalFormatting sqref="CX24">
    <cfRule type="cellIs" dxfId="551" priority="13" operator="between">
      <formula>$AY$20</formula>
      <formula>1000</formula>
    </cfRule>
    <cfRule type="cellIs" dxfId="550" priority="14" operator="between">
      <formula>$AY$19</formula>
      <formula>$AY$20</formula>
    </cfRule>
    <cfRule type="cellIs" dxfId="549" priority="15" operator="between">
      <formula>$AY$18</formula>
      <formula>$AY$19</formula>
    </cfRule>
    <cfRule type="cellIs" dxfId="548" priority="16" operator="between">
      <formula>$AY$17</formula>
      <formula>$AY$18</formula>
    </cfRule>
  </conditionalFormatting>
  <conditionalFormatting sqref="EH24">
    <cfRule type="cellIs" dxfId="547" priority="9" operator="between">
      <formula>$AY$20</formula>
      <formula>1000</formula>
    </cfRule>
    <cfRule type="cellIs" dxfId="546" priority="10" operator="between">
      <formula>$AY$19</formula>
      <formula>$AY$20</formula>
    </cfRule>
    <cfRule type="cellIs" dxfId="545" priority="11" operator="between">
      <formula>$AY$18</formula>
      <formula>$AY$19</formula>
    </cfRule>
    <cfRule type="cellIs" dxfId="544" priority="12" operator="between">
      <formula>$AY$17</formula>
      <formula>$AY$18</formula>
    </cfRule>
  </conditionalFormatting>
  <conditionalFormatting sqref="FP24">
    <cfRule type="cellIs" dxfId="543" priority="5" operator="between">
      <formula>$AY$20</formula>
      <formula>1000</formula>
    </cfRule>
    <cfRule type="cellIs" dxfId="542" priority="6" operator="between">
      <formula>$AY$19</formula>
      <formula>$AY$20</formula>
    </cfRule>
    <cfRule type="cellIs" dxfId="541" priority="7" operator="between">
      <formula>$AY$18</formula>
      <formula>$AY$19</formula>
    </cfRule>
    <cfRule type="cellIs" dxfId="540" priority="8" operator="between">
      <formula>$AY$17</formula>
      <formula>$AY$18</formula>
    </cfRule>
  </conditionalFormatting>
  <conditionalFormatting sqref="IF24">
    <cfRule type="cellIs" dxfId="539" priority="1" operator="between">
      <formula>$AY$20</formula>
      <formula>1000</formula>
    </cfRule>
    <cfRule type="cellIs" dxfId="538" priority="2" operator="between">
      <formula>$AY$19</formula>
      <formula>$AY$20</formula>
    </cfRule>
    <cfRule type="cellIs" dxfId="537" priority="3" operator="between">
      <formula>$AY$18</formula>
      <formula>$AY$19</formula>
    </cfRule>
    <cfRule type="cellIs" dxfId="536" priority="4" operator="between">
      <formula>$AY$17</formula>
      <formula>$AY$18</formula>
    </cfRule>
  </conditionalFormatting>
  <conditionalFormatting sqref="CV1:CV1048576 AT1:AT1048576">
    <cfRule type="cellIs" dxfId="535" priority="73222" operator="between">
      <formula>AY$24</formula>
      <formula>1000</formula>
    </cfRule>
    <cfRule type="cellIs" dxfId="534" priority="73223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73234" operator="between">
      <formula>EK$24</formula>
      <formula>1000</formula>
    </cfRule>
    <cfRule type="cellIs" dxfId="532" priority="73235" operator="between">
      <formula>EK$23</formula>
      <formula>EK$24</formula>
    </cfRule>
  </conditionalFormatting>
  <conditionalFormatting sqref="AQ1:AQ1048576 AT1:AT1048576 AX1:AX1048576">
    <cfRule type="cellIs" dxfId="531" priority="73306" operator="between">
      <formula>$AY$24</formula>
      <formula>1000</formula>
    </cfRule>
    <cfRule type="cellIs" dxfId="530" priority="73307" operator="between">
      <formula>$AY$23</formula>
      <formula>$AY$24</formula>
    </cfRule>
    <cfRule type="cellIs" dxfId="529" priority="73308" operator="between">
      <formula>$AY$22</formula>
      <formula>$AY$23</formula>
    </cfRule>
    <cfRule type="cellIs" dxfId="528" priority="73309" operator="between">
      <formula>$AY$21</formula>
      <formula>$AY$22</formula>
    </cfRule>
  </conditionalFormatting>
  <conditionalFormatting sqref="BR1:BR1048576 BU1:BU1048576 BY1:BY1048576">
    <cfRule type="cellIs" dxfId="527" priority="73342" operator="between">
      <formula>$BZ$24</formula>
      <formula>1000</formula>
    </cfRule>
    <cfRule type="cellIs" dxfId="526" priority="73343" operator="between">
      <formula>$BZ$23</formula>
      <formula>$BZ$24</formula>
    </cfRule>
    <cfRule type="cellIs" dxfId="525" priority="73344" operator="between">
      <formula>$BZ$22</formula>
      <formula>$BZ$23</formula>
    </cfRule>
    <cfRule type="cellIs" dxfId="524" priority="73345" operator="between">
      <formula>$BZ$21</formula>
      <formula>$BZ$22</formula>
    </cfRule>
  </conditionalFormatting>
  <conditionalFormatting sqref="CS1:CS1048576 CV1:CV1048576 CZ1:CZ1048576">
    <cfRule type="cellIs" dxfId="523" priority="73378" operator="between">
      <formula>$DA$24</formula>
      <formula>1000</formula>
    </cfRule>
    <cfRule type="cellIs" dxfId="522" priority="73379" operator="between">
      <formula>$DA$23</formula>
      <formula>$DA$24</formula>
    </cfRule>
    <cfRule type="cellIs" dxfId="521" priority="73380" operator="between">
      <formula>$DA$22</formula>
      <formula>$DA$23</formula>
    </cfRule>
    <cfRule type="cellIs" dxfId="520" priority="73381" operator="between">
      <formula>$DA$21</formula>
      <formula>$DA$22</formula>
    </cfRule>
  </conditionalFormatting>
  <conditionalFormatting sqref="NB1:NB1048576 NE1:NE1048576 NI1:NI1048576 NL1:NL1048576">
    <cfRule type="cellIs" dxfId="519" priority="73414" operator="between">
      <formula>$NO$17</formula>
      <formula>$NO$18</formula>
    </cfRule>
  </conditionalFormatting>
  <conditionalFormatting sqref="DZ1:DZ1048576 EC1:EC1048576 EG1:EG1048576 EJ1:EJ1048576">
    <cfRule type="cellIs" dxfId="518" priority="73426" operator="between">
      <formula>$EK$24</formula>
      <formula>1000</formula>
    </cfRule>
    <cfRule type="cellIs" dxfId="517" priority="73427" operator="between">
      <formula>$EK$23</formula>
      <formula>$EK$24</formula>
    </cfRule>
    <cfRule type="cellIs" dxfId="516" priority="73428" operator="between">
      <formula>$EK$22</formula>
      <formula>$EK$23</formula>
    </cfRule>
    <cfRule type="cellIs" dxfId="515" priority="73429" operator="between">
      <formula>$EK$21</formula>
      <formula>$EK$22</formula>
    </cfRule>
  </conditionalFormatting>
  <conditionalFormatting sqref="FH1:FH1048576 FK1:FK1048576 FO1:FO1048576 FR1:FR1048576">
    <cfRule type="cellIs" dxfId="514" priority="73474" operator="between">
      <formula>$FS$24</formula>
      <formula>1000</formula>
    </cfRule>
    <cfRule type="cellIs" dxfId="513" priority="73475" operator="between">
      <formula>$FS$23</formula>
      <formula>$FS$24</formula>
    </cfRule>
    <cfRule type="cellIs" dxfId="512" priority="73476" operator="between">
      <formula>$FS$22</formula>
      <formula>$FS$23</formula>
    </cfRule>
    <cfRule type="cellIs" dxfId="511" priority="73477" operator="between">
      <formula>$FS$21</formula>
      <formula>$FS$22</formula>
    </cfRule>
  </conditionalFormatting>
  <conditionalFormatting sqref="GN1:GN1048576 GQ1:GQ1048576 GU1:GU1048576 GX1:GX1048576">
    <cfRule type="cellIs" dxfId="510" priority="73522" operator="between">
      <formula>$HA$20</formula>
      <formula>1000</formula>
    </cfRule>
    <cfRule type="cellIs" dxfId="509" priority="73523" operator="between">
      <formula>$HA$19</formula>
      <formula>$HA$20</formula>
    </cfRule>
    <cfRule type="cellIs" dxfId="508" priority="73524" operator="between">
      <formula>$HA$18</formula>
      <formula>$HA$19</formula>
    </cfRule>
    <cfRule type="cellIs" dxfId="507" priority="73525" operator="between">
      <formula>$HA$17</formula>
      <formula>$HA$18</formula>
    </cfRule>
  </conditionalFormatting>
  <conditionalFormatting sqref="GP1:GP1048576 GS1:GS1048576 GW1:GW1048576 GZ1:GZ1048576">
    <cfRule type="cellIs" dxfId="506" priority="73570" operator="between">
      <formula>$HA$24</formula>
      <formula>1000</formula>
    </cfRule>
    <cfRule type="cellIs" dxfId="505" priority="73571" operator="between">
      <formula>$HA$23</formula>
      <formula>$HA$24</formula>
    </cfRule>
    <cfRule type="cellIs" dxfId="504" priority="73572" operator="between">
      <formula>$HA$22</formula>
      <formula>$HA$23</formula>
    </cfRule>
    <cfRule type="cellIs" dxfId="503" priority="73573" operator="between">
      <formula>$HA$21</formula>
      <formula>$HA$22</formula>
    </cfRule>
  </conditionalFormatting>
  <conditionalFormatting sqref="HX1:HX1048576 IA1:IA1048576 IE1:IE1048576 IH1:IH1048576">
    <cfRule type="cellIs" dxfId="502" priority="73618" operator="between">
      <formula>$II$24</formula>
      <formula>1000</formula>
    </cfRule>
    <cfRule type="cellIs" dxfId="501" priority="73619" operator="between">
      <formula>$II$23</formula>
      <formula>$II$24</formula>
    </cfRule>
    <cfRule type="cellIs" dxfId="500" priority="73620" operator="between">
      <formula>$II$22</formula>
      <formula>$II$23</formula>
    </cfRule>
    <cfRule type="cellIs" dxfId="499" priority="73621" operator="between">
      <formula>$II$21</formula>
      <formula>$II$22</formula>
    </cfRule>
  </conditionalFormatting>
  <conditionalFormatting sqref="JD1:JD1048576 JG1:JG1048576 JK1:JK1048576 JN1:JN1048576">
    <cfRule type="cellIs" dxfId="498" priority="73666" operator="between">
      <formula>$JQ$20</formula>
      <formula>1000</formula>
    </cfRule>
    <cfRule type="cellIs" dxfId="497" priority="73667" operator="between">
      <formula>$JQ$19</formula>
      <formula>$JQ$20</formula>
    </cfRule>
    <cfRule type="cellIs" dxfId="496" priority="73668" operator="between">
      <formula>$JQ$18</formula>
      <formula>$JQ$19</formula>
    </cfRule>
    <cfRule type="cellIs" dxfId="495" priority="73669" operator="between">
      <formula>$JQ$17</formula>
      <formula>$JQ$18</formula>
    </cfRule>
  </conditionalFormatting>
  <conditionalFormatting sqref="JF1:JF1048576 JI1:JI1048576 JM1:JM1048576 JP1:JP1048576">
    <cfRule type="cellIs" dxfId="494" priority="73714" operator="between">
      <formula>$JQ$24</formula>
      <formula>1000</formula>
    </cfRule>
    <cfRule type="cellIs" dxfId="493" priority="73715" operator="between">
      <formula>$JQ$23</formula>
      <formula>$JQ$24</formula>
    </cfRule>
    <cfRule type="cellIs" dxfId="492" priority="73716" operator="between">
      <formula>$JQ$22</formula>
      <formula>$JQ$23</formula>
    </cfRule>
    <cfRule type="cellIs" dxfId="491" priority="73717" operator="between">
      <formula>$JQ$21</formula>
      <formula>$JQ$22</formula>
    </cfRule>
  </conditionalFormatting>
  <conditionalFormatting sqref="KL1:KL1048576 KO1:KO1048576 KS1:KS1048576 KV1:KV1048576">
    <cfRule type="cellIs" dxfId="490" priority="73762" operator="between">
      <formula>$KY$20</formula>
      <formula>1000</formula>
    </cfRule>
    <cfRule type="cellIs" dxfId="489" priority="73763" operator="between">
      <formula>$KY$19</formula>
      <formula>$KY$20</formula>
    </cfRule>
    <cfRule type="cellIs" dxfId="488" priority="73764" operator="between">
      <formula>$KY$18</formula>
      <formula>$KY$19</formula>
    </cfRule>
    <cfRule type="cellIs" dxfId="487" priority="73765" operator="between">
      <formula>$KY$17</formula>
      <formula>$KY$18</formula>
    </cfRule>
  </conditionalFormatting>
  <conditionalFormatting sqref="KN1:KN1048576 KQ1:KQ1048576 KU1:KU1048576 KX1:KX1048576">
    <cfRule type="cellIs" dxfId="486" priority="73810" operator="between">
      <formula>$KY$24</formula>
      <formula>1000</formula>
    </cfRule>
    <cfRule type="cellIs" dxfId="485" priority="73811" operator="between">
      <formula>$KY$23</formula>
      <formula>$KY$24</formula>
    </cfRule>
    <cfRule type="cellIs" dxfId="484" priority="73812" operator="between">
      <formula>$KY$22</formula>
      <formula>$KY$23</formula>
    </cfRule>
    <cfRule type="cellIs" dxfId="483" priority="73813" operator="between">
      <formula>$KY$21</formula>
      <formula>$KY$22</formula>
    </cfRule>
  </conditionalFormatting>
  <conditionalFormatting sqref="LT1:LT1048576 LW1:LW1048576 MA1:MA1048576 MD1:MD1048576">
    <cfRule type="cellIs" dxfId="482" priority="73858" operator="between">
      <formula>$MG$20</formula>
      <formula>1000</formula>
    </cfRule>
    <cfRule type="cellIs" dxfId="481" priority="73859" operator="between">
      <formula>$MG$19</formula>
      <formula>$MG$20</formula>
    </cfRule>
    <cfRule type="cellIs" dxfId="480" priority="73860" operator="between">
      <formula>$MG$18</formula>
      <formula>$MG$19</formula>
    </cfRule>
    <cfRule type="cellIs" dxfId="479" priority="73861" operator="between">
      <formula>$MG$17</formula>
      <formula>$MG$18</formula>
    </cfRule>
  </conditionalFormatting>
  <conditionalFormatting sqref="LV1:LV1048576 LY1:LY1048576 MC1:MC1048576 MF1:MF1048576">
    <cfRule type="cellIs" dxfId="478" priority="73906" operator="between">
      <formula>$MG$24</formula>
      <formula>1000</formula>
    </cfRule>
    <cfRule type="cellIs" dxfId="477" priority="73907" operator="between">
      <formula>$MG$23</formula>
      <formula>$MG$24</formula>
    </cfRule>
    <cfRule type="cellIs" dxfId="476" priority="73908" operator="between">
      <formula>$MG$22</formula>
      <formula>$MG$23</formula>
    </cfRule>
    <cfRule type="cellIs" dxfId="475" priority="73909" operator="between">
      <formula>$MG$21</formula>
      <formula>$MG$22</formula>
    </cfRule>
  </conditionalFormatting>
  <conditionalFormatting sqref="NB1:NB1048576 NE1:NE1048576 NI1:NI1048576">
    <cfRule type="cellIs" dxfId="474" priority="73954" operator="between">
      <formula>$NO$20</formula>
      <formula>1000</formula>
    </cfRule>
    <cfRule type="cellIs" dxfId="473" priority="73955" operator="between">
      <formula>$NO$19</formula>
      <formula>$NO$20</formula>
    </cfRule>
    <cfRule type="cellIs" dxfId="472" priority="73956" operator="between">
      <formula>$NO$18</formula>
      <formula>$NO$19</formula>
    </cfRule>
  </conditionalFormatting>
  <conditionalFormatting sqref="ND1:ND1048576 NG1:NG1048576 NK1:NK1048576 NN1:NN1048576">
    <cfRule type="cellIs" dxfId="471" priority="73981" operator="between">
      <formula>$NO$24</formula>
      <formula>1000</formula>
    </cfRule>
    <cfRule type="cellIs" dxfId="470" priority="73982" operator="between">
      <formula>$NO$23</formula>
      <formula>$NO$24</formula>
    </cfRule>
    <cfRule type="cellIs" dxfId="469" priority="73983" operator="between">
      <formula>$NO$22</formula>
      <formula>$NO$23</formula>
    </cfRule>
    <cfRule type="cellIs" dxfId="468" priority="73984" operator="between">
      <formula>$NO$21</formula>
      <formula>$NO$22</formula>
    </cfRule>
  </conditionalFormatting>
  <conditionalFormatting sqref="OJ1:OJ1048576 OM1:OM1048576 OQ1:OQ1048576 OT1:OT1048576">
    <cfRule type="cellIs" dxfId="467" priority="74029" operator="between">
      <formula>$OW$20</formula>
      <formula>1000</formula>
    </cfRule>
    <cfRule type="cellIs" dxfId="466" priority="74030" operator="between">
      <formula>$OW$19</formula>
      <formula>$OW$20</formula>
    </cfRule>
    <cfRule type="cellIs" dxfId="465" priority="74031" operator="between">
      <formula>$OW$18</formula>
      <formula>$OW$19</formula>
    </cfRule>
    <cfRule type="cellIs" dxfId="464" priority="74032" operator="between">
      <formula>$OW$17</formula>
      <formula>$OW$18</formula>
    </cfRule>
  </conditionalFormatting>
  <conditionalFormatting sqref="OL1:OL1048576 OO1:OO1048576 OS1:OS1048576 OV1:OV1048576">
    <cfRule type="cellIs" dxfId="463" priority="74077" operator="between">
      <formula>$OW$24</formula>
      <formula>1000</formula>
    </cfRule>
    <cfRule type="cellIs" dxfId="462" priority="74078" operator="between">
      <formula>$OW$23</formula>
      <formula>$OW$24</formula>
    </cfRule>
    <cfRule type="cellIs" dxfId="461" priority="74079" operator="between">
      <formula>$OW$22</formula>
      <formula>$OW$23</formula>
    </cfRule>
    <cfRule type="cellIs" dxfId="460" priority="74080" operator="between">
      <formula>$OW$21</formula>
      <formula>$OW$22</formula>
    </cfRule>
  </conditionalFormatting>
  <conditionalFormatting sqref="PR1:PR1048576 PU1:PU1048576 PY1:PY1048576 QB1:QB1048576">
    <cfRule type="cellIs" dxfId="459" priority="74125" operator="between">
      <formula>$QE$20</formula>
      <formula>1000</formula>
    </cfRule>
    <cfRule type="cellIs" dxfId="458" priority="74126" operator="between">
      <formula>$QE$19</formula>
      <formula>$QE$20</formula>
    </cfRule>
    <cfRule type="cellIs" dxfId="457" priority="74127" operator="between">
      <formula>$QE$18</formula>
      <formula>$QE$19</formula>
    </cfRule>
    <cfRule type="cellIs" dxfId="456" priority="74128" operator="between">
      <formula>$QE$17</formula>
      <formula>$QE$18</formula>
    </cfRule>
  </conditionalFormatting>
  <conditionalFormatting sqref="PT1:PT1048576 PW1:PW1048576 QA1:QA1048576 QD1:QD1048576">
    <cfRule type="cellIs" dxfId="455" priority="74173" operator="between">
      <formula>$QE$24</formula>
      <formula>1000</formula>
    </cfRule>
    <cfRule type="cellIs" dxfId="454" priority="74174" operator="between">
      <formula>$QE$23</formula>
      <formula>$QE$24</formula>
    </cfRule>
    <cfRule type="cellIs" dxfId="453" priority="74175" operator="between">
      <formula>$QE$22</formula>
      <formula>$QE$23</formula>
    </cfRule>
    <cfRule type="cellIs" dxfId="452" priority="74176" operator="between">
      <formula>$QE$21</formula>
      <formula>$QE$22</formula>
    </cfRule>
  </conditionalFormatting>
  <conditionalFormatting sqref="QZ1:QZ1048576 RC1:RC1048576 RG1:RG1048576 RJ1:RJ1048576">
    <cfRule type="cellIs" dxfId="451" priority="74221" operator="between">
      <formula>$RM$20</formula>
      <formula>1000</formula>
    </cfRule>
    <cfRule type="cellIs" dxfId="450" priority="74222" operator="between">
      <formula>$RM$19</formula>
      <formula>$RM$20</formula>
    </cfRule>
    <cfRule type="cellIs" dxfId="449" priority="74223" operator="between">
      <formula>$RM$18</formula>
      <formula>$RM$19</formula>
    </cfRule>
    <cfRule type="cellIs" dxfId="448" priority="74224" operator="between">
      <formula>$RM$17</formula>
      <formula>$RM$18</formula>
    </cfRule>
  </conditionalFormatting>
  <conditionalFormatting sqref="RB1:RB1048576 RE1:RE1048576 RI1:RI1048576 RL1:RL1048576">
    <cfRule type="cellIs" dxfId="447" priority="74269" operator="between">
      <formula>$RM$24</formula>
      <formula>1000</formula>
    </cfRule>
    <cfRule type="cellIs" dxfId="446" priority="74270" operator="between">
      <formula>$RM$23</formula>
      <formula>$RM$24</formula>
    </cfRule>
    <cfRule type="cellIs" dxfId="445" priority="74271" operator="between">
      <formula>$RM$22</formula>
      <formula>$RM$23</formula>
    </cfRule>
    <cfRule type="cellIs" dxfId="444" priority="74272" operator="between">
      <formula>$RM$21</formula>
      <formula>$RM$22</formula>
    </cfRule>
  </conditionalFormatting>
  <conditionalFormatting sqref="SH1:SH1048576 SK1:SK1048576 SO1:SO1048576 SR1:SR1048576">
    <cfRule type="cellIs" dxfId="443" priority="74317" operator="between">
      <formula>$SU$20</formula>
      <formula>1000</formula>
    </cfRule>
    <cfRule type="cellIs" dxfId="442" priority="74318" operator="between">
      <formula>$SU$19</formula>
      <formula>$SU$20</formula>
    </cfRule>
    <cfRule type="cellIs" dxfId="441" priority="74319" operator="between">
      <formula>$SU$18</formula>
      <formula>$SU$19</formula>
    </cfRule>
    <cfRule type="cellIs" dxfId="440" priority="74320" operator="between">
      <formula>$SU$17</formula>
      <formula>$SU$18</formula>
    </cfRule>
  </conditionalFormatting>
  <conditionalFormatting sqref="SJ1:SJ1048576 SM1:SM1048576 SQ1:SQ1048576 ST1:ST1048576">
    <cfRule type="cellIs" dxfId="439" priority="74365" operator="between">
      <formula>$SU$24</formula>
      <formula>1000</formula>
    </cfRule>
    <cfRule type="cellIs" dxfId="438" priority="74366" operator="between">
      <formula>$SU$23</formula>
      <formula>$SU$24</formula>
    </cfRule>
    <cfRule type="cellIs" dxfId="437" priority="74367" operator="between">
      <formula>$SU$22</formula>
      <formula>$SU$23</formula>
    </cfRule>
    <cfRule type="cellIs" dxfId="436" priority="74368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532" width="10.83203125" hidden="1" customWidth="1"/>
  </cols>
  <sheetData>
    <row r="1" spans="1:53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126</v>
      </c>
      <c r="K1" s="117" t="s">
        <v>34</v>
      </c>
      <c r="L1" s="121" t="s">
        <v>14</v>
      </c>
      <c r="M1" s="117" t="s">
        <v>35</v>
      </c>
      <c r="N1" s="117" t="s">
        <v>34</v>
      </c>
      <c r="O1" s="114" t="s">
        <v>127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182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209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14</v>
      </c>
      <c r="CS1" s="116"/>
      <c r="CT1" s="114" t="s">
        <v>105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108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157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173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174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175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69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19</v>
      </c>
      <c r="P2" s="112"/>
      <c r="Q2" s="112"/>
      <c r="R2" s="112"/>
      <c r="S2" s="112"/>
      <c r="T2" s="112" t="s">
        <v>20</v>
      </c>
      <c r="U2" s="112"/>
      <c r="V2" s="112"/>
      <c r="W2" s="112"/>
      <c r="X2" s="112"/>
      <c r="Y2" s="112" t="s">
        <v>23</v>
      </c>
      <c r="Z2" s="112"/>
      <c r="AA2" s="112"/>
      <c r="AB2" s="112"/>
      <c r="AC2" s="112"/>
      <c r="AD2" s="101"/>
      <c r="AE2" s="101" t="s">
        <v>116</v>
      </c>
      <c r="AF2" s="101" t="s">
        <v>167</v>
      </c>
      <c r="AG2" s="101" t="s">
        <v>21</v>
      </c>
      <c r="AH2" s="101" t="s">
        <v>82</v>
      </c>
      <c r="AI2" s="101" t="s">
        <v>166</v>
      </c>
      <c r="AJ2" s="101" t="s">
        <v>22</v>
      </c>
      <c r="AK2" s="101" t="s">
        <v>24</v>
      </c>
      <c r="AL2" s="101" t="s">
        <v>119</v>
      </c>
      <c r="AM2" s="101" t="s">
        <v>168</v>
      </c>
      <c r="AN2" s="101" t="s">
        <v>23</v>
      </c>
      <c r="AO2" s="101" t="s">
        <v>18</v>
      </c>
      <c r="AP2" s="113" t="s">
        <v>19</v>
      </c>
      <c r="AQ2" s="113"/>
      <c r="AR2" s="113"/>
      <c r="AS2" s="113"/>
      <c r="AT2" s="113"/>
      <c r="AU2" s="113" t="s">
        <v>20</v>
      </c>
      <c r="AV2" s="113"/>
      <c r="AW2" s="113"/>
      <c r="AX2" s="113"/>
      <c r="AY2" s="113"/>
      <c r="AZ2" s="113" t="s">
        <v>23</v>
      </c>
      <c r="BA2" s="113"/>
      <c r="BB2" s="113"/>
      <c r="BC2" s="113"/>
      <c r="BD2" s="113"/>
      <c r="BE2" s="102"/>
      <c r="BF2" s="102" t="s">
        <v>116</v>
      </c>
      <c r="BG2" s="102" t="s">
        <v>167</v>
      </c>
      <c r="BH2" s="102" t="s">
        <v>21</v>
      </c>
      <c r="BI2" s="102" t="s">
        <v>82</v>
      </c>
      <c r="BJ2" s="102" t="s">
        <v>166</v>
      </c>
      <c r="BK2" s="102" t="s">
        <v>22</v>
      </c>
      <c r="BL2" s="102" t="s">
        <v>24</v>
      </c>
      <c r="BM2" s="102" t="s">
        <v>119</v>
      </c>
      <c r="BN2" s="102" t="s">
        <v>168</v>
      </c>
      <c r="BO2" s="102" t="s">
        <v>23</v>
      </c>
      <c r="BP2" s="102" t="s">
        <v>18</v>
      </c>
      <c r="BQ2" s="112" t="s">
        <v>19</v>
      </c>
      <c r="BR2" s="112"/>
      <c r="BS2" s="112"/>
      <c r="BT2" s="112"/>
      <c r="BU2" s="112"/>
      <c r="BV2" s="112" t="s">
        <v>20</v>
      </c>
      <c r="BW2" s="112"/>
      <c r="BX2" s="112"/>
      <c r="BY2" s="112"/>
      <c r="BZ2" s="112"/>
      <c r="CA2" s="112" t="s">
        <v>23</v>
      </c>
      <c r="CB2" s="112"/>
      <c r="CC2" s="112"/>
      <c r="CD2" s="112"/>
      <c r="CE2" s="112"/>
      <c r="CF2" s="101"/>
      <c r="CG2" s="101" t="s">
        <v>116</v>
      </c>
      <c r="CH2" s="101" t="s">
        <v>167</v>
      </c>
      <c r="CI2" s="101" t="s">
        <v>21</v>
      </c>
      <c r="CJ2" s="101" t="s">
        <v>82</v>
      </c>
      <c r="CK2" s="101" t="s">
        <v>166</v>
      </c>
      <c r="CL2" s="101" t="s">
        <v>22</v>
      </c>
      <c r="CM2" s="101" t="s">
        <v>24</v>
      </c>
      <c r="CN2" s="101" t="s">
        <v>119</v>
      </c>
      <c r="CO2" s="101" t="s">
        <v>168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2" t="s">
        <v>19</v>
      </c>
      <c r="CU2" s="112"/>
      <c r="CV2" s="112"/>
      <c r="CW2" s="112"/>
      <c r="CX2" s="112"/>
      <c r="CY2" s="112" t="s">
        <v>20</v>
      </c>
      <c r="CZ2" s="112"/>
      <c r="DA2" s="112"/>
      <c r="DB2" s="112"/>
      <c r="DC2" s="112"/>
      <c r="DD2" s="112" t="s">
        <v>121</v>
      </c>
      <c r="DE2" s="112"/>
      <c r="DF2" s="112"/>
      <c r="DG2" s="112"/>
      <c r="DH2" s="112"/>
      <c r="DI2" s="112" t="s">
        <v>23</v>
      </c>
      <c r="DJ2" s="112"/>
      <c r="DK2" s="112"/>
      <c r="DL2" s="112"/>
      <c r="DM2" s="112"/>
      <c r="DN2" s="101" t="s">
        <v>116</v>
      </c>
      <c r="DO2" s="101" t="s">
        <v>167</v>
      </c>
      <c r="DP2" s="101" t="s">
        <v>21</v>
      </c>
      <c r="DQ2" s="101" t="s">
        <v>82</v>
      </c>
      <c r="DR2" s="101" t="s">
        <v>166</v>
      </c>
      <c r="DS2" s="101" t="s">
        <v>22</v>
      </c>
      <c r="DT2" s="101" t="s">
        <v>24</v>
      </c>
      <c r="DU2" s="101" t="s">
        <v>122</v>
      </c>
      <c r="DV2" s="101" t="s">
        <v>169</v>
      </c>
      <c r="DW2" s="101" t="s">
        <v>121</v>
      </c>
      <c r="DX2" s="101" t="s">
        <v>119</v>
      </c>
      <c r="DY2" s="101" t="s">
        <v>168</v>
      </c>
      <c r="DZ2" s="101" t="s">
        <v>23</v>
      </c>
      <c r="EA2" s="101" t="s">
        <v>18</v>
      </c>
      <c r="EB2" s="113" t="s">
        <v>19</v>
      </c>
      <c r="EC2" s="113"/>
      <c r="ED2" s="113"/>
      <c r="EE2" s="113"/>
      <c r="EF2" s="113"/>
      <c r="EG2" s="113" t="s">
        <v>20</v>
      </c>
      <c r="EH2" s="113"/>
      <c r="EI2" s="113"/>
      <c r="EJ2" s="113"/>
      <c r="EK2" s="113"/>
      <c r="EL2" s="113" t="s">
        <v>121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102" t="s">
        <v>116</v>
      </c>
      <c r="EW2" s="102" t="s">
        <v>167</v>
      </c>
      <c r="EX2" s="102" t="s">
        <v>21</v>
      </c>
      <c r="EY2" s="102" t="s">
        <v>82</v>
      </c>
      <c r="EZ2" s="102" t="s">
        <v>166</v>
      </c>
      <c r="FA2" s="102" t="s">
        <v>22</v>
      </c>
      <c r="FB2" s="102" t="s">
        <v>24</v>
      </c>
      <c r="FC2" s="102" t="s">
        <v>122</v>
      </c>
      <c r="FD2" s="102" t="s">
        <v>169</v>
      </c>
      <c r="FE2" s="102" t="s">
        <v>121</v>
      </c>
      <c r="FF2" s="102" t="s">
        <v>119</v>
      </c>
      <c r="FG2" s="102" t="s">
        <v>168</v>
      </c>
      <c r="FH2" s="102" t="s">
        <v>23</v>
      </c>
      <c r="FI2" s="102" t="s">
        <v>18</v>
      </c>
      <c r="FJ2" s="112" t="s">
        <v>19</v>
      </c>
      <c r="FK2" s="112"/>
      <c r="FL2" s="112"/>
      <c r="FM2" s="112"/>
      <c r="FN2" s="112"/>
      <c r="FO2" s="112" t="s">
        <v>20</v>
      </c>
      <c r="FP2" s="112"/>
      <c r="FQ2" s="112"/>
      <c r="FR2" s="112"/>
      <c r="FS2" s="112"/>
      <c r="FT2" s="112" t="s">
        <v>121</v>
      </c>
      <c r="FU2" s="112"/>
      <c r="FV2" s="112"/>
      <c r="FW2" s="112"/>
      <c r="FX2" s="112"/>
      <c r="FY2" s="112" t="s">
        <v>23</v>
      </c>
      <c r="FZ2" s="112"/>
      <c r="GA2" s="112"/>
      <c r="GB2" s="112"/>
      <c r="GC2" s="112"/>
      <c r="GD2" s="101" t="s">
        <v>116</v>
      </c>
      <c r="GE2" s="101" t="s">
        <v>167</v>
      </c>
      <c r="GF2" s="101" t="s">
        <v>21</v>
      </c>
      <c r="GG2" s="101" t="s">
        <v>82</v>
      </c>
      <c r="GH2" s="101" t="s">
        <v>166</v>
      </c>
      <c r="GI2" s="101" t="s">
        <v>22</v>
      </c>
      <c r="GJ2" s="101" t="s">
        <v>24</v>
      </c>
      <c r="GK2" s="101" t="s">
        <v>122</v>
      </c>
      <c r="GL2" s="101" t="s">
        <v>169</v>
      </c>
      <c r="GM2" s="101" t="s">
        <v>121</v>
      </c>
      <c r="GN2" s="101" t="s">
        <v>119</v>
      </c>
      <c r="GO2" s="101" t="s">
        <v>168</v>
      </c>
      <c r="GP2" s="101" t="s">
        <v>23</v>
      </c>
      <c r="GQ2" s="101" t="s">
        <v>18</v>
      </c>
      <c r="GR2" s="113" t="s">
        <v>19</v>
      </c>
      <c r="GS2" s="113"/>
      <c r="GT2" s="113"/>
      <c r="GU2" s="113"/>
      <c r="GV2" s="113"/>
      <c r="GW2" s="113" t="s">
        <v>20</v>
      </c>
      <c r="GX2" s="113"/>
      <c r="GY2" s="113"/>
      <c r="GZ2" s="113"/>
      <c r="HA2" s="113"/>
      <c r="HB2" s="113" t="s">
        <v>121</v>
      </c>
      <c r="HC2" s="113"/>
      <c r="HD2" s="113"/>
      <c r="HE2" s="113"/>
      <c r="HF2" s="113"/>
      <c r="HG2" s="113" t="s">
        <v>23</v>
      </c>
      <c r="HH2" s="113"/>
      <c r="HI2" s="113"/>
      <c r="HJ2" s="113"/>
      <c r="HK2" s="113"/>
      <c r="HL2" s="102" t="s">
        <v>116</v>
      </c>
      <c r="HM2" s="102" t="s">
        <v>167</v>
      </c>
      <c r="HN2" s="102" t="s">
        <v>21</v>
      </c>
      <c r="HO2" s="102" t="s">
        <v>82</v>
      </c>
      <c r="HP2" s="102" t="s">
        <v>166</v>
      </c>
      <c r="HQ2" s="102" t="s">
        <v>22</v>
      </c>
      <c r="HR2" s="102" t="s">
        <v>24</v>
      </c>
      <c r="HS2" s="102" t="s">
        <v>122</v>
      </c>
      <c r="HT2" s="102" t="s">
        <v>169</v>
      </c>
      <c r="HU2" s="102" t="s">
        <v>121</v>
      </c>
      <c r="HV2" s="102" t="s">
        <v>119</v>
      </c>
      <c r="HW2" s="102" t="s">
        <v>168</v>
      </c>
      <c r="HX2" s="102" t="s">
        <v>23</v>
      </c>
      <c r="HY2" s="102" t="s">
        <v>18</v>
      </c>
      <c r="HZ2" s="112" t="s">
        <v>19</v>
      </c>
      <c r="IA2" s="112"/>
      <c r="IB2" s="112"/>
      <c r="IC2" s="112"/>
      <c r="ID2" s="112"/>
      <c r="IE2" s="112" t="s">
        <v>20</v>
      </c>
      <c r="IF2" s="112"/>
      <c r="IG2" s="112"/>
      <c r="IH2" s="112"/>
      <c r="II2" s="112"/>
      <c r="IJ2" s="112" t="s">
        <v>121</v>
      </c>
      <c r="IK2" s="112"/>
      <c r="IL2" s="112"/>
      <c r="IM2" s="112"/>
      <c r="IN2" s="112"/>
      <c r="IO2" s="112" t="s">
        <v>23</v>
      </c>
      <c r="IP2" s="112"/>
      <c r="IQ2" s="112"/>
      <c r="IR2" s="112"/>
      <c r="IS2" s="112"/>
      <c r="IT2" s="101" t="s">
        <v>116</v>
      </c>
      <c r="IU2" s="101" t="s">
        <v>167</v>
      </c>
      <c r="IV2" s="101" t="s">
        <v>21</v>
      </c>
      <c r="IW2" s="101" t="s">
        <v>82</v>
      </c>
      <c r="IX2" s="101" t="s">
        <v>166</v>
      </c>
      <c r="IY2" s="101" t="s">
        <v>22</v>
      </c>
      <c r="IZ2" s="101" t="s">
        <v>24</v>
      </c>
      <c r="JA2" s="101" t="s">
        <v>122</v>
      </c>
      <c r="JB2" s="101" t="s">
        <v>169</v>
      </c>
      <c r="JC2" s="101" t="s">
        <v>121</v>
      </c>
      <c r="JD2" s="101" t="s">
        <v>119</v>
      </c>
      <c r="JE2" s="101" t="s">
        <v>168</v>
      </c>
      <c r="JF2" s="101" t="s">
        <v>23</v>
      </c>
      <c r="JG2" s="101" t="s">
        <v>18</v>
      </c>
      <c r="JH2" s="113" t="s">
        <v>19</v>
      </c>
      <c r="JI2" s="113"/>
      <c r="JJ2" s="113"/>
      <c r="JK2" s="113"/>
      <c r="JL2" s="113"/>
      <c r="JM2" s="113" t="s">
        <v>20</v>
      </c>
      <c r="JN2" s="113"/>
      <c r="JO2" s="113"/>
      <c r="JP2" s="113"/>
      <c r="JQ2" s="113"/>
      <c r="JR2" s="113" t="s">
        <v>121</v>
      </c>
      <c r="JS2" s="113"/>
      <c r="JT2" s="113"/>
      <c r="JU2" s="113"/>
      <c r="JV2" s="113"/>
      <c r="JW2" s="113" t="s">
        <v>23</v>
      </c>
      <c r="JX2" s="113"/>
      <c r="JY2" s="113"/>
      <c r="JZ2" s="113"/>
      <c r="KA2" s="113"/>
      <c r="KB2" s="102" t="s">
        <v>116</v>
      </c>
      <c r="KC2" s="102" t="s">
        <v>167</v>
      </c>
      <c r="KD2" s="102" t="s">
        <v>21</v>
      </c>
      <c r="KE2" s="102" t="s">
        <v>82</v>
      </c>
      <c r="KF2" s="102" t="s">
        <v>166</v>
      </c>
      <c r="KG2" s="102" t="s">
        <v>22</v>
      </c>
      <c r="KH2" s="102" t="s">
        <v>24</v>
      </c>
      <c r="KI2" s="102" t="s">
        <v>122</v>
      </c>
      <c r="KJ2" s="102" t="s">
        <v>169</v>
      </c>
      <c r="KK2" s="102" t="s">
        <v>121</v>
      </c>
      <c r="KL2" s="102" t="s">
        <v>119</v>
      </c>
      <c r="KM2" s="102" t="s">
        <v>168</v>
      </c>
      <c r="KN2" s="102" t="s">
        <v>23</v>
      </c>
      <c r="KO2" s="102" t="s">
        <v>18</v>
      </c>
      <c r="KP2" s="112" t="s">
        <v>19</v>
      </c>
      <c r="KQ2" s="112"/>
      <c r="KR2" s="112"/>
      <c r="KS2" s="112"/>
      <c r="KT2" s="112"/>
      <c r="KU2" s="112" t="s">
        <v>20</v>
      </c>
      <c r="KV2" s="112"/>
      <c r="KW2" s="112"/>
      <c r="KX2" s="112"/>
      <c r="KY2" s="112"/>
      <c r="KZ2" s="112" t="s">
        <v>121</v>
      </c>
      <c r="LA2" s="112"/>
      <c r="LB2" s="112"/>
      <c r="LC2" s="112"/>
      <c r="LD2" s="112"/>
      <c r="LE2" s="112" t="s">
        <v>23</v>
      </c>
      <c r="LF2" s="112"/>
      <c r="LG2" s="112"/>
      <c r="LH2" s="112"/>
      <c r="LI2" s="112"/>
      <c r="LJ2" s="101" t="s">
        <v>116</v>
      </c>
      <c r="LK2" s="101" t="s">
        <v>167</v>
      </c>
      <c r="LL2" s="101" t="s">
        <v>21</v>
      </c>
      <c r="LM2" s="101" t="s">
        <v>82</v>
      </c>
      <c r="LN2" s="101" t="s">
        <v>166</v>
      </c>
      <c r="LO2" s="101" t="s">
        <v>22</v>
      </c>
      <c r="LP2" s="101" t="s">
        <v>24</v>
      </c>
      <c r="LQ2" s="101" t="s">
        <v>122</v>
      </c>
      <c r="LR2" s="101" t="s">
        <v>169</v>
      </c>
      <c r="LS2" s="101" t="s">
        <v>121</v>
      </c>
      <c r="LT2" s="101" t="s">
        <v>119</v>
      </c>
      <c r="LU2" s="101" t="s">
        <v>168</v>
      </c>
      <c r="LV2" s="101" t="s">
        <v>23</v>
      </c>
      <c r="LW2" s="101" t="s">
        <v>18</v>
      </c>
      <c r="LX2" s="113" t="s">
        <v>19</v>
      </c>
      <c r="LY2" s="113"/>
      <c r="LZ2" s="113"/>
      <c r="MA2" s="113"/>
      <c r="MB2" s="113"/>
      <c r="MC2" s="113" t="s">
        <v>20</v>
      </c>
      <c r="MD2" s="113"/>
      <c r="ME2" s="113"/>
      <c r="MF2" s="113"/>
      <c r="MG2" s="113"/>
      <c r="MH2" s="113" t="s">
        <v>121</v>
      </c>
      <c r="MI2" s="113"/>
      <c r="MJ2" s="113"/>
      <c r="MK2" s="113"/>
      <c r="ML2" s="113"/>
      <c r="MM2" s="113" t="s">
        <v>23</v>
      </c>
      <c r="MN2" s="113"/>
      <c r="MO2" s="113"/>
      <c r="MP2" s="113"/>
      <c r="MQ2" s="113"/>
      <c r="MR2" s="102" t="s">
        <v>116</v>
      </c>
      <c r="MS2" s="102" t="s">
        <v>167</v>
      </c>
      <c r="MT2" s="102" t="s">
        <v>21</v>
      </c>
      <c r="MU2" s="102" t="s">
        <v>82</v>
      </c>
      <c r="MV2" s="102" t="s">
        <v>166</v>
      </c>
      <c r="MW2" s="102" t="s">
        <v>22</v>
      </c>
      <c r="MX2" s="102" t="s">
        <v>24</v>
      </c>
      <c r="MY2" s="102" t="s">
        <v>122</v>
      </c>
      <c r="MZ2" s="102" t="s">
        <v>169</v>
      </c>
      <c r="NA2" s="102" t="s">
        <v>121</v>
      </c>
      <c r="NB2" s="102" t="s">
        <v>119</v>
      </c>
      <c r="NC2" s="102" t="s">
        <v>168</v>
      </c>
      <c r="ND2" s="102" t="s">
        <v>23</v>
      </c>
      <c r="NE2" s="102" t="s">
        <v>18</v>
      </c>
      <c r="NF2" s="112" t="s">
        <v>19</v>
      </c>
      <c r="NG2" s="112"/>
      <c r="NH2" s="112"/>
      <c r="NI2" s="112"/>
      <c r="NJ2" s="112"/>
      <c r="NK2" s="112" t="s">
        <v>20</v>
      </c>
      <c r="NL2" s="112"/>
      <c r="NM2" s="112"/>
      <c r="NN2" s="112"/>
      <c r="NO2" s="112"/>
      <c r="NP2" s="112" t="s">
        <v>121</v>
      </c>
      <c r="NQ2" s="112"/>
      <c r="NR2" s="112"/>
      <c r="NS2" s="112"/>
      <c r="NT2" s="112"/>
      <c r="NU2" s="112" t="s">
        <v>23</v>
      </c>
      <c r="NV2" s="112"/>
      <c r="NW2" s="112"/>
      <c r="NX2" s="112"/>
      <c r="NY2" s="112"/>
      <c r="NZ2" s="101" t="s">
        <v>116</v>
      </c>
      <c r="OA2" s="101" t="s">
        <v>167</v>
      </c>
      <c r="OB2" s="101" t="s">
        <v>21</v>
      </c>
      <c r="OC2" s="101" t="s">
        <v>82</v>
      </c>
      <c r="OD2" s="101" t="s">
        <v>166</v>
      </c>
      <c r="OE2" s="101" t="s">
        <v>22</v>
      </c>
      <c r="OF2" s="101" t="s">
        <v>24</v>
      </c>
      <c r="OG2" s="101" t="s">
        <v>122</v>
      </c>
      <c r="OH2" s="101" t="s">
        <v>169</v>
      </c>
      <c r="OI2" s="101" t="s">
        <v>121</v>
      </c>
      <c r="OJ2" s="101" t="s">
        <v>119</v>
      </c>
      <c r="OK2" s="101" t="s">
        <v>168</v>
      </c>
      <c r="OL2" s="101" t="s">
        <v>23</v>
      </c>
      <c r="OM2" s="101" t="s">
        <v>18</v>
      </c>
      <c r="ON2" s="113" t="s">
        <v>19</v>
      </c>
      <c r="OO2" s="113"/>
      <c r="OP2" s="113"/>
      <c r="OQ2" s="113"/>
      <c r="OR2" s="113"/>
      <c r="OS2" s="113" t="s">
        <v>20</v>
      </c>
      <c r="OT2" s="113"/>
      <c r="OU2" s="113"/>
      <c r="OV2" s="113"/>
      <c r="OW2" s="113"/>
      <c r="OX2" s="113" t="s">
        <v>121</v>
      </c>
      <c r="OY2" s="113"/>
      <c r="OZ2" s="113"/>
      <c r="PA2" s="113"/>
      <c r="PB2" s="113"/>
      <c r="PC2" s="113" t="s">
        <v>23</v>
      </c>
      <c r="PD2" s="113"/>
      <c r="PE2" s="113"/>
      <c r="PF2" s="113"/>
      <c r="PG2" s="113"/>
      <c r="PH2" s="102" t="s">
        <v>116</v>
      </c>
      <c r="PI2" s="102" t="s">
        <v>167</v>
      </c>
      <c r="PJ2" s="102" t="s">
        <v>21</v>
      </c>
      <c r="PK2" s="102" t="s">
        <v>82</v>
      </c>
      <c r="PL2" s="102" t="s">
        <v>166</v>
      </c>
      <c r="PM2" s="102" t="s">
        <v>22</v>
      </c>
      <c r="PN2" s="102" t="s">
        <v>24</v>
      </c>
      <c r="PO2" s="102" t="s">
        <v>122</v>
      </c>
      <c r="PP2" s="102" t="s">
        <v>169</v>
      </c>
      <c r="PQ2" s="102" t="s">
        <v>121</v>
      </c>
      <c r="PR2" s="102" t="s">
        <v>119</v>
      </c>
      <c r="PS2" s="102" t="s">
        <v>168</v>
      </c>
      <c r="PT2" s="102" t="s">
        <v>23</v>
      </c>
      <c r="PU2" s="102" t="s">
        <v>18</v>
      </c>
      <c r="PV2" s="112" t="s">
        <v>19</v>
      </c>
      <c r="PW2" s="112"/>
      <c r="PX2" s="112"/>
      <c r="PY2" s="112"/>
      <c r="PZ2" s="112"/>
      <c r="QA2" s="112" t="s">
        <v>20</v>
      </c>
      <c r="QB2" s="112"/>
      <c r="QC2" s="112"/>
      <c r="QD2" s="112"/>
      <c r="QE2" s="112"/>
      <c r="QF2" s="112" t="s">
        <v>121</v>
      </c>
      <c r="QG2" s="112"/>
      <c r="QH2" s="112"/>
      <c r="QI2" s="112"/>
      <c r="QJ2" s="112"/>
      <c r="QK2" s="112" t="s">
        <v>23</v>
      </c>
      <c r="QL2" s="112"/>
      <c r="QM2" s="112"/>
      <c r="QN2" s="112"/>
      <c r="QO2" s="112"/>
      <c r="QP2" s="101" t="s">
        <v>116</v>
      </c>
      <c r="QQ2" s="101" t="s">
        <v>167</v>
      </c>
      <c r="QR2" s="101" t="s">
        <v>21</v>
      </c>
      <c r="QS2" s="101" t="s">
        <v>82</v>
      </c>
      <c r="QT2" s="101" t="s">
        <v>166</v>
      </c>
      <c r="QU2" s="101" t="s">
        <v>22</v>
      </c>
      <c r="QV2" s="101" t="s">
        <v>24</v>
      </c>
      <c r="QW2" s="101" t="s">
        <v>122</v>
      </c>
      <c r="QX2" s="101" t="s">
        <v>169</v>
      </c>
      <c r="QY2" s="101" t="s">
        <v>121</v>
      </c>
      <c r="QZ2" s="101" t="s">
        <v>119</v>
      </c>
      <c r="RA2" s="101" t="s">
        <v>168</v>
      </c>
      <c r="RB2" s="101" t="s">
        <v>23</v>
      </c>
      <c r="RC2" s="101" t="s">
        <v>18</v>
      </c>
      <c r="RD2" s="113" t="s">
        <v>19</v>
      </c>
      <c r="RE2" s="113"/>
      <c r="RF2" s="113"/>
      <c r="RG2" s="113"/>
      <c r="RH2" s="113"/>
      <c r="RI2" s="113" t="s">
        <v>20</v>
      </c>
      <c r="RJ2" s="113"/>
      <c r="RK2" s="113"/>
      <c r="RL2" s="113"/>
      <c r="RM2" s="113"/>
      <c r="RN2" s="113" t="s">
        <v>121</v>
      </c>
      <c r="RO2" s="113"/>
      <c r="RP2" s="113"/>
      <c r="RQ2" s="113"/>
      <c r="RR2" s="113"/>
      <c r="RS2" s="113" t="s">
        <v>23</v>
      </c>
      <c r="RT2" s="113"/>
      <c r="RU2" s="113"/>
      <c r="RV2" s="113"/>
      <c r="RW2" s="113"/>
      <c r="RX2" s="102" t="s">
        <v>116</v>
      </c>
      <c r="RY2" s="102" t="s">
        <v>167</v>
      </c>
      <c r="RZ2" s="102" t="s">
        <v>21</v>
      </c>
      <c r="SA2" s="102" t="s">
        <v>82</v>
      </c>
      <c r="SB2" s="102" t="s">
        <v>166</v>
      </c>
      <c r="SC2" s="102" t="s">
        <v>22</v>
      </c>
      <c r="SD2" s="102" t="s">
        <v>24</v>
      </c>
      <c r="SE2" s="102" t="s">
        <v>122</v>
      </c>
      <c r="SF2" s="102" t="s">
        <v>169</v>
      </c>
      <c r="SG2" s="102" t="s">
        <v>121</v>
      </c>
      <c r="SH2" s="102" t="s">
        <v>119</v>
      </c>
      <c r="SI2" s="102" t="s">
        <v>168</v>
      </c>
      <c r="SJ2" s="102" t="s">
        <v>23</v>
      </c>
      <c r="SK2" s="102" t="s">
        <v>18</v>
      </c>
      <c r="SL2" s="112" t="s">
        <v>19</v>
      </c>
      <c r="SM2" s="112"/>
      <c r="SN2" s="112"/>
      <c r="SO2" s="112"/>
      <c r="SP2" s="112"/>
      <c r="SQ2" s="112" t="s">
        <v>20</v>
      </c>
      <c r="SR2" s="112"/>
      <c r="SS2" s="112"/>
      <c r="ST2" s="112"/>
      <c r="SU2" s="112"/>
      <c r="SV2" s="112" t="s">
        <v>23</v>
      </c>
      <c r="SW2" s="112"/>
      <c r="SX2" s="112"/>
      <c r="SY2" s="112"/>
      <c r="SZ2" s="112"/>
      <c r="TA2" s="101"/>
      <c r="TB2" s="101" t="s">
        <v>116</v>
      </c>
      <c r="TC2" s="101" t="s">
        <v>167</v>
      </c>
      <c r="TD2" s="101" t="s">
        <v>21</v>
      </c>
      <c r="TE2" s="101" t="s">
        <v>82</v>
      </c>
      <c r="TF2" s="101" t="s">
        <v>166</v>
      </c>
      <c r="TG2" s="101" t="s">
        <v>22</v>
      </c>
      <c r="TH2" s="101" t="s">
        <v>24</v>
      </c>
      <c r="TI2" s="101" t="s">
        <v>119</v>
      </c>
      <c r="TJ2" s="101" t="s">
        <v>168</v>
      </c>
      <c r="TK2" s="101" t="s">
        <v>23</v>
      </c>
      <c r="TL2" s="101" t="s">
        <v>18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15</v>
      </c>
      <c r="P3" s="101" t="s">
        <v>16</v>
      </c>
      <c r="Q3" s="101" t="s">
        <v>10</v>
      </c>
      <c r="R3" s="101" t="s">
        <v>165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165</v>
      </c>
      <c r="X3" s="101" t="s">
        <v>31</v>
      </c>
      <c r="Y3" s="101" t="s">
        <v>15</v>
      </c>
      <c r="Z3" s="101" t="s">
        <v>16</v>
      </c>
      <c r="AA3" s="101" t="s">
        <v>10</v>
      </c>
      <c r="AB3" s="101" t="s">
        <v>165</v>
      </c>
      <c r="AC3" s="101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165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165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165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165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165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165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165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165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165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165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165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165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165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165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165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165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165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165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165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165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165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165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165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165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165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165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165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165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165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165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165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165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165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165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165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165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165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165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165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165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165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165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165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165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165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165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165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165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165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165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165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165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165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165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165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165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165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IF(AND(F4&lt;&gt;"",G4&lt;&gt;""),SUMPRODUCT((F$4:F$9&lt;&gt;"")*(G$4:G$9&lt;&gt;"")*(E$4:E$9&gt;E4))+1,IF(G4&lt;&gt;"",SUMPRODUCT((H$4:H$9="No DD")*(E$4:E$9&gt;E4))+1+SUMPRODUCT((F$4:F$9&lt;&gt;"")*(G$4:G$9&lt;&gt;"")),""))</f>
        <v>1</v>
      </c>
      <c r="B4" s="6" t="s">
        <v>164</v>
      </c>
      <c r="C4" s="7" t="s">
        <v>8</v>
      </c>
      <c r="D4" s="5">
        <v>2001</v>
      </c>
      <c r="E4" s="14">
        <f>SUM(J4,L4)</f>
        <v>49.92</v>
      </c>
      <c r="F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G4" s="3" t="str">
        <f>IF(OR(AND(AG4&gt;=AO$15,AG4&lt;&gt;"",AD4=""),AND(AJ4&gt;=AO$15,AJ4&lt;&gt;"",AD4=""),AND(AN4&gt;=AO$15,AN4&lt;&gt;"",AD4=""),AND(BH4&gt;=BP$15,BH4&lt;&gt;"",BE4=""),AND(BK4&gt;=BP$15,BK4&lt;&gt;"",BE4=""),AND(BO4&gt;=BP$15,BO4&lt;&gt;"",BE4=""),AND(CI4&gt;=CQ$15,CI4&lt;&gt;"",CF4=""),AND(CL4&gt;=CQ$15,CL4&lt;&gt;"",CF4=""),AND(CP4&gt;=CQ$15,CP4&lt;&gt;"",CF4=""),AND(DP4&gt;=EA$15,DP4&lt;&gt;""),AND(DS4&gt;=EA$15,DS4&lt;&gt;""),AND(DW4&gt;=EA$15,DW4&lt;&gt;""),AND(DZ4&gt;=EA$15,DZ4&lt;&gt;""),AND(EX4&gt;=FI$15,EX4&lt;&gt;""),AND(FA4&gt;=FI$15,FA4&lt;&gt;""),AND(FE4&gt;=FI$15,FE4&lt;&gt;""),AND(FH4&gt;=FI$15,FH4&lt;&gt;""),AND(GF4&gt;=GQ$15,GF4&lt;&gt;""),AND(GI4&gt;=GQ$15,GI4&lt;&gt;""),AND(GM4&gt;=GQ$15,GM4&lt;&gt;""),AND(GP4&gt;=GQ$15,GP4&lt;&gt;""),AND(HN4&gt;=HY$15,HN4&lt;&gt;""),AND(HQ4&gt;=HY$15,HQ4&lt;&gt;""),AND(HU4&gt;=HY$15,HU4&lt;&gt;""),AND(HX4&gt;=HY$15,HX4&lt;&gt;""),AND(IV4&gt;=JG$15,IV4&lt;&gt;""),AND(IY4&gt;=JG$15,IY4&lt;&gt;""),AND(JC4&gt;=JG$15,JC4&lt;&gt;""),AND(JF4&gt;=JG$15,JF4&lt;&gt;""),AND(KD4&gt;=KO$15,KD4&lt;&gt;""),AND(KG4&gt;=KO$15,KG4&lt;&gt;""),AND(KK4&gt;=KO$15,KK4&lt;&gt;""),AND(KN4&gt;=KO$15,KN4&lt;&gt;""),AND(LL4&gt;=LW$15,LL4&lt;&gt;""),AND(LO4&gt;=LW$15,LO4&lt;&gt;""),AND(LS4&gt;=LW$15,LS4&lt;&gt;""),AND(LV4&gt;=LW$15,LV4&lt;&gt;""),AND(MT4&gt;=NE$15,MT4&lt;&gt;""),AND(MW4&gt;=NE$15,MW4&lt;&gt;""),AND(NA4&gt;=NE$15,NA4&lt;&gt;""),AND(ND4&gt;=NE$15,ND4&lt;&gt;""),AND(OB4&gt;=OM$15,OB4&lt;&gt;""),AND(OE4&gt;=OM$15,OE4&lt;&gt;""),AND(OI4&gt;=OM$15,OI4&lt;&gt;""),AND(OL4&gt;=OM$15,OL4&lt;&gt;""),AND(PJ4&gt;=PU$15,PJ4&lt;&gt;""),AND(PM4&gt;=PU$15,PM4&lt;&gt;""),AND(PQ4&gt;=PU$15,PQ4&lt;&gt;""),AND(PT4&gt;=PU$15,PT4&lt;&gt;""),AND(QR4&gt;=RC$15,QR4&lt;&gt;""),AND(QU4&gt;=RC$15,QU4&lt;&gt;""),AND(QY4&gt;=RC$15,QY4&lt;&gt;""),AND(RB4&gt;=RC$15,RB4&lt;&gt;""),AND(RZ4&gt;=SK$15,RZ4&lt;&gt;""),AND(SC4&gt;=SK$15,SC4&lt;&gt;""),AND(SG4&gt;=SK$15,SG4&lt;&gt;""),AND(SJ4&gt;=SK$15,SJ4&lt;&gt;"")),"P","")</f>
        <v>P</v>
      </c>
      <c r="H4" s="70" t="str">
        <f>IF(AND(G4="P",F4=""),"No DD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Merit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Excellence",IF(I4="P","Worlds Team",IF(F4="P","National Team","")))))</f>
        <v>National Team</v>
      </c>
      <c r="I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/>
      </c>
      <c r="J4" s="13">
        <f>IF(COUNT(AG4,AJ4,AN4,BH4,BK4,BO4,CI4,CL4,CP4)&gt;0,LARGE((AG4,AJ4,AN4,BH4,BK4,BO4,CI4,CL4,CP4),1),0)</f>
        <v>33.730000000000004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16.189999999999998</v>
      </c>
      <c r="M4" s="16" t="str">
        <f>IF(L4="","",IF(L4=CR4,"("&amp;CR$2&amp;")",IF(L4=CS4,"("&amp;CS$2&amp;")")))</f>
        <v>(Final)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SUI (July 2)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>
        <v>5.75</v>
      </c>
      <c r="AQ4" s="46">
        <v>6.2</v>
      </c>
      <c r="AR4" s="46">
        <v>10.3</v>
      </c>
      <c r="AS4" s="46">
        <v>11.48</v>
      </c>
      <c r="AT4" s="46">
        <v>0</v>
      </c>
      <c r="AU4" s="46">
        <v>2.65</v>
      </c>
      <c r="AV4" s="46">
        <v>2.85</v>
      </c>
      <c r="AW4" s="46">
        <v>5.0999999999999996</v>
      </c>
      <c r="AX4" s="46">
        <v>5.2</v>
      </c>
      <c r="AY4" s="46">
        <v>0</v>
      </c>
      <c r="AZ4" s="46">
        <v>1.8</v>
      </c>
      <c r="BA4" s="46">
        <v>1.6</v>
      </c>
      <c r="BB4" s="46">
        <v>3.4</v>
      </c>
      <c r="BC4" s="46">
        <v>2.2799999999999998</v>
      </c>
      <c r="BD4" s="46">
        <v>0</v>
      </c>
      <c r="BE4" s="52"/>
      <c r="BF4" s="75">
        <f>IF(AR4&gt;0,AR4,"")</f>
        <v>10.3</v>
      </c>
      <c r="BG4" s="75">
        <f>IF(AS4&gt;0,AS4,"")</f>
        <v>11.48</v>
      </c>
      <c r="BH4" s="16">
        <f>IF(SUM(AP4:AS4)-AT4&gt;0,SUM(AP4:AS4)-AT4,"")</f>
        <v>33.730000000000004</v>
      </c>
      <c r="BI4" s="16">
        <f>IF(AW4&gt;0,AW4,"")</f>
        <v>5.0999999999999996</v>
      </c>
      <c r="BJ4" s="16">
        <f>IF(AX4&gt;0,AX4,"")</f>
        <v>5.2</v>
      </c>
      <c r="BK4" s="16">
        <f>IF(SUM(AU4:AX4)-AY4&gt;0,SUM(AU4:AX4)-AY4,"")</f>
        <v>15.8</v>
      </c>
      <c r="BL4" s="16">
        <f>IF(BH4="","",MAX(BH4,BK4))</f>
        <v>33.730000000000004</v>
      </c>
      <c r="BM4" s="16">
        <f>IF(BB4&gt;0,BB4,"")</f>
        <v>3.4</v>
      </c>
      <c r="BN4" s="16">
        <f>IF(BC4&gt;0,BC4,"")</f>
        <v>2.2799999999999998</v>
      </c>
      <c r="BO4" s="16">
        <f>IF(SUM(AZ4:BC4)-BD4&gt;0,SUM(AZ4:BC4)-BD4,"")</f>
        <v>9.08</v>
      </c>
      <c r="BP4" s="16">
        <f>IF(SUM(BL4,BO4)&gt;0,SUM(BL4,BO4),"")</f>
        <v>42.81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>
        <f>IF(J4&gt;=0.001,IF(MAX(DT4,FB4,GJ4,HR4,IZ4,KH4,LP4,MX4,OF4,PN4,QV4,SD4)-IF(J4="",0,J4)&gt;0.001,MAX(DT4,FB4,GJ4,HR4,IZ4,KH4,LP4,MX4,OF4,PN4,QV4,SD4)-IF(J4="",0,J4),""),"")</f>
        <v>14.659999999999997</v>
      </c>
      <c r="CS4" s="87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>16.189999999999998</v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3.7</v>
      </c>
      <c r="FK4" s="25">
        <v>4.3</v>
      </c>
      <c r="FL4" s="25">
        <v>8.1999999999999993</v>
      </c>
      <c r="FM4" s="25">
        <v>9.02</v>
      </c>
      <c r="FN4" s="25">
        <v>0</v>
      </c>
      <c r="FO4" s="25">
        <v>1.45</v>
      </c>
      <c r="FP4" s="25">
        <v>1.9</v>
      </c>
      <c r="FQ4" s="25">
        <v>3.4</v>
      </c>
      <c r="FR4" s="25">
        <v>3.46</v>
      </c>
      <c r="FS4" s="25">
        <v>0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>
        <f>IF(FL4&gt;0,FL4,"")</f>
        <v>8.1999999999999993</v>
      </c>
      <c r="GE4" s="76">
        <f>IF(FM4&gt;0,FM4,"")</f>
        <v>9.02</v>
      </c>
      <c r="GF4" s="76">
        <f>IF(SUM(FJ4:FM4)-FN4&gt;0,SUM(FJ4:FM4)-FN4,"")</f>
        <v>25.22</v>
      </c>
      <c r="GG4" s="76">
        <f>IF(FQ4&gt;0,FQ4,"")</f>
        <v>3.4</v>
      </c>
      <c r="GH4" s="76">
        <f>IF(FR4&gt;0,FR4,"")</f>
        <v>3.46</v>
      </c>
      <c r="GI4" s="76">
        <f>IF(SUM(FO4:FR4)-FS4&gt;0,SUM(FO4:FR4)-FS4,"")</f>
        <v>10.210000000000001</v>
      </c>
      <c r="GJ4" s="76">
        <f>IF(MAX(GF4,GI4)&gt;0,MAX(GF4,GI4),"")</f>
        <v>25.22</v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>
        <f>IF(SUM(GJ4,GP4)&gt;0,SUM(GJ4,GP4),"")</f>
        <v>25.22</v>
      </c>
      <c r="GR4" s="26">
        <v>3.15</v>
      </c>
      <c r="GS4" s="26">
        <v>3.6</v>
      </c>
      <c r="GT4" s="26">
        <v>6.7</v>
      </c>
      <c r="GU4" s="26">
        <v>7.08</v>
      </c>
      <c r="GV4" s="26">
        <v>0</v>
      </c>
      <c r="GW4" s="26">
        <v>3.15</v>
      </c>
      <c r="GX4" s="26">
        <v>3.5</v>
      </c>
      <c r="GY4" s="26">
        <v>6.7</v>
      </c>
      <c r="GZ4" s="26">
        <v>7.48</v>
      </c>
      <c r="HA4" s="26">
        <v>0</v>
      </c>
      <c r="HB4" s="26"/>
      <c r="HC4" s="26"/>
      <c r="HD4" s="26"/>
      <c r="HE4" s="26"/>
      <c r="HF4" s="26"/>
      <c r="HG4" s="26">
        <v>7.5</v>
      </c>
      <c r="HH4" s="26">
        <v>9.15</v>
      </c>
      <c r="HI4" s="26">
        <v>14.2</v>
      </c>
      <c r="HJ4" s="26">
        <v>17.88</v>
      </c>
      <c r="HK4" s="26">
        <v>0</v>
      </c>
      <c r="HL4" s="16">
        <f>IF(GT4&gt;0,GT4,"")</f>
        <v>6.7</v>
      </c>
      <c r="HM4" s="16">
        <f>IF(GU4&gt;0,GU4,"")</f>
        <v>7.08</v>
      </c>
      <c r="HN4" s="16">
        <f>IF(SUM(GR4:GU4)-GV4&gt;0,SUM(GR4:GU4)-GV4,"")</f>
        <v>20.53</v>
      </c>
      <c r="HO4" s="16">
        <f>IF(GY4&gt;0,GY4,"")</f>
        <v>6.7</v>
      </c>
      <c r="HP4" s="16">
        <f>IF(GZ4&gt;0,GZ4,"")</f>
        <v>7.48</v>
      </c>
      <c r="HQ4" s="16">
        <f>IF(SUM(GW4:GZ4)-HA4&gt;0,SUM(GW4:GZ4)-HA4,"")</f>
        <v>20.830000000000002</v>
      </c>
      <c r="HR4" s="16">
        <f>IF(MAX(HN4,HQ4)&gt;0,MAX(HN4,HQ4),"")</f>
        <v>20.830000000000002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14.2</v>
      </c>
      <c r="HW4" s="16">
        <f>IF(HJ4&gt;0,HJ4,"")</f>
        <v>17.88</v>
      </c>
      <c r="HX4" s="16">
        <f>IF(SUM(HG4:HJ4)-HK4&gt;0,SUM(HG4:HJ4)-HK4,"")</f>
        <v>48.73</v>
      </c>
      <c r="HY4" s="16">
        <f>IF(SUM(HR4,HX4)&gt;0,SUM(HR4,HX4),"")</f>
        <v>69.56</v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>
        <v>7.65</v>
      </c>
      <c r="JI4" s="26">
        <v>9</v>
      </c>
      <c r="JJ4" s="26">
        <v>14.2</v>
      </c>
      <c r="JK4" s="26">
        <v>17.54</v>
      </c>
      <c r="JL4" s="26">
        <v>0</v>
      </c>
      <c r="JM4" s="26">
        <v>3.35</v>
      </c>
      <c r="JN4" s="26">
        <v>3.55</v>
      </c>
      <c r="JO4" s="26">
        <v>6.3</v>
      </c>
      <c r="JP4" s="26">
        <v>7.22</v>
      </c>
      <c r="JQ4" s="26">
        <v>0</v>
      </c>
      <c r="JR4" s="26"/>
      <c r="JS4" s="26"/>
      <c r="JT4" s="26"/>
      <c r="JU4" s="26"/>
      <c r="JV4" s="26"/>
      <c r="JW4" s="26">
        <v>8</v>
      </c>
      <c r="JX4" s="26">
        <v>9.1</v>
      </c>
      <c r="JY4" s="26">
        <v>14.2</v>
      </c>
      <c r="JZ4" s="26">
        <v>18.62</v>
      </c>
      <c r="KA4" s="26">
        <v>0</v>
      </c>
      <c r="KB4" s="16">
        <f>IF(JJ4&gt;0,JJ4,"")</f>
        <v>14.2</v>
      </c>
      <c r="KC4" s="16">
        <f>IF(JK4&gt;0,JK4,"")</f>
        <v>17.54</v>
      </c>
      <c r="KD4" s="16">
        <f>IF(SUM(JH4:JK4)-JL4&gt;0,SUM(JH4:JK4)-JL4,"")</f>
        <v>48.39</v>
      </c>
      <c r="KE4" s="16">
        <f>IF(JO4&gt;0,JO4,"")</f>
        <v>6.3</v>
      </c>
      <c r="KF4" s="16">
        <f>IF(JP4&gt;0,JP4,"")</f>
        <v>7.22</v>
      </c>
      <c r="KG4" s="16">
        <f>IF(SUM(JM4:JP4)-JQ4&gt;0,SUM(JM4:JP4)-JQ4,"")</f>
        <v>20.419999999999998</v>
      </c>
      <c r="KH4" s="16">
        <f>IF(MAX(KD4,KG4)&gt;0,MAX(KD4,KG4),"")</f>
        <v>48.39</v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>
        <f>IF(JY4&gt;0,JY4,"")</f>
        <v>14.2</v>
      </c>
      <c r="KM4" s="16">
        <f>IF(JZ4&gt;0,JZ4,"")</f>
        <v>18.62</v>
      </c>
      <c r="KN4" s="16">
        <f>IF(SUM(JW4:JZ4)-KA4&gt;0,SUM(JW4:JZ4)-KA4,"")</f>
        <v>49.92</v>
      </c>
      <c r="KO4" s="16">
        <f>IF(SUM(KH4,KN4)&gt;0,SUM(KH4,KN4),"")</f>
        <v>98.31</v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2.875</v>
      </c>
      <c r="SM4" s="42">
        <f>IF($CF4="P",BR4,(BR4+AQ4)/2)</f>
        <v>3.1</v>
      </c>
      <c r="SN4" s="42">
        <f>IF($CF4="P",BS4,(BS4+AR4)/2)</f>
        <v>5.15</v>
      </c>
      <c r="SO4" s="42">
        <f>IF($CF4="P",BT4,(BT4+AS4)/2)</f>
        <v>5.74</v>
      </c>
      <c r="SP4" s="42">
        <f>IF($CF4="P",BU4,(BU4+AT4)/2)</f>
        <v>0</v>
      </c>
      <c r="SQ4" s="42">
        <f>IF($CF4="P",BV4,(BV4+AU4)/2)</f>
        <v>1.325</v>
      </c>
      <c r="SR4" s="42">
        <f>IF($CF4="P",BW4,(BW4+AV4)/2)</f>
        <v>1.425</v>
      </c>
      <c r="SS4" s="42">
        <f>IF($CF4="P",BX4,(BX4+AW4)/2)</f>
        <v>2.5499999999999998</v>
      </c>
      <c r="ST4" s="42">
        <f>IF($CF4="P",BY4,(BY4+AX4)/2)</f>
        <v>2.6</v>
      </c>
      <c r="SU4" s="42">
        <f>IF($CF4="P",BZ4,(BZ4+AY4)/2)</f>
        <v>0</v>
      </c>
      <c r="SV4" s="42">
        <f>IF($CF4="P",CA4,(CA4+AZ4)/2)</f>
        <v>0.9</v>
      </c>
      <c r="SW4" s="42">
        <f>IF($CF4="P",CB4,(CB4+BA4)/2)</f>
        <v>0.8</v>
      </c>
      <c r="SX4" s="42">
        <f>IF($CF4="P",CC4,(CC4+BB4)/2)</f>
        <v>1.7</v>
      </c>
      <c r="SY4" s="42">
        <f>IF($CF4="P",CD4,(CD4+BC4)/2)</f>
        <v>1.1399999999999999</v>
      </c>
      <c r="SZ4" s="42">
        <f>IF($CF4="P",CE4,(CE4+BD4)/2)</f>
        <v>0</v>
      </c>
      <c r="TA4" s="51" t="s">
        <v>58</v>
      </c>
      <c r="TB4" s="76">
        <f>IF(SN4&gt;0,SN4,"")</f>
        <v>5.15</v>
      </c>
      <c r="TC4" s="76">
        <f>IF(SO4&gt;0,SO4,"")</f>
        <v>5.74</v>
      </c>
      <c r="TD4" s="76">
        <f>IF(SUM(SL4:SO4)-SP4&gt;0,SUM(SL4:SO4)-SP4,"")</f>
        <v>16.865000000000002</v>
      </c>
      <c r="TE4" s="76">
        <f>IF(SS4&gt;0,SS4,"")</f>
        <v>2.5499999999999998</v>
      </c>
      <c r="TF4" s="76">
        <f>IF(ST4&gt;0,ST4,"")</f>
        <v>2.6</v>
      </c>
      <c r="TG4" s="76">
        <f>IF(SUM(SQ4:ST4)-SU4&gt;0,SUM(SQ4:ST4)-SU4,"")</f>
        <v>7.9</v>
      </c>
      <c r="TH4" s="76">
        <f>IF(MAX(TD4,TG4)&gt;0,MAX(TD4,TG4),"")</f>
        <v>16.865000000000002</v>
      </c>
      <c r="TI4" s="76">
        <f>IF(SX4&gt;0,SX4,"")</f>
        <v>1.7</v>
      </c>
      <c r="TJ4" s="76">
        <f>IF(SY4&gt;0,SY4,"")</f>
        <v>1.1399999999999999</v>
      </c>
      <c r="TK4" s="76">
        <f>IF(SUM(SV4:SY4)-SZ4&gt;0,SUM(SV4:SY4)-SZ4,"")</f>
        <v>4.54</v>
      </c>
      <c r="TL4" s="76">
        <f>IF(SUM(TH4,TK4)&gt;0,SUM(TH4,TK4),"")</f>
        <v>21.405000000000001</v>
      </c>
    </row>
    <row r="5" spans="1:532" x14ac:dyDescent="0.2">
      <c r="A5" s="5" cm="1">
        <f t="array" ref="A5">IF(AND(F5&lt;&gt;"",G5&lt;&gt;""),SUMPRODUCT((F$4:F$9&lt;&gt;"")*(G$4:G$9&lt;&gt;"")*(E$4:E$9&gt;E5))+1,IF(G5&lt;&gt;"",SUMPRODUCT((H$4:H$9="No DD")*(E$4:E$9&gt;E5))+1+SUMPRODUCT((F$4:F$9&lt;&gt;"")*(G$4:G$9&lt;&gt;"")),""))</f>
        <v>2</v>
      </c>
      <c r="B5" s="6" t="s">
        <v>163</v>
      </c>
      <c r="C5" s="7" t="s">
        <v>162</v>
      </c>
      <c r="D5" s="5" t="s">
        <v>161</v>
      </c>
      <c r="E5" s="14">
        <f>SUM(J5,L5)</f>
        <v>0</v>
      </c>
      <c r="F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>P</v>
      </c>
      <c r="G5" s="3" t="str">
        <f>IF(OR(AND(AG5&gt;=AO$15,AG5&lt;&gt;"",AD5=""),AND(AJ5&gt;=AO$15,AJ5&lt;&gt;"",AD5=""),AND(AN5&gt;=AO$15,AN5&lt;&gt;"",AD5=""),AND(BH5&gt;=BP$15,BH5&lt;&gt;"",BE5=""),AND(BK5&gt;=BP$15,BK5&lt;&gt;"",BE5=""),AND(BO5&gt;=BP$15,BO5&lt;&gt;"",BE5=""),AND(CI5&gt;=CQ$15,CI5&lt;&gt;"",CF5=""),AND(CL5&gt;=CQ$15,CL5&lt;&gt;"",CF5=""),AND(CP5&gt;=CQ$15,CP5&lt;&gt;"",CF5=""),AND(DP5&gt;=EA$15,DP5&lt;&gt;""),AND(DS5&gt;=EA$15,DS5&lt;&gt;""),AND(DW5&gt;=EA$15,DW5&lt;&gt;""),AND(DZ5&gt;=EA$15,DZ5&lt;&gt;""),AND(EX5&gt;=FI$15,EX5&lt;&gt;""),AND(FA5&gt;=FI$15,FA5&lt;&gt;""),AND(FE5&gt;=FI$15,FE5&lt;&gt;""),AND(FH5&gt;=FI$15,FH5&lt;&gt;""),AND(GF5&gt;=GQ$15,GF5&lt;&gt;""),AND(GI5&gt;=GQ$15,GI5&lt;&gt;""),AND(GM5&gt;=GQ$15,GM5&lt;&gt;""),AND(GP5&gt;=GQ$15,GP5&lt;&gt;""),AND(HN5&gt;=HY$15,HN5&lt;&gt;""),AND(HQ5&gt;=HY$15,HQ5&lt;&gt;""),AND(HU5&gt;=HY$15,HU5&lt;&gt;""),AND(HX5&gt;=HY$15,HX5&lt;&gt;""),AND(IV5&gt;=JG$15,IV5&lt;&gt;""),AND(IY5&gt;=JG$15,IY5&lt;&gt;""),AND(JC5&gt;=JG$15,JC5&lt;&gt;""),AND(JF5&gt;=JG$15,JF5&lt;&gt;""),AND(KD5&gt;=KO$15,KD5&lt;&gt;""),AND(KG5&gt;=KO$15,KG5&lt;&gt;""),AND(KK5&gt;=KO$15,KK5&lt;&gt;""),AND(KN5&gt;=KO$15,KN5&lt;&gt;""),AND(LL5&gt;=LW$15,LL5&lt;&gt;""),AND(LO5&gt;=LW$15,LO5&lt;&gt;""),AND(LS5&gt;=LW$15,LS5&lt;&gt;""),AND(LV5&gt;=LW$15,LV5&lt;&gt;""),AND(MT5&gt;=NE$15,MT5&lt;&gt;""),AND(MW5&gt;=NE$15,MW5&lt;&gt;""),AND(NA5&gt;=NE$15,NA5&lt;&gt;""),AND(ND5&gt;=NE$15,ND5&lt;&gt;""),AND(OB5&gt;=OM$15,OB5&lt;&gt;""),AND(OE5&gt;=OM$15,OE5&lt;&gt;""),AND(OI5&gt;=OM$15,OI5&lt;&gt;""),AND(OL5&gt;=OM$15,OL5&lt;&gt;""),AND(PJ5&gt;=PU$15,PJ5&lt;&gt;""),AND(PM5&gt;=PU$15,PM5&lt;&gt;""),AND(PQ5&gt;=PU$15,PQ5&lt;&gt;""),AND(PT5&gt;=PU$15,PT5&lt;&gt;""),AND(QR5&gt;=RC$15,QR5&lt;&gt;""),AND(QU5&gt;=RC$15,QU5&lt;&gt;""),AND(QY5&gt;=RC$15,QY5&lt;&gt;""),AND(RB5&gt;=RC$15,RB5&lt;&gt;""),AND(RZ5&gt;=SK$15,RZ5&lt;&gt;""),AND(SC5&gt;=SK$15,SC5&lt;&gt;""),AND(SG5&gt;=SK$15,SG5&lt;&gt;""),AND(SJ5&gt;=SK$15,SJ5&lt;&gt;"")),"P","")</f>
        <v>P</v>
      </c>
      <c r="H5" s="70" t="str">
        <f>IF(AND(G5="P",F5=""),"No DD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Merit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Excellence",IF(I5="P","Worlds Team",IF(F5="P","National Team","")))))</f>
        <v>Excellence</v>
      </c>
      <c r="I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>IF(CV5&gt;0,CV5,"")</f>
        <v/>
      </c>
      <c r="DO5" s="76" t="str">
        <f>IF(CW5&gt;0,CW5,"")</f>
        <v/>
      </c>
      <c r="DP5" s="76" t="str">
        <f>IF(SUM(CT5:CW5)-CX5&gt;0,SUM(CT5:CW5)-CX5,"")</f>
        <v/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 t="str">
        <f>IF(MAX(DP5,DS5)&gt;0,MAX(DP5,DS5),"")</f>
        <v/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 t="str">
        <f>IF(SUM(DT5,DZ5)&gt;0,SUM(DT5,DZ5),"")</f>
        <v/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 t="str">
        <f>IF(ES5&gt;0,ES5,"")</f>
        <v/>
      </c>
      <c r="FG5" s="16" t="str">
        <f>IF(ET5&gt;0,ET5,"")</f>
        <v/>
      </c>
      <c r="FH5" s="16" t="str">
        <f>IF(SUM(EQ5:ET5)-EU5&gt;0,SUM(EQ5:ET5)-EU5,"")</f>
        <v/>
      </c>
      <c r="FI5" s="16" t="str">
        <f>IF(SUM(FB5,FH5)&gt;0,SUM(FB5,FH5),"")</f>
        <v/>
      </c>
      <c r="FJ5" s="25">
        <v>7.2</v>
      </c>
      <c r="FK5" s="25">
        <v>9.3000000000000007</v>
      </c>
      <c r="FL5" s="25">
        <v>15.2</v>
      </c>
      <c r="FM5" s="25">
        <v>17.62</v>
      </c>
      <c r="FN5" s="25">
        <v>0.4</v>
      </c>
      <c r="FO5" s="25">
        <v>1.55</v>
      </c>
      <c r="FP5" s="25">
        <v>1.85</v>
      </c>
      <c r="FQ5" s="25">
        <v>3.4</v>
      </c>
      <c r="FR5" s="25">
        <v>3.5</v>
      </c>
      <c r="FS5" s="25">
        <v>0</v>
      </c>
      <c r="FT5" s="25"/>
      <c r="FU5" s="25"/>
      <c r="FV5" s="25"/>
      <c r="FW5" s="25"/>
      <c r="FX5" s="25"/>
      <c r="FY5" s="25">
        <v>7.15</v>
      </c>
      <c r="FZ5" s="25">
        <v>9.25</v>
      </c>
      <c r="GA5" s="25">
        <v>15.2</v>
      </c>
      <c r="GB5" s="25">
        <v>16.48</v>
      </c>
      <c r="GC5" s="25">
        <v>0</v>
      </c>
      <c r="GD5" s="76">
        <f>IF(FL5&gt;0,FL5,"")</f>
        <v>15.2</v>
      </c>
      <c r="GE5" s="76">
        <f>IF(FM5&gt;0,FM5,"")</f>
        <v>17.62</v>
      </c>
      <c r="GF5" s="76">
        <f>IF(SUM(FJ5:FM5)-FN5&gt;0,SUM(FJ5:FM5)-FN5,"")</f>
        <v>48.92</v>
      </c>
      <c r="GG5" s="76">
        <f>IF(FQ5&gt;0,FQ5,"")</f>
        <v>3.4</v>
      </c>
      <c r="GH5" s="76">
        <f>IF(FR5&gt;0,FR5,"")</f>
        <v>3.5</v>
      </c>
      <c r="GI5" s="76">
        <f>IF(SUM(FO5:FR5)-FS5&gt;0,SUM(FO5:FR5)-FS5,"")</f>
        <v>10.3</v>
      </c>
      <c r="GJ5" s="76">
        <f>IF(MAX(GF5,GI5)&gt;0,MAX(GF5,GI5),"")</f>
        <v>48.92</v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>
        <f>IF(GA5&gt;0,GA5,"")</f>
        <v>15.2</v>
      </c>
      <c r="GO5" s="76">
        <f>IF(GB5&gt;0,GB5,"")</f>
        <v>16.48</v>
      </c>
      <c r="GP5" s="76">
        <f>IF(SUM(FY5:GB5)-GC5&gt;0,SUM(FY5:GB5)-GC5,"")</f>
        <v>48.08</v>
      </c>
      <c r="GQ5" s="76">
        <f>IF(SUM(GJ5,GP5)&gt;0,SUM(GJ5,GP5),"")</f>
        <v>97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>
        <v>7.35</v>
      </c>
      <c r="IA5" s="25">
        <v>9.4</v>
      </c>
      <c r="IB5" s="25">
        <v>15.2</v>
      </c>
      <c r="IC5" s="25">
        <v>15.06</v>
      </c>
      <c r="ID5" s="25">
        <v>0</v>
      </c>
      <c r="IE5" s="25">
        <v>7.6</v>
      </c>
      <c r="IF5" s="25">
        <v>9.35</v>
      </c>
      <c r="IG5" s="25">
        <v>15.2</v>
      </c>
      <c r="IH5" s="25">
        <v>17.940000000000001</v>
      </c>
      <c r="II5" s="25">
        <v>0</v>
      </c>
      <c r="IJ5" s="25"/>
      <c r="IK5" s="25"/>
      <c r="IL5" s="25"/>
      <c r="IM5" s="25"/>
      <c r="IN5" s="25"/>
      <c r="IO5" s="25">
        <v>7.45</v>
      </c>
      <c r="IP5" s="25">
        <v>9.35</v>
      </c>
      <c r="IQ5" s="25">
        <v>15.2</v>
      </c>
      <c r="IR5" s="25">
        <v>16.7</v>
      </c>
      <c r="IS5" s="25">
        <v>0</v>
      </c>
      <c r="IT5" s="76">
        <f>IF(IB5&gt;0,IB5,"")</f>
        <v>15.2</v>
      </c>
      <c r="IU5" s="76">
        <f>IF(IC5&gt;0,IC5,"")</f>
        <v>15.06</v>
      </c>
      <c r="IV5" s="76">
        <f>IF(SUM(HZ5:IC5)-ID5&gt;0,SUM(HZ5:IC5)-ID5,"")</f>
        <v>47.01</v>
      </c>
      <c r="IW5" s="76">
        <f>IF(IG5&gt;0,IG5,"")</f>
        <v>15.2</v>
      </c>
      <c r="IX5" s="76">
        <f>IF(IH5&gt;0,IH5,"")</f>
        <v>17.940000000000001</v>
      </c>
      <c r="IY5" s="76">
        <f>IF(SUM(IE5:IH5)-II5&gt;0,SUM(IE5:IH5)-II5,"")</f>
        <v>50.09</v>
      </c>
      <c r="IZ5" s="76">
        <f>IF(MAX(IV5,IY5)&gt;0,MAX(IV5,IY5),"")</f>
        <v>50.09</v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>
        <f>IF(IQ5&gt;0,IQ5,"")</f>
        <v>15.2</v>
      </c>
      <c r="JE5" s="76">
        <f>IF(IR5&gt;0,IR5,"")</f>
        <v>16.7</v>
      </c>
      <c r="JF5" s="76">
        <f>IF(SUM(IO5:IR5)-IS5&gt;0,SUM(IO5:IR5)-IS5,"")</f>
        <v>48.7</v>
      </c>
      <c r="JG5" s="76">
        <f>IF(SUM(IZ5,JF5)&gt;0,SUM(IZ5,JF5),"")</f>
        <v>98.79</v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58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cm="1">
        <f t="array" ref="A6">IF(AND(F6&lt;&gt;"",G6&lt;&gt;""),SUMPRODUCT((F$4:F$9&lt;&gt;"")*(G$4:G$9&lt;&gt;"")*(E$4:E$9&gt;E6))+1,IF(G6&lt;&gt;"",SUMPRODUCT((H$4:H$9="No DD")*(E$4:E$9&gt;E6))+1+SUMPRODUCT((F$4:F$9&lt;&gt;"")*(G$4:G$9&lt;&gt;"")),""))</f>
        <v>3</v>
      </c>
      <c r="B6" s="6" t="s">
        <v>188</v>
      </c>
      <c r="C6" s="7" t="s">
        <v>8</v>
      </c>
      <c r="D6" s="18" t="s">
        <v>191</v>
      </c>
      <c r="E6" s="14">
        <f>SUM(J6,L6)</f>
        <v>47.599999999999994</v>
      </c>
      <c r="F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G6" s="3" t="str">
        <f>IF(OR(AND(AG6&gt;=AO$15,AG6&lt;&gt;"",AD6=""),AND(AJ6&gt;=AO$15,AJ6&lt;&gt;"",AD6=""),AND(AN6&gt;=AO$15,AN6&lt;&gt;"",AD6=""),AND(BH6&gt;=BP$15,BH6&lt;&gt;"",BE6=""),AND(BK6&gt;=BP$15,BK6&lt;&gt;"",BE6=""),AND(BO6&gt;=BP$15,BO6&lt;&gt;"",BE6=""),AND(CI6&gt;=CQ$15,CI6&lt;&gt;"",CF6=""),AND(CL6&gt;=CQ$15,CL6&lt;&gt;"",CF6=""),AND(CP6&gt;=CQ$15,CP6&lt;&gt;"",CF6=""),AND(DP6&gt;=EA$15,DP6&lt;&gt;""),AND(DS6&gt;=EA$15,DS6&lt;&gt;""),AND(DW6&gt;=EA$15,DW6&lt;&gt;""),AND(DZ6&gt;=EA$15,DZ6&lt;&gt;""),AND(EX6&gt;=FI$15,EX6&lt;&gt;""),AND(FA6&gt;=FI$15,FA6&lt;&gt;""),AND(FE6&gt;=FI$15,FE6&lt;&gt;""),AND(FH6&gt;=FI$15,FH6&lt;&gt;""),AND(GF6&gt;=GQ$15,GF6&lt;&gt;""),AND(GI6&gt;=GQ$15,GI6&lt;&gt;""),AND(GM6&gt;=GQ$15,GM6&lt;&gt;""),AND(GP6&gt;=GQ$15,GP6&lt;&gt;""),AND(HN6&gt;=HY$15,HN6&lt;&gt;""),AND(HQ6&gt;=HY$15,HQ6&lt;&gt;""),AND(HU6&gt;=HY$15,HU6&lt;&gt;""),AND(HX6&gt;=HY$15,HX6&lt;&gt;""),AND(IV6&gt;=JG$15,IV6&lt;&gt;""),AND(IY6&gt;=JG$15,IY6&lt;&gt;""),AND(JC6&gt;=JG$15,JC6&lt;&gt;""),AND(JF6&gt;=JG$15,JF6&lt;&gt;""),AND(KD6&gt;=KO$15,KD6&lt;&gt;""),AND(KG6&gt;=KO$15,KG6&lt;&gt;""),AND(KK6&gt;=KO$15,KK6&lt;&gt;""),AND(KN6&gt;=KO$15,KN6&lt;&gt;""),AND(LL6&gt;=LW$15,LL6&lt;&gt;""),AND(LO6&gt;=LW$15,LO6&lt;&gt;""),AND(LS6&gt;=LW$15,LS6&lt;&gt;""),AND(LV6&gt;=LW$15,LV6&lt;&gt;""),AND(MT6&gt;=NE$15,MT6&lt;&gt;""),AND(MW6&gt;=NE$15,MW6&lt;&gt;""),AND(NA6&gt;=NE$15,NA6&lt;&gt;""),AND(ND6&gt;=NE$15,ND6&lt;&gt;""),AND(OB6&gt;=OM$15,OB6&lt;&gt;""),AND(OE6&gt;=OM$15,OE6&lt;&gt;""),AND(OI6&gt;=OM$15,OI6&lt;&gt;""),AND(OL6&gt;=OM$15,OL6&lt;&gt;""),AND(PJ6&gt;=PU$15,PJ6&lt;&gt;""),AND(PM6&gt;=PU$15,PM6&lt;&gt;""),AND(PQ6&gt;=PU$15,PQ6&lt;&gt;""),AND(PT6&gt;=PU$15,PT6&lt;&gt;""),AND(QR6&gt;=RC$15,QR6&lt;&gt;""),AND(QU6&gt;=RC$15,QU6&lt;&gt;""),AND(QY6&gt;=RC$15,QY6&lt;&gt;""),AND(RB6&gt;=RC$15,RB6&lt;&gt;""),AND(RZ6&gt;=SK$15,RZ6&lt;&gt;""),AND(SC6&gt;=SK$15,SC6&lt;&gt;""),AND(SG6&gt;=SK$15,SG6&lt;&gt;""),AND(SJ6&gt;=SK$15,SJ6&lt;&gt;"")),"P","")</f>
        <v>P</v>
      </c>
      <c r="H6" s="70" t="str">
        <f>IF(AND(G6="P",F6=""),"No DD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Merit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Excellence",IF(I6="P","Worlds Team",IF(F6="P","National Team","")))))</f>
        <v>No DD</v>
      </c>
      <c r="I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/>
      </c>
      <c r="J6" s="13">
        <f>IF(COUNT(AG6,AJ6,AN6,BH6,BK6,BO6,CI6,CL6,CP6)&gt;0,LARGE((AG6,AJ6,AN6,BH6,BK6,BO6,CI6,CL6,CP6),1),0)</f>
        <v>47.599999999999994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>
        <v>7.95</v>
      </c>
      <c r="AQ6" s="46">
        <v>9.1</v>
      </c>
      <c r="AR6" s="46">
        <v>10.5</v>
      </c>
      <c r="AS6" s="46">
        <v>18.54</v>
      </c>
      <c r="AT6" s="46">
        <v>0</v>
      </c>
      <c r="AU6" s="46">
        <v>8.35</v>
      </c>
      <c r="AV6" s="46">
        <v>9.4499999999999993</v>
      </c>
      <c r="AW6" s="46">
        <v>10.5</v>
      </c>
      <c r="AX6" s="46">
        <v>19.3</v>
      </c>
      <c r="AY6" s="46">
        <v>0</v>
      </c>
      <c r="AZ6" s="46">
        <v>8.5500000000000007</v>
      </c>
      <c r="BA6" s="46">
        <v>9.15</v>
      </c>
      <c r="BB6" s="46">
        <v>10.5</v>
      </c>
      <c r="BC6" s="46">
        <v>18.72</v>
      </c>
      <c r="BD6" s="46">
        <v>0</v>
      </c>
      <c r="BE6" s="52"/>
      <c r="BF6" s="75">
        <f>IF(AR6&gt;0,AR6,"")</f>
        <v>10.5</v>
      </c>
      <c r="BG6" s="75">
        <f>IF(AS6&gt;0,AS6,"")</f>
        <v>18.54</v>
      </c>
      <c r="BH6" s="16">
        <f>IF(SUM(AP6:AS6)-AT6&gt;0,SUM(AP6:AS6)-AT6,"")</f>
        <v>46.09</v>
      </c>
      <c r="BI6" s="16">
        <f>IF(AW6&gt;0,AW6,"")</f>
        <v>10.5</v>
      </c>
      <c r="BJ6" s="16">
        <f>IF(AX6&gt;0,AX6,"")</f>
        <v>19.3</v>
      </c>
      <c r="BK6" s="16">
        <f>IF(SUM(AU6:AX6)-AY6&gt;0,SUM(AU6:AX6)-AY6,"")</f>
        <v>47.599999999999994</v>
      </c>
      <c r="BL6" s="16">
        <f>IF(BH6="","",MAX(BH6,BK6))</f>
        <v>47.599999999999994</v>
      </c>
      <c r="BM6" s="16">
        <f>IF(BB6&gt;0,BB6,"")</f>
        <v>10.5</v>
      </c>
      <c r="BN6" s="16">
        <f>IF(BC6&gt;0,BC6,"")</f>
        <v>18.72</v>
      </c>
      <c r="BO6" s="16">
        <f>IF(SUM(AZ6:BC6)-BD6&gt;0,SUM(AZ6:BC6)-BD6,"")</f>
        <v>46.92</v>
      </c>
      <c r="BP6" s="16">
        <f>IF(SUM(BL6,BO6)&gt;0,SUM(BL6,BO6),"")</f>
        <v>94.52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2.2999999999999998</v>
      </c>
      <c r="CU6" s="25">
        <v>2.95</v>
      </c>
      <c r="CV6" s="25">
        <v>5.0999999999999996</v>
      </c>
      <c r="CW6" s="25">
        <v>5.64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>IF(CV6&gt;0,CV6,"")</f>
        <v>5.0999999999999996</v>
      </c>
      <c r="DO6" s="76">
        <f>IF(CW6&gt;0,CW6,"")</f>
        <v>5.64</v>
      </c>
      <c r="DP6" s="76">
        <f>IF(SUM(CT6:CW6)-CX6&gt;0,SUM(CT6:CW6)-CX6,"")</f>
        <v>15.989999999999998</v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>
        <f>IF(MAX(DP6,DS6)&gt;0,MAX(DP6,DS6),"")</f>
        <v>15.989999999999998</v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>
        <f>IF(SUM(DT6,DZ6)&gt;0,SUM(DT6,DZ6),"")</f>
        <v>15.989999999999998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>
        <v>7.05</v>
      </c>
      <c r="ER6" s="26">
        <v>9.1</v>
      </c>
      <c r="ES6" s="26">
        <v>14.4</v>
      </c>
      <c r="ET6" s="26">
        <v>15.96</v>
      </c>
      <c r="EU6" s="26">
        <v>0</v>
      </c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>
        <f>IF(ES6&gt;0,ES6,"")</f>
        <v>14.4</v>
      </c>
      <c r="FG6" s="16">
        <f>IF(ET6&gt;0,ET6,"")</f>
        <v>15.96</v>
      </c>
      <c r="FH6" s="16">
        <f>IF(SUM(EQ6:ET6)-EU6&gt;0,SUM(EQ6:ET6)-EU6,"")</f>
        <v>46.51</v>
      </c>
      <c r="FI6" s="16">
        <f>IF(SUM(FB6,FH6)&gt;0,SUM(FB6,FH6),"")</f>
        <v>46.51</v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3.9750000000000001</v>
      </c>
      <c r="SM6" s="42">
        <f>IF($CF6="P",BR6,(BR6+AQ6)/2)</f>
        <v>4.55</v>
      </c>
      <c r="SN6" s="42">
        <f>IF($CF6="P",BS6,(BS6+AR6)/2)</f>
        <v>5.25</v>
      </c>
      <c r="SO6" s="42">
        <f>IF($CF6="P",BT6,(BT6+AS6)/2)</f>
        <v>9.27</v>
      </c>
      <c r="SP6" s="42">
        <f>IF($CF6="P",BU6,(BU6+AT6)/2)</f>
        <v>0</v>
      </c>
      <c r="SQ6" s="42">
        <f>IF($CF6="P",BV6,(BV6+AU6)/2)</f>
        <v>4.1749999999999998</v>
      </c>
      <c r="SR6" s="42">
        <f>IF($CF6="P",BW6,(BW6+AV6)/2)</f>
        <v>4.7249999999999996</v>
      </c>
      <c r="SS6" s="42">
        <f>IF($CF6="P",BX6,(BX6+AW6)/2)</f>
        <v>5.25</v>
      </c>
      <c r="ST6" s="42">
        <f>IF($CF6="P",BY6,(BY6+AX6)/2)</f>
        <v>9.65</v>
      </c>
      <c r="SU6" s="42">
        <f>IF($CF6="P",BZ6,(BZ6+AY6)/2)</f>
        <v>0</v>
      </c>
      <c r="SV6" s="42">
        <f>IF($CF6="P",CA6,(CA6+AZ6)/2)</f>
        <v>4.2750000000000004</v>
      </c>
      <c r="SW6" s="42">
        <f>IF($CF6="P",CB6,(CB6+BA6)/2)</f>
        <v>4.5750000000000002</v>
      </c>
      <c r="SX6" s="42">
        <f>IF($CF6="P",CC6,(CC6+BB6)/2)</f>
        <v>5.25</v>
      </c>
      <c r="SY6" s="42">
        <f>IF($CF6="P",CD6,(CD6+BC6)/2)</f>
        <v>9.36</v>
      </c>
      <c r="SZ6" s="42">
        <f>IF($CF6="P",CE6,(CE6+BD6)/2)</f>
        <v>0</v>
      </c>
      <c r="TA6" s="51" t="s">
        <v>58</v>
      </c>
      <c r="TB6" s="76">
        <f>IF(SN6&gt;0,SN6,"")</f>
        <v>5.25</v>
      </c>
      <c r="TC6" s="76">
        <f>IF(SO6&gt;0,SO6,"")</f>
        <v>9.27</v>
      </c>
      <c r="TD6" s="76">
        <f>IF(SUM(SL6:SO6)-SP6&gt;0,SUM(SL6:SO6)-SP6,"")</f>
        <v>23.045000000000002</v>
      </c>
      <c r="TE6" s="76">
        <f>IF(SS6&gt;0,SS6,"")</f>
        <v>5.25</v>
      </c>
      <c r="TF6" s="76">
        <f>IF(ST6&gt;0,ST6,"")</f>
        <v>9.65</v>
      </c>
      <c r="TG6" s="76">
        <f>IF(SUM(SQ6:ST6)-SU6&gt;0,SUM(SQ6:ST6)-SU6,"")</f>
        <v>23.799999999999997</v>
      </c>
      <c r="TH6" s="76">
        <f>IF(MAX(TD6,TG6)&gt;0,MAX(TD6,TG6),"")</f>
        <v>23.799999999999997</v>
      </c>
      <c r="TI6" s="76">
        <f>IF(SX6&gt;0,SX6,"")</f>
        <v>5.25</v>
      </c>
      <c r="TJ6" s="76">
        <f>IF(SY6&gt;0,SY6,"")</f>
        <v>9.36</v>
      </c>
      <c r="TK6" s="76">
        <f>IF(SUM(SV6:SY6)-SZ6&gt;0,SUM(SV6:SY6)-SZ6,"")</f>
        <v>23.46</v>
      </c>
      <c r="TL6" s="76">
        <f>IF(SUM(TH6,TK6)&gt;0,SUM(TH6,TK6),"")</f>
        <v>47.26</v>
      </c>
    </row>
    <row r="7" spans="1:532" x14ac:dyDescent="0.2">
      <c r="A7" s="5" t="str" cm="1">
        <f t="array" ref="A7">IF(AND(F7&lt;&gt;"",G7&lt;&gt;""),SUMPRODUCT((F$4:F$9&lt;&gt;"")*(G$4:G$9&lt;&gt;"")*(E$4:E$9&gt;E7))+1,IF(G7&lt;&gt;"",SUMPRODUCT((H$4:H$9="No DD")*(E$4:E$9&gt;E7))+1+SUMPRODUCT((F$4:F$9&lt;&gt;"")*(G$4:G$9&lt;&gt;"")),""))</f>
        <v/>
      </c>
      <c r="B7" s="6" t="s">
        <v>189</v>
      </c>
      <c r="C7" s="7" t="s">
        <v>5</v>
      </c>
      <c r="D7" s="5" t="s">
        <v>190</v>
      </c>
      <c r="E7" s="14">
        <f>SUM(J7,L7)</f>
        <v>29.259999999999998</v>
      </c>
      <c r="F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G7" s="3" t="str">
        <f>IF(OR(AND(AG7&gt;=AO$15,AG7&lt;&gt;"",AD7=""),AND(AJ7&gt;=AO$15,AJ7&lt;&gt;"",AD7=""),AND(AN7&gt;=AO$15,AN7&lt;&gt;"",AD7=""),AND(BH7&gt;=BP$15,BH7&lt;&gt;"",BE7=""),AND(BK7&gt;=BP$15,BK7&lt;&gt;"",BE7=""),AND(BO7&gt;=BP$15,BO7&lt;&gt;"",BE7=""),AND(CI7&gt;=CQ$15,CI7&lt;&gt;"",CF7=""),AND(CL7&gt;=CQ$15,CL7&lt;&gt;"",CF7=""),AND(CP7&gt;=CQ$15,CP7&lt;&gt;"",CF7=""),AND(DP7&gt;=EA$15,DP7&lt;&gt;""),AND(DS7&gt;=EA$15,DS7&lt;&gt;""),AND(DW7&gt;=EA$15,DW7&lt;&gt;""),AND(DZ7&gt;=EA$15,DZ7&lt;&gt;""),AND(EX7&gt;=FI$15,EX7&lt;&gt;""),AND(FA7&gt;=FI$15,FA7&lt;&gt;""),AND(FE7&gt;=FI$15,FE7&lt;&gt;""),AND(FH7&gt;=FI$15,FH7&lt;&gt;""),AND(GF7&gt;=GQ$15,GF7&lt;&gt;""),AND(GI7&gt;=GQ$15,GI7&lt;&gt;""),AND(GM7&gt;=GQ$15,GM7&lt;&gt;""),AND(GP7&gt;=GQ$15,GP7&lt;&gt;""),AND(HN7&gt;=HY$15,HN7&lt;&gt;""),AND(HQ7&gt;=HY$15,HQ7&lt;&gt;""),AND(HU7&gt;=HY$15,HU7&lt;&gt;""),AND(HX7&gt;=HY$15,HX7&lt;&gt;""),AND(IV7&gt;=JG$15,IV7&lt;&gt;""),AND(IY7&gt;=JG$15,IY7&lt;&gt;""),AND(JC7&gt;=JG$15,JC7&lt;&gt;""),AND(JF7&gt;=JG$15,JF7&lt;&gt;""),AND(KD7&gt;=KO$15,KD7&lt;&gt;""),AND(KG7&gt;=KO$15,KG7&lt;&gt;""),AND(KK7&gt;=KO$15,KK7&lt;&gt;""),AND(KN7&gt;=KO$15,KN7&lt;&gt;""),AND(LL7&gt;=LW$15,LL7&lt;&gt;""),AND(LO7&gt;=LW$15,LO7&lt;&gt;""),AND(LS7&gt;=LW$15,LS7&lt;&gt;""),AND(LV7&gt;=LW$15,LV7&lt;&gt;""),AND(MT7&gt;=NE$15,MT7&lt;&gt;""),AND(MW7&gt;=NE$15,MW7&lt;&gt;""),AND(NA7&gt;=NE$15,NA7&lt;&gt;""),AND(ND7&gt;=NE$15,ND7&lt;&gt;""),AND(OB7&gt;=OM$15,OB7&lt;&gt;""),AND(OE7&gt;=OM$15,OE7&lt;&gt;""),AND(OI7&gt;=OM$15,OI7&lt;&gt;""),AND(OL7&gt;=OM$15,OL7&lt;&gt;""),AND(PJ7&gt;=PU$15,PJ7&lt;&gt;""),AND(PM7&gt;=PU$15,PM7&lt;&gt;""),AND(PQ7&gt;=PU$15,PQ7&lt;&gt;""),AND(PT7&gt;=PU$15,PT7&lt;&gt;""),AND(QR7&gt;=RC$15,QR7&lt;&gt;""),AND(QU7&gt;=RC$15,QU7&lt;&gt;""),AND(QY7&gt;=RC$15,QY7&lt;&gt;""),AND(RB7&gt;=RC$15,RB7&lt;&gt;""),AND(RZ7&gt;=SK$15,RZ7&lt;&gt;""),AND(SC7&gt;=SK$15,SC7&lt;&gt;""),AND(SG7&gt;=SK$15,SG7&lt;&gt;""),AND(SJ7&gt;=SK$15,SJ7&lt;&gt;"")),"P","")</f>
        <v/>
      </c>
      <c r="H7" s="70" t="str">
        <f>IF(AND(G7="P",F7=""),"No DD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Merit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Excellence",IF(I7="P","Worlds Team",IF(F7="P","National Team","")))))</f>
        <v/>
      </c>
      <c r="I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J7" s="13">
        <f>IF(COUNT(AG7,AJ7,AN7,BH7,BK7,BO7,CI7,CL7,CP7)&gt;0,LARGE((AG7,AJ7,AN7,BH7,BK7,BO7,CI7,CL7,CP7),1),0)</f>
        <v>29.259999999999998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>
        <v>4.1500000000000004</v>
      </c>
      <c r="AQ7" s="46">
        <v>4.5999999999999996</v>
      </c>
      <c r="AR7" s="46">
        <v>6.1</v>
      </c>
      <c r="AS7" s="46">
        <v>8.26</v>
      </c>
      <c r="AT7" s="46">
        <v>0</v>
      </c>
      <c r="AU7" s="46">
        <v>5.6</v>
      </c>
      <c r="AV7" s="46">
        <v>6.5</v>
      </c>
      <c r="AW7" s="46">
        <v>8.6</v>
      </c>
      <c r="AX7" s="46">
        <v>8.56</v>
      </c>
      <c r="AY7" s="46">
        <v>0</v>
      </c>
      <c r="AZ7" s="46"/>
      <c r="BA7" s="46"/>
      <c r="BB7" s="46"/>
      <c r="BC7" s="46"/>
      <c r="BD7" s="46"/>
      <c r="BE7" s="52"/>
      <c r="BF7" s="75">
        <f>IF(AR7&gt;0,AR7,"")</f>
        <v>6.1</v>
      </c>
      <c r="BG7" s="75">
        <f>IF(AS7&gt;0,AS7,"")</f>
        <v>8.26</v>
      </c>
      <c r="BH7" s="16">
        <f>IF(SUM(AP7:AS7)-AT7&gt;0,SUM(AP7:AS7)-AT7,"")</f>
        <v>23.11</v>
      </c>
      <c r="BI7" s="16">
        <f>IF(AW7&gt;0,AW7,"")</f>
        <v>8.6</v>
      </c>
      <c r="BJ7" s="16">
        <f>IF(AX7&gt;0,AX7,"")</f>
        <v>8.56</v>
      </c>
      <c r="BK7" s="16">
        <f>IF(SUM(AU7:AX7)-AY7&gt;0,SUM(AU7:AX7)-AY7,"")</f>
        <v>29.259999999999998</v>
      </c>
      <c r="BL7" s="16">
        <f>IF(BH7="","",MAX(BH7,BK7))</f>
        <v>29.259999999999998</v>
      </c>
      <c r="BM7" s="16" t="str">
        <f>IF(BB7&gt;0,BB7,"")</f>
        <v/>
      </c>
      <c r="BN7" s="16" t="str">
        <f>IF(BC7&gt;0,BC7,"")</f>
        <v/>
      </c>
      <c r="BO7" s="16" t="str">
        <f>IF(SUM(AZ7:BC7)-BD7&gt;0,SUM(AZ7:BC7)-BD7,"")</f>
        <v/>
      </c>
      <c r="BP7" s="16">
        <f>IF(SUM(BL7,BO7)&gt;0,SUM(BL7,BO7),"")</f>
        <v>29.259999999999998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>
        <v>0.75</v>
      </c>
      <c r="CU7" s="25">
        <v>1</v>
      </c>
      <c r="CV7" s="25">
        <v>2</v>
      </c>
      <c r="CW7" s="25">
        <v>1.36</v>
      </c>
      <c r="CX7" s="25">
        <v>0</v>
      </c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>
        <f>IF(CV7&gt;0,CV7,"")</f>
        <v>2</v>
      </c>
      <c r="DO7" s="76">
        <f>IF(CW7&gt;0,CW7,"")</f>
        <v>1.36</v>
      </c>
      <c r="DP7" s="76">
        <f>IF(SUM(CT7:CW7)-CX7&gt;0,SUM(CT7:CW7)-CX7,"")</f>
        <v>5.1100000000000003</v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>
        <f>IF(MAX(DP7,DS7)&gt;0,MAX(DP7,DS7),"")</f>
        <v>5.1100000000000003</v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>
        <f>IF(SUM(DT7,DZ7)&gt;0,SUM(DT7,DZ7),"")</f>
        <v>5.1100000000000003</v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>IF(FL7&gt;0,FL7,"")</f>
        <v/>
      </c>
      <c r="GE7" s="76" t="str">
        <f>IF(FM7&gt;0,FM7,"")</f>
        <v/>
      </c>
      <c r="GF7" s="76" t="str">
        <f>IF(SUM(FJ7:FM7)-FN7&gt;0,SUM(FJ7:FM7)-FN7,"")</f>
        <v/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 t="str">
        <f>IF(MAX(GF7,GI7)&gt;0,MAX(GF7,GI7),"")</f>
        <v/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 t="str">
        <f>IF(SUM(GJ7,GP7)&gt;0,SUM(GJ7,GP7),"")</f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2.0750000000000002</v>
      </c>
      <c r="SM7" s="42">
        <f>IF($CF7="P",BR7,(BR7+AQ7)/2)</f>
        <v>2.2999999999999998</v>
      </c>
      <c r="SN7" s="42">
        <f>IF($CF7="P",BS7,(BS7+AR7)/2)</f>
        <v>3.05</v>
      </c>
      <c r="SO7" s="42">
        <f>IF($CF7="P",BT7,(BT7+AS7)/2)</f>
        <v>4.13</v>
      </c>
      <c r="SP7" s="42">
        <f>IF($CF7="P",BU7,(BU7+AT7)/2)</f>
        <v>0</v>
      </c>
      <c r="SQ7" s="42">
        <f>IF($CF7="P",BV7,(BV7+AU7)/2)</f>
        <v>2.8</v>
      </c>
      <c r="SR7" s="42">
        <f>IF($CF7="P",BW7,(BW7+AV7)/2)</f>
        <v>3.25</v>
      </c>
      <c r="SS7" s="42">
        <f>IF($CF7="P",BX7,(BX7+AW7)/2)</f>
        <v>4.3</v>
      </c>
      <c r="ST7" s="42">
        <f>IF($CF7="P",BY7,(BY7+AX7)/2)</f>
        <v>4.28</v>
      </c>
      <c r="SU7" s="42">
        <f>IF($CF7="P",BZ7,(BZ7+AY7)/2)</f>
        <v>0</v>
      </c>
      <c r="SV7" s="42">
        <f>IF($CF7="P",CA7,(CA7+AZ7)/2)</f>
        <v>0</v>
      </c>
      <c r="SW7" s="42">
        <f>IF($CF7="P",CB7,(CB7+BA7)/2)</f>
        <v>0</v>
      </c>
      <c r="SX7" s="42">
        <f>IF($CF7="P",CC7,(CC7+BB7)/2)</f>
        <v>0</v>
      </c>
      <c r="SY7" s="42">
        <f>IF($CF7="P",CD7,(CD7+BC7)/2)</f>
        <v>0</v>
      </c>
      <c r="SZ7" s="42">
        <f>IF($CF7="P",CE7,(CE7+BD7)/2)</f>
        <v>0</v>
      </c>
      <c r="TA7" s="51" t="s">
        <v>58</v>
      </c>
      <c r="TB7" s="76">
        <f>IF(SN7&gt;0,SN7,"")</f>
        <v>3.05</v>
      </c>
      <c r="TC7" s="76">
        <f>IF(SO7&gt;0,SO7,"")</f>
        <v>4.13</v>
      </c>
      <c r="TD7" s="76">
        <f>IF(SUM(SL7:SO7)-SP7&gt;0,SUM(SL7:SO7)-SP7,"")</f>
        <v>11.555</v>
      </c>
      <c r="TE7" s="76">
        <f>IF(SS7&gt;0,SS7,"")</f>
        <v>4.3</v>
      </c>
      <c r="TF7" s="76">
        <f>IF(ST7&gt;0,ST7,"")</f>
        <v>4.28</v>
      </c>
      <c r="TG7" s="76">
        <f>IF(SUM(SQ7:ST7)-SU7&gt;0,SUM(SQ7:ST7)-SU7,"")</f>
        <v>14.629999999999999</v>
      </c>
      <c r="TH7" s="76">
        <f>IF(MAX(TD7,TG7)&gt;0,MAX(TD7,TG7),"")</f>
        <v>14.629999999999999</v>
      </c>
      <c r="TI7" s="76" t="str">
        <f>IF(SX7&gt;0,SX7,"")</f>
        <v/>
      </c>
      <c r="TJ7" s="76" t="str">
        <f>IF(SY7&gt;0,SY7,"")</f>
        <v/>
      </c>
      <c r="TK7" s="76" t="str">
        <f>IF(SUM(SV7:SY7)-SZ7&gt;0,SUM(SV7:SY7)-SZ7,"")</f>
        <v/>
      </c>
      <c r="TL7" s="76">
        <f>IF(SUM(TH7,TK7)&gt;0,SUM(TH7,TK7),"")</f>
        <v>14.629999999999999</v>
      </c>
    </row>
    <row r="8" spans="1:532" x14ac:dyDescent="0.2">
      <c r="A8" s="5" t="str" cm="1">
        <f t="array" ref="A8">IF(AND(F8&lt;&gt;"",G8&lt;&gt;""),SUMPRODUCT((F$4:F$9&lt;&gt;"")*(G$4:G$9&lt;&gt;"")*(E$4:E$9&gt;E8))+1,IF(G8&lt;&gt;"",SUMPRODUCT((H$4:H$9="No DD")*(E$4:E$9&gt;E8))+1+SUMPRODUCT((F$4:F$9&lt;&gt;"")*(G$4:G$9&lt;&gt;"")),""))</f>
        <v/>
      </c>
      <c r="B8" s="6" t="s">
        <v>193</v>
      </c>
      <c r="C8" s="7" t="s">
        <v>5</v>
      </c>
      <c r="D8" s="5" t="s">
        <v>192</v>
      </c>
      <c r="E8" s="14">
        <f>SUM(J8,L8)</f>
        <v>25.769999999999996</v>
      </c>
      <c r="F8" s="3" t="str">
        <f>IF(OR(AND(AE8&gt;=AO$11,AE8&lt;&gt;"",AG8&gt;=AO$15,AG8&lt;&gt;"",AD8=""),AND(AH8&gt;=AO$11,AH8&lt;&gt;"",AJ8&gt;=AO$15,AJ8&lt;&gt;"",AD8=""),AND(AL8&gt;=AO$11,AL8&lt;&gt;"",AN8&gt;=AO$15,AN8&lt;&gt;"",AD8=""),AND(BF8&gt;=BP$11,BF8&lt;&gt;"",BH8&gt;=BP$15,BH8&lt;&gt;"",BE8=""),AND(BI8&gt;=BP$11,BI8&lt;&gt;"",BK8&gt;=BP$15,BK8&lt;&gt;"",BE8=""),AND(BM8&gt;=BP$11,BM8&lt;&gt;"",BO8&gt;=BP$15,BO8&lt;&gt;"",BE8=""),AND(CG8&gt;=CQ$11,CG8&lt;&gt;"",CI8&gt;=CQ$15,CI8&lt;&gt;"",CF8=""),AND(CJ8&gt;=CQ$11,CJ8&lt;&gt;"",CL8&gt;=CQ$15,CL8&lt;&gt;"",CF8=""),AND(CN8&gt;=CQ$11,CN8&lt;&gt;"",CP8&gt;=CQ$15,CP8&lt;&gt;"",CF8=""),AND(DN8&gt;=EA$11,DN8&lt;&gt;"",DP8&gt;=EA$15,DP8&lt;&gt;""),AND(DQ8&gt;=EA$11,DQ8&lt;&gt;"",DS8&gt;=EA$15,DS8&lt;&gt;""),AND(DU8&gt;=EA$11,DU8&lt;&gt;"",DW8&gt;=EA$15,DW8&lt;&gt;""),AND(DX8&gt;=EA$11,DX8&lt;&gt;"",DZ8&gt;=EA$15,DZ8&lt;&gt;""),AND(EV8&gt;=FI$11,EV8&lt;&gt;"",EX8&gt;=FI$15,EX8&lt;&gt;""),AND(EY8&gt;=FI$11,EY8&lt;&gt;"",FA8&gt;=FI$15,FA8&lt;&gt;""),AND(FC8&gt;=FI$11,FC8&lt;&gt;"",FE8&gt;=FI$15,FE8&lt;&gt;""),AND(FF8&gt;=FI$11,FF8&lt;&gt;"",FH8&gt;=FI$15,FH8&lt;&gt;""),AND(GD8&gt;=GQ$11,GD8&lt;&gt;"",GF8&gt;=GQ$15,GF8&lt;&gt;""),AND(GG8&gt;=GQ$11,GG8&lt;&gt;"",GI8&gt;=GQ$15,GI8&lt;&gt;""),AND(GK8&gt;=GQ$11,GK8&lt;&gt;"",GM8&gt;=GQ$15,GM8&lt;&gt;""),AND(GN8&gt;=GQ$11,GN8&lt;&gt;"",GP8&gt;=GQ$15,GP8&lt;&gt;""),AND(HL8&gt;=HY$11,HL8&lt;&gt;"",HN8&gt;=HY$15,HN8&lt;&gt;""),AND(HO8&gt;=HY$11,HO8&lt;&gt;"",HQ8&gt;=HY$15,HQ8&lt;&gt;""),AND(HS8&gt;=HY$11,HS8&lt;&gt;"",HU8&gt;=HY$15,HU8&lt;&gt;""),AND(HV8&gt;=HY$11,HV8&lt;&gt;"",HX8&gt;=HY$15,HX8&lt;&gt;""),AND(IT8&gt;=JG$11,IT8&lt;&gt;"",IV8&gt;=JG$15,IV8&lt;&gt;""),AND(IW8&gt;=JG$11,IW8&lt;&gt;"",IY8&gt;=JG$15,IY8&lt;&gt;""),AND(JA8&gt;=JG$11,JA8&lt;&gt;"",JC8&gt;=JG$15,JC8&lt;&gt;""),AND(JD8&gt;=JG$11,JD8&lt;&gt;"",JF8&gt;=JG$15,JF8&lt;&gt;""),AND(KB8&gt;=KO$11,KB8&lt;&gt;"",KD8&gt;=KO$15,KD8&lt;&gt;""),AND(KE8&gt;=KO$11,KE8&lt;&gt;"",KG8&gt;=KO$15,KG8&lt;&gt;""),AND(KI8&gt;=KO$11,KI8&lt;&gt;"",KK8&gt;=KO$15,KK8&lt;&gt;""),AND(KL8&gt;=KO$11,KL8&lt;&gt;"",KN8&gt;=KO$15,KN8&lt;&gt;""),AND(LJ8&gt;=LW$11,LJ8&lt;&gt;"",LL8&gt;=LW$15,LL8&lt;&gt;""),AND(LM8&gt;=LW$11,LM8&lt;&gt;"",LO8&gt;=LW$15,LO8&lt;&gt;""),AND(LQ8&gt;=LW$11,LQ8&lt;&gt;"",LS8&gt;=LW$15,LS8&lt;&gt;""),AND(LT8&gt;=LW$11,LT8&lt;&gt;"",LV8&gt;=LW$15,LV8&lt;&gt;""),AND(MR8&gt;=NE$11,MR8&lt;&gt;"",MT8&gt;=NE$15,MT8&lt;&gt;""),AND(MU8&gt;=NE$11,MU8&lt;&gt;"",MW8&gt;=NE$15,MW8&lt;&gt;""),AND(MY8&gt;=NE$11,MY8&lt;&gt;"",NA8&gt;=NE$15,NA8&lt;&gt;""),AND(NB8&gt;=NE$11,NB8&lt;&gt;"",ND8&gt;=NE$15,ND8&lt;&gt;""),AND(NZ8&gt;=OM$11,NZ8&lt;&gt;"",OB8&gt;=OM$15,OB8&lt;&gt;""),AND(OC8&gt;=OM$11,OC8&lt;&gt;"",OE8&gt;=OM$15,OE8&lt;&gt;""),AND(OG8&gt;=OM$11,OG8&lt;&gt;"",OI8&gt;=OM$15,OI8&lt;&gt;""),AND(OJ8&gt;=OM$11,OJ8&lt;&gt;"",OL8&gt;=OM$15,OL8&lt;&gt;""),AND(PH8&gt;=PU$11,PH8&lt;&gt;"",PJ8&gt;=PU$15,PJ8&lt;&gt;""),AND(PK8&gt;=PU$11,PK8&lt;&gt;"",PM8&gt;=PU$15,PM8&lt;&gt;""),AND(PO8&gt;=PU$11,PO8&lt;&gt;"",PQ8&gt;=PU$15,PQ8&lt;&gt;""),AND(PR8&gt;=PU$11,PR8&lt;&gt;"",PT8&gt;=PU$15,PT8&lt;&gt;""),AND(QP8&gt;=RC$11,QP8&lt;&gt;"",QR8&gt;=RC$15,QR8&lt;&gt;""),AND(QS8&gt;=RC$11,QS8&lt;&gt;"",QU8&gt;=RC$15,QU8&lt;&gt;""),AND(QW8&gt;=RC$11,QW8&lt;&gt;"",QY8&gt;=RC$15,QY8&lt;&gt;""),AND(QZ8&gt;=RC$11,QZ8&lt;&gt;"",RB8&gt;=RC$15,RB8&lt;&gt;""),AND(RX8&gt;=SK$11,RX8&lt;&gt;"",RZ8&gt;=SK$15,RZ8&lt;&gt;""),AND(SA8&gt;=SK$11,SA8&lt;&gt;"",SC8&gt;=SK$15,SC8&lt;&gt;""),AND(SE8&gt;=SK$11,SE8&lt;&gt;"",SG8&gt;=SK$15,SG8&lt;&gt;""),AND(SH8&gt;=SK$11,SH8&lt;&gt;"",SJ8&gt;=SK$15,SJ8&lt;&gt;"")),"P","")</f>
        <v/>
      </c>
      <c r="G8" s="3" t="str">
        <f>IF(OR(AND(AG8&gt;=AO$15,AG8&lt;&gt;"",AD8=""),AND(AJ8&gt;=AO$15,AJ8&lt;&gt;"",AD8=""),AND(AN8&gt;=AO$15,AN8&lt;&gt;"",AD8=""),AND(BH8&gt;=BP$15,BH8&lt;&gt;"",BE8=""),AND(BK8&gt;=BP$15,BK8&lt;&gt;"",BE8=""),AND(BO8&gt;=BP$15,BO8&lt;&gt;"",BE8=""),AND(CI8&gt;=CQ$15,CI8&lt;&gt;"",CF8=""),AND(CL8&gt;=CQ$15,CL8&lt;&gt;"",CF8=""),AND(CP8&gt;=CQ$15,CP8&lt;&gt;"",CF8=""),AND(DP8&gt;=EA$15,DP8&lt;&gt;""),AND(DS8&gt;=EA$15,DS8&lt;&gt;""),AND(DW8&gt;=EA$15,DW8&lt;&gt;""),AND(DZ8&gt;=EA$15,DZ8&lt;&gt;""),AND(EX8&gt;=FI$15,EX8&lt;&gt;""),AND(FA8&gt;=FI$15,FA8&lt;&gt;""),AND(FE8&gt;=FI$15,FE8&lt;&gt;""),AND(FH8&gt;=FI$15,FH8&lt;&gt;""),AND(GF8&gt;=GQ$15,GF8&lt;&gt;""),AND(GI8&gt;=GQ$15,GI8&lt;&gt;""),AND(GM8&gt;=GQ$15,GM8&lt;&gt;""),AND(GP8&gt;=GQ$15,GP8&lt;&gt;""),AND(HN8&gt;=HY$15,HN8&lt;&gt;""),AND(HQ8&gt;=HY$15,HQ8&lt;&gt;""),AND(HU8&gt;=HY$15,HU8&lt;&gt;""),AND(HX8&gt;=HY$15,HX8&lt;&gt;""),AND(IV8&gt;=JG$15,IV8&lt;&gt;""),AND(IY8&gt;=JG$15,IY8&lt;&gt;""),AND(JC8&gt;=JG$15,JC8&lt;&gt;""),AND(JF8&gt;=JG$15,JF8&lt;&gt;""),AND(KD8&gt;=KO$15,KD8&lt;&gt;""),AND(KG8&gt;=KO$15,KG8&lt;&gt;""),AND(KK8&gt;=KO$15,KK8&lt;&gt;""),AND(KN8&gt;=KO$15,KN8&lt;&gt;""),AND(LL8&gt;=LW$15,LL8&lt;&gt;""),AND(LO8&gt;=LW$15,LO8&lt;&gt;""),AND(LS8&gt;=LW$15,LS8&lt;&gt;""),AND(LV8&gt;=LW$15,LV8&lt;&gt;""),AND(MT8&gt;=NE$15,MT8&lt;&gt;""),AND(MW8&gt;=NE$15,MW8&lt;&gt;""),AND(NA8&gt;=NE$15,NA8&lt;&gt;""),AND(ND8&gt;=NE$15,ND8&lt;&gt;""),AND(OB8&gt;=OM$15,OB8&lt;&gt;""),AND(OE8&gt;=OM$15,OE8&lt;&gt;""),AND(OI8&gt;=OM$15,OI8&lt;&gt;""),AND(OL8&gt;=OM$15,OL8&lt;&gt;""),AND(PJ8&gt;=PU$15,PJ8&lt;&gt;""),AND(PM8&gt;=PU$15,PM8&lt;&gt;""),AND(PQ8&gt;=PU$15,PQ8&lt;&gt;""),AND(PT8&gt;=PU$15,PT8&lt;&gt;""),AND(QR8&gt;=RC$15,QR8&lt;&gt;""),AND(QU8&gt;=RC$15,QU8&lt;&gt;""),AND(QY8&gt;=RC$15,QY8&lt;&gt;""),AND(RB8&gt;=RC$15,RB8&lt;&gt;""),AND(RZ8&gt;=SK$15,RZ8&lt;&gt;""),AND(SC8&gt;=SK$15,SC8&lt;&gt;""),AND(SG8&gt;=SK$15,SG8&lt;&gt;""),AND(SJ8&gt;=SK$15,SJ8&lt;&gt;"")),"P","")</f>
        <v/>
      </c>
      <c r="H8" s="70" t="str">
        <f>IF(AND(G8="P",F8=""),"No DD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Merit",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Excellence",IF(I8="P","Worlds Team",IF(F8="P","National Team","")))))</f>
        <v/>
      </c>
      <c r="I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J8" s="13">
        <f>IF(COUNT(AG8,AJ8,AN8,BH8,BK8,BO8,CI8,CL8,CP8)&gt;0,LARGE((AG8,AJ8,AN8,BH8,BK8,BO8,CI8,CL8,CP8),1),0)</f>
        <v>25.769999999999996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>
        <v>3.45</v>
      </c>
      <c r="AQ8" s="46">
        <v>4.5999999999999996</v>
      </c>
      <c r="AR8" s="46">
        <v>6</v>
      </c>
      <c r="AS8" s="46">
        <v>8.08</v>
      </c>
      <c r="AT8" s="46">
        <v>0</v>
      </c>
      <c r="AU8" s="46">
        <v>4.45</v>
      </c>
      <c r="AV8" s="46">
        <v>5.6</v>
      </c>
      <c r="AW8" s="46">
        <v>6.6</v>
      </c>
      <c r="AX8" s="46">
        <v>9.1199999999999992</v>
      </c>
      <c r="AY8" s="46">
        <v>0</v>
      </c>
      <c r="AZ8" s="46"/>
      <c r="BA8" s="46"/>
      <c r="BB8" s="46"/>
      <c r="BC8" s="46"/>
      <c r="BD8" s="46"/>
      <c r="BE8" s="52"/>
      <c r="BF8" s="75">
        <f>IF(AR8&gt;0,AR8,"")</f>
        <v>6</v>
      </c>
      <c r="BG8" s="75">
        <f>IF(AS8&gt;0,AS8,"")</f>
        <v>8.08</v>
      </c>
      <c r="BH8" s="16">
        <f>IF(SUM(AP8:AS8)-AT8&gt;0,SUM(AP8:AS8)-AT8,"")</f>
        <v>22.130000000000003</v>
      </c>
      <c r="BI8" s="16">
        <f>IF(AW8&gt;0,AW8,"")</f>
        <v>6.6</v>
      </c>
      <c r="BJ8" s="16">
        <f>IF(AX8&gt;0,AX8,"")</f>
        <v>9.1199999999999992</v>
      </c>
      <c r="BK8" s="16">
        <f>IF(SUM(AU8:AX8)-AY8&gt;0,SUM(AU8:AX8)-AY8,"")</f>
        <v>25.769999999999996</v>
      </c>
      <c r="BL8" s="16">
        <f>IF(BH8="","",MAX(BH8,BK8))</f>
        <v>25.769999999999996</v>
      </c>
      <c r="BM8" s="16" t="str">
        <f>IF(BB8&gt;0,BB8,"")</f>
        <v/>
      </c>
      <c r="BN8" s="16" t="str">
        <f>IF(BC8&gt;0,BC8,"")</f>
        <v/>
      </c>
      <c r="BO8" s="16" t="str">
        <f>IF(SUM(AZ8:BC8)-BD8&gt;0,SUM(AZ8:BC8)-BD8,"")</f>
        <v/>
      </c>
      <c r="BP8" s="16">
        <f>IF(SUM(BL8,BO8)&gt;0,SUM(BL8,BO8),"")</f>
        <v>25.769999999999996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>IF(BS8&gt;0,BS8,"")</f>
        <v/>
      </c>
      <c r="CH8" s="74" t="str">
        <f>IF(BT8&gt;0,BT8,"")</f>
        <v/>
      </c>
      <c r="CI8" s="76" t="str">
        <f>IF(SUM(BQ8:BT8)-BU8&gt;0,SUM(BQ8:BT8)-BU8,"")</f>
        <v/>
      </c>
      <c r="CJ8" s="76" t="str">
        <f>IF(BX8&gt;0,BX8,"")</f>
        <v/>
      </c>
      <c r="CK8" s="76" t="str">
        <f>IF(BY8&gt;0,BY8,"")</f>
        <v/>
      </c>
      <c r="CL8" s="76" t="str">
        <f>IF(SUM(BV8:BY8)-BZ8&gt;0,SUM(BV8:BY8)-BZ8,"")</f>
        <v/>
      </c>
      <c r="CM8" s="76" t="str">
        <f>IF(CI8="","",MAX(CI8,CL8))</f>
        <v/>
      </c>
      <c r="CN8" s="76" t="str">
        <f>IF(CC8&gt;0,CC8,"")</f>
        <v/>
      </c>
      <c r="CO8" s="76" t="str">
        <f>IF(CD8&gt;0,CD8,"")</f>
        <v/>
      </c>
      <c r="CP8" s="76" t="str">
        <f>IF(SUM(CA8:CD8)-CE8&gt;0,SUM(CA8:CD8)-CE8,"")</f>
        <v/>
      </c>
      <c r="CQ8" s="76" t="str">
        <f>IF(SUM(CM8,CP8)&gt;0,SUM(CM8,CP8),"")</f>
        <v/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1.7250000000000001</v>
      </c>
      <c r="SM8" s="42">
        <f>IF($CF8="P",BR8,(BR8+AQ8)/2)</f>
        <v>2.2999999999999998</v>
      </c>
      <c r="SN8" s="42">
        <f>IF($CF8="P",BS8,(BS8+AR8)/2)</f>
        <v>3</v>
      </c>
      <c r="SO8" s="42">
        <f>IF($CF8="P",BT8,(BT8+AS8)/2)</f>
        <v>4.04</v>
      </c>
      <c r="SP8" s="42">
        <f>IF($CF8="P",BU8,(BU8+AT8)/2)</f>
        <v>0</v>
      </c>
      <c r="SQ8" s="42">
        <f>IF($CF8="P",BV8,(BV8+AU8)/2)</f>
        <v>2.2250000000000001</v>
      </c>
      <c r="SR8" s="42">
        <f>IF($CF8="P",BW8,(BW8+AV8)/2)</f>
        <v>2.8</v>
      </c>
      <c r="SS8" s="42">
        <f>IF($CF8="P",BX8,(BX8+AW8)/2)</f>
        <v>3.3</v>
      </c>
      <c r="ST8" s="42">
        <f>IF($CF8="P",BY8,(BY8+AX8)/2)</f>
        <v>4.5599999999999996</v>
      </c>
      <c r="SU8" s="42">
        <f>IF($CF8="P",BZ8,(BZ8+AY8)/2)</f>
        <v>0</v>
      </c>
      <c r="SV8" s="42">
        <f>IF($CF8="P",CA8,(CA8+AZ8)/2)</f>
        <v>0</v>
      </c>
      <c r="SW8" s="42">
        <f>IF($CF8="P",CB8,(CB8+BA8)/2)</f>
        <v>0</v>
      </c>
      <c r="SX8" s="42">
        <f>IF($CF8="P",CC8,(CC8+BB8)/2)</f>
        <v>0</v>
      </c>
      <c r="SY8" s="42">
        <f>IF($CF8="P",CD8,(CD8+BC8)/2)</f>
        <v>0</v>
      </c>
      <c r="SZ8" s="42">
        <f>IF($CF8="P",CE8,(CE8+BD8)/2)</f>
        <v>0</v>
      </c>
      <c r="TA8" s="51" t="s">
        <v>58</v>
      </c>
      <c r="TB8" s="76">
        <f>IF(SN8&gt;0,SN8,"")</f>
        <v>3</v>
      </c>
      <c r="TC8" s="76">
        <f>IF(SO8&gt;0,SO8,"")</f>
        <v>4.04</v>
      </c>
      <c r="TD8" s="76">
        <f>IF(SUM(SL8:SO8)-SP8&gt;0,SUM(SL8:SO8)-SP8,"")</f>
        <v>11.065000000000001</v>
      </c>
      <c r="TE8" s="76">
        <f>IF(SS8&gt;0,SS8,"")</f>
        <v>3.3</v>
      </c>
      <c r="TF8" s="76">
        <f>IF(ST8&gt;0,ST8,"")</f>
        <v>4.5599999999999996</v>
      </c>
      <c r="TG8" s="76">
        <f>IF(SUM(SQ8:ST8)-SU8&gt;0,SUM(SQ8:ST8)-SU8,"")</f>
        <v>12.884999999999998</v>
      </c>
      <c r="TH8" s="76">
        <f>IF(MAX(TD8,TG8)&gt;0,MAX(TD8,TG8),"")</f>
        <v>12.884999999999998</v>
      </c>
      <c r="TI8" s="76" t="str">
        <f>IF(SX8&gt;0,SX8,"")</f>
        <v/>
      </c>
      <c r="TJ8" s="76" t="str">
        <f>IF(SY8&gt;0,SY8,"")</f>
        <v/>
      </c>
      <c r="TK8" s="76" t="str">
        <f>IF(SUM(SV8:SY8)-SZ8&gt;0,SUM(SV8:SY8)-SZ8,"")</f>
        <v/>
      </c>
      <c r="TL8" s="76">
        <f>IF(SUM(TH8,TK8)&gt;0,SUM(TH8,TK8),"")</f>
        <v>12.884999999999998</v>
      </c>
    </row>
    <row r="9" spans="1:532" x14ac:dyDescent="0.2">
      <c r="B9" s="6"/>
      <c r="D9" s="1"/>
    </row>
    <row r="10" spans="1:532" x14ac:dyDescent="0.2">
      <c r="G10" s="69"/>
      <c r="I10" s="69"/>
    </row>
    <row r="11" spans="1:532" x14ac:dyDescent="0.2">
      <c r="B11" s="43" t="s">
        <v>55</v>
      </c>
      <c r="C11" s="35"/>
      <c r="G11" s="3"/>
      <c r="AH11" s="77"/>
      <c r="AI11" s="77"/>
      <c r="AJ11" s="77"/>
      <c r="AL11" s="56"/>
      <c r="AM11" s="56"/>
      <c r="AO11" s="103">
        <v>14.2</v>
      </c>
      <c r="BI11" s="77"/>
      <c r="BJ11" s="77"/>
      <c r="BK11" s="77"/>
      <c r="BM11" s="56"/>
      <c r="BN11" s="56"/>
      <c r="BP11" s="103">
        <v>14.2</v>
      </c>
      <c r="CJ11" s="77"/>
      <c r="CK11" s="77"/>
      <c r="CL11" s="77"/>
      <c r="CN11" s="56"/>
      <c r="CO11" s="56"/>
      <c r="CQ11" s="103">
        <v>14.2</v>
      </c>
      <c r="DN11" s="35"/>
      <c r="DO11" s="35"/>
      <c r="DX11" s="33"/>
      <c r="DY11" s="33"/>
      <c r="EA11" s="78">
        <v>13.5</v>
      </c>
      <c r="EV11" s="35"/>
      <c r="EW11" s="35"/>
      <c r="FF11" s="33"/>
      <c r="FG11" s="33"/>
      <c r="FI11" s="78">
        <v>13.5</v>
      </c>
      <c r="GD11" s="35"/>
      <c r="GE11" s="35"/>
      <c r="GN11" s="33"/>
      <c r="GO11" s="33"/>
      <c r="GQ11" s="103">
        <v>14.2</v>
      </c>
      <c r="HL11" s="35"/>
      <c r="HM11" s="35"/>
      <c r="HV11" s="33"/>
      <c r="HW11" s="33"/>
      <c r="HY11" s="103">
        <v>14.2</v>
      </c>
      <c r="IT11" s="35"/>
      <c r="IU11" s="35"/>
      <c r="JD11" s="33"/>
      <c r="JE11" s="33"/>
      <c r="JG11" s="103">
        <v>14.2</v>
      </c>
      <c r="KB11" s="35"/>
      <c r="KC11" s="35"/>
      <c r="KL11" s="33"/>
      <c r="KM11" s="33"/>
      <c r="KO11" s="103">
        <v>14.2</v>
      </c>
      <c r="LJ11" s="35"/>
      <c r="LK11" s="35"/>
      <c r="LT11" s="33"/>
      <c r="LU11" s="33"/>
      <c r="LW11" s="103">
        <v>14.2</v>
      </c>
      <c r="MR11" s="35"/>
      <c r="MS11" s="35"/>
      <c r="NB11" s="33"/>
      <c r="NC11" s="33"/>
      <c r="NE11" s="103">
        <v>14.2</v>
      </c>
      <c r="NZ11" s="35"/>
      <c r="OA11" s="35"/>
      <c r="OJ11" s="33"/>
      <c r="OK11" s="33"/>
      <c r="OM11" s="103">
        <v>14.2</v>
      </c>
      <c r="PH11" s="35"/>
      <c r="PI11" s="35"/>
      <c r="PR11" s="33"/>
      <c r="PS11" s="33"/>
      <c r="PU11" s="103">
        <v>14.2</v>
      </c>
      <c r="QP11" s="35"/>
      <c r="QQ11" s="35"/>
      <c r="QZ11" s="33"/>
      <c r="RA11" s="33"/>
      <c r="RC11" s="103">
        <v>14.2</v>
      </c>
      <c r="RX11" s="35"/>
      <c r="RY11" s="35"/>
      <c r="SH11" s="33"/>
      <c r="SI11" s="33"/>
      <c r="SK11" s="103">
        <v>14.2</v>
      </c>
    </row>
    <row r="12" spans="1:532" x14ac:dyDescent="0.2">
      <c r="B12" s="54" t="s">
        <v>54</v>
      </c>
      <c r="C12" s="35"/>
      <c r="N12" s="2"/>
      <c r="AH12" s="77"/>
      <c r="AI12" s="77"/>
      <c r="AJ12" s="77"/>
      <c r="AL12" s="56"/>
      <c r="AM12" s="56"/>
      <c r="AO12" s="79">
        <v>14.6</v>
      </c>
      <c r="BI12" s="77"/>
      <c r="BJ12" s="77"/>
      <c r="BK12" s="77"/>
      <c r="BM12" s="56"/>
      <c r="BN12" s="56"/>
      <c r="BP12" s="79">
        <v>14.6</v>
      </c>
      <c r="CJ12" s="77"/>
      <c r="CK12" s="77"/>
      <c r="CL12" s="77"/>
      <c r="CN12" s="56"/>
      <c r="CO12" s="56"/>
      <c r="CQ12" s="79">
        <v>14.6</v>
      </c>
      <c r="DN12" s="35"/>
      <c r="DO12" s="35"/>
      <c r="DX12" s="33"/>
      <c r="DY12" s="33"/>
      <c r="EA12" s="79">
        <v>14.4</v>
      </c>
      <c r="EV12" s="35"/>
      <c r="EW12" s="35"/>
      <c r="FF12" s="33"/>
      <c r="FG12" s="33"/>
      <c r="FI12" s="79">
        <v>14.4</v>
      </c>
      <c r="GD12" s="35"/>
      <c r="GE12" s="35"/>
      <c r="GN12" s="33"/>
      <c r="GO12" s="33"/>
      <c r="GQ12" s="79">
        <v>14.6</v>
      </c>
      <c r="HL12" s="35"/>
      <c r="HM12" s="35"/>
      <c r="HV12" s="33"/>
      <c r="HW12" s="33"/>
      <c r="HY12" s="79">
        <v>14.6</v>
      </c>
      <c r="IT12" s="35"/>
      <c r="IU12" s="35"/>
      <c r="JD12" s="33"/>
      <c r="JE12" s="33"/>
      <c r="JG12" s="79">
        <v>14.6</v>
      </c>
      <c r="KB12" s="35"/>
      <c r="KC12" s="35"/>
      <c r="KL12" s="33"/>
      <c r="KM12" s="33"/>
      <c r="KO12" s="79">
        <v>14.6</v>
      </c>
      <c r="LJ12" s="35"/>
      <c r="LK12" s="35"/>
      <c r="LT12" s="33"/>
      <c r="LU12" s="33"/>
      <c r="LW12" s="79">
        <v>14.6</v>
      </c>
      <c r="MR12" s="35"/>
      <c r="MS12" s="35"/>
      <c r="NB12" s="33"/>
      <c r="NC12" s="33"/>
      <c r="NE12" s="79">
        <v>14.6</v>
      </c>
      <c r="NZ12" s="35"/>
      <c r="OA12" s="35"/>
      <c r="OJ12" s="33"/>
      <c r="OK12" s="33"/>
      <c r="OM12" s="79">
        <v>14.6</v>
      </c>
      <c r="PH12" s="35"/>
      <c r="PI12" s="35"/>
      <c r="PR12" s="33"/>
      <c r="PS12" s="33"/>
      <c r="PU12" s="79">
        <v>14.6</v>
      </c>
      <c r="QP12" s="35"/>
      <c r="QQ12" s="35"/>
      <c r="QZ12" s="33"/>
      <c r="RA12" s="33"/>
      <c r="RC12" s="79">
        <v>14.6</v>
      </c>
      <c r="RX12" s="35"/>
      <c r="RY12" s="35"/>
      <c r="SH12" s="33"/>
      <c r="SI12" s="33"/>
      <c r="SK12" s="79">
        <v>14.6</v>
      </c>
    </row>
    <row r="13" spans="1:532" x14ac:dyDescent="0.2">
      <c r="A13" s="35"/>
      <c r="B13" s="55" t="s">
        <v>68</v>
      </c>
      <c r="C13" s="35"/>
      <c r="E13" s="2"/>
      <c r="AH13" s="77"/>
      <c r="AI13" s="77"/>
      <c r="AJ13" s="77"/>
      <c r="AK13" s="56"/>
      <c r="AL13" s="56"/>
      <c r="AM13" s="56"/>
      <c r="AN13" s="56"/>
      <c r="AO13" s="104">
        <v>15.2</v>
      </c>
      <c r="BI13" s="77"/>
      <c r="BJ13" s="77"/>
      <c r="BK13" s="77"/>
      <c r="BM13" s="56"/>
      <c r="BN13" s="56"/>
      <c r="BP13" s="104">
        <v>15.2</v>
      </c>
      <c r="CJ13" s="77"/>
      <c r="CK13" s="77"/>
      <c r="CL13" s="77"/>
      <c r="CM13" s="56"/>
      <c r="CN13" s="56"/>
      <c r="CO13" s="56"/>
      <c r="CP13" s="56"/>
      <c r="CQ13" s="104">
        <v>15.2</v>
      </c>
      <c r="DN13" s="35"/>
      <c r="DO13" s="35"/>
      <c r="DX13" s="33"/>
      <c r="DY13" s="33"/>
      <c r="EA13" s="80">
        <v>15.4</v>
      </c>
      <c r="EV13" s="35"/>
      <c r="EW13" s="35"/>
      <c r="FF13" s="33"/>
      <c r="FG13" s="33"/>
      <c r="FI13" s="80">
        <v>15.4</v>
      </c>
      <c r="GD13" s="35"/>
      <c r="GE13" s="35"/>
      <c r="GN13" s="33"/>
      <c r="GO13" s="33"/>
      <c r="GQ13" s="104">
        <v>15.2</v>
      </c>
      <c r="HL13" s="35"/>
      <c r="HM13" s="35"/>
      <c r="HV13" s="33"/>
      <c r="HW13" s="33"/>
      <c r="HY13" s="104">
        <v>15.2</v>
      </c>
      <c r="IT13" s="35"/>
      <c r="IU13" s="35"/>
      <c r="JD13" s="33"/>
      <c r="JE13" s="33"/>
      <c r="JG13" s="104">
        <v>15.2</v>
      </c>
      <c r="KB13" s="35"/>
      <c r="KC13" s="35"/>
      <c r="KL13" s="33"/>
      <c r="KM13" s="33"/>
      <c r="KO13" s="104">
        <v>15.2</v>
      </c>
      <c r="LJ13" s="35"/>
      <c r="LK13" s="35"/>
      <c r="LT13" s="33"/>
      <c r="LU13" s="33"/>
      <c r="LW13" s="104">
        <v>15.2</v>
      </c>
      <c r="MR13" s="35"/>
      <c r="MS13" s="35"/>
      <c r="NB13" s="33"/>
      <c r="NC13" s="33"/>
      <c r="NE13" s="104">
        <v>15.2</v>
      </c>
      <c r="NZ13" s="35"/>
      <c r="OA13" s="35"/>
      <c r="OJ13" s="33"/>
      <c r="OK13" s="33"/>
      <c r="OM13" s="104">
        <v>15.2</v>
      </c>
      <c r="PH13" s="35"/>
      <c r="PI13" s="35"/>
      <c r="PR13" s="33"/>
      <c r="PS13" s="33"/>
      <c r="PU13" s="104">
        <v>15.2</v>
      </c>
      <c r="QP13" s="35"/>
      <c r="QQ13" s="35"/>
      <c r="QZ13" s="33"/>
      <c r="RA13" s="33"/>
      <c r="RC13" s="104">
        <v>15.2</v>
      </c>
      <c r="RX13" s="35"/>
      <c r="RY13" s="35"/>
      <c r="SH13" s="33"/>
      <c r="SI13" s="33"/>
      <c r="SK13" s="104">
        <v>15.2</v>
      </c>
    </row>
    <row r="14" spans="1:532" x14ac:dyDescent="0.2">
      <c r="A14" s="35"/>
      <c r="B14" s="66" t="s">
        <v>81</v>
      </c>
      <c r="C14" s="35"/>
      <c r="E14" s="2"/>
      <c r="AH14" s="77"/>
      <c r="AI14" s="77"/>
      <c r="AJ14" s="77"/>
      <c r="AK14" s="56"/>
      <c r="AL14" s="56"/>
      <c r="AM14" s="56"/>
      <c r="AN14" s="56"/>
      <c r="AO14" s="105">
        <v>16</v>
      </c>
      <c r="BI14" s="77"/>
      <c r="BJ14" s="77"/>
      <c r="BK14" s="77"/>
      <c r="BM14" s="56"/>
      <c r="BN14" s="56"/>
      <c r="BP14" s="105">
        <v>16</v>
      </c>
      <c r="CJ14" s="77"/>
      <c r="CK14" s="77"/>
      <c r="CL14" s="77"/>
      <c r="CM14" s="56"/>
      <c r="CN14" s="56"/>
      <c r="CO14" s="56"/>
      <c r="CP14" s="56"/>
      <c r="CQ14" s="105">
        <v>16</v>
      </c>
      <c r="DN14" s="35"/>
      <c r="DO14" s="35"/>
      <c r="DX14" s="33"/>
      <c r="DY14" s="33"/>
      <c r="EA14" s="81">
        <v>15.4</v>
      </c>
      <c r="EV14" s="35"/>
      <c r="EW14" s="35"/>
      <c r="FF14" s="33"/>
      <c r="FG14" s="33"/>
      <c r="FI14" s="81">
        <v>15.4</v>
      </c>
      <c r="GD14" s="35"/>
      <c r="GE14" s="35"/>
      <c r="GN14" s="33"/>
      <c r="GO14" s="33"/>
      <c r="GQ14" s="105">
        <v>16</v>
      </c>
      <c r="HL14" s="35"/>
      <c r="HM14" s="35"/>
      <c r="HV14" s="33"/>
      <c r="HW14" s="33"/>
      <c r="HY14" s="105">
        <v>16</v>
      </c>
      <c r="IT14" s="35"/>
      <c r="IU14" s="35"/>
      <c r="JD14" s="33"/>
      <c r="JE14" s="33"/>
      <c r="JG14" s="105">
        <v>16</v>
      </c>
      <c r="KB14" s="35"/>
      <c r="KC14" s="35"/>
      <c r="KL14" s="33"/>
      <c r="KM14" s="33"/>
      <c r="KO14" s="105">
        <v>16</v>
      </c>
      <c r="LJ14" s="35"/>
      <c r="LK14" s="35"/>
      <c r="LT14" s="33"/>
      <c r="LU14" s="33"/>
      <c r="LW14" s="105">
        <v>16</v>
      </c>
      <c r="MR14" s="35"/>
      <c r="MS14" s="35"/>
      <c r="NB14" s="33"/>
      <c r="NC14" s="33"/>
      <c r="NE14" s="105">
        <v>16</v>
      </c>
      <c r="NZ14" s="35"/>
      <c r="OA14" s="35"/>
      <c r="OJ14" s="33"/>
      <c r="OK14" s="33"/>
      <c r="OM14" s="105">
        <v>16</v>
      </c>
      <c r="PH14" s="35"/>
      <c r="PI14" s="35"/>
      <c r="PR14" s="33"/>
      <c r="PS14" s="33"/>
      <c r="PU14" s="105">
        <v>16</v>
      </c>
      <c r="QP14" s="35"/>
      <c r="QQ14" s="35"/>
      <c r="QZ14" s="33"/>
      <c r="RA14" s="33"/>
      <c r="RC14" s="105">
        <v>16</v>
      </c>
      <c r="RX14" s="35"/>
      <c r="RY14" s="35"/>
      <c r="SH14" s="33"/>
      <c r="SI14" s="33"/>
      <c r="SK14" s="105">
        <v>16</v>
      </c>
    </row>
    <row r="15" spans="1:532" x14ac:dyDescent="0.2">
      <c r="A15" s="35"/>
      <c r="B15" s="65" t="s">
        <v>52</v>
      </c>
      <c r="C15" s="35"/>
      <c r="AH15" s="77"/>
      <c r="AI15" s="77"/>
      <c r="AJ15" s="77"/>
      <c r="AK15" s="56"/>
      <c r="AL15" s="56"/>
      <c r="AM15" s="56"/>
      <c r="AN15" s="56"/>
      <c r="AO15" s="106">
        <v>47.2</v>
      </c>
      <c r="BI15" s="77"/>
      <c r="BJ15" s="77"/>
      <c r="BK15" s="77"/>
      <c r="BM15" s="56"/>
      <c r="BN15" s="56"/>
      <c r="BP15" s="106">
        <v>47.2</v>
      </c>
      <c r="CJ15" s="77"/>
      <c r="CK15" s="77"/>
      <c r="CL15" s="77"/>
      <c r="CM15" s="56"/>
      <c r="CN15" s="56"/>
      <c r="CO15" s="56"/>
      <c r="CP15" s="56"/>
      <c r="CQ15" s="106">
        <v>47.2</v>
      </c>
      <c r="DN15" s="35"/>
      <c r="DO15" s="35"/>
      <c r="DX15" s="33"/>
      <c r="DY15" s="33"/>
      <c r="EA15" s="82">
        <v>49</v>
      </c>
      <c r="EV15" s="35"/>
      <c r="EW15" s="35"/>
      <c r="FF15" s="33"/>
      <c r="FG15" s="33"/>
      <c r="FI15" s="82">
        <v>49</v>
      </c>
      <c r="GD15" s="35"/>
      <c r="GE15" s="35"/>
      <c r="GN15" s="33"/>
      <c r="GO15" s="33"/>
      <c r="GQ15" s="106">
        <v>47.2</v>
      </c>
      <c r="HL15" s="35"/>
      <c r="HM15" s="35"/>
      <c r="HV15" s="33"/>
      <c r="HW15" s="33"/>
      <c r="HY15" s="106">
        <v>47.2</v>
      </c>
      <c r="IT15" s="35"/>
      <c r="IU15" s="35"/>
      <c r="JD15" s="33"/>
      <c r="JE15" s="33"/>
      <c r="JG15" s="106">
        <v>47.2</v>
      </c>
      <c r="KB15" s="35"/>
      <c r="KC15" s="35"/>
      <c r="KL15" s="33"/>
      <c r="KM15" s="33"/>
      <c r="KO15" s="106">
        <v>47.2</v>
      </c>
      <c r="LJ15" s="35"/>
      <c r="LK15" s="35"/>
      <c r="LT15" s="33"/>
      <c r="LU15" s="33"/>
      <c r="LW15" s="106">
        <v>47.2</v>
      </c>
      <c r="MR15" s="35"/>
      <c r="MS15" s="35"/>
      <c r="NB15" s="33"/>
      <c r="NC15" s="33"/>
      <c r="NE15" s="106">
        <v>47.2</v>
      </c>
      <c r="NZ15" s="35"/>
      <c r="OA15" s="35"/>
      <c r="OJ15" s="33"/>
      <c r="OK15" s="33"/>
      <c r="OM15" s="106">
        <v>47.2</v>
      </c>
      <c r="PH15" s="35"/>
      <c r="PI15" s="35"/>
      <c r="PR15" s="33"/>
      <c r="PS15" s="33"/>
      <c r="PU15" s="106">
        <v>47.2</v>
      </c>
      <c r="QP15" s="35"/>
      <c r="QQ15" s="35"/>
      <c r="QZ15" s="33"/>
      <c r="RA15" s="33"/>
      <c r="RC15" s="106">
        <v>47.2</v>
      </c>
      <c r="RX15" s="35"/>
      <c r="RY15" s="35"/>
      <c r="SH15" s="33"/>
      <c r="SI15" s="33"/>
      <c r="SK15" s="106">
        <v>47.2</v>
      </c>
    </row>
    <row r="16" spans="1:532" x14ac:dyDescent="0.2">
      <c r="A16" s="35"/>
      <c r="B16" s="44" t="s">
        <v>53</v>
      </c>
      <c r="C16" s="35"/>
      <c r="AH16" s="77"/>
      <c r="AI16" s="77"/>
      <c r="AJ16" s="77"/>
      <c r="AK16" s="56"/>
      <c r="AL16" s="56"/>
      <c r="AM16" s="56"/>
      <c r="AN16" s="56"/>
      <c r="AO16" s="107">
        <v>48.5</v>
      </c>
      <c r="BI16" s="77"/>
      <c r="BJ16" s="77"/>
      <c r="BK16" s="77"/>
      <c r="BM16" s="56"/>
      <c r="BN16" s="56"/>
      <c r="BP16" s="107">
        <v>48.5</v>
      </c>
      <c r="CJ16" s="77"/>
      <c r="CK16" s="77"/>
      <c r="CL16" s="77"/>
      <c r="CM16" s="56"/>
      <c r="CN16" s="56"/>
      <c r="CO16" s="56"/>
      <c r="CP16" s="56"/>
      <c r="CQ16" s="107">
        <v>48.5</v>
      </c>
      <c r="DN16" s="35"/>
      <c r="DO16" s="35"/>
      <c r="DX16" s="33"/>
      <c r="DY16" s="33"/>
      <c r="EA16" s="83">
        <v>49</v>
      </c>
      <c r="EV16" s="35"/>
      <c r="EW16" s="35"/>
      <c r="FF16" s="33"/>
      <c r="FG16" s="33"/>
      <c r="FI16" s="83">
        <v>49</v>
      </c>
      <c r="GD16" s="35"/>
      <c r="GE16" s="35"/>
      <c r="GN16" s="33"/>
      <c r="GO16" s="33"/>
      <c r="GQ16" s="107">
        <v>48.5</v>
      </c>
      <c r="HL16" s="35"/>
      <c r="HM16" s="35"/>
      <c r="HV16" s="33"/>
      <c r="HW16" s="33"/>
      <c r="HY16" s="107">
        <v>48.5</v>
      </c>
      <c r="IT16" s="35"/>
      <c r="IU16" s="35"/>
      <c r="JD16" s="33"/>
      <c r="JE16" s="33"/>
      <c r="JG16" s="107">
        <v>48.5</v>
      </c>
      <c r="KB16" s="35"/>
      <c r="KC16" s="35"/>
      <c r="KL16" s="33"/>
      <c r="KM16" s="33"/>
      <c r="KO16" s="107">
        <v>48.5</v>
      </c>
      <c r="LJ16" s="35"/>
      <c r="LK16" s="35"/>
      <c r="LT16" s="33"/>
      <c r="LU16" s="33"/>
      <c r="LW16" s="107">
        <v>48.5</v>
      </c>
      <c r="MR16" s="35"/>
      <c r="MS16" s="35"/>
      <c r="NB16" s="33"/>
      <c r="NC16" s="33"/>
      <c r="NE16" s="107">
        <v>48.5</v>
      </c>
      <c r="NZ16" s="35"/>
      <c r="OA16" s="35"/>
      <c r="OJ16" s="33"/>
      <c r="OK16" s="33"/>
      <c r="OM16" s="107">
        <v>48.5</v>
      </c>
      <c r="PH16" s="35"/>
      <c r="PI16" s="35"/>
      <c r="PR16" s="33"/>
      <c r="PS16" s="33"/>
      <c r="PU16" s="107">
        <v>48.5</v>
      </c>
      <c r="QP16" s="35"/>
      <c r="QQ16" s="35"/>
      <c r="QZ16" s="33"/>
      <c r="RA16" s="33"/>
      <c r="RC16" s="107">
        <v>48.5</v>
      </c>
      <c r="RX16" s="35"/>
      <c r="RY16" s="35"/>
      <c r="SH16" s="33"/>
      <c r="SI16" s="33"/>
      <c r="SK16" s="107">
        <v>48.5</v>
      </c>
    </row>
    <row r="17" spans="1:534" x14ac:dyDescent="0.2">
      <c r="A17" s="35"/>
      <c r="B17" s="64" t="s">
        <v>67</v>
      </c>
      <c r="C17" s="35"/>
      <c r="AH17" s="77"/>
      <c r="AI17" s="77"/>
      <c r="AJ17" s="77"/>
      <c r="AK17" s="56"/>
      <c r="AL17" s="56"/>
      <c r="AM17" s="56"/>
      <c r="AN17" s="56"/>
      <c r="AO17" s="108">
        <v>49.2</v>
      </c>
      <c r="BI17" s="77"/>
      <c r="BJ17" s="77"/>
      <c r="BK17" s="77"/>
      <c r="BM17" s="56"/>
      <c r="BN17" s="56"/>
      <c r="BP17" s="108">
        <v>49.2</v>
      </c>
      <c r="CJ17" s="77"/>
      <c r="CK17" s="77"/>
      <c r="CL17" s="77"/>
      <c r="CM17" s="56"/>
      <c r="CN17" s="56"/>
      <c r="CO17" s="56"/>
      <c r="CP17" s="56"/>
      <c r="CQ17" s="108">
        <v>49.2</v>
      </c>
      <c r="DN17" s="35"/>
      <c r="DO17" s="35"/>
      <c r="DX17" s="33"/>
      <c r="DY17" s="33"/>
      <c r="DZ17" s="71"/>
      <c r="EA17" s="84">
        <v>49</v>
      </c>
      <c r="EV17" s="35"/>
      <c r="EW17" s="35"/>
      <c r="FF17" s="33"/>
      <c r="FG17" s="33"/>
      <c r="FH17" s="71"/>
      <c r="FI17" s="84">
        <v>49</v>
      </c>
      <c r="GD17" s="35"/>
      <c r="GE17" s="35"/>
      <c r="GN17" s="33"/>
      <c r="GO17" s="33"/>
      <c r="GP17" s="71"/>
      <c r="GQ17" s="108">
        <v>49.2</v>
      </c>
      <c r="HL17" s="35"/>
      <c r="HM17" s="35"/>
      <c r="HV17" s="33"/>
      <c r="HW17" s="33"/>
      <c r="HX17" s="71"/>
      <c r="HY17" s="108">
        <v>49.2</v>
      </c>
      <c r="IT17" s="35"/>
      <c r="IU17" s="35"/>
      <c r="JD17" s="33"/>
      <c r="JE17" s="33"/>
      <c r="JF17" s="71"/>
      <c r="JG17" s="108">
        <v>49.2</v>
      </c>
      <c r="KB17" s="35"/>
      <c r="KC17" s="35"/>
      <c r="KL17" s="33"/>
      <c r="KM17" s="33"/>
      <c r="KN17" s="71"/>
      <c r="KO17" s="108">
        <v>49.2</v>
      </c>
      <c r="LJ17" s="35"/>
      <c r="LK17" s="35"/>
      <c r="LT17" s="33"/>
      <c r="LU17" s="33"/>
      <c r="LV17" s="71"/>
      <c r="LW17" s="108">
        <v>49.2</v>
      </c>
      <c r="MR17" s="35"/>
      <c r="MS17" s="35"/>
      <c r="NB17" s="33"/>
      <c r="NC17" s="33"/>
      <c r="ND17" s="71"/>
      <c r="NE17" s="108">
        <v>49.2</v>
      </c>
      <c r="NZ17" s="35"/>
      <c r="OA17" s="35"/>
      <c r="OJ17" s="33"/>
      <c r="OK17" s="33"/>
      <c r="OL17" s="71"/>
      <c r="OM17" s="108">
        <v>49.2</v>
      </c>
      <c r="PH17" s="35"/>
      <c r="PI17" s="35"/>
      <c r="PR17" s="33"/>
      <c r="PS17" s="33"/>
      <c r="PT17" s="71"/>
      <c r="PU17" s="108">
        <v>49.2</v>
      </c>
      <c r="QP17" s="35"/>
      <c r="QQ17" s="35"/>
      <c r="QZ17" s="33"/>
      <c r="RA17" s="33"/>
      <c r="RB17" s="71"/>
      <c r="RC17" s="108">
        <v>49.2</v>
      </c>
      <c r="RX17" s="35"/>
      <c r="RY17" s="35"/>
      <c r="SH17" s="33"/>
      <c r="SI17" s="33"/>
      <c r="SJ17" s="71"/>
      <c r="SK17" s="108">
        <v>49.2</v>
      </c>
    </row>
    <row r="18" spans="1:534" x14ac:dyDescent="0.2">
      <c r="A18" s="35"/>
      <c r="B18" s="45" t="s">
        <v>36</v>
      </c>
      <c r="C18" s="35"/>
      <c r="AH18" s="77"/>
      <c r="AI18" s="77"/>
      <c r="AJ18" s="77"/>
      <c r="AK18" s="56"/>
      <c r="AL18" s="77"/>
      <c r="AM18" s="77"/>
      <c r="AN18" s="56"/>
      <c r="AO18" s="109">
        <v>50</v>
      </c>
      <c r="BI18" s="77"/>
      <c r="BJ18" s="77"/>
      <c r="BK18" s="77"/>
      <c r="BM18" s="77"/>
      <c r="BN18" s="56"/>
      <c r="BP18" s="109">
        <v>50</v>
      </c>
      <c r="CJ18" s="77"/>
      <c r="CK18" s="77"/>
      <c r="CL18" s="77"/>
      <c r="CM18" s="56"/>
      <c r="CN18" s="77"/>
      <c r="CO18" s="56"/>
      <c r="CP18" s="56"/>
      <c r="CQ18" s="109">
        <v>50</v>
      </c>
      <c r="DN18" s="35"/>
      <c r="DO18" s="35"/>
      <c r="DX18" s="77" t="s">
        <v>124</v>
      </c>
      <c r="DY18" s="33"/>
      <c r="EA18" s="85">
        <v>50.2</v>
      </c>
      <c r="EV18" s="35"/>
      <c r="EW18" s="35"/>
      <c r="FF18" s="77" t="s">
        <v>124</v>
      </c>
      <c r="FG18" s="33"/>
      <c r="FI18" s="85">
        <v>50.2</v>
      </c>
      <c r="GD18" s="35"/>
      <c r="GE18" s="35"/>
      <c r="GN18" s="33"/>
      <c r="GO18" s="33"/>
      <c r="GQ18" s="109">
        <v>50</v>
      </c>
      <c r="HL18" s="35"/>
      <c r="HM18" s="35"/>
      <c r="HV18" s="77"/>
      <c r="HW18" s="33"/>
      <c r="HY18" s="109">
        <v>50</v>
      </c>
      <c r="IT18" s="35"/>
      <c r="IU18" s="35"/>
      <c r="JD18" s="33"/>
      <c r="JE18" s="33"/>
      <c r="JG18" s="109">
        <v>50</v>
      </c>
      <c r="KB18" s="35"/>
      <c r="KC18" s="35"/>
      <c r="KL18" s="33"/>
      <c r="KM18" s="33"/>
      <c r="KO18" s="109">
        <v>50</v>
      </c>
      <c r="LJ18" s="35"/>
      <c r="LK18" s="35"/>
      <c r="LT18" s="33"/>
      <c r="LU18" s="33"/>
      <c r="LW18" s="109">
        <v>50</v>
      </c>
      <c r="MR18" s="35"/>
      <c r="MS18" s="35"/>
      <c r="NB18" s="33"/>
      <c r="NC18" s="33"/>
      <c r="NE18" s="109">
        <v>50</v>
      </c>
      <c r="NZ18" s="35"/>
      <c r="OA18" s="35"/>
      <c r="OJ18" s="33"/>
      <c r="OK18" s="33"/>
      <c r="OM18" s="109">
        <v>50</v>
      </c>
      <c r="PH18" s="35"/>
      <c r="PI18" s="35"/>
      <c r="PR18" s="33"/>
      <c r="PS18" s="33"/>
      <c r="PU18" s="109">
        <v>50</v>
      </c>
      <c r="QP18" s="35"/>
      <c r="QQ18" s="35"/>
      <c r="QZ18" s="33"/>
      <c r="RA18" s="33"/>
      <c r="RC18" s="109">
        <v>50</v>
      </c>
      <c r="RX18" s="35"/>
      <c r="RY18" s="35"/>
      <c r="SH18" s="33"/>
      <c r="SI18" s="33"/>
      <c r="SK18" s="109">
        <v>50</v>
      </c>
    </row>
    <row r="19" spans="1:534" s="70" customFormat="1" x14ac:dyDescent="0.2">
      <c r="A19"/>
      <c r="B19" s="53" t="s">
        <v>59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x14ac:dyDescent="0.2">
      <c r="A20" s="35"/>
      <c r="B20" s="35"/>
      <c r="C20" s="34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8">
      <sortCondition descending="1" ref="F1:F9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5" priority="35" operator="containsText" text="No DD">
      <formula>NOT(ISERROR(SEARCH("No DD",H1)))</formula>
    </cfRule>
    <cfRule type="containsText" dxfId="434" priority="36" operator="containsText" text="Merit">
      <formula>NOT(ISERROR(SEARCH("Merit",H1)))</formula>
    </cfRule>
    <cfRule type="containsText" dxfId="433" priority="37" operator="containsText" text="Excellence">
      <formula>NOT(ISERROR(SEARCH("Excellence",H1)))</formula>
    </cfRule>
    <cfRule type="containsText" dxfId="432" priority="38" operator="containsText" text="Worlds Team">
      <formula>NOT(ISERROR(SEARCH("Worlds Team",H1)))</formula>
    </cfRule>
    <cfRule type="containsText" dxfId="431" priority="39" operator="containsText" text="National Team">
      <formula>NOT(ISERROR(SEARCH("National Team",H1)))</formula>
    </cfRule>
  </conditionalFormatting>
  <conditionalFormatting sqref="A1:A1048576">
    <cfRule type="expression" dxfId="430" priority="40">
      <formula>AND(G1&lt;&gt;"",F1="")</formula>
    </cfRule>
  </conditionalFormatting>
  <conditionalFormatting sqref="O4:AO8">
    <cfRule type="expression" dxfId="429" priority="41" stopIfTrue="1">
      <formula>IF($AD4&lt;&gt;"",1,0)</formula>
    </cfRule>
  </conditionalFormatting>
  <conditionalFormatting sqref="AP4:BP8">
    <cfRule type="expression" dxfId="428" priority="34" stopIfTrue="1">
      <formula>IF($BE4&lt;&gt;"",1,0)</formula>
    </cfRule>
  </conditionalFormatting>
  <conditionalFormatting sqref="BQ4:CQ8">
    <cfRule type="expression" dxfId="427" priority="33" stopIfTrue="1">
      <formula>IF($CF4&lt;&gt;"",1,0)</formula>
    </cfRule>
  </conditionalFormatting>
  <conditionalFormatting sqref="K1:K1048576">
    <cfRule type="expression" dxfId="426" priority="50">
      <formula>IF(K1=$BQ$1,1,0)</formula>
    </cfRule>
    <cfRule type="expression" dxfId="425" priority="51">
      <formula>IF(K1=$AP$1,1,0)</formula>
    </cfRule>
    <cfRule type="expression" dxfId="424" priority="52">
      <formula>IF(K1=$O$1,1,0)</formula>
    </cfRule>
  </conditionalFormatting>
  <conditionalFormatting sqref="BM19:BM1048576 BF1:BF1048576 BI1:BI1048576 BM1:BM17">
    <cfRule type="cellIs" dxfId="423" priority="46" operator="between">
      <formula>$BP$14</formula>
      <formula>1000</formula>
    </cfRule>
    <cfRule type="cellIs" dxfId="422" priority="47" operator="between">
      <formula>$BP$13</formula>
      <formula>$BP$14</formula>
    </cfRule>
    <cfRule type="cellIs" dxfId="421" priority="48" operator="between">
      <formula>$BP$12</formula>
      <formula>$BP$13</formula>
    </cfRule>
    <cfRule type="cellIs" dxfId="420" priority="49" operator="between">
      <formula>$BP$11</formula>
      <formula>$BP$12</formula>
    </cfRule>
  </conditionalFormatting>
  <conditionalFormatting sqref="CN19:CN1048576 CG1:CG1048576 CJ1:CJ1048576 CN1:CN17">
    <cfRule type="cellIs" dxfId="419" priority="42" operator="between">
      <formula>$CQ$14</formula>
      <formula>1000</formula>
    </cfRule>
    <cfRule type="cellIs" dxfId="418" priority="43" operator="between">
      <formula>$CQ$13</formula>
      <formula>$CQ$14</formula>
    </cfRule>
    <cfRule type="cellIs" dxfId="417" priority="44" operator="between">
      <formula>$CQ$12</formula>
      <formula>$CQ$13</formula>
    </cfRule>
    <cfRule type="cellIs" dxfId="416" priority="45" operator="between">
      <formula>$CQ$11</formula>
      <formula>$CQ$12</formula>
    </cfRule>
  </conditionalFormatting>
  <conditionalFormatting sqref="DX19:DX1048576 DN1:DN1048576 DQ1:DQ1048576 DU1:DU1048576 DX1:DX17">
    <cfRule type="cellIs" dxfId="415" priority="53" operator="between">
      <formula>$EA$14</formula>
      <formula>1000</formula>
    </cfRule>
    <cfRule type="cellIs" dxfId="414" priority="54" operator="between">
      <formula>$EA$13</formula>
      <formula>$EA$14</formula>
    </cfRule>
    <cfRule type="cellIs" dxfId="413" priority="55" operator="between">
      <formula>$EA$12</formula>
      <formula>$EA$13</formula>
    </cfRule>
    <cfRule type="cellIs" dxfId="412" priority="56" operator="between">
      <formula>$EA$11</formula>
      <formula>$EA$12</formula>
    </cfRule>
  </conditionalFormatting>
  <conditionalFormatting sqref="FF19:FF1048576 EV1:EV1048576 EY1:EY1048576 FC1:FC1048576 FF1:FF17">
    <cfRule type="cellIs" dxfId="411" priority="29" operator="between">
      <formula>$FI$14</formula>
      <formula>1000</formula>
    </cfRule>
    <cfRule type="cellIs" dxfId="410" priority="30" operator="between">
      <formula>$FI$13</formula>
      <formula>$FI$14</formula>
    </cfRule>
    <cfRule type="cellIs" dxfId="409" priority="31" operator="between">
      <formula>$FI$12</formula>
      <formula>$FI$13</formula>
    </cfRule>
    <cfRule type="cellIs" dxfId="408" priority="32" operator="between">
      <formula>$FI$11</formula>
      <formula>$FI$12</formula>
    </cfRule>
  </conditionalFormatting>
  <conditionalFormatting sqref="HV19:HV1048576 HL1:HL1048576 HO1:HO1048576 HS1:HS1048576 HV1:HV17">
    <cfRule type="cellIs" dxfId="407" priority="25" operator="between">
      <formula>$HY$14</formula>
      <formula>1000</formula>
    </cfRule>
    <cfRule type="cellIs" dxfId="406" priority="26" operator="between">
      <formula>$HY$13</formula>
      <formula>$HY$14</formula>
    </cfRule>
    <cfRule type="cellIs" dxfId="405" priority="27" operator="between">
      <formula>$HY$12</formula>
      <formula>$HY$13</formula>
    </cfRule>
    <cfRule type="cellIs" dxfId="404" priority="28" operator="between">
      <formula>$HY$11</formula>
      <formula>$HY$12</formula>
    </cfRule>
  </conditionalFormatting>
  <conditionalFormatting sqref="AM18 AE1:AE1048576 AH1:AH1048576 AL1:AL1048576">
    <cfRule type="cellIs" dxfId="403" priority="21" operator="between">
      <formula>$AO$14</formula>
      <formula>1000</formula>
    </cfRule>
    <cfRule type="cellIs" dxfId="402" priority="22" operator="between">
      <formula>$AO$13</formula>
      <formula>$AO$14</formula>
    </cfRule>
    <cfRule type="cellIs" dxfId="401" priority="23" operator="between">
      <formula>$AO$12</formula>
      <formula>$AO$13</formula>
    </cfRule>
    <cfRule type="cellIs" dxfId="400" priority="24" operator="between">
      <formula>$AO$11</formula>
      <formula>$AO$12</formula>
    </cfRule>
  </conditionalFormatting>
  <conditionalFormatting sqref="BM18">
    <cfRule type="cellIs" dxfId="399" priority="17" operator="between">
      <formula>$AO$14</formula>
      <formula>1000</formula>
    </cfRule>
    <cfRule type="cellIs" dxfId="398" priority="18" operator="between">
      <formula>$AO$13</formula>
      <formula>$AO$14</formula>
    </cfRule>
    <cfRule type="cellIs" dxfId="397" priority="19" operator="between">
      <formula>$AO$12</formula>
      <formula>$AO$13</formula>
    </cfRule>
    <cfRule type="cellIs" dxfId="396" priority="20" operator="between">
      <formula>$AO$11</formula>
      <formula>$AO$12</formula>
    </cfRule>
  </conditionalFormatting>
  <conditionalFormatting sqref="CN18">
    <cfRule type="cellIs" dxfId="395" priority="13" operator="between">
      <formula>$AO$14</formula>
      <formula>1000</formula>
    </cfRule>
    <cfRule type="cellIs" dxfId="394" priority="14" operator="between">
      <formula>$AO$13</formula>
      <formula>$AO$14</formula>
    </cfRule>
    <cfRule type="cellIs" dxfId="393" priority="15" operator="between">
      <formula>$AO$12</formula>
      <formula>$AO$13</formula>
    </cfRule>
    <cfRule type="cellIs" dxfId="392" priority="16" operator="between">
      <formula>$AO$11</formula>
      <formula>$AO$12</formula>
    </cfRule>
  </conditionalFormatting>
  <conditionalFormatting sqref="DX18">
    <cfRule type="cellIs" dxfId="391" priority="9" operator="between">
      <formula>$AO$14</formula>
      <formula>1000</formula>
    </cfRule>
    <cfRule type="cellIs" dxfId="390" priority="10" operator="between">
      <formula>$AO$13</formula>
      <formula>$AO$14</formula>
    </cfRule>
    <cfRule type="cellIs" dxfId="389" priority="11" operator="between">
      <formula>$AO$12</formula>
      <formula>$AO$13</formula>
    </cfRule>
    <cfRule type="cellIs" dxfId="388" priority="12" operator="between">
      <formula>$AO$11</formula>
      <formula>$AO$12</formula>
    </cfRule>
  </conditionalFormatting>
  <conditionalFormatting sqref="FF18">
    <cfRule type="cellIs" dxfId="387" priority="5" operator="between">
      <formula>$AO$14</formula>
      <formula>1000</formula>
    </cfRule>
    <cfRule type="cellIs" dxfId="386" priority="6" operator="between">
      <formula>$AO$13</formula>
      <formula>$AO$14</formula>
    </cfRule>
    <cfRule type="cellIs" dxfId="385" priority="7" operator="between">
      <formula>$AO$12</formula>
      <formula>$AO$13</formula>
    </cfRule>
    <cfRule type="cellIs" dxfId="384" priority="8" operator="between">
      <formula>$AO$11</formula>
      <formula>$AO$12</formula>
    </cfRule>
  </conditionalFormatting>
  <conditionalFormatting sqref="HV18">
    <cfRule type="cellIs" dxfId="383" priority="1" operator="between">
      <formula>$AO$14</formula>
      <formula>1000</formula>
    </cfRule>
    <cfRule type="cellIs" dxfId="382" priority="2" operator="between">
      <formula>$AO$13</formula>
      <formula>$AO$14</formula>
    </cfRule>
    <cfRule type="cellIs" dxfId="381" priority="3" operator="between">
      <formula>$AO$12</formula>
      <formula>$AO$13</formula>
    </cfRule>
    <cfRule type="cellIs" dxfId="380" priority="4" operator="between">
      <formula>$AO$11</formula>
      <formula>$AO$12</formula>
    </cfRule>
  </conditionalFormatting>
  <conditionalFormatting sqref="CL1:CL1048576 AJ1:AJ1048576">
    <cfRule type="cellIs" dxfId="379" priority="63835" operator="between">
      <formula>AO$18</formula>
      <formula>1000</formula>
    </cfRule>
    <cfRule type="cellIs" dxfId="378" priority="63836" operator="between">
      <formula>AO$17</formula>
      <formula>AO$18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77" priority="63847" operator="between">
      <formula>EA$18</formula>
      <formula>1000</formula>
    </cfRule>
    <cfRule type="cellIs" dxfId="376" priority="63848" operator="between">
      <formula>EA$17</formula>
      <formula>EA$18</formula>
    </cfRule>
  </conditionalFormatting>
  <conditionalFormatting sqref="AG1:AG1048576 AJ1:AJ1048576 AN1:AN1048576">
    <cfRule type="cellIs" dxfId="375" priority="63991" operator="between">
      <formula>$AO$18</formula>
      <formula>1000</formula>
    </cfRule>
    <cfRule type="cellIs" dxfId="374" priority="63992" operator="between">
      <formula>$AO$17</formula>
      <formula>$AO$18</formula>
    </cfRule>
    <cfRule type="cellIs" dxfId="373" priority="63993" operator="between">
      <formula>$AO$16</formula>
      <formula>$AO$17</formula>
    </cfRule>
    <cfRule type="cellIs" dxfId="372" priority="63994" operator="between">
      <formula>$AO$15</formula>
      <formula>$AO$16</formula>
    </cfRule>
  </conditionalFormatting>
  <conditionalFormatting sqref="BH1:BH1048576 BK1:BK1048576 BO1:BO1048576">
    <cfRule type="cellIs" dxfId="371" priority="64027" operator="between">
      <formula>$BP$18</formula>
      <formula>1000</formula>
    </cfRule>
    <cfRule type="cellIs" dxfId="370" priority="64028" operator="between">
      <formula>$BP$17</formula>
      <formula>$BP$18</formula>
    </cfRule>
    <cfRule type="cellIs" dxfId="369" priority="64029" operator="between">
      <formula>$BP$16</formula>
      <formula>$BP$17</formula>
    </cfRule>
    <cfRule type="cellIs" dxfId="368" priority="64030" operator="between">
      <formula>$BP$15</formula>
      <formula>$BP$16</formula>
    </cfRule>
  </conditionalFormatting>
  <conditionalFormatting sqref="CI1:CI1048576 CL1:CL1048576 CP1:CP1048576">
    <cfRule type="cellIs" dxfId="367" priority="64063" operator="between">
      <formula>$CQ$18</formula>
      <formula>1000</formula>
    </cfRule>
    <cfRule type="cellIs" dxfId="366" priority="64064" operator="between">
      <formula>$CQ$17</formula>
      <formula>$CQ$18</formula>
    </cfRule>
    <cfRule type="cellIs" dxfId="365" priority="64065" operator="between">
      <formula>$CQ$16</formula>
      <formula>$CQ$17</formula>
    </cfRule>
    <cfRule type="cellIs" dxfId="364" priority="64066" operator="between">
      <formula>$CQ$15</formula>
      <formula>$CQ$16</formula>
    </cfRule>
  </conditionalFormatting>
  <conditionalFormatting sqref="MR1:MR1048576 MU1:MU1048576 MY1:MY1048576 NB1:NB1048576">
    <cfRule type="cellIs" dxfId="363" priority="64099" operator="between">
      <formula>$NE$11</formula>
      <formula>$NE$12</formula>
    </cfRule>
  </conditionalFormatting>
  <conditionalFormatting sqref="DP1:DP1048576 DS1:DS1048576 DW1:DW1048576 DZ1:DZ1048576">
    <cfRule type="cellIs" dxfId="362" priority="64111" operator="between">
      <formula>$EA$18</formula>
      <formula>1000</formula>
    </cfRule>
    <cfRule type="cellIs" dxfId="361" priority="64112" operator="between">
      <formula>$EA$17</formula>
      <formula>$EA$18</formula>
    </cfRule>
    <cfRule type="cellIs" dxfId="360" priority="64113" operator="between">
      <formula>$EA$16</formula>
      <formula>$EA$17</formula>
    </cfRule>
    <cfRule type="cellIs" dxfId="359" priority="64114" operator="between">
      <formula>$EA$15</formula>
      <formula>$EA$16</formula>
    </cfRule>
  </conditionalFormatting>
  <conditionalFormatting sqref="EX1:EX1048576 FA1:FA1048576 FE1:FE1048576 FH1:FH1048576">
    <cfRule type="cellIs" dxfId="358" priority="64159" operator="between">
      <formula>$FI$18</formula>
      <formula>1000</formula>
    </cfRule>
    <cfRule type="cellIs" dxfId="357" priority="64160" operator="between">
      <formula>$FI$17</formula>
      <formula>$FI$18</formula>
    </cfRule>
    <cfRule type="cellIs" dxfId="356" priority="64161" operator="between">
      <formula>$FI$16</formula>
      <formula>$FI$17</formula>
    </cfRule>
    <cfRule type="cellIs" dxfId="355" priority="64162" operator="between">
      <formula>$FI$15</formula>
      <formula>$FI$16</formula>
    </cfRule>
  </conditionalFormatting>
  <conditionalFormatting sqref="GD1:GD1048576 GG1:GG1048576 GK1:GK1048576 GN1:GN1048576">
    <cfRule type="cellIs" dxfId="354" priority="64207" operator="between">
      <formula>$GQ$14</formula>
      <formula>1000</formula>
    </cfRule>
    <cfRule type="cellIs" dxfId="353" priority="64208" operator="between">
      <formula>$GQ$13</formula>
      <formula>$GQ$14</formula>
    </cfRule>
    <cfRule type="cellIs" dxfId="352" priority="64209" operator="between">
      <formula>$GQ$12</formula>
      <formula>$GQ$13</formula>
    </cfRule>
    <cfRule type="cellIs" dxfId="351" priority="64210" operator="between">
      <formula>$GQ$11</formula>
      <formula>$GQ$12</formula>
    </cfRule>
  </conditionalFormatting>
  <conditionalFormatting sqref="GF1:GF1048576 GI1:GI1048576 GM1:GM1048576 GP1:GP1048576">
    <cfRule type="cellIs" dxfId="350" priority="64255" operator="between">
      <formula>$GQ$18</formula>
      <formula>1000</formula>
    </cfRule>
    <cfRule type="cellIs" dxfId="349" priority="64256" operator="between">
      <formula>$GQ$17</formula>
      <formula>$GQ$18</formula>
    </cfRule>
    <cfRule type="cellIs" dxfId="348" priority="64257" operator="between">
      <formula>$GQ$16</formula>
      <formula>$GQ$17</formula>
    </cfRule>
    <cfRule type="cellIs" dxfId="347" priority="64258" operator="between">
      <formula>$GQ$15</formula>
      <formula>$GQ$16</formula>
    </cfRule>
  </conditionalFormatting>
  <conditionalFormatting sqref="HN1:HN1048576 HQ1:HQ1048576 HU1:HU1048576 HX1:HX1048576">
    <cfRule type="cellIs" dxfId="346" priority="64303" operator="between">
      <formula>$HY$18</formula>
      <formula>1000</formula>
    </cfRule>
    <cfRule type="cellIs" dxfId="345" priority="64304" operator="between">
      <formula>$HY$17</formula>
      <formula>$HY$18</formula>
    </cfRule>
    <cfRule type="cellIs" dxfId="344" priority="64305" operator="between">
      <formula>$HY$16</formula>
      <formula>$HY$17</formula>
    </cfRule>
    <cfRule type="cellIs" dxfId="343" priority="64306" operator="between">
      <formula>$HY$15</formula>
      <formula>$HY$16</formula>
    </cfRule>
  </conditionalFormatting>
  <conditionalFormatting sqref="IT1:IT1048576 IW1:IW1048576 JA1:JA1048576 JD1:JD1048576">
    <cfRule type="cellIs" dxfId="342" priority="64351" operator="between">
      <formula>$JG$14</formula>
      <formula>1000</formula>
    </cfRule>
    <cfRule type="cellIs" dxfId="341" priority="64352" operator="between">
      <formula>$JG$13</formula>
      <formula>$JG$14</formula>
    </cfRule>
    <cfRule type="cellIs" dxfId="340" priority="64353" operator="between">
      <formula>$JG$12</formula>
      <formula>$JG$13</formula>
    </cfRule>
    <cfRule type="cellIs" dxfId="339" priority="64354" operator="between">
      <formula>$JG$11</formula>
      <formula>$JG$12</formula>
    </cfRule>
  </conditionalFormatting>
  <conditionalFormatting sqref="IV1:IV1048576 IY1:IY1048576 JC1:JC1048576 JF1:JF1048576">
    <cfRule type="cellIs" dxfId="338" priority="64399" operator="between">
      <formula>$JG$18</formula>
      <formula>1000</formula>
    </cfRule>
    <cfRule type="cellIs" dxfId="337" priority="64400" operator="between">
      <formula>$JG$17</formula>
      <formula>$JG$18</formula>
    </cfRule>
    <cfRule type="cellIs" dxfId="336" priority="64401" operator="between">
      <formula>$JG$16</formula>
      <formula>$JG$17</formula>
    </cfRule>
    <cfRule type="cellIs" dxfId="335" priority="64402" operator="between">
      <formula>$JG$15</formula>
      <formula>$JG$16</formula>
    </cfRule>
  </conditionalFormatting>
  <conditionalFormatting sqref="KB1:KB1048576 KE1:KE1048576 KI1:KI1048576 KL1:KL1048576">
    <cfRule type="cellIs" dxfId="334" priority="64447" operator="between">
      <formula>$KO$14</formula>
      <formula>1000</formula>
    </cfRule>
    <cfRule type="cellIs" dxfId="333" priority="64448" operator="between">
      <formula>$KO$13</formula>
      <formula>$KO$14</formula>
    </cfRule>
    <cfRule type="cellIs" dxfId="332" priority="64449" operator="between">
      <formula>$KO$12</formula>
      <formula>$KO$13</formula>
    </cfRule>
    <cfRule type="cellIs" dxfId="331" priority="64450" operator="between">
      <formula>$KO$11</formula>
      <formula>$KO$12</formula>
    </cfRule>
  </conditionalFormatting>
  <conditionalFormatting sqref="KD1:KD1048576 KG1:KG1048576 KK1:KK1048576 KN1:KN1048576">
    <cfRule type="cellIs" dxfId="330" priority="64495" operator="between">
      <formula>$KO$18</formula>
      <formula>1000</formula>
    </cfRule>
    <cfRule type="cellIs" dxfId="329" priority="64496" operator="between">
      <formula>$KO$17</formula>
      <formula>$KO$18</formula>
    </cfRule>
    <cfRule type="cellIs" dxfId="328" priority="64497" operator="between">
      <formula>$KO$16</formula>
      <formula>$KO$17</formula>
    </cfRule>
    <cfRule type="cellIs" dxfId="327" priority="64498" operator="between">
      <formula>$KO$15</formula>
      <formula>$KO$16</formula>
    </cfRule>
  </conditionalFormatting>
  <conditionalFormatting sqref="LJ1:LJ1048576 LM1:LM1048576 LQ1:LQ1048576 LT1:LT1048576">
    <cfRule type="cellIs" dxfId="326" priority="64543" operator="between">
      <formula>$LW$14</formula>
      <formula>1000</formula>
    </cfRule>
    <cfRule type="cellIs" dxfId="325" priority="64544" operator="between">
      <formula>$LW$13</formula>
      <formula>$LW$14</formula>
    </cfRule>
    <cfRule type="cellIs" dxfId="324" priority="64545" operator="between">
      <formula>$LW$12</formula>
      <formula>$LW$13</formula>
    </cfRule>
    <cfRule type="cellIs" dxfId="323" priority="64546" operator="between">
      <formula>$LW$11</formula>
      <formula>$LW$12</formula>
    </cfRule>
  </conditionalFormatting>
  <conditionalFormatting sqref="LL1:LL1048576 LO1:LO1048576 LS1:LS1048576 LV1:LV1048576">
    <cfRule type="cellIs" dxfId="322" priority="64591" operator="between">
      <formula>$LW$18</formula>
      <formula>1000</formula>
    </cfRule>
    <cfRule type="cellIs" dxfId="321" priority="64592" operator="between">
      <formula>$LW$17</formula>
      <formula>$LW$18</formula>
    </cfRule>
    <cfRule type="cellIs" dxfId="320" priority="64593" operator="between">
      <formula>$LW$16</formula>
      <formula>$LW$17</formula>
    </cfRule>
    <cfRule type="cellIs" dxfId="319" priority="64594" operator="between">
      <formula>$LW$15</formula>
      <formula>$LW$16</formula>
    </cfRule>
  </conditionalFormatting>
  <conditionalFormatting sqref="MR1:MR1048576 MU1:MU1048576 MY1:MY1048576">
    <cfRule type="cellIs" dxfId="318" priority="64639" operator="between">
      <formula>$NE$14</formula>
      <formula>1000</formula>
    </cfRule>
    <cfRule type="cellIs" dxfId="317" priority="64640" operator="between">
      <formula>$NE$13</formula>
      <formula>$NE$14</formula>
    </cfRule>
    <cfRule type="cellIs" dxfId="316" priority="64641" operator="between">
      <formula>$NE$12</formula>
      <formula>$NE$13</formula>
    </cfRule>
  </conditionalFormatting>
  <conditionalFormatting sqref="MT1:MT1048576 MW1:MW1048576 NA1:NA1048576 ND1:ND1048576">
    <cfRule type="cellIs" dxfId="315" priority="64666" operator="between">
      <formula>$NE$18</formula>
      <formula>1000</formula>
    </cfRule>
    <cfRule type="cellIs" dxfId="314" priority="64667" operator="between">
      <formula>$NE$17</formula>
      <formula>$NE$18</formula>
    </cfRule>
    <cfRule type="cellIs" dxfId="313" priority="64668" operator="between">
      <formula>$NE$16</formula>
      <formula>$NE$17</formula>
    </cfRule>
    <cfRule type="cellIs" dxfId="312" priority="64669" operator="between">
      <formula>$NE$15</formula>
      <formula>$NE$16</formula>
    </cfRule>
  </conditionalFormatting>
  <conditionalFormatting sqref="NZ1:NZ1048576 OC1:OC1048576 OG1:OG1048576 OJ1:OJ1048576">
    <cfRule type="cellIs" dxfId="311" priority="64714" operator="between">
      <formula>$OM$14</formula>
      <formula>1000</formula>
    </cfRule>
    <cfRule type="cellIs" dxfId="310" priority="64715" operator="between">
      <formula>$OM$13</formula>
      <formula>$OM$14</formula>
    </cfRule>
    <cfRule type="cellIs" dxfId="309" priority="64716" operator="between">
      <formula>$OM$12</formula>
      <formula>$OM$13</formula>
    </cfRule>
    <cfRule type="cellIs" dxfId="308" priority="64717" operator="between">
      <formula>$OM$11</formula>
      <formula>$OM$12</formula>
    </cfRule>
  </conditionalFormatting>
  <conditionalFormatting sqref="OB1:OB1048576 OE1:OE1048576 OI1:OI1048576 OL1:OL1048576">
    <cfRule type="cellIs" dxfId="307" priority="64762" operator="between">
      <formula>$OM$18</formula>
      <formula>1000</formula>
    </cfRule>
    <cfRule type="cellIs" dxfId="306" priority="64763" operator="between">
      <formula>$OM$17</formula>
      <formula>$OM$18</formula>
    </cfRule>
    <cfRule type="cellIs" dxfId="305" priority="64764" operator="between">
      <formula>$OM$16</formula>
      <formula>$OM$17</formula>
    </cfRule>
    <cfRule type="cellIs" dxfId="304" priority="64765" operator="between">
      <formula>$OM$15</formula>
      <formula>$OM$16</formula>
    </cfRule>
  </conditionalFormatting>
  <conditionalFormatting sqref="PH1:PH1048576 PK1:PK1048576 PO1:PO1048576 PR1:PR1048576">
    <cfRule type="cellIs" dxfId="303" priority="64810" operator="between">
      <formula>$PU$14</formula>
      <formula>1000</formula>
    </cfRule>
    <cfRule type="cellIs" dxfId="302" priority="64811" operator="between">
      <formula>$PU$13</formula>
      <formula>$PU$14</formula>
    </cfRule>
    <cfRule type="cellIs" dxfId="301" priority="64812" operator="between">
      <formula>$PU$12</formula>
      <formula>$PU$13</formula>
    </cfRule>
    <cfRule type="cellIs" dxfId="300" priority="64813" operator="between">
      <formula>$PU$11</formula>
      <formula>$PU$12</formula>
    </cfRule>
  </conditionalFormatting>
  <conditionalFormatting sqref="PJ1:PJ1048576 PM1:PM1048576 PQ1:PQ1048576 PT1:PT1048576">
    <cfRule type="cellIs" dxfId="299" priority="64858" operator="between">
      <formula>$PU$18</formula>
      <formula>1000</formula>
    </cfRule>
    <cfRule type="cellIs" dxfId="298" priority="64859" operator="between">
      <formula>$PU$17</formula>
      <formula>$PU$18</formula>
    </cfRule>
    <cfRule type="cellIs" dxfId="297" priority="64860" operator="between">
      <formula>$PU$16</formula>
      <formula>$PU$17</formula>
    </cfRule>
    <cfRule type="cellIs" dxfId="296" priority="64861" operator="between">
      <formula>$PU$15</formula>
      <formula>$PU$16</formula>
    </cfRule>
  </conditionalFormatting>
  <conditionalFormatting sqref="QP1:QP1048576 QS1:QS1048576 QW1:QW1048576 QZ1:QZ1048576">
    <cfRule type="cellIs" dxfId="295" priority="64906" operator="between">
      <formula>$RC$14</formula>
      <formula>1000</formula>
    </cfRule>
    <cfRule type="cellIs" dxfId="294" priority="64907" operator="between">
      <formula>$RC$13</formula>
      <formula>$RC$14</formula>
    </cfRule>
    <cfRule type="cellIs" dxfId="293" priority="64908" operator="between">
      <formula>$RC$12</formula>
      <formula>$RC$13</formula>
    </cfRule>
    <cfRule type="cellIs" dxfId="292" priority="64909" operator="between">
      <formula>$RC$11</formula>
      <formula>$RC$12</formula>
    </cfRule>
  </conditionalFormatting>
  <conditionalFormatting sqref="QR1:QR1048576 QU1:QU1048576 QY1:QY1048576 RB1:RB1048576">
    <cfRule type="cellIs" dxfId="291" priority="64954" operator="between">
      <formula>$RC$18</formula>
      <formula>1000</formula>
    </cfRule>
    <cfRule type="cellIs" dxfId="290" priority="64955" operator="between">
      <formula>$RC$17</formula>
      <formula>$RC$18</formula>
    </cfRule>
    <cfRule type="cellIs" dxfId="289" priority="64956" operator="between">
      <formula>$RC$16</formula>
      <formula>$RC$17</formula>
    </cfRule>
    <cfRule type="cellIs" dxfId="288" priority="64957" operator="between">
      <formula>$RC$15</formula>
      <formula>$RC$16</formula>
    </cfRule>
  </conditionalFormatting>
  <conditionalFormatting sqref="RX1:RX1048576 SA1:SA1048576 SE1:SE1048576 SH1:SH1048576">
    <cfRule type="cellIs" dxfId="287" priority="65002" operator="between">
      <formula>$SK$14</formula>
      <formula>1000</formula>
    </cfRule>
    <cfRule type="cellIs" dxfId="286" priority="65003" operator="between">
      <formula>$SK$13</formula>
      <formula>$SK$14</formula>
    </cfRule>
    <cfRule type="cellIs" dxfId="285" priority="65004" operator="between">
      <formula>$SK$12</formula>
      <formula>$SK$13</formula>
    </cfRule>
    <cfRule type="cellIs" dxfId="284" priority="65005" operator="between">
      <formula>$SK$11</formula>
      <formula>$SK$12</formula>
    </cfRule>
  </conditionalFormatting>
  <conditionalFormatting sqref="RZ1:RZ1048576 SC1:SC1048576 SG1:SG1048576 SJ1:SJ1048576">
    <cfRule type="cellIs" dxfId="283" priority="65050" operator="between">
      <formula>$SK$18</formula>
      <formula>1000</formula>
    </cfRule>
    <cfRule type="cellIs" dxfId="282" priority="65051" operator="between">
      <formula>$SK$17</formula>
      <formula>$SK$18</formula>
    </cfRule>
    <cfRule type="cellIs" dxfId="281" priority="65052" operator="between">
      <formula>$SK$16</formula>
      <formula>$SK$17</formula>
    </cfRule>
    <cfRule type="cellIs" dxfId="280" priority="65053" operator="between">
      <formula>$SK$15</formula>
      <formula>$SK$16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532" width="10.83203125" hidden="1" customWidth="1"/>
  </cols>
  <sheetData>
    <row r="1" spans="1:532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18" t="s">
        <v>11</v>
      </c>
      <c r="H1" s="118" t="s">
        <v>12</v>
      </c>
      <c r="I1" s="118" t="s">
        <v>91</v>
      </c>
      <c r="J1" s="119" t="s">
        <v>126</v>
      </c>
      <c r="K1" s="117" t="s">
        <v>34</v>
      </c>
      <c r="L1" s="121" t="s">
        <v>14</v>
      </c>
      <c r="M1" s="117" t="s">
        <v>35</v>
      </c>
      <c r="N1" s="117" t="s">
        <v>34</v>
      </c>
      <c r="O1" s="114" t="s">
        <v>127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182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209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14</v>
      </c>
      <c r="CS1" s="116"/>
      <c r="CT1" s="114" t="s">
        <v>105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108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110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157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 t="s">
        <v>173</v>
      </c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 t="s">
        <v>174</v>
      </c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 t="s">
        <v>175</v>
      </c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69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19</v>
      </c>
      <c r="P2" s="112"/>
      <c r="Q2" s="112"/>
      <c r="R2" s="112"/>
      <c r="S2" s="112"/>
      <c r="T2" s="112" t="s">
        <v>20</v>
      </c>
      <c r="U2" s="112"/>
      <c r="V2" s="112"/>
      <c r="W2" s="112"/>
      <c r="X2" s="112"/>
      <c r="Y2" s="112" t="s">
        <v>23</v>
      </c>
      <c r="Z2" s="112"/>
      <c r="AA2" s="112"/>
      <c r="AB2" s="112"/>
      <c r="AC2" s="112"/>
      <c r="AD2" s="101"/>
      <c r="AE2" s="101" t="s">
        <v>116</v>
      </c>
      <c r="AF2" s="101" t="s">
        <v>167</v>
      </c>
      <c r="AG2" s="101" t="s">
        <v>21</v>
      </c>
      <c r="AH2" s="101" t="s">
        <v>82</v>
      </c>
      <c r="AI2" s="101" t="s">
        <v>166</v>
      </c>
      <c r="AJ2" s="101" t="s">
        <v>22</v>
      </c>
      <c r="AK2" s="101" t="s">
        <v>24</v>
      </c>
      <c r="AL2" s="101" t="s">
        <v>119</v>
      </c>
      <c r="AM2" s="101" t="s">
        <v>168</v>
      </c>
      <c r="AN2" s="101" t="s">
        <v>23</v>
      </c>
      <c r="AO2" s="101" t="s">
        <v>18</v>
      </c>
      <c r="AP2" s="113" t="s">
        <v>19</v>
      </c>
      <c r="AQ2" s="113"/>
      <c r="AR2" s="113"/>
      <c r="AS2" s="113"/>
      <c r="AT2" s="113"/>
      <c r="AU2" s="113" t="s">
        <v>20</v>
      </c>
      <c r="AV2" s="113"/>
      <c r="AW2" s="113"/>
      <c r="AX2" s="113"/>
      <c r="AY2" s="113"/>
      <c r="AZ2" s="113" t="s">
        <v>23</v>
      </c>
      <c r="BA2" s="113"/>
      <c r="BB2" s="113"/>
      <c r="BC2" s="113"/>
      <c r="BD2" s="113"/>
      <c r="BE2" s="102"/>
      <c r="BF2" s="102" t="s">
        <v>116</v>
      </c>
      <c r="BG2" s="102" t="s">
        <v>167</v>
      </c>
      <c r="BH2" s="102" t="s">
        <v>21</v>
      </c>
      <c r="BI2" s="102" t="s">
        <v>82</v>
      </c>
      <c r="BJ2" s="102" t="s">
        <v>166</v>
      </c>
      <c r="BK2" s="102" t="s">
        <v>22</v>
      </c>
      <c r="BL2" s="102" t="s">
        <v>24</v>
      </c>
      <c r="BM2" s="102" t="s">
        <v>119</v>
      </c>
      <c r="BN2" s="102" t="s">
        <v>168</v>
      </c>
      <c r="BO2" s="102" t="s">
        <v>23</v>
      </c>
      <c r="BP2" s="102" t="s">
        <v>18</v>
      </c>
      <c r="BQ2" s="112" t="s">
        <v>19</v>
      </c>
      <c r="BR2" s="112"/>
      <c r="BS2" s="112"/>
      <c r="BT2" s="112"/>
      <c r="BU2" s="112"/>
      <c r="BV2" s="112" t="s">
        <v>20</v>
      </c>
      <c r="BW2" s="112"/>
      <c r="BX2" s="112"/>
      <c r="BY2" s="112"/>
      <c r="BZ2" s="112"/>
      <c r="CA2" s="112" t="s">
        <v>23</v>
      </c>
      <c r="CB2" s="112"/>
      <c r="CC2" s="112"/>
      <c r="CD2" s="112"/>
      <c r="CE2" s="112"/>
      <c r="CF2" s="101"/>
      <c r="CG2" s="101" t="s">
        <v>116</v>
      </c>
      <c r="CH2" s="101" t="s">
        <v>167</v>
      </c>
      <c r="CI2" s="101" t="s">
        <v>21</v>
      </c>
      <c r="CJ2" s="101" t="s">
        <v>82</v>
      </c>
      <c r="CK2" s="101" t="s">
        <v>166</v>
      </c>
      <c r="CL2" s="101" t="s">
        <v>22</v>
      </c>
      <c r="CM2" s="101" t="s">
        <v>24</v>
      </c>
      <c r="CN2" s="101" t="s">
        <v>119</v>
      </c>
      <c r="CO2" s="101" t="s">
        <v>168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2" t="s">
        <v>19</v>
      </c>
      <c r="CU2" s="112"/>
      <c r="CV2" s="112"/>
      <c r="CW2" s="112"/>
      <c r="CX2" s="112"/>
      <c r="CY2" s="112" t="s">
        <v>20</v>
      </c>
      <c r="CZ2" s="112"/>
      <c r="DA2" s="112"/>
      <c r="DB2" s="112"/>
      <c r="DC2" s="112"/>
      <c r="DD2" s="112" t="s">
        <v>121</v>
      </c>
      <c r="DE2" s="112"/>
      <c r="DF2" s="112"/>
      <c r="DG2" s="112"/>
      <c r="DH2" s="112"/>
      <c r="DI2" s="112" t="s">
        <v>23</v>
      </c>
      <c r="DJ2" s="112"/>
      <c r="DK2" s="112"/>
      <c r="DL2" s="112"/>
      <c r="DM2" s="112"/>
      <c r="DN2" s="101" t="s">
        <v>116</v>
      </c>
      <c r="DO2" s="101" t="s">
        <v>167</v>
      </c>
      <c r="DP2" s="101" t="s">
        <v>21</v>
      </c>
      <c r="DQ2" s="101" t="s">
        <v>82</v>
      </c>
      <c r="DR2" s="101" t="s">
        <v>166</v>
      </c>
      <c r="DS2" s="101" t="s">
        <v>22</v>
      </c>
      <c r="DT2" s="101" t="s">
        <v>24</v>
      </c>
      <c r="DU2" s="101" t="s">
        <v>122</v>
      </c>
      <c r="DV2" s="101" t="s">
        <v>169</v>
      </c>
      <c r="DW2" s="101" t="s">
        <v>121</v>
      </c>
      <c r="DX2" s="101" t="s">
        <v>119</v>
      </c>
      <c r="DY2" s="101" t="s">
        <v>168</v>
      </c>
      <c r="DZ2" s="101" t="s">
        <v>23</v>
      </c>
      <c r="EA2" s="101" t="s">
        <v>18</v>
      </c>
      <c r="EB2" s="113" t="s">
        <v>19</v>
      </c>
      <c r="EC2" s="113"/>
      <c r="ED2" s="113"/>
      <c r="EE2" s="113"/>
      <c r="EF2" s="113"/>
      <c r="EG2" s="113" t="s">
        <v>20</v>
      </c>
      <c r="EH2" s="113"/>
      <c r="EI2" s="113"/>
      <c r="EJ2" s="113"/>
      <c r="EK2" s="113"/>
      <c r="EL2" s="113" t="s">
        <v>121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102" t="s">
        <v>116</v>
      </c>
      <c r="EW2" s="102" t="s">
        <v>167</v>
      </c>
      <c r="EX2" s="102" t="s">
        <v>21</v>
      </c>
      <c r="EY2" s="102" t="s">
        <v>82</v>
      </c>
      <c r="EZ2" s="102" t="s">
        <v>166</v>
      </c>
      <c r="FA2" s="102" t="s">
        <v>22</v>
      </c>
      <c r="FB2" s="102" t="s">
        <v>24</v>
      </c>
      <c r="FC2" s="102" t="s">
        <v>122</v>
      </c>
      <c r="FD2" s="102" t="s">
        <v>169</v>
      </c>
      <c r="FE2" s="102" t="s">
        <v>121</v>
      </c>
      <c r="FF2" s="102" t="s">
        <v>119</v>
      </c>
      <c r="FG2" s="102" t="s">
        <v>168</v>
      </c>
      <c r="FH2" s="102" t="s">
        <v>23</v>
      </c>
      <c r="FI2" s="102" t="s">
        <v>18</v>
      </c>
      <c r="FJ2" s="112" t="s">
        <v>19</v>
      </c>
      <c r="FK2" s="112"/>
      <c r="FL2" s="112"/>
      <c r="FM2" s="112"/>
      <c r="FN2" s="112"/>
      <c r="FO2" s="112" t="s">
        <v>20</v>
      </c>
      <c r="FP2" s="112"/>
      <c r="FQ2" s="112"/>
      <c r="FR2" s="112"/>
      <c r="FS2" s="112"/>
      <c r="FT2" s="112" t="s">
        <v>121</v>
      </c>
      <c r="FU2" s="112"/>
      <c r="FV2" s="112"/>
      <c r="FW2" s="112"/>
      <c r="FX2" s="112"/>
      <c r="FY2" s="112" t="s">
        <v>23</v>
      </c>
      <c r="FZ2" s="112"/>
      <c r="GA2" s="112"/>
      <c r="GB2" s="112"/>
      <c r="GC2" s="112"/>
      <c r="GD2" s="101" t="s">
        <v>116</v>
      </c>
      <c r="GE2" s="101" t="s">
        <v>167</v>
      </c>
      <c r="GF2" s="101" t="s">
        <v>21</v>
      </c>
      <c r="GG2" s="101" t="s">
        <v>82</v>
      </c>
      <c r="GH2" s="101" t="s">
        <v>166</v>
      </c>
      <c r="GI2" s="101" t="s">
        <v>22</v>
      </c>
      <c r="GJ2" s="101" t="s">
        <v>24</v>
      </c>
      <c r="GK2" s="101" t="s">
        <v>122</v>
      </c>
      <c r="GL2" s="101" t="s">
        <v>169</v>
      </c>
      <c r="GM2" s="101" t="s">
        <v>121</v>
      </c>
      <c r="GN2" s="101" t="s">
        <v>119</v>
      </c>
      <c r="GO2" s="101" t="s">
        <v>168</v>
      </c>
      <c r="GP2" s="101" t="s">
        <v>23</v>
      </c>
      <c r="GQ2" s="101" t="s">
        <v>18</v>
      </c>
      <c r="GR2" s="113" t="s">
        <v>19</v>
      </c>
      <c r="GS2" s="113"/>
      <c r="GT2" s="113"/>
      <c r="GU2" s="113"/>
      <c r="GV2" s="113"/>
      <c r="GW2" s="113" t="s">
        <v>20</v>
      </c>
      <c r="GX2" s="113"/>
      <c r="GY2" s="113"/>
      <c r="GZ2" s="113"/>
      <c r="HA2" s="113"/>
      <c r="HB2" s="113" t="s">
        <v>121</v>
      </c>
      <c r="HC2" s="113"/>
      <c r="HD2" s="113"/>
      <c r="HE2" s="113"/>
      <c r="HF2" s="113"/>
      <c r="HG2" s="113" t="s">
        <v>23</v>
      </c>
      <c r="HH2" s="113"/>
      <c r="HI2" s="113"/>
      <c r="HJ2" s="113"/>
      <c r="HK2" s="113"/>
      <c r="HL2" s="102" t="s">
        <v>116</v>
      </c>
      <c r="HM2" s="102" t="s">
        <v>167</v>
      </c>
      <c r="HN2" s="102" t="s">
        <v>21</v>
      </c>
      <c r="HO2" s="102" t="s">
        <v>82</v>
      </c>
      <c r="HP2" s="102" t="s">
        <v>166</v>
      </c>
      <c r="HQ2" s="102" t="s">
        <v>22</v>
      </c>
      <c r="HR2" s="102" t="s">
        <v>24</v>
      </c>
      <c r="HS2" s="102" t="s">
        <v>122</v>
      </c>
      <c r="HT2" s="102" t="s">
        <v>169</v>
      </c>
      <c r="HU2" s="102" t="s">
        <v>121</v>
      </c>
      <c r="HV2" s="102" t="s">
        <v>119</v>
      </c>
      <c r="HW2" s="102" t="s">
        <v>168</v>
      </c>
      <c r="HX2" s="102" t="s">
        <v>23</v>
      </c>
      <c r="HY2" s="102" t="s">
        <v>18</v>
      </c>
      <c r="HZ2" s="112" t="s">
        <v>19</v>
      </c>
      <c r="IA2" s="112"/>
      <c r="IB2" s="112"/>
      <c r="IC2" s="112"/>
      <c r="ID2" s="112"/>
      <c r="IE2" s="112" t="s">
        <v>20</v>
      </c>
      <c r="IF2" s="112"/>
      <c r="IG2" s="112"/>
      <c r="IH2" s="112"/>
      <c r="II2" s="112"/>
      <c r="IJ2" s="112" t="s">
        <v>121</v>
      </c>
      <c r="IK2" s="112"/>
      <c r="IL2" s="112"/>
      <c r="IM2" s="112"/>
      <c r="IN2" s="112"/>
      <c r="IO2" s="112" t="s">
        <v>23</v>
      </c>
      <c r="IP2" s="112"/>
      <c r="IQ2" s="112"/>
      <c r="IR2" s="112"/>
      <c r="IS2" s="112"/>
      <c r="IT2" s="101" t="s">
        <v>116</v>
      </c>
      <c r="IU2" s="101" t="s">
        <v>167</v>
      </c>
      <c r="IV2" s="101" t="s">
        <v>21</v>
      </c>
      <c r="IW2" s="101" t="s">
        <v>82</v>
      </c>
      <c r="IX2" s="101" t="s">
        <v>166</v>
      </c>
      <c r="IY2" s="101" t="s">
        <v>22</v>
      </c>
      <c r="IZ2" s="101" t="s">
        <v>24</v>
      </c>
      <c r="JA2" s="101" t="s">
        <v>122</v>
      </c>
      <c r="JB2" s="101" t="s">
        <v>169</v>
      </c>
      <c r="JC2" s="101" t="s">
        <v>121</v>
      </c>
      <c r="JD2" s="101" t="s">
        <v>119</v>
      </c>
      <c r="JE2" s="101" t="s">
        <v>168</v>
      </c>
      <c r="JF2" s="101" t="s">
        <v>23</v>
      </c>
      <c r="JG2" s="101" t="s">
        <v>18</v>
      </c>
      <c r="JH2" s="113" t="s">
        <v>19</v>
      </c>
      <c r="JI2" s="113"/>
      <c r="JJ2" s="113"/>
      <c r="JK2" s="113"/>
      <c r="JL2" s="113"/>
      <c r="JM2" s="113" t="s">
        <v>20</v>
      </c>
      <c r="JN2" s="113"/>
      <c r="JO2" s="113"/>
      <c r="JP2" s="113"/>
      <c r="JQ2" s="113"/>
      <c r="JR2" s="113" t="s">
        <v>121</v>
      </c>
      <c r="JS2" s="113"/>
      <c r="JT2" s="113"/>
      <c r="JU2" s="113"/>
      <c r="JV2" s="113"/>
      <c r="JW2" s="113" t="s">
        <v>23</v>
      </c>
      <c r="JX2" s="113"/>
      <c r="JY2" s="113"/>
      <c r="JZ2" s="113"/>
      <c r="KA2" s="113"/>
      <c r="KB2" s="102" t="s">
        <v>116</v>
      </c>
      <c r="KC2" s="102" t="s">
        <v>167</v>
      </c>
      <c r="KD2" s="102" t="s">
        <v>21</v>
      </c>
      <c r="KE2" s="102" t="s">
        <v>82</v>
      </c>
      <c r="KF2" s="102" t="s">
        <v>166</v>
      </c>
      <c r="KG2" s="102" t="s">
        <v>22</v>
      </c>
      <c r="KH2" s="102" t="s">
        <v>24</v>
      </c>
      <c r="KI2" s="102" t="s">
        <v>122</v>
      </c>
      <c r="KJ2" s="102" t="s">
        <v>169</v>
      </c>
      <c r="KK2" s="102" t="s">
        <v>121</v>
      </c>
      <c r="KL2" s="102" t="s">
        <v>119</v>
      </c>
      <c r="KM2" s="102" t="s">
        <v>168</v>
      </c>
      <c r="KN2" s="102" t="s">
        <v>23</v>
      </c>
      <c r="KO2" s="102" t="s">
        <v>18</v>
      </c>
      <c r="KP2" s="112" t="s">
        <v>19</v>
      </c>
      <c r="KQ2" s="112"/>
      <c r="KR2" s="112"/>
      <c r="KS2" s="112"/>
      <c r="KT2" s="112"/>
      <c r="KU2" s="112" t="s">
        <v>20</v>
      </c>
      <c r="KV2" s="112"/>
      <c r="KW2" s="112"/>
      <c r="KX2" s="112"/>
      <c r="KY2" s="112"/>
      <c r="KZ2" s="112" t="s">
        <v>121</v>
      </c>
      <c r="LA2" s="112"/>
      <c r="LB2" s="112"/>
      <c r="LC2" s="112"/>
      <c r="LD2" s="112"/>
      <c r="LE2" s="112" t="s">
        <v>23</v>
      </c>
      <c r="LF2" s="112"/>
      <c r="LG2" s="112"/>
      <c r="LH2" s="112"/>
      <c r="LI2" s="112"/>
      <c r="LJ2" s="101" t="s">
        <v>116</v>
      </c>
      <c r="LK2" s="101" t="s">
        <v>167</v>
      </c>
      <c r="LL2" s="101" t="s">
        <v>21</v>
      </c>
      <c r="LM2" s="101" t="s">
        <v>82</v>
      </c>
      <c r="LN2" s="101" t="s">
        <v>166</v>
      </c>
      <c r="LO2" s="101" t="s">
        <v>22</v>
      </c>
      <c r="LP2" s="101" t="s">
        <v>24</v>
      </c>
      <c r="LQ2" s="101" t="s">
        <v>122</v>
      </c>
      <c r="LR2" s="101" t="s">
        <v>169</v>
      </c>
      <c r="LS2" s="101" t="s">
        <v>121</v>
      </c>
      <c r="LT2" s="101" t="s">
        <v>119</v>
      </c>
      <c r="LU2" s="101" t="s">
        <v>168</v>
      </c>
      <c r="LV2" s="101" t="s">
        <v>23</v>
      </c>
      <c r="LW2" s="101" t="s">
        <v>18</v>
      </c>
      <c r="LX2" s="113" t="s">
        <v>19</v>
      </c>
      <c r="LY2" s="113"/>
      <c r="LZ2" s="113"/>
      <c r="MA2" s="113"/>
      <c r="MB2" s="113"/>
      <c r="MC2" s="113" t="s">
        <v>20</v>
      </c>
      <c r="MD2" s="113"/>
      <c r="ME2" s="113"/>
      <c r="MF2" s="113"/>
      <c r="MG2" s="113"/>
      <c r="MH2" s="113" t="s">
        <v>121</v>
      </c>
      <c r="MI2" s="113"/>
      <c r="MJ2" s="113"/>
      <c r="MK2" s="113"/>
      <c r="ML2" s="113"/>
      <c r="MM2" s="113" t="s">
        <v>23</v>
      </c>
      <c r="MN2" s="113"/>
      <c r="MO2" s="113"/>
      <c r="MP2" s="113"/>
      <c r="MQ2" s="113"/>
      <c r="MR2" s="102" t="s">
        <v>116</v>
      </c>
      <c r="MS2" s="102" t="s">
        <v>167</v>
      </c>
      <c r="MT2" s="102" t="s">
        <v>21</v>
      </c>
      <c r="MU2" s="102" t="s">
        <v>82</v>
      </c>
      <c r="MV2" s="102" t="s">
        <v>166</v>
      </c>
      <c r="MW2" s="102" t="s">
        <v>22</v>
      </c>
      <c r="MX2" s="102" t="s">
        <v>24</v>
      </c>
      <c r="MY2" s="102" t="s">
        <v>122</v>
      </c>
      <c r="MZ2" s="102" t="s">
        <v>169</v>
      </c>
      <c r="NA2" s="102" t="s">
        <v>121</v>
      </c>
      <c r="NB2" s="102" t="s">
        <v>119</v>
      </c>
      <c r="NC2" s="102" t="s">
        <v>168</v>
      </c>
      <c r="ND2" s="102" t="s">
        <v>23</v>
      </c>
      <c r="NE2" s="102" t="s">
        <v>18</v>
      </c>
      <c r="NF2" s="112" t="s">
        <v>19</v>
      </c>
      <c r="NG2" s="112"/>
      <c r="NH2" s="112"/>
      <c r="NI2" s="112"/>
      <c r="NJ2" s="112"/>
      <c r="NK2" s="112" t="s">
        <v>20</v>
      </c>
      <c r="NL2" s="112"/>
      <c r="NM2" s="112"/>
      <c r="NN2" s="112"/>
      <c r="NO2" s="112"/>
      <c r="NP2" s="112" t="s">
        <v>121</v>
      </c>
      <c r="NQ2" s="112"/>
      <c r="NR2" s="112"/>
      <c r="NS2" s="112"/>
      <c r="NT2" s="112"/>
      <c r="NU2" s="112" t="s">
        <v>23</v>
      </c>
      <c r="NV2" s="112"/>
      <c r="NW2" s="112"/>
      <c r="NX2" s="112"/>
      <c r="NY2" s="112"/>
      <c r="NZ2" s="101" t="s">
        <v>116</v>
      </c>
      <c r="OA2" s="101" t="s">
        <v>167</v>
      </c>
      <c r="OB2" s="101" t="s">
        <v>21</v>
      </c>
      <c r="OC2" s="101" t="s">
        <v>82</v>
      </c>
      <c r="OD2" s="101" t="s">
        <v>166</v>
      </c>
      <c r="OE2" s="101" t="s">
        <v>22</v>
      </c>
      <c r="OF2" s="101" t="s">
        <v>24</v>
      </c>
      <c r="OG2" s="101" t="s">
        <v>122</v>
      </c>
      <c r="OH2" s="101" t="s">
        <v>169</v>
      </c>
      <c r="OI2" s="101" t="s">
        <v>121</v>
      </c>
      <c r="OJ2" s="101" t="s">
        <v>119</v>
      </c>
      <c r="OK2" s="101" t="s">
        <v>168</v>
      </c>
      <c r="OL2" s="101" t="s">
        <v>23</v>
      </c>
      <c r="OM2" s="101" t="s">
        <v>18</v>
      </c>
      <c r="ON2" s="113" t="s">
        <v>19</v>
      </c>
      <c r="OO2" s="113"/>
      <c r="OP2" s="113"/>
      <c r="OQ2" s="113"/>
      <c r="OR2" s="113"/>
      <c r="OS2" s="113" t="s">
        <v>20</v>
      </c>
      <c r="OT2" s="113"/>
      <c r="OU2" s="113"/>
      <c r="OV2" s="113"/>
      <c r="OW2" s="113"/>
      <c r="OX2" s="113" t="s">
        <v>121</v>
      </c>
      <c r="OY2" s="113"/>
      <c r="OZ2" s="113"/>
      <c r="PA2" s="113"/>
      <c r="PB2" s="113"/>
      <c r="PC2" s="113" t="s">
        <v>23</v>
      </c>
      <c r="PD2" s="113"/>
      <c r="PE2" s="113"/>
      <c r="PF2" s="113"/>
      <c r="PG2" s="113"/>
      <c r="PH2" s="102" t="s">
        <v>116</v>
      </c>
      <c r="PI2" s="102" t="s">
        <v>167</v>
      </c>
      <c r="PJ2" s="102" t="s">
        <v>21</v>
      </c>
      <c r="PK2" s="102" t="s">
        <v>82</v>
      </c>
      <c r="PL2" s="102" t="s">
        <v>166</v>
      </c>
      <c r="PM2" s="102" t="s">
        <v>22</v>
      </c>
      <c r="PN2" s="102" t="s">
        <v>24</v>
      </c>
      <c r="PO2" s="102" t="s">
        <v>122</v>
      </c>
      <c r="PP2" s="102" t="s">
        <v>169</v>
      </c>
      <c r="PQ2" s="102" t="s">
        <v>121</v>
      </c>
      <c r="PR2" s="102" t="s">
        <v>119</v>
      </c>
      <c r="PS2" s="102" t="s">
        <v>168</v>
      </c>
      <c r="PT2" s="102" t="s">
        <v>23</v>
      </c>
      <c r="PU2" s="102" t="s">
        <v>18</v>
      </c>
      <c r="PV2" s="112" t="s">
        <v>19</v>
      </c>
      <c r="PW2" s="112"/>
      <c r="PX2" s="112"/>
      <c r="PY2" s="112"/>
      <c r="PZ2" s="112"/>
      <c r="QA2" s="112" t="s">
        <v>20</v>
      </c>
      <c r="QB2" s="112"/>
      <c r="QC2" s="112"/>
      <c r="QD2" s="112"/>
      <c r="QE2" s="112"/>
      <c r="QF2" s="112" t="s">
        <v>121</v>
      </c>
      <c r="QG2" s="112"/>
      <c r="QH2" s="112"/>
      <c r="QI2" s="112"/>
      <c r="QJ2" s="112"/>
      <c r="QK2" s="112" t="s">
        <v>23</v>
      </c>
      <c r="QL2" s="112"/>
      <c r="QM2" s="112"/>
      <c r="QN2" s="112"/>
      <c r="QO2" s="112"/>
      <c r="QP2" s="101" t="s">
        <v>116</v>
      </c>
      <c r="QQ2" s="101" t="s">
        <v>167</v>
      </c>
      <c r="QR2" s="101" t="s">
        <v>21</v>
      </c>
      <c r="QS2" s="101" t="s">
        <v>82</v>
      </c>
      <c r="QT2" s="101" t="s">
        <v>166</v>
      </c>
      <c r="QU2" s="101" t="s">
        <v>22</v>
      </c>
      <c r="QV2" s="101" t="s">
        <v>24</v>
      </c>
      <c r="QW2" s="101" t="s">
        <v>122</v>
      </c>
      <c r="QX2" s="101" t="s">
        <v>169</v>
      </c>
      <c r="QY2" s="101" t="s">
        <v>121</v>
      </c>
      <c r="QZ2" s="101" t="s">
        <v>119</v>
      </c>
      <c r="RA2" s="101" t="s">
        <v>168</v>
      </c>
      <c r="RB2" s="101" t="s">
        <v>23</v>
      </c>
      <c r="RC2" s="101" t="s">
        <v>18</v>
      </c>
      <c r="RD2" s="113" t="s">
        <v>19</v>
      </c>
      <c r="RE2" s="113"/>
      <c r="RF2" s="113"/>
      <c r="RG2" s="113"/>
      <c r="RH2" s="113"/>
      <c r="RI2" s="113" t="s">
        <v>20</v>
      </c>
      <c r="RJ2" s="113"/>
      <c r="RK2" s="113"/>
      <c r="RL2" s="113"/>
      <c r="RM2" s="113"/>
      <c r="RN2" s="113" t="s">
        <v>121</v>
      </c>
      <c r="RO2" s="113"/>
      <c r="RP2" s="113"/>
      <c r="RQ2" s="113"/>
      <c r="RR2" s="113"/>
      <c r="RS2" s="113" t="s">
        <v>23</v>
      </c>
      <c r="RT2" s="113"/>
      <c r="RU2" s="113"/>
      <c r="RV2" s="113"/>
      <c r="RW2" s="113"/>
      <c r="RX2" s="102" t="s">
        <v>116</v>
      </c>
      <c r="RY2" s="102" t="s">
        <v>167</v>
      </c>
      <c r="RZ2" s="102" t="s">
        <v>21</v>
      </c>
      <c r="SA2" s="102" t="s">
        <v>82</v>
      </c>
      <c r="SB2" s="102" t="s">
        <v>166</v>
      </c>
      <c r="SC2" s="102" t="s">
        <v>22</v>
      </c>
      <c r="SD2" s="102" t="s">
        <v>24</v>
      </c>
      <c r="SE2" s="102" t="s">
        <v>122</v>
      </c>
      <c r="SF2" s="102" t="s">
        <v>169</v>
      </c>
      <c r="SG2" s="102" t="s">
        <v>121</v>
      </c>
      <c r="SH2" s="102" t="s">
        <v>119</v>
      </c>
      <c r="SI2" s="102" t="s">
        <v>168</v>
      </c>
      <c r="SJ2" s="102" t="s">
        <v>23</v>
      </c>
      <c r="SK2" s="102" t="s">
        <v>18</v>
      </c>
      <c r="SL2" s="112" t="s">
        <v>19</v>
      </c>
      <c r="SM2" s="112"/>
      <c r="SN2" s="112"/>
      <c r="SO2" s="112"/>
      <c r="SP2" s="112"/>
      <c r="SQ2" s="112" t="s">
        <v>20</v>
      </c>
      <c r="SR2" s="112"/>
      <c r="SS2" s="112"/>
      <c r="ST2" s="112"/>
      <c r="SU2" s="112"/>
      <c r="SV2" s="112" t="s">
        <v>23</v>
      </c>
      <c r="SW2" s="112"/>
      <c r="SX2" s="112"/>
      <c r="SY2" s="112"/>
      <c r="SZ2" s="112"/>
      <c r="TA2" s="101"/>
      <c r="TB2" s="101" t="s">
        <v>116</v>
      </c>
      <c r="TC2" s="101" t="s">
        <v>167</v>
      </c>
      <c r="TD2" s="101" t="s">
        <v>21</v>
      </c>
      <c r="TE2" s="101" t="s">
        <v>82</v>
      </c>
      <c r="TF2" s="101" t="s">
        <v>166</v>
      </c>
      <c r="TG2" s="101" t="s">
        <v>22</v>
      </c>
      <c r="TH2" s="101" t="s">
        <v>24</v>
      </c>
      <c r="TI2" s="101" t="s">
        <v>119</v>
      </c>
      <c r="TJ2" s="101" t="s">
        <v>168</v>
      </c>
      <c r="TK2" s="101" t="s">
        <v>23</v>
      </c>
      <c r="TL2" s="101" t="s">
        <v>18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15</v>
      </c>
      <c r="P3" s="101" t="s">
        <v>16</v>
      </c>
      <c r="Q3" s="101" t="s">
        <v>10</v>
      </c>
      <c r="R3" s="101" t="s">
        <v>165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165</v>
      </c>
      <c r="X3" s="101" t="s">
        <v>31</v>
      </c>
      <c r="Y3" s="110" t="s">
        <v>15</v>
      </c>
      <c r="Z3" s="110" t="s">
        <v>16</v>
      </c>
      <c r="AA3" s="110" t="s">
        <v>10</v>
      </c>
      <c r="AB3" s="110" t="s">
        <v>165</v>
      </c>
      <c r="AC3" s="110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165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165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165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165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165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165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165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165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165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165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165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165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165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165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165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165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165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165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165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165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165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165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165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165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165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165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165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165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165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165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165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165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165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165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165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165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165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165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165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165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165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165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165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165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165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165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165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165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165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165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165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165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165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165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165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165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165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" t="s">
        <v>160</v>
      </c>
      <c r="C4" s="7" t="s">
        <v>159</v>
      </c>
      <c r="D4" s="5" t="s">
        <v>158</v>
      </c>
      <c r="E4" s="14">
        <f>SUM(J4,L4)</f>
        <v>48</v>
      </c>
      <c r="F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>P</v>
      </c>
      <c r="G4" s="3" t="str">
        <f>IF(OR(AND(AG4&gt;=AO$16,AG4&lt;&gt;"",AD4=""),AND(AJ4&gt;=AO$16,AJ4&lt;&gt;"",AD4=""),AND(AN4&gt;=AO$16,AN4&lt;&gt;"",AD4=""),AND(BH4&gt;=BP$16,BH4&lt;&gt;"",BE4=""),AND(BK4&gt;=BP$16,BK4&lt;&gt;"",BE4=""),AND(BO4&gt;=BP$16,BO4&lt;&gt;"",BE4=""),AND(CI4&gt;=CQ$16,CI4&lt;&gt;"",CF4=""),AND(CL4&gt;=CQ$16,CL4&lt;&gt;"",CF4=""),AND(CP4&gt;=CQ$16,CP4&lt;&gt;"",CF4=""),AND(DP4&gt;=EA$16,DP4&lt;&gt;""),AND(DS4&gt;=EA$16,DS4&lt;&gt;""),AND(DW4&gt;=EA$16,DW4&lt;&gt;""),AND(DZ4&gt;=EA$16,DZ4&lt;&gt;""),AND(EX4&gt;=FI$16,EX4&lt;&gt;""),AND(FA4&gt;=FI$16,FA4&lt;&gt;""),AND(FE4&gt;=FI$16,FE4&lt;&gt;""),AND(FH4&gt;=FI$16,FH4&lt;&gt;""),AND(GF4&gt;=GQ$16,GF4&lt;&gt;""),AND(GI4&gt;=GQ$16,GI4&lt;&gt;""),AND(GM4&gt;=GQ$16,GM4&lt;&gt;""),AND(GP4&gt;=GQ$16,GP4&lt;&gt;""),AND(HN4&gt;=HY$16,HN4&lt;&gt;""),AND(HQ4&gt;=HY$16,HQ4&lt;&gt;""),AND(HU4&gt;=HY$16,HU4&lt;&gt;""),AND(HX4&gt;=HY$16,HX4&lt;&gt;""),AND(IV4&gt;=JG$16,IV4&lt;&gt;""),AND(IY4&gt;=JG$16,IY4&lt;&gt;""),AND(JC4&gt;=JG$16,JC4&lt;&gt;""),AND(JF4&gt;=JG$16,JF4&lt;&gt;""),AND(KD4&gt;=KO$16,KD4&lt;&gt;""),AND(KG4&gt;=KO$16,KG4&lt;&gt;""),AND(KK4&gt;=KO$16,KK4&lt;&gt;""),AND(KN4&gt;=KO$16,KN4&lt;&gt;""),AND(LL4&gt;=LW$16,LL4&lt;&gt;""),AND(LO4&gt;=LW$16,LO4&lt;&gt;""),AND(LS4&gt;=LW$16,LS4&lt;&gt;""),AND(LV4&gt;=LW$16,LV4&lt;&gt;""),AND(MT4&gt;=NE$16,MT4&lt;&gt;""),AND(MW4&gt;=NE$16,MW4&lt;&gt;""),AND(NA4&gt;=NE$16,NA4&lt;&gt;""),AND(ND4&gt;=NE$16,ND4&lt;&gt;""),AND(OB4&gt;=OM$16,OB4&lt;&gt;""),AND(OE4&gt;=OM$16,OE4&lt;&gt;""),AND(OI4&gt;=OM$16,OI4&lt;&gt;""),AND(OL4&gt;=OM$16,OL4&lt;&gt;""),AND(PJ4&gt;=PU$16,PJ4&lt;&gt;""),AND(PM4&gt;=PU$16,PM4&lt;&gt;""),AND(PQ4&gt;=PU$16,PQ4&lt;&gt;""),AND(PT4&gt;=PU$16,PT4&lt;&gt;""),AND(QR4&gt;=RC$16,QR4&lt;&gt;""),AND(QU4&gt;=RC$16,QU4&lt;&gt;""),AND(QY4&gt;=RC$16,QY4&lt;&gt;""),AND(RB4&gt;=RC$16,RB4&lt;&gt;""),AND(RZ4&gt;=SK$16,RZ4&lt;&gt;""),AND(SC4&gt;=SK$16,SC4&lt;&gt;""),AND(SG4&gt;=SK$16,SG4&lt;&gt;""),AND(SJ4&gt;=SK$16,SJ4&lt;&gt;"")),"P","")</f>
        <v>P</v>
      </c>
      <c r="H4" s="70" t="str">
        <f>IF(AND(G4="P",F4=""),"No DD",IF(OR(AND(AE4&gt;=AO$15,AE4&lt;&gt;"",AG4&gt;=AO$19,AG4&lt;&gt;"",AD4=""),AND(AH4&gt;=AO$15,AH4&lt;&gt;"",AJ4&gt;=AO$19,AJ4&lt;&gt;"",AD4=""),AND(AL4&gt;=AO$15,AL4&lt;&gt;"",AN4&gt;=AO$19,AN4&lt;&gt;"",AD4=""),AND(BF4&gt;=BP$15,BF4&lt;&gt;"",BH4&gt;=BP$19,BH4&lt;&gt;"",BE4=""),AND(BI4&gt;=BP$15,BI4&lt;&gt;"",BK4&gt;=BP$19,BK4&lt;&gt;"",BE4=""),AND(BM4&gt;=BP$15,BM4&lt;&gt;"",BO4&gt;=BP$19,BO4&lt;&gt;"",BE4=""),AND(CG4&gt;=CQ$15,CG4&lt;&gt;"",CI4&gt;=CQ$19,CI4&lt;&gt;"",CF4=""),AND(CJ4&gt;=CQ$15,CJ4&lt;&gt;"",CL4&gt;=CQ$19,CL4&lt;&gt;"",CF4=""),AND(CN4&gt;=CQ$15,CN4&lt;&gt;"",CP4&gt;=CQ$19,CP4&lt;&gt;"",CF4=""),AND(DN4&gt;=EA$15,DN4&lt;&gt;"",DP4&gt;=EA$19,DP4&lt;&gt;""),AND(DQ4&gt;=EA$15,DQ4&lt;&gt;"",DS4&gt;=EA$19,DS4&lt;&gt;""),AND(DU4&gt;=EA$15,DU4&lt;&gt;"",DW4&gt;=EA$19,DW4&lt;&gt;""),AND(DX4&gt;=EA$15,DX4&lt;&gt;"",DZ4&gt;=EA$19,DZ4&lt;&gt;""),AND(EV4&gt;=FI$15,EV4&lt;&gt;"",EX4&gt;=FI$19,EX4&lt;&gt;""),AND(EY4&gt;=FI$15,EY4&lt;&gt;"",FA4&gt;=FI$19,FA4&lt;&gt;""),AND(FC4&gt;=FI$15,FC4&lt;&gt;"",FE4&gt;=FI$19,FE4&lt;&gt;""),AND(FF4&gt;=FI$15,FF4&lt;&gt;"",FH4&gt;=FI$19,FH4&lt;&gt;""),AND(GD4&gt;=GQ$15,GD4&lt;&gt;"",GF4&gt;=GQ$19,GF4&lt;&gt;""),AND(GG4&gt;=GQ$15,GG4&lt;&gt;"",GI4&gt;=GQ$19,GI4&lt;&gt;""),AND(GK4&gt;=GQ$15,GK4&lt;&gt;"",GM4&gt;=GQ$19,GM4&lt;&gt;""),AND(GN4&gt;=GQ$15,GN4&lt;&gt;"",GP4&gt;=GQ$19,GP4&lt;&gt;""),AND(HL4&gt;=HY$15,HL4&lt;&gt;"",HN4&gt;=HY$19,HN4&lt;&gt;""),AND(HO4&gt;=HY$15,HO4&lt;&gt;"",HQ4&gt;=HY$19,HQ4&lt;&gt;""),AND(HS4&gt;=HY$15,HS4&lt;&gt;"",HU4&gt;=HY$19,HU4&lt;&gt;""),AND(HV4&gt;=HY$15,HV4&lt;&gt;"",HX4&gt;=HY$19,HX4&lt;&gt;""),AND(IT4&gt;=JG$15,IT4&lt;&gt;"",IV4&gt;=JG$19,IV4&lt;&gt;""),AND(IW4&gt;=JG$15,IW4&lt;&gt;"",IY4&gt;=JG$19,IY4&lt;&gt;""),AND(JA4&gt;=JG$15,JA4&lt;&gt;"",JC4&gt;=JG$19,JC4&lt;&gt;""),AND(JD4&gt;=JG$15,JD4&lt;&gt;"",JF4&gt;=JG$19,JF4&lt;&gt;""),AND(KB4&gt;=KO$15,KB4&lt;&gt;"",KD4&gt;=KO$19,KD4&lt;&gt;""),AND(KE4&gt;=KO$15,KE4&lt;&gt;"",KG4&gt;=KO$19,KG4&lt;&gt;""),AND(KI4&gt;=KO$15,KI4&lt;&gt;"",KK4&gt;=KO$19,KK4&lt;&gt;""),AND(KL4&gt;=KO$15,KL4&lt;&gt;"",KN4&gt;=KO$19,KN4&lt;&gt;""),AND(LJ4&gt;=LW$15,LJ4&lt;&gt;"",LL4&gt;=LW$19,LL4&lt;&gt;""),AND(LM4&gt;=LW$15,LM4&lt;&gt;"",LO4&gt;=LW$19,LO4&lt;&gt;""),AND(LQ4&gt;=LW$15,LQ4&lt;&gt;"",LS4&gt;=LW$19,LS4&lt;&gt;""),AND(LT4&gt;=LW$15,LT4&lt;&gt;"",LV4&gt;=LW$19,LV4&lt;&gt;""),AND(MR4&gt;=NE$15,MR4&lt;&gt;"",MT4&gt;=NE$19,MT4&lt;&gt;""),AND(MU4&gt;=NE$15,MU4&lt;&gt;"",MW4&gt;=NE$19,MW4&lt;&gt;""),AND(MY4&gt;=NE$15,MY4&lt;&gt;"",NA4&gt;=NE$19,NA4&lt;&gt;""),AND(NB4&gt;=NE$15,NB4&lt;&gt;"",ND4&gt;=NE$19,ND4&lt;&gt;""),AND(NZ4&gt;=OM$15,NZ4&lt;&gt;"",OB4&gt;=OM$19,OB4&lt;&gt;""),AND(OC4&gt;=OM$15,OC4&lt;&gt;"",OE4&gt;=OM$19,OE4&lt;&gt;""),AND(OG4&gt;=OM$15,OG4&lt;&gt;"",OI4&gt;=OM$19,OI4&lt;&gt;""),AND(OJ4&gt;=OM$15,OJ4&lt;&gt;"",OL4&gt;=OM$19,OL4&lt;&gt;""),AND(PH4&gt;=PU$15,PH4&lt;&gt;"",PJ4&gt;=PU$19,PJ4&lt;&gt;""),AND(PK4&gt;=PU$15,PK4&lt;&gt;"",PM4&gt;=PU$19,PM4&lt;&gt;""),AND(PO4&gt;=PU$15,PO4&lt;&gt;"",PQ4&gt;=PU$19,PQ4&lt;&gt;""),AND(PR4&gt;=PU$15,PR4&lt;&gt;"",PT4&gt;=PU$19,PT4&lt;&gt;""),AND(QP4&gt;=RC$15,QP4&lt;&gt;"",QR4&gt;=RC$19,QR4&lt;&gt;""),AND(QS4&gt;=RC$15,QS4&lt;&gt;"",QU4&gt;=RC$19,QU4&lt;&gt;""),AND(QW4&gt;=RC$15,QW4&lt;&gt;"",QY4&gt;=RC$19,QY4&lt;&gt;""),AND(QZ4&gt;=RC$15,QZ4&lt;&gt;"",RB4&gt;=RC$19,RB4&lt;&gt;""),AND(RX4&gt;=SK$15,RX4&lt;&gt;"",RZ4&gt;=SK$19,RZ4&lt;&gt;""),AND(SA4&gt;=SK$15,SA4&lt;&gt;"",SC4&gt;=SK$19,SC4&lt;&gt;""),AND(SE4&gt;=SK$15,SE4&lt;&gt;"",SG4&gt;=SK$19,SG4&lt;&gt;""),AND(SH4&gt;=SK$15,SH4&lt;&gt;"",SJ4&gt;=SK$19,SJ4&lt;&gt;"")),"Merit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Excellence",IF(I4="P","Worlds Team",IF(F4="P","National Team","")))))</f>
        <v>Merit</v>
      </c>
      <c r="I4" s="3" t="str">
        <f>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P","")</f>
        <v>P</v>
      </c>
      <c r="J4" s="13">
        <f>IF(COUNT(AG4,AJ4,AN4,BH4,BK4,BO4,CI4,CL4,CP4)&gt;0,LARGE((AG4,AJ4,AN4,BH4,BK4,BO4,CI4,CL4,CP4),1),0)</f>
        <v>47.550000000000004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0.44999999999999574</v>
      </c>
      <c r="M4" s="16" t="str">
        <f>IF(L4="","",IF(L4=CR4,"("&amp;CR$2&amp;")",IF(L4=CS4,"("&amp;CS$2&amp;")")))</f>
        <v>(Prelim)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POR (June 26)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>
        <v>7.65</v>
      </c>
      <c r="AQ4" s="46">
        <v>9.0500000000000007</v>
      </c>
      <c r="AR4" s="46">
        <v>13.1</v>
      </c>
      <c r="AS4" s="46">
        <v>17.399999999999999</v>
      </c>
      <c r="AT4" s="46">
        <v>0</v>
      </c>
      <c r="AU4" s="46">
        <v>2.2999999999999998</v>
      </c>
      <c r="AV4" s="46">
        <v>2.75</v>
      </c>
      <c r="AW4" s="46">
        <v>4.4000000000000004</v>
      </c>
      <c r="AX4" s="46">
        <v>5.4</v>
      </c>
      <c r="AY4" s="46">
        <v>0</v>
      </c>
      <c r="AZ4" s="46">
        <v>8.1</v>
      </c>
      <c r="BA4" s="46">
        <v>8.75</v>
      </c>
      <c r="BB4" s="46">
        <v>13.1</v>
      </c>
      <c r="BC4" s="46">
        <v>17.600000000000001</v>
      </c>
      <c r="BD4" s="46">
        <v>0</v>
      </c>
      <c r="BE4" s="52"/>
      <c r="BF4" s="75">
        <f>IF(AR4&gt;0,AR4,"")</f>
        <v>13.1</v>
      </c>
      <c r="BG4" s="75">
        <f>IF(AS4&gt;0,AS4,"")</f>
        <v>17.399999999999999</v>
      </c>
      <c r="BH4" s="16">
        <f>IF(SUM(AP4:AS4)-AT4&gt;0,SUM(AP4:AS4)-AT4,"")</f>
        <v>47.2</v>
      </c>
      <c r="BI4" s="16">
        <f>IF(AW4&gt;0,AW4,"")</f>
        <v>4.4000000000000004</v>
      </c>
      <c r="BJ4" s="16">
        <f>IF(AX4&gt;0,AX4,"")</f>
        <v>5.4</v>
      </c>
      <c r="BK4" s="16">
        <f>IF(SUM(AU4:AX4)-AY4&gt;0,SUM(AU4:AX4)-AY4,"")</f>
        <v>14.85</v>
      </c>
      <c r="BL4" s="16">
        <f>IF(BH4="","",MAX(BH4,BK4))</f>
        <v>47.2</v>
      </c>
      <c r="BM4" s="16">
        <f>IF(BB4&gt;0,BB4,"")</f>
        <v>13.1</v>
      </c>
      <c r="BN4" s="16">
        <f>IF(BC4&gt;0,BC4,"")</f>
        <v>17.600000000000001</v>
      </c>
      <c r="BO4" s="16">
        <f>IF(SUM(AZ4:BC4)-BD4&gt;0,SUM(AZ4:BC4)-BD4,"")</f>
        <v>47.550000000000004</v>
      </c>
      <c r="BP4" s="16">
        <f>IF(SUM(BL4,BO4)&gt;0,SUM(BL4,BO4),"")</f>
        <v>94.75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>
        <f>IF(J4&gt;=0.001,IF(MAX(DT4,FB4,GJ4,HR4,IZ4,KH4,LP4,MX4,OF4,PN4,QV4,SD4)-IF(J4="",0,J4)&gt;0.001,MAX(DT4,FB4,GJ4,HR4,IZ4,KH4,LP4,MX4,OF4,PN4,QV4,SD4)-IF(J4="",0,J4),""),"")</f>
        <v>0.44999999999999574</v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>IF(GT4&gt;0,GT4,"")</f>
        <v>13.1</v>
      </c>
      <c r="HM4" s="16">
        <f>IF(GU4&gt;0,GU4,"")</f>
        <v>16.940000000000001</v>
      </c>
      <c r="HN4" s="16">
        <f>IF(SUM(GR4:GU4)-GV4&gt;0,SUM(GR4:GU4)-GV4,"")</f>
        <v>45.839999999999996</v>
      </c>
      <c r="HO4" s="16">
        <f>IF(GY4&gt;0,GY4,"")</f>
        <v>13.1</v>
      </c>
      <c r="HP4" s="16">
        <f>IF(GZ4&gt;0,GZ4,"")</f>
        <v>17.920000000000002</v>
      </c>
      <c r="HQ4" s="16">
        <f>IF(SUM(GW4:GZ4)-HA4&gt;0,SUM(GW4:GZ4)-HA4,"")</f>
        <v>47.32</v>
      </c>
      <c r="HR4" s="16">
        <f>IF(MAX(HN4,HQ4)&gt;0,MAX(HN4,HQ4),"")</f>
        <v>47.32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9.4</v>
      </c>
      <c r="HW4" s="16">
        <f>IF(HJ4&gt;0,HJ4,"")</f>
        <v>11.94</v>
      </c>
      <c r="HX4" s="16">
        <f>IF(SUM(HG4:HJ4)-HK4&gt;0,SUM(HG4:HJ4)-HK4,"")</f>
        <v>33.14</v>
      </c>
      <c r="HY4" s="16">
        <f>IF(SUM(HR4,HX4)&gt;0,SUM(HR4,HX4),"")</f>
        <v>80.460000000000008</v>
      </c>
      <c r="HZ4" s="25">
        <v>6.75</v>
      </c>
      <c r="IA4" s="25">
        <v>8.4</v>
      </c>
      <c r="IB4" s="25">
        <v>11.5</v>
      </c>
      <c r="IC4" s="25">
        <v>16.8</v>
      </c>
      <c r="ID4" s="25">
        <v>0</v>
      </c>
      <c r="IE4" s="25">
        <v>7.35</v>
      </c>
      <c r="IF4" s="25">
        <v>9.25</v>
      </c>
      <c r="IG4" s="25">
        <v>13.1</v>
      </c>
      <c r="IH4" s="25">
        <v>18.3</v>
      </c>
      <c r="II4" s="25">
        <v>0</v>
      </c>
      <c r="IJ4" s="25"/>
      <c r="IK4" s="25"/>
      <c r="IL4" s="25"/>
      <c r="IM4" s="25"/>
      <c r="IN4" s="25"/>
      <c r="IO4" s="25">
        <v>1.4</v>
      </c>
      <c r="IP4" s="25">
        <v>1.8</v>
      </c>
      <c r="IQ4" s="25">
        <v>2.9</v>
      </c>
      <c r="IR4" s="25">
        <v>3.9</v>
      </c>
      <c r="IS4" s="25">
        <v>0</v>
      </c>
      <c r="IT4" s="76">
        <f>IF(IB4&gt;0,IB4,"")</f>
        <v>11.5</v>
      </c>
      <c r="IU4" s="76">
        <f>IF(IC4&gt;0,IC4,"")</f>
        <v>16.8</v>
      </c>
      <c r="IV4" s="76">
        <f>IF(SUM(HZ4:IC4)-ID4&gt;0,SUM(HZ4:IC4)-ID4,"")</f>
        <v>43.45</v>
      </c>
      <c r="IW4" s="76">
        <f>IF(IG4&gt;0,IG4,"")</f>
        <v>13.1</v>
      </c>
      <c r="IX4" s="76">
        <f>IF(IH4&gt;0,IH4,"")</f>
        <v>18.3</v>
      </c>
      <c r="IY4" s="76">
        <f>IF(SUM(IE4:IH4)-II4&gt;0,SUM(IE4:IH4)-II4,"")</f>
        <v>48</v>
      </c>
      <c r="IZ4" s="76">
        <f>IF(MAX(IV4,IY4)&gt;0,MAX(IV4,IY4),"")</f>
        <v>48</v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>
        <f>IF(IQ4&gt;0,IQ4,"")</f>
        <v>2.9</v>
      </c>
      <c r="JE4" s="76">
        <f>IF(IR4&gt;0,IR4,"")</f>
        <v>3.9</v>
      </c>
      <c r="JF4" s="76">
        <f>IF(SUM(IO4:IR4)-IS4&gt;0,SUM(IO4:IR4)-IS4,"")</f>
        <v>10</v>
      </c>
      <c r="JG4" s="76">
        <f>IF(SUM(IZ4,JF4)&gt;0,SUM(IZ4,JF4),"")</f>
        <v>58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>
        <v>1.5</v>
      </c>
      <c r="KQ4" s="25">
        <v>1.85</v>
      </c>
      <c r="KR4" s="25">
        <v>2.9</v>
      </c>
      <c r="KS4" s="25">
        <v>3.94</v>
      </c>
      <c r="KT4" s="25">
        <v>0</v>
      </c>
      <c r="KU4" s="25">
        <v>7.3</v>
      </c>
      <c r="KV4" s="25">
        <v>9.3000000000000007</v>
      </c>
      <c r="KW4" s="25">
        <v>13.1</v>
      </c>
      <c r="KX4" s="25">
        <v>15.48</v>
      </c>
      <c r="KY4" s="25">
        <v>0</v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>
        <f>IF(KR4&gt;0,KR4,"")</f>
        <v>2.9</v>
      </c>
      <c r="LK4" s="76">
        <f>IF(KS4&gt;0,KS4,"")</f>
        <v>3.94</v>
      </c>
      <c r="LL4" s="76">
        <f>IF(SUM(KP4:KS4)-KT4&gt;0,SUM(KP4:KS4)-KT4,"")</f>
        <v>10.19</v>
      </c>
      <c r="LM4" s="76">
        <f>IF(KW4&gt;0,KW4,"")</f>
        <v>13.1</v>
      </c>
      <c r="LN4" s="76">
        <f>IF(KX4&gt;0,KX4,"")</f>
        <v>15.48</v>
      </c>
      <c r="LO4" s="76">
        <f>IF(SUM(KU4:KX4)-KY4&gt;0,SUM(KU4:KX4)-KY4,"")</f>
        <v>45.180000000000007</v>
      </c>
      <c r="LP4" s="76">
        <f>IF(MAX(LL4,LO4)&gt;0,MAX(LL4,LO4),"")</f>
        <v>45.180000000000007</v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>
        <f>IF(SUM(LP4,LV4)&gt;0,SUM(LP4,LV4),"")</f>
        <v>45.180000000000007</v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3.8250000000000002</v>
      </c>
      <c r="SM4" s="42">
        <f>IF($CF4="P",BR4,(BR4+AQ4)/2)</f>
        <v>4.5250000000000004</v>
      </c>
      <c r="SN4" s="42">
        <f>IF($CF4="P",BS4,(BS4+AR4)/2)</f>
        <v>6.55</v>
      </c>
      <c r="SO4" s="42">
        <f>IF($CF4="P",BT4,(BT4+AS4)/2)</f>
        <v>8.6999999999999993</v>
      </c>
      <c r="SP4" s="42">
        <f>IF($CF4="P",BU4,(BU4+AT4)/2)</f>
        <v>0</v>
      </c>
      <c r="SQ4" s="42">
        <f>IF($CF4="P",BV4,(BV4+AU4)/2)</f>
        <v>1.1499999999999999</v>
      </c>
      <c r="SR4" s="42">
        <f>IF($CF4="P",BW4,(BW4+AV4)/2)</f>
        <v>1.375</v>
      </c>
      <c r="SS4" s="42">
        <f>IF($CF4="P",BX4,(BX4+AW4)/2)</f>
        <v>2.2000000000000002</v>
      </c>
      <c r="ST4" s="42">
        <f>IF($CF4="P",BY4,(BY4+AX4)/2)</f>
        <v>2.7</v>
      </c>
      <c r="SU4" s="42">
        <f>IF($CF4="P",BZ4,(BZ4+AY4)/2)</f>
        <v>0</v>
      </c>
      <c r="SV4" s="42">
        <f>IF($CF4="P",CA4,(CA4+AZ4)/2)</f>
        <v>4.05</v>
      </c>
      <c r="SW4" s="42">
        <f>IF($CF4="P",CB4,(CB4+BA4)/2)</f>
        <v>4.375</v>
      </c>
      <c r="SX4" s="42">
        <f>IF($CF4="P",CC4,(CC4+BB4)/2)</f>
        <v>6.55</v>
      </c>
      <c r="SY4" s="42">
        <f>IF($CF4="P",CD4,(CD4+BC4)/2)</f>
        <v>8.8000000000000007</v>
      </c>
      <c r="SZ4" s="42">
        <f>IF($CF4="P",CE4,(CE4+BD4)/2)</f>
        <v>0</v>
      </c>
      <c r="TA4" s="51" t="s">
        <v>58</v>
      </c>
      <c r="TB4" s="76">
        <f>IF(SN4&gt;0,SN4,"")</f>
        <v>6.55</v>
      </c>
      <c r="TC4" s="76">
        <f>IF(SO4&gt;0,SO4,"")</f>
        <v>8.6999999999999993</v>
      </c>
      <c r="TD4" s="76">
        <f>IF(SUM(SL4:SO4)-SP4&gt;0,SUM(SL4:SO4)-SP4,"")</f>
        <v>23.6</v>
      </c>
      <c r="TE4" s="76">
        <f>IF(SS4&gt;0,SS4,"")</f>
        <v>2.2000000000000002</v>
      </c>
      <c r="TF4" s="76">
        <f>IF(ST4&gt;0,ST4,"")</f>
        <v>2.7</v>
      </c>
      <c r="TG4" s="76">
        <f>IF(SUM(SQ4:ST4)-SU4&gt;0,SUM(SQ4:ST4)-SU4,"")</f>
        <v>7.4249999999999998</v>
      </c>
      <c r="TH4" s="76">
        <f>IF(MAX(TD4,TG4)&gt;0,MAX(TD4,TG4),"")</f>
        <v>23.6</v>
      </c>
      <c r="TI4" s="76">
        <f>IF(SX4&gt;0,SX4,"")</f>
        <v>6.55</v>
      </c>
      <c r="TJ4" s="76">
        <f>IF(SY4&gt;0,SY4,"")</f>
        <v>8.8000000000000007</v>
      </c>
      <c r="TK4" s="76">
        <f>IF(SUM(SV4:SY4)-SZ4&gt;0,SUM(SV4:SY4)-SZ4,"")</f>
        <v>23.775000000000002</v>
      </c>
      <c r="TL4" s="76">
        <f>IF(SUM(TH4,TK4)&gt;0,SUM(TH4,TK4),"")</f>
        <v>47.375</v>
      </c>
    </row>
    <row r="5" spans="1:532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" t="s">
        <v>107</v>
      </c>
      <c r="C5" s="7" t="s">
        <v>8</v>
      </c>
      <c r="D5" s="18" t="s">
        <v>106</v>
      </c>
      <c r="E5" s="14">
        <f>SUM(J5,L5)</f>
        <v>47.230000000000004</v>
      </c>
      <c r="F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G5" s="3" t="str">
        <f>IF(OR(AND(AG5&gt;=AO$16,AG5&lt;&gt;"",AD5=""),AND(AJ5&gt;=AO$16,AJ5&lt;&gt;"",AD5=""),AND(AN5&gt;=AO$16,AN5&lt;&gt;"",AD5=""),AND(BH5&gt;=BP$16,BH5&lt;&gt;"",BE5=""),AND(BK5&gt;=BP$16,BK5&lt;&gt;"",BE5=""),AND(BO5&gt;=BP$16,BO5&lt;&gt;"",BE5=""),AND(CI5&gt;=CQ$16,CI5&lt;&gt;"",CF5=""),AND(CL5&gt;=CQ$16,CL5&lt;&gt;"",CF5=""),AND(CP5&gt;=CQ$16,CP5&lt;&gt;"",CF5=""),AND(DP5&gt;=EA$16,DP5&lt;&gt;""),AND(DS5&gt;=EA$16,DS5&lt;&gt;""),AND(DW5&gt;=EA$16,DW5&lt;&gt;""),AND(DZ5&gt;=EA$16,DZ5&lt;&gt;""),AND(EX5&gt;=FI$16,EX5&lt;&gt;""),AND(FA5&gt;=FI$16,FA5&lt;&gt;""),AND(FE5&gt;=FI$16,FE5&lt;&gt;""),AND(FH5&gt;=FI$16,FH5&lt;&gt;""),AND(GF5&gt;=GQ$16,GF5&lt;&gt;""),AND(GI5&gt;=GQ$16,GI5&lt;&gt;""),AND(GM5&gt;=GQ$16,GM5&lt;&gt;""),AND(GP5&gt;=GQ$16,GP5&lt;&gt;""),AND(HN5&gt;=HY$16,HN5&lt;&gt;""),AND(HQ5&gt;=HY$16,HQ5&lt;&gt;""),AND(HU5&gt;=HY$16,HU5&lt;&gt;""),AND(HX5&gt;=HY$16,HX5&lt;&gt;""),AND(IV5&gt;=JG$16,IV5&lt;&gt;""),AND(IY5&gt;=JG$16,IY5&lt;&gt;""),AND(JC5&gt;=JG$16,JC5&lt;&gt;""),AND(JF5&gt;=JG$16,JF5&lt;&gt;""),AND(KD5&gt;=KO$16,KD5&lt;&gt;""),AND(KG5&gt;=KO$16,KG5&lt;&gt;""),AND(KK5&gt;=KO$16,KK5&lt;&gt;""),AND(KN5&gt;=KO$16,KN5&lt;&gt;""),AND(LL5&gt;=LW$16,LL5&lt;&gt;""),AND(LO5&gt;=LW$16,LO5&lt;&gt;""),AND(LS5&gt;=LW$16,LS5&lt;&gt;""),AND(LV5&gt;=LW$16,LV5&lt;&gt;""),AND(MT5&gt;=NE$16,MT5&lt;&gt;""),AND(MW5&gt;=NE$16,MW5&lt;&gt;""),AND(NA5&gt;=NE$16,NA5&lt;&gt;""),AND(ND5&gt;=NE$16,ND5&lt;&gt;""),AND(OB5&gt;=OM$16,OB5&lt;&gt;""),AND(OE5&gt;=OM$16,OE5&lt;&gt;""),AND(OI5&gt;=OM$16,OI5&lt;&gt;""),AND(OL5&gt;=OM$16,OL5&lt;&gt;""),AND(PJ5&gt;=PU$16,PJ5&lt;&gt;""),AND(PM5&gt;=PU$16,PM5&lt;&gt;""),AND(PQ5&gt;=PU$16,PQ5&lt;&gt;""),AND(PT5&gt;=PU$16,PT5&lt;&gt;""),AND(QR5&gt;=RC$16,QR5&lt;&gt;""),AND(QU5&gt;=RC$16,QU5&lt;&gt;""),AND(QY5&gt;=RC$16,QY5&lt;&gt;""),AND(RB5&gt;=RC$16,RB5&lt;&gt;""),AND(RZ5&gt;=SK$16,RZ5&lt;&gt;""),AND(SC5&gt;=SK$16,SC5&lt;&gt;""),AND(SG5&gt;=SK$16,SG5&lt;&gt;""),AND(SJ5&gt;=SK$16,SJ5&lt;&gt;"")),"P","")</f>
        <v>P</v>
      </c>
      <c r="H5" s="70" t="str">
        <f>IF(AND(G5="P",F5=""),"No DD",IF(OR(AND(AE5&gt;=AO$15,AE5&lt;&gt;"",AG5&gt;=AO$19,AG5&lt;&gt;"",AD5=""),AND(AH5&gt;=AO$15,AH5&lt;&gt;"",AJ5&gt;=AO$19,AJ5&lt;&gt;"",AD5=""),AND(AL5&gt;=AO$15,AL5&lt;&gt;"",AN5&gt;=AO$19,AN5&lt;&gt;"",AD5=""),AND(BF5&gt;=BP$15,BF5&lt;&gt;"",BH5&gt;=BP$19,BH5&lt;&gt;"",BE5=""),AND(BI5&gt;=BP$15,BI5&lt;&gt;"",BK5&gt;=BP$19,BK5&lt;&gt;"",BE5=""),AND(BM5&gt;=BP$15,BM5&lt;&gt;"",BO5&gt;=BP$19,BO5&lt;&gt;"",BE5=""),AND(CG5&gt;=CQ$15,CG5&lt;&gt;"",CI5&gt;=CQ$19,CI5&lt;&gt;"",CF5=""),AND(CJ5&gt;=CQ$15,CJ5&lt;&gt;"",CL5&gt;=CQ$19,CL5&lt;&gt;"",CF5=""),AND(CN5&gt;=CQ$15,CN5&lt;&gt;"",CP5&gt;=CQ$19,CP5&lt;&gt;"",CF5=""),AND(DN5&gt;=EA$15,DN5&lt;&gt;"",DP5&gt;=EA$19,DP5&lt;&gt;""),AND(DQ5&gt;=EA$15,DQ5&lt;&gt;"",DS5&gt;=EA$19,DS5&lt;&gt;""),AND(DU5&gt;=EA$15,DU5&lt;&gt;"",DW5&gt;=EA$19,DW5&lt;&gt;""),AND(DX5&gt;=EA$15,DX5&lt;&gt;"",DZ5&gt;=EA$19,DZ5&lt;&gt;""),AND(EV5&gt;=FI$15,EV5&lt;&gt;"",EX5&gt;=FI$19,EX5&lt;&gt;""),AND(EY5&gt;=FI$15,EY5&lt;&gt;"",FA5&gt;=FI$19,FA5&lt;&gt;""),AND(FC5&gt;=FI$15,FC5&lt;&gt;"",FE5&gt;=FI$19,FE5&lt;&gt;""),AND(FF5&gt;=FI$15,FF5&lt;&gt;"",FH5&gt;=FI$19,FH5&lt;&gt;""),AND(GD5&gt;=GQ$15,GD5&lt;&gt;"",GF5&gt;=GQ$19,GF5&lt;&gt;""),AND(GG5&gt;=GQ$15,GG5&lt;&gt;"",GI5&gt;=GQ$19,GI5&lt;&gt;""),AND(GK5&gt;=GQ$15,GK5&lt;&gt;"",GM5&gt;=GQ$19,GM5&lt;&gt;""),AND(GN5&gt;=GQ$15,GN5&lt;&gt;"",GP5&gt;=GQ$19,GP5&lt;&gt;""),AND(HL5&gt;=HY$15,HL5&lt;&gt;"",HN5&gt;=HY$19,HN5&lt;&gt;""),AND(HO5&gt;=HY$15,HO5&lt;&gt;"",HQ5&gt;=HY$19,HQ5&lt;&gt;""),AND(HS5&gt;=HY$15,HS5&lt;&gt;"",HU5&gt;=HY$19,HU5&lt;&gt;""),AND(HV5&gt;=HY$15,HV5&lt;&gt;"",HX5&gt;=HY$19,HX5&lt;&gt;""),AND(IT5&gt;=JG$15,IT5&lt;&gt;"",IV5&gt;=JG$19,IV5&lt;&gt;""),AND(IW5&gt;=JG$15,IW5&lt;&gt;"",IY5&gt;=JG$19,IY5&lt;&gt;""),AND(JA5&gt;=JG$15,JA5&lt;&gt;"",JC5&gt;=JG$19,JC5&lt;&gt;""),AND(JD5&gt;=JG$15,JD5&lt;&gt;"",JF5&gt;=JG$19,JF5&lt;&gt;""),AND(KB5&gt;=KO$15,KB5&lt;&gt;"",KD5&gt;=KO$19,KD5&lt;&gt;""),AND(KE5&gt;=KO$15,KE5&lt;&gt;"",KG5&gt;=KO$19,KG5&lt;&gt;""),AND(KI5&gt;=KO$15,KI5&lt;&gt;"",KK5&gt;=KO$19,KK5&lt;&gt;""),AND(KL5&gt;=KO$15,KL5&lt;&gt;"",KN5&gt;=KO$19,KN5&lt;&gt;""),AND(LJ5&gt;=LW$15,LJ5&lt;&gt;"",LL5&gt;=LW$19,LL5&lt;&gt;""),AND(LM5&gt;=LW$15,LM5&lt;&gt;"",LO5&gt;=LW$19,LO5&lt;&gt;""),AND(LQ5&gt;=LW$15,LQ5&lt;&gt;"",LS5&gt;=LW$19,LS5&lt;&gt;""),AND(LT5&gt;=LW$15,LT5&lt;&gt;"",LV5&gt;=LW$19,LV5&lt;&gt;""),AND(MR5&gt;=NE$15,MR5&lt;&gt;"",MT5&gt;=NE$19,MT5&lt;&gt;""),AND(MU5&gt;=NE$15,MU5&lt;&gt;"",MW5&gt;=NE$19,MW5&lt;&gt;""),AND(MY5&gt;=NE$15,MY5&lt;&gt;"",NA5&gt;=NE$19,NA5&lt;&gt;""),AND(NB5&gt;=NE$15,NB5&lt;&gt;"",ND5&gt;=NE$19,ND5&lt;&gt;""),AND(NZ5&gt;=OM$15,NZ5&lt;&gt;"",OB5&gt;=OM$19,OB5&lt;&gt;""),AND(OC5&gt;=OM$15,OC5&lt;&gt;"",OE5&gt;=OM$19,OE5&lt;&gt;""),AND(OG5&gt;=OM$15,OG5&lt;&gt;"",OI5&gt;=OM$19,OI5&lt;&gt;""),AND(OJ5&gt;=OM$15,OJ5&lt;&gt;"",OL5&gt;=OM$19,OL5&lt;&gt;""),AND(PH5&gt;=PU$15,PH5&lt;&gt;"",PJ5&gt;=PU$19,PJ5&lt;&gt;""),AND(PK5&gt;=PU$15,PK5&lt;&gt;"",PM5&gt;=PU$19,PM5&lt;&gt;""),AND(PO5&gt;=PU$15,PO5&lt;&gt;"",PQ5&gt;=PU$19,PQ5&lt;&gt;""),AND(PR5&gt;=PU$15,PR5&lt;&gt;"",PT5&gt;=PU$19,PT5&lt;&gt;""),AND(QP5&gt;=RC$15,QP5&lt;&gt;"",QR5&gt;=RC$19,QR5&lt;&gt;""),AND(QS5&gt;=RC$15,QS5&lt;&gt;"",QU5&gt;=RC$19,QU5&lt;&gt;""),AND(QW5&gt;=RC$15,QW5&lt;&gt;"",QY5&gt;=RC$19,QY5&lt;&gt;""),AND(QZ5&gt;=RC$15,QZ5&lt;&gt;"",RB5&gt;=RC$19,RB5&lt;&gt;""),AND(RX5&gt;=SK$15,RX5&lt;&gt;"",RZ5&gt;=SK$19,RZ5&lt;&gt;""),AND(SA5&gt;=SK$15,SA5&lt;&gt;"",SC5&gt;=SK$19,SC5&lt;&gt;""),AND(SE5&gt;=SK$15,SE5&lt;&gt;"",SG5&gt;=SK$19,SG5&lt;&gt;""),AND(SH5&gt;=SK$15,SH5&lt;&gt;"",SJ5&gt;=SK$19,SJ5&lt;&gt;"")),"Merit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Excellence",IF(I5="P","Worlds Team",IF(F5="P","National Team","")))))</f>
        <v>Worlds Team</v>
      </c>
      <c r="I5" s="3" t="str">
        <f>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P","")</f>
        <v>P</v>
      </c>
      <c r="J5" s="13">
        <f>IF(COUNT(AG5,AJ5,AN5,BH5,BK5,BO5,CI5,CL5,CP5)&gt;0,LARGE((AG5,AJ5,AN5,BH5,BK5,BO5,CI5,CL5,CP5),1),0)</f>
        <v>28.700000000000003</v>
      </c>
      <c r="K5" s="13" t="str">
        <f>IF(J5="","",IF(OR(J5=CI5,J5=CL5,J5=CP5),$BQ$1,IF(OR(J5=BH5,J5=BK5,J5=BO5),$AP$1,IF(OR(J5=AG5,J5=AJ5,J5=AN5),$O$1,""))))</f>
        <v>2022 Nationals</v>
      </c>
      <c r="L5" s="13">
        <f>IF(MAX(CR5,CS5)&gt;0,MAX(CR5,CS5),"")</f>
        <v>18.53</v>
      </c>
      <c r="M5" s="16" t="str">
        <f>IF(L5="","",IF(L5=CR5,"("&amp;CR$2&amp;")",IF(L5=CS5,"("&amp;CS$2&amp;")")))</f>
        <v>(Prelim)</v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>2022 World Cup SUI (July 2)</v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>
        <v>4.9000000000000004</v>
      </c>
      <c r="AQ5" s="46">
        <v>5.2</v>
      </c>
      <c r="AR5" s="46">
        <v>7.7</v>
      </c>
      <c r="AS5" s="46">
        <v>10.9</v>
      </c>
      <c r="AT5" s="46">
        <v>0</v>
      </c>
      <c r="AU5" s="46">
        <v>0</v>
      </c>
      <c r="AV5" s="46">
        <v>0</v>
      </c>
      <c r="AW5" s="46">
        <v>0</v>
      </c>
      <c r="AX5" s="46">
        <v>0</v>
      </c>
      <c r="AY5" s="46">
        <v>0</v>
      </c>
      <c r="AZ5" s="46"/>
      <c r="BA5" s="46"/>
      <c r="BB5" s="46"/>
      <c r="BC5" s="46"/>
      <c r="BD5" s="46"/>
      <c r="BE5" s="52"/>
      <c r="BF5" s="75">
        <f>IF(AR5&gt;0,AR5,"")</f>
        <v>7.7</v>
      </c>
      <c r="BG5" s="75">
        <f>IF(AS5&gt;0,AS5,"")</f>
        <v>10.9</v>
      </c>
      <c r="BH5" s="16">
        <f>IF(SUM(AP5:AS5)-AT5&gt;0,SUM(AP5:AS5)-AT5,"")</f>
        <v>28.700000000000003</v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>
        <f>IF(BH5="","",MAX(BH5,BK5))</f>
        <v>28.700000000000003</v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>
        <f>IF(SUM(BL5,BO5)&gt;0,SUM(BL5,BO5),"")</f>
        <v>28.700000000000003</v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>
        <f>IF(J5&gt;=0.001,IF(MAX(DT5,FB5,GJ5,HR5,IZ5,KH5,LP5,MX5,OF5,PN5,QV5,SD5)-IF(J5="",0,J5)&gt;0.001,MAX(DT5,FB5,GJ5,HR5,IZ5,KH5,LP5,MX5,OF5,PN5,QV5,SD5)-IF(J5="",0,J5),""),"")</f>
        <v>18.53</v>
      </c>
      <c r="CS5" s="87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>17.909999999999997</v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>IF(CV5&gt;0,CV5,"")</f>
        <v>11.6</v>
      </c>
      <c r="DO5" s="76">
        <f>IF(CW5&gt;0,CW5,"")</f>
        <v>16.96</v>
      </c>
      <c r="DP5" s="76">
        <f>IF(SUM(CT5:CW5)-CX5&gt;0,SUM(CT5:CW5)-CX5,"")</f>
        <v>46.31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46.31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>
        <f>IF(DK5&gt;0,DK5,"")</f>
        <v>11.6</v>
      </c>
      <c r="DY5" s="76">
        <f>IF(DL5&gt;0,DL5,"")</f>
        <v>17.36</v>
      </c>
      <c r="DZ5" s="76">
        <f>IF(SUM(DI5:DL5)-DM5&gt;0,SUM(DI5:DL5)-DM5,"")</f>
        <v>46.61</v>
      </c>
      <c r="EA5" s="76">
        <f>IF(SUM(DT5,DZ5)&gt;0,SUM(DT5,DZ5),"")</f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9.8000000000000007</v>
      </c>
      <c r="FG5" s="16">
        <f>IF(ET5&gt;0,ET5,"")</f>
        <v>16.2</v>
      </c>
      <c r="FH5" s="16">
        <f>IF(SUM(EQ5:ET5)-EU5&gt;0,SUM(EQ5:ET5)-EU5,"")</f>
        <v>44</v>
      </c>
      <c r="FI5" s="16">
        <f>IF(SUM(FB5,FH5)&gt;0,SUM(FB5,FH5),"")</f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>IF(GT5&gt;0,GT5,"")</f>
        <v>1.5</v>
      </c>
      <c r="HM5" s="16">
        <f>IF(GU5&gt;0,GU5,"")</f>
        <v>1.84</v>
      </c>
      <c r="HN5" s="16">
        <f>IF(SUM(GR5:GU5)-GV5&gt;0,SUM(GR5:GU5)-GV5,"")</f>
        <v>4.9399999999999995</v>
      </c>
      <c r="HO5" s="16">
        <f>IF(GY5&gt;0,GY5,"")</f>
        <v>7.7</v>
      </c>
      <c r="HP5" s="16">
        <f>IF(GZ5&gt;0,GZ5,"")</f>
        <v>11.4</v>
      </c>
      <c r="HQ5" s="16">
        <f>IF(SUM(GW5:GZ5)-HA5&gt;0,SUM(GW5:GZ5)-HA5,"")</f>
        <v>29.1</v>
      </c>
      <c r="HR5" s="16">
        <f>IF(MAX(HN5,HQ5)&gt;0,MAX(HN5,HQ5),"")</f>
        <v>29.1</v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>
        <f>IF(SUM(HR5,HX5)&gt;0,SUM(HR5,HX5),"")</f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>
        <v>8.0500000000000007</v>
      </c>
      <c r="KQ5" s="25">
        <v>9.3000000000000007</v>
      </c>
      <c r="KR5" s="25">
        <v>11.6</v>
      </c>
      <c r="KS5" s="25">
        <v>18.28</v>
      </c>
      <c r="KT5" s="25">
        <v>0</v>
      </c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>
        <v>2.2999999999999998</v>
      </c>
      <c r="LF5" s="25">
        <v>2.5</v>
      </c>
      <c r="LG5" s="25">
        <v>4.2</v>
      </c>
      <c r="LH5" s="25">
        <v>5.34</v>
      </c>
      <c r="LI5" s="25">
        <v>0</v>
      </c>
      <c r="LJ5" s="76">
        <f>IF(KR5&gt;0,KR5,"")</f>
        <v>11.6</v>
      </c>
      <c r="LK5" s="76">
        <f>IF(KS5&gt;0,KS5,"")</f>
        <v>18.28</v>
      </c>
      <c r="LL5" s="76">
        <f>IF(SUM(KP5:KS5)-KT5&gt;0,SUM(KP5:KS5)-KT5,"")</f>
        <v>47.230000000000004</v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>
        <f>IF(MAX(LL5,LO5)&gt;0,MAX(LL5,LO5),"")</f>
        <v>47.230000000000004</v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>
        <f>IF(LG5&gt;0,LG5,"")</f>
        <v>4.2</v>
      </c>
      <c r="LU5" s="76">
        <f>IF(LH5&gt;0,LH5,"")</f>
        <v>5.34</v>
      </c>
      <c r="LV5" s="76">
        <f>IF(SUM(LE5:LH5)-LI5&gt;0,SUM(LE5:LH5)-LI5,"")</f>
        <v>14.34</v>
      </c>
      <c r="LW5" s="76">
        <f>IF(SUM(LP5,LV5)&gt;0,SUM(LP5,LV5),"")</f>
        <v>61.570000000000007</v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2.4500000000000002</v>
      </c>
      <c r="SM5" s="42">
        <f>IF($CF5="P",BR5,(BR5+AQ5)/2)</f>
        <v>2.6</v>
      </c>
      <c r="SN5" s="42">
        <f>IF($CF5="P",BS5,(BS5+AR5)/2)</f>
        <v>3.85</v>
      </c>
      <c r="SO5" s="42">
        <f>IF($CF5="P",BT5,(BT5+AS5)/2)</f>
        <v>5.45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58</v>
      </c>
      <c r="TB5" s="76">
        <f>IF(SN5&gt;0,SN5,"")</f>
        <v>3.85</v>
      </c>
      <c r="TC5" s="76">
        <f>IF(SO5&gt;0,SO5,"")</f>
        <v>5.45</v>
      </c>
      <c r="TD5" s="76">
        <f>IF(SUM(SL5:SO5)-SP5&gt;0,SUM(SL5:SO5)-SP5,"")</f>
        <v>14.350000000000001</v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>
        <f>IF(MAX(TD5,TG5)&gt;0,MAX(TD5,TG5),"")</f>
        <v>14.350000000000001</v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>
        <f>IF(SUM(TH5,TK5)&gt;0,SUM(TH5,TK5),"")</f>
        <v>14.350000000000001</v>
      </c>
    </row>
    <row r="6" spans="1:532" x14ac:dyDescent="0.2">
      <c r="A6" s="5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6" t="s">
        <v>195</v>
      </c>
      <c r="C6" s="7" t="s">
        <v>5</v>
      </c>
      <c r="D6" s="5" t="s">
        <v>194</v>
      </c>
      <c r="E6" s="14">
        <f>SUM(J6,L6)</f>
        <v>45.59</v>
      </c>
      <c r="F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>P</v>
      </c>
      <c r="G6" s="3" t="str">
        <f>IF(OR(AND(AG6&gt;=AO$16,AG6&lt;&gt;"",AD6=""),AND(AJ6&gt;=AO$16,AJ6&lt;&gt;"",AD6=""),AND(AN6&gt;=AO$16,AN6&lt;&gt;"",AD6=""),AND(BH6&gt;=BP$16,BH6&lt;&gt;"",BE6=""),AND(BK6&gt;=BP$16,BK6&lt;&gt;"",BE6=""),AND(BO6&gt;=BP$16,BO6&lt;&gt;"",BE6=""),AND(CI6&gt;=CQ$16,CI6&lt;&gt;"",CF6=""),AND(CL6&gt;=CQ$16,CL6&lt;&gt;"",CF6=""),AND(CP6&gt;=CQ$16,CP6&lt;&gt;"",CF6=""),AND(DP6&gt;=EA$16,DP6&lt;&gt;""),AND(DS6&gt;=EA$16,DS6&lt;&gt;""),AND(DW6&gt;=EA$16,DW6&lt;&gt;""),AND(DZ6&gt;=EA$16,DZ6&lt;&gt;""),AND(EX6&gt;=FI$16,EX6&lt;&gt;""),AND(FA6&gt;=FI$16,FA6&lt;&gt;""),AND(FE6&gt;=FI$16,FE6&lt;&gt;""),AND(FH6&gt;=FI$16,FH6&lt;&gt;""),AND(GF6&gt;=GQ$16,GF6&lt;&gt;""),AND(GI6&gt;=GQ$16,GI6&lt;&gt;""),AND(GM6&gt;=GQ$16,GM6&lt;&gt;""),AND(GP6&gt;=GQ$16,GP6&lt;&gt;""),AND(HN6&gt;=HY$16,HN6&lt;&gt;""),AND(HQ6&gt;=HY$16,HQ6&lt;&gt;""),AND(HU6&gt;=HY$16,HU6&lt;&gt;""),AND(HX6&gt;=HY$16,HX6&lt;&gt;""),AND(IV6&gt;=JG$16,IV6&lt;&gt;""),AND(IY6&gt;=JG$16,IY6&lt;&gt;""),AND(JC6&gt;=JG$16,JC6&lt;&gt;""),AND(JF6&gt;=JG$16,JF6&lt;&gt;""),AND(KD6&gt;=KO$16,KD6&lt;&gt;""),AND(KG6&gt;=KO$16,KG6&lt;&gt;""),AND(KK6&gt;=KO$16,KK6&lt;&gt;""),AND(KN6&gt;=KO$16,KN6&lt;&gt;""),AND(LL6&gt;=LW$16,LL6&lt;&gt;""),AND(LO6&gt;=LW$16,LO6&lt;&gt;""),AND(LS6&gt;=LW$16,LS6&lt;&gt;""),AND(LV6&gt;=LW$16,LV6&lt;&gt;""),AND(MT6&gt;=NE$16,MT6&lt;&gt;""),AND(MW6&gt;=NE$16,MW6&lt;&gt;""),AND(NA6&gt;=NE$16,NA6&lt;&gt;""),AND(ND6&gt;=NE$16,ND6&lt;&gt;""),AND(OB6&gt;=OM$16,OB6&lt;&gt;""),AND(OE6&gt;=OM$16,OE6&lt;&gt;""),AND(OI6&gt;=OM$16,OI6&lt;&gt;""),AND(OL6&gt;=OM$16,OL6&lt;&gt;""),AND(PJ6&gt;=PU$16,PJ6&lt;&gt;""),AND(PM6&gt;=PU$16,PM6&lt;&gt;""),AND(PQ6&gt;=PU$16,PQ6&lt;&gt;""),AND(PT6&gt;=PU$16,PT6&lt;&gt;""),AND(QR6&gt;=RC$16,QR6&lt;&gt;""),AND(QU6&gt;=RC$16,QU6&lt;&gt;""),AND(QY6&gt;=RC$16,QY6&lt;&gt;""),AND(RB6&gt;=RC$16,RB6&lt;&gt;""),AND(RZ6&gt;=SK$16,RZ6&lt;&gt;""),AND(SC6&gt;=SK$16,SC6&lt;&gt;""),AND(SG6&gt;=SK$16,SG6&lt;&gt;""),AND(SJ6&gt;=SK$16,SJ6&lt;&gt;"")),"P","")</f>
        <v>P</v>
      </c>
      <c r="H6" s="70" t="str">
        <f>IF(AND(G6="P",F6=""),"No DD",IF(OR(AND(AE6&gt;=AO$15,AE6&lt;&gt;"",AG6&gt;=AO$19,AG6&lt;&gt;"",AD6=""),AND(AH6&gt;=AO$15,AH6&lt;&gt;"",AJ6&gt;=AO$19,AJ6&lt;&gt;"",AD6=""),AND(AL6&gt;=AO$15,AL6&lt;&gt;"",AN6&gt;=AO$19,AN6&lt;&gt;"",AD6=""),AND(BF6&gt;=BP$15,BF6&lt;&gt;"",BH6&gt;=BP$19,BH6&lt;&gt;"",BE6=""),AND(BI6&gt;=BP$15,BI6&lt;&gt;"",BK6&gt;=BP$19,BK6&lt;&gt;"",BE6=""),AND(BM6&gt;=BP$15,BM6&lt;&gt;"",BO6&gt;=BP$19,BO6&lt;&gt;"",BE6=""),AND(CG6&gt;=CQ$15,CG6&lt;&gt;"",CI6&gt;=CQ$19,CI6&lt;&gt;"",CF6=""),AND(CJ6&gt;=CQ$15,CJ6&lt;&gt;"",CL6&gt;=CQ$19,CL6&lt;&gt;"",CF6=""),AND(CN6&gt;=CQ$15,CN6&lt;&gt;"",CP6&gt;=CQ$19,CP6&lt;&gt;"",CF6=""),AND(DN6&gt;=EA$15,DN6&lt;&gt;"",DP6&gt;=EA$19,DP6&lt;&gt;""),AND(DQ6&gt;=EA$15,DQ6&lt;&gt;"",DS6&gt;=EA$19,DS6&lt;&gt;""),AND(DU6&gt;=EA$15,DU6&lt;&gt;"",DW6&gt;=EA$19,DW6&lt;&gt;""),AND(DX6&gt;=EA$15,DX6&lt;&gt;"",DZ6&gt;=EA$19,DZ6&lt;&gt;""),AND(EV6&gt;=FI$15,EV6&lt;&gt;"",EX6&gt;=FI$19,EX6&lt;&gt;""),AND(EY6&gt;=FI$15,EY6&lt;&gt;"",FA6&gt;=FI$19,FA6&lt;&gt;""),AND(FC6&gt;=FI$15,FC6&lt;&gt;"",FE6&gt;=FI$19,FE6&lt;&gt;""),AND(FF6&gt;=FI$15,FF6&lt;&gt;"",FH6&gt;=FI$19,FH6&lt;&gt;""),AND(GD6&gt;=GQ$15,GD6&lt;&gt;"",GF6&gt;=GQ$19,GF6&lt;&gt;""),AND(GG6&gt;=GQ$15,GG6&lt;&gt;"",GI6&gt;=GQ$19,GI6&lt;&gt;""),AND(GK6&gt;=GQ$15,GK6&lt;&gt;"",GM6&gt;=GQ$19,GM6&lt;&gt;""),AND(GN6&gt;=GQ$15,GN6&lt;&gt;"",GP6&gt;=GQ$19,GP6&lt;&gt;""),AND(HL6&gt;=HY$15,HL6&lt;&gt;"",HN6&gt;=HY$19,HN6&lt;&gt;""),AND(HO6&gt;=HY$15,HO6&lt;&gt;"",HQ6&gt;=HY$19,HQ6&lt;&gt;""),AND(HS6&gt;=HY$15,HS6&lt;&gt;"",HU6&gt;=HY$19,HU6&lt;&gt;""),AND(HV6&gt;=HY$15,HV6&lt;&gt;"",HX6&gt;=HY$19,HX6&lt;&gt;""),AND(IT6&gt;=JG$15,IT6&lt;&gt;"",IV6&gt;=JG$19,IV6&lt;&gt;""),AND(IW6&gt;=JG$15,IW6&lt;&gt;"",IY6&gt;=JG$19,IY6&lt;&gt;""),AND(JA6&gt;=JG$15,JA6&lt;&gt;"",JC6&gt;=JG$19,JC6&lt;&gt;""),AND(JD6&gt;=JG$15,JD6&lt;&gt;"",JF6&gt;=JG$19,JF6&lt;&gt;""),AND(KB6&gt;=KO$15,KB6&lt;&gt;"",KD6&gt;=KO$19,KD6&lt;&gt;""),AND(KE6&gt;=KO$15,KE6&lt;&gt;"",KG6&gt;=KO$19,KG6&lt;&gt;""),AND(KI6&gt;=KO$15,KI6&lt;&gt;"",KK6&gt;=KO$19,KK6&lt;&gt;""),AND(KL6&gt;=KO$15,KL6&lt;&gt;"",KN6&gt;=KO$19,KN6&lt;&gt;""),AND(LJ6&gt;=LW$15,LJ6&lt;&gt;"",LL6&gt;=LW$19,LL6&lt;&gt;""),AND(LM6&gt;=LW$15,LM6&lt;&gt;"",LO6&gt;=LW$19,LO6&lt;&gt;""),AND(LQ6&gt;=LW$15,LQ6&lt;&gt;"",LS6&gt;=LW$19,LS6&lt;&gt;""),AND(LT6&gt;=LW$15,LT6&lt;&gt;"",LV6&gt;=LW$19,LV6&lt;&gt;""),AND(MR6&gt;=NE$15,MR6&lt;&gt;"",MT6&gt;=NE$19,MT6&lt;&gt;""),AND(MU6&gt;=NE$15,MU6&lt;&gt;"",MW6&gt;=NE$19,MW6&lt;&gt;""),AND(MY6&gt;=NE$15,MY6&lt;&gt;"",NA6&gt;=NE$19,NA6&lt;&gt;""),AND(NB6&gt;=NE$15,NB6&lt;&gt;"",ND6&gt;=NE$19,ND6&lt;&gt;""),AND(NZ6&gt;=OM$15,NZ6&lt;&gt;"",OB6&gt;=OM$19,OB6&lt;&gt;""),AND(OC6&gt;=OM$15,OC6&lt;&gt;"",OE6&gt;=OM$19,OE6&lt;&gt;""),AND(OG6&gt;=OM$15,OG6&lt;&gt;"",OI6&gt;=OM$19,OI6&lt;&gt;""),AND(OJ6&gt;=OM$15,OJ6&lt;&gt;"",OL6&gt;=OM$19,OL6&lt;&gt;""),AND(PH6&gt;=PU$15,PH6&lt;&gt;"",PJ6&gt;=PU$19,PJ6&lt;&gt;""),AND(PK6&gt;=PU$15,PK6&lt;&gt;"",PM6&gt;=PU$19,PM6&lt;&gt;""),AND(PO6&gt;=PU$15,PO6&lt;&gt;"",PQ6&gt;=PU$19,PQ6&lt;&gt;""),AND(PR6&gt;=PU$15,PR6&lt;&gt;"",PT6&gt;=PU$19,PT6&lt;&gt;""),AND(QP6&gt;=RC$15,QP6&lt;&gt;"",QR6&gt;=RC$19,QR6&lt;&gt;""),AND(QS6&gt;=RC$15,QS6&lt;&gt;"",QU6&gt;=RC$19,QU6&lt;&gt;""),AND(QW6&gt;=RC$15,QW6&lt;&gt;"",QY6&gt;=RC$19,QY6&lt;&gt;""),AND(QZ6&gt;=RC$15,QZ6&lt;&gt;"",RB6&gt;=RC$19,RB6&lt;&gt;""),AND(RX6&gt;=SK$15,RX6&lt;&gt;"",RZ6&gt;=SK$19,RZ6&lt;&gt;""),AND(SA6&gt;=SK$15,SA6&lt;&gt;"",SC6&gt;=SK$19,SC6&lt;&gt;""),AND(SE6&gt;=SK$15,SE6&lt;&gt;"",SG6&gt;=SK$19,SG6&lt;&gt;""),AND(SH6&gt;=SK$15,SH6&lt;&gt;"",SJ6&gt;=SK$19,SJ6&lt;&gt;"")),"Merit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Excellence",IF(I6="P","Worlds Team",IF(F6="P","National Team","")))))</f>
        <v>National Team</v>
      </c>
      <c r="I6" s="3" t="str">
        <f>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P","")</f>
        <v/>
      </c>
      <c r="J6" s="13">
        <f>IF(COUNT(AG6,AJ6,AN6,BH6,BK6,BO6,CI6,CL6,CP6)&gt;0,LARGE((AG6,AJ6,AN6,BH6,BK6,BO6,CI6,CL6,CP6),1),0)</f>
        <v>45.59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>
        <v>5.0999999999999996</v>
      </c>
      <c r="AQ6" s="46">
        <v>6.15</v>
      </c>
      <c r="AR6" s="46">
        <v>7.3</v>
      </c>
      <c r="AS6" s="46">
        <v>11</v>
      </c>
      <c r="AT6" s="46">
        <v>0</v>
      </c>
      <c r="AU6" s="46">
        <v>7.15</v>
      </c>
      <c r="AV6" s="46">
        <v>9.1999999999999993</v>
      </c>
      <c r="AW6" s="46">
        <v>10.5</v>
      </c>
      <c r="AX6" s="46">
        <v>16.96</v>
      </c>
      <c r="AY6" s="46">
        <v>0</v>
      </c>
      <c r="AZ6" s="46">
        <v>7.95</v>
      </c>
      <c r="BA6" s="46">
        <v>9.1999999999999993</v>
      </c>
      <c r="BB6" s="46">
        <v>10.5</v>
      </c>
      <c r="BC6" s="46">
        <v>17.940000000000001</v>
      </c>
      <c r="BD6" s="46">
        <v>0</v>
      </c>
      <c r="BE6" s="52"/>
      <c r="BF6" s="75">
        <f>IF(AR6&gt;0,AR6,"")</f>
        <v>7.3</v>
      </c>
      <c r="BG6" s="75">
        <f>IF(AS6&gt;0,AS6,"")</f>
        <v>11</v>
      </c>
      <c r="BH6" s="16">
        <f>IF(SUM(AP6:AS6)-AT6&gt;0,SUM(AP6:AS6)-AT6,"")</f>
        <v>29.55</v>
      </c>
      <c r="BI6" s="16">
        <f>IF(AW6&gt;0,AW6,"")</f>
        <v>10.5</v>
      </c>
      <c r="BJ6" s="16">
        <f>IF(AX6&gt;0,AX6,"")</f>
        <v>16.96</v>
      </c>
      <c r="BK6" s="16">
        <f>IF(SUM(AU6:AX6)-AY6&gt;0,SUM(AU6:AX6)-AY6,"")</f>
        <v>43.81</v>
      </c>
      <c r="BL6" s="16">
        <f>IF(BH6="","",MAX(BH6,BK6))</f>
        <v>43.81</v>
      </c>
      <c r="BM6" s="16">
        <f>IF(BB6&gt;0,BB6,"")</f>
        <v>10.5</v>
      </c>
      <c r="BN6" s="16">
        <f>IF(BC6&gt;0,BC6,"")</f>
        <v>17.940000000000001</v>
      </c>
      <c r="BO6" s="16">
        <f>IF(SUM(AZ6:BC6)-BD6&gt;0,SUM(AZ6:BC6)-BD6,"")</f>
        <v>45.59</v>
      </c>
      <c r="BP6" s="16">
        <f>IF(SUM(BL6,BO6)&gt;0,SUM(BL6,BO6),"")</f>
        <v>89.4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>IF(CV6&gt;0,CV6,"")</f>
        <v/>
      </c>
      <c r="DO6" s="76" t="str">
        <f>IF(CW6&gt;0,CW6,"")</f>
        <v/>
      </c>
      <c r="DP6" s="76" t="str">
        <f>IF(SUM(CT6:CW6)-CX6&gt;0,SUM(CT6:CW6)-CX6,"")</f>
        <v/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 t="str">
        <f>IF(MAX(DP6,DS6)&gt;0,MAX(DP6,DS6),"")</f>
        <v/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 t="str">
        <f>IF(SUM(DT6,DZ6)&gt;0,SUM(DT6,DZ6),"")</f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2.5499999999999998</v>
      </c>
      <c r="SM6" s="42">
        <f>IF($CF6="P",BR6,(BR6+AQ6)/2)</f>
        <v>3.0750000000000002</v>
      </c>
      <c r="SN6" s="42">
        <f>IF($CF6="P",BS6,(BS6+AR6)/2)</f>
        <v>3.65</v>
      </c>
      <c r="SO6" s="42">
        <f>IF($CF6="P",BT6,(BT6+AS6)/2)</f>
        <v>5.5</v>
      </c>
      <c r="SP6" s="42">
        <f>IF($CF6="P",BU6,(BU6+AT6)/2)</f>
        <v>0</v>
      </c>
      <c r="SQ6" s="42">
        <f>IF($CF6="P",BV6,(BV6+AU6)/2)</f>
        <v>3.5750000000000002</v>
      </c>
      <c r="SR6" s="42">
        <f>IF($CF6="P",BW6,(BW6+AV6)/2)</f>
        <v>4.5999999999999996</v>
      </c>
      <c r="SS6" s="42">
        <f>IF($CF6="P",BX6,(BX6+AW6)/2)</f>
        <v>5.25</v>
      </c>
      <c r="ST6" s="42">
        <f>IF($CF6="P",BY6,(BY6+AX6)/2)</f>
        <v>8.48</v>
      </c>
      <c r="SU6" s="42">
        <f>IF($CF6="P",BZ6,(BZ6+AY6)/2)</f>
        <v>0</v>
      </c>
      <c r="SV6" s="42">
        <f>IF($CF6="P",CA6,(CA6+AZ6)/2)</f>
        <v>3.9750000000000001</v>
      </c>
      <c r="SW6" s="42">
        <f>IF($CF6="P",CB6,(CB6+BA6)/2)</f>
        <v>4.5999999999999996</v>
      </c>
      <c r="SX6" s="42">
        <f>IF($CF6="P",CC6,(CC6+BB6)/2)</f>
        <v>5.25</v>
      </c>
      <c r="SY6" s="42">
        <f>IF($CF6="P",CD6,(CD6+BC6)/2)</f>
        <v>8.9700000000000006</v>
      </c>
      <c r="SZ6" s="42">
        <f>IF($CF6="P",CE6,(CE6+BD6)/2)</f>
        <v>0</v>
      </c>
      <c r="TA6" s="51" t="s">
        <v>58</v>
      </c>
      <c r="TB6" s="76">
        <f>IF(SN6&gt;0,SN6,"")</f>
        <v>3.65</v>
      </c>
      <c r="TC6" s="76">
        <f>IF(SO6&gt;0,SO6,"")</f>
        <v>5.5</v>
      </c>
      <c r="TD6" s="76">
        <f>IF(SUM(SL6:SO6)-SP6&gt;0,SUM(SL6:SO6)-SP6,"")</f>
        <v>14.775</v>
      </c>
      <c r="TE6" s="76">
        <f>IF(SS6&gt;0,SS6,"")</f>
        <v>5.25</v>
      </c>
      <c r="TF6" s="76">
        <f>IF(ST6&gt;0,ST6,"")</f>
        <v>8.48</v>
      </c>
      <c r="TG6" s="76">
        <f>IF(SUM(SQ6:ST6)-SU6&gt;0,SUM(SQ6:ST6)-SU6,"")</f>
        <v>21.905000000000001</v>
      </c>
      <c r="TH6" s="76">
        <f>IF(MAX(TD6,TG6)&gt;0,MAX(TD6,TG6),"")</f>
        <v>21.905000000000001</v>
      </c>
      <c r="TI6" s="76">
        <f>IF(SX6&gt;0,SX6,"")</f>
        <v>5.25</v>
      </c>
      <c r="TJ6" s="76">
        <f>IF(SY6&gt;0,SY6,"")</f>
        <v>8.9700000000000006</v>
      </c>
      <c r="TK6" s="76">
        <f>IF(SUM(SV6:SY6)-SZ6&gt;0,SUM(SV6:SY6)-SZ6,"")</f>
        <v>22.795000000000002</v>
      </c>
      <c r="TL6" s="76">
        <f>IF(SUM(TH6,TK6)&gt;0,SUM(TH6,TK6),"")</f>
        <v>44.7</v>
      </c>
    </row>
    <row r="7" spans="1:532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" t="s">
        <v>196</v>
      </c>
      <c r="C7" s="7" t="s">
        <v>3</v>
      </c>
      <c r="D7" s="5" t="s">
        <v>197</v>
      </c>
      <c r="E7" s="14">
        <f>SUM(J7,L7)</f>
        <v>43.900000000000006</v>
      </c>
      <c r="F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G7" s="3" t="str">
        <f>IF(OR(AND(AG7&gt;=AO$16,AG7&lt;&gt;"",AD7=""),AND(AJ7&gt;=AO$16,AJ7&lt;&gt;"",AD7=""),AND(AN7&gt;=AO$16,AN7&lt;&gt;"",AD7=""),AND(BH7&gt;=BP$16,BH7&lt;&gt;"",BE7=""),AND(BK7&gt;=BP$16,BK7&lt;&gt;"",BE7=""),AND(BO7&gt;=BP$16,BO7&lt;&gt;"",BE7=""),AND(CI7&gt;=CQ$16,CI7&lt;&gt;"",CF7=""),AND(CL7&gt;=CQ$16,CL7&lt;&gt;"",CF7=""),AND(CP7&gt;=CQ$16,CP7&lt;&gt;"",CF7=""),AND(DP7&gt;=EA$16,DP7&lt;&gt;""),AND(DS7&gt;=EA$16,DS7&lt;&gt;""),AND(DW7&gt;=EA$16,DW7&lt;&gt;""),AND(DZ7&gt;=EA$16,DZ7&lt;&gt;""),AND(EX7&gt;=FI$16,EX7&lt;&gt;""),AND(FA7&gt;=FI$16,FA7&lt;&gt;""),AND(FE7&gt;=FI$16,FE7&lt;&gt;""),AND(FH7&gt;=FI$16,FH7&lt;&gt;""),AND(GF7&gt;=GQ$16,GF7&lt;&gt;""),AND(GI7&gt;=GQ$16,GI7&lt;&gt;""),AND(GM7&gt;=GQ$16,GM7&lt;&gt;""),AND(GP7&gt;=GQ$16,GP7&lt;&gt;""),AND(HN7&gt;=HY$16,HN7&lt;&gt;""),AND(HQ7&gt;=HY$16,HQ7&lt;&gt;""),AND(HU7&gt;=HY$16,HU7&lt;&gt;""),AND(HX7&gt;=HY$16,HX7&lt;&gt;""),AND(IV7&gt;=JG$16,IV7&lt;&gt;""),AND(IY7&gt;=JG$16,IY7&lt;&gt;""),AND(JC7&gt;=JG$16,JC7&lt;&gt;""),AND(JF7&gt;=JG$16,JF7&lt;&gt;""),AND(KD7&gt;=KO$16,KD7&lt;&gt;""),AND(KG7&gt;=KO$16,KG7&lt;&gt;""),AND(KK7&gt;=KO$16,KK7&lt;&gt;""),AND(KN7&gt;=KO$16,KN7&lt;&gt;""),AND(LL7&gt;=LW$16,LL7&lt;&gt;""),AND(LO7&gt;=LW$16,LO7&lt;&gt;""),AND(LS7&gt;=LW$16,LS7&lt;&gt;""),AND(LV7&gt;=LW$16,LV7&lt;&gt;""),AND(MT7&gt;=NE$16,MT7&lt;&gt;""),AND(MW7&gt;=NE$16,MW7&lt;&gt;""),AND(NA7&gt;=NE$16,NA7&lt;&gt;""),AND(ND7&gt;=NE$16,ND7&lt;&gt;""),AND(OB7&gt;=OM$16,OB7&lt;&gt;""),AND(OE7&gt;=OM$16,OE7&lt;&gt;""),AND(OI7&gt;=OM$16,OI7&lt;&gt;""),AND(OL7&gt;=OM$16,OL7&lt;&gt;""),AND(PJ7&gt;=PU$16,PJ7&lt;&gt;""),AND(PM7&gt;=PU$16,PM7&lt;&gt;""),AND(PQ7&gt;=PU$16,PQ7&lt;&gt;""),AND(PT7&gt;=PU$16,PT7&lt;&gt;""),AND(QR7&gt;=RC$16,QR7&lt;&gt;""),AND(QU7&gt;=RC$16,QU7&lt;&gt;""),AND(QY7&gt;=RC$16,QY7&lt;&gt;""),AND(RB7&gt;=RC$16,RB7&lt;&gt;""),AND(RZ7&gt;=SK$16,RZ7&lt;&gt;""),AND(SC7&gt;=SK$16,SC7&lt;&gt;""),AND(SG7&gt;=SK$16,SG7&lt;&gt;""),AND(SJ7&gt;=SK$16,SJ7&lt;&gt;"")),"P","")</f>
        <v/>
      </c>
      <c r="H7" s="70" t="str">
        <f>IF(AND(G7="P",F7=""),"No DD",IF(OR(AND(AE7&gt;=AO$15,AE7&lt;&gt;"",AG7&gt;=AO$19,AG7&lt;&gt;"",AD7=""),AND(AH7&gt;=AO$15,AH7&lt;&gt;"",AJ7&gt;=AO$19,AJ7&lt;&gt;"",AD7=""),AND(AL7&gt;=AO$15,AL7&lt;&gt;"",AN7&gt;=AO$19,AN7&lt;&gt;"",AD7=""),AND(BF7&gt;=BP$15,BF7&lt;&gt;"",BH7&gt;=BP$19,BH7&lt;&gt;"",BE7=""),AND(BI7&gt;=BP$15,BI7&lt;&gt;"",BK7&gt;=BP$19,BK7&lt;&gt;"",BE7=""),AND(BM7&gt;=BP$15,BM7&lt;&gt;"",BO7&gt;=BP$19,BO7&lt;&gt;"",BE7=""),AND(CG7&gt;=CQ$15,CG7&lt;&gt;"",CI7&gt;=CQ$19,CI7&lt;&gt;"",CF7=""),AND(CJ7&gt;=CQ$15,CJ7&lt;&gt;"",CL7&gt;=CQ$19,CL7&lt;&gt;"",CF7=""),AND(CN7&gt;=CQ$15,CN7&lt;&gt;"",CP7&gt;=CQ$19,CP7&lt;&gt;"",CF7=""),AND(DN7&gt;=EA$15,DN7&lt;&gt;"",DP7&gt;=EA$19,DP7&lt;&gt;""),AND(DQ7&gt;=EA$15,DQ7&lt;&gt;"",DS7&gt;=EA$19,DS7&lt;&gt;""),AND(DU7&gt;=EA$15,DU7&lt;&gt;"",DW7&gt;=EA$19,DW7&lt;&gt;""),AND(DX7&gt;=EA$15,DX7&lt;&gt;"",DZ7&gt;=EA$19,DZ7&lt;&gt;""),AND(EV7&gt;=FI$15,EV7&lt;&gt;"",EX7&gt;=FI$19,EX7&lt;&gt;""),AND(EY7&gt;=FI$15,EY7&lt;&gt;"",FA7&gt;=FI$19,FA7&lt;&gt;""),AND(FC7&gt;=FI$15,FC7&lt;&gt;"",FE7&gt;=FI$19,FE7&lt;&gt;""),AND(FF7&gt;=FI$15,FF7&lt;&gt;"",FH7&gt;=FI$19,FH7&lt;&gt;""),AND(GD7&gt;=GQ$15,GD7&lt;&gt;"",GF7&gt;=GQ$19,GF7&lt;&gt;""),AND(GG7&gt;=GQ$15,GG7&lt;&gt;"",GI7&gt;=GQ$19,GI7&lt;&gt;""),AND(GK7&gt;=GQ$15,GK7&lt;&gt;"",GM7&gt;=GQ$19,GM7&lt;&gt;""),AND(GN7&gt;=GQ$15,GN7&lt;&gt;"",GP7&gt;=GQ$19,GP7&lt;&gt;""),AND(HL7&gt;=HY$15,HL7&lt;&gt;"",HN7&gt;=HY$19,HN7&lt;&gt;""),AND(HO7&gt;=HY$15,HO7&lt;&gt;"",HQ7&gt;=HY$19,HQ7&lt;&gt;""),AND(HS7&gt;=HY$15,HS7&lt;&gt;"",HU7&gt;=HY$19,HU7&lt;&gt;""),AND(HV7&gt;=HY$15,HV7&lt;&gt;"",HX7&gt;=HY$19,HX7&lt;&gt;""),AND(IT7&gt;=JG$15,IT7&lt;&gt;"",IV7&gt;=JG$19,IV7&lt;&gt;""),AND(IW7&gt;=JG$15,IW7&lt;&gt;"",IY7&gt;=JG$19,IY7&lt;&gt;""),AND(JA7&gt;=JG$15,JA7&lt;&gt;"",JC7&gt;=JG$19,JC7&lt;&gt;""),AND(JD7&gt;=JG$15,JD7&lt;&gt;"",JF7&gt;=JG$19,JF7&lt;&gt;""),AND(KB7&gt;=KO$15,KB7&lt;&gt;"",KD7&gt;=KO$19,KD7&lt;&gt;""),AND(KE7&gt;=KO$15,KE7&lt;&gt;"",KG7&gt;=KO$19,KG7&lt;&gt;""),AND(KI7&gt;=KO$15,KI7&lt;&gt;"",KK7&gt;=KO$19,KK7&lt;&gt;""),AND(KL7&gt;=KO$15,KL7&lt;&gt;"",KN7&gt;=KO$19,KN7&lt;&gt;""),AND(LJ7&gt;=LW$15,LJ7&lt;&gt;"",LL7&gt;=LW$19,LL7&lt;&gt;""),AND(LM7&gt;=LW$15,LM7&lt;&gt;"",LO7&gt;=LW$19,LO7&lt;&gt;""),AND(LQ7&gt;=LW$15,LQ7&lt;&gt;"",LS7&gt;=LW$19,LS7&lt;&gt;""),AND(LT7&gt;=LW$15,LT7&lt;&gt;"",LV7&gt;=LW$19,LV7&lt;&gt;""),AND(MR7&gt;=NE$15,MR7&lt;&gt;"",MT7&gt;=NE$19,MT7&lt;&gt;""),AND(MU7&gt;=NE$15,MU7&lt;&gt;"",MW7&gt;=NE$19,MW7&lt;&gt;""),AND(MY7&gt;=NE$15,MY7&lt;&gt;"",NA7&gt;=NE$19,NA7&lt;&gt;""),AND(NB7&gt;=NE$15,NB7&lt;&gt;"",ND7&gt;=NE$19,ND7&lt;&gt;""),AND(NZ7&gt;=OM$15,NZ7&lt;&gt;"",OB7&gt;=OM$19,OB7&lt;&gt;""),AND(OC7&gt;=OM$15,OC7&lt;&gt;"",OE7&gt;=OM$19,OE7&lt;&gt;""),AND(OG7&gt;=OM$15,OG7&lt;&gt;"",OI7&gt;=OM$19,OI7&lt;&gt;""),AND(OJ7&gt;=OM$15,OJ7&lt;&gt;"",OL7&gt;=OM$19,OL7&lt;&gt;""),AND(PH7&gt;=PU$15,PH7&lt;&gt;"",PJ7&gt;=PU$19,PJ7&lt;&gt;""),AND(PK7&gt;=PU$15,PK7&lt;&gt;"",PM7&gt;=PU$19,PM7&lt;&gt;""),AND(PO7&gt;=PU$15,PO7&lt;&gt;"",PQ7&gt;=PU$19,PQ7&lt;&gt;""),AND(PR7&gt;=PU$15,PR7&lt;&gt;"",PT7&gt;=PU$19,PT7&lt;&gt;""),AND(QP7&gt;=RC$15,QP7&lt;&gt;"",QR7&gt;=RC$19,QR7&lt;&gt;""),AND(QS7&gt;=RC$15,QS7&lt;&gt;"",QU7&gt;=RC$19,QU7&lt;&gt;""),AND(QW7&gt;=RC$15,QW7&lt;&gt;"",QY7&gt;=RC$19,QY7&lt;&gt;""),AND(QZ7&gt;=RC$15,QZ7&lt;&gt;"",RB7&gt;=RC$19,RB7&lt;&gt;""),AND(RX7&gt;=SK$15,RX7&lt;&gt;"",RZ7&gt;=SK$19,RZ7&lt;&gt;""),AND(SA7&gt;=SK$15,SA7&lt;&gt;"",SC7&gt;=SK$19,SC7&lt;&gt;""),AND(SE7&gt;=SK$15,SE7&lt;&gt;"",SG7&gt;=SK$19,SG7&lt;&gt;""),AND(SH7&gt;=SK$15,SH7&lt;&gt;"",SJ7&gt;=SK$19,SJ7&lt;&gt;"")),"Merit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Excellence",IF(I7="P","Worlds Team",IF(F7="P","National Team","")))))</f>
        <v/>
      </c>
      <c r="I7" s="3" t="str">
        <f>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P","")</f>
        <v/>
      </c>
      <c r="J7" s="13">
        <f>IF(COUNT(AG7,AJ7,AN7,BH7,BK7,BO7,CI7,CL7,CP7)&gt;0,LARGE((AG7,AJ7,AN7,BH7,BK7,BO7,CI7,CL7,CP7),1),0)</f>
        <v>43.900000000000006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>
        <v>7.3</v>
      </c>
      <c r="AQ7" s="46">
        <v>9.4</v>
      </c>
      <c r="AR7" s="46">
        <v>10.5</v>
      </c>
      <c r="AS7" s="46">
        <v>16.16</v>
      </c>
      <c r="AT7" s="46">
        <v>0</v>
      </c>
      <c r="AU7" s="46">
        <v>6.95</v>
      </c>
      <c r="AV7" s="46">
        <v>9.1</v>
      </c>
      <c r="AW7" s="46">
        <v>10.5</v>
      </c>
      <c r="AX7" s="46">
        <v>17.04</v>
      </c>
      <c r="AY7" s="46">
        <v>0</v>
      </c>
      <c r="AZ7" s="46">
        <v>7.65</v>
      </c>
      <c r="BA7" s="46">
        <v>8.9499999999999993</v>
      </c>
      <c r="BB7" s="46">
        <v>10.5</v>
      </c>
      <c r="BC7" s="46">
        <v>16.8</v>
      </c>
      <c r="BD7" s="46">
        <v>0</v>
      </c>
      <c r="BE7" s="52"/>
      <c r="BF7" s="75">
        <f>IF(AR7&gt;0,AR7,"")</f>
        <v>10.5</v>
      </c>
      <c r="BG7" s="75">
        <f>IF(AS7&gt;0,AS7,"")</f>
        <v>16.16</v>
      </c>
      <c r="BH7" s="16">
        <f>IF(SUM(AP7:AS7)-AT7&gt;0,SUM(AP7:AS7)-AT7,"")</f>
        <v>43.36</v>
      </c>
      <c r="BI7" s="16">
        <f>IF(AW7&gt;0,AW7,"")</f>
        <v>10.5</v>
      </c>
      <c r="BJ7" s="16">
        <f>IF(AX7&gt;0,AX7,"")</f>
        <v>17.04</v>
      </c>
      <c r="BK7" s="16">
        <f>IF(SUM(AU7:AX7)-AY7&gt;0,SUM(AU7:AX7)-AY7,"")</f>
        <v>43.59</v>
      </c>
      <c r="BL7" s="16">
        <f>IF(BH7="","",MAX(BH7,BK7))</f>
        <v>43.59</v>
      </c>
      <c r="BM7" s="16">
        <f>IF(BB7&gt;0,BB7,"")</f>
        <v>10.5</v>
      </c>
      <c r="BN7" s="16">
        <f>IF(BC7&gt;0,BC7,"")</f>
        <v>16.8</v>
      </c>
      <c r="BO7" s="16">
        <f>IF(SUM(AZ7:BC7)-BD7&gt;0,SUM(AZ7:BC7)-BD7,"")</f>
        <v>43.900000000000006</v>
      </c>
      <c r="BP7" s="16">
        <f>IF(SUM(BL7,BO7)&gt;0,SUM(BL7,BO7),"")</f>
        <v>87.490000000000009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>IF(CV7&gt;0,CV7,"")</f>
        <v/>
      </c>
      <c r="DO7" s="76" t="str">
        <f>IF(CW7&gt;0,CW7,"")</f>
        <v/>
      </c>
      <c r="DP7" s="76" t="str">
        <f>IF(SUM(CT7:CW7)-CX7&gt;0,SUM(CT7:CW7)-CX7,"")</f>
        <v/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 t="str">
        <f>IF(MAX(DP7,DS7)&gt;0,MAX(DP7,DS7),"")</f>
        <v/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 t="str">
        <f>IF(SUM(DT7,DZ7)&gt;0,SUM(DT7,DZ7),"")</f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>
        <v>8</v>
      </c>
      <c r="FK7" s="25">
        <v>9.4</v>
      </c>
      <c r="FL7" s="25">
        <v>8.9</v>
      </c>
      <c r="FM7" s="25">
        <v>16.48</v>
      </c>
      <c r="FN7" s="25">
        <v>0</v>
      </c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>
        <f>IF(FL7&gt;0,FL7,"")</f>
        <v>8.9</v>
      </c>
      <c r="GE7" s="76">
        <f>IF(FM7&gt;0,FM7,"")</f>
        <v>16.48</v>
      </c>
      <c r="GF7" s="76">
        <f>IF(SUM(FJ7:FM7)-FN7&gt;0,SUM(FJ7:FM7)-FN7,"")</f>
        <v>42.78</v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>
        <f>IF(MAX(GF7,GI7)&gt;0,MAX(GF7,GI7),"")</f>
        <v>42.78</v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>
        <f>IF(SUM(GJ7,GP7)&gt;0,SUM(GJ7,GP7),"")</f>
        <v>42.78</v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3.65</v>
      </c>
      <c r="SM7" s="42">
        <f>IF($CF7="P",BR7,(BR7+AQ7)/2)</f>
        <v>4.7</v>
      </c>
      <c r="SN7" s="42">
        <f>IF($CF7="P",BS7,(BS7+AR7)/2)</f>
        <v>5.25</v>
      </c>
      <c r="SO7" s="42">
        <f>IF($CF7="P",BT7,(BT7+AS7)/2)</f>
        <v>8.08</v>
      </c>
      <c r="SP7" s="42">
        <f>IF($CF7="P",BU7,(BU7+AT7)/2)</f>
        <v>0</v>
      </c>
      <c r="SQ7" s="42">
        <f>IF($CF7="P",BV7,(BV7+AU7)/2)</f>
        <v>3.4750000000000001</v>
      </c>
      <c r="SR7" s="42">
        <f>IF($CF7="P",BW7,(BW7+AV7)/2)</f>
        <v>4.55</v>
      </c>
      <c r="SS7" s="42">
        <f>IF($CF7="P",BX7,(BX7+AW7)/2)</f>
        <v>5.25</v>
      </c>
      <c r="ST7" s="42">
        <f>IF($CF7="P",BY7,(BY7+AX7)/2)</f>
        <v>8.52</v>
      </c>
      <c r="SU7" s="42">
        <f>IF($CF7="P",BZ7,(BZ7+AY7)/2)</f>
        <v>0</v>
      </c>
      <c r="SV7" s="42">
        <f>IF($CF7="P",CA7,(CA7+AZ7)/2)</f>
        <v>3.8250000000000002</v>
      </c>
      <c r="SW7" s="42">
        <f>IF($CF7="P",CB7,(CB7+BA7)/2)</f>
        <v>4.4749999999999996</v>
      </c>
      <c r="SX7" s="42">
        <f>IF($CF7="P",CC7,(CC7+BB7)/2)</f>
        <v>5.25</v>
      </c>
      <c r="SY7" s="42">
        <f>IF($CF7="P",CD7,(CD7+BC7)/2)</f>
        <v>8.4</v>
      </c>
      <c r="SZ7" s="42">
        <f>IF($CF7="P",CE7,(CE7+BD7)/2)</f>
        <v>0</v>
      </c>
      <c r="TA7" s="51" t="s">
        <v>58</v>
      </c>
      <c r="TB7" s="76">
        <f>IF(SN7&gt;0,SN7,"")</f>
        <v>5.25</v>
      </c>
      <c r="TC7" s="76">
        <f>IF(SO7&gt;0,SO7,"")</f>
        <v>8.08</v>
      </c>
      <c r="TD7" s="76">
        <f>IF(SUM(SL7:SO7)-SP7&gt;0,SUM(SL7:SO7)-SP7,"")</f>
        <v>21.68</v>
      </c>
      <c r="TE7" s="76">
        <f>IF(SS7&gt;0,SS7,"")</f>
        <v>5.25</v>
      </c>
      <c r="TF7" s="76">
        <f>IF(ST7&gt;0,ST7,"")</f>
        <v>8.52</v>
      </c>
      <c r="TG7" s="76">
        <f>IF(SUM(SQ7:ST7)-SU7&gt;0,SUM(SQ7:ST7)-SU7,"")</f>
        <v>21.795000000000002</v>
      </c>
      <c r="TH7" s="76">
        <f>IF(MAX(TD7,TG7)&gt;0,MAX(TD7,TG7),"")</f>
        <v>21.795000000000002</v>
      </c>
      <c r="TI7" s="76">
        <f>IF(SX7&gt;0,SX7,"")</f>
        <v>5.25</v>
      </c>
      <c r="TJ7" s="76">
        <f>IF(SY7&gt;0,SY7,"")</f>
        <v>8.4</v>
      </c>
      <c r="TK7" s="76">
        <f>IF(SUM(SV7:SY7)-SZ7&gt;0,SUM(SV7:SY7)-SZ7,"")</f>
        <v>21.950000000000003</v>
      </c>
      <c r="TL7" s="76">
        <f>IF(SUM(TH7,TK7)&gt;0,SUM(TH7,TK7),"")</f>
        <v>43.745000000000005</v>
      </c>
    </row>
    <row r="8" spans="1:532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" t="s">
        <v>199</v>
      </c>
      <c r="C8" s="7" t="s">
        <v>3</v>
      </c>
      <c r="D8" s="5" t="s">
        <v>198</v>
      </c>
      <c r="E8" s="14">
        <f>SUM(J8,L8)</f>
        <v>42.620000000000005</v>
      </c>
      <c r="F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G8" s="3" t="str">
        <f>IF(OR(AND(AG8&gt;=AO$16,AG8&lt;&gt;"",AD8=""),AND(AJ8&gt;=AO$16,AJ8&lt;&gt;"",AD8=""),AND(AN8&gt;=AO$16,AN8&lt;&gt;"",AD8=""),AND(BH8&gt;=BP$16,BH8&lt;&gt;"",BE8=""),AND(BK8&gt;=BP$16,BK8&lt;&gt;"",BE8=""),AND(BO8&gt;=BP$16,BO8&lt;&gt;"",BE8=""),AND(CI8&gt;=CQ$16,CI8&lt;&gt;"",CF8=""),AND(CL8&gt;=CQ$16,CL8&lt;&gt;"",CF8=""),AND(CP8&gt;=CQ$16,CP8&lt;&gt;"",CF8=""),AND(DP8&gt;=EA$16,DP8&lt;&gt;""),AND(DS8&gt;=EA$16,DS8&lt;&gt;""),AND(DW8&gt;=EA$16,DW8&lt;&gt;""),AND(DZ8&gt;=EA$16,DZ8&lt;&gt;""),AND(EX8&gt;=FI$16,EX8&lt;&gt;""),AND(FA8&gt;=FI$16,FA8&lt;&gt;""),AND(FE8&gt;=FI$16,FE8&lt;&gt;""),AND(FH8&gt;=FI$16,FH8&lt;&gt;""),AND(GF8&gt;=GQ$16,GF8&lt;&gt;""),AND(GI8&gt;=GQ$16,GI8&lt;&gt;""),AND(GM8&gt;=GQ$16,GM8&lt;&gt;""),AND(GP8&gt;=GQ$16,GP8&lt;&gt;""),AND(HN8&gt;=HY$16,HN8&lt;&gt;""),AND(HQ8&gt;=HY$16,HQ8&lt;&gt;""),AND(HU8&gt;=HY$16,HU8&lt;&gt;""),AND(HX8&gt;=HY$16,HX8&lt;&gt;""),AND(IV8&gt;=JG$16,IV8&lt;&gt;""),AND(IY8&gt;=JG$16,IY8&lt;&gt;""),AND(JC8&gt;=JG$16,JC8&lt;&gt;""),AND(JF8&gt;=JG$16,JF8&lt;&gt;""),AND(KD8&gt;=KO$16,KD8&lt;&gt;""),AND(KG8&gt;=KO$16,KG8&lt;&gt;""),AND(KK8&gt;=KO$16,KK8&lt;&gt;""),AND(KN8&gt;=KO$16,KN8&lt;&gt;""),AND(LL8&gt;=LW$16,LL8&lt;&gt;""),AND(LO8&gt;=LW$16,LO8&lt;&gt;""),AND(LS8&gt;=LW$16,LS8&lt;&gt;""),AND(LV8&gt;=LW$16,LV8&lt;&gt;""),AND(MT8&gt;=NE$16,MT8&lt;&gt;""),AND(MW8&gt;=NE$16,MW8&lt;&gt;""),AND(NA8&gt;=NE$16,NA8&lt;&gt;""),AND(ND8&gt;=NE$16,ND8&lt;&gt;""),AND(OB8&gt;=OM$16,OB8&lt;&gt;""),AND(OE8&gt;=OM$16,OE8&lt;&gt;""),AND(OI8&gt;=OM$16,OI8&lt;&gt;""),AND(OL8&gt;=OM$16,OL8&lt;&gt;""),AND(PJ8&gt;=PU$16,PJ8&lt;&gt;""),AND(PM8&gt;=PU$16,PM8&lt;&gt;""),AND(PQ8&gt;=PU$16,PQ8&lt;&gt;""),AND(PT8&gt;=PU$16,PT8&lt;&gt;""),AND(QR8&gt;=RC$16,QR8&lt;&gt;""),AND(QU8&gt;=RC$16,QU8&lt;&gt;""),AND(QY8&gt;=RC$16,QY8&lt;&gt;""),AND(RB8&gt;=RC$16,RB8&lt;&gt;""),AND(RZ8&gt;=SK$16,RZ8&lt;&gt;""),AND(SC8&gt;=SK$16,SC8&lt;&gt;""),AND(SG8&gt;=SK$16,SG8&lt;&gt;""),AND(SJ8&gt;=SK$16,SJ8&lt;&gt;"")),"P","")</f>
        <v/>
      </c>
      <c r="H8" s="70" t="str">
        <f>IF(AND(G8="P",F8=""),"No DD",IF(OR(AND(AE8&gt;=AO$15,AE8&lt;&gt;"",AG8&gt;=AO$19,AG8&lt;&gt;"",AD8=""),AND(AH8&gt;=AO$15,AH8&lt;&gt;"",AJ8&gt;=AO$19,AJ8&lt;&gt;"",AD8=""),AND(AL8&gt;=AO$15,AL8&lt;&gt;"",AN8&gt;=AO$19,AN8&lt;&gt;"",AD8=""),AND(BF8&gt;=BP$15,BF8&lt;&gt;"",BH8&gt;=BP$19,BH8&lt;&gt;"",BE8=""),AND(BI8&gt;=BP$15,BI8&lt;&gt;"",BK8&gt;=BP$19,BK8&lt;&gt;"",BE8=""),AND(BM8&gt;=BP$15,BM8&lt;&gt;"",BO8&gt;=BP$19,BO8&lt;&gt;"",BE8=""),AND(CG8&gt;=CQ$15,CG8&lt;&gt;"",CI8&gt;=CQ$19,CI8&lt;&gt;"",CF8=""),AND(CJ8&gt;=CQ$15,CJ8&lt;&gt;"",CL8&gt;=CQ$19,CL8&lt;&gt;"",CF8=""),AND(CN8&gt;=CQ$15,CN8&lt;&gt;"",CP8&gt;=CQ$19,CP8&lt;&gt;"",CF8=""),AND(DN8&gt;=EA$15,DN8&lt;&gt;"",DP8&gt;=EA$19,DP8&lt;&gt;""),AND(DQ8&gt;=EA$15,DQ8&lt;&gt;"",DS8&gt;=EA$19,DS8&lt;&gt;""),AND(DU8&gt;=EA$15,DU8&lt;&gt;"",DW8&gt;=EA$19,DW8&lt;&gt;""),AND(DX8&gt;=EA$15,DX8&lt;&gt;"",DZ8&gt;=EA$19,DZ8&lt;&gt;""),AND(EV8&gt;=FI$15,EV8&lt;&gt;"",EX8&gt;=FI$19,EX8&lt;&gt;""),AND(EY8&gt;=FI$15,EY8&lt;&gt;"",FA8&gt;=FI$19,FA8&lt;&gt;""),AND(FC8&gt;=FI$15,FC8&lt;&gt;"",FE8&gt;=FI$19,FE8&lt;&gt;""),AND(FF8&gt;=FI$15,FF8&lt;&gt;"",FH8&gt;=FI$19,FH8&lt;&gt;""),AND(GD8&gt;=GQ$15,GD8&lt;&gt;"",GF8&gt;=GQ$19,GF8&lt;&gt;""),AND(GG8&gt;=GQ$15,GG8&lt;&gt;"",GI8&gt;=GQ$19,GI8&lt;&gt;""),AND(GK8&gt;=GQ$15,GK8&lt;&gt;"",GM8&gt;=GQ$19,GM8&lt;&gt;""),AND(GN8&gt;=GQ$15,GN8&lt;&gt;"",GP8&gt;=GQ$19,GP8&lt;&gt;""),AND(HL8&gt;=HY$15,HL8&lt;&gt;"",HN8&gt;=HY$19,HN8&lt;&gt;""),AND(HO8&gt;=HY$15,HO8&lt;&gt;"",HQ8&gt;=HY$19,HQ8&lt;&gt;""),AND(HS8&gt;=HY$15,HS8&lt;&gt;"",HU8&gt;=HY$19,HU8&lt;&gt;""),AND(HV8&gt;=HY$15,HV8&lt;&gt;"",HX8&gt;=HY$19,HX8&lt;&gt;""),AND(IT8&gt;=JG$15,IT8&lt;&gt;"",IV8&gt;=JG$19,IV8&lt;&gt;""),AND(IW8&gt;=JG$15,IW8&lt;&gt;"",IY8&gt;=JG$19,IY8&lt;&gt;""),AND(JA8&gt;=JG$15,JA8&lt;&gt;"",JC8&gt;=JG$19,JC8&lt;&gt;""),AND(JD8&gt;=JG$15,JD8&lt;&gt;"",JF8&gt;=JG$19,JF8&lt;&gt;""),AND(KB8&gt;=KO$15,KB8&lt;&gt;"",KD8&gt;=KO$19,KD8&lt;&gt;""),AND(KE8&gt;=KO$15,KE8&lt;&gt;"",KG8&gt;=KO$19,KG8&lt;&gt;""),AND(KI8&gt;=KO$15,KI8&lt;&gt;"",KK8&gt;=KO$19,KK8&lt;&gt;""),AND(KL8&gt;=KO$15,KL8&lt;&gt;"",KN8&gt;=KO$19,KN8&lt;&gt;""),AND(LJ8&gt;=LW$15,LJ8&lt;&gt;"",LL8&gt;=LW$19,LL8&lt;&gt;""),AND(LM8&gt;=LW$15,LM8&lt;&gt;"",LO8&gt;=LW$19,LO8&lt;&gt;""),AND(LQ8&gt;=LW$15,LQ8&lt;&gt;"",LS8&gt;=LW$19,LS8&lt;&gt;""),AND(LT8&gt;=LW$15,LT8&lt;&gt;"",LV8&gt;=LW$19,LV8&lt;&gt;""),AND(MR8&gt;=NE$15,MR8&lt;&gt;"",MT8&gt;=NE$19,MT8&lt;&gt;""),AND(MU8&gt;=NE$15,MU8&lt;&gt;"",MW8&gt;=NE$19,MW8&lt;&gt;""),AND(MY8&gt;=NE$15,MY8&lt;&gt;"",NA8&gt;=NE$19,NA8&lt;&gt;""),AND(NB8&gt;=NE$15,NB8&lt;&gt;"",ND8&gt;=NE$19,ND8&lt;&gt;""),AND(NZ8&gt;=OM$15,NZ8&lt;&gt;"",OB8&gt;=OM$19,OB8&lt;&gt;""),AND(OC8&gt;=OM$15,OC8&lt;&gt;"",OE8&gt;=OM$19,OE8&lt;&gt;""),AND(OG8&gt;=OM$15,OG8&lt;&gt;"",OI8&gt;=OM$19,OI8&lt;&gt;""),AND(OJ8&gt;=OM$15,OJ8&lt;&gt;"",OL8&gt;=OM$19,OL8&lt;&gt;""),AND(PH8&gt;=PU$15,PH8&lt;&gt;"",PJ8&gt;=PU$19,PJ8&lt;&gt;""),AND(PK8&gt;=PU$15,PK8&lt;&gt;"",PM8&gt;=PU$19,PM8&lt;&gt;""),AND(PO8&gt;=PU$15,PO8&lt;&gt;"",PQ8&gt;=PU$19,PQ8&lt;&gt;""),AND(PR8&gt;=PU$15,PR8&lt;&gt;"",PT8&gt;=PU$19,PT8&lt;&gt;""),AND(QP8&gt;=RC$15,QP8&lt;&gt;"",QR8&gt;=RC$19,QR8&lt;&gt;""),AND(QS8&gt;=RC$15,QS8&lt;&gt;"",QU8&gt;=RC$19,QU8&lt;&gt;""),AND(QW8&gt;=RC$15,QW8&lt;&gt;"",QY8&gt;=RC$19,QY8&lt;&gt;""),AND(QZ8&gt;=RC$15,QZ8&lt;&gt;"",RB8&gt;=RC$19,RB8&lt;&gt;""),AND(RX8&gt;=SK$15,RX8&lt;&gt;"",RZ8&gt;=SK$19,RZ8&lt;&gt;""),AND(SA8&gt;=SK$15,SA8&lt;&gt;"",SC8&gt;=SK$19,SC8&lt;&gt;""),AND(SE8&gt;=SK$15,SE8&lt;&gt;"",SG8&gt;=SK$19,SG8&lt;&gt;""),AND(SH8&gt;=SK$15,SH8&lt;&gt;"",SJ8&gt;=SK$19,SJ8&lt;&gt;"")),"Merit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Excellence",IF(I8="P","Worlds Team",IF(F8="P","National Team","")))))</f>
        <v/>
      </c>
      <c r="I8" s="3" t="str">
        <f>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P","")</f>
        <v/>
      </c>
      <c r="J8" s="13">
        <f>IF(COUNT(AG8,AJ8,AN8,BH8,BK8,BO8,CI8,CL8,CP8)&gt;0,LARGE((AG8,AJ8,AN8,BH8,BK8,BO8,CI8,CL8,CP8),1),0)</f>
        <v>42.620000000000005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>
        <v>6.55</v>
      </c>
      <c r="AQ8" s="46">
        <v>9.15</v>
      </c>
      <c r="AR8" s="46">
        <v>10.5</v>
      </c>
      <c r="AS8" s="46">
        <v>16.420000000000002</v>
      </c>
      <c r="AT8" s="46">
        <v>0</v>
      </c>
      <c r="AU8" s="46">
        <v>7</v>
      </c>
      <c r="AV8" s="46">
        <v>8.9</v>
      </c>
      <c r="AW8" s="46">
        <v>10.5</v>
      </c>
      <c r="AX8" s="46">
        <v>14.88</v>
      </c>
      <c r="AY8" s="46">
        <v>0</v>
      </c>
      <c r="AZ8" s="46">
        <v>0.7</v>
      </c>
      <c r="BA8" s="46">
        <v>0.9</v>
      </c>
      <c r="BB8" s="46">
        <v>1.5</v>
      </c>
      <c r="BC8" s="46">
        <v>1.88</v>
      </c>
      <c r="BD8" s="46">
        <v>0</v>
      </c>
      <c r="BE8" s="52"/>
      <c r="BF8" s="75">
        <f>IF(AR8&gt;0,AR8,"")</f>
        <v>10.5</v>
      </c>
      <c r="BG8" s="75">
        <f>IF(AS8&gt;0,AS8,"")</f>
        <v>16.420000000000002</v>
      </c>
      <c r="BH8" s="16">
        <f>IF(SUM(AP8:AS8)-AT8&gt;0,SUM(AP8:AS8)-AT8,"")</f>
        <v>42.620000000000005</v>
      </c>
      <c r="BI8" s="16">
        <f>IF(AW8&gt;0,AW8,"")</f>
        <v>10.5</v>
      </c>
      <c r="BJ8" s="16">
        <f>IF(AX8&gt;0,AX8,"")</f>
        <v>14.88</v>
      </c>
      <c r="BK8" s="16">
        <f>IF(SUM(AU8:AX8)-AY8&gt;0,SUM(AU8:AX8)-AY8,"")</f>
        <v>41.28</v>
      </c>
      <c r="BL8" s="16">
        <f>IF(BH8="","",MAX(BH8,BK8))</f>
        <v>42.620000000000005</v>
      </c>
      <c r="BM8" s="16">
        <f>IF(BB8&gt;0,BB8,"")</f>
        <v>1.5</v>
      </c>
      <c r="BN8" s="16">
        <f>IF(BC8&gt;0,BC8,"")</f>
        <v>1.88</v>
      </c>
      <c r="BO8" s="16">
        <f>IF(SUM(AZ8:BC8)-BD8&gt;0,SUM(AZ8:BC8)-BD8,"")</f>
        <v>4.9800000000000004</v>
      </c>
      <c r="BP8" s="16">
        <f>IF(SUM(BL8,BO8)&gt;0,SUM(BL8,BO8),"")</f>
        <v>47.600000000000009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>IF(BS8&gt;0,BS8,"")</f>
        <v/>
      </c>
      <c r="CH8" s="74" t="str">
        <f>IF(BT8&gt;0,BT8,"")</f>
        <v/>
      </c>
      <c r="CI8" s="76" t="str">
        <f>IF(SUM(BQ8:BT8)-BU8&gt;0,SUM(BQ8:BT8)-BU8,"")</f>
        <v/>
      </c>
      <c r="CJ8" s="76" t="str">
        <f>IF(BX8&gt;0,BX8,"")</f>
        <v/>
      </c>
      <c r="CK8" s="76" t="str">
        <f>IF(BY8&gt;0,BY8,"")</f>
        <v/>
      </c>
      <c r="CL8" s="76" t="str">
        <f>IF(SUM(BV8:BY8)-BZ8&gt;0,SUM(BV8:BY8)-BZ8,"")</f>
        <v/>
      </c>
      <c r="CM8" s="76" t="str">
        <f>IF(CI8="","",MAX(CI8,CL8))</f>
        <v/>
      </c>
      <c r="CN8" s="76" t="str">
        <f>IF(CC8&gt;0,CC8,"")</f>
        <v/>
      </c>
      <c r="CO8" s="76" t="str">
        <f>IF(CD8&gt;0,CD8,"")</f>
        <v/>
      </c>
      <c r="CP8" s="76" t="str">
        <f>IF(SUM(CA8:CD8)-CE8&gt;0,SUM(CA8:CD8)-CE8,"")</f>
        <v/>
      </c>
      <c r="CQ8" s="76" t="str">
        <f>IF(SUM(CM8,CP8)&gt;0,SUM(CM8,CP8),"")</f>
        <v/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3.2749999999999999</v>
      </c>
      <c r="SM8" s="42">
        <f>IF($CF8="P",BR8,(BR8+AQ8)/2)</f>
        <v>4.5750000000000002</v>
      </c>
      <c r="SN8" s="42">
        <f>IF($CF8="P",BS8,(BS8+AR8)/2)</f>
        <v>5.25</v>
      </c>
      <c r="SO8" s="42">
        <f>IF($CF8="P",BT8,(BT8+AS8)/2)</f>
        <v>8.2100000000000009</v>
      </c>
      <c r="SP8" s="42">
        <f>IF($CF8="P",BU8,(BU8+AT8)/2)</f>
        <v>0</v>
      </c>
      <c r="SQ8" s="42">
        <f>IF($CF8="P",BV8,(BV8+AU8)/2)</f>
        <v>3.5</v>
      </c>
      <c r="SR8" s="42">
        <f>IF($CF8="P",BW8,(BW8+AV8)/2)</f>
        <v>4.45</v>
      </c>
      <c r="SS8" s="42">
        <f>IF($CF8="P",BX8,(BX8+AW8)/2)</f>
        <v>5.25</v>
      </c>
      <c r="ST8" s="42">
        <f>IF($CF8="P",BY8,(BY8+AX8)/2)</f>
        <v>7.44</v>
      </c>
      <c r="SU8" s="42">
        <f>IF($CF8="P",BZ8,(BZ8+AY8)/2)</f>
        <v>0</v>
      </c>
      <c r="SV8" s="42">
        <f>IF($CF8="P",CA8,(CA8+AZ8)/2)</f>
        <v>0.35</v>
      </c>
      <c r="SW8" s="42">
        <f>IF($CF8="P",CB8,(CB8+BA8)/2)</f>
        <v>0.45</v>
      </c>
      <c r="SX8" s="42">
        <f>IF($CF8="P",CC8,(CC8+BB8)/2)</f>
        <v>0.75</v>
      </c>
      <c r="SY8" s="42">
        <f>IF($CF8="P",CD8,(CD8+BC8)/2)</f>
        <v>0.94</v>
      </c>
      <c r="SZ8" s="42">
        <f>IF($CF8="P",CE8,(CE8+BD8)/2)</f>
        <v>0</v>
      </c>
      <c r="TA8" s="51" t="s">
        <v>58</v>
      </c>
      <c r="TB8" s="76">
        <f>IF(SN8&gt;0,SN8,"")</f>
        <v>5.25</v>
      </c>
      <c r="TC8" s="76">
        <f>IF(SO8&gt;0,SO8,"")</f>
        <v>8.2100000000000009</v>
      </c>
      <c r="TD8" s="76">
        <f>IF(SUM(SL8:SO8)-SP8&gt;0,SUM(SL8:SO8)-SP8,"")</f>
        <v>21.310000000000002</v>
      </c>
      <c r="TE8" s="76">
        <f>IF(SS8&gt;0,SS8,"")</f>
        <v>5.25</v>
      </c>
      <c r="TF8" s="76">
        <f>IF(ST8&gt;0,ST8,"")</f>
        <v>7.44</v>
      </c>
      <c r="TG8" s="76">
        <f>IF(SUM(SQ8:ST8)-SU8&gt;0,SUM(SQ8:ST8)-SU8,"")</f>
        <v>20.64</v>
      </c>
      <c r="TH8" s="76">
        <f>IF(MAX(TD8,TG8)&gt;0,MAX(TD8,TG8),"")</f>
        <v>21.310000000000002</v>
      </c>
      <c r="TI8" s="76">
        <f>IF(SX8&gt;0,SX8,"")</f>
        <v>0.75</v>
      </c>
      <c r="TJ8" s="76">
        <f>IF(SY8&gt;0,SY8,"")</f>
        <v>0.94</v>
      </c>
      <c r="TK8" s="76">
        <f>IF(SUM(SV8:SY8)-SZ8&gt;0,SUM(SV8:SY8)-SZ8,"")</f>
        <v>2.4900000000000002</v>
      </c>
      <c r="TL8" s="76">
        <f>IF(SUM(TH8,TK8)&gt;0,SUM(TH8,TK8),"")</f>
        <v>23.800000000000004</v>
      </c>
    </row>
    <row r="9" spans="1:532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" t="s">
        <v>177</v>
      </c>
      <c r="C9" s="7" t="s">
        <v>6</v>
      </c>
      <c r="D9" s="5" t="s">
        <v>176</v>
      </c>
      <c r="E9" s="14">
        <f>SUM(J9,L9)</f>
        <v>42.08</v>
      </c>
      <c r="F9" s="3" t="str">
        <f>IF(OR(AND(AE9&gt;=AO$12,AE9&lt;&gt;"",AG9&gt;=AO$16,AG9&lt;&gt;"",AD9=""),AND(AH9&gt;=AO$12,AH9&lt;&gt;"",AJ9&gt;=AO$16,AJ9&lt;&gt;"",AD9=""),AND(AL9&gt;=AO$12,AL9&lt;&gt;"",AN9&gt;=AO$16,AN9&lt;&gt;"",AD9=""),AND(BF9&gt;=BP$12,BF9&lt;&gt;"",BH9&gt;=BP$16,BH9&lt;&gt;"",BE9=""),AND(BI9&gt;=BP$12,BI9&lt;&gt;"",BK9&gt;=BP$16,BK9&lt;&gt;"",BE9=""),AND(BM9&gt;=BP$12,BM9&lt;&gt;"",BO9&gt;=BP$16,BO9&lt;&gt;"",BE9=""),AND(CG9&gt;=CQ$12,CG9&lt;&gt;"",CI9&gt;=CQ$16,CI9&lt;&gt;"",CF9=""),AND(CJ9&gt;=CQ$12,CJ9&lt;&gt;"",CL9&gt;=CQ$16,CL9&lt;&gt;"",CF9=""),AND(CN9&gt;=CQ$12,CN9&lt;&gt;"",CP9&gt;=CQ$16,CP9&lt;&gt;"",CF9=""),AND(DN9&gt;=EA$12,DN9&lt;&gt;"",DP9&gt;=EA$16,DP9&lt;&gt;""),AND(DQ9&gt;=EA$12,DQ9&lt;&gt;"",DS9&gt;=EA$16,DS9&lt;&gt;""),AND(DU9&gt;=EA$12,DU9&lt;&gt;"",DW9&gt;=EA$16,DW9&lt;&gt;""),AND(DX9&gt;=EA$12,DX9&lt;&gt;"",DZ9&gt;=EA$16,DZ9&lt;&gt;""),AND(EV9&gt;=FI$12,EV9&lt;&gt;"",EX9&gt;=FI$16,EX9&lt;&gt;""),AND(EY9&gt;=FI$12,EY9&lt;&gt;"",FA9&gt;=FI$16,FA9&lt;&gt;""),AND(FC9&gt;=FI$12,FC9&lt;&gt;"",FE9&gt;=FI$16,FE9&lt;&gt;""),AND(FF9&gt;=FI$12,FF9&lt;&gt;"",FH9&gt;=FI$16,FH9&lt;&gt;""),AND(GD9&gt;=GQ$12,GD9&lt;&gt;"",GF9&gt;=GQ$16,GF9&lt;&gt;""),AND(GG9&gt;=GQ$12,GG9&lt;&gt;"",GI9&gt;=GQ$16,GI9&lt;&gt;""),AND(GK9&gt;=GQ$12,GK9&lt;&gt;"",GM9&gt;=GQ$16,GM9&lt;&gt;""),AND(GN9&gt;=GQ$12,GN9&lt;&gt;"",GP9&gt;=GQ$16,GP9&lt;&gt;""),AND(HL9&gt;=HY$12,HL9&lt;&gt;"",HN9&gt;=HY$16,HN9&lt;&gt;""),AND(HO9&gt;=HY$12,HO9&lt;&gt;"",HQ9&gt;=HY$16,HQ9&lt;&gt;""),AND(HS9&gt;=HY$12,HS9&lt;&gt;"",HU9&gt;=HY$16,HU9&lt;&gt;""),AND(HV9&gt;=HY$12,HV9&lt;&gt;"",HX9&gt;=HY$16,HX9&lt;&gt;""),AND(IT9&gt;=JG$12,IT9&lt;&gt;"",IV9&gt;=JG$16,IV9&lt;&gt;""),AND(IW9&gt;=JG$12,IW9&lt;&gt;"",IY9&gt;=JG$16,IY9&lt;&gt;""),AND(JA9&gt;=JG$12,JA9&lt;&gt;"",JC9&gt;=JG$16,JC9&lt;&gt;""),AND(JD9&gt;=JG$12,JD9&lt;&gt;"",JF9&gt;=JG$16,JF9&lt;&gt;""),AND(KB9&gt;=KO$12,KB9&lt;&gt;"",KD9&gt;=KO$16,KD9&lt;&gt;""),AND(KE9&gt;=KO$12,KE9&lt;&gt;"",KG9&gt;=KO$16,KG9&lt;&gt;""),AND(KI9&gt;=KO$12,KI9&lt;&gt;"",KK9&gt;=KO$16,KK9&lt;&gt;""),AND(KL9&gt;=KO$12,KL9&lt;&gt;"",KN9&gt;=KO$16,KN9&lt;&gt;""),AND(LJ9&gt;=LW$12,LJ9&lt;&gt;"",LL9&gt;=LW$16,LL9&lt;&gt;""),AND(LM9&gt;=LW$12,LM9&lt;&gt;"",LO9&gt;=LW$16,LO9&lt;&gt;""),AND(LQ9&gt;=LW$12,LQ9&lt;&gt;"",LS9&gt;=LW$16,LS9&lt;&gt;""),AND(LT9&gt;=LW$12,LT9&lt;&gt;"",LV9&gt;=LW$16,LV9&lt;&gt;""),AND(MR9&gt;=NE$12,MR9&lt;&gt;"",MT9&gt;=NE$16,MT9&lt;&gt;""),AND(MU9&gt;=NE$12,MU9&lt;&gt;"",MW9&gt;=NE$16,MW9&lt;&gt;""),AND(MY9&gt;=NE$12,MY9&lt;&gt;"",NA9&gt;=NE$16,NA9&lt;&gt;""),AND(NB9&gt;=NE$12,NB9&lt;&gt;"",ND9&gt;=NE$16,ND9&lt;&gt;""),AND(NZ9&gt;=OM$12,NZ9&lt;&gt;"",OB9&gt;=OM$16,OB9&lt;&gt;""),AND(OC9&gt;=OM$12,OC9&lt;&gt;"",OE9&gt;=OM$16,OE9&lt;&gt;""),AND(OG9&gt;=OM$12,OG9&lt;&gt;"",OI9&gt;=OM$16,OI9&lt;&gt;""),AND(OJ9&gt;=OM$12,OJ9&lt;&gt;"",OL9&gt;=OM$16,OL9&lt;&gt;""),AND(PH9&gt;=PU$12,PH9&lt;&gt;"",PJ9&gt;=PU$16,PJ9&lt;&gt;""),AND(PK9&gt;=PU$12,PK9&lt;&gt;"",PM9&gt;=PU$16,PM9&lt;&gt;""),AND(PO9&gt;=PU$12,PO9&lt;&gt;"",PQ9&gt;=PU$16,PQ9&lt;&gt;""),AND(PR9&gt;=PU$12,PR9&lt;&gt;"",PT9&gt;=PU$16,PT9&lt;&gt;""),AND(QP9&gt;=RC$12,QP9&lt;&gt;"",QR9&gt;=RC$16,QR9&lt;&gt;""),AND(QS9&gt;=RC$12,QS9&lt;&gt;"",QU9&gt;=RC$16,QU9&lt;&gt;""),AND(QW9&gt;=RC$12,QW9&lt;&gt;"",QY9&gt;=RC$16,QY9&lt;&gt;""),AND(QZ9&gt;=RC$12,QZ9&lt;&gt;"",RB9&gt;=RC$16,RB9&lt;&gt;""),AND(RX9&gt;=SK$12,RX9&lt;&gt;"",RZ9&gt;=SK$16,RZ9&lt;&gt;""),AND(SA9&gt;=SK$12,SA9&lt;&gt;"",SC9&gt;=SK$16,SC9&lt;&gt;""),AND(SE9&gt;=SK$12,SE9&lt;&gt;"",SG9&gt;=SK$16,SG9&lt;&gt;""),AND(SH9&gt;=SK$12,SH9&lt;&gt;"",SJ9&gt;=SK$16,SJ9&lt;&gt;"")),"P","")</f>
        <v/>
      </c>
      <c r="G9" s="3" t="str">
        <f>IF(OR(AND(AG9&gt;=AO$16,AG9&lt;&gt;"",AD9=""),AND(AJ9&gt;=AO$16,AJ9&lt;&gt;"",AD9=""),AND(AN9&gt;=AO$16,AN9&lt;&gt;"",AD9=""),AND(BH9&gt;=BP$16,BH9&lt;&gt;"",BE9=""),AND(BK9&gt;=BP$16,BK9&lt;&gt;"",BE9=""),AND(BO9&gt;=BP$16,BO9&lt;&gt;"",BE9=""),AND(CI9&gt;=CQ$16,CI9&lt;&gt;"",CF9=""),AND(CL9&gt;=CQ$16,CL9&lt;&gt;"",CF9=""),AND(CP9&gt;=CQ$16,CP9&lt;&gt;"",CF9=""),AND(DP9&gt;=EA$16,DP9&lt;&gt;""),AND(DS9&gt;=EA$16,DS9&lt;&gt;""),AND(DW9&gt;=EA$16,DW9&lt;&gt;""),AND(DZ9&gt;=EA$16,DZ9&lt;&gt;""),AND(EX9&gt;=FI$16,EX9&lt;&gt;""),AND(FA9&gt;=FI$16,FA9&lt;&gt;""),AND(FE9&gt;=FI$16,FE9&lt;&gt;""),AND(FH9&gt;=FI$16,FH9&lt;&gt;""),AND(GF9&gt;=GQ$16,GF9&lt;&gt;""),AND(GI9&gt;=GQ$16,GI9&lt;&gt;""),AND(GM9&gt;=GQ$16,GM9&lt;&gt;""),AND(GP9&gt;=GQ$16,GP9&lt;&gt;""),AND(HN9&gt;=HY$16,HN9&lt;&gt;""),AND(HQ9&gt;=HY$16,HQ9&lt;&gt;""),AND(HU9&gt;=HY$16,HU9&lt;&gt;""),AND(HX9&gt;=HY$16,HX9&lt;&gt;""),AND(IV9&gt;=JG$16,IV9&lt;&gt;""),AND(IY9&gt;=JG$16,IY9&lt;&gt;""),AND(JC9&gt;=JG$16,JC9&lt;&gt;""),AND(JF9&gt;=JG$16,JF9&lt;&gt;""),AND(KD9&gt;=KO$16,KD9&lt;&gt;""),AND(KG9&gt;=KO$16,KG9&lt;&gt;""),AND(KK9&gt;=KO$16,KK9&lt;&gt;""),AND(KN9&gt;=KO$16,KN9&lt;&gt;""),AND(LL9&gt;=LW$16,LL9&lt;&gt;""),AND(LO9&gt;=LW$16,LO9&lt;&gt;""),AND(LS9&gt;=LW$16,LS9&lt;&gt;""),AND(LV9&gt;=LW$16,LV9&lt;&gt;""),AND(MT9&gt;=NE$16,MT9&lt;&gt;""),AND(MW9&gt;=NE$16,MW9&lt;&gt;""),AND(NA9&gt;=NE$16,NA9&lt;&gt;""),AND(ND9&gt;=NE$16,ND9&lt;&gt;""),AND(OB9&gt;=OM$16,OB9&lt;&gt;""),AND(OE9&gt;=OM$16,OE9&lt;&gt;""),AND(OI9&gt;=OM$16,OI9&lt;&gt;""),AND(OL9&gt;=OM$16,OL9&lt;&gt;""),AND(PJ9&gt;=PU$16,PJ9&lt;&gt;""),AND(PM9&gt;=PU$16,PM9&lt;&gt;""),AND(PQ9&gt;=PU$16,PQ9&lt;&gt;""),AND(PT9&gt;=PU$16,PT9&lt;&gt;""),AND(QR9&gt;=RC$16,QR9&lt;&gt;""),AND(QU9&gt;=RC$16,QU9&lt;&gt;""),AND(QY9&gt;=RC$16,QY9&lt;&gt;""),AND(RB9&gt;=RC$16,RB9&lt;&gt;""),AND(RZ9&gt;=SK$16,RZ9&lt;&gt;""),AND(SC9&gt;=SK$16,SC9&lt;&gt;""),AND(SG9&gt;=SK$16,SG9&lt;&gt;""),AND(SJ9&gt;=SK$16,SJ9&lt;&gt;"")),"P","")</f>
        <v/>
      </c>
      <c r="H9" s="70" t="str">
        <f>IF(AND(G9="P",F9=""),"No DD",IF(OR(AND(AE9&gt;=AO$15,AE9&lt;&gt;"",AG9&gt;=AO$19,AG9&lt;&gt;"",AD9=""),AND(AH9&gt;=AO$15,AH9&lt;&gt;"",AJ9&gt;=AO$19,AJ9&lt;&gt;"",AD9=""),AND(AL9&gt;=AO$15,AL9&lt;&gt;"",AN9&gt;=AO$19,AN9&lt;&gt;"",AD9=""),AND(BF9&gt;=BP$15,BF9&lt;&gt;"",BH9&gt;=BP$19,BH9&lt;&gt;"",BE9=""),AND(BI9&gt;=BP$15,BI9&lt;&gt;"",BK9&gt;=BP$19,BK9&lt;&gt;"",BE9=""),AND(BM9&gt;=BP$15,BM9&lt;&gt;"",BO9&gt;=BP$19,BO9&lt;&gt;"",BE9=""),AND(CG9&gt;=CQ$15,CG9&lt;&gt;"",CI9&gt;=CQ$19,CI9&lt;&gt;"",CF9=""),AND(CJ9&gt;=CQ$15,CJ9&lt;&gt;"",CL9&gt;=CQ$19,CL9&lt;&gt;"",CF9=""),AND(CN9&gt;=CQ$15,CN9&lt;&gt;"",CP9&gt;=CQ$19,CP9&lt;&gt;"",CF9=""),AND(DN9&gt;=EA$15,DN9&lt;&gt;"",DP9&gt;=EA$19,DP9&lt;&gt;""),AND(DQ9&gt;=EA$15,DQ9&lt;&gt;"",DS9&gt;=EA$19,DS9&lt;&gt;""),AND(DU9&gt;=EA$15,DU9&lt;&gt;"",DW9&gt;=EA$19,DW9&lt;&gt;""),AND(DX9&gt;=EA$15,DX9&lt;&gt;"",DZ9&gt;=EA$19,DZ9&lt;&gt;""),AND(EV9&gt;=FI$15,EV9&lt;&gt;"",EX9&gt;=FI$19,EX9&lt;&gt;""),AND(EY9&gt;=FI$15,EY9&lt;&gt;"",FA9&gt;=FI$19,FA9&lt;&gt;""),AND(FC9&gt;=FI$15,FC9&lt;&gt;"",FE9&gt;=FI$19,FE9&lt;&gt;""),AND(FF9&gt;=FI$15,FF9&lt;&gt;"",FH9&gt;=FI$19,FH9&lt;&gt;""),AND(GD9&gt;=GQ$15,GD9&lt;&gt;"",GF9&gt;=GQ$19,GF9&lt;&gt;""),AND(GG9&gt;=GQ$15,GG9&lt;&gt;"",GI9&gt;=GQ$19,GI9&lt;&gt;""),AND(GK9&gt;=GQ$15,GK9&lt;&gt;"",GM9&gt;=GQ$19,GM9&lt;&gt;""),AND(GN9&gt;=GQ$15,GN9&lt;&gt;"",GP9&gt;=GQ$19,GP9&lt;&gt;""),AND(HL9&gt;=HY$15,HL9&lt;&gt;"",HN9&gt;=HY$19,HN9&lt;&gt;""),AND(HO9&gt;=HY$15,HO9&lt;&gt;"",HQ9&gt;=HY$19,HQ9&lt;&gt;""),AND(HS9&gt;=HY$15,HS9&lt;&gt;"",HU9&gt;=HY$19,HU9&lt;&gt;""),AND(HV9&gt;=HY$15,HV9&lt;&gt;"",HX9&gt;=HY$19,HX9&lt;&gt;""),AND(IT9&gt;=JG$15,IT9&lt;&gt;"",IV9&gt;=JG$19,IV9&lt;&gt;""),AND(IW9&gt;=JG$15,IW9&lt;&gt;"",IY9&gt;=JG$19,IY9&lt;&gt;""),AND(JA9&gt;=JG$15,JA9&lt;&gt;"",JC9&gt;=JG$19,JC9&lt;&gt;""),AND(JD9&gt;=JG$15,JD9&lt;&gt;"",JF9&gt;=JG$19,JF9&lt;&gt;""),AND(KB9&gt;=KO$15,KB9&lt;&gt;"",KD9&gt;=KO$19,KD9&lt;&gt;""),AND(KE9&gt;=KO$15,KE9&lt;&gt;"",KG9&gt;=KO$19,KG9&lt;&gt;""),AND(KI9&gt;=KO$15,KI9&lt;&gt;"",KK9&gt;=KO$19,KK9&lt;&gt;""),AND(KL9&gt;=KO$15,KL9&lt;&gt;"",KN9&gt;=KO$19,KN9&lt;&gt;""),AND(LJ9&gt;=LW$15,LJ9&lt;&gt;"",LL9&gt;=LW$19,LL9&lt;&gt;""),AND(LM9&gt;=LW$15,LM9&lt;&gt;"",LO9&gt;=LW$19,LO9&lt;&gt;""),AND(LQ9&gt;=LW$15,LQ9&lt;&gt;"",LS9&gt;=LW$19,LS9&lt;&gt;""),AND(LT9&gt;=LW$15,LT9&lt;&gt;"",LV9&gt;=LW$19,LV9&lt;&gt;""),AND(MR9&gt;=NE$15,MR9&lt;&gt;"",MT9&gt;=NE$19,MT9&lt;&gt;""),AND(MU9&gt;=NE$15,MU9&lt;&gt;"",MW9&gt;=NE$19,MW9&lt;&gt;""),AND(MY9&gt;=NE$15,MY9&lt;&gt;"",NA9&gt;=NE$19,NA9&lt;&gt;""),AND(NB9&gt;=NE$15,NB9&lt;&gt;"",ND9&gt;=NE$19,ND9&lt;&gt;""),AND(NZ9&gt;=OM$15,NZ9&lt;&gt;"",OB9&gt;=OM$19,OB9&lt;&gt;""),AND(OC9&gt;=OM$15,OC9&lt;&gt;"",OE9&gt;=OM$19,OE9&lt;&gt;""),AND(OG9&gt;=OM$15,OG9&lt;&gt;"",OI9&gt;=OM$19,OI9&lt;&gt;""),AND(OJ9&gt;=OM$15,OJ9&lt;&gt;"",OL9&gt;=OM$19,OL9&lt;&gt;""),AND(PH9&gt;=PU$15,PH9&lt;&gt;"",PJ9&gt;=PU$19,PJ9&lt;&gt;""),AND(PK9&gt;=PU$15,PK9&lt;&gt;"",PM9&gt;=PU$19,PM9&lt;&gt;""),AND(PO9&gt;=PU$15,PO9&lt;&gt;"",PQ9&gt;=PU$19,PQ9&lt;&gt;""),AND(PR9&gt;=PU$15,PR9&lt;&gt;"",PT9&gt;=PU$19,PT9&lt;&gt;""),AND(QP9&gt;=RC$15,QP9&lt;&gt;"",QR9&gt;=RC$19,QR9&lt;&gt;""),AND(QS9&gt;=RC$15,QS9&lt;&gt;"",QU9&gt;=RC$19,QU9&lt;&gt;""),AND(QW9&gt;=RC$15,QW9&lt;&gt;"",QY9&gt;=RC$19,QY9&lt;&gt;""),AND(QZ9&gt;=RC$15,QZ9&lt;&gt;"",RB9&gt;=RC$19,RB9&lt;&gt;""),AND(RX9&gt;=SK$15,RX9&lt;&gt;"",RZ9&gt;=SK$19,RZ9&lt;&gt;""),AND(SA9&gt;=SK$15,SA9&lt;&gt;"",SC9&gt;=SK$19,SC9&lt;&gt;""),AND(SE9&gt;=SK$15,SE9&lt;&gt;"",SG9&gt;=SK$19,SG9&lt;&gt;""),AND(SH9&gt;=SK$15,SH9&lt;&gt;"",SJ9&gt;=SK$19,SJ9&lt;&gt;"")),"Merit",IF(OR(AND(AE9&gt;=AO$14,AE9&lt;&gt;"",AG9&gt;=AO$18,AG9&lt;&gt;"",AD9=""),AND(AH9&gt;=AO$14,AH9&lt;&gt;"",AJ9&gt;=AO$18,AJ9&lt;&gt;"",AD9=""),AND(AL9&gt;=AO$14,AL9&lt;&gt;"",AN9&gt;=AO$18,AN9&lt;&gt;"",AD9=""),AND(BF9&gt;=BP$14,BF9&lt;&gt;"",BH9&gt;=BP$18,BH9&lt;&gt;"",BE9=""),AND(BI9&gt;=BP$14,BI9&lt;&gt;"",BK9&gt;=BP$18,BK9&lt;&gt;"",BE9=""),AND(BM9&gt;=BP$14,BM9&lt;&gt;"",BO9&gt;=BP$18,BO9&lt;&gt;"",BE9=""),AND(CG9&gt;=CQ$14,CG9&lt;&gt;"",CI9&gt;=CQ$18,CI9&lt;&gt;"",CF9=""),AND(CJ9&gt;=CQ$14,CJ9&lt;&gt;"",CL9&gt;=CQ$18,CL9&lt;&gt;"",CF9=""),AND(CN9&gt;=CQ$14,CN9&lt;&gt;"",CP9&gt;=CQ$18,CP9&lt;&gt;"",CF9=""),AND(DN9&gt;=EA$14,DN9&lt;&gt;"",DP9&gt;=EA$18,DP9&lt;&gt;""),AND(DQ9&gt;=EA$14,DQ9&lt;&gt;"",DS9&gt;=EA$18,DS9&lt;&gt;""),AND(DU9&gt;=EA$14,DU9&lt;&gt;"",DW9&gt;=EA$18,DW9&lt;&gt;""),AND(DX9&gt;=EA$14,DX9&lt;&gt;"",DZ9&gt;=EA$18,DZ9&lt;&gt;""),AND(EV9&gt;=FI$14,EV9&lt;&gt;"",EX9&gt;=FI$18,EX9&lt;&gt;""),AND(EY9&gt;=FI$14,EY9&lt;&gt;"",FA9&gt;=FI$18,FA9&lt;&gt;""),AND(FC9&gt;=FI$14,FC9&lt;&gt;"",FE9&gt;=FI$18,FE9&lt;&gt;""),AND(FF9&gt;=FI$14,FF9&lt;&gt;"",FH9&gt;=FI$18,FH9&lt;&gt;""),AND(GD9&gt;=GQ$14,GD9&lt;&gt;"",GF9&gt;=GQ$18,GF9&lt;&gt;""),AND(GG9&gt;=GQ$14,GG9&lt;&gt;"",GI9&gt;=GQ$18,GI9&lt;&gt;""),AND(GK9&gt;=GQ$14,GK9&lt;&gt;"",GM9&gt;=GQ$18,GM9&lt;&gt;""),AND(GN9&gt;=GQ$14,GN9&lt;&gt;"",GP9&gt;=GQ$18,GP9&lt;&gt;""),AND(HL9&gt;=HY$14,HL9&lt;&gt;"",HN9&gt;=HY$18,HN9&lt;&gt;""),AND(HO9&gt;=HY$14,HO9&lt;&gt;"",HQ9&gt;=HY$18,HQ9&lt;&gt;""),AND(HS9&gt;=HY$14,HS9&lt;&gt;"",HU9&gt;=HY$18,HU9&lt;&gt;""),AND(HV9&gt;=HY$14,HV9&lt;&gt;"",HX9&gt;=HY$18,HX9&lt;&gt;""),AND(IT9&gt;=JG$14,IT9&lt;&gt;"",IV9&gt;=JG$18,IV9&lt;&gt;""),AND(IW9&gt;=JG$14,IW9&lt;&gt;"",IY9&gt;=JG$18,IY9&lt;&gt;""),AND(JA9&gt;=JG$14,JA9&lt;&gt;"",JC9&gt;=JG$18,JC9&lt;&gt;""),AND(JD9&gt;=JG$14,JD9&lt;&gt;"",JF9&gt;=JG$18,JF9&lt;&gt;""),AND(KB9&gt;=KO$14,KB9&lt;&gt;"",KD9&gt;=KO$18,KD9&lt;&gt;""),AND(KE9&gt;=KO$14,KE9&lt;&gt;"",KG9&gt;=KO$18,KG9&lt;&gt;""),AND(KI9&gt;=KO$14,KI9&lt;&gt;"",KK9&gt;=KO$18,KK9&lt;&gt;""),AND(KL9&gt;=KO$14,KL9&lt;&gt;"",KN9&gt;=KO$18,KN9&lt;&gt;""),AND(LJ9&gt;=LW$14,LJ9&lt;&gt;"",LL9&gt;=LW$18,LL9&lt;&gt;""),AND(LM9&gt;=LW$14,LM9&lt;&gt;"",LO9&gt;=LW$18,LO9&lt;&gt;""),AND(LQ9&gt;=LW$14,LQ9&lt;&gt;"",LS9&gt;=LW$18,LS9&lt;&gt;""),AND(LT9&gt;=LW$14,LT9&lt;&gt;"",LV9&gt;=LW$18,LV9&lt;&gt;""),AND(MR9&gt;=NE$14,MR9&lt;&gt;"",MT9&gt;=NE$18,MT9&lt;&gt;""),AND(MU9&gt;=NE$14,MU9&lt;&gt;"",MW9&gt;=NE$18,MW9&lt;&gt;""),AND(MY9&gt;=NE$14,MY9&lt;&gt;"",NA9&gt;=NE$18,NA9&lt;&gt;""),AND(NB9&gt;=NE$14,NB9&lt;&gt;"",ND9&gt;=NE$18,ND9&lt;&gt;""),AND(NZ9&gt;=OM$14,NZ9&lt;&gt;"",OB9&gt;=OM$18,OB9&lt;&gt;""),AND(OC9&gt;=OM$14,OC9&lt;&gt;"",OE9&gt;=OM$18,OE9&lt;&gt;""),AND(OG9&gt;=OM$14,OG9&lt;&gt;"",OI9&gt;=OM$18,OI9&lt;&gt;""),AND(OJ9&gt;=OM$14,OJ9&lt;&gt;"",OL9&gt;=OM$18,OL9&lt;&gt;""),AND(PH9&gt;=PU$14,PH9&lt;&gt;"",PJ9&gt;=PU$18,PJ9&lt;&gt;""),AND(PK9&gt;=PU$14,PK9&lt;&gt;"",PM9&gt;=PU$18,PM9&lt;&gt;""),AND(PO9&gt;=PU$14,PO9&lt;&gt;"",PQ9&gt;=PU$18,PQ9&lt;&gt;""),AND(PR9&gt;=PU$14,PR9&lt;&gt;"",PT9&gt;=PU$18,PT9&lt;&gt;""),AND(QP9&gt;=RC$14,QP9&lt;&gt;"",QR9&gt;=RC$18,QR9&lt;&gt;""),AND(QS9&gt;=RC$14,QS9&lt;&gt;"",QU9&gt;=RC$18,QU9&lt;&gt;""),AND(QW9&gt;=RC$14,QW9&lt;&gt;"",QY9&gt;=RC$18,QY9&lt;&gt;""),AND(QZ9&gt;=RC$14,QZ9&lt;&gt;"",RB9&gt;=RC$18,RB9&lt;&gt;""),AND(RX9&gt;=SK$14,RX9&lt;&gt;"",RZ9&gt;=SK$18,RZ9&lt;&gt;""),AND(SA9&gt;=SK$14,SA9&lt;&gt;"",SC9&gt;=SK$18,SC9&lt;&gt;""),AND(SE9&gt;=SK$14,SE9&lt;&gt;"",SG9&gt;=SK$18,SG9&lt;&gt;""),AND(SH9&gt;=SK$14,SH9&lt;&gt;"",SJ9&gt;=SK$18,SJ9&lt;&gt;"")),"Excellence",IF(I9="P","Worlds Team",IF(F9="P","National Team","")))))</f>
        <v/>
      </c>
      <c r="I9" s="3" t="str">
        <f>IF(OR(AND(AE9&gt;=AO$13,AE9&lt;&gt;"",AG9&gt;=AO$17,AG9&lt;&gt;"",AD9=""),AND(AH9&gt;=AO$13,AH9&lt;&gt;"",AJ9&gt;=AO$17,AJ9&lt;&gt;"",AD9=""),AND(AL9&gt;=AO$13,AL9&lt;&gt;"",AN9&gt;=AO$17,AN9&lt;&gt;"",AD9=""),AND(BF9&gt;=BP$13,BF9&lt;&gt;"",BH9&gt;=BP$17,BH9&lt;&gt;"",BE9=""),AND(BI9&gt;=BP$13,BI9&lt;&gt;"",BK9&gt;=BP$17,BK9&lt;&gt;"",BE9=""),AND(BM9&gt;=BP$13,BM9&lt;&gt;"",BO9&gt;=BP$17,BO9&lt;&gt;"",BE9=""),AND(CG9&gt;=CQ$13,CG9&lt;&gt;"",CI9&gt;=CQ$17,CI9&lt;&gt;"",CF9=""),AND(CJ9&gt;=CQ$13,CJ9&lt;&gt;"",CL9&gt;=CQ$17,CL9&lt;&gt;"",CF9=""),AND(CN9&gt;=CQ$13,CN9&lt;&gt;"",CP9&gt;=CQ$17,CP9&lt;&gt;"",CF9=""),AND(DN9&gt;=EA$13,DN9&lt;&gt;"",DP9&gt;=EA$17,DP9&lt;&gt;""),AND(DQ9&gt;=EA$13,DQ9&lt;&gt;"",DS9&gt;=EA$17,DS9&lt;&gt;""),AND(DU9&gt;=EA$13,DU9&lt;&gt;"",DW9&gt;=EA$17,DW9&lt;&gt;""),AND(DX9&gt;=EA$13,DX9&lt;&gt;"",DZ9&gt;=EA$17,DZ9&lt;&gt;""),AND(EV9&gt;=FI$13,EV9&lt;&gt;"",EX9&gt;=FI$17,EX9&lt;&gt;""),AND(EY9&gt;=FI$13,EY9&lt;&gt;"",FA9&gt;=FI$17,FA9&lt;&gt;""),AND(FC9&gt;=FI$13,FC9&lt;&gt;"",FE9&gt;=FI$17,FE9&lt;&gt;""),AND(FF9&gt;=FI$13,FF9&lt;&gt;"",FH9&gt;=FI$17,FH9&lt;&gt;""),AND(GD9&gt;=GQ$13,GD9&lt;&gt;"",GF9&gt;=GQ$17,GF9&lt;&gt;""),AND(GG9&gt;=GQ$13,GG9&lt;&gt;"",GI9&gt;=GQ$17,GI9&lt;&gt;""),AND(GK9&gt;=GQ$13,GK9&lt;&gt;"",GM9&gt;=GQ$17,GM9&lt;&gt;""),AND(GN9&gt;=GQ$13,GN9&lt;&gt;"",GP9&gt;=GQ$17,GP9&lt;&gt;""),AND(HL9&gt;=HY$13,HL9&lt;&gt;"",HN9&gt;=HY$17,HN9&lt;&gt;""),AND(HO9&gt;=HY$13,HO9&lt;&gt;"",HQ9&gt;=HY$17,HQ9&lt;&gt;""),AND(HS9&gt;=HY$13,HS9&lt;&gt;"",HU9&gt;=HY$17,HU9&lt;&gt;""),AND(HV9&gt;=HY$13,HV9&lt;&gt;"",HX9&gt;=HY$17,HX9&lt;&gt;""),AND(IT9&gt;=JG$13,IT9&lt;&gt;"",IV9&gt;=JG$17,IV9&lt;&gt;""),AND(IW9&gt;=JG$13,IW9&lt;&gt;"",IY9&gt;=JG$17,IY9&lt;&gt;""),AND(JA9&gt;=JG$13,JA9&lt;&gt;"",JC9&gt;=JG$17,JC9&lt;&gt;""),AND(JD9&gt;=JG$13,JD9&lt;&gt;"",JF9&gt;=JG$17,JF9&lt;&gt;""),AND(KB9&gt;=KO$13,KB9&lt;&gt;"",KD9&gt;=KO$17,KD9&lt;&gt;""),AND(KE9&gt;=KO$13,KE9&lt;&gt;"",KG9&gt;=KO$17,KG9&lt;&gt;""),AND(KI9&gt;=KO$13,KI9&lt;&gt;"",KK9&gt;=KO$17,KK9&lt;&gt;""),AND(KL9&gt;=KO$13,KL9&lt;&gt;"",KN9&gt;=KO$17,KN9&lt;&gt;""),AND(LJ9&gt;=LW$13,LJ9&lt;&gt;"",LL9&gt;=LW$17,LL9&lt;&gt;""),AND(LM9&gt;=LW$13,LM9&lt;&gt;"",LO9&gt;=LW$17,LO9&lt;&gt;""),AND(LQ9&gt;=LW$13,LQ9&lt;&gt;"",LS9&gt;=LW$17,LS9&lt;&gt;""),AND(LT9&gt;=LW$13,LT9&lt;&gt;"",LV9&gt;=LW$17,LV9&lt;&gt;""),AND(MR9&gt;=NE$13,MR9&lt;&gt;"",MT9&gt;=NE$17,MT9&lt;&gt;""),AND(MU9&gt;=NE$13,MU9&lt;&gt;"",MW9&gt;=NE$17,MW9&lt;&gt;""),AND(MY9&gt;=NE$13,MY9&lt;&gt;"",NA9&gt;=NE$17,NA9&lt;&gt;""),AND(NB9&gt;=NE$13,NB9&lt;&gt;"",ND9&gt;=NE$17,ND9&lt;&gt;""),AND(NZ9&gt;=OM$13,NZ9&lt;&gt;"",OB9&gt;=OM$17,OB9&lt;&gt;""),AND(OC9&gt;=OM$13,OC9&lt;&gt;"",OE9&gt;=OM$17,OE9&lt;&gt;""),AND(OG9&gt;=OM$13,OG9&lt;&gt;"",OI9&gt;=OM$17,OI9&lt;&gt;""),AND(OJ9&gt;=OM$13,OJ9&lt;&gt;"",OL9&gt;=OM$17,OL9&lt;&gt;""),AND(PH9&gt;=PU$13,PH9&lt;&gt;"",PJ9&gt;=PU$17,PJ9&lt;&gt;""),AND(PK9&gt;=PU$13,PK9&lt;&gt;"",PM9&gt;=PU$17,PM9&lt;&gt;""),AND(PO9&gt;=PU$13,PO9&lt;&gt;"",PQ9&gt;=PU$17,PQ9&lt;&gt;""),AND(PR9&gt;=PU$13,PR9&lt;&gt;"",PT9&gt;=PU$17,PT9&lt;&gt;""),AND(QP9&gt;=RC$13,QP9&lt;&gt;"",QR9&gt;=RC$17,QR9&lt;&gt;""),AND(QS9&gt;=RC$13,QS9&lt;&gt;"",QU9&gt;=RC$17,QU9&lt;&gt;""),AND(QW9&gt;=RC$13,QW9&lt;&gt;"",QY9&gt;=RC$17,QY9&lt;&gt;""),AND(QZ9&gt;=RC$13,QZ9&lt;&gt;"",RB9&gt;=RC$17,RB9&lt;&gt;""),AND(RX9&gt;=SK$13,RX9&lt;&gt;"",RZ9&gt;=SK$17,RZ9&lt;&gt;""),AND(SA9&gt;=SK$13,SA9&lt;&gt;"",SC9&gt;=SK$17,SC9&lt;&gt;""),AND(SE9&gt;=SK$13,SE9&lt;&gt;"",SG9&gt;=SK$17,SG9&lt;&gt;""),AND(SH9&gt;=SK$13,SH9&lt;&gt;"",SJ9&gt;=SK$17,SJ9&lt;&gt;"")),"P","")</f>
        <v/>
      </c>
      <c r="J9" s="13">
        <f>IF(COUNT(AG9,AJ9,AN9,BH9,BK9,BO9,CI9,CL9,CP9)&gt;0,LARGE((AG9,AJ9,AN9,BH9,BK9,BO9,CI9,CL9,CP9),1),0)</f>
        <v>42.08</v>
      </c>
      <c r="K9" s="13" t="str">
        <f>IF(J9="","",IF(OR(J9=CI9,J9=CL9,J9=CP9),$BQ$1,IF(OR(J9=BH9,J9=BK9,J9=BO9),$AP$1,IF(OR(J9=AG9,J9=AJ9,J9=AN9),$O$1,""))))</f>
        <v>2022 Nationals</v>
      </c>
      <c r="L9" s="13" t="str">
        <f>IF(MAX(CR9,CS9)&gt;0,MAX(CR9,CS9),"")</f>
        <v/>
      </c>
      <c r="M9" s="16" t="str">
        <f>IF(L9="","",IF(L9=CR9,"("&amp;CR$2&amp;")",IF(L9=CS9,"("&amp;CS$2&amp;")")))</f>
        <v/>
      </c>
      <c r="N9" s="13" t="str">
        <f>IF(L9="","",IF(L9=CR9,IF(L9+IF(J9="",0,J9)=SD9,$RD$1,IF(L9+IF(J9="",0,J9)=QV9,$PV$1,IF(L9+IF(J9="",0,J9)=PN9,$ON$1,IF(L9+IF(J9="",0,J9)=OF9,$NF$1,IF(L9+IF(J9="",0,J9)=MX9,$LX$1,IF(L9+IF(J9="",0,J9)=LP9,$KP$1,IF(L9+IF(J9="",0,J9)=KH9,$JH$1,IF(L9+IF(J9="",0,J9)=IZ9,$HZ$1,IF(L9+IF(J9="",0,J9)=HR9,$GR$1,IF(L9+IF(J9="",0,J9)=GJ9,$FJ$1,IF(L9+IF(J9="",0,J9)=FB9,$EB$1,IF(L9+IF(J9="",0,J9)=DT9,$CT$1)))))))))))),IF(L9=CS9,IF(L9+IF(J9="",0,J9)=SJ9,$RD$1,IF(L9+IF(J9="",0,J9)=RB9,$PV$1,IF(L9+IF(J9="",0,J9)=PT9,$ON$1,IF(L9+IF(J9="",0,J9)=OL9,$NF$1,IF(L9+IF(J9="",0,J9)=ND9,$LX$1,IF(L9+IF(J9="",0,J9)=LV9,$KP$1,IF(L9+IF(J9="",0,J9)=KN9,$JH$1,IF(L9+IF(J9="",0,J9)=JF9,$HZ$1,IF(L9+IF(J9="",0,J9)=HX9,$GR$1,IF(L9+IF(J9="",0,J9)=GP9,$FJ$1,IF(L9+IF(J9="",0,J9)=FH9,$EB$1,IF(L9+IF(J9="",0,J9)=DZ9,$CT$1,IF(L9+IF(J9="",0,J9)=SG9,$RD$1,IF(L9+IF(J9="",0,J9)=QY9,$PV$1,IF(L9+IF(J9="",0,J9)=PQ9,$ON$1,IF(L9+IF(J9="",0,J9)=OI9,$NF$1,IF(L9+IF(J9="",0,J9)=NA9,$LX$1,IF(L9+IF(J9="",0,J9)=LS9,$KP$1,IF(L9+IF(J9="",0,J9)=KK9,$JH$1,IF(L9+IF(J9="",0,J9)=JC9,$HZ$1,IF(L9+IF(J9="",0,J9)=HU9,$GR$1,IF(L9+IF(J9="",0,J9)=GM9,$FJ$1,IF(L9+IF(J9="",0,J9)=FE9,$EB$1,IF(L9+IF(J9="",0,J9)=DW9,$CT$1)))))))))))))))))))))))))))</f>
        <v/>
      </c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51"/>
      <c r="AE9" s="74" t="str">
        <f>IF(Q9&gt;0,Q9,"")</f>
        <v/>
      </c>
      <c r="AF9" s="74" t="str">
        <f>IF(R9&gt;0,R9,"")</f>
        <v/>
      </c>
      <c r="AG9" s="76" t="str">
        <f>IF(SUM(O9:R9)-S9&gt;0,SUM(O9:R9)-S9,"")</f>
        <v/>
      </c>
      <c r="AH9" s="76" t="str">
        <f>IF(V9&gt;0,V9,"")</f>
        <v/>
      </c>
      <c r="AI9" s="76" t="str">
        <f>IF(W9&gt;0,W9,"")</f>
        <v/>
      </c>
      <c r="AJ9" s="76" t="str">
        <f>IF(SUM(T9:W9)-X9&gt;0,SUM(T9:W9)-X9,"")</f>
        <v/>
      </c>
      <c r="AK9" s="76" t="str">
        <f>IF(AG9="","",MAX(AG9,AJ9))</f>
        <v/>
      </c>
      <c r="AL9" s="76" t="str">
        <f>IF(AA9&gt;0,AA9,"")</f>
        <v/>
      </c>
      <c r="AM9" s="76" t="str">
        <f>IF(AB9&gt;0,AB9,"")</f>
        <v/>
      </c>
      <c r="AN9" s="76" t="str">
        <f>IF(SUM(Y9:AB9)-AC9&gt;0,SUM(Y9:AB9)-AC9,"")</f>
        <v/>
      </c>
      <c r="AO9" s="76" t="str">
        <f>IF(SUM(AK9,AN9)&gt;0,SUM(AK9,AN9),"")</f>
        <v/>
      </c>
      <c r="AP9" s="46">
        <v>7.1</v>
      </c>
      <c r="AQ9" s="46">
        <v>9</v>
      </c>
      <c r="AR9" s="46">
        <v>11.3</v>
      </c>
      <c r="AS9" s="46">
        <v>14.68</v>
      </c>
      <c r="AT9" s="46">
        <v>0</v>
      </c>
      <c r="AU9" s="46">
        <v>5.9</v>
      </c>
      <c r="AV9" s="46">
        <v>5.9</v>
      </c>
      <c r="AW9" s="46">
        <v>0.6</v>
      </c>
      <c r="AX9" s="46">
        <v>1.74</v>
      </c>
      <c r="AY9" s="46">
        <v>0</v>
      </c>
      <c r="AZ9" s="46">
        <v>4.6500000000000004</v>
      </c>
      <c r="BA9" s="46">
        <v>5.4</v>
      </c>
      <c r="BB9" s="46">
        <v>7.2</v>
      </c>
      <c r="BC9" s="46">
        <v>10.92</v>
      </c>
      <c r="BD9" s="46">
        <v>1</v>
      </c>
      <c r="BE9" s="52"/>
      <c r="BF9" s="75">
        <f>IF(AR9&gt;0,AR9,"")</f>
        <v>11.3</v>
      </c>
      <c r="BG9" s="75">
        <f>IF(AS9&gt;0,AS9,"")</f>
        <v>14.68</v>
      </c>
      <c r="BH9" s="16">
        <f>IF(SUM(AP9:AS9)-AT9&gt;0,SUM(AP9:AS9)-AT9,"")</f>
        <v>42.08</v>
      </c>
      <c r="BI9" s="16">
        <f>IF(AW9&gt;0,AW9,"")</f>
        <v>0.6</v>
      </c>
      <c r="BJ9" s="16">
        <f>IF(AX9&gt;0,AX9,"")</f>
        <v>1.74</v>
      </c>
      <c r="BK9" s="16">
        <f>IF(SUM(AU9:AX9)-AY9&gt;0,SUM(AU9:AX9)-AY9,"")</f>
        <v>14.14</v>
      </c>
      <c r="BL9" s="16">
        <f>IF(BH9="","",MAX(BH9,BK9))</f>
        <v>42.08</v>
      </c>
      <c r="BM9" s="16">
        <f>IF(BB9&gt;0,BB9,"")</f>
        <v>7.2</v>
      </c>
      <c r="BN9" s="16">
        <f>IF(BC9&gt;0,BC9,"")</f>
        <v>10.92</v>
      </c>
      <c r="BO9" s="16">
        <f>IF(SUM(AZ9:BC9)-BD9&gt;0,SUM(AZ9:BC9)-BD9,"")</f>
        <v>27.17</v>
      </c>
      <c r="BP9" s="16">
        <f>IF(SUM(BL9,BO9)&gt;0,SUM(BL9,BO9),"")</f>
        <v>69.25</v>
      </c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51"/>
      <c r="CG9" s="74" t="str">
        <f>IF(BS9&gt;0,BS9,"")</f>
        <v/>
      </c>
      <c r="CH9" s="74" t="str">
        <f>IF(BT9&gt;0,BT9,"")</f>
        <v/>
      </c>
      <c r="CI9" s="76" t="str">
        <f>IF(SUM(BQ9:BT9)-BU9&gt;0,SUM(BQ9:BT9)-BU9,"")</f>
        <v/>
      </c>
      <c r="CJ9" s="76" t="str">
        <f>IF(BX9&gt;0,BX9,"")</f>
        <v/>
      </c>
      <c r="CK9" s="76" t="str">
        <f>IF(BY9&gt;0,BY9,"")</f>
        <v/>
      </c>
      <c r="CL9" s="76" t="str">
        <f>IF(SUM(BV9:BY9)-BZ9&gt;0,SUM(BV9:BY9)-BZ9,"")</f>
        <v/>
      </c>
      <c r="CM9" s="76" t="str">
        <f>IF(CI9="","",MAX(CI9,CL9))</f>
        <v/>
      </c>
      <c r="CN9" s="76" t="str">
        <f>IF(CC9&gt;0,CC9,"")</f>
        <v/>
      </c>
      <c r="CO9" s="76" t="str">
        <f>IF(CD9&gt;0,CD9,"")</f>
        <v/>
      </c>
      <c r="CP9" s="76" t="str">
        <f>IF(SUM(CA9:CD9)-CE9&gt;0,SUM(CA9:CD9)-CE9,"")</f>
        <v/>
      </c>
      <c r="CQ9" s="76" t="str">
        <f>IF(SUM(CM9,CP9)&gt;0,SUM(CM9,CP9),"")</f>
        <v/>
      </c>
      <c r="CR9" s="87" t="str">
        <f>IF(J9&gt;=0.001,IF(MAX(DT9,FB9,GJ9,HR9,IZ9,KH9,LP9,MX9,OF9,PN9,QV9,SD9)-IF(J9="",0,J9)&gt;0.001,MAX(DT9,FB9,GJ9,HR9,IZ9,KH9,LP9,MX9,OF9,PN9,QV9,SD9)-IF(J9="",0,J9),""),"")</f>
        <v/>
      </c>
      <c r="CS9" s="87" t="str">
        <f>IF(J9&gt;=0.001,IF(MAX(DW9,DZ9,FE9,FH9,GM9,GP9,HU9,HX9,JC9,JF9,KK9,KN9,LS9,LV9,NA9,ND9,OI9,OL9,PQ9,PT9,QY9,RB9,SG9,SJ9)-IF(J9="",0,J9)&gt;0.001,MAX(DW9,DZ9,FE9,FH9,GM9,GP9,HU9,HX9,JC9,JF9,KK9,KN9,LS9,LV9,NA9,ND9,OI9,OL9,PQ9,PT9,QY9,RB9,SG9,SJ9)-IF(J9="",0,J9),""),"")</f>
        <v/>
      </c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76" t="str">
        <f>IF(CV9&gt;0,CV9,"")</f>
        <v/>
      </c>
      <c r="DO9" s="76" t="str">
        <f>IF(CW9&gt;0,CW9,"")</f>
        <v/>
      </c>
      <c r="DP9" s="76" t="str">
        <f>IF(SUM(CT9:CW9)-CX9&gt;0,SUM(CT9:CW9)-CX9,"")</f>
        <v/>
      </c>
      <c r="DQ9" s="76" t="str">
        <f>IF(DA9&gt;0,DA9,"")</f>
        <v/>
      </c>
      <c r="DR9" s="76" t="str">
        <f>IF(DB9&gt;0,DB9,"")</f>
        <v/>
      </c>
      <c r="DS9" s="76" t="str">
        <f>IF(SUM(CY9:DB9)-DC9&gt;0,SUM(CY9:DB9)-DC9,"")</f>
        <v/>
      </c>
      <c r="DT9" s="76" t="str">
        <f>IF(MAX(DP9,DS9)&gt;0,MAX(DP9,DS9),"")</f>
        <v/>
      </c>
      <c r="DU9" s="76" t="str">
        <f>IF(DF9&gt;0,DF9,"")</f>
        <v/>
      </c>
      <c r="DV9" s="76" t="str">
        <f>IF(DG9&gt;0,DG9,"")</f>
        <v/>
      </c>
      <c r="DW9" s="76" t="str">
        <f>IF(SUM(DD9:DG9)-DH9&gt;0,SUM(DD9:DG9)-DH9,"")</f>
        <v/>
      </c>
      <c r="DX9" s="76" t="str">
        <f>IF(DK9&gt;0,DK9,"")</f>
        <v/>
      </c>
      <c r="DY9" s="76" t="str">
        <f>IF(DL9&gt;0,DL9,"")</f>
        <v/>
      </c>
      <c r="DZ9" s="76" t="str">
        <f>IF(SUM(DI9:DL9)-DM9&gt;0,SUM(DI9:DL9)-DM9,"")</f>
        <v/>
      </c>
      <c r="EA9" s="76" t="str">
        <f>IF(SUM(DT9,DZ9)&gt;0,SUM(DT9,DZ9),"")</f>
        <v/>
      </c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16" t="str">
        <f>IF(ED9&gt;0,ED9,"")</f>
        <v/>
      </c>
      <c r="EW9" s="16" t="str">
        <f>IF(EE9&gt;0,EE9,"")</f>
        <v/>
      </c>
      <c r="EX9" s="16" t="str">
        <f>IF(SUM(EB9:EE9)-EF9&gt;0,SUM(EB9:EE9)-EF9,"")</f>
        <v/>
      </c>
      <c r="EY9" s="16" t="str">
        <f>IF(EI9&gt;0,EI9,"")</f>
        <v/>
      </c>
      <c r="EZ9" s="16" t="str">
        <f>IF(EJ9&gt;0,EJ9,"")</f>
        <v/>
      </c>
      <c r="FA9" s="16" t="str">
        <f>IF(SUM(EG9:EJ9)-EK9&gt;0,SUM(EG9:EJ9)-EK9,"")</f>
        <v/>
      </c>
      <c r="FB9" s="16" t="str">
        <f>IF(MAX(EX9,FA9)&gt;0,MAX(EX9,FA9),"")</f>
        <v/>
      </c>
      <c r="FC9" s="16" t="str">
        <f>IF(EN9&gt;0,EN9,"")</f>
        <v/>
      </c>
      <c r="FD9" s="16" t="str">
        <f>IF(EO9&gt;0,EO9,"")</f>
        <v/>
      </c>
      <c r="FE9" s="16" t="str">
        <f>IF(SUM(EL9:EO9)-EP9&gt;0,SUM(EL9:EO9)-EP9,"")</f>
        <v/>
      </c>
      <c r="FF9" s="16" t="str">
        <f>IF(ES9&gt;0,ES9,"")</f>
        <v/>
      </c>
      <c r="FG9" s="16" t="str">
        <f>IF(ET9&gt;0,ET9,"")</f>
        <v/>
      </c>
      <c r="FH9" s="16" t="str">
        <f>IF(SUM(EQ9:ET9)-EU9&gt;0,SUM(EQ9:ET9)-EU9,"")</f>
        <v/>
      </c>
      <c r="FI9" s="16" t="str">
        <f>IF(SUM(FB9,FH9)&gt;0,SUM(FB9,FH9),"")</f>
        <v/>
      </c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76" t="str">
        <f>IF(FL9&gt;0,FL9,"")</f>
        <v/>
      </c>
      <c r="GE9" s="76" t="str">
        <f>IF(FM9&gt;0,FM9,"")</f>
        <v/>
      </c>
      <c r="GF9" s="76" t="str">
        <f>IF(SUM(FJ9:FM9)-FN9&gt;0,SUM(FJ9:FM9)-FN9,"")</f>
        <v/>
      </c>
      <c r="GG9" s="76" t="str">
        <f>IF(FQ9&gt;0,FQ9,"")</f>
        <v/>
      </c>
      <c r="GH9" s="76" t="str">
        <f>IF(FR9&gt;0,FR9,"")</f>
        <v/>
      </c>
      <c r="GI9" s="76" t="str">
        <f>IF(SUM(FO9:FR9)-FS9&gt;0,SUM(FO9:FR9)-FS9,"")</f>
        <v/>
      </c>
      <c r="GJ9" s="76" t="str">
        <f>IF(MAX(GF9,GI9)&gt;0,MAX(GF9,GI9),"")</f>
        <v/>
      </c>
      <c r="GK9" s="76" t="str">
        <f>IF(FV9&gt;0,FV9,"")</f>
        <v/>
      </c>
      <c r="GL9" s="76" t="str">
        <f>IF(FW9&gt;0,FW9,"")</f>
        <v/>
      </c>
      <c r="GM9" s="76" t="str">
        <f>IF(SUM(FT9:FW9)-FX9&gt;0,SUM(FT9:FW9)-FX9,"")</f>
        <v/>
      </c>
      <c r="GN9" s="76" t="str">
        <f>IF(GA9&gt;0,GA9,"")</f>
        <v/>
      </c>
      <c r="GO9" s="76" t="str">
        <f>IF(GB9&gt;0,GB9,"")</f>
        <v/>
      </c>
      <c r="GP9" s="76" t="str">
        <f>IF(SUM(FY9:GB9)-GC9&gt;0,SUM(FY9:GB9)-GC9,"")</f>
        <v/>
      </c>
      <c r="GQ9" s="76" t="str">
        <f>IF(SUM(GJ9,GP9)&gt;0,SUM(GJ9,GP9),"")</f>
        <v/>
      </c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16" t="str">
        <f>IF(GT9&gt;0,GT9,"")</f>
        <v/>
      </c>
      <c r="HM9" s="16" t="str">
        <f>IF(GU9&gt;0,GU9,"")</f>
        <v/>
      </c>
      <c r="HN9" s="16" t="str">
        <f>IF(SUM(GR9:GU9)-GV9&gt;0,SUM(GR9:GU9)-GV9,"")</f>
        <v/>
      </c>
      <c r="HO9" s="16" t="str">
        <f>IF(GY9&gt;0,GY9,"")</f>
        <v/>
      </c>
      <c r="HP9" s="16" t="str">
        <f>IF(GZ9&gt;0,GZ9,"")</f>
        <v/>
      </c>
      <c r="HQ9" s="16" t="str">
        <f>IF(SUM(GW9:GZ9)-HA9&gt;0,SUM(GW9:GZ9)-HA9,"")</f>
        <v/>
      </c>
      <c r="HR9" s="16" t="str">
        <f>IF(MAX(HN9,HQ9)&gt;0,MAX(HN9,HQ9),"")</f>
        <v/>
      </c>
      <c r="HS9" s="16" t="str">
        <f>IF(HD9&gt;0,HD9,"")</f>
        <v/>
      </c>
      <c r="HT9" s="16" t="str">
        <f>IF(HE9&gt;0,HE9,"")</f>
        <v/>
      </c>
      <c r="HU9" s="16" t="str">
        <f>IF(SUM(HB9:HE9)-HF9&gt;0,SUM(HB9:HE9)-HF9,"")</f>
        <v/>
      </c>
      <c r="HV9" s="16" t="str">
        <f>IF(HI9&gt;0,HI9,"")</f>
        <v/>
      </c>
      <c r="HW9" s="16" t="str">
        <f>IF(HJ9&gt;0,HJ9,"")</f>
        <v/>
      </c>
      <c r="HX9" s="16" t="str">
        <f>IF(SUM(HG9:HJ9)-HK9&gt;0,SUM(HG9:HJ9)-HK9,"")</f>
        <v/>
      </c>
      <c r="HY9" s="16" t="str">
        <f>IF(SUM(HR9,HX9)&gt;0,SUM(HR9,HX9),"")</f>
        <v/>
      </c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76" t="str">
        <f>IF(IB9&gt;0,IB9,"")</f>
        <v/>
      </c>
      <c r="IU9" s="76" t="str">
        <f>IF(IC9&gt;0,IC9,"")</f>
        <v/>
      </c>
      <c r="IV9" s="76" t="str">
        <f>IF(SUM(HZ9:IC9)-ID9&gt;0,SUM(HZ9:IC9)-ID9,"")</f>
        <v/>
      </c>
      <c r="IW9" s="76" t="str">
        <f>IF(IG9&gt;0,IG9,"")</f>
        <v/>
      </c>
      <c r="IX9" s="76" t="str">
        <f>IF(IH9&gt;0,IH9,"")</f>
        <v/>
      </c>
      <c r="IY9" s="76" t="str">
        <f>IF(SUM(IE9:IH9)-II9&gt;0,SUM(IE9:IH9)-II9,"")</f>
        <v/>
      </c>
      <c r="IZ9" s="76" t="str">
        <f>IF(MAX(IV9,IY9)&gt;0,MAX(IV9,IY9),"")</f>
        <v/>
      </c>
      <c r="JA9" s="76" t="str">
        <f>IF(IL9&gt;0,IL9,"")</f>
        <v/>
      </c>
      <c r="JB9" s="76" t="str">
        <f>IF(IM9&gt;0,IM9,"")</f>
        <v/>
      </c>
      <c r="JC9" s="76" t="str">
        <f>IF(SUM(IJ9:IM9)-IN9&gt;0,SUM(IJ9:IM9)-IN9,"")</f>
        <v/>
      </c>
      <c r="JD9" s="76" t="str">
        <f>IF(IQ9&gt;0,IQ9,"")</f>
        <v/>
      </c>
      <c r="JE9" s="76" t="str">
        <f>IF(IR9&gt;0,IR9,"")</f>
        <v/>
      </c>
      <c r="JF9" s="76" t="str">
        <f>IF(SUM(IO9:IR9)-IS9&gt;0,SUM(IO9:IR9)-IS9,"")</f>
        <v/>
      </c>
      <c r="JG9" s="76" t="str">
        <f>IF(SUM(IZ9,JF9)&gt;0,SUM(IZ9,JF9),"")</f>
        <v/>
      </c>
      <c r="JH9" s="26">
        <v>4.5</v>
      </c>
      <c r="JI9" s="26">
        <v>5.65</v>
      </c>
      <c r="JJ9" s="26">
        <v>6.3</v>
      </c>
      <c r="JK9" s="26">
        <v>10.78</v>
      </c>
      <c r="JL9" s="26">
        <v>0</v>
      </c>
      <c r="JM9" s="26">
        <v>6.7</v>
      </c>
      <c r="JN9" s="26">
        <v>8.35</v>
      </c>
      <c r="JO9" s="26">
        <v>9</v>
      </c>
      <c r="JP9" s="26">
        <v>14.22</v>
      </c>
      <c r="JQ9" s="26">
        <v>0</v>
      </c>
      <c r="JR9" s="26"/>
      <c r="JS9" s="26"/>
      <c r="JT9" s="26"/>
      <c r="JU9" s="26"/>
      <c r="JV9" s="26"/>
      <c r="JW9" s="26">
        <v>2.2999999999999998</v>
      </c>
      <c r="JX9" s="26">
        <v>3.15</v>
      </c>
      <c r="JY9" s="26">
        <v>3.5</v>
      </c>
      <c r="JZ9" s="26">
        <v>4.7</v>
      </c>
      <c r="KA9" s="26">
        <v>0</v>
      </c>
      <c r="KB9" s="16">
        <f>IF(JJ9&gt;0,JJ9,"")</f>
        <v>6.3</v>
      </c>
      <c r="KC9" s="16">
        <f>IF(JK9&gt;0,JK9,"")</f>
        <v>10.78</v>
      </c>
      <c r="KD9" s="16">
        <f>IF(SUM(JH9:JK9)-JL9&gt;0,SUM(JH9:JK9)-JL9,"")</f>
        <v>27.229999999999997</v>
      </c>
      <c r="KE9" s="16">
        <f>IF(JO9&gt;0,JO9,"")</f>
        <v>9</v>
      </c>
      <c r="KF9" s="16">
        <f>IF(JP9&gt;0,JP9,"")</f>
        <v>14.22</v>
      </c>
      <c r="KG9" s="16">
        <f>IF(SUM(JM9:JP9)-JQ9&gt;0,SUM(JM9:JP9)-JQ9,"")</f>
        <v>38.270000000000003</v>
      </c>
      <c r="KH9" s="16">
        <f>IF(MAX(KD9,KG9)&gt;0,MAX(KD9,KG9),"")</f>
        <v>38.270000000000003</v>
      </c>
      <c r="KI9" s="16" t="str">
        <f>IF(JT9&gt;0,JT9,"")</f>
        <v/>
      </c>
      <c r="KJ9" s="16" t="str">
        <f>IF(JU9&gt;0,JU9,"")</f>
        <v/>
      </c>
      <c r="KK9" s="16" t="str">
        <f>IF(SUM(JR9:JU9)-JV9&gt;0,SUM(JR9:JU9)-JV9,"")</f>
        <v/>
      </c>
      <c r="KL9" s="16">
        <f>IF(JY9&gt;0,JY9,"")</f>
        <v>3.5</v>
      </c>
      <c r="KM9" s="16">
        <f>IF(JZ9&gt;0,JZ9,"")</f>
        <v>4.7</v>
      </c>
      <c r="KN9" s="16">
        <f>IF(SUM(JW9:JZ9)-KA9&gt;0,SUM(JW9:JZ9)-KA9,"")</f>
        <v>13.649999999999999</v>
      </c>
      <c r="KO9" s="16">
        <f>IF(SUM(KH9,KN9)&gt;0,SUM(KH9,KN9),"")</f>
        <v>51.92</v>
      </c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76" t="str">
        <f>IF(KR9&gt;0,KR9,"")</f>
        <v/>
      </c>
      <c r="LK9" s="76" t="str">
        <f>IF(KS9&gt;0,KS9,"")</f>
        <v/>
      </c>
      <c r="LL9" s="76" t="str">
        <f>IF(SUM(KP9:KS9)-KT9&gt;0,SUM(KP9:KS9)-KT9,"")</f>
        <v/>
      </c>
      <c r="LM9" s="76" t="str">
        <f>IF(KW9&gt;0,KW9,"")</f>
        <v/>
      </c>
      <c r="LN9" s="76" t="str">
        <f>IF(KX9&gt;0,KX9,"")</f>
        <v/>
      </c>
      <c r="LO9" s="76" t="str">
        <f>IF(SUM(KU9:KX9)-KY9&gt;0,SUM(KU9:KX9)-KY9,"")</f>
        <v/>
      </c>
      <c r="LP9" s="76" t="str">
        <f>IF(MAX(LL9,LO9)&gt;0,MAX(LL9,LO9),"")</f>
        <v/>
      </c>
      <c r="LQ9" s="76" t="str">
        <f>IF(LB9&gt;0,LB9,"")</f>
        <v/>
      </c>
      <c r="LR9" s="76" t="str">
        <f>IF(LC9&gt;0,LC9,"")</f>
        <v/>
      </c>
      <c r="LS9" s="76" t="str">
        <f>IF(SUM(KZ9:LC9)-LD9&gt;0,SUM(KZ9:LC9)-LD9,"")</f>
        <v/>
      </c>
      <c r="LT9" s="76" t="str">
        <f>IF(LG9&gt;0,LG9,"")</f>
        <v/>
      </c>
      <c r="LU9" s="76" t="str">
        <f>IF(LH9&gt;0,LH9,"")</f>
        <v/>
      </c>
      <c r="LV9" s="76" t="str">
        <f>IF(SUM(LE9:LH9)-LI9&gt;0,SUM(LE9:LH9)-LI9,"")</f>
        <v/>
      </c>
      <c r="LW9" s="76" t="str">
        <f>IF(SUM(LP9,LV9)&gt;0,SUM(LP9,LV9),"")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IF(LZ9&gt;0,LZ9,"")</f>
        <v/>
      </c>
      <c r="MS9" s="16" t="str">
        <f>IF(MA9&gt;0,MA9,"")</f>
        <v/>
      </c>
      <c r="MT9" s="16" t="str">
        <f>IF(SUM(LX9:MA9)-MB9&gt;0,SUM(LX9:MA9)-MB9,"")</f>
        <v/>
      </c>
      <c r="MU9" s="16" t="str">
        <f>IF(ME9&gt;0,ME9,"")</f>
        <v/>
      </c>
      <c r="MV9" s="16" t="str">
        <f>IF(MF9&gt;0,MF9,"")</f>
        <v/>
      </c>
      <c r="MW9" s="16" t="str">
        <f>IF(SUM(MC9:MF9)-MG9&gt;0,SUM(MC9:MF9)-MG9,"")</f>
        <v/>
      </c>
      <c r="MX9" s="16" t="str">
        <f>IF(MAX(MT9,MW9)&gt;0,MAX(MT9,MW9),"")</f>
        <v/>
      </c>
      <c r="MY9" s="16" t="str">
        <f>IF(MJ9&gt;0,MJ9,"")</f>
        <v/>
      </c>
      <c r="MZ9" s="16" t="str">
        <f>IF(MK9&gt;0,MK9,"")</f>
        <v/>
      </c>
      <c r="NA9" s="16" t="str">
        <f>IF(SUM(MH9:MK9)-ML9&gt;0,SUM(MH9:MK9)-ML9,"")</f>
        <v/>
      </c>
      <c r="NB9" s="16" t="str">
        <f>IF(MO9&gt;0,MO9,"")</f>
        <v/>
      </c>
      <c r="NC9" s="16" t="str">
        <f>IF(MP9&gt;0,MP9,"")</f>
        <v/>
      </c>
      <c r="ND9" s="16" t="str">
        <f>IF(SUM(MM9:MP9)-MQ9&gt;0,SUM(MM9:MP9)-MQ9,"")</f>
        <v/>
      </c>
      <c r="NE9" s="16" t="str">
        <f>IF(SUM(MX9,ND9)&gt;0,SUM(MX9,ND9),"")</f>
        <v/>
      </c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76" t="str">
        <f>IF(NH9&gt;0,NH9,"")</f>
        <v/>
      </c>
      <c r="OA9" s="76" t="str">
        <f>IF(NI9&gt;0,NI9,"")</f>
        <v/>
      </c>
      <c r="OB9" s="76" t="str">
        <f>IF(SUM(NF9:NI9)-NJ9&gt;0,SUM(NF9:NI9)-NJ9,"")</f>
        <v/>
      </c>
      <c r="OC9" s="76" t="str">
        <f>IF(NM9&gt;0,NM9,"")</f>
        <v/>
      </c>
      <c r="OD9" s="76" t="str">
        <f>IF(NN9&gt;0,NN9,"")</f>
        <v/>
      </c>
      <c r="OE9" s="76" t="str">
        <f>IF(SUM(NK9:NN9)-NO9&gt;0,SUM(NK9:NN9)-NO9,"")</f>
        <v/>
      </c>
      <c r="OF9" s="76" t="str">
        <f>IF(MAX(OB9,OE9)&gt;0,MAX(OB9,OE9),"")</f>
        <v/>
      </c>
      <c r="OG9" s="76" t="str">
        <f>IF(NR9&gt;0,NR9,"")</f>
        <v/>
      </c>
      <c r="OH9" s="76" t="str">
        <f>IF(NS9&gt;0,NS9,"")</f>
        <v/>
      </c>
      <c r="OI9" s="76" t="str">
        <f>IF(SUM(NP9:NS9)-NT9&gt;0,SUM(NP9:NS9)-NT9,"")</f>
        <v/>
      </c>
      <c r="OJ9" s="76" t="str">
        <f>IF(NW9&gt;0,NW9,"")</f>
        <v/>
      </c>
      <c r="OK9" s="76" t="str">
        <f>IF(NX9&gt;0,NX9,"")</f>
        <v/>
      </c>
      <c r="OL9" s="76" t="str">
        <f>IF(SUM(NU9:NX9)-NY9&gt;0,SUM(NU9:NX9)-NY9,"")</f>
        <v/>
      </c>
      <c r="OM9" s="76" t="str">
        <f>IF(SUM(OF9,OL9)&gt;0,SUM(OF9,OL9),"")</f>
        <v/>
      </c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16" t="str">
        <f>IF(OP9&gt;0,OP9,"")</f>
        <v/>
      </c>
      <c r="PI9" s="16" t="str">
        <f>IF(OQ9&gt;0,OQ9,"")</f>
        <v/>
      </c>
      <c r="PJ9" s="16" t="str">
        <f>IF(SUM(ON9:OQ9)-OR9&gt;0,SUM(ON9:OQ9)-OR9,"")</f>
        <v/>
      </c>
      <c r="PK9" s="16" t="str">
        <f>IF(OU9&gt;0,OU9,"")</f>
        <v/>
      </c>
      <c r="PL9" s="16" t="str">
        <f>IF(OV9&gt;0,OV9,"")</f>
        <v/>
      </c>
      <c r="PM9" s="16" t="str">
        <f>IF(SUM(OS9:OV9)-OW9&gt;0,SUM(OS9:OV9)-OW9,"")</f>
        <v/>
      </c>
      <c r="PN9" s="16" t="str">
        <f>IF(MAX(PJ9,PM9)&gt;0,MAX(PJ9,PM9),"")</f>
        <v/>
      </c>
      <c r="PO9" s="16" t="str">
        <f>IF(OZ9&gt;0,OZ9,"")</f>
        <v/>
      </c>
      <c r="PP9" s="16" t="str">
        <f>IF(PA9&gt;0,PA9,"")</f>
        <v/>
      </c>
      <c r="PQ9" s="16" t="str">
        <f>IF(SUM(OX9:PA9)-PB9&gt;0,SUM(OX9:PA9)-PB9,"")</f>
        <v/>
      </c>
      <c r="PR9" s="16" t="str">
        <f>IF(PE9&gt;0,PE9,"")</f>
        <v/>
      </c>
      <c r="PS9" s="16" t="str">
        <f>IF(PF9&gt;0,PF9,"")</f>
        <v/>
      </c>
      <c r="PT9" s="16" t="str">
        <f>IF(SUM(PC9:PF9)-PG9&gt;0,SUM(PC9:PF9)-PG9,"")</f>
        <v/>
      </c>
      <c r="PU9" s="16" t="str">
        <f>IF(SUM(PN9,PT9)&gt;0,SUM(PN9,PT9),"")</f>
        <v/>
      </c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76" t="str">
        <f>IF(PX9&gt;0,PX9,"")</f>
        <v/>
      </c>
      <c r="QQ9" s="76" t="str">
        <f>IF(PY9&gt;0,PY9,"")</f>
        <v/>
      </c>
      <c r="QR9" s="76" t="str">
        <f>IF(SUM(PV9:PY9)-PZ9&gt;0,SUM(PV9:PY9)-PZ9,"")</f>
        <v/>
      </c>
      <c r="QS9" s="76" t="str">
        <f>IF(QC9&gt;0,QC9,"")</f>
        <v/>
      </c>
      <c r="QT9" s="76" t="str">
        <f>IF(QD9&gt;0,QD9,"")</f>
        <v/>
      </c>
      <c r="QU9" s="76" t="str">
        <f>IF(SUM(QA9:QD9)-QE9&gt;0,SUM(QA9:QD9)-QE9,"")</f>
        <v/>
      </c>
      <c r="QV9" s="76" t="str">
        <f>IF(MAX(QR9,QU9)&gt;0,MAX(QR9,QU9),"")</f>
        <v/>
      </c>
      <c r="QW9" s="76" t="str">
        <f>IF(QH9&gt;0,QH9,"")</f>
        <v/>
      </c>
      <c r="QX9" s="76" t="str">
        <f>IF(QI9&gt;0,QI9,"")</f>
        <v/>
      </c>
      <c r="QY9" s="76" t="str">
        <f>IF(SUM(QF9:QI9)-QJ9&gt;0,SUM(QF9:QI9)-QJ9,"")</f>
        <v/>
      </c>
      <c r="QZ9" s="76" t="str">
        <f>IF(QM9&gt;0,QM9,"")</f>
        <v/>
      </c>
      <c r="RA9" s="76" t="str">
        <f>IF(QN9&gt;0,QN9,"")</f>
        <v/>
      </c>
      <c r="RB9" s="76" t="str">
        <f>IF(SUM(QK9:QN9)-QO9&gt;0,SUM(QK9:QN9)-QO9,"")</f>
        <v/>
      </c>
      <c r="RC9" s="76" t="str">
        <f>IF(SUM(QV9,RB9)&gt;0,SUM(QV9,RB9),"")</f>
        <v/>
      </c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16" t="str">
        <f>IF(RF9&gt;0,RF9,"")</f>
        <v/>
      </c>
      <c r="RY9" s="16" t="str">
        <f>IF(RG9&gt;0,RG9,"")</f>
        <v/>
      </c>
      <c r="RZ9" s="16" t="str">
        <f>IF(SUM(RD9:RG9)-RH9&gt;0,SUM(RD9:RG9)-RH9,"")</f>
        <v/>
      </c>
      <c r="SA9" s="16" t="str">
        <f>IF(RK9&gt;0,RK9,"")</f>
        <v/>
      </c>
      <c r="SB9" s="16" t="str">
        <f>IF(RL9&gt;0,RL9,"")</f>
        <v/>
      </c>
      <c r="SC9" s="16" t="str">
        <f>IF(SUM(RI9:RL9)-RM9&gt;0,SUM(RI9:RL9)-RM9,"")</f>
        <v/>
      </c>
      <c r="SD9" s="16" t="str">
        <f>IF(MAX(RZ9,SC9)&gt;0,MAX(RZ9,SC9),"")</f>
        <v/>
      </c>
      <c r="SE9" s="16" t="str">
        <f>IF(RP9&gt;0,RP9,"")</f>
        <v/>
      </c>
      <c r="SF9" s="16" t="str">
        <f>IF(RQ9&gt;0,RQ9,"")</f>
        <v/>
      </c>
      <c r="SG9" s="16" t="str">
        <f>IF(SUM(RN9:RQ9)-RR9&gt;0,SUM(RN9:RQ9)-RR9,"")</f>
        <v/>
      </c>
      <c r="SH9" s="16" t="str">
        <f>IF(RU9&gt;0,RU9,"")</f>
        <v/>
      </c>
      <c r="SI9" s="16" t="str">
        <f>IF(RV9&gt;0,RV9,"")</f>
        <v/>
      </c>
      <c r="SJ9" s="16" t="str">
        <f>IF(SUM(RS9:RV9)-RW9&gt;0,SUM(RS9:RV9)-RW9,"")</f>
        <v/>
      </c>
      <c r="SK9" s="16" t="str">
        <f>IF(SUM(SD9,SJ9)&gt;0,SUM(SD9,SJ9),"")</f>
        <v/>
      </c>
      <c r="SL9" s="42">
        <f>IF($CF9="P",BQ9,(BQ9+AP9)/2)</f>
        <v>3.55</v>
      </c>
      <c r="SM9" s="42">
        <f>IF($CF9="P",BR9,(BR9+AQ9)/2)</f>
        <v>4.5</v>
      </c>
      <c r="SN9" s="42">
        <f>IF($CF9="P",BS9,(BS9+AR9)/2)</f>
        <v>5.65</v>
      </c>
      <c r="SO9" s="42">
        <f>IF($CF9="P",BT9,(BT9+AS9)/2)</f>
        <v>7.34</v>
      </c>
      <c r="SP9" s="42">
        <f>IF($CF9="P",BU9,(BU9+AT9)/2)</f>
        <v>0</v>
      </c>
      <c r="SQ9" s="42">
        <f>IF($CF9="P",BV9,(BV9+AU9)/2)</f>
        <v>2.95</v>
      </c>
      <c r="SR9" s="42">
        <f>IF($CF9="P",BW9,(BW9+AV9)/2)</f>
        <v>2.95</v>
      </c>
      <c r="SS9" s="42">
        <f>IF($CF9="P",BX9,(BX9+AW9)/2)</f>
        <v>0.3</v>
      </c>
      <c r="ST9" s="42">
        <f>IF($CF9="P",BY9,(BY9+AX9)/2)</f>
        <v>0.87</v>
      </c>
      <c r="SU9" s="42">
        <f>IF($CF9="P",BZ9,(BZ9+AY9)/2)</f>
        <v>0</v>
      </c>
      <c r="SV9" s="42">
        <f>IF($CF9="P",CA9,(CA9+AZ9)/2)</f>
        <v>2.3250000000000002</v>
      </c>
      <c r="SW9" s="42">
        <f>IF($CF9="P",CB9,(CB9+BA9)/2)</f>
        <v>2.7</v>
      </c>
      <c r="SX9" s="42">
        <f>IF($CF9="P",CC9,(CC9+BB9)/2)</f>
        <v>3.6</v>
      </c>
      <c r="SY9" s="42">
        <f>IF($CF9="P",CD9,(CD9+BC9)/2)</f>
        <v>5.46</v>
      </c>
      <c r="SZ9" s="42">
        <f>IF($CF9="P",CE9,(CE9+BD9)/2)</f>
        <v>0.5</v>
      </c>
      <c r="TA9" s="51" t="s">
        <v>58</v>
      </c>
      <c r="TB9" s="76">
        <f>IF(SN9&gt;0,SN9,"")</f>
        <v>5.65</v>
      </c>
      <c r="TC9" s="76">
        <f>IF(SO9&gt;0,SO9,"")</f>
        <v>7.34</v>
      </c>
      <c r="TD9" s="76">
        <f>IF(SUM(SL9:SO9)-SP9&gt;0,SUM(SL9:SO9)-SP9,"")</f>
        <v>21.04</v>
      </c>
      <c r="TE9" s="76">
        <f>IF(SS9&gt;0,SS9,"")</f>
        <v>0.3</v>
      </c>
      <c r="TF9" s="76">
        <f>IF(ST9&gt;0,ST9,"")</f>
        <v>0.87</v>
      </c>
      <c r="TG9" s="76">
        <f>IF(SUM(SQ9:ST9)-SU9&gt;0,SUM(SQ9:ST9)-SU9,"")</f>
        <v>7.07</v>
      </c>
      <c r="TH9" s="76">
        <f>IF(MAX(TD9,TG9)&gt;0,MAX(TD9,TG9),"")</f>
        <v>21.04</v>
      </c>
      <c r="TI9" s="76">
        <f>IF(SX9&gt;0,SX9,"")</f>
        <v>3.6</v>
      </c>
      <c r="TJ9" s="76">
        <f>IF(SY9&gt;0,SY9,"")</f>
        <v>5.46</v>
      </c>
      <c r="TK9" s="76">
        <f>IF(SUM(SV9:SY9)-SZ9&gt;0,SUM(SV9:SY9)-SZ9,"")</f>
        <v>13.585000000000001</v>
      </c>
      <c r="TL9" s="76">
        <f>IF(SUM(TH9,TK9)&gt;0,SUM(TH9,TK9),"")</f>
        <v>34.625</v>
      </c>
    </row>
    <row r="10" spans="1:532" x14ac:dyDescent="0.2">
      <c r="B10" s="6"/>
      <c r="D10" s="1"/>
    </row>
    <row r="11" spans="1:532" x14ac:dyDescent="0.2">
      <c r="G11" s="69"/>
      <c r="I11" s="69"/>
    </row>
    <row r="12" spans="1:532" x14ac:dyDescent="0.2">
      <c r="B12" s="43" t="s">
        <v>55</v>
      </c>
      <c r="C12" s="35"/>
      <c r="G12" s="3"/>
      <c r="AH12" s="77"/>
      <c r="AI12" s="77"/>
      <c r="AJ12" s="77"/>
      <c r="AL12" s="56"/>
      <c r="AM12" s="56"/>
      <c r="AO12" s="78">
        <v>10.4</v>
      </c>
      <c r="BI12" s="77"/>
      <c r="BJ12" s="77"/>
      <c r="BK12" s="77"/>
      <c r="BM12" s="56"/>
      <c r="BN12" s="56"/>
      <c r="BP12" s="78">
        <v>10.4</v>
      </c>
      <c r="CJ12" s="77"/>
      <c r="CK12" s="77"/>
      <c r="CL12" s="77"/>
      <c r="CN12" s="56"/>
      <c r="CO12" s="56"/>
      <c r="CQ12" s="78">
        <v>10.4</v>
      </c>
      <c r="DN12" s="35"/>
      <c r="DO12" s="35"/>
      <c r="DX12" s="33"/>
      <c r="DY12" s="33"/>
      <c r="EA12" s="78">
        <v>11.2</v>
      </c>
      <c r="EV12" s="35"/>
      <c r="EW12" s="35"/>
      <c r="FF12" s="33"/>
      <c r="FG12" s="33"/>
      <c r="FI12" s="78">
        <v>11.2</v>
      </c>
      <c r="GD12" s="35"/>
      <c r="GE12" s="35"/>
      <c r="GN12" s="33"/>
      <c r="GO12" s="33"/>
      <c r="GQ12" s="78">
        <v>11.2</v>
      </c>
      <c r="HL12" s="35"/>
      <c r="HM12" s="35"/>
      <c r="HV12" s="33"/>
      <c r="HW12" s="33"/>
      <c r="HY12" s="78">
        <v>10.4</v>
      </c>
      <c r="IT12" s="35"/>
      <c r="IU12" s="35"/>
      <c r="JD12" s="33"/>
      <c r="JE12" s="33"/>
      <c r="JG12" s="78">
        <v>10.4</v>
      </c>
      <c r="KB12" s="35"/>
      <c r="KC12" s="35"/>
      <c r="KL12" s="33"/>
      <c r="KM12" s="33"/>
      <c r="KO12" s="78">
        <v>10.4</v>
      </c>
      <c r="LJ12" s="35"/>
      <c r="LK12" s="35"/>
      <c r="LT12" s="33"/>
      <c r="LU12" s="33"/>
      <c r="LW12" s="78">
        <v>10.4</v>
      </c>
      <c r="MR12" s="35"/>
      <c r="MS12" s="35"/>
      <c r="NB12" s="33"/>
      <c r="NC12" s="33"/>
      <c r="NE12" s="78">
        <v>10.4</v>
      </c>
      <c r="NZ12" s="35"/>
      <c r="OA12" s="35"/>
      <c r="OJ12" s="33"/>
      <c r="OK12" s="33"/>
      <c r="OM12" s="78">
        <v>10.4</v>
      </c>
      <c r="PH12" s="35"/>
      <c r="PI12" s="35"/>
      <c r="PR12" s="33"/>
      <c r="PS12" s="33"/>
      <c r="PU12" s="78">
        <v>10.4</v>
      </c>
      <c r="QP12" s="35"/>
      <c r="QQ12" s="35"/>
      <c r="QZ12" s="33"/>
      <c r="RA12" s="33"/>
      <c r="RC12" s="78">
        <v>10.4</v>
      </c>
      <c r="RX12" s="35"/>
      <c r="RY12" s="35"/>
      <c r="SH12" s="33"/>
      <c r="SI12" s="33"/>
      <c r="SK12" s="78">
        <v>10.4</v>
      </c>
    </row>
    <row r="13" spans="1:532" x14ac:dyDescent="0.2">
      <c r="B13" s="54" t="s">
        <v>54</v>
      </c>
      <c r="C13" s="35"/>
      <c r="N13" s="2"/>
      <c r="AH13" s="77"/>
      <c r="AI13" s="77"/>
      <c r="AJ13" s="77"/>
      <c r="AL13" s="56"/>
      <c r="AM13" s="56"/>
      <c r="AO13" s="79">
        <v>11.2</v>
      </c>
      <c r="BI13" s="77"/>
      <c r="BJ13" s="77"/>
      <c r="BK13" s="77"/>
      <c r="BM13" s="56"/>
      <c r="BN13" s="56"/>
      <c r="BP13" s="79">
        <v>11.2</v>
      </c>
      <c r="CJ13" s="77"/>
      <c r="CK13" s="77"/>
      <c r="CL13" s="77"/>
      <c r="CN13" s="56"/>
      <c r="CO13" s="56"/>
      <c r="CQ13" s="79">
        <v>11.2</v>
      </c>
      <c r="DN13" s="35"/>
      <c r="DO13" s="35"/>
      <c r="DX13" s="33"/>
      <c r="DY13" s="33"/>
      <c r="EA13" s="79">
        <v>12</v>
      </c>
      <c r="EV13" s="35"/>
      <c r="EW13" s="35"/>
      <c r="FF13" s="33"/>
      <c r="FG13" s="33"/>
      <c r="FI13" s="79">
        <v>12</v>
      </c>
      <c r="GD13" s="35"/>
      <c r="GE13" s="35"/>
      <c r="GN13" s="33"/>
      <c r="GO13" s="33"/>
      <c r="GQ13" s="79">
        <v>12</v>
      </c>
      <c r="HL13" s="35"/>
      <c r="HM13" s="35"/>
      <c r="HV13" s="33"/>
      <c r="HW13" s="33"/>
      <c r="HY13" s="79">
        <v>11.2</v>
      </c>
      <c r="IT13" s="35"/>
      <c r="IU13" s="35"/>
      <c r="JD13" s="33"/>
      <c r="JE13" s="33"/>
      <c r="JG13" s="79">
        <v>11.2</v>
      </c>
      <c r="KB13" s="35"/>
      <c r="KC13" s="35"/>
      <c r="KL13" s="33"/>
      <c r="KM13" s="33"/>
      <c r="KO13" s="79">
        <v>11.2</v>
      </c>
      <c r="LJ13" s="35"/>
      <c r="LK13" s="35"/>
      <c r="LT13" s="33"/>
      <c r="LU13" s="33"/>
      <c r="LW13" s="79">
        <v>11.2</v>
      </c>
      <c r="MR13" s="35"/>
      <c r="MS13" s="35"/>
      <c r="NB13" s="33"/>
      <c r="NC13" s="33"/>
      <c r="NE13" s="79">
        <v>11.2</v>
      </c>
      <c r="NZ13" s="35"/>
      <c r="OA13" s="35"/>
      <c r="OJ13" s="33"/>
      <c r="OK13" s="33"/>
      <c r="OM13" s="79">
        <v>11.2</v>
      </c>
      <c r="PH13" s="35"/>
      <c r="PI13" s="35"/>
      <c r="PR13" s="33"/>
      <c r="PS13" s="33"/>
      <c r="PU13" s="79">
        <v>11.2</v>
      </c>
      <c r="QP13" s="35"/>
      <c r="QQ13" s="35"/>
      <c r="QZ13" s="33"/>
      <c r="RA13" s="33"/>
      <c r="RC13" s="79">
        <v>11.2</v>
      </c>
      <c r="RX13" s="35"/>
      <c r="RY13" s="35"/>
      <c r="SH13" s="33"/>
      <c r="SI13" s="33"/>
      <c r="SK13" s="79">
        <v>11.2</v>
      </c>
    </row>
    <row r="14" spans="1:532" x14ac:dyDescent="0.2">
      <c r="A14" s="35"/>
      <c r="B14" s="55" t="s">
        <v>68</v>
      </c>
      <c r="C14" s="35"/>
      <c r="E14" s="2"/>
      <c r="AH14" s="77"/>
      <c r="AI14" s="77"/>
      <c r="AJ14" s="77"/>
      <c r="AK14" s="56"/>
      <c r="AL14" s="56"/>
      <c r="AM14" s="56"/>
      <c r="AN14" s="56"/>
      <c r="AO14" s="80">
        <v>12</v>
      </c>
      <c r="BI14" s="77"/>
      <c r="BJ14" s="77"/>
      <c r="BK14" s="77"/>
      <c r="BM14" s="56"/>
      <c r="BN14" s="56"/>
      <c r="BP14" s="80">
        <v>12</v>
      </c>
      <c r="CJ14" s="77"/>
      <c r="CK14" s="77"/>
      <c r="CL14" s="77"/>
      <c r="CM14" s="56"/>
      <c r="CN14" s="56"/>
      <c r="CO14" s="56"/>
      <c r="CP14" s="56"/>
      <c r="CQ14" s="80">
        <v>12</v>
      </c>
      <c r="DN14" s="35"/>
      <c r="DO14" s="35"/>
      <c r="DX14" s="33"/>
      <c r="DY14" s="33"/>
      <c r="EA14" s="80">
        <v>12</v>
      </c>
      <c r="EV14" s="35"/>
      <c r="EW14" s="35"/>
      <c r="FF14" s="33"/>
      <c r="FG14" s="33"/>
      <c r="FI14" s="80">
        <v>12</v>
      </c>
      <c r="GD14" s="35"/>
      <c r="GE14" s="35"/>
      <c r="GN14" s="33"/>
      <c r="GO14" s="33"/>
      <c r="GQ14" s="80">
        <v>12</v>
      </c>
      <c r="HL14" s="35"/>
      <c r="HM14" s="35"/>
      <c r="HV14" s="33"/>
      <c r="HW14" s="33"/>
      <c r="HY14" s="80">
        <v>12</v>
      </c>
      <c r="IT14" s="35"/>
      <c r="IU14" s="35"/>
      <c r="JD14" s="33"/>
      <c r="JE14" s="33"/>
      <c r="JG14" s="80">
        <v>12</v>
      </c>
      <c r="KB14" s="35"/>
      <c r="KC14" s="35"/>
      <c r="KL14" s="33"/>
      <c r="KM14" s="33"/>
      <c r="KO14" s="80">
        <v>12</v>
      </c>
      <c r="LJ14" s="35"/>
      <c r="LK14" s="35"/>
      <c r="LT14" s="33"/>
      <c r="LU14" s="33"/>
      <c r="LW14" s="80">
        <v>12</v>
      </c>
      <c r="MR14" s="35"/>
      <c r="MS14" s="35"/>
      <c r="NB14" s="33"/>
      <c r="NC14" s="33"/>
      <c r="NE14" s="80">
        <v>12</v>
      </c>
      <c r="NZ14" s="35"/>
      <c r="OA14" s="35"/>
      <c r="OJ14" s="33"/>
      <c r="OK14" s="33"/>
      <c r="OM14" s="80">
        <v>12</v>
      </c>
      <c r="PH14" s="35"/>
      <c r="PI14" s="35"/>
      <c r="PR14" s="33"/>
      <c r="PS14" s="33"/>
      <c r="PU14" s="80">
        <v>12</v>
      </c>
      <c r="QP14" s="35"/>
      <c r="QQ14" s="35"/>
      <c r="QZ14" s="33"/>
      <c r="RA14" s="33"/>
      <c r="RC14" s="80">
        <v>12</v>
      </c>
      <c r="RX14" s="35"/>
      <c r="RY14" s="35"/>
      <c r="SH14" s="33"/>
      <c r="SI14" s="33"/>
      <c r="SK14" s="80">
        <v>12</v>
      </c>
    </row>
    <row r="15" spans="1:532" x14ac:dyDescent="0.2">
      <c r="A15" s="35"/>
      <c r="B15" s="66" t="s">
        <v>81</v>
      </c>
      <c r="C15" s="35"/>
      <c r="E15" s="2"/>
      <c r="AH15" s="77"/>
      <c r="AI15" s="77"/>
      <c r="AJ15" s="77"/>
      <c r="AK15" s="56"/>
      <c r="AL15" s="56"/>
      <c r="AM15" s="56"/>
      <c r="AN15" s="56"/>
      <c r="AO15" s="81">
        <v>12.4</v>
      </c>
      <c r="BI15" s="77"/>
      <c r="BJ15" s="77"/>
      <c r="BK15" s="77"/>
      <c r="BM15" s="56"/>
      <c r="BN15" s="56"/>
      <c r="BP15" s="81">
        <v>12.4</v>
      </c>
      <c r="CJ15" s="77"/>
      <c r="CK15" s="77"/>
      <c r="CL15" s="77"/>
      <c r="CM15" s="56"/>
      <c r="CN15" s="56"/>
      <c r="CO15" s="56"/>
      <c r="CP15" s="56"/>
      <c r="CQ15" s="81">
        <v>12.4</v>
      </c>
      <c r="DN15" s="35"/>
      <c r="DO15" s="35"/>
      <c r="DX15" s="33"/>
      <c r="DY15" s="33"/>
      <c r="EA15" s="81">
        <v>12</v>
      </c>
      <c r="EV15" s="35"/>
      <c r="EW15" s="35"/>
      <c r="FF15" s="33"/>
      <c r="FG15" s="33"/>
      <c r="FI15" s="81">
        <v>12</v>
      </c>
      <c r="GD15" s="35"/>
      <c r="GE15" s="35"/>
      <c r="GN15" s="33"/>
      <c r="GO15" s="33"/>
      <c r="GQ15" s="81">
        <v>12</v>
      </c>
      <c r="HL15" s="35"/>
      <c r="HM15" s="35"/>
      <c r="HV15" s="33"/>
      <c r="HW15" s="33"/>
      <c r="HY15" s="81">
        <v>12.4</v>
      </c>
      <c r="IT15" s="35"/>
      <c r="IU15" s="35"/>
      <c r="JD15" s="33"/>
      <c r="JE15" s="33"/>
      <c r="JG15" s="81">
        <v>12.4</v>
      </c>
      <c r="KB15" s="35"/>
      <c r="KC15" s="35"/>
      <c r="KL15" s="33"/>
      <c r="KM15" s="33"/>
      <c r="KO15" s="81">
        <v>12.4</v>
      </c>
      <c r="LJ15" s="35"/>
      <c r="LK15" s="35"/>
      <c r="LT15" s="33"/>
      <c r="LU15" s="33"/>
      <c r="LW15" s="81">
        <v>12.4</v>
      </c>
      <c r="MR15" s="35"/>
      <c r="MS15" s="35"/>
      <c r="NB15" s="33"/>
      <c r="NC15" s="33"/>
      <c r="NE15" s="81">
        <v>12.4</v>
      </c>
      <c r="NZ15" s="35"/>
      <c r="OA15" s="35"/>
      <c r="OJ15" s="33"/>
      <c r="OK15" s="33"/>
      <c r="OM15" s="81">
        <v>12.4</v>
      </c>
      <c r="PH15" s="35"/>
      <c r="PI15" s="35"/>
      <c r="PR15" s="33"/>
      <c r="PS15" s="33"/>
      <c r="PU15" s="81">
        <v>12.4</v>
      </c>
      <c r="QP15" s="35"/>
      <c r="QQ15" s="35"/>
      <c r="QZ15" s="33"/>
      <c r="RA15" s="33"/>
      <c r="RC15" s="81">
        <v>12.4</v>
      </c>
      <c r="RX15" s="35"/>
      <c r="RY15" s="35"/>
      <c r="SH15" s="33"/>
      <c r="SI15" s="33"/>
      <c r="SK15" s="81">
        <v>12.4</v>
      </c>
    </row>
    <row r="16" spans="1:532" x14ac:dyDescent="0.2">
      <c r="A16" s="35"/>
      <c r="B16" s="65" t="s">
        <v>52</v>
      </c>
      <c r="C16" s="35"/>
      <c r="AH16" s="77"/>
      <c r="AI16" s="77"/>
      <c r="AJ16" s="77"/>
      <c r="AK16" s="56"/>
      <c r="AL16" s="56"/>
      <c r="AM16" s="56"/>
      <c r="AN16" s="56"/>
      <c r="AO16" s="82">
        <v>44</v>
      </c>
      <c r="BI16" s="77"/>
      <c r="BJ16" s="77"/>
      <c r="BK16" s="77"/>
      <c r="BM16" s="56"/>
      <c r="BN16" s="56"/>
      <c r="BP16" s="82">
        <v>44</v>
      </c>
      <c r="CJ16" s="77"/>
      <c r="CK16" s="77"/>
      <c r="CL16" s="77"/>
      <c r="CM16" s="56"/>
      <c r="CN16" s="56"/>
      <c r="CO16" s="56"/>
      <c r="CP16" s="56"/>
      <c r="CQ16" s="82">
        <v>44</v>
      </c>
      <c r="DN16" s="35"/>
      <c r="DO16" s="35"/>
      <c r="DX16" s="33"/>
      <c r="DY16" s="33"/>
      <c r="EA16" s="82">
        <v>45</v>
      </c>
      <c r="EV16" s="35"/>
      <c r="EW16" s="35"/>
      <c r="FF16" s="33"/>
      <c r="FG16" s="33"/>
      <c r="FI16" s="82">
        <v>45.7</v>
      </c>
      <c r="GD16" s="35"/>
      <c r="GE16" s="35"/>
      <c r="GN16" s="33"/>
      <c r="GO16" s="33"/>
      <c r="GQ16" s="82">
        <v>45.7</v>
      </c>
      <c r="HL16" s="35"/>
      <c r="HM16" s="35"/>
      <c r="HV16" s="33"/>
      <c r="HW16" s="33"/>
      <c r="HY16" s="82">
        <v>44</v>
      </c>
      <c r="IT16" s="35"/>
      <c r="IU16" s="35"/>
      <c r="JD16" s="33"/>
      <c r="JE16" s="33"/>
      <c r="JG16" s="82">
        <v>44</v>
      </c>
      <c r="KB16" s="35"/>
      <c r="KC16" s="35"/>
      <c r="KL16" s="33"/>
      <c r="KM16" s="33"/>
      <c r="KO16" s="82">
        <v>44</v>
      </c>
      <c r="LJ16" s="35"/>
      <c r="LK16" s="35"/>
      <c r="LT16" s="33"/>
      <c r="LU16" s="33"/>
      <c r="LW16" s="82">
        <v>44</v>
      </c>
      <c r="MR16" s="35"/>
      <c r="MS16" s="35"/>
      <c r="NB16" s="33"/>
      <c r="NC16" s="33"/>
      <c r="NE16" s="82">
        <v>44</v>
      </c>
      <c r="NZ16" s="35"/>
      <c r="OA16" s="35"/>
      <c r="OJ16" s="33"/>
      <c r="OK16" s="33"/>
      <c r="OM16" s="82">
        <v>44</v>
      </c>
      <c r="PH16" s="35"/>
      <c r="PI16" s="35"/>
      <c r="PR16" s="33"/>
      <c r="PS16" s="33"/>
      <c r="PU16" s="82">
        <v>44</v>
      </c>
      <c r="QP16" s="35"/>
      <c r="QQ16" s="35"/>
      <c r="QZ16" s="33"/>
      <c r="RA16" s="33"/>
      <c r="RC16" s="82">
        <v>44</v>
      </c>
      <c r="RX16" s="35"/>
      <c r="RY16" s="35"/>
      <c r="SH16" s="33"/>
      <c r="SI16" s="33"/>
      <c r="SK16" s="82">
        <v>44</v>
      </c>
    </row>
    <row r="17" spans="1:534" x14ac:dyDescent="0.2">
      <c r="A17" s="35"/>
      <c r="B17" s="44" t="s">
        <v>53</v>
      </c>
      <c r="C17" s="35"/>
      <c r="AH17" s="77"/>
      <c r="AI17" s="77"/>
      <c r="AJ17" s="77"/>
      <c r="AK17" s="56"/>
      <c r="AL17" s="56"/>
      <c r="AM17" s="56"/>
      <c r="AN17" s="56"/>
      <c r="AO17" s="83">
        <v>45.3</v>
      </c>
      <c r="BI17" s="77"/>
      <c r="BJ17" s="77"/>
      <c r="BK17" s="77"/>
      <c r="BM17" s="56"/>
      <c r="BN17" s="56"/>
      <c r="BP17" s="83">
        <v>45.3</v>
      </c>
      <c r="CJ17" s="77"/>
      <c r="CK17" s="77"/>
      <c r="CL17" s="77"/>
      <c r="CM17" s="56"/>
      <c r="CN17" s="56"/>
      <c r="CO17" s="56"/>
      <c r="CP17" s="56"/>
      <c r="CQ17" s="83">
        <v>45.3</v>
      </c>
      <c r="DN17" s="35"/>
      <c r="DO17" s="35"/>
      <c r="DX17" s="33"/>
      <c r="DY17" s="33"/>
      <c r="EA17" s="83">
        <v>45</v>
      </c>
      <c r="EV17" s="35"/>
      <c r="EW17" s="35"/>
      <c r="FF17" s="33"/>
      <c r="FG17" s="33"/>
      <c r="FI17" s="83">
        <v>45.7</v>
      </c>
      <c r="GD17" s="35"/>
      <c r="GE17" s="35"/>
      <c r="GN17" s="33"/>
      <c r="GO17" s="33"/>
      <c r="GQ17" s="83">
        <v>45.7</v>
      </c>
      <c r="HL17" s="35"/>
      <c r="HM17" s="35"/>
      <c r="HV17" s="33"/>
      <c r="HW17" s="33"/>
      <c r="HY17" s="83">
        <v>45.3</v>
      </c>
      <c r="IT17" s="35"/>
      <c r="IU17" s="35"/>
      <c r="JD17" s="33"/>
      <c r="JE17" s="33"/>
      <c r="JG17" s="83">
        <v>45.3</v>
      </c>
      <c r="KB17" s="35"/>
      <c r="KC17" s="35"/>
      <c r="KL17" s="33"/>
      <c r="KM17" s="33"/>
      <c r="KO17" s="83">
        <v>45.3</v>
      </c>
      <c r="LJ17" s="35"/>
      <c r="LK17" s="35"/>
      <c r="LT17" s="33"/>
      <c r="LU17" s="33"/>
      <c r="LW17" s="83">
        <v>45.3</v>
      </c>
      <c r="MR17" s="35"/>
      <c r="MS17" s="35"/>
      <c r="NB17" s="33"/>
      <c r="NC17" s="33"/>
      <c r="NE17" s="83">
        <v>45.3</v>
      </c>
      <c r="NZ17" s="35"/>
      <c r="OA17" s="35"/>
      <c r="OJ17" s="33"/>
      <c r="OK17" s="33"/>
      <c r="OM17" s="83">
        <v>45.3</v>
      </c>
      <c r="PH17" s="35"/>
      <c r="PI17" s="35"/>
      <c r="PR17" s="33"/>
      <c r="PS17" s="33"/>
      <c r="PU17" s="83">
        <v>45.3</v>
      </c>
      <c r="QP17" s="35"/>
      <c r="QQ17" s="35"/>
      <c r="QZ17" s="33"/>
      <c r="RA17" s="33"/>
      <c r="RC17" s="83">
        <v>45.3</v>
      </c>
      <c r="RX17" s="35"/>
      <c r="RY17" s="35"/>
      <c r="SH17" s="33"/>
      <c r="SI17" s="33"/>
      <c r="SK17" s="83">
        <v>45.3</v>
      </c>
    </row>
    <row r="18" spans="1:534" x14ac:dyDescent="0.2">
      <c r="A18" s="35"/>
      <c r="B18" s="64" t="s">
        <v>67</v>
      </c>
      <c r="C18" s="35"/>
      <c r="AH18" s="77"/>
      <c r="AI18" s="77"/>
      <c r="AJ18" s="77"/>
      <c r="AK18" s="56"/>
      <c r="AL18" s="56"/>
      <c r="AM18" s="56"/>
      <c r="AN18" s="56"/>
      <c r="AO18" s="84">
        <v>46</v>
      </c>
      <c r="BI18" s="77"/>
      <c r="BJ18" s="77"/>
      <c r="BK18" s="77"/>
      <c r="BM18" s="56"/>
      <c r="BN18" s="56"/>
      <c r="BP18" s="84">
        <v>46</v>
      </c>
      <c r="CJ18" s="77"/>
      <c r="CK18" s="77"/>
      <c r="CL18" s="77"/>
      <c r="CM18" s="56"/>
      <c r="CN18" s="56"/>
      <c r="CO18" s="56"/>
      <c r="CP18" s="56"/>
      <c r="CQ18" s="84">
        <v>46</v>
      </c>
      <c r="DN18" s="35"/>
      <c r="DO18" s="35"/>
      <c r="DX18" s="33"/>
      <c r="DY18" s="33"/>
      <c r="DZ18" s="71"/>
      <c r="EA18" s="84">
        <v>45.7</v>
      </c>
      <c r="EV18" s="35"/>
      <c r="EW18" s="35"/>
      <c r="FF18" s="33"/>
      <c r="FG18" s="33"/>
      <c r="FH18" s="71"/>
      <c r="FI18" s="84">
        <v>45.7</v>
      </c>
      <c r="GD18" s="35"/>
      <c r="GE18" s="35"/>
      <c r="GN18" s="33"/>
      <c r="GO18" s="33"/>
      <c r="GP18" s="71"/>
      <c r="GQ18" s="84">
        <v>45.7</v>
      </c>
      <c r="HL18" s="35"/>
      <c r="HM18" s="35"/>
      <c r="HV18" s="33"/>
      <c r="HW18" s="33"/>
      <c r="HX18" s="71"/>
      <c r="HY18" s="84">
        <v>46</v>
      </c>
      <c r="IT18" s="35"/>
      <c r="IU18" s="35"/>
      <c r="JD18" s="33"/>
      <c r="JE18" s="33"/>
      <c r="JF18" s="71"/>
      <c r="JG18" s="84">
        <v>46</v>
      </c>
      <c r="KB18" s="35"/>
      <c r="KC18" s="35"/>
      <c r="KL18" s="33"/>
      <c r="KM18" s="33"/>
      <c r="KN18" s="71"/>
      <c r="KO18" s="84">
        <v>46</v>
      </c>
      <c r="LJ18" s="35"/>
      <c r="LK18" s="35"/>
      <c r="LT18" s="33"/>
      <c r="LU18" s="33"/>
      <c r="LV18" s="71"/>
      <c r="LW18" s="84">
        <v>46</v>
      </c>
      <c r="MR18" s="35"/>
      <c r="MS18" s="35"/>
      <c r="NB18" s="33"/>
      <c r="NC18" s="33"/>
      <c r="ND18" s="71"/>
      <c r="NE18" s="84">
        <v>46</v>
      </c>
      <c r="NZ18" s="35"/>
      <c r="OA18" s="35"/>
      <c r="OJ18" s="33"/>
      <c r="OK18" s="33"/>
      <c r="OL18" s="71"/>
      <c r="OM18" s="84">
        <v>46</v>
      </c>
      <c r="PH18" s="35"/>
      <c r="PI18" s="35"/>
      <c r="PR18" s="33"/>
      <c r="PS18" s="33"/>
      <c r="PT18" s="71"/>
      <c r="PU18" s="84">
        <v>46</v>
      </c>
      <c r="QP18" s="35"/>
      <c r="QQ18" s="35"/>
      <c r="QZ18" s="33"/>
      <c r="RA18" s="33"/>
      <c r="RB18" s="71"/>
      <c r="RC18" s="84">
        <v>46</v>
      </c>
      <c r="RX18" s="35"/>
      <c r="RY18" s="35"/>
      <c r="SH18" s="33"/>
      <c r="SI18" s="33"/>
      <c r="SJ18" s="71"/>
      <c r="SK18" s="84">
        <v>46</v>
      </c>
    </row>
    <row r="19" spans="1:534" x14ac:dyDescent="0.2">
      <c r="A19" s="35"/>
      <c r="B19" s="45" t="s">
        <v>36</v>
      </c>
      <c r="C19" s="35"/>
      <c r="AH19" s="77"/>
      <c r="AI19" s="77"/>
      <c r="AJ19" s="77"/>
      <c r="AK19" s="56"/>
      <c r="AL19" s="77"/>
      <c r="AM19" s="77"/>
      <c r="AN19" s="56"/>
      <c r="AO19" s="85">
        <v>46.6</v>
      </c>
      <c r="BI19" s="77"/>
      <c r="BJ19" s="77"/>
      <c r="BK19" s="77"/>
      <c r="BM19" s="77"/>
      <c r="BN19" s="56"/>
      <c r="BP19" s="85">
        <v>46.6</v>
      </c>
      <c r="CJ19" s="77"/>
      <c r="CK19" s="77"/>
      <c r="CL19" s="77"/>
      <c r="CM19" s="56"/>
      <c r="CN19" s="77"/>
      <c r="CO19" s="56"/>
      <c r="CP19" s="56"/>
      <c r="CQ19" s="85">
        <v>46.6</v>
      </c>
      <c r="DN19" s="35"/>
      <c r="DO19" s="35"/>
      <c r="DX19" s="77" t="s">
        <v>124</v>
      </c>
      <c r="DY19" s="33"/>
      <c r="EA19" s="85">
        <v>46.8</v>
      </c>
      <c r="EV19" s="35"/>
      <c r="EW19" s="35"/>
      <c r="FF19" s="77" t="s">
        <v>124</v>
      </c>
      <c r="FG19" s="33"/>
      <c r="FI19" s="85">
        <v>46.8</v>
      </c>
      <c r="GD19" s="35"/>
      <c r="GE19" s="35"/>
      <c r="GN19" s="77" t="s">
        <v>124</v>
      </c>
      <c r="GO19" s="33"/>
      <c r="GQ19" s="85">
        <v>46.8</v>
      </c>
      <c r="HL19" s="35"/>
      <c r="HM19" s="35"/>
      <c r="HV19" s="77"/>
      <c r="HW19" s="33"/>
      <c r="HY19" s="85">
        <v>46.6</v>
      </c>
      <c r="IT19" s="35"/>
      <c r="IU19" s="35"/>
      <c r="JD19" s="33"/>
      <c r="JE19" s="33"/>
      <c r="JG19" s="85">
        <v>46.6</v>
      </c>
      <c r="KB19" s="35"/>
      <c r="KC19" s="35"/>
      <c r="KL19" s="33"/>
      <c r="KM19" s="33"/>
      <c r="KO19" s="85">
        <v>46.6</v>
      </c>
      <c r="LJ19" s="35"/>
      <c r="LK19" s="35"/>
      <c r="LT19" s="33"/>
      <c r="LU19" s="33"/>
      <c r="LW19" s="85">
        <v>46.6</v>
      </c>
      <c r="MR19" s="35"/>
      <c r="MS19" s="35"/>
      <c r="NB19" s="33"/>
      <c r="NC19" s="33"/>
      <c r="NE19" s="85">
        <v>46.6</v>
      </c>
      <c r="NZ19" s="35"/>
      <c r="OA19" s="35"/>
      <c r="OJ19" s="33"/>
      <c r="OK19" s="33"/>
      <c r="OM19" s="85">
        <v>46.6</v>
      </c>
      <c r="PH19" s="35"/>
      <c r="PI19" s="35"/>
      <c r="PR19" s="33"/>
      <c r="PS19" s="33"/>
      <c r="PU19" s="85">
        <v>46.6</v>
      </c>
      <c r="QP19" s="35"/>
      <c r="QQ19" s="35"/>
      <c r="QZ19" s="33"/>
      <c r="RA19" s="33"/>
      <c r="RC19" s="85">
        <v>46.6</v>
      </c>
      <c r="RX19" s="35"/>
      <c r="RY19" s="35"/>
      <c r="SH19" s="33"/>
      <c r="SI19" s="33"/>
      <c r="SK19" s="85">
        <v>46.6</v>
      </c>
    </row>
    <row r="20" spans="1:534" s="70" customFormat="1" x14ac:dyDescent="0.2">
      <c r="A20"/>
      <c r="B20" s="53" t="s">
        <v>59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x14ac:dyDescent="0.2">
      <c r="A21" s="35"/>
      <c r="B21" s="35"/>
      <c r="C21" s="34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 s="35"/>
      <c r="B23" s="35"/>
      <c r="C23" s="34"/>
      <c r="D23"/>
      <c r="E23"/>
      <c r="F23"/>
      <c r="G23"/>
      <c r="H23"/>
      <c r="I23"/>
      <c r="J23"/>
      <c r="K23"/>
      <c r="L23" s="15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G26" s="56"/>
      <c r="AH26" s="56"/>
      <c r="AI26" s="56"/>
      <c r="AJ26" s="56"/>
      <c r="AK26" s="56"/>
      <c r="AN26" s="5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I26" s="56"/>
      <c r="CJ26" s="56"/>
      <c r="CK26" s="56"/>
      <c r="CL26" s="56"/>
      <c r="CM26" s="56"/>
      <c r="CP26" s="5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 s="15"/>
      <c r="M35" s="15"/>
      <c r="N35" s="1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  <row r="41" spans="1:534" ht="17" x14ac:dyDescent="0.2">
      <c r="L41" s="15"/>
      <c r="M41" s="15"/>
      <c r="N41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9">
      <sortCondition descending="1" ref="F1:F10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9" priority="39" operator="containsText" text="No DD">
      <formula>NOT(ISERROR(SEARCH("No DD",H1)))</formula>
    </cfRule>
    <cfRule type="containsText" dxfId="278" priority="40" operator="containsText" text="Merit">
      <formula>NOT(ISERROR(SEARCH("Merit",H1)))</formula>
    </cfRule>
    <cfRule type="containsText" dxfId="277" priority="41" operator="containsText" text="Excellence">
      <formula>NOT(ISERROR(SEARCH("Excellence",H1)))</formula>
    </cfRule>
    <cfRule type="containsText" dxfId="276" priority="42" operator="containsText" text="Worlds Team">
      <formula>NOT(ISERROR(SEARCH("Worlds Team",H1)))</formula>
    </cfRule>
    <cfRule type="containsText" dxfId="275" priority="43" operator="containsText" text="National Team">
      <formula>NOT(ISERROR(SEARCH("National Team",H1)))</formula>
    </cfRule>
  </conditionalFormatting>
  <conditionalFormatting sqref="A1:A1048576">
    <cfRule type="expression" dxfId="274" priority="44">
      <formula>AND(G1&lt;&gt;"",F1="")</formula>
    </cfRule>
  </conditionalFormatting>
  <conditionalFormatting sqref="O4:AO9">
    <cfRule type="expression" dxfId="273" priority="45" stopIfTrue="1">
      <formula>IF($AD4&lt;&gt;"",1,0)</formula>
    </cfRule>
  </conditionalFormatting>
  <conditionalFormatting sqref="AP4:BP9">
    <cfRule type="expression" dxfId="272" priority="38" stopIfTrue="1">
      <formula>IF($BE4&lt;&gt;"",1,0)</formula>
    </cfRule>
  </conditionalFormatting>
  <conditionalFormatting sqref="BQ4:CQ9">
    <cfRule type="expression" dxfId="271" priority="37" stopIfTrue="1">
      <formula>IF($CF4&lt;&gt;"",1,0)</formula>
    </cfRule>
  </conditionalFormatting>
  <conditionalFormatting sqref="K1:K1048576">
    <cfRule type="expression" dxfId="270" priority="54">
      <formula>IF(K1=$BQ$1,1,0)</formula>
    </cfRule>
    <cfRule type="expression" dxfId="269" priority="55">
      <formula>IF(K1=$AP$1,1,0)</formula>
    </cfRule>
    <cfRule type="expression" dxfId="268" priority="56">
      <formula>IF(K1=$O$1,1,0)</formula>
    </cfRule>
  </conditionalFormatting>
  <conditionalFormatting sqref="BM20:BM1048576 BF1:BF1048576 BI1:BI1048576 BM1:BM18">
    <cfRule type="cellIs" dxfId="267" priority="50" operator="between">
      <formula>$BP$15</formula>
      <formula>1000</formula>
    </cfRule>
    <cfRule type="cellIs" dxfId="266" priority="51" operator="between">
      <formula>$BP$14</formula>
      <formula>$BP$15</formula>
    </cfRule>
    <cfRule type="cellIs" dxfId="265" priority="52" operator="between">
      <formula>$BP$13</formula>
      <formula>$BP$14</formula>
    </cfRule>
    <cfRule type="cellIs" dxfId="264" priority="53" operator="between">
      <formula>$BP$12</formula>
      <formula>$BP$13</formula>
    </cfRule>
  </conditionalFormatting>
  <conditionalFormatting sqref="CN20:CN1048576 CG1:CG1048576 CJ1:CJ1048576 CN1:CN18">
    <cfRule type="cellIs" dxfId="263" priority="46" operator="between">
      <formula>$CQ$15</formula>
      <formula>1000</formula>
    </cfRule>
    <cfRule type="cellIs" dxfId="262" priority="47" operator="between">
      <formula>$CQ$14</formula>
      <formula>$CQ$15</formula>
    </cfRule>
    <cfRule type="cellIs" dxfId="261" priority="48" operator="between">
      <formula>$CQ$13</formula>
      <formula>$CQ$14</formula>
    </cfRule>
    <cfRule type="cellIs" dxfId="260" priority="49" operator="between">
      <formula>$CQ$12</formula>
      <formula>$CQ$13</formula>
    </cfRule>
  </conditionalFormatting>
  <conditionalFormatting sqref="DX20:DX1048576 DN1:DN1048576 DQ1:DQ1048576 DU1:DU1048576 DX1:DX18">
    <cfRule type="cellIs" dxfId="259" priority="57" operator="between">
      <formula>$EA$15</formula>
      <formula>1000</formula>
    </cfRule>
    <cfRule type="cellIs" dxfId="258" priority="58" operator="between">
      <formula>$EA$14</formula>
      <formula>$EA$15</formula>
    </cfRule>
    <cfRule type="cellIs" dxfId="257" priority="59" operator="between">
      <formula>$EA$13</formula>
      <formula>$EA$14</formula>
    </cfRule>
    <cfRule type="cellIs" dxfId="256" priority="60" operator="between">
      <formula>$EA$12</formula>
      <formula>$EA$13</formula>
    </cfRule>
  </conditionalFormatting>
  <conditionalFormatting sqref="FF20:FF1048576 EV1:EV1048576 EY1:EY1048576 FC1:FC1048576 FF1:FF18">
    <cfRule type="cellIs" dxfId="255" priority="33" operator="between">
      <formula>$FI$15</formula>
      <formula>1000</formula>
    </cfRule>
    <cfRule type="cellIs" dxfId="254" priority="34" operator="between">
      <formula>$FI$14</formula>
      <formula>$FI$15</formula>
    </cfRule>
    <cfRule type="cellIs" dxfId="253" priority="35" operator="between">
      <formula>$FI$13</formula>
      <formula>$FI$14</formula>
    </cfRule>
    <cfRule type="cellIs" dxfId="252" priority="36" operator="between">
      <formula>$FI$12</formula>
      <formula>$FI$13</formula>
    </cfRule>
  </conditionalFormatting>
  <conditionalFormatting sqref="HV20:HV1048576 HL1:HL1048576 HO1:HO1048576 HS1:HS1048576 HV1:HV18">
    <cfRule type="cellIs" dxfId="251" priority="29" operator="between">
      <formula>$HY$15</formula>
      <formula>1000</formula>
    </cfRule>
    <cfRule type="cellIs" dxfId="250" priority="30" operator="between">
      <formula>$HY$14</formula>
      <formula>$HY$15</formula>
    </cfRule>
    <cfRule type="cellIs" dxfId="249" priority="31" operator="between">
      <formula>$HY$13</formula>
      <formula>$HY$14</formula>
    </cfRule>
    <cfRule type="cellIs" dxfId="248" priority="32" operator="between">
      <formula>$HY$12</formula>
      <formula>$HY$13</formula>
    </cfRule>
  </conditionalFormatting>
  <conditionalFormatting sqref="AM19 AE1:AE1048576 AH1:AH1048576 AL1:AL1048576">
    <cfRule type="cellIs" dxfId="247" priority="25" operator="between">
      <formula>$AO$15</formula>
      <formula>1000</formula>
    </cfRule>
    <cfRule type="cellIs" dxfId="246" priority="26" operator="between">
      <formula>$AO$14</formula>
      <formula>$AO$15</formula>
    </cfRule>
    <cfRule type="cellIs" dxfId="245" priority="27" operator="between">
      <formula>$AO$13</formula>
      <formula>$AO$14</formula>
    </cfRule>
    <cfRule type="cellIs" dxfId="244" priority="28" operator="between">
      <formula>$AO$12</formula>
      <formula>$AO$13</formula>
    </cfRule>
  </conditionalFormatting>
  <conditionalFormatting sqref="BM19">
    <cfRule type="cellIs" dxfId="243" priority="21" operator="between">
      <formula>$AO$15</formula>
      <formula>1000</formula>
    </cfRule>
    <cfRule type="cellIs" dxfId="242" priority="22" operator="between">
      <formula>$AO$14</formula>
      <formula>$AO$15</formula>
    </cfRule>
    <cfRule type="cellIs" dxfId="241" priority="23" operator="between">
      <formula>$AO$13</formula>
      <formula>$AO$14</formula>
    </cfRule>
    <cfRule type="cellIs" dxfId="240" priority="24" operator="between">
      <formula>$AO$12</formula>
      <formula>$AO$13</formula>
    </cfRule>
  </conditionalFormatting>
  <conditionalFormatting sqref="CN19">
    <cfRule type="cellIs" dxfId="239" priority="17" operator="between">
      <formula>$AO$15</formula>
      <formula>1000</formula>
    </cfRule>
    <cfRule type="cellIs" dxfId="238" priority="18" operator="between">
      <formula>$AO$14</formula>
      <formula>$AO$15</formula>
    </cfRule>
    <cfRule type="cellIs" dxfId="237" priority="19" operator="between">
      <formula>$AO$13</formula>
      <formula>$AO$14</formula>
    </cfRule>
    <cfRule type="cellIs" dxfId="236" priority="20" operator="between">
      <formula>$AO$12</formula>
      <formula>$AO$13</formula>
    </cfRule>
  </conditionalFormatting>
  <conditionalFormatting sqref="DX19">
    <cfRule type="cellIs" dxfId="235" priority="13" operator="between">
      <formula>$AO$15</formula>
      <formula>1000</formula>
    </cfRule>
    <cfRule type="cellIs" dxfId="234" priority="14" operator="between">
      <formula>$AO$14</formula>
      <formula>$AO$15</formula>
    </cfRule>
    <cfRule type="cellIs" dxfId="233" priority="15" operator="between">
      <formula>$AO$13</formula>
      <formula>$AO$14</formula>
    </cfRule>
    <cfRule type="cellIs" dxfId="232" priority="16" operator="between">
      <formula>$AO$12</formula>
      <formula>$AO$13</formula>
    </cfRule>
  </conditionalFormatting>
  <conditionalFormatting sqref="FF19">
    <cfRule type="cellIs" dxfId="231" priority="9" operator="between">
      <formula>$AO$15</formula>
      <formula>1000</formula>
    </cfRule>
    <cfRule type="cellIs" dxfId="230" priority="10" operator="between">
      <formula>$AO$14</formula>
      <formula>$AO$15</formula>
    </cfRule>
    <cfRule type="cellIs" dxfId="229" priority="11" operator="between">
      <formula>$AO$13</formula>
      <formula>$AO$14</formula>
    </cfRule>
    <cfRule type="cellIs" dxfId="228" priority="12" operator="between">
      <formula>$AO$12</formula>
      <formula>$AO$13</formula>
    </cfRule>
  </conditionalFormatting>
  <conditionalFormatting sqref="HV19">
    <cfRule type="cellIs" dxfId="227" priority="5" operator="between">
      <formula>$AO$15</formula>
      <formula>1000</formula>
    </cfRule>
    <cfRule type="cellIs" dxfId="226" priority="6" operator="between">
      <formula>$AO$14</formula>
      <formula>$AO$15</formula>
    </cfRule>
    <cfRule type="cellIs" dxfId="225" priority="7" operator="between">
      <formula>$AO$13</formula>
      <formula>$AO$14</formula>
    </cfRule>
    <cfRule type="cellIs" dxfId="224" priority="8" operator="between">
      <formula>$AO$12</formula>
      <formula>$AO$13</formula>
    </cfRule>
  </conditionalFormatting>
  <conditionalFormatting sqref="CL1:CL1048576 AJ1:AJ1048576">
    <cfRule type="cellIs" dxfId="223" priority="61" operator="between">
      <formula>AO$19</formula>
      <formula>1000</formula>
    </cfRule>
    <cfRule type="cellIs" dxfId="222" priority="62" operator="between">
      <formula>AO$18</formula>
      <formula>AO$19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1" priority="63" operator="between">
      <formula>EA$19</formula>
      <formula>1000</formula>
    </cfRule>
    <cfRule type="cellIs" dxfId="220" priority="64" operator="between">
      <formula>EA$18</formula>
      <formula>EA$19</formula>
    </cfRule>
  </conditionalFormatting>
  <conditionalFormatting sqref="AG1:AG1048576 AJ1:AJ1048576 AN1:AN1048576">
    <cfRule type="cellIs" dxfId="219" priority="67" operator="between">
      <formula>$AO$19</formula>
      <formula>1000</formula>
    </cfRule>
    <cfRule type="cellIs" dxfId="218" priority="68" operator="between">
      <formula>$AO$18</formula>
      <formula>$AO$19</formula>
    </cfRule>
    <cfRule type="cellIs" dxfId="217" priority="69" operator="between">
      <formula>$AO$17</formula>
      <formula>$AO$18</formula>
    </cfRule>
    <cfRule type="cellIs" dxfId="216" priority="70" operator="between">
      <formula>$AO$16</formula>
      <formula>$AO$17</formula>
    </cfRule>
  </conditionalFormatting>
  <conditionalFormatting sqref="BH1:BH1048576 BK1:BK1048576 BO1:BO1048576">
    <cfRule type="cellIs" dxfId="215" priority="71" operator="between">
      <formula>$BP$19</formula>
      <formula>1000</formula>
    </cfRule>
    <cfRule type="cellIs" dxfId="214" priority="72" operator="between">
      <formula>$BP$18</formula>
      <formula>$BP$19</formula>
    </cfRule>
    <cfRule type="cellIs" dxfId="213" priority="73" operator="between">
      <formula>$BP$17</formula>
      <formula>$BP$18</formula>
    </cfRule>
    <cfRule type="cellIs" dxfId="212" priority="74" operator="between">
      <formula>$BP$16</formula>
      <formula>$BP$17</formula>
    </cfRule>
  </conditionalFormatting>
  <conditionalFormatting sqref="CI1:CI1048576 CL1:CL1048576 CP1:CP1048576">
    <cfRule type="cellIs" dxfId="211" priority="75" operator="between">
      <formula>$CQ$19</formula>
      <formula>1000</formula>
    </cfRule>
    <cfRule type="cellIs" dxfId="210" priority="76" operator="between">
      <formula>$CQ$18</formula>
      <formula>$CQ$19</formula>
    </cfRule>
    <cfRule type="cellIs" dxfId="209" priority="77" operator="between">
      <formula>$CQ$17</formula>
      <formula>$CQ$18</formula>
    </cfRule>
    <cfRule type="cellIs" dxfId="208" priority="78" operator="between">
      <formula>$CQ$16</formula>
      <formula>$CQ$17</formula>
    </cfRule>
  </conditionalFormatting>
  <conditionalFormatting sqref="MR1:MR1048576 MU1:MU1048576 MY1:MY1048576 NB1:NB1048576">
    <cfRule type="cellIs" dxfId="207" priority="79" operator="between">
      <formula>$NE$12</formula>
      <formula>$NE$13</formula>
    </cfRule>
  </conditionalFormatting>
  <conditionalFormatting sqref="DP1:DP1048576 DS1:DS1048576 DW1:DW1048576 DZ1:DZ1048576">
    <cfRule type="cellIs" dxfId="206" priority="80" operator="between">
      <formula>$EA$19</formula>
      <formula>1000</formula>
    </cfRule>
    <cfRule type="cellIs" dxfId="205" priority="81" operator="between">
      <formula>$EA$18</formula>
      <formula>$EA$19</formula>
    </cfRule>
    <cfRule type="cellIs" dxfId="204" priority="82" operator="between">
      <formula>$EA$17</formula>
      <formula>$EA$18</formula>
    </cfRule>
    <cfRule type="cellIs" dxfId="203" priority="83" operator="between">
      <formula>$EA$16</formula>
      <formula>$EA$17</formula>
    </cfRule>
  </conditionalFormatting>
  <conditionalFormatting sqref="EX1:EX1048576 FA1:FA1048576 FE1:FE1048576 FH1:FH1048576">
    <cfRule type="cellIs" dxfId="202" priority="84" operator="between">
      <formula>$FI$19</formula>
      <formula>1000</formula>
    </cfRule>
    <cfRule type="cellIs" dxfId="201" priority="85" operator="between">
      <formula>$FI$18</formula>
      <formula>$FI$19</formula>
    </cfRule>
    <cfRule type="cellIs" dxfId="200" priority="86" operator="between">
      <formula>$FI$17</formula>
      <formula>$FI$18</formula>
    </cfRule>
    <cfRule type="cellIs" dxfId="199" priority="87" operator="between">
      <formula>$FI$16</formula>
      <formula>$FI$17</formula>
    </cfRule>
  </conditionalFormatting>
  <conditionalFormatting sqref="GN20:GN1048576 GD1:GD1048576 GG1:GG1048576 GK1:GK1048576 GN1:GN18">
    <cfRule type="cellIs" dxfId="198" priority="88" operator="between">
      <formula>$GQ$15</formula>
      <formula>1000</formula>
    </cfRule>
    <cfRule type="cellIs" dxfId="197" priority="89" operator="between">
      <formula>$GQ$14</formula>
      <formula>$GQ$15</formula>
    </cfRule>
    <cfRule type="cellIs" dxfId="196" priority="90" operator="between">
      <formula>$GQ$13</formula>
      <formula>$GQ$14</formula>
    </cfRule>
    <cfRule type="cellIs" dxfId="195" priority="91" operator="between">
      <formula>$GQ$12</formula>
      <formula>$GQ$13</formula>
    </cfRule>
  </conditionalFormatting>
  <conditionalFormatting sqref="GF1:GF1048576 GI1:GI1048576 GM1:GM1048576 GP1:GP1048576">
    <cfRule type="cellIs" dxfId="194" priority="92" operator="between">
      <formula>$GQ$19</formula>
      <formula>1000</formula>
    </cfRule>
    <cfRule type="cellIs" dxfId="193" priority="93" operator="between">
      <formula>$GQ$18</formula>
      <formula>$GQ$19</formula>
    </cfRule>
    <cfRule type="cellIs" dxfId="192" priority="94" operator="between">
      <formula>$GQ$17</formula>
      <formula>$GQ$18</formula>
    </cfRule>
    <cfRule type="cellIs" dxfId="191" priority="95" operator="between">
      <formula>$GQ$16</formula>
      <formula>$GQ$17</formula>
    </cfRule>
  </conditionalFormatting>
  <conditionalFormatting sqref="HN1:HN1048576 HQ1:HQ1048576 HU1:HU1048576 HX1:HX1048576">
    <cfRule type="cellIs" dxfId="190" priority="96" operator="between">
      <formula>$HY$19</formula>
      <formula>1000</formula>
    </cfRule>
    <cfRule type="cellIs" dxfId="189" priority="97" operator="between">
      <formula>$HY$18</formula>
      <formula>$HY$19</formula>
    </cfRule>
    <cfRule type="cellIs" dxfId="188" priority="98" operator="between">
      <formula>$HY$17</formula>
      <formula>$HY$18</formula>
    </cfRule>
    <cfRule type="cellIs" dxfId="187" priority="99" operator="between">
      <formula>$HY$16</formula>
      <formula>$HY$17</formula>
    </cfRule>
  </conditionalFormatting>
  <conditionalFormatting sqref="IT1:IT1048576 IW1:IW1048576 JA1:JA1048576 JD1:JD1048576">
    <cfRule type="cellIs" dxfId="186" priority="100" operator="between">
      <formula>$JG$15</formula>
      <formula>1000</formula>
    </cfRule>
    <cfRule type="cellIs" dxfId="185" priority="101" operator="between">
      <formula>$JG$14</formula>
      <formula>$JG$15</formula>
    </cfRule>
    <cfRule type="cellIs" dxfId="184" priority="102" operator="between">
      <formula>$JG$13</formula>
      <formula>$JG$14</formula>
    </cfRule>
    <cfRule type="cellIs" dxfId="183" priority="103" operator="between">
      <formula>$JG$12</formula>
      <formula>$JG$13</formula>
    </cfRule>
  </conditionalFormatting>
  <conditionalFormatting sqref="IV1:IV1048576 IY1:IY1048576 JC1:JC1048576 JF1:JF1048576">
    <cfRule type="cellIs" dxfId="182" priority="104" operator="between">
      <formula>$JG$19</formula>
      <formula>1000</formula>
    </cfRule>
    <cfRule type="cellIs" dxfId="181" priority="105" operator="between">
      <formula>$JG$18</formula>
      <formula>$JG$19</formula>
    </cfRule>
    <cfRule type="cellIs" dxfId="180" priority="106" operator="between">
      <formula>$JG$17</formula>
      <formula>$JG$18</formula>
    </cfRule>
    <cfRule type="cellIs" dxfId="179" priority="107" operator="between">
      <formula>$JG$16</formula>
      <formula>$JG$17</formula>
    </cfRule>
  </conditionalFormatting>
  <conditionalFormatting sqref="KB1:KB1048576 KE1:KE1048576 KI1:KI1048576 KL1:KL1048576">
    <cfRule type="cellIs" dxfId="178" priority="108" operator="between">
      <formula>$KO$15</formula>
      <formula>1000</formula>
    </cfRule>
    <cfRule type="cellIs" dxfId="177" priority="109" operator="between">
      <formula>$KO$14</formula>
      <formula>$KO$15</formula>
    </cfRule>
    <cfRule type="cellIs" dxfId="176" priority="110" operator="between">
      <formula>$KO$13</formula>
      <formula>$KO$14</formula>
    </cfRule>
    <cfRule type="cellIs" dxfId="175" priority="111" operator="between">
      <formula>$KO$12</formula>
      <formula>$KO$13</formula>
    </cfRule>
  </conditionalFormatting>
  <conditionalFormatting sqref="KD1:KD1048576 KG1:KG1048576 KK1:KK1048576 KN1:KN1048576">
    <cfRule type="cellIs" dxfId="174" priority="112" operator="between">
      <formula>$KO$19</formula>
      <formula>1000</formula>
    </cfRule>
    <cfRule type="cellIs" dxfId="173" priority="113" operator="between">
      <formula>$KO$18</formula>
      <formula>$KO$19</formula>
    </cfRule>
    <cfRule type="cellIs" dxfId="172" priority="114" operator="between">
      <formula>$KO$17</formula>
      <formula>$KO$18</formula>
    </cfRule>
    <cfRule type="cellIs" dxfId="171" priority="115" operator="between">
      <formula>$KO$16</formula>
      <formula>$KO$17</formula>
    </cfRule>
  </conditionalFormatting>
  <conditionalFormatting sqref="LJ1:LJ1048576 LM1:LM1048576 LQ1:LQ1048576 LT1:LT1048576">
    <cfRule type="cellIs" dxfId="170" priority="116" operator="between">
      <formula>$LW$15</formula>
      <formula>1000</formula>
    </cfRule>
    <cfRule type="cellIs" dxfId="169" priority="117" operator="between">
      <formula>$LW$14</formula>
      <formula>$LW$15</formula>
    </cfRule>
    <cfRule type="cellIs" dxfId="168" priority="118" operator="between">
      <formula>$LW$13</formula>
      <formula>$LW$14</formula>
    </cfRule>
    <cfRule type="cellIs" dxfId="167" priority="119" operator="between">
      <formula>$LW$12</formula>
      <formula>$LW$13</formula>
    </cfRule>
  </conditionalFormatting>
  <conditionalFormatting sqref="LL1:LL1048576 LO1:LO1048576 LS1:LS1048576 LV1:LV1048576">
    <cfRule type="cellIs" dxfId="166" priority="120" operator="between">
      <formula>$LW$19</formula>
      <formula>1000</formula>
    </cfRule>
    <cfRule type="cellIs" dxfId="165" priority="121" operator="between">
      <formula>$LW$18</formula>
      <formula>$LW$19</formula>
    </cfRule>
    <cfRule type="cellIs" dxfId="164" priority="122" operator="between">
      <formula>$LW$17</formula>
      <formula>$LW$18</formula>
    </cfRule>
    <cfRule type="cellIs" dxfId="163" priority="123" operator="between">
      <formula>$LW$16</formula>
      <formula>$LW$17</formula>
    </cfRule>
  </conditionalFormatting>
  <conditionalFormatting sqref="MR1:MR1048576 MU1:MU1048576 MY1:MY1048576">
    <cfRule type="cellIs" dxfId="162" priority="124" operator="between">
      <formula>$NE$15</formula>
      <formula>1000</formula>
    </cfRule>
    <cfRule type="cellIs" dxfId="161" priority="125" operator="between">
      <formula>$NE$14</formula>
      <formula>$NE$15</formula>
    </cfRule>
    <cfRule type="cellIs" dxfId="160" priority="126" operator="between">
      <formula>$NE$13</formula>
      <formula>$NE$14</formula>
    </cfRule>
  </conditionalFormatting>
  <conditionalFormatting sqref="MT1:MT1048576 MW1:MW1048576 NA1:NA1048576 ND1:ND1048576">
    <cfRule type="cellIs" dxfId="159" priority="127" operator="between">
      <formula>$NE$19</formula>
      <formula>1000</formula>
    </cfRule>
    <cfRule type="cellIs" dxfId="158" priority="128" operator="between">
      <formula>$NE$18</formula>
      <formula>$NE$19</formula>
    </cfRule>
    <cfRule type="cellIs" dxfId="157" priority="129" operator="between">
      <formula>$NE$17</formula>
      <formula>$NE$18</formula>
    </cfRule>
    <cfRule type="cellIs" dxfId="156" priority="130" operator="between">
      <formula>$NE$16</formula>
      <formula>$NE$17</formula>
    </cfRule>
  </conditionalFormatting>
  <conditionalFormatting sqref="NZ1:NZ1048576 OC1:OC1048576 OG1:OG1048576 OJ1:OJ1048576">
    <cfRule type="cellIs" dxfId="155" priority="131" operator="between">
      <formula>$OM$15</formula>
      <formula>1000</formula>
    </cfRule>
    <cfRule type="cellIs" dxfId="154" priority="132" operator="between">
      <formula>$OM$14</formula>
      <formula>$OM$15</formula>
    </cfRule>
    <cfRule type="cellIs" dxfId="153" priority="133" operator="between">
      <formula>$OM$13</formula>
      <formula>$OM$14</formula>
    </cfRule>
    <cfRule type="cellIs" dxfId="152" priority="134" operator="between">
      <formula>$OM$12</formula>
      <formula>$OM$13</formula>
    </cfRule>
  </conditionalFormatting>
  <conditionalFormatting sqref="OB1:OB1048576 OE1:OE1048576 OI1:OI1048576 OL1:OL1048576">
    <cfRule type="cellIs" dxfId="151" priority="135" operator="between">
      <formula>$OM$19</formula>
      <formula>1000</formula>
    </cfRule>
    <cfRule type="cellIs" dxfId="150" priority="136" operator="between">
      <formula>$OM$18</formula>
      <formula>$OM$19</formula>
    </cfRule>
    <cfRule type="cellIs" dxfId="149" priority="137" operator="between">
      <formula>$OM$17</formula>
      <formula>$OM$18</formula>
    </cfRule>
    <cfRule type="cellIs" dxfId="148" priority="138" operator="between">
      <formula>$OM$16</formula>
      <formula>$OM$17</formula>
    </cfRule>
  </conditionalFormatting>
  <conditionalFormatting sqref="PH1:PH1048576 PK1:PK1048576 PO1:PO1048576 PR1:PR1048576">
    <cfRule type="cellIs" dxfId="147" priority="139" operator="between">
      <formula>$PU$15</formula>
      <formula>1000</formula>
    </cfRule>
    <cfRule type="cellIs" dxfId="146" priority="140" operator="between">
      <formula>$PU$14</formula>
      <formula>$PU$15</formula>
    </cfRule>
    <cfRule type="cellIs" dxfId="145" priority="141" operator="between">
      <formula>$PU$13</formula>
      <formula>$PU$14</formula>
    </cfRule>
    <cfRule type="cellIs" dxfId="144" priority="142" operator="between">
      <formula>$PU$12</formula>
      <formula>$PU$13</formula>
    </cfRule>
  </conditionalFormatting>
  <conditionalFormatting sqref="PJ1:PJ1048576 PM1:PM1048576 PQ1:PQ1048576 PT1:PT1048576">
    <cfRule type="cellIs" dxfId="143" priority="143" operator="between">
      <formula>$PU$19</formula>
      <formula>1000</formula>
    </cfRule>
    <cfRule type="cellIs" dxfId="142" priority="144" operator="between">
      <formula>$PU$18</formula>
      <formula>$PU$19</formula>
    </cfRule>
    <cfRule type="cellIs" dxfId="141" priority="145" operator="between">
      <formula>$PU$17</formula>
      <formula>$PU$18</formula>
    </cfRule>
    <cfRule type="cellIs" dxfId="140" priority="146" operator="between">
      <formula>$PU$16</formula>
      <formula>$PU$17</formula>
    </cfRule>
  </conditionalFormatting>
  <conditionalFormatting sqref="QP1:QP1048576 QS1:QS1048576 QW1:QW1048576 QZ1:QZ1048576">
    <cfRule type="cellIs" dxfId="139" priority="147" operator="between">
      <formula>$RC$15</formula>
      <formula>1000</formula>
    </cfRule>
    <cfRule type="cellIs" dxfId="138" priority="148" operator="between">
      <formula>$RC$14</formula>
      <formula>$RC$15</formula>
    </cfRule>
    <cfRule type="cellIs" dxfId="137" priority="149" operator="between">
      <formula>$RC$13</formula>
      <formula>$RC$14</formula>
    </cfRule>
    <cfRule type="cellIs" dxfId="136" priority="150" operator="between">
      <formula>$RC$12</formula>
      <formula>$RC$13</formula>
    </cfRule>
  </conditionalFormatting>
  <conditionalFormatting sqref="QR1:QR1048576 QU1:QU1048576 QY1:QY1048576 RB1:RB1048576">
    <cfRule type="cellIs" dxfId="135" priority="151" operator="between">
      <formula>$RC$19</formula>
      <formula>1000</formula>
    </cfRule>
    <cfRule type="cellIs" dxfId="134" priority="152" operator="between">
      <formula>$RC$18</formula>
      <formula>$RC$19</formula>
    </cfRule>
    <cfRule type="cellIs" dxfId="133" priority="153" operator="between">
      <formula>$RC$17</formula>
      <formula>$RC$18</formula>
    </cfRule>
    <cfRule type="cellIs" dxfId="132" priority="154" operator="between">
      <formula>$RC$16</formula>
      <formula>$RC$17</formula>
    </cfRule>
  </conditionalFormatting>
  <conditionalFormatting sqref="RX1:RX1048576 SA1:SA1048576 SE1:SE1048576 SH1:SH1048576">
    <cfRule type="cellIs" dxfId="131" priority="155" operator="between">
      <formula>$SK$15</formula>
      <formula>1000</formula>
    </cfRule>
    <cfRule type="cellIs" dxfId="130" priority="156" operator="between">
      <formula>$SK$14</formula>
      <formula>$SK$15</formula>
    </cfRule>
    <cfRule type="cellIs" dxfId="129" priority="157" operator="between">
      <formula>$SK$13</formula>
      <formula>$SK$14</formula>
    </cfRule>
    <cfRule type="cellIs" dxfId="128" priority="158" operator="between">
      <formula>$SK$12</formula>
      <formula>$SK$13</formula>
    </cfRule>
  </conditionalFormatting>
  <conditionalFormatting sqref="RZ1:RZ1048576 SC1:SC1048576 SG1:SG1048576 SJ1:SJ1048576">
    <cfRule type="cellIs" dxfId="127" priority="159" operator="between">
      <formula>$SK$19</formula>
      <formula>1000</formula>
    </cfRule>
    <cfRule type="cellIs" dxfId="126" priority="160" operator="between">
      <formula>$SK$18</formula>
      <formula>$SK$19</formula>
    </cfRule>
    <cfRule type="cellIs" dxfId="125" priority="161" operator="between">
      <formula>$SK$17</formula>
      <formula>$SK$18</formula>
    </cfRule>
    <cfRule type="cellIs" dxfId="124" priority="162" operator="between">
      <formula>$SK$16</formula>
      <formula>$SK$17</formula>
    </cfRule>
  </conditionalFormatting>
  <conditionalFormatting sqref="GN19">
    <cfRule type="cellIs" dxfId="123" priority="1" operator="between">
      <formula>$AO$15</formula>
      <formula>1000</formula>
    </cfRule>
    <cfRule type="cellIs" dxfId="122" priority="2" operator="between">
      <formula>$AO$14</formula>
      <formula>$AO$15</formula>
    </cfRule>
    <cfRule type="cellIs" dxfId="121" priority="3" operator="between">
      <formula>$AO$13</formula>
      <formula>$AO$14</formula>
    </cfRule>
    <cfRule type="cellIs" dxfId="120" priority="4" operator="between">
      <formula>$AO$12</formula>
      <formula>$AO$13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7" t="s">
        <v>13</v>
      </c>
      <c r="O1" s="117" t="s">
        <v>34</v>
      </c>
      <c r="P1" s="121" t="s">
        <v>14</v>
      </c>
      <c r="Q1" s="117" t="s">
        <v>35</v>
      </c>
      <c r="R1" s="117" t="s">
        <v>34</v>
      </c>
      <c r="S1" s="114" t="s">
        <v>127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182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209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65</v>
      </c>
      <c r="CW1" s="116"/>
      <c r="CX1" s="114" t="s">
        <v>103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153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156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157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173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 t="s">
        <v>178</v>
      </c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 t="s">
        <v>179</v>
      </c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69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128</v>
      </c>
      <c r="T2" s="112"/>
      <c r="U2" s="112"/>
      <c r="V2" s="112"/>
      <c r="W2" s="112" t="s">
        <v>129</v>
      </c>
      <c r="X2" s="112"/>
      <c r="Y2" s="112"/>
      <c r="Z2" s="112"/>
      <c r="AA2" s="112" t="s">
        <v>130</v>
      </c>
      <c r="AB2" s="112"/>
      <c r="AC2" s="112"/>
      <c r="AD2" s="112"/>
      <c r="AE2" s="112" t="s">
        <v>131</v>
      </c>
      <c r="AF2" s="112"/>
      <c r="AG2" s="112"/>
      <c r="AH2" s="112"/>
      <c r="AI2" s="122" t="s">
        <v>132</v>
      </c>
      <c r="AJ2" s="122"/>
      <c r="AK2" s="122"/>
      <c r="AL2" s="122"/>
      <c r="AM2" s="88"/>
      <c r="AN2" s="88" t="s">
        <v>133</v>
      </c>
      <c r="AO2" s="88" t="s">
        <v>134</v>
      </c>
      <c r="AP2" s="88" t="s">
        <v>130</v>
      </c>
      <c r="AQ2" s="88" t="s">
        <v>71</v>
      </c>
      <c r="AR2" s="88" t="s">
        <v>135</v>
      </c>
      <c r="AS2" s="88" t="s">
        <v>18</v>
      </c>
      <c r="AT2" s="113" t="s">
        <v>128</v>
      </c>
      <c r="AU2" s="113"/>
      <c r="AV2" s="113"/>
      <c r="AW2" s="113"/>
      <c r="AX2" s="113" t="s">
        <v>129</v>
      </c>
      <c r="AY2" s="113"/>
      <c r="AZ2" s="113"/>
      <c r="BA2" s="113"/>
      <c r="BB2" s="113" t="s">
        <v>130</v>
      </c>
      <c r="BC2" s="113"/>
      <c r="BD2" s="113"/>
      <c r="BE2" s="113"/>
      <c r="BF2" s="113" t="s">
        <v>131</v>
      </c>
      <c r="BG2" s="113"/>
      <c r="BH2" s="113"/>
      <c r="BI2" s="113"/>
      <c r="BJ2" s="123" t="s">
        <v>132</v>
      </c>
      <c r="BK2" s="123"/>
      <c r="BL2" s="123"/>
      <c r="BM2" s="123"/>
      <c r="BN2" s="89"/>
      <c r="BO2" s="89" t="s">
        <v>133</v>
      </c>
      <c r="BP2" s="89" t="s">
        <v>134</v>
      </c>
      <c r="BQ2" s="89" t="s">
        <v>130</v>
      </c>
      <c r="BR2" s="89" t="s">
        <v>71</v>
      </c>
      <c r="BS2" s="89" t="s">
        <v>135</v>
      </c>
      <c r="BT2" s="89" t="s">
        <v>18</v>
      </c>
      <c r="BU2" s="112" t="s">
        <v>128</v>
      </c>
      <c r="BV2" s="112"/>
      <c r="BW2" s="112"/>
      <c r="BX2" s="112"/>
      <c r="BY2" s="112" t="s">
        <v>129</v>
      </c>
      <c r="BZ2" s="112"/>
      <c r="CA2" s="112"/>
      <c r="CB2" s="112"/>
      <c r="CC2" s="112" t="s">
        <v>130</v>
      </c>
      <c r="CD2" s="112"/>
      <c r="CE2" s="112"/>
      <c r="CF2" s="112"/>
      <c r="CG2" s="112" t="s">
        <v>131</v>
      </c>
      <c r="CH2" s="112"/>
      <c r="CI2" s="112"/>
      <c r="CJ2" s="112"/>
      <c r="CK2" s="122" t="s">
        <v>132</v>
      </c>
      <c r="CL2" s="122"/>
      <c r="CM2" s="122"/>
      <c r="CN2" s="122"/>
      <c r="CO2" s="88"/>
      <c r="CP2" s="88" t="s">
        <v>133</v>
      </c>
      <c r="CQ2" s="88" t="s">
        <v>134</v>
      </c>
      <c r="CR2" s="88" t="s">
        <v>130</v>
      </c>
      <c r="CS2" s="88" t="s">
        <v>71</v>
      </c>
      <c r="CT2" s="88" t="s">
        <v>135</v>
      </c>
      <c r="CU2" s="88" t="s">
        <v>18</v>
      </c>
      <c r="CV2" s="86" t="s">
        <v>134</v>
      </c>
      <c r="CW2" s="86" t="s">
        <v>23</v>
      </c>
      <c r="CX2" s="112" t="s">
        <v>128</v>
      </c>
      <c r="CY2" s="112"/>
      <c r="CZ2" s="112"/>
      <c r="DA2" s="112"/>
      <c r="DB2" s="112" t="s">
        <v>129</v>
      </c>
      <c r="DC2" s="112"/>
      <c r="DD2" s="112"/>
      <c r="DE2" s="112"/>
      <c r="DF2" s="112" t="s">
        <v>130</v>
      </c>
      <c r="DG2" s="112"/>
      <c r="DH2" s="112"/>
      <c r="DI2" s="112"/>
      <c r="DJ2" s="112" t="s">
        <v>131</v>
      </c>
      <c r="DK2" s="112"/>
      <c r="DL2" s="112"/>
      <c r="DM2" s="112"/>
      <c r="DN2" s="124" t="s">
        <v>132</v>
      </c>
      <c r="DO2" s="124"/>
      <c r="DP2" s="124"/>
      <c r="DQ2" s="124"/>
      <c r="DR2" s="88" t="s">
        <v>133</v>
      </c>
      <c r="DS2" s="88" t="s">
        <v>134</v>
      </c>
      <c r="DT2" s="88" t="s">
        <v>130</v>
      </c>
      <c r="DU2" s="88" t="s">
        <v>71</v>
      </c>
      <c r="DV2" s="88" t="s">
        <v>135</v>
      </c>
      <c r="DW2" s="88" t="s">
        <v>18</v>
      </c>
      <c r="DX2" s="113" t="s">
        <v>128</v>
      </c>
      <c r="DY2" s="113"/>
      <c r="DZ2" s="113"/>
      <c r="EA2" s="113"/>
      <c r="EB2" s="113" t="s">
        <v>129</v>
      </c>
      <c r="EC2" s="113"/>
      <c r="ED2" s="113"/>
      <c r="EE2" s="113"/>
      <c r="EF2" s="113" t="s">
        <v>130</v>
      </c>
      <c r="EG2" s="113"/>
      <c r="EH2" s="113"/>
      <c r="EI2" s="113"/>
      <c r="EJ2" s="113" t="s">
        <v>131</v>
      </c>
      <c r="EK2" s="113"/>
      <c r="EL2" s="113"/>
      <c r="EM2" s="113"/>
      <c r="EN2" s="123" t="s">
        <v>132</v>
      </c>
      <c r="EO2" s="123"/>
      <c r="EP2" s="123"/>
      <c r="EQ2" s="123"/>
      <c r="ER2" s="89" t="s">
        <v>133</v>
      </c>
      <c r="ES2" s="89" t="s">
        <v>134</v>
      </c>
      <c r="ET2" s="89" t="s">
        <v>130</v>
      </c>
      <c r="EU2" s="89" t="s">
        <v>71</v>
      </c>
      <c r="EV2" s="89" t="s">
        <v>135</v>
      </c>
      <c r="EW2" s="89" t="s">
        <v>18</v>
      </c>
      <c r="EX2" s="112" t="s">
        <v>128</v>
      </c>
      <c r="EY2" s="112"/>
      <c r="EZ2" s="112"/>
      <c r="FA2" s="112"/>
      <c r="FB2" s="112" t="s">
        <v>129</v>
      </c>
      <c r="FC2" s="112"/>
      <c r="FD2" s="112"/>
      <c r="FE2" s="112"/>
      <c r="FF2" s="112" t="s">
        <v>130</v>
      </c>
      <c r="FG2" s="112"/>
      <c r="FH2" s="112"/>
      <c r="FI2" s="112"/>
      <c r="FJ2" s="112" t="s">
        <v>131</v>
      </c>
      <c r="FK2" s="112"/>
      <c r="FL2" s="112"/>
      <c r="FM2" s="112"/>
      <c r="FN2" s="124" t="s">
        <v>132</v>
      </c>
      <c r="FO2" s="124"/>
      <c r="FP2" s="124"/>
      <c r="FQ2" s="124"/>
      <c r="FR2" s="88" t="s">
        <v>133</v>
      </c>
      <c r="FS2" s="88" t="s">
        <v>134</v>
      </c>
      <c r="FT2" s="88" t="s">
        <v>130</v>
      </c>
      <c r="FU2" s="88" t="s">
        <v>71</v>
      </c>
      <c r="FV2" s="88" t="s">
        <v>135</v>
      </c>
      <c r="FW2" s="88" t="s">
        <v>18</v>
      </c>
      <c r="FX2" s="113" t="s">
        <v>128</v>
      </c>
      <c r="FY2" s="113"/>
      <c r="FZ2" s="113"/>
      <c r="GA2" s="113"/>
      <c r="GB2" s="113" t="s">
        <v>129</v>
      </c>
      <c r="GC2" s="113"/>
      <c r="GD2" s="113"/>
      <c r="GE2" s="113"/>
      <c r="GF2" s="113" t="s">
        <v>130</v>
      </c>
      <c r="GG2" s="113"/>
      <c r="GH2" s="113"/>
      <c r="GI2" s="113"/>
      <c r="GJ2" s="113" t="s">
        <v>131</v>
      </c>
      <c r="GK2" s="113"/>
      <c r="GL2" s="113"/>
      <c r="GM2" s="113"/>
      <c r="GN2" s="123" t="s">
        <v>132</v>
      </c>
      <c r="GO2" s="123"/>
      <c r="GP2" s="123"/>
      <c r="GQ2" s="123"/>
      <c r="GR2" s="89" t="s">
        <v>133</v>
      </c>
      <c r="GS2" s="89" t="s">
        <v>134</v>
      </c>
      <c r="GT2" s="89" t="s">
        <v>130</v>
      </c>
      <c r="GU2" s="89" t="s">
        <v>71</v>
      </c>
      <c r="GV2" s="89" t="s">
        <v>135</v>
      </c>
      <c r="GW2" s="89" t="s">
        <v>18</v>
      </c>
      <c r="GX2" s="112" t="s">
        <v>128</v>
      </c>
      <c r="GY2" s="112"/>
      <c r="GZ2" s="112"/>
      <c r="HA2" s="112"/>
      <c r="HB2" s="112" t="s">
        <v>129</v>
      </c>
      <c r="HC2" s="112"/>
      <c r="HD2" s="112"/>
      <c r="HE2" s="112"/>
      <c r="HF2" s="112" t="s">
        <v>130</v>
      </c>
      <c r="HG2" s="112"/>
      <c r="HH2" s="112"/>
      <c r="HI2" s="112"/>
      <c r="HJ2" s="112" t="s">
        <v>131</v>
      </c>
      <c r="HK2" s="112"/>
      <c r="HL2" s="112"/>
      <c r="HM2" s="112"/>
      <c r="HN2" s="124" t="s">
        <v>132</v>
      </c>
      <c r="HO2" s="124"/>
      <c r="HP2" s="124"/>
      <c r="HQ2" s="124"/>
      <c r="HR2" s="88" t="s">
        <v>133</v>
      </c>
      <c r="HS2" s="88" t="s">
        <v>134</v>
      </c>
      <c r="HT2" s="88" t="s">
        <v>130</v>
      </c>
      <c r="HU2" s="88" t="s">
        <v>71</v>
      </c>
      <c r="HV2" s="88" t="s">
        <v>135</v>
      </c>
      <c r="HW2" s="88" t="s">
        <v>18</v>
      </c>
      <c r="HX2" s="113" t="s">
        <v>128</v>
      </c>
      <c r="HY2" s="113"/>
      <c r="HZ2" s="113"/>
      <c r="IA2" s="113"/>
      <c r="IB2" s="113" t="s">
        <v>129</v>
      </c>
      <c r="IC2" s="113"/>
      <c r="ID2" s="113"/>
      <c r="IE2" s="113"/>
      <c r="IF2" s="113" t="s">
        <v>130</v>
      </c>
      <c r="IG2" s="113"/>
      <c r="IH2" s="113"/>
      <c r="II2" s="113"/>
      <c r="IJ2" s="113" t="s">
        <v>131</v>
      </c>
      <c r="IK2" s="113"/>
      <c r="IL2" s="113"/>
      <c r="IM2" s="113"/>
      <c r="IN2" s="123" t="s">
        <v>132</v>
      </c>
      <c r="IO2" s="123"/>
      <c r="IP2" s="123"/>
      <c r="IQ2" s="123"/>
      <c r="IR2" s="89" t="s">
        <v>133</v>
      </c>
      <c r="IS2" s="89" t="s">
        <v>134</v>
      </c>
      <c r="IT2" s="89" t="s">
        <v>130</v>
      </c>
      <c r="IU2" s="89" t="s">
        <v>71</v>
      </c>
      <c r="IV2" s="89" t="s">
        <v>135</v>
      </c>
      <c r="IW2" s="89" t="s">
        <v>18</v>
      </c>
      <c r="IX2" s="112" t="s">
        <v>128</v>
      </c>
      <c r="IY2" s="112"/>
      <c r="IZ2" s="112"/>
      <c r="JA2" s="112"/>
      <c r="JB2" s="112" t="s">
        <v>129</v>
      </c>
      <c r="JC2" s="112"/>
      <c r="JD2" s="112"/>
      <c r="JE2" s="112"/>
      <c r="JF2" s="112" t="s">
        <v>130</v>
      </c>
      <c r="JG2" s="112"/>
      <c r="JH2" s="112"/>
      <c r="JI2" s="112"/>
      <c r="JJ2" s="112" t="s">
        <v>131</v>
      </c>
      <c r="JK2" s="112"/>
      <c r="JL2" s="112"/>
      <c r="JM2" s="112"/>
      <c r="JN2" s="124" t="s">
        <v>132</v>
      </c>
      <c r="JO2" s="124"/>
      <c r="JP2" s="124"/>
      <c r="JQ2" s="124"/>
      <c r="JR2" s="88" t="s">
        <v>133</v>
      </c>
      <c r="JS2" s="88" t="s">
        <v>134</v>
      </c>
      <c r="JT2" s="88" t="s">
        <v>130</v>
      </c>
      <c r="JU2" s="88" t="s">
        <v>71</v>
      </c>
      <c r="JV2" s="88" t="s">
        <v>135</v>
      </c>
      <c r="JW2" s="88" t="s">
        <v>18</v>
      </c>
      <c r="JX2" s="113" t="s">
        <v>128</v>
      </c>
      <c r="JY2" s="113"/>
      <c r="JZ2" s="113"/>
      <c r="KA2" s="113"/>
      <c r="KB2" s="113" t="s">
        <v>129</v>
      </c>
      <c r="KC2" s="113"/>
      <c r="KD2" s="113"/>
      <c r="KE2" s="113"/>
      <c r="KF2" s="113" t="s">
        <v>130</v>
      </c>
      <c r="KG2" s="113"/>
      <c r="KH2" s="113"/>
      <c r="KI2" s="113"/>
      <c r="KJ2" s="113" t="s">
        <v>131</v>
      </c>
      <c r="KK2" s="113"/>
      <c r="KL2" s="113"/>
      <c r="KM2" s="113"/>
      <c r="KN2" s="123" t="s">
        <v>132</v>
      </c>
      <c r="KO2" s="123"/>
      <c r="KP2" s="123"/>
      <c r="KQ2" s="123"/>
      <c r="KR2" s="89" t="s">
        <v>133</v>
      </c>
      <c r="KS2" s="89" t="s">
        <v>134</v>
      </c>
      <c r="KT2" s="89" t="s">
        <v>130</v>
      </c>
      <c r="KU2" s="89" t="s">
        <v>71</v>
      </c>
      <c r="KV2" s="89" t="s">
        <v>135</v>
      </c>
      <c r="KW2" s="89" t="s">
        <v>18</v>
      </c>
      <c r="KX2" s="112" t="s">
        <v>128</v>
      </c>
      <c r="KY2" s="112"/>
      <c r="KZ2" s="112"/>
      <c r="LA2" s="112"/>
      <c r="LB2" s="112" t="s">
        <v>129</v>
      </c>
      <c r="LC2" s="112"/>
      <c r="LD2" s="112"/>
      <c r="LE2" s="112"/>
      <c r="LF2" s="112" t="s">
        <v>130</v>
      </c>
      <c r="LG2" s="112"/>
      <c r="LH2" s="112"/>
      <c r="LI2" s="112"/>
      <c r="LJ2" s="112" t="s">
        <v>131</v>
      </c>
      <c r="LK2" s="112"/>
      <c r="LL2" s="112"/>
      <c r="LM2" s="112"/>
      <c r="LN2" s="124" t="s">
        <v>132</v>
      </c>
      <c r="LO2" s="124"/>
      <c r="LP2" s="124"/>
      <c r="LQ2" s="124"/>
      <c r="LR2" s="88" t="s">
        <v>133</v>
      </c>
      <c r="LS2" s="88" t="s">
        <v>134</v>
      </c>
      <c r="LT2" s="88" t="s">
        <v>130</v>
      </c>
      <c r="LU2" s="88" t="s">
        <v>71</v>
      </c>
      <c r="LV2" s="88" t="s">
        <v>135</v>
      </c>
      <c r="LW2" s="88" t="s">
        <v>18</v>
      </c>
      <c r="LX2" s="113" t="s">
        <v>128</v>
      </c>
      <c r="LY2" s="113"/>
      <c r="LZ2" s="113"/>
      <c r="MA2" s="113"/>
      <c r="MB2" s="113" t="s">
        <v>129</v>
      </c>
      <c r="MC2" s="113"/>
      <c r="MD2" s="113"/>
      <c r="ME2" s="113"/>
      <c r="MF2" s="113" t="s">
        <v>130</v>
      </c>
      <c r="MG2" s="113"/>
      <c r="MH2" s="113"/>
      <c r="MI2" s="113"/>
      <c r="MJ2" s="113" t="s">
        <v>131</v>
      </c>
      <c r="MK2" s="113"/>
      <c r="ML2" s="113"/>
      <c r="MM2" s="113"/>
      <c r="MN2" s="123" t="s">
        <v>132</v>
      </c>
      <c r="MO2" s="123"/>
      <c r="MP2" s="123"/>
      <c r="MQ2" s="123"/>
      <c r="MR2" s="89" t="s">
        <v>133</v>
      </c>
      <c r="MS2" s="89" t="s">
        <v>134</v>
      </c>
      <c r="MT2" s="89" t="s">
        <v>130</v>
      </c>
      <c r="MU2" s="89" t="s">
        <v>71</v>
      </c>
      <c r="MV2" s="89" t="s">
        <v>135</v>
      </c>
      <c r="MW2" s="89" t="s">
        <v>18</v>
      </c>
      <c r="MX2" s="112" t="s">
        <v>128</v>
      </c>
      <c r="MY2" s="112"/>
      <c r="MZ2" s="112"/>
      <c r="NA2" s="112"/>
      <c r="NB2" s="112" t="s">
        <v>129</v>
      </c>
      <c r="NC2" s="112"/>
      <c r="ND2" s="112"/>
      <c r="NE2" s="112"/>
      <c r="NF2" s="112" t="s">
        <v>130</v>
      </c>
      <c r="NG2" s="112"/>
      <c r="NH2" s="112"/>
      <c r="NI2" s="112"/>
      <c r="NJ2" s="112" t="s">
        <v>131</v>
      </c>
      <c r="NK2" s="112"/>
      <c r="NL2" s="112"/>
      <c r="NM2" s="112"/>
      <c r="NN2" s="124" t="s">
        <v>132</v>
      </c>
      <c r="NO2" s="124"/>
      <c r="NP2" s="124"/>
      <c r="NQ2" s="124"/>
      <c r="NR2" s="88" t="s">
        <v>133</v>
      </c>
      <c r="NS2" s="88" t="s">
        <v>134</v>
      </c>
      <c r="NT2" s="88" t="s">
        <v>130</v>
      </c>
      <c r="NU2" s="88" t="s">
        <v>71</v>
      </c>
      <c r="NV2" s="88" t="s">
        <v>135</v>
      </c>
      <c r="NW2" s="88" t="s">
        <v>18</v>
      </c>
      <c r="NX2" s="113" t="s">
        <v>128</v>
      </c>
      <c r="NY2" s="113"/>
      <c r="NZ2" s="113"/>
      <c r="OA2" s="113"/>
      <c r="OB2" s="113" t="s">
        <v>129</v>
      </c>
      <c r="OC2" s="113"/>
      <c r="OD2" s="113"/>
      <c r="OE2" s="113"/>
      <c r="OF2" s="113" t="s">
        <v>130</v>
      </c>
      <c r="OG2" s="113"/>
      <c r="OH2" s="113"/>
      <c r="OI2" s="113"/>
      <c r="OJ2" s="113" t="s">
        <v>131</v>
      </c>
      <c r="OK2" s="113"/>
      <c r="OL2" s="113"/>
      <c r="OM2" s="113"/>
      <c r="ON2" s="123" t="s">
        <v>132</v>
      </c>
      <c r="OO2" s="123"/>
      <c r="OP2" s="123"/>
      <c r="OQ2" s="123"/>
      <c r="OR2" s="89" t="s">
        <v>133</v>
      </c>
      <c r="OS2" s="89" t="s">
        <v>134</v>
      </c>
      <c r="OT2" s="89" t="s">
        <v>130</v>
      </c>
      <c r="OU2" s="89" t="s">
        <v>71</v>
      </c>
      <c r="OV2" s="89" t="s">
        <v>135</v>
      </c>
      <c r="OW2" s="89" t="s">
        <v>18</v>
      </c>
      <c r="OX2" s="112" t="s">
        <v>128</v>
      </c>
      <c r="OY2" s="112"/>
      <c r="OZ2" s="112"/>
      <c r="PA2" s="112"/>
      <c r="PB2" s="112" t="s">
        <v>129</v>
      </c>
      <c r="PC2" s="112"/>
      <c r="PD2" s="112"/>
      <c r="PE2" s="112"/>
      <c r="PF2" s="112" t="s">
        <v>130</v>
      </c>
      <c r="PG2" s="112"/>
      <c r="PH2" s="112"/>
      <c r="PI2" s="112"/>
      <c r="PJ2" s="112" t="s">
        <v>131</v>
      </c>
      <c r="PK2" s="112"/>
      <c r="PL2" s="112"/>
      <c r="PM2" s="112"/>
      <c r="PN2" s="122" t="s">
        <v>132</v>
      </c>
      <c r="PO2" s="122"/>
      <c r="PP2" s="122"/>
      <c r="PQ2" s="122"/>
      <c r="PR2" s="88"/>
      <c r="PS2" s="88" t="s">
        <v>133</v>
      </c>
      <c r="PT2" s="88" t="s">
        <v>134</v>
      </c>
      <c r="PU2" s="88" t="s">
        <v>130</v>
      </c>
      <c r="PV2" s="88" t="s">
        <v>71</v>
      </c>
      <c r="PW2" s="88" t="s">
        <v>135</v>
      </c>
      <c r="PX2" s="88" t="s">
        <v>18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88" t="s">
        <v>15</v>
      </c>
      <c r="T3" s="88" t="s">
        <v>10</v>
      </c>
      <c r="U3" s="88" t="s">
        <v>31</v>
      </c>
      <c r="V3" s="88" t="s">
        <v>32</v>
      </c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90" t="s">
        <v>15</v>
      </c>
      <c r="AJ3" s="90" t="s">
        <v>10</v>
      </c>
      <c r="AK3" s="90" t="s">
        <v>31</v>
      </c>
      <c r="AL3" s="90" t="s">
        <v>32</v>
      </c>
      <c r="AM3" s="88" t="s">
        <v>57</v>
      </c>
      <c r="AN3" s="88"/>
      <c r="AO3" s="88"/>
      <c r="AP3" s="88"/>
      <c r="AQ3" s="88"/>
      <c r="AR3" s="88"/>
      <c r="AS3" s="88"/>
      <c r="AT3" s="89" t="s">
        <v>15</v>
      </c>
      <c r="AU3" s="89" t="s">
        <v>10</v>
      </c>
      <c r="AV3" s="89" t="s">
        <v>31</v>
      </c>
      <c r="AW3" s="89" t="s">
        <v>32</v>
      </c>
      <c r="AX3" s="89" t="s">
        <v>15</v>
      </c>
      <c r="AY3" s="89" t="s">
        <v>10</v>
      </c>
      <c r="AZ3" s="89" t="s">
        <v>31</v>
      </c>
      <c r="BA3" s="89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89" t="s">
        <v>15</v>
      </c>
      <c r="BG3" s="89" t="s">
        <v>10</v>
      </c>
      <c r="BH3" s="89" t="s">
        <v>31</v>
      </c>
      <c r="BI3" s="89" t="s">
        <v>32</v>
      </c>
      <c r="BJ3" s="91" t="s">
        <v>15</v>
      </c>
      <c r="BK3" s="91" t="s">
        <v>10</v>
      </c>
      <c r="BL3" s="91" t="s">
        <v>31</v>
      </c>
      <c r="BM3" s="91" t="s">
        <v>32</v>
      </c>
      <c r="BN3" s="89" t="s">
        <v>57</v>
      </c>
      <c r="BO3" s="89"/>
      <c r="BP3" s="89"/>
      <c r="BQ3" s="89"/>
      <c r="BR3" s="89"/>
      <c r="BS3" s="89"/>
      <c r="BT3" s="89"/>
      <c r="BU3" s="88" t="s">
        <v>15</v>
      </c>
      <c r="BV3" s="88" t="s">
        <v>10</v>
      </c>
      <c r="BW3" s="88" t="s">
        <v>31</v>
      </c>
      <c r="BX3" s="88" t="s">
        <v>32</v>
      </c>
      <c r="BY3" s="88" t="s">
        <v>15</v>
      </c>
      <c r="BZ3" s="88" t="s">
        <v>10</v>
      </c>
      <c r="CA3" s="88" t="s">
        <v>31</v>
      </c>
      <c r="CB3" s="88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90" t="s">
        <v>15</v>
      </c>
      <c r="CL3" s="90" t="s">
        <v>10</v>
      </c>
      <c r="CM3" s="90" t="s">
        <v>31</v>
      </c>
      <c r="CN3" s="90" t="s">
        <v>32</v>
      </c>
      <c r="CO3" s="88" t="s">
        <v>57</v>
      </c>
      <c r="CP3" s="88"/>
      <c r="CQ3" s="88"/>
      <c r="CR3" s="88"/>
      <c r="CS3" s="88"/>
      <c r="CT3" s="88"/>
      <c r="CU3" s="88"/>
      <c r="CV3" s="86"/>
      <c r="CW3" s="86"/>
      <c r="CX3" s="88" t="s">
        <v>15</v>
      </c>
      <c r="CY3" s="88" t="s">
        <v>10</v>
      </c>
      <c r="CZ3" s="88" t="s">
        <v>31</v>
      </c>
      <c r="DA3" s="88" t="s">
        <v>32</v>
      </c>
      <c r="DB3" s="88" t="s">
        <v>15</v>
      </c>
      <c r="DC3" s="88" t="s">
        <v>10</v>
      </c>
      <c r="DD3" s="88" t="s">
        <v>31</v>
      </c>
      <c r="DE3" s="88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88" t="s">
        <v>15</v>
      </c>
      <c r="DK3" s="88" t="s">
        <v>10</v>
      </c>
      <c r="DL3" s="88" t="s">
        <v>31</v>
      </c>
      <c r="DM3" s="88" t="s">
        <v>32</v>
      </c>
      <c r="DN3" s="92" t="s">
        <v>15</v>
      </c>
      <c r="DO3" s="92" t="s">
        <v>10</v>
      </c>
      <c r="DP3" s="92" t="s">
        <v>31</v>
      </c>
      <c r="DQ3" s="92" t="s">
        <v>32</v>
      </c>
      <c r="DR3" s="88"/>
      <c r="DS3" s="88"/>
      <c r="DT3" s="88"/>
      <c r="DU3" s="88"/>
      <c r="DV3" s="88"/>
      <c r="DW3" s="88"/>
      <c r="DX3" s="89" t="s">
        <v>15</v>
      </c>
      <c r="DY3" s="89" t="s">
        <v>10</v>
      </c>
      <c r="DZ3" s="89" t="s">
        <v>31</v>
      </c>
      <c r="EA3" s="89" t="s">
        <v>32</v>
      </c>
      <c r="EB3" s="89" t="s">
        <v>15</v>
      </c>
      <c r="EC3" s="89" t="s">
        <v>10</v>
      </c>
      <c r="ED3" s="89" t="s">
        <v>31</v>
      </c>
      <c r="EE3" s="89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89" t="s">
        <v>15</v>
      </c>
      <c r="EK3" s="89" t="s">
        <v>10</v>
      </c>
      <c r="EL3" s="89" t="s">
        <v>31</v>
      </c>
      <c r="EM3" s="89" t="s">
        <v>32</v>
      </c>
      <c r="EN3" s="91" t="s">
        <v>15</v>
      </c>
      <c r="EO3" s="91" t="s">
        <v>10</v>
      </c>
      <c r="EP3" s="91" t="s">
        <v>31</v>
      </c>
      <c r="EQ3" s="91" t="s">
        <v>32</v>
      </c>
      <c r="ER3" s="89"/>
      <c r="ES3" s="89"/>
      <c r="ET3" s="89"/>
      <c r="EU3" s="89"/>
      <c r="EV3" s="89"/>
      <c r="EW3" s="89"/>
      <c r="EX3" s="88" t="s">
        <v>15</v>
      </c>
      <c r="EY3" s="88" t="s">
        <v>10</v>
      </c>
      <c r="EZ3" s="88" t="s">
        <v>31</v>
      </c>
      <c r="FA3" s="88" t="s">
        <v>32</v>
      </c>
      <c r="FB3" s="88" t="s">
        <v>15</v>
      </c>
      <c r="FC3" s="88" t="s">
        <v>10</v>
      </c>
      <c r="FD3" s="88" t="s">
        <v>31</v>
      </c>
      <c r="FE3" s="88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88" t="s">
        <v>15</v>
      </c>
      <c r="FK3" s="88" t="s">
        <v>10</v>
      </c>
      <c r="FL3" s="88" t="s">
        <v>31</v>
      </c>
      <c r="FM3" s="88" t="s">
        <v>32</v>
      </c>
      <c r="FN3" s="92" t="s">
        <v>15</v>
      </c>
      <c r="FO3" s="92" t="s">
        <v>10</v>
      </c>
      <c r="FP3" s="92" t="s">
        <v>31</v>
      </c>
      <c r="FQ3" s="92" t="s">
        <v>32</v>
      </c>
      <c r="FR3" s="88"/>
      <c r="FS3" s="88"/>
      <c r="FT3" s="88"/>
      <c r="FU3" s="88"/>
      <c r="FV3" s="88"/>
      <c r="FW3" s="88"/>
      <c r="FX3" s="89" t="s">
        <v>15</v>
      </c>
      <c r="FY3" s="89" t="s">
        <v>10</v>
      </c>
      <c r="FZ3" s="89" t="s">
        <v>31</v>
      </c>
      <c r="GA3" s="89" t="s">
        <v>32</v>
      </c>
      <c r="GB3" s="89" t="s">
        <v>15</v>
      </c>
      <c r="GC3" s="89" t="s">
        <v>10</v>
      </c>
      <c r="GD3" s="89" t="s">
        <v>31</v>
      </c>
      <c r="GE3" s="8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89" t="s">
        <v>15</v>
      </c>
      <c r="GK3" s="89" t="s">
        <v>10</v>
      </c>
      <c r="GL3" s="89" t="s">
        <v>31</v>
      </c>
      <c r="GM3" s="89" t="s">
        <v>32</v>
      </c>
      <c r="GN3" s="91" t="s">
        <v>15</v>
      </c>
      <c r="GO3" s="91" t="s">
        <v>10</v>
      </c>
      <c r="GP3" s="91" t="s">
        <v>31</v>
      </c>
      <c r="GQ3" s="91" t="s">
        <v>32</v>
      </c>
      <c r="GR3" s="89"/>
      <c r="GS3" s="89"/>
      <c r="GT3" s="89"/>
      <c r="GU3" s="89"/>
      <c r="GV3" s="89"/>
      <c r="GW3" s="89"/>
      <c r="GX3" s="88" t="s">
        <v>15</v>
      </c>
      <c r="GY3" s="88" t="s">
        <v>10</v>
      </c>
      <c r="GZ3" s="88" t="s">
        <v>31</v>
      </c>
      <c r="HA3" s="88" t="s">
        <v>32</v>
      </c>
      <c r="HB3" s="88" t="s">
        <v>15</v>
      </c>
      <c r="HC3" s="88" t="s">
        <v>10</v>
      </c>
      <c r="HD3" s="88" t="s">
        <v>31</v>
      </c>
      <c r="HE3" s="88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88" t="s">
        <v>15</v>
      </c>
      <c r="HK3" s="88" t="s">
        <v>10</v>
      </c>
      <c r="HL3" s="88" t="s">
        <v>31</v>
      </c>
      <c r="HM3" s="88" t="s">
        <v>32</v>
      </c>
      <c r="HN3" s="92" t="s">
        <v>15</v>
      </c>
      <c r="HO3" s="92" t="s">
        <v>10</v>
      </c>
      <c r="HP3" s="92" t="s">
        <v>31</v>
      </c>
      <c r="HQ3" s="92" t="s">
        <v>32</v>
      </c>
      <c r="HR3" s="88"/>
      <c r="HS3" s="88"/>
      <c r="HT3" s="88"/>
      <c r="HU3" s="88"/>
      <c r="HV3" s="88"/>
      <c r="HW3" s="88"/>
      <c r="HX3" s="89" t="s">
        <v>15</v>
      </c>
      <c r="HY3" s="89" t="s">
        <v>10</v>
      </c>
      <c r="HZ3" s="89" t="s">
        <v>31</v>
      </c>
      <c r="IA3" s="89" t="s">
        <v>32</v>
      </c>
      <c r="IB3" s="89" t="s">
        <v>15</v>
      </c>
      <c r="IC3" s="89" t="s">
        <v>10</v>
      </c>
      <c r="ID3" s="89" t="s">
        <v>31</v>
      </c>
      <c r="IE3" s="8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89" t="s">
        <v>15</v>
      </c>
      <c r="IK3" s="89" t="s">
        <v>10</v>
      </c>
      <c r="IL3" s="89" t="s">
        <v>31</v>
      </c>
      <c r="IM3" s="89" t="s">
        <v>32</v>
      </c>
      <c r="IN3" s="91" t="s">
        <v>15</v>
      </c>
      <c r="IO3" s="91" t="s">
        <v>10</v>
      </c>
      <c r="IP3" s="91" t="s">
        <v>31</v>
      </c>
      <c r="IQ3" s="91" t="s">
        <v>32</v>
      </c>
      <c r="IR3" s="89"/>
      <c r="IS3" s="89"/>
      <c r="IT3" s="89"/>
      <c r="IU3" s="89"/>
      <c r="IV3" s="89"/>
      <c r="IW3" s="89"/>
      <c r="IX3" s="88" t="s">
        <v>15</v>
      </c>
      <c r="IY3" s="88" t="s">
        <v>10</v>
      </c>
      <c r="IZ3" s="88" t="s">
        <v>31</v>
      </c>
      <c r="JA3" s="88" t="s">
        <v>32</v>
      </c>
      <c r="JB3" s="88" t="s">
        <v>15</v>
      </c>
      <c r="JC3" s="88" t="s">
        <v>10</v>
      </c>
      <c r="JD3" s="88" t="s">
        <v>31</v>
      </c>
      <c r="JE3" s="88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88" t="s">
        <v>15</v>
      </c>
      <c r="JK3" s="88" t="s">
        <v>10</v>
      </c>
      <c r="JL3" s="88" t="s">
        <v>31</v>
      </c>
      <c r="JM3" s="88" t="s">
        <v>32</v>
      </c>
      <c r="JN3" s="92" t="s">
        <v>15</v>
      </c>
      <c r="JO3" s="92" t="s">
        <v>10</v>
      </c>
      <c r="JP3" s="92" t="s">
        <v>31</v>
      </c>
      <c r="JQ3" s="92" t="s">
        <v>32</v>
      </c>
      <c r="JR3" s="88"/>
      <c r="JS3" s="88"/>
      <c r="JT3" s="88"/>
      <c r="JU3" s="88"/>
      <c r="JV3" s="88"/>
      <c r="JW3" s="88"/>
      <c r="JX3" s="89" t="s">
        <v>15</v>
      </c>
      <c r="JY3" s="89" t="s">
        <v>10</v>
      </c>
      <c r="JZ3" s="89" t="s">
        <v>31</v>
      </c>
      <c r="KA3" s="89" t="s">
        <v>32</v>
      </c>
      <c r="KB3" s="89" t="s">
        <v>15</v>
      </c>
      <c r="KC3" s="89" t="s">
        <v>10</v>
      </c>
      <c r="KD3" s="89" t="s">
        <v>31</v>
      </c>
      <c r="KE3" s="8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89" t="s">
        <v>15</v>
      </c>
      <c r="KK3" s="89" t="s">
        <v>10</v>
      </c>
      <c r="KL3" s="89" t="s">
        <v>31</v>
      </c>
      <c r="KM3" s="89" t="s">
        <v>32</v>
      </c>
      <c r="KN3" s="91" t="s">
        <v>15</v>
      </c>
      <c r="KO3" s="91" t="s">
        <v>10</v>
      </c>
      <c r="KP3" s="91" t="s">
        <v>31</v>
      </c>
      <c r="KQ3" s="91" t="s">
        <v>32</v>
      </c>
      <c r="KR3" s="89"/>
      <c r="KS3" s="89"/>
      <c r="KT3" s="89"/>
      <c r="KU3" s="89"/>
      <c r="KV3" s="89"/>
      <c r="KW3" s="89"/>
      <c r="KX3" s="88" t="s">
        <v>15</v>
      </c>
      <c r="KY3" s="88" t="s">
        <v>10</v>
      </c>
      <c r="KZ3" s="88" t="s">
        <v>31</v>
      </c>
      <c r="LA3" s="88" t="s">
        <v>32</v>
      </c>
      <c r="LB3" s="88" t="s">
        <v>15</v>
      </c>
      <c r="LC3" s="88" t="s">
        <v>10</v>
      </c>
      <c r="LD3" s="88" t="s">
        <v>31</v>
      </c>
      <c r="LE3" s="88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88" t="s">
        <v>15</v>
      </c>
      <c r="LK3" s="88" t="s">
        <v>10</v>
      </c>
      <c r="LL3" s="88" t="s">
        <v>31</v>
      </c>
      <c r="LM3" s="88" t="s">
        <v>32</v>
      </c>
      <c r="LN3" s="92" t="s">
        <v>15</v>
      </c>
      <c r="LO3" s="92" t="s">
        <v>10</v>
      </c>
      <c r="LP3" s="92" t="s">
        <v>31</v>
      </c>
      <c r="LQ3" s="92" t="s">
        <v>32</v>
      </c>
      <c r="LR3" s="88"/>
      <c r="LS3" s="88"/>
      <c r="LT3" s="88"/>
      <c r="LU3" s="88"/>
      <c r="LV3" s="88"/>
      <c r="LW3" s="88"/>
      <c r="LX3" s="89" t="s">
        <v>15</v>
      </c>
      <c r="LY3" s="89" t="s">
        <v>10</v>
      </c>
      <c r="LZ3" s="89" t="s">
        <v>31</v>
      </c>
      <c r="MA3" s="89" t="s">
        <v>32</v>
      </c>
      <c r="MB3" s="89" t="s">
        <v>15</v>
      </c>
      <c r="MC3" s="89" t="s">
        <v>10</v>
      </c>
      <c r="MD3" s="89" t="s">
        <v>31</v>
      </c>
      <c r="ME3" s="8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89" t="s">
        <v>15</v>
      </c>
      <c r="MK3" s="89" t="s">
        <v>10</v>
      </c>
      <c r="ML3" s="89" t="s">
        <v>31</v>
      </c>
      <c r="MM3" s="89" t="s">
        <v>32</v>
      </c>
      <c r="MN3" s="91" t="s">
        <v>15</v>
      </c>
      <c r="MO3" s="91" t="s">
        <v>10</v>
      </c>
      <c r="MP3" s="91" t="s">
        <v>31</v>
      </c>
      <c r="MQ3" s="91" t="s">
        <v>32</v>
      </c>
      <c r="MR3" s="89"/>
      <c r="MS3" s="89"/>
      <c r="MT3" s="89"/>
      <c r="MU3" s="89"/>
      <c r="MV3" s="89"/>
      <c r="MW3" s="89"/>
      <c r="MX3" s="88" t="s">
        <v>15</v>
      </c>
      <c r="MY3" s="88" t="s">
        <v>10</v>
      </c>
      <c r="MZ3" s="88" t="s">
        <v>31</v>
      </c>
      <c r="NA3" s="88" t="s">
        <v>32</v>
      </c>
      <c r="NB3" s="88" t="s">
        <v>15</v>
      </c>
      <c r="NC3" s="88" t="s">
        <v>10</v>
      </c>
      <c r="ND3" s="88" t="s">
        <v>31</v>
      </c>
      <c r="NE3" s="88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88" t="s">
        <v>15</v>
      </c>
      <c r="NK3" s="88" t="s">
        <v>10</v>
      </c>
      <c r="NL3" s="88" t="s">
        <v>31</v>
      </c>
      <c r="NM3" s="88" t="s">
        <v>32</v>
      </c>
      <c r="NN3" s="92" t="s">
        <v>15</v>
      </c>
      <c r="NO3" s="92" t="s">
        <v>10</v>
      </c>
      <c r="NP3" s="92" t="s">
        <v>31</v>
      </c>
      <c r="NQ3" s="92" t="s">
        <v>32</v>
      </c>
      <c r="NR3" s="88"/>
      <c r="NS3" s="88"/>
      <c r="NT3" s="88"/>
      <c r="NU3" s="88"/>
      <c r="NV3" s="88"/>
      <c r="NW3" s="88"/>
      <c r="NX3" s="89" t="s">
        <v>15</v>
      </c>
      <c r="NY3" s="89" t="s">
        <v>10</v>
      </c>
      <c r="NZ3" s="89" t="s">
        <v>31</v>
      </c>
      <c r="OA3" s="89" t="s">
        <v>32</v>
      </c>
      <c r="OB3" s="89" t="s">
        <v>15</v>
      </c>
      <c r="OC3" s="89" t="s">
        <v>10</v>
      </c>
      <c r="OD3" s="89" t="s">
        <v>31</v>
      </c>
      <c r="OE3" s="8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89" t="s">
        <v>15</v>
      </c>
      <c r="OK3" s="89" t="s">
        <v>10</v>
      </c>
      <c r="OL3" s="89" t="s">
        <v>31</v>
      </c>
      <c r="OM3" s="89" t="s">
        <v>32</v>
      </c>
      <c r="ON3" s="91" t="s">
        <v>15</v>
      </c>
      <c r="OO3" s="91" t="s">
        <v>10</v>
      </c>
      <c r="OP3" s="91" t="s">
        <v>31</v>
      </c>
      <c r="OQ3" s="91" t="s">
        <v>32</v>
      </c>
      <c r="OR3" s="89"/>
      <c r="OS3" s="89"/>
      <c r="OT3" s="89"/>
      <c r="OU3" s="89"/>
      <c r="OV3" s="89"/>
      <c r="OW3" s="89"/>
      <c r="OX3" s="88" t="s">
        <v>15</v>
      </c>
      <c r="OY3" s="88" t="s">
        <v>10</v>
      </c>
      <c r="OZ3" s="88" t="s">
        <v>31</v>
      </c>
      <c r="PA3" s="88" t="s">
        <v>32</v>
      </c>
      <c r="PB3" s="88" t="s">
        <v>15</v>
      </c>
      <c r="PC3" s="88" t="s">
        <v>10</v>
      </c>
      <c r="PD3" s="88" t="s">
        <v>31</v>
      </c>
      <c r="PE3" s="88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88" t="s">
        <v>15</v>
      </c>
      <c r="PK3" s="88" t="s">
        <v>10</v>
      </c>
      <c r="PL3" s="88" t="s">
        <v>31</v>
      </c>
      <c r="PM3" s="88" t="s">
        <v>32</v>
      </c>
      <c r="PN3" s="90" t="s">
        <v>15</v>
      </c>
      <c r="PO3" s="90" t="s">
        <v>10</v>
      </c>
      <c r="PP3" s="90" t="s">
        <v>31</v>
      </c>
      <c r="PQ3" s="90" t="s">
        <v>32</v>
      </c>
      <c r="PR3" s="88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144</v>
      </c>
      <c r="C4" s="7" t="s">
        <v>3</v>
      </c>
      <c r="D4" s="18">
        <v>2003</v>
      </c>
      <c r="E4" s="14">
        <f>SUM(J4:P4)+SUM(J4:N4)*0.0000001+SUM(J4)*0.0000000000001</f>
        <v>148.66001470200493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Excellence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49.300000000000004</v>
      </c>
      <c r="K4" s="13" t="str">
        <f>IF(J4=0,"",IF(J4=CQ4,$BU$1,IF(J4=BP4,$AT$1,IF(J4=AO4,$S$1,""))))</f>
        <v>2022 3rd Domestic Trial</v>
      </c>
      <c r="L4" s="13">
        <f>IF(COUNT(AO4,BP4,CQ4)&gt;1,LARGE((AO4,BP4,CQ4),2),0)</f>
        <v>48.26</v>
      </c>
      <c r="M4" s="13" t="str">
        <f>IF(L4=0,"",IF(L4=CQ4,$BU$1,IF(L4=BP4,$AT$1,IF(L4=AO4,$S$1,""))))</f>
        <v>2022 Elite Canada</v>
      </c>
      <c r="N4" s="13">
        <f>IF(MAX(AR4,BS4,CT4)&gt;0,MAX(AR4,BS4,CT4),0)</f>
        <v>49.46</v>
      </c>
      <c r="O4" s="13" t="str">
        <f>IF(N4=0,"",IF(N4=CT4,$BU$1,IF(N4=BS4,$AT$1,IF(N4=AR4,$S$1,""))))</f>
        <v>2022 3rd Domestic Trial</v>
      </c>
      <c r="P4" s="13">
        <f>IF(MAX(CV4:CW4)&gt;0,MAX(CV4:CW4),"")</f>
        <v>1.6400000000000006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Cup ITA (May 28)</v>
      </c>
      <c r="S4" s="27">
        <v>17.5</v>
      </c>
      <c r="T4" s="27">
        <v>6.5</v>
      </c>
      <c r="U4" s="27">
        <v>0</v>
      </c>
      <c r="V4" s="27">
        <v>0</v>
      </c>
      <c r="W4" s="27">
        <v>18.36</v>
      </c>
      <c r="X4" s="27">
        <v>5.9</v>
      </c>
      <c r="Y4" s="27">
        <v>0</v>
      </c>
      <c r="Z4" s="27">
        <v>0</v>
      </c>
      <c r="AA4" s="27"/>
      <c r="AB4" s="27"/>
      <c r="AC4" s="27"/>
      <c r="AD4" s="27"/>
      <c r="AE4" s="27">
        <v>18.100000000000001</v>
      </c>
      <c r="AF4" s="27">
        <v>6.5</v>
      </c>
      <c r="AG4" s="27">
        <v>0</v>
      </c>
      <c r="AH4" s="27">
        <v>0</v>
      </c>
      <c r="AI4" s="27">
        <v>18.2</v>
      </c>
      <c r="AJ4" s="27">
        <v>5.9</v>
      </c>
      <c r="AK4" s="27">
        <v>0</v>
      </c>
      <c r="AL4" s="27">
        <v>0</v>
      </c>
      <c r="AM4" s="51"/>
      <c r="AN4" s="76">
        <f>IF(SUM(T4,X4)&gt;0,SUM(T4,X4),"")</f>
        <v>12.4</v>
      </c>
      <c r="AO4" s="76">
        <f>IF(SUM(S4:T4,V4:X4,Z4)-U4-Y4&gt;0,SUM(S4:T4,V4:X4,Z4)-U4-Y4,"")</f>
        <v>48.26</v>
      </c>
      <c r="AP4" s="76" t="str">
        <f>IF(SUM(AA4:AB4,AD4)-AC4&gt;0,SUM(AA4:AB4,AD4)-AC4,"")</f>
        <v/>
      </c>
      <c r="AQ4" s="76">
        <f>IF(SUM(AF4,AJ4)&gt;0,SUM(AF4,AJ4),"")</f>
        <v>12.4</v>
      </c>
      <c r="AR4" s="76">
        <f>IF(SUM(AE4:AF4,AH4:AJ4,AL4)-SUM(AG4,AK4)&gt;0,SUM(AE4:AF4,AH4:AJ4,AL4)-SUM(AG4,AK4),"")</f>
        <v>48.699999999999996</v>
      </c>
      <c r="AS4" s="76">
        <f>IF(SUM(AO4,AR4)&gt;0,SUM(AO4,AR4),"")</f>
        <v>96.96</v>
      </c>
      <c r="AT4" s="26">
        <v>8.75</v>
      </c>
      <c r="AU4" s="26">
        <v>3.25</v>
      </c>
      <c r="AV4" s="26">
        <v>0</v>
      </c>
      <c r="AW4" s="26">
        <v>0</v>
      </c>
      <c r="AX4" s="26">
        <v>9.18</v>
      </c>
      <c r="AY4" s="26">
        <v>2.95</v>
      </c>
      <c r="AZ4" s="26">
        <v>0</v>
      </c>
      <c r="BA4" s="26">
        <v>0</v>
      </c>
      <c r="BB4" s="26"/>
      <c r="BC4" s="26"/>
      <c r="BD4" s="26"/>
      <c r="BE4" s="26"/>
      <c r="BF4" s="26">
        <v>9.0500000000000007</v>
      </c>
      <c r="BG4" s="26">
        <v>3.25</v>
      </c>
      <c r="BH4" s="26">
        <v>0</v>
      </c>
      <c r="BI4" s="26">
        <v>0</v>
      </c>
      <c r="BJ4" s="26">
        <v>9.1</v>
      </c>
      <c r="BK4" s="26">
        <v>2.95</v>
      </c>
      <c r="BL4" s="26">
        <v>0</v>
      </c>
      <c r="BM4" s="26">
        <v>0</v>
      </c>
      <c r="BN4" s="52" t="s">
        <v>58</v>
      </c>
      <c r="BO4" s="16">
        <f>IF(SUM(AU4,AY4)&gt;0,SUM(AU4,AY4),"")</f>
        <v>6.2</v>
      </c>
      <c r="BP4" s="16">
        <f>IF(SUM(AT4:AU4,AW4:AY4,BA4)-AV4-AZ4&gt;0,SUM(AT4:AU4,AW4:AY4,BA4)-AV4-AZ4,"")</f>
        <v>24.13</v>
      </c>
      <c r="BQ4" s="16" t="str">
        <f>IF(SUM(BB4:BC4,BE4)-BD4&gt;0,SUM(BB4:BC4,BE4)-BD4,"")</f>
        <v/>
      </c>
      <c r="BR4" s="16">
        <f>IF(SUM(BG4,BK4)&gt;0,SUM(BG4,BK4),"")</f>
        <v>6.2</v>
      </c>
      <c r="BS4" s="16">
        <f>IF(SUM(BF4:BG4,BI4:BK4,BM4)-SUM(BH4,BL4)&gt;0,SUM(BF4:BG4,BI4:BK4,BM4)-SUM(BH4,BL4),"")</f>
        <v>24.349999999999998</v>
      </c>
      <c r="BT4" s="16">
        <f>IF(SUM(BP4,BS4)&gt;0,SUM(BP4,BS4),"")</f>
        <v>48.48</v>
      </c>
      <c r="BU4" s="27">
        <v>17.8</v>
      </c>
      <c r="BV4" s="27">
        <v>6.9</v>
      </c>
      <c r="BW4" s="27">
        <v>0</v>
      </c>
      <c r="BX4" s="27">
        <v>0</v>
      </c>
      <c r="BY4" s="27">
        <v>17.7</v>
      </c>
      <c r="BZ4" s="27">
        <v>6.9</v>
      </c>
      <c r="CA4" s="27">
        <v>0</v>
      </c>
      <c r="CB4" s="27">
        <v>0</v>
      </c>
      <c r="CC4" s="27"/>
      <c r="CD4" s="27"/>
      <c r="CE4" s="27"/>
      <c r="CF4" s="27"/>
      <c r="CG4" s="27">
        <v>17.96</v>
      </c>
      <c r="CH4" s="27">
        <v>6.9</v>
      </c>
      <c r="CI4" s="27">
        <v>0</v>
      </c>
      <c r="CJ4" s="27">
        <v>0</v>
      </c>
      <c r="CK4" s="27">
        <v>17.7</v>
      </c>
      <c r="CL4" s="27">
        <v>6.9</v>
      </c>
      <c r="CM4" s="27">
        <v>0</v>
      </c>
      <c r="CN4" s="27">
        <v>0</v>
      </c>
      <c r="CO4" s="51"/>
      <c r="CP4" s="76">
        <f>IF(SUM(BV4,BZ4)&gt;0,SUM(BV4,BZ4),"")</f>
        <v>13.8</v>
      </c>
      <c r="CQ4" s="76">
        <f>IF(SUM(BU4:BV4,BX4:BZ4,CB4)-BW4-CA4&gt;0,SUM(BU4:BV4,BX4:BZ4,CB4)-BW4-CA4,"")</f>
        <v>49.300000000000004</v>
      </c>
      <c r="CR4" s="76" t="str">
        <f>IF(SUM(CC4:CD4,CF4)-CE4&gt;0,SUM(CC4:CD4,CF4)-CE4,"")</f>
        <v/>
      </c>
      <c r="CS4" s="76">
        <f>IF(SUM(CH4,CL4)&gt;0,SUM(CH4,CL4),"")</f>
        <v>13.8</v>
      </c>
      <c r="CT4" s="76">
        <f>IF(SUM(CG4:CH4,CJ4:CL4,CN4)-SUM(CI4,CM4)&gt;0,SUM(CG4:CH4,CJ4:CL4,CN4)-SUM(CI4,CM4),"")</f>
        <v>49.46</v>
      </c>
      <c r="CU4" s="76">
        <f>IF(SUM(CQ4,CT4)&gt;0,SUM(CQ4,CT4),"")</f>
        <v>98.76</v>
      </c>
      <c r="CV4" s="87">
        <f>IF(L4&gt;=0.001,IF(MAX(DS4,ES4,FS4,GS4,HS4,IS4,JS4,KS4,LS4,MS4,NS4,OS4)-IF(L4="",0,L4)&gt;0.001,MAX(DS4,ES4,FS4,GS4,HS4,IS4,JS4,KS4,LS4,MS4,NS4,OS4)-IF(L4="",0,L4),""),"")</f>
        <v>1.6400000000000006</v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>
        <v>16.8</v>
      </c>
      <c r="IY4" s="25">
        <v>7.3</v>
      </c>
      <c r="IZ4" s="25">
        <v>0</v>
      </c>
      <c r="JA4" s="25">
        <v>0</v>
      </c>
      <c r="JB4" s="25">
        <v>16.399999999999999</v>
      </c>
      <c r="JC4" s="25">
        <v>3.7</v>
      </c>
      <c r="JD4" s="25">
        <v>0</v>
      </c>
      <c r="JE4" s="25">
        <v>0</v>
      </c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>
        <f>IF(SUM(IY4,JC4)&gt;0,SUM(IY4,JC4),"")</f>
        <v>11</v>
      </c>
      <c r="JS4" s="76">
        <f>IF(SUM(IX4:IY4,JA4:JC4,JE4)-IZ4-JD4&gt;0,SUM(IX4:IY4,JA4:JC4,JE4)-IZ4-JD4,"")</f>
        <v>44.2</v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>
        <f>IF(SUM(JS4,JV4)&gt;0,SUM(JS4,JV4),"")</f>
        <v>44.2</v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13.275</v>
      </c>
      <c r="OY4" s="42">
        <f>IF($CO4="P",BV4,(BV4+AU4)/2)</f>
        <v>5.0750000000000002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13.44</v>
      </c>
      <c r="PC4" s="42">
        <f>IF($CO4="P",BZ4,(BZ4+AY4)/2)</f>
        <v>4.9250000000000007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13.505000000000001</v>
      </c>
      <c r="PK4" s="42">
        <f>IF($CO4="P",CH4,(CH4+BG4)/2)</f>
        <v>5.0750000000000002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13.399999999999999</v>
      </c>
      <c r="PO4" s="42">
        <f>IF($CO4="P",CL4,(CL4+BK4)/2)</f>
        <v>4.9250000000000007</v>
      </c>
      <c r="PP4" s="42">
        <f>IF($CO4="P",CM4,(CM4+BL4)/2)</f>
        <v>0</v>
      </c>
      <c r="PQ4" s="42">
        <f>IF($CO4="P",CN4,(CN4+BM4)/2)</f>
        <v>0</v>
      </c>
      <c r="PR4" s="51" t="s">
        <v>58</v>
      </c>
      <c r="PS4" s="76">
        <f>IF(SUM(OY4,PC4)&gt;0,SUM(OY4,PC4),"")</f>
        <v>10</v>
      </c>
      <c r="PT4" s="76">
        <f>IF(SUM(OX4:OY4,PA4:PC4,PE4)-OZ4-PD4&gt;0,SUM(OX4:OY4,PA4:PC4,PE4)-OZ4-PD4,"")</f>
        <v>36.715000000000003</v>
      </c>
      <c r="PU4" s="76" t="str">
        <f>IF(SUM(PF4:PG4,PI4)-PH4&gt;0,SUM(PF4:PG4,PI4)-PH4,"")</f>
        <v/>
      </c>
      <c r="PV4" s="76">
        <f>IF(SUM(PK4,PO4)&gt;0,SUM(PK4,PO4),"")</f>
        <v>10</v>
      </c>
      <c r="PW4" s="76">
        <f>IF(SUM(PJ4:PK4,PM4:PO4,PQ4)-SUM(PL4,PP4)&gt;0,SUM(PJ4:PK4,PM4:PO4,PQ4)-SUM(PL4,PP4),"")</f>
        <v>36.905000000000001</v>
      </c>
      <c r="PX4" s="76">
        <f>IF(SUM(PT4,PW4)&gt;0,SUM(PT4,PW4),"")</f>
        <v>73.62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86</v>
      </c>
      <c r="C5" s="7" t="s">
        <v>5</v>
      </c>
      <c r="D5" s="18">
        <v>2002</v>
      </c>
      <c r="E5" s="14">
        <f>SUM(J5:P5)+SUM(J5:N5)*0.0000001+SUM(J5)*0.0000000000001</f>
        <v>136.40001317000426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Worlds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>P</v>
      </c>
      <c r="J5" s="13">
        <f>IF(COUNT(AO5,BP5,CQ5)&gt;0,LARGE((AO5,BP5,CQ5),1),0)</f>
        <v>42.7</v>
      </c>
      <c r="K5" s="13" t="str">
        <f>IF(J5=0,"",IF(J5=CQ5,$BU$1,IF(J5=BP5,$AT$1,IF(J5=AO5,$S$1,""))))</f>
        <v>2022 Nationals</v>
      </c>
      <c r="L5" s="13">
        <f>IF(COUNT(AO5,BP5,CQ5)&gt;1,LARGE((AO5,BP5,CQ5),2),0)</f>
        <v>42.100000000000009</v>
      </c>
      <c r="M5" s="13" t="str">
        <f>IF(L5=0,"",IF(L5=CQ5,$BU$1,IF(L5=BP5,$AT$1,IF(L5=AO5,$S$1,""))))</f>
        <v>2022 3rd Domestic Trial</v>
      </c>
      <c r="N5" s="13">
        <f>IF(MAX(AR5,BS5,CT5)&gt;0,MAX(AR5,BS5,CT5),0)</f>
        <v>46.9</v>
      </c>
      <c r="O5" s="13" t="str">
        <f>IF(N5=0,"",IF(N5=CT5,$BU$1,IF(N5=BS5,$AT$1,IF(N5=AR5,$S$1,""))))</f>
        <v>2022 Nationals</v>
      </c>
      <c r="P5" s="13">
        <f>IF(MAX(CV5:CW5)&gt;0,MAX(CV5:CW5),"")</f>
        <v>4.6999999999999957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Cup POR (June 26)</v>
      </c>
      <c r="S5" s="27">
        <v>16.666666666666668</v>
      </c>
      <c r="T5" s="27">
        <v>4.4000000000000004</v>
      </c>
      <c r="U5" s="27">
        <v>0</v>
      </c>
      <c r="V5" s="27">
        <v>0</v>
      </c>
      <c r="W5" s="27">
        <v>15.333333333333332</v>
      </c>
      <c r="X5" s="27">
        <v>4.9000000000000004</v>
      </c>
      <c r="Y5" s="27">
        <v>0</v>
      </c>
      <c r="Z5" s="27">
        <v>0</v>
      </c>
      <c r="AA5" s="27"/>
      <c r="AB5" s="27"/>
      <c r="AC5" s="27"/>
      <c r="AD5" s="27"/>
      <c r="AE5" s="27">
        <v>8.7999999999999989</v>
      </c>
      <c r="AF5" s="27">
        <v>3.45</v>
      </c>
      <c r="AG5" s="27">
        <v>0</v>
      </c>
      <c r="AH5" s="27">
        <v>0</v>
      </c>
      <c r="AI5" s="27">
        <v>8.3666666666666671</v>
      </c>
      <c r="AJ5" s="27">
        <v>2.85</v>
      </c>
      <c r="AK5" s="27">
        <v>0</v>
      </c>
      <c r="AL5" s="27">
        <v>0</v>
      </c>
      <c r="AM5" s="51" t="s">
        <v>58</v>
      </c>
      <c r="AN5" s="76">
        <f>IF(SUM(T5,X5)&gt;0,SUM(T5,X5),"")</f>
        <v>9.3000000000000007</v>
      </c>
      <c r="AO5" s="76">
        <f>IF(SUM(S5:T5,V5:X5,Z5)-U5-Y5&gt;0,SUM(S5:T5,V5:X5,Z5)-U5-Y5,"")</f>
        <v>41.300000000000004</v>
      </c>
      <c r="AP5" s="76" t="str">
        <f>IF(SUM(AA5:AB5,AD5)-AC5&gt;0,SUM(AA5:AB5,AD5)-AC5,"")</f>
        <v/>
      </c>
      <c r="AQ5" s="76">
        <f>IF(SUM(AF5,AJ5)&gt;0,SUM(AF5,AJ5),"")</f>
        <v>6.3000000000000007</v>
      </c>
      <c r="AR5" s="76">
        <f>IF(SUM(AE5:AF5,AH5:AJ5,AL5)-SUM(AG5,AK5)&gt;0,SUM(AE5:AF5,AH5:AJ5,AL5)-SUM(AG5,AK5),"")</f>
        <v>23.466666666666669</v>
      </c>
      <c r="AS5" s="76">
        <f>IF(SUM(AO5,AR5)&gt;0,SUM(AO5,AR5),"")</f>
        <v>64.76666666666668</v>
      </c>
      <c r="AT5" s="26">
        <v>16.3</v>
      </c>
      <c r="AU5" s="26">
        <v>3.4</v>
      </c>
      <c r="AV5" s="26">
        <v>0</v>
      </c>
      <c r="AW5" s="26">
        <v>0</v>
      </c>
      <c r="AX5" s="26">
        <v>17.3</v>
      </c>
      <c r="AY5" s="26">
        <v>5.7</v>
      </c>
      <c r="AZ5" s="26">
        <v>0</v>
      </c>
      <c r="BA5" s="26">
        <v>0</v>
      </c>
      <c r="BB5" s="26"/>
      <c r="BC5" s="26"/>
      <c r="BD5" s="26"/>
      <c r="BE5" s="26"/>
      <c r="BF5" s="26">
        <v>17.600000000000001</v>
      </c>
      <c r="BG5" s="26">
        <v>6.1</v>
      </c>
      <c r="BH5" s="26">
        <v>0.2</v>
      </c>
      <c r="BI5" s="26">
        <v>0</v>
      </c>
      <c r="BJ5" s="26">
        <v>17.5</v>
      </c>
      <c r="BK5" s="26">
        <v>5.9</v>
      </c>
      <c r="BL5" s="26">
        <v>0</v>
      </c>
      <c r="BM5" s="26">
        <v>0</v>
      </c>
      <c r="BN5" s="52"/>
      <c r="BO5" s="16">
        <f>IF(SUM(AU5,AY5)&gt;0,SUM(AU5,AY5),"")</f>
        <v>9.1</v>
      </c>
      <c r="BP5" s="16">
        <f>IF(SUM(AT5:AU5,AW5:AY5,BA5)-AV5-AZ5&gt;0,SUM(AT5:AU5,AW5:AY5,BA5)-AV5-AZ5,"")</f>
        <v>42.7</v>
      </c>
      <c r="BQ5" s="16" t="str">
        <f>IF(SUM(BB5:BC5,BE5)-BD5&gt;0,SUM(BB5:BC5,BE5)-BD5,"")</f>
        <v/>
      </c>
      <c r="BR5" s="16">
        <f>IF(SUM(BG5,BK5)&gt;0,SUM(BG5,BK5),"")</f>
        <v>12</v>
      </c>
      <c r="BS5" s="16">
        <f>IF(SUM(BF5:BG5,BI5:BK5,BM5)-SUM(BH5,BL5)&gt;0,SUM(BF5:BG5,BI5:BK5,BM5)-SUM(BH5,BL5),"")</f>
        <v>46.9</v>
      </c>
      <c r="BT5" s="16">
        <f>IF(SUM(BP5,BS5)&gt;0,SUM(BP5,BS5),"")</f>
        <v>89.6</v>
      </c>
      <c r="BU5" s="27">
        <v>17.100000000000001</v>
      </c>
      <c r="BV5" s="27">
        <v>6.1</v>
      </c>
      <c r="BW5" s="27">
        <v>0</v>
      </c>
      <c r="BX5" s="27">
        <v>0</v>
      </c>
      <c r="BY5" s="27">
        <v>15.2</v>
      </c>
      <c r="BZ5" s="27">
        <v>3.7</v>
      </c>
      <c r="CA5" s="27">
        <v>0</v>
      </c>
      <c r="CB5" s="27">
        <v>0</v>
      </c>
      <c r="CC5" s="27"/>
      <c r="CD5" s="27"/>
      <c r="CE5" s="27"/>
      <c r="CF5" s="27"/>
      <c r="CG5" s="27">
        <v>16.5</v>
      </c>
      <c r="CH5" s="27">
        <v>5.3</v>
      </c>
      <c r="CI5" s="27">
        <v>0.2</v>
      </c>
      <c r="CJ5" s="27">
        <v>0</v>
      </c>
      <c r="CK5" s="27">
        <v>16.2</v>
      </c>
      <c r="CL5" s="27">
        <v>6.1</v>
      </c>
      <c r="CM5" s="27">
        <v>0</v>
      </c>
      <c r="CN5" s="27">
        <v>0</v>
      </c>
      <c r="CO5" s="51"/>
      <c r="CP5" s="76">
        <f>IF(SUM(BV5,BZ5)&gt;0,SUM(BV5,BZ5),"")</f>
        <v>9.8000000000000007</v>
      </c>
      <c r="CQ5" s="76">
        <f>IF(SUM(BU5:BV5,BX5:BZ5,CB5)-BW5-CA5&gt;0,SUM(BU5:BV5,BX5:BZ5,CB5)-BW5-CA5,"")</f>
        <v>42.100000000000009</v>
      </c>
      <c r="CR5" s="76" t="str">
        <f>IF(SUM(CC5:CD5,CF5)-CE5&gt;0,SUM(CC5:CD5,CF5)-CE5,"")</f>
        <v/>
      </c>
      <c r="CS5" s="76">
        <f>IF(SUM(CH5,CL5)&gt;0,SUM(CH5,CL5),"")</f>
        <v>11.399999999999999</v>
      </c>
      <c r="CT5" s="76">
        <f>IF(SUM(CG5:CH5,CJ5:CL5,CN5)-SUM(CI5,CM5)&gt;0,SUM(CG5:CH5,CJ5:CL5,CN5)-SUM(CI5,CM5),"")</f>
        <v>43.9</v>
      </c>
      <c r="CU5" s="76">
        <f>IF(SUM(CQ5,CT5)&gt;0,SUM(CQ5,CT5),"")</f>
        <v>86</v>
      </c>
      <c r="CV5" s="87">
        <f>IF(L5&gt;=0.001,IF(MAX(DS5,ES5,FS5,GS5,HS5,IS5,JS5,KS5,LS5,MS5,NS5,OS5)-IF(L5="",0,L5)&gt;0.001,MAX(DS5,ES5,FS5,GS5,HS5,IS5,JS5,KS5,LS5,MS5,NS5,OS5)-IF(L5="",0,L5),""),"")</f>
        <v>4.6999999999999957</v>
      </c>
      <c r="CW5" s="87" t="str">
        <f>IF(N5&gt;=0.001,IF(MAX(DV5,EV5,FV5,GV5,HV5,IV5,JV5,KV5,LV5,MV5,NV5,OV5)-IF(N5="",0,N5)&gt;0.001,MAX(DV5,EV5,FV5,GV5,HV5,IV5,JV5,KV5,LV5,MV5,NV5,OV5)-IF(N5="",0,N5),""),"")</f>
        <v/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>
        <v>17.600000000000001</v>
      </c>
      <c r="GY5" s="25">
        <v>6.1</v>
      </c>
      <c r="GZ5" s="25">
        <v>0</v>
      </c>
      <c r="HA5" s="25">
        <v>0</v>
      </c>
      <c r="HB5" s="25">
        <v>17.2</v>
      </c>
      <c r="HC5" s="25">
        <v>5.9</v>
      </c>
      <c r="HD5" s="25">
        <v>0</v>
      </c>
      <c r="HE5" s="25">
        <v>0</v>
      </c>
      <c r="HF5" s="25"/>
      <c r="HG5" s="25"/>
      <c r="HH5" s="25"/>
      <c r="HI5" s="25"/>
      <c r="HJ5" s="25">
        <v>13.2</v>
      </c>
      <c r="HK5" s="25">
        <v>3.6</v>
      </c>
      <c r="HL5" s="25">
        <v>0</v>
      </c>
      <c r="HM5" s="25">
        <v>0</v>
      </c>
      <c r="HN5" s="25"/>
      <c r="HO5" s="25"/>
      <c r="HP5" s="25"/>
      <c r="HQ5" s="25"/>
      <c r="HR5" s="76">
        <f>IF(SUM(GY5,HC5)&gt;0,SUM(GY5,HC5),"")</f>
        <v>12</v>
      </c>
      <c r="HS5" s="76">
        <f>IF(SUM(GX5:GY5,HA5:HC5,HE5)-GZ5-HD5&gt;0,SUM(GX5:GY5,HA5:HC5,HE5)-GZ5-HD5,"")</f>
        <v>46.800000000000004</v>
      </c>
      <c r="HT5" s="76" t="str">
        <f>IF(SUM(HF5:HG5,HI5)-HH5&gt;0,SUM(HF5:HG5,HI5)-HH5,"")</f>
        <v/>
      </c>
      <c r="HU5" s="76">
        <f>IF(SUM(HK5,HO5)&gt;0,SUM(HK5,HO5),"")</f>
        <v>3.6</v>
      </c>
      <c r="HV5" s="76">
        <f>IF(SUM(HJ5:HK5,HM5:HO5,HQ5)-SUM(HL5,HP5)&gt;0,SUM(HJ5:HK5,HM5:HO5,HQ5)-SUM(HL5,HP5),"")</f>
        <v>16.8</v>
      </c>
      <c r="HW5" s="76">
        <f>IF(SUM(HS5,HV5)&gt;0,SUM(HS5,HV5),"")</f>
        <v>63.600000000000009</v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16.700000000000003</v>
      </c>
      <c r="OY5" s="42">
        <f>IF($CO5="P",BV5,(BV5+AU5)/2)</f>
        <v>4.75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16.25</v>
      </c>
      <c r="PC5" s="42">
        <f>IF($CO5="P",BZ5,(BZ5+AY5)/2)</f>
        <v>4.7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17.05</v>
      </c>
      <c r="PK5" s="42">
        <f>IF($CO5="P",CH5,(CH5+BG5)/2)</f>
        <v>5.6999999999999993</v>
      </c>
      <c r="PL5" s="42">
        <f>IF($CO5="P",CI5,(CI5+BH5)/2)</f>
        <v>0.2</v>
      </c>
      <c r="PM5" s="42">
        <f>IF($CO5="P",CJ5,(CJ5+BI5)/2)</f>
        <v>0</v>
      </c>
      <c r="PN5" s="42">
        <f>IF($CO5="P",CK5,(CK5+BJ5)/2)</f>
        <v>16.850000000000001</v>
      </c>
      <c r="PO5" s="42">
        <f>IF($CO5="P",CL5,(CL5+BK5)/2)</f>
        <v>6</v>
      </c>
      <c r="PP5" s="42">
        <f>IF($CO5="P",CM5,(CM5+BL5)/2)</f>
        <v>0</v>
      </c>
      <c r="PQ5" s="42">
        <f>IF($CO5="P",CN5,(CN5+BM5)/2)</f>
        <v>0</v>
      </c>
      <c r="PR5" s="51" t="s">
        <v>58</v>
      </c>
      <c r="PS5" s="76">
        <f>IF(SUM(OY5,PC5)&gt;0,SUM(OY5,PC5),"")</f>
        <v>9.4499999999999993</v>
      </c>
      <c r="PT5" s="76">
        <f>IF(SUM(OX5:OY5,PA5:PC5,PE5)-OZ5-PD5&gt;0,SUM(OX5:OY5,PA5:PC5,PE5)-OZ5-PD5,"")</f>
        <v>42.400000000000006</v>
      </c>
      <c r="PU5" s="76" t="str">
        <f>IF(SUM(PF5:PG5,PI5)-PH5&gt;0,SUM(PF5:PG5,PI5)-PH5,"")</f>
        <v/>
      </c>
      <c r="PV5" s="76">
        <f>IF(SUM(PK5,PO5)&gt;0,SUM(PK5,PO5),"")</f>
        <v>11.7</v>
      </c>
      <c r="PW5" s="76">
        <f>IF(SUM(PJ5:PK5,PM5:PO5,PQ5)-SUM(PL5,PP5)&gt;0,SUM(PJ5:PK5,PM5:PO5,PQ5)-SUM(PL5,PP5),"")</f>
        <v>45.4</v>
      </c>
      <c r="PX5" s="76">
        <f>IF(SUM(PT5,PW5)&gt;0,SUM(PT5,PW5),"")</f>
        <v>87.800000000000011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201</v>
      </c>
      <c r="C6" s="7" t="s">
        <v>3</v>
      </c>
      <c r="D6" s="18">
        <v>2003</v>
      </c>
      <c r="E6" s="14">
        <f>SUM(J6:P6)+SUM(J6:N6)*0.0000001+SUM(J6)*0.0000000000001</f>
        <v>127.50001247000398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Excellence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39.800000000000004</v>
      </c>
      <c r="K6" s="13" t="str">
        <f>IF(J6=0,"",IF(J6=CQ6,$BU$1,IF(J6=BP6,$AT$1,IF(J6=AO6,$S$1,""))))</f>
        <v>2022 Nationals</v>
      </c>
      <c r="L6" s="13">
        <f>IF(COUNT(AO6,BP6,CQ6)&gt;1,LARGE((AO6,BP6,CQ6),2),0)</f>
        <v>39.299999999999997</v>
      </c>
      <c r="M6" s="13" t="str">
        <f>IF(L6=0,"",IF(L6=CQ6,$BU$1,IF(L6=BP6,$AT$1,IF(L6=AO6,$S$1,""))))</f>
        <v>2022 3rd Domestic Trial</v>
      </c>
      <c r="N6" s="13">
        <f>IF(MAX(AR6,BS6,CT6)&gt;0,MAX(AR6,BS6,CT6),0)</f>
        <v>45.6</v>
      </c>
      <c r="O6" s="13" t="str">
        <f>IF(N6=0,"",IF(N6=CT6,$BU$1,IF(N6=BS6,$AT$1,IF(N6=AR6,$S$1,""))))</f>
        <v>2022 Nationals</v>
      </c>
      <c r="P6" s="13">
        <f>IF(MAX(CV6:CW6)&gt;0,MAX(CV6:CW6),"")</f>
        <v>2.8000000000000114</v>
      </c>
      <c r="Q6" s="16" t="str">
        <f>IF(P6="","",IF(P6=CV6,"("&amp;CV$2&amp;")",IF(P6=CW6,"("&amp;CW$2&amp;")")))</f>
        <v>(Q1)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>
        <v>18.100000000000001</v>
      </c>
      <c r="AU6" s="26">
        <v>5.3</v>
      </c>
      <c r="AV6" s="26">
        <v>0.2</v>
      </c>
      <c r="AW6" s="26">
        <v>0</v>
      </c>
      <c r="AX6" s="26">
        <v>16</v>
      </c>
      <c r="AY6" s="26">
        <v>2.6</v>
      </c>
      <c r="AZ6" s="26">
        <v>2</v>
      </c>
      <c r="BA6" s="26">
        <v>0</v>
      </c>
      <c r="BB6" s="26"/>
      <c r="BC6" s="26"/>
      <c r="BD6" s="26"/>
      <c r="BE6" s="26"/>
      <c r="BF6" s="26">
        <v>17.5</v>
      </c>
      <c r="BG6" s="26">
        <v>5.3</v>
      </c>
      <c r="BH6" s="26">
        <v>0</v>
      </c>
      <c r="BI6" s="26">
        <v>0</v>
      </c>
      <c r="BJ6" s="26">
        <v>17.8</v>
      </c>
      <c r="BK6" s="26">
        <v>5</v>
      </c>
      <c r="BL6" s="26">
        <v>0</v>
      </c>
      <c r="BM6" s="26">
        <v>0</v>
      </c>
      <c r="BN6" s="52"/>
      <c r="BO6" s="16">
        <f>IF(SUM(AU6,AY6)&gt;0,SUM(AU6,AY6),"")</f>
        <v>7.9</v>
      </c>
      <c r="BP6" s="16">
        <f>IF(SUM(AT6:AU6,AW6:AY6,BA6)-AV6-AZ6&gt;0,SUM(AT6:AU6,AW6:AY6,BA6)-AV6-AZ6,"")</f>
        <v>39.800000000000004</v>
      </c>
      <c r="BQ6" s="16" t="str">
        <f>IF(SUM(BB6:BC6,BE6)-BD6&gt;0,SUM(BB6:BC6,BE6)-BD6,"")</f>
        <v/>
      </c>
      <c r="BR6" s="16">
        <f>IF(SUM(BG6,BK6)&gt;0,SUM(BG6,BK6),"")</f>
        <v>10.3</v>
      </c>
      <c r="BS6" s="16">
        <f>IF(SUM(BF6:BG6,BI6:BK6,BM6)-SUM(BH6,BL6)&gt;0,SUM(BF6:BG6,BI6:BK6,BM6)-SUM(BH6,BL6),"")</f>
        <v>45.6</v>
      </c>
      <c r="BT6" s="16">
        <f>IF(SUM(BP6,BS6)&gt;0,SUM(BP6,BS6),"")</f>
        <v>85.4</v>
      </c>
      <c r="BU6" s="27">
        <v>16.3</v>
      </c>
      <c r="BV6" s="27">
        <v>5.3</v>
      </c>
      <c r="BW6" s="27">
        <v>0.2</v>
      </c>
      <c r="BX6" s="27">
        <v>0</v>
      </c>
      <c r="BY6" s="27">
        <v>16</v>
      </c>
      <c r="BZ6" s="27">
        <v>1.9</v>
      </c>
      <c r="CA6" s="27">
        <v>0</v>
      </c>
      <c r="CB6" s="27">
        <v>0</v>
      </c>
      <c r="CC6" s="27"/>
      <c r="CD6" s="27"/>
      <c r="CE6" s="27"/>
      <c r="CF6" s="27"/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51"/>
      <c r="CP6" s="76">
        <f>IF(SUM(BV6,BZ6)&gt;0,SUM(BV6,BZ6),"")</f>
        <v>7.1999999999999993</v>
      </c>
      <c r="CQ6" s="76">
        <f>IF(SUM(BU6:BV6,BX6:BZ6,CB6)-BW6-CA6&gt;0,SUM(BU6:BV6,BX6:BZ6,CB6)-BW6-CA6,"")</f>
        <v>39.299999999999997</v>
      </c>
      <c r="CR6" s="76" t="str">
        <f>IF(SUM(CC6:CD6,CF6)-CE6&gt;0,SUM(CC6:CD6,CF6)-CE6,"")</f>
        <v/>
      </c>
      <c r="CS6" s="76" t="str">
        <f>IF(SUM(CH6,CL6)&gt;0,SUM(CH6,CL6),"")</f>
        <v/>
      </c>
      <c r="CT6" s="76" t="str">
        <f>IF(SUM(CG6:CH6,CJ6:CL6,CN6)-SUM(CI6,CM6)&gt;0,SUM(CG6:CH6,CJ6:CL6,CN6)-SUM(CI6,CM6),"")</f>
        <v/>
      </c>
      <c r="CU6" s="76">
        <f>IF(SUM(CQ6,CT6)&gt;0,SUM(CQ6,CT6),"")</f>
        <v>39.299999999999997</v>
      </c>
      <c r="CV6" s="87">
        <f>IF(L6&gt;=0.001,IF(MAX(DS6,ES6,FS6,GS6,HS6,IS6,JS6,KS6,LS6,MS6,NS6,OS6)-IF(L6="",0,L6)&gt;0.001,MAX(DS6,ES6,FS6,GS6,HS6,IS6,JS6,KS6,LS6,MS6,NS6,OS6)-IF(L6="",0,L6),""),"")</f>
        <v>2.8000000000000114</v>
      </c>
      <c r="CW6" s="87">
        <f>IF(N6&gt;=0.001,IF(MAX(DV6,EV6,FV6,GV6,HV6,IV6,JV6,KV6,LV6,MV6,NV6,OV6)-IF(N6="",0,N6)&gt;0.001,MAX(DV6,EV6,FV6,GV6,HV6,IV6,JV6,KV6,LV6,MV6,NV6,OV6)-IF(N6="",0,N6),""),"")</f>
        <v>1.9999999999999929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>
        <v>17.3</v>
      </c>
      <c r="HY6" s="26">
        <v>5.3</v>
      </c>
      <c r="HZ6" s="26">
        <v>0</v>
      </c>
      <c r="IA6" s="26">
        <v>0</v>
      </c>
      <c r="IB6" s="26">
        <v>15.8</v>
      </c>
      <c r="IC6" s="26">
        <v>3.7</v>
      </c>
      <c r="ID6" s="26">
        <v>0</v>
      </c>
      <c r="IE6" s="26">
        <v>0</v>
      </c>
      <c r="IF6" s="26"/>
      <c r="IG6" s="26"/>
      <c r="IH6" s="26"/>
      <c r="II6" s="26"/>
      <c r="IJ6" s="26">
        <v>18.3</v>
      </c>
      <c r="IK6" s="26">
        <v>5.7</v>
      </c>
      <c r="IL6" s="26">
        <v>0</v>
      </c>
      <c r="IM6" s="26">
        <v>0</v>
      </c>
      <c r="IN6" s="26">
        <v>18</v>
      </c>
      <c r="IO6" s="26">
        <v>5.8</v>
      </c>
      <c r="IP6" s="26">
        <v>0.2</v>
      </c>
      <c r="IQ6" s="26">
        <v>0</v>
      </c>
      <c r="IR6" s="16">
        <f>IF(SUM(HY6,IC6)&gt;0,SUM(HY6,IC6),"")</f>
        <v>9</v>
      </c>
      <c r="IS6" s="16">
        <f>IF(SUM(HX6:HY6,IA6:IC6,IE6)-HZ6-ID6&gt;0,SUM(HX6:HY6,IA6:IC6,IE6)-HZ6-ID6,"")</f>
        <v>42.100000000000009</v>
      </c>
      <c r="IT6" s="16" t="str">
        <f>IF(SUM(IF6:IG6,II6)-IH6&gt;0,SUM(IF6:IG6,II6)-IH6,"")</f>
        <v/>
      </c>
      <c r="IU6" s="16">
        <f>IF(SUM(IK6,IO6)&gt;0,SUM(IK6,IO6),"")</f>
        <v>11.5</v>
      </c>
      <c r="IV6" s="16">
        <f>IF(SUM(IJ6:IK6,IM6:IO6,IQ6)-SUM(IL6,IP6)&gt;0,SUM(IJ6:IK6,IM6:IO6,IQ6)-SUM(IL6,IP6),"")</f>
        <v>47.599999999999994</v>
      </c>
      <c r="IW6" s="16">
        <f>IF(SUM(IS6,IV6)&gt;0,SUM(IS6,IV6),"")</f>
        <v>89.7</v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17.200000000000003</v>
      </c>
      <c r="OY6" s="42">
        <f>IF($CO6="P",BV6,(BV6+AU6)/2)</f>
        <v>5.3</v>
      </c>
      <c r="OZ6" s="42">
        <f>IF($CO6="P",BW6,(BW6+AV6)/2)</f>
        <v>0.2</v>
      </c>
      <c r="PA6" s="42">
        <f>IF($CO6="P",BX6,(BX6+AW6)/2)</f>
        <v>0</v>
      </c>
      <c r="PB6" s="42">
        <f>IF($CO6="P",BY6,(BY6+AX6)/2)</f>
        <v>16</v>
      </c>
      <c r="PC6" s="42">
        <f>IF($CO6="P",BZ6,(BZ6+AY6)/2)</f>
        <v>2.25</v>
      </c>
      <c r="PD6" s="42">
        <f>IF($CO6="P",CA6,(CA6+AZ6)/2)</f>
        <v>1</v>
      </c>
      <c r="PE6" s="42">
        <f>IF($CO6="P",CB6,(CB6+BA6)/2)</f>
        <v>0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8.75</v>
      </c>
      <c r="PK6" s="42">
        <f>IF($CO6="P",CH6,(CH6+BG6)/2)</f>
        <v>2.65</v>
      </c>
      <c r="PL6" s="42">
        <f>IF($CO6="P",CI6,(CI6+BH6)/2)</f>
        <v>0</v>
      </c>
      <c r="PM6" s="42">
        <f>IF($CO6="P",CJ6,(CJ6+BI6)/2)</f>
        <v>0</v>
      </c>
      <c r="PN6" s="42">
        <f>IF($CO6="P",CK6,(CK6+BJ6)/2)</f>
        <v>8.9</v>
      </c>
      <c r="PO6" s="42">
        <f>IF($CO6="P",CL6,(CL6+BK6)/2)</f>
        <v>2.5</v>
      </c>
      <c r="PP6" s="42">
        <f>IF($CO6="P",CM6,(CM6+BL6)/2)</f>
        <v>0</v>
      </c>
      <c r="PQ6" s="42">
        <f>IF($CO6="P",CN6,(CN6+BM6)/2)</f>
        <v>0</v>
      </c>
      <c r="PR6" s="51" t="s">
        <v>58</v>
      </c>
      <c r="PS6" s="76">
        <f>IF(SUM(OY6,PC6)&gt;0,SUM(OY6,PC6),"")</f>
        <v>7.55</v>
      </c>
      <c r="PT6" s="76">
        <f>IF(SUM(OX6:OY6,PA6:PC6,PE6)-OZ6-PD6&gt;0,SUM(OX6:OY6,PA6:PC6,PE6)-OZ6-PD6,"")</f>
        <v>39.549999999999997</v>
      </c>
      <c r="PU6" s="76" t="str">
        <f>IF(SUM(PF6:PG6,PI6)-PH6&gt;0,SUM(PF6:PG6,PI6)-PH6,"")</f>
        <v/>
      </c>
      <c r="PV6" s="76">
        <f>IF(SUM(PK6,PO6)&gt;0,SUM(PK6,PO6),"")</f>
        <v>5.15</v>
      </c>
      <c r="PW6" s="76">
        <f>IF(SUM(PJ6:PK6,PM6:PO6,PQ6)-SUM(PL6,PP6)&gt;0,SUM(PJ6:PK6,PM6:PO6,PQ6)-SUM(PL6,PP6),"")</f>
        <v>22.8</v>
      </c>
      <c r="PX6" s="76">
        <f>IF(SUM(PT6,PW6)&gt;0,SUM(PT6,PW6),"")</f>
        <v>62.349999999999994</v>
      </c>
    </row>
    <row r="7" spans="1:440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150</v>
      </c>
      <c r="C7" s="7" t="s">
        <v>5</v>
      </c>
      <c r="D7" s="18">
        <v>2004</v>
      </c>
      <c r="E7" s="14">
        <f>SUM(J7:P7)+SUM(J7:N7)*0.0000001+SUM(J7)*0.0000000000001</f>
        <v>132.70001324000438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/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/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44.1</v>
      </c>
      <c r="K7" s="13" t="str">
        <f>IF(J7=0,"",IF(J7=CQ7,$BU$1,IF(J7=BP7,$AT$1,IF(J7=AO7,$S$1,""))))</f>
        <v>2022 Elite Canada</v>
      </c>
      <c r="L7" s="13">
        <f>IF(COUNT(AO7,BP7,CQ7)&gt;1,LARGE((AO7,BP7,CQ7),2),0)</f>
        <v>43.699999999999996</v>
      </c>
      <c r="M7" s="13" t="str">
        <f>IF(L7=0,"",IF(L7=CQ7,$BU$1,IF(L7=BP7,$AT$1,IF(L7=AO7,$S$1,""))))</f>
        <v>2022 Nationals</v>
      </c>
      <c r="N7" s="13">
        <f>IF(MAX(AR7,BS7,CT7)&gt;0,MAX(AR7,BS7,CT7),0)</f>
        <v>44.6</v>
      </c>
      <c r="O7" s="13" t="str">
        <f>IF(N7=0,"",IF(N7=CT7,$BU$1,IF(N7=BS7,$AT$1,IF(N7=AR7,$S$1,""))))</f>
        <v>2022 Elite Canada</v>
      </c>
      <c r="P7" s="13">
        <f>IF(MAX(CV7:CW7)&gt;0,MAX(CV7:CW7),"")</f>
        <v>0.29999999999999716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Coimbra Gym Fest (June 26)</v>
      </c>
      <c r="S7" s="27">
        <v>16.5</v>
      </c>
      <c r="T7" s="27">
        <v>4.7</v>
      </c>
      <c r="U7" s="27">
        <v>0</v>
      </c>
      <c r="V7" s="27">
        <v>0.3</v>
      </c>
      <c r="W7" s="27">
        <v>17</v>
      </c>
      <c r="X7" s="27">
        <v>5</v>
      </c>
      <c r="Y7" s="27">
        <v>0</v>
      </c>
      <c r="Z7" s="27">
        <v>0.6</v>
      </c>
      <c r="AA7" s="27"/>
      <c r="AB7" s="27"/>
      <c r="AC7" s="27"/>
      <c r="AD7" s="27"/>
      <c r="AE7" s="27">
        <v>17.399999999999999</v>
      </c>
      <c r="AF7" s="27">
        <v>4.7</v>
      </c>
      <c r="AG7" s="27">
        <v>0</v>
      </c>
      <c r="AH7" s="27">
        <v>0.3</v>
      </c>
      <c r="AI7" s="27">
        <v>16.8</v>
      </c>
      <c r="AJ7" s="27">
        <v>4.8</v>
      </c>
      <c r="AK7" s="27">
        <v>0</v>
      </c>
      <c r="AL7" s="27">
        <v>0.6</v>
      </c>
      <c r="AM7" s="51"/>
      <c r="AN7" s="76">
        <f>IF(SUM(T7,X7)&gt;0,SUM(T7,X7),"")</f>
        <v>9.6999999999999993</v>
      </c>
      <c r="AO7" s="76">
        <f>IF(SUM(S7:T7,V7:X7,Z7)-U7-Y7&gt;0,SUM(S7:T7,V7:X7,Z7)-U7-Y7,"")</f>
        <v>44.1</v>
      </c>
      <c r="AP7" s="76" t="str">
        <f>IF(SUM(AA7:AB7,AD7)-AC7&gt;0,SUM(AA7:AB7,AD7)-AC7,"")</f>
        <v/>
      </c>
      <c r="AQ7" s="76">
        <f>IF(SUM(AF7,AJ7)&gt;0,SUM(AF7,AJ7),"")</f>
        <v>9.5</v>
      </c>
      <c r="AR7" s="76">
        <f>IF(SUM(AE7:AF7,AH7:AJ7,AL7)-SUM(AG7,AK7)&gt;0,SUM(AE7:AF7,AH7:AJ7,AL7)-SUM(AG7,AK7),"")</f>
        <v>44.6</v>
      </c>
      <c r="AS7" s="76">
        <f>IF(SUM(AO7,AR7)&gt;0,SUM(AO7,AR7),"")</f>
        <v>88.7</v>
      </c>
      <c r="AT7" s="26">
        <v>17.600000000000001</v>
      </c>
      <c r="AU7" s="26">
        <v>4.8</v>
      </c>
      <c r="AV7" s="26">
        <v>0.9</v>
      </c>
      <c r="AW7" s="26">
        <v>0</v>
      </c>
      <c r="AX7" s="26">
        <v>16.399999999999999</v>
      </c>
      <c r="AY7" s="26">
        <v>5.8</v>
      </c>
      <c r="AZ7" s="26">
        <v>0</v>
      </c>
      <c r="BA7" s="26">
        <v>0</v>
      </c>
      <c r="BB7" s="26"/>
      <c r="BC7" s="26"/>
      <c r="BD7" s="26"/>
      <c r="BE7" s="26"/>
      <c r="BF7" s="26">
        <v>15.5</v>
      </c>
      <c r="BG7" s="26">
        <v>4.4000000000000004</v>
      </c>
      <c r="BH7" s="26">
        <v>0.6</v>
      </c>
      <c r="BI7" s="26">
        <v>0</v>
      </c>
      <c r="BJ7" s="26">
        <v>15.6</v>
      </c>
      <c r="BK7" s="26">
        <v>3</v>
      </c>
      <c r="BL7" s="26">
        <v>0</v>
      </c>
      <c r="BM7" s="26">
        <v>0</v>
      </c>
      <c r="BN7" s="52"/>
      <c r="BO7" s="16">
        <f>IF(SUM(AU7,AY7)&gt;0,SUM(AU7,AY7),"")</f>
        <v>10.6</v>
      </c>
      <c r="BP7" s="16">
        <f>IF(SUM(AT7:AU7,AW7:AY7,BA7)-AV7-AZ7&gt;0,SUM(AT7:AU7,AW7:AY7,BA7)-AV7-AZ7,"")</f>
        <v>43.699999999999996</v>
      </c>
      <c r="BQ7" s="16" t="str">
        <f>IF(SUM(BB7:BC7,BE7)-BD7&gt;0,SUM(BB7:BC7,BE7)-BD7,"")</f>
        <v/>
      </c>
      <c r="BR7" s="16">
        <f>IF(SUM(BG7,BK7)&gt;0,SUM(BG7,BK7),"")</f>
        <v>7.4</v>
      </c>
      <c r="BS7" s="16">
        <f>IF(SUM(BF7:BG7,BI7:BK7,BM7)-SUM(BH7,BL7)&gt;0,SUM(BF7:BG7,BI7:BK7,BM7)-SUM(BH7,BL7),"")</f>
        <v>37.9</v>
      </c>
      <c r="BT7" s="16">
        <f>IF(SUM(BP7,BS7)&gt;0,SUM(BP7,BS7),"")</f>
        <v>81.599999999999994</v>
      </c>
      <c r="BU7" s="27">
        <v>15.3</v>
      </c>
      <c r="BV7" s="27">
        <v>5.5</v>
      </c>
      <c r="BW7" s="27">
        <v>0</v>
      </c>
      <c r="BX7" s="27">
        <v>0</v>
      </c>
      <c r="BY7" s="27">
        <v>16.8</v>
      </c>
      <c r="BZ7" s="27">
        <v>5.5</v>
      </c>
      <c r="CA7" s="27">
        <v>0</v>
      </c>
      <c r="CB7" s="27">
        <v>0</v>
      </c>
      <c r="CC7" s="27"/>
      <c r="CD7" s="27"/>
      <c r="CE7" s="27"/>
      <c r="CF7" s="27"/>
      <c r="CG7" s="27">
        <v>16.54</v>
      </c>
      <c r="CH7" s="27">
        <v>5.7</v>
      </c>
      <c r="CI7" s="27">
        <v>0</v>
      </c>
      <c r="CJ7" s="27">
        <v>0</v>
      </c>
      <c r="CK7" s="27">
        <v>16.399999999999999</v>
      </c>
      <c r="CL7" s="27">
        <v>5.0999999999999996</v>
      </c>
      <c r="CM7" s="27">
        <v>0</v>
      </c>
      <c r="CN7" s="27">
        <v>0</v>
      </c>
      <c r="CO7" s="51"/>
      <c r="CP7" s="76">
        <f>IF(SUM(BV7,BZ7)&gt;0,SUM(BV7,BZ7),"")</f>
        <v>11</v>
      </c>
      <c r="CQ7" s="76">
        <f>IF(SUM(BU7:BV7,BX7:BZ7,CB7)-BW7-CA7&gt;0,SUM(BU7:BV7,BX7:BZ7,CB7)-BW7-CA7,"")</f>
        <v>43.1</v>
      </c>
      <c r="CR7" s="76" t="str">
        <f>IF(SUM(CC7:CD7,CF7)-CE7&gt;0,SUM(CC7:CD7,CF7)-CE7,"")</f>
        <v/>
      </c>
      <c r="CS7" s="76">
        <f>IF(SUM(CH7,CL7)&gt;0,SUM(CH7,CL7),"")</f>
        <v>10.8</v>
      </c>
      <c r="CT7" s="76">
        <f>IF(SUM(CG7:CH7,CJ7:CL7,CN7)-SUM(CI7,CM7)&gt;0,SUM(CG7:CH7,CJ7:CL7,CN7)-SUM(CI7,CM7),"")</f>
        <v>43.74</v>
      </c>
      <c r="CU7" s="76">
        <f>IF(SUM(CQ7,CT7)&gt;0,SUM(CQ7,CT7),"")</f>
        <v>86.84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0.29999999999999716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>
        <v>15.3</v>
      </c>
      <c r="EY7" s="25">
        <v>2.9</v>
      </c>
      <c r="EZ7" s="25">
        <v>0</v>
      </c>
      <c r="FA7" s="25">
        <v>0</v>
      </c>
      <c r="FB7" s="25">
        <v>17</v>
      </c>
      <c r="FC7" s="25">
        <v>4.8</v>
      </c>
      <c r="FD7" s="25">
        <v>0</v>
      </c>
      <c r="FE7" s="25">
        <v>0</v>
      </c>
      <c r="FF7" s="25"/>
      <c r="FG7" s="25"/>
      <c r="FH7" s="25"/>
      <c r="FI7" s="25"/>
      <c r="FJ7" s="25">
        <v>16.600000000000001</v>
      </c>
      <c r="FK7" s="25">
        <v>5.3</v>
      </c>
      <c r="FL7" s="25">
        <v>0.2</v>
      </c>
      <c r="FM7" s="25">
        <v>0</v>
      </c>
      <c r="FN7" s="25">
        <v>16.899999999999999</v>
      </c>
      <c r="FO7" s="25">
        <v>4.4000000000000004</v>
      </c>
      <c r="FP7" s="25">
        <v>0.4</v>
      </c>
      <c r="FQ7" s="25">
        <v>0</v>
      </c>
      <c r="FR7" s="76">
        <f>IF(SUM(EY7,FC7)&gt;0,SUM(EY7,FC7),"")</f>
        <v>7.6999999999999993</v>
      </c>
      <c r="FS7" s="76">
        <f>IF(SUM(EX7:EY7,FA7:FC7,FE7)-EZ7-FD7&gt;0,SUM(EX7:EY7,FA7:FC7,FE7)-EZ7-FD7,"")</f>
        <v>40</v>
      </c>
      <c r="FT7" s="76" t="str">
        <f>IF(SUM(FF7:FG7,FI7)-FH7&gt;0,SUM(FF7:FG7,FI7)-FH7,"")</f>
        <v/>
      </c>
      <c r="FU7" s="76">
        <f>IF(SUM(FK7,FO7)&gt;0,SUM(FK7,FO7),"")</f>
        <v>9.6999999999999993</v>
      </c>
      <c r="FV7" s="76">
        <f>IF(SUM(FJ7:FK7,FM7:FO7,FQ7)-SUM(FL7,FP7)&gt;0,SUM(FJ7:FK7,FM7:FO7,FQ7)-SUM(FL7,FP7),"")</f>
        <v>42.599999999999994</v>
      </c>
      <c r="FW7" s="76">
        <f>IF(SUM(FS7,FV7)&gt;0,SUM(FS7,FV7),"")</f>
        <v>82.6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>
        <v>15.3</v>
      </c>
      <c r="HY7" s="26">
        <v>5.3</v>
      </c>
      <c r="HZ7" s="26">
        <v>0</v>
      </c>
      <c r="IA7" s="26">
        <v>0</v>
      </c>
      <c r="IB7" s="26">
        <v>16.5</v>
      </c>
      <c r="IC7" s="26">
        <v>4.8</v>
      </c>
      <c r="ID7" s="26">
        <v>0.2</v>
      </c>
      <c r="IE7" s="26">
        <v>0</v>
      </c>
      <c r="IF7" s="26"/>
      <c r="IG7" s="26"/>
      <c r="IH7" s="26"/>
      <c r="II7" s="26"/>
      <c r="IJ7" s="26">
        <v>17.399999999999999</v>
      </c>
      <c r="IK7" s="26">
        <v>4.8</v>
      </c>
      <c r="IL7" s="26">
        <v>0</v>
      </c>
      <c r="IM7" s="26">
        <v>0</v>
      </c>
      <c r="IN7" s="26">
        <v>17.2</v>
      </c>
      <c r="IO7" s="26">
        <v>5.7</v>
      </c>
      <c r="IP7" s="26">
        <v>0.2</v>
      </c>
      <c r="IQ7" s="26">
        <v>0</v>
      </c>
      <c r="IR7" s="16">
        <f>IF(SUM(HY7,IC7)&gt;0,SUM(HY7,IC7),"")</f>
        <v>10.1</v>
      </c>
      <c r="IS7" s="16">
        <f>IF(SUM(HX7:HY7,IA7:IC7,IE7)-HZ7-ID7&gt;0,SUM(HX7:HY7,IA7:IC7,IE7)-HZ7-ID7,"")</f>
        <v>41.699999999999996</v>
      </c>
      <c r="IT7" s="16" t="str">
        <f>IF(SUM(IF7:IG7,II7)-IH7&gt;0,SUM(IF7:IG7,II7)-IH7,"")</f>
        <v/>
      </c>
      <c r="IU7" s="16">
        <f>IF(SUM(IK7,IO7)&gt;0,SUM(IK7,IO7),"")</f>
        <v>10.5</v>
      </c>
      <c r="IV7" s="16">
        <f>IF(SUM(IJ7:IK7,IM7:IO7,IQ7)-SUM(IL7,IP7)&gt;0,SUM(IJ7:IK7,IM7:IO7,IQ7)-SUM(IL7,IP7),"")</f>
        <v>44.9</v>
      </c>
      <c r="IW7" s="16">
        <f>IF(SUM(IS7,IV7)&gt;0,SUM(IS7,IV7),"")</f>
        <v>86.6</v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16.450000000000003</v>
      </c>
      <c r="OY7" s="42">
        <f>IF($CO7="P",BV7,(BV7+AU7)/2)</f>
        <v>5.15</v>
      </c>
      <c r="OZ7" s="42">
        <f>IF($CO7="P",BW7,(BW7+AV7)/2)</f>
        <v>0.45</v>
      </c>
      <c r="PA7" s="42">
        <f>IF($CO7="P",BX7,(BX7+AW7)/2)</f>
        <v>0</v>
      </c>
      <c r="PB7" s="42">
        <f>IF($CO7="P",BY7,(BY7+AX7)/2)</f>
        <v>16.600000000000001</v>
      </c>
      <c r="PC7" s="42">
        <f>IF($CO7="P",BZ7,(BZ7+AY7)/2)</f>
        <v>5.65</v>
      </c>
      <c r="PD7" s="42">
        <f>IF($CO7="P",CA7,(CA7+AZ7)/2)</f>
        <v>0</v>
      </c>
      <c r="PE7" s="42">
        <f>IF($CO7="P",CB7,(CB7+BA7)/2)</f>
        <v>0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16.02</v>
      </c>
      <c r="PK7" s="42">
        <f>IF($CO7="P",CH7,(CH7+BG7)/2)</f>
        <v>5.0500000000000007</v>
      </c>
      <c r="PL7" s="42">
        <f>IF($CO7="P",CI7,(CI7+BH7)/2)</f>
        <v>0.3</v>
      </c>
      <c r="PM7" s="42">
        <f>IF($CO7="P",CJ7,(CJ7+BI7)/2)</f>
        <v>0</v>
      </c>
      <c r="PN7" s="42">
        <f>IF($CO7="P",CK7,(CK7+BJ7)/2)</f>
        <v>16</v>
      </c>
      <c r="PO7" s="42">
        <f>IF($CO7="P",CL7,(CL7+BK7)/2)</f>
        <v>4.05</v>
      </c>
      <c r="PP7" s="42">
        <f>IF($CO7="P",CM7,(CM7+BL7)/2)</f>
        <v>0</v>
      </c>
      <c r="PQ7" s="42">
        <f>IF($CO7="P",CN7,(CN7+BM7)/2)</f>
        <v>0</v>
      </c>
      <c r="PR7" s="51" t="s">
        <v>58</v>
      </c>
      <c r="PS7" s="76">
        <f>IF(SUM(OY7,PC7)&gt;0,SUM(OY7,PC7),"")</f>
        <v>10.8</v>
      </c>
      <c r="PT7" s="76">
        <f>IF(SUM(OX7:OY7,PA7:PC7,PE7)-OZ7-PD7&gt;0,SUM(OX7:OY7,PA7:PC7,PE7)-OZ7-PD7,"")</f>
        <v>43.4</v>
      </c>
      <c r="PU7" s="76" t="str">
        <f>IF(SUM(PF7:PG7,PI7)-PH7&gt;0,SUM(PF7:PG7,PI7)-PH7,"")</f>
        <v/>
      </c>
      <c r="PV7" s="76">
        <f>IF(SUM(PK7,PO7)&gt;0,SUM(PK7,PO7),"")</f>
        <v>9.1000000000000014</v>
      </c>
      <c r="PW7" s="76">
        <f>IF(SUM(PJ7:PK7,PM7:PO7,PQ7)-SUM(PL7,PP7)&gt;0,SUM(PJ7:PK7,PM7:PO7,PQ7)-SUM(PL7,PP7),"")</f>
        <v>40.82</v>
      </c>
      <c r="PX7" s="76">
        <f>IF(SUM(PT7,PW7)&gt;0,SUM(PT7,PW7),"")</f>
        <v>84.22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200</v>
      </c>
      <c r="C8" s="7" t="s">
        <v>5</v>
      </c>
      <c r="D8" s="18">
        <v>2003</v>
      </c>
      <c r="E8" s="14">
        <f>SUM(J8:P8)+SUM(J8:N8)*0.0000001+SUM(J8)*0.0000000000001</f>
        <v>122.30001223000434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43.5</v>
      </c>
      <c r="K8" s="13" t="str">
        <f>IF(J8=0,"",IF(J8=CQ8,$BU$1,IF(J8=BP8,$AT$1,IF(J8=AO8,$S$1,""))))</f>
        <v>2022 Nationals</v>
      </c>
      <c r="L8" s="13">
        <f>IF(COUNT(AO8,BP8,CQ8)&gt;1,LARGE((AO8,BP8,CQ8),2),0)</f>
        <v>36.199999999999996</v>
      </c>
      <c r="M8" s="13" t="str">
        <f>IF(L8=0,"",IF(L8=CQ8,$BU$1,IF(L8=BP8,$AT$1,IF(L8=AO8,$S$1,""))))</f>
        <v>2022 3rd Domestic Trial</v>
      </c>
      <c r="N8" s="13">
        <f>IF(MAX(AR8,BS8,CT8)&gt;0,MAX(AR8,BS8,CT8),0)</f>
        <v>42.600000000000009</v>
      </c>
      <c r="O8" s="13" t="str">
        <f>IF(N8=0,"",IF(N8=CT8,$BU$1,IF(N8=BS8,$AT$1,IF(N8=AR8,$S$1,""))))</f>
        <v>2022 Nationals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>IF(SUM(T8,X8)&gt;0,SUM(T8,X8),"")</f>
        <v/>
      </c>
      <c r="AO8" s="76" t="str">
        <f>IF(SUM(S8:T8,V8:X8,Z8)-U8-Y8&gt;0,SUM(S8:T8,V8:X8,Z8)-U8-Y8,"")</f>
        <v/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 t="str">
        <f>IF(SUM(AO8,AR8)&gt;0,SUM(AO8,AR8),"")</f>
        <v/>
      </c>
      <c r="AT8" s="26">
        <v>16.399999999999999</v>
      </c>
      <c r="AU8" s="26">
        <v>5.5</v>
      </c>
      <c r="AV8" s="26">
        <v>0.2</v>
      </c>
      <c r="AW8" s="26">
        <v>0</v>
      </c>
      <c r="AX8" s="26">
        <v>16.3</v>
      </c>
      <c r="AY8" s="26">
        <v>5.5</v>
      </c>
      <c r="AZ8" s="26">
        <v>0</v>
      </c>
      <c r="BA8" s="26">
        <v>0</v>
      </c>
      <c r="BB8" s="26"/>
      <c r="BC8" s="26"/>
      <c r="BD8" s="26"/>
      <c r="BE8" s="26"/>
      <c r="BF8" s="26">
        <v>17</v>
      </c>
      <c r="BG8" s="26">
        <v>5.3</v>
      </c>
      <c r="BH8" s="26">
        <v>0</v>
      </c>
      <c r="BI8" s="26">
        <v>0</v>
      </c>
      <c r="BJ8" s="26">
        <v>16.100000000000001</v>
      </c>
      <c r="BK8" s="26">
        <v>4.7</v>
      </c>
      <c r="BL8" s="26">
        <v>0.5</v>
      </c>
      <c r="BM8" s="26">
        <v>0</v>
      </c>
      <c r="BN8" s="52"/>
      <c r="BO8" s="16">
        <f>IF(SUM(AU8,AY8)&gt;0,SUM(AU8,AY8),"")</f>
        <v>11</v>
      </c>
      <c r="BP8" s="16">
        <f>IF(SUM(AT8:AU8,AW8:AY8,BA8)-AV8-AZ8&gt;0,SUM(AT8:AU8,AW8:AY8,BA8)-AV8-AZ8,"")</f>
        <v>43.5</v>
      </c>
      <c r="BQ8" s="16" t="str">
        <f>IF(SUM(BB8:BC8,BE8)-BD8&gt;0,SUM(BB8:BC8,BE8)-BD8,"")</f>
        <v/>
      </c>
      <c r="BR8" s="16">
        <f>IF(SUM(BG8,BK8)&gt;0,SUM(BG8,BK8),"")</f>
        <v>10</v>
      </c>
      <c r="BS8" s="16">
        <f>IF(SUM(BF8:BG8,BI8:BK8,BM8)-SUM(BH8,BL8)&gt;0,SUM(BF8:BG8,BI8:BK8,BM8)-SUM(BH8,BL8),"")</f>
        <v>42.600000000000009</v>
      </c>
      <c r="BT8" s="16">
        <f>IF(SUM(BP8,BS8)&gt;0,SUM(BP8,BS8),"")</f>
        <v>86.100000000000009</v>
      </c>
      <c r="BU8" s="27">
        <v>15.8</v>
      </c>
      <c r="BV8" s="27">
        <v>2.9</v>
      </c>
      <c r="BW8" s="27">
        <v>0</v>
      </c>
      <c r="BX8" s="27">
        <v>0</v>
      </c>
      <c r="BY8" s="27">
        <v>14.1</v>
      </c>
      <c r="BZ8" s="27">
        <v>4.3</v>
      </c>
      <c r="CA8" s="27">
        <v>0.9</v>
      </c>
      <c r="CB8" s="27">
        <v>0</v>
      </c>
      <c r="CC8" s="27"/>
      <c r="CD8" s="27"/>
      <c r="CE8" s="27"/>
      <c r="CF8" s="27"/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51"/>
      <c r="CP8" s="76">
        <f>IF(SUM(BV8,BZ8)&gt;0,SUM(BV8,BZ8),"")</f>
        <v>7.1999999999999993</v>
      </c>
      <c r="CQ8" s="76">
        <f>IF(SUM(BU8:BV8,BX8:BZ8,CB8)-BW8-CA8&gt;0,SUM(BU8:BV8,BX8:BZ8,CB8)-BW8-CA8,"")</f>
        <v>36.199999999999996</v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>
        <f>IF(SUM(CQ8,CT8)&gt;0,SUM(CQ8,CT8),"")</f>
        <v>36.199999999999996</v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16.100000000000001</v>
      </c>
      <c r="OY8" s="42">
        <f>IF($CO8="P",BV8,(BV8+AU8)/2)</f>
        <v>4.2</v>
      </c>
      <c r="OZ8" s="42">
        <f>IF($CO8="P",BW8,(BW8+AV8)/2)</f>
        <v>0.1</v>
      </c>
      <c r="PA8" s="42">
        <f>IF($CO8="P",BX8,(BX8+AW8)/2)</f>
        <v>0</v>
      </c>
      <c r="PB8" s="42">
        <f>IF($CO8="P",BY8,(BY8+AX8)/2)</f>
        <v>15.2</v>
      </c>
      <c r="PC8" s="42">
        <f>IF($CO8="P",BZ8,(BZ8+AY8)/2)</f>
        <v>4.9000000000000004</v>
      </c>
      <c r="PD8" s="42">
        <f>IF($CO8="P",CA8,(CA8+AZ8)/2)</f>
        <v>0.45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8.5</v>
      </c>
      <c r="PK8" s="42">
        <f>IF($CO8="P",CH8,(CH8+BG8)/2)</f>
        <v>2.65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8.0500000000000007</v>
      </c>
      <c r="PO8" s="42">
        <f>IF($CO8="P",CL8,(CL8+BK8)/2)</f>
        <v>2.35</v>
      </c>
      <c r="PP8" s="42">
        <f>IF($CO8="P",CM8,(CM8+BL8)/2)</f>
        <v>0.25</v>
      </c>
      <c r="PQ8" s="42">
        <f>IF($CO8="P",CN8,(CN8+BM8)/2)</f>
        <v>0</v>
      </c>
      <c r="PR8" s="51" t="s">
        <v>58</v>
      </c>
      <c r="PS8" s="76">
        <f>IF(SUM(OY8,PC8)&gt;0,SUM(OY8,PC8),"")</f>
        <v>9.1000000000000014</v>
      </c>
      <c r="PT8" s="76">
        <f>IF(SUM(OX8:OY8,PA8:PC8,PE8)-OZ8-PD8&gt;0,SUM(OX8:OY8,PA8:PC8,PE8)-OZ8-PD8,"")</f>
        <v>39.849999999999994</v>
      </c>
      <c r="PU8" s="76" t="str">
        <f>IF(SUM(PF8:PG8,PI8)-PH8&gt;0,SUM(PF8:PG8,PI8)-PH8,"")</f>
        <v/>
      </c>
      <c r="PV8" s="76">
        <f>IF(SUM(PK8,PO8)&gt;0,SUM(PK8,PO8),"")</f>
        <v>5</v>
      </c>
      <c r="PW8" s="76">
        <f>IF(SUM(PJ8:PK8,PM8:PO8,PQ8)-SUM(PL8,PP8)&gt;0,SUM(PJ8:PK8,PM8:PO8,PQ8)-SUM(PL8,PP8),"")</f>
        <v>21.300000000000004</v>
      </c>
      <c r="PX8" s="76">
        <f>IF(SUM(PT8,PW8)&gt;0,SUM(PT8,PW8),"")</f>
        <v>61.15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55</v>
      </c>
      <c r="P11" s="15"/>
      <c r="Q11" s="15"/>
      <c r="R11" s="15"/>
      <c r="AN11" s="7"/>
      <c r="AS11" s="78">
        <v>11</v>
      </c>
      <c r="BO11" s="7"/>
      <c r="BT11" s="78">
        <v>11</v>
      </c>
      <c r="CP11" s="7"/>
      <c r="CU11" s="78">
        <v>11</v>
      </c>
      <c r="DR11" s="7"/>
      <c r="DW11" s="78">
        <v>1E-4</v>
      </c>
      <c r="ER11" s="7"/>
      <c r="EW11" s="78">
        <v>11</v>
      </c>
      <c r="FR11" s="7"/>
      <c r="FW11" s="78">
        <v>11</v>
      </c>
      <c r="GR11" s="7"/>
      <c r="GW11" s="78">
        <v>11</v>
      </c>
      <c r="HR11" s="7"/>
      <c r="HW11" s="78">
        <v>11</v>
      </c>
      <c r="IR11" s="7"/>
      <c r="IW11" s="78">
        <v>11</v>
      </c>
      <c r="JR11" s="7"/>
      <c r="JW11" s="78">
        <v>11</v>
      </c>
      <c r="KR11" s="7"/>
      <c r="KW11" s="78">
        <v>11</v>
      </c>
      <c r="LR11" s="7"/>
      <c r="LW11" s="78">
        <v>11</v>
      </c>
      <c r="MR11" s="7"/>
      <c r="MW11" s="78">
        <v>11</v>
      </c>
      <c r="NR11" s="7"/>
      <c r="NW11" s="78">
        <v>11</v>
      </c>
      <c r="OR11" s="7"/>
      <c r="OW11" s="78">
        <v>11</v>
      </c>
    </row>
    <row r="12" spans="1:440" ht="17" x14ac:dyDescent="0.2">
      <c r="B12" s="54" t="s">
        <v>54</v>
      </c>
      <c r="P12" s="15"/>
      <c r="Q12" s="15"/>
      <c r="R12" s="15"/>
      <c r="AN12" s="7"/>
      <c r="AS12" s="93">
        <v>11</v>
      </c>
      <c r="BO12" s="7"/>
      <c r="BT12" s="93">
        <v>11</v>
      </c>
      <c r="CP12" s="7"/>
      <c r="CU12" s="93">
        <v>11</v>
      </c>
      <c r="DR12" s="7"/>
      <c r="DW12" s="93">
        <v>2.0000000000000001E-4</v>
      </c>
      <c r="ER12" s="7"/>
      <c r="EW12" s="93">
        <v>11</v>
      </c>
      <c r="FR12" s="7"/>
      <c r="FW12" s="93">
        <v>11</v>
      </c>
      <c r="GR12" s="7"/>
      <c r="GW12" s="93">
        <v>11</v>
      </c>
      <c r="HR12" s="7"/>
      <c r="HW12" s="93">
        <v>11</v>
      </c>
      <c r="IR12" s="7"/>
      <c r="IW12" s="93">
        <v>11</v>
      </c>
      <c r="JR12" s="7"/>
      <c r="JW12" s="93">
        <v>11</v>
      </c>
      <c r="KR12" s="7"/>
      <c r="KW12" s="93">
        <v>11</v>
      </c>
      <c r="LR12" s="7"/>
      <c r="LW12" s="93">
        <v>11</v>
      </c>
      <c r="MR12" s="7"/>
      <c r="MW12" s="93">
        <v>11</v>
      </c>
      <c r="NR12" s="7"/>
      <c r="NW12" s="93">
        <v>11</v>
      </c>
      <c r="OR12" s="7"/>
      <c r="OW12" s="93">
        <v>11</v>
      </c>
    </row>
    <row r="13" spans="1:440" ht="17" x14ac:dyDescent="0.2">
      <c r="A13" s="35"/>
      <c r="B13" s="55" t="s">
        <v>68</v>
      </c>
      <c r="C13" s="34"/>
      <c r="P13" s="15"/>
      <c r="Q13" s="15"/>
      <c r="R13" s="15"/>
      <c r="AN13" s="7"/>
      <c r="AS13" s="80">
        <v>11</v>
      </c>
      <c r="BO13" s="7"/>
      <c r="BT13" s="80">
        <v>11</v>
      </c>
      <c r="CP13" s="7"/>
      <c r="CU13" s="80">
        <v>11</v>
      </c>
      <c r="DR13" s="7"/>
      <c r="DW13" s="80">
        <v>2.9999999999999997E-4</v>
      </c>
      <c r="ER13" s="7"/>
      <c r="EW13" s="80">
        <v>11</v>
      </c>
      <c r="FR13" s="7"/>
      <c r="FW13" s="80">
        <v>11</v>
      </c>
      <c r="GR13" s="7"/>
      <c r="GW13" s="80">
        <v>11</v>
      </c>
      <c r="HR13" s="7"/>
      <c r="HW13" s="80">
        <v>11</v>
      </c>
      <c r="IR13" s="7"/>
      <c r="IW13" s="80">
        <v>11</v>
      </c>
      <c r="JR13" s="7"/>
      <c r="JW13" s="80">
        <v>11</v>
      </c>
      <c r="KR13" s="7"/>
      <c r="KW13" s="80">
        <v>11</v>
      </c>
      <c r="LR13" s="7"/>
      <c r="LW13" s="80">
        <v>11</v>
      </c>
      <c r="MR13" s="7"/>
      <c r="MW13" s="80">
        <v>11</v>
      </c>
      <c r="NR13" s="7"/>
      <c r="NW13" s="80">
        <v>11</v>
      </c>
      <c r="OR13" s="7"/>
      <c r="OW13" s="80">
        <v>11</v>
      </c>
    </row>
    <row r="14" spans="1:440" ht="17" x14ac:dyDescent="0.2">
      <c r="A14" s="35"/>
      <c r="B14" s="66" t="s">
        <v>81</v>
      </c>
      <c r="C14" s="34"/>
      <c r="P14" s="15"/>
      <c r="Q14" s="15"/>
      <c r="R14" s="15"/>
      <c r="AN14" s="7"/>
      <c r="AS14" s="81">
        <v>14.6</v>
      </c>
      <c r="BO14" s="7"/>
      <c r="BT14" s="81">
        <v>14.6</v>
      </c>
      <c r="CP14" s="7"/>
      <c r="CU14" s="81">
        <v>14.6</v>
      </c>
      <c r="DR14" s="7"/>
      <c r="DW14" s="81">
        <v>2.9999999999999997E-4</v>
      </c>
      <c r="ER14" s="7"/>
      <c r="EW14" s="81">
        <v>14.6</v>
      </c>
      <c r="FR14" s="7"/>
      <c r="FW14" s="81">
        <v>14.6</v>
      </c>
      <c r="GR14" s="7"/>
      <c r="GW14" s="81">
        <v>14.6</v>
      </c>
      <c r="HR14" s="7"/>
      <c r="HW14" s="81">
        <v>14.6</v>
      </c>
      <c r="IR14" s="7"/>
      <c r="IW14" s="81">
        <v>14.6</v>
      </c>
      <c r="JR14" s="7"/>
      <c r="JW14" s="81">
        <v>14.6</v>
      </c>
      <c r="KR14" s="7"/>
      <c r="KW14" s="81">
        <v>14.6</v>
      </c>
      <c r="LR14" s="7"/>
      <c r="LW14" s="81">
        <v>14.6</v>
      </c>
      <c r="MR14" s="7"/>
      <c r="MW14" s="81">
        <v>14.6</v>
      </c>
      <c r="NR14" s="7"/>
      <c r="NW14" s="81">
        <v>14.6</v>
      </c>
      <c r="OR14" s="7"/>
      <c r="OW14" s="81">
        <v>14.6</v>
      </c>
    </row>
    <row r="15" spans="1:440" ht="17" x14ac:dyDescent="0.2">
      <c r="A15" s="35"/>
      <c r="B15" s="65" t="s">
        <v>52</v>
      </c>
      <c r="C15" s="34"/>
      <c r="P15" s="15"/>
      <c r="Q15" s="15"/>
      <c r="R15" s="15"/>
      <c r="AN15" s="7"/>
      <c r="AS15" s="82">
        <v>45</v>
      </c>
      <c r="BO15" s="7"/>
      <c r="BT15" s="82">
        <v>45</v>
      </c>
      <c r="CP15" s="7"/>
      <c r="CU15" s="82">
        <v>45</v>
      </c>
      <c r="DR15" s="7"/>
      <c r="DW15" s="82">
        <v>4.0000000000000002E-4</v>
      </c>
      <c r="ER15" s="7"/>
      <c r="EW15" s="82">
        <v>45</v>
      </c>
      <c r="FR15" s="7"/>
      <c r="FW15" s="82">
        <v>45</v>
      </c>
      <c r="GR15" s="7"/>
      <c r="GW15" s="82">
        <v>45</v>
      </c>
      <c r="HR15" s="7"/>
      <c r="HW15" s="82">
        <v>45</v>
      </c>
      <c r="IR15" s="7"/>
      <c r="IW15" s="82">
        <v>45</v>
      </c>
      <c r="JR15" s="7"/>
      <c r="JW15" s="82">
        <v>45</v>
      </c>
      <c r="KR15" s="7"/>
      <c r="KW15" s="82">
        <v>45</v>
      </c>
      <c r="LR15" s="7"/>
      <c r="LW15" s="82">
        <v>45</v>
      </c>
      <c r="MR15" s="7"/>
      <c r="MW15" s="82">
        <v>45</v>
      </c>
      <c r="NR15" s="7"/>
      <c r="NW15" s="82">
        <v>45</v>
      </c>
      <c r="OR15" s="7"/>
      <c r="OW15" s="82">
        <v>45</v>
      </c>
    </row>
    <row r="16" spans="1:440" ht="17" x14ac:dyDescent="0.2">
      <c r="A16" s="35"/>
      <c r="B16" s="44" t="s">
        <v>53</v>
      </c>
      <c r="C16" s="34"/>
      <c r="P16" s="15"/>
      <c r="Q16" s="15"/>
      <c r="R16" s="15"/>
      <c r="AN16" s="7"/>
      <c r="AS16" s="83">
        <v>46.2</v>
      </c>
      <c r="BO16" s="7"/>
      <c r="BT16" s="83">
        <v>46.2</v>
      </c>
      <c r="CP16" s="7"/>
      <c r="CU16" s="83">
        <v>46.2</v>
      </c>
      <c r="DR16" s="7"/>
      <c r="DW16" s="83">
        <v>4.0000000000000002E-4</v>
      </c>
      <c r="ER16" s="7"/>
      <c r="EW16" s="83">
        <v>46.2</v>
      </c>
      <c r="FR16" s="7"/>
      <c r="FW16" s="83">
        <v>46.2</v>
      </c>
      <c r="GR16" s="7"/>
      <c r="GW16" s="83">
        <v>46.2</v>
      </c>
      <c r="HR16" s="7"/>
      <c r="HW16" s="83">
        <v>46.2</v>
      </c>
      <c r="IR16" s="7"/>
      <c r="IW16" s="83">
        <v>46.2</v>
      </c>
      <c r="JR16" s="7"/>
      <c r="JW16" s="83">
        <v>46.2</v>
      </c>
      <c r="KR16" s="7"/>
      <c r="KW16" s="83">
        <v>46.2</v>
      </c>
      <c r="LR16" s="7"/>
      <c r="LW16" s="83">
        <v>46.2</v>
      </c>
      <c r="MR16" s="7"/>
      <c r="MW16" s="83">
        <v>46.2</v>
      </c>
      <c r="NR16" s="7"/>
      <c r="NW16" s="83">
        <v>46.2</v>
      </c>
      <c r="OR16" s="7"/>
      <c r="OW16" s="83">
        <v>46.2</v>
      </c>
    </row>
    <row r="17" spans="1:413" ht="17" x14ac:dyDescent="0.2">
      <c r="A17" s="35"/>
      <c r="B17" s="64" t="s">
        <v>67</v>
      </c>
      <c r="C17" s="34"/>
      <c r="P17" s="15"/>
      <c r="Q17" s="15"/>
      <c r="R17" s="15"/>
      <c r="AN17" s="7"/>
      <c r="AS17" s="84">
        <v>47.4</v>
      </c>
      <c r="BO17" s="7"/>
      <c r="BT17" s="84">
        <v>47.4</v>
      </c>
      <c r="CP17" s="7"/>
      <c r="CU17" s="84">
        <v>47.4</v>
      </c>
      <c r="DR17" s="7"/>
      <c r="DW17" s="84">
        <v>4.0000000000000002E-4</v>
      </c>
      <c r="ER17" s="7"/>
      <c r="EW17" s="84">
        <v>47.4</v>
      </c>
      <c r="FR17" s="7"/>
      <c r="FW17" s="84">
        <v>47.4</v>
      </c>
      <c r="GR17" s="7"/>
      <c r="GW17" s="84">
        <v>47.4</v>
      </c>
      <c r="HR17" s="7"/>
      <c r="HW17" s="84">
        <v>47.4</v>
      </c>
      <c r="IR17" s="7"/>
      <c r="IW17" s="84">
        <v>47.4</v>
      </c>
      <c r="JR17" s="7"/>
      <c r="JW17" s="84">
        <v>47.4</v>
      </c>
      <c r="KR17" s="7"/>
      <c r="KW17" s="84">
        <v>47.4</v>
      </c>
      <c r="LR17" s="7"/>
      <c r="LW17" s="84">
        <v>47.4</v>
      </c>
      <c r="MR17" s="7"/>
      <c r="MW17" s="84">
        <v>47.4</v>
      </c>
      <c r="NR17" s="7"/>
      <c r="NW17" s="84">
        <v>47.4</v>
      </c>
      <c r="OR17" s="7"/>
      <c r="OW17" s="84">
        <v>47.4</v>
      </c>
    </row>
    <row r="18" spans="1:413" ht="17" x14ac:dyDescent="0.2">
      <c r="A18" s="35"/>
      <c r="B18" s="45" t="s">
        <v>36</v>
      </c>
      <c r="C18" s="34"/>
      <c r="P18" s="15"/>
      <c r="Q18" s="15"/>
      <c r="R18" s="15"/>
      <c r="AN18" s="7"/>
      <c r="AS18" s="85">
        <v>51</v>
      </c>
      <c r="BO18" s="7"/>
      <c r="BT18" s="85">
        <v>51</v>
      </c>
      <c r="CP18" s="7"/>
      <c r="CU18" s="85">
        <v>51</v>
      </c>
      <c r="DR18" s="7"/>
      <c r="DT18" s="70" t="s">
        <v>155</v>
      </c>
      <c r="DW18" s="85">
        <v>4.0000000000000002E-4</v>
      </c>
      <c r="ER18" s="7"/>
      <c r="EW18" s="85">
        <v>51</v>
      </c>
      <c r="FR18" s="7"/>
      <c r="FW18" s="85">
        <v>51</v>
      </c>
      <c r="GR18" s="7"/>
      <c r="GW18" s="85">
        <v>51</v>
      </c>
      <c r="HR18" s="7"/>
      <c r="HW18" s="85">
        <v>51</v>
      </c>
      <c r="IR18" s="7"/>
      <c r="IW18" s="85">
        <v>51</v>
      </c>
      <c r="JR18" s="7"/>
      <c r="JW18" s="85">
        <v>51</v>
      </c>
      <c r="KR18" s="7"/>
      <c r="KW18" s="85">
        <v>51</v>
      </c>
      <c r="LR18" s="7"/>
      <c r="LW18" s="85">
        <v>51</v>
      </c>
      <c r="MR18" s="7"/>
      <c r="MW18" s="85">
        <v>51</v>
      </c>
      <c r="NR18" s="7"/>
      <c r="NW18" s="85">
        <v>51</v>
      </c>
      <c r="OR18" s="7"/>
      <c r="OW18" s="85">
        <v>51</v>
      </c>
    </row>
    <row r="19" spans="1:413" x14ac:dyDescent="0.2">
      <c r="B19" s="53" t="s">
        <v>59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8">
      <sortCondition descending="1" ref="F1:F9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8">
    <cfRule type="expression" dxfId="119" priority="5" stopIfTrue="1">
      <formula>IF($AM4&lt;&gt;"",1,0)</formula>
    </cfRule>
  </conditionalFormatting>
  <conditionalFormatting sqref="AT4:BT8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8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AS$14</formula>
      <formula>1000</formula>
    </cfRule>
    <cfRule type="cellIs" dxfId="106" priority="57299" operator="between">
      <formula>AS$13</formula>
      <formula>AS$14</formula>
    </cfRule>
    <cfRule type="cellIs" dxfId="105" priority="57300" operator="between">
      <formula>AS$12</formula>
      <formula>AS$13</formula>
    </cfRule>
    <cfRule type="cellIs" dxfId="104" priority="57301" operator="between">
      <formula>AS$11</formula>
      <formula>AS$12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AS$18</formula>
      <formula>1000</formula>
    </cfRule>
    <cfRule type="cellIs" dxfId="102" priority="57479" operator="between">
      <formula>AS$17</formula>
      <formula>AS$18</formula>
    </cfRule>
    <cfRule type="cellIs" dxfId="101" priority="57480" operator="between">
      <formula>AS$16</formula>
      <formula>AS$17</formula>
    </cfRule>
    <cfRule type="cellIs" dxfId="100" priority="57481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AS$11</formula>
      <formula>AS$12</formula>
    </cfRule>
    <cfRule type="cellIs" dxfId="98" priority="57659" operator="between">
      <formula>AS$12</formula>
      <formula>AS$13</formula>
    </cfRule>
    <cfRule type="cellIs" dxfId="97" priority="57660" operator="between">
      <formula>AS$13</formula>
      <formula>AS$14</formula>
    </cfRule>
    <cfRule type="cellIs" dxfId="96" priority="57661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AS$15</formula>
      <formula>AS$16</formula>
    </cfRule>
    <cfRule type="cellIs" dxfId="94" priority="57839" operator="between">
      <formula>AS$16</formula>
      <formula>AS$17</formula>
    </cfRule>
    <cfRule type="cellIs" dxfId="93" priority="57840" operator="between">
      <formula>AS$17</formula>
      <formula>AS$18</formula>
    </cfRule>
    <cfRule type="cellIs" dxfId="92" priority="57841" operator="between">
      <formula>AS$18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7" t="s">
        <v>13</v>
      </c>
      <c r="O1" s="117" t="s">
        <v>34</v>
      </c>
      <c r="P1" s="121" t="s">
        <v>14</v>
      </c>
      <c r="Q1" s="117" t="s">
        <v>35</v>
      </c>
      <c r="R1" s="117" t="s">
        <v>34</v>
      </c>
      <c r="S1" s="114" t="s">
        <v>127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182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209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65</v>
      </c>
      <c r="CW1" s="116"/>
      <c r="CX1" s="114" t="s">
        <v>103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153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156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178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 t="s">
        <v>180</v>
      </c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69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128</v>
      </c>
      <c r="T2" s="112"/>
      <c r="U2" s="112"/>
      <c r="V2" s="112"/>
      <c r="W2" s="112" t="s">
        <v>129</v>
      </c>
      <c r="X2" s="112"/>
      <c r="Y2" s="112"/>
      <c r="Z2" s="112"/>
      <c r="AA2" s="112" t="s">
        <v>130</v>
      </c>
      <c r="AB2" s="112"/>
      <c r="AC2" s="112"/>
      <c r="AD2" s="112"/>
      <c r="AE2" s="112" t="s">
        <v>131</v>
      </c>
      <c r="AF2" s="112"/>
      <c r="AG2" s="112"/>
      <c r="AH2" s="112"/>
      <c r="AI2" s="122" t="s">
        <v>132</v>
      </c>
      <c r="AJ2" s="122"/>
      <c r="AK2" s="122"/>
      <c r="AL2" s="122"/>
      <c r="AM2" s="49"/>
      <c r="AN2" s="88" t="s">
        <v>133</v>
      </c>
      <c r="AO2" s="88" t="s">
        <v>134</v>
      </c>
      <c r="AP2" s="88" t="s">
        <v>130</v>
      </c>
      <c r="AQ2" s="88" t="s">
        <v>71</v>
      </c>
      <c r="AR2" s="88" t="s">
        <v>135</v>
      </c>
      <c r="AS2" s="88" t="s">
        <v>18</v>
      </c>
      <c r="AT2" s="113" t="s">
        <v>128</v>
      </c>
      <c r="AU2" s="113"/>
      <c r="AV2" s="113"/>
      <c r="AW2" s="113"/>
      <c r="AX2" s="113" t="s">
        <v>129</v>
      </c>
      <c r="AY2" s="113"/>
      <c r="AZ2" s="113"/>
      <c r="BA2" s="113"/>
      <c r="BB2" s="113" t="s">
        <v>130</v>
      </c>
      <c r="BC2" s="113"/>
      <c r="BD2" s="113"/>
      <c r="BE2" s="113"/>
      <c r="BF2" s="113" t="s">
        <v>131</v>
      </c>
      <c r="BG2" s="113"/>
      <c r="BH2" s="113"/>
      <c r="BI2" s="113"/>
      <c r="BJ2" s="123" t="s">
        <v>132</v>
      </c>
      <c r="BK2" s="123"/>
      <c r="BL2" s="123"/>
      <c r="BM2" s="123"/>
      <c r="BN2" s="50"/>
      <c r="BO2" s="89" t="s">
        <v>133</v>
      </c>
      <c r="BP2" s="89" t="s">
        <v>134</v>
      </c>
      <c r="BQ2" s="89" t="s">
        <v>130</v>
      </c>
      <c r="BR2" s="89" t="s">
        <v>71</v>
      </c>
      <c r="BS2" s="89" t="s">
        <v>135</v>
      </c>
      <c r="BT2" s="89" t="s">
        <v>18</v>
      </c>
      <c r="BU2" s="112" t="s">
        <v>128</v>
      </c>
      <c r="BV2" s="112"/>
      <c r="BW2" s="112"/>
      <c r="BX2" s="112"/>
      <c r="BY2" s="112" t="s">
        <v>129</v>
      </c>
      <c r="BZ2" s="112"/>
      <c r="CA2" s="112"/>
      <c r="CB2" s="112"/>
      <c r="CC2" s="112" t="s">
        <v>130</v>
      </c>
      <c r="CD2" s="112"/>
      <c r="CE2" s="112"/>
      <c r="CF2" s="112"/>
      <c r="CG2" s="112" t="s">
        <v>131</v>
      </c>
      <c r="CH2" s="112"/>
      <c r="CI2" s="112"/>
      <c r="CJ2" s="112"/>
      <c r="CK2" s="122" t="s">
        <v>132</v>
      </c>
      <c r="CL2" s="122"/>
      <c r="CM2" s="122"/>
      <c r="CN2" s="122"/>
      <c r="CO2" s="60"/>
      <c r="CP2" s="88" t="s">
        <v>133</v>
      </c>
      <c r="CQ2" s="88" t="s">
        <v>134</v>
      </c>
      <c r="CR2" s="88" t="s">
        <v>130</v>
      </c>
      <c r="CS2" s="88" t="s">
        <v>71</v>
      </c>
      <c r="CT2" s="88" t="s">
        <v>135</v>
      </c>
      <c r="CU2" s="88" t="s">
        <v>18</v>
      </c>
      <c r="CV2" s="86" t="s">
        <v>134</v>
      </c>
      <c r="CW2" s="86" t="s">
        <v>23</v>
      </c>
      <c r="CX2" s="112" t="s">
        <v>128</v>
      </c>
      <c r="CY2" s="112"/>
      <c r="CZ2" s="112"/>
      <c r="DA2" s="112"/>
      <c r="DB2" s="112" t="s">
        <v>129</v>
      </c>
      <c r="DC2" s="112"/>
      <c r="DD2" s="112"/>
      <c r="DE2" s="112"/>
      <c r="DF2" s="112" t="s">
        <v>130</v>
      </c>
      <c r="DG2" s="112"/>
      <c r="DH2" s="112"/>
      <c r="DI2" s="112"/>
      <c r="DJ2" s="112" t="s">
        <v>131</v>
      </c>
      <c r="DK2" s="112"/>
      <c r="DL2" s="112"/>
      <c r="DM2" s="112"/>
      <c r="DN2" s="124" t="s">
        <v>132</v>
      </c>
      <c r="DO2" s="124"/>
      <c r="DP2" s="124"/>
      <c r="DQ2" s="124"/>
      <c r="DR2" s="88" t="s">
        <v>133</v>
      </c>
      <c r="DS2" s="88" t="s">
        <v>134</v>
      </c>
      <c r="DT2" s="88" t="s">
        <v>130</v>
      </c>
      <c r="DU2" s="88" t="s">
        <v>71</v>
      </c>
      <c r="DV2" s="88" t="s">
        <v>135</v>
      </c>
      <c r="DW2" s="88" t="s">
        <v>18</v>
      </c>
      <c r="DX2" s="113" t="s">
        <v>128</v>
      </c>
      <c r="DY2" s="113"/>
      <c r="DZ2" s="113"/>
      <c r="EA2" s="113"/>
      <c r="EB2" s="113" t="s">
        <v>129</v>
      </c>
      <c r="EC2" s="113"/>
      <c r="ED2" s="113"/>
      <c r="EE2" s="113"/>
      <c r="EF2" s="113" t="s">
        <v>130</v>
      </c>
      <c r="EG2" s="113"/>
      <c r="EH2" s="113"/>
      <c r="EI2" s="113"/>
      <c r="EJ2" s="113" t="s">
        <v>131</v>
      </c>
      <c r="EK2" s="113"/>
      <c r="EL2" s="113"/>
      <c r="EM2" s="113"/>
      <c r="EN2" s="123" t="s">
        <v>132</v>
      </c>
      <c r="EO2" s="123"/>
      <c r="EP2" s="123"/>
      <c r="EQ2" s="123"/>
      <c r="ER2" s="89" t="s">
        <v>133</v>
      </c>
      <c r="ES2" s="89" t="s">
        <v>134</v>
      </c>
      <c r="ET2" s="89" t="s">
        <v>130</v>
      </c>
      <c r="EU2" s="89" t="s">
        <v>71</v>
      </c>
      <c r="EV2" s="89" t="s">
        <v>135</v>
      </c>
      <c r="EW2" s="89" t="s">
        <v>18</v>
      </c>
      <c r="EX2" s="112" t="s">
        <v>128</v>
      </c>
      <c r="EY2" s="112"/>
      <c r="EZ2" s="112"/>
      <c r="FA2" s="112"/>
      <c r="FB2" s="112" t="s">
        <v>129</v>
      </c>
      <c r="FC2" s="112"/>
      <c r="FD2" s="112"/>
      <c r="FE2" s="112"/>
      <c r="FF2" s="112" t="s">
        <v>130</v>
      </c>
      <c r="FG2" s="112"/>
      <c r="FH2" s="112"/>
      <c r="FI2" s="112"/>
      <c r="FJ2" s="112" t="s">
        <v>131</v>
      </c>
      <c r="FK2" s="112"/>
      <c r="FL2" s="112"/>
      <c r="FM2" s="112"/>
      <c r="FN2" s="124" t="s">
        <v>132</v>
      </c>
      <c r="FO2" s="124"/>
      <c r="FP2" s="124"/>
      <c r="FQ2" s="124"/>
      <c r="FR2" s="88" t="s">
        <v>133</v>
      </c>
      <c r="FS2" s="88" t="s">
        <v>134</v>
      </c>
      <c r="FT2" s="88" t="s">
        <v>130</v>
      </c>
      <c r="FU2" s="88" t="s">
        <v>71</v>
      </c>
      <c r="FV2" s="88" t="s">
        <v>135</v>
      </c>
      <c r="FW2" s="88" t="s">
        <v>18</v>
      </c>
      <c r="FX2" s="113" t="s">
        <v>128</v>
      </c>
      <c r="FY2" s="113"/>
      <c r="FZ2" s="113"/>
      <c r="GA2" s="113"/>
      <c r="GB2" s="113" t="s">
        <v>129</v>
      </c>
      <c r="GC2" s="113"/>
      <c r="GD2" s="113"/>
      <c r="GE2" s="113"/>
      <c r="GF2" s="113" t="s">
        <v>130</v>
      </c>
      <c r="GG2" s="113"/>
      <c r="GH2" s="113"/>
      <c r="GI2" s="113"/>
      <c r="GJ2" s="113" t="s">
        <v>131</v>
      </c>
      <c r="GK2" s="113"/>
      <c r="GL2" s="113"/>
      <c r="GM2" s="113"/>
      <c r="GN2" s="123" t="s">
        <v>132</v>
      </c>
      <c r="GO2" s="123"/>
      <c r="GP2" s="123"/>
      <c r="GQ2" s="123"/>
      <c r="GR2" s="89" t="s">
        <v>133</v>
      </c>
      <c r="GS2" s="89" t="s">
        <v>134</v>
      </c>
      <c r="GT2" s="89" t="s">
        <v>130</v>
      </c>
      <c r="GU2" s="89" t="s">
        <v>71</v>
      </c>
      <c r="GV2" s="89" t="s">
        <v>135</v>
      </c>
      <c r="GW2" s="89" t="s">
        <v>18</v>
      </c>
      <c r="GX2" s="112" t="s">
        <v>128</v>
      </c>
      <c r="GY2" s="112"/>
      <c r="GZ2" s="112"/>
      <c r="HA2" s="112"/>
      <c r="HB2" s="112" t="s">
        <v>129</v>
      </c>
      <c r="HC2" s="112"/>
      <c r="HD2" s="112"/>
      <c r="HE2" s="112"/>
      <c r="HF2" s="112" t="s">
        <v>130</v>
      </c>
      <c r="HG2" s="112"/>
      <c r="HH2" s="112"/>
      <c r="HI2" s="112"/>
      <c r="HJ2" s="112" t="s">
        <v>131</v>
      </c>
      <c r="HK2" s="112"/>
      <c r="HL2" s="112"/>
      <c r="HM2" s="112"/>
      <c r="HN2" s="124" t="s">
        <v>132</v>
      </c>
      <c r="HO2" s="124"/>
      <c r="HP2" s="124"/>
      <c r="HQ2" s="124"/>
      <c r="HR2" s="88" t="s">
        <v>133</v>
      </c>
      <c r="HS2" s="88" t="s">
        <v>134</v>
      </c>
      <c r="HT2" s="88" t="s">
        <v>130</v>
      </c>
      <c r="HU2" s="88" t="s">
        <v>71</v>
      </c>
      <c r="HV2" s="88" t="s">
        <v>135</v>
      </c>
      <c r="HW2" s="88" t="s">
        <v>18</v>
      </c>
      <c r="HX2" s="113" t="s">
        <v>128</v>
      </c>
      <c r="HY2" s="113"/>
      <c r="HZ2" s="113"/>
      <c r="IA2" s="113"/>
      <c r="IB2" s="113" t="s">
        <v>129</v>
      </c>
      <c r="IC2" s="113"/>
      <c r="ID2" s="113"/>
      <c r="IE2" s="113"/>
      <c r="IF2" s="113" t="s">
        <v>130</v>
      </c>
      <c r="IG2" s="113"/>
      <c r="IH2" s="113"/>
      <c r="II2" s="113"/>
      <c r="IJ2" s="113" t="s">
        <v>131</v>
      </c>
      <c r="IK2" s="113"/>
      <c r="IL2" s="113"/>
      <c r="IM2" s="113"/>
      <c r="IN2" s="123" t="s">
        <v>132</v>
      </c>
      <c r="IO2" s="123"/>
      <c r="IP2" s="123"/>
      <c r="IQ2" s="123"/>
      <c r="IR2" s="89" t="s">
        <v>133</v>
      </c>
      <c r="IS2" s="89" t="s">
        <v>134</v>
      </c>
      <c r="IT2" s="89" t="s">
        <v>130</v>
      </c>
      <c r="IU2" s="89" t="s">
        <v>71</v>
      </c>
      <c r="IV2" s="89" t="s">
        <v>135</v>
      </c>
      <c r="IW2" s="89" t="s">
        <v>18</v>
      </c>
      <c r="IX2" s="112" t="s">
        <v>128</v>
      </c>
      <c r="IY2" s="112"/>
      <c r="IZ2" s="112"/>
      <c r="JA2" s="112"/>
      <c r="JB2" s="112" t="s">
        <v>129</v>
      </c>
      <c r="JC2" s="112"/>
      <c r="JD2" s="112"/>
      <c r="JE2" s="112"/>
      <c r="JF2" s="112" t="s">
        <v>130</v>
      </c>
      <c r="JG2" s="112"/>
      <c r="JH2" s="112"/>
      <c r="JI2" s="112"/>
      <c r="JJ2" s="112" t="s">
        <v>131</v>
      </c>
      <c r="JK2" s="112"/>
      <c r="JL2" s="112"/>
      <c r="JM2" s="112"/>
      <c r="JN2" s="124" t="s">
        <v>132</v>
      </c>
      <c r="JO2" s="124"/>
      <c r="JP2" s="124"/>
      <c r="JQ2" s="124"/>
      <c r="JR2" s="88" t="s">
        <v>133</v>
      </c>
      <c r="JS2" s="88" t="s">
        <v>134</v>
      </c>
      <c r="JT2" s="88" t="s">
        <v>130</v>
      </c>
      <c r="JU2" s="88" t="s">
        <v>71</v>
      </c>
      <c r="JV2" s="88" t="s">
        <v>135</v>
      </c>
      <c r="JW2" s="88" t="s">
        <v>18</v>
      </c>
      <c r="JX2" s="113" t="s">
        <v>128</v>
      </c>
      <c r="JY2" s="113"/>
      <c r="JZ2" s="113"/>
      <c r="KA2" s="113"/>
      <c r="KB2" s="113" t="s">
        <v>129</v>
      </c>
      <c r="KC2" s="113"/>
      <c r="KD2" s="113"/>
      <c r="KE2" s="113"/>
      <c r="KF2" s="113" t="s">
        <v>130</v>
      </c>
      <c r="KG2" s="113"/>
      <c r="KH2" s="113"/>
      <c r="KI2" s="113"/>
      <c r="KJ2" s="113" t="s">
        <v>131</v>
      </c>
      <c r="KK2" s="113"/>
      <c r="KL2" s="113"/>
      <c r="KM2" s="113"/>
      <c r="KN2" s="123" t="s">
        <v>132</v>
      </c>
      <c r="KO2" s="123"/>
      <c r="KP2" s="123"/>
      <c r="KQ2" s="123"/>
      <c r="KR2" s="89" t="s">
        <v>133</v>
      </c>
      <c r="KS2" s="89" t="s">
        <v>134</v>
      </c>
      <c r="KT2" s="89" t="s">
        <v>130</v>
      </c>
      <c r="KU2" s="89" t="s">
        <v>71</v>
      </c>
      <c r="KV2" s="89" t="s">
        <v>135</v>
      </c>
      <c r="KW2" s="89" t="s">
        <v>18</v>
      </c>
      <c r="KX2" s="112" t="s">
        <v>128</v>
      </c>
      <c r="KY2" s="112"/>
      <c r="KZ2" s="112"/>
      <c r="LA2" s="112"/>
      <c r="LB2" s="112" t="s">
        <v>129</v>
      </c>
      <c r="LC2" s="112"/>
      <c r="LD2" s="112"/>
      <c r="LE2" s="112"/>
      <c r="LF2" s="112" t="s">
        <v>130</v>
      </c>
      <c r="LG2" s="112"/>
      <c r="LH2" s="112"/>
      <c r="LI2" s="112"/>
      <c r="LJ2" s="112" t="s">
        <v>131</v>
      </c>
      <c r="LK2" s="112"/>
      <c r="LL2" s="112"/>
      <c r="LM2" s="112"/>
      <c r="LN2" s="124" t="s">
        <v>132</v>
      </c>
      <c r="LO2" s="124"/>
      <c r="LP2" s="124"/>
      <c r="LQ2" s="124"/>
      <c r="LR2" s="88" t="s">
        <v>133</v>
      </c>
      <c r="LS2" s="88" t="s">
        <v>134</v>
      </c>
      <c r="LT2" s="88" t="s">
        <v>130</v>
      </c>
      <c r="LU2" s="88" t="s">
        <v>71</v>
      </c>
      <c r="LV2" s="88" t="s">
        <v>135</v>
      </c>
      <c r="LW2" s="88" t="s">
        <v>18</v>
      </c>
      <c r="LX2" s="113" t="s">
        <v>128</v>
      </c>
      <c r="LY2" s="113"/>
      <c r="LZ2" s="113"/>
      <c r="MA2" s="113"/>
      <c r="MB2" s="113" t="s">
        <v>129</v>
      </c>
      <c r="MC2" s="113"/>
      <c r="MD2" s="113"/>
      <c r="ME2" s="113"/>
      <c r="MF2" s="113" t="s">
        <v>130</v>
      </c>
      <c r="MG2" s="113"/>
      <c r="MH2" s="113"/>
      <c r="MI2" s="113"/>
      <c r="MJ2" s="113" t="s">
        <v>131</v>
      </c>
      <c r="MK2" s="113"/>
      <c r="ML2" s="113"/>
      <c r="MM2" s="113"/>
      <c r="MN2" s="123" t="s">
        <v>132</v>
      </c>
      <c r="MO2" s="123"/>
      <c r="MP2" s="123"/>
      <c r="MQ2" s="123"/>
      <c r="MR2" s="89" t="s">
        <v>133</v>
      </c>
      <c r="MS2" s="89" t="s">
        <v>134</v>
      </c>
      <c r="MT2" s="89" t="s">
        <v>130</v>
      </c>
      <c r="MU2" s="89" t="s">
        <v>71</v>
      </c>
      <c r="MV2" s="89" t="s">
        <v>135</v>
      </c>
      <c r="MW2" s="89" t="s">
        <v>18</v>
      </c>
      <c r="MX2" s="112" t="s">
        <v>128</v>
      </c>
      <c r="MY2" s="112"/>
      <c r="MZ2" s="112"/>
      <c r="NA2" s="112"/>
      <c r="NB2" s="112" t="s">
        <v>129</v>
      </c>
      <c r="NC2" s="112"/>
      <c r="ND2" s="112"/>
      <c r="NE2" s="112"/>
      <c r="NF2" s="112" t="s">
        <v>130</v>
      </c>
      <c r="NG2" s="112"/>
      <c r="NH2" s="112"/>
      <c r="NI2" s="112"/>
      <c r="NJ2" s="112" t="s">
        <v>131</v>
      </c>
      <c r="NK2" s="112"/>
      <c r="NL2" s="112"/>
      <c r="NM2" s="112"/>
      <c r="NN2" s="124" t="s">
        <v>132</v>
      </c>
      <c r="NO2" s="124"/>
      <c r="NP2" s="124"/>
      <c r="NQ2" s="124"/>
      <c r="NR2" s="88" t="s">
        <v>133</v>
      </c>
      <c r="NS2" s="88" t="s">
        <v>134</v>
      </c>
      <c r="NT2" s="88" t="s">
        <v>130</v>
      </c>
      <c r="NU2" s="88" t="s">
        <v>71</v>
      </c>
      <c r="NV2" s="88" t="s">
        <v>135</v>
      </c>
      <c r="NW2" s="88" t="s">
        <v>18</v>
      </c>
      <c r="NX2" s="113" t="s">
        <v>128</v>
      </c>
      <c r="NY2" s="113"/>
      <c r="NZ2" s="113"/>
      <c r="OA2" s="113"/>
      <c r="OB2" s="113" t="s">
        <v>129</v>
      </c>
      <c r="OC2" s="113"/>
      <c r="OD2" s="113"/>
      <c r="OE2" s="113"/>
      <c r="OF2" s="113" t="s">
        <v>130</v>
      </c>
      <c r="OG2" s="113"/>
      <c r="OH2" s="113"/>
      <c r="OI2" s="113"/>
      <c r="OJ2" s="113" t="s">
        <v>131</v>
      </c>
      <c r="OK2" s="113"/>
      <c r="OL2" s="113"/>
      <c r="OM2" s="113"/>
      <c r="ON2" s="123" t="s">
        <v>132</v>
      </c>
      <c r="OO2" s="123"/>
      <c r="OP2" s="123"/>
      <c r="OQ2" s="123"/>
      <c r="OR2" s="89" t="s">
        <v>133</v>
      </c>
      <c r="OS2" s="89" t="s">
        <v>134</v>
      </c>
      <c r="OT2" s="89" t="s">
        <v>130</v>
      </c>
      <c r="OU2" s="89" t="s">
        <v>71</v>
      </c>
      <c r="OV2" s="89" t="s">
        <v>135</v>
      </c>
      <c r="OW2" s="89" t="s">
        <v>18</v>
      </c>
      <c r="OX2" s="112" t="s">
        <v>128</v>
      </c>
      <c r="OY2" s="112"/>
      <c r="OZ2" s="112"/>
      <c r="PA2" s="112"/>
      <c r="PB2" s="112" t="s">
        <v>129</v>
      </c>
      <c r="PC2" s="112"/>
      <c r="PD2" s="112"/>
      <c r="PE2" s="112"/>
      <c r="PF2" s="112" t="s">
        <v>130</v>
      </c>
      <c r="PG2" s="112"/>
      <c r="PH2" s="112"/>
      <c r="PI2" s="112"/>
      <c r="PJ2" s="112" t="s">
        <v>131</v>
      </c>
      <c r="PK2" s="112"/>
      <c r="PL2" s="112"/>
      <c r="PM2" s="112"/>
      <c r="PN2" s="122" t="s">
        <v>132</v>
      </c>
      <c r="PO2" s="122"/>
      <c r="PP2" s="122"/>
      <c r="PQ2" s="122"/>
      <c r="PR2" s="57"/>
      <c r="PS2" s="88" t="s">
        <v>133</v>
      </c>
      <c r="PT2" s="88" t="s">
        <v>134</v>
      </c>
      <c r="PU2" s="88" t="s">
        <v>130</v>
      </c>
      <c r="PV2" s="88" t="s">
        <v>71</v>
      </c>
      <c r="PW2" s="88" t="s">
        <v>135</v>
      </c>
      <c r="PX2" s="88" t="s">
        <v>18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37" t="s">
        <v>15</v>
      </c>
      <c r="T3" s="37" t="s">
        <v>10</v>
      </c>
      <c r="U3" s="37" t="s">
        <v>31</v>
      </c>
      <c r="V3" s="37" t="s">
        <v>32</v>
      </c>
      <c r="W3" s="37" t="s">
        <v>15</v>
      </c>
      <c r="X3" s="37" t="s">
        <v>10</v>
      </c>
      <c r="Y3" s="37" t="s">
        <v>31</v>
      </c>
      <c r="Z3" s="37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37" t="s">
        <v>15</v>
      </c>
      <c r="AF3" s="37" t="s">
        <v>10</v>
      </c>
      <c r="AG3" s="37" t="s">
        <v>31</v>
      </c>
      <c r="AH3" s="37" t="s">
        <v>32</v>
      </c>
      <c r="AI3" s="40" t="s">
        <v>15</v>
      </c>
      <c r="AJ3" s="40" t="s">
        <v>10</v>
      </c>
      <c r="AK3" s="40" t="s">
        <v>31</v>
      </c>
      <c r="AL3" s="40" t="s">
        <v>32</v>
      </c>
      <c r="AM3" s="49" t="s">
        <v>57</v>
      </c>
      <c r="AN3" s="88"/>
      <c r="AO3" s="88"/>
      <c r="AP3" s="88"/>
      <c r="AQ3" s="88"/>
      <c r="AR3" s="88"/>
      <c r="AS3" s="88"/>
      <c r="AT3" s="36" t="s">
        <v>15</v>
      </c>
      <c r="AU3" s="36" t="s">
        <v>10</v>
      </c>
      <c r="AV3" s="36" t="s">
        <v>31</v>
      </c>
      <c r="AW3" s="36" t="s">
        <v>32</v>
      </c>
      <c r="AX3" s="36" t="s">
        <v>15</v>
      </c>
      <c r="AY3" s="36" t="s">
        <v>10</v>
      </c>
      <c r="AZ3" s="36" t="s">
        <v>31</v>
      </c>
      <c r="BA3" s="36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36" t="s">
        <v>15</v>
      </c>
      <c r="BG3" s="36" t="s">
        <v>10</v>
      </c>
      <c r="BH3" s="36" t="s">
        <v>31</v>
      </c>
      <c r="BI3" s="36" t="s">
        <v>32</v>
      </c>
      <c r="BJ3" s="38" t="s">
        <v>15</v>
      </c>
      <c r="BK3" s="38" t="s">
        <v>10</v>
      </c>
      <c r="BL3" s="38" t="s">
        <v>31</v>
      </c>
      <c r="BM3" s="38" t="s">
        <v>32</v>
      </c>
      <c r="BN3" s="50" t="s">
        <v>57</v>
      </c>
      <c r="BO3" s="89"/>
      <c r="BP3" s="89"/>
      <c r="BQ3" s="89"/>
      <c r="BR3" s="89"/>
      <c r="BS3" s="89"/>
      <c r="BT3" s="89"/>
      <c r="BU3" s="60" t="s">
        <v>15</v>
      </c>
      <c r="BV3" s="60" t="s">
        <v>10</v>
      </c>
      <c r="BW3" s="60" t="s">
        <v>31</v>
      </c>
      <c r="BX3" s="60" t="s">
        <v>32</v>
      </c>
      <c r="BY3" s="60" t="s">
        <v>15</v>
      </c>
      <c r="BZ3" s="60" t="s">
        <v>10</v>
      </c>
      <c r="CA3" s="60" t="s">
        <v>31</v>
      </c>
      <c r="CB3" s="60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60" t="s">
        <v>15</v>
      </c>
      <c r="CH3" s="60" t="s">
        <v>10</v>
      </c>
      <c r="CI3" s="60" t="s">
        <v>31</v>
      </c>
      <c r="CJ3" s="60" t="s">
        <v>32</v>
      </c>
      <c r="CK3" s="61" t="s">
        <v>15</v>
      </c>
      <c r="CL3" s="61" t="s">
        <v>10</v>
      </c>
      <c r="CM3" s="61" t="s">
        <v>31</v>
      </c>
      <c r="CN3" s="61" t="s">
        <v>32</v>
      </c>
      <c r="CO3" s="60" t="s">
        <v>57</v>
      </c>
      <c r="CP3" s="88"/>
      <c r="CQ3" s="88"/>
      <c r="CR3" s="88"/>
      <c r="CS3" s="88"/>
      <c r="CT3" s="88"/>
      <c r="CU3" s="88"/>
      <c r="CV3" s="86"/>
      <c r="CW3" s="86"/>
      <c r="CX3" s="37" t="s">
        <v>15</v>
      </c>
      <c r="CY3" s="37" t="s">
        <v>10</v>
      </c>
      <c r="CZ3" s="37" t="s">
        <v>31</v>
      </c>
      <c r="DA3" s="37" t="s">
        <v>32</v>
      </c>
      <c r="DB3" s="37" t="s">
        <v>15</v>
      </c>
      <c r="DC3" s="37" t="s">
        <v>10</v>
      </c>
      <c r="DD3" s="37" t="s">
        <v>31</v>
      </c>
      <c r="DE3" s="37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37" t="s">
        <v>15</v>
      </c>
      <c r="DK3" s="37" t="s">
        <v>10</v>
      </c>
      <c r="DL3" s="37" t="s">
        <v>31</v>
      </c>
      <c r="DM3" s="37" t="s">
        <v>32</v>
      </c>
      <c r="DN3" s="39" t="s">
        <v>15</v>
      </c>
      <c r="DO3" s="39" t="s">
        <v>10</v>
      </c>
      <c r="DP3" s="39" t="s">
        <v>31</v>
      </c>
      <c r="DQ3" s="39" t="s">
        <v>32</v>
      </c>
      <c r="DR3" s="88"/>
      <c r="DS3" s="88"/>
      <c r="DT3" s="88"/>
      <c r="DU3" s="88"/>
      <c r="DV3" s="88"/>
      <c r="DW3" s="88"/>
      <c r="DX3" s="36" t="s">
        <v>15</v>
      </c>
      <c r="DY3" s="36" t="s">
        <v>10</v>
      </c>
      <c r="DZ3" s="36" t="s">
        <v>31</v>
      </c>
      <c r="EA3" s="36" t="s">
        <v>32</v>
      </c>
      <c r="EB3" s="36" t="s">
        <v>15</v>
      </c>
      <c r="EC3" s="36" t="s">
        <v>10</v>
      </c>
      <c r="ED3" s="36" t="s">
        <v>31</v>
      </c>
      <c r="EE3" s="36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36" t="s">
        <v>15</v>
      </c>
      <c r="EK3" s="36" t="s">
        <v>10</v>
      </c>
      <c r="EL3" s="36" t="s">
        <v>31</v>
      </c>
      <c r="EM3" s="36" t="s">
        <v>32</v>
      </c>
      <c r="EN3" s="38" t="s">
        <v>15</v>
      </c>
      <c r="EO3" s="38" t="s">
        <v>10</v>
      </c>
      <c r="EP3" s="38" t="s">
        <v>31</v>
      </c>
      <c r="EQ3" s="38" t="s">
        <v>32</v>
      </c>
      <c r="ER3" s="89"/>
      <c r="ES3" s="89"/>
      <c r="ET3" s="89"/>
      <c r="EU3" s="89"/>
      <c r="EV3" s="89"/>
      <c r="EW3" s="89"/>
      <c r="EX3" s="37" t="s">
        <v>15</v>
      </c>
      <c r="EY3" s="37" t="s">
        <v>10</v>
      </c>
      <c r="EZ3" s="37" t="s">
        <v>31</v>
      </c>
      <c r="FA3" s="37" t="s">
        <v>32</v>
      </c>
      <c r="FB3" s="37" t="s">
        <v>15</v>
      </c>
      <c r="FC3" s="37" t="s">
        <v>10</v>
      </c>
      <c r="FD3" s="37" t="s">
        <v>31</v>
      </c>
      <c r="FE3" s="37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37" t="s">
        <v>15</v>
      </c>
      <c r="FK3" s="37" t="s">
        <v>10</v>
      </c>
      <c r="FL3" s="37" t="s">
        <v>31</v>
      </c>
      <c r="FM3" s="37" t="s">
        <v>32</v>
      </c>
      <c r="FN3" s="39" t="s">
        <v>15</v>
      </c>
      <c r="FO3" s="39" t="s">
        <v>10</v>
      </c>
      <c r="FP3" s="39" t="s">
        <v>31</v>
      </c>
      <c r="FQ3" s="39" t="s">
        <v>32</v>
      </c>
      <c r="FR3" s="88"/>
      <c r="FS3" s="88"/>
      <c r="FT3" s="88"/>
      <c r="FU3" s="88"/>
      <c r="FV3" s="88"/>
      <c r="FW3" s="88"/>
      <c r="FX3" s="19" t="s">
        <v>15</v>
      </c>
      <c r="FY3" s="19" t="s">
        <v>10</v>
      </c>
      <c r="FZ3" s="19" t="s">
        <v>31</v>
      </c>
      <c r="GA3" s="19" t="s">
        <v>32</v>
      </c>
      <c r="GB3" s="19" t="s">
        <v>15</v>
      </c>
      <c r="GC3" s="19" t="s">
        <v>10</v>
      </c>
      <c r="GD3" s="19" t="s">
        <v>31</v>
      </c>
      <c r="GE3" s="1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19" t="s">
        <v>15</v>
      </c>
      <c r="GK3" s="19" t="s">
        <v>10</v>
      </c>
      <c r="GL3" s="19" t="s">
        <v>31</v>
      </c>
      <c r="GM3" s="19" t="s">
        <v>32</v>
      </c>
      <c r="GN3" s="22" t="s">
        <v>15</v>
      </c>
      <c r="GO3" s="22" t="s">
        <v>10</v>
      </c>
      <c r="GP3" s="22" t="s">
        <v>31</v>
      </c>
      <c r="GQ3" s="22" t="s">
        <v>32</v>
      </c>
      <c r="GR3" s="89"/>
      <c r="GS3" s="89"/>
      <c r="GT3" s="89"/>
      <c r="GU3" s="89"/>
      <c r="GV3" s="89"/>
      <c r="GW3" s="89"/>
      <c r="GX3" s="20" t="s">
        <v>15</v>
      </c>
      <c r="GY3" s="20" t="s">
        <v>10</v>
      </c>
      <c r="GZ3" s="20" t="s">
        <v>31</v>
      </c>
      <c r="HA3" s="20" t="s">
        <v>32</v>
      </c>
      <c r="HB3" s="20" t="s">
        <v>15</v>
      </c>
      <c r="HC3" s="20" t="s">
        <v>10</v>
      </c>
      <c r="HD3" s="20" t="s">
        <v>31</v>
      </c>
      <c r="HE3" s="20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20" t="s">
        <v>15</v>
      </c>
      <c r="HK3" s="20" t="s">
        <v>10</v>
      </c>
      <c r="HL3" s="20" t="s">
        <v>31</v>
      </c>
      <c r="HM3" s="20" t="s">
        <v>32</v>
      </c>
      <c r="HN3" s="21" t="s">
        <v>15</v>
      </c>
      <c r="HO3" s="21" t="s">
        <v>10</v>
      </c>
      <c r="HP3" s="21" t="s">
        <v>31</v>
      </c>
      <c r="HQ3" s="21" t="s">
        <v>32</v>
      </c>
      <c r="HR3" s="88"/>
      <c r="HS3" s="88"/>
      <c r="HT3" s="88"/>
      <c r="HU3" s="88"/>
      <c r="HV3" s="88"/>
      <c r="HW3" s="88"/>
      <c r="HX3" s="19" t="s">
        <v>15</v>
      </c>
      <c r="HY3" s="19" t="s">
        <v>10</v>
      </c>
      <c r="HZ3" s="19" t="s">
        <v>31</v>
      </c>
      <c r="IA3" s="19" t="s">
        <v>32</v>
      </c>
      <c r="IB3" s="19" t="s">
        <v>15</v>
      </c>
      <c r="IC3" s="19" t="s">
        <v>10</v>
      </c>
      <c r="ID3" s="19" t="s">
        <v>31</v>
      </c>
      <c r="IE3" s="1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19" t="s">
        <v>15</v>
      </c>
      <c r="IK3" s="19" t="s">
        <v>10</v>
      </c>
      <c r="IL3" s="19" t="s">
        <v>31</v>
      </c>
      <c r="IM3" s="19" t="s">
        <v>32</v>
      </c>
      <c r="IN3" s="22" t="s">
        <v>15</v>
      </c>
      <c r="IO3" s="22" t="s">
        <v>10</v>
      </c>
      <c r="IP3" s="22" t="s">
        <v>31</v>
      </c>
      <c r="IQ3" s="22" t="s">
        <v>32</v>
      </c>
      <c r="IR3" s="89"/>
      <c r="IS3" s="89"/>
      <c r="IT3" s="89"/>
      <c r="IU3" s="89"/>
      <c r="IV3" s="89"/>
      <c r="IW3" s="89"/>
      <c r="IX3" s="20" t="s">
        <v>15</v>
      </c>
      <c r="IY3" s="20" t="s">
        <v>10</v>
      </c>
      <c r="IZ3" s="20" t="s">
        <v>31</v>
      </c>
      <c r="JA3" s="20" t="s">
        <v>32</v>
      </c>
      <c r="JB3" s="20" t="s">
        <v>15</v>
      </c>
      <c r="JC3" s="20" t="s">
        <v>10</v>
      </c>
      <c r="JD3" s="20" t="s">
        <v>31</v>
      </c>
      <c r="JE3" s="20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20" t="s">
        <v>15</v>
      </c>
      <c r="JK3" s="20" t="s">
        <v>10</v>
      </c>
      <c r="JL3" s="20" t="s">
        <v>31</v>
      </c>
      <c r="JM3" s="20" t="s">
        <v>32</v>
      </c>
      <c r="JN3" s="21" t="s">
        <v>15</v>
      </c>
      <c r="JO3" s="21" t="s">
        <v>10</v>
      </c>
      <c r="JP3" s="21" t="s">
        <v>31</v>
      </c>
      <c r="JQ3" s="21" t="s">
        <v>32</v>
      </c>
      <c r="JR3" s="88"/>
      <c r="JS3" s="88"/>
      <c r="JT3" s="88"/>
      <c r="JU3" s="88"/>
      <c r="JV3" s="88"/>
      <c r="JW3" s="88"/>
      <c r="JX3" s="19" t="s">
        <v>15</v>
      </c>
      <c r="JY3" s="19" t="s">
        <v>10</v>
      </c>
      <c r="JZ3" s="19" t="s">
        <v>31</v>
      </c>
      <c r="KA3" s="19" t="s">
        <v>32</v>
      </c>
      <c r="KB3" s="19" t="s">
        <v>15</v>
      </c>
      <c r="KC3" s="19" t="s">
        <v>10</v>
      </c>
      <c r="KD3" s="19" t="s">
        <v>31</v>
      </c>
      <c r="KE3" s="1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19" t="s">
        <v>15</v>
      </c>
      <c r="KK3" s="19" t="s">
        <v>10</v>
      </c>
      <c r="KL3" s="19" t="s">
        <v>31</v>
      </c>
      <c r="KM3" s="19" t="s">
        <v>32</v>
      </c>
      <c r="KN3" s="22" t="s">
        <v>15</v>
      </c>
      <c r="KO3" s="22" t="s">
        <v>10</v>
      </c>
      <c r="KP3" s="22" t="s">
        <v>31</v>
      </c>
      <c r="KQ3" s="22" t="s">
        <v>32</v>
      </c>
      <c r="KR3" s="89"/>
      <c r="KS3" s="89"/>
      <c r="KT3" s="89"/>
      <c r="KU3" s="89"/>
      <c r="KV3" s="89"/>
      <c r="KW3" s="89"/>
      <c r="KX3" s="20" t="s">
        <v>15</v>
      </c>
      <c r="KY3" s="20" t="s">
        <v>10</v>
      </c>
      <c r="KZ3" s="20" t="s">
        <v>31</v>
      </c>
      <c r="LA3" s="20" t="s">
        <v>32</v>
      </c>
      <c r="LB3" s="20" t="s">
        <v>15</v>
      </c>
      <c r="LC3" s="20" t="s">
        <v>10</v>
      </c>
      <c r="LD3" s="20" t="s">
        <v>31</v>
      </c>
      <c r="LE3" s="20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20" t="s">
        <v>15</v>
      </c>
      <c r="LK3" s="20" t="s">
        <v>10</v>
      </c>
      <c r="LL3" s="20" t="s">
        <v>31</v>
      </c>
      <c r="LM3" s="20" t="s">
        <v>32</v>
      </c>
      <c r="LN3" s="21" t="s">
        <v>15</v>
      </c>
      <c r="LO3" s="21" t="s">
        <v>10</v>
      </c>
      <c r="LP3" s="21" t="s">
        <v>31</v>
      </c>
      <c r="LQ3" s="21" t="s">
        <v>32</v>
      </c>
      <c r="LR3" s="88"/>
      <c r="LS3" s="88"/>
      <c r="LT3" s="88"/>
      <c r="LU3" s="88"/>
      <c r="LV3" s="88"/>
      <c r="LW3" s="88"/>
      <c r="LX3" s="19" t="s">
        <v>15</v>
      </c>
      <c r="LY3" s="19" t="s">
        <v>10</v>
      </c>
      <c r="LZ3" s="19" t="s">
        <v>31</v>
      </c>
      <c r="MA3" s="19" t="s">
        <v>32</v>
      </c>
      <c r="MB3" s="19" t="s">
        <v>15</v>
      </c>
      <c r="MC3" s="19" t="s">
        <v>10</v>
      </c>
      <c r="MD3" s="19" t="s">
        <v>31</v>
      </c>
      <c r="ME3" s="1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19" t="s">
        <v>15</v>
      </c>
      <c r="MK3" s="19" t="s">
        <v>10</v>
      </c>
      <c r="ML3" s="19" t="s">
        <v>31</v>
      </c>
      <c r="MM3" s="19" t="s">
        <v>32</v>
      </c>
      <c r="MN3" s="22" t="s">
        <v>15</v>
      </c>
      <c r="MO3" s="22" t="s">
        <v>10</v>
      </c>
      <c r="MP3" s="22" t="s">
        <v>31</v>
      </c>
      <c r="MQ3" s="22" t="s">
        <v>32</v>
      </c>
      <c r="MR3" s="89"/>
      <c r="MS3" s="89"/>
      <c r="MT3" s="89"/>
      <c r="MU3" s="89"/>
      <c r="MV3" s="89"/>
      <c r="MW3" s="89"/>
      <c r="MX3" s="20" t="s">
        <v>15</v>
      </c>
      <c r="MY3" s="20" t="s">
        <v>10</v>
      </c>
      <c r="MZ3" s="20" t="s">
        <v>31</v>
      </c>
      <c r="NA3" s="20" t="s">
        <v>32</v>
      </c>
      <c r="NB3" s="20" t="s">
        <v>15</v>
      </c>
      <c r="NC3" s="20" t="s">
        <v>10</v>
      </c>
      <c r="ND3" s="20" t="s">
        <v>31</v>
      </c>
      <c r="NE3" s="20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20" t="s">
        <v>15</v>
      </c>
      <c r="NK3" s="20" t="s">
        <v>10</v>
      </c>
      <c r="NL3" s="20" t="s">
        <v>31</v>
      </c>
      <c r="NM3" s="20" t="s">
        <v>32</v>
      </c>
      <c r="NN3" s="21" t="s">
        <v>15</v>
      </c>
      <c r="NO3" s="21" t="s">
        <v>10</v>
      </c>
      <c r="NP3" s="21" t="s">
        <v>31</v>
      </c>
      <c r="NQ3" s="21" t="s">
        <v>32</v>
      </c>
      <c r="NR3" s="88"/>
      <c r="NS3" s="88"/>
      <c r="NT3" s="88"/>
      <c r="NU3" s="88"/>
      <c r="NV3" s="88"/>
      <c r="NW3" s="88"/>
      <c r="NX3" s="19" t="s">
        <v>15</v>
      </c>
      <c r="NY3" s="19" t="s">
        <v>10</v>
      </c>
      <c r="NZ3" s="19" t="s">
        <v>31</v>
      </c>
      <c r="OA3" s="19" t="s">
        <v>32</v>
      </c>
      <c r="OB3" s="19" t="s">
        <v>15</v>
      </c>
      <c r="OC3" s="19" t="s">
        <v>10</v>
      </c>
      <c r="OD3" s="19" t="s">
        <v>31</v>
      </c>
      <c r="OE3" s="1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19" t="s">
        <v>15</v>
      </c>
      <c r="OK3" s="19" t="s">
        <v>10</v>
      </c>
      <c r="OL3" s="19" t="s">
        <v>31</v>
      </c>
      <c r="OM3" s="19" t="s">
        <v>32</v>
      </c>
      <c r="ON3" s="22" t="s">
        <v>15</v>
      </c>
      <c r="OO3" s="22" t="s">
        <v>10</v>
      </c>
      <c r="OP3" s="22" t="s">
        <v>31</v>
      </c>
      <c r="OQ3" s="22" t="s">
        <v>32</v>
      </c>
      <c r="OR3" s="89"/>
      <c r="OS3" s="89"/>
      <c r="OT3" s="89"/>
      <c r="OU3" s="89"/>
      <c r="OV3" s="89"/>
      <c r="OW3" s="89"/>
      <c r="OX3" s="57" t="s">
        <v>15</v>
      </c>
      <c r="OY3" s="57" t="s">
        <v>10</v>
      </c>
      <c r="OZ3" s="57" t="s">
        <v>31</v>
      </c>
      <c r="PA3" s="57" t="s">
        <v>32</v>
      </c>
      <c r="PB3" s="57" t="s">
        <v>15</v>
      </c>
      <c r="PC3" s="57" t="s">
        <v>10</v>
      </c>
      <c r="PD3" s="57" t="s">
        <v>31</v>
      </c>
      <c r="PE3" s="57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57" t="s">
        <v>15</v>
      </c>
      <c r="PK3" s="57" t="s">
        <v>10</v>
      </c>
      <c r="PL3" s="57" t="s">
        <v>31</v>
      </c>
      <c r="PM3" s="57" t="s">
        <v>32</v>
      </c>
      <c r="PN3" s="58" t="s">
        <v>15</v>
      </c>
      <c r="PO3" s="58" t="s">
        <v>10</v>
      </c>
      <c r="PP3" s="58" t="s">
        <v>31</v>
      </c>
      <c r="PQ3" s="58" t="s">
        <v>32</v>
      </c>
      <c r="PR3" s="57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IF(AND(F4="P",G4="P"),SUMPRODUCT((F$4:F$12="P")*(G$4:G$12="P")*(E$4:E$12&gt;E4))+1,IF(G4="P",SUMPRODUCT((F$4:F$12="")*(G$4:G$12="P")*(E$4:E$12&gt;E4))+1+SUMPRODUCT((F$4:F$12="P")*(G$4:G$12="P")),""))</f>
        <v>1</v>
      </c>
      <c r="B4" s="6" t="s">
        <v>146</v>
      </c>
      <c r="C4" s="7" t="s">
        <v>3</v>
      </c>
      <c r="D4" s="18">
        <v>2004</v>
      </c>
      <c r="E4" s="14">
        <f>SUM(J4:P4)+SUM(J4:N4)*0.0000001+SUM(J4)*0.0000000000001</f>
        <v>131.34001258955999</v>
      </c>
      <c r="F4" s="3" t="str">
        <f>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P","")</f>
        <v>P</v>
      </c>
      <c r="G4" s="3" t="str">
        <f>IF(OR(AND(AO4&gt;=AS$18,AO4&lt;&gt;"",AM4=""),AND(AR4&gt;=AS$18,AR4&lt;&gt;"",AM4=""),AND(BP4&gt;=BT$18,BP4&lt;&gt;"",BN4=""),AND(BS4&gt;=BT$18,BS4&lt;&gt;"",BN4=""),AND(CQ4&gt;=CU$18,CQ4&lt;&gt;"",CO4=""),AND(CT4&gt;=CU$18,CT4&lt;&gt;"",CO4=""),AND(DS4&gt;=DW$18,DS4&lt;&gt;""),AND(DV4&gt;=DW$18,DV4&lt;&gt;""),AND(ES4&gt;=EW$18,ES4&lt;&gt;""),AND(EV4&gt;=EW$18,EV4&lt;&gt;""),AND(FS4&gt;=FW$18,FS4&lt;&gt;""),AND(FV4&gt;=FW$18,FV4&lt;&gt;""),AND(GS4&gt;=GW$18,GS4&lt;&gt;""),AND(GV4&gt;=GW$18,GV4&lt;&gt;""),AND(HS4&gt;=HW$18,HS4&lt;&gt;""),AND(HV4&gt;=HW$18,HV4&lt;&gt;""),AND(IS4&gt;=IW$18,IS4&lt;&gt;""),AND(IV4&gt;=IW$18,IV4&lt;&gt;""),AND(JS4&gt;=JW$18,JS4&lt;&gt;""),AND(JV4&gt;=JW$18,JV4&lt;&gt;""),AND(KS4&gt;=KW$18,KS4&lt;&gt;""),AND(KV4&gt;=KW$18,KV4&lt;&gt;""),AND(LS4&gt;=LW$18,LS4&lt;&gt;""),AND(LV4&gt;=LW$18,LV4&lt;&gt;""),AND(MS4&gt;=MW$18,MS4&lt;&gt;""),AND(MV4&gt;=MW$18,MV4&lt;&gt;""),AND(NS4&gt;=NW$18,NS4&lt;&gt;""),AND(NV4&gt;=NW$18,NV4&lt;&gt;""),AND(OS4&gt;=OW$18,OS4&lt;&gt;""),AND(OV4&gt;=OW$18,OV4&lt;&gt;"")),"P","")</f>
        <v>P</v>
      </c>
      <c r="H4" s="70" t="str">
        <f>IF(AND(G4="P",F4=""),"No DD",IF(OR(AND(AN4&gt;=AS$17,AO4&gt;=AS$21,AN4&lt;&gt;"",AM4=""),AND(AQ4&gt;=AS$17,AR4&gt;=AS$21,AQ4&lt;&gt;"",AM4=""),AND(BO4&gt;=BT$17,BP4&gt;=BT$21,BO4&lt;&gt;"",BN4=""),AND(BR4&gt;=BT$17,BS4&gt;=BT$21,BR4&lt;&gt;"",BN4=""),AND(CP4&gt;=CU$17,CQ4&gt;=CU$21,CP4&lt;&gt;"",CO4=""),AND(CS4&gt;=CU$17,CT4&gt;=CU$21,CS4&lt;&gt;""),AND(DR4&gt;=DW$17,DS4&gt;=DW$21,DR4&lt;&gt;""),AND(DU4&gt;=DW$17,DV4&gt;=DW$21,DU4&lt;&gt;""),AND(ER4&gt;=EW$17,ES4&gt;=EW$21,ER4&lt;&gt;""),AND(EU4&gt;=EW$17,EV4&gt;=EW$21,EU4&lt;&gt;""),AND(FR4&gt;=FW$17,FS4&gt;=FW$21,FR4&lt;&gt;""),AND(FU4&gt;=FW$17,FV4&gt;=FW$21,FU4&lt;&gt;""),AND(GR4&gt;=GW$17,GS4&gt;=GW$21,GR4&lt;&gt;""),AND(GU4&gt;=GW$17,GV4&gt;=GW$21,GU4&lt;&gt;""),AND(HR4&gt;=HW$17,HS4&gt;=HW$21,HR4&lt;&gt;""),AND(HU4&gt;=HW$17,HV4&gt;=HW$21,HU4&lt;&gt;""),AND(IR4&gt;=IW$17,IS4&gt;=IW$21,IR4&lt;&gt;""),AND(IU4&gt;=IW$17,IV4&gt;=IW$21,IU4&lt;&gt;""),AND(JR4&gt;=JW$17,JS4&gt;=JW$21,JR4&lt;&gt;""),AND(JU4&gt;=JW$17,JV4&gt;=JW$21,JU4&lt;&gt;""),AND(KR4&gt;=KW$17,KS4&gt;=KW$21,KR4&lt;&gt;""),AND(KU4&gt;=KW$17,KV4&gt;=KW$21,KU4&lt;&gt;""),AND(LR4&gt;=LW$17,LS4&gt;=LW$21,LR4&lt;&gt;""),AND(LU4&gt;=LW$17,LV4&gt;=LW$21,LU4&lt;&gt;""),AND(MR4&gt;=MW$17,MS4&gt;=MW$21,MR4&lt;&gt;""),AND(MU4&gt;=MW$17,MV4&gt;=MW$21,MU4&lt;&gt;""),AND(NR4&gt;=NW$17,NS4&gt;=NW$21,NR4&lt;&gt;""),AND(NU4&gt;=NW$17,NV4&gt;=NW$21,NU4&lt;&gt;""),AND(OR4&gt;=OW$17,OS4&gt;=OW$21,OR4&lt;&gt;""),AND(OU4&gt;=OW$17,OV4&gt;=OW$21,OU4&lt;&gt;"")),"Merit",IF(OR(AND(AN4&gt;=AS$16,AO4&gt;=AS$20,AN4&lt;&gt;"",AM4=""),AND(AQ4&gt;=AS$16,AR4&gt;=AS$20,AQ4&lt;&gt;"",AM4=""),AND(BO4&gt;=BT$16,BP4&gt;=BT$20,BO4&lt;&gt;"",BN4=""),AND(BR4&gt;=BT$16,BS4&gt;=BT$20,BR4&lt;&gt;"",BN4=""),AND(CP4&gt;=CU$16,CQ4&gt;=CU$20,CP4&lt;&gt;"",CO4=""),AND(CS4&gt;=CU$16,CT4&gt;=CU$20,CS4&lt;&gt;""),AND(DR4&gt;=DW$16,DS4&gt;=DW$20,DR4&lt;&gt;""),AND(DU4&gt;=DW$16,DV4&gt;=DW$20,DU4&lt;&gt;""),AND(ER4&gt;=EW$16,ES4&gt;=EW$20,ER4&lt;&gt;""),AND(EU4&gt;=EW$16,EV4&gt;=EW$20,EU4&lt;&gt;""),AND(FR4&gt;=FW$16,FS4&gt;=FW$20,FR4&lt;&gt;""),AND(FU4&gt;=FW$16,FV4&gt;=FW$20,FU4&lt;&gt;""),AND(GR4&gt;=GW$16,GS4&gt;=GW$20,GR4&lt;&gt;""),AND(GU4&gt;=GW$16,GV4&gt;=GW$20,GU4&lt;&gt;""),AND(HR4&gt;=HW$16,HS4&gt;=HW$20,HR4&lt;&gt;""),AND(HU4&gt;=HW$16,HV4&gt;=HW$20,HU4&lt;&gt;""),AND(IR4&gt;=IW$16,IS4&gt;=IW$20,IR4&lt;&gt;""),AND(IU4&gt;=IW$16,IV4&gt;=IW$20,IU4&lt;&gt;""),AND(JR4&gt;=JW$16,JS4&gt;=JW$20,JR4&lt;&gt;""),AND(JU4&gt;=JW$16,JV4&gt;=JW$20,JU4&lt;&gt;""),AND(KR4&gt;=KW$16,KS4&gt;=KW$20,KR4&lt;&gt;""),AND(KU4&gt;=KW$16,KV4&gt;=KW$20,KU4&lt;&gt;""),AND(LR4&gt;=LW$16,LS4&gt;=LW$20,LR4&lt;&gt;""),AND(LU4&gt;=LW$16,LV4&gt;=LW$20,LU4&lt;&gt;""),AND(MR4&gt;=MW$16,MS4&gt;=MW$20,MR4&lt;&gt;""),AND(MU4&gt;=MW$16,MV4&gt;=MW$20,MU4&lt;&gt;""),AND(NR4&gt;=NW$16,NS4&gt;=NW$20,NR4&lt;&gt;""),AND(NU4&gt;=NW$16,NV4&gt;=NW$20,NU4&lt;&gt;""),AND(OR4&gt;=OW$16,OS4&gt;=OW$20,OR4&lt;&gt;""),AND(OU4&gt;=OW$16,OV4&gt;=OW$20,OU4&lt;&gt;"")),"Excellence",IF(I4="P","Worlds Team",IF(F4="P","National Team","")))))</f>
        <v>National Team</v>
      </c>
      <c r="I4" s="3" t="str">
        <f>IF(OR(AND(AN4&gt;=AS$15,AO4&gt;=AS$19,AN4&lt;&gt;"",AM4=""),AND(AQ4&gt;=AS$15,AR4&gt;=AS$19,AQ4&lt;&gt;"",AM4=""),AND(BO4&gt;=BT$15,BP4&gt;=BT$19,BO4&lt;&gt;"",BN4=""),AND(BR4&gt;=BT$15,BS4&gt;=BT$19,BR4&lt;&gt;"",BN4=""),AND(CP4&gt;=CU$15,CQ4&gt;=CU$19,CP4&lt;&gt;"",CO4=""),AND(CS4&gt;=CU$15,CT4&gt;=CU$19,CS4&lt;&gt;""),AND(DR4&gt;=DW$15,DS4&gt;=DW$19,DR4&lt;&gt;""),AND(DU4&gt;=DW$15,DV4&gt;=DW$19,DU4&lt;&gt;""),AND(ER4&gt;=EW$15,ES4&gt;=EW$19,ER4&lt;&gt;""),AND(EU4&gt;=EW$15,EV4&gt;=EW$19,EU4&lt;&gt;""),AND(FR4&gt;=FW$15,FS4&gt;=FW$19,FR4&lt;&gt;""),AND(FU4&gt;=FW$15,FV4&gt;=FW$19,FU4&lt;&gt;""),AND(GR4&gt;=GW$15,GS4&gt;=GW$19,GR4&lt;&gt;""),AND(GU4&gt;=GW$15,GV4&gt;=GW$19,GU4&lt;&gt;""),AND(HR4&gt;=HW$15,HS4&gt;=HW$19,HR4&lt;&gt;""),AND(HU4&gt;=HW$15,HV4&gt;=HW$19,HU4&lt;&gt;""),AND(IR4&gt;=IW$15,IS4&gt;=IW$19,IR4&lt;&gt;""),AND(IU4&gt;=IW$15,IV4&gt;=IW$19,IU4&lt;&gt;""),AND(JR4&gt;=JW$15,JS4&gt;=JW$19,JR4&lt;&gt;""),AND(JU4&gt;=JW$15,JV4&gt;=JW$19,JU4&lt;&gt;""),AND(KR4&gt;=KW$15,KS4&gt;=KW$19,KR4&lt;&gt;""),AND(KU4&gt;=KW$15,KV4&gt;=KW$19,KU4&lt;&gt;""),AND(LR4&gt;=LW$15,LS4&gt;=LW$19,LR4&lt;&gt;""),AND(LU4&gt;=LW$15,LV4&gt;=LW$19,LU4&lt;&gt;""),AND(MR4&gt;=MW$15,MS4&gt;=MW$19,MR4&lt;&gt;""),AND(MU4&gt;=MW$15,MV4&gt;=MW$19,MU4&lt;&gt;""),AND(NR4&gt;=NW$15,NS4&gt;=NW$19,NR4&lt;&gt;""),AND(NU4&gt;=NW$15,NV4&gt;=NW$19,NU4&lt;&gt;""),AND(OR4&gt;=OW$15,OS4&gt;=OW$19,OR4&lt;&gt;""),AND(OU4&gt;=OW$15,OV4&gt;=OW$19,OU4&lt;&gt;"")),"P","")</f>
        <v/>
      </c>
      <c r="J4" s="13">
        <f>IF(COUNT(AO4,BP4,CQ4)&gt;0,LARGE((AO4,BP4,CQ4),1),0)</f>
        <v>44.2</v>
      </c>
      <c r="K4" s="13" t="str">
        <f>IF(J4=0,"",IF(J4=CQ4,$BU$1,IF(J4=BP4,$AT$1,IF(J4=AO4,$S$1,""))))</f>
        <v>2022 Elite Canada</v>
      </c>
      <c r="L4" s="13">
        <f>IF(COUNT(AO4,BP4,CQ4)&gt;1,LARGE((AO4,BP4,CQ4),2),0)</f>
        <v>37.955555555555549</v>
      </c>
      <c r="M4" s="13" t="str">
        <f>IF(L4=0,"",IF(L4=CQ4,$BU$1,IF(L4=BP4,$AT$1,IF(L4=AO4,$S$1,""))))</f>
        <v>2022 Nationals</v>
      </c>
      <c r="N4" s="13">
        <f>IF(MAX(AR4,BS4,CT4)&gt;0,MAX(AR4,BS4,CT4),0)</f>
        <v>43.739999999999995</v>
      </c>
      <c r="O4" s="13" t="str">
        <f>IF(N4=0,"",IF(N4=CT4,$BU$1,IF(N4=BS4,$AT$1,IF(N4=AR4,$S$1,""))))</f>
        <v>2022 Elite Canada</v>
      </c>
      <c r="P4" s="13">
        <f>IF(MAX(CV4:CW4)&gt;0,MAX(CV4:CW4),"")</f>
        <v>5.44444444444445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Games Technical Trial #1 (Mar 12)</v>
      </c>
      <c r="S4" s="27">
        <v>18.2</v>
      </c>
      <c r="T4" s="27">
        <v>3.6</v>
      </c>
      <c r="U4" s="27">
        <v>0</v>
      </c>
      <c r="V4" s="27">
        <v>0</v>
      </c>
      <c r="W4" s="27">
        <v>17.600000000000001</v>
      </c>
      <c r="X4" s="27">
        <v>4.5</v>
      </c>
      <c r="Y4" s="27">
        <v>0</v>
      </c>
      <c r="Z4" s="27">
        <v>0.3</v>
      </c>
      <c r="AA4" s="27"/>
      <c r="AB4" s="27"/>
      <c r="AC4" s="27"/>
      <c r="AD4" s="27"/>
      <c r="AE4" s="27">
        <v>17.940000000000001</v>
      </c>
      <c r="AF4" s="27">
        <v>3.6</v>
      </c>
      <c r="AG4" s="27">
        <v>0</v>
      </c>
      <c r="AH4" s="27">
        <v>0</v>
      </c>
      <c r="AI4" s="27">
        <v>17.399999999999999</v>
      </c>
      <c r="AJ4" s="27">
        <v>4.5</v>
      </c>
      <c r="AK4" s="27">
        <v>0</v>
      </c>
      <c r="AL4" s="27">
        <v>0.3</v>
      </c>
      <c r="AM4" s="51"/>
      <c r="AN4" s="76">
        <f>IF(SUM(T4,X4)&gt;0,SUM(T4,X4),"")</f>
        <v>8.1</v>
      </c>
      <c r="AO4" s="76">
        <f>IF(SUM(S4:T4,V4:X4,Z4)-U4-Y4&gt;0,SUM(S4:T4,V4:X4,Z4)-U4-Y4,"")</f>
        <v>44.2</v>
      </c>
      <c r="AP4" s="76" t="str">
        <f>IF(SUM(AA4:AB4,AD4)-AC4&gt;0,SUM(AA4:AB4,AD4)-AC4,"")</f>
        <v/>
      </c>
      <c r="AQ4" s="76">
        <f>IF(SUM(AF4,AJ4)&gt;0,SUM(AF4,AJ4),"")</f>
        <v>8.1</v>
      </c>
      <c r="AR4" s="76">
        <f>IF(SUM(AE4:AF4,AH4:AJ4,AL4)-SUM(AG4,AK4)&gt;0,SUM(AE4:AF4,AH4:AJ4,AL4)-SUM(AG4,AK4),"")</f>
        <v>43.739999999999995</v>
      </c>
      <c r="AS4" s="76">
        <f>IF(SUM(AO4,AR4)&gt;0,SUM(AO4,AR4),"")</f>
        <v>87.94</v>
      </c>
      <c r="AT4" s="26">
        <v>14.833333333333332</v>
      </c>
      <c r="AU4" s="26">
        <v>3.75</v>
      </c>
      <c r="AV4" s="26">
        <v>0</v>
      </c>
      <c r="AW4" s="26">
        <v>0.15</v>
      </c>
      <c r="AX4" s="26">
        <v>14.622222222222224</v>
      </c>
      <c r="AY4" s="26">
        <v>4.3</v>
      </c>
      <c r="AZ4" s="26">
        <v>0</v>
      </c>
      <c r="BA4" s="26">
        <v>0.3</v>
      </c>
      <c r="BB4" s="26"/>
      <c r="BC4" s="26"/>
      <c r="BD4" s="26"/>
      <c r="BE4" s="26"/>
      <c r="BF4" s="26">
        <v>14.636666666666667</v>
      </c>
      <c r="BG4" s="26">
        <v>3.75</v>
      </c>
      <c r="BH4" s="26">
        <v>0.1</v>
      </c>
      <c r="BI4" s="26">
        <v>0.15</v>
      </c>
      <c r="BJ4" s="26">
        <v>14.544444444444444</v>
      </c>
      <c r="BK4" s="26">
        <v>4.3</v>
      </c>
      <c r="BL4" s="26">
        <v>0.1</v>
      </c>
      <c r="BM4" s="26">
        <v>0.3</v>
      </c>
      <c r="BN4" s="52" t="s">
        <v>58</v>
      </c>
      <c r="BO4" s="16">
        <f>IF(SUM(AU4,AY4)&gt;0,SUM(AU4,AY4),"")</f>
        <v>8.0500000000000007</v>
      </c>
      <c r="BP4" s="16">
        <f>IF(SUM(AT4:AU4,AW4:AY4,BA4)-AV4-AZ4&gt;0,SUM(AT4:AU4,AW4:AY4,BA4)-AV4-AZ4,"")</f>
        <v>37.955555555555549</v>
      </c>
      <c r="BQ4" s="16" t="str">
        <f>IF(SUM(BB4:BC4,BE4)-BD4&gt;0,SUM(BB4:BC4,BE4)-BD4,"")</f>
        <v/>
      </c>
      <c r="BR4" s="16">
        <f>IF(SUM(BG4,BK4)&gt;0,SUM(BG4,BK4),"")</f>
        <v>8.0500000000000007</v>
      </c>
      <c r="BS4" s="16">
        <f>IF(SUM(BF4:BG4,BI4:BK4,BM4)-SUM(BH4,BL4)&gt;0,SUM(BF4:BG4,BI4:BK4,BM4)-SUM(BH4,BL4),"")</f>
        <v>37.481111111111105</v>
      </c>
      <c r="BT4" s="16">
        <f>IF(SUM(BP4,BS4)&gt;0,SUM(BP4,BS4),"")</f>
        <v>75.436666666666653</v>
      </c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51"/>
      <c r="CP4" s="76" t="str">
        <f>IF(SUM(BV4,BZ4)&gt;0,SUM(BV4,BZ4),"")</f>
        <v/>
      </c>
      <c r="CQ4" s="76" t="str">
        <f>IF(SUM(BU4:BV4,BX4:BZ4,CB4)-BW4-CA4&gt;0,SUM(BU4:BV4,BX4:BZ4,CB4)-BW4-CA4,"")</f>
        <v/>
      </c>
      <c r="CR4" s="76" t="str">
        <f>IF(SUM(CC4:CD4,CF4)-CE4&gt;0,SUM(CC4:CD4,CF4)-CE4,"")</f>
        <v/>
      </c>
      <c r="CS4" s="76" t="str">
        <f>IF(SUM(CH4,CL4)&gt;0,SUM(CH4,CL4),"")</f>
        <v/>
      </c>
      <c r="CT4" s="76" t="str">
        <f>IF(SUM(CG4:CH4,CJ4:CL4,CN4)-SUM(CI4,CM4)&gt;0,SUM(CG4:CH4,CJ4:CL4,CN4)-SUM(CI4,CM4),"")</f>
        <v/>
      </c>
      <c r="CU4" s="76" t="str">
        <f>IF(SUM(CQ4,CT4)&gt;0,SUM(CQ4,CT4),"")</f>
        <v/>
      </c>
      <c r="CV4" s="87">
        <f>IF(L4&gt;=0.001,IF(MAX(DS4,ES4,FS4,GS4,HS4,IS4,JS4,KS4,LS4,MS4,NS4,OS4)-IF(L4="",0,L4)&gt;0.001,MAX(DS4,ES4,FS4,GS4,HS4,IS4,JS4,KS4,LS4,MS4,NS4,OS4)-IF(L4="",0,L4),""),"")</f>
        <v>5.44444444444445</v>
      </c>
      <c r="CW4" s="87">
        <f>IF(N4&gt;=0.001,IF(MAX(DV4,EV4,FV4,GV4,HV4,IV4,JV4,KV4,LV4,MV4,NV4,OV4)-IF(N4="",0,N4)&gt;0.001,MAX(DV4,EV4,FV4,GV4,HV4,IV4,JV4,KV4,LV4,MV4,NV4,OV4)-IF(N4="",0,N4),""),"")</f>
        <v>0.16000000000000369</v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17.600000000000001</v>
      </c>
      <c r="DY4" s="26">
        <v>3.6</v>
      </c>
      <c r="DZ4" s="26">
        <v>0</v>
      </c>
      <c r="EA4" s="26">
        <v>0</v>
      </c>
      <c r="EB4" s="26">
        <v>17.399999999999999</v>
      </c>
      <c r="EC4" s="26">
        <v>4.5</v>
      </c>
      <c r="ED4" s="26">
        <v>0</v>
      </c>
      <c r="EE4" s="26">
        <v>0.3</v>
      </c>
      <c r="EF4" s="26"/>
      <c r="EG4" s="26"/>
      <c r="EH4" s="26"/>
      <c r="EI4" s="26"/>
      <c r="EJ4" s="26">
        <v>18.100000000000001</v>
      </c>
      <c r="EK4" s="26">
        <v>3.6</v>
      </c>
      <c r="EL4" s="26">
        <v>0</v>
      </c>
      <c r="EM4" s="26">
        <v>0</v>
      </c>
      <c r="EN4" s="26">
        <v>17.399999999999999</v>
      </c>
      <c r="EO4" s="26">
        <v>4.5</v>
      </c>
      <c r="EP4" s="26">
        <v>0</v>
      </c>
      <c r="EQ4" s="26">
        <v>0.3</v>
      </c>
      <c r="ER4" s="16">
        <f>IF(SUM(DY4,EC4)&gt;0,SUM(DY4,EC4),"")</f>
        <v>8.1</v>
      </c>
      <c r="ES4" s="16">
        <f>IF(SUM(DX4:DY4,EA4:EC4,EE4)-DZ4-ED4&gt;0,SUM(DX4:DY4,EA4:EC4,EE4)-DZ4-ED4,"")</f>
        <v>43.4</v>
      </c>
      <c r="ET4" s="16" t="str">
        <f>IF(SUM(EF4:EG4,EI4)-EH4&gt;0,SUM(EF4:EG4,EI4)-EH4,"")</f>
        <v/>
      </c>
      <c r="EU4" s="16">
        <f>IF(SUM(EK4,EO4)&gt;0,SUM(EK4,EO4),"")</f>
        <v>8.1</v>
      </c>
      <c r="EV4" s="16">
        <f>IF(SUM(EJ4:EK4,EM4:EO4,EQ4)-SUM(EL4,EP4)&gt;0,SUM(EJ4:EK4,EM4:EO4,EQ4)-SUM(EL4,EP4),"")</f>
        <v>43.9</v>
      </c>
      <c r="EW4" s="16">
        <f>IF(SUM(ES4,EV4)&gt;0,SUM(ES4,EV4),"")</f>
        <v>87.3</v>
      </c>
      <c r="EX4" s="25">
        <v>16.7</v>
      </c>
      <c r="EY4" s="25">
        <v>4.5</v>
      </c>
      <c r="EZ4" s="25">
        <v>0</v>
      </c>
      <c r="FA4" s="25">
        <v>0.3</v>
      </c>
      <c r="FB4" s="25">
        <v>17.100000000000001</v>
      </c>
      <c r="FC4" s="25">
        <v>4.3</v>
      </c>
      <c r="FD4" s="25">
        <v>0</v>
      </c>
      <c r="FE4" s="25">
        <v>0.3</v>
      </c>
      <c r="FF4" s="25"/>
      <c r="FG4" s="25"/>
      <c r="FH4" s="25"/>
      <c r="FI4" s="25"/>
      <c r="FJ4" s="25">
        <v>16.600000000000001</v>
      </c>
      <c r="FK4" s="25">
        <v>4.5</v>
      </c>
      <c r="FL4" s="25">
        <v>0</v>
      </c>
      <c r="FM4" s="25">
        <v>0.3</v>
      </c>
      <c r="FN4" s="25">
        <v>17.100000000000001</v>
      </c>
      <c r="FO4" s="25">
        <v>4.3</v>
      </c>
      <c r="FP4" s="25">
        <v>0</v>
      </c>
      <c r="FQ4" s="25">
        <v>0.3</v>
      </c>
      <c r="FR4" s="76">
        <f>IF(SUM(EY4,FC4)&gt;0,SUM(EY4,FC4),"")</f>
        <v>8.8000000000000007</v>
      </c>
      <c r="FS4" s="76">
        <f>IF(SUM(EX4:EY4,FA4:FC4,FE4)-EZ4-FD4&gt;0,SUM(EX4:EY4,FA4:FC4,FE4)-EZ4-FD4,"")</f>
        <v>43.199999999999996</v>
      </c>
      <c r="FT4" s="76" t="str">
        <f>IF(SUM(FF4:FG4,FI4)-FH4&gt;0,SUM(FF4:FG4,FI4)-FH4,"")</f>
        <v/>
      </c>
      <c r="FU4" s="76">
        <f>IF(SUM(FK4,FO4)&gt;0,SUM(FK4,FO4),"")</f>
        <v>8.8000000000000007</v>
      </c>
      <c r="FV4" s="76">
        <f>IF(SUM(FJ4:FK4,FM4:FO4,FQ4)-SUM(FL4,FP4)&gt;0,SUM(FJ4:FK4,FM4:FO4,FQ4)-SUM(FL4,FP4),"")</f>
        <v>43.099999999999994</v>
      </c>
      <c r="FW4" s="76">
        <f>IF(SUM(FS4,FV4)&gt;0,SUM(FS4,FV4),"")</f>
        <v>86.299999999999983</v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7.4166666666666661</v>
      </c>
      <c r="OY4" s="42">
        <f>IF($CO4="P",BV4,(BV4+AU4)/2)</f>
        <v>1.875</v>
      </c>
      <c r="OZ4" s="42">
        <f>IF($CO4="P",BW4,(BW4+AV4)/2)</f>
        <v>0</v>
      </c>
      <c r="PA4" s="42">
        <f>IF($CO4="P",BX4,(BX4+AW4)/2)</f>
        <v>7.4999999999999997E-2</v>
      </c>
      <c r="PB4" s="42">
        <f>IF($CO4="P",BY4,(BY4+AX4)/2)</f>
        <v>7.3111111111111118</v>
      </c>
      <c r="PC4" s="42">
        <f>IF($CO4="P",BZ4,(BZ4+AY4)/2)</f>
        <v>2.15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7.3183333333333334</v>
      </c>
      <c r="PK4" s="42">
        <f>IF($CO4="P",CH4,(CH4+BG4)/2)</f>
        <v>1.875</v>
      </c>
      <c r="PL4" s="42">
        <f>IF($CO4="P",CI4,(CI4+BH4)/2)</f>
        <v>0.05</v>
      </c>
      <c r="PM4" s="42">
        <f>IF($CO4="P",CJ4,(CJ4+BI4)/2)</f>
        <v>7.4999999999999997E-2</v>
      </c>
      <c r="PN4" s="42">
        <f>IF($CO4="P",CK4,(CK4+BJ4)/2)</f>
        <v>7.2722222222222221</v>
      </c>
      <c r="PO4" s="42">
        <f>IF($CO4="P",CL4,(CL4+BK4)/2)</f>
        <v>2.15</v>
      </c>
      <c r="PP4" s="42">
        <f>IF($CO4="P",CM4,(CM4+BL4)/2)</f>
        <v>0.05</v>
      </c>
      <c r="PQ4" s="42">
        <f>IF($CO4="P",CN4,(CN4+BM4)/2)</f>
        <v>0.15</v>
      </c>
      <c r="PR4" s="51" t="s">
        <v>58</v>
      </c>
      <c r="PS4" s="76">
        <f>IF(SUM(OY4,PC4)&gt;0,SUM(OY4,PC4),"")</f>
        <v>4.0250000000000004</v>
      </c>
      <c r="PT4" s="76">
        <f>IF(SUM(OX4:OY4,PA4:PC4,PE4)-OZ4-PD4&gt;0,SUM(OX4:OY4,PA4:PC4,PE4)-OZ4-PD4,"")</f>
        <v>18.977777777777774</v>
      </c>
      <c r="PU4" s="76" t="str">
        <f>IF(SUM(PF4:PG4,PI4)-PH4&gt;0,SUM(PF4:PG4,PI4)-PH4,"")</f>
        <v/>
      </c>
      <c r="PV4" s="76">
        <f>IF(SUM(PK4,PO4)&gt;0,SUM(PK4,PO4),"")</f>
        <v>4.0250000000000004</v>
      </c>
      <c r="PW4" s="76">
        <f>IF(SUM(PJ4:PK4,PM4:PO4,PQ4)-SUM(PL4,PP4)&gt;0,SUM(PJ4:PK4,PM4:PO4,PQ4)-SUM(PL4,PP4),"")</f>
        <v>18.740555555555552</v>
      </c>
      <c r="PX4" s="76">
        <f>IF(SUM(PT4,PW4)&gt;0,SUM(PT4,PW4),"")</f>
        <v>37.718333333333327</v>
      </c>
    </row>
    <row r="5" spans="1:440" x14ac:dyDescent="0.2">
      <c r="A5" s="5">
        <f>IF(AND(F5="P",G5="P"),SUMPRODUCT((F$4:F$12="P")*(G$4:G$12="P")*(E$4:E$12&gt;E5))+1,IF(G5="P",SUMPRODUCT((F$4:F$12="")*(G$4:G$12="P")*(E$4:E$12&gt;E5))+1+SUMPRODUCT((F$4:F$12="P")*(G$4:G$12="P")),""))</f>
        <v>2</v>
      </c>
      <c r="B5" s="6" t="s">
        <v>170</v>
      </c>
      <c r="C5" s="7" t="s">
        <v>5</v>
      </c>
      <c r="D5" s="18">
        <v>2003</v>
      </c>
      <c r="E5" s="14">
        <f>SUM(J5:P5)+SUM(J5:N5)*0.0000001+SUM(J5)*0.0000000000001</f>
        <v>130.1000127640043</v>
      </c>
      <c r="F5" s="3" t="str">
        <f>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P","")</f>
        <v>P</v>
      </c>
      <c r="G5" s="3" t="str">
        <f>IF(OR(AND(AO5&gt;=AS$18,AO5&lt;&gt;"",AM5=""),AND(AR5&gt;=AS$18,AR5&lt;&gt;"",AM5=""),AND(BP5&gt;=BT$18,BP5&lt;&gt;"",BN5=""),AND(BS5&gt;=BT$18,BS5&lt;&gt;"",BN5=""),AND(CQ5&gt;=CU$18,CQ5&lt;&gt;"",CO5=""),AND(CT5&gt;=CU$18,CT5&lt;&gt;"",CO5=""),AND(DS5&gt;=DW$18,DS5&lt;&gt;""),AND(DV5&gt;=DW$18,DV5&lt;&gt;""),AND(ES5&gt;=EW$18,ES5&lt;&gt;""),AND(EV5&gt;=EW$18,EV5&lt;&gt;""),AND(FS5&gt;=FW$18,FS5&lt;&gt;""),AND(FV5&gt;=FW$18,FV5&lt;&gt;""),AND(GS5&gt;=GW$18,GS5&lt;&gt;""),AND(GV5&gt;=GW$18,GV5&lt;&gt;""),AND(HS5&gt;=HW$18,HS5&lt;&gt;""),AND(HV5&gt;=HW$18,HV5&lt;&gt;""),AND(IS5&gt;=IW$18,IS5&lt;&gt;""),AND(IV5&gt;=IW$18,IV5&lt;&gt;""),AND(JS5&gt;=JW$18,JS5&lt;&gt;""),AND(JV5&gt;=JW$18,JV5&lt;&gt;""),AND(KS5&gt;=KW$18,KS5&lt;&gt;""),AND(KV5&gt;=KW$18,KV5&lt;&gt;""),AND(LS5&gt;=LW$18,LS5&lt;&gt;""),AND(LV5&gt;=LW$18,LV5&lt;&gt;""),AND(MS5&gt;=MW$18,MS5&lt;&gt;""),AND(MV5&gt;=MW$18,MV5&lt;&gt;""),AND(NS5&gt;=NW$18,NS5&lt;&gt;""),AND(NV5&gt;=NW$18,NV5&lt;&gt;""),AND(OS5&gt;=OW$18,OS5&lt;&gt;""),AND(OV5&gt;=OW$18,OV5&lt;&gt;"")),"P","")</f>
        <v>P</v>
      </c>
      <c r="H5" s="70" t="str">
        <f>IF(AND(G5="P",F5=""),"No DD",IF(OR(AND(AN5&gt;=AS$17,AO5&gt;=AS$21,AN5&lt;&gt;"",AM5=""),AND(AQ5&gt;=AS$17,AR5&gt;=AS$21,AQ5&lt;&gt;"",AM5=""),AND(BO5&gt;=BT$17,BP5&gt;=BT$21,BO5&lt;&gt;"",BN5=""),AND(BR5&gt;=BT$17,BS5&gt;=BT$21,BR5&lt;&gt;"",BN5=""),AND(CP5&gt;=CU$17,CQ5&gt;=CU$21,CP5&lt;&gt;"",CO5=""),AND(CS5&gt;=CU$17,CT5&gt;=CU$21,CS5&lt;&gt;""),AND(DR5&gt;=DW$17,DS5&gt;=DW$21,DR5&lt;&gt;""),AND(DU5&gt;=DW$17,DV5&gt;=DW$21,DU5&lt;&gt;""),AND(ER5&gt;=EW$17,ES5&gt;=EW$21,ER5&lt;&gt;""),AND(EU5&gt;=EW$17,EV5&gt;=EW$21,EU5&lt;&gt;""),AND(FR5&gt;=FW$17,FS5&gt;=FW$21,FR5&lt;&gt;""),AND(FU5&gt;=FW$17,FV5&gt;=FW$21,FU5&lt;&gt;""),AND(GR5&gt;=GW$17,GS5&gt;=GW$21,GR5&lt;&gt;""),AND(GU5&gt;=GW$17,GV5&gt;=GW$21,GU5&lt;&gt;""),AND(HR5&gt;=HW$17,HS5&gt;=HW$21,HR5&lt;&gt;""),AND(HU5&gt;=HW$17,HV5&gt;=HW$21,HU5&lt;&gt;""),AND(IR5&gt;=IW$17,IS5&gt;=IW$21,IR5&lt;&gt;""),AND(IU5&gt;=IW$17,IV5&gt;=IW$21,IU5&lt;&gt;""),AND(JR5&gt;=JW$17,JS5&gt;=JW$21,JR5&lt;&gt;""),AND(JU5&gt;=JW$17,JV5&gt;=JW$21,JU5&lt;&gt;""),AND(KR5&gt;=KW$17,KS5&gt;=KW$21,KR5&lt;&gt;""),AND(KU5&gt;=KW$17,KV5&gt;=KW$21,KU5&lt;&gt;""),AND(LR5&gt;=LW$17,LS5&gt;=LW$21,LR5&lt;&gt;""),AND(LU5&gt;=LW$17,LV5&gt;=LW$21,LU5&lt;&gt;""),AND(MR5&gt;=MW$17,MS5&gt;=MW$21,MR5&lt;&gt;""),AND(MU5&gt;=MW$17,MV5&gt;=MW$21,MU5&lt;&gt;""),AND(NR5&gt;=NW$17,NS5&gt;=NW$21,NR5&lt;&gt;""),AND(NU5&gt;=NW$17,NV5&gt;=NW$21,NU5&lt;&gt;""),AND(OR5&gt;=OW$17,OS5&gt;=OW$21,OR5&lt;&gt;""),AND(OU5&gt;=OW$17,OV5&gt;=OW$21,OU5&lt;&gt;"")),"Merit",IF(OR(AND(AN5&gt;=AS$16,AO5&gt;=AS$20,AN5&lt;&gt;"",AM5=""),AND(AQ5&gt;=AS$16,AR5&gt;=AS$20,AQ5&lt;&gt;"",AM5=""),AND(BO5&gt;=BT$16,BP5&gt;=BT$20,BO5&lt;&gt;"",BN5=""),AND(BR5&gt;=BT$16,BS5&gt;=BT$20,BR5&lt;&gt;"",BN5=""),AND(CP5&gt;=CU$16,CQ5&gt;=CU$20,CP5&lt;&gt;"",CO5=""),AND(CS5&gt;=CU$16,CT5&gt;=CU$20,CS5&lt;&gt;""),AND(DR5&gt;=DW$16,DS5&gt;=DW$20,DR5&lt;&gt;""),AND(DU5&gt;=DW$16,DV5&gt;=DW$20,DU5&lt;&gt;""),AND(ER5&gt;=EW$16,ES5&gt;=EW$20,ER5&lt;&gt;""),AND(EU5&gt;=EW$16,EV5&gt;=EW$20,EU5&lt;&gt;""),AND(FR5&gt;=FW$16,FS5&gt;=FW$20,FR5&lt;&gt;""),AND(FU5&gt;=FW$16,FV5&gt;=FW$20,FU5&lt;&gt;""),AND(GR5&gt;=GW$16,GS5&gt;=GW$20,GR5&lt;&gt;""),AND(GU5&gt;=GW$16,GV5&gt;=GW$20,GU5&lt;&gt;""),AND(HR5&gt;=HW$16,HS5&gt;=HW$20,HR5&lt;&gt;""),AND(HU5&gt;=HW$16,HV5&gt;=HW$20,HU5&lt;&gt;""),AND(IR5&gt;=IW$16,IS5&gt;=IW$20,IR5&lt;&gt;""),AND(IU5&gt;=IW$16,IV5&gt;=IW$20,IU5&lt;&gt;""),AND(JR5&gt;=JW$16,JS5&gt;=JW$20,JR5&lt;&gt;""),AND(JU5&gt;=JW$16,JV5&gt;=JW$20,JU5&lt;&gt;""),AND(KR5&gt;=KW$16,KS5&gt;=KW$20,KR5&lt;&gt;""),AND(KU5&gt;=KW$16,KV5&gt;=KW$20,KU5&lt;&gt;""),AND(LR5&gt;=LW$16,LS5&gt;=LW$20,LR5&lt;&gt;""),AND(LU5&gt;=LW$16,LV5&gt;=LW$20,LU5&lt;&gt;""),AND(MR5&gt;=MW$16,MS5&gt;=MW$20,MR5&lt;&gt;""),AND(MU5&gt;=MW$16,MV5&gt;=MW$20,MU5&lt;&gt;""),AND(NR5&gt;=NW$16,NS5&gt;=NW$20,NR5&lt;&gt;""),AND(NU5&gt;=NW$16,NV5&gt;=NW$20,NU5&lt;&gt;""),AND(OR5&gt;=OW$16,OS5&gt;=OW$20,OR5&lt;&gt;""),AND(OU5&gt;=OW$16,OV5&gt;=OW$20,OU5&lt;&gt;"")),"Excellence",IF(I5="P","Worlds Team",IF(F5="P","National Team","")))))</f>
        <v>Excellence</v>
      </c>
      <c r="I5" s="3" t="str">
        <f>IF(OR(AND(AN5&gt;=AS$15,AO5&gt;=AS$19,AN5&lt;&gt;"",AM5=""),AND(AQ5&gt;=AS$15,AR5&gt;=AS$19,AQ5&lt;&gt;"",AM5=""),AND(BO5&gt;=BT$15,BP5&gt;=BT$19,BO5&lt;&gt;"",BN5=""),AND(BR5&gt;=BT$15,BS5&gt;=BT$19,BR5&lt;&gt;"",BN5=""),AND(CP5&gt;=CU$15,CQ5&gt;=CU$19,CP5&lt;&gt;"",CO5=""),AND(CS5&gt;=CU$15,CT5&gt;=CU$19,CS5&lt;&gt;""),AND(DR5&gt;=DW$15,DS5&gt;=DW$19,DR5&lt;&gt;""),AND(DU5&gt;=DW$15,DV5&gt;=DW$19,DU5&lt;&gt;""),AND(ER5&gt;=EW$15,ES5&gt;=EW$19,ER5&lt;&gt;""),AND(EU5&gt;=EW$15,EV5&gt;=EW$19,EU5&lt;&gt;""),AND(FR5&gt;=FW$15,FS5&gt;=FW$19,FR5&lt;&gt;""),AND(FU5&gt;=FW$15,FV5&gt;=FW$19,FU5&lt;&gt;""),AND(GR5&gt;=GW$15,GS5&gt;=GW$19,GR5&lt;&gt;""),AND(GU5&gt;=GW$15,GV5&gt;=GW$19,GU5&lt;&gt;""),AND(HR5&gt;=HW$15,HS5&gt;=HW$19,HR5&lt;&gt;""),AND(HU5&gt;=HW$15,HV5&gt;=HW$19,HU5&lt;&gt;""),AND(IR5&gt;=IW$15,IS5&gt;=IW$19,IR5&lt;&gt;""),AND(IU5&gt;=IW$15,IV5&gt;=IW$19,IU5&lt;&gt;""),AND(JR5&gt;=JW$15,JS5&gt;=JW$19,JR5&lt;&gt;""),AND(JU5&gt;=JW$15,JV5&gt;=JW$19,JU5&lt;&gt;""),AND(KR5&gt;=KW$15,KS5&gt;=KW$19,KR5&lt;&gt;""),AND(KU5&gt;=KW$15,KV5&gt;=KW$19,KU5&lt;&gt;""),AND(LR5&gt;=LW$15,LS5&gt;=LW$19,LR5&lt;&gt;""),AND(LU5&gt;=LW$15,LV5&gt;=LW$19,LU5&lt;&gt;""),AND(MR5&gt;=MW$15,MS5&gt;=MW$19,MR5&lt;&gt;""),AND(MU5&gt;=MW$15,MV5&gt;=MW$19,MU5&lt;&gt;""),AND(NR5&gt;=NW$15,NS5&gt;=NW$19,NR5&lt;&gt;""),AND(NU5&gt;=NW$15,NV5&gt;=NW$19,NU5&lt;&gt;""),AND(OR5&gt;=OW$15,OS5&gt;=OW$19,OR5&lt;&gt;""),AND(OU5&gt;=OW$15,OV5&gt;=OW$19,OU5&lt;&gt;"")),"P","")</f>
        <v>P</v>
      </c>
      <c r="J5" s="13">
        <f>IF(COUNT(AO5,BP5,CQ5)&gt;0,LARGE((AO5,BP5,CQ5),1),0)</f>
        <v>43.199999999999989</v>
      </c>
      <c r="K5" s="13" t="str">
        <f>IF(J5=0,"",IF(J5=CQ5,$BU$1,IF(J5=BP5,$AT$1,IF(J5=AO5,$S$1,""))))</f>
        <v>2022 Nationals</v>
      </c>
      <c r="L5" s="13">
        <f>IF(COUNT(AO5,BP5,CQ5)&gt;1,LARGE((AO5,BP5,CQ5),2),0)</f>
        <v>42.1</v>
      </c>
      <c r="M5" s="13" t="str">
        <f>IF(L5=0,"",IF(L5=CQ5,$BU$1,IF(L5=BP5,$AT$1,IF(L5=AO5,$S$1,""))))</f>
        <v>2022 Elite Canada</v>
      </c>
      <c r="N5" s="13">
        <f>IF(MAX(AR5,BS5,CT5)&gt;0,MAX(AR5,BS5,CT5),0)</f>
        <v>42.339999999999996</v>
      </c>
      <c r="O5" s="13" t="str">
        <f>IF(N5=0,"",IF(N5=CT5,$BU$1,IF(N5=BS5,$AT$1,IF(N5=AR5,$S$1,""))))</f>
        <v>2022 Elite Canada</v>
      </c>
      <c r="P5" s="13">
        <f>IF(MAX(CV5:CW5)&gt;0,MAX(CV5:CW5),"")</f>
        <v>2.4600000000000009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Coimbra Gym Fest (June 26)</v>
      </c>
      <c r="S5" s="27">
        <v>16.7</v>
      </c>
      <c r="T5" s="27">
        <v>3.9</v>
      </c>
      <c r="U5" s="27">
        <v>0</v>
      </c>
      <c r="V5" s="27">
        <v>0.3</v>
      </c>
      <c r="W5" s="27">
        <v>16.8</v>
      </c>
      <c r="X5" s="27">
        <v>4.0999999999999996</v>
      </c>
      <c r="Y5" s="27">
        <v>0</v>
      </c>
      <c r="Z5" s="27">
        <v>0.3</v>
      </c>
      <c r="AA5" s="27"/>
      <c r="AB5" s="27"/>
      <c r="AC5" s="27"/>
      <c r="AD5" s="27"/>
      <c r="AE5" s="27">
        <v>17.079999999999998</v>
      </c>
      <c r="AF5" s="27">
        <v>3.9</v>
      </c>
      <c r="AG5" s="27">
        <v>0</v>
      </c>
      <c r="AH5" s="27">
        <v>0.3</v>
      </c>
      <c r="AI5" s="27">
        <v>16.66</v>
      </c>
      <c r="AJ5" s="27">
        <v>4.0999999999999996</v>
      </c>
      <c r="AK5" s="27">
        <v>0</v>
      </c>
      <c r="AL5" s="27">
        <v>0.3</v>
      </c>
      <c r="AM5" s="51"/>
      <c r="AN5" s="76">
        <f>IF(SUM(T5,X5)&gt;0,SUM(T5,X5),"")</f>
        <v>8</v>
      </c>
      <c r="AO5" s="76">
        <f>IF(SUM(S5:T5,V5:X5,Z5)-U5-Y5&gt;0,SUM(S5:T5,V5:X5,Z5)-U5-Y5,"")</f>
        <v>42.1</v>
      </c>
      <c r="AP5" s="76" t="str">
        <f>IF(SUM(AA5:AB5,AD5)-AC5&gt;0,SUM(AA5:AB5,AD5)-AC5,"")</f>
        <v/>
      </c>
      <c r="AQ5" s="76">
        <f>IF(SUM(AF5,AJ5)&gt;0,SUM(AF5,AJ5),"")</f>
        <v>8</v>
      </c>
      <c r="AR5" s="76">
        <f>IF(SUM(AE5:AF5,AH5:AJ5,AL5)-SUM(AG5,AK5)&gt;0,SUM(AE5:AF5,AH5:AJ5,AL5)-SUM(AG5,AK5),"")</f>
        <v>42.339999999999996</v>
      </c>
      <c r="AS5" s="76">
        <f>IF(SUM(AO5,AR5)&gt;0,SUM(AO5,AR5),"")</f>
        <v>84.44</v>
      </c>
      <c r="AT5" s="26">
        <v>17.2</v>
      </c>
      <c r="AU5" s="26">
        <v>4.0999999999999996</v>
      </c>
      <c r="AV5" s="26">
        <v>0.2</v>
      </c>
      <c r="AW5" s="26">
        <v>0.3</v>
      </c>
      <c r="AX5" s="26">
        <v>17.399999999999999</v>
      </c>
      <c r="AY5" s="26">
        <v>4.3</v>
      </c>
      <c r="AZ5" s="26">
        <v>0.2</v>
      </c>
      <c r="BA5" s="26">
        <v>0.3</v>
      </c>
      <c r="BB5" s="26"/>
      <c r="BC5" s="26"/>
      <c r="BD5" s="26"/>
      <c r="BE5" s="26"/>
      <c r="BF5" s="26">
        <v>16.5</v>
      </c>
      <c r="BG5" s="26">
        <v>2.8</v>
      </c>
      <c r="BH5" s="26">
        <v>1.2</v>
      </c>
      <c r="BI5" s="26">
        <v>0.3</v>
      </c>
      <c r="BJ5" s="26">
        <v>16.8</v>
      </c>
      <c r="BK5" s="26">
        <v>4.5999999999999996</v>
      </c>
      <c r="BL5" s="26">
        <v>0</v>
      </c>
      <c r="BM5" s="26">
        <v>0.6</v>
      </c>
      <c r="BN5" s="52"/>
      <c r="BO5" s="16">
        <f>IF(SUM(AU5,AY5)&gt;0,SUM(AU5,AY5),"")</f>
        <v>8.3999999999999986</v>
      </c>
      <c r="BP5" s="16">
        <f>IF(SUM(AT5:AU5,AW5:AY5,BA5)-AV5-AZ5&gt;0,SUM(AT5:AU5,AW5:AY5,BA5)-AV5-AZ5,"")</f>
        <v>43.199999999999989</v>
      </c>
      <c r="BQ5" s="16" t="str">
        <f>IF(SUM(BB5:BC5,BE5)-BD5&gt;0,SUM(BB5:BC5,BE5)-BD5,"")</f>
        <v/>
      </c>
      <c r="BR5" s="16">
        <f>IF(SUM(BG5,BK5)&gt;0,SUM(BG5,BK5),"")</f>
        <v>7.3999999999999995</v>
      </c>
      <c r="BS5" s="16">
        <f>IF(SUM(BF5:BG5,BI5:BK5,BM5)-SUM(BH5,BL5)&gt;0,SUM(BF5:BG5,BI5:BK5,BM5)-SUM(BH5,BL5),"")</f>
        <v>40.400000000000006</v>
      </c>
      <c r="BT5" s="16">
        <f>IF(SUM(BP5,BS5)&gt;0,SUM(BP5,BS5),"")</f>
        <v>83.6</v>
      </c>
      <c r="BU5" s="27">
        <v>14.7</v>
      </c>
      <c r="BV5" s="27">
        <v>3.9</v>
      </c>
      <c r="BW5" s="27">
        <v>0.4</v>
      </c>
      <c r="BX5" s="27">
        <v>0.3</v>
      </c>
      <c r="BY5" s="27">
        <v>15.9</v>
      </c>
      <c r="BZ5" s="27">
        <v>2.4</v>
      </c>
      <c r="CA5" s="27">
        <v>5.4</v>
      </c>
      <c r="CB5" s="27">
        <v>0.3</v>
      </c>
      <c r="CC5" s="27"/>
      <c r="CD5" s="27"/>
      <c r="CE5" s="27"/>
      <c r="CF5" s="27"/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51"/>
      <c r="CP5" s="76">
        <f>IF(SUM(BV5,BZ5)&gt;0,SUM(BV5,BZ5),"")</f>
        <v>6.3</v>
      </c>
      <c r="CQ5" s="76">
        <f>IF(SUM(BU5:BV5,BX5:BZ5,CB5)-BW5-CA5&gt;0,SUM(BU5:BV5,BX5:BZ5,CB5)-BW5-CA5,"")</f>
        <v>31.699999999999996</v>
      </c>
      <c r="CR5" s="76" t="str">
        <f>IF(SUM(CC5:CD5,CF5)-CE5&gt;0,SUM(CC5:CD5,CF5)-CE5,"")</f>
        <v/>
      </c>
      <c r="CS5" s="76" t="str">
        <f>IF(SUM(CH5,CL5)&gt;0,SUM(CH5,CL5),"")</f>
        <v/>
      </c>
      <c r="CT5" s="76" t="str">
        <f>IF(SUM(CG5:CH5,CJ5:CL5,CN5)-SUM(CI5,CM5)&gt;0,SUM(CG5:CH5,CJ5:CL5,CN5)-SUM(CI5,CM5),"")</f>
        <v/>
      </c>
      <c r="CU5" s="76">
        <f>IF(SUM(CQ5,CT5)&gt;0,SUM(CQ5,CT5),"")</f>
        <v>31.699999999999996</v>
      </c>
      <c r="CV5" s="87">
        <f>IF(L5&gt;=0.001,IF(MAX(DS5,ES5,FS5,GS5,HS5,IS5,JS5,KS5,LS5,MS5,NS5,OS5)-IF(L5="",0,L5)&gt;0.001,MAX(DS5,ES5,FS5,GS5,HS5,IS5,JS5,KS5,LS5,MS5,NS5,OS5)-IF(L5="",0,L5),""),"")</f>
        <v>1.6999999999999957</v>
      </c>
      <c r="CW5" s="87">
        <f>IF(N5&gt;=0.001,IF(MAX(DV5,EV5,FV5,GV5,HV5,IV5,JV5,KV5,LV5,MV5,NV5,OV5)-IF(N5="",0,N5)&gt;0.001,MAX(DV5,EV5,FV5,GV5,HV5,IV5,JV5,KV5,LV5,MV5,NV5,OV5)-IF(N5="",0,N5),""),"")</f>
        <v>2.4600000000000009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16" t="str">
        <f>IF(SUM(DY5,EC5)&gt;0,SUM(DY5,EC5),"")</f>
        <v/>
      </c>
      <c r="ES5" s="16" t="str">
        <f>IF(SUM(DX5:DY5,EA5:EC5,EE5)-DZ5-ED5&gt;0,SUM(DX5:DY5,EA5:EC5,EE5)-DZ5-ED5,"")</f>
        <v/>
      </c>
      <c r="ET5" s="16" t="str">
        <f>IF(SUM(EF5:EG5,EI5)-EH5&gt;0,SUM(EF5:EG5,EI5)-EH5,"")</f>
        <v/>
      </c>
      <c r="EU5" s="16" t="str">
        <f>IF(SUM(EK5,EO5)&gt;0,SUM(EK5,EO5),"")</f>
        <v/>
      </c>
      <c r="EV5" s="16" t="str">
        <f>IF(SUM(EJ5:EK5,EM5:EO5,EQ5)-SUM(EL5,EP5)&gt;0,SUM(EJ5:EK5,EM5:EO5,EQ5)-SUM(EL5,EP5),"")</f>
        <v/>
      </c>
      <c r="EW5" s="16" t="str">
        <f>IF(SUM(ES5,EV5)&gt;0,SUM(ES5,EV5),"")</f>
        <v/>
      </c>
      <c r="EX5" s="25">
        <v>16.899999999999999</v>
      </c>
      <c r="EY5" s="25">
        <v>4.3</v>
      </c>
      <c r="EZ5" s="25">
        <v>0</v>
      </c>
      <c r="FA5" s="25">
        <v>0.3</v>
      </c>
      <c r="FB5" s="25">
        <v>16.7</v>
      </c>
      <c r="FC5" s="25">
        <v>4.5999999999999996</v>
      </c>
      <c r="FD5" s="25">
        <v>0</v>
      </c>
      <c r="FE5" s="25">
        <v>0.6</v>
      </c>
      <c r="FF5" s="25"/>
      <c r="FG5" s="25"/>
      <c r="FH5" s="25"/>
      <c r="FI5" s="25"/>
      <c r="FJ5" s="25">
        <v>16.100000000000001</v>
      </c>
      <c r="FK5" s="25">
        <v>4.0999999999999996</v>
      </c>
      <c r="FL5" s="25">
        <v>0</v>
      </c>
      <c r="FM5" s="25">
        <v>0.3</v>
      </c>
      <c r="FN5" s="25">
        <v>15.2</v>
      </c>
      <c r="FO5" s="25">
        <v>1.9</v>
      </c>
      <c r="FP5" s="25">
        <v>0</v>
      </c>
      <c r="FQ5" s="25">
        <v>0.3</v>
      </c>
      <c r="FR5" s="76">
        <f>IF(SUM(EY5,FC5)&gt;0,SUM(EY5,FC5),"")</f>
        <v>8.8999999999999986</v>
      </c>
      <c r="FS5" s="76">
        <f>IF(SUM(EX5:EY5,FA5:FC5,FE5)-EZ5-FD5&gt;0,SUM(EX5:EY5,FA5:FC5,FE5)-EZ5-FD5,"")</f>
        <v>43.400000000000006</v>
      </c>
      <c r="FT5" s="76" t="str">
        <f>IF(SUM(FF5:FG5,FI5)-FH5&gt;0,SUM(FF5:FG5,FI5)-FH5,"")</f>
        <v/>
      </c>
      <c r="FU5" s="76">
        <f>IF(SUM(FK5,FO5)&gt;0,SUM(FK5,FO5),"")</f>
        <v>6</v>
      </c>
      <c r="FV5" s="76">
        <f>IF(SUM(FJ5:FK5,FM5:FO5,FQ5)-SUM(FL5,FP5)&gt;0,SUM(FJ5:FK5,FM5:FO5,FQ5)-SUM(FL5,FP5),"")</f>
        <v>37.9</v>
      </c>
      <c r="FW5" s="76">
        <f>IF(SUM(FS5,FV5)&gt;0,SUM(FS5,FV5),"")</f>
        <v>81.300000000000011</v>
      </c>
      <c r="FX5" s="26">
        <v>17.399999999999999</v>
      </c>
      <c r="FY5" s="26">
        <v>3.9</v>
      </c>
      <c r="FZ5" s="26">
        <v>0</v>
      </c>
      <c r="GA5" s="26">
        <v>0</v>
      </c>
      <c r="GB5" s="26">
        <v>18.2</v>
      </c>
      <c r="GC5" s="26">
        <v>4.3</v>
      </c>
      <c r="GD5" s="26">
        <v>0</v>
      </c>
      <c r="GE5" s="26">
        <v>0</v>
      </c>
      <c r="GF5" s="26"/>
      <c r="GG5" s="26"/>
      <c r="GH5" s="26"/>
      <c r="GI5" s="26"/>
      <c r="GJ5" s="26">
        <v>17.600000000000001</v>
      </c>
      <c r="GK5" s="26">
        <v>4.5999999999999996</v>
      </c>
      <c r="GL5" s="26">
        <v>0</v>
      </c>
      <c r="GM5" s="26">
        <v>0</v>
      </c>
      <c r="GN5" s="26">
        <v>18.3</v>
      </c>
      <c r="GO5" s="26">
        <v>4.3</v>
      </c>
      <c r="GP5" s="26">
        <v>0</v>
      </c>
      <c r="GQ5" s="26">
        <v>0</v>
      </c>
      <c r="GR5" s="16">
        <f>IF(SUM(FY5,GC5)&gt;0,SUM(FY5,GC5),"")</f>
        <v>8.1999999999999993</v>
      </c>
      <c r="GS5" s="16">
        <f>IF(SUM(FX5:FY5,GA5:GC5,GE5)-FZ5-GD5&gt;0,SUM(FX5:FY5,GA5:GC5,GE5)-FZ5-GD5,"")</f>
        <v>43.8</v>
      </c>
      <c r="GT5" s="16" t="str">
        <f>IF(SUM(GF5:GG5,GI5)-GH5&gt;0,SUM(GF5:GG5,GI5)-GH5,"")</f>
        <v/>
      </c>
      <c r="GU5" s="16">
        <f>IF(SUM(GK5,GO5)&gt;0,SUM(GK5,GO5),"")</f>
        <v>8.8999999999999986</v>
      </c>
      <c r="GV5" s="16">
        <f>IF(SUM(GJ5:GK5,GM5:GO5,GQ5)-SUM(GL5,GP5)&gt;0,SUM(GJ5:GK5,GM5:GO5,GQ5)-SUM(GL5,GP5),"")</f>
        <v>44.8</v>
      </c>
      <c r="GW5" s="16">
        <f>IF(SUM(GS5,GV5)&gt;0,SUM(GS5,GV5),"")</f>
        <v>88.6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15.95</v>
      </c>
      <c r="OY5" s="42">
        <f>IF($CO5="P",BV5,(BV5+AU5)/2)</f>
        <v>4</v>
      </c>
      <c r="OZ5" s="42">
        <f>IF($CO5="P",BW5,(BW5+AV5)/2)</f>
        <v>0.30000000000000004</v>
      </c>
      <c r="PA5" s="42">
        <f>IF($CO5="P",BX5,(BX5+AW5)/2)</f>
        <v>0.3</v>
      </c>
      <c r="PB5" s="42">
        <f>IF($CO5="P",BY5,(BY5+AX5)/2)</f>
        <v>16.649999999999999</v>
      </c>
      <c r="PC5" s="42">
        <f>IF($CO5="P",BZ5,(BZ5+AY5)/2)</f>
        <v>3.3499999999999996</v>
      </c>
      <c r="PD5" s="42">
        <f>IF($CO5="P",CA5,(CA5+AZ5)/2)</f>
        <v>2.8000000000000003</v>
      </c>
      <c r="PE5" s="42">
        <f>IF($CO5="P",CB5,(CB5+BA5)/2)</f>
        <v>0.3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8.25</v>
      </c>
      <c r="PK5" s="42">
        <f>IF($CO5="P",CH5,(CH5+BG5)/2)</f>
        <v>1.4</v>
      </c>
      <c r="PL5" s="42">
        <f>IF($CO5="P",CI5,(CI5+BH5)/2)</f>
        <v>0.6</v>
      </c>
      <c r="PM5" s="42">
        <f>IF($CO5="P",CJ5,(CJ5+BI5)/2)</f>
        <v>0.15</v>
      </c>
      <c r="PN5" s="42">
        <f>IF($CO5="P",CK5,(CK5+BJ5)/2)</f>
        <v>8.4</v>
      </c>
      <c r="PO5" s="42">
        <f>IF($CO5="P",CL5,(CL5+BK5)/2)</f>
        <v>2.2999999999999998</v>
      </c>
      <c r="PP5" s="42">
        <f>IF($CO5="P",CM5,(CM5+BL5)/2)</f>
        <v>0</v>
      </c>
      <c r="PQ5" s="42">
        <f>IF($CO5="P",CN5,(CN5+BM5)/2)</f>
        <v>0.3</v>
      </c>
      <c r="PR5" s="51" t="s">
        <v>58</v>
      </c>
      <c r="PS5" s="76">
        <f>IF(SUM(OY5,PC5)&gt;0,SUM(OY5,PC5),"")</f>
        <v>7.35</v>
      </c>
      <c r="PT5" s="76">
        <f>IF(SUM(OX5:OY5,PA5:PC5,PE5)-OZ5-PD5&gt;0,SUM(OX5:OY5,PA5:PC5,PE5)-OZ5-PD5,"")</f>
        <v>37.450000000000003</v>
      </c>
      <c r="PU5" s="76" t="str">
        <f>IF(SUM(PF5:PG5,PI5)-PH5&gt;0,SUM(PF5:PG5,PI5)-PH5,"")</f>
        <v/>
      </c>
      <c r="PV5" s="76">
        <f>IF(SUM(PK5,PO5)&gt;0,SUM(PK5,PO5),"")</f>
        <v>3.6999999999999997</v>
      </c>
      <c r="PW5" s="76">
        <f>IF(SUM(PJ5:PK5,PM5:PO5,PQ5)-SUM(PL5,PP5)&gt;0,SUM(PJ5:PK5,PM5:PO5,PQ5)-SUM(PL5,PP5),"")</f>
        <v>20.200000000000003</v>
      </c>
      <c r="PX5" s="76">
        <f>IF(SUM(PT5,PW5)&gt;0,SUM(PT5,PW5),"")</f>
        <v>57.650000000000006</v>
      </c>
    </row>
    <row r="6" spans="1:440" x14ac:dyDescent="0.2">
      <c r="A6" s="5">
        <f>IF(AND(F6="P",G6="P"),SUMPRODUCT((F$4:F$12="P")*(G$4:G$12="P")*(E$4:E$12&gt;E6))+1,IF(G6="P",SUMPRODUCT((F$4:F$12="")*(G$4:G$12="P")*(E$4:E$12&gt;E6))+1+SUMPRODUCT((F$4:F$12="P")*(G$4:G$12="P")),""))</f>
        <v>3</v>
      </c>
      <c r="B6" s="6" t="s">
        <v>211</v>
      </c>
      <c r="C6" s="7" t="s">
        <v>5</v>
      </c>
      <c r="D6" s="18">
        <v>2003</v>
      </c>
      <c r="E6" s="14">
        <f>SUM(J6:P6)+SUM(J6:N6)*0.0000001+SUM(J6)*0.0000000000001</f>
        <v>125.40001254000431</v>
      </c>
      <c r="F6" s="3" t="str">
        <f>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P","")</f>
        <v>P</v>
      </c>
      <c r="G6" s="3" t="str">
        <f>IF(OR(AND(AO6&gt;=AS$18,AO6&lt;&gt;"",AM6=""),AND(AR6&gt;=AS$18,AR6&lt;&gt;"",AM6=""),AND(BP6&gt;=BT$18,BP6&lt;&gt;"",BN6=""),AND(BS6&gt;=BT$18,BS6&lt;&gt;"",BN6=""),AND(CQ6&gt;=CU$18,CQ6&lt;&gt;"",CO6=""),AND(CT6&gt;=CU$18,CT6&lt;&gt;"",CO6=""),AND(DS6&gt;=DW$18,DS6&lt;&gt;""),AND(DV6&gt;=DW$18,DV6&lt;&gt;""),AND(ES6&gt;=EW$18,ES6&lt;&gt;""),AND(EV6&gt;=EW$18,EV6&lt;&gt;""),AND(FS6&gt;=FW$18,FS6&lt;&gt;""),AND(FV6&gt;=FW$18,FV6&lt;&gt;""),AND(GS6&gt;=GW$18,GS6&lt;&gt;""),AND(GV6&gt;=GW$18,GV6&lt;&gt;""),AND(HS6&gt;=HW$18,HS6&lt;&gt;""),AND(HV6&gt;=HW$18,HV6&lt;&gt;""),AND(IS6&gt;=IW$18,IS6&lt;&gt;""),AND(IV6&gt;=IW$18,IV6&lt;&gt;""),AND(JS6&gt;=JW$18,JS6&lt;&gt;""),AND(JV6&gt;=JW$18,JV6&lt;&gt;""),AND(KS6&gt;=KW$18,KS6&lt;&gt;""),AND(KV6&gt;=KW$18,KV6&lt;&gt;""),AND(LS6&gt;=LW$18,LS6&lt;&gt;""),AND(LV6&gt;=LW$18,LV6&lt;&gt;""),AND(MS6&gt;=MW$18,MS6&lt;&gt;""),AND(MV6&gt;=MW$18,MV6&lt;&gt;""),AND(NS6&gt;=NW$18,NS6&lt;&gt;""),AND(NV6&gt;=NW$18,NV6&lt;&gt;""),AND(OS6&gt;=OW$18,OS6&lt;&gt;""),AND(OV6&gt;=OW$18,OV6&lt;&gt;"")),"P","")</f>
        <v>P</v>
      </c>
      <c r="H6" s="70" t="str">
        <f>IF(AND(G6="P",F6=""),"No DD",IF(OR(AND(AN6&gt;=AS$17,AO6&gt;=AS$21,AN6&lt;&gt;"",AM6=""),AND(AQ6&gt;=AS$17,AR6&gt;=AS$21,AQ6&lt;&gt;"",AM6=""),AND(BO6&gt;=BT$17,BP6&gt;=BT$21,BO6&lt;&gt;"",BN6=""),AND(BR6&gt;=BT$17,BS6&gt;=BT$21,BR6&lt;&gt;"",BN6=""),AND(CP6&gt;=CU$17,CQ6&gt;=CU$21,CP6&lt;&gt;"",CO6=""),AND(CS6&gt;=CU$17,CT6&gt;=CU$21,CS6&lt;&gt;""),AND(DR6&gt;=DW$17,DS6&gt;=DW$21,DR6&lt;&gt;""),AND(DU6&gt;=DW$17,DV6&gt;=DW$21,DU6&lt;&gt;""),AND(ER6&gt;=EW$17,ES6&gt;=EW$21,ER6&lt;&gt;""),AND(EU6&gt;=EW$17,EV6&gt;=EW$21,EU6&lt;&gt;""),AND(FR6&gt;=FW$17,FS6&gt;=FW$21,FR6&lt;&gt;""),AND(FU6&gt;=FW$17,FV6&gt;=FW$21,FU6&lt;&gt;""),AND(GR6&gt;=GW$17,GS6&gt;=GW$21,GR6&lt;&gt;""),AND(GU6&gt;=GW$17,GV6&gt;=GW$21,GU6&lt;&gt;""),AND(HR6&gt;=HW$17,HS6&gt;=HW$21,HR6&lt;&gt;""),AND(HU6&gt;=HW$17,HV6&gt;=HW$21,HU6&lt;&gt;""),AND(IR6&gt;=IW$17,IS6&gt;=IW$21,IR6&lt;&gt;""),AND(IU6&gt;=IW$17,IV6&gt;=IW$21,IU6&lt;&gt;""),AND(JR6&gt;=JW$17,JS6&gt;=JW$21,JR6&lt;&gt;""),AND(JU6&gt;=JW$17,JV6&gt;=JW$21,JU6&lt;&gt;""),AND(KR6&gt;=KW$17,KS6&gt;=KW$21,KR6&lt;&gt;""),AND(KU6&gt;=KW$17,KV6&gt;=KW$21,KU6&lt;&gt;""),AND(LR6&gt;=LW$17,LS6&gt;=LW$21,LR6&lt;&gt;""),AND(LU6&gt;=LW$17,LV6&gt;=LW$21,LU6&lt;&gt;""),AND(MR6&gt;=MW$17,MS6&gt;=MW$21,MR6&lt;&gt;""),AND(MU6&gt;=MW$17,MV6&gt;=MW$21,MU6&lt;&gt;""),AND(NR6&gt;=NW$17,NS6&gt;=NW$21,NR6&lt;&gt;""),AND(NU6&gt;=NW$17,NV6&gt;=NW$21,NU6&lt;&gt;""),AND(OR6&gt;=OW$17,OS6&gt;=OW$21,OR6&lt;&gt;""),AND(OU6&gt;=OW$17,OV6&gt;=OW$21,OU6&lt;&gt;"")),"Merit",IF(OR(AND(AN6&gt;=AS$16,AO6&gt;=AS$20,AN6&lt;&gt;"",AM6=""),AND(AQ6&gt;=AS$16,AR6&gt;=AS$20,AQ6&lt;&gt;"",AM6=""),AND(BO6&gt;=BT$16,BP6&gt;=BT$20,BO6&lt;&gt;"",BN6=""),AND(BR6&gt;=BT$16,BS6&gt;=BT$20,BR6&lt;&gt;"",BN6=""),AND(CP6&gt;=CU$16,CQ6&gt;=CU$20,CP6&lt;&gt;"",CO6=""),AND(CS6&gt;=CU$16,CT6&gt;=CU$20,CS6&lt;&gt;""),AND(DR6&gt;=DW$16,DS6&gt;=DW$20,DR6&lt;&gt;""),AND(DU6&gt;=DW$16,DV6&gt;=DW$20,DU6&lt;&gt;""),AND(ER6&gt;=EW$16,ES6&gt;=EW$20,ER6&lt;&gt;""),AND(EU6&gt;=EW$16,EV6&gt;=EW$20,EU6&lt;&gt;""),AND(FR6&gt;=FW$16,FS6&gt;=FW$20,FR6&lt;&gt;""),AND(FU6&gt;=FW$16,FV6&gt;=FW$20,FU6&lt;&gt;""),AND(GR6&gt;=GW$16,GS6&gt;=GW$20,GR6&lt;&gt;""),AND(GU6&gt;=GW$16,GV6&gt;=GW$20,GU6&lt;&gt;""),AND(HR6&gt;=HW$16,HS6&gt;=HW$20,HR6&lt;&gt;""),AND(HU6&gt;=HW$16,HV6&gt;=HW$20,HU6&lt;&gt;""),AND(IR6&gt;=IW$16,IS6&gt;=IW$20,IR6&lt;&gt;""),AND(IU6&gt;=IW$16,IV6&gt;=IW$20,IU6&lt;&gt;""),AND(JR6&gt;=JW$16,JS6&gt;=JW$20,JR6&lt;&gt;""),AND(JU6&gt;=JW$16,JV6&gt;=JW$20,JU6&lt;&gt;""),AND(KR6&gt;=KW$16,KS6&gt;=KW$20,KR6&lt;&gt;""),AND(KU6&gt;=KW$16,KV6&gt;=KW$20,KU6&lt;&gt;""),AND(LR6&gt;=LW$16,LS6&gt;=LW$20,LR6&lt;&gt;""),AND(LU6&gt;=LW$16,LV6&gt;=LW$20,LU6&lt;&gt;""),AND(MR6&gt;=MW$16,MS6&gt;=MW$20,MR6&lt;&gt;""),AND(MU6&gt;=MW$16,MV6&gt;=MW$20,MU6&lt;&gt;""),AND(NR6&gt;=NW$16,NS6&gt;=NW$20,NR6&lt;&gt;""),AND(NU6&gt;=NW$16,NV6&gt;=NW$20,NU6&lt;&gt;""),AND(OR6&gt;=OW$16,OS6&gt;=OW$20,OR6&lt;&gt;""),AND(OU6&gt;=OW$16,OV6&gt;=OW$20,OU6&lt;&gt;"")),"Excellence",IF(I6="P","Worlds Team",IF(F6="P","National Team","")))))</f>
        <v>National Team</v>
      </c>
      <c r="I6" s="3" t="str">
        <f>IF(OR(AND(AN6&gt;=AS$15,AO6&gt;=AS$19,AN6&lt;&gt;"",AM6=""),AND(AQ6&gt;=AS$15,AR6&gt;=AS$19,AQ6&lt;&gt;"",AM6=""),AND(BO6&gt;=BT$15,BP6&gt;=BT$19,BO6&lt;&gt;"",BN6=""),AND(BR6&gt;=BT$15,BS6&gt;=BT$19,BR6&lt;&gt;"",BN6=""),AND(CP6&gt;=CU$15,CQ6&gt;=CU$19,CP6&lt;&gt;"",CO6=""),AND(CS6&gt;=CU$15,CT6&gt;=CU$19,CS6&lt;&gt;""),AND(DR6&gt;=DW$15,DS6&gt;=DW$19,DR6&lt;&gt;""),AND(DU6&gt;=DW$15,DV6&gt;=DW$19,DU6&lt;&gt;""),AND(ER6&gt;=EW$15,ES6&gt;=EW$19,ER6&lt;&gt;""),AND(EU6&gt;=EW$15,EV6&gt;=EW$19,EU6&lt;&gt;""),AND(FR6&gt;=FW$15,FS6&gt;=FW$19,FR6&lt;&gt;""),AND(FU6&gt;=FW$15,FV6&gt;=FW$19,FU6&lt;&gt;""),AND(GR6&gt;=GW$15,GS6&gt;=GW$19,GR6&lt;&gt;""),AND(GU6&gt;=GW$15,GV6&gt;=GW$19,GU6&lt;&gt;""),AND(HR6&gt;=HW$15,HS6&gt;=HW$19,HR6&lt;&gt;""),AND(HU6&gt;=HW$15,HV6&gt;=HW$19,HU6&lt;&gt;""),AND(IR6&gt;=IW$15,IS6&gt;=IW$19,IR6&lt;&gt;""),AND(IU6&gt;=IW$15,IV6&gt;=IW$19,IU6&lt;&gt;""),AND(JR6&gt;=JW$15,JS6&gt;=JW$19,JR6&lt;&gt;""),AND(JU6&gt;=JW$15,JV6&gt;=JW$19,JU6&lt;&gt;""),AND(KR6&gt;=KW$15,KS6&gt;=KW$19,KR6&lt;&gt;""),AND(KU6&gt;=KW$15,KV6&gt;=KW$19,KU6&lt;&gt;""),AND(LR6&gt;=LW$15,LS6&gt;=LW$19,LR6&lt;&gt;""),AND(LU6&gt;=LW$15,LV6&gt;=LW$19,LU6&lt;&gt;""),AND(MR6&gt;=MW$15,MS6&gt;=MW$19,MR6&lt;&gt;""),AND(MU6&gt;=MW$15,MV6&gt;=MW$19,MU6&lt;&gt;""),AND(NR6&gt;=NW$15,NS6&gt;=NW$19,NR6&lt;&gt;""),AND(NU6&gt;=NW$15,NV6&gt;=NW$19,NU6&lt;&gt;""),AND(OR6&gt;=OW$15,OS6&gt;=OW$19,OR6&lt;&gt;""),AND(OU6&gt;=OW$15,OV6&gt;=OW$19,OU6&lt;&gt;"")),"P","")</f>
        <v/>
      </c>
      <c r="J6" s="13">
        <f>IF(COUNT(AO6,BP6,CQ6)&gt;0,LARGE((AO6,BP6,CQ6),1),0)</f>
        <v>43.1</v>
      </c>
      <c r="K6" s="13" t="str">
        <f>IF(J6=0,"",IF(J6=CQ6,$BU$1,IF(J6=BP6,$AT$1,IF(J6=AO6,$S$1,""))))</f>
        <v>2022 Nationals</v>
      </c>
      <c r="L6" s="13">
        <f>IF(COUNT(AO6,BP6,CQ6)&gt;1,LARGE((AO6,BP6,CQ6),2),0)</f>
        <v>42.6</v>
      </c>
      <c r="M6" s="13" t="str">
        <f>IF(L6=0,"",IF(L6=CQ6,$BU$1,IF(L6=BP6,$AT$1,IF(L6=AO6,$S$1,""))))</f>
        <v>2022 3rd Domestic Trial</v>
      </c>
      <c r="N6" s="13">
        <f>IF(MAX(AR6,BS6,CT6)&gt;0,MAX(AR6,BS6,CT6),0)</f>
        <v>39.699999999999996</v>
      </c>
      <c r="O6" s="13" t="str">
        <f>IF(N6=0,"",IF(N6=CT6,$BU$1,IF(N6=BS6,$AT$1,IF(N6=AR6,$S$1,""))))</f>
        <v>2022 Nationals</v>
      </c>
      <c r="P6" s="13" t="str">
        <f>IF(MAX(CV6:CW6)&gt;0,MAX(CV6:CW6),"")</f>
        <v/>
      </c>
      <c r="Q6" s="16" t="str">
        <f>IF(P6="","",IF(P6=CV6,"("&amp;CV$2&amp;")",IF(P6=CW6,"("&amp;CW$2&amp;")")))</f>
        <v/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/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>
        <v>17.2</v>
      </c>
      <c r="AU6" s="26">
        <v>3.9</v>
      </c>
      <c r="AV6" s="26">
        <v>0</v>
      </c>
      <c r="AW6" s="26">
        <v>0.3</v>
      </c>
      <c r="AX6" s="26">
        <v>17.3</v>
      </c>
      <c r="AY6" s="26">
        <v>4.0999999999999996</v>
      </c>
      <c r="AZ6" s="26">
        <v>0</v>
      </c>
      <c r="BA6" s="26">
        <v>0.3</v>
      </c>
      <c r="BB6" s="26"/>
      <c r="BC6" s="26"/>
      <c r="BD6" s="26"/>
      <c r="BE6" s="26"/>
      <c r="BF6" s="26">
        <v>17.100000000000001</v>
      </c>
      <c r="BG6" s="26">
        <v>3.9</v>
      </c>
      <c r="BH6" s="26">
        <v>0</v>
      </c>
      <c r="BI6" s="26">
        <v>0.3</v>
      </c>
      <c r="BJ6" s="26">
        <v>16.2</v>
      </c>
      <c r="BK6" s="26">
        <v>1.9</v>
      </c>
      <c r="BL6" s="26">
        <v>0</v>
      </c>
      <c r="BM6" s="26">
        <v>0.3</v>
      </c>
      <c r="BN6" s="52"/>
      <c r="BO6" s="16">
        <f>IF(SUM(AU6,AY6)&gt;0,SUM(AU6,AY6),"")</f>
        <v>8</v>
      </c>
      <c r="BP6" s="16">
        <f>IF(SUM(AT6:AU6,AW6:AY6,BA6)-AV6-AZ6&gt;0,SUM(AT6:AU6,AW6:AY6,BA6)-AV6-AZ6,"")</f>
        <v>43.1</v>
      </c>
      <c r="BQ6" s="16" t="str">
        <f>IF(SUM(BB6:BC6,BE6)-BD6&gt;0,SUM(BB6:BC6,BE6)-BD6,"")</f>
        <v/>
      </c>
      <c r="BR6" s="16">
        <f>IF(SUM(BG6,BK6)&gt;0,SUM(BG6,BK6),"")</f>
        <v>5.8</v>
      </c>
      <c r="BS6" s="16">
        <f>IF(SUM(BF6:BG6,BI6:BK6,BM6)-SUM(BH6,BL6)&gt;0,SUM(BF6:BG6,BI6:BK6,BM6)-SUM(BH6,BL6),"")</f>
        <v>39.699999999999996</v>
      </c>
      <c r="BT6" s="16">
        <f>IF(SUM(BP6,BS6)&gt;0,SUM(BP6,BS6),"")</f>
        <v>82.8</v>
      </c>
      <c r="BU6" s="27">
        <v>16.600000000000001</v>
      </c>
      <c r="BV6" s="27">
        <v>4.3</v>
      </c>
      <c r="BW6" s="27">
        <v>0</v>
      </c>
      <c r="BX6" s="27">
        <v>0.3</v>
      </c>
      <c r="BY6" s="27">
        <v>16</v>
      </c>
      <c r="BZ6" s="27">
        <v>4.8</v>
      </c>
      <c r="CA6" s="27">
        <v>0</v>
      </c>
      <c r="CB6" s="27">
        <v>0.6</v>
      </c>
      <c r="CC6" s="27"/>
      <c r="CD6" s="27"/>
      <c r="CE6" s="27"/>
      <c r="CF6" s="27"/>
      <c r="CG6" s="27">
        <v>15.3</v>
      </c>
      <c r="CH6" s="27">
        <v>1.9</v>
      </c>
      <c r="CI6" s="27">
        <v>0</v>
      </c>
      <c r="CJ6" s="27">
        <v>0.3</v>
      </c>
      <c r="CK6" s="27">
        <v>15.6</v>
      </c>
      <c r="CL6" s="27">
        <v>1.9</v>
      </c>
      <c r="CM6" s="27">
        <v>0</v>
      </c>
      <c r="CN6" s="27">
        <v>0.3</v>
      </c>
      <c r="CO6" s="51"/>
      <c r="CP6" s="76">
        <f>IF(SUM(BV6,BZ6)&gt;0,SUM(BV6,BZ6),"")</f>
        <v>9.1</v>
      </c>
      <c r="CQ6" s="76">
        <f>IF(SUM(BU6:BV6,BX6:BZ6,CB6)-BW6-CA6&gt;0,SUM(BU6:BV6,BX6:BZ6,CB6)-BW6-CA6,"")</f>
        <v>42.6</v>
      </c>
      <c r="CR6" s="76" t="str">
        <f>IF(SUM(CC6:CD6,CF6)-CE6&gt;0,SUM(CC6:CD6,CF6)-CE6,"")</f>
        <v/>
      </c>
      <c r="CS6" s="76">
        <f>IF(SUM(CH6,CL6)&gt;0,SUM(CH6,CL6),"")</f>
        <v>3.8</v>
      </c>
      <c r="CT6" s="76">
        <f>IF(SUM(CG6:CH6,CJ6:CL6,CN6)-SUM(CI6,CM6)&gt;0,SUM(CG6:CH6,CJ6:CL6,CN6)-SUM(CI6,CM6),"")</f>
        <v>35.299999999999997</v>
      </c>
      <c r="CU6" s="76">
        <f>IF(SUM(CQ6,CT6)&gt;0,SUM(CQ6,CT6),"")</f>
        <v>77.900000000000006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 t="str">
        <f>IF(N6&gt;=0.001,IF(MAX(DV6,EV6,FV6,GV6,HV6,IV6,JV6,KV6,LV6,MV6,NV6,OV6)-IF(N6="",0,N6)&gt;0.001,MAX(DV6,EV6,FV6,GV6,HV6,IV6,JV6,KV6,LV6,MV6,NV6,OV6)-IF(N6="",0,N6),""),"")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16.899999999999999</v>
      </c>
      <c r="OY6" s="42">
        <f>IF($CO6="P",BV6,(BV6+AU6)/2)</f>
        <v>4.0999999999999996</v>
      </c>
      <c r="OZ6" s="42">
        <f>IF($CO6="P",BW6,(BW6+AV6)/2)</f>
        <v>0</v>
      </c>
      <c r="PA6" s="42">
        <f>IF($CO6="P",BX6,(BX6+AW6)/2)</f>
        <v>0.3</v>
      </c>
      <c r="PB6" s="42">
        <f>IF($CO6="P",BY6,(BY6+AX6)/2)</f>
        <v>16.649999999999999</v>
      </c>
      <c r="PC6" s="42">
        <f>IF($CO6="P",BZ6,(BZ6+AY6)/2)</f>
        <v>4.4499999999999993</v>
      </c>
      <c r="PD6" s="42">
        <f>IF($CO6="P",CA6,(CA6+AZ6)/2)</f>
        <v>0</v>
      </c>
      <c r="PE6" s="42">
        <f>IF($CO6="P",CB6,(CB6+BA6)/2)</f>
        <v>0.44999999999999996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16.200000000000003</v>
      </c>
      <c r="PK6" s="42">
        <f>IF($CO6="P",CH6,(CH6+BG6)/2)</f>
        <v>2.9</v>
      </c>
      <c r="PL6" s="42">
        <f>IF($CO6="P",CI6,(CI6+BH6)/2)</f>
        <v>0</v>
      </c>
      <c r="PM6" s="42">
        <f>IF($CO6="P",CJ6,(CJ6+BI6)/2)</f>
        <v>0.3</v>
      </c>
      <c r="PN6" s="42">
        <f>IF($CO6="P",CK6,(CK6+BJ6)/2)</f>
        <v>15.899999999999999</v>
      </c>
      <c r="PO6" s="42">
        <f>IF($CO6="P",CL6,(CL6+BK6)/2)</f>
        <v>1.9</v>
      </c>
      <c r="PP6" s="42">
        <f>IF($CO6="P",CM6,(CM6+BL6)/2)</f>
        <v>0</v>
      </c>
      <c r="PQ6" s="42">
        <f>IF($CO6="P",CN6,(CN6+BM6)/2)</f>
        <v>0.3</v>
      </c>
      <c r="PR6" s="51" t="s">
        <v>58</v>
      </c>
      <c r="PS6" s="76">
        <f>IF(SUM(OY6,PC6)&gt;0,SUM(OY6,PC6),"")</f>
        <v>8.5499999999999989</v>
      </c>
      <c r="PT6" s="76">
        <f>IF(SUM(OX6:OY6,PA6:PC6,PE6)-OZ6-PD6&gt;0,SUM(OX6:OY6,PA6:PC6,PE6)-OZ6-PD6,"")</f>
        <v>42.850000000000009</v>
      </c>
      <c r="PU6" s="76" t="str">
        <f>IF(SUM(PF6:PG6,PI6)-PH6&gt;0,SUM(PF6:PG6,PI6)-PH6,"")</f>
        <v/>
      </c>
      <c r="PV6" s="76">
        <f>IF(SUM(PK6,PO6)&gt;0,SUM(PK6,PO6),"")</f>
        <v>4.8</v>
      </c>
      <c r="PW6" s="76">
        <f>IF(SUM(PJ6:PK6,PM6:PO6,PQ6)-SUM(PL6,PP6)&gt;0,SUM(PJ6:PK6,PM6:PO6,PQ6)-SUM(PL6,PP6),"")</f>
        <v>37.499999999999993</v>
      </c>
      <c r="PX6" s="76">
        <f>IF(SUM(PT6,PW6)&gt;0,SUM(PT6,PW6),"")</f>
        <v>80.349999999999994</v>
      </c>
    </row>
    <row r="7" spans="1:440" x14ac:dyDescent="0.2">
      <c r="A7" s="5">
        <f>IF(AND(F7="P",G7="P"),SUMPRODUCT((F$4:F$12="P")*(G$4:G$12="P")*(E$4:E$12&gt;E7))+1,IF(G7="P",SUMPRODUCT((F$4:F$12="")*(G$4:G$12="P")*(E$4:E$12&gt;E7))+1+SUMPRODUCT((F$4:F$12="P")*(G$4:G$12="P")),""))</f>
        <v>4</v>
      </c>
      <c r="B7" s="6" t="s">
        <v>79</v>
      </c>
      <c r="C7" s="7" t="s">
        <v>3</v>
      </c>
      <c r="D7" s="18">
        <v>2003</v>
      </c>
      <c r="E7" s="14">
        <f>SUM(J7:P7)+SUM(J7:N7)*0.0000001+SUM(J7)*0.0000000000001</f>
        <v>124.00001229000397</v>
      </c>
      <c r="F7" s="3" t="str">
        <f>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P","")</f>
        <v>P</v>
      </c>
      <c r="G7" s="3" t="str">
        <f>IF(OR(AND(AO7&gt;=AS$18,AO7&lt;&gt;"",AM7=""),AND(AR7&gt;=AS$18,AR7&lt;&gt;"",AM7=""),AND(BP7&gt;=BT$18,BP7&lt;&gt;"",BN7=""),AND(BS7&gt;=BT$18,BS7&lt;&gt;"",BN7=""),AND(CQ7&gt;=CU$18,CQ7&lt;&gt;"",CO7=""),AND(CT7&gt;=CU$18,CT7&lt;&gt;"",CO7=""),AND(DS7&gt;=DW$18,DS7&lt;&gt;""),AND(DV7&gt;=DW$18,DV7&lt;&gt;""),AND(ES7&gt;=EW$18,ES7&lt;&gt;""),AND(EV7&gt;=EW$18,EV7&lt;&gt;""),AND(FS7&gt;=FW$18,FS7&lt;&gt;""),AND(FV7&gt;=FW$18,FV7&lt;&gt;""),AND(GS7&gt;=GW$18,GS7&lt;&gt;""),AND(GV7&gt;=GW$18,GV7&lt;&gt;""),AND(HS7&gt;=HW$18,HS7&lt;&gt;""),AND(HV7&gt;=HW$18,HV7&lt;&gt;""),AND(IS7&gt;=IW$18,IS7&lt;&gt;""),AND(IV7&gt;=IW$18,IV7&lt;&gt;""),AND(JS7&gt;=JW$18,JS7&lt;&gt;""),AND(JV7&gt;=JW$18,JV7&lt;&gt;""),AND(KS7&gt;=KW$18,KS7&lt;&gt;""),AND(KV7&gt;=KW$18,KV7&lt;&gt;""),AND(LS7&gt;=LW$18,LS7&lt;&gt;""),AND(LV7&gt;=LW$18,LV7&lt;&gt;""),AND(MS7&gt;=MW$18,MS7&lt;&gt;""),AND(MV7&gt;=MW$18,MV7&lt;&gt;""),AND(NS7&gt;=NW$18,NS7&lt;&gt;""),AND(NV7&gt;=NW$18,NV7&lt;&gt;""),AND(OS7&gt;=OW$18,OS7&lt;&gt;""),AND(OV7&gt;=OW$18,OV7&lt;&gt;"")),"P","")</f>
        <v>P</v>
      </c>
      <c r="H7" s="70" t="str">
        <f>IF(AND(G7="P",F7=""),"No DD",IF(OR(AND(AN7&gt;=AS$17,AO7&gt;=AS$21,AN7&lt;&gt;"",AM7=""),AND(AQ7&gt;=AS$17,AR7&gt;=AS$21,AQ7&lt;&gt;"",AM7=""),AND(BO7&gt;=BT$17,BP7&gt;=BT$21,BO7&lt;&gt;"",BN7=""),AND(BR7&gt;=BT$17,BS7&gt;=BT$21,BR7&lt;&gt;"",BN7=""),AND(CP7&gt;=CU$17,CQ7&gt;=CU$21,CP7&lt;&gt;"",CO7=""),AND(CS7&gt;=CU$17,CT7&gt;=CU$21,CS7&lt;&gt;""),AND(DR7&gt;=DW$17,DS7&gt;=DW$21,DR7&lt;&gt;""),AND(DU7&gt;=DW$17,DV7&gt;=DW$21,DU7&lt;&gt;""),AND(ER7&gt;=EW$17,ES7&gt;=EW$21,ER7&lt;&gt;""),AND(EU7&gt;=EW$17,EV7&gt;=EW$21,EU7&lt;&gt;""),AND(FR7&gt;=FW$17,FS7&gt;=FW$21,FR7&lt;&gt;""),AND(FU7&gt;=FW$17,FV7&gt;=FW$21,FU7&lt;&gt;""),AND(GR7&gt;=GW$17,GS7&gt;=GW$21,GR7&lt;&gt;""),AND(GU7&gt;=GW$17,GV7&gt;=GW$21,GU7&lt;&gt;""),AND(HR7&gt;=HW$17,HS7&gt;=HW$21,HR7&lt;&gt;""),AND(HU7&gt;=HW$17,HV7&gt;=HW$21,HU7&lt;&gt;""),AND(IR7&gt;=IW$17,IS7&gt;=IW$21,IR7&lt;&gt;""),AND(IU7&gt;=IW$17,IV7&gt;=IW$21,IU7&lt;&gt;""),AND(JR7&gt;=JW$17,JS7&gt;=JW$21,JR7&lt;&gt;""),AND(JU7&gt;=JW$17,JV7&gt;=JW$21,JU7&lt;&gt;""),AND(KR7&gt;=KW$17,KS7&gt;=KW$21,KR7&lt;&gt;""),AND(KU7&gt;=KW$17,KV7&gt;=KW$21,KU7&lt;&gt;""),AND(LR7&gt;=LW$17,LS7&gt;=LW$21,LR7&lt;&gt;""),AND(LU7&gt;=LW$17,LV7&gt;=LW$21,LU7&lt;&gt;""),AND(MR7&gt;=MW$17,MS7&gt;=MW$21,MR7&lt;&gt;""),AND(MU7&gt;=MW$17,MV7&gt;=MW$21,MU7&lt;&gt;""),AND(NR7&gt;=NW$17,NS7&gt;=NW$21,NR7&lt;&gt;""),AND(NU7&gt;=NW$17,NV7&gt;=NW$21,NU7&lt;&gt;""),AND(OR7&gt;=OW$17,OS7&gt;=OW$21,OR7&lt;&gt;""),AND(OU7&gt;=OW$17,OV7&gt;=OW$21,OU7&lt;&gt;"")),"Merit",IF(OR(AND(AN7&gt;=AS$16,AO7&gt;=AS$20,AN7&lt;&gt;"",AM7=""),AND(AQ7&gt;=AS$16,AR7&gt;=AS$20,AQ7&lt;&gt;"",AM7=""),AND(BO7&gt;=BT$16,BP7&gt;=BT$20,BO7&lt;&gt;"",BN7=""),AND(BR7&gt;=BT$16,BS7&gt;=BT$20,BR7&lt;&gt;"",BN7=""),AND(CP7&gt;=CU$16,CQ7&gt;=CU$20,CP7&lt;&gt;"",CO7=""),AND(CS7&gt;=CU$16,CT7&gt;=CU$20,CS7&lt;&gt;""),AND(DR7&gt;=DW$16,DS7&gt;=DW$20,DR7&lt;&gt;""),AND(DU7&gt;=DW$16,DV7&gt;=DW$20,DU7&lt;&gt;""),AND(ER7&gt;=EW$16,ES7&gt;=EW$20,ER7&lt;&gt;""),AND(EU7&gt;=EW$16,EV7&gt;=EW$20,EU7&lt;&gt;""),AND(FR7&gt;=FW$16,FS7&gt;=FW$20,FR7&lt;&gt;""),AND(FU7&gt;=FW$16,FV7&gt;=FW$20,FU7&lt;&gt;""),AND(GR7&gt;=GW$16,GS7&gt;=GW$20,GR7&lt;&gt;""),AND(GU7&gt;=GW$16,GV7&gt;=GW$20,GU7&lt;&gt;""),AND(HR7&gt;=HW$16,HS7&gt;=HW$20,HR7&lt;&gt;""),AND(HU7&gt;=HW$16,HV7&gt;=HW$20,HU7&lt;&gt;""),AND(IR7&gt;=IW$16,IS7&gt;=IW$20,IR7&lt;&gt;""),AND(IU7&gt;=IW$16,IV7&gt;=IW$20,IU7&lt;&gt;""),AND(JR7&gt;=JW$16,JS7&gt;=JW$20,JR7&lt;&gt;""),AND(JU7&gt;=JW$16,JV7&gt;=JW$20,JU7&lt;&gt;""),AND(KR7&gt;=KW$16,KS7&gt;=KW$20,KR7&lt;&gt;""),AND(KU7&gt;=KW$16,KV7&gt;=KW$20,KU7&lt;&gt;""),AND(LR7&gt;=LW$16,LS7&gt;=LW$20,LR7&lt;&gt;""),AND(LU7&gt;=LW$16,LV7&gt;=LW$20,LU7&lt;&gt;""),AND(MR7&gt;=MW$16,MS7&gt;=MW$20,MR7&lt;&gt;""),AND(MU7&gt;=MW$16,MV7&gt;=MW$20,MU7&lt;&gt;""),AND(NR7&gt;=NW$16,NS7&gt;=NW$20,NR7&lt;&gt;""),AND(NU7&gt;=NW$16,NV7&gt;=NW$20,NU7&lt;&gt;""),AND(OR7&gt;=OW$16,OS7&gt;=OW$20,OR7&lt;&gt;""),AND(OU7&gt;=OW$16,OV7&gt;=OW$20,OU7&lt;&gt;"")),"Excellence",IF(I7="P","Worlds Team",IF(F7="P","National Team","")))))</f>
        <v>Worlds Team</v>
      </c>
      <c r="I7" s="3" t="str">
        <f>IF(OR(AND(AN7&gt;=AS$15,AO7&gt;=AS$19,AN7&lt;&gt;"",AM7=""),AND(AQ7&gt;=AS$15,AR7&gt;=AS$19,AQ7&lt;&gt;"",AM7=""),AND(BO7&gt;=BT$15,BP7&gt;=BT$19,BO7&lt;&gt;"",BN7=""),AND(BR7&gt;=BT$15,BS7&gt;=BT$19,BR7&lt;&gt;"",BN7=""),AND(CP7&gt;=CU$15,CQ7&gt;=CU$19,CP7&lt;&gt;"",CO7=""),AND(CS7&gt;=CU$15,CT7&gt;=CU$19,CS7&lt;&gt;""),AND(DR7&gt;=DW$15,DS7&gt;=DW$19,DR7&lt;&gt;""),AND(DU7&gt;=DW$15,DV7&gt;=DW$19,DU7&lt;&gt;""),AND(ER7&gt;=EW$15,ES7&gt;=EW$19,ER7&lt;&gt;""),AND(EU7&gt;=EW$15,EV7&gt;=EW$19,EU7&lt;&gt;""),AND(FR7&gt;=FW$15,FS7&gt;=FW$19,FR7&lt;&gt;""),AND(FU7&gt;=FW$15,FV7&gt;=FW$19,FU7&lt;&gt;""),AND(GR7&gt;=GW$15,GS7&gt;=GW$19,GR7&lt;&gt;""),AND(GU7&gt;=GW$15,GV7&gt;=GW$19,GU7&lt;&gt;""),AND(HR7&gt;=HW$15,HS7&gt;=HW$19,HR7&lt;&gt;""),AND(HU7&gt;=HW$15,HV7&gt;=HW$19,HU7&lt;&gt;""),AND(IR7&gt;=IW$15,IS7&gt;=IW$19,IR7&lt;&gt;""),AND(IU7&gt;=IW$15,IV7&gt;=IW$19,IU7&lt;&gt;""),AND(JR7&gt;=JW$15,JS7&gt;=JW$19,JR7&lt;&gt;""),AND(JU7&gt;=JW$15,JV7&gt;=JW$19,JU7&lt;&gt;""),AND(KR7&gt;=KW$15,KS7&gt;=KW$19,KR7&lt;&gt;""),AND(KU7&gt;=KW$15,KV7&gt;=KW$19,KU7&lt;&gt;""),AND(LR7&gt;=LW$15,LS7&gt;=LW$19,LR7&lt;&gt;""),AND(LU7&gt;=LW$15,LV7&gt;=LW$19,LU7&lt;&gt;""),AND(MR7&gt;=MW$15,MS7&gt;=MW$19,MR7&lt;&gt;""),AND(MU7&gt;=MW$15,MV7&gt;=MW$19,MU7&lt;&gt;""),AND(NR7&gt;=NW$15,NS7&gt;=NW$19,NR7&lt;&gt;""),AND(NU7&gt;=NW$15,NV7&gt;=NW$19,NU7&lt;&gt;""),AND(OR7&gt;=OW$15,OS7&gt;=OW$19,OR7&lt;&gt;""),AND(OU7&gt;=OW$15,OV7&gt;=OW$19,OU7&lt;&gt;"")),"P","")</f>
        <v>P</v>
      </c>
      <c r="J7" s="13">
        <f>IF(COUNT(AO7,BP7,CQ7)&gt;0,LARGE((AO7,BP7,CQ7),1),0)</f>
        <v>39.599999999999994</v>
      </c>
      <c r="K7" s="13" t="str">
        <f>IF(J7=0,"",IF(J7=CQ7,$BU$1,IF(J7=BP7,$AT$1,IF(J7=AO7,$S$1,""))))</f>
        <v>2022 Nationals</v>
      </c>
      <c r="L7" s="13">
        <f>IF(COUNT(AO7,BP7,CQ7)&gt;1,LARGE((AO7,BP7,CQ7),2),0)</f>
        <v>38.9</v>
      </c>
      <c r="M7" s="13" t="str">
        <f>IF(L7=0,"",IF(L7=CQ7,$BU$1,IF(L7=BP7,$AT$1,IF(L7=AO7,$S$1,""))))</f>
        <v>2022 Elite Canada</v>
      </c>
      <c r="N7" s="13">
        <f>IF(MAX(AR7,BS7,CT7)&gt;0,MAX(AR7,BS7,CT7),0)</f>
        <v>44.4</v>
      </c>
      <c r="O7" s="13" t="str">
        <f>IF(N7=0,"",IF(N7=CT7,$BU$1,IF(N7=BS7,$AT$1,IF(N7=AR7,$S$1,""))))</f>
        <v>2022 Nationals</v>
      </c>
      <c r="P7" s="13">
        <f>IF(MAX(CV7:CW7)&gt;0,MAX(CV7:CW7),"")</f>
        <v>1.1000000000000014</v>
      </c>
      <c r="Q7" s="16" t="str">
        <f>IF(P7="","",IF(P7=CV7,"("&amp;CV$2&amp;")",IF(P7=CW7,"("&amp;CW$2&amp;")")))</f>
        <v>(Q1)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World Games (July 16)</v>
      </c>
      <c r="S7" s="27">
        <v>16.600000000000001</v>
      </c>
      <c r="T7" s="27">
        <v>3.9</v>
      </c>
      <c r="U7" s="27">
        <v>0</v>
      </c>
      <c r="V7" s="27">
        <v>0.3</v>
      </c>
      <c r="W7" s="27">
        <v>15.9</v>
      </c>
      <c r="X7" s="27">
        <v>1.9</v>
      </c>
      <c r="Y7" s="27">
        <v>0</v>
      </c>
      <c r="Z7" s="27">
        <v>0.3</v>
      </c>
      <c r="AA7" s="27"/>
      <c r="AB7" s="27"/>
      <c r="AC7" s="27"/>
      <c r="AD7" s="27"/>
      <c r="AE7" s="27">
        <v>15.1</v>
      </c>
      <c r="AF7" s="27">
        <v>4.0999999999999996</v>
      </c>
      <c r="AG7" s="27">
        <v>0.2</v>
      </c>
      <c r="AH7" s="27">
        <v>0.3</v>
      </c>
      <c r="AI7" s="27">
        <v>16.46</v>
      </c>
      <c r="AJ7" s="27">
        <v>4.5</v>
      </c>
      <c r="AK7" s="27">
        <v>0</v>
      </c>
      <c r="AL7" s="27">
        <v>0.3</v>
      </c>
      <c r="AM7" s="51"/>
      <c r="AN7" s="76">
        <f>IF(SUM(T7,X7)&gt;0,SUM(T7,X7),"")</f>
        <v>5.8</v>
      </c>
      <c r="AO7" s="76">
        <f>IF(SUM(S7:T7,V7:X7,Z7)-U7-Y7&gt;0,SUM(S7:T7,V7:X7,Z7)-U7-Y7,"")</f>
        <v>38.9</v>
      </c>
      <c r="AP7" s="76" t="str">
        <f>IF(SUM(AA7:AB7,AD7)-AC7&gt;0,SUM(AA7:AB7,AD7)-AC7,"")</f>
        <v/>
      </c>
      <c r="AQ7" s="76">
        <f>IF(SUM(AF7,AJ7)&gt;0,SUM(AF7,AJ7),"")</f>
        <v>8.6</v>
      </c>
      <c r="AR7" s="76">
        <f>IF(SUM(AE7:AF7,AH7:AJ7,AL7)-SUM(AG7,AK7)&gt;0,SUM(AE7:AF7,AH7:AJ7,AL7)-SUM(AG7,AK7),"")</f>
        <v>40.559999999999995</v>
      </c>
      <c r="AS7" s="76">
        <f>IF(SUM(AO7,AR7)&gt;0,SUM(AO7,AR7),"")</f>
        <v>79.459999999999994</v>
      </c>
      <c r="AT7" s="26">
        <v>16.8</v>
      </c>
      <c r="AU7" s="26">
        <v>3.9</v>
      </c>
      <c r="AV7" s="26">
        <v>0</v>
      </c>
      <c r="AW7" s="26">
        <v>0.3</v>
      </c>
      <c r="AX7" s="26">
        <v>16.399999999999999</v>
      </c>
      <c r="AY7" s="26">
        <v>1.9</v>
      </c>
      <c r="AZ7" s="26">
        <v>0</v>
      </c>
      <c r="BA7" s="26">
        <v>0.3</v>
      </c>
      <c r="BB7" s="26"/>
      <c r="BC7" s="26"/>
      <c r="BD7" s="26"/>
      <c r="BE7" s="26"/>
      <c r="BF7" s="26">
        <v>17.399999999999999</v>
      </c>
      <c r="BG7" s="26">
        <v>4.3</v>
      </c>
      <c r="BH7" s="26">
        <v>0.2</v>
      </c>
      <c r="BI7" s="26">
        <v>0.3</v>
      </c>
      <c r="BJ7" s="26">
        <v>17</v>
      </c>
      <c r="BK7" s="26">
        <v>5</v>
      </c>
      <c r="BL7" s="26">
        <v>0</v>
      </c>
      <c r="BM7" s="26">
        <v>0.6</v>
      </c>
      <c r="BN7" s="52"/>
      <c r="BO7" s="16">
        <f>IF(SUM(AU7,AY7)&gt;0,SUM(AU7,AY7),"")</f>
        <v>5.8</v>
      </c>
      <c r="BP7" s="16">
        <f>IF(SUM(AT7:AU7,AW7:AY7,BA7)-AV7-AZ7&gt;0,SUM(AT7:AU7,AW7:AY7,BA7)-AV7-AZ7,"")</f>
        <v>39.599999999999994</v>
      </c>
      <c r="BQ7" s="16" t="str">
        <f>IF(SUM(BB7:BC7,BE7)-BD7&gt;0,SUM(BB7:BC7,BE7)-BD7,"")</f>
        <v/>
      </c>
      <c r="BR7" s="16">
        <f>IF(SUM(BG7,BK7)&gt;0,SUM(BG7,BK7),"")</f>
        <v>9.3000000000000007</v>
      </c>
      <c r="BS7" s="16">
        <f>IF(SUM(BF7:BG7,BI7:BK7,BM7)-SUM(BH7,BL7)&gt;0,SUM(BF7:BG7,BI7:BK7,BM7)-SUM(BH7,BL7),"")</f>
        <v>44.4</v>
      </c>
      <c r="BT7" s="16">
        <f>IF(SUM(BP7,BS7)&gt;0,SUM(BP7,BS7),"")</f>
        <v>84</v>
      </c>
      <c r="BU7" s="27">
        <v>16.8</v>
      </c>
      <c r="BV7" s="27">
        <v>4.0999999999999996</v>
      </c>
      <c r="BW7" s="27">
        <v>0</v>
      </c>
      <c r="BX7" s="27">
        <v>0.3</v>
      </c>
      <c r="BY7" s="27">
        <v>16.100000000000001</v>
      </c>
      <c r="BZ7" s="27">
        <v>3.1</v>
      </c>
      <c r="CA7" s="27">
        <v>4.7</v>
      </c>
      <c r="CB7" s="27">
        <v>0.6</v>
      </c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>
        <f>IF(SUM(BV7,BZ7)&gt;0,SUM(BV7,BZ7),"")</f>
        <v>7.1999999999999993</v>
      </c>
      <c r="CQ7" s="76">
        <f>IF(SUM(BU7:BV7,BX7:BZ7,CB7)-BW7-CA7&gt;0,SUM(BU7:BV7,BX7:BZ7,CB7)-BW7-CA7,"")</f>
        <v>36.299999999999997</v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>
        <f>IF(SUM(CQ7,CT7)&gt;0,SUM(CQ7,CT7),"")</f>
        <v>36.299999999999997</v>
      </c>
      <c r="CV7" s="87">
        <f>IF(L7&gt;=0.001,IF(MAX(DS7,ES7,FS7,GS7,HS7,IS7,JS7,KS7,LS7,MS7,NS7,OS7)-IF(L7="",0,L7)&gt;0.001,MAX(DS7,ES7,FS7,GS7,HS7,IS7,JS7,KS7,LS7,MS7,NS7,OS7)-IF(L7="",0,L7),""),"")</f>
        <v>1.1000000000000014</v>
      </c>
      <c r="CW7" s="87" t="str">
        <f>IF(N7&gt;=0.001,IF(MAX(DV7,EV7,FV7,GV7,HV7,IV7,JV7,KV7,LV7,MV7,NV7,OV7)-IF(N7="",0,N7)&gt;0.001,MAX(DV7,EV7,FV7,GV7,HV7,IV7,JV7,KV7,LV7,MV7,NV7,OV7)-IF(N7="",0,N7),""),"")</f>
        <v/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>
        <v>9.8000000000000007</v>
      </c>
      <c r="DY7" s="26">
        <v>1.4</v>
      </c>
      <c r="DZ7" s="26">
        <v>0</v>
      </c>
      <c r="EA7" s="26">
        <v>0.3</v>
      </c>
      <c r="EB7" s="26">
        <v>15.4</v>
      </c>
      <c r="EC7" s="26">
        <v>1.9</v>
      </c>
      <c r="ED7" s="26">
        <v>0</v>
      </c>
      <c r="EE7" s="26">
        <v>0.3</v>
      </c>
      <c r="EF7" s="26"/>
      <c r="EG7" s="26"/>
      <c r="EH7" s="26"/>
      <c r="EI7" s="26"/>
      <c r="EJ7" s="26">
        <v>16.2</v>
      </c>
      <c r="EK7" s="26">
        <v>1.7</v>
      </c>
      <c r="EL7" s="26">
        <v>1.9</v>
      </c>
      <c r="EM7" s="26">
        <v>0</v>
      </c>
      <c r="EN7" s="26">
        <v>0</v>
      </c>
      <c r="EO7" s="26">
        <v>0</v>
      </c>
      <c r="EP7" s="26">
        <v>0</v>
      </c>
      <c r="EQ7" s="26">
        <v>0</v>
      </c>
      <c r="ER7" s="16">
        <f>IF(SUM(DY7,EC7)&gt;0,SUM(DY7,EC7),"")</f>
        <v>3.3</v>
      </c>
      <c r="ES7" s="16">
        <f>IF(SUM(DX7:DY7,EA7:EC7,EE7)-DZ7-ED7&gt;0,SUM(DX7:DY7,EA7:EC7,EE7)-DZ7-ED7,"")</f>
        <v>29.1</v>
      </c>
      <c r="ET7" s="16" t="str">
        <f>IF(SUM(EF7:EG7,EI7)-EH7&gt;0,SUM(EF7:EG7,EI7)-EH7,"")</f>
        <v/>
      </c>
      <c r="EU7" s="16">
        <f>IF(SUM(EK7,EO7)&gt;0,SUM(EK7,EO7),"")</f>
        <v>1.7</v>
      </c>
      <c r="EV7" s="16">
        <f>IF(SUM(EJ7:EK7,EM7:EO7,EQ7)-SUM(EL7,EP7)&gt;0,SUM(EJ7:EK7,EM7:EO7,EQ7)-SUM(EL7,EP7),"")</f>
        <v>15.999999999999998</v>
      </c>
      <c r="EW7" s="16">
        <f>IF(SUM(ES7,EV7)&gt;0,SUM(ES7,EV7),"")</f>
        <v>45.1</v>
      </c>
      <c r="EX7" s="25">
        <v>16.2</v>
      </c>
      <c r="EY7" s="25">
        <v>1.2</v>
      </c>
      <c r="EZ7" s="25">
        <v>0</v>
      </c>
      <c r="FA7" s="25">
        <v>0</v>
      </c>
      <c r="FB7" s="25">
        <v>16.3</v>
      </c>
      <c r="FC7" s="25">
        <v>3.9</v>
      </c>
      <c r="FD7" s="25">
        <v>0.2</v>
      </c>
      <c r="FE7" s="25">
        <v>0.3</v>
      </c>
      <c r="FF7" s="25"/>
      <c r="FG7" s="25"/>
      <c r="FH7" s="25"/>
      <c r="FI7" s="25"/>
      <c r="FJ7" s="25">
        <v>17.5</v>
      </c>
      <c r="FK7" s="25">
        <v>3.6</v>
      </c>
      <c r="FL7" s="25">
        <v>0</v>
      </c>
      <c r="FM7" s="25">
        <v>0</v>
      </c>
      <c r="FN7" s="25">
        <v>17</v>
      </c>
      <c r="FO7" s="25">
        <v>4.3</v>
      </c>
      <c r="FP7" s="25">
        <v>0</v>
      </c>
      <c r="FQ7" s="25">
        <v>0.3</v>
      </c>
      <c r="FR7" s="76">
        <f>IF(SUM(EY7,FC7)&gt;0,SUM(EY7,FC7),"")</f>
        <v>5.0999999999999996</v>
      </c>
      <c r="FS7" s="76">
        <f>IF(SUM(EX7:EY7,FA7:FC7,FE7)-EZ7-FD7&gt;0,SUM(EX7:EY7,FA7:FC7,FE7)-EZ7-FD7,"")</f>
        <v>37.699999999999996</v>
      </c>
      <c r="FT7" s="76" t="str">
        <f>IF(SUM(FF7:FG7,FI7)-FH7&gt;0,SUM(FF7:FG7,FI7)-FH7,"")</f>
        <v/>
      </c>
      <c r="FU7" s="76">
        <f>IF(SUM(FK7,FO7)&gt;0,SUM(FK7,FO7),"")</f>
        <v>7.9</v>
      </c>
      <c r="FV7" s="76">
        <f>IF(SUM(FJ7:FK7,FM7:FO7,FQ7)-SUM(FL7,FP7)&gt;0,SUM(FJ7:FK7,FM7:FO7,FQ7)-SUM(FL7,FP7),"")</f>
        <v>42.699999999999996</v>
      </c>
      <c r="FW7" s="76">
        <f>IF(SUM(FS7,FV7)&gt;0,SUM(FS7,FV7),"")</f>
        <v>80.399999999999991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>
        <v>17.5</v>
      </c>
      <c r="GY7" s="25">
        <v>4.3</v>
      </c>
      <c r="GZ7" s="25">
        <v>0</v>
      </c>
      <c r="HA7" s="25">
        <v>0</v>
      </c>
      <c r="HB7" s="25">
        <v>15.6</v>
      </c>
      <c r="HC7" s="25">
        <v>2.6</v>
      </c>
      <c r="HD7" s="25">
        <v>0</v>
      </c>
      <c r="HE7" s="25">
        <v>0</v>
      </c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>
        <f>IF(SUM(GY7,HC7)&gt;0,SUM(GY7,HC7),"")</f>
        <v>6.9</v>
      </c>
      <c r="HS7" s="76">
        <f>IF(SUM(GX7:GY7,HA7:HC7,HE7)-GZ7-HD7&gt;0,SUM(GX7:GY7,HA7:HC7,HE7)-GZ7-HD7,"")</f>
        <v>40</v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>
        <f>IF(SUM(HS7,HV7)&gt;0,SUM(HS7,HV7),"")</f>
        <v>40</v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16.8</v>
      </c>
      <c r="OY7" s="42">
        <f>IF($CO7="P",BV7,(BV7+AU7)/2)</f>
        <v>4</v>
      </c>
      <c r="OZ7" s="42">
        <f>IF($CO7="P",BW7,(BW7+AV7)/2)</f>
        <v>0</v>
      </c>
      <c r="PA7" s="42">
        <f>IF($CO7="P",BX7,(BX7+AW7)/2)</f>
        <v>0.3</v>
      </c>
      <c r="PB7" s="42">
        <f>IF($CO7="P",BY7,(BY7+AX7)/2)</f>
        <v>16.25</v>
      </c>
      <c r="PC7" s="42">
        <f>IF($CO7="P",BZ7,(BZ7+AY7)/2)</f>
        <v>2.5</v>
      </c>
      <c r="PD7" s="42">
        <f>IF($CO7="P",CA7,(CA7+AZ7)/2)</f>
        <v>2.35</v>
      </c>
      <c r="PE7" s="42">
        <f>IF($CO7="P",CB7,(CB7+BA7)/2)</f>
        <v>0.44999999999999996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8.6999999999999993</v>
      </c>
      <c r="PK7" s="42">
        <f>IF($CO7="P",CH7,(CH7+BG7)/2)</f>
        <v>2.15</v>
      </c>
      <c r="PL7" s="42">
        <f>IF($CO7="P",CI7,(CI7+BH7)/2)</f>
        <v>0.1</v>
      </c>
      <c r="PM7" s="42">
        <f>IF($CO7="P",CJ7,(CJ7+BI7)/2)</f>
        <v>0.15</v>
      </c>
      <c r="PN7" s="42">
        <f>IF($CO7="P",CK7,(CK7+BJ7)/2)</f>
        <v>8.5</v>
      </c>
      <c r="PO7" s="42">
        <f>IF($CO7="P",CL7,(CL7+BK7)/2)</f>
        <v>2.5</v>
      </c>
      <c r="PP7" s="42">
        <f>IF($CO7="P",CM7,(CM7+BL7)/2)</f>
        <v>0</v>
      </c>
      <c r="PQ7" s="42">
        <f>IF($CO7="P",CN7,(CN7+BM7)/2)</f>
        <v>0.3</v>
      </c>
      <c r="PR7" s="51" t="s">
        <v>58</v>
      </c>
      <c r="PS7" s="76">
        <f>IF(SUM(OY7,PC7)&gt;0,SUM(OY7,PC7),"")</f>
        <v>6.5</v>
      </c>
      <c r="PT7" s="76">
        <f>IF(SUM(OX7:OY7,PA7:PC7,PE7)-OZ7-PD7&gt;0,SUM(OX7:OY7,PA7:PC7,PE7)-OZ7-PD7,"")</f>
        <v>37.950000000000003</v>
      </c>
      <c r="PU7" s="76" t="str">
        <f>IF(SUM(PF7:PG7,PI7)-PH7&gt;0,SUM(PF7:PG7,PI7)-PH7,"")</f>
        <v/>
      </c>
      <c r="PV7" s="76">
        <f>IF(SUM(PK7,PO7)&gt;0,SUM(PK7,PO7),"")</f>
        <v>4.6500000000000004</v>
      </c>
      <c r="PW7" s="76">
        <f>IF(SUM(PJ7:PK7,PM7:PO7,PQ7)-SUM(PL7,PP7)&gt;0,SUM(PJ7:PK7,PM7:PO7,PQ7)-SUM(PL7,PP7),"")</f>
        <v>22.2</v>
      </c>
      <c r="PX7" s="76">
        <f>IF(SUM(PT7,PW7)&gt;0,SUM(PT7,PW7),"")</f>
        <v>60.150000000000006</v>
      </c>
    </row>
    <row r="8" spans="1:440" x14ac:dyDescent="0.2">
      <c r="A8" s="5">
        <f>IF(AND(F8="P",G8="P"),SUMPRODUCT((F$4:F$12="P")*(G$4:G$12="P")*(E$4:E$12&gt;E8))+1,IF(G8="P",SUMPRODUCT((F$4:F$12="")*(G$4:G$12="P")*(E$4:E$12&gt;E8))+1+SUMPRODUCT((F$4:F$12="P")*(G$4:G$12="P")),""))</f>
        <v>5</v>
      </c>
      <c r="B8" s="6" t="s">
        <v>145</v>
      </c>
      <c r="C8" s="7" t="s">
        <v>3</v>
      </c>
      <c r="D8" s="18">
        <v>1991</v>
      </c>
      <c r="E8" s="14">
        <f>SUM(J8:P8)+SUM(J8:N8)*0.0000001+SUM(J8)*0.0000000000001</f>
        <v>91.260009126004519</v>
      </c>
      <c r="F8" s="3" t="str">
        <f>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P","")</f>
        <v>P</v>
      </c>
      <c r="G8" s="3" t="str">
        <f>IF(OR(AND(AO8&gt;=AS$18,AO8&lt;&gt;"",AM8=""),AND(AR8&gt;=AS$18,AR8&lt;&gt;"",AM8=""),AND(BP8&gt;=BT$18,BP8&lt;&gt;"",BN8=""),AND(BS8&gt;=BT$18,BS8&lt;&gt;"",BN8=""),AND(CQ8&gt;=CU$18,CQ8&lt;&gt;"",CO8=""),AND(CT8&gt;=CU$18,CT8&lt;&gt;"",CO8=""),AND(DS8&gt;=DW$18,DS8&lt;&gt;""),AND(DV8&gt;=DW$18,DV8&lt;&gt;""),AND(ES8&gt;=EW$18,ES8&lt;&gt;""),AND(EV8&gt;=EW$18,EV8&lt;&gt;""),AND(FS8&gt;=FW$18,FS8&lt;&gt;""),AND(FV8&gt;=FW$18,FV8&lt;&gt;""),AND(GS8&gt;=GW$18,GS8&lt;&gt;""),AND(GV8&gt;=GW$18,GV8&lt;&gt;""),AND(HS8&gt;=HW$18,HS8&lt;&gt;""),AND(HV8&gt;=HW$18,HV8&lt;&gt;""),AND(IS8&gt;=IW$18,IS8&lt;&gt;""),AND(IV8&gt;=IW$18,IV8&lt;&gt;""),AND(JS8&gt;=JW$18,JS8&lt;&gt;""),AND(JV8&gt;=JW$18,JV8&lt;&gt;""),AND(KS8&gt;=KW$18,KS8&lt;&gt;""),AND(KV8&gt;=KW$18,KV8&lt;&gt;""),AND(LS8&gt;=LW$18,LS8&lt;&gt;""),AND(LV8&gt;=LW$18,LV8&lt;&gt;""),AND(MS8&gt;=MW$18,MS8&lt;&gt;""),AND(MV8&gt;=MW$18,MV8&lt;&gt;""),AND(NS8&gt;=NW$18,NS8&lt;&gt;""),AND(NV8&gt;=NW$18,NV8&lt;&gt;""),AND(OS8&gt;=OW$18,OS8&lt;&gt;""),AND(OV8&gt;=OW$18,OV8&lt;&gt;"")),"P","")</f>
        <v>P</v>
      </c>
      <c r="H8" s="70" t="str">
        <f>IF(AND(G8="P",F8=""),"No DD",IF(OR(AND(AN8&gt;=AS$17,AO8&gt;=AS$21,AN8&lt;&gt;"",AM8=""),AND(AQ8&gt;=AS$17,AR8&gt;=AS$21,AQ8&lt;&gt;"",AM8=""),AND(BO8&gt;=BT$17,BP8&gt;=BT$21,BO8&lt;&gt;"",BN8=""),AND(BR8&gt;=BT$17,BS8&gt;=BT$21,BR8&lt;&gt;"",BN8=""),AND(CP8&gt;=CU$17,CQ8&gt;=CU$21,CP8&lt;&gt;"",CO8=""),AND(CS8&gt;=CU$17,CT8&gt;=CU$21,CS8&lt;&gt;""),AND(DR8&gt;=DW$17,DS8&gt;=DW$21,DR8&lt;&gt;""),AND(DU8&gt;=DW$17,DV8&gt;=DW$21,DU8&lt;&gt;""),AND(ER8&gt;=EW$17,ES8&gt;=EW$21,ER8&lt;&gt;""),AND(EU8&gt;=EW$17,EV8&gt;=EW$21,EU8&lt;&gt;""),AND(FR8&gt;=FW$17,FS8&gt;=FW$21,FR8&lt;&gt;""),AND(FU8&gt;=FW$17,FV8&gt;=FW$21,FU8&lt;&gt;""),AND(GR8&gt;=GW$17,GS8&gt;=GW$21,GR8&lt;&gt;""),AND(GU8&gt;=GW$17,GV8&gt;=GW$21,GU8&lt;&gt;""),AND(HR8&gt;=HW$17,HS8&gt;=HW$21,HR8&lt;&gt;""),AND(HU8&gt;=HW$17,HV8&gt;=HW$21,HU8&lt;&gt;""),AND(IR8&gt;=IW$17,IS8&gt;=IW$21,IR8&lt;&gt;""),AND(IU8&gt;=IW$17,IV8&gt;=IW$21,IU8&lt;&gt;""),AND(JR8&gt;=JW$17,JS8&gt;=JW$21,JR8&lt;&gt;""),AND(JU8&gt;=JW$17,JV8&gt;=JW$21,JU8&lt;&gt;""),AND(KR8&gt;=KW$17,KS8&gt;=KW$21,KR8&lt;&gt;""),AND(KU8&gt;=KW$17,KV8&gt;=KW$21,KU8&lt;&gt;""),AND(LR8&gt;=LW$17,LS8&gt;=LW$21,LR8&lt;&gt;""),AND(LU8&gt;=LW$17,LV8&gt;=LW$21,LU8&lt;&gt;""),AND(MR8&gt;=MW$17,MS8&gt;=MW$21,MR8&lt;&gt;""),AND(MU8&gt;=MW$17,MV8&gt;=MW$21,MU8&lt;&gt;""),AND(NR8&gt;=NW$17,NS8&gt;=NW$21,NR8&lt;&gt;""),AND(NU8&gt;=NW$17,NV8&gt;=NW$21,NU8&lt;&gt;""),AND(OR8&gt;=OW$17,OS8&gt;=OW$21,OR8&lt;&gt;""),AND(OU8&gt;=OW$17,OV8&gt;=OW$21,OU8&lt;&gt;"")),"Merit",IF(OR(AND(AN8&gt;=AS$16,AO8&gt;=AS$20,AN8&lt;&gt;"",AM8=""),AND(AQ8&gt;=AS$16,AR8&gt;=AS$20,AQ8&lt;&gt;"",AM8=""),AND(BO8&gt;=BT$16,BP8&gt;=BT$20,BO8&lt;&gt;"",BN8=""),AND(BR8&gt;=BT$16,BS8&gt;=BT$20,BR8&lt;&gt;"",BN8=""),AND(CP8&gt;=CU$16,CQ8&gt;=CU$20,CP8&lt;&gt;"",CO8=""),AND(CS8&gt;=CU$16,CT8&gt;=CU$20,CS8&lt;&gt;""),AND(DR8&gt;=DW$16,DS8&gt;=DW$20,DR8&lt;&gt;""),AND(DU8&gt;=DW$16,DV8&gt;=DW$20,DU8&lt;&gt;""),AND(ER8&gt;=EW$16,ES8&gt;=EW$20,ER8&lt;&gt;""),AND(EU8&gt;=EW$16,EV8&gt;=EW$20,EU8&lt;&gt;""),AND(FR8&gt;=FW$16,FS8&gt;=FW$20,FR8&lt;&gt;""),AND(FU8&gt;=FW$16,FV8&gt;=FW$20,FU8&lt;&gt;""),AND(GR8&gt;=GW$16,GS8&gt;=GW$20,GR8&lt;&gt;""),AND(GU8&gt;=GW$16,GV8&gt;=GW$20,GU8&lt;&gt;""),AND(HR8&gt;=HW$16,HS8&gt;=HW$20,HR8&lt;&gt;""),AND(HU8&gt;=HW$16,HV8&gt;=HW$20,HU8&lt;&gt;""),AND(IR8&gt;=IW$16,IS8&gt;=IW$20,IR8&lt;&gt;""),AND(IU8&gt;=IW$16,IV8&gt;=IW$20,IU8&lt;&gt;""),AND(JR8&gt;=JW$16,JS8&gt;=JW$20,JR8&lt;&gt;""),AND(JU8&gt;=JW$16,JV8&gt;=JW$20,JU8&lt;&gt;""),AND(KR8&gt;=KW$16,KS8&gt;=KW$20,KR8&lt;&gt;""),AND(KU8&gt;=KW$16,KV8&gt;=KW$20,KU8&lt;&gt;""),AND(LR8&gt;=LW$16,LS8&gt;=LW$20,LR8&lt;&gt;""),AND(LU8&gt;=LW$16,LV8&gt;=LW$20,LU8&lt;&gt;""),AND(MR8&gt;=MW$16,MS8&gt;=MW$20,MR8&lt;&gt;""),AND(MU8&gt;=MW$16,MV8&gt;=MW$20,MU8&lt;&gt;""),AND(NR8&gt;=NW$16,NS8&gt;=NW$20,NR8&lt;&gt;""),AND(NU8&gt;=NW$16,NV8&gt;=NW$20,NU8&lt;&gt;""),AND(OR8&gt;=OW$16,OS8&gt;=OW$20,OR8&lt;&gt;""),AND(OU8&gt;=OW$16,OV8&gt;=OW$20,OU8&lt;&gt;"")),"Excellence",IF(I8="P","Worlds Team",IF(F8="P","National Team","")))))</f>
        <v>Excellence</v>
      </c>
      <c r="I8" s="3" t="str">
        <f>IF(OR(AND(AN8&gt;=AS$15,AO8&gt;=AS$19,AN8&lt;&gt;"",AM8=""),AND(AQ8&gt;=AS$15,AR8&gt;=AS$19,AQ8&lt;&gt;"",AM8=""),AND(BO8&gt;=BT$15,BP8&gt;=BT$19,BO8&lt;&gt;"",BN8=""),AND(BR8&gt;=BT$15,BS8&gt;=BT$19,BR8&lt;&gt;"",BN8=""),AND(CP8&gt;=CU$15,CQ8&gt;=CU$19,CP8&lt;&gt;"",CO8=""),AND(CS8&gt;=CU$15,CT8&gt;=CU$19,CS8&lt;&gt;""),AND(DR8&gt;=DW$15,DS8&gt;=DW$19,DR8&lt;&gt;""),AND(DU8&gt;=DW$15,DV8&gt;=DW$19,DU8&lt;&gt;""),AND(ER8&gt;=EW$15,ES8&gt;=EW$19,ER8&lt;&gt;""),AND(EU8&gt;=EW$15,EV8&gt;=EW$19,EU8&lt;&gt;""),AND(FR8&gt;=FW$15,FS8&gt;=FW$19,FR8&lt;&gt;""),AND(FU8&gt;=FW$15,FV8&gt;=FW$19,FU8&lt;&gt;""),AND(GR8&gt;=GW$15,GS8&gt;=GW$19,GR8&lt;&gt;""),AND(GU8&gt;=GW$15,GV8&gt;=GW$19,GU8&lt;&gt;""),AND(HR8&gt;=HW$15,HS8&gt;=HW$19,HR8&lt;&gt;""),AND(HU8&gt;=HW$15,HV8&gt;=HW$19,HU8&lt;&gt;""),AND(IR8&gt;=IW$15,IS8&gt;=IW$19,IR8&lt;&gt;""),AND(IU8&gt;=IW$15,IV8&gt;=IW$19,IU8&lt;&gt;""),AND(JR8&gt;=JW$15,JS8&gt;=JW$19,JR8&lt;&gt;""),AND(JU8&gt;=JW$15,JV8&gt;=JW$19,JU8&lt;&gt;""),AND(KR8&gt;=KW$15,KS8&gt;=KW$19,KR8&lt;&gt;""),AND(KU8&gt;=KW$15,KV8&gt;=KW$19,KU8&lt;&gt;""),AND(LR8&gt;=LW$15,LS8&gt;=LW$19,LR8&lt;&gt;""),AND(LU8&gt;=LW$15,LV8&gt;=LW$19,LU8&lt;&gt;""),AND(MR8&gt;=MW$15,MS8&gt;=MW$19,MR8&lt;&gt;""),AND(MU8&gt;=MW$15,MV8&gt;=MW$19,MU8&lt;&gt;""),AND(NR8&gt;=NW$15,NS8&gt;=NW$19,NR8&lt;&gt;""),AND(NU8&gt;=NW$15,NV8&gt;=NW$19,NU8&lt;&gt;""),AND(OR8&gt;=OW$15,OS8&gt;=OW$19,OR8&lt;&gt;""),AND(OU8&gt;=OW$15,OV8&gt;=OW$19,OU8&lt;&gt;"")),"P","")</f>
        <v>P</v>
      </c>
      <c r="J8" s="13">
        <f>IF(COUNT(AO8,BP8,CQ8)&gt;0,LARGE((AO8,BP8,CQ8),1),0)</f>
        <v>45.4</v>
      </c>
      <c r="K8" s="13" t="str">
        <f>IF(J8=0,"",IF(J8=CQ8,$BU$1,IF(J8=BP8,$AT$1,IF(J8=AO8,$S$1,""))))</f>
        <v>2022 Elite Canada</v>
      </c>
      <c r="L8" s="13">
        <f>IF(COUNT(AO8,BP8,CQ8)&gt;1,LARGE((AO8,BP8,CQ8),2),0)</f>
        <v>0</v>
      </c>
      <c r="M8" s="13" t="str">
        <f>IF(L8=0,"",IF(L8=CQ8,$BU$1,IF(L8=BP8,$AT$1,IF(L8=AO8,$S$1,""))))</f>
        <v/>
      </c>
      <c r="N8" s="13">
        <f>IF(MAX(AR8,BS8,CT8)&gt;0,MAX(AR8,BS8,CT8),0)</f>
        <v>45.86</v>
      </c>
      <c r="O8" s="13" t="str">
        <f>IF(N8=0,"",IF(N8=CT8,$BU$1,IF(N8=BS8,$AT$1,IF(N8=AR8,$S$1,""))))</f>
        <v>2022 Elite Canada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>
        <v>17.7</v>
      </c>
      <c r="T8" s="27">
        <v>4.7</v>
      </c>
      <c r="U8" s="27">
        <v>0</v>
      </c>
      <c r="V8" s="27">
        <v>0.3</v>
      </c>
      <c r="W8" s="27">
        <v>17.7</v>
      </c>
      <c r="X8" s="27">
        <v>4.7</v>
      </c>
      <c r="Y8" s="27">
        <v>0</v>
      </c>
      <c r="Z8" s="27">
        <v>0.3</v>
      </c>
      <c r="AA8" s="27"/>
      <c r="AB8" s="27"/>
      <c r="AC8" s="27"/>
      <c r="AD8" s="27"/>
      <c r="AE8" s="27">
        <v>18.059999999999999</v>
      </c>
      <c r="AF8" s="27">
        <v>4.7</v>
      </c>
      <c r="AG8" s="27">
        <v>0</v>
      </c>
      <c r="AH8" s="27">
        <v>0.3</v>
      </c>
      <c r="AI8" s="27">
        <v>17.8</v>
      </c>
      <c r="AJ8" s="27">
        <v>4.7</v>
      </c>
      <c r="AK8" s="27">
        <v>0</v>
      </c>
      <c r="AL8" s="27">
        <v>0.3</v>
      </c>
      <c r="AM8" s="51"/>
      <c r="AN8" s="76">
        <f>IF(SUM(T8,X8)&gt;0,SUM(T8,X8),"")</f>
        <v>9.4</v>
      </c>
      <c r="AO8" s="76">
        <f>IF(SUM(S8:T8,V8:X8,Z8)-U8-Y8&gt;0,SUM(S8:T8,V8:X8,Z8)-U8-Y8,"")</f>
        <v>45.4</v>
      </c>
      <c r="AP8" s="76" t="str">
        <f>IF(SUM(AA8:AB8,AD8)-AC8&gt;0,SUM(AA8:AB8,AD8)-AC8,"")</f>
        <v/>
      </c>
      <c r="AQ8" s="76">
        <f>IF(SUM(AF8,AJ8)&gt;0,SUM(AF8,AJ8),"")</f>
        <v>9.4</v>
      </c>
      <c r="AR8" s="76">
        <f>IF(SUM(AE8:AF8,AH8:AJ8,AL8)-SUM(AG8,AK8)&gt;0,SUM(AE8:AF8,AH8:AJ8,AL8)-SUM(AG8,AK8),"")</f>
        <v>45.86</v>
      </c>
      <c r="AS8" s="76">
        <f>IF(SUM(AO8,AR8)&gt;0,SUM(AO8,AR8),"")</f>
        <v>91.259999999999991</v>
      </c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 t="str">
        <f>IF(SUM(AU8,AY8)&gt;0,SUM(AU8,AY8),"")</f>
        <v/>
      </c>
      <c r="BP8" s="16" t="str">
        <f>IF(SUM(AT8:AU8,AW8:AY8,BA8)-AV8-AZ8&gt;0,SUM(AT8:AU8,AW8:AY8,BA8)-AV8-AZ8,"")</f>
        <v/>
      </c>
      <c r="BQ8" s="16" t="str">
        <f>IF(SUM(BB8:BC8,BE8)-BD8&gt;0,SUM(BB8:BC8,BE8)-BD8,"")</f>
        <v/>
      </c>
      <c r="BR8" s="16" t="str">
        <f>IF(SUM(BG8,BK8)&gt;0,SUM(BG8,BK8),"")</f>
        <v/>
      </c>
      <c r="BS8" s="16" t="str">
        <f>IF(SUM(BF8:BG8,BI8:BK8,BM8)-SUM(BH8,BL8)&gt;0,SUM(BF8:BG8,BI8:BK8,BM8)-SUM(BH8,BL8),"")</f>
        <v/>
      </c>
      <c r="BT8" s="16" t="str">
        <f>IF(SUM(BP8,BS8)&gt;0,SUM(BP8,BS8),"")</f>
        <v/>
      </c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51"/>
      <c r="CP8" s="76" t="str">
        <f>IF(SUM(BV8,BZ8)&gt;0,SUM(BV8,BZ8),"")</f>
        <v/>
      </c>
      <c r="CQ8" s="76" t="str">
        <f>IF(SUM(BU8:BV8,BX8:BZ8,CB8)-BW8-CA8&gt;0,SUM(BU8:BV8,BX8:BZ8,CB8)-BW8-CA8,"")</f>
        <v/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 t="str">
        <f>IF(SUM(CQ8,CT8)&gt;0,SUM(CQ8,CT8),"")</f>
        <v/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>
        <v>17.8</v>
      </c>
      <c r="DY8" s="26">
        <v>4.7</v>
      </c>
      <c r="DZ8" s="26">
        <v>0</v>
      </c>
      <c r="EA8" s="26">
        <v>0.3</v>
      </c>
      <c r="EB8" s="26">
        <v>16.7</v>
      </c>
      <c r="EC8" s="26">
        <v>1.9</v>
      </c>
      <c r="ED8" s="26">
        <v>0</v>
      </c>
      <c r="EE8" s="26">
        <v>0.3</v>
      </c>
      <c r="EF8" s="26"/>
      <c r="EG8" s="26"/>
      <c r="EH8" s="26"/>
      <c r="EI8" s="26"/>
      <c r="EJ8" s="26">
        <v>17.399999999999999</v>
      </c>
      <c r="EK8" s="26">
        <v>4.3</v>
      </c>
      <c r="EL8" s="26">
        <v>0</v>
      </c>
      <c r="EM8" s="26">
        <v>0.3</v>
      </c>
      <c r="EN8" s="26">
        <v>17.7</v>
      </c>
      <c r="EO8" s="26">
        <v>4.7</v>
      </c>
      <c r="EP8" s="26">
        <v>0</v>
      </c>
      <c r="EQ8" s="26">
        <v>0.3</v>
      </c>
      <c r="ER8" s="16">
        <f>IF(SUM(DY8,EC8)&gt;0,SUM(DY8,EC8),"")</f>
        <v>6.6</v>
      </c>
      <c r="ES8" s="16">
        <f>IF(SUM(DX8:DY8,EA8:EC8,EE8)-DZ8-ED8&gt;0,SUM(DX8:DY8,EA8:EC8,EE8)-DZ8-ED8,"")</f>
        <v>41.699999999999996</v>
      </c>
      <c r="ET8" s="16" t="str">
        <f>IF(SUM(EF8:EG8,EI8)-EH8&gt;0,SUM(EF8:EG8,EI8)-EH8,"")</f>
        <v/>
      </c>
      <c r="EU8" s="16">
        <f>IF(SUM(EK8,EO8)&gt;0,SUM(EK8,EO8),"")</f>
        <v>9</v>
      </c>
      <c r="EV8" s="16">
        <f>IF(SUM(EJ8:EK8,EM8:EO8,EQ8)-SUM(EL8,EP8)&gt;0,SUM(EJ8:EK8,EM8:EO8,EQ8)-SUM(EL8,EP8),"")</f>
        <v>44.7</v>
      </c>
      <c r="EW8" s="16">
        <f>IF(SUM(ES8,EV8)&gt;0,SUM(ES8,EV8),"")</f>
        <v>86.4</v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0</v>
      </c>
      <c r="OY8" s="42">
        <f>IF($CO8="P",BV8,(BV8+AU8)/2)</f>
        <v>0</v>
      </c>
      <c r="OZ8" s="42">
        <f>IF($CO8="P",BW8,(BW8+AV8)/2)</f>
        <v>0</v>
      </c>
      <c r="PA8" s="42">
        <f>IF($CO8="P",BX8,(BX8+AW8)/2)</f>
        <v>0</v>
      </c>
      <c r="PB8" s="42">
        <f>IF($CO8="P",BY8,(BY8+AX8)/2)</f>
        <v>0</v>
      </c>
      <c r="PC8" s="42">
        <f>IF($CO8="P",BZ8,(BZ8+AY8)/2)</f>
        <v>0</v>
      </c>
      <c r="PD8" s="42">
        <f>IF($CO8="P",CA8,(CA8+AZ8)/2)</f>
        <v>0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0</v>
      </c>
      <c r="PK8" s="42">
        <f>IF($CO8="P",CH8,(CH8+BG8)/2)</f>
        <v>0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0</v>
      </c>
      <c r="PO8" s="42">
        <f>IF($CO8="P",CL8,(CL8+BK8)/2)</f>
        <v>0</v>
      </c>
      <c r="PP8" s="42">
        <f>IF($CO8="P",CM8,(CM8+BL8)/2)</f>
        <v>0</v>
      </c>
      <c r="PQ8" s="42">
        <f>IF($CO8="P",CN8,(CN8+BM8)/2)</f>
        <v>0</v>
      </c>
      <c r="PR8" s="51" t="s">
        <v>58</v>
      </c>
      <c r="PS8" s="76" t="str">
        <f>IF(SUM(OY8,PC8)&gt;0,SUM(OY8,PC8),"")</f>
        <v/>
      </c>
      <c r="PT8" s="76" t="str">
        <f>IF(SUM(OX8:OY8,PA8:PC8,PE8)-OZ8-PD8&gt;0,SUM(OX8:OY8,PA8:PC8,PE8)-OZ8-PD8,"")</f>
        <v/>
      </c>
      <c r="PU8" s="76" t="str">
        <f>IF(SUM(PF8:PG8,PI8)-PH8&gt;0,SUM(PF8:PG8,PI8)-PH8,"")</f>
        <v/>
      </c>
      <c r="PV8" s="76" t="str">
        <f>IF(SUM(PK8,PO8)&gt;0,SUM(PK8,PO8),"")</f>
        <v/>
      </c>
      <c r="PW8" s="76" t="str">
        <f>IF(SUM(PJ8:PK8,PM8:PO8,PQ8)-SUM(PL8,PP8)&gt;0,SUM(PJ8:PK8,PM8:PO8,PQ8)-SUM(PL8,PP8),"")</f>
        <v/>
      </c>
      <c r="PX8" s="76" t="str">
        <f>IF(SUM(PT8,PW8)&gt;0,SUM(PT8,PW8),"")</f>
        <v/>
      </c>
    </row>
    <row r="9" spans="1:440" x14ac:dyDescent="0.2">
      <c r="A9" s="5">
        <f>IF(AND(F9="P",G9="P"),SUMPRODUCT((F$4:F$12="P")*(G$4:G$12="P")*(E$4:E$12&gt;E9))+1,IF(G9="P",SUMPRODUCT((F$4:F$12="")*(G$4:G$12="P")*(E$4:E$12&gt;E9))+1+SUMPRODUCT((F$4:F$12="P")*(G$4:G$12="P")),""))</f>
        <v>6</v>
      </c>
      <c r="B9" s="6" t="s">
        <v>203</v>
      </c>
      <c r="C9" s="7" t="s">
        <v>3</v>
      </c>
      <c r="D9" s="18">
        <v>2004</v>
      </c>
      <c r="E9" s="14">
        <f>SUM(J9:P9)+SUM(J9:N9)*0.0000001+SUM(J9)*0.0000000000001</f>
        <v>129.25001278500432</v>
      </c>
      <c r="F9" s="3" t="str">
        <f>IF(OR(AND(AN9&gt;=AS$14,AO9&gt;=AS$18,AN9&lt;&gt;"",AM9=""),AND(AQ9&gt;=AS$14,AR9&gt;=AS$18,AQ9&lt;&gt;"",AM9=""),AND(BO9&gt;=BT$14,BP9&gt;=BT$18,BO9&lt;&gt;"",BN9=""),AND(BR9&gt;=BT$14,BS9&gt;=BT$18,BR9&lt;&gt;"",BN9=""),AND(CP9&gt;=CU$14,CQ9&gt;=CU$18,CP9&lt;&gt;"",CO9=""),AND(CS9&gt;=CU$14,CT9&gt;=CU$18,CS9&lt;&gt;""),AND(DR9&gt;=DW$14,DS9&gt;=DW$18,DR9&lt;&gt;""),AND(DU9&gt;=DW$14,DV9&gt;=DW$18,DU9&lt;&gt;""),AND(ER9&gt;=EW$14,ES9&gt;=EW$18,ER9&lt;&gt;""),AND(EU9&gt;=EW$14,EV9&gt;=EW$18,EU9&lt;&gt;""),AND(FR9&gt;=FW$14,FS9&gt;=FW$18,FR9&lt;&gt;""),AND(FU9&gt;=FW$14,FV9&gt;=FW$18,FU9&lt;&gt;""),AND(GR9&gt;=GW$14,GS9&gt;=GW$18,GR9&lt;&gt;""),AND(GU9&gt;=GW$14,GV9&gt;=GW$18,GU9&lt;&gt;""),AND(HR9&gt;=HW$14,HS9&gt;=HW$18,HR9&lt;&gt;""),AND(HU9&gt;=HW$14,HV9&gt;=HW$18,HU9&lt;&gt;""),AND(IR9&gt;=IW$14,IS9&gt;=IW$18,IR9&lt;&gt;""),AND(IU9&gt;=IW$14,IV9&gt;=IW$18,IU9&lt;&gt;""),AND(JR9&gt;=JW$14,JS9&gt;=JW$18,JR9&lt;&gt;""),AND(JU9&gt;=JW$14,JV9&gt;=JW$18,JU9&lt;&gt;""),AND(KR9&gt;=KW$14,KS9&gt;=KW$18,KR9&lt;&gt;""),AND(KU9&gt;=KW$14,KV9&gt;=KW$18,KU9&lt;&gt;""),AND(LR9&gt;=LW$14,LS9&gt;=LW$18,LR9&lt;&gt;""),AND(LU9&gt;=LW$14,LV9&gt;=LW$18,LU9&lt;&gt;""),AND(MR9&gt;=MW$14,MS9&gt;=MW$18,MR9&lt;&gt;""),AND(MU9&gt;=MW$14,MV9&gt;=MW$18,MU9&lt;&gt;""),AND(NR9&gt;=NW$14,NS9&gt;=NW$18,NR9&lt;&gt;""),AND(NU9&gt;=NW$14,NV9&gt;=NW$18,NU9&lt;&gt;""),AND(OR9&gt;=OW$14,OS9&gt;=OW$18,OR9&lt;&gt;""),AND(OU9&gt;=OW$14,OV9&gt;=OW$18,OU9&lt;&gt;"")),"P","")</f>
        <v/>
      </c>
      <c r="G9" s="3" t="str">
        <f>IF(OR(AND(AO9&gt;=AS$18,AO9&lt;&gt;"",AM9=""),AND(AR9&gt;=AS$18,AR9&lt;&gt;"",AM9=""),AND(BP9&gt;=BT$18,BP9&lt;&gt;"",BN9=""),AND(BS9&gt;=BT$18,BS9&lt;&gt;"",BN9=""),AND(CQ9&gt;=CU$18,CQ9&lt;&gt;"",CO9=""),AND(CT9&gt;=CU$18,CT9&lt;&gt;"",CO9=""),AND(DS9&gt;=DW$18,DS9&lt;&gt;""),AND(DV9&gt;=DW$18,DV9&lt;&gt;""),AND(ES9&gt;=EW$18,ES9&lt;&gt;""),AND(EV9&gt;=EW$18,EV9&lt;&gt;""),AND(FS9&gt;=FW$18,FS9&lt;&gt;""),AND(FV9&gt;=FW$18,FV9&lt;&gt;""),AND(GS9&gt;=GW$18,GS9&lt;&gt;""),AND(GV9&gt;=GW$18,GV9&lt;&gt;""),AND(HS9&gt;=HW$18,HS9&lt;&gt;""),AND(HV9&gt;=HW$18,HV9&lt;&gt;""),AND(IS9&gt;=IW$18,IS9&lt;&gt;""),AND(IV9&gt;=IW$18,IV9&lt;&gt;""),AND(JS9&gt;=JW$18,JS9&lt;&gt;""),AND(JV9&gt;=JW$18,JV9&lt;&gt;""),AND(KS9&gt;=KW$18,KS9&lt;&gt;""),AND(KV9&gt;=KW$18,KV9&lt;&gt;""),AND(LS9&gt;=LW$18,LS9&lt;&gt;""),AND(LV9&gt;=LW$18,LV9&lt;&gt;""),AND(MS9&gt;=MW$18,MS9&lt;&gt;""),AND(MV9&gt;=MW$18,MV9&lt;&gt;""),AND(NS9&gt;=NW$18,NS9&lt;&gt;""),AND(NV9&gt;=NW$18,NV9&lt;&gt;""),AND(OS9&gt;=OW$18,OS9&lt;&gt;""),AND(OV9&gt;=OW$18,OV9&lt;&gt;"")),"P","")</f>
        <v>P</v>
      </c>
      <c r="H9" s="70" t="str">
        <f>IF(AND(G9="P",F9=""),"No DD",IF(OR(AND(AN9&gt;=AS$17,AO9&gt;=AS$21,AN9&lt;&gt;"",AM9=""),AND(AQ9&gt;=AS$17,AR9&gt;=AS$21,AQ9&lt;&gt;"",AM9=""),AND(BO9&gt;=BT$17,BP9&gt;=BT$21,BO9&lt;&gt;"",BN9=""),AND(BR9&gt;=BT$17,BS9&gt;=BT$21,BR9&lt;&gt;"",BN9=""),AND(CP9&gt;=CU$17,CQ9&gt;=CU$21,CP9&lt;&gt;"",CO9=""),AND(CS9&gt;=CU$17,CT9&gt;=CU$21,CS9&lt;&gt;""),AND(DR9&gt;=DW$17,DS9&gt;=DW$21,DR9&lt;&gt;""),AND(DU9&gt;=DW$17,DV9&gt;=DW$21,DU9&lt;&gt;""),AND(ER9&gt;=EW$17,ES9&gt;=EW$21,ER9&lt;&gt;""),AND(EU9&gt;=EW$17,EV9&gt;=EW$21,EU9&lt;&gt;""),AND(FR9&gt;=FW$17,FS9&gt;=FW$21,FR9&lt;&gt;""),AND(FU9&gt;=FW$17,FV9&gt;=FW$21,FU9&lt;&gt;""),AND(GR9&gt;=GW$17,GS9&gt;=GW$21,GR9&lt;&gt;""),AND(GU9&gt;=GW$17,GV9&gt;=GW$21,GU9&lt;&gt;""),AND(HR9&gt;=HW$17,HS9&gt;=HW$21,HR9&lt;&gt;""),AND(HU9&gt;=HW$17,HV9&gt;=HW$21,HU9&lt;&gt;""),AND(IR9&gt;=IW$17,IS9&gt;=IW$21,IR9&lt;&gt;""),AND(IU9&gt;=IW$17,IV9&gt;=IW$21,IU9&lt;&gt;""),AND(JR9&gt;=JW$17,JS9&gt;=JW$21,JR9&lt;&gt;""),AND(JU9&gt;=JW$17,JV9&gt;=JW$21,JU9&lt;&gt;""),AND(KR9&gt;=KW$17,KS9&gt;=KW$21,KR9&lt;&gt;""),AND(KU9&gt;=KW$17,KV9&gt;=KW$21,KU9&lt;&gt;""),AND(LR9&gt;=LW$17,LS9&gt;=LW$21,LR9&lt;&gt;""),AND(LU9&gt;=LW$17,LV9&gt;=LW$21,LU9&lt;&gt;""),AND(MR9&gt;=MW$17,MS9&gt;=MW$21,MR9&lt;&gt;""),AND(MU9&gt;=MW$17,MV9&gt;=MW$21,MU9&lt;&gt;""),AND(NR9&gt;=NW$17,NS9&gt;=NW$21,NR9&lt;&gt;""),AND(NU9&gt;=NW$17,NV9&gt;=NW$21,NU9&lt;&gt;""),AND(OR9&gt;=OW$17,OS9&gt;=OW$21,OR9&lt;&gt;""),AND(OU9&gt;=OW$17,OV9&gt;=OW$21,OU9&lt;&gt;"")),"Merit",IF(OR(AND(AN9&gt;=AS$16,AO9&gt;=AS$20,AN9&lt;&gt;"",AM9=""),AND(AQ9&gt;=AS$16,AR9&gt;=AS$20,AQ9&lt;&gt;"",AM9=""),AND(BO9&gt;=BT$16,BP9&gt;=BT$20,BO9&lt;&gt;"",BN9=""),AND(BR9&gt;=BT$16,BS9&gt;=BT$20,BR9&lt;&gt;"",BN9=""),AND(CP9&gt;=CU$16,CQ9&gt;=CU$20,CP9&lt;&gt;"",CO9=""),AND(CS9&gt;=CU$16,CT9&gt;=CU$20,CS9&lt;&gt;""),AND(DR9&gt;=DW$16,DS9&gt;=DW$20,DR9&lt;&gt;""),AND(DU9&gt;=DW$16,DV9&gt;=DW$20,DU9&lt;&gt;""),AND(ER9&gt;=EW$16,ES9&gt;=EW$20,ER9&lt;&gt;""),AND(EU9&gt;=EW$16,EV9&gt;=EW$20,EU9&lt;&gt;""),AND(FR9&gt;=FW$16,FS9&gt;=FW$20,FR9&lt;&gt;""),AND(FU9&gt;=FW$16,FV9&gt;=FW$20,FU9&lt;&gt;""),AND(GR9&gt;=GW$16,GS9&gt;=GW$20,GR9&lt;&gt;""),AND(GU9&gt;=GW$16,GV9&gt;=GW$20,GU9&lt;&gt;""),AND(HR9&gt;=HW$16,HS9&gt;=HW$20,HR9&lt;&gt;""),AND(HU9&gt;=HW$16,HV9&gt;=HW$20,HU9&lt;&gt;""),AND(IR9&gt;=IW$16,IS9&gt;=IW$20,IR9&lt;&gt;""),AND(IU9&gt;=IW$16,IV9&gt;=IW$20,IU9&lt;&gt;""),AND(JR9&gt;=JW$16,JS9&gt;=JW$20,JR9&lt;&gt;""),AND(JU9&gt;=JW$16,JV9&gt;=JW$20,JU9&lt;&gt;""),AND(KR9&gt;=KW$16,KS9&gt;=KW$20,KR9&lt;&gt;""),AND(KU9&gt;=KW$16,KV9&gt;=KW$20,KU9&lt;&gt;""),AND(LR9&gt;=LW$16,LS9&gt;=LW$20,LR9&lt;&gt;""),AND(LU9&gt;=LW$16,LV9&gt;=LW$20,LU9&lt;&gt;""),AND(MR9&gt;=MW$16,MS9&gt;=MW$20,MR9&lt;&gt;""),AND(MU9&gt;=MW$16,MV9&gt;=MW$20,MU9&lt;&gt;""),AND(NR9&gt;=NW$16,NS9&gt;=NW$20,NR9&lt;&gt;""),AND(NU9&gt;=NW$16,NV9&gt;=NW$20,NU9&lt;&gt;""),AND(OR9&gt;=OW$16,OS9&gt;=OW$20,OR9&lt;&gt;""),AND(OU9&gt;=OW$16,OV9&gt;=OW$20,OU9&lt;&gt;"")),"Excellence",IF(I9="P","Worlds Team",IF(F9="P","National Team","")))))</f>
        <v>No DD</v>
      </c>
      <c r="I9" s="3" t="str">
        <f>IF(OR(AND(AN9&gt;=AS$15,AO9&gt;=AS$19,AN9&lt;&gt;"",AM9=""),AND(AQ9&gt;=AS$15,AR9&gt;=AS$19,AQ9&lt;&gt;"",AM9=""),AND(BO9&gt;=BT$15,BP9&gt;=BT$19,BO9&lt;&gt;"",BN9=""),AND(BR9&gt;=BT$15,BS9&gt;=BT$19,BR9&lt;&gt;"",BN9=""),AND(CP9&gt;=CU$15,CQ9&gt;=CU$19,CP9&lt;&gt;"",CO9=""),AND(CS9&gt;=CU$15,CT9&gt;=CU$19,CS9&lt;&gt;""),AND(DR9&gt;=DW$15,DS9&gt;=DW$19,DR9&lt;&gt;""),AND(DU9&gt;=DW$15,DV9&gt;=DW$19,DU9&lt;&gt;""),AND(ER9&gt;=EW$15,ES9&gt;=EW$19,ER9&lt;&gt;""),AND(EU9&gt;=EW$15,EV9&gt;=EW$19,EU9&lt;&gt;""),AND(FR9&gt;=FW$15,FS9&gt;=FW$19,FR9&lt;&gt;""),AND(FU9&gt;=FW$15,FV9&gt;=FW$19,FU9&lt;&gt;""),AND(GR9&gt;=GW$15,GS9&gt;=GW$19,GR9&lt;&gt;""),AND(GU9&gt;=GW$15,GV9&gt;=GW$19,GU9&lt;&gt;""),AND(HR9&gt;=HW$15,HS9&gt;=HW$19,HR9&lt;&gt;""),AND(HU9&gt;=HW$15,HV9&gt;=HW$19,HU9&lt;&gt;""),AND(IR9&gt;=IW$15,IS9&gt;=IW$19,IR9&lt;&gt;""),AND(IU9&gt;=IW$15,IV9&gt;=IW$19,IU9&lt;&gt;""),AND(JR9&gt;=JW$15,JS9&gt;=JW$19,JR9&lt;&gt;""),AND(JU9&gt;=JW$15,JV9&gt;=JW$19,JU9&lt;&gt;""),AND(KR9&gt;=KW$15,KS9&gt;=KW$19,KR9&lt;&gt;""),AND(KU9&gt;=KW$15,KV9&gt;=KW$19,KU9&lt;&gt;""),AND(LR9&gt;=LW$15,LS9&gt;=LW$19,LR9&lt;&gt;""),AND(LU9&gt;=LW$15,LV9&gt;=LW$19,LU9&lt;&gt;""),AND(MR9&gt;=MW$15,MS9&gt;=MW$19,MR9&lt;&gt;""),AND(MU9&gt;=MW$15,MV9&gt;=MW$19,MU9&lt;&gt;""),AND(NR9&gt;=NW$15,NS9&gt;=NW$19,NR9&lt;&gt;""),AND(NU9&gt;=NW$15,NV9&gt;=NW$19,NU9&lt;&gt;""),AND(OR9&gt;=OW$15,OS9&gt;=OW$19,OR9&lt;&gt;""),AND(OU9&gt;=OW$15,OV9&gt;=OW$19,OU9&lt;&gt;"")),"P","")</f>
        <v/>
      </c>
      <c r="J9" s="13">
        <f>IF(COUNT(AO9,BP9,CQ9)&gt;0,LARGE((AO9,BP9,CQ9),1),0)</f>
        <v>43.1</v>
      </c>
      <c r="K9" s="13" t="str">
        <f>IF(J9=0,"",IF(J9=CQ9,$BU$1,IF(J9=BP9,$AT$1,IF(J9=AO9,$S$1,""))))</f>
        <v>2022 Nationals</v>
      </c>
      <c r="L9" s="13">
        <f>IF(COUNT(AO9,BP9,CQ9)&gt;1,LARGE((AO9,BP9,CQ9),2),0)</f>
        <v>42.349999999999994</v>
      </c>
      <c r="M9" s="13" t="str">
        <f>IF(L9=0,"",IF(L9=CQ9,$BU$1,IF(L9=BP9,$AT$1,IF(L9=AO9,$S$1,""))))</f>
        <v>2022 3rd Domestic Trial</v>
      </c>
      <c r="N9" s="13">
        <f>IF(MAX(AR9,BS9,CT9)&gt;0,MAX(AR9,BS9,CT9),0)</f>
        <v>42.399999999999991</v>
      </c>
      <c r="O9" s="13" t="str">
        <f>IF(N9=0,"",IF(N9=CT9,$BU$1,IF(N9=BS9,$AT$1,IF(N9=AR9,$S$1,""))))</f>
        <v>2022 Nationals</v>
      </c>
      <c r="P9" s="13">
        <f>IF(MAX(CV9:CW9)&gt;0,MAX(CV9:CW9),"")</f>
        <v>1.4000000000000057</v>
      </c>
      <c r="Q9" s="16" t="str">
        <f>IF(P9="","",IF(P9=CV9,"("&amp;CV$2&amp;")",IF(P9=CW9,"("&amp;CW$2&amp;")")))</f>
        <v>(Final)</v>
      </c>
      <c r="R9" s="13" t="str">
        <f>IF(P9="","",IF(P9=CV9,IF(P9+IF(L9="",0,L9)=OS9,$NX$1,IF(P9+IF(L9="",0,L9)=NS9,$MX$1,IF(P9+IF(L9="",0,L9)=MS9,$LX$1,IF(P9+IF(L9="",0,L9)=LS9,$KX$1,IF(P9+IF(L9="",0,L9)=KS9,$JX$1,IF(P9+IF(L9="",0,L9)=JS9,$IX$1,IF(P9+IF(L9="",0,L9)=IS9,$HX$1,IF(P9+IF(L9="",0,L9)=HS9,$GX$1,IF(P9+IF(L9="",0,L9)=GS9,$FX$1,IF(P9+IF(L9="",0,L9)=FS9,$EX$1,IF(P9+IF(L9="",0,L9)=ES9,$DX$1,IF(P9+IF(L9="",0,L9)=DS9,$CX$1)))))))))))),IF(P9=CW9,IF(P9+IF(N9="",0,N9)=OV9,$NX$1,IF(P9+IF(N9="",0,N9)=NV9,$MX$1,IF(P9+IF(N9="",0,N9)=MV9,$LX$1,IF(P9+IF(N9="",0,N9)=LV9,$KX$1,IF(P9+IF(N9="",0,N9)=KV9,$JX$1,IF(P9+IF(N9="",0,N9)=JV9,$IX$1,IF(P9+IF(N9="",0,N9)=IV9,$HX$1,IF(P9+IF(N9="",0,N9)=HV9,$GX$1,IF(P9+IF(N9="",0,N9)=GV9,$FX$1,IF(P9+IF(N9="",0,N9)=FV9,$EX$1,IF(P9+IF(N9="",0,N9)=EV9,$DX$1,IF(P9+IF(N9="",0,N9)=DV9,$CX$1)))))))))))))))</f>
        <v>2022 Coimbra Gym Fest (June 26)</v>
      </c>
      <c r="S9" s="27">
        <v>16.5</v>
      </c>
      <c r="T9" s="27">
        <v>4.0999999999999996</v>
      </c>
      <c r="U9" s="27">
        <v>0</v>
      </c>
      <c r="V9" s="27">
        <v>0.3</v>
      </c>
      <c r="W9" s="27">
        <v>16.5</v>
      </c>
      <c r="X9" s="27">
        <v>3.9</v>
      </c>
      <c r="Y9" s="27">
        <v>0</v>
      </c>
      <c r="Z9" s="27">
        <v>0.3</v>
      </c>
      <c r="AA9" s="27"/>
      <c r="AB9" s="27"/>
      <c r="AC9" s="27"/>
      <c r="AD9" s="27"/>
      <c r="AE9" s="27">
        <v>16.7</v>
      </c>
      <c r="AF9" s="27">
        <v>4.0999999999999996</v>
      </c>
      <c r="AG9" s="27">
        <v>0</v>
      </c>
      <c r="AH9" s="27">
        <v>0.3</v>
      </c>
      <c r="AI9" s="27">
        <v>16.86</v>
      </c>
      <c r="AJ9" s="27">
        <v>3.9</v>
      </c>
      <c r="AK9" s="27">
        <v>0</v>
      </c>
      <c r="AL9" s="27">
        <v>0.3</v>
      </c>
      <c r="AM9" s="51"/>
      <c r="AN9" s="76">
        <f>IF(SUM(T9,X9)&gt;0,SUM(T9,X9),"")</f>
        <v>8</v>
      </c>
      <c r="AO9" s="76">
        <f>IF(SUM(S9:T9,V9:X9,Z9)-U9-Y9&gt;0,SUM(S9:T9,V9:X9,Z9)-U9-Y9,"")</f>
        <v>41.6</v>
      </c>
      <c r="AP9" s="76" t="str">
        <f>IF(SUM(AA9:AB9,AD9)-AC9&gt;0,SUM(AA9:AB9,AD9)-AC9,"")</f>
        <v/>
      </c>
      <c r="AQ9" s="76">
        <f>IF(SUM(AF9,AJ9)&gt;0,SUM(AF9,AJ9),"")</f>
        <v>8</v>
      </c>
      <c r="AR9" s="76">
        <f>IF(SUM(AE9:AF9,AH9:AJ9,AL9)-SUM(AG9,AK9)&gt;0,SUM(AE9:AF9,AH9:AJ9,AL9)-SUM(AG9,AK9),"")</f>
        <v>42.159999999999989</v>
      </c>
      <c r="AS9" s="76">
        <f>IF(SUM(AO9,AR9)&gt;0,SUM(AO9,AR9),"")</f>
        <v>83.759999999999991</v>
      </c>
      <c r="AT9" s="26">
        <v>17.2</v>
      </c>
      <c r="AU9" s="26">
        <v>4.3</v>
      </c>
      <c r="AV9" s="26">
        <v>0</v>
      </c>
      <c r="AW9" s="26">
        <v>0.3</v>
      </c>
      <c r="AX9" s="26">
        <v>16.899999999999999</v>
      </c>
      <c r="AY9" s="26">
        <v>4.0999999999999996</v>
      </c>
      <c r="AZ9" s="26">
        <v>0</v>
      </c>
      <c r="BA9" s="26">
        <v>0.3</v>
      </c>
      <c r="BB9" s="26"/>
      <c r="BC9" s="26"/>
      <c r="BD9" s="26"/>
      <c r="BE9" s="26"/>
      <c r="BF9" s="26">
        <v>16.3</v>
      </c>
      <c r="BG9" s="26">
        <v>4.0999999999999996</v>
      </c>
      <c r="BH9" s="26">
        <v>0</v>
      </c>
      <c r="BI9" s="26">
        <v>0.3</v>
      </c>
      <c r="BJ9" s="26">
        <v>17.100000000000001</v>
      </c>
      <c r="BK9" s="26">
        <v>4.3</v>
      </c>
      <c r="BL9" s="26">
        <v>0</v>
      </c>
      <c r="BM9" s="26">
        <v>0.3</v>
      </c>
      <c r="BN9" s="52"/>
      <c r="BO9" s="16">
        <f>IF(SUM(AU9,AY9)&gt;0,SUM(AU9,AY9),"")</f>
        <v>8.3999999999999986</v>
      </c>
      <c r="BP9" s="16">
        <f>IF(SUM(AT9:AU9,AW9:AY9,BA9)-AV9-AZ9&gt;0,SUM(AT9:AU9,AW9:AY9,BA9)-AV9-AZ9,"")</f>
        <v>43.1</v>
      </c>
      <c r="BQ9" s="16" t="str">
        <f>IF(SUM(BB9:BC9,BE9)-BD9&gt;0,SUM(BB9:BC9,BE9)-BD9,"")</f>
        <v/>
      </c>
      <c r="BR9" s="16">
        <f>IF(SUM(BG9,BK9)&gt;0,SUM(BG9,BK9),"")</f>
        <v>8.3999999999999986</v>
      </c>
      <c r="BS9" s="16">
        <f>IF(SUM(BF9:BG9,BI9:BK9,BM9)-SUM(BH9,BL9)&gt;0,SUM(BF9:BG9,BI9:BK9,BM9)-SUM(BH9,BL9),"")</f>
        <v>42.399999999999991</v>
      </c>
      <c r="BT9" s="16">
        <f>IF(SUM(BP9,BS9)&gt;0,SUM(BP9,BS9),"")</f>
        <v>85.5</v>
      </c>
      <c r="BU9" s="27">
        <v>16.850000000000001</v>
      </c>
      <c r="BV9" s="27">
        <v>4.1999999999999993</v>
      </c>
      <c r="BW9" s="27">
        <v>0</v>
      </c>
      <c r="BX9" s="27">
        <v>0.3</v>
      </c>
      <c r="BY9" s="27">
        <v>16.7</v>
      </c>
      <c r="BZ9" s="27">
        <v>4</v>
      </c>
      <c r="CA9" s="27">
        <v>0</v>
      </c>
      <c r="CB9" s="27">
        <v>0.3</v>
      </c>
      <c r="CC9" s="27">
        <v>0</v>
      </c>
      <c r="CD9" s="27">
        <v>0</v>
      </c>
      <c r="CE9" s="27">
        <v>0</v>
      </c>
      <c r="CF9" s="27">
        <v>0</v>
      </c>
      <c r="CG9" s="27">
        <v>16.5</v>
      </c>
      <c r="CH9" s="27">
        <v>4.0999999999999996</v>
      </c>
      <c r="CI9" s="27">
        <v>0</v>
      </c>
      <c r="CJ9" s="27">
        <v>0.3</v>
      </c>
      <c r="CK9" s="27">
        <v>16.98</v>
      </c>
      <c r="CL9" s="27">
        <v>4.0999999999999996</v>
      </c>
      <c r="CM9" s="27">
        <v>0</v>
      </c>
      <c r="CN9" s="27">
        <v>0.3</v>
      </c>
      <c r="CO9" s="51" t="s">
        <v>58</v>
      </c>
      <c r="CP9" s="76">
        <f>IF(SUM(BV9,BZ9)&gt;0,SUM(BV9,BZ9),"")</f>
        <v>8.1999999999999993</v>
      </c>
      <c r="CQ9" s="76">
        <f>IF(SUM(BU9:BV9,BX9:BZ9,CB9)-BW9-CA9&gt;0,SUM(BU9:BV9,BX9:BZ9,CB9)-BW9-CA9,"")</f>
        <v>42.349999999999994</v>
      </c>
      <c r="CR9" s="76" t="str">
        <f>IF(SUM(CC9:CD9,CF9)-CE9&gt;0,SUM(CC9:CD9,CF9)-CE9,"")</f>
        <v/>
      </c>
      <c r="CS9" s="76">
        <f>IF(SUM(CH9,CL9)&gt;0,SUM(CH9,CL9),"")</f>
        <v>8.1999999999999993</v>
      </c>
      <c r="CT9" s="76">
        <f>IF(SUM(CG9:CH9,CJ9:CL9,CN9)-SUM(CI9,CM9)&gt;0,SUM(CG9:CH9,CJ9:CL9,CN9)-SUM(CI9,CM9),"")</f>
        <v>42.28</v>
      </c>
      <c r="CU9" s="76">
        <f>IF(SUM(CQ9,CT9)&gt;0,SUM(CQ9,CT9),"")</f>
        <v>84.63</v>
      </c>
      <c r="CV9" s="87" t="str">
        <f>IF(L9&gt;=0.001,IF(MAX(DS9,ES9,FS9,GS9,HS9,IS9,JS9,KS9,LS9,MS9,NS9,OS9)-IF(L9="",0,L9)&gt;0.001,MAX(DS9,ES9,FS9,GS9,HS9,IS9,JS9,KS9,LS9,MS9,NS9,OS9)-IF(L9="",0,L9),""),"")</f>
        <v/>
      </c>
      <c r="CW9" s="87">
        <f>IF(N9&gt;=0.001,IF(MAX(DV9,EV9,FV9,GV9,HV9,IV9,JV9,KV9,LV9,MV9,NV9,OV9)-IF(N9="",0,N9)&gt;0.001,MAX(DV9,EV9,FV9,GV9,HV9,IV9,JV9,KV9,LV9,MV9,NV9,OV9)-IF(N9="",0,N9),""),"")</f>
        <v>1.4000000000000057</v>
      </c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76" t="str">
        <f>IF(SUM(CY9,DC9)&gt;0,SUM(CY9,DC9),"")</f>
        <v/>
      </c>
      <c r="DS9" s="76" t="str">
        <f>IF(SUM(CX9:CY9,DA9:DC9,DE9)-CZ9-DD9&gt;0,SUM(CX9:CY9,DA9:DC9,DE9)-CZ9-DD9,"")</f>
        <v/>
      </c>
      <c r="DT9" s="76" t="str">
        <f>IF(SUM(DF9:DG9,DI9)-DH9&gt;0,SUM(DF9:DG9,DI9)-DH9,"")</f>
        <v/>
      </c>
      <c r="DU9" s="76" t="str">
        <f>IF(SUM(DK9,DO9)&gt;0,SUM(DK9,DO9),"")</f>
        <v/>
      </c>
      <c r="DV9" s="76" t="str">
        <f>IF(SUM(DJ9:DK9,DM9:DO9,DQ9)-SUM(DL9,DP9)&gt;0,SUM(DJ9:DK9,DM9:DO9,DQ9)-SUM(DL9,DP9),"")</f>
        <v/>
      </c>
      <c r="DW9" s="76" t="str">
        <f>IF(SUM(DS9,DV9)&gt;0,SUM(DS9,DV9),"")</f>
        <v/>
      </c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16" t="str">
        <f>IF(SUM(DY9,EC9)&gt;0,SUM(DY9,EC9),"")</f>
        <v/>
      </c>
      <c r="ES9" s="16" t="str">
        <f>IF(SUM(DX9:DY9,EA9:EC9,EE9)-DZ9-ED9&gt;0,SUM(DX9:DY9,EA9:EC9,EE9)-DZ9-ED9,"")</f>
        <v/>
      </c>
      <c r="ET9" s="16" t="str">
        <f>IF(SUM(EF9:EG9,EI9)-EH9&gt;0,SUM(EF9:EG9,EI9)-EH9,"")</f>
        <v/>
      </c>
      <c r="EU9" s="16" t="str">
        <f>IF(SUM(EK9,EO9)&gt;0,SUM(EK9,EO9),"")</f>
        <v/>
      </c>
      <c r="EV9" s="16" t="str">
        <f>IF(SUM(EJ9:EK9,EM9:EO9,EQ9)-SUM(EL9,EP9)&gt;0,SUM(EJ9:EK9,EM9:EO9,EQ9)-SUM(EL9,EP9),"")</f>
        <v/>
      </c>
      <c r="EW9" s="16" t="str">
        <f>IF(SUM(ES9,EV9)&gt;0,SUM(ES9,EV9),"")</f>
        <v/>
      </c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76" t="str">
        <f>IF(SUM(EY9,FC9)&gt;0,SUM(EY9,FC9),"")</f>
        <v/>
      </c>
      <c r="FS9" s="76" t="str">
        <f>IF(SUM(EX9:EY9,FA9:FC9,FE9)-EZ9-FD9&gt;0,SUM(EX9:EY9,FA9:FC9,FE9)-EZ9-FD9,"")</f>
        <v/>
      </c>
      <c r="FT9" s="76" t="str">
        <f>IF(SUM(FF9:FG9,FI9)-FH9&gt;0,SUM(FF9:FG9,FI9)-FH9,"")</f>
        <v/>
      </c>
      <c r="FU9" s="76" t="str">
        <f>IF(SUM(FK9,FO9)&gt;0,SUM(FK9,FO9),"")</f>
        <v/>
      </c>
      <c r="FV9" s="76" t="str">
        <f>IF(SUM(FJ9:FK9,FM9:FO9,FQ9)-SUM(FL9,FP9)&gt;0,SUM(FJ9:FK9,FM9:FO9,FQ9)-SUM(FL9,FP9),"")</f>
        <v/>
      </c>
      <c r="FW9" s="76" t="str">
        <f>IF(SUM(FS9,FV9)&gt;0,SUM(FS9,FV9),"")</f>
        <v/>
      </c>
      <c r="FX9" s="26">
        <v>16.899999999999999</v>
      </c>
      <c r="FY9" s="26">
        <v>4.2</v>
      </c>
      <c r="FZ9" s="26">
        <v>0.2</v>
      </c>
      <c r="GA9" s="26">
        <v>0</v>
      </c>
      <c r="GB9" s="26">
        <v>16.2</v>
      </c>
      <c r="GC9" s="26">
        <v>3.9</v>
      </c>
      <c r="GD9" s="26">
        <v>0</v>
      </c>
      <c r="GE9" s="26">
        <v>0</v>
      </c>
      <c r="GF9" s="26"/>
      <c r="GG9" s="26"/>
      <c r="GH9" s="26"/>
      <c r="GI9" s="26"/>
      <c r="GJ9" s="26">
        <v>17.8</v>
      </c>
      <c r="GK9" s="26">
        <v>4.0999999999999996</v>
      </c>
      <c r="GL9" s="26">
        <v>0</v>
      </c>
      <c r="GM9" s="26">
        <v>0</v>
      </c>
      <c r="GN9" s="26">
        <v>18</v>
      </c>
      <c r="GO9" s="26">
        <v>3.9</v>
      </c>
      <c r="GP9" s="26">
        <v>0</v>
      </c>
      <c r="GQ9" s="26">
        <v>0</v>
      </c>
      <c r="GR9" s="16">
        <f>IF(SUM(FY9,GC9)&gt;0,SUM(FY9,GC9),"")</f>
        <v>8.1</v>
      </c>
      <c r="GS9" s="16">
        <f>IF(SUM(FX9:FY9,GA9:GC9,GE9)-FZ9-GD9&gt;0,SUM(FX9:FY9,GA9:GC9,GE9)-FZ9-GD9,"")</f>
        <v>40.999999999999993</v>
      </c>
      <c r="GT9" s="16" t="str">
        <f>IF(SUM(GF9:GG9,GI9)-GH9&gt;0,SUM(GF9:GG9,GI9)-GH9,"")</f>
        <v/>
      </c>
      <c r="GU9" s="16">
        <f>IF(SUM(GK9,GO9)&gt;0,SUM(GK9,GO9),"")</f>
        <v>8</v>
      </c>
      <c r="GV9" s="16">
        <f>IF(SUM(GJ9:GK9,GM9:GO9,GQ9)-SUM(GL9,GP9)&gt;0,SUM(GJ9:GK9,GM9:GO9,GQ9)-SUM(GL9,GP9),"")</f>
        <v>43.8</v>
      </c>
      <c r="GW9" s="16">
        <f>IF(SUM(GS9,GV9)&gt;0,SUM(GS9,GV9),"")</f>
        <v>84.799999999999983</v>
      </c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76" t="str">
        <f>IF(SUM(GY9,HC9)&gt;0,SUM(GY9,HC9),"")</f>
        <v/>
      </c>
      <c r="HS9" s="76" t="str">
        <f>IF(SUM(GX9:GY9,HA9:HC9,HE9)-GZ9-HD9&gt;0,SUM(GX9:GY9,HA9:HC9,HE9)-GZ9-HD9,"")</f>
        <v/>
      </c>
      <c r="HT9" s="76" t="str">
        <f>IF(SUM(HF9:HG9,HI9)-HH9&gt;0,SUM(HF9:HG9,HI9)-HH9,"")</f>
        <v/>
      </c>
      <c r="HU9" s="76" t="str">
        <f>IF(SUM(HK9,HO9)&gt;0,SUM(HK9,HO9),"")</f>
        <v/>
      </c>
      <c r="HV9" s="76" t="str">
        <f>IF(SUM(HJ9:HK9,HM9:HO9,HQ9)-SUM(HL9,HP9)&gt;0,SUM(HJ9:HK9,HM9:HO9,HQ9)-SUM(HL9,HP9),"")</f>
        <v/>
      </c>
      <c r="HW9" s="76" t="str">
        <f>IF(SUM(HS9,HV9)&gt;0,SUM(HS9,HV9),"")</f>
        <v/>
      </c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16" t="str">
        <f>IF(SUM(HY9,IC9)&gt;0,SUM(HY9,IC9),"")</f>
        <v/>
      </c>
      <c r="IS9" s="16" t="str">
        <f>IF(SUM(HX9:HY9,IA9:IC9,IE9)-HZ9-ID9&gt;0,SUM(HX9:HY9,IA9:IC9,IE9)-HZ9-ID9,"")</f>
        <v/>
      </c>
      <c r="IT9" s="16" t="str">
        <f>IF(SUM(IF9:IG9,II9)-IH9&gt;0,SUM(IF9:IG9,II9)-IH9,"")</f>
        <v/>
      </c>
      <c r="IU9" s="16" t="str">
        <f>IF(SUM(IK9,IO9)&gt;0,SUM(IK9,IO9),"")</f>
        <v/>
      </c>
      <c r="IV9" s="16" t="str">
        <f>IF(SUM(IJ9:IK9,IM9:IO9,IQ9)-SUM(IL9,IP9)&gt;0,SUM(IJ9:IK9,IM9:IO9,IQ9)-SUM(IL9,IP9),"")</f>
        <v/>
      </c>
      <c r="IW9" s="16" t="str">
        <f>IF(SUM(IS9,IV9)&gt;0,SUM(IS9,IV9),"")</f>
        <v/>
      </c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76" t="str">
        <f>IF(SUM(IY9,JC9)&gt;0,SUM(IY9,JC9),"")</f>
        <v/>
      </c>
      <c r="JS9" s="76" t="str">
        <f>IF(SUM(IX9:IY9,JA9:JC9,JE9)-IZ9-JD9&gt;0,SUM(IX9:IY9,JA9:JC9,JE9)-IZ9-JD9,"")</f>
        <v/>
      </c>
      <c r="JT9" s="76" t="str">
        <f>IF(SUM(JF9:JG9,JI9)-JH9&gt;0,SUM(JF9:JG9,JI9)-JH9,"")</f>
        <v/>
      </c>
      <c r="JU9" s="76" t="str">
        <f>IF(SUM(JK9,JO9)&gt;0,SUM(JK9,JO9),"")</f>
        <v/>
      </c>
      <c r="JV9" s="76" t="str">
        <f>IF(SUM(JJ9:JK9,JM9:JO9,JQ9)-SUM(JL9,JP9)&gt;0,SUM(JJ9:JK9,JM9:JO9,JQ9)-SUM(JL9,JP9),"")</f>
        <v/>
      </c>
      <c r="JW9" s="76" t="str">
        <f>IF(SUM(JS9,JV9)&gt;0,SUM(JS9,JV9),"")</f>
        <v/>
      </c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16" t="str">
        <f>IF(SUM(JY9,KC9)&gt;0,SUM(JY9,KC9),"")</f>
        <v/>
      </c>
      <c r="KS9" s="16" t="str">
        <f>IF(SUM(JX9:JY9,KA9:KC9,KE9)-JZ9-KD9&gt;0,SUM(JX9:JY9,KA9:KC9,KE9)-JZ9-KD9,"")</f>
        <v/>
      </c>
      <c r="KT9" s="16" t="str">
        <f>IF(SUM(KF9:KG9,KI9)-KH9&gt;0,SUM(KF9:KG9,KI9)-KH9,"")</f>
        <v/>
      </c>
      <c r="KU9" s="16" t="str">
        <f>IF(SUM(KK9,KO9)&gt;0,SUM(KK9,KO9),"")</f>
        <v/>
      </c>
      <c r="KV9" s="16" t="str">
        <f>IF(SUM(KJ9:KK9,KM9:KO9,KQ9)-SUM(KL9,KP9)&gt;0,SUM(KJ9:KK9,KM9:KO9,KQ9)-SUM(KL9,KP9),"")</f>
        <v/>
      </c>
      <c r="KW9" s="16" t="str">
        <f>IF(SUM(KS9,KV9)&gt;0,SUM(KS9,KV9),"")</f>
        <v/>
      </c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76" t="str">
        <f>IF(SUM(KY9,LC9)&gt;0,SUM(KY9,LC9),"")</f>
        <v/>
      </c>
      <c r="LS9" s="76" t="str">
        <f>IF(SUM(KX9:KY9,LA9:LC9,LE9)-KZ9-LD9&gt;0,SUM(KX9:KY9,LA9:LC9,LE9)-KZ9-LD9,"")</f>
        <v/>
      </c>
      <c r="LT9" s="76" t="str">
        <f>IF(SUM(LF9:LG9,LI9)-LH9&gt;0,SUM(LF9:LG9,LI9)-LH9,"")</f>
        <v/>
      </c>
      <c r="LU9" s="76" t="str">
        <f>IF(SUM(LK9,LO9)&gt;0,SUM(LK9,LO9),"")</f>
        <v/>
      </c>
      <c r="LV9" s="76" t="str">
        <f>IF(SUM(LJ9:LK9,LM9:LO9,LQ9)-SUM(LL9,LP9)&gt;0,SUM(LJ9:LK9,LM9:LO9,LQ9)-SUM(LL9,LP9),"")</f>
        <v/>
      </c>
      <c r="LW9" s="76" t="str">
        <f>IF(SUM(LS9,LV9)&gt;0,SUM(LS9,LV9),"")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IF(SUM(LY9,MC9)&gt;0,SUM(LY9,MC9),"")</f>
        <v/>
      </c>
      <c r="MS9" s="16" t="str">
        <f>IF(SUM(LX9:LY9,MA9:MC9,ME9)-LZ9-MD9&gt;0,SUM(LX9:LY9,MA9:MC9,ME9)-LZ9-MD9,"")</f>
        <v/>
      </c>
      <c r="MT9" s="16" t="str">
        <f>IF(SUM(MF9:MG9,MI9)-MH9&gt;0,SUM(MF9:MG9,MI9)-MH9,"")</f>
        <v/>
      </c>
      <c r="MU9" s="16" t="str">
        <f>IF(SUM(MK9,MO9)&gt;0,SUM(MK9,MO9),"")</f>
        <v/>
      </c>
      <c r="MV9" s="16" t="str">
        <f>IF(SUM(MJ9:MK9,MM9:MO9,MQ9)-SUM(ML9,MP9)&gt;0,SUM(MJ9:MK9,MM9:MO9,MQ9)-SUM(ML9,MP9),"")</f>
        <v/>
      </c>
      <c r="MW9" s="16" t="str">
        <f>IF(SUM(MS9,MV9)&gt;0,SUM(MS9,MV9),"")</f>
        <v/>
      </c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76" t="str">
        <f>IF(SUM(MY9,NC9)&gt;0,SUM(MY9,NC9),"")</f>
        <v/>
      </c>
      <c r="NS9" s="76" t="str">
        <f>IF(SUM(MX9:MY9,NA9:NC9,NE9)-MZ9-ND9&gt;0,SUM(MX9:MY9,NA9:NC9,NE9)-MZ9-ND9,"")</f>
        <v/>
      </c>
      <c r="NT9" s="76" t="str">
        <f>IF(SUM(NF9:NG9,NI9)-NH9&gt;0,SUM(NF9:NG9,NI9)-NH9,"")</f>
        <v/>
      </c>
      <c r="NU9" s="76" t="str">
        <f>IF(SUM(NK9,NO9)&gt;0,SUM(NK9,NO9),"")</f>
        <v/>
      </c>
      <c r="NV9" s="76" t="str">
        <f>IF(SUM(NJ9:NK9,NM9:NO9,NQ9)-SUM(NL9,NP9)&gt;0,SUM(NJ9:NK9,NM9:NO9,NQ9)-SUM(NL9,NP9),"")</f>
        <v/>
      </c>
      <c r="NW9" s="76" t="str">
        <f>IF(SUM(NS9,NV9)&gt;0,SUM(NS9,NV9),"")</f>
        <v/>
      </c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16" t="str">
        <f>IF(SUM(NY9,OC9)&gt;0,SUM(NY9,OC9),"")</f>
        <v/>
      </c>
      <c r="OS9" s="16" t="str">
        <f>IF(SUM(NX9:NY9,OA9:OC9,OE9)-NZ9-OD9&gt;0,SUM(NX9:NY9,OA9:OC9,OE9)-NZ9-OD9,"")</f>
        <v/>
      </c>
      <c r="OT9" s="16" t="str">
        <f>IF(SUM(OF9:OG9,OI9)-OH9&gt;0,SUM(OF9:OG9,OI9)-OH9,"")</f>
        <v/>
      </c>
      <c r="OU9" s="16" t="str">
        <f>IF(SUM(OK9,OO9)&gt;0,SUM(OK9,OO9),"")</f>
        <v/>
      </c>
      <c r="OV9" s="16" t="str">
        <f>IF(SUM(OJ9:OK9,OM9:OO9,OQ9)-SUM(OL9,OP9)&gt;0,SUM(OJ9:OK9,OM9:OO9,OQ9)-SUM(OL9,OP9),"")</f>
        <v/>
      </c>
      <c r="OW9" s="16" t="str">
        <f>IF(SUM(OS9,OV9)&gt;0,SUM(OS9,OV9),"")</f>
        <v/>
      </c>
      <c r="OX9" s="42">
        <f>IF($CO9="P",BU9,(BU9+AT9)/2)</f>
        <v>16.850000000000001</v>
      </c>
      <c r="OY9" s="42">
        <f>IF($CO9="P",BV9,(BV9+AU9)/2)</f>
        <v>4.1999999999999993</v>
      </c>
      <c r="OZ9" s="42">
        <f>IF($CO9="P",BW9,(BW9+AV9)/2)</f>
        <v>0</v>
      </c>
      <c r="PA9" s="42">
        <f>IF($CO9="P",BX9,(BX9+AW9)/2)</f>
        <v>0.3</v>
      </c>
      <c r="PB9" s="42">
        <f>IF($CO9="P",BY9,(BY9+AX9)/2)</f>
        <v>16.7</v>
      </c>
      <c r="PC9" s="42">
        <f>IF($CO9="P",BZ9,(BZ9+AY9)/2)</f>
        <v>4</v>
      </c>
      <c r="PD9" s="42">
        <f>IF($CO9="P",CA9,(CA9+AZ9)/2)</f>
        <v>0</v>
      </c>
      <c r="PE9" s="42">
        <f>IF($CO9="P",CB9,(CB9+BA9)/2)</f>
        <v>0.3</v>
      </c>
      <c r="PF9" s="42">
        <f>IF($CO9="P",CC9,(CC9+BB9)/2)</f>
        <v>0</v>
      </c>
      <c r="PG9" s="42">
        <f>IF($CO9="P",CD9,(CD9+BC9)/2)</f>
        <v>0</v>
      </c>
      <c r="PH9" s="42">
        <f>IF($CO9="P",CE9,(CE9+BD9)/2)</f>
        <v>0</v>
      </c>
      <c r="PI9" s="42">
        <f>IF($CO9="P",CF9,(CF9+BE9)/2)</f>
        <v>0</v>
      </c>
      <c r="PJ9" s="42">
        <f>IF($CO9="P",CG9,(CG9+BF9)/2)</f>
        <v>16.5</v>
      </c>
      <c r="PK9" s="42">
        <f>IF($CO9="P",CH9,(CH9+BG9)/2)</f>
        <v>4.0999999999999996</v>
      </c>
      <c r="PL9" s="42">
        <f>IF($CO9="P",CI9,(CI9+BH9)/2)</f>
        <v>0</v>
      </c>
      <c r="PM9" s="42">
        <f>IF($CO9="P",CJ9,(CJ9+BI9)/2)</f>
        <v>0.3</v>
      </c>
      <c r="PN9" s="42">
        <f>IF($CO9="P",CK9,(CK9+BJ9)/2)</f>
        <v>16.98</v>
      </c>
      <c r="PO9" s="42">
        <f>IF($CO9="P",CL9,(CL9+BK9)/2)</f>
        <v>4.0999999999999996</v>
      </c>
      <c r="PP9" s="42">
        <f>IF($CO9="P",CM9,(CM9+BL9)/2)</f>
        <v>0</v>
      </c>
      <c r="PQ9" s="42">
        <f>IF($CO9="P",CN9,(CN9+BM9)/2)</f>
        <v>0.3</v>
      </c>
      <c r="PR9" s="51" t="s">
        <v>58</v>
      </c>
      <c r="PS9" s="76">
        <f>IF(SUM(OY9,PC9)&gt;0,SUM(OY9,PC9),"")</f>
        <v>8.1999999999999993</v>
      </c>
      <c r="PT9" s="76">
        <f>IF(SUM(OX9:OY9,PA9:PC9,PE9)-OZ9-PD9&gt;0,SUM(OX9:OY9,PA9:PC9,PE9)-OZ9-PD9,"")</f>
        <v>42.349999999999994</v>
      </c>
      <c r="PU9" s="76" t="str">
        <f>IF(SUM(PF9:PG9,PI9)-PH9&gt;0,SUM(PF9:PG9,PI9)-PH9,"")</f>
        <v/>
      </c>
      <c r="PV9" s="76">
        <f>IF(SUM(PK9,PO9)&gt;0,SUM(PK9,PO9),"")</f>
        <v>8.1999999999999993</v>
      </c>
      <c r="PW9" s="76">
        <f>IF(SUM(PJ9:PK9,PM9:PO9,PQ9)-SUM(PL9,PP9)&gt;0,SUM(PJ9:PK9,PM9:PO9,PQ9)-SUM(PL9,PP9),"")</f>
        <v>42.28</v>
      </c>
      <c r="PX9" s="76">
        <f>IF(SUM(PT9,PW9)&gt;0,SUM(PT9,PW9),"")</f>
        <v>84.63</v>
      </c>
    </row>
    <row r="10" spans="1:440" x14ac:dyDescent="0.2">
      <c r="A10" s="5" t="str">
        <f>IF(AND(F10="P",G10="P"),SUMPRODUCT((F$4:F$12="P")*(G$4:G$12="P")*(E$4:E$12&gt;E10))+1,IF(G10="P",SUMPRODUCT((F$4:F$12="")*(G$4:G$12="P")*(E$4:E$12&gt;E10))+1+SUMPRODUCT((F$4:F$12="P")*(G$4:G$12="P")),""))</f>
        <v/>
      </c>
      <c r="B10" s="6" t="s">
        <v>202</v>
      </c>
      <c r="C10" s="7" t="s">
        <v>3</v>
      </c>
      <c r="D10" s="18">
        <v>2004</v>
      </c>
      <c r="E10" s="14">
        <f>SUM(J10:P10)+SUM(J10:N10)*0.0000001+SUM(J10)*0.0000000000001</f>
        <v>111.00001110000389</v>
      </c>
      <c r="F10" s="3" t="str">
        <f>IF(OR(AND(AN10&gt;=AS$14,AO10&gt;=AS$18,AN10&lt;&gt;"",AM10=""),AND(AQ10&gt;=AS$14,AR10&gt;=AS$18,AQ10&lt;&gt;"",AM10=""),AND(BO10&gt;=BT$14,BP10&gt;=BT$18,BO10&lt;&gt;"",BN10=""),AND(BR10&gt;=BT$14,BS10&gt;=BT$18,BR10&lt;&gt;"",BN10=""),AND(CP10&gt;=CU$14,CQ10&gt;=CU$18,CP10&lt;&gt;"",CO10=""),AND(CS10&gt;=CU$14,CT10&gt;=CU$18,CS10&lt;&gt;""),AND(DR10&gt;=DW$14,DS10&gt;=DW$18,DR10&lt;&gt;""),AND(DU10&gt;=DW$14,DV10&gt;=DW$18,DU10&lt;&gt;""),AND(ER10&gt;=EW$14,ES10&gt;=EW$18,ER10&lt;&gt;""),AND(EU10&gt;=EW$14,EV10&gt;=EW$18,EU10&lt;&gt;""),AND(FR10&gt;=FW$14,FS10&gt;=FW$18,FR10&lt;&gt;""),AND(FU10&gt;=FW$14,FV10&gt;=FW$18,FU10&lt;&gt;""),AND(GR10&gt;=GW$14,GS10&gt;=GW$18,GR10&lt;&gt;""),AND(GU10&gt;=GW$14,GV10&gt;=GW$18,GU10&lt;&gt;""),AND(HR10&gt;=HW$14,HS10&gt;=HW$18,HR10&lt;&gt;""),AND(HU10&gt;=HW$14,HV10&gt;=HW$18,HU10&lt;&gt;""),AND(IR10&gt;=IW$14,IS10&gt;=IW$18,IR10&lt;&gt;""),AND(IU10&gt;=IW$14,IV10&gt;=IW$18,IU10&lt;&gt;""),AND(JR10&gt;=JW$14,JS10&gt;=JW$18,JR10&lt;&gt;""),AND(JU10&gt;=JW$14,JV10&gt;=JW$18,JU10&lt;&gt;""),AND(KR10&gt;=KW$14,KS10&gt;=KW$18,KR10&lt;&gt;""),AND(KU10&gt;=KW$14,KV10&gt;=KW$18,KU10&lt;&gt;""),AND(LR10&gt;=LW$14,LS10&gt;=LW$18,LR10&lt;&gt;""),AND(LU10&gt;=LW$14,LV10&gt;=LW$18,LU10&lt;&gt;""),AND(MR10&gt;=MW$14,MS10&gt;=MW$18,MR10&lt;&gt;""),AND(MU10&gt;=MW$14,MV10&gt;=MW$18,MU10&lt;&gt;""),AND(NR10&gt;=NW$14,NS10&gt;=NW$18,NR10&lt;&gt;""),AND(NU10&gt;=NW$14,NV10&gt;=NW$18,NU10&lt;&gt;""),AND(OR10&gt;=OW$14,OS10&gt;=OW$18,OR10&lt;&gt;""),AND(OU10&gt;=OW$14,OV10&gt;=OW$18,OU10&lt;&gt;"")),"P","")</f>
        <v/>
      </c>
      <c r="G10" s="3" t="str">
        <f>IF(OR(AND(AO10&gt;=AS$18,AO10&lt;&gt;"",AM10=""),AND(AR10&gt;=AS$18,AR10&lt;&gt;"",AM10=""),AND(BP10&gt;=BT$18,BP10&lt;&gt;"",BN10=""),AND(BS10&gt;=BT$18,BS10&lt;&gt;"",BN10=""),AND(CQ10&gt;=CU$18,CQ10&lt;&gt;"",CO10=""),AND(CT10&gt;=CU$18,CT10&lt;&gt;"",CO10=""),AND(DS10&gt;=DW$18,DS10&lt;&gt;""),AND(DV10&gt;=DW$18,DV10&lt;&gt;""),AND(ES10&gt;=EW$18,ES10&lt;&gt;""),AND(EV10&gt;=EW$18,EV10&lt;&gt;""),AND(FS10&gt;=FW$18,FS10&lt;&gt;""),AND(FV10&gt;=FW$18,FV10&lt;&gt;""),AND(GS10&gt;=GW$18,GS10&lt;&gt;""),AND(GV10&gt;=GW$18,GV10&lt;&gt;""),AND(HS10&gt;=HW$18,HS10&lt;&gt;""),AND(HV10&gt;=HW$18,HV10&lt;&gt;""),AND(IS10&gt;=IW$18,IS10&lt;&gt;""),AND(IV10&gt;=IW$18,IV10&lt;&gt;""),AND(JS10&gt;=JW$18,JS10&lt;&gt;""),AND(JV10&gt;=JW$18,JV10&lt;&gt;""),AND(KS10&gt;=KW$18,KS10&lt;&gt;""),AND(KV10&gt;=KW$18,KV10&lt;&gt;""),AND(LS10&gt;=LW$18,LS10&lt;&gt;""),AND(LV10&gt;=LW$18,LV10&lt;&gt;""),AND(MS10&gt;=MW$18,MS10&lt;&gt;""),AND(MV10&gt;=MW$18,MV10&lt;&gt;""),AND(NS10&gt;=NW$18,NS10&lt;&gt;""),AND(NV10&gt;=NW$18,NV10&lt;&gt;""),AND(OS10&gt;=OW$18,OS10&lt;&gt;""),AND(OV10&gt;=OW$18,OV10&lt;&gt;"")),"P","")</f>
        <v/>
      </c>
      <c r="H10" s="70" t="str">
        <f>IF(AND(G10="P",F10=""),"No DD",IF(OR(AND(AN10&gt;=AS$17,AO10&gt;=AS$21,AN10&lt;&gt;"",AM10=""),AND(AQ10&gt;=AS$17,AR10&gt;=AS$21,AQ10&lt;&gt;"",AM10=""),AND(BO10&gt;=BT$17,BP10&gt;=BT$21,BO10&lt;&gt;"",BN10=""),AND(BR10&gt;=BT$17,BS10&gt;=BT$21,BR10&lt;&gt;"",BN10=""),AND(CP10&gt;=CU$17,CQ10&gt;=CU$21,CP10&lt;&gt;"",CO10=""),AND(CS10&gt;=CU$17,CT10&gt;=CU$21,CS10&lt;&gt;""),AND(DR10&gt;=DW$17,DS10&gt;=DW$21,DR10&lt;&gt;""),AND(DU10&gt;=DW$17,DV10&gt;=DW$21,DU10&lt;&gt;""),AND(ER10&gt;=EW$17,ES10&gt;=EW$21,ER10&lt;&gt;""),AND(EU10&gt;=EW$17,EV10&gt;=EW$21,EU10&lt;&gt;""),AND(FR10&gt;=FW$17,FS10&gt;=FW$21,FR10&lt;&gt;""),AND(FU10&gt;=FW$17,FV10&gt;=FW$21,FU10&lt;&gt;""),AND(GR10&gt;=GW$17,GS10&gt;=GW$21,GR10&lt;&gt;""),AND(GU10&gt;=GW$17,GV10&gt;=GW$21,GU10&lt;&gt;""),AND(HR10&gt;=HW$17,HS10&gt;=HW$21,HR10&lt;&gt;""),AND(HU10&gt;=HW$17,HV10&gt;=HW$21,HU10&lt;&gt;""),AND(IR10&gt;=IW$17,IS10&gt;=IW$21,IR10&lt;&gt;""),AND(IU10&gt;=IW$17,IV10&gt;=IW$21,IU10&lt;&gt;""),AND(JR10&gt;=JW$17,JS10&gt;=JW$21,JR10&lt;&gt;""),AND(JU10&gt;=JW$17,JV10&gt;=JW$21,JU10&lt;&gt;""),AND(KR10&gt;=KW$17,KS10&gt;=KW$21,KR10&lt;&gt;""),AND(KU10&gt;=KW$17,KV10&gt;=KW$21,KU10&lt;&gt;""),AND(LR10&gt;=LW$17,LS10&gt;=LW$21,LR10&lt;&gt;""),AND(LU10&gt;=LW$17,LV10&gt;=LW$21,LU10&lt;&gt;""),AND(MR10&gt;=MW$17,MS10&gt;=MW$21,MR10&lt;&gt;""),AND(MU10&gt;=MW$17,MV10&gt;=MW$21,MU10&lt;&gt;""),AND(NR10&gt;=NW$17,NS10&gt;=NW$21,NR10&lt;&gt;""),AND(NU10&gt;=NW$17,NV10&gt;=NW$21,NU10&lt;&gt;""),AND(OR10&gt;=OW$17,OS10&gt;=OW$21,OR10&lt;&gt;""),AND(OU10&gt;=OW$17,OV10&gt;=OW$21,OU10&lt;&gt;"")),"Merit",IF(OR(AND(AN10&gt;=AS$16,AO10&gt;=AS$20,AN10&lt;&gt;"",AM10=""),AND(AQ10&gt;=AS$16,AR10&gt;=AS$20,AQ10&lt;&gt;"",AM10=""),AND(BO10&gt;=BT$16,BP10&gt;=BT$20,BO10&lt;&gt;"",BN10=""),AND(BR10&gt;=BT$16,BS10&gt;=BT$20,BR10&lt;&gt;"",BN10=""),AND(CP10&gt;=CU$16,CQ10&gt;=CU$20,CP10&lt;&gt;"",CO10=""),AND(CS10&gt;=CU$16,CT10&gt;=CU$20,CS10&lt;&gt;""),AND(DR10&gt;=DW$16,DS10&gt;=DW$20,DR10&lt;&gt;""),AND(DU10&gt;=DW$16,DV10&gt;=DW$20,DU10&lt;&gt;""),AND(ER10&gt;=EW$16,ES10&gt;=EW$20,ER10&lt;&gt;""),AND(EU10&gt;=EW$16,EV10&gt;=EW$20,EU10&lt;&gt;""),AND(FR10&gt;=FW$16,FS10&gt;=FW$20,FR10&lt;&gt;""),AND(FU10&gt;=FW$16,FV10&gt;=FW$20,FU10&lt;&gt;""),AND(GR10&gt;=GW$16,GS10&gt;=GW$20,GR10&lt;&gt;""),AND(GU10&gt;=GW$16,GV10&gt;=GW$20,GU10&lt;&gt;""),AND(HR10&gt;=HW$16,HS10&gt;=HW$20,HR10&lt;&gt;""),AND(HU10&gt;=HW$16,HV10&gt;=HW$20,HU10&lt;&gt;""),AND(IR10&gt;=IW$16,IS10&gt;=IW$20,IR10&lt;&gt;""),AND(IU10&gt;=IW$16,IV10&gt;=IW$20,IU10&lt;&gt;""),AND(JR10&gt;=JW$16,JS10&gt;=JW$20,JR10&lt;&gt;""),AND(JU10&gt;=JW$16,JV10&gt;=JW$20,JU10&lt;&gt;""),AND(KR10&gt;=KW$16,KS10&gt;=KW$20,KR10&lt;&gt;""),AND(KU10&gt;=KW$16,KV10&gt;=KW$20,KU10&lt;&gt;""),AND(LR10&gt;=LW$16,LS10&gt;=LW$20,LR10&lt;&gt;""),AND(LU10&gt;=LW$16,LV10&gt;=LW$20,LU10&lt;&gt;""),AND(MR10&gt;=MW$16,MS10&gt;=MW$20,MR10&lt;&gt;""),AND(MU10&gt;=MW$16,MV10&gt;=MW$20,MU10&lt;&gt;""),AND(NR10&gt;=NW$16,NS10&gt;=NW$20,NR10&lt;&gt;""),AND(NU10&gt;=NW$16,NV10&gt;=NW$20,NU10&lt;&gt;""),AND(OR10&gt;=OW$16,OS10&gt;=OW$20,OR10&lt;&gt;""),AND(OU10&gt;=OW$16,OV10&gt;=OW$20,OU10&lt;&gt;"")),"Excellence",IF(I10="P","Worlds Team",IF(F10="P","National Team","")))))</f>
        <v/>
      </c>
      <c r="I10" s="3" t="str">
        <f>IF(OR(AND(AN10&gt;=AS$15,AO10&gt;=AS$19,AN10&lt;&gt;"",AM10=""),AND(AQ10&gt;=AS$15,AR10&gt;=AS$19,AQ10&lt;&gt;"",AM10=""),AND(BO10&gt;=BT$15,BP10&gt;=BT$19,BO10&lt;&gt;"",BN10=""),AND(BR10&gt;=BT$15,BS10&gt;=BT$19,BR10&lt;&gt;"",BN10=""),AND(CP10&gt;=CU$15,CQ10&gt;=CU$19,CP10&lt;&gt;"",CO10=""),AND(CS10&gt;=CU$15,CT10&gt;=CU$19,CS10&lt;&gt;""),AND(DR10&gt;=DW$15,DS10&gt;=DW$19,DR10&lt;&gt;""),AND(DU10&gt;=DW$15,DV10&gt;=DW$19,DU10&lt;&gt;""),AND(ER10&gt;=EW$15,ES10&gt;=EW$19,ER10&lt;&gt;""),AND(EU10&gt;=EW$15,EV10&gt;=EW$19,EU10&lt;&gt;""),AND(FR10&gt;=FW$15,FS10&gt;=FW$19,FR10&lt;&gt;""),AND(FU10&gt;=FW$15,FV10&gt;=FW$19,FU10&lt;&gt;""),AND(GR10&gt;=GW$15,GS10&gt;=GW$19,GR10&lt;&gt;""),AND(GU10&gt;=GW$15,GV10&gt;=GW$19,GU10&lt;&gt;""),AND(HR10&gt;=HW$15,HS10&gt;=HW$19,HR10&lt;&gt;""),AND(HU10&gt;=HW$15,HV10&gt;=HW$19,HU10&lt;&gt;""),AND(IR10&gt;=IW$15,IS10&gt;=IW$19,IR10&lt;&gt;""),AND(IU10&gt;=IW$15,IV10&gt;=IW$19,IU10&lt;&gt;""),AND(JR10&gt;=JW$15,JS10&gt;=JW$19,JR10&lt;&gt;""),AND(JU10&gt;=JW$15,JV10&gt;=JW$19,JU10&lt;&gt;""),AND(KR10&gt;=KW$15,KS10&gt;=KW$19,KR10&lt;&gt;""),AND(KU10&gt;=KW$15,KV10&gt;=KW$19,KU10&lt;&gt;""),AND(LR10&gt;=LW$15,LS10&gt;=LW$19,LR10&lt;&gt;""),AND(LU10&gt;=LW$15,LV10&gt;=LW$19,LU10&lt;&gt;""),AND(MR10&gt;=MW$15,MS10&gt;=MW$19,MR10&lt;&gt;""),AND(MU10&gt;=MW$15,MV10&gt;=MW$19,MU10&lt;&gt;""),AND(NR10&gt;=NW$15,NS10&gt;=NW$19,NR10&lt;&gt;""),AND(NU10&gt;=NW$15,NV10&gt;=NW$19,NU10&lt;&gt;""),AND(OR10&gt;=OW$15,OS10&gt;=OW$19,OR10&lt;&gt;""),AND(OU10&gt;=OW$15,OV10&gt;=OW$19,OU10&lt;&gt;"")),"P","")</f>
        <v/>
      </c>
      <c r="J10" s="13">
        <f>IF(COUNT(AO10,BP10,CQ10)&gt;0,LARGE((AO10,BP10,CQ10),1),0)</f>
        <v>38.999999999999993</v>
      </c>
      <c r="K10" s="13" t="str">
        <f>IF(J10=0,"",IF(J10=CQ10,$BU$1,IF(J10=BP10,$AT$1,IF(J10=AO10,$S$1,""))))</f>
        <v>2022 Elite Canada</v>
      </c>
      <c r="L10" s="13">
        <f>IF(COUNT(AO10,BP10,CQ10)&gt;1,LARGE((AO10,BP10,CQ10),2),0)</f>
        <v>35.800000000000004</v>
      </c>
      <c r="M10" s="13" t="str">
        <f>IF(L10=0,"",IF(L10=CQ10,$BU$1,IF(L10=BP10,$AT$1,IF(L10=AO10,$S$1,""))))</f>
        <v>2022 Nationals</v>
      </c>
      <c r="N10" s="13">
        <f>IF(MAX(AR10,BS10,CT10)&gt;0,MAX(AR10,BS10,CT10),0)</f>
        <v>36.199999999999996</v>
      </c>
      <c r="O10" s="13" t="str">
        <f>IF(N10=0,"",IF(N10=CT10,$BU$1,IF(N10=BS10,$AT$1,IF(N10=AR10,$S$1,""))))</f>
        <v>2022 Elite Canada</v>
      </c>
      <c r="P10" s="13" t="str">
        <f>IF(MAX(CV10:CW10)&gt;0,MAX(CV10:CW10),"")</f>
        <v/>
      </c>
      <c r="Q10" s="16" t="str">
        <f>IF(P10="","",IF(P10=CV10,"("&amp;CV$2&amp;")",IF(P10=CW10,"("&amp;CW$2&amp;")")))</f>
        <v/>
      </c>
      <c r="R10" s="13" t="str">
        <f>IF(P10="","",IF(P10=CV10,IF(P10+IF(L10="",0,L10)=OS10,$NX$1,IF(P10+IF(L10="",0,L10)=NS10,$MX$1,IF(P10+IF(L10="",0,L10)=MS10,$LX$1,IF(P10+IF(L10="",0,L10)=LS10,$KX$1,IF(P10+IF(L10="",0,L10)=KS10,$JX$1,IF(P10+IF(L10="",0,L10)=JS10,$IX$1,IF(P10+IF(L10="",0,L10)=IS10,$HX$1,IF(P10+IF(L10="",0,L10)=HS10,$GX$1,IF(P10+IF(L10="",0,L10)=GS10,$FX$1,IF(P10+IF(L10="",0,L10)=FS10,$EX$1,IF(P10+IF(L10="",0,L10)=ES10,$DX$1,IF(P10+IF(L10="",0,L10)=DS10,$CX$1)))))))))))),IF(P10=CW10,IF(P10+IF(N10="",0,N10)=OV10,$NX$1,IF(P10+IF(N10="",0,N10)=NV10,$MX$1,IF(P10+IF(N10="",0,N10)=MV10,$LX$1,IF(P10+IF(N10="",0,N10)=LV10,$KX$1,IF(P10+IF(N10="",0,N10)=KV10,$JX$1,IF(P10+IF(N10="",0,N10)=JV10,$IX$1,IF(P10+IF(N10="",0,N10)=IV10,$HX$1,IF(P10+IF(N10="",0,N10)=HV10,$GX$1,IF(P10+IF(N10="",0,N10)=GV10,$FX$1,IF(P10+IF(N10="",0,N10)=FV10,$EX$1,IF(P10+IF(N10="",0,N10)=EV10,$DX$1,IF(P10+IF(N10="",0,N10)=DV10,$CX$1)))))))))))))))</f>
        <v/>
      </c>
      <c r="S10" s="27">
        <v>16.7</v>
      </c>
      <c r="T10" s="27">
        <v>3.4</v>
      </c>
      <c r="U10" s="27">
        <v>0</v>
      </c>
      <c r="V10" s="27">
        <v>0</v>
      </c>
      <c r="W10" s="27">
        <v>14.9</v>
      </c>
      <c r="X10" s="27">
        <v>3.9</v>
      </c>
      <c r="Y10" s="27">
        <v>0.2</v>
      </c>
      <c r="Z10" s="27">
        <v>0.3</v>
      </c>
      <c r="AA10" s="27"/>
      <c r="AB10" s="27"/>
      <c r="AC10" s="27"/>
      <c r="AD10" s="27"/>
      <c r="AE10" s="27">
        <v>15.1</v>
      </c>
      <c r="AF10" s="27">
        <v>3.2</v>
      </c>
      <c r="AG10" s="27">
        <v>0</v>
      </c>
      <c r="AH10" s="27">
        <v>0</v>
      </c>
      <c r="AI10" s="27">
        <v>15.7</v>
      </c>
      <c r="AJ10" s="27">
        <v>1.9</v>
      </c>
      <c r="AK10" s="27">
        <v>0</v>
      </c>
      <c r="AL10" s="27">
        <v>0.3</v>
      </c>
      <c r="AM10" s="51"/>
      <c r="AN10" s="76">
        <f>IF(SUM(T10,X10)&gt;0,SUM(T10,X10),"")</f>
        <v>7.3</v>
      </c>
      <c r="AO10" s="76">
        <f>IF(SUM(S10:T10,V10:X10,Z10)-U10-Y10&gt;0,SUM(S10:T10,V10:X10,Z10)-U10-Y10,"")</f>
        <v>38.999999999999993</v>
      </c>
      <c r="AP10" s="76" t="str">
        <f>IF(SUM(AA10:AB10,AD10)-AC10&gt;0,SUM(AA10:AB10,AD10)-AC10,"")</f>
        <v/>
      </c>
      <c r="AQ10" s="76">
        <f>IF(SUM(AF10,AJ10)&gt;0,SUM(AF10,AJ10),"")</f>
        <v>5.0999999999999996</v>
      </c>
      <c r="AR10" s="76">
        <f>IF(SUM(AE10:AF10,AH10:AJ10,AL10)-SUM(AG10,AK10)&gt;0,SUM(AE10:AF10,AH10:AJ10,AL10)-SUM(AG10,AK10),"")</f>
        <v>36.199999999999996</v>
      </c>
      <c r="AS10" s="76">
        <f>IF(SUM(AO10,AR10)&gt;0,SUM(AO10,AR10),"")</f>
        <v>75.199999999999989</v>
      </c>
      <c r="AT10" s="26">
        <v>15.3</v>
      </c>
      <c r="AU10" s="26">
        <v>3.4</v>
      </c>
      <c r="AV10" s="26">
        <v>0.4</v>
      </c>
      <c r="AW10" s="26">
        <v>0</v>
      </c>
      <c r="AX10" s="26">
        <v>16.3</v>
      </c>
      <c r="AY10" s="26">
        <v>1.2</v>
      </c>
      <c r="AZ10" s="26">
        <v>0</v>
      </c>
      <c r="BA10" s="26">
        <v>0</v>
      </c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52"/>
      <c r="BO10" s="16">
        <f>IF(SUM(AU10,AY10)&gt;0,SUM(AU10,AY10),"")</f>
        <v>4.5999999999999996</v>
      </c>
      <c r="BP10" s="16">
        <f>IF(SUM(AT10:AU10,AW10:AY10,BA10)-AV10-AZ10&gt;0,SUM(AT10:AU10,AW10:AY10,BA10)-AV10-AZ10,"")</f>
        <v>35.800000000000004</v>
      </c>
      <c r="BQ10" s="16" t="str">
        <f>IF(SUM(BB10:BC10,BE10)-BD10&gt;0,SUM(BB10:BC10,BE10)-BD10,"")</f>
        <v/>
      </c>
      <c r="BR10" s="16" t="str">
        <f>IF(SUM(BG10,BK10)&gt;0,SUM(BG10,BK10),"")</f>
        <v/>
      </c>
      <c r="BS10" s="16" t="str">
        <f>IF(SUM(BF10:BG10,BI10:BK10,BM10)-SUM(BH10,BL10)&gt;0,SUM(BF10:BG10,BI10:BK10,BM10)-SUM(BH10,BL10),"")</f>
        <v/>
      </c>
      <c r="BT10" s="16">
        <f>IF(SUM(BP10,BS10)&gt;0,SUM(BP10,BS10),"")</f>
        <v>35.800000000000004</v>
      </c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51"/>
      <c r="CP10" s="76" t="str">
        <f>IF(SUM(BV10,BZ10)&gt;0,SUM(BV10,BZ10),"")</f>
        <v/>
      </c>
      <c r="CQ10" s="76" t="str">
        <f>IF(SUM(BU10:BV10,BX10:BZ10,CB10)-BW10-CA10&gt;0,SUM(BU10:BV10,BX10:BZ10,CB10)-BW10-CA10,"")</f>
        <v/>
      </c>
      <c r="CR10" s="76" t="str">
        <f>IF(SUM(CC10:CD10,CF10)-CE10&gt;0,SUM(CC10:CD10,CF10)-CE10,"")</f>
        <v/>
      </c>
      <c r="CS10" s="76" t="str">
        <f>IF(SUM(CH10,CL10)&gt;0,SUM(CH10,CL10),"")</f>
        <v/>
      </c>
      <c r="CT10" s="76" t="str">
        <f>IF(SUM(CG10:CH10,CJ10:CL10,CN10)-SUM(CI10,CM10)&gt;0,SUM(CG10:CH10,CJ10:CL10,CN10)-SUM(CI10,CM10),"")</f>
        <v/>
      </c>
      <c r="CU10" s="76" t="str">
        <f>IF(SUM(CQ10,CT10)&gt;0,SUM(CQ10,CT10),"")</f>
        <v/>
      </c>
      <c r="CV10" s="87" t="str">
        <f>IF(L10&gt;=0.001,IF(MAX(DS10,ES10,FS10,GS10,HS10,IS10,JS10,KS10,LS10,MS10,NS10,OS10)-IF(L10="",0,L10)&gt;0.001,MAX(DS10,ES10,FS10,GS10,HS10,IS10,JS10,KS10,LS10,MS10,NS10,OS10)-IF(L10="",0,L10),""),"")</f>
        <v/>
      </c>
      <c r="CW10" s="87" t="str">
        <f>IF(N10&gt;=0.001,IF(MAX(DV10,EV10,FV10,GV10,HV10,IV10,JV10,KV10,LV10,MV10,NV10,OV10)-IF(N10="",0,N10)&gt;0.001,MAX(DV10,EV10,FV10,GV10,HV10,IV10,JV10,KV10,LV10,MV10,NV10,OV10)-IF(N10="",0,N10),""),"")</f>
        <v/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76" t="str">
        <f>IF(SUM(CY10,DC10)&gt;0,SUM(CY10,DC10),"")</f>
        <v/>
      </c>
      <c r="DS10" s="76" t="str">
        <f>IF(SUM(CX10:CY10,DA10:DC10,DE10)-CZ10-DD10&gt;0,SUM(CX10:CY10,DA10:DC10,DE10)-CZ10-DD10,"")</f>
        <v/>
      </c>
      <c r="DT10" s="76" t="str">
        <f>IF(SUM(DF10:DG10,DI10)-DH10&gt;0,SUM(DF10:DG10,DI10)-DH10,"")</f>
        <v/>
      </c>
      <c r="DU10" s="76" t="str">
        <f>IF(SUM(DK10,DO10)&gt;0,SUM(DK10,DO10),"")</f>
        <v/>
      </c>
      <c r="DV10" s="76" t="str">
        <f>IF(SUM(DJ10:DK10,DM10:DO10,DQ10)-SUM(DL10,DP10)&gt;0,SUM(DJ10:DK10,DM10:DO10,DQ10)-SUM(DL10,DP10),"")</f>
        <v/>
      </c>
      <c r="DW10" s="76" t="str">
        <f>IF(SUM(DS10,DV10)&gt;0,SUM(DS10,DV10),"")</f>
        <v/>
      </c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16" t="str">
        <f>IF(SUM(DY10,EC10)&gt;0,SUM(DY10,EC10),"")</f>
        <v/>
      </c>
      <c r="ES10" s="16" t="str">
        <f>IF(SUM(DX10:DY10,EA10:EC10,EE10)-DZ10-ED10&gt;0,SUM(DX10:DY10,EA10:EC10,EE10)-DZ10-ED10,"")</f>
        <v/>
      </c>
      <c r="ET10" s="16" t="str">
        <f>IF(SUM(EF10:EG10,EI10)-EH10&gt;0,SUM(EF10:EG10,EI10)-EH10,"")</f>
        <v/>
      </c>
      <c r="EU10" s="16" t="str">
        <f>IF(SUM(EK10,EO10)&gt;0,SUM(EK10,EO10),"")</f>
        <v/>
      </c>
      <c r="EV10" s="16" t="str">
        <f>IF(SUM(EJ10:EK10,EM10:EO10,EQ10)-SUM(EL10,EP10)&gt;0,SUM(EJ10:EK10,EM10:EO10,EQ10)-SUM(EL10,EP10),"")</f>
        <v/>
      </c>
      <c r="EW10" s="16" t="str">
        <f>IF(SUM(ES10,EV10)&gt;0,SUM(ES10,EV10),"")</f>
        <v/>
      </c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76" t="str">
        <f>IF(SUM(EY10,FC10)&gt;0,SUM(EY10,FC10),"")</f>
        <v/>
      </c>
      <c r="FS10" s="76" t="str">
        <f>IF(SUM(EX10:EY10,FA10:FC10,FE10)-EZ10-FD10&gt;0,SUM(EX10:EY10,FA10:FC10,FE10)-EZ10-FD10,"")</f>
        <v/>
      </c>
      <c r="FT10" s="76" t="str">
        <f>IF(SUM(FF10:FG10,FI10)-FH10&gt;0,SUM(FF10:FG10,FI10)-FH10,"")</f>
        <v/>
      </c>
      <c r="FU10" s="76" t="str">
        <f>IF(SUM(FK10,FO10)&gt;0,SUM(FK10,FO10),"")</f>
        <v/>
      </c>
      <c r="FV10" s="76" t="str">
        <f>IF(SUM(FJ10:FK10,FM10:FO10,FQ10)-SUM(FL10,FP10)&gt;0,SUM(FJ10:FK10,FM10:FO10,FQ10)-SUM(FL10,FP10),"")</f>
        <v/>
      </c>
      <c r="FW10" s="76" t="str">
        <f>IF(SUM(FS10,FV10)&gt;0,SUM(FS10,FV10),"")</f>
        <v/>
      </c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16" t="str">
        <f>IF(SUM(FY10,GC10)&gt;0,SUM(FY10,GC10),"")</f>
        <v/>
      </c>
      <c r="GS10" s="16" t="str">
        <f>IF(SUM(FX10:FY10,GA10:GC10,GE10)-FZ10-GD10&gt;0,SUM(FX10:FY10,GA10:GC10,GE10)-FZ10-GD10,"")</f>
        <v/>
      </c>
      <c r="GT10" s="16" t="str">
        <f>IF(SUM(GF10:GG10,GI10)-GH10&gt;0,SUM(GF10:GG10,GI10)-GH10,"")</f>
        <v/>
      </c>
      <c r="GU10" s="16" t="str">
        <f>IF(SUM(GK10,GO10)&gt;0,SUM(GK10,GO10),"")</f>
        <v/>
      </c>
      <c r="GV10" s="16" t="str">
        <f>IF(SUM(GJ10:GK10,GM10:GO10,GQ10)-SUM(GL10,GP10)&gt;0,SUM(GJ10:GK10,GM10:GO10,GQ10)-SUM(GL10,GP10),"")</f>
        <v/>
      </c>
      <c r="GW10" s="16" t="str">
        <f>IF(SUM(GS10,GV10)&gt;0,SUM(GS10,GV10),"")</f>
        <v/>
      </c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76" t="str">
        <f>IF(SUM(GY10,HC10)&gt;0,SUM(GY10,HC10),"")</f>
        <v/>
      </c>
      <c r="HS10" s="76" t="str">
        <f>IF(SUM(GX10:GY10,HA10:HC10,HE10)-GZ10-HD10&gt;0,SUM(GX10:GY10,HA10:HC10,HE10)-GZ10-HD10,"")</f>
        <v/>
      </c>
      <c r="HT10" s="76" t="str">
        <f>IF(SUM(HF10:HG10,HI10)-HH10&gt;0,SUM(HF10:HG10,HI10)-HH10,"")</f>
        <v/>
      </c>
      <c r="HU10" s="76" t="str">
        <f>IF(SUM(HK10,HO10)&gt;0,SUM(HK10,HO10),"")</f>
        <v/>
      </c>
      <c r="HV10" s="76" t="str">
        <f>IF(SUM(HJ10:HK10,HM10:HO10,HQ10)-SUM(HL10,HP10)&gt;0,SUM(HJ10:HK10,HM10:HO10,HQ10)-SUM(HL10,HP10),"")</f>
        <v/>
      </c>
      <c r="HW10" s="76" t="str">
        <f>IF(SUM(HS10,HV10)&gt;0,SUM(HS10,HV10),"")</f>
        <v/>
      </c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16" t="str">
        <f>IF(SUM(HY10,IC10)&gt;0,SUM(HY10,IC10),"")</f>
        <v/>
      </c>
      <c r="IS10" s="16" t="str">
        <f>IF(SUM(HX10:HY10,IA10:IC10,IE10)-HZ10-ID10&gt;0,SUM(HX10:HY10,IA10:IC10,IE10)-HZ10-ID10,"")</f>
        <v/>
      </c>
      <c r="IT10" s="16" t="str">
        <f>IF(SUM(IF10:IG10,II10)-IH10&gt;0,SUM(IF10:IG10,II10)-IH10,"")</f>
        <v/>
      </c>
      <c r="IU10" s="16" t="str">
        <f>IF(SUM(IK10,IO10)&gt;0,SUM(IK10,IO10),"")</f>
        <v/>
      </c>
      <c r="IV10" s="16" t="str">
        <f>IF(SUM(IJ10:IK10,IM10:IO10,IQ10)-SUM(IL10,IP10)&gt;0,SUM(IJ10:IK10,IM10:IO10,IQ10)-SUM(IL10,IP10),"")</f>
        <v/>
      </c>
      <c r="IW10" s="16" t="str">
        <f>IF(SUM(IS10,IV10)&gt;0,SUM(IS10,IV10),"")</f>
        <v/>
      </c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76" t="str">
        <f>IF(SUM(IY10,JC10)&gt;0,SUM(IY10,JC10),"")</f>
        <v/>
      </c>
      <c r="JS10" s="76" t="str">
        <f>IF(SUM(IX10:IY10,JA10:JC10,JE10)-IZ10-JD10&gt;0,SUM(IX10:IY10,JA10:JC10,JE10)-IZ10-JD10,"")</f>
        <v/>
      </c>
      <c r="JT10" s="76" t="str">
        <f>IF(SUM(JF10:JG10,JI10)-JH10&gt;0,SUM(JF10:JG10,JI10)-JH10,"")</f>
        <v/>
      </c>
      <c r="JU10" s="76" t="str">
        <f>IF(SUM(JK10,JO10)&gt;0,SUM(JK10,JO10),"")</f>
        <v/>
      </c>
      <c r="JV10" s="76" t="str">
        <f>IF(SUM(JJ10:JK10,JM10:JO10,JQ10)-SUM(JL10,JP10)&gt;0,SUM(JJ10:JK10,JM10:JO10,JQ10)-SUM(JL10,JP10),"")</f>
        <v/>
      </c>
      <c r="JW10" s="76" t="str">
        <f>IF(SUM(JS10,JV10)&gt;0,SUM(JS10,JV10),"")</f>
        <v/>
      </c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16" t="str">
        <f>IF(SUM(JY10,KC10)&gt;0,SUM(JY10,KC10),"")</f>
        <v/>
      </c>
      <c r="KS10" s="16" t="str">
        <f>IF(SUM(JX10:JY10,KA10:KC10,KE10)-JZ10-KD10&gt;0,SUM(JX10:JY10,KA10:KC10,KE10)-JZ10-KD10,"")</f>
        <v/>
      </c>
      <c r="KT10" s="16" t="str">
        <f>IF(SUM(KF10:KG10,KI10)-KH10&gt;0,SUM(KF10:KG10,KI10)-KH10,"")</f>
        <v/>
      </c>
      <c r="KU10" s="16" t="str">
        <f>IF(SUM(KK10,KO10)&gt;0,SUM(KK10,KO10),"")</f>
        <v/>
      </c>
      <c r="KV10" s="16" t="str">
        <f>IF(SUM(KJ10:KK10,KM10:KO10,KQ10)-SUM(KL10,KP10)&gt;0,SUM(KJ10:KK10,KM10:KO10,KQ10)-SUM(KL10,KP10),"")</f>
        <v/>
      </c>
      <c r="KW10" s="16" t="str">
        <f>IF(SUM(KS10,KV10)&gt;0,SUM(KS10,KV10),"")</f>
        <v/>
      </c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76" t="str">
        <f>IF(SUM(KY10,LC10)&gt;0,SUM(KY10,LC10),"")</f>
        <v/>
      </c>
      <c r="LS10" s="76" t="str">
        <f>IF(SUM(KX10:KY10,LA10:LC10,LE10)-KZ10-LD10&gt;0,SUM(KX10:KY10,LA10:LC10,LE10)-KZ10-LD10,"")</f>
        <v/>
      </c>
      <c r="LT10" s="76" t="str">
        <f>IF(SUM(LF10:LG10,LI10)-LH10&gt;0,SUM(LF10:LG10,LI10)-LH10,"")</f>
        <v/>
      </c>
      <c r="LU10" s="76" t="str">
        <f>IF(SUM(LK10,LO10)&gt;0,SUM(LK10,LO10),"")</f>
        <v/>
      </c>
      <c r="LV10" s="76" t="str">
        <f>IF(SUM(LJ10:LK10,LM10:LO10,LQ10)-SUM(LL10,LP10)&gt;0,SUM(LJ10:LK10,LM10:LO10,LQ10)-SUM(LL10,LP10),"")</f>
        <v/>
      </c>
      <c r="LW10" s="76" t="str">
        <f>IF(SUM(LS10,LV10)&gt;0,SUM(LS10,LV10),"")</f>
        <v/>
      </c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16" t="str">
        <f>IF(SUM(LY10,MC10)&gt;0,SUM(LY10,MC10),"")</f>
        <v/>
      </c>
      <c r="MS10" s="16" t="str">
        <f>IF(SUM(LX10:LY10,MA10:MC10,ME10)-LZ10-MD10&gt;0,SUM(LX10:LY10,MA10:MC10,ME10)-LZ10-MD10,"")</f>
        <v/>
      </c>
      <c r="MT10" s="16" t="str">
        <f>IF(SUM(MF10:MG10,MI10)-MH10&gt;0,SUM(MF10:MG10,MI10)-MH10,"")</f>
        <v/>
      </c>
      <c r="MU10" s="16" t="str">
        <f>IF(SUM(MK10,MO10)&gt;0,SUM(MK10,MO10),"")</f>
        <v/>
      </c>
      <c r="MV10" s="16" t="str">
        <f>IF(SUM(MJ10:MK10,MM10:MO10,MQ10)-SUM(ML10,MP10)&gt;0,SUM(MJ10:MK10,MM10:MO10,MQ10)-SUM(ML10,MP10),"")</f>
        <v/>
      </c>
      <c r="MW10" s="16" t="str">
        <f>IF(SUM(MS10,MV10)&gt;0,SUM(MS10,MV10),"")</f>
        <v/>
      </c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76" t="str">
        <f>IF(SUM(MY10,NC10)&gt;0,SUM(MY10,NC10),"")</f>
        <v/>
      </c>
      <c r="NS10" s="76" t="str">
        <f>IF(SUM(MX10:MY10,NA10:NC10,NE10)-MZ10-ND10&gt;0,SUM(MX10:MY10,NA10:NC10,NE10)-MZ10-ND10,"")</f>
        <v/>
      </c>
      <c r="NT10" s="76" t="str">
        <f>IF(SUM(NF10:NG10,NI10)-NH10&gt;0,SUM(NF10:NG10,NI10)-NH10,"")</f>
        <v/>
      </c>
      <c r="NU10" s="76" t="str">
        <f>IF(SUM(NK10,NO10)&gt;0,SUM(NK10,NO10),"")</f>
        <v/>
      </c>
      <c r="NV10" s="76" t="str">
        <f>IF(SUM(NJ10:NK10,NM10:NO10,NQ10)-SUM(NL10,NP10)&gt;0,SUM(NJ10:NK10,NM10:NO10,NQ10)-SUM(NL10,NP10),"")</f>
        <v/>
      </c>
      <c r="NW10" s="76" t="str">
        <f>IF(SUM(NS10,NV10)&gt;0,SUM(NS10,NV10),"")</f>
        <v/>
      </c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16" t="str">
        <f>IF(SUM(NY10,OC10)&gt;0,SUM(NY10,OC10),"")</f>
        <v/>
      </c>
      <c r="OS10" s="16" t="str">
        <f>IF(SUM(NX10:NY10,OA10:OC10,OE10)-NZ10-OD10&gt;0,SUM(NX10:NY10,OA10:OC10,OE10)-NZ10-OD10,"")</f>
        <v/>
      </c>
      <c r="OT10" s="16" t="str">
        <f>IF(SUM(OF10:OG10,OI10)-OH10&gt;0,SUM(OF10:OG10,OI10)-OH10,"")</f>
        <v/>
      </c>
      <c r="OU10" s="16" t="str">
        <f>IF(SUM(OK10,OO10)&gt;0,SUM(OK10,OO10),"")</f>
        <v/>
      </c>
      <c r="OV10" s="16" t="str">
        <f>IF(SUM(OJ10:OK10,OM10:OO10,OQ10)-SUM(OL10,OP10)&gt;0,SUM(OJ10:OK10,OM10:OO10,OQ10)-SUM(OL10,OP10),"")</f>
        <v/>
      </c>
      <c r="OW10" s="16" t="str">
        <f>IF(SUM(OS10,OV10)&gt;0,SUM(OS10,OV10),"")</f>
        <v/>
      </c>
      <c r="OX10" s="42">
        <f>IF($CO10="P",BU10,(BU10+AT10)/2)</f>
        <v>7.65</v>
      </c>
      <c r="OY10" s="42">
        <f>IF($CO10="P",BV10,(BV10+AU10)/2)</f>
        <v>1.7</v>
      </c>
      <c r="OZ10" s="42">
        <f>IF($CO10="P",BW10,(BW10+AV10)/2)</f>
        <v>0.2</v>
      </c>
      <c r="PA10" s="42">
        <f>IF($CO10="P",BX10,(BX10+AW10)/2)</f>
        <v>0</v>
      </c>
      <c r="PB10" s="42">
        <f>IF($CO10="P",BY10,(BY10+AX10)/2)</f>
        <v>8.15</v>
      </c>
      <c r="PC10" s="42">
        <f>IF($CO10="P",BZ10,(BZ10+AY10)/2)</f>
        <v>0.6</v>
      </c>
      <c r="PD10" s="42">
        <f>IF($CO10="P",CA10,(CA10+AZ10)/2)</f>
        <v>0</v>
      </c>
      <c r="PE10" s="42">
        <f>IF($CO10="P",CB10,(CB10+BA10)/2)</f>
        <v>0</v>
      </c>
      <c r="PF10" s="42">
        <f>IF($CO10="P",CC10,(CC10+BB10)/2)</f>
        <v>0</v>
      </c>
      <c r="PG10" s="42">
        <f>IF($CO10="P",CD10,(CD10+BC10)/2)</f>
        <v>0</v>
      </c>
      <c r="PH10" s="42">
        <f>IF($CO10="P",CE10,(CE10+BD10)/2)</f>
        <v>0</v>
      </c>
      <c r="PI10" s="42">
        <f>IF($CO10="P",CF10,(CF10+BE10)/2)</f>
        <v>0</v>
      </c>
      <c r="PJ10" s="42">
        <f>IF($CO10="P",CG10,(CG10+BF10)/2)</f>
        <v>0</v>
      </c>
      <c r="PK10" s="42">
        <f>IF($CO10="P",CH10,(CH10+BG10)/2)</f>
        <v>0</v>
      </c>
      <c r="PL10" s="42">
        <f>IF($CO10="P",CI10,(CI10+BH10)/2)</f>
        <v>0</v>
      </c>
      <c r="PM10" s="42">
        <f>IF($CO10="P",CJ10,(CJ10+BI10)/2)</f>
        <v>0</v>
      </c>
      <c r="PN10" s="42">
        <f>IF($CO10="P",CK10,(CK10+BJ10)/2)</f>
        <v>0</v>
      </c>
      <c r="PO10" s="42">
        <f>IF($CO10="P",CL10,(CL10+BK10)/2)</f>
        <v>0</v>
      </c>
      <c r="PP10" s="42">
        <f>IF($CO10="P",CM10,(CM10+BL10)/2)</f>
        <v>0</v>
      </c>
      <c r="PQ10" s="42">
        <f>IF($CO10="P",CN10,(CN10+BM10)/2)</f>
        <v>0</v>
      </c>
      <c r="PR10" s="51" t="s">
        <v>58</v>
      </c>
      <c r="PS10" s="76">
        <f>IF(SUM(OY10,PC10)&gt;0,SUM(OY10,PC10),"")</f>
        <v>2.2999999999999998</v>
      </c>
      <c r="PT10" s="76">
        <f>IF(SUM(OX10:OY10,PA10:PC10,PE10)-OZ10-PD10&gt;0,SUM(OX10:OY10,PA10:PC10,PE10)-OZ10-PD10,"")</f>
        <v>17.900000000000002</v>
      </c>
      <c r="PU10" s="76" t="str">
        <f>IF(SUM(PF10:PG10,PI10)-PH10&gt;0,SUM(PF10:PG10,PI10)-PH10,"")</f>
        <v/>
      </c>
      <c r="PV10" s="76" t="str">
        <f>IF(SUM(PK10,PO10)&gt;0,SUM(PK10,PO10),"")</f>
        <v/>
      </c>
      <c r="PW10" s="76" t="str">
        <f>IF(SUM(PJ10:PK10,PM10:PO10,PQ10)-SUM(PL10,PP10)&gt;0,SUM(PJ10:PK10,PM10:PO10,PQ10)-SUM(PL10,PP10),"")</f>
        <v/>
      </c>
      <c r="PX10" s="76">
        <f>IF(SUM(PT10,PW10)&gt;0,SUM(PT10,PW10),"")</f>
        <v>17.900000000000002</v>
      </c>
    </row>
    <row r="11" spans="1:440" x14ac:dyDescent="0.2">
      <c r="A11" s="5">
        <f>IF(AND(F11="P",G11="P"),SUMPRODUCT((F$4:F$12="P")*(G$4:G$12="P")*(E$4:E$12&gt;E11))+1,IF(G11="P",SUMPRODUCT((F$4:F$12="")*(G$4:G$12="P")*(E$4:E$12&gt;E11))+1+SUMPRODUCT((F$4:F$12="P")*(G$4:G$12="P")),""))</f>
        <v>7</v>
      </c>
      <c r="B11" s="6" t="s">
        <v>101</v>
      </c>
      <c r="C11" s="7" t="s">
        <v>3</v>
      </c>
      <c r="D11" s="18">
        <v>2003</v>
      </c>
      <c r="E11" s="14">
        <f>SUM(J11:P11)+SUM(J11:N11)*0.0000001+SUM(J11)*0.0000000000001</f>
        <v>109.60001096000437</v>
      </c>
      <c r="F11" s="3" t="str">
        <f>IF(OR(AND(AN11&gt;=AS$14,AO11&gt;=AS$18,AN11&lt;&gt;"",AM11=""),AND(AQ11&gt;=AS$14,AR11&gt;=AS$18,AQ11&lt;&gt;"",AM11=""),AND(BO11&gt;=BT$14,BP11&gt;=BT$18,BO11&lt;&gt;"",BN11=""),AND(BR11&gt;=BT$14,BS11&gt;=BT$18,BR11&lt;&gt;"",BN11=""),AND(CP11&gt;=CU$14,CQ11&gt;=CU$18,CP11&lt;&gt;"",CO11=""),AND(CS11&gt;=CU$14,CT11&gt;=CU$18,CS11&lt;&gt;""),AND(DR11&gt;=DW$14,DS11&gt;=DW$18,DR11&lt;&gt;""),AND(DU11&gt;=DW$14,DV11&gt;=DW$18,DU11&lt;&gt;""),AND(ER11&gt;=EW$14,ES11&gt;=EW$18,ER11&lt;&gt;""),AND(EU11&gt;=EW$14,EV11&gt;=EW$18,EU11&lt;&gt;""),AND(FR11&gt;=FW$14,FS11&gt;=FW$18,FR11&lt;&gt;""),AND(FU11&gt;=FW$14,FV11&gt;=FW$18,FU11&lt;&gt;""),AND(GR11&gt;=GW$14,GS11&gt;=GW$18,GR11&lt;&gt;""),AND(GU11&gt;=GW$14,GV11&gt;=GW$18,GU11&lt;&gt;""),AND(HR11&gt;=HW$14,HS11&gt;=HW$18,HR11&lt;&gt;""),AND(HU11&gt;=HW$14,HV11&gt;=HW$18,HU11&lt;&gt;""),AND(IR11&gt;=IW$14,IS11&gt;=IW$18,IR11&lt;&gt;""),AND(IU11&gt;=IW$14,IV11&gt;=IW$18,IU11&lt;&gt;""),AND(JR11&gt;=JW$14,JS11&gt;=JW$18,JR11&lt;&gt;""),AND(JU11&gt;=JW$14,JV11&gt;=JW$18,JU11&lt;&gt;""),AND(KR11&gt;=KW$14,KS11&gt;=KW$18,KR11&lt;&gt;""),AND(KU11&gt;=KW$14,KV11&gt;=KW$18,KU11&lt;&gt;""),AND(LR11&gt;=LW$14,LS11&gt;=LW$18,LR11&lt;&gt;""),AND(LU11&gt;=LW$14,LV11&gt;=LW$18,LU11&lt;&gt;""),AND(MR11&gt;=MW$14,MS11&gt;=MW$18,MR11&lt;&gt;""),AND(MU11&gt;=MW$14,MV11&gt;=MW$18,MU11&lt;&gt;""),AND(NR11&gt;=NW$14,NS11&gt;=NW$18,NR11&lt;&gt;""),AND(NU11&gt;=NW$14,NV11&gt;=NW$18,NU11&lt;&gt;""),AND(OR11&gt;=OW$14,OS11&gt;=OW$18,OR11&lt;&gt;""),AND(OU11&gt;=OW$14,OV11&gt;=OW$18,OU11&lt;&gt;"")),"P","")</f>
        <v/>
      </c>
      <c r="G11" s="3" t="str">
        <f>IF(OR(AND(AO11&gt;=AS$18,AO11&lt;&gt;"",AM11=""),AND(AR11&gt;=AS$18,AR11&lt;&gt;"",AM11=""),AND(BP11&gt;=BT$18,BP11&lt;&gt;"",BN11=""),AND(BS11&gt;=BT$18,BS11&lt;&gt;"",BN11=""),AND(CQ11&gt;=CU$18,CQ11&lt;&gt;"",CO11=""),AND(CT11&gt;=CU$18,CT11&lt;&gt;"",CO11=""),AND(DS11&gt;=DW$18,DS11&lt;&gt;""),AND(DV11&gt;=DW$18,DV11&lt;&gt;""),AND(ES11&gt;=EW$18,ES11&lt;&gt;""),AND(EV11&gt;=EW$18,EV11&lt;&gt;""),AND(FS11&gt;=FW$18,FS11&lt;&gt;""),AND(FV11&gt;=FW$18,FV11&lt;&gt;""),AND(GS11&gt;=GW$18,GS11&lt;&gt;""),AND(GV11&gt;=GW$18,GV11&lt;&gt;""),AND(HS11&gt;=HW$18,HS11&lt;&gt;""),AND(HV11&gt;=HW$18,HV11&lt;&gt;""),AND(IS11&gt;=IW$18,IS11&lt;&gt;""),AND(IV11&gt;=IW$18,IV11&lt;&gt;""),AND(JS11&gt;=JW$18,JS11&lt;&gt;""),AND(JV11&gt;=JW$18,JV11&lt;&gt;""),AND(KS11&gt;=KW$18,KS11&lt;&gt;""),AND(KV11&gt;=KW$18,KV11&lt;&gt;""),AND(LS11&gt;=LW$18,LS11&lt;&gt;""),AND(LV11&gt;=LW$18,LV11&lt;&gt;""),AND(MS11&gt;=MW$18,MS11&lt;&gt;""),AND(MV11&gt;=MW$18,MV11&lt;&gt;""),AND(NS11&gt;=NW$18,NS11&lt;&gt;""),AND(NV11&gt;=NW$18,NV11&lt;&gt;""),AND(OS11&gt;=OW$18,OS11&lt;&gt;""),AND(OV11&gt;=OW$18,OV11&lt;&gt;"")),"P","")</f>
        <v>P</v>
      </c>
      <c r="H11" s="70" t="str">
        <f>IF(AND(G11="P",F11=""),"No DD",IF(OR(AND(AN11&gt;=AS$17,AO11&gt;=AS$21,AN11&lt;&gt;"",AM11=""),AND(AQ11&gt;=AS$17,AR11&gt;=AS$21,AQ11&lt;&gt;"",AM11=""),AND(BO11&gt;=BT$17,BP11&gt;=BT$21,BO11&lt;&gt;"",BN11=""),AND(BR11&gt;=BT$17,BS11&gt;=BT$21,BR11&lt;&gt;"",BN11=""),AND(CP11&gt;=CU$17,CQ11&gt;=CU$21,CP11&lt;&gt;"",CO11=""),AND(CS11&gt;=CU$17,CT11&gt;=CU$21,CS11&lt;&gt;""),AND(DR11&gt;=DW$17,DS11&gt;=DW$21,DR11&lt;&gt;""),AND(DU11&gt;=DW$17,DV11&gt;=DW$21,DU11&lt;&gt;""),AND(ER11&gt;=EW$17,ES11&gt;=EW$21,ER11&lt;&gt;""),AND(EU11&gt;=EW$17,EV11&gt;=EW$21,EU11&lt;&gt;""),AND(FR11&gt;=FW$17,FS11&gt;=FW$21,FR11&lt;&gt;""),AND(FU11&gt;=FW$17,FV11&gt;=FW$21,FU11&lt;&gt;""),AND(GR11&gt;=GW$17,GS11&gt;=GW$21,GR11&lt;&gt;""),AND(GU11&gt;=GW$17,GV11&gt;=GW$21,GU11&lt;&gt;""),AND(HR11&gt;=HW$17,HS11&gt;=HW$21,HR11&lt;&gt;""),AND(HU11&gt;=HW$17,HV11&gt;=HW$21,HU11&lt;&gt;""),AND(IR11&gt;=IW$17,IS11&gt;=IW$21,IR11&lt;&gt;""),AND(IU11&gt;=IW$17,IV11&gt;=IW$21,IU11&lt;&gt;""),AND(JR11&gt;=JW$17,JS11&gt;=JW$21,JR11&lt;&gt;""),AND(JU11&gt;=JW$17,JV11&gt;=JW$21,JU11&lt;&gt;""),AND(KR11&gt;=KW$17,KS11&gt;=KW$21,KR11&lt;&gt;""),AND(KU11&gt;=KW$17,KV11&gt;=KW$21,KU11&lt;&gt;""),AND(LR11&gt;=LW$17,LS11&gt;=LW$21,LR11&lt;&gt;""),AND(LU11&gt;=LW$17,LV11&gt;=LW$21,LU11&lt;&gt;""),AND(MR11&gt;=MW$17,MS11&gt;=MW$21,MR11&lt;&gt;""),AND(MU11&gt;=MW$17,MV11&gt;=MW$21,MU11&lt;&gt;""),AND(NR11&gt;=NW$17,NS11&gt;=NW$21,NR11&lt;&gt;""),AND(NU11&gt;=NW$17,NV11&gt;=NW$21,NU11&lt;&gt;""),AND(OR11&gt;=OW$17,OS11&gt;=OW$21,OR11&lt;&gt;""),AND(OU11&gt;=OW$17,OV11&gt;=OW$21,OU11&lt;&gt;"")),"Merit",IF(OR(AND(AN11&gt;=AS$16,AO11&gt;=AS$20,AN11&lt;&gt;"",AM11=""),AND(AQ11&gt;=AS$16,AR11&gt;=AS$20,AQ11&lt;&gt;"",AM11=""),AND(BO11&gt;=BT$16,BP11&gt;=BT$20,BO11&lt;&gt;"",BN11=""),AND(BR11&gt;=BT$16,BS11&gt;=BT$20,BR11&lt;&gt;"",BN11=""),AND(CP11&gt;=CU$16,CQ11&gt;=CU$20,CP11&lt;&gt;"",CO11=""),AND(CS11&gt;=CU$16,CT11&gt;=CU$20,CS11&lt;&gt;""),AND(DR11&gt;=DW$16,DS11&gt;=DW$20,DR11&lt;&gt;""),AND(DU11&gt;=DW$16,DV11&gt;=DW$20,DU11&lt;&gt;""),AND(ER11&gt;=EW$16,ES11&gt;=EW$20,ER11&lt;&gt;""),AND(EU11&gt;=EW$16,EV11&gt;=EW$20,EU11&lt;&gt;""),AND(FR11&gt;=FW$16,FS11&gt;=FW$20,FR11&lt;&gt;""),AND(FU11&gt;=FW$16,FV11&gt;=FW$20,FU11&lt;&gt;""),AND(GR11&gt;=GW$16,GS11&gt;=GW$20,GR11&lt;&gt;""),AND(GU11&gt;=GW$16,GV11&gt;=GW$20,GU11&lt;&gt;""),AND(HR11&gt;=HW$16,HS11&gt;=HW$20,HR11&lt;&gt;""),AND(HU11&gt;=HW$16,HV11&gt;=HW$20,HU11&lt;&gt;""),AND(IR11&gt;=IW$16,IS11&gt;=IW$20,IR11&lt;&gt;""),AND(IU11&gt;=IW$16,IV11&gt;=IW$20,IU11&lt;&gt;""),AND(JR11&gt;=JW$16,JS11&gt;=JW$20,JR11&lt;&gt;""),AND(JU11&gt;=JW$16,JV11&gt;=JW$20,JU11&lt;&gt;""),AND(KR11&gt;=KW$16,KS11&gt;=KW$20,KR11&lt;&gt;""),AND(KU11&gt;=KW$16,KV11&gt;=KW$20,KU11&lt;&gt;""),AND(LR11&gt;=LW$16,LS11&gt;=LW$20,LR11&lt;&gt;""),AND(LU11&gt;=LW$16,LV11&gt;=LW$20,LU11&lt;&gt;""),AND(MR11&gt;=MW$16,MS11&gt;=MW$20,MR11&lt;&gt;""),AND(MU11&gt;=MW$16,MV11&gt;=MW$20,MU11&lt;&gt;""),AND(NR11&gt;=NW$16,NS11&gt;=NW$20,NR11&lt;&gt;""),AND(NU11&gt;=NW$16,NV11&gt;=NW$20,NU11&lt;&gt;""),AND(OR11&gt;=OW$16,OS11&gt;=OW$20,OR11&lt;&gt;""),AND(OU11&gt;=OW$16,OV11&gt;=OW$20,OU11&lt;&gt;"")),"Excellence",IF(I11="P","Worlds Team",IF(F11="P","National Team","")))))</f>
        <v>No DD</v>
      </c>
      <c r="I11" s="3" t="str">
        <f>IF(OR(AND(AN11&gt;=AS$15,AO11&gt;=AS$19,AN11&lt;&gt;"",AM11=""),AND(AQ11&gt;=AS$15,AR11&gt;=AS$19,AQ11&lt;&gt;"",AM11=""),AND(BO11&gt;=BT$15,BP11&gt;=BT$19,BO11&lt;&gt;"",BN11=""),AND(BR11&gt;=BT$15,BS11&gt;=BT$19,BR11&lt;&gt;"",BN11=""),AND(CP11&gt;=CU$15,CQ11&gt;=CU$19,CP11&lt;&gt;"",CO11=""),AND(CS11&gt;=CU$15,CT11&gt;=CU$19,CS11&lt;&gt;""),AND(DR11&gt;=DW$15,DS11&gt;=DW$19,DR11&lt;&gt;""),AND(DU11&gt;=DW$15,DV11&gt;=DW$19,DU11&lt;&gt;""),AND(ER11&gt;=EW$15,ES11&gt;=EW$19,ER11&lt;&gt;""),AND(EU11&gt;=EW$15,EV11&gt;=EW$19,EU11&lt;&gt;""),AND(FR11&gt;=FW$15,FS11&gt;=FW$19,FR11&lt;&gt;""),AND(FU11&gt;=FW$15,FV11&gt;=FW$19,FU11&lt;&gt;""),AND(GR11&gt;=GW$15,GS11&gt;=GW$19,GR11&lt;&gt;""),AND(GU11&gt;=GW$15,GV11&gt;=GW$19,GU11&lt;&gt;""),AND(HR11&gt;=HW$15,HS11&gt;=HW$19,HR11&lt;&gt;""),AND(HU11&gt;=HW$15,HV11&gt;=HW$19,HU11&lt;&gt;""),AND(IR11&gt;=IW$15,IS11&gt;=IW$19,IR11&lt;&gt;""),AND(IU11&gt;=IW$15,IV11&gt;=IW$19,IU11&lt;&gt;""),AND(JR11&gt;=JW$15,JS11&gt;=JW$19,JR11&lt;&gt;""),AND(JU11&gt;=JW$15,JV11&gt;=JW$19,JU11&lt;&gt;""),AND(KR11&gt;=KW$15,KS11&gt;=KW$19,KR11&lt;&gt;""),AND(KU11&gt;=KW$15,KV11&gt;=KW$19,KU11&lt;&gt;""),AND(LR11&gt;=LW$15,LS11&gt;=LW$19,LR11&lt;&gt;""),AND(LU11&gt;=LW$15,LV11&gt;=LW$19,LU11&lt;&gt;""),AND(MR11&gt;=MW$15,MS11&gt;=MW$19,MR11&lt;&gt;""),AND(MU11&gt;=MW$15,MV11&gt;=MW$19,MU11&lt;&gt;""),AND(NR11&gt;=NW$15,NS11&gt;=NW$19,NR11&lt;&gt;""),AND(NU11&gt;=NW$15,NV11&gt;=NW$19,NU11&lt;&gt;""),AND(OR11&gt;=OW$15,OS11&gt;=OW$19,OR11&lt;&gt;""),AND(OU11&gt;=OW$15,OV11&gt;=OW$19,OU11&lt;&gt;"")),"P","")</f>
        <v/>
      </c>
      <c r="J11" s="13">
        <f>IF(COUNT(AO11,BP11,CQ11)&gt;0,LARGE((AO11,BP11,CQ11),1),0)</f>
        <v>43.6</v>
      </c>
      <c r="K11" s="13" t="str">
        <f>IF(J11=0,"",IF(J11=CQ11,$BU$1,IF(J11=BP11,$AT$1,IF(J11=AO11,$S$1,""))))</f>
        <v>2022 Nationals</v>
      </c>
      <c r="L11" s="13">
        <f>IF(COUNT(AO11,BP11,CQ11)&gt;1,LARGE((AO11,BP11,CQ11),2),0)</f>
        <v>21.8</v>
      </c>
      <c r="M11" s="13" t="str">
        <f>IF(L11=0,"",IF(L11=CQ11,$BU$1,IF(L11=BP11,$AT$1,IF(L11=AO11,$S$1,""))))</f>
        <v>2022 3rd Domestic Trial</v>
      </c>
      <c r="N11" s="13">
        <f>IF(MAX(AR11,BS11,CT11)&gt;0,MAX(AR11,BS11,CT11),0)</f>
        <v>44.2</v>
      </c>
      <c r="O11" s="13" t="str">
        <f>IF(N11=0,"",IF(N11=CT11,$BU$1,IF(N11=BS11,$AT$1,IF(N11=AR11,$S$1,""))))</f>
        <v>2022 Nationals</v>
      </c>
      <c r="P11" s="13" t="str">
        <f>IF(MAX(CV11:CW11)&gt;0,MAX(CV11:CW11),"")</f>
        <v/>
      </c>
      <c r="Q11" s="16" t="str">
        <f>IF(P11="","",IF(P11=CV11,"("&amp;CV$2&amp;")",IF(P11=CW11,"("&amp;CW$2&amp;")")))</f>
        <v/>
      </c>
      <c r="R11" s="13" t="str">
        <f>IF(P11="","",IF(P11=CV11,IF(P11+IF(L11="",0,L11)=OS11,$NX$1,IF(P11+IF(L11="",0,L11)=NS11,$MX$1,IF(P11+IF(L11="",0,L11)=MS11,$LX$1,IF(P11+IF(L11="",0,L11)=LS11,$KX$1,IF(P11+IF(L11="",0,L11)=KS11,$JX$1,IF(P11+IF(L11="",0,L11)=JS11,$IX$1,IF(P11+IF(L11="",0,L11)=IS11,$HX$1,IF(P11+IF(L11="",0,L11)=HS11,$GX$1,IF(P11+IF(L11="",0,L11)=GS11,$FX$1,IF(P11+IF(L11="",0,L11)=FS11,$EX$1,IF(P11+IF(L11="",0,L11)=ES11,$DX$1,IF(P11+IF(L11="",0,L11)=DS11,$CX$1)))))))))))),IF(P11=CW11,IF(P11+IF(N11="",0,N11)=OV11,$NX$1,IF(P11+IF(N11="",0,N11)=NV11,$MX$1,IF(P11+IF(N11="",0,N11)=MV11,$LX$1,IF(P11+IF(N11="",0,N11)=LV11,$KX$1,IF(P11+IF(N11="",0,N11)=KV11,$JX$1,IF(P11+IF(N11="",0,N11)=JV11,$IX$1,IF(P11+IF(N11="",0,N11)=IV11,$HX$1,IF(P11+IF(N11="",0,N11)=HV11,$GX$1,IF(P11+IF(N11="",0,N11)=GV11,$FX$1,IF(P11+IF(N11="",0,N11)=FV11,$EX$1,IF(P11+IF(N11="",0,N11)=EV11,$DX$1,IF(P11+IF(N11="",0,N11)=DV11,$CX$1)))))))))))))))</f>
        <v/>
      </c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51"/>
      <c r="AN11" s="76" t="str">
        <f>IF(SUM(T11,X11)&gt;0,SUM(T11,X11),"")</f>
        <v/>
      </c>
      <c r="AO11" s="76" t="str">
        <f>IF(SUM(S11:T11,V11:X11,Z11)-U11-Y11&gt;0,SUM(S11:T11,V11:X11,Z11)-U11-Y11,"")</f>
        <v/>
      </c>
      <c r="AP11" s="76" t="str">
        <f>IF(SUM(AA11:AB11,AD11)-AC11&gt;0,SUM(AA11:AB11,AD11)-AC11,"")</f>
        <v/>
      </c>
      <c r="AQ11" s="76" t="str">
        <f>IF(SUM(AF11,AJ11)&gt;0,SUM(AF11,AJ11),"")</f>
        <v/>
      </c>
      <c r="AR11" s="76" t="str">
        <f>IF(SUM(AE11:AF11,AH11:AJ11,AL11)-SUM(AG11,AK11)&gt;0,SUM(AE11:AF11,AH11:AJ11,AL11)-SUM(AG11,AK11),"")</f>
        <v/>
      </c>
      <c r="AS11" s="76" t="str">
        <f>IF(SUM(AO11,AR11)&gt;0,SUM(AO11,AR11),"")</f>
        <v/>
      </c>
      <c r="AT11" s="26">
        <v>17.2</v>
      </c>
      <c r="AU11" s="26">
        <v>4.3</v>
      </c>
      <c r="AV11" s="26">
        <v>0</v>
      </c>
      <c r="AW11" s="26">
        <v>0.3</v>
      </c>
      <c r="AX11" s="26">
        <v>17.399999999999999</v>
      </c>
      <c r="AY11" s="26">
        <v>4.0999999999999996</v>
      </c>
      <c r="AZ11" s="26">
        <v>0</v>
      </c>
      <c r="BA11" s="26">
        <v>0.3</v>
      </c>
      <c r="BB11" s="26"/>
      <c r="BC11" s="26"/>
      <c r="BD11" s="26"/>
      <c r="BE11" s="26"/>
      <c r="BF11" s="26">
        <v>17.600000000000001</v>
      </c>
      <c r="BG11" s="26">
        <v>4.3</v>
      </c>
      <c r="BH11" s="26">
        <v>0</v>
      </c>
      <c r="BI11" s="26">
        <v>0.3</v>
      </c>
      <c r="BJ11" s="26">
        <v>17.600000000000001</v>
      </c>
      <c r="BK11" s="26">
        <v>4.0999999999999996</v>
      </c>
      <c r="BL11" s="26">
        <v>0</v>
      </c>
      <c r="BM11" s="26">
        <v>0.3</v>
      </c>
      <c r="BN11" s="52"/>
      <c r="BO11" s="16">
        <f>IF(SUM(AU11,AY11)&gt;0,SUM(AU11,AY11),"")</f>
        <v>8.3999999999999986</v>
      </c>
      <c r="BP11" s="16">
        <f>IF(SUM(AT11:AU11,AW11:AY11,BA11)-AV11-AZ11&gt;0,SUM(AT11:AU11,AW11:AY11,BA11)-AV11-AZ11,"")</f>
        <v>43.6</v>
      </c>
      <c r="BQ11" s="16" t="str">
        <f>IF(SUM(BB11:BC11,BE11)-BD11&gt;0,SUM(BB11:BC11,BE11)-BD11,"")</f>
        <v/>
      </c>
      <c r="BR11" s="16">
        <f>IF(SUM(BG11,BK11)&gt;0,SUM(BG11,BK11),"")</f>
        <v>8.3999999999999986</v>
      </c>
      <c r="BS11" s="16">
        <f>IF(SUM(BF11:BG11,BI11:BK11,BM11)-SUM(BH11,BL11)&gt;0,SUM(BF11:BG11,BI11:BK11,BM11)-SUM(BH11,BL11),"")</f>
        <v>44.2</v>
      </c>
      <c r="BT11" s="16">
        <f>IF(SUM(BP11,BS11)&gt;0,SUM(BP11,BS11),"")</f>
        <v>87.800000000000011</v>
      </c>
      <c r="BU11" s="27">
        <v>8.6</v>
      </c>
      <c r="BV11" s="27">
        <v>2.15</v>
      </c>
      <c r="BW11" s="27">
        <v>0</v>
      </c>
      <c r="BX11" s="27">
        <v>0.15</v>
      </c>
      <c r="BY11" s="27">
        <v>8.6999999999999993</v>
      </c>
      <c r="BZ11" s="27">
        <v>2.0499999999999998</v>
      </c>
      <c r="CA11" s="27">
        <v>0</v>
      </c>
      <c r="CB11" s="27">
        <v>0.15</v>
      </c>
      <c r="CC11" s="27">
        <v>0</v>
      </c>
      <c r="CD11" s="27">
        <v>0</v>
      </c>
      <c r="CE11" s="27">
        <v>0</v>
      </c>
      <c r="CF11" s="27">
        <v>0</v>
      </c>
      <c r="CG11" s="27">
        <v>8.8000000000000007</v>
      </c>
      <c r="CH11" s="27">
        <v>2.15</v>
      </c>
      <c r="CI11" s="27">
        <v>0</v>
      </c>
      <c r="CJ11" s="27">
        <v>0.15</v>
      </c>
      <c r="CK11" s="27">
        <v>8.8000000000000007</v>
      </c>
      <c r="CL11" s="27">
        <v>2.0499999999999998</v>
      </c>
      <c r="CM11" s="27">
        <v>0</v>
      </c>
      <c r="CN11" s="27">
        <v>0.15</v>
      </c>
      <c r="CO11" s="51" t="s">
        <v>58</v>
      </c>
      <c r="CP11" s="76">
        <f>IF(SUM(BV11,BZ11)&gt;0,SUM(BV11,BZ11),"")</f>
        <v>4.1999999999999993</v>
      </c>
      <c r="CQ11" s="76">
        <f>IF(SUM(BU11:BV11,BX11:BZ11,CB11)-BW11-CA11&gt;0,SUM(BU11:BV11,BX11:BZ11,CB11)-BW11-CA11,"")</f>
        <v>21.8</v>
      </c>
      <c r="CR11" s="76" t="str">
        <f>IF(SUM(CC11:CD11,CF11)-CE11&gt;0,SUM(CC11:CD11,CF11)-CE11,"")</f>
        <v/>
      </c>
      <c r="CS11" s="76">
        <f>IF(SUM(CH11,CL11)&gt;0,SUM(CH11,CL11),"")</f>
        <v>4.1999999999999993</v>
      </c>
      <c r="CT11" s="76">
        <f>IF(SUM(CG11:CH11,CJ11:CL11,CN11)-SUM(CI11,CM11)&gt;0,SUM(CG11:CH11,CJ11:CL11,CN11)-SUM(CI11,CM11),"")</f>
        <v>22.1</v>
      </c>
      <c r="CU11" s="76">
        <f>IF(SUM(CQ11,CT11)&gt;0,SUM(CQ11,CT11),"")</f>
        <v>43.900000000000006</v>
      </c>
      <c r="CV11" s="87" t="str">
        <f>IF(L11&gt;=0.001,IF(MAX(DS11,ES11,FS11,GS11,HS11,IS11,JS11,KS11,LS11,MS11,NS11,OS11)-IF(L11="",0,L11)&gt;0.001,MAX(DS11,ES11,FS11,GS11,HS11,IS11,JS11,KS11,LS11,MS11,NS11,OS11)-IF(L11="",0,L11),""),"")</f>
        <v/>
      </c>
      <c r="CW11" s="87" t="str">
        <f>IF(N11&gt;=0.001,IF(MAX(DV11,EV11,FV11,GV11,HV11,IV11,JV11,KV11,LV11,MV11,NV11,OV11)-IF(N11="",0,N11)&gt;0.001,MAX(DV11,EV11,FV11,GV11,HV11,IV11,JV11,KV11,LV11,MV11,NV11,OV11)-IF(N11="",0,N11),""),"")</f>
        <v/>
      </c>
      <c r="CX11" s="25"/>
      <c r="CY11" s="25">
        <v>2.0000000000000001E-4</v>
      </c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76">
        <f>IF(SUM(CY11,DC11)&gt;0,SUM(CY11,DC11),"")</f>
        <v>2.0000000000000001E-4</v>
      </c>
      <c r="DS11" s="76">
        <f>IF(SUM(CX11:CY11,DA11:DC11,DE11)-CZ11-DD11&gt;0,SUM(CX11:CY11,DA11:DC11,DE11)-CZ11-DD11,"")</f>
        <v>2.0000000000000001E-4</v>
      </c>
      <c r="DT11" s="76" t="str">
        <f>IF(SUM(DF11:DG11,DI11)-DH11&gt;0,SUM(DF11:DG11,DI11)-DH11,"")</f>
        <v/>
      </c>
      <c r="DU11" s="76" t="str">
        <f>IF(SUM(DK11,DO11)&gt;0,SUM(DK11,DO11),"")</f>
        <v/>
      </c>
      <c r="DV11" s="76" t="str">
        <f>IF(SUM(DJ11:DK11,DM11:DO11,DQ11)-SUM(DL11,DP11)&gt;0,SUM(DJ11:DK11,DM11:DO11,DQ11)-SUM(DL11,DP11),"")</f>
        <v/>
      </c>
      <c r="DW11" s="76">
        <f>IF(SUM(DS11,DV11)&gt;0,SUM(DS11,DV11),"")</f>
        <v>2.0000000000000001E-4</v>
      </c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16" t="str">
        <f>IF(SUM(DY11,EC11)&gt;0,SUM(DY11,EC11),"")</f>
        <v/>
      </c>
      <c r="ES11" s="16" t="str">
        <f>IF(SUM(DX11:DY11,EA11:EC11,EE11)-DZ11-ED11&gt;0,SUM(DX11:DY11,EA11:EC11,EE11)-DZ11-ED11,"")</f>
        <v/>
      </c>
      <c r="ET11" s="16" t="str">
        <f>IF(SUM(EF11:EG11,EI11)-EH11&gt;0,SUM(EF11:EG11,EI11)-EH11,"")</f>
        <v/>
      </c>
      <c r="EU11" s="16" t="str">
        <f>IF(SUM(EK11,EO11)&gt;0,SUM(EK11,EO11),"")</f>
        <v/>
      </c>
      <c r="EV11" s="16" t="str">
        <f>IF(SUM(EJ11:EK11,EM11:EO11,EQ11)-SUM(EL11,EP11)&gt;0,SUM(EJ11:EK11,EM11:EO11,EQ11)-SUM(EL11,EP11),"")</f>
        <v/>
      </c>
      <c r="EW11" s="16" t="str">
        <f>IF(SUM(ES11,EV11)&gt;0,SUM(ES11,EV11),"")</f>
        <v/>
      </c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76" t="str">
        <f>IF(SUM(EY11,FC11)&gt;0,SUM(EY11,FC11),"")</f>
        <v/>
      </c>
      <c r="FS11" s="76" t="str">
        <f>IF(SUM(EX11:EY11,FA11:FC11,FE11)-EZ11-FD11&gt;0,SUM(EX11:EY11,FA11:FC11,FE11)-EZ11-FD11,"")</f>
        <v/>
      </c>
      <c r="FT11" s="76" t="str">
        <f>IF(SUM(FF11:FG11,FI11)-FH11&gt;0,SUM(FF11:FG11,FI11)-FH11,"")</f>
        <v/>
      </c>
      <c r="FU11" s="76" t="str">
        <f>IF(SUM(FK11,FO11)&gt;0,SUM(FK11,FO11),"")</f>
        <v/>
      </c>
      <c r="FV11" s="76" t="str">
        <f>IF(SUM(FJ11:FK11,FM11:FO11,FQ11)-SUM(FL11,FP11)&gt;0,SUM(FJ11:FK11,FM11:FO11,FQ11)-SUM(FL11,FP11),"")</f>
        <v/>
      </c>
      <c r="FW11" s="76" t="str">
        <f>IF(SUM(FS11,FV11)&gt;0,SUM(FS11,FV11),"")</f>
        <v/>
      </c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16" t="str">
        <f>IF(SUM(FY11,GC11)&gt;0,SUM(FY11,GC11),"")</f>
        <v/>
      </c>
      <c r="GS11" s="16" t="str">
        <f>IF(SUM(FX11:FY11,GA11:GC11,GE11)-FZ11-GD11&gt;0,SUM(FX11:FY11,GA11:GC11,GE11)-FZ11-GD11,"")</f>
        <v/>
      </c>
      <c r="GT11" s="16" t="str">
        <f>IF(SUM(GF11:GG11,GI11)-GH11&gt;0,SUM(GF11:GG11,GI11)-GH11,"")</f>
        <v/>
      </c>
      <c r="GU11" s="16" t="str">
        <f>IF(SUM(GK11,GO11)&gt;0,SUM(GK11,GO11),"")</f>
        <v/>
      </c>
      <c r="GV11" s="16" t="str">
        <f>IF(SUM(GJ11:GK11,GM11:GO11,GQ11)-SUM(GL11,GP11)&gt;0,SUM(GJ11:GK11,GM11:GO11,GQ11)-SUM(GL11,GP11),"")</f>
        <v/>
      </c>
      <c r="GW11" s="16" t="str">
        <f>IF(SUM(GS11,GV11)&gt;0,SUM(GS11,GV11),"")</f>
        <v/>
      </c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76" t="str">
        <f>IF(SUM(GY11,HC11)&gt;0,SUM(GY11,HC11),"")</f>
        <v/>
      </c>
      <c r="HS11" s="76" t="str">
        <f>IF(SUM(GX11:GY11,HA11:HC11,HE11)-GZ11-HD11&gt;0,SUM(GX11:GY11,HA11:HC11,HE11)-GZ11-HD11,"")</f>
        <v/>
      </c>
      <c r="HT11" s="76" t="str">
        <f>IF(SUM(HF11:HG11,HI11)-HH11&gt;0,SUM(HF11:HG11,HI11)-HH11,"")</f>
        <v/>
      </c>
      <c r="HU11" s="76" t="str">
        <f>IF(SUM(HK11,HO11)&gt;0,SUM(HK11,HO11),"")</f>
        <v/>
      </c>
      <c r="HV11" s="76" t="str">
        <f>IF(SUM(HJ11:HK11,HM11:HO11,HQ11)-SUM(HL11,HP11)&gt;0,SUM(HJ11:HK11,HM11:HO11,HQ11)-SUM(HL11,HP11),"")</f>
        <v/>
      </c>
      <c r="HW11" s="76" t="str">
        <f>IF(SUM(HS11,HV11)&gt;0,SUM(HS11,HV11),"")</f>
        <v/>
      </c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16" t="str">
        <f>IF(SUM(HY11,IC11)&gt;0,SUM(HY11,IC11),"")</f>
        <v/>
      </c>
      <c r="IS11" s="16" t="str">
        <f>IF(SUM(HX11:HY11,IA11:IC11,IE11)-HZ11-ID11&gt;0,SUM(HX11:HY11,IA11:IC11,IE11)-HZ11-ID11,"")</f>
        <v/>
      </c>
      <c r="IT11" s="16" t="str">
        <f>IF(SUM(IF11:IG11,II11)-IH11&gt;0,SUM(IF11:IG11,II11)-IH11,"")</f>
        <v/>
      </c>
      <c r="IU11" s="16" t="str">
        <f>IF(SUM(IK11,IO11)&gt;0,SUM(IK11,IO11),"")</f>
        <v/>
      </c>
      <c r="IV11" s="16" t="str">
        <f>IF(SUM(IJ11:IK11,IM11:IO11,IQ11)-SUM(IL11,IP11)&gt;0,SUM(IJ11:IK11,IM11:IO11,IQ11)-SUM(IL11,IP11),"")</f>
        <v/>
      </c>
      <c r="IW11" s="16" t="str">
        <f>IF(SUM(IS11,IV11)&gt;0,SUM(IS11,IV11),"")</f>
        <v/>
      </c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76" t="str">
        <f>IF(SUM(IY11,JC11)&gt;0,SUM(IY11,JC11),"")</f>
        <v/>
      </c>
      <c r="JS11" s="76" t="str">
        <f>IF(SUM(IX11:IY11,JA11:JC11,JE11)-IZ11-JD11&gt;0,SUM(IX11:IY11,JA11:JC11,JE11)-IZ11-JD11,"")</f>
        <v/>
      </c>
      <c r="JT11" s="76" t="str">
        <f>IF(SUM(JF11:JG11,JI11)-JH11&gt;0,SUM(JF11:JG11,JI11)-JH11,"")</f>
        <v/>
      </c>
      <c r="JU11" s="76" t="str">
        <f>IF(SUM(JK11,JO11)&gt;0,SUM(JK11,JO11),"")</f>
        <v/>
      </c>
      <c r="JV11" s="76" t="str">
        <f>IF(SUM(JJ11:JK11,JM11:JO11,JQ11)-SUM(JL11,JP11)&gt;0,SUM(JJ11:JK11,JM11:JO11,JQ11)-SUM(JL11,JP11),"")</f>
        <v/>
      </c>
      <c r="JW11" s="76" t="str">
        <f>IF(SUM(JS11,JV11)&gt;0,SUM(JS11,JV11),"")</f>
        <v/>
      </c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16" t="str">
        <f>IF(SUM(JY11,KC11)&gt;0,SUM(JY11,KC11),"")</f>
        <v/>
      </c>
      <c r="KS11" s="16" t="str">
        <f>IF(SUM(JX11:JY11,KA11:KC11,KE11)-JZ11-KD11&gt;0,SUM(JX11:JY11,KA11:KC11,KE11)-JZ11-KD11,"")</f>
        <v/>
      </c>
      <c r="KT11" s="16" t="str">
        <f>IF(SUM(KF11:KG11,KI11)-KH11&gt;0,SUM(KF11:KG11,KI11)-KH11,"")</f>
        <v/>
      </c>
      <c r="KU11" s="16" t="str">
        <f>IF(SUM(KK11,KO11)&gt;0,SUM(KK11,KO11),"")</f>
        <v/>
      </c>
      <c r="KV11" s="16" t="str">
        <f>IF(SUM(KJ11:KK11,KM11:KO11,KQ11)-SUM(KL11,KP11)&gt;0,SUM(KJ11:KK11,KM11:KO11,KQ11)-SUM(KL11,KP11),"")</f>
        <v/>
      </c>
      <c r="KW11" s="16" t="str">
        <f>IF(SUM(KS11,KV11)&gt;0,SUM(KS11,KV11),"")</f>
        <v/>
      </c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76" t="str">
        <f>IF(SUM(KY11,LC11)&gt;0,SUM(KY11,LC11),"")</f>
        <v/>
      </c>
      <c r="LS11" s="76" t="str">
        <f>IF(SUM(KX11:KY11,LA11:LC11,LE11)-KZ11-LD11&gt;0,SUM(KX11:KY11,LA11:LC11,LE11)-KZ11-LD11,"")</f>
        <v/>
      </c>
      <c r="LT11" s="76" t="str">
        <f>IF(SUM(LF11:LG11,LI11)-LH11&gt;0,SUM(LF11:LG11,LI11)-LH11,"")</f>
        <v/>
      </c>
      <c r="LU11" s="76" t="str">
        <f>IF(SUM(LK11,LO11)&gt;0,SUM(LK11,LO11),"")</f>
        <v/>
      </c>
      <c r="LV11" s="76" t="str">
        <f>IF(SUM(LJ11:LK11,LM11:LO11,LQ11)-SUM(LL11,LP11)&gt;0,SUM(LJ11:LK11,LM11:LO11,LQ11)-SUM(LL11,LP11),"")</f>
        <v/>
      </c>
      <c r="LW11" s="76" t="str">
        <f>IF(SUM(LS11,LV11)&gt;0,SUM(LS11,LV11),"")</f>
        <v/>
      </c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16" t="str">
        <f>IF(SUM(LY11,MC11)&gt;0,SUM(LY11,MC11),"")</f>
        <v/>
      </c>
      <c r="MS11" s="16" t="str">
        <f>IF(SUM(LX11:LY11,MA11:MC11,ME11)-LZ11-MD11&gt;0,SUM(LX11:LY11,MA11:MC11,ME11)-LZ11-MD11,"")</f>
        <v/>
      </c>
      <c r="MT11" s="16" t="str">
        <f>IF(SUM(MF11:MG11,MI11)-MH11&gt;0,SUM(MF11:MG11,MI11)-MH11,"")</f>
        <v/>
      </c>
      <c r="MU11" s="16" t="str">
        <f>IF(SUM(MK11,MO11)&gt;0,SUM(MK11,MO11),"")</f>
        <v/>
      </c>
      <c r="MV11" s="16" t="str">
        <f>IF(SUM(MJ11:MK11,MM11:MO11,MQ11)-SUM(ML11,MP11)&gt;0,SUM(MJ11:MK11,MM11:MO11,MQ11)-SUM(ML11,MP11),"")</f>
        <v/>
      </c>
      <c r="MW11" s="16" t="str">
        <f>IF(SUM(MS11,MV11)&gt;0,SUM(MS11,MV11),"")</f>
        <v/>
      </c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76" t="str">
        <f>IF(SUM(MY11,NC11)&gt;0,SUM(MY11,NC11),"")</f>
        <v/>
      </c>
      <c r="NS11" s="76" t="str">
        <f>IF(SUM(MX11:MY11,NA11:NC11,NE11)-MZ11-ND11&gt;0,SUM(MX11:MY11,NA11:NC11,NE11)-MZ11-ND11,"")</f>
        <v/>
      </c>
      <c r="NT11" s="76" t="str">
        <f>IF(SUM(NF11:NG11,NI11)-NH11&gt;0,SUM(NF11:NG11,NI11)-NH11,"")</f>
        <v/>
      </c>
      <c r="NU11" s="76" t="str">
        <f>IF(SUM(NK11,NO11)&gt;0,SUM(NK11,NO11),"")</f>
        <v/>
      </c>
      <c r="NV11" s="76" t="str">
        <f>IF(SUM(NJ11:NK11,NM11:NO11,NQ11)-SUM(NL11,NP11)&gt;0,SUM(NJ11:NK11,NM11:NO11,NQ11)-SUM(NL11,NP11),"")</f>
        <v/>
      </c>
      <c r="NW11" s="76" t="str">
        <f>IF(SUM(NS11,NV11)&gt;0,SUM(NS11,NV11),"")</f>
        <v/>
      </c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6"/>
      <c r="OR11" s="16" t="str">
        <f>IF(SUM(NY11,OC11)&gt;0,SUM(NY11,OC11),"")</f>
        <v/>
      </c>
      <c r="OS11" s="16" t="str">
        <f>IF(SUM(NX11:NY11,OA11:OC11,OE11)-NZ11-OD11&gt;0,SUM(NX11:NY11,OA11:OC11,OE11)-NZ11-OD11,"")</f>
        <v/>
      </c>
      <c r="OT11" s="16" t="str">
        <f>IF(SUM(OF11:OG11,OI11)-OH11&gt;0,SUM(OF11:OG11,OI11)-OH11,"")</f>
        <v/>
      </c>
      <c r="OU11" s="16" t="str">
        <f>IF(SUM(OK11,OO11)&gt;0,SUM(OK11,OO11),"")</f>
        <v/>
      </c>
      <c r="OV11" s="16" t="str">
        <f>IF(SUM(OJ11:OK11,OM11:OO11,OQ11)-SUM(OL11,OP11)&gt;0,SUM(OJ11:OK11,OM11:OO11,OQ11)-SUM(OL11,OP11),"")</f>
        <v/>
      </c>
      <c r="OW11" s="16" t="str">
        <f>IF(SUM(OS11,OV11)&gt;0,SUM(OS11,OV11),"")</f>
        <v/>
      </c>
      <c r="OX11" s="42">
        <f>IF($CO11="P",BU11,(BU11+AT11)/2)</f>
        <v>8.6</v>
      </c>
      <c r="OY11" s="42">
        <f>IF($CO11="P",BV11,(BV11+AU11)/2)</f>
        <v>2.15</v>
      </c>
      <c r="OZ11" s="42">
        <f>IF($CO11="P",BW11,(BW11+AV11)/2)</f>
        <v>0</v>
      </c>
      <c r="PA11" s="42">
        <f>IF($CO11="P",BX11,(BX11+AW11)/2)</f>
        <v>0.15</v>
      </c>
      <c r="PB11" s="42">
        <f>IF($CO11="P",BY11,(BY11+AX11)/2)</f>
        <v>8.6999999999999993</v>
      </c>
      <c r="PC11" s="42">
        <f>IF($CO11="P",BZ11,(BZ11+AY11)/2)</f>
        <v>2.0499999999999998</v>
      </c>
      <c r="PD11" s="42">
        <f>IF($CO11="P",CA11,(CA11+AZ11)/2)</f>
        <v>0</v>
      </c>
      <c r="PE11" s="42">
        <f>IF($CO11="P",CB11,(CB11+BA11)/2)</f>
        <v>0.15</v>
      </c>
      <c r="PF11" s="42">
        <f>IF($CO11="P",CC11,(CC11+BB11)/2)</f>
        <v>0</v>
      </c>
      <c r="PG11" s="42">
        <f>IF($CO11="P",CD11,(CD11+BC11)/2)</f>
        <v>0</v>
      </c>
      <c r="PH11" s="42">
        <f>IF($CO11="P",CE11,(CE11+BD11)/2)</f>
        <v>0</v>
      </c>
      <c r="PI11" s="42">
        <f>IF($CO11="P",CF11,(CF11+BE11)/2)</f>
        <v>0</v>
      </c>
      <c r="PJ11" s="42">
        <f>IF($CO11="P",CG11,(CG11+BF11)/2)</f>
        <v>8.8000000000000007</v>
      </c>
      <c r="PK11" s="42">
        <f>IF($CO11="P",CH11,(CH11+BG11)/2)</f>
        <v>2.15</v>
      </c>
      <c r="PL11" s="42">
        <f>IF($CO11="P",CI11,(CI11+BH11)/2)</f>
        <v>0</v>
      </c>
      <c r="PM11" s="42">
        <f>IF($CO11="P",CJ11,(CJ11+BI11)/2)</f>
        <v>0.15</v>
      </c>
      <c r="PN11" s="42">
        <f>IF($CO11="P",CK11,(CK11+BJ11)/2)</f>
        <v>8.8000000000000007</v>
      </c>
      <c r="PO11" s="42">
        <f>IF($CO11="P",CL11,(CL11+BK11)/2)</f>
        <v>2.0499999999999998</v>
      </c>
      <c r="PP11" s="42">
        <f>IF($CO11="P",CM11,(CM11+BL11)/2)</f>
        <v>0</v>
      </c>
      <c r="PQ11" s="42">
        <f>IF($CO11="P",CN11,(CN11+BM11)/2)</f>
        <v>0.15</v>
      </c>
      <c r="PR11" s="51" t="s">
        <v>58</v>
      </c>
      <c r="PS11" s="76">
        <f>IF(SUM(OY11,PC11)&gt;0,SUM(OY11,PC11),"")</f>
        <v>4.1999999999999993</v>
      </c>
      <c r="PT11" s="76">
        <f>IF(SUM(OX11:OY11,PA11:PC11,PE11)-OZ11-PD11&gt;0,SUM(OX11:OY11,PA11:PC11,PE11)-OZ11-PD11,"")</f>
        <v>21.8</v>
      </c>
      <c r="PU11" s="76" t="str">
        <f>IF(SUM(PF11:PG11,PI11)-PH11&gt;0,SUM(PF11:PG11,PI11)-PH11,"")</f>
        <v/>
      </c>
      <c r="PV11" s="76">
        <f>IF(SUM(PK11,PO11)&gt;0,SUM(PK11,PO11),"")</f>
        <v>4.1999999999999993</v>
      </c>
      <c r="PW11" s="76">
        <f>IF(SUM(PJ11:PK11,PM11:PO11,PQ11)-SUM(PL11,PP11)&gt;0,SUM(PJ11:PK11,PM11:PO11,PQ11)-SUM(PL11,PP11),"")</f>
        <v>22.1</v>
      </c>
      <c r="PX11" s="76">
        <f>IF(SUM(PT11,PW11)&gt;0,SUM(PT11,PW11),"")</f>
        <v>43.900000000000006</v>
      </c>
    </row>
    <row r="12" spans="1:440" ht="17" x14ac:dyDescent="0.2">
      <c r="P12" s="15"/>
      <c r="Q12" s="15"/>
      <c r="R12" s="15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</row>
    <row r="13" spans="1:440" ht="17" x14ac:dyDescent="0.2">
      <c r="P13" s="15"/>
      <c r="Q13" s="15"/>
      <c r="R13" s="15"/>
    </row>
    <row r="14" spans="1:440" ht="17" x14ac:dyDescent="0.2">
      <c r="B14" s="43" t="s">
        <v>55</v>
      </c>
      <c r="P14" s="15"/>
      <c r="Q14" s="15"/>
      <c r="R14" s="15"/>
      <c r="AN14" s="7"/>
      <c r="AS14" s="78">
        <v>8.6</v>
      </c>
      <c r="BO14" s="7"/>
      <c r="BT14" s="78">
        <v>8.6</v>
      </c>
      <c r="CP14" s="7"/>
      <c r="CU14" s="78">
        <v>8.6</v>
      </c>
      <c r="DR14" s="7"/>
      <c r="DW14" s="78">
        <v>1E-4</v>
      </c>
      <c r="ER14" s="7"/>
      <c r="EW14" s="78">
        <v>8.6</v>
      </c>
      <c r="FR14" s="7"/>
      <c r="FW14" s="78">
        <v>8.6</v>
      </c>
      <c r="GR14" s="7"/>
      <c r="GW14" s="78">
        <v>8.6</v>
      </c>
      <c r="HR14" s="7"/>
      <c r="HW14" s="78">
        <v>8.6</v>
      </c>
      <c r="IR14" s="7"/>
      <c r="IW14" s="78">
        <v>8.6</v>
      </c>
      <c r="JR14" s="7"/>
      <c r="JW14" s="78">
        <v>8.6</v>
      </c>
      <c r="KR14" s="7"/>
      <c r="KW14" s="78">
        <v>8.6</v>
      </c>
      <c r="LR14" s="7"/>
      <c r="LW14" s="78">
        <v>8.6</v>
      </c>
      <c r="MR14" s="7"/>
      <c r="MW14" s="78">
        <v>8.6</v>
      </c>
      <c r="NR14" s="7"/>
      <c r="NW14" s="78">
        <v>8.6</v>
      </c>
      <c r="OR14" s="7"/>
      <c r="OW14" s="78">
        <v>8.6</v>
      </c>
    </row>
    <row r="15" spans="1:440" ht="17" x14ac:dyDescent="0.2">
      <c r="B15" s="54" t="s">
        <v>54</v>
      </c>
      <c r="P15" s="15"/>
      <c r="Q15" s="15"/>
      <c r="R15" s="15"/>
      <c r="AN15" s="7"/>
      <c r="AS15" s="93">
        <v>8.6</v>
      </c>
      <c r="BO15" s="7"/>
      <c r="BT15" s="93">
        <v>8.6</v>
      </c>
      <c r="CP15" s="7"/>
      <c r="CU15" s="93">
        <v>8.6</v>
      </c>
      <c r="DR15" s="7"/>
      <c r="DW15" s="93">
        <v>2.0000000000000001E-4</v>
      </c>
      <c r="ER15" s="7"/>
      <c r="EW15" s="93">
        <v>8.6</v>
      </c>
      <c r="FR15" s="7"/>
      <c r="FW15" s="93">
        <v>8.6</v>
      </c>
      <c r="GR15" s="7"/>
      <c r="GW15" s="93">
        <v>8.6</v>
      </c>
      <c r="HR15" s="7"/>
      <c r="HW15" s="93">
        <v>8.6</v>
      </c>
      <c r="IR15" s="7"/>
      <c r="IW15" s="93">
        <v>8.6</v>
      </c>
      <c r="JR15" s="7"/>
      <c r="JW15" s="93">
        <v>8.6</v>
      </c>
      <c r="KR15" s="7"/>
      <c r="KW15" s="93">
        <v>8.6</v>
      </c>
      <c r="LR15" s="7"/>
      <c r="LW15" s="93">
        <v>8.6</v>
      </c>
      <c r="MR15" s="7"/>
      <c r="MW15" s="93">
        <v>8.6</v>
      </c>
      <c r="NR15" s="7"/>
      <c r="NW15" s="93">
        <v>8.6</v>
      </c>
      <c r="OR15" s="7"/>
      <c r="OW15" s="93">
        <v>8.6</v>
      </c>
    </row>
    <row r="16" spans="1:440" ht="17" x14ac:dyDescent="0.2">
      <c r="A16" s="35"/>
      <c r="B16" s="55" t="s">
        <v>68</v>
      </c>
      <c r="C16" s="34"/>
      <c r="P16" s="15"/>
      <c r="Q16" s="15"/>
      <c r="R16" s="15"/>
      <c r="AN16" s="7"/>
      <c r="AS16" s="80">
        <v>8.6</v>
      </c>
      <c r="BO16" s="7"/>
      <c r="BT16" s="80">
        <v>8.6</v>
      </c>
      <c r="CP16" s="7"/>
      <c r="CU16" s="80">
        <v>8.6</v>
      </c>
      <c r="DR16" s="7"/>
      <c r="DW16" s="80">
        <v>2.9999999999999997E-4</v>
      </c>
      <c r="ER16" s="7"/>
      <c r="EW16" s="80">
        <v>8.6</v>
      </c>
      <c r="FR16" s="7"/>
      <c r="FW16" s="80">
        <v>8.6</v>
      </c>
      <c r="GR16" s="7"/>
      <c r="GW16" s="80">
        <v>8.6</v>
      </c>
      <c r="HR16" s="7"/>
      <c r="HW16" s="80">
        <v>8.6</v>
      </c>
      <c r="IR16" s="7"/>
      <c r="IW16" s="80">
        <v>8.6</v>
      </c>
      <c r="JR16" s="7"/>
      <c r="JW16" s="80">
        <v>8.6</v>
      </c>
      <c r="KR16" s="7"/>
      <c r="KW16" s="80">
        <v>8.6</v>
      </c>
      <c r="LR16" s="7"/>
      <c r="LW16" s="80">
        <v>8.6</v>
      </c>
      <c r="MR16" s="7"/>
      <c r="MW16" s="80">
        <v>8.6</v>
      </c>
      <c r="NR16" s="7"/>
      <c r="NW16" s="80">
        <v>8.6</v>
      </c>
      <c r="OR16" s="7"/>
      <c r="OW16" s="80">
        <v>8.6</v>
      </c>
    </row>
    <row r="17" spans="1:413" ht="17" x14ac:dyDescent="0.2">
      <c r="A17" s="35"/>
      <c r="B17" s="66" t="s">
        <v>81</v>
      </c>
      <c r="C17" s="34"/>
      <c r="P17" s="15"/>
      <c r="Q17" s="15"/>
      <c r="R17" s="15"/>
      <c r="AN17" s="7"/>
      <c r="AS17" s="81">
        <v>10.6</v>
      </c>
      <c r="BO17" s="7"/>
      <c r="BT17" s="81">
        <v>10.6</v>
      </c>
      <c r="CP17" s="7"/>
      <c r="CU17" s="81">
        <v>10.6</v>
      </c>
      <c r="DR17" s="7"/>
      <c r="DW17" s="81">
        <v>2.9999999999999997E-4</v>
      </c>
      <c r="ER17" s="7"/>
      <c r="EW17" s="81">
        <v>10.6</v>
      </c>
      <c r="FR17" s="7"/>
      <c r="FW17" s="81">
        <v>10.6</v>
      </c>
      <c r="GR17" s="7"/>
      <c r="GW17" s="81">
        <v>10.6</v>
      </c>
      <c r="HR17" s="7"/>
      <c r="HW17" s="81">
        <v>10.6</v>
      </c>
      <c r="IR17" s="7"/>
      <c r="IW17" s="81">
        <v>10.6</v>
      </c>
      <c r="JR17" s="7"/>
      <c r="JW17" s="81">
        <v>10.6</v>
      </c>
      <c r="KR17" s="7"/>
      <c r="KW17" s="81">
        <v>10.6</v>
      </c>
      <c r="LR17" s="7"/>
      <c r="LW17" s="81">
        <v>10.6</v>
      </c>
      <c r="MR17" s="7"/>
      <c r="MW17" s="81">
        <v>10.6</v>
      </c>
      <c r="NR17" s="7"/>
      <c r="NW17" s="81">
        <v>10.6</v>
      </c>
      <c r="OR17" s="7"/>
      <c r="OW17" s="81">
        <v>10.6</v>
      </c>
    </row>
    <row r="18" spans="1:413" ht="17" x14ac:dyDescent="0.2">
      <c r="A18" s="35"/>
      <c r="B18" s="65" t="s">
        <v>52</v>
      </c>
      <c r="C18" s="34"/>
      <c r="P18" s="15"/>
      <c r="Q18" s="15"/>
      <c r="R18" s="15"/>
      <c r="AN18" s="7"/>
      <c r="AS18" s="82">
        <v>42.6</v>
      </c>
      <c r="BO18" s="7"/>
      <c r="BT18" s="82">
        <v>42.6</v>
      </c>
      <c r="CP18" s="7"/>
      <c r="CU18" s="82">
        <v>42.6</v>
      </c>
      <c r="DR18" s="7"/>
      <c r="DW18" s="82">
        <v>4.0000000000000002E-4</v>
      </c>
      <c r="ER18" s="7"/>
      <c r="EW18" s="82">
        <v>42.6</v>
      </c>
      <c r="FR18" s="7"/>
      <c r="FW18" s="82">
        <v>42.6</v>
      </c>
      <c r="GR18" s="7"/>
      <c r="GW18" s="82">
        <v>42.6</v>
      </c>
      <c r="HR18" s="7"/>
      <c r="HW18" s="82">
        <v>42.6</v>
      </c>
      <c r="IR18" s="7"/>
      <c r="IW18" s="82">
        <v>42.6</v>
      </c>
      <c r="JR18" s="7"/>
      <c r="JW18" s="82">
        <v>42.6</v>
      </c>
      <c r="KR18" s="7"/>
      <c r="KW18" s="82">
        <v>42.6</v>
      </c>
      <c r="LR18" s="7"/>
      <c r="LW18" s="82">
        <v>42.6</v>
      </c>
      <c r="MR18" s="7"/>
      <c r="MW18" s="82">
        <v>42.6</v>
      </c>
      <c r="NR18" s="7"/>
      <c r="NW18" s="82">
        <v>42.6</v>
      </c>
      <c r="OR18" s="7"/>
      <c r="OW18" s="82">
        <v>42.6</v>
      </c>
    </row>
    <row r="19" spans="1:413" ht="17" x14ac:dyDescent="0.2">
      <c r="A19" s="35"/>
      <c r="B19" s="44" t="s">
        <v>53</v>
      </c>
      <c r="C19" s="34"/>
      <c r="P19" s="15"/>
      <c r="Q19" s="15"/>
      <c r="R19" s="15"/>
      <c r="AN19" s="7"/>
      <c r="AS19" s="83">
        <v>43.4</v>
      </c>
      <c r="BO19" s="7"/>
      <c r="BT19" s="83">
        <v>43.4</v>
      </c>
      <c r="CP19" s="7"/>
      <c r="CU19" s="83">
        <v>43.4</v>
      </c>
      <c r="DR19" s="7"/>
      <c r="DW19" s="83">
        <v>4.0000000000000002E-4</v>
      </c>
      <c r="ER19" s="7"/>
      <c r="EW19" s="83">
        <v>43.4</v>
      </c>
      <c r="FR19" s="7"/>
      <c r="FW19" s="83">
        <v>43.4</v>
      </c>
      <c r="GR19" s="7"/>
      <c r="GW19" s="83">
        <v>43.4</v>
      </c>
      <c r="HR19" s="7"/>
      <c r="HW19" s="83">
        <v>43.4</v>
      </c>
      <c r="IR19" s="7"/>
      <c r="IW19" s="83">
        <v>43.4</v>
      </c>
      <c r="JR19" s="7"/>
      <c r="JW19" s="83">
        <v>43.4</v>
      </c>
      <c r="KR19" s="7"/>
      <c r="KW19" s="83">
        <v>43.4</v>
      </c>
      <c r="LR19" s="7"/>
      <c r="LW19" s="83">
        <v>43.4</v>
      </c>
      <c r="MR19" s="7"/>
      <c r="MW19" s="83">
        <v>43.4</v>
      </c>
      <c r="NR19" s="7"/>
      <c r="NW19" s="83">
        <v>43.4</v>
      </c>
      <c r="OR19" s="7"/>
      <c r="OW19" s="83">
        <v>43.4</v>
      </c>
    </row>
    <row r="20" spans="1:413" ht="17" x14ac:dyDescent="0.2">
      <c r="A20" s="35"/>
      <c r="B20" s="64" t="s">
        <v>67</v>
      </c>
      <c r="C20" s="34"/>
      <c r="P20" s="15"/>
      <c r="Q20" s="15"/>
      <c r="R20" s="15"/>
      <c r="AN20" s="7"/>
      <c r="AS20" s="84">
        <v>44.6</v>
      </c>
      <c r="BO20" s="7"/>
      <c r="BT20" s="84">
        <v>44.6</v>
      </c>
      <c r="CP20" s="7"/>
      <c r="CU20" s="84">
        <v>44.6</v>
      </c>
      <c r="DR20" s="7"/>
      <c r="DW20" s="84">
        <v>4.0000000000000002E-4</v>
      </c>
      <c r="ER20" s="7"/>
      <c r="EW20" s="84">
        <v>44.6</v>
      </c>
      <c r="FR20" s="7"/>
      <c r="FW20" s="84">
        <v>44.6</v>
      </c>
      <c r="GR20" s="7"/>
      <c r="GW20" s="84">
        <v>44.6</v>
      </c>
      <c r="HR20" s="7"/>
      <c r="HW20" s="84">
        <v>44.6</v>
      </c>
      <c r="IR20" s="7"/>
      <c r="IW20" s="84">
        <v>44.6</v>
      </c>
      <c r="JR20" s="7"/>
      <c r="JW20" s="84">
        <v>44.6</v>
      </c>
      <c r="KR20" s="7"/>
      <c r="KW20" s="84">
        <v>44.6</v>
      </c>
      <c r="LR20" s="7"/>
      <c r="LW20" s="84">
        <v>44.6</v>
      </c>
      <c r="MR20" s="7"/>
      <c r="MW20" s="84">
        <v>44.6</v>
      </c>
      <c r="NR20" s="7"/>
      <c r="NW20" s="84">
        <v>44.6</v>
      </c>
      <c r="OR20" s="7"/>
      <c r="OW20" s="84">
        <v>44.6</v>
      </c>
    </row>
    <row r="21" spans="1:413" ht="17" x14ac:dyDescent="0.2">
      <c r="A21" s="35"/>
      <c r="B21" s="45" t="s">
        <v>36</v>
      </c>
      <c r="C21" s="34"/>
      <c r="P21" s="15"/>
      <c r="Q21" s="15"/>
      <c r="R21" s="15"/>
      <c r="AN21" s="7"/>
      <c r="AS21" s="85">
        <v>46</v>
      </c>
      <c r="BO21" s="7"/>
      <c r="BT21" s="85">
        <v>46</v>
      </c>
      <c r="CP21" s="7"/>
      <c r="CU21" s="85">
        <v>46</v>
      </c>
      <c r="DR21" s="7"/>
      <c r="DT21" s="70" t="s">
        <v>155</v>
      </c>
      <c r="DW21" s="85">
        <v>4.0000000000000002E-4</v>
      </c>
      <c r="ER21" s="7"/>
      <c r="EW21" s="85">
        <v>46</v>
      </c>
      <c r="FR21" s="7"/>
      <c r="FW21" s="85">
        <v>46</v>
      </c>
      <c r="GR21" s="7"/>
      <c r="GW21" s="85">
        <v>46</v>
      </c>
      <c r="HR21" s="7"/>
      <c r="HW21" s="85">
        <v>46</v>
      </c>
      <c r="IR21" s="7"/>
      <c r="IW21" s="85">
        <v>46</v>
      </c>
      <c r="JR21" s="7"/>
      <c r="JW21" s="85">
        <v>46</v>
      </c>
      <c r="KR21" s="7"/>
      <c r="KW21" s="85">
        <v>46</v>
      </c>
      <c r="LR21" s="7"/>
      <c r="LW21" s="85">
        <v>46</v>
      </c>
      <c r="MR21" s="7"/>
      <c r="MW21" s="85">
        <v>46</v>
      </c>
      <c r="NR21" s="7"/>
      <c r="NW21" s="85">
        <v>46</v>
      </c>
      <c r="OR21" s="7"/>
      <c r="OW21" s="85">
        <v>46</v>
      </c>
    </row>
    <row r="22" spans="1:413" x14ac:dyDescent="0.2">
      <c r="B22" s="53" t="s">
        <v>59</v>
      </c>
      <c r="C22" s="2"/>
    </row>
    <row r="23" spans="1:413" x14ac:dyDescent="0.2">
      <c r="A23" s="35"/>
      <c r="B23" s="35"/>
      <c r="C23" s="34"/>
    </row>
    <row r="24" spans="1:413" x14ac:dyDescent="0.2">
      <c r="A24" s="35"/>
      <c r="B24" s="35"/>
      <c r="C24" s="34"/>
    </row>
    <row r="25" spans="1:413" x14ac:dyDescent="0.2">
      <c r="A25" s="35"/>
      <c r="B25" s="35"/>
      <c r="C25" s="34"/>
    </row>
    <row r="26" spans="1:413" x14ac:dyDescent="0.2">
      <c r="A26" s="6"/>
      <c r="B26" s="6"/>
      <c r="C26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11">
      <sortCondition descending="1" ref="F1:F12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11">
    <cfRule type="expression" dxfId="91" priority="5" stopIfTrue="1">
      <formula>IF($AM4&lt;&gt;"",1,0)</formula>
    </cfRule>
  </conditionalFormatting>
  <conditionalFormatting sqref="AT4:BT11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11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BT$17</formula>
      <formula>1000</formula>
    </cfRule>
    <cfRule type="cellIs" dxfId="78" priority="49847" operator="between">
      <formula>BT$16</formula>
      <formula>BT$17</formula>
    </cfRule>
    <cfRule type="cellIs" dxfId="77" priority="49848" operator="between">
      <formula>BT$15</formula>
      <formula>BT$16</formula>
    </cfRule>
    <cfRule type="cellIs" dxfId="76" priority="49849" operator="between">
      <formula>BT$14</formula>
      <formula>BT$15</formula>
    </cfRule>
  </conditionalFormatting>
  <conditionalFormatting sqref="AN1:AN1048576">
    <cfRule type="cellIs" dxfId="75" priority="57242" operator="between">
      <formula>AS$17</formula>
      <formula>1000</formula>
    </cfRule>
    <cfRule type="cellIs" dxfId="74" priority="57243" operator="between">
      <formula>AS$16</formula>
      <formula>AS$17</formula>
    </cfRule>
    <cfRule type="cellIs" dxfId="73" priority="57244" operator="between">
      <formula>AS$15</formula>
      <formula>AS$16</formula>
    </cfRule>
    <cfRule type="cellIs" dxfId="72" priority="57245" operator="between">
      <formula>AS$14</formula>
      <formula>AS$15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BT$21</formula>
      <formula>1000</formula>
    </cfRule>
    <cfRule type="cellIs" dxfId="70" priority="50027" operator="between">
      <formula>BT$20</formula>
      <formula>BT$21</formula>
    </cfRule>
    <cfRule type="cellIs" dxfId="69" priority="50028" operator="between">
      <formula>BT$19</formula>
      <formula>BT$20</formula>
    </cfRule>
    <cfRule type="cellIs" dxfId="68" priority="50029" operator="between">
      <formula>BT$18</formula>
      <formula>BT$19</formula>
    </cfRule>
  </conditionalFormatting>
  <conditionalFormatting sqref="AO1:AO1048576">
    <cfRule type="cellIs" dxfId="67" priority="57246" operator="between">
      <formula>AS$21</formula>
      <formula>1000</formula>
    </cfRule>
    <cfRule type="cellIs" dxfId="66" priority="57247" operator="between">
      <formula>AS$20</formula>
      <formula>AS$21</formula>
    </cfRule>
    <cfRule type="cellIs" dxfId="65" priority="57248" operator="between">
      <formula>AS$19</formula>
      <formula>AS$20</formula>
    </cfRule>
    <cfRule type="cellIs" dxfId="64" priority="57249" operator="between">
      <formula>AS$18</formula>
      <formula>AS$19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AS$14</formula>
      <formula>AS$15</formula>
    </cfRule>
    <cfRule type="cellIs" dxfId="62" priority="7" operator="between">
      <formula>AS$15</formula>
      <formula>AS$16</formula>
    </cfRule>
    <cfRule type="cellIs" dxfId="61" priority="8" operator="between">
      <formula>AS$16</formula>
      <formula>AS$17</formula>
    </cfRule>
    <cfRule type="cellIs" dxfId="60" priority="9" operator="between">
      <formula>AS$17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AS$18</formula>
      <formula>AS$19</formula>
    </cfRule>
    <cfRule type="cellIs" dxfId="58" priority="2" operator="between">
      <formula>AS$19</formula>
      <formula>AS$20</formula>
    </cfRule>
    <cfRule type="cellIs" dxfId="57" priority="3" operator="between">
      <formula>AS$20</formula>
      <formula>AS$21</formula>
    </cfRule>
    <cfRule type="cellIs" dxfId="56" priority="4" operator="between">
      <formula>AS$21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9" t="s">
        <v>138</v>
      </c>
      <c r="O1" s="117" t="s">
        <v>34</v>
      </c>
      <c r="P1" s="119" t="s">
        <v>139</v>
      </c>
      <c r="Q1" s="117" t="s">
        <v>34</v>
      </c>
      <c r="R1" s="117" t="s">
        <v>13</v>
      </c>
      <c r="S1" s="117" t="s">
        <v>34</v>
      </c>
      <c r="T1" s="121" t="s">
        <v>14</v>
      </c>
      <c r="U1" s="117" t="s">
        <v>35</v>
      </c>
      <c r="V1" s="117" t="s">
        <v>34</v>
      </c>
      <c r="W1" s="114" t="s">
        <v>127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209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65</v>
      </c>
      <c r="DG1" s="116"/>
      <c r="DH1" s="116"/>
      <c r="DI1" s="114" t="s">
        <v>103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153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156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157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173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178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181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69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128</v>
      </c>
      <c r="X2" s="112"/>
      <c r="Y2" s="112"/>
      <c r="Z2" s="112"/>
      <c r="AA2" s="112" t="s">
        <v>129</v>
      </c>
      <c r="AB2" s="112"/>
      <c r="AC2" s="112"/>
      <c r="AD2" s="112"/>
      <c r="AE2" s="112" t="s">
        <v>130</v>
      </c>
      <c r="AF2" s="112"/>
      <c r="AG2" s="112"/>
      <c r="AH2" s="112"/>
      <c r="AI2" s="112" t="s">
        <v>131</v>
      </c>
      <c r="AJ2" s="112"/>
      <c r="AK2" s="112"/>
      <c r="AL2" s="112"/>
      <c r="AM2" s="122" t="s">
        <v>132</v>
      </c>
      <c r="AN2" s="122"/>
      <c r="AO2" s="122"/>
      <c r="AP2" s="122"/>
      <c r="AQ2" s="88"/>
      <c r="AR2" s="88" t="s">
        <v>133</v>
      </c>
      <c r="AS2" s="88" t="s">
        <v>134</v>
      </c>
      <c r="AT2" s="88" t="s">
        <v>130</v>
      </c>
      <c r="AU2" s="94" t="s">
        <v>140</v>
      </c>
      <c r="AV2" s="94" t="s">
        <v>24</v>
      </c>
      <c r="AW2" s="88" t="s">
        <v>71</v>
      </c>
      <c r="AX2" s="88" t="s">
        <v>135</v>
      </c>
      <c r="AY2" s="88" t="s">
        <v>18</v>
      </c>
      <c r="AZ2" s="113" t="s">
        <v>128</v>
      </c>
      <c r="BA2" s="113"/>
      <c r="BB2" s="113"/>
      <c r="BC2" s="113"/>
      <c r="BD2" s="113" t="s">
        <v>129</v>
      </c>
      <c r="BE2" s="113"/>
      <c r="BF2" s="113"/>
      <c r="BG2" s="113"/>
      <c r="BH2" s="113" t="s">
        <v>130</v>
      </c>
      <c r="BI2" s="113"/>
      <c r="BJ2" s="113"/>
      <c r="BK2" s="113"/>
      <c r="BL2" s="113" t="s">
        <v>131</v>
      </c>
      <c r="BM2" s="113"/>
      <c r="BN2" s="113"/>
      <c r="BO2" s="113"/>
      <c r="BP2" s="123" t="s">
        <v>132</v>
      </c>
      <c r="BQ2" s="123"/>
      <c r="BR2" s="123"/>
      <c r="BS2" s="123"/>
      <c r="BT2" s="89"/>
      <c r="BU2" s="89" t="s">
        <v>133</v>
      </c>
      <c r="BV2" s="89" t="s">
        <v>134</v>
      </c>
      <c r="BW2" s="89" t="s">
        <v>130</v>
      </c>
      <c r="BX2" s="95" t="s">
        <v>140</v>
      </c>
      <c r="BY2" s="95" t="s">
        <v>24</v>
      </c>
      <c r="BZ2" s="89" t="s">
        <v>71</v>
      </c>
      <c r="CA2" s="89" t="s">
        <v>135</v>
      </c>
      <c r="CB2" s="89" t="s">
        <v>18</v>
      </c>
      <c r="CC2" s="112" t="s">
        <v>128</v>
      </c>
      <c r="CD2" s="112"/>
      <c r="CE2" s="112"/>
      <c r="CF2" s="112"/>
      <c r="CG2" s="112" t="s">
        <v>129</v>
      </c>
      <c r="CH2" s="112"/>
      <c r="CI2" s="112"/>
      <c r="CJ2" s="112"/>
      <c r="CK2" s="112" t="s">
        <v>130</v>
      </c>
      <c r="CL2" s="112"/>
      <c r="CM2" s="112"/>
      <c r="CN2" s="112"/>
      <c r="CO2" s="112" t="s">
        <v>131</v>
      </c>
      <c r="CP2" s="112"/>
      <c r="CQ2" s="112"/>
      <c r="CR2" s="112"/>
      <c r="CS2" s="122" t="s">
        <v>132</v>
      </c>
      <c r="CT2" s="122"/>
      <c r="CU2" s="122"/>
      <c r="CV2" s="122"/>
      <c r="CW2" s="88"/>
      <c r="CX2" s="88" t="s">
        <v>133</v>
      </c>
      <c r="CY2" s="88" t="s">
        <v>134</v>
      </c>
      <c r="CZ2" s="88" t="s">
        <v>130</v>
      </c>
      <c r="DA2" s="94" t="s">
        <v>140</v>
      </c>
      <c r="DB2" s="94" t="s">
        <v>24</v>
      </c>
      <c r="DC2" s="88" t="s">
        <v>71</v>
      </c>
      <c r="DD2" s="88" t="s">
        <v>135</v>
      </c>
      <c r="DE2" s="88" t="s">
        <v>18</v>
      </c>
      <c r="DF2" s="86" t="s">
        <v>134</v>
      </c>
      <c r="DG2" s="86" t="s">
        <v>130</v>
      </c>
      <c r="DH2" s="86" t="s">
        <v>23</v>
      </c>
      <c r="DI2" s="112" t="s">
        <v>128</v>
      </c>
      <c r="DJ2" s="112"/>
      <c r="DK2" s="112"/>
      <c r="DL2" s="112"/>
      <c r="DM2" s="112" t="s">
        <v>129</v>
      </c>
      <c r="DN2" s="112"/>
      <c r="DO2" s="112"/>
      <c r="DP2" s="112"/>
      <c r="DQ2" s="112" t="s">
        <v>130</v>
      </c>
      <c r="DR2" s="112"/>
      <c r="DS2" s="112"/>
      <c r="DT2" s="112"/>
      <c r="DU2" s="112" t="s">
        <v>131</v>
      </c>
      <c r="DV2" s="112"/>
      <c r="DW2" s="112"/>
      <c r="DX2" s="112"/>
      <c r="DY2" s="124" t="s">
        <v>132</v>
      </c>
      <c r="DZ2" s="124"/>
      <c r="EA2" s="124"/>
      <c r="EB2" s="124"/>
      <c r="EC2" s="88" t="s">
        <v>133</v>
      </c>
      <c r="ED2" s="88" t="s">
        <v>134</v>
      </c>
      <c r="EE2" s="88" t="s">
        <v>130</v>
      </c>
      <c r="EF2" s="94" t="s">
        <v>140</v>
      </c>
      <c r="EG2" s="94" t="s">
        <v>24</v>
      </c>
      <c r="EH2" s="88" t="s">
        <v>71</v>
      </c>
      <c r="EI2" s="88" t="s">
        <v>135</v>
      </c>
      <c r="EJ2" s="88" t="s">
        <v>18</v>
      </c>
      <c r="EK2" s="113" t="s">
        <v>128</v>
      </c>
      <c r="EL2" s="113"/>
      <c r="EM2" s="113"/>
      <c r="EN2" s="113"/>
      <c r="EO2" s="113" t="s">
        <v>129</v>
      </c>
      <c r="EP2" s="113"/>
      <c r="EQ2" s="113"/>
      <c r="ER2" s="113"/>
      <c r="ES2" s="113" t="s">
        <v>130</v>
      </c>
      <c r="ET2" s="113"/>
      <c r="EU2" s="113"/>
      <c r="EV2" s="113"/>
      <c r="EW2" s="113" t="s">
        <v>131</v>
      </c>
      <c r="EX2" s="113"/>
      <c r="EY2" s="113"/>
      <c r="EZ2" s="113"/>
      <c r="FA2" s="123" t="s">
        <v>132</v>
      </c>
      <c r="FB2" s="123"/>
      <c r="FC2" s="123"/>
      <c r="FD2" s="123"/>
      <c r="FE2" s="89" t="s">
        <v>133</v>
      </c>
      <c r="FF2" s="89" t="s">
        <v>134</v>
      </c>
      <c r="FG2" s="89" t="s">
        <v>130</v>
      </c>
      <c r="FH2" s="95" t="s">
        <v>140</v>
      </c>
      <c r="FI2" s="95" t="s">
        <v>24</v>
      </c>
      <c r="FJ2" s="89" t="s">
        <v>71</v>
      </c>
      <c r="FK2" s="89" t="s">
        <v>135</v>
      </c>
      <c r="FL2" s="89" t="s">
        <v>18</v>
      </c>
      <c r="FM2" s="112" t="s">
        <v>128</v>
      </c>
      <c r="FN2" s="112"/>
      <c r="FO2" s="112"/>
      <c r="FP2" s="112"/>
      <c r="FQ2" s="112" t="s">
        <v>129</v>
      </c>
      <c r="FR2" s="112"/>
      <c r="FS2" s="112"/>
      <c r="FT2" s="112"/>
      <c r="FU2" s="112" t="s">
        <v>130</v>
      </c>
      <c r="FV2" s="112"/>
      <c r="FW2" s="112"/>
      <c r="FX2" s="112"/>
      <c r="FY2" s="112" t="s">
        <v>131</v>
      </c>
      <c r="FZ2" s="112"/>
      <c r="GA2" s="112"/>
      <c r="GB2" s="112"/>
      <c r="GC2" s="124" t="s">
        <v>132</v>
      </c>
      <c r="GD2" s="124"/>
      <c r="GE2" s="124"/>
      <c r="GF2" s="124"/>
      <c r="GG2" s="88" t="s">
        <v>133</v>
      </c>
      <c r="GH2" s="88" t="s">
        <v>134</v>
      </c>
      <c r="GI2" s="88" t="s">
        <v>130</v>
      </c>
      <c r="GJ2" s="94" t="s">
        <v>140</v>
      </c>
      <c r="GK2" s="94" t="s">
        <v>24</v>
      </c>
      <c r="GL2" s="88" t="s">
        <v>71</v>
      </c>
      <c r="GM2" s="88" t="s">
        <v>135</v>
      </c>
      <c r="GN2" s="88" t="s">
        <v>18</v>
      </c>
      <c r="GO2" s="113" t="s">
        <v>128</v>
      </c>
      <c r="GP2" s="113"/>
      <c r="GQ2" s="113"/>
      <c r="GR2" s="113"/>
      <c r="GS2" s="113" t="s">
        <v>129</v>
      </c>
      <c r="GT2" s="113"/>
      <c r="GU2" s="113"/>
      <c r="GV2" s="113"/>
      <c r="GW2" s="113" t="s">
        <v>130</v>
      </c>
      <c r="GX2" s="113"/>
      <c r="GY2" s="113"/>
      <c r="GZ2" s="113"/>
      <c r="HA2" s="113" t="s">
        <v>131</v>
      </c>
      <c r="HB2" s="113"/>
      <c r="HC2" s="113"/>
      <c r="HD2" s="113"/>
      <c r="HE2" s="123" t="s">
        <v>132</v>
      </c>
      <c r="HF2" s="123"/>
      <c r="HG2" s="123"/>
      <c r="HH2" s="123"/>
      <c r="HI2" s="89" t="s">
        <v>133</v>
      </c>
      <c r="HJ2" s="89" t="s">
        <v>134</v>
      </c>
      <c r="HK2" s="89" t="s">
        <v>130</v>
      </c>
      <c r="HL2" s="95" t="s">
        <v>140</v>
      </c>
      <c r="HM2" s="95" t="s">
        <v>24</v>
      </c>
      <c r="HN2" s="89" t="s">
        <v>71</v>
      </c>
      <c r="HO2" s="89" t="s">
        <v>135</v>
      </c>
      <c r="HP2" s="89" t="s">
        <v>18</v>
      </c>
      <c r="HQ2" s="112" t="s">
        <v>128</v>
      </c>
      <c r="HR2" s="112"/>
      <c r="HS2" s="112"/>
      <c r="HT2" s="112"/>
      <c r="HU2" s="112" t="s">
        <v>129</v>
      </c>
      <c r="HV2" s="112"/>
      <c r="HW2" s="112"/>
      <c r="HX2" s="112"/>
      <c r="HY2" s="112" t="s">
        <v>130</v>
      </c>
      <c r="HZ2" s="112"/>
      <c r="IA2" s="112"/>
      <c r="IB2" s="112"/>
      <c r="IC2" s="112" t="s">
        <v>131</v>
      </c>
      <c r="ID2" s="112"/>
      <c r="IE2" s="112"/>
      <c r="IF2" s="112"/>
      <c r="IG2" s="124" t="s">
        <v>132</v>
      </c>
      <c r="IH2" s="124"/>
      <c r="II2" s="124"/>
      <c r="IJ2" s="124"/>
      <c r="IK2" s="88" t="s">
        <v>133</v>
      </c>
      <c r="IL2" s="88" t="s">
        <v>134</v>
      </c>
      <c r="IM2" s="88" t="s">
        <v>130</v>
      </c>
      <c r="IN2" s="94" t="s">
        <v>140</v>
      </c>
      <c r="IO2" s="94" t="s">
        <v>24</v>
      </c>
      <c r="IP2" s="88" t="s">
        <v>71</v>
      </c>
      <c r="IQ2" s="88" t="s">
        <v>135</v>
      </c>
      <c r="IR2" s="88" t="s">
        <v>18</v>
      </c>
      <c r="IS2" s="113" t="s">
        <v>128</v>
      </c>
      <c r="IT2" s="113"/>
      <c r="IU2" s="113"/>
      <c r="IV2" s="113"/>
      <c r="IW2" s="113" t="s">
        <v>129</v>
      </c>
      <c r="IX2" s="113"/>
      <c r="IY2" s="113"/>
      <c r="IZ2" s="113"/>
      <c r="JA2" s="113" t="s">
        <v>130</v>
      </c>
      <c r="JB2" s="113"/>
      <c r="JC2" s="113"/>
      <c r="JD2" s="113"/>
      <c r="JE2" s="113" t="s">
        <v>131</v>
      </c>
      <c r="JF2" s="113"/>
      <c r="JG2" s="113"/>
      <c r="JH2" s="113"/>
      <c r="JI2" s="123" t="s">
        <v>132</v>
      </c>
      <c r="JJ2" s="123"/>
      <c r="JK2" s="123"/>
      <c r="JL2" s="123"/>
      <c r="JM2" s="89" t="s">
        <v>133</v>
      </c>
      <c r="JN2" s="89" t="s">
        <v>134</v>
      </c>
      <c r="JO2" s="89" t="s">
        <v>130</v>
      </c>
      <c r="JP2" s="95" t="s">
        <v>140</v>
      </c>
      <c r="JQ2" s="95" t="s">
        <v>24</v>
      </c>
      <c r="JR2" s="89" t="s">
        <v>71</v>
      </c>
      <c r="JS2" s="89" t="s">
        <v>135</v>
      </c>
      <c r="JT2" s="89" t="s">
        <v>18</v>
      </c>
      <c r="JU2" s="112" t="s">
        <v>128</v>
      </c>
      <c r="JV2" s="112"/>
      <c r="JW2" s="112"/>
      <c r="JX2" s="112"/>
      <c r="JY2" s="112" t="s">
        <v>129</v>
      </c>
      <c r="JZ2" s="112"/>
      <c r="KA2" s="112"/>
      <c r="KB2" s="112"/>
      <c r="KC2" s="112" t="s">
        <v>130</v>
      </c>
      <c r="KD2" s="112"/>
      <c r="KE2" s="112"/>
      <c r="KF2" s="112"/>
      <c r="KG2" s="112" t="s">
        <v>131</v>
      </c>
      <c r="KH2" s="112"/>
      <c r="KI2" s="112"/>
      <c r="KJ2" s="112"/>
      <c r="KK2" s="124" t="s">
        <v>132</v>
      </c>
      <c r="KL2" s="124"/>
      <c r="KM2" s="124"/>
      <c r="KN2" s="124"/>
      <c r="KO2" s="88" t="s">
        <v>133</v>
      </c>
      <c r="KP2" s="88" t="s">
        <v>134</v>
      </c>
      <c r="KQ2" s="88" t="s">
        <v>130</v>
      </c>
      <c r="KR2" s="94" t="s">
        <v>140</v>
      </c>
      <c r="KS2" s="94" t="s">
        <v>24</v>
      </c>
      <c r="KT2" s="88" t="s">
        <v>71</v>
      </c>
      <c r="KU2" s="88" t="s">
        <v>135</v>
      </c>
      <c r="KV2" s="88" t="s">
        <v>18</v>
      </c>
      <c r="KW2" s="113" t="s">
        <v>128</v>
      </c>
      <c r="KX2" s="113"/>
      <c r="KY2" s="113"/>
      <c r="KZ2" s="113"/>
      <c r="LA2" s="113" t="s">
        <v>129</v>
      </c>
      <c r="LB2" s="113"/>
      <c r="LC2" s="113"/>
      <c r="LD2" s="113"/>
      <c r="LE2" s="113" t="s">
        <v>130</v>
      </c>
      <c r="LF2" s="113"/>
      <c r="LG2" s="113"/>
      <c r="LH2" s="113"/>
      <c r="LI2" s="113" t="s">
        <v>131</v>
      </c>
      <c r="LJ2" s="113"/>
      <c r="LK2" s="113"/>
      <c r="LL2" s="113"/>
      <c r="LM2" s="123" t="s">
        <v>132</v>
      </c>
      <c r="LN2" s="123"/>
      <c r="LO2" s="123"/>
      <c r="LP2" s="123"/>
      <c r="LQ2" s="89" t="s">
        <v>133</v>
      </c>
      <c r="LR2" s="89" t="s">
        <v>134</v>
      </c>
      <c r="LS2" s="89" t="s">
        <v>130</v>
      </c>
      <c r="LT2" s="95" t="s">
        <v>140</v>
      </c>
      <c r="LU2" s="95" t="s">
        <v>24</v>
      </c>
      <c r="LV2" s="89" t="s">
        <v>71</v>
      </c>
      <c r="LW2" s="89" t="s">
        <v>135</v>
      </c>
      <c r="LX2" s="89" t="s">
        <v>18</v>
      </c>
      <c r="LY2" s="112" t="s">
        <v>128</v>
      </c>
      <c r="LZ2" s="112"/>
      <c r="MA2" s="112"/>
      <c r="MB2" s="112"/>
      <c r="MC2" s="112" t="s">
        <v>129</v>
      </c>
      <c r="MD2" s="112"/>
      <c r="ME2" s="112"/>
      <c r="MF2" s="112"/>
      <c r="MG2" s="112" t="s">
        <v>130</v>
      </c>
      <c r="MH2" s="112"/>
      <c r="MI2" s="112"/>
      <c r="MJ2" s="112"/>
      <c r="MK2" s="112" t="s">
        <v>131</v>
      </c>
      <c r="ML2" s="112"/>
      <c r="MM2" s="112"/>
      <c r="MN2" s="112"/>
      <c r="MO2" s="124" t="s">
        <v>132</v>
      </c>
      <c r="MP2" s="124"/>
      <c r="MQ2" s="124"/>
      <c r="MR2" s="124"/>
      <c r="MS2" s="88" t="s">
        <v>133</v>
      </c>
      <c r="MT2" s="88" t="s">
        <v>134</v>
      </c>
      <c r="MU2" s="88" t="s">
        <v>130</v>
      </c>
      <c r="MV2" s="94" t="s">
        <v>140</v>
      </c>
      <c r="MW2" s="94" t="s">
        <v>24</v>
      </c>
      <c r="MX2" s="88" t="s">
        <v>71</v>
      </c>
      <c r="MY2" s="88" t="s">
        <v>135</v>
      </c>
      <c r="MZ2" s="88" t="s">
        <v>18</v>
      </c>
      <c r="NA2" s="113" t="s">
        <v>128</v>
      </c>
      <c r="NB2" s="113"/>
      <c r="NC2" s="113"/>
      <c r="ND2" s="113"/>
      <c r="NE2" s="113" t="s">
        <v>129</v>
      </c>
      <c r="NF2" s="113"/>
      <c r="NG2" s="113"/>
      <c r="NH2" s="113"/>
      <c r="NI2" s="113" t="s">
        <v>130</v>
      </c>
      <c r="NJ2" s="113"/>
      <c r="NK2" s="113"/>
      <c r="NL2" s="113"/>
      <c r="NM2" s="113" t="s">
        <v>131</v>
      </c>
      <c r="NN2" s="113"/>
      <c r="NO2" s="113"/>
      <c r="NP2" s="113"/>
      <c r="NQ2" s="123" t="s">
        <v>132</v>
      </c>
      <c r="NR2" s="123"/>
      <c r="NS2" s="123"/>
      <c r="NT2" s="123"/>
      <c r="NU2" s="89" t="s">
        <v>133</v>
      </c>
      <c r="NV2" s="89" t="s">
        <v>134</v>
      </c>
      <c r="NW2" s="89" t="s">
        <v>130</v>
      </c>
      <c r="NX2" s="95" t="s">
        <v>140</v>
      </c>
      <c r="NY2" s="95" t="s">
        <v>24</v>
      </c>
      <c r="NZ2" s="89" t="s">
        <v>71</v>
      </c>
      <c r="OA2" s="89" t="s">
        <v>135</v>
      </c>
      <c r="OB2" s="89" t="s">
        <v>18</v>
      </c>
      <c r="OC2" s="112" t="s">
        <v>128</v>
      </c>
      <c r="OD2" s="112"/>
      <c r="OE2" s="112"/>
      <c r="OF2" s="112"/>
      <c r="OG2" s="112" t="s">
        <v>129</v>
      </c>
      <c r="OH2" s="112"/>
      <c r="OI2" s="112"/>
      <c r="OJ2" s="112"/>
      <c r="OK2" s="112" t="s">
        <v>130</v>
      </c>
      <c r="OL2" s="112"/>
      <c r="OM2" s="112"/>
      <c r="ON2" s="112"/>
      <c r="OO2" s="112" t="s">
        <v>131</v>
      </c>
      <c r="OP2" s="112"/>
      <c r="OQ2" s="112"/>
      <c r="OR2" s="112"/>
      <c r="OS2" s="124" t="s">
        <v>132</v>
      </c>
      <c r="OT2" s="124"/>
      <c r="OU2" s="124"/>
      <c r="OV2" s="124"/>
      <c r="OW2" s="88" t="s">
        <v>133</v>
      </c>
      <c r="OX2" s="88" t="s">
        <v>134</v>
      </c>
      <c r="OY2" s="88" t="s">
        <v>130</v>
      </c>
      <c r="OZ2" s="94" t="s">
        <v>140</v>
      </c>
      <c r="PA2" s="94" t="s">
        <v>24</v>
      </c>
      <c r="PB2" s="88" t="s">
        <v>71</v>
      </c>
      <c r="PC2" s="88" t="s">
        <v>135</v>
      </c>
      <c r="PD2" s="88" t="s">
        <v>18</v>
      </c>
      <c r="PE2" s="113" t="s">
        <v>128</v>
      </c>
      <c r="PF2" s="113"/>
      <c r="PG2" s="113"/>
      <c r="PH2" s="113"/>
      <c r="PI2" s="113" t="s">
        <v>129</v>
      </c>
      <c r="PJ2" s="113"/>
      <c r="PK2" s="113"/>
      <c r="PL2" s="113"/>
      <c r="PM2" s="113" t="s">
        <v>130</v>
      </c>
      <c r="PN2" s="113"/>
      <c r="PO2" s="113"/>
      <c r="PP2" s="113"/>
      <c r="PQ2" s="113" t="s">
        <v>131</v>
      </c>
      <c r="PR2" s="113"/>
      <c r="PS2" s="113"/>
      <c r="PT2" s="113"/>
      <c r="PU2" s="123" t="s">
        <v>132</v>
      </c>
      <c r="PV2" s="123"/>
      <c r="PW2" s="123"/>
      <c r="PX2" s="123"/>
      <c r="PY2" s="89" t="s">
        <v>133</v>
      </c>
      <c r="PZ2" s="89" t="s">
        <v>134</v>
      </c>
      <c r="QA2" s="89" t="s">
        <v>130</v>
      </c>
      <c r="QB2" s="95" t="s">
        <v>140</v>
      </c>
      <c r="QC2" s="95" t="s">
        <v>24</v>
      </c>
      <c r="QD2" s="89" t="s">
        <v>71</v>
      </c>
      <c r="QE2" s="89" t="s">
        <v>135</v>
      </c>
      <c r="QF2" s="89" t="s">
        <v>18</v>
      </c>
      <c r="QG2" s="112" t="s">
        <v>128</v>
      </c>
      <c r="QH2" s="112"/>
      <c r="QI2" s="112"/>
      <c r="QJ2" s="112"/>
      <c r="QK2" s="112" t="s">
        <v>129</v>
      </c>
      <c r="QL2" s="112"/>
      <c r="QM2" s="112"/>
      <c r="QN2" s="112"/>
      <c r="QO2" s="112" t="s">
        <v>130</v>
      </c>
      <c r="QP2" s="112"/>
      <c r="QQ2" s="112"/>
      <c r="QR2" s="112"/>
      <c r="QS2" s="112" t="s">
        <v>131</v>
      </c>
      <c r="QT2" s="112"/>
      <c r="QU2" s="112"/>
      <c r="QV2" s="112"/>
      <c r="QW2" s="122" t="s">
        <v>132</v>
      </c>
      <c r="QX2" s="122"/>
      <c r="QY2" s="122"/>
      <c r="QZ2" s="122"/>
      <c r="RA2" s="88"/>
      <c r="RB2" s="88" t="s">
        <v>133</v>
      </c>
      <c r="RC2" s="88" t="s">
        <v>134</v>
      </c>
      <c r="RD2" s="88" t="s">
        <v>130</v>
      </c>
      <c r="RE2" s="94" t="s">
        <v>140</v>
      </c>
      <c r="RF2" s="94" t="s">
        <v>24</v>
      </c>
      <c r="RG2" s="88" t="s">
        <v>71</v>
      </c>
      <c r="RH2" s="88" t="s">
        <v>135</v>
      </c>
      <c r="RI2" s="88" t="s">
        <v>18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88" t="s">
        <v>15</v>
      </c>
      <c r="AJ3" s="88" t="s">
        <v>10</v>
      </c>
      <c r="AK3" s="88" t="s">
        <v>31</v>
      </c>
      <c r="AL3" s="88" t="s">
        <v>32</v>
      </c>
      <c r="AM3" s="90" t="s">
        <v>15</v>
      </c>
      <c r="AN3" s="90" t="s">
        <v>10</v>
      </c>
      <c r="AO3" s="90" t="s">
        <v>31</v>
      </c>
      <c r="AP3" s="90" t="s">
        <v>32</v>
      </c>
      <c r="AQ3" s="88" t="s">
        <v>57</v>
      </c>
      <c r="AR3" s="88"/>
      <c r="AS3" s="88"/>
      <c r="AT3" s="88"/>
      <c r="AU3" s="94"/>
      <c r="AV3" s="94"/>
      <c r="AW3" s="88"/>
      <c r="AX3" s="88"/>
      <c r="AY3" s="88"/>
      <c r="AZ3" s="89" t="s">
        <v>15</v>
      </c>
      <c r="BA3" s="89" t="s">
        <v>10</v>
      </c>
      <c r="BB3" s="89" t="s">
        <v>31</v>
      </c>
      <c r="BC3" s="89" t="s">
        <v>32</v>
      </c>
      <c r="BD3" s="89" t="s">
        <v>15</v>
      </c>
      <c r="BE3" s="89" t="s">
        <v>10</v>
      </c>
      <c r="BF3" s="89" t="s">
        <v>31</v>
      </c>
      <c r="BG3" s="89" t="s">
        <v>32</v>
      </c>
      <c r="BH3" s="89" t="s">
        <v>15</v>
      </c>
      <c r="BI3" s="89" t="s">
        <v>10</v>
      </c>
      <c r="BJ3" s="89" t="s">
        <v>31</v>
      </c>
      <c r="BK3" s="89" t="s">
        <v>32</v>
      </c>
      <c r="BL3" s="89" t="s">
        <v>15</v>
      </c>
      <c r="BM3" s="89" t="s">
        <v>10</v>
      </c>
      <c r="BN3" s="89" t="s">
        <v>31</v>
      </c>
      <c r="BO3" s="89" t="s">
        <v>32</v>
      </c>
      <c r="BP3" s="91" t="s">
        <v>15</v>
      </c>
      <c r="BQ3" s="91" t="s">
        <v>10</v>
      </c>
      <c r="BR3" s="91" t="s">
        <v>31</v>
      </c>
      <c r="BS3" s="91" t="s">
        <v>32</v>
      </c>
      <c r="BT3" s="89" t="s">
        <v>57</v>
      </c>
      <c r="BU3" s="89"/>
      <c r="BV3" s="89"/>
      <c r="BW3" s="89"/>
      <c r="BX3" s="95"/>
      <c r="BY3" s="95"/>
      <c r="BZ3" s="89"/>
      <c r="CA3" s="89"/>
      <c r="CB3" s="89"/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88" t="s">
        <v>15</v>
      </c>
      <c r="CL3" s="88" t="s">
        <v>10</v>
      </c>
      <c r="CM3" s="88" t="s">
        <v>31</v>
      </c>
      <c r="CN3" s="88" t="s">
        <v>32</v>
      </c>
      <c r="CO3" s="88" t="s">
        <v>15</v>
      </c>
      <c r="CP3" s="88" t="s">
        <v>10</v>
      </c>
      <c r="CQ3" s="88" t="s">
        <v>31</v>
      </c>
      <c r="CR3" s="88" t="s">
        <v>32</v>
      </c>
      <c r="CS3" s="90" t="s">
        <v>15</v>
      </c>
      <c r="CT3" s="90" t="s">
        <v>10</v>
      </c>
      <c r="CU3" s="90" t="s">
        <v>31</v>
      </c>
      <c r="CV3" s="90" t="s">
        <v>32</v>
      </c>
      <c r="CW3" s="88" t="s">
        <v>57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15</v>
      </c>
      <c r="DJ3" s="88" t="s">
        <v>10</v>
      </c>
      <c r="DK3" s="88" t="s">
        <v>31</v>
      </c>
      <c r="DL3" s="88" t="s">
        <v>32</v>
      </c>
      <c r="DM3" s="88" t="s">
        <v>15</v>
      </c>
      <c r="DN3" s="88" t="s">
        <v>10</v>
      </c>
      <c r="DO3" s="88" t="s">
        <v>31</v>
      </c>
      <c r="DP3" s="88" t="s">
        <v>32</v>
      </c>
      <c r="DQ3" s="88" t="s">
        <v>15</v>
      </c>
      <c r="DR3" s="88" t="s">
        <v>10</v>
      </c>
      <c r="DS3" s="88" t="s">
        <v>31</v>
      </c>
      <c r="DT3" s="88" t="s">
        <v>32</v>
      </c>
      <c r="DU3" s="88" t="s">
        <v>15</v>
      </c>
      <c r="DV3" s="88" t="s">
        <v>10</v>
      </c>
      <c r="DW3" s="88" t="s">
        <v>31</v>
      </c>
      <c r="DX3" s="88" t="s">
        <v>32</v>
      </c>
      <c r="DY3" s="92" t="s">
        <v>15</v>
      </c>
      <c r="DZ3" s="92" t="s">
        <v>10</v>
      </c>
      <c r="EA3" s="92" t="s">
        <v>31</v>
      </c>
      <c r="EB3" s="92" t="s">
        <v>32</v>
      </c>
      <c r="EC3" s="88"/>
      <c r="ED3" s="88"/>
      <c r="EE3" s="88"/>
      <c r="EF3" s="94"/>
      <c r="EG3" s="94"/>
      <c r="EH3" s="88"/>
      <c r="EI3" s="88"/>
      <c r="EJ3" s="88"/>
      <c r="EK3" s="89" t="s">
        <v>15</v>
      </c>
      <c r="EL3" s="89" t="s">
        <v>10</v>
      </c>
      <c r="EM3" s="89" t="s">
        <v>31</v>
      </c>
      <c r="EN3" s="89" t="s">
        <v>32</v>
      </c>
      <c r="EO3" s="89" t="s">
        <v>15</v>
      </c>
      <c r="EP3" s="89" t="s">
        <v>10</v>
      </c>
      <c r="EQ3" s="89" t="s">
        <v>31</v>
      </c>
      <c r="ER3" s="89" t="s">
        <v>32</v>
      </c>
      <c r="ES3" s="89" t="s">
        <v>15</v>
      </c>
      <c r="ET3" s="89" t="s">
        <v>10</v>
      </c>
      <c r="EU3" s="89" t="s">
        <v>31</v>
      </c>
      <c r="EV3" s="89" t="s">
        <v>32</v>
      </c>
      <c r="EW3" s="89" t="s">
        <v>15</v>
      </c>
      <c r="EX3" s="89" t="s">
        <v>10</v>
      </c>
      <c r="EY3" s="89" t="s">
        <v>31</v>
      </c>
      <c r="EZ3" s="89" t="s">
        <v>32</v>
      </c>
      <c r="FA3" s="91" t="s">
        <v>15</v>
      </c>
      <c r="FB3" s="91" t="s">
        <v>10</v>
      </c>
      <c r="FC3" s="91" t="s">
        <v>31</v>
      </c>
      <c r="FD3" s="91" t="s">
        <v>32</v>
      </c>
      <c r="FE3" s="89"/>
      <c r="FF3" s="89"/>
      <c r="FG3" s="89"/>
      <c r="FH3" s="95"/>
      <c r="FI3" s="95"/>
      <c r="FJ3" s="89"/>
      <c r="FK3" s="89"/>
      <c r="FL3" s="89"/>
      <c r="FM3" s="88" t="s">
        <v>15</v>
      </c>
      <c r="FN3" s="88" t="s">
        <v>10</v>
      </c>
      <c r="FO3" s="88" t="s">
        <v>31</v>
      </c>
      <c r="FP3" s="88" t="s">
        <v>32</v>
      </c>
      <c r="FQ3" s="88" t="s">
        <v>15</v>
      </c>
      <c r="FR3" s="88" t="s">
        <v>10</v>
      </c>
      <c r="FS3" s="88" t="s">
        <v>31</v>
      </c>
      <c r="FT3" s="88" t="s">
        <v>32</v>
      </c>
      <c r="FU3" s="88" t="s">
        <v>15</v>
      </c>
      <c r="FV3" s="88" t="s">
        <v>10</v>
      </c>
      <c r="FW3" s="88" t="s">
        <v>31</v>
      </c>
      <c r="FX3" s="88" t="s">
        <v>32</v>
      </c>
      <c r="FY3" s="88" t="s">
        <v>15</v>
      </c>
      <c r="FZ3" s="88" t="s">
        <v>10</v>
      </c>
      <c r="GA3" s="88" t="s">
        <v>31</v>
      </c>
      <c r="GB3" s="88" t="s">
        <v>32</v>
      </c>
      <c r="GC3" s="92" t="s">
        <v>15</v>
      </c>
      <c r="GD3" s="92" t="s">
        <v>10</v>
      </c>
      <c r="GE3" s="92" t="s">
        <v>31</v>
      </c>
      <c r="GF3" s="92" t="s">
        <v>32</v>
      </c>
      <c r="GG3" s="88"/>
      <c r="GH3" s="88"/>
      <c r="GI3" s="88"/>
      <c r="GJ3" s="94"/>
      <c r="GK3" s="94"/>
      <c r="GL3" s="88"/>
      <c r="GM3" s="88"/>
      <c r="GN3" s="88"/>
      <c r="GO3" s="89" t="s">
        <v>15</v>
      </c>
      <c r="GP3" s="89" t="s">
        <v>10</v>
      </c>
      <c r="GQ3" s="89" t="s">
        <v>31</v>
      </c>
      <c r="GR3" s="89" t="s">
        <v>32</v>
      </c>
      <c r="GS3" s="89" t="s">
        <v>15</v>
      </c>
      <c r="GT3" s="89" t="s">
        <v>10</v>
      </c>
      <c r="GU3" s="89" t="s">
        <v>31</v>
      </c>
      <c r="GV3" s="89" t="s">
        <v>32</v>
      </c>
      <c r="GW3" s="89" t="s">
        <v>15</v>
      </c>
      <c r="GX3" s="89" t="s">
        <v>10</v>
      </c>
      <c r="GY3" s="89" t="s">
        <v>31</v>
      </c>
      <c r="GZ3" s="89" t="s">
        <v>32</v>
      </c>
      <c r="HA3" s="89" t="s">
        <v>15</v>
      </c>
      <c r="HB3" s="89" t="s">
        <v>10</v>
      </c>
      <c r="HC3" s="89" t="s">
        <v>31</v>
      </c>
      <c r="HD3" s="89" t="s">
        <v>32</v>
      </c>
      <c r="HE3" s="91" t="s">
        <v>15</v>
      </c>
      <c r="HF3" s="91" t="s">
        <v>10</v>
      </c>
      <c r="HG3" s="91" t="s">
        <v>31</v>
      </c>
      <c r="HH3" s="91" t="s">
        <v>32</v>
      </c>
      <c r="HI3" s="89"/>
      <c r="HJ3" s="89"/>
      <c r="HK3" s="89"/>
      <c r="HL3" s="95"/>
      <c r="HM3" s="95"/>
      <c r="HN3" s="89"/>
      <c r="HO3" s="89"/>
      <c r="HP3" s="89"/>
      <c r="HQ3" s="88" t="s">
        <v>15</v>
      </c>
      <c r="HR3" s="88" t="s">
        <v>10</v>
      </c>
      <c r="HS3" s="88" t="s">
        <v>31</v>
      </c>
      <c r="HT3" s="88" t="s">
        <v>32</v>
      </c>
      <c r="HU3" s="88" t="s">
        <v>15</v>
      </c>
      <c r="HV3" s="88" t="s">
        <v>10</v>
      </c>
      <c r="HW3" s="88" t="s">
        <v>31</v>
      </c>
      <c r="HX3" s="88" t="s">
        <v>32</v>
      </c>
      <c r="HY3" s="88" t="s">
        <v>15</v>
      </c>
      <c r="HZ3" s="88" t="s">
        <v>10</v>
      </c>
      <c r="IA3" s="88" t="s">
        <v>31</v>
      </c>
      <c r="IB3" s="88" t="s">
        <v>32</v>
      </c>
      <c r="IC3" s="88" t="s">
        <v>15</v>
      </c>
      <c r="ID3" s="88" t="s">
        <v>10</v>
      </c>
      <c r="IE3" s="88" t="s">
        <v>31</v>
      </c>
      <c r="IF3" s="88" t="s">
        <v>32</v>
      </c>
      <c r="IG3" s="92" t="s">
        <v>15</v>
      </c>
      <c r="IH3" s="92" t="s">
        <v>10</v>
      </c>
      <c r="II3" s="92" t="s">
        <v>31</v>
      </c>
      <c r="IJ3" s="92" t="s">
        <v>32</v>
      </c>
      <c r="IK3" s="88"/>
      <c r="IL3" s="88"/>
      <c r="IM3" s="88"/>
      <c r="IN3" s="94"/>
      <c r="IO3" s="94"/>
      <c r="IP3" s="88"/>
      <c r="IQ3" s="88"/>
      <c r="IR3" s="88"/>
      <c r="IS3" s="89" t="s">
        <v>15</v>
      </c>
      <c r="IT3" s="89" t="s">
        <v>10</v>
      </c>
      <c r="IU3" s="89" t="s">
        <v>31</v>
      </c>
      <c r="IV3" s="89" t="s">
        <v>32</v>
      </c>
      <c r="IW3" s="89" t="s">
        <v>15</v>
      </c>
      <c r="IX3" s="89" t="s">
        <v>10</v>
      </c>
      <c r="IY3" s="89" t="s">
        <v>31</v>
      </c>
      <c r="IZ3" s="89" t="s">
        <v>32</v>
      </c>
      <c r="JA3" s="89" t="s">
        <v>15</v>
      </c>
      <c r="JB3" s="89" t="s">
        <v>10</v>
      </c>
      <c r="JC3" s="89" t="s">
        <v>31</v>
      </c>
      <c r="JD3" s="89" t="s">
        <v>32</v>
      </c>
      <c r="JE3" s="89" t="s">
        <v>15</v>
      </c>
      <c r="JF3" s="89" t="s">
        <v>10</v>
      </c>
      <c r="JG3" s="89" t="s">
        <v>31</v>
      </c>
      <c r="JH3" s="89" t="s">
        <v>32</v>
      </c>
      <c r="JI3" s="91" t="s">
        <v>15</v>
      </c>
      <c r="JJ3" s="91" t="s">
        <v>10</v>
      </c>
      <c r="JK3" s="91" t="s">
        <v>31</v>
      </c>
      <c r="JL3" s="91" t="s">
        <v>32</v>
      </c>
      <c r="JM3" s="89"/>
      <c r="JN3" s="89"/>
      <c r="JO3" s="89"/>
      <c r="JP3" s="95"/>
      <c r="JQ3" s="95"/>
      <c r="JR3" s="89"/>
      <c r="JS3" s="89"/>
      <c r="JT3" s="89"/>
      <c r="JU3" s="88" t="s">
        <v>15</v>
      </c>
      <c r="JV3" s="88" t="s">
        <v>10</v>
      </c>
      <c r="JW3" s="88" t="s">
        <v>31</v>
      </c>
      <c r="JX3" s="88" t="s">
        <v>32</v>
      </c>
      <c r="JY3" s="88" t="s">
        <v>15</v>
      </c>
      <c r="JZ3" s="88" t="s">
        <v>10</v>
      </c>
      <c r="KA3" s="88" t="s">
        <v>31</v>
      </c>
      <c r="KB3" s="88" t="s">
        <v>32</v>
      </c>
      <c r="KC3" s="88" t="s">
        <v>15</v>
      </c>
      <c r="KD3" s="88" t="s">
        <v>10</v>
      </c>
      <c r="KE3" s="88" t="s">
        <v>31</v>
      </c>
      <c r="KF3" s="88" t="s">
        <v>32</v>
      </c>
      <c r="KG3" s="88" t="s">
        <v>15</v>
      </c>
      <c r="KH3" s="88" t="s">
        <v>10</v>
      </c>
      <c r="KI3" s="88" t="s">
        <v>31</v>
      </c>
      <c r="KJ3" s="88" t="s">
        <v>32</v>
      </c>
      <c r="KK3" s="92" t="s">
        <v>15</v>
      </c>
      <c r="KL3" s="92" t="s">
        <v>10</v>
      </c>
      <c r="KM3" s="92" t="s">
        <v>31</v>
      </c>
      <c r="KN3" s="92" t="s">
        <v>32</v>
      </c>
      <c r="KO3" s="88"/>
      <c r="KP3" s="88"/>
      <c r="KQ3" s="88"/>
      <c r="KR3" s="94"/>
      <c r="KS3" s="94"/>
      <c r="KT3" s="88"/>
      <c r="KU3" s="88"/>
      <c r="KV3" s="88"/>
      <c r="KW3" s="89" t="s">
        <v>15</v>
      </c>
      <c r="KX3" s="89" t="s">
        <v>10</v>
      </c>
      <c r="KY3" s="89" t="s">
        <v>31</v>
      </c>
      <c r="KZ3" s="89" t="s">
        <v>32</v>
      </c>
      <c r="LA3" s="89" t="s">
        <v>15</v>
      </c>
      <c r="LB3" s="89" t="s">
        <v>10</v>
      </c>
      <c r="LC3" s="89" t="s">
        <v>31</v>
      </c>
      <c r="LD3" s="89" t="s">
        <v>32</v>
      </c>
      <c r="LE3" s="89" t="s">
        <v>15</v>
      </c>
      <c r="LF3" s="89" t="s">
        <v>10</v>
      </c>
      <c r="LG3" s="89" t="s">
        <v>31</v>
      </c>
      <c r="LH3" s="89" t="s">
        <v>32</v>
      </c>
      <c r="LI3" s="89" t="s">
        <v>15</v>
      </c>
      <c r="LJ3" s="89" t="s">
        <v>10</v>
      </c>
      <c r="LK3" s="89" t="s">
        <v>31</v>
      </c>
      <c r="LL3" s="89" t="s">
        <v>32</v>
      </c>
      <c r="LM3" s="91" t="s">
        <v>15</v>
      </c>
      <c r="LN3" s="91" t="s">
        <v>10</v>
      </c>
      <c r="LO3" s="91" t="s">
        <v>31</v>
      </c>
      <c r="LP3" s="91" t="s">
        <v>32</v>
      </c>
      <c r="LQ3" s="89"/>
      <c r="LR3" s="89"/>
      <c r="LS3" s="89"/>
      <c r="LT3" s="95"/>
      <c r="LU3" s="95"/>
      <c r="LV3" s="89"/>
      <c r="LW3" s="89"/>
      <c r="LX3" s="89"/>
      <c r="LY3" s="88" t="s">
        <v>15</v>
      </c>
      <c r="LZ3" s="88" t="s">
        <v>10</v>
      </c>
      <c r="MA3" s="88" t="s">
        <v>31</v>
      </c>
      <c r="MB3" s="88" t="s">
        <v>32</v>
      </c>
      <c r="MC3" s="88" t="s">
        <v>15</v>
      </c>
      <c r="MD3" s="88" t="s">
        <v>10</v>
      </c>
      <c r="ME3" s="88" t="s">
        <v>31</v>
      </c>
      <c r="MF3" s="88" t="s">
        <v>32</v>
      </c>
      <c r="MG3" s="88" t="s">
        <v>15</v>
      </c>
      <c r="MH3" s="88" t="s">
        <v>10</v>
      </c>
      <c r="MI3" s="88" t="s">
        <v>31</v>
      </c>
      <c r="MJ3" s="88" t="s">
        <v>32</v>
      </c>
      <c r="MK3" s="88" t="s">
        <v>15</v>
      </c>
      <c r="ML3" s="88" t="s">
        <v>10</v>
      </c>
      <c r="MM3" s="88" t="s">
        <v>31</v>
      </c>
      <c r="MN3" s="88" t="s">
        <v>32</v>
      </c>
      <c r="MO3" s="92" t="s">
        <v>15</v>
      </c>
      <c r="MP3" s="92" t="s">
        <v>10</v>
      </c>
      <c r="MQ3" s="92" t="s">
        <v>31</v>
      </c>
      <c r="MR3" s="92" t="s">
        <v>32</v>
      </c>
      <c r="MS3" s="88"/>
      <c r="MT3" s="88"/>
      <c r="MU3" s="88"/>
      <c r="MV3" s="94"/>
      <c r="MW3" s="94"/>
      <c r="MX3" s="88"/>
      <c r="MY3" s="88"/>
      <c r="MZ3" s="88"/>
      <c r="NA3" s="89" t="s">
        <v>15</v>
      </c>
      <c r="NB3" s="89" t="s">
        <v>10</v>
      </c>
      <c r="NC3" s="89" t="s">
        <v>31</v>
      </c>
      <c r="ND3" s="89" t="s">
        <v>32</v>
      </c>
      <c r="NE3" s="89" t="s">
        <v>15</v>
      </c>
      <c r="NF3" s="89" t="s">
        <v>10</v>
      </c>
      <c r="NG3" s="89" t="s">
        <v>31</v>
      </c>
      <c r="NH3" s="89" t="s">
        <v>32</v>
      </c>
      <c r="NI3" s="89" t="s">
        <v>15</v>
      </c>
      <c r="NJ3" s="89" t="s">
        <v>10</v>
      </c>
      <c r="NK3" s="89" t="s">
        <v>31</v>
      </c>
      <c r="NL3" s="89" t="s">
        <v>32</v>
      </c>
      <c r="NM3" s="89" t="s">
        <v>15</v>
      </c>
      <c r="NN3" s="89" t="s">
        <v>10</v>
      </c>
      <c r="NO3" s="89" t="s">
        <v>31</v>
      </c>
      <c r="NP3" s="89" t="s">
        <v>32</v>
      </c>
      <c r="NQ3" s="91" t="s">
        <v>15</v>
      </c>
      <c r="NR3" s="91" t="s">
        <v>10</v>
      </c>
      <c r="NS3" s="91" t="s">
        <v>31</v>
      </c>
      <c r="NT3" s="91" t="s">
        <v>32</v>
      </c>
      <c r="NU3" s="89"/>
      <c r="NV3" s="89"/>
      <c r="NW3" s="89"/>
      <c r="NX3" s="95"/>
      <c r="NY3" s="95"/>
      <c r="NZ3" s="89"/>
      <c r="OA3" s="89"/>
      <c r="OB3" s="89"/>
      <c r="OC3" s="88" t="s">
        <v>15</v>
      </c>
      <c r="OD3" s="88" t="s">
        <v>10</v>
      </c>
      <c r="OE3" s="88" t="s">
        <v>31</v>
      </c>
      <c r="OF3" s="88" t="s">
        <v>32</v>
      </c>
      <c r="OG3" s="88" t="s">
        <v>15</v>
      </c>
      <c r="OH3" s="88" t="s">
        <v>10</v>
      </c>
      <c r="OI3" s="88" t="s">
        <v>31</v>
      </c>
      <c r="OJ3" s="88" t="s">
        <v>32</v>
      </c>
      <c r="OK3" s="88" t="s">
        <v>15</v>
      </c>
      <c r="OL3" s="88" t="s">
        <v>10</v>
      </c>
      <c r="OM3" s="88" t="s">
        <v>31</v>
      </c>
      <c r="ON3" s="88" t="s">
        <v>32</v>
      </c>
      <c r="OO3" s="88" t="s">
        <v>15</v>
      </c>
      <c r="OP3" s="88" t="s">
        <v>10</v>
      </c>
      <c r="OQ3" s="88" t="s">
        <v>31</v>
      </c>
      <c r="OR3" s="88" t="s">
        <v>32</v>
      </c>
      <c r="OS3" s="92" t="s">
        <v>15</v>
      </c>
      <c r="OT3" s="92" t="s">
        <v>10</v>
      </c>
      <c r="OU3" s="92" t="s">
        <v>31</v>
      </c>
      <c r="OV3" s="92" t="s">
        <v>32</v>
      </c>
      <c r="OW3" s="88"/>
      <c r="OX3" s="88"/>
      <c r="OY3" s="88"/>
      <c r="OZ3" s="94"/>
      <c r="PA3" s="94"/>
      <c r="PB3" s="88"/>
      <c r="PC3" s="88"/>
      <c r="PD3" s="88"/>
      <c r="PE3" s="89" t="s">
        <v>15</v>
      </c>
      <c r="PF3" s="89" t="s">
        <v>10</v>
      </c>
      <c r="PG3" s="89" t="s">
        <v>31</v>
      </c>
      <c r="PH3" s="89" t="s">
        <v>32</v>
      </c>
      <c r="PI3" s="89" t="s">
        <v>15</v>
      </c>
      <c r="PJ3" s="89" t="s">
        <v>10</v>
      </c>
      <c r="PK3" s="89" t="s">
        <v>31</v>
      </c>
      <c r="PL3" s="89" t="s">
        <v>32</v>
      </c>
      <c r="PM3" s="89" t="s">
        <v>15</v>
      </c>
      <c r="PN3" s="89" t="s">
        <v>10</v>
      </c>
      <c r="PO3" s="89" t="s">
        <v>31</v>
      </c>
      <c r="PP3" s="89" t="s">
        <v>32</v>
      </c>
      <c r="PQ3" s="89" t="s">
        <v>15</v>
      </c>
      <c r="PR3" s="89" t="s">
        <v>10</v>
      </c>
      <c r="PS3" s="89" t="s">
        <v>31</v>
      </c>
      <c r="PT3" s="89" t="s">
        <v>32</v>
      </c>
      <c r="PU3" s="91" t="s">
        <v>15</v>
      </c>
      <c r="PV3" s="91" t="s">
        <v>10</v>
      </c>
      <c r="PW3" s="91" t="s">
        <v>31</v>
      </c>
      <c r="PX3" s="91" t="s">
        <v>32</v>
      </c>
      <c r="PY3" s="89"/>
      <c r="PZ3" s="89"/>
      <c r="QA3" s="89"/>
      <c r="QB3" s="95"/>
      <c r="QC3" s="95"/>
      <c r="QD3" s="89"/>
      <c r="QE3" s="89"/>
      <c r="QF3" s="89"/>
      <c r="QG3" s="88" t="s">
        <v>15</v>
      </c>
      <c r="QH3" s="88" t="s">
        <v>10</v>
      </c>
      <c r="QI3" s="88" t="s">
        <v>31</v>
      </c>
      <c r="QJ3" s="88" t="s">
        <v>32</v>
      </c>
      <c r="QK3" s="88" t="s">
        <v>15</v>
      </c>
      <c r="QL3" s="88" t="s">
        <v>10</v>
      </c>
      <c r="QM3" s="88" t="s">
        <v>31</v>
      </c>
      <c r="QN3" s="88" t="s">
        <v>32</v>
      </c>
      <c r="QO3" s="88" t="s">
        <v>15</v>
      </c>
      <c r="QP3" s="88" t="s">
        <v>10</v>
      </c>
      <c r="QQ3" s="88" t="s">
        <v>31</v>
      </c>
      <c r="QR3" s="88" t="s">
        <v>32</v>
      </c>
      <c r="QS3" s="88" t="s">
        <v>15</v>
      </c>
      <c r="QT3" s="88" t="s">
        <v>10</v>
      </c>
      <c r="QU3" s="88" t="s">
        <v>31</v>
      </c>
      <c r="QV3" s="88" t="s">
        <v>32</v>
      </c>
      <c r="QW3" s="90" t="s">
        <v>15</v>
      </c>
      <c r="QX3" s="90" t="s">
        <v>10</v>
      </c>
      <c r="QY3" s="90" t="s">
        <v>31</v>
      </c>
      <c r="QZ3" s="90" t="s">
        <v>32</v>
      </c>
      <c r="RA3" s="88" t="s">
        <v>57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6" t="s">
        <v>92</v>
      </c>
      <c r="C4" s="7" t="s">
        <v>6</v>
      </c>
      <c r="D4" s="18">
        <v>2003</v>
      </c>
      <c r="E4" s="14">
        <f>SUM(J4:T4)+SUM(J4:P4)*0.0000001+SUM(J4)*0.0000000000001</f>
        <v>226.66001657600572</v>
      </c>
      <c r="F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G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H4" s="70" t="str">
        <f>IF(AND(G4="P",F4=""),"No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I4="P","Worlds Team",IF(F4="P","National Team","")))))</f>
        <v>Merit</v>
      </c>
      <c r="I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>P</v>
      </c>
      <c r="J4" s="13">
        <f>IF(COUNT(AS4,BV4,CY4)&gt;0,LARGE((AS4,BV4,CY4),1),0)</f>
        <v>56.760000000000005</v>
      </c>
      <c r="K4" s="13" t="str">
        <f>IF(J4=0,"",IF(J4=CY4,$CC$1,IF(J4=BV4,$AZ$1,IF(J4=AS4,$W$1,""))))</f>
        <v>2022 3rd Domestic Trial</v>
      </c>
      <c r="L4" s="13">
        <f>IF(COUNT(AS4,BV4,CY4)&gt;1,LARGE((AS4,BV4,CY4),2),0)</f>
        <v>54.9</v>
      </c>
      <c r="M4" s="13" t="str">
        <f>IF(L4=0,"",IF(L4=CY4,$CC$1,IF(L4=BV4,$AZ$1,IF(L4=AS4,$W$1,""))))</f>
        <v>2022 Nationals</v>
      </c>
      <c r="N4" s="13">
        <f>IF(COUNT(AT4,BW4,CZ4)&gt;0,LARGE((AT4,BW4,CZ4),1),0)</f>
        <v>28.3</v>
      </c>
      <c r="O4" s="13" t="str">
        <f>IF(N4=0,"",IF(N4=CZ4,$CC$1,IF(N4=BW4,$AZ$1,IF(N4=AT4,$W$1,""))))</f>
        <v>2022 Nationals</v>
      </c>
      <c r="P4" s="13">
        <f>IF(COUNT(AT4,BW4,CZ4)&gt;1,LARGE((AT4,BW4,CZ4),2),0)</f>
        <v>25.8</v>
      </c>
      <c r="Q4" s="13" t="str">
        <f>IF(P4=0,"",IF(P4=CZ4,$CC$1,IF(P4=BW4,$AZ$1,IF(P4=AT4,$W$1,""))))</f>
        <v>2022 Elite Canada</v>
      </c>
      <c r="R4" s="13">
        <f>IF(MAX(AX4,CA4,DD4)&gt;0,MAX(AX4,CA4,DD4),0)</f>
        <v>58.699999999999996</v>
      </c>
      <c r="S4" s="13" t="str">
        <f>IF(R4=0,"",IF(R4=DD4,$CC$1,IF(R4=CA4,$AZ$1,IF(R4=AX4,$W$1,""))))</f>
        <v>2022 Nationals</v>
      </c>
      <c r="T4" s="13">
        <f>IF(MAX(DF4:DH4)&gt;0,MAX(DF4:DH4),"")</f>
        <v>2.2000000000000028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#2 (May 15)</v>
      </c>
      <c r="W4" s="27">
        <v>18.34</v>
      </c>
      <c r="X4" s="27">
        <v>7.2</v>
      </c>
      <c r="Y4" s="27">
        <v>0</v>
      </c>
      <c r="Z4" s="27">
        <v>0</v>
      </c>
      <c r="AA4" s="27">
        <v>18.600000000000001</v>
      </c>
      <c r="AB4" s="27">
        <v>8.8000000000000007</v>
      </c>
      <c r="AC4" s="27">
        <v>0</v>
      </c>
      <c r="AD4" s="27">
        <v>0.3</v>
      </c>
      <c r="AE4" s="27">
        <v>18.399999999999999</v>
      </c>
      <c r="AF4" s="27">
        <v>7.1</v>
      </c>
      <c r="AG4" s="27">
        <v>0</v>
      </c>
      <c r="AH4" s="27">
        <v>0.3</v>
      </c>
      <c r="AI4" s="27">
        <v>18.3</v>
      </c>
      <c r="AJ4" s="27">
        <v>6.4</v>
      </c>
      <c r="AK4" s="27">
        <v>0.6</v>
      </c>
      <c r="AL4" s="27">
        <v>0</v>
      </c>
      <c r="AM4" s="27">
        <v>18.8</v>
      </c>
      <c r="AN4" s="27">
        <v>8.8000000000000007</v>
      </c>
      <c r="AO4" s="27">
        <v>0</v>
      </c>
      <c r="AP4" s="27">
        <v>0.3</v>
      </c>
      <c r="AQ4" s="51"/>
      <c r="AR4" s="76">
        <f>IF(SUM(X4,AB4)&gt;0,SUM(X4,AB4),"")</f>
        <v>16</v>
      </c>
      <c r="AS4" s="76">
        <f>IF(SUM(W4:X4,Z4:AB4,AD4)-Y4-AC4&gt;0,SUM(W4:X4,Z4:AB4,AD4)-Y4-AC4,"")</f>
        <v>53.239999999999995</v>
      </c>
      <c r="AT4" s="76">
        <f>IF(SUM(AE4:AF4,AH4)-AG4&gt;0,SUM(AE4:AF4,AH4)-AG4,"")</f>
        <v>25.8</v>
      </c>
      <c r="AU4" s="76">
        <f>IF(SUM(X4,AB4,AF4)&gt;0,SUM(X4,AB4,AF4),"")</f>
        <v>23.1</v>
      </c>
      <c r="AV4" s="76">
        <f>IF(SUM(AS4,AT4)&gt;0,SUM(AS4,AT4),"")</f>
        <v>79.039999999999992</v>
      </c>
      <c r="AW4" s="76">
        <f>IF(SUM(AJ4,AN4)&gt;0,SUM(AJ4,AN4),"")</f>
        <v>15.200000000000001</v>
      </c>
      <c r="AX4" s="76">
        <f>IF(SUM(AI4:AJ4,AL4:AN4,AP4)-SUM(AK4,AO4)&gt;0,SUM(AI4:AJ4,AL4:AN4,AP4)-SUM(AK4,AO4),"")</f>
        <v>51.999999999999993</v>
      </c>
      <c r="AY4" s="76">
        <f>IF(SUM(AS4,AX4)&gt;0,SUM(AS4,AX4),"")</f>
        <v>105.23999999999998</v>
      </c>
      <c r="AZ4" s="26">
        <v>18.7</v>
      </c>
      <c r="BA4" s="26">
        <v>9.1999999999999993</v>
      </c>
      <c r="BB4" s="26">
        <v>0.8</v>
      </c>
      <c r="BC4" s="26">
        <v>0.3</v>
      </c>
      <c r="BD4" s="26">
        <v>18.2</v>
      </c>
      <c r="BE4" s="26">
        <v>9.6</v>
      </c>
      <c r="BF4" s="26">
        <v>0.6</v>
      </c>
      <c r="BG4" s="26">
        <v>0.3</v>
      </c>
      <c r="BH4" s="26">
        <v>19.2</v>
      </c>
      <c r="BI4" s="26">
        <v>8.8000000000000007</v>
      </c>
      <c r="BJ4" s="26">
        <v>0</v>
      </c>
      <c r="BK4" s="26">
        <v>0.3</v>
      </c>
      <c r="BL4" s="26">
        <v>17.899999999999999</v>
      </c>
      <c r="BM4" s="26">
        <v>10.8</v>
      </c>
      <c r="BN4" s="26">
        <v>0.2</v>
      </c>
      <c r="BO4" s="26">
        <v>0.6</v>
      </c>
      <c r="BP4" s="26">
        <v>19</v>
      </c>
      <c r="BQ4" s="26">
        <v>10</v>
      </c>
      <c r="BR4" s="26">
        <v>0</v>
      </c>
      <c r="BS4" s="26">
        <v>0.6</v>
      </c>
      <c r="BT4" s="52"/>
      <c r="BU4" s="16">
        <f>IF(SUM(BA4,BE4)&gt;0,SUM(BA4,BE4),"")</f>
        <v>18.799999999999997</v>
      </c>
      <c r="BV4" s="16">
        <f>IF(SUM(AZ4:BA4,BC4:BE4,BG4)-BB4-BF4&gt;0,SUM(AZ4:BA4,BC4:BE4,BG4)-BB4-BF4,"")</f>
        <v>54.9</v>
      </c>
      <c r="BW4" s="16">
        <f>IF(SUM(BH4:BI4,BK4)-BJ4&gt;0,SUM(BH4:BI4,BK4)-BJ4,"")</f>
        <v>28.3</v>
      </c>
      <c r="BX4" s="16">
        <f>IF(SUM(BA4,BE4,BI4)&gt;0,SUM(BA4,BE4,BI4),"")</f>
        <v>27.599999999999998</v>
      </c>
      <c r="BY4" s="16">
        <f>IF(SUM(BV4,BW4)&gt;0,SUM(BV4,BW4),"")</f>
        <v>83.2</v>
      </c>
      <c r="BZ4" s="16">
        <f>IF(SUM(BM4,BQ4)&gt;0,SUM(BM4,BQ4),"")</f>
        <v>20.8</v>
      </c>
      <c r="CA4" s="16">
        <f>IF(SUM(BL4:BM4,BO4:BQ4,BS4)-SUM(BN4,BR4)&gt;0,SUM(BL4:BM4,BO4:BQ4,BS4)-SUM(BN4,BR4),"")</f>
        <v>58.699999999999996</v>
      </c>
      <c r="CB4" s="16">
        <f>IF(SUM(BV4,CA4)&gt;0,SUM(BV4,CA4),"")</f>
        <v>113.6</v>
      </c>
      <c r="CC4" s="27">
        <v>18.600000000000001</v>
      </c>
      <c r="CD4" s="27">
        <v>9.3000000000000007</v>
      </c>
      <c r="CE4" s="27">
        <v>0.6</v>
      </c>
      <c r="CF4" s="27">
        <v>0.3</v>
      </c>
      <c r="CG4" s="27">
        <v>17.96</v>
      </c>
      <c r="CH4" s="27">
        <v>10.8</v>
      </c>
      <c r="CI4" s="27">
        <v>0.2</v>
      </c>
      <c r="CJ4" s="27">
        <v>0.6</v>
      </c>
      <c r="CK4" s="27">
        <v>17.600000000000001</v>
      </c>
      <c r="CL4" s="27">
        <v>3.6</v>
      </c>
      <c r="CM4" s="27">
        <v>0</v>
      </c>
      <c r="CN4" s="27">
        <v>0</v>
      </c>
      <c r="CO4" s="27">
        <v>17.600000000000001</v>
      </c>
      <c r="CP4" s="27">
        <v>4.8</v>
      </c>
      <c r="CQ4" s="27">
        <v>0</v>
      </c>
      <c r="CR4" s="27">
        <v>0.3</v>
      </c>
      <c r="CS4" s="27">
        <v>18.2</v>
      </c>
      <c r="CT4" s="27">
        <v>9.6</v>
      </c>
      <c r="CU4" s="27">
        <v>0</v>
      </c>
      <c r="CV4" s="27">
        <v>0.3</v>
      </c>
      <c r="CW4" s="51"/>
      <c r="CX4" s="76">
        <f>IF(SUM(CD4,CH4)&gt;0,SUM(CD4,CH4),"")</f>
        <v>20.100000000000001</v>
      </c>
      <c r="CY4" s="76">
        <f>IF(SUM(CC4:CD4,CF4:CH4,CJ4)-CE4-CI4&gt;0,SUM(CC4:CD4,CF4:CH4,CJ4)-CE4-CI4,"")</f>
        <v>56.760000000000005</v>
      </c>
      <c r="CZ4" s="76">
        <f>IF(SUM(CK4:CL4,CN4)-CM4&gt;0,SUM(CK4:CL4,CN4)-CM4,"")</f>
        <v>21.200000000000003</v>
      </c>
      <c r="DA4" s="76">
        <f>IF(SUM(CD4,CH4,CL4)&gt;0,SUM(CD4,CH4,CL4),"")</f>
        <v>23.700000000000003</v>
      </c>
      <c r="DB4" s="76">
        <f>IF(SUM(CY4,CZ4)&gt;0,SUM(CY4,CZ4),"")</f>
        <v>77.960000000000008</v>
      </c>
      <c r="DC4" s="76">
        <f>IF(SUM(CP4,CT4)&gt;0,SUM(CP4,CT4),"")</f>
        <v>14.399999999999999</v>
      </c>
      <c r="DD4" s="76">
        <f>IF(SUM(CO4:CP4,CR4:CT4,CV4)-SUM(CQ4,CU4)&gt;0,SUM(CO4:CP4,CR4:CT4,CV4)-SUM(CQ4,CU4),"")</f>
        <v>50.800000000000004</v>
      </c>
      <c r="DE4" s="76">
        <f>IF(SUM(CY4,DD4)&gt;0,SUM(CY4,DD4),"")</f>
        <v>107.56</v>
      </c>
      <c r="DF4" s="87">
        <f>IF(L4&gt;=0.001,IF(MAX(ED4,FF4,GH4,HJ4,IL4,JN4,KP4,LR4,MT4,NV4,OX4,PZ4)-IF(L4="",0,L4)&gt;0.001,MAX(ED4,FF4,GH4,HJ4,IL4,JN4,KP4,LR4,MT4,NV4,OX4,PZ4)-IF(L4="",0,L4),""),"")</f>
        <v>2.2000000000000028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>IF(SUM(FN4,FR4)&gt;0,SUM(FN4,FR4),"")</f>
        <v>19.3</v>
      </c>
      <c r="GH4" s="76">
        <f>IF(SUM(FM4:FN4,FP4:FR4,FT4)-FO4-FS4&gt;0,SUM(FM4:FN4,FP4:FR4,FT4)-FO4-FS4,"")</f>
        <v>57.1</v>
      </c>
      <c r="GI4" s="76" t="str">
        <f>IF(SUM(FU4:FV4,FX4)-FW4&gt;0,SUM(FU4:FV4,FX4)-FW4,"")</f>
        <v/>
      </c>
      <c r="GJ4" s="76">
        <f>IF(SUM(FN4,FR4,FV4)&gt;0,SUM(FN4,FR4,FV4),"")</f>
        <v>19.3</v>
      </c>
      <c r="GK4" s="76">
        <f>IF(SUM(GH4,GI4)&gt;0,SUM(GH4,GI4),"")</f>
        <v>57.1</v>
      </c>
      <c r="GL4" s="76">
        <f>IF(SUM(FZ4,GD4)&gt;0,SUM(FZ4,GD4),"")</f>
        <v>14.4</v>
      </c>
      <c r="GM4" s="76">
        <f>IF(SUM(FY4:FZ4,GB4:GD4,GF4)-SUM(GA4,GE4)&gt;0,SUM(FY4:FZ4,GB4:GD4,GF4)-SUM(GA4,GE4),"")</f>
        <v>50.4</v>
      </c>
      <c r="GN4" s="76">
        <f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>IF(SUM(GP4,GT4)&gt;0,SUM(GP4,GT4),"")</f>
        <v>17.200000000000003</v>
      </c>
      <c r="HJ4" s="16">
        <f>IF(SUM(GO4:GP4,GR4:GT4,GV4)-GQ4-GU4&gt;0,SUM(GO4:GP4,GR4:GT4,GV4)-GQ4-GU4,"")</f>
        <v>54</v>
      </c>
      <c r="HK4" s="16" t="str">
        <f>IF(SUM(GW4:GX4,GZ4)-GY4&gt;0,SUM(GW4:GX4,GZ4)-GY4,"")</f>
        <v/>
      </c>
      <c r="HL4" s="16">
        <f>IF(SUM(GP4,GT4,GX4)&gt;0,SUM(GP4,GT4,GX4),"")</f>
        <v>17.200000000000003</v>
      </c>
      <c r="HM4" s="16">
        <f>IF(SUM(HJ4,HK4)&gt;0,SUM(HJ4,HK4),"")</f>
        <v>54</v>
      </c>
      <c r="HN4" s="16">
        <f>IF(SUM(HB4,HF4)&gt;0,SUM(HB4,HF4),"")</f>
        <v>8</v>
      </c>
      <c r="HO4" s="16">
        <f>IF(SUM(HA4:HB4,HD4:HF4,HH4)-SUM(HC4,HG4)&gt;0,SUM(HA4:HB4,HD4:HF4,HH4)-SUM(HC4,HG4),"")</f>
        <v>26.2</v>
      </c>
      <c r="HP4" s="16">
        <f>IF(SUM(HJ4,HO4)&gt;0,SUM(HJ4,HO4),"")</f>
        <v>80.2</v>
      </c>
      <c r="HQ4" s="25">
        <v>19</v>
      </c>
      <c r="HR4" s="25">
        <v>8.8000000000000007</v>
      </c>
      <c r="HS4" s="25">
        <v>0.6</v>
      </c>
      <c r="HT4" s="25">
        <v>0</v>
      </c>
      <c r="HU4" s="25">
        <v>19</v>
      </c>
      <c r="HV4" s="25">
        <v>8.4</v>
      </c>
      <c r="HW4" s="25">
        <v>0.2</v>
      </c>
      <c r="HX4" s="25">
        <v>0</v>
      </c>
      <c r="HY4" s="25"/>
      <c r="HZ4" s="25"/>
      <c r="IA4" s="25"/>
      <c r="IB4" s="25"/>
      <c r="IC4" s="25">
        <v>19</v>
      </c>
      <c r="ID4" s="25">
        <v>8.8000000000000007</v>
      </c>
      <c r="IE4" s="25">
        <v>0</v>
      </c>
      <c r="IF4" s="25">
        <v>0</v>
      </c>
      <c r="IG4" s="25">
        <v>18.399999999999999</v>
      </c>
      <c r="IH4" s="25">
        <v>8.6999999999999993</v>
      </c>
      <c r="II4" s="25">
        <v>0.6</v>
      </c>
      <c r="IJ4" s="25">
        <v>0</v>
      </c>
      <c r="IK4" s="76">
        <f>IF(SUM(HR4,HV4)&gt;0,SUM(HR4,HV4),"")</f>
        <v>17.200000000000003</v>
      </c>
      <c r="IL4" s="76">
        <f>IF(SUM(HQ4:HR4,HT4:HV4,HX4)-HS4-HW4&gt;0,SUM(HQ4:HR4,HT4:HV4,HX4)-HS4-HW4,"")</f>
        <v>54.399999999999991</v>
      </c>
      <c r="IM4" s="76" t="str">
        <f>IF(SUM(HY4:HZ4,IB4)-IA4&gt;0,SUM(HY4:HZ4,IB4)-IA4,"")</f>
        <v/>
      </c>
      <c r="IN4" s="76">
        <f>IF(SUM(HR4,HV4,HZ4)&gt;0,SUM(HR4,HV4,HZ4),"")</f>
        <v>17.200000000000003</v>
      </c>
      <c r="IO4" s="76">
        <f>IF(SUM(IL4,IM4)&gt;0,SUM(IL4,IM4),"")</f>
        <v>54.399999999999991</v>
      </c>
      <c r="IP4" s="76">
        <f>IF(SUM(ID4,IH4)&gt;0,SUM(ID4,IH4),"")</f>
        <v>17.5</v>
      </c>
      <c r="IQ4" s="76">
        <f>IF(SUM(IC4:ID4,IF4:IH4,IJ4)-SUM(IE4,II4)&gt;0,SUM(IC4:ID4,IF4:IH4,IJ4)-SUM(IE4,II4),"")</f>
        <v>54.300000000000004</v>
      </c>
      <c r="IR4" s="76">
        <f>IF(SUM(IL4,IQ4)&gt;0,SUM(IL4,IQ4),"")</f>
        <v>108.69999999999999</v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18.649999999999999</v>
      </c>
      <c r="QH4" s="42">
        <f>IF($CW4="P",CD4,(CD4+BA4)/2)</f>
        <v>9.25</v>
      </c>
      <c r="QI4" s="42">
        <f>IF($CW4="P",CE4,(CE4+BB4)/2)</f>
        <v>0.7</v>
      </c>
      <c r="QJ4" s="42">
        <f>IF($CW4="P",CF4,(CF4+BC4)/2)</f>
        <v>0.3</v>
      </c>
      <c r="QK4" s="42">
        <f>IF($CW4="P",CG4,(CG4+BD4)/2)</f>
        <v>18.079999999999998</v>
      </c>
      <c r="QL4" s="42">
        <f>IF($CW4="P",CH4,(CH4+BE4)/2)</f>
        <v>10.199999999999999</v>
      </c>
      <c r="QM4" s="42">
        <f>IF($CW4="P",CI4,(CI4+BF4)/2)</f>
        <v>0.4</v>
      </c>
      <c r="QN4" s="42">
        <f>IF($CW4="P",CJ4,(CJ4+BG4)/2)</f>
        <v>0.44999999999999996</v>
      </c>
      <c r="QO4" s="42">
        <f>IF($CW4="P",CK4,(CK4+BH4)/2)</f>
        <v>18.399999999999999</v>
      </c>
      <c r="QP4" s="42">
        <f>IF($CW4="P",CL4,(CL4+BI4)/2)</f>
        <v>6.2</v>
      </c>
      <c r="QQ4" s="42">
        <f>IF($CW4="P",CM4,(CM4+BJ4)/2)</f>
        <v>0</v>
      </c>
      <c r="QR4" s="42">
        <f>IF($CW4="P",CN4,(CN4+BK4)/2)</f>
        <v>0.15</v>
      </c>
      <c r="QS4" s="42">
        <f>IF($CW4="P",CO4,(CO4+BL4)/2)</f>
        <v>17.75</v>
      </c>
      <c r="QT4" s="42">
        <f>IF($CW4="P",CP4,(CP4+BM4)/2)</f>
        <v>7.8000000000000007</v>
      </c>
      <c r="QU4" s="42">
        <f>IF($CW4="P",CQ4,(CQ4+BN4)/2)</f>
        <v>0.1</v>
      </c>
      <c r="QV4" s="42">
        <f>IF($CW4="P",CR4,(CR4+BO4)/2)</f>
        <v>0.44999999999999996</v>
      </c>
      <c r="QW4" s="42">
        <f>IF($CW4="P",CS4,(CS4+BP4)/2)</f>
        <v>18.600000000000001</v>
      </c>
      <c r="QX4" s="42">
        <f>IF($CW4="P",CT4,(CT4+BQ4)/2)</f>
        <v>9.8000000000000007</v>
      </c>
      <c r="QY4" s="42">
        <f>IF($CW4="P",CU4,(CU4+BR4)/2)</f>
        <v>0</v>
      </c>
      <c r="QZ4" s="42">
        <f>IF($CW4="P",CV4,(CV4+BS4)/2)</f>
        <v>0.44999999999999996</v>
      </c>
      <c r="RA4" s="51" t="s">
        <v>58</v>
      </c>
      <c r="RB4" s="76">
        <f>IF(SUM(QH4,QL4)&gt;0,SUM(QH4,QL4),"")</f>
        <v>19.45</v>
      </c>
      <c r="RC4" s="76">
        <f>IF(SUM(QG4:QH4,QJ4:QL4,QN4)-QI4-QM4&gt;0,SUM(QG4:QH4,QJ4:QL4,QN4)-QI4-QM4,"")</f>
        <v>55.830000000000005</v>
      </c>
      <c r="RD4" s="76">
        <f>IF(SUM(QO4:QP4,QR4)-QQ4&gt;0,SUM(QO4:QP4,QR4)-QQ4,"")</f>
        <v>24.749999999999996</v>
      </c>
      <c r="RE4" s="76">
        <f>IF(SUM(QH4,QL4,QP4)&gt;0,SUM(QH4,QL4,QP4),"")</f>
        <v>25.65</v>
      </c>
      <c r="RF4" s="76">
        <f>IF(SUM(RC4,RD4)&gt;0,SUM(RC4,RD4),"")</f>
        <v>80.58</v>
      </c>
      <c r="RG4" s="76">
        <f>IF(SUM(QT4,QX4)&gt;0,SUM(QT4,QX4),"")</f>
        <v>17.600000000000001</v>
      </c>
      <c r="RH4" s="76">
        <f>IF(SUM(QS4:QT4,QV4:QX4,QZ4)-SUM(QU4,QY4)&gt;0,SUM(QS4:QT4,QV4:QX4,QZ4)-SUM(QU4,QY4),"")</f>
        <v>54.750000000000007</v>
      </c>
      <c r="RI4" s="76">
        <f>IF(SUM(RC4,RH4)&gt;0,SUM(RC4,RH4),"")</f>
        <v>110.58000000000001</v>
      </c>
    </row>
    <row r="5" spans="1:477" x14ac:dyDescent="0.2">
      <c r="A5" s="5" cm="1">
        <f t="array" ref="A5">IF(AND(F5="P",G5="P"),SUMPRODUCT((F$4:F$24="P")*(G$4:G$24="P")*(E$4:E$24&gt;E5))+1,IF(G5="P",SUMPRODUCT((F$4:F$24="")*(G$4:G$24="P")*(E$4:E$24&gt;E5))+1+SUMPRODUCT((F$4:F$24="P")*(G$4:G$24="P")),""))</f>
        <v>2</v>
      </c>
      <c r="B5" s="6" t="s">
        <v>80</v>
      </c>
      <c r="C5" s="7" t="s">
        <v>3</v>
      </c>
      <c r="D5" s="18">
        <v>2003</v>
      </c>
      <c r="E5" s="14">
        <f>SUM(J5:T5)+SUM(J5:P5)*0.0000001+SUM(J5)*0.0000000000001</f>
        <v>224.25001651500557</v>
      </c>
      <c r="F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G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H5" s="70" t="str">
        <f>IF(AND(G5="P",F5=""),"No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I5="P","Worlds Team",IF(F5="P","National Team","")))))</f>
        <v>Merit</v>
      </c>
      <c r="I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55.199999999999996</v>
      </c>
      <c r="M5" s="13" t="str">
        <f>IF(L5=0,"",IF(L5=CY5,$CC$1,IF(L5=BV5,$AZ$1,IF(L5=AS5,$W$1,""))))</f>
        <v>2022 3rd Domestic Trial</v>
      </c>
      <c r="N5" s="13">
        <f>IF(COUNT(AT5,BW5,CZ5)&gt;0,LARGE((AT5,BW5,CZ5),1),0)</f>
        <v>29.1</v>
      </c>
      <c r="O5" s="13" t="str">
        <f>IF(N5=0,"",IF(N5=CZ5,$CC$1,IF(N5=BW5,$AZ$1,IF(N5=AT5,$W$1,""))))</f>
        <v>2022 Nationals</v>
      </c>
      <c r="P5" s="13">
        <f>IF(COUNT(AT5,BW5,CZ5)&gt;1,LARGE((AT5,BW5,CZ5),2),0)</f>
        <v>24.85</v>
      </c>
      <c r="Q5" s="13" t="str">
        <f>IF(P5=0,"",IF(P5=CZ5,$CC$1,IF(P5=BW5,$AZ$1,IF(P5=AT5,$W$1,""))))</f>
        <v>2022 3rd Domestic Trial</v>
      </c>
      <c r="R5" s="13">
        <f>IF(MAX(AX5,CA5,DD5)&gt;0,MAX(AX5,CA5,DD5),0)</f>
        <v>58.2</v>
      </c>
      <c r="S5" s="13" t="str">
        <f>IF(R5=0,"",IF(R5=DD5,$CC$1,IF(R5=CA5,$AZ$1,IF(R5=AX5,$W$1,""))))</f>
        <v>2022 Nationals</v>
      </c>
      <c r="T5" s="13">
        <f>IF(MAX(DF5:DH5)&gt;0,MAX(DF5:DH5),"")</f>
        <v>0.89999999999999858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18.8</v>
      </c>
      <c r="X5" s="27">
        <v>9.1999999999999993</v>
      </c>
      <c r="Y5" s="27">
        <v>0.6</v>
      </c>
      <c r="Z5" s="27">
        <v>0.3</v>
      </c>
      <c r="AA5" s="27">
        <v>19</v>
      </c>
      <c r="AB5" s="27">
        <v>9.1999999999999993</v>
      </c>
      <c r="AC5" s="27">
        <v>0.2</v>
      </c>
      <c r="AD5" s="27">
        <v>0.3</v>
      </c>
      <c r="AE5" s="27">
        <v>17.8</v>
      </c>
      <c r="AF5" s="27">
        <v>2.8</v>
      </c>
      <c r="AG5" s="27">
        <v>0</v>
      </c>
      <c r="AH5" s="27">
        <v>0</v>
      </c>
      <c r="AI5" s="27">
        <v>19</v>
      </c>
      <c r="AJ5" s="27">
        <v>8.5</v>
      </c>
      <c r="AK5" s="27">
        <v>0</v>
      </c>
      <c r="AL5" s="27">
        <v>0.3</v>
      </c>
      <c r="AM5" s="27">
        <v>18.7</v>
      </c>
      <c r="AN5" s="27">
        <v>8.4</v>
      </c>
      <c r="AO5" s="27">
        <v>0.6</v>
      </c>
      <c r="AP5" s="27">
        <v>0.3</v>
      </c>
      <c r="AQ5" s="51"/>
      <c r="AR5" s="76">
        <f>IF(SUM(X5,AB5)&gt;0,SUM(X5,AB5),"")</f>
        <v>18.399999999999999</v>
      </c>
      <c r="AS5" s="76">
        <f>IF(SUM(W5:X5,Z5:AB5,AD5)-Y5-AC5&gt;0,SUM(W5:X5,Z5:AB5,AD5)-Y5-AC5,"")</f>
        <v>55.999999999999993</v>
      </c>
      <c r="AT5" s="76">
        <f>IF(SUM(AE5:AF5,AH5)-AG5&gt;0,SUM(AE5:AF5,AH5)-AG5,"")</f>
        <v>20.6</v>
      </c>
      <c r="AU5" s="76">
        <f>IF(SUM(X5,AB5,AF5)&gt;0,SUM(X5,AB5,AF5),"")</f>
        <v>21.2</v>
      </c>
      <c r="AV5" s="76">
        <f>IF(SUM(AS5,AT5)&gt;0,SUM(AS5,AT5),"")</f>
        <v>76.599999999999994</v>
      </c>
      <c r="AW5" s="76">
        <f>IF(SUM(AJ5,AN5)&gt;0,SUM(AJ5,AN5),"")</f>
        <v>16.899999999999999</v>
      </c>
      <c r="AX5" s="76">
        <f>IF(SUM(AI5:AJ5,AL5:AN5,AP5)-SUM(AK5,AO5)&gt;0,SUM(AI5:AJ5,AL5:AN5,AP5)-SUM(AK5,AO5),"")</f>
        <v>54.599999999999994</v>
      </c>
      <c r="AY5" s="76">
        <f>IF(SUM(AS5,AX5)&gt;0,SUM(AS5,AX5),"")</f>
        <v>110.6</v>
      </c>
      <c r="AZ5" s="26">
        <v>19.2</v>
      </c>
      <c r="BA5" s="26">
        <v>9.1999999999999993</v>
      </c>
      <c r="BB5" s="26">
        <v>0</v>
      </c>
      <c r="BC5" s="26">
        <v>0.3</v>
      </c>
      <c r="BD5" s="26">
        <v>16.600000000000001</v>
      </c>
      <c r="BE5" s="26">
        <v>9.6</v>
      </c>
      <c r="BF5" s="26">
        <v>0.8</v>
      </c>
      <c r="BG5" s="26">
        <v>0.3</v>
      </c>
      <c r="BH5" s="26">
        <v>19.600000000000001</v>
      </c>
      <c r="BI5" s="26">
        <v>9.1999999999999993</v>
      </c>
      <c r="BJ5" s="26">
        <v>0</v>
      </c>
      <c r="BK5" s="26">
        <v>0.3</v>
      </c>
      <c r="BL5" s="26">
        <v>19</v>
      </c>
      <c r="BM5" s="26">
        <v>10</v>
      </c>
      <c r="BN5" s="26">
        <v>0</v>
      </c>
      <c r="BO5" s="26">
        <v>0.6</v>
      </c>
      <c r="BP5" s="26">
        <v>17.8</v>
      </c>
      <c r="BQ5" s="26">
        <v>10.4</v>
      </c>
      <c r="BR5" s="26">
        <v>0.2</v>
      </c>
      <c r="BS5" s="26">
        <v>0.6</v>
      </c>
      <c r="BT5" s="52"/>
      <c r="BU5" s="16">
        <f>IF(SUM(BA5,BE5)&gt;0,SUM(BA5,BE5),"")</f>
        <v>18.799999999999997</v>
      </c>
      <c r="BV5" s="16">
        <f>IF(SUM(AZ5:BA5,BC5:BE5,BG5)-BB5-BF5&gt;0,SUM(AZ5:BA5,BC5:BE5,BG5)-BB5-BF5,"")</f>
        <v>54.4</v>
      </c>
      <c r="BW5" s="16">
        <f>IF(SUM(BH5:BI5,BK5)-BJ5&gt;0,SUM(BH5:BI5,BK5)-BJ5,"")</f>
        <v>29.1</v>
      </c>
      <c r="BX5" s="16">
        <f>IF(SUM(BA5,BE5,BI5)&gt;0,SUM(BA5,BE5,BI5),"")</f>
        <v>27.999999999999996</v>
      </c>
      <c r="BY5" s="16">
        <f>IF(SUM(BV5,BW5)&gt;0,SUM(BV5,BW5),"")</f>
        <v>83.5</v>
      </c>
      <c r="BZ5" s="16">
        <f>IF(SUM(BM5,BQ5)&gt;0,SUM(BM5,BQ5),"")</f>
        <v>20.399999999999999</v>
      </c>
      <c r="CA5" s="16">
        <f>IF(SUM(BL5:BM5,BO5:BQ5,BS5)-SUM(BN5,BR5)&gt;0,SUM(BL5:BM5,BO5:BQ5,BS5)-SUM(BN5,BR5),"")</f>
        <v>58.2</v>
      </c>
      <c r="CB5" s="16">
        <f>IF(SUM(BV5,CA5)&gt;0,SUM(BV5,CA5),"")</f>
        <v>112.6</v>
      </c>
      <c r="CC5" s="27">
        <v>19</v>
      </c>
      <c r="CD5" s="27">
        <v>9.1999999999999993</v>
      </c>
      <c r="CE5" s="27">
        <v>0.3</v>
      </c>
      <c r="CF5" s="27">
        <v>0.3</v>
      </c>
      <c r="CG5" s="27">
        <v>17.8</v>
      </c>
      <c r="CH5" s="27">
        <v>9.3999999999999986</v>
      </c>
      <c r="CI5" s="27">
        <v>0.5</v>
      </c>
      <c r="CJ5" s="27">
        <v>0.3</v>
      </c>
      <c r="CK5" s="27">
        <v>18.700000000000003</v>
      </c>
      <c r="CL5" s="27">
        <v>6</v>
      </c>
      <c r="CM5" s="27">
        <v>0</v>
      </c>
      <c r="CN5" s="27">
        <v>0.15</v>
      </c>
      <c r="CO5" s="27">
        <v>19</v>
      </c>
      <c r="CP5" s="27">
        <v>9.25</v>
      </c>
      <c r="CQ5" s="27">
        <v>0</v>
      </c>
      <c r="CR5" s="27">
        <v>0.44999999999999996</v>
      </c>
      <c r="CS5" s="27">
        <v>18.25</v>
      </c>
      <c r="CT5" s="27">
        <v>9.4</v>
      </c>
      <c r="CU5" s="27">
        <v>0.4</v>
      </c>
      <c r="CV5" s="27">
        <v>0.44999999999999996</v>
      </c>
      <c r="CW5" s="51" t="s">
        <v>58</v>
      </c>
      <c r="CX5" s="76">
        <f>IF(SUM(CD5,CH5)&gt;0,SUM(CD5,CH5),"")</f>
        <v>18.599999999999998</v>
      </c>
      <c r="CY5" s="76">
        <f>IF(SUM(CC5:CD5,CF5:CH5,CJ5)-CE5-CI5&gt;0,SUM(CC5:CD5,CF5:CH5,CJ5)-CE5-CI5,"")</f>
        <v>55.199999999999996</v>
      </c>
      <c r="CZ5" s="76">
        <f>IF(SUM(CK5:CL5,CN5)-CM5&gt;0,SUM(CK5:CL5,CN5)-CM5,"")</f>
        <v>24.85</v>
      </c>
      <c r="DA5" s="76">
        <f>IF(SUM(CD5,CH5,CL5)&gt;0,SUM(CD5,CH5,CL5),"")</f>
        <v>24.599999999999998</v>
      </c>
      <c r="DB5" s="76">
        <f>IF(SUM(CY5,CZ5)&gt;0,SUM(CY5,CZ5),"")</f>
        <v>80.05</v>
      </c>
      <c r="DC5" s="76">
        <f>IF(SUM(CP5,CT5)&gt;0,SUM(CP5,CT5),"")</f>
        <v>18.649999999999999</v>
      </c>
      <c r="DD5" s="76">
        <f>IF(SUM(CO5:CP5,CR5:CT5,CV5)-SUM(CQ5,CU5)&gt;0,SUM(CO5:CP5,CR5:CT5,CV5)-SUM(CQ5,CU5),"")</f>
        <v>56.400000000000006</v>
      </c>
      <c r="DE5" s="76">
        <f>IF(SUM(CY5,DD5)&gt;0,SUM(CY5,DD5),"")</f>
        <v>111.6</v>
      </c>
      <c r="DF5" s="87">
        <f>IF(L5&gt;=0.001,IF(MAX(ED5,FF5,GH5,HJ5,IL5,JN5,KP5,LR5,MT5,NV5,OX5,PZ5)-IF(L5="",0,L5)&gt;0.001,MAX(ED5,FF5,GH5,HJ5,IL5,JN5,KP5,LR5,MT5,NV5,OX5,PZ5)-IF(L5="",0,L5),""),"")</f>
        <v>0.89999999999999858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>IF(SUM(FN5,FR5)&gt;0,SUM(FN5,FR5),"")</f>
        <v>15.600000000000001</v>
      </c>
      <c r="GH5" s="76">
        <f>IF(SUM(FM5:FN5,FP5:FR5,FT5)-FO5-FS5&gt;0,SUM(FM5:FN5,FP5:FR5,FT5)-FO5-FS5,"")</f>
        <v>53.1</v>
      </c>
      <c r="GI5" s="76" t="str">
        <f>IF(SUM(FU5:FV5,FX5)-FW5&gt;0,SUM(FU5:FV5,FX5)-FW5,"")</f>
        <v/>
      </c>
      <c r="GJ5" s="76">
        <f>IF(SUM(FN5,FR5,FV5)&gt;0,SUM(FN5,FR5,FV5),"")</f>
        <v>15.600000000000001</v>
      </c>
      <c r="GK5" s="76">
        <f>IF(SUM(GH5,GI5)&gt;0,SUM(GH5,GI5),"")</f>
        <v>53.1</v>
      </c>
      <c r="GL5" s="76">
        <f>IF(SUM(FZ5,GD5)&gt;0,SUM(FZ5,GD5),"")</f>
        <v>10.4</v>
      </c>
      <c r="GM5" s="76">
        <f>IF(SUM(FY5:FZ5,GB5:GD5,GF5)-SUM(GA5,GE5)&gt;0,SUM(FY5:FZ5,GB5:GD5,GF5)-SUM(GA5,GE5),"")</f>
        <v>45.400000000000006</v>
      </c>
      <c r="GN5" s="76">
        <f>IF(SUM(GH5,GM5)&gt;0,SUM(GH5,GM5),"")</f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8</v>
      </c>
      <c r="HJ5" s="16">
        <f>IF(SUM(GO5:GP5,GR5:GT5,GV5)-GQ5-GU5&gt;0,SUM(GO5:GP5,GR5:GT5,GV5)-GQ5-GU5,"")</f>
        <v>42.8</v>
      </c>
      <c r="HK5" s="16" t="str">
        <f>IF(SUM(GW5:GX5,GZ5)-GY5&gt;0,SUM(GW5:GX5,GZ5)-GY5,"")</f>
        <v/>
      </c>
      <c r="HL5" s="16">
        <f>IF(SUM(GP5,GT5,GX5)&gt;0,SUM(GP5,GT5,GX5),"")</f>
        <v>8</v>
      </c>
      <c r="HM5" s="16">
        <f>IF(SUM(HJ5,HK5)&gt;0,SUM(HJ5,HK5),"")</f>
        <v>42.8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>
        <v>18.600000000000001</v>
      </c>
      <c r="JV5" s="25">
        <v>9.1999999999999993</v>
      </c>
      <c r="JW5" s="25">
        <v>0</v>
      </c>
      <c r="JX5" s="25">
        <v>0</v>
      </c>
      <c r="JY5" s="25">
        <v>17.5</v>
      </c>
      <c r="JZ5" s="25">
        <v>4.8</v>
      </c>
      <c r="KA5" s="25">
        <v>0</v>
      </c>
      <c r="KB5" s="25">
        <v>0</v>
      </c>
      <c r="KC5" s="25"/>
      <c r="KD5" s="25"/>
      <c r="KE5" s="25"/>
      <c r="KF5" s="25"/>
      <c r="KG5" s="25">
        <v>18.399999999999999</v>
      </c>
      <c r="KH5" s="25">
        <v>7.6</v>
      </c>
      <c r="KI5" s="25">
        <v>0.2</v>
      </c>
      <c r="KJ5" s="25">
        <v>0</v>
      </c>
      <c r="KK5" s="25"/>
      <c r="KL5" s="25"/>
      <c r="KM5" s="25"/>
      <c r="KN5" s="25"/>
      <c r="KO5" s="76">
        <f>IF(SUM(JV5,JZ5)&gt;0,SUM(JV5,JZ5),"")</f>
        <v>14</v>
      </c>
      <c r="KP5" s="76">
        <f>IF(SUM(JU5:JV5,JX5:JZ5,KB5)-JW5-KA5&gt;0,SUM(JU5:JV5,JX5:JZ5,KB5)-JW5-KA5,"")</f>
        <v>50.099999999999994</v>
      </c>
      <c r="KQ5" s="76" t="str">
        <f>IF(SUM(KC5:KD5,KF5)-KE5&gt;0,SUM(KC5:KD5,KF5)-KE5,"")</f>
        <v/>
      </c>
      <c r="KR5" s="76">
        <f>IF(SUM(JV5,JZ5,KD5)&gt;0,SUM(JV5,JZ5,KD5),"")</f>
        <v>14</v>
      </c>
      <c r="KS5" s="76">
        <f>IF(SUM(KP5,KQ5)&gt;0,SUM(KP5,KQ5),"")</f>
        <v>50.099999999999994</v>
      </c>
      <c r="KT5" s="76">
        <f>IF(SUM(KH5,KL5)&gt;0,SUM(KH5,KL5),"")</f>
        <v>7.6</v>
      </c>
      <c r="KU5" s="76">
        <f>IF(SUM(KG5:KH5,KJ5:KL5,KN5)-SUM(KI5,KM5)&gt;0,SUM(KG5:KH5,KJ5:KL5,KN5)-SUM(KI5,KM5),"")</f>
        <v>25.8</v>
      </c>
      <c r="KV5" s="76">
        <f>IF(SUM(KP5,KU5)&gt;0,SUM(KP5,KU5),"")</f>
        <v>75.899999999999991</v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19</v>
      </c>
      <c r="QH5" s="42">
        <f>IF($CW5="P",CD5,(CD5+BA5)/2)</f>
        <v>9.1999999999999993</v>
      </c>
      <c r="QI5" s="42">
        <f>IF($CW5="P",CE5,(CE5+BB5)/2)</f>
        <v>0.3</v>
      </c>
      <c r="QJ5" s="42">
        <f>IF($CW5="P",CF5,(CF5+BC5)/2)</f>
        <v>0.3</v>
      </c>
      <c r="QK5" s="42">
        <f>IF($CW5="P",CG5,(CG5+BD5)/2)</f>
        <v>17.8</v>
      </c>
      <c r="QL5" s="42">
        <f>IF($CW5="P",CH5,(CH5+BE5)/2)</f>
        <v>9.3999999999999986</v>
      </c>
      <c r="QM5" s="42">
        <f>IF($CW5="P",CI5,(CI5+BF5)/2)</f>
        <v>0.5</v>
      </c>
      <c r="QN5" s="42">
        <f>IF($CW5="P",CJ5,(CJ5+BG5)/2)</f>
        <v>0.3</v>
      </c>
      <c r="QO5" s="42">
        <f>IF($CW5="P",CK5,(CK5+BH5)/2)</f>
        <v>18.700000000000003</v>
      </c>
      <c r="QP5" s="42">
        <f>IF($CW5="P",CL5,(CL5+BI5)/2)</f>
        <v>6</v>
      </c>
      <c r="QQ5" s="42">
        <f>IF($CW5="P",CM5,(CM5+BJ5)/2)</f>
        <v>0</v>
      </c>
      <c r="QR5" s="42">
        <f>IF($CW5="P",CN5,(CN5+BK5)/2)</f>
        <v>0.15</v>
      </c>
      <c r="QS5" s="42">
        <f>IF($CW5="P",CO5,(CO5+BL5)/2)</f>
        <v>19</v>
      </c>
      <c r="QT5" s="42">
        <f>IF($CW5="P",CP5,(CP5+BM5)/2)</f>
        <v>9.25</v>
      </c>
      <c r="QU5" s="42">
        <f>IF($CW5="P",CQ5,(CQ5+BN5)/2)</f>
        <v>0</v>
      </c>
      <c r="QV5" s="42">
        <f>IF($CW5="P",CR5,(CR5+BO5)/2)</f>
        <v>0.44999999999999996</v>
      </c>
      <c r="QW5" s="42">
        <f>IF($CW5="P",CS5,(CS5+BP5)/2)</f>
        <v>18.25</v>
      </c>
      <c r="QX5" s="42">
        <f>IF($CW5="P",CT5,(CT5+BQ5)/2)</f>
        <v>9.4</v>
      </c>
      <c r="QY5" s="42">
        <f>IF($CW5="P",CU5,(CU5+BR5)/2)</f>
        <v>0.4</v>
      </c>
      <c r="QZ5" s="42">
        <f>IF($CW5="P",CV5,(CV5+BS5)/2)</f>
        <v>0.44999999999999996</v>
      </c>
      <c r="RA5" s="51" t="s">
        <v>58</v>
      </c>
      <c r="RB5" s="76">
        <f>IF(SUM(QH5,QL5)&gt;0,SUM(QH5,QL5),"")</f>
        <v>18.599999999999998</v>
      </c>
      <c r="RC5" s="76">
        <f>IF(SUM(QG5:QH5,QJ5:QL5,QN5)-QI5-QM5&gt;0,SUM(QG5:QH5,QJ5:QL5,QN5)-QI5-QM5,"")</f>
        <v>55.199999999999996</v>
      </c>
      <c r="RD5" s="76">
        <f>IF(SUM(QO5:QP5,QR5)-QQ5&gt;0,SUM(QO5:QP5,QR5)-QQ5,"")</f>
        <v>24.85</v>
      </c>
      <c r="RE5" s="76">
        <f>IF(SUM(QH5,QL5,QP5)&gt;0,SUM(QH5,QL5,QP5),"")</f>
        <v>24.599999999999998</v>
      </c>
      <c r="RF5" s="76">
        <f>IF(SUM(RC5,RD5)&gt;0,SUM(RC5,RD5),"")</f>
        <v>80.05</v>
      </c>
      <c r="RG5" s="76">
        <f>IF(SUM(QT5,QX5)&gt;0,SUM(QT5,QX5),"")</f>
        <v>18.649999999999999</v>
      </c>
      <c r="RH5" s="76">
        <f>IF(SUM(QS5:QT5,QV5:QX5,QZ5)-SUM(QU5,QY5)&gt;0,SUM(QS5:QT5,QV5:QX5,QZ5)-SUM(QU5,QY5),"")</f>
        <v>56.400000000000006</v>
      </c>
      <c r="RI5" s="76">
        <f>IF(SUM(RC5,RH5)&gt;0,SUM(RC5,RH5),"")</f>
        <v>111.6</v>
      </c>
    </row>
    <row r="6" spans="1:477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6" t="s">
        <v>206</v>
      </c>
      <c r="C6" s="7" t="s">
        <v>5</v>
      </c>
      <c r="D6" s="18">
        <v>1999</v>
      </c>
      <c r="E6" s="14">
        <f>SUM(J6:T6)+SUM(J6:P6)*0.0000001+SUM(J6)*0.0000000000001</f>
        <v>209.50001567000533</v>
      </c>
      <c r="F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G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H6" s="70" t="str">
        <f>IF(AND(G6="P",F6=""),"No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I6="P","Worlds Team",IF(F6="P","National Team","")))))</f>
        <v>Worlds Team</v>
      </c>
      <c r="I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>P</v>
      </c>
      <c r="J6" s="13">
        <f>IF(COUNT(AS6,BV6,CY6)&gt;0,LARGE((AS6,BV6,CY6),1),0)</f>
        <v>53.199999999999996</v>
      </c>
      <c r="K6" s="13" t="str">
        <f>IF(J6=0,"",IF(J6=CY6,$CC$1,IF(J6=BV6,$AZ$1,IF(J6=AS6,$W$1,""))))</f>
        <v>2022 Nationals</v>
      </c>
      <c r="L6" s="13">
        <f>IF(COUNT(AS6,BV6,CY6)&gt;1,LARGE((AS6,BV6,CY6),2),0)</f>
        <v>52.5</v>
      </c>
      <c r="M6" s="13" t="str">
        <f>IF(L6=0,"",IF(L6=CY6,$CC$1,IF(L6=BV6,$AZ$1,IF(L6=AS6,$W$1,""))))</f>
        <v>2022 3rd Domestic Trial</v>
      </c>
      <c r="N6" s="13">
        <f>IF(COUNT(AT6,BW6,CZ6)&gt;0,LARGE((AT6,BW6,CZ6),1),0)</f>
        <v>25.6</v>
      </c>
      <c r="O6" s="13" t="str">
        <f>IF(N6=0,"",IF(N6=CZ6,$CC$1,IF(N6=BW6,$AZ$1,IF(N6=AT6,$W$1,""))))</f>
        <v>2022 3rd Domestic Trial</v>
      </c>
      <c r="P6" s="13">
        <f>IF(COUNT(AT6,BW6,CZ6)&gt;1,LARGE((AT6,BW6,CZ6),2),0)</f>
        <v>25.4</v>
      </c>
      <c r="Q6" s="13" t="str">
        <f>IF(P6=0,"",IF(P6=CZ6,$CC$1,IF(P6=BW6,$AZ$1,IF(P6=AT6,$W$1,""))))</f>
        <v>2022 Nationals</v>
      </c>
      <c r="R6" s="13">
        <f>IF(MAX(AX6,CA6,DD6)&gt;0,MAX(AX6,CA6,DD6),0)</f>
        <v>52.8</v>
      </c>
      <c r="S6" s="13" t="str">
        <f>IF(R6=0,"",IF(R6=DD6,$CC$1,IF(R6=CA6,$AZ$1,IF(R6=AX6,$W$1,""))))</f>
        <v>2022 3rd Domestic Trial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>
        <v>18.8</v>
      </c>
      <c r="BA6" s="26">
        <v>7.6</v>
      </c>
      <c r="BB6" s="26">
        <v>0</v>
      </c>
      <c r="BC6" s="26">
        <v>0</v>
      </c>
      <c r="BD6" s="26">
        <v>19</v>
      </c>
      <c r="BE6" s="26">
        <v>8</v>
      </c>
      <c r="BF6" s="26">
        <v>0.2</v>
      </c>
      <c r="BG6" s="26">
        <v>0</v>
      </c>
      <c r="BH6" s="26">
        <v>19</v>
      </c>
      <c r="BI6" s="26">
        <v>6.4</v>
      </c>
      <c r="BJ6" s="26">
        <v>0</v>
      </c>
      <c r="BK6" s="26">
        <v>0</v>
      </c>
      <c r="BL6" s="26">
        <v>18.7</v>
      </c>
      <c r="BM6" s="26">
        <v>7.6</v>
      </c>
      <c r="BN6" s="26">
        <v>1</v>
      </c>
      <c r="BO6" s="26">
        <v>0</v>
      </c>
      <c r="BP6" s="26">
        <v>18.5</v>
      </c>
      <c r="BQ6" s="26">
        <v>8</v>
      </c>
      <c r="BR6" s="26">
        <v>0</v>
      </c>
      <c r="BS6" s="26">
        <v>0</v>
      </c>
      <c r="BT6" s="52"/>
      <c r="BU6" s="16">
        <f>IF(SUM(BA6,BE6)&gt;0,SUM(BA6,BE6),"")</f>
        <v>15.6</v>
      </c>
      <c r="BV6" s="16">
        <f>IF(SUM(AZ6:BA6,BC6:BE6,BG6)-BB6-BF6&gt;0,SUM(AZ6:BA6,BC6:BE6,BG6)-BB6-BF6,"")</f>
        <v>53.199999999999996</v>
      </c>
      <c r="BW6" s="16">
        <f>IF(SUM(BH6:BI6,BK6)-BJ6&gt;0,SUM(BH6:BI6,BK6)-BJ6,"")</f>
        <v>25.4</v>
      </c>
      <c r="BX6" s="16">
        <f>IF(SUM(BA6,BE6,BI6)&gt;0,SUM(BA6,BE6,BI6),"")</f>
        <v>22</v>
      </c>
      <c r="BY6" s="16">
        <f>IF(SUM(BV6,BW6)&gt;0,SUM(BV6,BW6),"")</f>
        <v>78.599999999999994</v>
      </c>
      <c r="BZ6" s="16">
        <f>IF(SUM(BM6,BQ6)&gt;0,SUM(BM6,BQ6),"")</f>
        <v>15.6</v>
      </c>
      <c r="CA6" s="16">
        <f>IF(SUM(BL6:BM6,BO6:BQ6,BS6)-SUM(BN6,BR6)&gt;0,SUM(BL6:BM6,BO6:BQ6,BS6)-SUM(BN6,BR6),"")</f>
        <v>51.8</v>
      </c>
      <c r="CB6" s="16">
        <f>IF(SUM(BV6,CA6)&gt;0,SUM(BV6,CA6),"")</f>
        <v>105</v>
      </c>
      <c r="CC6" s="27">
        <v>18.8</v>
      </c>
      <c r="CD6" s="27">
        <v>7.6</v>
      </c>
      <c r="CE6" s="27">
        <v>0.8</v>
      </c>
      <c r="CF6" s="27">
        <v>0</v>
      </c>
      <c r="CG6" s="27">
        <v>18.899999999999999</v>
      </c>
      <c r="CH6" s="27">
        <v>8</v>
      </c>
      <c r="CI6" s="27">
        <v>0</v>
      </c>
      <c r="CJ6" s="27">
        <v>0</v>
      </c>
      <c r="CK6" s="27">
        <v>18.8</v>
      </c>
      <c r="CL6" s="27">
        <v>6.8</v>
      </c>
      <c r="CM6" s="27">
        <v>0</v>
      </c>
      <c r="CN6" s="27">
        <v>0</v>
      </c>
      <c r="CO6" s="27">
        <v>18.8</v>
      </c>
      <c r="CP6" s="27">
        <v>7.6</v>
      </c>
      <c r="CQ6" s="27">
        <v>0</v>
      </c>
      <c r="CR6" s="27">
        <v>0</v>
      </c>
      <c r="CS6" s="27">
        <v>18.600000000000001</v>
      </c>
      <c r="CT6" s="27">
        <v>8</v>
      </c>
      <c r="CU6" s="27">
        <v>0.2</v>
      </c>
      <c r="CV6" s="27">
        <v>0</v>
      </c>
      <c r="CW6" s="51"/>
      <c r="CX6" s="76">
        <f>IF(SUM(CD6,CH6)&gt;0,SUM(CD6,CH6),"")</f>
        <v>15.6</v>
      </c>
      <c r="CY6" s="76">
        <f>IF(SUM(CC6:CD6,CF6:CH6,CJ6)-CE6-CI6&gt;0,SUM(CC6:CD6,CF6:CH6,CJ6)-CE6-CI6,"")</f>
        <v>52.5</v>
      </c>
      <c r="CZ6" s="76">
        <f>IF(SUM(CK6:CL6,CN6)-CM6&gt;0,SUM(CK6:CL6,CN6)-CM6,"")</f>
        <v>25.6</v>
      </c>
      <c r="DA6" s="76">
        <f>IF(SUM(CD6,CH6,CL6)&gt;0,SUM(CD6,CH6,CL6),"")</f>
        <v>22.4</v>
      </c>
      <c r="DB6" s="76">
        <f>IF(SUM(CY6,CZ6)&gt;0,SUM(CY6,CZ6),"")</f>
        <v>78.099999999999994</v>
      </c>
      <c r="DC6" s="76">
        <f>IF(SUM(CP6,CT6)&gt;0,SUM(CP6,CT6),"")</f>
        <v>15.6</v>
      </c>
      <c r="DD6" s="76">
        <f>IF(SUM(CO6:CP6,CR6:CT6,CV6)-SUM(CQ6,CU6)&gt;0,SUM(CO6:CP6,CR6:CT6,CV6)-SUM(CQ6,CU6),"")</f>
        <v>52.8</v>
      </c>
      <c r="DE6" s="76">
        <f>IF(SUM(CY6,DD6)&gt;0,SUM(CY6,DD6),"")</f>
        <v>105.3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 t="str">
        <f>IF(SUM(DJ6,DN6)&gt;0,SUM(DJ6,DN6),"")</f>
        <v/>
      </c>
      <c r="ED6" s="76" t="str">
        <f>IF(SUM(DI6:DJ6,DL6:DN6,DP6)-DK6-DO6&gt;0,SUM(DI6:DJ6,DL6:DN6,DP6)-DK6-DO6,"")</f>
        <v/>
      </c>
      <c r="EE6" s="76" t="str">
        <f>IF(SUM(DQ6:DR6,DT6)-DS6&gt;0,SUM(DQ6:DR6,DT6)-DS6,"")</f>
        <v/>
      </c>
      <c r="EF6" s="76" t="str">
        <f>IF(SUM(DJ6,DN6,DR6)&gt;0,SUM(DJ6,DN6,DR6),"")</f>
        <v/>
      </c>
      <c r="EG6" s="76" t="str">
        <f>IF(SUM(ED6,EE6)&gt;0,SUM(ED6,EE6),"")</f>
        <v/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 t="str">
        <f>IF(SUM(ED6,EI6)&gt;0,SUM(ED6,EI6),"")</f>
        <v/>
      </c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16" t="str">
        <f>IF(SUM(EL6,EP6)&gt;0,SUM(EL6,EP6),"")</f>
        <v/>
      </c>
      <c r="FF6" s="16" t="str">
        <f>IF(SUM(EK6:EL6,EN6:EP6,ER6)-EM6-EQ6&gt;0,SUM(EK6:EL6,EN6:EP6,ER6)-EM6-EQ6,"")</f>
        <v/>
      </c>
      <c r="FG6" s="16" t="str">
        <f>IF(SUM(ES6:ET6,EV6)-EU6&gt;0,SUM(ES6:ET6,EV6)-EU6,"")</f>
        <v/>
      </c>
      <c r="FH6" s="16" t="str">
        <f>IF(SUM(EL6,EP6,ET6)&gt;0,SUM(EL6,EP6,ET6),"")</f>
        <v/>
      </c>
      <c r="FI6" s="16" t="str">
        <f>IF(SUM(FF6,FG6)&gt;0,SUM(FF6,FG6),"")</f>
        <v/>
      </c>
      <c r="FJ6" s="16" t="str">
        <f>IF(SUM(EX6,FB6)&gt;0,SUM(EX6,FB6),"")</f>
        <v/>
      </c>
      <c r="FK6" s="16" t="str">
        <f>IF(SUM(EW6:EX6,EZ6:FB6,FD6)-SUM(EY6,FC6)&gt;0,SUM(EW6:EX6,EZ6:FB6,FD6)-SUM(EY6,FC6),"")</f>
        <v/>
      </c>
      <c r="FL6" s="16" t="str">
        <f>IF(SUM(FF6,FK6)&gt;0,SUM(FF6,FK6),"")</f>
        <v/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>IF(SUM(FN6,FR6)&gt;0,SUM(FN6,FR6),"")</f>
        <v/>
      </c>
      <c r="GH6" s="76" t="str">
        <f>IF(SUM(FM6:FN6,FP6:FR6,FT6)-FO6-FS6&gt;0,SUM(FM6:FN6,FP6:FR6,FT6)-FO6-FS6,"")</f>
        <v/>
      </c>
      <c r="GI6" s="76" t="str">
        <f>IF(SUM(FU6:FV6,FX6)-FW6&gt;0,SUM(FU6:FV6,FX6)-FW6,"")</f>
        <v/>
      </c>
      <c r="GJ6" s="76" t="str">
        <f>IF(SUM(FN6,FR6,FV6)&gt;0,SUM(FN6,FR6,FV6),"")</f>
        <v/>
      </c>
      <c r="GK6" s="76" t="str">
        <f>IF(SUM(GH6,GI6)&gt;0,SUM(GH6,GI6),"")</f>
        <v/>
      </c>
      <c r="GL6" s="76" t="str">
        <f>IF(SUM(FZ6,GD6)&gt;0,SUM(FZ6,GD6),"")</f>
        <v/>
      </c>
      <c r="GM6" s="76" t="str">
        <f>IF(SUM(FY6:FZ6,GB6:GD6,GF6)-SUM(GA6,GE6)&gt;0,SUM(FY6:FZ6,GB6:GD6,GF6)-SUM(GA6,GE6),"")</f>
        <v/>
      </c>
      <c r="GN6" s="76" t="str">
        <f>IF(SUM(GH6,GM6)&gt;0,SUM(GH6,GM6),"")</f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18.8</v>
      </c>
      <c r="QH6" s="42">
        <f>IF($CW6="P",CD6,(CD6+BA6)/2)</f>
        <v>7.6</v>
      </c>
      <c r="QI6" s="42">
        <f>IF($CW6="P",CE6,(CE6+BB6)/2)</f>
        <v>0.4</v>
      </c>
      <c r="QJ6" s="42">
        <f>IF($CW6="P",CF6,(CF6+BC6)/2)</f>
        <v>0</v>
      </c>
      <c r="QK6" s="42">
        <f>IF($CW6="P",CG6,(CG6+BD6)/2)</f>
        <v>18.95</v>
      </c>
      <c r="QL6" s="42">
        <f>IF($CW6="P",CH6,(CH6+BE6)/2)</f>
        <v>8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18.899999999999999</v>
      </c>
      <c r="QP6" s="42">
        <f>IF($CW6="P",CL6,(CL6+BI6)/2)</f>
        <v>6.6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18.75</v>
      </c>
      <c r="QT6" s="42">
        <f>IF($CW6="P",CP6,(CP6+BM6)/2)</f>
        <v>7.6</v>
      </c>
      <c r="QU6" s="42">
        <f>IF($CW6="P",CQ6,(CQ6+BN6)/2)</f>
        <v>0.5</v>
      </c>
      <c r="QV6" s="42">
        <f>IF($CW6="P",CR6,(CR6+BO6)/2)</f>
        <v>0</v>
      </c>
      <c r="QW6" s="42">
        <f>IF($CW6="P",CS6,(CS6+BP6)/2)</f>
        <v>18.55</v>
      </c>
      <c r="QX6" s="42">
        <f>IF($CW6="P",CT6,(CT6+BQ6)/2)</f>
        <v>8</v>
      </c>
      <c r="QY6" s="42">
        <f>IF($CW6="P",CU6,(CU6+BR6)/2)</f>
        <v>0.1</v>
      </c>
      <c r="QZ6" s="42">
        <f>IF($CW6="P",CV6,(CV6+BS6)/2)</f>
        <v>0</v>
      </c>
      <c r="RA6" s="51" t="s">
        <v>58</v>
      </c>
      <c r="RB6" s="76">
        <f>IF(SUM(QH6,QL6)&gt;0,SUM(QH6,QL6),"")</f>
        <v>15.6</v>
      </c>
      <c r="RC6" s="76">
        <f>IF(SUM(QG6:QH6,QJ6:QL6,QN6)-QI6-QM6&gt;0,SUM(QG6:QH6,QJ6:QL6,QN6)-QI6-QM6,"")</f>
        <v>52.849999999999994</v>
      </c>
      <c r="RD6" s="76">
        <f>IF(SUM(QO6:QP6,QR6)-QQ6&gt;0,SUM(QO6:QP6,QR6)-QQ6,"")</f>
        <v>25.5</v>
      </c>
      <c r="RE6" s="76">
        <f>IF(SUM(QH6,QL6,QP6)&gt;0,SUM(QH6,QL6,QP6),"")</f>
        <v>22.2</v>
      </c>
      <c r="RF6" s="76">
        <f>IF(SUM(RC6,RD6)&gt;0,SUM(RC6,RD6),"")</f>
        <v>78.349999999999994</v>
      </c>
      <c r="RG6" s="76">
        <f>IF(SUM(QT6,QX6)&gt;0,SUM(QT6,QX6),"")</f>
        <v>15.6</v>
      </c>
      <c r="RH6" s="76">
        <f>IF(SUM(QS6:QT6,QV6:QX6,QZ6)-SUM(QU6,QY6)&gt;0,SUM(QS6:QT6,QV6:QX6,QZ6)-SUM(QU6,QY6),"")</f>
        <v>52.300000000000004</v>
      </c>
      <c r="RI6" s="76">
        <f>IF(SUM(RC6,RH6)&gt;0,SUM(RC6,RH6),"")</f>
        <v>105.15</v>
      </c>
    </row>
    <row r="7" spans="1:477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6" t="s">
        <v>89</v>
      </c>
      <c r="C7" s="7" t="s">
        <v>5</v>
      </c>
      <c r="D7" s="18">
        <v>2003</v>
      </c>
      <c r="E7" s="14">
        <f>SUM(J7:T7)+SUM(J7:P7)*0.0000001+SUM(J7)*0.0000000000001</f>
        <v>209.48001556800526</v>
      </c>
      <c r="F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G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H7" s="70" t="str">
        <f>IF(AND(G7="P",F7=""),"No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I7="P","Worlds Team",IF(F7="P","National Team","")))))</f>
        <v>Worlds Team</v>
      </c>
      <c r="I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>P</v>
      </c>
      <c r="J7" s="13">
        <f>IF(COUNT(AS7,BV7,CY7)&gt;0,LARGE((AS7,BV7,CY7),1),0)</f>
        <v>52.3</v>
      </c>
      <c r="K7" s="13" t="str">
        <f>IF(J7=0,"",IF(J7=CY7,$CC$1,IF(J7=BV7,$AZ$1,IF(J7=AS7,$W$1,""))))</f>
        <v>2022 3rd Domestic Trial</v>
      </c>
      <c r="L7" s="13">
        <f>IF(COUNT(AS7,BV7,CY7)&gt;1,LARGE((AS7,BV7,CY7),2),0)</f>
        <v>49.900000000000013</v>
      </c>
      <c r="M7" s="13" t="str">
        <f>IF(L7=0,"",IF(L7=CY7,$CC$1,IF(L7=BV7,$AZ$1,IF(L7=AS7,$W$1,""))))</f>
        <v>2022 Elite Canada</v>
      </c>
      <c r="N7" s="13">
        <f>IF(COUNT(AT7,BW7,CZ7)&gt;0,LARGE((AT7,BW7,CZ7),1),0)</f>
        <v>27.380000000000003</v>
      </c>
      <c r="O7" s="13" t="str">
        <f>IF(N7=0,"",IF(N7=CZ7,$CC$1,IF(N7=BW7,$AZ$1,IF(N7=AT7,$W$1,""))))</f>
        <v>2022 3rd Domestic Trial</v>
      </c>
      <c r="P7" s="13">
        <f>IF(COUNT(AT7,BW7,CZ7)&gt;1,LARGE((AT7,BW7,CZ7),2),0)</f>
        <v>26.1</v>
      </c>
      <c r="Q7" s="13" t="str">
        <f>IF(P7=0,"",IF(P7=CZ7,$CC$1,IF(P7=BW7,$AZ$1,IF(P7=AT7,$W$1,""))))</f>
        <v>2022 Nationals</v>
      </c>
      <c r="R7" s="13">
        <f>IF(MAX(AX7,CA7,DD7)&gt;0,MAX(AX7,CA7,DD7),0)</f>
        <v>52.8</v>
      </c>
      <c r="S7" s="13" t="str">
        <f>IF(R7=0,"",IF(R7=DD7,$CC$1,IF(R7=CA7,$AZ$1,IF(R7=AX7,$W$1,""))))</f>
        <v>2022 Nationals</v>
      </c>
      <c r="T7" s="13">
        <f>IF(MAX(DF7:DH7)&gt;0,MAX(DF7:DH7),"")</f>
        <v>0.99999999999999289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18.600000000000001</v>
      </c>
      <c r="X7" s="27">
        <v>7.6</v>
      </c>
      <c r="Y7" s="27">
        <v>0.8</v>
      </c>
      <c r="Z7" s="27">
        <v>0</v>
      </c>
      <c r="AA7" s="27">
        <v>18.100000000000001</v>
      </c>
      <c r="AB7" s="27">
        <v>7.2</v>
      </c>
      <c r="AC7" s="27">
        <v>0.8</v>
      </c>
      <c r="AD7" s="27">
        <v>0</v>
      </c>
      <c r="AE7" s="27">
        <v>17.3</v>
      </c>
      <c r="AF7" s="27">
        <v>2.4</v>
      </c>
      <c r="AG7" s="27">
        <v>0</v>
      </c>
      <c r="AH7" s="27">
        <v>0</v>
      </c>
      <c r="AI7" s="27">
        <v>18.5</v>
      </c>
      <c r="AJ7" s="27">
        <v>6.8</v>
      </c>
      <c r="AK7" s="27">
        <v>0.2</v>
      </c>
      <c r="AL7" s="27">
        <v>0</v>
      </c>
      <c r="AM7" s="27">
        <v>18.5</v>
      </c>
      <c r="AN7" s="27">
        <v>2.8</v>
      </c>
      <c r="AO7" s="27">
        <v>3.4</v>
      </c>
      <c r="AP7" s="27">
        <v>0</v>
      </c>
      <c r="AQ7" s="51"/>
      <c r="AR7" s="76">
        <f>IF(SUM(X7,AB7)&gt;0,SUM(X7,AB7),"")</f>
        <v>14.8</v>
      </c>
      <c r="AS7" s="76">
        <f>IF(SUM(W7:X7,Z7:AB7,AD7)-Y7-AC7&gt;0,SUM(W7:X7,Z7:AB7,AD7)-Y7-AC7,"")</f>
        <v>49.900000000000013</v>
      </c>
      <c r="AT7" s="76">
        <f>IF(SUM(AE7:AF7,AH7)-AG7&gt;0,SUM(AE7:AF7,AH7)-AG7,"")</f>
        <v>19.7</v>
      </c>
      <c r="AU7" s="76">
        <f>IF(SUM(X7,AB7,AF7)&gt;0,SUM(X7,AB7,AF7),"")</f>
        <v>17.2</v>
      </c>
      <c r="AV7" s="76">
        <f>IF(SUM(AS7,AT7)&gt;0,SUM(AS7,AT7),"")</f>
        <v>69.600000000000009</v>
      </c>
      <c r="AW7" s="76">
        <f>IF(SUM(AJ7,AN7)&gt;0,SUM(AJ7,AN7),"")</f>
        <v>9.6</v>
      </c>
      <c r="AX7" s="76">
        <f>IF(SUM(AI7:AJ7,AL7:AN7,AP7)-SUM(AK7,AO7)&gt;0,SUM(AI7:AJ7,AL7:AN7,AP7)-SUM(AK7,AO7),"")</f>
        <v>42.999999999999993</v>
      </c>
      <c r="AY7" s="76">
        <f>IF(SUM(AS7,AX7)&gt;0,SUM(AS7,AX7),"")</f>
        <v>92.9</v>
      </c>
      <c r="AZ7" s="26">
        <v>19</v>
      </c>
      <c r="BA7" s="26">
        <v>8</v>
      </c>
      <c r="BB7" s="26">
        <v>0.6</v>
      </c>
      <c r="BC7" s="26">
        <v>0.3</v>
      </c>
      <c r="BD7" s="26">
        <v>17.399999999999999</v>
      </c>
      <c r="BE7" s="26">
        <v>4</v>
      </c>
      <c r="BF7" s="26">
        <v>0</v>
      </c>
      <c r="BG7" s="26">
        <v>0</v>
      </c>
      <c r="BH7" s="26">
        <v>19.3</v>
      </c>
      <c r="BI7" s="26">
        <v>6.8</v>
      </c>
      <c r="BJ7" s="26">
        <v>0</v>
      </c>
      <c r="BK7" s="26">
        <v>0</v>
      </c>
      <c r="BL7" s="26">
        <v>18.7</v>
      </c>
      <c r="BM7" s="26">
        <v>8</v>
      </c>
      <c r="BN7" s="26">
        <v>0.6</v>
      </c>
      <c r="BO7" s="26">
        <v>0.3</v>
      </c>
      <c r="BP7" s="26">
        <v>18.600000000000001</v>
      </c>
      <c r="BQ7" s="26">
        <v>8.4</v>
      </c>
      <c r="BR7" s="26">
        <v>0.6</v>
      </c>
      <c r="BS7" s="26">
        <v>0</v>
      </c>
      <c r="BT7" s="52"/>
      <c r="BU7" s="16">
        <f>IF(SUM(BA7,BE7)&gt;0,SUM(BA7,BE7),"")</f>
        <v>12</v>
      </c>
      <c r="BV7" s="16">
        <f>IF(SUM(AZ7:BA7,BC7:BE7,BG7)-BB7-BF7&gt;0,SUM(AZ7:BA7,BC7:BE7,BG7)-BB7-BF7,"")</f>
        <v>48.1</v>
      </c>
      <c r="BW7" s="16">
        <f>IF(SUM(BH7:BI7,BK7)-BJ7&gt;0,SUM(BH7:BI7,BK7)-BJ7,"")</f>
        <v>26.1</v>
      </c>
      <c r="BX7" s="16">
        <f>IF(SUM(BA7,BE7,BI7)&gt;0,SUM(BA7,BE7,BI7),"")</f>
        <v>18.8</v>
      </c>
      <c r="BY7" s="16">
        <f>IF(SUM(BV7,BW7)&gt;0,SUM(BV7,BW7),"")</f>
        <v>74.2</v>
      </c>
      <c r="BZ7" s="16">
        <f>IF(SUM(BM7,BQ7)&gt;0,SUM(BM7,BQ7),"")</f>
        <v>16.399999999999999</v>
      </c>
      <c r="CA7" s="16">
        <f>IF(SUM(BL7:BM7,BO7:BQ7,BS7)-SUM(BN7,BR7)&gt;0,SUM(BL7:BM7,BO7:BQ7,BS7)-SUM(BN7,BR7),"")</f>
        <v>52.8</v>
      </c>
      <c r="CB7" s="16">
        <f>IF(SUM(BV7,CA7)&gt;0,SUM(BV7,CA7),"")</f>
        <v>100.9</v>
      </c>
      <c r="CC7" s="27">
        <v>19.2</v>
      </c>
      <c r="CD7" s="27">
        <v>7.6</v>
      </c>
      <c r="CE7" s="27">
        <v>0.6</v>
      </c>
      <c r="CF7" s="27">
        <v>0.3</v>
      </c>
      <c r="CG7" s="27">
        <v>18.8</v>
      </c>
      <c r="CH7" s="27">
        <v>7.2</v>
      </c>
      <c r="CI7" s="27">
        <v>0.2</v>
      </c>
      <c r="CJ7" s="27">
        <v>0</v>
      </c>
      <c r="CK7" s="27">
        <v>18.98</v>
      </c>
      <c r="CL7" s="27">
        <v>8.4</v>
      </c>
      <c r="CM7" s="27">
        <v>0</v>
      </c>
      <c r="CN7" s="27">
        <v>0</v>
      </c>
      <c r="CO7" s="27">
        <v>18.7</v>
      </c>
      <c r="CP7" s="27">
        <v>6.8</v>
      </c>
      <c r="CQ7" s="27">
        <v>0</v>
      </c>
      <c r="CR7" s="27">
        <v>0</v>
      </c>
      <c r="CS7" s="27">
        <v>18.899999999999999</v>
      </c>
      <c r="CT7" s="27">
        <v>6.4</v>
      </c>
      <c r="CU7" s="27">
        <v>0.6</v>
      </c>
      <c r="CV7" s="27">
        <v>0</v>
      </c>
      <c r="CW7" s="51"/>
      <c r="CX7" s="76">
        <f>IF(SUM(CD7,CH7)&gt;0,SUM(CD7,CH7),"")</f>
        <v>14.8</v>
      </c>
      <c r="CY7" s="76">
        <f>IF(SUM(CC7:CD7,CF7:CH7,CJ7)-CE7-CI7&gt;0,SUM(CC7:CD7,CF7:CH7,CJ7)-CE7-CI7,"")</f>
        <v>52.3</v>
      </c>
      <c r="CZ7" s="76">
        <f>IF(SUM(CK7:CL7,CN7)-CM7&gt;0,SUM(CK7:CL7,CN7)-CM7,"")</f>
        <v>27.380000000000003</v>
      </c>
      <c r="DA7" s="76">
        <f>IF(SUM(CD7,CH7,CL7)&gt;0,SUM(CD7,CH7,CL7),"")</f>
        <v>23.200000000000003</v>
      </c>
      <c r="DB7" s="76">
        <f>IF(SUM(CY7,CZ7)&gt;0,SUM(CY7,CZ7),"")</f>
        <v>79.680000000000007</v>
      </c>
      <c r="DC7" s="76">
        <f>IF(SUM(CP7,CT7)&gt;0,SUM(CP7,CT7),"")</f>
        <v>13.2</v>
      </c>
      <c r="DD7" s="76">
        <f>IF(SUM(CO7:CP7,CR7:CT7,CV7)-SUM(CQ7,CU7)&gt;0,SUM(CO7:CP7,CR7:CT7,CV7)-SUM(CQ7,CU7),"")</f>
        <v>50.199999999999996</v>
      </c>
      <c r="DE7" s="76">
        <f>IF(SUM(CY7,DD7)&gt;0,SUM(CY7,DD7),"")</f>
        <v>102.5</v>
      </c>
      <c r="DF7" s="87">
        <f>IF(L7&gt;=0.001,IF(MAX(ED7,FF7,GH7,HJ7,IL7,JN7,KP7,LR7,MT7,NV7,OX7,PZ7)-IF(L7="",0,L7)&gt;0.001,MAX(ED7,FF7,GH7,HJ7,IL7,JN7,KP7,LR7,MT7,NV7,OX7,PZ7)-IF(L7="",0,L7),""),"")</f>
        <v>0.99999999999999289</v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/>
      <c r="DJ7" s="25">
        <v>2.0000000000000002E-5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2.0000000000000002E-5</v>
      </c>
      <c r="ED7" s="76">
        <f>IF(SUM(DI7:DJ7,DL7:DN7,DP7)-DK7-DO7&gt;0,SUM(DI7:DJ7,DL7:DN7,DP7)-DK7-DO7,"")</f>
        <v>2.0000000000000002E-5</v>
      </c>
      <c r="EE7" s="76" t="str">
        <f>IF(SUM(DQ7:DR7,DT7)-DS7&gt;0,SUM(DQ7:DR7,DT7)-DS7,"")</f>
        <v/>
      </c>
      <c r="EF7" s="76">
        <f>IF(SUM(DJ7,DN7,DR7)&gt;0,SUM(DJ7,DN7,DR7),"")</f>
        <v>2.0000000000000002E-5</v>
      </c>
      <c r="EG7" s="76">
        <f>IF(SUM(ED7,EE7)&gt;0,SUM(ED7,EE7),"")</f>
        <v>2.0000000000000002E-5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2.0000000000000002E-5</v>
      </c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16" t="str">
        <f>IF(SUM(EL7,EP7)&gt;0,SUM(EL7,EP7),"")</f>
        <v/>
      </c>
      <c r="FF7" s="16" t="str">
        <f>IF(SUM(EK7:EL7,EN7:EP7,ER7)-EM7-EQ7&gt;0,SUM(EK7:EL7,EN7:EP7,ER7)-EM7-EQ7,"")</f>
        <v/>
      </c>
      <c r="FG7" s="16" t="str">
        <f>IF(SUM(ES7:ET7,EV7)-EU7&gt;0,SUM(ES7:ET7,EV7)-EU7,"")</f>
        <v/>
      </c>
      <c r="FH7" s="16" t="str">
        <f>IF(SUM(EL7,EP7,ET7)&gt;0,SUM(EL7,EP7,ET7),"")</f>
        <v/>
      </c>
      <c r="FI7" s="16" t="str">
        <f>IF(SUM(FF7,FG7)&gt;0,SUM(FF7,FG7),"")</f>
        <v/>
      </c>
      <c r="FJ7" s="16" t="str">
        <f>IF(SUM(EX7,FB7)&gt;0,SUM(EX7,FB7),"")</f>
        <v/>
      </c>
      <c r="FK7" s="16" t="str">
        <f>IF(SUM(EW7:EX7,EZ7:FB7,FD7)-SUM(EY7,FC7)&gt;0,SUM(EW7:EX7,EZ7:FB7,FD7)-SUM(EY7,FC7),"")</f>
        <v/>
      </c>
      <c r="FL7" s="16" t="str">
        <f>IF(SUM(FF7,FK7)&gt;0,SUM(FF7,FK7),"")</f>
        <v/>
      </c>
      <c r="FM7" s="25">
        <v>19</v>
      </c>
      <c r="FN7" s="25">
        <v>8</v>
      </c>
      <c r="FO7" s="25">
        <v>0.8</v>
      </c>
      <c r="FP7" s="25">
        <v>0.3</v>
      </c>
      <c r="FQ7" s="25">
        <v>18.399999999999999</v>
      </c>
      <c r="FR7" s="25">
        <v>6.8</v>
      </c>
      <c r="FS7" s="25">
        <v>0.8</v>
      </c>
      <c r="FT7" s="25">
        <v>0</v>
      </c>
      <c r="FU7" s="25"/>
      <c r="FV7" s="25"/>
      <c r="FW7" s="25"/>
      <c r="FX7" s="25"/>
      <c r="FY7" s="25">
        <v>17.600000000000001</v>
      </c>
      <c r="FZ7" s="25">
        <v>2.8</v>
      </c>
      <c r="GA7" s="25">
        <v>0</v>
      </c>
      <c r="GB7" s="25">
        <v>0</v>
      </c>
      <c r="GC7" s="25">
        <v>18.8</v>
      </c>
      <c r="GD7" s="25">
        <v>4.5999999999999996</v>
      </c>
      <c r="GE7" s="25">
        <v>1.4</v>
      </c>
      <c r="GF7" s="25">
        <v>0</v>
      </c>
      <c r="GG7" s="76">
        <f>IF(SUM(FN7,FR7)&gt;0,SUM(FN7,FR7),"")</f>
        <v>14.8</v>
      </c>
      <c r="GH7" s="76">
        <f>IF(SUM(FM7:FN7,FP7:FR7,FT7)-FO7-FS7&gt;0,SUM(FM7:FN7,FP7:FR7,FT7)-FO7-FS7,"")</f>
        <v>50.900000000000006</v>
      </c>
      <c r="GI7" s="76" t="str">
        <f>IF(SUM(FU7:FV7,FX7)-FW7&gt;0,SUM(FU7:FV7,FX7)-FW7,"")</f>
        <v/>
      </c>
      <c r="GJ7" s="76">
        <f>IF(SUM(FN7,FR7,FV7)&gt;0,SUM(FN7,FR7,FV7),"")</f>
        <v>14.8</v>
      </c>
      <c r="GK7" s="76">
        <f>IF(SUM(GH7,GI7)&gt;0,SUM(GH7,GI7),"")</f>
        <v>50.900000000000006</v>
      </c>
      <c r="GL7" s="76">
        <f>IF(SUM(FZ7,GD7)&gt;0,SUM(FZ7,GD7),"")</f>
        <v>7.3999999999999995</v>
      </c>
      <c r="GM7" s="76">
        <f>IF(SUM(FY7:FZ7,GB7:GD7,GF7)-SUM(GA7,GE7)&gt;0,SUM(FY7:FZ7,GB7:GD7,GF7)-SUM(GA7,GE7),"")</f>
        <v>42.400000000000006</v>
      </c>
      <c r="GN7" s="76">
        <f>IF(SUM(GH7,GM7)&gt;0,SUM(GH7,GM7),"")</f>
        <v>93.300000000000011</v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19.100000000000001</v>
      </c>
      <c r="QH7" s="42">
        <f>IF($CW7="P",CD7,(CD7+BA7)/2)</f>
        <v>7.8</v>
      </c>
      <c r="QI7" s="42">
        <f>IF($CW7="P",CE7,(CE7+BB7)/2)</f>
        <v>0.6</v>
      </c>
      <c r="QJ7" s="42">
        <f>IF($CW7="P",CF7,(CF7+BC7)/2)</f>
        <v>0.3</v>
      </c>
      <c r="QK7" s="42">
        <f>IF($CW7="P",CG7,(CG7+BD7)/2)</f>
        <v>18.100000000000001</v>
      </c>
      <c r="QL7" s="42">
        <f>IF($CW7="P",CH7,(CH7+BE7)/2)</f>
        <v>5.6</v>
      </c>
      <c r="QM7" s="42">
        <f>IF($CW7="P",CI7,(CI7+BF7)/2)</f>
        <v>0.1</v>
      </c>
      <c r="QN7" s="42">
        <f>IF($CW7="P",CJ7,(CJ7+BG7)/2)</f>
        <v>0</v>
      </c>
      <c r="QO7" s="42">
        <f>IF($CW7="P",CK7,(CK7+BH7)/2)</f>
        <v>19.14</v>
      </c>
      <c r="QP7" s="42">
        <f>IF($CW7="P",CL7,(CL7+BI7)/2)</f>
        <v>7.6</v>
      </c>
      <c r="QQ7" s="42">
        <f>IF($CW7="P",CM7,(CM7+BJ7)/2)</f>
        <v>0</v>
      </c>
      <c r="QR7" s="42">
        <f>IF($CW7="P",CN7,(CN7+BK7)/2)</f>
        <v>0</v>
      </c>
      <c r="QS7" s="42">
        <f>IF($CW7="P",CO7,(CO7+BL7)/2)</f>
        <v>18.7</v>
      </c>
      <c r="QT7" s="42">
        <f>IF($CW7="P",CP7,(CP7+BM7)/2)</f>
        <v>7.4</v>
      </c>
      <c r="QU7" s="42">
        <f>IF($CW7="P",CQ7,(CQ7+BN7)/2)</f>
        <v>0.3</v>
      </c>
      <c r="QV7" s="42">
        <f>IF($CW7="P",CR7,(CR7+BO7)/2)</f>
        <v>0.15</v>
      </c>
      <c r="QW7" s="42">
        <f>IF($CW7="P",CS7,(CS7+BP7)/2)</f>
        <v>18.75</v>
      </c>
      <c r="QX7" s="42">
        <f>IF($CW7="P",CT7,(CT7+BQ7)/2)</f>
        <v>7.4</v>
      </c>
      <c r="QY7" s="42">
        <f>IF($CW7="P",CU7,(CU7+BR7)/2)</f>
        <v>0.6</v>
      </c>
      <c r="QZ7" s="42">
        <f>IF($CW7="P",CV7,(CV7+BS7)/2)</f>
        <v>0</v>
      </c>
      <c r="RA7" s="51" t="s">
        <v>58</v>
      </c>
      <c r="RB7" s="76">
        <f>IF(SUM(QH7,QL7)&gt;0,SUM(QH7,QL7),"")</f>
        <v>13.399999999999999</v>
      </c>
      <c r="RC7" s="76">
        <f>IF(SUM(QG7:QH7,QJ7:QL7,QN7)-QI7-QM7&gt;0,SUM(QG7:QH7,QJ7:QL7,QN7)-QI7-QM7,"")</f>
        <v>50.2</v>
      </c>
      <c r="RD7" s="76">
        <f>IF(SUM(QO7:QP7,QR7)-QQ7&gt;0,SUM(QO7:QP7,QR7)-QQ7,"")</f>
        <v>26.740000000000002</v>
      </c>
      <c r="RE7" s="76">
        <f>IF(SUM(QH7,QL7,QP7)&gt;0,SUM(QH7,QL7,QP7),"")</f>
        <v>21</v>
      </c>
      <c r="RF7" s="76">
        <f>IF(SUM(RC7,RD7)&gt;0,SUM(RC7,RD7),"")</f>
        <v>76.94</v>
      </c>
      <c r="RG7" s="76">
        <f>IF(SUM(QT7,QX7)&gt;0,SUM(QT7,QX7),"")</f>
        <v>14.8</v>
      </c>
      <c r="RH7" s="76">
        <f>IF(SUM(QS7:QT7,QV7:QX7,QZ7)-SUM(QU7,QY7)&gt;0,SUM(QS7:QT7,QV7:QX7,QZ7)-SUM(QU7,QY7),"")</f>
        <v>51.5</v>
      </c>
      <c r="RI7" s="76">
        <f>IF(SUM(RC7,RH7)&gt;0,SUM(RC7,RH7),"")</f>
        <v>101.7</v>
      </c>
    </row>
    <row r="8" spans="1:477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6" t="s">
        <v>9</v>
      </c>
      <c r="C8" s="7" t="s">
        <v>5</v>
      </c>
      <c r="D8" s="18">
        <v>1994</v>
      </c>
      <c r="E8" s="14">
        <f>SUM(J8:T8)+SUM(J8:P8)*0.0000001+SUM(J8)*0.0000000000001</f>
        <v>209.42001566200531</v>
      </c>
      <c r="F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G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H8" s="70" t="str">
        <f>IF(AND(G8="P",F8=""),"No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I8="P","Worlds Team",IF(F8="P","National Team","")))))</f>
        <v>Worlds Team</v>
      </c>
      <c r="I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>P</v>
      </c>
      <c r="J8" s="13">
        <f>IF(COUNT(AS8,BV8,CY8)&gt;0,LARGE((AS8,BV8,CY8),1),0)</f>
        <v>53</v>
      </c>
      <c r="K8" s="13" t="str">
        <f>IF(J8=0,"",IF(J8=CY8,$CC$1,IF(J8=BV8,$AZ$1,IF(J8=AS8,$W$1,""))))</f>
        <v>2022 Elite Canada</v>
      </c>
      <c r="L8" s="13">
        <f>IF(COUNT(AS8,BV8,CY8)&gt;1,LARGE((AS8,BV8,CY8),2),0)</f>
        <v>52.120000000000005</v>
      </c>
      <c r="M8" s="13" t="str">
        <f>IF(L8=0,"",IF(L8=CY8,$CC$1,IF(L8=BV8,$AZ$1,IF(L8=AS8,$W$1,""))))</f>
        <v>2022 3rd Domestic Trial</v>
      </c>
      <c r="N8" s="13">
        <f>IF(COUNT(AT8,BW8,CZ8)&gt;0,LARGE((AT8,BW8,CZ8),1),0)</f>
        <v>26</v>
      </c>
      <c r="O8" s="13" t="str">
        <f>IF(N8=0,"",IF(N8=CZ8,$CC$1,IF(N8=BW8,$AZ$1,IF(N8=AT8,$W$1,""))))</f>
        <v>2022 3rd Domestic Trial</v>
      </c>
      <c r="P8" s="13">
        <f>IF(COUNT(AT8,BW8,CZ8)&gt;1,LARGE((AT8,BW8,CZ8),2),0)</f>
        <v>25.5</v>
      </c>
      <c r="Q8" s="13" t="str">
        <f>IF(P8=0,"",IF(P8=CZ8,$CC$1,IF(P8=BW8,$AZ$1,IF(P8=AT8,$W$1,""))))</f>
        <v>2022 Elite Canada</v>
      </c>
      <c r="R8" s="13">
        <f>IF(MAX(AX8,CA8,DD8)&gt;0,MAX(AX8,CA8,DD8),0)</f>
        <v>46.5</v>
      </c>
      <c r="S8" s="13" t="str">
        <f>IF(R8=0,"",IF(R8=DD8,$CC$1,IF(R8=CA8,$AZ$1,IF(R8=AX8,$W$1,""))))</f>
        <v>2022 3rd Domestic Trial</v>
      </c>
      <c r="T8" s="13">
        <f>IF(MAX(DF8:DH8)&gt;0,MAX(DF8:DH8),"")</f>
        <v>6.2999999999999972</v>
      </c>
      <c r="U8" s="16" t="str">
        <f>IF(T8="","",IF(T8=DF8,"("&amp;DF$2&amp;")",IF(T8=DH8,"("&amp;DH$2&amp;")")))</f>
        <v>(Final)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>
        <v>18.600000000000001</v>
      </c>
      <c r="X8" s="27">
        <v>8.4</v>
      </c>
      <c r="Y8" s="27">
        <v>0</v>
      </c>
      <c r="Z8" s="27">
        <v>0</v>
      </c>
      <c r="AA8" s="27">
        <v>18.7</v>
      </c>
      <c r="AB8" s="27">
        <v>7.3</v>
      </c>
      <c r="AC8" s="27">
        <v>0</v>
      </c>
      <c r="AD8" s="27">
        <v>0</v>
      </c>
      <c r="AE8" s="27">
        <v>18.3</v>
      </c>
      <c r="AF8" s="27">
        <v>7.2</v>
      </c>
      <c r="AG8" s="27">
        <v>0</v>
      </c>
      <c r="AH8" s="27">
        <v>0</v>
      </c>
      <c r="AI8" s="27">
        <v>18.399999999999999</v>
      </c>
      <c r="AJ8" s="27">
        <v>8.4</v>
      </c>
      <c r="AK8" s="27">
        <v>0.6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51"/>
      <c r="AR8" s="76">
        <f>IF(SUM(X8,AB8)&gt;0,SUM(X8,AB8),"")</f>
        <v>15.7</v>
      </c>
      <c r="AS8" s="76">
        <f>IF(SUM(W8:X8,Z8:AB8,AD8)-Y8-AC8&gt;0,SUM(W8:X8,Z8:AB8,AD8)-Y8-AC8,"")</f>
        <v>53</v>
      </c>
      <c r="AT8" s="76">
        <f>IF(SUM(AE8:AF8,AH8)-AG8&gt;0,SUM(AE8:AF8,AH8)-AG8,"")</f>
        <v>25.5</v>
      </c>
      <c r="AU8" s="76">
        <f>IF(SUM(X8,AB8,AF8)&gt;0,SUM(X8,AB8,AF8),"")</f>
        <v>22.9</v>
      </c>
      <c r="AV8" s="76">
        <f>IF(SUM(AS8,AT8)&gt;0,SUM(AS8,AT8),"")</f>
        <v>78.5</v>
      </c>
      <c r="AW8" s="76">
        <f>IF(SUM(AJ8,AN8)&gt;0,SUM(AJ8,AN8),"")</f>
        <v>8.4</v>
      </c>
      <c r="AX8" s="76">
        <f>IF(SUM(AI8:AJ8,AL8:AN8,AP8)-SUM(AK8,AO8)&gt;0,SUM(AI8:AJ8,AL8:AN8,AP8)-SUM(AK8,AO8),"")</f>
        <v>26.199999999999996</v>
      </c>
      <c r="AY8" s="76">
        <f>IF(SUM(AS8,AX8)&gt;0,SUM(AS8,AX8),"")</f>
        <v>79.199999999999989</v>
      </c>
      <c r="AZ8" s="26">
        <v>16.600000000000001</v>
      </c>
      <c r="BA8" s="26">
        <v>8.5</v>
      </c>
      <c r="BB8" s="26">
        <v>0.8</v>
      </c>
      <c r="BC8" s="26">
        <v>0</v>
      </c>
      <c r="BD8" s="26">
        <v>18.2</v>
      </c>
      <c r="BE8" s="26">
        <v>8</v>
      </c>
      <c r="BF8" s="26">
        <v>0.8</v>
      </c>
      <c r="BG8" s="26">
        <v>0</v>
      </c>
      <c r="BH8" s="26">
        <v>18.600000000000001</v>
      </c>
      <c r="BI8" s="26">
        <v>6.8</v>
      </c>
      <c r="BJ8" s="26">
        <v>0</v>
      </c>
      <c r="BK8" s="26">
        <v>0</v>
      </c>
      <c r="BL8" s="26">
        <v>17.600000000000001</v>
      </c>
      <c r="BM8" s="26">
        <v>4</v>
      </c>
      <c r="BN8" s="26">
        <v>0</v>
      </c>
      <c r="BO8" s="26">
        <v>0</v>
      </c>
      <c r="BP8" s="26">
        <v>18</v>
      </c>
      <c r="BQ8" s="26">
        <v>4.2</v>
      </c>
      <c r="BR8" s="26">
        <v>1.8</v>
      </c>
      <c r="BS8" s="26">
        <v>0</v>
      </c>
      <c r="BT8" s="52"/>
      <c r="BU8" s="16">
        <f>IF(SUM(BA8,BE8)&gt;0,SUM(BA8,BE8),"")</f>
        <v>16.5</v>
      </c>
      <c r="BV8" s="16">
        <f>IF(SUM(AZ8:BA8,BC8:BE8,BG8)-BB8-BF8&gt;0,SUM(AZ8:BA8,BC8:BE8,BG8)-BB8-BF8,"")</f>
        <v>49.7</v>
      </c>
      <c r="BW8" s="16">
        <f>IF(SUM(BH8:BI8,BK8)-BJ8&gt;0,SUM(BH8:BI8,BK8)-BJ8,"")</f>
        <v>25.400000000000002</v>
      </c>
      <c r="BX8" s="16">
        <f>IF(SUM(BA8,BE8,BI8)&gt;0,SUM(BA8,BE8,BI8),"")</f>
        <v>23.3</v>
      </c>
      <c r="BY8" s="16">
        <f>IF(SUM(BV8,BW8)&gt;0,SUM(BV8,BW8),"")</f>
        <v>75.100000000000009</v>
      </c>
      <c r="BZ8" s="16">
        <f>IF(SUM(BM8,BQ8)&gt;0,SUM(BM8,BQ8),"")</f>
        <v>8.1999999999999993</v>
      </c>
      <c r="CA8" s="16">
        <f>IF(SUM(BL8:BM8,BO8:BQ8,BS8)-SUM(BN8,BR8)&gt;0,SUM(BL8:BM8,BO8:BQ8,BS8)-SUM(BN8,BR8),"")</f>
        <v>42.000000000000007</v>
      </c>
      <c r="CB8" s="16">
        <f>IF(SUM(BV8,CA8)&gt;0,SUM(BV8,CA8),"")</f>
        <v>91.700000000000017</v>
      </c>
      <c r="CC8" s="27">
        <v>18.82</v>
      </c>
      <c r="CD8" s="27">
        <v>8.4</v>
      </c>
      <c r="CE8" s="27">
        <v>0.8</v>
      </c>
      <c r="CF8" s="27">
        <v>0</v>
      </c>
      <c r="CG8" s="27">
        <v>18.7</v>
      </c>
      <c r="CH8" s="27">
        <v>7.2</v>
      </c>
      <c r="CI8" s="27">
        <v>0.2</v>
      </c>
      <c r="CJ8" s="27">
        <v>0</v>
      </c>
      <c r="CK8" s="27">
        <v>18.5</v>
      </c>
      <c r="CL8" s="27">
        <v>7.7</v>
      </c>
      <c r="CM8" s="27">
        <v>0.2</v>
      </c>
      <c r="CN8" s="27">
        <v>0</v>
      </c>
      <c r="CO8" s="27">
        <v>18.399999999999999</v>
      </c>
      <c r="CP8" s="27">
        <v>4.0999999999999996</v>
      </c>
      <c r="CQ8" s="27">
        <v>2.5</v>
      </c>
      <c r="CR8" s="27">
        <v>0</v>
      </c>
      <c r="CS8" s="27">
        <v>18.7</v>
      </c>
      <c r="CT8" s="27">
        <v>8.4</v>
      </c>
      <c r="CU8" s="27">
        <v>0.6</v>
      </c>
      <c r="CV8" s="27">
        <v>0</v>
      </c>
      <c r="CW8" s="51"/>
      <c r="CX8" s="76">
        <f>IF(SUM(CD8,CH8)&gt;0,SUM(CD8,CH8),"")</f>
        <v>15.600000000000001</v>
      </c>
      <c r="CY8" s="76">
        <f>IF(SUM(CC8:CD8,CF8:CH8,CJ8)-CE8-CI8&gt;0,SUM(CC8:CD8,CF8:CH8,CJ8)-CE8-CI8,"")</f>
        <v>52.120000000000005</v>
      </c>
      <c r="CZ8" s="76">
        <f>IF(SUM(CK8:CL8,CN8)-CM8&gt;0,SUM(CK8:CL8,CN8)-CM8,"")</f>
        <v>26</v>
      </c>
      <c r="DA8" s="76">
        <f>IF(SUM(CD8,CH8,CL8)&gt;0,SUM(CD8,CH8,CL8),"")</f>
        <v>23.3</v>
      </c>
      <c r="DB8" s="76">
        <f>IF(SUM(CY8,CZ8)&gt;0,SUM(CY8,CZ8),"")</f>
        <v>78.12</v>
      </c>
      <c r="DC8" s="76">
        <f>IF(SUM(CP8,CT8)&gt;0,SUM(CP8,CT8),"")</f>
        <v>12.5</v>
      </c>
      <c r="DD8" s="76">
        <f>IF(SUM(CO8:CP8,CR8:CT8,CV8)-SUM(CQ8,CU8)&gt;0,SUM(CO8:CP8,CR8:CT8,CV8)-SUM(CQ8,CU8),"")</f>
        <v>46.5</v>
      </c>
      <c r="DE8" s="76">
        <f>IF(SUM(CY8,DD8)&gt;0,SUM(CY8,DD8),"")</f>
        <v>98.62</v>
      </c>
      <c r="DF8" s="87">
        <f>IF(L8&gt;=0.001,IF(MAX(ED8,FF8,GH8,HJ8,IL8,JN8,KP8,LR8,MT8,NV8,OX8,PZ8)-IF(L8="",0,L8)&gt;0.001,MAX(ED8,FF8,GH8,HJ8,IL8,JN8,KP8,LR8,MT8,NV8,OX8,PZ8)-IF(L8="",0,L8),""),"")</f>
        <v>0.47999999999998977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>
        <f>IF(R8&gt;=0.001,IF(MAX(EI8,FK8,GM8,HO8,IQ8,JS8,KU8,LW8,MY8,OA8,PC8,QE8)-IF(R8="",0,R8)&gt;0.001,MAX(EI8,FK8,GM8,HO8,IQ8,JS8,KU8,LW8,MY8,OA8,PC8,QE8)-IF(R8="",0,R8),""),"")</f>
        <v>6.2999999999999972</v>
      </c>
      <c r="DI8" s="25"/>
      <c r="DJ8" s="25">
        <v>2.0000000000000002E-5</v>
      </c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>
        <f>IF(SUM(DJ8,DN8)&gt;0,SUM(DJ8,DN8),"")</f>
        <v>2.0000000000000002E-5</v>
      </c>
      <c r="ED8" s="76">
        <f>IF(SUM(DI8:DJ8,DL8:DN8,DP8)-DK8-DO8&gt;0,SUM(DI8:DJ8,DL8:DN8,DP8)-DK8-DO8,"")</f>
        <v>2.0000000000000002E-5</v>
      </c>
      <c r="EE8" s="76" t="str">
        <f>IF(SUM(DQ8:DR8,DT8)-DS8&gt;0,SUM(DQ8:DR8,DT8)-DS8,"")</f>
        <v/>
      </c>
      <c r="EF8" s="76">
        <f>IF(SUM(DJ8,DN8,DR8)&gt;0,SUM(DJ8,DN8,DR8),"")</f>
        <v>2.0000000000000002E-5</v>
      </c>
      <c r="EG8" s="76">
        <f>IF(SUM(ED8,EE8)&gt;0,SUM(ED8,EE8),"")</f>
        <v>2.0000000000000002E-5</v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>
        <f>IF(SUM(ED8,EI8)&gt;0,SUM(ED8,EI8),"")</f>
        <v>2.0000000000000002E-5</v>
      </c>
      <c r="EK8" s="26">
        <v>18.399999999999999</v>
      </c>
      <c r="EL8" s="26">
        <v>8.4</v>
      </c>
      <c r="EM8" s="26">
        <v>0</v>
      </c>
      <c r="EN8" s="26">
        <v>0</v>
      </c>
      <c r="EO8" s="26">
        <v>18.5</v>
      </c>
      <c r="EP8" s="26">
        <v>7.3</v>
      </c>
      <c r="EQ8" s="26">
        <v>0</v>
      </c>
      <c r="ER8" s="26">
        <v>0</v>
      </c>
      <c r="ES8" s="26"/>
      <c r="ET8" s="26"/>
      <c r="EU8" s="26"/>
      <c r="EV8" s="26"/>
      <c r="EW8" s="26">
        <v>18.899999999999999</v>
      </c>
      <c r="EX8" s="26">
        <v>8.5</v>
      </c>
      <c r="EY8" s="26">
        <v>0.6</v>
      </c>
      <c r="EZ8" s="26">
        <v>0</v>
      </c>
      <c r="FA8" s="26">
        <v>18.600000000000001</v>
      </c>
      <c r="FB8" s="26">
        <v>8</v>
      </c>
      <c r="FC8" s="26">
        <v>0.6</v>
      </c>
      <c r="FD8" s="26">
        <v>0</v>
      </c>
      <c r="FE8" s="16">
        <f>IF(SUM(EL8,EP8)&gt;0,SUM(EL8,EP8),"")</f>
        <v>15.7</v>
      </c>
      <c r="FF8" s="16">
        <f>IF(SUM(EK8:EL8,EN8:EP8,ER8)-EM8-EQ8&gt;0,SUM(EK8:EL8,EN8:EP8,ER8)-EM8-EQ8,"")</f>
        <v>52.599999999999994</v>
      </c>
      <c r="FG8" s="16" t="str">
        <f>IF(SUM(ES8:ET8,EV8)-EU8&gt;0,SUM(ES8:ET8,EV8)-EU8,"")</f>
        <v/>
      </c>
      <c r="FH8" s="16">
        <f>IF(SUM(EL8,EP8,ET8)&gt;0,SUM(EL8,EP8,ET8),"")</f>
        <v>15.7</v>
      </c>
      <c r="FI8" s="16">
        <f>IF(SUM(FF8,FG8)&gt;0,SUM(FF8,FG8),"")</f>
        <v>52.599999999999994</v>
      </c>
      <c r="FJ8" s="16">
        <f>IF(SUM(EX8,FB8)&gt;0,SUM(EX8,FB8),"")</f>
        <v>16.5</v>
      </c>
      <c r="FK8" s="16">
        <f>IF(SUM(EW8:EX8,EZ8:FB8,FD8)-SUM(EY8,FC8)&gt;0,SUM(EW8:EX8,EZ8:FB8,FD8)-SUM(EY8,FC8),"")</f>
        <v>52.8</v>
      </c>
      <c r="FL8" s="16">
        <f>IF(SUM(FF8,FK8)&gt;0,SUM(FF8,FK8),"")</f>
        <v>105.39999999999999</v>
      </c>
      <c r="FM8" s="25">
        <v>18.7</v>
      </c>
      <c r="FN8" s="25">
        <v>8.4</v>
      </c>
      <c r="FO8" s="25">
        <v>0</v>
      </c>
      <c r="FP8" s="25">
        <v>0</v>
      </c>
      <c r="FQ8" s="25">
        <v>17.600000000000001</v>
      </c>
      <c r="FR8" s="25">
        <v>2.8</v>
      </c>
      <c r="FS8" s="25">
        <v>0</v>
      </c>
      <c r="FT8" s="25">
        <v>0</v>
      </c>
      <c r="FU8" s="25"/>
      <c r="FV8" s="25"/>
      <c r="FW8" s="25"/>
      <c r="FX8" s="25"/>
      <c r="FY8" s="25">
        <v>17.600000000000001</v>
      </c>
      <c r="FZ8" s="25">
        <v>4</v>
      </c>
      <c r="GA8" s="25">
        <v>0</v>
      </c>
      <c r="GB8" s="25">
        <v>0</v>
      </c>
      <c r="GC8" s="25">
        <v>18.3</v>
      </c>
      <c r="GD8" s="25">
        <v>7.2</v>
      </c>
      <c r="GE8" s="25">
        <v>0.6</v>
      </c>
      <c r="GF8" s="25">
        <v>0</v>
      </c>
      <c r="GG8" s="76">
        <f>IF(SUM(FN8,FR8)&gt;0,SUM(FN8,FR8),"")</f>
        <v>11.2</v>
      </c>
      <c r="GH8" s="76">
        <f>IF(SUM(FM8:FN8,FP8:FR8,FT8)-FO8-FS8&gt;0,SUM(FM8:FN8,FP8:FR8,FT8)-FO8-FS8,"")</f>
        <v>47.5</v>
      </c>
      <c r="GI8" s="76" t="str">
        <f>IF(SUM(FU8:FV8,FX8)-FW8&gt;0,SUM(FU8:FV8,FX8)-FW8,"")</f>
        <v/>
      </c>
      <c r="GJ8" s="76">
        <f>IF(SUM(FN8,FR8,FV8)&gt;0,SUM(FN8,FR8,FV8),"")</f>
        <v>11.2</v>
      </c>
      <c r="GK8" s="76">
        <f>IF(SUM(GH8,GI8)&gt;0,SUM(GH8,GI8),"")</f>
        <v>47.5</v>
      </c>
      <c r="GL8" s="76">
        <f>IF(SUM(FZ8,GD8)&gt;0,SUM(FZ8,GD8),"")</f>
        <v>11.2</v>
      </c>
      <c r="GM8" s="76">
        <f>IF(SUM(FY8:FZ8,GB8:GD8,GF8)-SUM(GA8,GE8)&gt;0,SUM(FY8:FZ8,GB8:GD8,GF8)-SUM(GA8,GE8),"")</f>
        <v>46.500000000000007</v>
      </c>
      <c r="GN8" s="76">
        <f>IF(SUM(GH8,GM8)&gt;0,SUM(GH8,GM8),"")</f>
        <v>94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17.71</v>
      </c>
      <c r="QH8" s="42">
        <f>IF($CW8="P",CD8,(CD8+BA8)/2)</f>
        <v>8.4499999999999993</v>
      </c>
      <c r="QI8" s="42">
        <f>IF($CW8="P",CE8,(CE8+BB8)/2)</f>
        <v>0.8</v>
      </c>
      <c r="QJ8" s="42">
        <f>IF($CW8="P",CF8,(CF8+BC8)/2)</f>
        <v>0</v>
      </c>
      <c r="QK8" s="42">
        <f>IF($CW8="P",CG8,(CG8+BD8)/2)</f>
        <v>18.45</v>
      </c>
      <c r="QL8" s="42">
        <f>IF($CW8="P",CH8,(CH8+BE8)/2)</f>
        <v>7.6</v>
      </c>
      <c r="QM8" s="42">
        <f>IF($CW8="P",CI8,(CI8+BF8)/2)</f>
        <v>0.5</v>
      </c>
      <c r="QN8" s="42">
        <f>IF($CW8="P",CJ8,(CJ8+BG8)/2)</f>
        <v>0</v>
      </c>
      <c r="QO8" s="42">
        <f>IF($CW8="P",CK8,(CK8+BH8)/2)</f>
        <v>18.55</v>
      </c>
      <c r="QP8" s="42">
        <f>IF($CW8="P",CL8,(CL8+BI8)/2)</f>
        <v>7.25</v>
      </c>
      <c r="QQ8" s="42">
        <f>IF($CW8="P",CM8,(CM8+BJ8)/2)</f>
        <v>0.1</v>
      </c>
      <c r="QR8" s="42">
        <f>IF($CW8="P",CN8,(CN8+BK8)/2)</f>
        <v>0</v>
      </c>
      <c r="QS8" s="42">
        <f>IF($CW8="P",CO8,(CO8+BL8)/2)</f>
        <v>18</v>
      </c>
      <c r="QT8" s="42">
        <f>IF($CW8="P",CP8,(CP8+BM8)/2)</f>
        <v>4.05</v>
      </c>
      <c r="QU8" s="42">
        <f>IF($CW8="P",CQ8,(CQ8+BN8)/2)</f>
        <v>1.25</v>
      </c>
      <c r="QV8" s="42">
        <f>IF($CW8="P",CR8,(CR8+BO8)/2)</f>
        <v>0</v>
      </c>
      <c r="QW8" s="42">
        <f>IF($CW8="P",CS8,(CS8+BP8)/2)</f>
        <v>18.350000000000001</v>
      </c>
      <c r="QX8" s="42">
        <f>IF($CW8="P",CT8,(CT8+BQ8)/2)</f>
        <v>6.3000000000000007</v>
      </c>
      <c r="QY8" s="42">
        <f>IF($CW8="P",CU8,(CU8+BR8)/2)</f>
        <v>1.2</v>
      </c>
      <c r="QZ8" s="42">
        <f>IF($CW8="P",CV8,(CV8+BS8)/2)</f>
        <v>0</v>
      </c>
      <c r="RA8" s="51" t="s">
        <v>58</v>
      </c>
      <c r="RB8" s="76">
        <f>IF(SUM(QH8,QL8)&gt;0,SUM(QH8,QL8),"")</f>
        <v>16.049999999999997</v>
      </c>
      <c r="RC8" s="76">
        <f>IF(SUM(QG8:QH8,QJ8:QL8,QN8)-QI8-QM8&gt;0,SUM(QG8:QH8,QJ8:QL8,QN8)-QI8-QM8,"")</f>
        <v>50.910000000000004</v>
      </c>
      <c r="RD8" s="76">
        <f>IF(SUM(QO8:QP8,QR8)-QQ8&gt;0,SUM(QO8:QP8,QR8)-QQ8,"")</f>
        <v>25.7</v>
      </c>
      <c r="RE8" s="76">
        <f>IF(SUM(QH8,QL8,QP8)&gt;0,SUM(QH8,QL8,QP8),"")</f>
        <v>23.299999999999997</v>
      </c>
      <c r="RF8" s="76">
        <f>IF(SUM(RC8,RD8)&gt;0,SUM(RC8,RD8),"")</f>
        <v>76.61</v>
      </c>
      <c r="RG8" s="76">
        <f>IF(SUM(QT8,QX8)&gt;0,SUM(QT8,QX8),"")</f>
        <v>10.350000000000001</v>
      </c>
      <c r="RH8" s="76">
        <f>IF(SUM(QS8:QT8,QV8:QX8,QZ8)-SUM(QU8,QY8)&gt;0,SUM(QS8:QT8,QV8:QX8,QZ8)-SUM(QU8,QY8),"")</f>
        <v>44.25</v>
      </c>
      <c r="RI8" s="76">
        <f>IF(SUM(RC8,RH8)&gt;0,SUM(RC8,RH8),"")</f>
        <v>95.16</v>
      </c>
    </row>
    <row r="9" spans="1:477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6" t="s">
        <v>86</v>
      </c>
      <c r="C9" s="7" t="s">
        <v>5</v>
      </c>
      <c r="D9" s="18">
        <v>2002</v>
      </c>
      <c r="E9" s="14">
        <f>SUM(J9:T9)+SUM(J9:P9)*0.0000001+SUM(J9)*0.0000000000001</f>
        <v>205.30001489000483</v>
      </c>
      <c r="F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G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H9" s="70" t="str">
        <f>IF(AND(G9="P",F9=""),"No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I9="P","Worlds Team",IF(F9="P","National Team","")))))</f>
        <v>National Team</v>
      </c>
      <c r="I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J9" s="13">
        <f>IF(COUNT(AS9,BV9,CY9)&gt;0,LARGE((AS9,BV9,CY9),1),0)</f>
        <v>49</v>
      </c>
      <c r="K9" s="13" t="str">
        <f>IF(J9=0,"",IF(J9=CY9,$CC$1,IF(J9=BV9,$AZ$1,IF(J9=AS9,$W$1,""))))</f>
        <v>2022 3rd Domestic Trial</v>
      </c>
      <c r="L9" s="13">
        <f>IF(COUNT(AS9,BV9,CY9)&gt;1,LARGE((AS9,BV9,CY9),2),0)</f>
        <v>48.8</v>
      </c>
      <c r="M9" s="13" t="str">
        <f>IF(L9=0,"",IF(L9=CY9,$CC$1,IF(L9=BV9,$AZ$1,IF(L9=AS9,$W$1,""))))</f>
        <v>2022 Elite Canada</v>
      </c>
      <c r="N9" s="13">
        <f>IF(COUNT(AT9,BW9,CZ9)&gt;0,LARGE((AT9,BW9,CZ9),1),0)</f>
        <v>25.599999999999998</v>
      </c>
      <c r="O9" s="13" t="str">
        <f>IF(N9=0,"",IF(N9=CZ9,$CC$1,IF(N9=BW9,$AZ$1,IF(N9=AT9,$W$1,""))))</f>
        <v>2022 Nationals</v>
      </c>
      <c r="P9" s="13">
        <f>IF(COUNT(AT9,BW9,CZ9)&gt;1,LARGE((AT9,BW9,CZ9),2),0)</f>
        <v>25.5</v>
      </c>
      <c r="Q9" s="13" t="str">
        <f>IF(P9=0,"",IF(P9=CZ9,$CC$1,IF(P9=BW9,$AZ$1,IF(P9=AT9,$W$1,""))))</f>
        <v>2022 Elite Canada</v>
      </c>
      <c r="R9" s="13">
        <f>IF(MAX(AX9,CA9,DD9)&gt;0,MAX(AX9,CA9,DD9),0)</f>
        <v>52.099999999999994</v>
      </c>
      <c r="S9" s="13" t="str">
        <f>IF(R9=0,"",IF(R9=DD9,$CC$1,IF(R9=CA9,$AZ$1,IF(R9=AX9,$W$1,""))))</f>
        <v>2022 3rd Domestic Trial</v>
      </c>
      <c r="T9" s="13">
        <f>IF(MAX(DF9:DH9)&gt;0,MAX(DF9:DH9),"")</f>
        <v>4.2999999999999972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#2 (May 15)</v>
      </c>
      <c r="W9" s="27">
        <v>18.7</v>
      </c>
      <c r="X9" s="27">
        <v>7.3</v>
      </c>
      <c r="Y9" s="27">
        <v>0.6</v>
      </c>
      <c r="Z9" s="27">
        <v>0</v>
      </c>
      <c r="AA9" s="27">
        <v>17.8</v>
      </c>
      <c r="AB9" s="27">
        <v>6.4</v>
      </c>
      <c r="AC9" s="27">
        <v>0.8</v>
      </c>
      <c r="AD9" s="27">
        <v>0</v>
      </c>
      <c r="AE9" s="27">
        <v>18.5</v>
      </c>
      <c r="AF9" s="27">
        <v>7.6</v>
      </c>
      <c r="AG9" s="27">
        <v>0.6</v>
      </c>
      <c r="AH9" s="27">
        <v>0</v>
      </c>
      <c r="AI9" s="27">
        <v>18.5</v>
      </c>
      <c r="AJ9" s="27">
        <v>8.1</v>
      </c>
      <c r="AK9" s="27">
        <v>0.2</v>
      </c>
      <c r="AL9" s="27">
        <v>0.3</v>
      </c>
      <c r="AM9" s="27">
        <v>0</v>
      </c>
      <c r="AN9" s="27">
        <v>0</v>
      </c>
      <c r="AO9" s="27">
        <v>0</v>
      </c>
      <c r="AP9" s="27">
        <v>0</v>
      </c>
      <c r="AQ9" s="51"/>
      <c r="AR9" s="76">
        <f>IF(SUM(X9,AB9)&gt;0,SUM(X9,AB9),"")</f>
        <v>13.7</v>
      </c>
      <c r="AS9" s="76">
        <f>IF(SUM(W9:X9,Z9:AB9,AD9)-Y9-AC9&gt;0,SUM(W9:X9,Z9:AB9,AD9)-Y9-AC9,"")</f>
        <v>48.8</v>
      </c>
      <c r="AT9" s="76">
        <f>IF(SUM(AE9:AF9,AH9)-AG9&gt;0,SUM(AE9:AF9,AH9)-AG9,"")</f>
        <v>25.5</v>
      </c>
      <c r="AU9" s="76">
        <f>IF(SUM(X9,AB9,AF9)&gt;0,SUM(X9,AB9,AF9),"")</f>
        <v>21.299999999999997</v>
      </c>
      <c r="AV9" s="76">
        <f>IF(SUM(AS9,AT9)&gt;0,SUM(AS9,AT9),"")</f>
        <v>74.3</v>
      </c>
      <c r="AW9" s="76">
        <f>IF(SUM(AJ9,AN9)&gt;0,SUM(AJ9,AN9),"")</f>
        <v>8.1</v>
      </c>
      <c r="AX9" s="76">
        <f>IF(SUM(AI9:AJ9,AL9:AN9,AP9)-SUM(AK9,AO9)&gt;0,SUM(AI9:AJ9,AL9:AN9,AP9)-SUM(AK9,AO9),"")</f>
        <v>26.700000000000003</v>
      </c>
      <c r="AY9" s="76">
        <f>IF(SUM(AS9,AX9)&gt;0,SUM(AS9,AX9),"")</f>
        <v>75.5</v>
      </c>
      <c r="AZ9" s="26">
        <v>0</v>
      </c>
      <c r="BA9" s="26">
        <v>0</v>
      </c>
      <c r="BB9" s="26">
        <v>0</v>
      </c>
      <c r="BC9" s="26">
        <v>0</v>
      </c>
      <c r="BD9" s="26">
        <v>18.600000000000001</v>
      </c>
      <c r="BE9" s="26">
        <v>6.8</v>
      </c>
      <c r="BF9" s="26">
        <v>0</v>
      </c>
      <c r="BG9" s="26">
        <v>0</v>
      </c>
      <c r="BH9" s="26">
        <v>18.399999999999999</v>
      </c>
      <c r="BI9" s="26">
        <v>7.2</v>
      </c>
      <c r="BJ9" s="26">
        <v>0</v>
      </c>
      <c r="BK9" s="26">
        <v>0</v>
      </c>
      <c r="BL9" s="26"/>
      <c r="BM9" s="26"/>
      <c r="BN9" s="26"/>
      <c r="BO9" s="26"/>
      <c r="BP9" s="26"/>
      <c r="BQ9" s="26"/>
      <c r="BR9" s="26"/>
      <c r="BS9" s="26"/>
      <c r="BT9" s="52"/>
      <c r="BU9" s="16">
        <f>IF(SUM(BA9,BE9)&gt;0,SUM(BA9,BE9),"")</f>
        <v>6.8</v>
      </c>
      <c r="BV9" s="16">
        <f>IF(SUM(AZ9:BA9,BC9:BE9,BG9)-BB9-BF9&gt;0,SUM(AZ9:BA9,BC9:BE9,BG9)-BB9-BF9,"")</f>
        <v>25.400000000000002</v>
      </c>
      <c r="BW9" s="16">
        <f>IF(SUM(BH9:BI9,BK9)-BJ9&gt;0,SUM(BH9:BI9,BK9)-BJ9,"")</f>
        <v>25.599999999999998</v>
      </c>
      <c r="BX9" s="16">
        <f>IF(SUM(BA9,BE9,BI9)&gt;0,SUM(BA9,BE9,BI9),"")</f>
        <v>14</v>
      </c>
      <c r="BY9" s="16">
        <f>IF(SUM(BV9,BW9)&gt;0,SUM(BV9,BW9),"")</f>
        <v>51</v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>
        <f>IF(SUM(BV9,CA9)&gt;0,SUM(BV9,CA9),"")</f>
        <v>25.400000000000002</v>
      </c>
      <c r="CC9" s="27">
        <v>18.600000000000001</v>
      </c>
      <c r="CD9" s="27">
        <v>5.6</v>
      </c>
      <c r="CE9" s="27">
        <v>1.2</v>
      </c>
      <c r="CF9" s="27">
        <v>0</v>
      </c>
      <c r="CG9" s="27">
        <v>18.5</v>
      </c>
      <c r="CH9" s="27">
        <v>8.5</v>
      </c>
      <c r="CI9" s="27">
        <v>1</v>
      </c>
      <c r="CJ9" s="27">
        <v>0</v>
      </c>
      <c r="CK9" s="27">
        <v>18.579999999999998</v>
      </c>
      <c r="CL9" s="27">
        <v>7.2</v>
      </c>
      <c r="CM9" s="27">
        <v>1</v>
      </c>
      <c r="CN9" s="27">
        <v>0</v>
      </c>
      <c r="CO9" s="27">
        <v>18.899999999999999</v>
      </c>
      <c r="CP9" s="27">
        <v>8.4</v>
      </c>
      <c r="CQ9" s="27">
        <v>0.6</v>
      </c>
      <c r="CR9" s="27">
        <v>0</v>
      </c>
      <c r="CS9" s="27">
        <v>18.8</v>
      </c>
      <c r="CT9" s="27">
        <v>7.2</v>
      </c>
      <c r="CU9" s="27">
        <v>0.6</v>
      </c>
      <c r="CV9" s="27">
        <v>0</v>
      </c>
      <c r="CW9" s="51"/>
      <c r="CX9" s="76">
        <f>IF(SUM(CD9,CH9)&gt;0,SUM(CD9,CH9),"")</f>
        <v>14.1</v>
      </c>
      <c r="CY9" s="76">
        <f>IF(SUM(CC9:CD9,CF9:CH9,CJ9)-CE9-CI9&gt;0,SUM(CC9:CD9,CF9:CH9,CJ9)-CE9-CI9,"")</f>
        <v>49</v>
      </c>
      <c r="CZ9" s="76">
        <f>IF(SUM(CK9:CL9,CN9)-CM9&gt;0,SUM(CK9:CL9,CN9)-CM9,"")</f>
        <v>24.779999999999998</v>
      </c>
      <c r="DA9" s="76">
        <f>IF(SUM(CD9,CH9,CL9)&gt;0,SUM(CD9,CH9,CL9),"")</f>
        <v>21.3</v>
      </c>
      <c r="DB9" s="76">
        <f>IF(SUM(CY9,CZ9)&gt;0,SUM(CY9,CZ9),"")</f>
        <v>73.78</v>
      </c>
      <c r="DC9" s="76">
        <f>IF(SUM(CP9,CT9)&gt;0,SUM(CP9,CT9),"")</f>
        <v>15.600000000000001</v>
      </c>
      <c r="DD9" s="76">
        <f>IF(SUM(CO9:CP9,CR9:CT9,CV9)-SUM(CQ9,CU9)&gt;0,SUM(CO9:CP9,CR9:CT9,CV9)-SUM(CQ9,CU9),"")</f>
        <v>52.099999999999994</v>
      </c>
      <c r="DE9" s="76">
        <f>IF(SUM(CY9,DD9)&gt;0,SUM(CY9,DD9),"")</f>
        <v>101.1</v>
      </c>
      <c r="DF9" s="87">
        <f>IF(L9&gt;=0.001,IF(MAX(ED9,FF9,GH9,HJ9,IL9,JN9,KP9,LR9,MT9,NV9,OX9,PZ9)-IF(L9="",0,L9)&gt;0.001,MAX(ED9,FF9,GH9,HJ9,IL9,JN9,KP9,LR9,MT9,NV9,OX9,PZ9)-IF(L9="",0,L9),""),"")</f>
        <v>4.2999999999999972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0.10000000000000853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18.5</v>
      </c>
      <c r="EL9" s="26">
        <v>7.3</v>
      </c>
      <c r="EM9" s="26">
        <v>0</v>
      </c>
      <c r="EN9" s="26">
        <v>0</v>
      </c>
      <c r="EO9" s="26">
        <v>18.399999999999999</v>
      </c>
      <c r="EP9" s="26">
        <v>7.6</v>
      </c>
      <c r="EQ9" s="26">
        <v>0</v>
      </c>
      <c r="ER9" s="26">
        <v>0</v>
      </c>
      <c r="ES9" s="26"/>
      <c r="ET9" s="26"/>
      <c r="EU9" s="26"/>
      <c r="EV9" s="26"/>
      <c r="EW9" s="26">
        <v>17.2</v>
      </c>
      <c r="EX9" s="26">
        <v>4</v>
      </c>
      <c r="EY9" s="26">
        <v>0</v>
      </c>
      <c r="EZ9" s="26">
        <v>0</v>
      </c>
      <c r="FA9" s="26">
        <v>18.399999999999999</v>
      </c>
      <c r="FB9" s="26">
        <v>7.3</v>
      </c>
      <c r="FC9" s="26">
        <v>0.6</v>
      </c>
      <c r="FD9" s="26">
        <v>0</v>
      </c>
      <c r="FE9" s="16">
        <f>IF(SUM(EL9,EP9)&gt;0,SUM(EL9,EP9),"")</f>
        <v>14.899999999999999</v>
      </c>
      <c r="FF9" s="16">
        <f>IF(SUM(EK9:EL9,EN9:EP9,ER9)-EM9-EQ9&gt;0,SUM(EK9:EL9,EN9:EP9,ER9)-EM9-EQ9,"")</f>
        <v>51.800000000000004</v>
      </c>
      <c r="FG9" s="16" t="str">
        <f>IF(SUM(ES9:ET9,EV9)-EU9&gt;0,SUM(ES9:ET9,EV9)-EU9,"")</f>
        <v/>
      </c>
      <c r="FH9" s="16">
        <f>IF(SUM(EL9,EP9,ET9)&gt;0,SUM(EL9,EP9,ET9),"")</f>
        <v>14.899999999999999</v>
      </c>
      <c r="FI9" s="16">
        <f>IF(SUM(FF9,FG9)&gt;0,SUM(FF9,FG9),"")</f>
        <v>51.800000000000004</v>
      </c>
      <c r="FJ9" s="16">
        <f>IF(SUM(EX9,FB9)&gt;0,SUM(EX9,FB9),"")</f>
        <v>11.3</v>
      </c>
      <c r="FK9" s="16">
        <f>IF(SUM(EW9:EX9,EZ9:FB9,FD9)-SUM(EY9,FC9)&gt;0,SUM(EW9:EX9,EZ9:FB9,FD9)-SUM(EY9,FC9),"")</f>
        <v>46.29999999999999</v>
      </c>
      <c r="FL9" s="16">
        <f>IF(SUM(FF9,FK9)&gt;0,SUM(FF9,FK9),"")</f>
        <v>98.1</v>
      </c>
      <c r="FM9" s="25">
        <v>18.899999999999999</v>
      </c>
      <c r="FN9" s="25">
        <v>7.2</v>
      </c>
      <c r="FO9" s="25">
        <v>0</v>
      </c>
      <c r="FP9" s="25">
        <v>0</v>
      </c>
      <c r="FQ9" s="25">
        <v>18.7</v>
      </c>
      <c r="FR9" s="25">
        <v>8.5</v>
      </c>
      <c r="FS9" s="25">
        <v>0.2</v>
      </c>
      <c r="FT9" s="25">
        <v>0</v>
      </c>
      <c r="FU9" s="25"/>
      <c r="FV9" s="25"/>
      <c r="FW9" s="25"/>
      <c r="FX9" s="25"/>
      <c r="FY9" s="25">
        <v>18.3</v>
      </c>
      <c r="FZ9" s="25">
        <v>8.5</v>
      </c>
      <c r="GA9" s="25">
        <v>0.2</v>
      </c>
      <c r="GB9" s="25">
        <v>0</v>
      </c>
      <c r="GC9" s="25">
        <v>19</v>
      </c>
      <c r="GD9" s="25">
        <v>7.2</v>
      </c>
      <c r="GE9" s="25">
        <v>0.6</v>
      </c>
      <c r="GF9" s="25">
        <v>0</v>
      </c>
      <c r="GG9" s="76">
        <f>IF(SUM(FN9,FR9)&gt;0,SUM(FN9,FR9),"")</f>
        <v>15.7</v>
      </c>
      <c r="GH9" s="76">
        <f>IF(SUM(FM9:FN9,FP9:FR9,FT9)-FO9-FS9&gt;0,SUM(FM9:FN9,FP9:FR9,FT9)-FO9-FS9,"")</f>
        <v>53.099999999999994</v>
      </c>
      <c r="GI9" s="76" t="str">
        <f>IF(SUM(FU9:FV9,FX9)-FW9&gt;0,SUM(FU9:FV9,FX9)-FW9,"")</f>
        <v/>
      </c>
      <c r="GJ9" s="76">
        <f>IF(SUM(FN9,FR9,FV9)&gt;0,SUM(FN9,FR9,FV9),"")</f>
        <v>15.7</v>
      </c>
      <c r="GK9" s="76">
        <f>IF(SUM(GH9,GI9)&gt;0,SUM(GH9,GI9),"")</f>
        <v>53.099999999999994</v>
      </c>
      <c r="GL9" s="76">
        <f>IF(SUM(FZ9,GD9)&gt;0,SUM(FZ9,GD9),"")</f>
        <v>15.7</v>
      </c>
      <c r="GM9" s="76">
        <f>IF(SUM(FY9:FZ9,GB9:GD9,GF9)-SUM(GA9,GE9)&gt;0,SUM(FY9:FZ9,GB9:GD9,GF9)-SUM(GA9,GE9),"")</f>
        <v>52.2</v>
      </c>
      <c r="GN9" s="76">
        <f>IF(SUM(GH9,GM9)&gt;0,SUM(GH9,GM9),"")</f>
        <v>105.3</v>
      </c>
      <c r="GO9" s="26">
        <v>17.399999999999999</v>
      </c>
      <c r="GP9" s="26">
        <v>4</v>
      </c>
      <c r="GQ9" s="26">
        <v>0</v>
      </c>
      <c r="GR9" s="26">
        <v>0</v>
      </c>
      <c r="GS9" s="26">
        <v>18.7</v>
      </c>
      <c r="GT9" s="26">
        <v>7.2</v>
      </c>
      <c r="GU9" s="26">
        <v>0.6</v>
      </c>
      <c r="GV9" s="26">
        <v>0</v>
      </c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>
        <f>IF(SUM(GP9,GT9)&gt;0,SUM(GP9,GT9),"")</f>
        <v>11.2</v>
      </c>
      <c r="HJ9" s="16">
        <f>IF(SUM(GO9:GP9,GR9:GT9,GV9)-GQ9-GU9&gt;0,SUM(GO9:GP9,GR9:GT9,GV9)-GQ9-GU9,"")</f>
        <v>46.699999999999996</v>
      </c>
      <c r="HK9" s="16" t="str">
        <f>IF(SUM(GW9:GX9,GZ9)-GY9&gt;0,SUM(GW9:GX9,GZ9)-GY9,"")</f>
        <v/>
      </c>
      <c r="HL9" s="16">
        <f>IF(SUM(GP9,GT9,GX9)&gt;0,SUM(GP9,GT9,GX9),"")</f>
        <v>11.2</v>
      </c>
      <c r="HM9" s="16">
        <f>IF(SUM(HJ9,HK9)&gt;0,SUM(HJ9,HK9),"")</f>
        <v>46.699999999999996</v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>
        <f>IF(SUM(HJ9,HO9)&gt;0,SUM(HJ9,HO9),"")</f>
        <v>46.699999999999996</v>
      </c>
      <c r="HQ9" s="25">
        <v>18.5</v>
      </c>
      <c r="HR9" s="25">
        <v>6</v>
      </c>
      <c r="HS9" s="25">
        <v>0.6</v>
      </c>
      <c r="HT9" s="25">
        <v>0</v>
      </c>
      <c r="HU9" s="25">
        <v>17.600000000000001</v>
      </c>
      <c r="HV9" s="25">
        <v>8.1</v>
      </c>
      <c r="HW9" s="25">
        <v>0.2</v>
      </c>
      <c r="HX9" s="25">
        <v>0</v>
      </c>
      <c r="HY9" s="25"/>
      <c r="HZ9" s="25"/>
      <c r="IA9" s="25"/>
      <c r="IB9" s="25"/>
      <c r="IC9" s="25">
        <v>17.399999999999999</v>
      </c>
      <c r="ID9" s="25">
        <v>2.8</v>
      </c>
      <c r="IE9" s="25">
        <v>0</v>
      </c>
      <c r="IF9" s="25">
        <v>0</v>
      </c>
      <c r="IG9" s="25"/>
      <c r="IH9" s="25"/>
      <c r="II9" s="25"/>
      <c r="IJ9" s="25"/>
      <c r="IK9" s="76">
        <f>IF(SUM(HR9,HV9)&gt;0,SUM(HR9,HV9),"")</f>
        <v>14.1</v>
      </c>
      <c r="IL9" s="76">
        <f>IF(SUM(HQ9:HR9,HT9:HV9,HX9)-HS9-HW9&gt;0,SUM(HQ9:HR9,HT9:HV9,HX9)-HS9-HW9,"")</f>
        <v>49.4</v>
      </c>
      <c r="IM9" s="76" t="str">
        <f>IF(SUM(HY9:HZ9,IB9)-IA9&gt;0,SUM(HY9:HZ9,IB9)-IA9,"")</f>
        <v/>
      </c>
      <c r="IN9" s="76">
        <f>IF(SUM(HR9,HV9,HZ9)&gt;0,SUM(HR9,HV9,HZ9),"")</f>
        <v>14.1</v>
      </c>
      <c r="IO9" s="76">
        <f>IF(SUM(IL9,IM9)&gt;0,SUM(IL9,IM9),"")</f>
        <v>49.4</v>
      </c>
      <c r="IP9" s="76">
        <f>IF(SUM(ID9,IH9)&gt;0,SUM(ID9,IH9),"")</f>
        <v>2.8</v>
      </c>
      <c r="IQ9" s="76">
        <f>IF(SUM(IC9:ID9,IF9:IH9,IJ9)-SUM(IE9,II9)&gt;0,SUM(IC9:ID9,IF9:IH9,IJ9)-SUM(IE9,II9),"")</f>
        <v>20.2</v>
      </c>
      <c r="IR9" s="76">
        <f>IF(SUM(IL9,IQ9)&gt;0,SUM(IL9,IQ9),"")</f>
        <v>69.599999999999994</v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9.3000000000000007</v>
      </c>
      <c r="QH9" s="42">
        <f>IF($CW9="P",CD9,(CD9+BA9)/2)</f>
        <v>2.8</v>
      </c>
      <c r="QI9" s="42">
        <f>IF($CW9="P",CE9,(CE9+BB9)/2)</f>
        <v>0.6</v>
      </c>
      <c r="QJ9" s="42">
        <f>IF($CW9="P",CF9,(CF9+BC9)/2)</f>
        <v>0</v>
      </c>
      <c r="QK9" s="42">
        <f>IF($CW9="P",CG9,(CG9+BD9)/2)</f>
        <v>18.55</v>
      </c>
      <c r="QL9" s="42">
        <f>IF($CW9="P",CH9,(CH9+BE9)/2)</f>
        <v>7.65</v>
      </c>
      <c r="QM9" s="42">
        <f>IF($CW9="P",CI9,(CI9+BF9)/2)</f>
        <v>0.5</v>
      </c>
      <c r="QN9" s="42">
        <f>IF($CW9="P",CJ9,(CJ9+BG9)/2)</f>
        <v>0</v>
      </c>
      <c r="QO9" s="42">
        <f>IF($CW9="P",CK9,(CK9+BH9)/2)</f>
        <v>18.489999999999998</v>
      </c>
      <c r="QP9" s="42">
        <f>IF($CW9="P",CL9,(CL9+BI9)/2)</f>
        <v>7.2</v>
      </c>
      <c r="QQ9" s="42">
        <f>IF($CW9="P",CM9,(CM9+BJ9)/2)</f>
        <v>0.5</v>
      </c>
      <c r="QR9" s="42">
        <f>IF($CW9="P",CN9,(CN9+BK9)/2)</f>
        <v>0</v>
      </c>
      <c r="QS9" s="42">
        <f>IF($CW9="P",CO9,(CO9+BL9)/2)</f>
        <v>9.4499999999999993</v>
      </c>
      <c r="QT9" s="42">
        <f>IF($CW9="P",CP9,(CP9+BM9)/2)</f>
        <v>4.2</v>
      </c>
      <c r="QU9" s="42">
        <f>IF($CW9="P",CQ9,(CQ9+BN9)/2)</f>
        <v>0.3</v>
      </c>
      <c r="QV9" s="42">
        <f>IF($CW9="P",CR9,(CR9+BO9)/2)</f>
        <v>0</v>
      </c>
      <c r="QW9" s="42">
        <f>IF($CW9="P",CS9,(CS9+BP9)/2)</f>
        <v>9.4</v>
      </c>
      <c r="QX9" s="42">
        <f>IF($CW9="P",CT9,(CT9+BQ9)/2)</f>
        <v>3.6</v>
      </c>
      <c r="QY9" s="42">
        <f>IF($CW9="P",CU9,(CU9+BR9)/2)</f>
        <v>0.3</v>
      </c>
      <c r="QZ9" s="42">
        <f>IF($CW9="P",CV9,(CV9+BS9)/2)</f>
        <v>0</v>
      </c>
      <c r="RA9" s="51" t="s">
        <v>58</v>
      </c>
      <c r="RB9" s="76">
        <f>IF(SUM(QH9,QL9)&gt;0,SUM(QH9,QL9),"")</f>
        <v>10.45</v>
      </c>
      <c r="RC9" s="76">
        <f>IF(SUM(QG9:QH9,QJ9:QL9,QN9)-QI9-QM9&gt;0,SUM(QG9:QH9,QJ9:QL9,QN9)-QI9-QM9,"")</f>
        <v>37.200000000000003</v>
      </c>
      <c r="RD9" s="76">
        <f>IF(SUM(QO9:QP9,QR9)-QQ9&gt;0,SUM(QO9:QP9,QR9)-QQ9,"")</f>
        <v>25.189999999999998</v>
      </c>
      <c r="RE9" s="76">
        <f>IF(SUM(QH9,QL9,QP9)&gt;0,SUM(QH9,QL9,QP9),"")</f>
        <v>17.649999999999999</v>
      </c>
      <c r="RF9" s="76">
        <f>IF(SUM(RC9,RD9)&gt;0,SUM(RC9,RD9),"")</f>
        <v>62.39</v>
      </c>
      <c r="RG9" s="76">
        <f>IF(SUM(QT9,QX9)&gt;0,SUM(QT9,QX9),"")</f>
        <v>7.8000000000000007</v>
      </c>
      <c r="RH9" s="76">
        <f>IF(SUM(QS9:QT9,QV9:QX9,QZ9)-SUM(QU9,QY9)&gt;0,SUM(QS9:QT9,QV9:QX9,QZ9)-SUM(QU9,QY9),"")</f>
        <v>26.049999999999997</v>
      </c>
      <c r="RI9" s="76">
        <f>IF(SUM(RC9,RH9)&gt;0,SUM(RC9,RH9),"")</f>
        <v>63.25</v>
      </c>
    </row>
    <row r="10" spans="1:477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6" t="s">
        <v>171</v>
      </c>
      <c r="C10" s="7" t="s">
        <v>5</v>
      </c>
      <c r="D10" s="18">
        <v>2004</v>
      </c>
      <c r="E10" s="14">
        <f>SUM(J10:T10)+SUM(J10:P10)*0.0000001+SUM(J10)*0.0000000000001</f>
        <v>202.00001507000508</v>
      </c>
      <c r="F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G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H10" s="70" t="str">
        <f>IF(AND(G10="P",F10=""),"No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I10="P","Worlds Team",IF(F10="P","National Team","")))))</f>
        <v>National Team</v>
      </c>
      <c r="I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J10" s="13">
        <f>IF(COUNT(AS10,BV10,CY10)&gt;0,LARGE((AS10,BV10,CY10),1),0)</f>
        <v>50.8</v>
      </c>
      <c r="K10" s="13" t="str">
        <f>IF(J10=0,"",IF(J10=CY10,$CC$1,IF(J10=BV10,$AZ$1,IF(J10=AS10,$W$1,""))))</f>
        <v>2022 3rd Domestic Trial</v>
      </c>
      <c r="L10" s="13">
        <f>IF(COUNT(AS10,BV10,CY10)&gt;1,LARGE((AS10,BV10,CY10),2),0)</f>
        <v>50.8</v>
      </c>
      <c r="M10" s="13" t="str">
        <f>IF(L10=0,"",IF(L10=CY10,$CC$1,IF(L10=BV10,$AZ$1,IF(L10=AS10,$W$1,""))))</f>
        <v>2022 3rd Domestic Trial</v>
      </c>
      <c r="N10" s="13">
        <f>IF(COUNT(AT10,BW10,CZ10)&gt;0,LARGE((AT10,BW10,CZ10),1),0)</f>
        <v>24.8</v>
      </c>
      <c r="O10" s="13" t="str">
        <f>IF(N10=0,"",IF(N10=CZ10,$CC$1,IF(N10=BW10,$AZ$1,IF(N10=AT10,$W$1,""))))</f>
        <v>2022 Nationals</v>
      </c>
      <c r="P10" s="13">
        <f>IF(COUNT(AT10,BW10,CZ10)&gt;1,LARGE((AT10,BW10,CZ10),2),0)</f>
        <v>24.3</v>
      </c>
      <c r="Q10" s="13" t="str">
        <f>IF(P10=0,"",IF(P10=CZ10,$CC$1,IF(P10=BW10,$AZ$1,IF(P10=AT10,$W$1,""))))</f>
        <v>2022 Elite Canada</v>
      </c>
      <c r="R10" s="13">
        <f>IF(MAX(AX10,CA10,DD10)&gt;0,MAX(AX10,CA10,DD10),0)</f>
        <v>51.300000000000004</v>
      </c>
      <c r="S10" s="13" t="str">
        <f>IF(R10=0,"",IF(R10=DD10,$CC$1,IF(R10=CA10,$AZ$1,IF(R10=AX10,$W$1,""))))</f>
        <v>2022 Nationals</v>
      </c>
      <c r="T10" s="13" t="str">
        <f>IF(MAX(DF10:DH10)&gt;0,MAX(DF10:DH10),"")</f>
        <v/>
      </c>
      <c r="U10" s="16" t="str">
        <f>IF(T10="","",IF(T10=DF10,"("&amp;DF$2&amp;")",IF(T10=DH10,"("&amp;DH$2&amp;")")))</f>
        <v/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/>
      </c>
      <c r="W10" s="27">
        <v>18.7</v>
      </c>
      <c r="X10" s="27">
        <v>6.8</v>
      </c>
      <c r="Y10" s="27">
        <v>0.6</v>
      </c>
      <c r="Z10" s="27">
        <v>0</v>
      </c>
      <c r="AA10" s="27">
        <v>18.899999999999999</v>
      </c>
      <c r="AB10" s="27">
        <v>5.6</v>
      </c>
      <c r="AC10" s="27">
        <v>0.6</v>
      </c>
      <c r="AD10" s="27">
        <v>0</v>
      </c>
      <c r="AE10" s="27">
        <v>18.5</v>
      </c>
      <c r="AF10" s="27">
        <v>6</v>
      </c>
      <c r="AG10" s="27">
        <v>0.2</v>
      </c>
      <c r="AH10" s="27">
        <v>0</v>
      </c>
      <c r="AI10" s="27">
        <v>18.7</v>
      </c>
      <c r="AJ10" s="27">
        <v>6.8</v>
      </c>
      <c r="AK10" s="27">
        <v>0.8</v>
      </c>
      <c r="AL10" s="27">
        <v>0</v>
      </c>
      <c r="AM10" s="27">
        <v>19.3</v>
      </c>
      <c r="AN10" s="27">
        <v>6.4</v>
      </c>
      <c r="AO10" s="27">
        <v>0.6</v>
      </c>
      <c r="AP10" s="27">
        <v>0</v>
      </c>
      <c r="AQ10" s="51"/>
      <c r="AR10" s="76">
        <f>IF(SUM(X10,AB10)&gt;0,SUM(X10,AB10),"")</f>
        <v>12.399999999999999</v>
      </c>
      <c r="AS10" s="76">
        <f>IF(SUM(W10:X10,Z10:AB10,AD10)-Y10-AC10&gt;0,SUM(W10:X10,Z10:AB10,AD10)-Y10-AC10,"")</f>
        <v>48.8</v>
      </c>
      <c r="AT10" s="76">
        <f>IF(SUM(AE10:AF10,AH10)-AG10&gt;0,SUM(AE10:AF10,AH10)-AG10,"")</f>
        <v>24.3</v>
      </c>
      <c r="AU10" s="76">
        <f>IF(SUM(X10,AB10,AF10)&gt;0,SUM(X10,AB10,AF10),"")</f>
        <v>18.399999999999999</v>
      </c>
      <c r="AV10" s="76">
        <f>IF(SUM(AS10,AT10)&gt;0,SUM(AS10,AT10),"")</f>
        <v>73.099999999999994</v>
      </c>
      <c r="AW10" s="76">
        <f>IF(SUM(AJ10,AN10)&gt;0,SUM(AJ10,AN10),"")</f>
        <v>13.2</v>
      </c>
      <c r="AX10" s="76">
        <f>IF(SUM(AI10:AJ10,AL10:AN10,AP10)-SUM(AK10,AO10)&gt;0,SUM(AI10:AJ10,AL10:AN10,AP10)-SUM(AK10,AO10),"")</f>
        <v>49.8</v>
      </c>
      <c r="AY10" s="76">
        <f>IF(SUM(AS10,AX10)&gt;0,SUM(AS10,AX10),"")</f>
        <v>98.6</v>
      </c>
      <c r="AZ10" s="26">
        <v>19</v>
      </c>
      <c r="BA10" s="26">
        <v>6.8</v>
      </c>
      <c r="BB10" s="26">
        <v>0</v>
      </c>
      <c r="BC10" s="26">
        <v>0</v>
      </c>
      <c r="BD10" s="26">
        <v>19</v>
      </c>
      <c r="BE10" s="26">
        <v>6.4</v>
      </c>
      <c r="BF10" s="26">
        <v>0.4</v>
      </c>
      <c r="BG10" s="26">
        <v>0</v>
      </c>
      <c r="BH10" s="26">
        <v>18.600000000000001</v>
      </c>
      <c r="BI10" s="26">
        <v>6.4</v>
      </c>
      <c r="BJ10" s="26">
        <v>0.2</v>
      </c>
      <c r="BK10" s="26">
        <v>0</v>
      </c>
      <c r="BL10" s="26">
        <v>18.899999999999999</v>
      </c>
      <c r="BM10" s="26">
        <v>7.2</v>
      </c>
      <c r="BN10" s="26">
        <v>0.6</v>
      </c>
      <c r="BO10" s="26">
        <v>0</v>
      </c>
      <c r="BP10" s="26">
        <v>18.600000000000001</v>
      </c>
      <c r="BQ10" s="26">
        <v>7.2</v>
      </c>
      <c r="BR10" s="26">
        <v>0</v>
      </c>
      <c r="BS10" s="26">
        <v>0</v>
      </c>
      <c r="BT10" s="52"/>
      <c r="BU10" s="16">
        <f>IF(SUM(BA10,BE10)&gt;0,SUM(BA10,BE10),"")</f>
        <v>13.2</v>
      </c>
      <c r="BV10" s="16">
        <f>IF(SUM(AZ10:BA10,BC10:BE10,BG10)-BB10-BF10&gt;0,SUM(AZ10:BA10,BC10:BE10,BG10)-BB10-BF10,"")</f>
        <v>50.8</v>
      </c>
      <c r="BW10" s="16">
        <f>IF(SUM(BH10:BI10,BK10)-BJ10&gt;0,SUM(BH10:BI10,BK10)-BJ10,"")</f>
        <v>24.8</v>
      </c>
      <c r="BX10" s="16">
        <f>IF(SUM(BA10,BE10,BI10)&gt;0,SUM(BA10,BE10,BI10),"")</f>
        <v>19.600000000000001</v>
      </c>
      <c r="BY10" s="16">
        <f>IF(SUM(BV10,BW10)&gt;0,SUM(BV10,BW10),"")</f>
        <v>75.599999999999994</v>
      </c>
      <c r="BZ10" s="16">
        <f>IF(SUM(BM10,BQ10)&gt;0,SUM(BM10,BQ10),"")</f>
        <v>14.4</v>
      </c>
      <c r="CA10" s="16">
        <f>IF(SUM(BL10:BM10,BO10:BQ10,BS10)-SUM(BN10,BR10)&gt;0,SUM(BL10:BM10,BO10:BQ10,BS10)-SUM(BN10,BR10),"")</f>
        <v>51.300000000000004</v>
      </c>
      <c r="CB10" s="16">
        <f>IF(SUM(BV10,CA10)&gt;0,SUM(BV10,CA10),"")</f>
        <v>102.1</v>
      </c>
      <c r="CC10" s="27">
        <v>19</v>
      </c>
      <c r="CD10" s="27">
        <v>7.2</v>
      </c>
      <c r="CE10" s="27">
        <v>0.6</v>
      </c>
      <c r="CF10" s="27">
        <v>0</v>
      </c>
      <c r="CG10" s="27">
        <v>18.399999999999999</v>
      </c>
      <c r="CH10" s="27">
        <v>7.6</v>
      </c>
      <c r="CI10" s="27">
        <v>0.8</v>
      </c>
      <c r="CJ10" s="27">
        <v>0</v>
      </c>
      <c r="CK10" s="27">
        <v>18.600000000000001</v>
      </c>
      <c r="CL10" s="27">
        <v>6.4</v>
      </c>
      <c r="CM10" s="27">
        <v>0.8</v>
      </c>
      <c r="CN10" s="27">
        <v>0</v>
      </c>
      <c r="CO10" s="27">
        <v>18.899999999999999</v>
      </c>
      <c r="CP10" s="27">
        <v>7.2</v>
      </c>
      <c r="CQ10" s="27">
        <v>0.6</v>
      </c>
      <c r="CR10" s="27">
        <v>0</v>
      </c>
      <c r="CS10" s="27">
        <v>18.399999999999999</v>
      </c>
      <c r="CT10" s="27">
        <v>7.6</v>
      </c>
      <c r="CU10" s="27">
        <v>0.6</v>
      </c>
      <c r="CV10" s="27">
        <v>0</v>
      </c>
      <c r="CW10" s="51"/>
      <c r="CX10" s="76">
        <f>IF(SUM(CD10,CH10)&gt;0,SUM(CD10,CH10),"")</f>
        <v>14.8</v>
      </c>
      <c r="CY10" s="76">
        <f>IF(SUM(CC10:CD10,CF10:CH10,CJ10)-CE10-CI10&gt;0,SUM(CC10:CD10,CF10:CH10,CJ10)-CE10-CI10,"")</f>
        <v>50.8</v>
      </c>
      <c r="CZ10" s="76">
        <f>IF(SUM(CK10:CL10,CN10)-CM10&gt;0,SUM(CK10:CL10,CN10)-CM10,"")</f>
        <v>24.2</v>
      </c>
      <c r="DA10" s="76">
        <f>IF(SUM(CD10,CH10,CL10)&gt;0,SUM(CD10,CH10,CL10),"")</f>
        <v>21.200000000000003</v>
      </c>
      <c r="DB10" s="76">
        <f>IF(SUM(CY10,CZ10)&gt;0,SUM(CY10,CZ10),"")</f>
        <v>75</v>
      </c>
      <c r="DC10" s="76">
        <f>IF(SUM(CP10,CT10)&gt;0,SUM(CP10,CT10),"")</f>
        <v>14.8</v>
      </c>
      <c r="DD10" s="76">
        <f>IF(SUM(CO10:CP10,CR10:CT10,CV10)-SUM(CQ10,CU10)&gt;0,SUM(CO10:CP10,CR10:CT10,CV10)-SUM(CQ10,CU10),"")</f>
        <v>50.9</v>
      </c>
      <c r="DE10" s="76">
        <f>IF(SUM(CY10,DD10)&gt;0,SUM(CY10,DD10),"")</f>
        <v>101.69999999999999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 t="str">
        <f>IF(R10&gt;=0.001,IF(MAX(EI10,FK10,GM10,HO10,IQ10,JS10,KU10,LW10,MY10,OA10,PC10,QE10)-IF(R10="",0,R10)&gt;0.001,MAX(EI10,FK10,GM10,HO10,IQ10,JS10,KU10,LW10,MY10,OA10,PC10,QE10)-IF(R10="",0,R10),""),"")</f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>IF(SUM(EL10,EP10)&gt;0,SUM(EL10,EP10),"")</f>
        <v/>
      </c>
      <c r="FF10" s="16" t="str">
        <f>IF(SUM(EK10:EL10,EN10:EP10,ER10)-EM10-EQ10&gt;0,SUM(EK10:EL10,EN10:EP10,ER10)-EM10-EQ10,"")</f>
        <v/>
      </c>
      <c r="FG10" s="16" t="str">
        <f>IF(SUM(ES10:ET10,EV10)-EU10&gt;0,SUM(ES10:ET10,EV10)-EU10,"")</f>
        <v/>
      </c>
      <c r="FH10" s="16" t="str">
        <f>IF(SUM(EL10,EP10,ET10)&gt;0,SUM(EL10,EP10,ET10),"")</f>
        <v/>
      </c>
      <c r="FI10" s="16" t="str">
        <f>IF(SUM(FF10,FG10)&gt;0,SUM(FF10,FG10),"")</f>
        <v/>
      </c>
      <c r="FJ10" s="16" t="str">
        <f>IF(SUM(EX10,FB10)&gt;0,SUM(EX10,FB10),"")</f>
        <v/>
      </c>
      <c r="FK10" s="16" t="str">
        <f>IF(SUM(EW10:EX10,EZ10:FB10,FD10)-SUM(EY10,FC10)&gt;0,SUM(EW10:EX10,EZ10:FB10,FD10)-SUM(EY10,FC10),"")</f>
        <v/>
      </c>
      <c r="FL10" s="16" t="str">
        <f>IF(SUM(FF10,FK10)&gt;0,SUM(FF10,FK10),"")</f>
        <v/>
      </c>
      <c r="FM10" s="25">
        <v>18.899999999999999</v>
      </c>
      <c r="FN10" s="25">
        <v>7.2</v>
      </c>
      <c r="FO10" s="25">
        <v>0.6</v>
      </c>
      <c r="FP10" s="25">
        <v>0</v>
      </c>
      <c r="FQ10" s="25">
        <v>0</v>
      </c>
      <c r="FR10" s="25">
        <v>0</v>
      </c>
      <c r="FS10" s="25">
        <v>0</v>
      </c>
      <c r="FT10" s="25">
        <v>0</v>
      </c>
      <c r="FU10" s="25"/>
      <c r="FV10" s="25"/>
      <c r="FW10" s="25"/>
      <c r="FX10" s="25"/>
      <c r="FY10" s="25">
        <v>18.2</v>
      </c>
      <c r="FZ10" s="25">
        <v>7.2</v>
      </c>
      <c r="GA10" s="25">
        <v>0.6</v>
      </c>
      <c r="GB10" s="25">
        <v>0</v>
      </c>
      <c r="GC10" s="25">
        <v>18.399999999999999</v>
      </c>
      <c r="GD10" s="25">
        <v>6.8</v>
      </c>
      <c r="GE10" s="25">
        <v>0.8</v>
      </c>
      <c r="GF10" s="25">
        <v>0</v>
      </c>
      <c r="GG10" s="76">
        <f>IF(SUM(FN10,FR10)&gt;0,SUM(FN10,FR10),"")</f>
        <v>7.2</v>
      </c>
      <c r="GH10" s="76">
        <f>IF(SUM(FM10:FN10,FP10:FR10,FT10)-FO10-FS10&gt;0,SUM(FM10:FN10,FP10:FR10,FT10)-FO10-FS10,"")</f>
        <v>25.499999999999996</v>
      </c>
      <c r="GI10" s="76" t="str">
        <f>IF(SUM(FU10:FV10,FX10)-FW10&gt;0,SUM(FU10:FV10,FX10)-FW10,"")</f>
        <v/>
      </c>
      <c r="GJ10" s="76">
        <f>IF(SUM(FN10,FR10,FV10)&gt;0,SUM(FN10,FR10,FV10),"")</f>
        <v>7.2</v>
      </c>
      <c r="GK10" s="76">
        <f>IF(SUM(GH10,GI10)&gt;0,SUM(GH10,GI10),"")</f>
        <v>25.499999999999996</v>
      </c>
      <c r="GL10" s="76">
        <f>IF(SUM(FZ10,GD10)&gt;0,SUM(FZ10,GD10),"")</f>
        <v>14</v>
      </c>
      <c r="GM10" s="76">
        <f>IF(SUM(FY10:FZ10,GB10:GD10,GF10)-SUM(GA10,GE10)&gt;0,SUM(FY10:FZ10,GB10:GD10,GF10)-SUM(GA10,GE10),"")</f>
        <v>49.199999999999996</v>
      </c>
      <c r="GN10" s="76">
        <f>IF(SUM(GH10,GM10)&gt;0,SUM(GH10,GM10),"")</f>
        <v>74.699999999999989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>
        <v>18.7</v>
      </c>
      <c r="IT10" s="26">
        <v>6.8</v>
      </c>
      <c r="IU10" s="26">
        <v>0.6</v>
      </c>
      <c r="IV10" s="26">
        <v>0</v>
      </c>
      <c r="IW10" s="26">
        <v>19</v>
      </c>
      <c r="IX10" s="26">
        <v>6.4</v>
      </c>
      <c r="IY10" s="26">
        <v>0</v>
      </c>
      <c r="IZ10" s="26">
        <v>0</v>
      </c>
      <c r="JA10" s="26"/>
      <c r="JB10" s="26"/>
      <c r="JC10" s="26"/>
      <c r="JD10" s="26"/>
      <c r="JE10" s="26">
        <v>18.8</v>
      </c>
      <c r="JF10" s="26">
        <v>7.2</v>
      </c>
      <c r="JG10" s="26">
        <v>0.6</v>
      </c>
      <c r="JH10" s="26">
        <v>0</v>
      </c>
      <c r="JI10" s="26"/>
      <c r="JJ10" s="26"/>
      <c r="JK10" s="26"/>
      <c r="JL10" s="26"/>
      <c r="JM10" s="16">
        <f>IF(SUM(IT10,IX10)&gt;0,SUM(IT10,IX10),"")</f>
        <v>13.2</v>
      </c>
      <c r="JN10" s="16">
        <f>IF(SUM(IS10:IT10,IV10:IX10,IZ10)-IU10-IY10&gt;0,SUM(IS10:IT10,IV10:IX10,IZ10)-IU10-IY10,"")</f>
        <v>50.3</v>
      </c>
      <c r="JO10" s="16" t="str">
        <f>IF(SUM(JA10:JB10,JD10)-JC10&gt;0,SUM(JA10:JB10,JD10)-JC10,"")</f>
        <v/>
      </c>
      <c r="JP10" s="16">
        <f>IF(SUM(IT10,IX10,JB10)&gt;0,SUM(IT10,IX10,JB10),"")</f>
        <v>13.2</v>
      </c>
      <c r="JQ10" s="16">
        <f>IF(SUM(JN10,JO10)&gt;0,SUM(JN10,JO10),"")</f>
        <v>50.3</v>
      </c>
      <c r="JR10" s="16">
        <f>IF(SUM(JF10,JJ10)&gt;0,SUM(JF10,JJ10),"")</f>
        <v>7.2</v>
      </c>
      <c r="JS10" s="16">
        <f>IF(SUM(JE10:JF10,JH10:JJ10,JL10)-SUM(JG10,JK10)&gt;0,SUM(JE10:JF10,JH10:JJ10,JL10)-SUM(JG10,JK10),"")</f>
        <v>25.4</v>
      </c>
      <c r="JT10" s="16">
        <f>IF(SUM(JN10,JS10)&gt;0,SUM(JN10,JS10),"")</f>
        <v>75.699999999999989</v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19</v>
      </c>
      <c r="QH10" s="42">
        <f>IF($CW10="P",CD10,(CD10+BA10)/2)</f>
        <v>7</v>
      </c>
      <c r="QI10" s="42">
        <f>IF($CW10="P",CE10,(CE10+BB10)/2)</f>
        <v>0.3</v>
      </c>
      <c r="QJ10" s="42">
        <f>IF($CW10="P",CF10,(CF10+BC10)/2)</f>
        <v>0</v>
      </c>
      <c r="QK10" s="42">
        <f>IF($CW10="P",CG10,(CG10+BD10)/2)</f>
        <v>18.7</v>
      </c>
      <c r="QL10" s="42">
        <f>IF($CW10="P",CH10,(CH10+BE10)/2)</f>
        <v>7</v>
      </c>
      <c r="QM10" s="42">
        <f>IF($CW10="P",CI10,(CI10+BF10)/2)</f>
        <v>0.60000000000000009</v>
      </c>
      <c r="QN10" s="42">
        <f>IF($CW10="P",CJ10,(CJ10+BG10)/2)</f>
        <v>0</v>
      </c>
      <c r="QO10" s="42">
        <f>IF($CW10="P",CK10,(CK10+BH10)/2)</f>
        <v>18.600000000000001</v>
      </c>
      <c r="QP10" s="42">
        <f>IF($CW10="P",CL10,(CL10+BI10)/2)</f>
        <v>6.4</v>
      </c>
      <c r="QQ10" s="42">
        <f>IF($CW10="P",CM10,(CM10+BJ10)/2)</f>
        <v>0.5</v>
      </c>
      <c r="QR10" s="42">
        <f>IF($CW10="P",CN10,(CN10+BK10)/2)</f>
        <v>0</v>
      </c>
      <c r="QS10" s="42">
        <f>IF($CW10="P",CO10,(CO10+BL10)/2)</f>
        <v>18.899999999999999</v>
      </c>
      <c r="QT10" s="42">
        <f>IF($CW10="P",CP10,(CP10+BM10)/2)</f>
        <v>7.2</v>
      </c>
      <c r="QU10" s="42">
        <f>IF($CW10="P",CQ10,(CQ10+BN10)/2)</f>
        <v>0.6</v>
      </c>
      <c r="QV10" s="42">
        <f>IF($CW10="P",CR10,(CR10+BO10)/2)</f>
        <v>0</v>
      </c>
      <c r="QW10" s="42">
        <f>IF($CW10="P",CS10,(CS10+BP10)/2)</f>
        <v>18.5</v>
      </c>
      <c r="QX10" s="42">
        <f>IF($CW10="P",CT10,(CT10+BQ10)/2)</f>
        <v>7.4</v>
      </c>
      <c r="QY10" s="42">
        <f>IF($CW10="P",CU10,(CU10+BR10)/2)</f>
        <v>0.3</v>
      </c>
      <c r="QZ10" s="42">
        <f>IF($CW10="P",CV10,(CV10+BS10)/2)</f>
        <v>0</v>
      </c>
      <c r="RA10" s="51" t="s">
        <v>58</v>
      </c>
      <c r="RB10" s="76">
        <f>IF(SUM(QH10,QL10)&gt;0,SUM(QH10,QL10),"")</f>
        <v>14</v>
      </c>
      <c r="RC10" s="76">
        <f>IF(SUM(QG10:QH10,QJ10:QL10,QN10)-QI10-QM10&gt;0,SUM(QG10:QH10,QJ10:QL10,QN10)-QI10-QM10,"")</f>
        <v>50.800000000000004</v>
      </c>
      <c r="RD10" s="76">
        <f>IF(SUM(QO10:QP10,QR10)-QQ10&gt;0,SUM(QO10:QP10,QR10)-QQ10,"")</f>
        <v>24.5</v>
      </c>
      <c r="RE10" s="76">
        <f>IF(SUM(QH10,QL10,QP10)&gt;0,SUM(QH10,QL10,QP10),"")</f>
        <v>20.399999999999999</v>
      </c>
      <c r="RF10" s="76">
        <f>IF(SUM(RC10,RD10)&gt;0,SUM(RC10,RD10),"")</f>
        <v>75.300000000000011</v>
      </c>
      <c r="RG10" s="76">
        <f>IF(SUM(QT10,QX10)&gt;0,SUM(QT10,QX10),"")</f>
        <v>14.600000000000001</v>
      </c>
      <c r="RH10" s="76">
        <f>IF(SUM(QS10:QT10,QV10:QX10,QZ10)-SUM(QU10,QY10)&gt;0,SUM(QS10:QT10,QV10:QX10,QZ10)-SUM(QU10,QY10),"")</f>
        <v>51.099999999999994</v>
      </c>
      <c r="RI10" s="76">
        <f>IF(SUM(RC10,RH10)&gt;0,SUM(RC10,RH10),"")</f>
        <v>101.9</v>
      </c>
    </row>
    <row r="11" spans="1:477" x14ac:dyDescent="0.2">
      <c r="A11" s="5">
        <f>IF(AND(F11="P",G11="P"),SUMPRODUCT((F$4:F$24="P")*(G$4:G$24="P")*(E$4:E$24&gt;E11))+1,IF(G11="P",SUMPRODUCT((F$4:F$24="")*(G$4:G$24="P")*(E$4:E$24&gt;E11))+1+SUMPRODUCT((F$4:F$24="P")*(G$4:G$24="P")),""))</f>
        <v>8</v>
      </c>
      <c r="B11" s="6" t="s">
        <v>150</v>
      </c>
      <c r="C11" s="7" t="s">
        <v>5</v>
      </c>
      <c r="D11" s="18">
        <v>2004</v>
      </c>
      <c r="E11" s="14">
        <f>SUM(J11:T11)+SUM(J11:P11)*0.0000001+SUM(J11)*0.0000000000001</f>
        <v>200.80001539000511</v>
      </c>
      <c r="F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G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H11" s="70" t="str">
        <f>IF(AND(G11="P",F11=""),"No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I11="P","Worlds Team",IF(F11="P","National Team","")))))</f>
        <v>Worlds Team</v>
      </c>
      <c r="I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>P</v>
      </c>
      <c r="J11" s="13">
        <f>IF(COUNT(AS11,BV11,CY11)&gt;0,LARGE((AS11,BV11,CY11),1),0)</f>
        <v>51.699999999999996</v>
      </c>
      <c r="K11" s="13" t="str">
        <f>IF(J11=0,"",IF(J11=CY11,$CC$1,IF(J11=BV11,$AZ$1,IF(J11=AS11,$W$1,""))))</f>
        <v>2022 3rd Domestic Trial</v>
      </c>
      <c r="L11" s="13">
        <f>IF(COUNT(AS11,BV11,CY11)&gt;1,LARGE((AS11,BV11,CY11),2),0)</f>
        <v>50.900000000000006</v>
      </c>
      <c r="M11" s="13" t="str">
        <f>IF(L11=0,"",IF(L11=CY11,$CC$1,IF(L11=BV11,$AZ$1,IF(L11=AS11,$W$1,""))))</f>
        <v>2022 Elite Canada</v>
      </c>
      <c r="N11" s="13">
        <f>IF(COUNT(AT11,BW11,CZ11)&gt;0,LARGE((AT11,BW11,CZ11),1),0)</f>
        <v>26.6</v>
      </c>
      <c r="O11" s="13" t="str">
        <f>IF(N11=0,"",IF(N11=CZ11,$CC$1,IF(N11=BW11,$AZ$1,IF(N11=AT11,$W$1,""))))</f>
        <v>2022 3rd Domestic Trial</v>
      </c>
      <c r="P11" s="13">
        <f>IF(COUNT(AT11,BW11,CZ11)&gt;1,LARGE((AT11,BW11,CZ11),2),0)</f>
        <v>24.7</v>
      </c>
      <c r="Q11" s="13" t="str">
        <f>IF(P11=0,"",IF(P11=CZ11,$CC$1,IF(P11=BW11,$AZ$1,IF(P11=AT11,$W$1,""))))</f>
        <v>2022 Elite Canada</v>
      </c>
      <c r="R11" s="13">
        <f>IF(MAX(AX11,CA11,DD11)&gt;0,MAX(AX11,CA11,DD11),0)</f>
        <v>46.699999999999996</v>
      </c>
      <c r="S11" s="13" t="str">
        <f>IF(R11=0,"",IF(R11=DD11,$CC$1,IF(R11=CA11,$AZ$1,IF(R11=AX11,$W$1,""))))</f>
        <v>2022 3rd Domestic Trial</v>
      </c>
      <c r="T11" s="13">
        <f>IF(MAX(DF11:DH11)&gt;0,MAX(DF11:DH11),"")</f>
        <v>0.20000000000000284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#2 (May 15)</v>
      </c>
      <c r="W11" s="27">
        <v>19</v>
      </c>
      <c r="X11" s="27">
        <v>6.8</v>
      </c>
      <c r="Y11" s="27">
        <v>0.6</v>
      </c>
      <c r="Z11" s="27">
        <v>0</v>
      </c>
      <c r="AA11" s="27">
        <v>19.100000000000001</v>
      </c>
      <c r="AB11" s="27">
        <v>7.2</v>
      </c>
      <c r="AC11" s="27">
        <v>0.6</v>
      </c>
      <c r="AD11" s="27">
        <v>0</v>
      </c>
      <c r="AE11" s="27">
        <v>18.399999999999999</v>
      </c>
      <c r="AF11" s="27">
        <v>7.3</v>
      </c>
      <c r="AG11" s="27">
        <v>1</v>
      </c>
      <c r="AH11" s="27">
        <v>0</v>
      </c>
      <c r="AI11" s="27">
        <v>18.8</v>
      </c>
      <c r="AJ11" s="27">
        <v>6.8</v>
      </c>
      <c r="AK11" s="27">
        <v>0.6</v>
      </c>
      <c r="AL11" s="27">
        <v>0</v>
      </c>
      <c r="AM11" s="27">
        <v>0</v>
      </c>
      <c r="AN11" s="27">
        <v>0</v>
      </c>
      <c r="AO11" s="27">
        <v>0</v>
      </c>
      <c r="AP11" s="27">
        <v>0</v>
      </c>
      <c r="AQ11" s="51"/>
      <c r="AR11" s="76">
        <f>IF(SUM(X11,AB11)&gt;0,SUM(X11,AB11),"")</f>
        <v>14</v>
      </c>
      <c r="AS11" s="76">
        <f>IF(SUM(W11:X11,Z11:AB11,AD11)-Y11-AC11&gt;0,SUM(W11:X11,Z11:AB11,AD11)-Y11-AC11,"")</f>
        <v>50.900000000000006</v>
      </c>
      <c r="AT11" s="76">
        <f>IF(SUM(AE11:AF11,AH11)-AG11&gt;0,SUM(AE11:AF11,AH11)-AG11,"")</f>
        <v>24.7</v>
      </c>
      <c r="AU11" s="76">
        <f>IF(SUM(X11,AB11,AF11)&gt;0,SUM(X11,AB11,AF11),"")</f>
        <v>21.3</v>
      </c>
      <c r="AV11" s="76">
        <f>IF(SUM(AS11,AT11)&gt;0,SUM(AS11,AT11),"")</f>
        <v>75.600000000000009</v>
      </c>
      <c r="AW11" s="76">
        <f>IF(SUM(AJ11,AN11)&gt;0,SUM(AJ11,AN11),"")</f>
        <v>6.8</v>
      </c>
      <c r="AX11" s="76">
        <f>IF(SUM(AI11:AJ11,AL11:AN11,AP11)-SUM(AK11,AO11)&gt;0,SUM(AI11:AJ11,AL11:AN11,AP11)-SUM(AK11,AO11),"")</f>
        <v>25</v>
      </c>
      <c r="AY11" s="76">
        <f>IF(SUM(AS11,AX11)&gt;0,SUM(AS11,AX11),"")</f>
        <v>75.900000000000006</v>
      </c>
      <c r="AZ11" s="26">
        <v>18.399999999999999</v>
      </c>
      <c r="BA11" s="26">
        <v>7.3</v>
      </c>
      <c r="BB11" s="26">
        <v>0</v>
      </c>
      <c r="BC11" s="26">
        <v>0</v>
      </c>
      <c r="BD11" s="26">
        <v>17.899999999999999</v>
      </c>
      <c r="BE11" s="26">
        <v>7.2</v>
      </c>
      <c r="BF11" s="26">
        <v>0.2</v>
      </c>
      <c r="BG11" s="26">
        <v>0</v>
      </c>
      <c r="BH11" s="26">
        <v>17.2</v>
      </c>
      <c r="BI11" s="26">
        <v>3.2</v>
      </c>
      <c r="BJ11" s="26">
        <v>0</v>
      </c>
      <c r="BK11" s="26">
        <v>0</v>
      </c>
      <c r="BL11" s="26"/>
      <c r="BM11" s="26"/>
      <c r="BN11" s="26"/>
      <c r="BO11" s="26"/>
      <c r="BP11" s="26"/>
      <c r="BQ11" s="26"/>
      <c r="BR11" s="26"/>
      <c r="BS11" s="26"/>
      <c r="BT11" s="52"/>
      <c r="BU11" s="16">
        <f>IF(SUM(BA11,BE11)&gt;0,SUM(BA11,BE11),"")</f>
        <v>14.5</v>
      </c>
      <c r="BV11" s="16">
        <f>IF(SUM(AZ11:BA11,BC11:BE11,BG11)-BB11-BF11&gt;0,SUM(AZ11:BA11,BC11:BE11,BG11)-BB11-BF11,"")</f>
        <v>50.599999999999994</v>
      </c>
      <c r="BW11" s="16">
        <f>IF(SUM(BH11:BI11,BK11)-BJ11&gt;0,SUM(BH11:BI11,BK11)-BJ11,"")</f>
        <v>20.399999999999999</v>
      </c>
      <c r="BX11" s="16">
        <f>IF(SUM(BA11,BE11,BI11)&gt;0,SUM(BA11,BE11,BI11),"")</f>
        <v>17.7</v>
      </c>
      <c r="BY11" s="16">
        <f>IF(SUM(BV11,BW11)&gt;0,SUM(BV11,BW11),"")</f>
        <v>71</v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>
        <f>IF(SUM(BV11,CA11)&gt;0,SUM(BV11,CA11),"")</f>
        <v>50.599999999999994</v>
      </c>
      <c r="CC11" s="27">
        <v>18.399999999999999</v>
      </c>
      <c r="CD11" s="27">
        <v>7.7</v>
      </c>
      <c r="CE11" s="27">
        <v>0</v>
      </c>
      <c r="CF11" s="27">
        <v>0.3</v>
      </c>
      <c r="CG11" s="27">
        <v>18.600000000000001</v>
      </c>
      <c r="CH11" s="27">
        <v>7.3</v>
      </c>
      <c r="CI11" s="27">
        <v>0.6</v>
      </c>
      <c r="CJ11" s="27">
        <v>0</v>
      </c>
      <c r="CK11" s="27">
        <v>18.8</v>
      </c>
      <c r="CL11" s="27">
        <v>8.4</v>
      </c>
      <c r="CM11" s="27">
        <v>0.6</v>
      </c>
      <c r="CN11" s="27">
        <v>0</v>
      </c>
      <c r="CO11" s="27">
        <v>17.7</v>
      </c>
      <c r="CP11" s="27">
        <v>2.8</v>
      </c>
      <c r="CQ11" s="27">
        <v>0</v>
      </c>
      <c r="CR11" s="27">
        <v>0</v>
      </c>
      <c r="CS11" s="27">
        <v>18.8</v>
      </c>
      <c r="CT11" s="27">
        <v>7.6</v>
      </c>
      <c r="CU11" s="27">
        <v>0.2</v>
      </c>
      <c r="CV11" s="27">
        <v>0</v>
      </c>
      <c r="CW11" s="51"/>
      <c r="CX11" s="76">
        <f>IF(SUM(CD11,CH11)&gt;0,SUM(CD11,CH11),"")</f>
        <v>15</v>
      </c>
      <c r="CY11" s="76">
        <f>IF(SUM(CC11:CD11,CF11:CH11,CJ11)-CE11-CI11&gt;0,SUM(CC11:CD11,CF11:CH11,CJ11)-CE11-CI11,"")</f>
        <v>51.699999999999996</v>
      </c>
      <c r="CZ11" s="76">
        <f>IF(SUM(CK11:CL11,CN11)-CM11&gt;0,SUM(CK11:CL11,CN11)-CM11,"")</f>
        <v>26.6</v>
      </c>
      <c r="DA11" s="76">
        <f>IF(SUM(CD11,CH11,CL11)&gt;0,SUM(CD11,CH11,CL11),"")</f>
        <v>23.4</v>
      </c>
      <c r="DB11" s="76">
        <f>IF(SUM(CY11,CZ11)&gt;0,SUM(CY11,CZ11),"")</f>
        <v>78.3</v>
      </c>
      <c r="DC11" s="76">
        <f>IF(SUM(CP11,CT11)&gt;0,SUM(CP11,CT11),"")</f>
        <v>10.399999999999999</v>
      </c>
      <c r="DD11" s="76">
        <f>IF(SUM(CO11:CP11,CR11:CT11,CV11)-SUM(CQ11,CU11)&gt;0,SUM(CO11:CP11,CR11:CT11,CV11)-SUM(CQ11,CU11),"")</f>
        <v>46.699999999999996</v>
      </c>
      <c r="DE11" s="76">
        <f>IF(SUM(CY11,DD11)&gt;0,SUM(CY11,DD11),"")</f>
        <v>98.399999999999991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0.20000000000000284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>
        <v>18.3</v>
      </c>
      <c r="FN11" s="25">
        <v>6.4</v>
      </c>
      <c r="FO11" s="25">
        <v>0.8</v>
      </c>
      <c r="FP11" s="25">
        <v>0</v>
      </c>
      <c r="FQ11" s="25">
        <v>18.8</v>
      </c>
      <c r="FR11" s="25">
        <v>8</v>
      </c>
      <c r="FS11" s="25">
        <v>0.6</v>
      </c>
      <c r="FT11" s="25">
        <v>0</v>
      </c>
      <c r="FU11" s="25"/>
      <c r="FV11" s="25"/>
      <c r="FW11" s="25"/>
      <c r="FX11" s="25"/>
      <c r="FY11" s="25">
        <v>17.399999999999999</v>
      </c>
      <c r="FZ11" s="25">
        <v>2.8</v>
      </c>
      <c r="GA11" s="25">
        <v>0</v>
      </c>
      <c r="GB11" s="25">
        <v>0</v>
      </c>
      <c r="GC11" s="25">
        <v>18.7</v>
      </c>
      <c r="GD11" s="25">
        <v>8</v>
      </c>
      <c r="GE11" s="25">
        <v>0</v>
      </c>
      <c r="GF11" s="25">
        <v>0</v>
      </c>
      <c r="GG11" s="76">
        <f>IF(SUM(FN11,FR11)&gt;0,SUM(FN11,FR11),"")</f>
        <v>14.4</v>
      </c>
      <c r="GH11" s="76">
        <f>IF(SUM(FM11:FN11,FP11:FR11,FT11)-FO11-FS11&gt;0,SUM(FM11:FN11,FP11:FR11,FT11)-FO11-FS11,"")</f>
        <v>50.1</v>
      </c>
      <c r="GI11" s="76" t="str">
        <f>IF(SUM(FU11:FV11,FX11)-FW11&gt;0,SUM(FU11:FV11,FX11)-FW11,"")</f>
        <v/>
      </c>
      <c r="GJ11" s="76">
        <f>IF(SUM(FN11,FR11,FV11)&gt;0,SUM(FN11,FR11,FV11),"")</f>
        <v>14.4</v>
      </c>
      <c r="GK11" s="76">
        <f>IF(SUM(GH11,GI11)&gt;0,SUM(GH11,GI11),"")</f>
        <v>50.1</v>
      </c>
      <c r="GL11" s="76">
        <f>IF(SUM(FZ11,GD11)&gt;0,SUM(FZ11,GD11),"")</f>
        <v>10.8</v>
      </c>
      <c r="GM11" s="76">
        <f>IF(SUM(FY11:FZ11,GB11:GD11,GF11)-SUM(GA11,GE11)&gt;0,SUM(FY11:FZ11,GB11:GD11,GF11)-SUM(GA11,GE11),"")</f>
        <v>46.9</v>
      </c>
      <c r="GN11" s="76">
        <f>IF(SUM(GH11,GM11)&gt;0,SUM(GH11,GM11),"")</f>
        <v>97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>
        <v>18.399999999999999</v>
      </c>
      <c r="IT11" s="26">
        <v>7.7</v>
      </c>
      <c r="IU11" s="26">
        <v>0.2</v>
      </c>
      <c r="IV11" s="26">
        <v>0</v>
      </c>
      <c r="IW11" s="26">
        <v>0</v>
      </c>
      <c r="IX11" s="26">
        <v>0</v>
      </c>
      <c r="IY11" s="26">
        <v>0</v>
      </c>
      <c r="IZ11" s="26">
        <v>0</v>
      </c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>
        <f>IF(SUM(IT11,IX11)&gt;0,SUM(IT11,IX11),"")</f>
        <v>7.7</v>
      </c>
      <c r="JN11" s="16">
        <f>IF(SUM(IS11:IT11,IV11:IX11,IZ11)-IU11-IY11&gt;0,SUM(IS11:IT11,IV11:IX11,IZ11)-IU11-IY11,"")</f>
        <v>25.9</v>
      </c>
      <c r="JO11" s="16" t="str">
        <f>IF(SUM(JA11:JB11,JD11)-JC11&gt;0,SUM(JA11:JB11,JD11)-JC11,"")</f>
        <v/>
      </c>
      <c r="JP11" s="16">
        <f>IF(SUM(IT11,IX11,JB11)&gt;0,SUM(IT11,IX11,JB11),"")</f>
        <v>7.7</v>
      </c>
      <c r="JQ11" s="16">
        <f>IF(SUM(JN11,JO11)&gt;0,SUM(JN11,JO11),"")</f>
        <v>25.9</v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>
        <f>IF(SUM(JN11,JS11)&gt;0,SUM(JN11,JS11),"")</f>
        <v>25.9</v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18.399999999999999</v>
      </c>
      <c r="QH11" s="42">
        <f>IF($CW11="P",CD11,(CD11+BA11)/2)</f>
        <v>7.5</v>
      </c>
      <c r="QI11" s="42">
        <f>IF($CW11="P",CE11,(CE11+BB11)/2)</f>
        <v>0</v>
      </c>
      <c r="QJ11" s="42">
        <f>IF($CW11="P",CF11,(CF11+BC11)/2)</f>
        <v>0.15</v>
      </c>
      <c r="QK11" s="42">
        <f>IF($CW11="P",CG11,(CG11+BD11)/2)</f>
        <v>18.25</v>
      </c>
      <c r="QL11" s="42">
        <f>IF($CW11="P",CH11,(CH11+BE11)/2)</f>
        <v>7.25</v>
      </c>
      <c r="QM11" s="42">
        <f>IF($CW11="P",CI11,(CI11+BF11)/2)</f>
        <v>0.4</v>
      </c>
      <c r="QN11" s="42">
        <f>IF($CW11="P",CJ11,(CJ11+BG11)/2)</f>
        <v>0</v>
      </c>
      <c r="QO11" s="42">
        <f>IF($CW11="P",CK11,(CK11+BH11)/2)</f>
        <v>18</v>
      </c>
      <c r="QP11" s="42">
        <f>IF($CW11="P",CL11,(CL11+BI11)/2)</f>
        <v>5.8000000000000007</v>
      </c>
      <c r="QQ11" s="42">
        <f>IF($CW11="P",CM11,(CM11+BJ11)/2)</f>
        <v>0.3</v>
      </c>
      <c r="QR11" s="42">
        <f>IF($CW11="P",CN11,(CN11+BK11)/2)</f>
        <v>0</v>
      </c>
      <c r="QS11" s="42">
        <f>IF($CW11="P",CO11,(CO11+BL11)/2)</f>
        <v>8.85</v>
      </c>
      <c r="QT11" s="42">
        <f>IF($CW11="P",CP11,(CP11+BM11)/2)</f>
        <v>1.4</v>
      </c>
      <c r="QU11" s="42">
        <f>IF($CW11="P",CQ11,(CQ11+BN11)/2)</f>
        <v>0</v>
      </c>
      <c r="QV11" s="42">
        <f>IF($CW11="P",CR11,(CR11+BO11)/2)</f>
        <v>0</v>
      </c>
      <c r="QW11" s="42">
        <f>IF($CW11="P",CS11,(CS11+BP11)/2)</f>
        <v>9.4</v>
      </c>
      <c r="QX11" s="42">
        <f>IF($CW11="P",CT11,(CT11+BQ11)/2)</f>
        <v>3.8</v>
      </c>
      <c r="QY11" s="42">
        <f>IF($CW11="P",CU11,(CU11+BR11)/2)</f>
        <v>0.1</v>
      </c>
      <c r="QZ11" s="42">
        <f>IF($CW11="P",CV11,(CV11+BS11)/2)</f>
        <v>0</v>
      </c>
      <c r="RA11" s="51" t="s">
        <v>58</v>
      </c>
      <c r="RB11" s="76">
        <f>IF(SUM(QH11,QL11)&gt;0,SUM(QH11,QL11),"")</f>
        <v>14.75</v>
      </c>
      <c r="RC11" s="76">
        <f>IF(SUM(QG11:QH11,QJ11:QL11,QN11)-QI11-QM11&gt;0,SUM(QG11:QH11,QJ11:QL11,QN11)-QI11-QM11,"")</f>
        <v>51.15</v>
      </c>
      <c r="RD11" s="76">
        <f>IF(SUM(QO11:QP11,QR11)-QQ11&gt;0,SUM(QO11:QP11,QR11)-QQ11,"")</f>
        <v>23.5</v>
      </c>
      <c r="RE11" s="76">
        <f>IF(SUM(QH11,QL11,QP11)&gt;0,SUM(QH11,QL11,QP11),"")</f>
        <v>20.55</v>
      </c>
      <c r="RF11" s="76">
        <f>IF(SUM(RC11,RD11)&gt;0,SUM(RC11,RD11),"")</f>
        <v>74.650000000000006</v>
      </c>
      <c r="RG11" s="76">
        <f>IF(SUM(QT11,QX11)&gt;0,SUM(QT11,QX11),"")</f>
        <v>5.1999999999999993</v>
      </c>
      <c r="RH11" s="76">
        <f>IF(SUM(QS11:QT11,QV11:QX11,QZ11)-SUM(QU11,QY11)&gt;0,SUM(QS11:QT11,QV11:QX11,QZ11)-SUM(QU11,QY11),"")</f>
        <v>23.349999999999998</v>
      </c>
      <c r="RI11" s="76">
        <f>IF(SUM(RC11,RH11)&gt;0,SUM(RC11,RH11),"")</f>
        <v>74.5</v>
      </c>
    </row>
    <row r="12" spans="1:477" x14ac:dyDescent="0.2">
      <c r="A12" s="5">
        <f>IF(AND(F12="P",G12="P"),SUMPRODUCT((F$4:F$24="P")*(G$4:G$24="P")*(E$4:E$24&gt;E12))+1,IF(G12="P",SUMPRODUCT((F$4:F$24="")*(G$4:G$24="P")*(E$4:E$24&gt;E12))+1+SUMPRODUCT((F$4:F$24="P")*(G$4:G$24="P")),""))</f>
        <v>9</v>
      </c>
      <c r="B12" s="6" t="s">
        <v>147</v>
      </c>
      <c r="C12" s="7" t="s">
        <v>6</v>
      </c>
      <c r="D12" s="18">
        <v>2003</v>
      </c>
      <c r="E12" s="14">
        <f>SUM(J12:T12)+SUM(J12:P12)*0.0000001+SUM(J12)*0.0000000000001</f>
        <v>199.00001486000519</v>
      </c>
      <c r="F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G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H12" s="70" t="str">
        <f>IF(AND(G12="P",F12=""),"No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I12="P","Worlds Team",IF(F12="P","National Team","")))))</f>
        <v>National Team</v>
      </c>
      <c r="I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J12" s="13">
        <f>IF(COUNT(AS12,BV12,CY12)&gt;0,LARGE((AS12,BV12,CY12),1),0)</f>
        <v>52.100000000000009</v>
      </c>
      <c r="K12" s="13" t="str">
        <f>IF(J12=0,"",IF(J12=CY12,$CC$1,IF(J12=BV12,$AZ$1,IF(J12=AS12,$W$1,""))))</f>
        <v>2022 3rd Domestic Trial</v>
      </c>
      <c r="L12" s="13">
        <f>IF(COUNT(AS12,BV12,CY12)&gt;1,LARGE((AS12,BV12,CY12),2),0)</f>
        <v>49.5</v>
      </c>
      <c r="M12" s="13" t="str">
        <f>IF(L12=0,"",IF(L12=CY12,$CC$1,IF(L12=BV12,$AZ$1,IF(L12=AS12,$W$1,""))))</f>
        <v>2022 Elite Canada</v>
      </c>
      <c r="N12" s="13">
        <f>IF(COUNT(AT12,BW12,CZ12)&gt;0,LARGE((AT12,BW12,CZ12),1),0)</f>
        <v>25.099999999999998</v>
      </c>
      <c r="O12" s="13" t="str">
        <f>IF(N12=0,"",IF(N12=CZ12,$CC$1,IF(N12=BW12,$AZ$1,IF(N12=AT12,$W$1,""))))</f>
        <v>2022 Nationals</v>
      </c>
      <c r="P12" s="13">
        <f>IF(COUNT(AT12,BW12,CZ12)&gt;1,LARGE((AT12,BW12,CZ12),2),0)</f>
        <v>21.9</v>
      </c>
      <c r="Q12" s="13" t="str">
        <f>IF(P12=0,"",IF(P12=CZ12,$CC$1,IF(P12=BW12,$AZ$1,IF(P12=AT12,$W$1,""))))</f>
        <v>2022 Elite Canada</v>
      </c>
      <c r="R12" s="13">
        <f>IF(MAX(AX12,CA12,DD12)&gt;0,MAX(AX12,CA12,DD12),0)</f>
        <v>45.100000000000009</v>
      </c>
      <c r="S12" s="13" t="str">
        <f>IF(R12=0,"",IF(R12=DD12,$CC$1,IF(R12=CA12,$AZ$1,IF(R12=AX12,$W$1,""))))</f>
        <v>2022 Elite Canada</v>
      </c>
      <c r="T12" s="13">
        <f>IF(MAX(DF12:DH12)&gt;0,MAX(DF12:DH12),"")</f>
        <v>5.2999999999999972</v>
      </c>
      <c r="U12" s="16" t="str">
        <f>IF(T12="","",IF(T12=DF12,"("&amp;DF$2&amp;")",IF(T12=DH12,"("&amp;DH$2&amp;")")))</f>
        <v>(Final)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#1 (Mar 12)</v>
      </c>
      <c r="W12" s="27">
        <v>18.899999999999999</v>
      </c>
      <c r="X12" s="27">
        <v>6.4</v>
      </c>
      <c r="Y12" s="27">
        <v>0.8</v>
      </c>
      <c r="Z12" s="27">
        <v>0</v>
      </c>
      <c r="AA12" s="27">
        <v>18.3</v>
      </c>
      <c r="AB12" s="27">
        <v>7.7</v>
      </c>
      <c r="AC12" s="27">
        <v>1</v>
      </c>
      <c r="AD12" s="27">
        <v>0</v>
      </c>
      <c r="AE12" s="27">
        <v>18.3</v>
      </c>
      <c r="AF12" s="27">
        <v>5.2</v>
      </c>
      <c r="AG12" s="27">
        <v>1.6</v>
      </c>
      <c r="AH12" s="27">
        <v>0</v>
      </c>
      <c r="AI12" s="27">
        <v>19</v>
      </c>
      <c r="AJ12" s="27">
        <v>6.4</v>
      </c>
      <c r="AK12" s="27">
        <v>0.8</v>
      </c>
      <c r="AL12" s="27">
        <v>0</v>
      </c>
      <c r="AM12" s="27">
        <v>17.3</v>
      </c>
      <c r="AN12" s="27">
        <v>3.2</v>
      </c>
      <c r="AO12" s="27">
        <v>0</v>
      </c>
      <c r="AP12" s="27">
        <v>0</v>
      </c>
      <c r="AQ12" s="51"/>
      <c r="AR12" s="76">
        <f>IF(SUM(X12,AB12)&gt;0,SUM(X12,AB12),"")</f>
        <v>14.100000000000001</v>
      </c>
      <c r="AS12" s="76">
        <f>IF(SUM(W12:X12,Z12:AB12,AD12)-Y12-AC12&gt;0,SUM(W12:X12,Z12:AB12,AD12)-Y12-AC12,"")</f>
        <v>49.5</v>
      </c>
      <c r="AT12" s="76">
        <f>IF(SUM(AE12:AF12,AH12)-AG12&gt;0,SUM(AE12:AF12,AH12)-AG12,"")</f>
        <v>21.9</v>
      </c>
      <c r="AU12" s="76">
        <f>IF(SUM(X12,AB12,AF12)&gt;0,SUM(X12,AB12,AF12),"")</f>
        <v>19.3</v>
      </c>
      <c r="AV12" s="76">
        <f>IF(SUM(AS12,AT12)&gt;0,SUM(AS12,AT12),"")</f>
        <v>71.400000000000006</v>
      </c>
      <c r="AW12" s="76">
        <f>IF(SUM(AJ12,AN12)&gt;0,SUM(AJ12,AN12),"")</f>
        <v>9.6000000000000014</v>
      </c>
      <c r="AX12" s="76">
        <f>IF(SUM(AI12:AJ12,AL12:AN12,AP12)-SUM(AK12,AO12)&gt;0,SUM(AI12:AJ12,AL12:AN12,AP12)-SUM(AK12,AO12),"")</f>
        <v>45.100000000000009</v>
      </c>
      <c r="AY12" s="76">
        <f>IF(SUM(AS12,AX12)&gt;0,SUM(AS12,AX12),"")</f>
        <v>94.600000000000009</v>
      </c>
      <c r="AZ12" s="26">
        <v>17.8</v>
      </c>
      <c r="BA12" s="26">
        <v>4.8</v>
      </c>
      <c r="BB12" s="26">
        <v>1.7999999999999998</v>
      </c>
      <c r="BC12" s="26">
        <v>0</v>
      </c>
      <c r="BD12" s="26">
        <v>16.600000000000001</v>
      </c>
      <c r="BE12" s="26">
        <v>7.7</v>
      </c>
      <c r="BF12" s="26">
        <v>0.8</v>
      </c>
      <c r="BG12" s="26">
        <v>0</v>
      </c>
      <c r="BH12" s="26">
        <v>18.2</v>
      </c>
      <c r="BI12" s="26">
        <v>7.7</v>
      </c>
      <c r="BJ12" s="26">
        <v>0.8</v>
      </c>
      <c r="BK12" s="26">
        <v>0</v>
      </c>
      <c r="BL12" s="26"/>
      <c r="BM12" s="26"/>
      <c r="BN12" s="26"/>
      <c r="BO12" s="26"/>
      <c r="BP12" s="26"/>
      <c r="BQ12" s="26"/>
      <c r="BR12" s="26"/>
      <c r="BS12" s="26"/>
      <c r="BT12" s="52"/>
      <c r="BU12" s="16">
        <f>IF(SUM(BA12,BE12)&gt;0,SUM(BA12,BE12),"")</f>
        <v>12.5</v>
      </c>
      <c r="BV12" s="16">
        <f>IF(SUM(AZ12:BA12,BC12:BE12,BG12)-BB12-BF12&gt;0,SUM(AZ12:BA12,BC12:BE12,BG12)-BB12-BF12,"")</f>
        <v>44.300000000000011</v>
      </c>
      <c r="BW12" s="16">
        <f>IF(SUM(BH12:BI12,BK12)-BJ12&gt;0,SUM(BH12:BI12,BK12)-BJ12,"")</f>
        <v>25.099999999999998</v>
      </c>
      <c r="BX12" s="16">
        <f>IF(SUM(BA12,BE12,BI12)&gt;0,SUM(BA12,BE12,BI12),"")</f>
        <v>20.2</v>
      </c>
      <c r="BY12" s="16">
        <f>IF(SUM(BV12,BW12)&gt;0,SUM(BV12,BW12),"")</f>
        <v>69.400000000000006</v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>
        <f>IF(SUM(BV12,CA12)&gt;0,SUM(BV12,CA12),"")</f>
        <v>44.300000000000011</v>
      </c>
      <c r="CC12" s="27">
        <v>18.600000000000001</v>
      </c>
      <c r="CD12" s="27">
        <v>8.1</v>
      </c>
      <c r="CE12" s="27">
        <v>0.6</v>
      </c>
      <c r="CF12" s="27">
        <v>0.3</v>
      </c>
      <c r="CG12" s="27">
        <v>18.600000000000001</v>
      </c>
      <c r="CH12" s="27">
        <v>7.7</v>
      </c>
      <c r="CI12" s="27">
        <v>0.6</v>
      </c>
      <c r="CJ12" s="27">
        <v>0</v>
      </c>
      <c r="CK12" s="27">
        <v>17.399999999999999</v>
      </c>
      <c r="CL12" s="27">
        <v>2.4</v>
      </c>
      <c r="CM12" s="27">
        <v>0</v>
      </c>
      <c r="CN12" s="27">
        <v>0</v>
      </c>
      <c r="CO12" s="27">
        <v>18.399999999999999</v>
      </c>
      <c r="CP12" s="27">
        <v>5.2</v>
      </c>
      <c r="CQ12" s="27">
        <v>1</v>
      </c>
      <c r="CR12" s="27">
        <v>0</v>
      </c>
      <c r="CS12" s="27">
        <v>17.399999999999999</v>
      </c>
      <c r="CT12" s="27">
        <v>3.2</v>
      </c>
      <c r="CU12" s="27">
        <v>0</v>
      </c>
      <c r="CV12" s="27">
        <v>0</v>
      </c>
      <c r="CW12" s="51"/>
      <c r="CX12" s="76">
        <f>IF(SUM(CD12,CH12)&gt;0,SUM(CD12,CH12),"")</f>
        <v>15.8</v>
      </c>
      <c r="CY12" s="76">
        <f>IF(SUM(CC12:CD12,CF12:CH12,CJ12)-CE12-CI12&gt;0,SUM(CC12:CD12,CF12:CH12,CJ12)-CE12-CI12,"")</f>
        <v>52.100000000000009</v>
      </c>
      <c r="CZ12" s="76">
        <f>IF(SUM(CK12:CL12,CN12)-CM12&gt;0,SUM(CK12:CL12,CN12)-CM12,"")</f>
        <v>19.799999999999997</v>
      </c>
      <c r="DA12" s="76">
        <f>IF(SUM(CD12,CH12,CL12)&gt;0,SUM(CD12,CH12,CL12),"")</f>
        <v>18.2</v>
      </c>
      <c r="DB12" s="76">
        <f>IF(SUM(CY12,CZ12)&gt;0,SUM(CY12,CZ12),"")</f>
        <v>71.900000000000006</v>
      </c>
      <c r="DC12" s="76">
        <f>IF(SUM(CP12,CT12)&gt;0,SUM(CP12,CT12),"")</f>
        <v>8.4</v>
      </c>
      <c r="DD12" s="76">
        <f>IF(SUM(CO12:CP12,CR12:CT12,CV12)-SUM(CQ12,CU12)&gt;0,SUM(CO12:CP12,CR12:CT12,CV12)-SUM(CQ12,CU12),"")</f>
        <v>43.2</v>
      </c>
      <c r="DE12" s="76">
        <f>IF(SUM(CY12,DD12)&gt;0,SUM(CY12,DD12),"")</f>
        <v>95.300000000000011</v>
      </c>
      <c r="DF12" s="87">
        <f>IF(L12&gt;=0.001,IF(MAX(ED12,FF12,GH12,HJ12,IL12,JN12,KP12,LR12,MT12,NV12,OX12,PZ12)-IF(L12="",0,L12)&gt;0.001,MAX(ED12,FF12,GH12,HJ12,IL12,JN12,KP12,LR12,MT12,NV12,OX12,PZ12)-IF(L12="",0,L12),""),"")</f>
        <v>1.2000000000000028</v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5.2999999999999972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>
        <v>19.2</v>
      </c>
      <c r="EL12" s="26">
        <v>6.4</v>
      </c>
      <c r="EM12" s="26">
        <v>0</v>
      </c>
      <c r="EN12" s="26">
        <v>0</v>
      </c>
      <c r="EO12" s="26">
        <v>18</v>
      </c>
      <c r="EP12" s="26">
        <v>7.7</v>
      </c>
      <c r="EQ12" s="26">
        <v>0.6</v>
      </c>
      <c r="ER12" s="26">
        <v>0</v>
      </c>
      <c r="ES12" s="26"/>
      <c r="ET12" s="26"/>
      <c r="EU12" s="26"/>
      <c r="EV12" s="26"/>
      <c r="EW12" s="26">
        <v>18.600000000000001</v>
      </c>
      <c r="EX12" s="26">
        <v>7.2</v>
      </c>
      <c r="EY12" s="26">
        <v>0.6</v>
      </c>
      <c r="EZ12" s="26">
        <v>0</v>
      </c>
      <c r="FA12" s="26">
        <v>18.3</v>
      </c>
      <c r="FB12" s="26">
        <v>7.7</v>
      </c>
      <c r="FC12" s="26">
        <v>0.8</v>
      </c>
      <c r="FD12" s="26">
        <v>0</v>
      </c>
      <c r="FE12" s="16">
        <f>IF(SUM(EL12,EP12)&gt;0,SUM(EL12,EP12),"")</f>
        <v>14.100000000000001</v>
      </c>
      <c r="FF12" s="16">
        <f>IF(SUM(EK12:EL12,EN12:EP12,ER12)-EM12-EQ12&gt;0,SUM(EK12:EL12,EN12:EP12,ER12)-EM12-EQ12,"")</f>
        <v>50.7</v>
      </c>
      <c r="FG12" s="16" t="str">
        <f>IF(SUM(ES12:ET12,EV12)-EU12&gt;0,SUM(ES12:ET12,EV12)-EU12,"")</f>
        <v/>
      </c>
      <c r="FH12" s="16">
        <f>IF(SUM(EL12,EP12,ET12)&gt;0,SUM(EL12,EP12,ET12),"")</f>
        <v>14.100000000000001</v>
      </c>
      <c r="FI12" s="16">
        <f>IF(SUM(FF12,FG12)&gt;0,SUM(FF12,FG12),"")</f>
        <v>50.7</v>
      </c>
      <c r="FJ12" s="16">
        <f>IF(SUM(EX12,FB12)&gt;0,SUM(EX12,FB12),"")</f>
        <v>14.9</v>
      </c>
      <c r="FK12" s="16">
        <f>IF(SUM(EW12:EX12,EZ12:FB12,FD12)-SUM(EY12,FC12)&gt;0,SUM(EW12:EX12,EZ12:FB12,FD12)-SUM(EY12,FC12),"")</f>
        <v>50.400000000000006</v>
      </c>
      <c r="FL12" s="16">
        <f>IF(SUM(FF12,FK12)&gt;0,SUM(FF12,FK12),"")</f>
        <v>101.10000000000001</v>
      </c>
      <c r="FM12" s="25">
        <v>18.7</v>
      </c>
      <c r="FN12" s="25">
        <v>7.7</v>
      </c>
      <c r="FO12" s="25">
        <v>0</v>
      </c>
      <c r="FP12" s="25">
        <v>0</v>
      </c>
      <c r="FQ12" s="25">
        <v>17.600000000000001</v>
      </c>
      <c r="FR12" s="25">
        <v>2.8</v>
      </c>
      <c r="FS12" s="25">
        <v>0</v>
      </c>
      <c r="FT12" s="25">
        <v>0</v>
      </c>
      <c r="FU12" s="25"/>
      <c r="FV12" s="25"/>
      <c r="FW12" s="25"/>
      <c r="FX12" s="25"/>
      <c r="FY12" s="25">
        <v>16.600000000000001</v>
      </c>
      <c r="FZ12" s="25">
        <v>7.7</v>
      </c>
      <c r="GA12" s="25">
        <v>0.8</v>
      </c>
      <c r="GB12" s="25">
        <v>0</v>
      </c>
      <c r="GC12" s="25">
        <v>17.5</v>
      </c>
      <c r="GD12" s="25">
        <v>2.8</v>
      </c>
      <c r="GE12" s="25">
        <v>0</v>
      </c>
      <c r="GF12" s="25">
        <v>0</v>
      </c>
      <c r="GG12" s="76">
        <f>IF(SUM(FN12,FR12)&gt;0,SUM(FN12,FR12),"")</f>
        <v>10.5</v>
      </c>
      <c r="GH12" s="76">
        <f>IF(SUM(FM12:FN12,FP12:FR12,FT12)-FO12-FS12&gt;0,SUM(FM12:FN12,FP12:FR12,FT12)-FO12-FS12,"")</f>
        <v>46.8</v>
      </c>
      <c r="GI12" s="76" t="str">
        <f>IF(SUM(FU12:FV12,FX12)-FW12&gt;0,SUM(FU12:FV12,FX12)-FW12,"")</f>
        <v/>
      </c>
      <c r="GJ12" s="76">
        <f>IF(SUM(FN12,FR12,FV12)&gt;0,SUM(FN12,FR12,FV12),"")</f>
        <v>10.5</v>
      </c>
      <c r="GK12" s="76">
        <f>IF(SUM(GH12,GI12)&gt;0,SUM(GH12,GI12),"")</f>
        <v>46.8</v>
      </c>
      <c r="GL12" s="76">
        <f>IF(SUM(FZ12,GD12)&gt;0,SUM(FZ12,GD12),"")</f>
        <v>10.5</v>
      </c>
      <c r="GM12" s="76">
        <f>IF(SUM(FY12:FZ12,GB12:GD12,GF12)-SUM(GA12,GE12)&gt;0,SUM(FY12:FZ12,GB12:GD12,GF12)-SUM(GA12,GE12),"")</f>
        <v>43.8</v>
      </c>
      <c r="GN12" s="76">
        <f>IF(SUM(GH12,GM12)&gt;0,SUM(GH12,GM12),"")</f>
        <v>90.6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18.200000000000003</v>
      </c>
      <c r="QH12" s="42">
        <f>IF($CW12="P",CD12,(CD12+BA12)/2)</f>
        <v>6.4499999999999993</v>
      </c>
      <c r="QI12" s="42">
        <f>IF($CW12="P",CE12,(CE12+BB12)/2)</f>
        <v>1.2</v>
      </c>
      <c r="QJ12" s="42">
        <f>IF($CW12="P",CF12,(CF12+BC12)/2)</f>
        <v>0.15</v>
      </c>
      <c r="QK12" s="42">
        <f>IF($CW12="P",CG12,(CG12+BD12)/2)</f>
        <v>17.600000000000001</v>
      </c>
      <c r="QL12" s="42">
        <f>IF($CW12="P",CH12,(CH12+BE12)/2)</f>
        <v>7.7</v>
      </c>
      <c r="QM12" s="42">
        <f>IF($CW12="P",CI12,(CI12+BF12)/2)</f>
        <v>0.7</v>
      </c>
      <c r="QN12" s="42">
        <f>IF($CW12="P",CJ12,(CJ12+BG12)/2)</f>
        <v>0</v>
      </c>
      <c r="QO12" s="42">
        <f>IF($CW12="P",CK12,(CK12+BH12)/2)</f>
        <v>17.799999999999997</v>
      </c>
      <c r="QP12" s="42">
        <f>IF($CW12="P",CL12,(CL12+BI12)/2)</f>
        <v>5.05</v>
      </c>
      <c r="QQ12" s="42">
        <f>IF($CW12="P",CM12,(CM12+BJ12)/2)</f>
        <v>0.4</v>
      </c>
      <c r="QR12" s="42">
        <f>IF($CW12="P",CN12,(CN12+BK12)/2)</f>
        <v>0</v>
      </c>
      <c r="QS12" s="42">
        <f>IF($CW12="P",CO12,(CO12+BL12)/2)</f>
        <v>9.1999999999999993</v>
      </c>
      <c r="QT12" s="42">
        <f>IF($CW12="P",CP12,(CP12+BM12)/2)</f>
        <v>2.6</v>
      </c>
      <c r="QU12" s="42">
        <f>IF($CW12="P",CQ12,(CQ12+BN12)/2)</f>
        <v>0.5</v>
      </c>
      <c r="QV12" s="42">
        <f>IF($CW12="P",CR12,(CR12+BO12)/2)</f>
        <v>0</v>
      </c>
      <c r="QW12" s="42">
        <f>IF($CW12="P",CS12,(CS12+BP12)/2)</f>
        <v>8.6999999999999993</v>
      </c>
      <c r="QX12" s="42">
        <f>IF($CW12="P",CT12,(CT12+BQ12)/2)</f>
        <v>1.6</v>
      </c>
      <c r="QY12" s="42">
        <f>IF($CW12="P",CU12,(CU12+BR12)/2)</f>
        <v>0</v>
      </c>
      <c r="QZ12" s="42">
        <f>IF($CW12="P",CV12,(CV12+BS12)/2)</f>
        <v>0</v>
      </c>
      <c r="RA12" s="51" t="s">
        <v>58</v>
      </c>
      <c r="RB12" s="76">
        <f>IF(SUM(QH12,QL12)&gt;0,SUM(QH12,QL12),"")</f>
        <v>14.149999999999999</v>
      </c>
      <c r="RC12" s="76">
        <f>IF(SUM(QG12:QH12,QJ12:QL12,QN12)-QI12-QM12&gt;0,SUM(QG12:QH12,QJ12:QL12,QN12)-QI12-QM12,"")</f>
        <v>48.2</v>
      </c>
      <c r="RD12" s="76">
        <f>IF(SUM(QO12:QP12,QR12)-QQ12&gt;0,SUM(QO12:QP12,QR12)-QQ12,"")</f>
        <v>22.45</v>
      </c>
      <c r="RE12" s="76">
        <f>IF(SUM(QH12,QL12,QP12)&gt;0,SUM(QH12,QL12,QP12),"")</f>
        <v>19.2</v>
      </c>
      <c r="RF12" s="76">
        <f>IF(SUM(RC12,RD12)&gt;0,SUM(RC12,RD12),"")</f>
        <v>70.650000000000006</v>
      </c>
      <c r="RG12" s="76">
        <f>IF(SUM(QT12,QX12)&gt;0,SUM(QT12,QX12),"")</f>
        <v>4.2</v>
      </c>
      <c r="RH12" s="76">
        <f>IF(SUM(QS12:QT12,QV12:QX12,QZ12)-SUM(QU12,QY12)&gt;0,SUM(QS12:QT12,QV12:QX12,QZ12)-SUM(QU12,QY12),"")</f>
        <v>21.6</v>
      </c>
      <c r="RI12" s="76">
        <f>IF(SUM(RC12,RH12)&gt;0,SUM(RC12,RH12),"")</f>
        <v>69.800000000000011</v>
      </c>
    </row>
    <row r="13" spans="1:477" x14ac:dyDescent="0.2">
      <c r="A13" s="5">
        <f>IF(AND(F13="P",G13="P"),SUMPRODUCT((F$4:F$24="P")*(G$4:G$24="P")*(E$4:E$24&gt;E13))+1,IF(G13="P",SUMPRODUCT((F$4:F$24="")*(G$4:G$24="P")*(E$4:E$24&gt;E13))+1+SUMPRODUCT((F$4:F$24="P")*(G$4:G$24="P")),""))</f>
        <v>10</v>
      </c>
      <c r="B13" s="6" t="s">
        <v>210</v>
      </c>
      <c r="C13" s="7" t="s">
        <v>3</v>
      </c>
      <c r="D13" s="18">
        <v>2002</v>
      </c>
      <c r="E13" s="14">
        <f>SUM(J13:T13)+SUM(J13:P13)*0.0000001+SUM(J13)*0.0000000000001</f>
        <v>128.80000768000517</v>
      </c>
      <c r="F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G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H13" s="70" t="str">
        <f>IF(AND(G13="P",F13=""),"No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I13="P","Worlds Team",IF(F13="P","National Team","")))))</f>
        <v>National Team</v>
      </c>
      <c r="I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J13" s="13">
        <f>IF(COUNT(AS13,BV13,CY13)&gt;0,LARGE((AS13,BV13,CY13),1),0)</f>
        <v>51.8</v>
      </c>
      <c r="K13" s="13" t="str">
        <f>IF(J13=0,"",IF(J13=CY13,$CC$1,IF(J13=BV13,$AZ$1,IF(J13=AS13,$W$1,""))))</f>
        <v>2022 Nationals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25</v>
      </c>
      <c r="O13" s="13" t="str">
        <f>IF(N13=0,"",IF(N13=CZ13,$CC$1,IF(N13=BW13,$AZ$1,IF(N13=AT13,$W$1,""))))</f>
        <v>2022 Nationals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51.999999999999993</v>
      </c>
      <c r="S13" s="13" t="str">
        <f>IF(R13=0,"",IF(R13=DD13,$CC$1,IF(R13=CA13,$AZ$1,IF(R13=AX13,$W$1,""))))</f>
        <v>2022 Nationals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>
        <v>18.3</v>
      </c>
      <c r="BA13" s="26">
        <v>8.4</v>
      </c>
      <c r="BB13" s="26">
        <v>1</v>
      </c>
      <c r="BC13" s="26">
        <v>0</v>
      </c>
      <c r="BD13" s="26">
        <v>19.3</v>
      </c>
      <c r="BE13" s="26">
        <v>6.8</v>
      </c>
      <c r="BF13" s="26">
        <v>0</v>
      </c>
      <c r="BG13" s="26">
        <v>0</v>
      </c>
      <c r="BH13" s="26">
        <v>19</v>
      </c>
      <c r="BI13" s="26">
        <v>6</v>
      </c>
      <c r="BJ13" s="26">
        <v>0</v>
      </c>
      <c r="BK13" s="26">
        <v>0</v>
      </c>
      <c r="BL13" s="26">
        <v>18.5</v>
      </c>
      <c r="BM13" s="26">
        <v>8.4</v>
      </c>
      <c r="BN13" s="26">
        <v>0.6</v>
      </c>
      <c r="BO13" s="26">
        <v>0</v>
      </c>
      <c r="BP13" s="26">
        <v>18.899999999999999</v>
      </c>
      <c r="BQ13" s="26">
        <v>6.8</v>
      </c>
      <c r="BR13" s="26">
        <v>0</v>
      </c>
      <c r="BS13" s="26">
        <v>0</v>
      </c>
      <c r="BT13" s="52"/>
      <c r="BU13" s="16">
        <f>IF(SUM(BA13,BE13)&gt;0,SUM(BA13,BE13),"")</f>
        <v>15.2</v>
      </c>
      <c r="BV13" s="16">
        <f>IF(SUM(AZ13:BA13,BC13:BE13,BG13)-BB13-BF13&gt;0,SUM(AZ13:BA13,BC13:BE13,BG13)-BB13-BF13,"")</f>
        <v>51.8</v>
      </c>
      <c r="BW13" s="16">
        <f>IF(SUM(BH13:BI13,BK13)-BJ13&gt;0,SUM(BH13:BI13,BK13)-BJ13,"")</f>
        <v>25</v>
      </c>
      <c r="BX13" s="16">
        <f>IF(SUM(BA13,BE13,BI13)&gt;0,SUM(BA13,BE13,BI13),"")</f>
        <v>21.2</v>
      </c>
      <c r="BY13" s="16">
        <f>IF(SUM(BV13,BW13)&gt;0,SUM(BV13,BW13),"")</f>
        <v>76.8</v>
      </c>
      <c r="BZ13" s="16">
        <f>IF(SUM(BM13,BQ13)&gt;0,SUM(BM13,BQ13),"")</f>
        <v>15.2</v>
      </c>
      <c r="CA13" s="16">
        <f>IF(SUM(BL13:BM13,BO13:BQ13,BS13)-SUM(BN13,BR13)&gt;0,SUM(BL13:BM13,BO13:BQ13,BS13)-SUM(BN13,BR13),"")</f>
        <v>51.999999999999993</v>
      </c>
      <c r="CB13" s="16">
        <f>IF(SUM(BV13,CA13)&gt;0,SUM(BV13,CA13),"")</f>
        <v>103.79999999999998</v>
      </c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51"/>
      <c r="CX13" s="76" t="str">
        <f>IF(SUM(CD13,CH13)&gt;0,SUM(CD13,CH13),"")</f>
        <v/>
      </c>
      <c r="CY13" s="76" t="str">
        <f>IF(SUM(CC13:CD13,CF13:CH13,CJ13)-CE13-CI13&gt;0,SUM(CC13:CD13,CF13:CH13,CJ13)-CE13-CI13,"")</f>
        <v/>
      </c>
      <c r="CZ13" s="76" t="str">
        <f>IF(SUM(CK13:CL13,CN13)-CM13&gt;0,SUM(CK13:CL13,CN13)-CM13,"")</f>
        <v/>
      </c>
      <c r="DA13" s="76" t="str">
        <f>IF(SUM(CD13,CH13,CL13)&gt;0,SUM(CD13,CH13,CL13),"")</f>
        <v/>
      </c>
      <c r="DB13" s="76" t="str">
        <f>IF(SUM(CY13,CZ13)&gt;0,SUM(CY13,CZ13),"")</f>
        <v/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 t="str">
        <f>IF(SUM(CY13,DD13)&gt;0,SUM(CY13,DD13),"")</f>
        <v/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9.15</v>
      </c>
      <c r="QH13" s="42">
        <f>IF($CW13="P",CD13,(CD13+BA13)/2)</f>
        <v>4.2</v>
      </c>
      <c r="QI13" s="42">
        <f>IF($CW13="P",CE13,(CE13+BB13)/2)</f>
        <v>0.5</v>
      </c>
      <c r="QJ13" s="42">
        <f>IF($CW13="P",CF13,(CF13+BC13)/2)</f>
        <v>0</v>
      </c>
      <c r="QK13" s="42">
        <f>IF($CW13="P",CG13,(CG13+BD13)/2)</f>
        <v>9.65</v>
      </c>
      <c r="QL13" s="42">
        <f>IF($CW13="P",CH13,(CH13+BE13)/2)</f>
        <v>3.4</v>
      </c>
      <c r="QM13" s="42">
        <f>IF($CW13="P",CI13,(CI13+BF13)/2)</f>
        <v>0</v>
      </c>
      <c r="QN13" s="42">
        <f>IF($CW13="P",CJ13,(CJ13+BG13)/2)</f>
        <v>0</v>
      </c>
      <c r="QO13" s="42">
        <f>IF($CW13="P",CK13,(CK13+BH13)/2)</f>
        <v>9.5</v>
      </c>
      <c r="QP13" s="42">
        <f>IF($CW13="P",CL13,(CL13+BI13)/2)</f>
        <v>3</v>
      </c>
      <c r="QQ13" s="42">
        <f>IF($CW13="P",CM13,(CM13+BJ13)/2)</f>
        <v>0</v>
      </c>
      <c r="QR13" s="42">
        <f>IF($CW13="P",CN13,(CN13+BK13)/2)</f>
        <v>0</v>
      </c>
      <c r="QS13" s="42">
        <f>IF($CW13="P",CO13,(CO13+BL13)/2)</f>
        <v>9.25</v>
      </c>
      <c r="QT13" s="42">
        <f>IF($CW13="P",CP13,(CP13+BM13)/2)</f>
        <v>4.2</v>
      </c>
      <c r="QU13" s="42">
        <f>IF($CW13="P",CQ13,(CQ13+BN13)/2)</f>
        <v>0.3</v>
      </c>
      <c r="QV13" s="42">
        <f>IF($CW13="P",CR13,(CR13+BO13)/2)</f>
        <v>0</v>
      </c>
      <c r="QW13" s="42">
        <f>IF($CW13="P",CS13,(CS13+BP13)/2)</f>
        <v>9.4499999999999993</v>
      </c>
      <c r="QX13" s="42">
        <f>IF($CW13="P",CT13,(CT13+BQ13)/2)</f>
        <v>3.4</v>
      </c>
      <c r="QY13" s="42">
        <f>IF($CW13="P",CU13,(CU13+BR13)/2)</f>
        <v>0</v>
      </c>
      <c r="QZ13" s="42">
        <f>IF($CW13="P",CV13,(CV13+BS13)/2)</f>
        <v>0</v>
      </c>
      <c r="RA13" s="51" t="s">
        <v>58</v>
      </c>
      <c r="RB13" s="76">
        <f>IF(SUM(QH13,QL13)&gt;0,SUM(QH13,QL13),"")</f>
        <v>7.6</v>
      </c>
      <c r="RC13" s="76">
        <f>IF(SUM(QG13:QH13,QJ13:QL13,QN13)-QI13-QM13&gt;0,SUM(QG13:QH13,QJ13:QL13,QN13)-QI13-QM13,"")</f>
        <v>25.9</v>
      </c>
      <c r="RD13" s="76">
        <f>IF(SUM(QO13:QP13,QR13)-QQ13&gt;0,SUM(QO13:QP13,QR13)-QQ13,"")</f>
        <v>12.5</v>
      </c>
      <c r="RE13" s="76">
        <f>IF(SUM(QH13,QL13,QP13)&gt;0,SUM(QH13,QL13,QP13),"")</f>
        <v>10.6</v>
      </c>
      <c r="RF13" s="76">
        <f>IF(SUM(RC13,RD13)&gt;0,SUM(RC13,RD13),"")</f>
        <v>38.4</v>
      </c>
      <c r="RG13" s="76">
        <f>IF(SUM(QT13,QX13)&gt;0,SUM(QT13,QX13),"")</f>
        <v>7.6</v>
      </c>
      <c r="RH13" s="76">
        <f>IF(SUM(QS13:QT13,QV13:QX13,QZ13)-SUM(QU13,QY13)&gt;0,SUM(QS13:QT13,QV13:QX13,QZ13)-SUM(QU13,QY13),"")</f>
        <v>25.999999999999996</v>
      </c>
      <c r="RI13" s="76">
        <f>IF(SUM(RC13,RH13)&gt;0,SUM(RC13,RH13),"")</f>
        <v>51.899999999999991</v>
      </c>
    </row>
    <row r="14" spans="1:477" x14ac:dyDescent="0.2">
      <c r="A14" s="5">
        <f>IF(AND(F14="P",G14="P"),SUMPRODUCT((F$4:F$24="P")*(G$4:G$24="P")*(E$4:E$24&gt;E14))+1,IF(G14="P",SUMPRODUCT((F$4:F$24="")*(G$4:G$24="P")*(E$4:E$24&gt;E14))+1+SUMPRODUCT((F$4:F$24="P")*(G$4:G$24="P")),""))</f>
        <v>11</v>
      </c>
      <c r="B14" s="6" t="s">
        <v>154</v>
      </c>
      <c r="C14" s="7" t="s">
        <v>6</v>
      </c>
      <c r="D14" s="18">
        <v>2001</v>
      </c>
      <c r="E14" s="14">
        <f>SUM(J14:T14)+SUM(J14:P14)*0.0000001+SUM(J14)*0.0000000000001</f>
        <v>118.90000720000475</v>
      </c>
      <c r="F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G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H14" s="70" t="str">
        <f>IF(AND(G14="P",F14=""),"No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I14="P","Worlds Team",IF(F14="P","National Team","")))))</f>
        <v>National Team</v>
      </c>
      <c r="I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J14" s="13">
        <f>IF(COUNT(AS14,BV14,CY14)&gt;0,LARGE((AS14,BV14,CY14),1),0)</f>
        <v>47.499999999999993</v>
      </c>
      <c r="K14" s="13" t="str">
        <f>IF(J14=0,"",IF(J14=CY14,$CC$1,IF(J14=BV14,$AZ$1,IF(J14=AS14,$W$1,""))))</f>
        <v>2022 Nationals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24.5</v>
      </c>
      <c r="O14" s="13" t="str">
        <f>IF(N14=0,"",IF(N14=CZ14,$CC$1,IF(N14=BW14,$AZ$1,IF(N14=AT14,$W$1,""))))</f>
        <v>2022 Nationals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39.500000000000007</v>
      </c>
      <c r="S14" s="13" t="str">
        <f>IF(R14=0,"",IF(R14=DD14,$CC$1,IF(R14=CA14,$AZ$1,IF(R14=AX14,$W$1,""))))</f>
        <v>2022 Nationals</v>
      </c>
      <c r="T14" s="13">
        <f>IF(MAX(DF14:DH14)&gt;0,MAX(DF14:DH14),"")</f>
        <v>7.3999999999999986</v>
      </c>
      <c r="U14" s="16" t="str">
        <f>IF(T14="","",IF(T14=DF14,"("&amp;DF$2&amp;")",IF(T14=DH14,"("&amp;DH$2&amp;")")))</f>
        <v>(Final)</v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>2022 World Games Technical Trial #2 (May 15)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7">
        <v>0</v>
      </c>
      <c r="AK14" s="27">
        <v>0</v>
      </c>
      <c r="AL14" s="27">
        <v>0</v>
      </c>
      <c r="AM14" s="27">
        <v>0</v>
      </c>
      <c r="AN14" s="27">
        <v>0</v>
      </c>
      <c r="AO14" s="27">
        <v>0</v>
      </c>
      <c r="AP14" s="27">
        <v>0</v>
      </c>
      <c r="AQ14" s="51" t="s">
        <v>58</v>
      </c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>
        <v>18.399999999999999</v>
      </c>
      <c r="BA14" s="26">
        <v>5.2</v>
      </c>
      <c r="BB14" s="26">
        <v>1</v>
      </c>
      <c r="BC14" s="26">
        <v>0</v>
      </c>
      <c r="BD14" s="26">
        <v>18.2</v>
      </c>
      <c r="BE14" s="26">
        <v>6.9</v>
      </c>
      <c r="BF14" s="26">
        <v>0.2</v>
      </c>
      <c r="BG14" s="26">
        <v>0</v>
      </c>
      <c r="BH14" s="26">
        <v>18.7</v>
      </c>
      <c r="BI14" s="26">
        <v>6.4</v>
      </c>
      <c r="BJ14" s="26">
        <v>0.6</v>
      </c>
      <c r="BK14" s="26">
        <v>0</v>
      </c>
      <c r="BL14" s="26">
        <v>16.600000000000001</v>
      </c>
      <c r="BM14" s="26">
        <v>4.8</v>
      </c>
      <c r="BN14" s="26">
        <v>1.7999999999999998</v>
      </c>
      <c r="BO14" s="26">
        <v>0</v>
      </c>
      <c r="BP14" s="26">
        <v>17.5</v>
      </c>
      <c r="BQ14" s="26">
        <v>2.4</v>
      </c>
      <c r="BR14" s="26">
        <v>0</v>
      </c>
      <c r="BS14" s="26">
        <v>0</v>
      </c>
      <c r="BT14" s="52"/>
      <c r="BU14" s="16">
        <f>IF(SUM(BA14,BE14)&gt;0,SUM(BA14,BE14),"")</f>
        <v>12.100000000000001</v>
      </c>
      <c r="BV14" s="16">
        <f>IF(SUM(AZ14:BA14,BC14:BE14,BG14)-BB14-BF14&gt;0,SUM(AZ14:BA14,BC14:BE14,BG14)-BB14-BF14,"")</f>
        <v>47.499999999999993</v>
      </c>
      <c r="BW14" s="16">
        <f>IF(SUM(BH14:BI14,BK14)-BJ14&gt;0,SUM(BH14:BI14,BK14)-BJ14,"")</f>
        <v>24.5</v>
      </c>
      <c r="BX14" s="16">
        <f>IF(SUM(BA14,BE14,BI14)&gt;0,SUM(BA14,BE14,BI14),"")</f>
        <v>18.5</v>
      </c>
      <c r="BY14" s="16">
        <f>IF(SUM(BV14,BW14)&gt;0,SUM(BV14,BW14),"")</f>
        <v>72</v>
      </c>
      <c r="BZ14" s="16">
        <f>IF(SUM(BM14,BQ14)&gt;0,SUM(BM14,BQ14),"")</f>
        <v>7.1999999999999993</v>
      </c>
      <c r="CA14" s="16">
        <f>IF(SUM(BL14:BM14,BO14:BQ14,BS14)-SUM(BN14,BR14)&gt;0,SUM(BL14:BM14,BO14:BQ14,BS14)-SUM(BN14,BR14),"")</f>
        <v>39.500000000000007</v>
      </c>
      <c r="CB14" s="16">
        <f>IF(SUM(BV14,CA14)&gt;0,SUM(BV14,CA14),"")</f>
        <v>87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>IF(SUM(CD14,CH14)&gt;0,SUM(CD14,CH14),"")</f>
        <v/>
      </c>
      <c r="CY14" s="76" t="str">
        <f>IF(SUM(CC14:CD14,CF14:CH14,CJ14)-CE14-CI14&gt;0,SUM(CC14:CD14,CF14:CH14,CJ14)-CE14-CI14,"")</f>
        <v/>
      </c>
      <c r="CZ14" s="76" t="str">
        <f>IF(SUM(CK14:CL14,CN14)-CM14&gt;0,SUM(CK14:CL14,CN14)-CM14,"")</f>
        <v/>
      </c>
      <c r="DA14" s="76" t="str">
        <f>IF(SUM(CD14,CH14,CL14)&gt;0,SUM(CD14,CH14,CL14),"")</f>
        <v/>
      </c>
      <c r="DB14" s="76" t="str">
        <f>IF(SUM(CY14,CZ14)&gt;0,SUM(CY14,CZ14),"")</f>
        <v/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 t="str">
        <f>IF(SUM(CY14,DD14)&gt;0,SUM(CY14,DD14),"")</f>
        <v/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>
        <f>IF(R14&gt;=0.001,IF(MAX(EI14,FK14,GM14,HO14,IQ14,JS14,KU14,LW14,MY14,OA14,PC14,QE14)-IF(R14="",0,R14)&gt;0.001,MAX(EI14,FK14,GM14,HO14,IQ14,JS14,KU14,LW14,MY14,OA14,PC14,QE14)-IF(R14="",0,R14),""),"")</f>
        <v>7.3999999999999986</v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>
        <v>18.600000000000001</v>
      </c>
      <c r="EL14" s="26">
        <v>7.7</v>
      </c>
      <c r="EM14" s="26">
        <v>0.2</v>
      </c>
      <c r="EN14" s="26">
        <v>0.3</v>
      </c>
      <c r="EO14" s="26">
        <v>18.5</v>
      </c>
      <c r="EP14" s="26">
        <v>7.6</v>
      </c>
      <c r="EQ14" s="26">
        <v>0.6</v>
      </c>
      <c r="ER14" s="26">
        <v>0</v>
      </c>
      <c r="ES14" s="26"/>
      <c r="ET14" s="26"/>
      <c r="EU14" s="26"/>
      <c r="EV14" s="26"/>
      <c r="EW14" s="26">
        <v>18.600000000000001</v>
      </c>
      <c r="EX14" s="26">
        <v>7.3</v>
      </c>
      <c r="EY14" s="26">
        <v>0.8</v>
      </c>
      <c r="EZ14" s="26">
        <v>0</v>
      </c>
      <c r="FA14" s="26">
        <v>17.2</v>
      </c>
      <c r="FB14" s="26">
        <v>3.2</v>
      </c>
      <c r="FC14" s="26">
        <v>0</v>
      </c>
      <c r="FD14" s="26">
        <v>0</v>
      </c>
      <c r="FE14" s="16">
        <f>IF(SUM(EL14,EP14)&gt;0,SUM(EL14,EP14),"")</f>
        <v>15.3</v>
      </c>
      <c r="FF14" s="16">
        <f>IF(SUM(EK14:EL14,EN14:EP14,ER14)-EM14-EQ14&gt;0,SUM(EK14:EL14,EN14:EP14,ER14)-EM14-EQ14,"")</f>
        <v>51.9</v>
      </c>
      <c r="FG14" s="16" t="str">
        <f>IF(SUM(ES14:ET14,EV14)-EU14&gt;0,SUM(ES14:ET14,EV14)-EU14,"")</f>
        <v/>
      </c>
      <c r="FH14" s="16">
        <f>IF(SUM(EL14,EP14,ET14)&gt;0,SUM(EL14,EP14,ET14),"")</f>
        <v>15.3</v>
      </c>
      <c r="FI14" s="16">
        <f>IF(SUM(FF14,FG14)&gt;0,SUM(FF14,FG14),"")</f>
        <v>51.9</v>
      </c>
      <c r="FJ14" s="16">
        <f>IF(SUM(EX14,FB14)&gt;0,SUM(EX14,FB14),"")</f>
        <v>10.5</v>
      </c>
      <c r="FK14" s="16">
        <f>IF(SUM(EW14:EX14,EZ14:FB14,FD14)-SUM(EY14,FC14)&gt;0,SUM(EW14:EX14,EZ14:FB14,FD14)-SUM(EY14,FC14),"")</f>
        <v>45.500000000000007</v>
      </c>
      <c r="FL14" s="16">
        <f>IF(SUM(FF14,FK14)&gt;0,SUM(FF14,FK14),"")</f>
        <v>97.4</v>
      </c>
      <c r="FM14" s="25">
        <v>18.399999999999999</v>
      </c>
      <c r="FN14" s="25">
        <v>6</v>
      </c>
      <c r="FO14" s="25">
        <v>0.8</v>
      </c>
      <c r="FP14" s="25">
        <v>0</v>
      </c>
      <c r="FQ14" s="25">
        <v>18.600000000000001</v>
      </c>
      <c r="FR14" s="25">
        <v>6</v>
      </c>
      <c r="FS14" s="25">
        <v>0</v>
      </c>
      <c r="FT14" s="25">
        <v>0</v>
      </c>
      <c r="FU14" s="25"/>
      <c r="FV14" s="25"/>
      <c r="FW14" s="25"/>
      <c r="FX14" s="25"/>
      <c r="FY14" s="25">
        <v>19.3</v>
      </c>
      <c r="FZ14" s="25">
        <v>7.6</v>
      </c>
      <c r="GA14" s="25">
        <v>0</v>
      </c>
      <c r="GB14" s="25">
        <v>0.3</v>
      </c>
      <c r="GC14" s="25">
        <v>18.3</v>
      </c>
      <c r="GD14" s="25">
        <v>3.7</v>
      </c>
      <c r="GE14" s="25">
        <v>2.2999999999999998</v>
      </c>
      <c r="GF14" s="25">
        <v>0</v>
      </c>
      <c r="GG14" s="76">
        <f>IF(SUM(FN14,FR14)&gt;0,SUM(FN14,FR14),"")</f>
        <v>12</v>
      </c>
      <c r="GH14" s="76">
        <f>IF(SUM(FM14:FN14,FP14:FR14,FT14)-FO14-FS14&gt;0,SUM(FM14:FN14,FP14:FR14,FT14)-FO14-FS14,"")</f>
        <v>48.2</v>
      </c>
      <c r="GI14" s="76" t="str">
        <f>IF(SUM(FU14:FV14,FX14)-FW14&gt;0,SUM(FU14:FV14,FX14)-FW14,"")</f>
        <v/>
      </c>
      <c r="GJ14" s="76">
        <f>IF(SUM(FN14,FR14,FV14)&gt;0,SUM(FN14,FR14,FV14),"")</f>
        <v>12</v>
      </c>
      <c r="GK14" s="76">
        <f>IF(SUM(GH14,GI14)&gt;0,SUM(GH14,GI14),"")</f>
        <v>48.2</v>
      </c>
      <c r="GL14" s="76">
        <f>IF(SUM(FZ14,GD14)&gt;0,SUM(FZ14,GD14),"")</f>
        <v>11.3</v>
      </c>
      <c r="GM14" s="76">
        <f>IF(SUM(FY14:FZ14,GB14:GD14,GF14)-SUM(GA14,GE14)&gt;0,SUM(FY14:FZ14,GB14:GD14,GF14)-SUM(GA14,GE14),"")</f>
        <v>46.900000000000006</v>
      </c>
      <c r="GN14" s="76">
        <f>IF(SUM(GH14,GM14)&gt;0,SUM(GH14,GM14),"")</f>
        <v>95.100000000000009</v>
      </c>
      <c r="GO14" s="26">
        <v>18.8</v>
      </c>
      <c r="GP14" s="26">
        <v>8</v>
      </c>
      <c r="GQ14" s="26">
        <v>0.6</v>
      </c>
      <c r="GR14" s="26">
        <v>0</v>
      </c>
      <c r="GS14" s="26">
        <v>18.100000000000001</v>
      </c>
      <c r="GT14" s="26">
        <v>7.6</v>
      </c>
      <c r="GU14" s="26">
        <v>0.6</v>
      </c>
      <c r="GV14" s="26">
        <v>0</v>
      </c>
      <c r="GW14" s="26"/>
      <c r="GX14" s="26"/>
      <c r="GY14" s="26"/>
      <c r="GZ14" s="26"/>
      <c r="HA14" s="26">
        <v>18.100000000000001</v>
      </c>
      <c r="HB14" s="26">
        <v>8.9</v>
      </c>
      <c r="HC14" s="26">
        <v>1</v>
      </c>
      <c r="HD14" s="26">
        <v>0</v>
      </c>
      <c r="HE14" s="26"/>
      <c r="HF14" s="26"/>
      <c r="HG14" s="26"/>
      <c r="HH14" s="26"/>
      <c r="HI14" s="16">
        <f>IF(SUM(GP14,GT14)&gt;0,SUM(GP14,GT14),"")</f>
        <v>15.6</v>
      </c>
      <c r="HJ14" s="16">
        <f>IF(SUM(GO14:GP14,GR14:GT14,GV14)-GQ14-GU14&gt;0,SUM(GO14:GP14,GR14:GT14,GV14)-GQ14-GU14,"")</f>
        <v>51.300000000000004</v>
      </c>
      <c r="HK14" s="16" t="str">
        <f>IF(SUM(GW14:GX14,GZ14)-GY14&gt;0,SUM(GW14:GX14,GZ14)-GY14,"")</f>
        <v/>
      </c>
      <c r="HL14" s="16">
        <f>IF(SUM(GP14,GT14,GX14)&gt;0,SUM(GP14,GT14,GX14),"")</f>
        <v>15.6</v>
      </c>
      <c r="HM14" s="16">
        <f>IF(SUM(HJ14,HK14)&gt;0,SUM(HJ14,HK14),"")</f>
        <v>51.300000000000004</v>
      </c>
      <c r="HN14" s="16">
        <f>IF(SUM(HB14,HF14)&gt;0,SUM(HB14,HF14),"")</f>
        <v>8.9</v>
      </c>
      <c r="HO14" s="16">
        <f>IF(SUM(HA14:HB14,HD14:HF14,HH14)-SUM(HC14,HG14)&gt;0,SUM(HA14:HB14,HD14:HF14,HH14)-SUM(HC14,HG14),"")</f>
        <v>26</v>
      </c>
      <c r="HP14" s="16">
        <f>IF(SUM(HJ14,HO14)&gt;0,SUM(HJ14,HO14),"")</f>
        <v>77.300000000000011</v>
      </c>
      <c r="HQ14" s="25">
        <v>18.8</v>
      </c>
      <c r="HR14" s="25">
        <v>8</v>
      </c>
      <c r="HS14" s="25">
        <v>0.2</v>
      </c>
      <c r="HT14" s="25">
        <v>0</v>
      </c>
      <c r="HU14" s="25">
        <v>17.399999999999999</v>
      </c>
      <c r="HV14" s="25">
        <v>4</v>
      </c>
      <c r="HW14" s="25">
        <v>0</v>
      </c>
      <c r="HX14" s="25">
        <v>0</v>
      </c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>
        <f>IF(SUM(HR14,HV14)&gt;0,SUM(HR14,HV14),"")</f>
        <v>12</v>
      </c>
      <c r="IL14" s="76">
        <f>IF(SUM(HQ14:HR14,HT14:HV14,HX14)-HS14-HW14&gt;0,SUM(HQ14:HR14,HT14:HV14,HX14)-HS14-HW14,"")</f>
        <v>48</v>
      </c>
      <c r="IM14" s="76" t="str">
        <f>IF(SUM(HY14:HZ14,IB14)-IA14&gt;0,SUM(HY14:HZ14,IB14)-IA14,"")</f>
        <v/>
      </c>
      <c r="IN14" s="76">
        <f>IF(SUM(HR14,HV14,HZ14)&gt;0,SUM(HR14,HV14,HZ14),"")</f>
        <v>12</v>
      </c>
      <c r="IO14" s="76">
        <f>IF(SUM(IL14,IM14)&gt;0,SUM(IL14,IM14),"")</f>
        <v>48</v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>
        <f>IF(SUM(IL14,IQ14)&gt;0,SUM(IL14,IQ14),"")</f>
        <v>48</v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9.1999999999999993</v>
      </c>
      <c r="QH14" s="42">
        <f>IF($CW14="P",CD14,(CD14+BA14)/2)</f>
        <v>2.6</v>
      </c>
      <c r="QI14" s="42">
        <f>IF($CW14="P",CE14,(CE14+BB14)/2)</f>
        <v>0.5</v>
      </c>
      <c r="QJ14" s="42">
        <f>IF($CW14="P",CF14,(CF14+BC14)/2)</f>
        <v>0</v>
      </c>
      <c r="QK14" s="42">
        <f>IF($CW14="P",CG14,(CG14+BD14)/2)</f>
        <v>9.1</v>
      </c>
      <c r="QL14" s="42">
        <f>IF($CW14="P",CH14,(CH14+BE14)/2)</f>
        <v>3.45</v>
      </c>
      <c r="QM14" s="42">
        <f>IF($CW14="P",CI14,(CI14+BF14)/2)</f>
        <v>0.1</v>
      </c>
      <c r="QN14" s="42">
        <f>IF($CW14="P",CJ14,(CJ14+BG14)/2)</f>
        <v>0</v>
      </c>
      <c r="QO14" s="42">
        <f>IF($CW14="P",CK14,(CK14+BH14)/2)</f>
        <v>9.35</v>
      </c>
      <c r="QP14" s="42">
        <f>IF($CW14="P",CL14,(CL14+BI14)/2)</f>
        <v>3.2</v>
      </c>
      <c r="QQ14" s="42">
        <f>IF($CW14="P",CM14,(CM14+BJ14)/2)</f>
        <v>0.3</v>
      </c>
      <c r="QR14" s="42">
        <f>IF($CW14="P",CN14,(CN14+BK14)/2)</f>
        <v>0</v>
      </c>
      <c r="QS14" s="42">
        <f>IF($CW14="P",CO14,(CO14+BL14)/2)</f>
        <v>8.3000000000000007</v>
      </c>
      <c r="QT14" s="42">
        <f>IF($CW14="P",CP14,(CP14+BM14)/2)</f>
        <v>2.4</v>
      </c>
      <c r="QU14" s="42">
        <f>IF($CW14="P",CQ14,(CQ14+BN14)/2)</f>
        <v>0.89999999999999991</v>
      </c>
      <c r="QV14" s="42">
        <f>IF($CW14="P",CR14,(CR14+BO14)/2)</f>
        <v>0</v>
      </c>
      <c r="QW14" s="42">
        <f>IF($CW14="P",CS14,(CS14+BP14)/2)</f>
        <v>8.75</v>
      </c>
      <c r="QX14" s="42">
        <f>IF($CW14="P",CT14,(CT14+BQ14)/2)</f>
        <v>1.2</v>
      </c>
      <c r="QY14" s="42">
        <f>IF($CW14="P",CU14,(CU14+BR14)/2)</f>
        <v>0</v>
      </c>
      <c r="QZ14" s="42">
        <f>IF($CW14="P",CV14,(CV14+BS14)/2)</f>
        <v>0</v>
      </c>
      <c r="RA14" s="51" t="s">
        <v>58</v>
      </c>
      <c r="RB14" s="76">
        <f>IF(SUM(QH14,QL14)&gt;0,SUM(QH14,QL14),"")</f>
        <v>6.0500000000000007</v>
      </c>
      <c r="RC14" s="76">
        <f>IF(SUM(QG14:QH14,QJ14:QL14,QN14)-QI14-QM14&gt;0,SUM(QG14:QH14,QJ14:QL14,QN14)-QI14-QM14,"")</f>
        <v>23.749999999999996</v>
      </c>
      <c r="RD14" s="76">
        <f>IF(SUM(QO14:QP14,QR14)-QQ14&gt;0,SUM(QO14:QP14,QR14)-QQ14,"")</f>
        <v>12.25</v>
      </c>
      <c r="RE14" s="76">
        <f>IF(SUM(QH14,QL14,QP14)&gt;0,SUM(QH14,QL14,QP14),"")</f>
        <v>9.25</v>
      </c>
      <c r="RF14" s="76">
        <f>IF(SUM(RC14,RD14)&gt;0,SUM(RC14,RD14),"")</f>
        <v>36</v>
      </c>
      <c r="RG14" s="76">
        <f>IF(SUM(QT14,QX14)&gt;0,SUM(QT14,QX14),"")</f>
        <v>3.5999999999999996</v>
      </c>
      <c r="RH14" s="76">
        <f>IF(SUM(QS14:QT14,QV14:QX14,QZ14)-SUM(QU14,QY14)&gt;0,SUM(QS14:QT14,QV14:QX14,QZ14)-SUM(QU14,QY14),"")</f>
        <v>19.750000000000004</v>
      </c>
      <c r="RI14" s="76">
        <f>IF(SUM(RC14,RH14)&gt;0,SUM(RC14,RH14),"")</f>
        <v>43.5</v>
      </c>
    </row>
    <row r="15" spans="1:477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6" t="s">
        <v>207</v>
      </c>
      <c r="C15" s="7" t="s">
        <v>3</v>
      </c>
      <c r="D15" s="18">
        <v>2000</v>
      </c>
      <c r="E15" s="14">
        <f>SUM(J15:T15)+SUM(J15:P15)*0.0000001+SUM(J15)*0.0000000000001</f>
        <v>195.60001469000488</v>
      </c>
      <c r="F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G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H15" s="70" t="str">
        <f>IF(AND(G15="P",F15=""),"No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I15="P","Worlds Team",IF(F15="P","National Team","")))))</f>
        <v/>
      </c>
      <c r="I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J15" s="13">
        <f>IF(COUNT(AS15,BV15,CY15)&gt;0,LARGE((AS15,BV15,CY15),1),0)</f>
        <v>49</v>
      </c>
      <c r="K15" s="13" t="str">
        <f>IF(J15=0,"",IF(J15=CY15,$CC$1,IF(J15=BV15,$AZ$1,IF(J15=AS15,$W$1,""))))</f>
        <v>2022 3rd Domestic Trial</v>
      </c>
      <c r="L15" s="13">
        <f>IF(COUNT(AS15,BV15,CY15)&gt;1,LARGE((AS15,BV15,CY15),2),0)</f>
        <v>48.5</v>
      </c>
      <c r="M15" s="13" t="str">
        <f>IF(L15=0,"",IF(L15=CY15,$CC$1,IF(L15=BV15,$AZ$1,IF(L15=AS15,$W$1,""))))</f>
        <v>2022 Nationals</v>
      </c>
      <c r="N15" s="13">
        <f>IF(COUNT(AT15,BW15,CZ15)&gt;0,LARGE((AT15,BW15,CZ15),1),0)</f>
        <v>25.2</v>
      </c>
      <c r="O15" s="13" t="str">
        <f>IF(N15=0,"",IF(N15=CZ15,$CC$1,IF(N15=BW15,$AZ$1,IF(N15=AT15,$W$1,""))))</f>
        <v>2022 3rd Domestic Trial</v>
      </c>
      <c r="P15" s="13">
        <f>IF(COUNT(AT15,BW15,CZ15)&gt;1,LARGE((AT15,BW15,CZ15),2),0)</f>
        <v>24.199999999999996</v>
      </c>
      <c r="Q15" s="13" t="str">
        <f>IF(P15=0,"",IF(P15=CZ15,$CC$1,IF(P15=BW15,$AZ$1,IF(P15=AT15,$W$1,""))))</f>
        <v>2022 Nationals</v>
      </c>
      <c r="R15" s="13">
        <f>IF(MAX(AX15,CA15,DD15)&gt;0,MAX(AX15,CA15,DD15),0)</f>
        <v>48.699999999999996</v>
      </c>
      <c r="S15" s="13" t="str">
        <f>IF(R15=0,"",IF(R15=DD15,$CC$1,IF(R15=CA15,$AZ$1,IF(R15=AX15,$W$1,""))))</f>
        <v>2022 Nationals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>
        <v>18.100000000000001</v>
      </c>
      <c r="BA15" s="26">
        <v>6.8</v>
      </c>
      <c r="BB15" s="26">
        <v>0.8</v>
      </c>
      <c r="BC15" s="26">
        <v>0</v>
      </c>
      <c r="BD15" s="26">
        <v>18.399999999999999</v>
      </c>
      <c r="BE15" s="26">
        <v>6.8</v>
      </c>
      <c r="BF15" s="26">
        <v>0.8</v>
      </c>
      <c r="BG15" s="26">
        <v>0</v>
      </c>
      <c r="BH15" s="26">
        <v>18.399999999999999</v>
      </c>
      <c r="BI15" s="26">
        <v>6.4</v>
      </c>
      <c r="BJ15" s="26">
        <v>0.6</v>
      </c>
      <c r="BK15" s="26">
        <v>0</v>
      </c>
      <c r="BL15" s="26">
        <v>18.3</v>
      </c>
      <c r="BM15" s="26">
        <v>6.8</v>
      </c>
      <c r="BN15" s="26">
        <v>0.6</v>
      </c>
      <c r="BO15" s="26">
        <v>0</v>
      </c>
      <c r="BP15" s="26">
        <v>18.399999999999999</v>
      </c>
      <c r="BQ15" s="26">
        <v>6.4</v>
      </c>
      <c r="BR15" s="26">
        <v>0.6</v>
      </c>
      <c r="BS15" s="26">
        <v>0</v>
      </c>
      <c r="BT15" s="52"/>
      <c r="BU15" s="16">
        <f>IF(SUM(BA15,BE15)&gt;0,SUM(BA15,BE15),"")</f>
        <v>13.6</v>
      </c>
      <c r="BV15" s="16">
        <f>IF(SUM(AZ15:BA15,BC15:BE15,BG15)-BB15-BF15&gt;0,SUM(AZ15:BA15,BC15:BE15,BG15)-BB15-BF15,"")</f>
        <v>48.5</v>
      </c>
      <c r="BW15" s="16">
        <f>IF(SUM(BH15:BI15,BK15)-BJ15&gt;0,SUM(BH15:BI15,BK15)-BJ15,"")</f>
        <v>24.199999999999996</v>
      </c>
      <c r="BX15" s="16">
        <f>IF(SUM(BA15,BE15,BI15)&gt;0,SUM(BA15,BE15,BI15),"")</f>
        <v>20</v>
      </c>
      <c r="BY15" s="16">
        <f>IF(SUM(BV15,BW15)&gt;0,SUM(BV15,BW15),"")</f>
        <v>72.699999999999989</v>
      </c>
      <c r="BZ15" s="16">
        <f>IF(SUM(BM15,BQ15)&gt;0,SUM(BM15,BQ15),"")</f>
        <v>13.2</v>
      </c>
      <c r="CA15" s="16">
        <f>IF(SUM(BL15:BM15,BO15:BQ15,BS15)-SUM(BN15,BR15)&gt;0,SUM(BL15:BM15,BO15:BQ15,BS15)-SUM(BN15,BR15),"")</f>
        <v>48.699999999999996</v>
      </c>
      <c r="CB15" s="16">
        <f>IF(SUM(BV15,CA15)&gt;0,SUM(BV15,CA15),"")</f>
        <v>97.199999999999989</v>
      </c>
      <c r="CC15" s="27">
        <v>18.2</v>
      </c>
      <c r="CD15" s="27">
        <v>6</v>
      </c>
      <c r="CE15" s="27">
        <v>0.6</v>
      </c>
      <c r="CF15" s="27">
        <v>0</v>
      </c>
      <c r="CG15" s="27">
        <v>18.8</v>
      </c>
      <c r="CH15" s="27">
        <v>7.2</v>
      </c>
      <c r="CI15" s="27">
        <v>0.6</v>
      </c>
      <c r="CJ15" s="27">
        <v>0</v>
      </c>
      <c r="CK15" s="27">
        <v>18.399999999999999</v>
      </c>
      <c r="CL15" s="27">
        <v>6.8</v>
      </c>
      <c r="CM15" s="27">
        <v>0</v>
      </c>
      <c r="CN15" s="27">
        <v>0</v>
      </c>
      <c r="CO15" s="27">
        <v>17.2</v>
      </c>
      <c r="CP15" s="27">
        <v>3.2</v>
      </c>
      <c r="CQ15" s="27">
        <v>0</v>
      </c>
      <c r="CR15" s="27">
        <v>0</v>
      </c>
      <c r="CS15" s="27">
        <v>18.7</v>
      </c>
      <c r="CT15" s="27">
        <v>6</v>
      </c>
      <c r="CU15" s="27">
        <v>0.6</v>
      </c>
      <c r="CV15" s="27">
        <v>0</v>
      </c>
      <c r="CW15" s="51"/>
      <c r="CX15" s="76">
        <f>IF(SUM(CD15,CH15)&gt;0,SUM(CD15,CH15),"")</f>
        <v>13.2</v>
      </c>
      <c r="CY15" s="76">
        <f>IF(SUM(CC15:CD15,CF15:CH15,CJ15)-CE15-CI15&gt;0,SUM(CC15:CD15,CF15:CH15,CJ15)-CE15-CI15,"")</f>
        <v>49</v>
      </c>
      <c r="CZ15" s="76">
        <f>IF(SUM(CK15:CL15,CN15)-CM15&gt;0,SUM(CK15:CL15,CN15)-CM15,"")</f>
        <v>25.2</v>
      </c>
      <c r="DA15" s="76">
        <f>IF(SUM(CD15,CH15,CL15)&gt;0,SUM(CD15,CH15,CL15),"")</f>
        <v>20</v>
      </c>
      <c r="DB15" s="76">
        <f>IF(SUM(CY15,CZ15)&gt;0,SUM(CY15,CZ15),"")</f>
        <v>74.2</v>
      </c>
      <c r="DC15" s="76">
        <f>IF(SUM(CP15,CT15)&gt;0,SUM(CP15,CT15),"")</f>
        <v>9.1999999999999993</v>
      </c>
      <c r="DD15" s="76">
        <f>IF(SUM(CO15:CP15,CR15:CT15,CV15)-SUM(CQ15,CU15)&gt;0,SUM(CO15:CP15,CR15:CT15,CV15)-SUM(CQ15,CU15),"")</f>
        <v>44.499999999999993</v>
      </c>
      <c r="DE15" s="76">
        <f>IF(SUM(CY15,DD15)&gt;0,SUM(CY15,DD15),"")</f>
        <v>93.5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18.149999999999999</v>
      </c>
      <c r="QH15" s="42">
        <f>IF($CW15="P",CD15,(CD15+BA15)/2)</f>
        <v>6.4</v>
      </c>
      <c r="QI15" s="42">
        <f>IF($CW15="P",CE15,(CE15+BB15)/2)</f>
        <v>0.7</v>
      </c>
      <c r="QJ15" s="42">
        <f>IF($CW15="P",CF15,(CF15+BC15)/2)</f>
        <v>0</v>
      </c>
      <c r="QK15" s="42">
        <f>IF($CW15="P",CG15,(CG15+BD15)/2)</f>
        <v>18.600000000000001</v>
      </c>
      <c r="QL15" s="42">
        <f>IF($CW15="P",CH15,(CH15+BE15)/2)</f>
        <v>7</v>
      </c>
      <c r="QM15" s="42">
        <f>IF($CW15="P",CI15,(CI15+BF15)/2)</f>
        <v>0.7</v>
      </c>
      <c r="QN15" s="42">
        <f>IF($CW15="P",CJ15,(CJ15+BG15)/2)</f>
        <v>0</v>
      </c>
      <c r="QO15" s="42">
        <f>IF($CW15="P",CK15,(CK15+BH15)/2)</f>
        <v>18.399999999999999</v>
      </c>
      <c r="QP15" s="42">
        <f>IF($CW15="P",CL15,(CL15+BI15)/2)</f>
        <v>6.6</v>
      </c>
      <c r="QQ15" s="42">
        <f>IF($CW15="P",CM15,(CM15+BJ15)/2)</f>
        <v>0.3</v>
      </c>
      <c r="QR15" s="42">
        <f>IF($CW15="P",CN15,(CN15+BK15)/2)</f>
        <v>0</v>
      </c>
      <c r="QS15" s="42">
        <f>IF($CW15="P",CO15,(CO15+BL15)/2)</f>
        <v>17.75</v>
      </c>
      <c r="QT15" s="42">
        <f>IF($CW15="P",CP15,(CP15+BM15)/2)</f>
        <v>5</v>
      </c>
      <c r="QU15" s="42">
        <f>IF($CW15="P",CQ15,(CQ15+BN15)/2)</f>
        <v>0.3</v>
      </c>
      <c r="QV15" s="42">
        <f>IF($CW15="P",CR15,(CR15+BO15)/2)</f>
        <v>0</v>
      </c>
      <c r="QW15" s="42">
        <f>IF($CW15="P",CS15,(CS15+BP15)/2)</f>
        <v>18.549999999999997</v>
      </c>
      <c r="QX15" s="42">
        <f>IF($CW15="P",CT15,(CT15+BQ15)/2)</f>
        <v>6.2</v>
      </c>
      <c r="QY15" s="42">
        <f>IF($CW15="P",CU15,(CU15+BR15)/2)</f>
        <v>0.6</v>
      </c>
      <c r="QZ15" s="42">
        <f>IF($CW15="P",CV15,(CV15+BS15)/2)</f>
        <v>0</v>
      </c>
      <c r="RA15" s="51" t="s">
        <v>58</v>
      </c>
      <c r="RB15" s="76">
        <f>IF(SUM(QH15,QL15)&gt;0,SUM(QH15,QL15),"")</f>
        <v>13.4</v>
      </c>
      <c r="RC15" s="76">
        <f>IF(SUM(QG15:QH15,QJ15:QL15,QN15)-QI15-QM15&gt;0,SUM(QG15:QH15,QJ15:QL15,QN15)-QI15-QM15,"")</f>
        <v>48.749999999999993</v>
      </c>
      <c r="RD15" s="76">
        <f>IF(SUM(QO15:QP15,QR15)-QQ15&gt;0,SUM(QO15:QP15,QR15)-QQ15,"")</f>
        <v>24.7</v>
      </c>
      <c r="RE15" s="76">
        <f>IF(SUM(QH15,QL15,QP15)&gt;0,SUM(QH15,QL15,QP15),"")</f>
        <v>20</v>
      </c>
      <c r="RF15" s="76">
        <f>IF(SUM(RC15,RD15)&gt;0,SUM(RC15,RD15),"")</f>
        <v>73.449999999999989</v>
      </c>
      <c r="RG15" s="76">
        <f>IF(SUM(QT15,QX15)&gt;0,SUM(QT15,QX15),"")</f>
        <v>11.2</v>
      </c>
      <c r="RH15" s="76">
        <f>IF(SUM(QS15:QT15,QV15:QX15,QZ15)-SUM(QU15,QY15)&gt;0,SUM(QS15:QT15,QV15:QX15,QZ15)-SUM(QU15,QY15),"")</f>
        <v>46.6</v>
      </c>
      <c r="RI15" s="76">
        <f>IF(SUM(RC15,RH15)&gt;0,SUM(RC15,RH15),"")</f>
        <v>95.35</v>
      </c>
    </row>
    <row r="16" spans="1:477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6" t="s">
        <v>93</v>
      </c>
      <c r="C16" s="7" t="s">
        <v>8</v>
      </c>
      <c r="D16" s="18">
        <v>2000</v>
      </c>
      <c r="E16" s="14">
        <f>SUM(J16:T16)+SUM(J16:P16)*0.0000001+SUM(J16)*0.0000000000001</f>
        <v>194.40001454000483</v>
      </c>
      <c r="F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G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H16" s="70" t="str">
        <f>IF(AND(G16="P",F16=""),"No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I16="P","Worlds Team",IF(F16="P","National Team","")))))</f>
        <v/>
      </c>
      <c r="I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J16" s="13">
        <f>IF(COUNT(AS16,BV16,CY16)&gt;0,LARGE((AS16,BV16,CY16),1),0)</f>
        <v>48.499999999999993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47.899999999999991</v>
      </c>
      <c r="M16" s="13" t="str">
        <f>IF(L16=0,"",IF(L16=CY16,$CC$1,IF(L16=BV16,$AZ$1,IF(L16=AS16,$W$1,""))))</f>
        <v>2022 Nationals</v>
      </c>
      <c r="N16" s="13">
        <f>IF(COUNT(AT16,BW16,CZ16)&gt;0,LARGE((AT16,BW16,CZ16),1),0)</f>
        <v>24.799999999999997</v>
      </c>
      <c r="O16" s="13" t="str">
        <f>IF(N16=0,"",IF(N16=CZ16,$CC$1,IF(N16=BW16,$AZ$1,IF(N16=AT16,$W$1,""))))</f>
        <v>2022 Nationals</v>
      </c>
      <c r="P16" s="13">
        <f>IF(COUNT(AT16,BW16,CZ16)&gt;1,LARGE((AT16,BW16,CZ16),2),0)</f>
        <v>24.200000000000003</v>
      </c>
      <c r="Q16" s="13" t="str">
        <f>IF(P16=0,"",IF(P16=CZ16,$CC$1,IF(P16=BW16,$AZ$1,IF(P16=AT16,$W$1,""))))</f>
        <v>2022 Elite Canada</v>
      </c>
      <c r="R16" s="13">
        <f>IF(MAX(AX16,CA16,DD16)&gt;0,MAX(AX16,CA16,DD16),0)</f>
        <v>49.000000000000007</v>
      </c>
      <c r="S16" s="13" t="str">
        <f>IF(R16=0,"",IF(R16=DD16,$CC$1,IF(R16=CA16,$AZ$1,IF(R16=AX16,$W$1,""))))</f>
        <v>2022 Nationals</v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>
        <v>18.2</v>
      </c>
      <c r="X16" s="27">
        <v>6</v>
      </c>
      <c r="Y16" s="27">
        <v>0.2</v>
      </c>
      <c r="Z16" s="27">
        <v>0</v>
      </c>
      <c r="AA16" s="27">
        <v>18.3</v>
      </c>
      <c r="AB16" s="27">
        <v>6.4</v>
      </c>
      <c r="AC16" s="27">
        <v>0.2</v>
      </c>
      <c r="AD16" s="27">
        <v>0</v>
      </c>
      <c r="AE16" s="27">
        <v>18.8</v>
      </c>
      <c r="AF16" s="27">
        <v>6.4</v>
      </c>
      <c r="AG16" s="27">
        <v>1</v>
      </c>
      <c r="AH16" s="27">
        <v>0</v>
      </c>
      <c r="AI16" s="27">
        <v>18.3</v>
      </c>
      <c r="AJ16" s="27">
        <v>5.6</v>
      </c>
      <c r="AK16" s="27">
        <v>0.6</v>
      </c>
      <c r="AL16" s="27">
        <v>0</v>
      </c>
      <c r="AM16" s="27">
        <v>17.899999999999999</v>
      </c>
      <c r="AN16" s="27">
        <v>3.7</v>
      </c>
      <c r="AO16" s="27">
        <v>2.5</v>
      </c>
      <c r="AP16" s="27">
        <v>0</v>
      </c>
      <c r="AQ16" s="51"/>
      <c r="AR16" s="76">
        <f>IF(SUM(X16,AB16)&gt;0,SUM(X16,AB16),"")</f>
        <v>12.4</v>
      </c>
      <c r="AS16" s="76">
        <f>IF(SUM(W16:X16,Z16:AB16,AD16)-Y16-AC16&gt;0,SUM(W16:X16,Z16:AB16,AD16)-Y16-AC16,"")</f>
        <v>48.499999999999993</v>
      </c>
      <c r="AT16" s="76">
        <f>IF(SUM(AE16:AF16,AH16)-AG16&gt;0,SUM(AE16:AF16,AH16)-AG16,"")</f>
        <v>24.200000000000003</v>
      </c>
      <c r="AU16" s="76">
        <f>IF(SUM(X16,AB16,AF16)&gt;0,SUM(X16,AB16,AF16),"")</f>
        <v>18.8</v>
      </c>
      <c r="AV16" s="76">
        <f>IF(SUM(AS16,AT16)&gt;0,SUM(AS16,AT16),"")</f>
        <v>72.699999999999989</v>
      </c>
      <c r="AW16" s="76">
        <f>IF(SUM(AJ16,AN16)&gt;0,SUM(AJ16,AN16),"")</f>
        <v>9.3000000000000007</v>
      </c>
      <c r="AX16" s="76">
        <f>IF(SUM(AI16:AJ16,AL16:AN16,AP16)-SUM(AK16,AO16)&gt;0,SUM(AI16:AJ16,AL16:AN16,AP16)-SUM(AK16,AO16),"")</f>
        <v>42.4</v>
      </c>
      <c r="AY16" s="76">
        <f>IF(SUM(AS16,AX16)&gt;0,SUM(AS16,AX16),"")</f>
        <v>90.899999999999991</v>
      </c>
      <c r="AZ16" s="26">
        <v>16.5</v>
      </c>
      <c r="BA16" s="26">
        <v>7.2</v>
      </c>
      <c r="BB16" s="26">
        <v>0.2</v>
      </c>
      <c r="BC16" s="26">
        <v>0</v>
      </c>
      <c r="BD16" s="26">
        <v>18.399999999999999</v>
      </c>
      <c r="BE16" s="26">
        <v>6.8</v>
      </c>
      <c r="BF16" s="26">
        <v>0.8</v>
      </c>
      <c r="BG16" s="26">
        <v>0</v>
      </c>
      <c r="BH16" s="26">
        <v>18.399999999999999</v>
      </c>
      <c r="BI16" s="26">
        <v>7.2</v>
      </c>
      <c r="BJ16" s="26">
        <v>0.8</v>
      </c>
      <c r="BK16" s="26">
        <v>0</v>
      </c>
      <c r="BL16" s="26">
        <v>18.399999999999999</v>
      </c>
      <c r="BM16" s="26">
        <v>7.2</v>
      </c>
      <c r="BN16" s="26">
        <v>0</v>
      </c>
      <c r="BO16" s="26">
        <v>0</v>
      </c>
      <c r="BP16" s="26">
        <v>16.600000000000001</v>
      </c>
      <c r="BQ16" s="26">
        <v>7.6</v>
      </c>
      <c r="BR16" s="26">
        <v>0.8</v>
      </c>
      <c r="BS16" s="26">
        <v>0</v>
      </c>
      <c r="BT16" s="52"/>
      <c r="BU16" s="16">
        <f>IF(SUM(BA16,BE16)&gt;0,SUM(BA16,BE16),"")</f>
        <v>14</v>
      </c>
      <c r="BV16" s="16">
        <f>IF(SUM(AZ16:BA16,BC16:BE16,BG16)-BB16-BF16&gt;0,SUM(AZ16:BA16,BC16:BE16,BG16)-BB16-BF16,"")</f>
        <v>47.899999999999991</v>
      </c>
      <c r="BW16" s="16">
        <f>IF(SUM(BH16:BI16,BK16)-BJ16&gt;0,SUM(BH16:BI16,BK16)-BJ16,"")</f>
        <v>24.799999999999997</v>
      </c>
      <c r="BX16" s="16">
        <f>IF(SUM(BA16,BE16,BI16)&gt;0,SUM(BA16,BE16,BI16),"")</f>
        <v>21.2</v>
      </c>
      <c r="BY16" s="16">
        <f>IF(SUM(BV16,BW16)&gt;0,SUM(BV16,BW16),"")</f>
        <v>72.699999999999989</v>
      </c>
      <c r="BZ16" s="16">
        <f>IF(SUM(BM16,BQ16)&gt;0,SUM(BM16,BQ16),"")</f>
        <v>14.8</v>
      </c>
      <c r="CA16" s="16">
        <f>IF(SUM(BL16:BM16,BO16:BQ16,BS16)-SUM(BN16,BR16)&gt;0,SUM(BL16:BM16,BO16:BQ16,BS16)-SUM(BN16,BR16),"")</f>
        <v>49.000000000000007</v>
      </c>
      <c r="CB16" s="16">
        <f>IF(SUM(BV16,CA16)&gt;0,SUM(BV16,CA16),"")</f>
        <v>96.9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>IF(SUM(CD16,CH16)&gt;0,SUM(CD16,CH16),"")</f>
        <v/>
      </c>
      <c r="CY16" s="76" t="str">
        <f>IF(SUM(CC16:CD16,CF16:CH16,CJ16)-CE16-CI16&gt;0,SUM(CC16:CD16,CF16:CH16,CJ16)-CE16-CI16,"")</f>
        <v/>
      </c>
      <c r="CZ16" s="76" t="str">
        <f>IF(SUM(CK16:CL16,CN16)-CM16&gt;0,SUM(CK16:CL16,CN16)-CM16,"")</f>
        <v/>
      </c>
      <c r="DA16" s="76" t="str">
        <f>IF(SUM(CD16,CH16,CL16)&gt;0,SUM(CD16,CH16,CL16),"")</f>
        <v/>
      </c>
      <c r="DB16" s="76" t="str">
        <f>IF(SUM(CY16,CZ16)&gt;0,SUM(CY16,CZ16),"")</f>
        <v/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 t="str">
        <f>IF(SUM(CY16,DD16)&gt;0,SUM(CY16,DD16),"")</f>
        <v/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8.25</v>
      </c>
      <c r="QH16" s="42">
        <f>IF($CW16="P",CD16,(CD16+BA16)/2)</f>
        <v>3.6</v>
      </c>
      <c r="QI16" s="42">
        <f>IF($CW16="P",CE16,(CE16+BB16)/2)</f>
        <v>0.1</v>
      </c>
      <c r="QJ16" s="42">
        <f>IF($CW16="P",CF16,(CF16+BC16)/2)</f>
        <v>0</v>
      </c>
      <c r="QK16" s="42">
        <f>IF($CW16="P",CG16,(CG16+BD16)/2)</f>
        <v>9.1999999999999993</v>
      </c>
      <c r="QL16" s="42">
        <f>IF($CW16="P",CH16,(CH16+BE16)/2)</f>
        <v>3.4</v>
      </c>
      <c r="QM16" s="42">
        <f>IF($CW16="P",CI16,(CI16+BF16)/2)</f>
        <v>0.4</v>
      </c>
      <c r="QN16" s="42">
        <f>IF($CW16="P",CJ16,(CJ16+BG16)/2)</f>
        <v>0</v>
      </c>
      <c r="QO16" s="42">
        <f>IF($CW16="P",CK16,(CK16+BH16)/2)</f>
        <v>9.1999999999999993</v>
      </c>
      <c r="QP16" s="42">
        <f>IF($CW16="P",CL16,(CL16+BI16)/2)</f>
        <v>3.6</v>
      </c>
      <c r="QQ16" s="42">
        <f>IF($CW16="P",CM16,(CM16+BJ16)/2)</f>
        <v>0.4</v>
      </c>
      <c r="QR16" s="42">
        <f>IF($CW16="P",CN16,(CN16+BK16)/2)</f>
        <v>0</v>
      </c>
      <c r="QS16" s="42">
        <f>IF($CW16="P",CO16,(CO16+BL16)/2)</f>
        <v>9.1999999999999993</v>
      </c>
      <c r="QT16" s="42">
        <f>IF($CW16="P",CP16,(CP16+BM16)/2)</f>
        <v>3.6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8.3000000000000007</v>
      </c>
      <c r="QX16" s="42">
        <f>IF($CW16="P",CT16,(CT16+BQ16)/2)</f>
        <v>3.8</v>
      </c>
      <c r="QY16" s="42">
        <f>IF($CW16="P",CU16,(CU16+BR16)/2)</f>
        <v>0.4</v>
      </c>
      <c r="QZ16" s="42">
        <f>IF($CW16="P",CV16,(CV16+BS16)/2)</f>
        <v>0</v>
      </c>
      <c r="RA16" s="51" t="s">
        <v>58</v>
      </c>
      <c r="RB16" s="76">
        <f>IF(SUM(QH16,QL16)&gt;0,SUM(QH16,QL16),"")</f>
        <v>7</v>
      </c>
      <c r="RC16" s="76">
        <f>IF(SUM(QG16:QH16,QJ16:QL16,QN16)-QI16-QM16&gt;0,SUM(QG16:QH16,QJ16:QL16,QN16)-QI16-QM16,"")</f>
        <v>23.949999999999996</v>
      </c>
      <c r="RD16" s="76">
        <f>IF(SUM(QO16:QP16,QR16)-QQ16&gt;0,SUM(QO16:QP16,QR16)-QQ16,"")</f>
        <v>12.399999999999999</v>
      </c>
      <c r="RE16" s="76">
        <f>IF(SUM(QH16,QL16,QP16)&gt;0,SUM(QH16,QL16,QP16),"")</f>
        <v>10.6</v>
      </c>
      <c r="RF16" s="76">
        <f>IF(SUM(RC16,RD16)&gt;0,SUM(RC16,RD16),"")</f>
        <v>36.349999999999994</v>
      </c>
      <c r="RG16" s="76">
        <f>IF(SUM(QT16,QX16)&gt;0,SUM(QT16,QX16),"")</f>
        <v>7.4</v>
      </c>
      <c r="RH16" s="76">
        <f>IF(SUM(QS16:QT16,QV16:QX16,QZ16)-SUM(QU16,QY16)&gt;0,SUM(QS16:QT16,QV16:QX16,QZ16)-SUM(QU16,QY16),"")</f>
        <v>24.500000000000004</v>
      </c>
      <c r="RI16" s="76">
        <f>IF(SUM(RC16,RH16)&gt;0,SUM(RC16,RH16),"")</f>
        <v>48.45</v>
      </c>
    </row>
    <row r="17" spans="1:477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6" t="s">
        <v>149</v>
      </c>
      <c r="C17" s="7" t="s">
        <v>6</v>
      </c>
      <c r="D17" s="18">
        <v>2005</v>
      </c>
      <c r="E17" s="14">
        <f>SUM(J17:T17)+SUM(J17:P17)*0.0000001+SUM(J17)*0.0000000000001</f>
        <v>193.60001204000471</v>
      </c>
      <c r="F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G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H17" s="70" t="str">
        <f>IF(AND(G17="P",F17=""),"No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I17="P","Worlds Team",IF(F17="P","National Team","")))))</f>
        <v/>
      </c>
      <c r="I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J17" s="13">
        <f>IF(COUNT(AS17,BV17,CY17)&gt;0,LARGE((AS17,BV17,CY17),1),0)</f>
        <v>47.1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26</v>
      </c>
      <c r="M17" s="13" t="str">
        <f>IF(L17=0,"",IF(L17=CY17,$CC$1,IF(L17=BV17,$AZ$1,IF(L17=AS17,$W$1,""))))</f>
        <v>2022 3rd Domestic Trial</v>
      </c>
      <c r="N17" s="13">
        <f>IF(COUNT(AT17,BW17,CZ17)&gt;0,LARGE((AT17,BW17,CZ17),1),0)</f>
        <v>24.9</v>
      </c>
      <c r="O17" s="13" t="str">
        <f>IF(N17=0,"",IF(N17=CZ17,$CC$1,IF(N17=BW17,$AZ$1,IF(N17=AT17,$W$1,""))))</f>
        <v>2022 Elite Canada</v>
      </c>
      <c r="P17" s="13">
        <f>IF(COUNT(AT17,BW17,CZ17)&gt;1,LARGE((AT17,BW17,CZ17),2),0)</f>
        <v>22.400000000000002</v>
      </c>
      <c r="Q17" s="13" t="str">
        <f>IF(P17=0,"",IF(P17=CZ17,$CC$1,IF(P17=BW17,$AZ$1,IF(P17=AT17,$W$1,""))))</f>
        <v>2022 3rd Domestic Trial</v>
      </c>
      <c r="R17" s="13">
        <f>IF(MAX(AX17,CA17,DD17)&gt;0,MAX(AX17,CA17,DD17),0)</f>
        <v>49.600000000000009</v>
      </c>
      <c r="S17" s="13" t="str">
        <f>IF(R17=0,"",IF(R17=DD17,$CC$1,IF(R17=CA17,$AZ$1,IF(R17=AX17,$W$1,""))))</f>
        <v>2022 3rd Domestic Trial</v>
      </c>
      <c r="T17" s="13">
        <f>IF(MAX(DF17:DH17)&gt;0,MAX(DF17:DH17),"")</f>
        <v>23.599999999999994</v>
      </c>
      <c r="U17" s="16" t="str">
        <f>IF(T17="","",IF(T17=DF17,"("&amp;DF$2&amp;")",IF(T17=DH17,"("&amp;DH$2&amp;")")))</f>
        <v>(Q1)</v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>2022 World Games Technical Trial #1 (Mar 12)</v>
      </c>
      <c r="W17" s="27">
        <v>18.899999999999999</v>
      </c>
      <c r="X17" s="27">
        <v>7.2</v>
      </c>
      <c r="Y17" s="27">
        <v>0</v>
      </c>
      <c r="Z17" s="27">
        <v>0</v>
      </c>
      <c r="AA17" s="27">
        <v>17.399999999999999</v>
      </c>
      <c r="AB17" s="27">
        <v>3.6</v>
      </c>
      <c r="AC17" s="27">
        <v>0</v>
      </c>
      <c r="AD17" s="27">
        <v>0</v>
      </c>
      <c r="AE17" s="27">
        <v>18.899999999999999</v>
      </c>
      <c r="AF17" s="27">
        <v>6</v>
      </c>
      <c r="AG17" s="27">
        <v>0</v>
      </c>
      <c r="AH17" s="27">
        <v>0</v>
      </c>
      <c r="AI17" s="27">
        <v>17.399999999999999</v>
      </c>
      <c r="AJ17" s="27">
        <v>2.8</v>
      </c>
      <c r="AK17" s="27">
        <v>0</v>
      </c>
      <c r="AL17" s="27">
        <v>0</v>
      </c>
      <c r="AM17" s="27">
        <v>17.399999999999999</v>
      </c>
      <c r="AN17" s="27">
        <v>2.4</v>
      </c>
      <c r="AO17" s="27">
        <v>0</v>
      </c>
      <c r="AP17" s="27">
        <v>0</v>
      </c>
      <c r="AQ17" s="51"/>
      <c r="AR17" s="76">
        <f>IF(SUM(X17,AB17)&gt;0,SUM(X17,AB17),"")</f>
        <v>10.8</v>
      </c>
      <c r="AS17" s="76">
        <f>IF(SUM(W17:X17,Z17:AB17,AD17)-Y17-AC17&gt;0,SUM(W17:X17,Z17:AB17,AD17)-Y17-AC17,"")</f>
        <v>47.1</v>
      </c>
      <c r="AT17" s="76">
        <f>IF(SUM(AE17:AF17,AH17)-AG17&gt;0,SUM(AE17:AF17,AH17)-AG17,"")</f>
        <v>24.9</v>
      </c>
      <c r="AU17" s="76">
        <f>IF(SUM(X17,AB17,AF17)&gt;0,SUM(X17,AB17,AF17),"")</f>
        <v>16.8</v>
      </c>
      <c r="AV17" s="76">
        <f>IF(SUM(AS17,AT17)&gt;0,SUM(AS17,AT17),"")</f>
        <v>72</v>
      </c>
      <c r="AW17" s="76">
        <f>IF(SUM(AJ17,AN17)&gt;0,SUM(AJ17,AN17),"")</f>
        <v>5.1999999999999993</v>
      </c>
      <c r="AX17" s="76">
        <f>IF(SUM(AI17:AJ17,AL17:AN17,AP17)-SUM(AK17,AO17)&gt;0,SUM(AI17:AJ17,AL17:AN17,AP17)-SUM(AK17,AO17),"")</f>
        <v>39.999999999999993</v>
      </c>
      <c r="AY17" s="76">
        <f>IF(SUM(AS17,AX17)&gt;0,SUM(AS17,AX17),"")</f>
        <v>87.1</v>
      </c>
      <c r="AZ17" s="26">
        <v>18.8</v>
      </c>
      <c r="BA17" s="26">
        <v>6</v>
      </c>
      <c r="BB17" s="26">
        <v>0.2</v>
      </c>
      <c r="BC17" s="26">
        <v>0</v>
      </c>
      <c r="BD17" s="26">
        <v>0</v>
      </c>
      <c r="BE17" s="26">
        <v>0</v>
      </c>
      <c r="BF17" s="26">
        <v>0</v>
      </c>
      <c r="BG17" s="26">
        <v>0</v>
      </c>
      <c r="BH17" s="26">
        <v>0</v>
      </c>
      <c r="BI17" s="26">
        <v>0</v>
      </c>
      <c r="BJ17" s="26">
        <v>0</v>
      </c>
      <c r="BK17" s="26">
        <v>0</v>
      </c>
      <c r="BL17" s="26"/>
      <c r="BM17" s="26"/>
      <c r="BN17" s="26"/>
      <c r="BO17" s="26"/>
      <c r="BP17" s="26"/>
      <c r="BQ17" s="26"/>
      <c r="BR17" s="26"/>
      <c r="BS17" s="26"/>
      <c r="BT17" s="52"/>
      <c r="BU17" s="16">
        <f>IF(SUM(BA17,BE17)&gt;0,SUM(BA17,BE17),"")</f>
        <v>6</v>
      </c>
      <c r="BV17" s="16">
        <f>IF(SUM(AZ17:BA17,BC17:BE17,BG17)-BB17-BF17&gt;0,SUM(AZ17:BA17,BC17:BE17,BG17)-BB17-BF17,"")</f>
        <v>24.6</v>
      </c>
      <c r="BW17" s="16" t="str">
        <f>IF(SUM(BH17:BI17,BK17)-BJ17&gt;0,SUM(BH17:BI17,BK17)-BJ17,"")</f>
        <v/>
      </c>
      <c r="BX17" s="16">
        <f>IF(SUM(BA17,BE17,BI17)&gt;0,SUM(BA17,BE17,BI17),"")</f>
        <v>6</v>
      </c>
      <c r="BY17" s="16">
        <f>IF(SUM(BV17,BW17)&gt;0,SUM(BV17,BW17),"")</f>
        <v>24.6</v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>
        <f>IF(SUM(BV17,CA17)&gt;0,SUM(BV17,CA17),"")</f>
        <v>24.6</v>
      </c>
      <c r="CC17" s="27">
        <v>19</v>
      </c>
      <c r="CD17" s="27">
        <v>7.2</v>
      </c>
      <c r="CE17" s="27">
        <v>0.2</v>
      </c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>
        <v>16.600000000000001</v>
      </c>
      <c r="CL17" s="27">
        <v>6.8</v>
      </c>
      <c r="CM17" s="27">
        <v>1</v>
      </c>
      <c r="CN17" s="27">
        <v>0</v>
      </c>
      <c r="CO17" s="27">
        <v>18.600000000000001</v>
      </c>
      <c r="CP17" s="27">
        <v>7.2</v>
      </c>
      <c r="CQ17" s="27">
        <v>0.2</v>
      </c>
      <c r="CR17" s="27">
        <v>0</v>
      </c>
      <c r="CS17" s="27">
        <v>18.600000000000001</v>
      </c>
      <c r="CT17" s="27">
        <v>6</v>
      </c>
      <c r="CU17" s="27">
        <v>0.6</v>
      </c>
      <c r="CV17" s="27">
        <v>0</v>
      </c>
      <c r="CW17" s="51"/>
      <c r="CX17" s="76">
        <f>IF(SUM(CD17,CH17)&gt;0,SUM(CD17,CH17),"")</f>
        <v>7.2</v>
      </c>
      <c r="CY17" s="76">
        <f>IF(SUM(CC17:CD17,CF17:CH17,CJ17)-CE17-CI17&gt;0,SUM(CC17:CD17,CF17:CH17,CJ17)-CE17-CI17,"")</f>
        <v>26</v>
      </c>
      <c r="CZ17" s="76">
        <f>IF(SUM(CK17:CL17,CN17)-CM17&gt;0,SUM(CK17:CL17,CN17)-CM17,"")</f>
        <v>22.400000000000002</v>
      </c>
      <c r="DA17" s="76">
        <f>IF(SUM(CD17,CH17,CL17)&gt;0,SUM(CD17,CH17,CL17),"")</f>
        <v>14</v>
      </c>
      <c r="DB17" s="76">
        <f>IF(SUM(CY17,CZ17)&gt;0,SUM(CY17,CZ17),"")</f>
        <v>48.400000000000006</v>
      </c>
      <c r="DC17" s="76">
        <f>IF(SUM(CP17,CT17)&gt;0,SUM(CP17,CT17),"")</f>
        <v>13.2</v>
      </c>
      <c r="DD17" s="76">
        <f>IF(SUM(CO17:CP17,CR17:CT17,CV17)-SUM(CQ17,CU17)&gt;0,SUM(CO17:CP17,CR17:CT17,CV17)-SUM(CQ17,CU17),"")</f>
        <v>49.600000000000009</v>
      </c>
      <c r="DE17" s="76">
        <f>IF(SUM(CY17,DD17)&gt;0,SUM(CY17,DD17),"")</f>
        <v>75.600000000000009</v>
      </c>
      <c r="DF17" s="87">
        <f>IF(L17&gt;=0.001,IF(MAX(ED17,FF17,GH17,HJ17,IL17,JN17,KP17,LR17,MT17,NV17,OX17,PZ17)-IF(L17="",0,L17)&gt;0.001,MAX(ED17,FF17,GH17,HJ17,IL17,JN17,KP17,LR17,MT17,NV17,OX17,PZ17)-IF(L17="",0,L17),""),"")</f>
        <v>23.599999999999994</v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 t="str">
        <f>IF(R17&gt;=0.001,IF(MAX(EI17,FK17,GM17,HO17,IQ17,JS17,KU17,LW17,MY17,OA17,PC17,QE17)-IF(R17="",0,R17)&gt;0.001,MAX(EI17,FK17,GM17,HO17,IQ17,JS17,KU17,LW17,MY17,OA17,PC17,QE17)-IF(R17="",0,R17),""),"")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>
        <v>18.600000000000001</v>
      </c>
      <c r="EL17" s="26">
        <v>7.2</v>
      </c>
      <c r="EM17" s="26">
        <v>0.6</v>
      </c>
      <c r="EN17" s="26">
        <v>0</v>
      </c>
      <c r="EO17" s="26">
        <v>17.8</v>
      </c>
      <c r="EP17" s="26">
        <v>6.8</v>
      </c>
      <c r="EQ17" s="26">
        <v>0.2</v>
      </c>
      <c r="ER17" s="26">
        <v>0</v>
      </c>
      <c r="ES17" s="26"/>
      <c r="ET17" s="26"/>
      <c r="EU17" s="26"/>
      <c r="EV17" s="26"/>
      <c r="EW17" s="26">
        <v>18.600000000000001</v>
      </c>
      <c r="EX17" s="26">
        <v>7.2</v>
      </c>
      <c r="EY17" s="26">
        <v>0.2</v>
      </c>
      <c r="EZ17" s="26">
        <v>0</v>
      </c>
      <c r="FA17" s="26">
        <v>0</v>
      </c>
      <c r="FB17" s="26">
        <v>0</v>
      </c>
      <c r="FC17" s="26">
        <v>0</v>
      </c>
      <c r="FD17" s="26">
        <v>0</v>
      </c>
      <c r="FE17" s="16">
        <f>IF(SUM(EL17,EP17)&gt;0,SUM(EL17,EP17),"")</f>
        <v>14</v>
      </c>
      <c r="FF17" s="16">
        <f>IF(SUM(EK17:EL17,EN17:EP17,ER17)-EM17-EQ17&gt;0,SUM(EK17:EL17,EN17:EP17,ER17)-EM17-EQ17,"")</f>
        <v>49.599999999999994</v>
      </c>
      <c r="FG17" s="16" t="str">
        <f>IF(SUM(ES17:ET17,EV17)-EU17&gt;0,SUM(ES17:ET17,EV17)-EU17,"")</f>
        <v/>
      </c>
      <c r="FH17" s="16">
        <f>IF(SUM(EL17,EP17,ET17)&gt;0,SUM(EL17,EP17,ET17),"")</f>
        <v>14</v>
      </c>
      <c r="FI17" s="16">
        <f>IF(SUM(FF17,FG17)&gt;0,SUM(FF17,FG17),"")</f>
        <v>49.599999999999994</v>
      </c>
      <c r="FJ17" s="16">
        <f>IF(SUM(EX17,FB17)&gt;0,SUM(EX17,FB17),"")</f>
        <v>7.2</v>
      </c>
      <c r="FK17" s="16">
        <f>IF(SUM(EW17:EX17,EZ17:FB17,FD17)-SUM(EY17,FC17)&gt;0,SUM(EW17:EX17,EZ17:FB17,FD17)-SUM(EY17,FC17),"")</f>
        <v>25.6</v>
      </c>
      <c r="FL17" s="16">
        <f>IF(SUM(FF17,FK17)&gt;0,SUM(FF17,FK17),"")</f>
        <v>75.199999999999989</v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18.899999999999999</v>
      </c>
      <c r="QH17" s="42">
        <f>IF($CW17="P",CD17,(CD17+BA17)/2)</f>
        <v>6.6</v>
      </c>
      <c r="QI17" s="42">
        <f>IF($CW17="P",CE17,(CE17+BB17)/2)</f>
        <v>0.2</v>
      </c>
      <c r="QJ17" s="42">
        <f>IF($CW17="P",CF17,(CF17+BC17)/2)</f>
        <v>0</v>
      </c>
      <c r="QK17" s="42">
        <f>IF($CW17="P",CG17,(CG17+BD17)/2)</f>
        <v>0</v>
      </c>
      <c r="QL17" s="42">
        <f>IF($CW17="P",CH17,(CH17+BE17)/2)</f>
        <v>0</v>
      </c>
      <c r="QM17" s="42">
        <f>IF($CW17="P",CI17,(CI17+BF17)/2)</f>
        <v>0</v>
      </c>
      <c r="QN17" s="42">
        <f>IF($CW17="P",CJ17,(CJ17+BG17)/2)</f>
        <v>0</v>
      </c>
      <c r="QO17" s="42">
        <f>IF($CW17="P",CK17,(CK17+BH17)/2)</f>
        <v>8.3000000000000007</v>
      </c>
      <c r="QP17" s="42">
        <f>IF($CW17="P",CL17,(CL17+BI17)/2)</f>
        <v>3.4</v>
      </c>
      <c r="QQ17" s="42">
        <f>IF($CW17="P",CM17,(CM17+BJ17)/2)</f>
        <v>0.5</v>
      </c>
      <c r="QR17" s="42">
        <f>IF($CW17="P",CN17,(CN17+BK17)/2)</f>
        <v>0</v>
      </c>
      <c r="QS17" s="42">
        <f>IF($CW17="P",CO17,(CO17+BL17)/2)</f>
        <v>9.3000000000000007</v>
      </c>
      <c r="QT17" s="42">
        <f>IF($CW17="P",CP17,(CP17+BM17)/2)</f>
        <v>3.6</v>
      </c>
      <c r="QU17" s="42">
        <f>IF($CW17="P",CQ17,(CQ17+BN17)/2)</f>
        <v>0.1</v>
      </c>
      <c r="QV17" s="42">
        <f>IF($CW17="P",CR17,(CR17+BO17)/2)</f>
        <v>0</v>
      </c>
      <c r="QW17" s="42">
        <f>IF($CW17="P",CS17,(CS17+BP17)/2)</f>
        <v>9.3000000000000007</v>
      </c>
      <c r="QX17" s="42">
        <f>IF($CW17="P",CT17,(CT17+BQ17)/2)</f>
        <v>3</v>
      </c>
      <c r="QY17" s="42">
        <f>IF($CW17="P",CU17,(CU17+BR17)/2)</f>
        <v>0.3</v>
      </c>
      <c r="QZ17" s="42">
        <f>IF($CW17="P",CV17,(CV17+BS17)/2)</f>
        <v>0</v>
      </c>
      <c r="RA17" s="51" t="s">
        <v>58</v>
      </c>
      <c r="RB17" s="76">
        <f>IF(SUM(QH17,QL17)&gt;0,SUM(QH17,QL17),"")</f>
        <v>6.6</v>
      </c>
      <c r="RC17" s="76">
        <f>IF(SUM(QG17:QH17,QJ17:QL17,QN17)-QI17-QM17&gt;0,SUM(QG17:QH17,QJ17:QL17,QN17)-QI17-QM17,"")</f>
        <v>25.3</v>
      </c>
      <c r="RD17" s="76">
        <f>IF(SUM(QO17:QP17,QR17)-QQ17&gt;0,SUM(QO17:QP17,QR17)-QQ17,"")</f>
        <v>11.200000000000001</v>
      </c>
      <c r="RE17" s="76">
        <f>IF(SUM(QH17,QL17,QP17)&gt;0,SUM(QH17,QL17,QP17),"")</f>
        <v>10</v>
      </c>
      <c r="RF17" s="76">
        <f>IF(SUM(RC17,RD17)&gt;0,SUM(RC17,RD17),"")</f>
        <v>36.5</v>
      </c>
      <c r="RG17" s="76">
        <f>IF(SUM(QT17,QX17)&gt;0,SUM(QT17,QX17),"")</f>
        <v>6.6</v>
      </c>
      <c r="RH17" s="76">
        <f>IF(SUM(QS17:QT17,QV17:QX17,QZ17)-SUM(QU17,QY17)&gt;0,SUM(QS17:QT17,QV17:QX17,QZ17)-SUM(QU17,QY17),"")</f>
        <v>24.800000000000004</v>
      </c>
      <c r="RI17" s="76">
        <f>IF(SUM(RC17,RH17)&gt;0,SUM(RC17,RH17),"")</f>
        <v>50.100000000000009</v>
      </c>
    </row>
    <row r="18" spans="1:477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6" t="s">
        <v>205</v>
      </c>
      <c r="C18" s="7" t="s">
        <v>204</v>
      </c>
      <c r="D18" s="18">
        <v>2002</v>
      </c>
      <c r="E18" s="14">
        <f>SUM(J18:T18)+SUM(J18:P18)*0.0000001+SUM(J18)*0.0000000000001</f>
        <v>192.70001424000503</v>
      </c>
      <c r="F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G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H18" s="70" t="str">
        <f>IF(AND(G18="P",F18=""),"No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I18="P","Worlds Team",IF(F18="P","National Team","")))))</f>
        <v/>
      </c>
      <c r="I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J18" s="13">
        <f>IF(COUNT(AS18,BV18,CY18)&gt;0,LARGE((AS18,BV18,CY18),1),0)</f>
        <v>50.2</v>
      </c>
      <c r="K18" s="13" t="str">
        <f>IF(J18=0,"",IF(J18=CY18,$CC$1,IF(J18=BV18,$AZ$1,IF(J18=AS18,$W$1,""))))</f>
        <v>2022 Nationals</v>
      </c>
      <c r="L18" s="13">
        <f>IF(COUNT(AS18,BV18,CY18)&gt;1,LARGE((AS18,BV18,CY18),2),0)</f>
        <v>49.4</v>
      </c>
      <c r="M18" s="13" t="str">
        <f>IF(L18=0,"",IF(L18=CY18,$CC$1,IF(L18=BV18,$AZ$1,IF(L18=AS18,$W$1,""))))</f>
        <v>2022 Elite Canada</v>
      </c>
      <c r="N18" s="13">
        <f>IF(COUNT(AT18,BW18,CZ18)&gt;0,LARGE((AT18,BW18,CZ18),1),0)</f>
        <v>22.4</v>
      </c>
      <c r="O18" s="13" t="str">
        <f>IF(N18=0,"",IF(N18=CZ18,$CC$1,IF(N18=BW18,$AZ$1,IF(N18=AT18,$W$1,""))))</f>
        <v>2022 Elite Canada</v>
      </c>
      <c r="P18" s="13">
        <f>IF(COUNT(AT18,BW18,CZ18)&gt;1,LARGE((AT18,BW18,CZ18),2),0)</f>
        <v>20.399999999999999</v>
      </c>
      <c r="Q18" s="13" t="str">
        <f>IF(P18=0,"",IF(P18=CZ18,$CC$1,IF(P18=BW18,$AZ$1,IF(P18=AT18,$W$1,""))))</f>
        <v>2022 Nationals</v>
      </c>
      <c r="R18" s="13">
        <f>IF(MAX(AX18,CA18,DD18)&gt;0,MAX(AX18,CA18,DD18),0)</f>
        <v>50.3</v>
      </c>
      <c r="S18" s="13" t="str">
        <f>IF(R18=0,"",IF(R18=DD18,$CC$1,IF(R18=CA18,$AZ$1,IF(R18=AX18,$W$1,""))))</f>
        <v>2022 Elite Canada</v>
      </c>
      <c r="T18" s="13" t="str">
        <f>IF(MAX(DF18:DH18)&gt;0,MAX(DF18:DH18),"")</f>
        <v/>
      </c>
      <c r="U18" s="16" t="str">
        <f>IF(T18="","",IF(T18=DF18,"("&amp;DF$2&amp;")",IF(T18=DH18,"("&amp;DH$2&amp;")")))</f>
        <v/>
      </c>
      <c r="V18" s="13" t="str">
        <f>IF(T18="","",IF(T18=DF18,IF(T18+IF(L18="",0,L18)=PZ18,$PE$1,IF(T18+IF(L18="",0,L18)=OX18,$OC$1,IF(T18+IF(L18="",0,L18)=NV18,$NA$1,IF(T18+IF(L18="",0,L18)=MT18,$LY$1,IF(T18+IF(L18="",0,L18)=LR18,$KW$1,IF(T18+IF(L18="",0,L18)=KP18,$JU$1,IF(T18+IF(L18="",0,L18)=JN18,$IS$1,IF(T18+IF(L18="",0,L18)=IL18,$HQ$1,IF(T18+IF(L18="",0,L18)=HJ18,$GO$1,IF(T18+IF(L18="",0,L18)=GH18,$FM$1,IF(T18+IF(L18="",0,L18)=FF18,$EK$1,IF(T18+IF(L18="",0,L18)=ED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</f>
        <v/>
      </c>
      <c r="W18" s="27">
        <v>19.2</v>
      </c>
      <c r="X18" s="27">
        <v>6</v>
      </c>
      <c r="Y18" s="27">
        <v>0.6</v>
      </c>
      <c r="Z18" s="27">
        <v>0</v>
      </c>
      <c r="AA18" s="27">
        <v>19</v>
      </c>
      <c r="AB18" s="27">
        <v>6.4</v>
      </c>
      <c r="AC18" s="27">
        <v>0.6</v>
      </c>
      <c r="AD18" s="27">
        <v>0</v>
      </c>
      <c r="AE18" s="27">
        <v>18.2</v>
      </c>
      <c r="AF18" s="27">
        <v>5.2</v>
      </c>
      <c r="AG18" s="27">
        <v>1</v>
      </c>
      <c r="AH18" s="27">
        <v>0</v>
      </c>
      <c r="AI18" s="27">
        <v>19.2</v>
      </c>
      <c r="AJ18" s="27">
        <v>6</v>
      </c>
      <c r="AK18" s="27">
        <v>0</v>
      </c>
      <c r="AL18" s="27">
        <v>0</v>
      </c>
      <c r="AM18" s="27">
        <v>18.7</v>
      </c>
      <c r="AN18" s="27">
        <v>6.4</v>
      </c>
      <c r="AO18" s="27">
        <v>0</v>
      </c>
      <c r="AP18" s="27">
        <v>0</v>
      </c>
      <c r="AQ18" s="51"/>
      <c r="AR18" s="76">
        <f>IF(SUM(X18,AB18)&gt;0,SUM(X18,AB18),"")</f>
        <v>12.4</v>
      </c>
      <c r="AS18" s="76">
        <f>IF(SUM(W18:X18,Z18:AB18,AD18)-Y18-AC18&gt;0,SUM(W18:X18,Z18:AB18,AD18)-Y18-AC18,"")</f>
        <v>49.4</v>
      </c>
      <c r="AT18" s="76">
        <f>IF(SUM(AE18:AF18,AH18)-AG18&gt;0,SUM(AE18:AF18,AH18)-AG18,"")</f>
        <v>22.4</v>
      </c>
      <c r="AU18" s="76">
        <f>IF(SUM(X18,AB18,AF18)&gt;0,SUM(X18,AB18,AF18),"")</f>
        <v>17.600000000000001</v>
      </c>
      <c r="AV18" s="76">
        <f>IF(SUM(AS18,AT18)&gt;0,SUM(AS18,AT18),"")</f>
        <v>71.8</v>
      </c>
      <c r="AW18" s="76">
        <f>IF(SUM(AJ18,AN18)&gt;0,SUM(AJ18,AN18),"")</f>
        <v>12.4</v>
      </c>
      <c r="AX18" s="76">
        <f>IF(SUM(AI18:AJ18,AL18:AN18,AP18)-SUM(AK18,AO18)&gt;0,SUM(AI18:AJ18,AL18:AN18,AP18)-SUM(AK18,AO18),"")</f>
        <v>50.3</v>
      </c>
      <c r="AY18" s="76">
        <f>IF(SUM(AS18,AX18)&gt;0,SUM(AS18,AX18),"")</f>
        <v>99.699999999999989</v>
      </c>
      <c r="AZ18" s="26">
        <v>18.5</v>
      </c>
      <c r="BA18" s="26">
        <v>7.2</v>
      </c>
      <c r="BB18" s="26">
        <v>0</v>
      </c>
      <c r="BC18" s="26">
        <v>0</v>
      </c>
      <c r="BD18" s="26">
        <v>18.5</v>
      </c>
      <c r="BE18" s="26">
        <v>6.8</v>
      </c>
      <c r="BF18" s="26">
        <v>0.8</v>
      </c>
      <c r="BG18" s="26">
        <v>0</v>
      </c>
      <c r="BH18" s="26">
        <v>17.2</v>
      </c>
      <c r="BI18" s="26">
        <v>3.2</v>
      </c>
      <c r="BJ18" s="26">
        <v>0</v>
      </c>
      <c r="BK18" s="26">
        <v>0</v>
      </c>
      <c r="BL18" s="26"/>
      <c r="BM18" s="26"/>
      <c r="BN18" s="26"/>
      <c r="BO18" s="26"/>
      <c r="BP18" s="26"/>
      <c r="BQ18" s="26"/>
      <c r="BR18" s="26"/>
      <c r="BS18" s="26"/>
      <c r="BT18" s="52"/>
      <c r="BU18" s="16">
        <f>IF(SUM(BA18,BE18)&gt;0,SUM(BA18,BE18),"")</f>
        <v>14</v>
      </c>
      <c r="BV18" s="16">
        <f>IF(SUM(AZ18:BA18,BC18:BE18,BG18)-BB18-BF18&gt;0,SUM(AZ18:BA18,BC18:BE18,BG18)-BB18-BF18,"")</f>
        <v>50.2</v>
      </c>
      <c r="BW18" s="16">
        <f>IF(SUM(BH18:BI18,BK18)-BJ18&gt;0,SUM(BH18:BI18,BK18)-BJ18,"")</f>
        <v>20.399999999999999</v>
      </c>
      <c r="BX18" s="16">
        <f>IF(SUM(BA18,BE18,BI18)&gt;0,SUM(BA18,BE18,BI18),"")</f>
        <v>17.2</v>
      </c>
      <c r="BY18" s="16">
        <f>IF(SUM(BV18,BW18)&gt;0,SUM(BV18,BW18),"")</f>
        <v>70.599999999999994</v>
      </c>
      <c r="BZ18" s="16" t="str">
        <f>IF(SUM(BM18,BQ18)&gt;0,SUM(BM18,BQ18),"")</f>
        <v/>
      </c>
      <c r="CA18" s="16" t="str">
        <f>IF(SUM(BL18:BM18,BO18:BQ18,BS18)-SUM(BN18,BR18)&gt;0,SUM(BL18:BM18,BO18:BQ18,BS18)-SUM(BN18,BR18),"")</f>
        <v/>
      </c>
      <c r="CB18" s="16">
        <f>IF(SUM(BV18,CA18)&gt;0,SUM(BV18,CA18),"")</f>
        <v>50.2</v>
      </c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51"/>
      <c r="CX18" s="76" t="str">
        <f>IF(SUM(CD18,CH18)&gt;0,SUM(CD18,CH18),"")</f>
        <v/>
      </c>
      <c r="CY18" s="76" t="str">
        <f>IF(SUM(CC18:CD18,CF18:CH18,CJ18)-CE18-CI18&gt;0,SUM(CC18:CD18,CF18:CH18,CJ18)-CE18-CI18,"")</f>
        <v/>
      </c>
      <c r="CZ18" s="76" t="str">
        <f>IF(SUM(CK18:CL18,CN18)-CM18&gt;0,SUM(CK18:CL18,CN18)-CM18,"")</f>
        <v/>
      </c>
      <c r="DA18" s="76" t="str">
        <f>IF(SUM(CD18,CH18,CL18)&gt;0,SUM(CD18,CH18,CL18),"")</f>
        <v/>
      </c>
      <c r="DB18" s="76" t="str">
        <f>IF(SUM(CY18,CZ18)&gt;0,SUM(CY18,CZ18),"")</f>
        <v/>
      </c>
      <c r="DC18" s="76" t="str">
        <f>IF(SUM(CP18,CT18)&gt;0,SUM(CP18,CT18),"")</f>
        <v/>
      </c>
      <c r="DD18" s="76" t="str">
        <f>IF(SUM(CO18:CP18,CR18:CT18,CV18)-SUM(CQ18,CU18)&gt;0,SUM(CO18:CP18,CR18:CT18,CV18)-SUM(CQ18,CU18),"")</f>
        <v/>
      </c>
      <c r="DE18" s="76" t="str">
        <f>IF(SUM(CY18,DD18)&gt;0,SUM(CY18,DD18),"")</f>
        <v/>
      </c>
      <c r="DF18" s="87" t="str">
        <f>IF(L18&gt;=0.001,IF(MAX(ED18,FF18,GH18,HJ18,IL18,JN18,KP18,LR18,MT18,NV18,OX18,PZ18)-IF(L18="",0,L18)&gt;0.001,MAX(ED18,FF18,GH18,HJ18,IL18,JN18,KP18,LR18,MT18,NV18,OX18,PZ18)-IF(L18="",0,L18),""),"")</f>
        <v/>
      </c>
      <c r="DG18" s="87" t="str">
        <f>IF(P18&gt;=0.001,IF(MAX(EE18,FG18,GI18,HK18,IM18,JO18,KQ18,LS18,MU18,NW18,OY18,QA18)-IF(P18="",0,P18)&gt;0.001,MAX(EE18,FG18,GI18,HK18,IM18,JO18,KQ18,LS18,MU18,NW18,OY18,QA18)-IF(P18="",0,P18),""),"")</f>
        <v/>
      </c>
      <c r="DH18" s="87" t="str">
        <f>IF(R18&gt;=0.001,IF(MAX(EI18,FK18,GM18,HO18,IQ18,JS18,KU18,LW18,MY18,OA18,PC18,QE18)-IF(R18="",0,R18)&gt;0.001,MAX(EI18,FK18,GM18,HO18,IQ18,JS18,KU18,LW18,MY18,OA18,PC18,QE18)-IF(R18="",0,R18),""),"")</f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>IF(SUM(DJ18,DN18)&gt;0,SUM(DJ18,DN18),"")</f>
        <v/>
      </c>
      <c r="ED18" s="76" t="str">
        <f>IF(SUM(DI18:DJ18,DL18:DN18,DP18)-DK18-DO18&gt;0,SUM(DI18:DJ18,DL18:DN18,DP18)-DK18-DO18,"")</f>
        <v/>
      </c>
      <c r="EE18" s="76" t="str">
        <f>IF(SUM(DQ18:DR18,DT18)-DS18&gt;0,SUM(DQ18:DR18,DT18)-DS18,"")</f>
        <v/>
      </c>
      <c r="EF18" s="76" t="str">
        <f>IF(SUM(DJ18,DN18,DR18)&gt;0,SUM(DJ18,DN18,DR18),"")</f>
        <v/>
      </c>
      <c r="EG18" s="76" t="str">
        <f>IF(SUM(ED18,EE18)&gt;0,SUM(ED18,EE18),"")</f>
        <v/>
      </c>
      <c r="EH18" s="76" t="str">
        <f>IF(SUM(DV18,DZ18)&gt;0,SUM(DV18,DZ18),"")</f>
        <v/>
      </c>
      <c r="EI18" s="76" t="str">
        <f>IF(SUM(DU18:DV18,DX18:DZ18,EB18)-SUM(DW18,EA18)&gt;0,SUM(DU18:DV18,DX18:DZ18,EB18)-SUM(DW18,EA18),"")</f>
        <v/>
      </c>
      <c r="EJ18" s="76" t="str">
        <f>IF(SUM(ED18,EI18)&gt;0,SUM(ED18,EI18),"")</f>
        <v/>
      </c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16" t="str">
        <f>IF(SUM(EL18,EP18)&gt;0,SUM(EL18,EP18),"")</f>
        <v/>
      </c>
      <c r="FF18" s="16" t="str">
        <f>IF(SUM(EK18:EL18,EN18:EP18,ER18)-EM18-EQ18&gt;0,SUM(EK18:EL18,EN18:EP18,ER18)-EM18-EQ18,"")</f>
        <v/>
      </c>
      <c r="FG18" s="16" t="str">
        <f>IF(SUM(ES18:ET18,EV18)-EU18&gt;0,SUM(ES18:ET18,EV18)-EU18,"")</f>
        <v/>
      </c>
      <c r="FH18" s="16" t="str">
        <f>IF(SUM(EL18,EP18,ET18)&gt;0,SUM(EL18,EP18,ET18),"")</f>
        <v/>
      </c>
      <c r="FI18" s="16" t="str">
        <f>IF(SUM(FF18,FG18)&gt;0,SUM(FF18,FG18),"")</f>
        <v/>
      </c>
      <c r="FJ18" s="16" t="str">
        <f>IF(SUM(EX18,FB18)&gt;0,SUM(EX18,FB18),"")</f>
        <v/>
      </c>
      <c r="FK18" s="16" t="str">
        <f>IF(SUM(EW18:EX18,EZ18:FB18,FD18)-SUM(EY18,FC18)&gt;0,SUM(EW18:EX18,EZ18:FB18,FD18)-SUM(EY18,FC18),"")</f>
        <v/>
      </c>
      <c r="FL18" s="16" t="str">
        <f>IF(SUM(FF18,FK18)&gt;0,SUM(FF18,FK18),"")</f>
        <v/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>IF(SUM(FN18,FR18)&gt;0,SUM(FN18,FR18),"")</f>
        <v/>
      </c>
      <c r="GH18" s="76" t="str">
        <f>IF(SUM(FM18:FN18,FP18:FR18,FT18)-FO18-FS18&gt;0,SUM(FM18:FN18,FP18:FR18,FT18)-FO18-FS18,"")</f>
        <v/>
      </c>
      <c r="GI18" s="76" t="str">
        <f>IF(SUM(FU18:FV18,FX18)-FW18&gt;0,SUM(FU18:FV18,FX18)-FW18,"")</f>
        <v/>
      </c>
      <c r="GJ18" s="76" t="str">
        <f>IF(SUM(FN18,FR18,FV18)&gt;0,SUM(FN18,FR18,FV18),"")</f>
        <v/>
      </c>
      <c r="GK18" s="76" t="str">
        <f>IF(SUM(GH18,GI18)&gt;0,SUM(GH18,GI18),"")</f>
        <v/>
      </c>
      <c r="GL18" s="76" t="str">
        <f>IF(SUM(FZ18,GD18)&gt;0,SUM(FZ18,GD18),"")</f>
        <v/>
      </c>
      <c r="GM18" s="76" t="str">
        <f>IF(SUM(FY18:FZ18,GB18:GD18,GF18)-SUM(GA18,GE18)&gt;0,SUM(FY18:FZ18,GB18:GD18,GF18)-SUM(GA18,GE18),"")</f>
        <v/>
      </c>
      <c r="GN18" s="76" t="str">
        <f>IF(SUM(GH18,GM18)&gt;0,SUM(GH18,GM18),"")</f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>IF(SUM(GP18,GT18)&gt;0,SUM(GP18,GT18),"")</f>
        <v/>
      </c>
      <c r="HJ18" s="16" t="str">
        <f>IF(SUM(GO18:GP18,GR18:GT18,GV18)-GQ18-GU18&gt;0,SUM(GO18:GP18,GR18:GT18,GV18)-GQ18-GU18,"")</f>
        <v/>
      </c>
      <c r="HK18" s="16" t="str">
        <f>IF(SUM(GW18:GX18,GZ18)-GY18&gt;0,SUM(GW18:GX18,GZ18)-GY18,"")</f>
        <v/>
      </c>
      <c r="HL18" s="16" t="str">
        <f>IF(SUM(GP18,GT18,GX18)&gt;0,SUM(GP18,GT18,GX18),"")</f>
        <v/>
      </c>
      <c r="HM18" s="16" t="str">
        <f>IF(SUM(HJ18,HK18)&gt;0,SUM(HJ18,HK18),"")</f>
        <v/>
      </c>
      <c r="HN18" s="16" t="str">
        <f>IF(SUM(HB18,HF18)&gt;0,SUM(HB18,HF18),"")</f>
        <v/>
      </c>
      <c r="HO18" s="16" t="str">
        <f>IF(SUM(HA18:HB18,HD18:HF18,HH18)-SUM(HC18,HG18)&gt;0,SUM(HA18:HB18,HD18:HF18,HH18)-SUM(HC18,HG18),"")</f>
        <v/>
      </c>
      <c r="HP18" s="16" t="str">
        <f>IF(SUM(HJ18,HO18)&gt;0,SUM(HJ18,HO18),"")</f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>IF(SUM(HR18,HV18)&gt;0,SUM(HR18,HV18),"")</f>
        <v/>
      </c>
      <c r="IL18" s="76" t="str">
        <f>IF(SUM(HQ18:HR18,HT18:HV18,HX18)-HS18-HW18&gt;0,SUM(HQ18:HR18,HT18:HV18,HX18)-HS18-HW18,"")</f>
        <v/>
      </c>
      <c r="IM18" s="76" t="str">
        <f>IF(SUM(HY18:HZ18,IB18)-IA18&gt;0,SUM(HY18:HZ18,IB18)-IA18,"")</f>
        <v/>
      </c>
      <c r="IN18" s="76" t="str">
        <f>IF(SUM(HR18,HV18,HZ18)&gt;0,SUM(HR18,HV18,HZ18),"")</f>
        <v/>
      </c>
      <c r="IO18" s="76" t="str">
        <f>IF(SUM(IL18,IM18)&gt;0,SUM(IL18,IM18),"")</f>
        <v/>
      </c>
      <c r="IP18" s="76" t="str">
        <f>IF(SUM(ID18,IH18)&gt;0,SUM(ID18,IH18),"")</f>
        <v/>
      </c>
      <c r="IQ18" s="76" t="str">
        <f>IF(SUM(IC18:ID18,IF18:IH18,IJ18)-SUM(IE18,II18)&gt;0,SUM(IC18:ID18,IF18:IH18,IJ18)-SUM(IE18,II18),"")</f>
        <v/>
      </c>
      <c r="IR18" s="76" t="str">
        <f>IF(SUM(IL18,IQ18)&gt;0,SUM(IL18,IQ18),"")</f>
        <v/>
      </c>
      <c r="IS18" s="26">
        <v>18.600000000000001</v>
      </c>
      <c r="IT18" s="26">
        <v>6</v>
      </c>
      <c r="IU18" s="26">
        <v>0.6</v>
      </c>
      <c r="IV18" s="26">
        <v>0</v>
      </c>
      <c r="IW18" s="26">
        <v>18.600000000000001</v>
      </c>
      <c r="IX18" s="26">
        <v>7.2</v>
      </c>
      <c r="IY18" s="26">
        <v>0.6</v>
      </c>
      <c r="IZ18" s="26">
        <v>0</v>
      </c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>
        <f>IF(SUM(IT18,IX18)&gt;0,SUM(IT18,IX18),"")</f>
        <v>13.2</v>
      </c>
      <c r="JN18" s="16">
        <f>IF(SUM(IS18:IT18,IV18:IX18,IZ18)-IU18-IY18&gt;0,SUM(IS18:IT18,IV18:IX18,IZ18)-IU18-IY18,"")</f>
        <v>49.2</v>
      </c>
      <c r="JO18" s="16" t="str">
        <f>IF(SUM(JA18:JB18,JD18)-JC18&gt;0,SUM(JA18:JB18,JD18)-JC18,"")</f>
        <v/>
      </c>
      <c r="JP18" s="16">
        <f>IF(SUM(IT18,IX18,JB18)&gt;0,SUM(IT18,IX18,JB18),"")</f>
        <v>13.2</v>
      </c>
      <c r="JQ18" s="16">
        <f>IF(SUM(JN18,JO18)&gt;0,SUM(JN18,JO18),"")</f>
        <v>49.2</v>
      </c>
      <c r="JR18" s="16" t="str">
        <f>IF(SUM(JF18,JJ18)&gt;0,SUM(JF18,JJ18),"")</f>
        <v/>
      </c>
      <c r="JS18" s="16" t="str">
        <f>IF(SUM(JE18:JF18,JH18:JJ18,JL18)-SUM(JG18,JK18)&gt;0,SUM(JE18:JF18,JH18:JJ18,JL18)-SUM(JG18,JK18),"")</f>
        <v/>
      </c>
      <c r="JT18" s="16">
        <f>IF(SUM(JN18,JS18)&gt;0,SUM(JN18,JS18),"")</f>
        <v>49.2</v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>IF(SUM(JV18,JZ18)&gt;0,SUM(JV18,JZ18),"")</f>
        <v/>
      </c>
      <c r="KP18" s="76" t="str">
        <f>IF(SUM(JU18:JV18,JX18:JZ18,KB18)-JW18-KA18&gt;0,SUM(JU18:JV18,JX18:JZ18,KB18)-JW18-KA18,"")</f>
        <v/>
      </c>
      <c r="KQ18" s="76" t="str">
        <f>IF(SUM(KC18:KD18,KF18)-KE18&gt;0,SUM(KC18:KD18,KF18)-KE18,"")</f>
        <v/>
      </c>
      <c r="KR18" s="76" t="str">
        <f>IF(SUM(JV18,JZ18,KD18)&gt;0,SUM(JV18,JZ18,KD18),"")</f>
        <v/>
      </c>
      <c r="KS18" s="76" t="str">
        <f>IF(SUM(KP18,KQ18)&gt;0,SUM(KP18,KQ18),"")</f>
        <v/>
      </c>
      <c r="KT18" s="76" t="str">
        <f>IF(SUM(KH18,KL18)&gt;0,SUM(KH18,KL18),"")</f>
        <v/>
      </c>
      <c r="KU18" s="76" t="str">
        <f>IF(SUM(KG18:KH18,KJ18:KL18,KN18)-SUM(KI18,KM18)&gt;0,SUM(KG18:KH18,KJ18:KL18,KN18)-SUM(KI18,KM18),"")</f>
        <v/>
      </c>
      <c r="KV18" s="76" t="str">
        <f>IF(SUM(KP18,KU18)&gt;0,SUM(KP18,KU18),"")</f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>IF(SUM(KX18,LB18)&gt;0,SUM(KX18,LB18),"")</f>
        <v/>
      </c>
      <c r="LR18" s="16" t="str">
        <f>IF(SUM(KW18:KX18,KZ18:LB18,LD18)-KY18-LC18&gt;0,SUM(KW18:KX18,KZ18:LB18,LD18)-KY18-LC18,"")</f>
        <v/>
      </c>
      <c r="LS18" s="16" t="str">
        <f>IF(SUM(LE18:LF18,LH18)-LG18&gt;0,SUM(LE18:LF18,LH18)-LG18,"")</f>
        <v/>
      </c>
      <c r="LT18" s="16" t="str">
        <f>IF(SUM(KX18,LB18,LF18)&gt;0,SUM(KX18,LB18,LF18),"")</f>
        <v/>
      </c>
      <c r="LU18" s="16" t="str">
        <f>IF(SUM(LR18,LS18)&gt;0,SUM(LR18,LS18),"")</f>
        <v/>
      </c>
      <c r="LV18" s="16" t="str">
        <f>IF(SUM(LJ18,LN18)&gt;0,SUM(LJ18,LN18),"")</f>
        <v/>
      </c>
      <c r="LW18" s="16" t="str">
        <f>IF(SUM(LI18:LJ18,LL18:LN18,LP18)-SUM(LK18,LO18)&gt;0,SUM(LI18:LJ18,LL18:LN18,LP18)-SUM(LK18,LO18),"")</f>
        <v/>
      </c>
      <c r="LX18" s="16" t="str">
        <f>IF(SUM(LR18,LW18)&gt;0,SUM(LR18,LW18),"")</f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>IF(SUM(LZ18,MD18)&gt;0,SUM(LZ18,MD18),"")</f>
        <v/>
      </c>
      <c r="MT18" s="76" t="str">
        <f>IF(SUM(LY18:LZ18,MB18:MD18,MF18)-MA18-ME18&gt;0,SUM(LY18:LZ18,MB18:MD18,MF18)-MA18-ME18,"")</f>
        <v/>
      </c>
      <c r="MU18" s="76" t="str">
        <f>IF(SUM(MG18:MH18,MJ18)-MI18&gt;0,SUM(MG18:MH18,MJ18)-MI18,"")</f>
        <v/>
      </c>
      <c r="MV18" s="76" t="str">
        <f>IF(SUM(LZ18,MD18,MH18)&gt;0,SUM(LZ18,MD18,MH18),"")</f>
        <v/>
      </c>
      <c r="MW18" s="76" t="str">
        <f>IF(SUM(MT18,MU18)&gt;0,SUM(MT18,MU18),"")</f>
        <v/>
      </c>
      <c r="MX18" s="76" t="str">
        <f>IF(SUM(ML18,MP18)&gt;0,SUM(ML18,MP18),"")</f>
        <v/>
      </c>
      <c r="MY18" s="76" t="str">
        <f>IF(SUM(MK18:ML18,MN18:MP18,MR18)-SUM(MM18,MQ18)&gt;0,SUM(MK18:ML18,MN18:MP18,MR18)-SUM(MM18,MQ18),"")</f>
        <v/>
      </c>
      <c r="MZ18" s="76" t="str">
        <f>IF(SUM(MT18,MY18)&gt;0,SUM(MT18,MY18),"")</f>
        <v/>
      </c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 t="str">
        <f>IF(SUM(NB18,NF18)&gt;0,SUM(NB18,NF18),"")</f>
        <v/>
      </c>
      <c r="NV18" s="16" t="str">
        <f>IF(SUM(NA18:NB18,ND18:NF18,NH18)-NC18-NG18&gt;0,SUM(NA18:NB18,ND18:NF18,NH18)-NC18-NG18,"")</f>
        <v/>
      </c>
      <c r="NW18" s="16" t="str">
        <f>IF(SUM(NI18:NJ18,NL18)-NK18&gt;0,SUM(NI18:NJ18,NL18)-NK18,"")</f>
        <v/>
      </c>
      <c r="NX18" s="16" t="str">
        <f>IF(SUM(NB18,NF18,NJ18)&gt;0,SUM(NB18,NF18,NJ18),"")</f>
        <v/>
      </c>
      <c r="NY18" s="16" t="str">
        <f>IF(SUM(NV18,NW18)&gt;0,SUM(NV18,NW18),"")</f>
        <v/>
      </c>
      <c r="NZ18" s="16" t="str">
        <f>IF(SUM(NN18,NR18)&gt;0,SUM(NN18,NR18),"")</f>
        <v/>
      </c>
      <c r="OA18" s="16" t="str">
        <f>IF(SUM(NM18:NN18,NP18:NR18,NT18)-SUM(NO18,NS18)&gt;0,SUM(NM18:NN18,NP18:NR18,NT18)-SUM(NO18,NS18),"")</f>
        <v/>
      </c>
      <c r="OB18" s="16" t="str">
        <f>IF(SUM(NV18,OA18)&gt;0,SUM(NV18,OA18),"")</f>
        <v/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>IF(SUM(OD18,OH18)&gt;0,SUM(OD18,OH18),"")</f>
        <v/>
      </c>
      <c r="OX18" s="76" t="str">
        <f>IF(SUM(OC18:OD18,OF18:OH18,OJ18)-OE18-OI18&gt;0,SUM(OC18:OD18,OF18:OH18,OJ18)-OE18-OI18,"")</f>
        <v/>
      </c>
      <c r="OY18" s="76" t="str">
        <f>IF(SUM(OK18:OL18,ON18)-OM18&gt;0,SUM(OK18:OL18,ON18)-OM18,"")</f>
        <v/>
      </c>
      <c r="OZ18" s="76" t="str">
        <f>IF(SUM(OD18,OH18,OL18)&gt;0,SUM(OD18,OH18,OL18),"")</f>
        <v/>
      </c>
      <c r="PA18" s="76" t="str">
        <f>IF(SUM(OX18,OY18)&gt;0,SUM(OX18,OY18),"")</f>
        <v/>
      </c>
      <c r="PB18" s="76" t="str">
        <f>IF(SUM(OP18,OT18)&gt;0,SUM(OP18,OT18),"")</f>
        <v/>
      </c>
      <c r="PC18" s="76" t="str">
        <f>IF(SUM(OO18:OP18,OR18:OT18,OV18)-SUM(OQ18,OU18)&gt;0,SUM(OO18:OP18,OR18:OT18,OV18)-SUM(OQ18,OU18),"")</f>
        <v/>
      </c>
      <c r="PD18" s="76" t="str">
        <f>IF(SUM(OX18,PC18)&gt;0,SUM(OX18,PC18),"")</f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>IF(SUM(PF18,PJ18)&gt;0,SUM(PF18,PJ18),"")</f>
        <v/>
      </c>
      <c r="PZ18" s="16" t="str">
        <f>IF(SUM(PE18:PF18,PH18:PJ18,PL18)-PG18-PK18&gt;0,SUM(PE18:PF18,PH18:PJ18,PL18)-PG18-PK18,"")</f>
        <v/>
      </c>
      <c r="QA18" s="16" t="str">
        <f>IF(SUM(PM18:PN18,PP18)-PO18&gt;0,SUM(PM18:PN18,PP18)-PO18,"")</f>
        <v/>
      </c>
      <c r="QB18" s="16" t="str">
        <f>IF(SUM(PF18,PJ18,PN18)&gt;0,SUM(PF18,PJ18,PN18),"")</f>
        <v/>
      </c>
      <c r="QC18" s="16" t="str">
        <f>IF(SUM(PZ18,QA18)&gt;0,SUM(PZ18,QA18),"")</f>
        <v/>
      </c>
      <c r="QD18" s="16" t="str">
        <f>IF(SUM(PR18,PV18)&gt;0,SUM(PR18,PV18),"")</f>
        <v/>
      </c>
      <c r="QE18" s="16" t="str">
        <f>IF(SUM(PQ18:PR18,PT18:PV18,PX18)-SUM(PS18,PW18)&gt;0,SUM(PQ18:PR18,PT18:PV18,PX18)-SUM(PS18,PW18),"")</f>
        <v/>
      </c>
      <c r="QF18" s="16" t="str">
        <f>IF(SUM(PZ18,QE18)&gt;0,SUM(PZ18,QE18),"")</f>
        <v/>
      </c>
      <c r="QG18" s="42">
        <f>IF($CW18="P",CC18,(CC18+AZ18)/2)</f>
        <v>9.25</v>
      </c>
      <c r="QH18" s="42">
        <f>IF($CW18="P",CD18,(CD18+BA18)/2)</f>
        <v>3.6</v>
      </c>
      <c r="QI18" s="42">
        <f>IF($CW18="P",CE18,(CE18+BB18)/2)</f>
        <v>0</v>
      </c>
      <c r="QJ18" s="42">
        <f>IF($CW18="P",CF18,(CF18+BC18)/2)</f>
        <v>0</v>
      </c>
      <c r="QK18" s="42">
        <f>IF($CW18="P",CG18,(CG18+BD18)/2)</f>
        <v>9.25</v>
      </c>
      <c r="QL18" s="42">
        <f>IF($CW18="P",CH18,(CH18+BE18)/2)</f>
        <v>3.4</v>
      </c>
      <c r="QM18" s="42">
        <f>IF($CW18="P",CI18,(CI18+BF18)/2)</f>
        <v>0.4</v>
      </c>
      <c r="QN18" s="42">
        <f>IF($CW18="P",CJ18,(CJ18+BG18)/2)</f>
        <v>0</v>
      </c>
      <c r="QO18" s="42">
        <f>IF($CW18="P",CK18,(CK18+BH18)/2)</f>
        <v>8.6</v>
      </c>
      <c r="QP18" s="42">
        <f>IF($CW18="P",CL18,(CL18+BI18)/2)</f>
        <v>1.6</v>
      </c>
      <c r="QQ18" s="42">
        <f>IF($CW18="P",CM18,(CM18+BJ18)/2)</f>
        <v>0</v>
      </c>
      <c r="QR18" s="42">
        <f>IF($CW18="P",CN18,(CN18+BK18)/2)</f>
        <v>0</v>
      </c>
      <c r="QS18" s="42">
        <f>IF($CW18="P",CO18,(CO18+BL18)/2)</f>
        <v>0</v>
      </c>
      <c r="QT18" s="42">
        <f>IF($CW18="P",CP18,(CP18+BM18)/2)</f>
        <v>0</v>
      </c>
      <c r="QU18" s="42">
        <f>IF($CW18="P",CQ18,(CQ18+BN18)/2)</f>
        <v>0</v>
      </c>
      <c r="QV18" s="42">
        <f>IF($CW18="P",CR18,(CR18+BO18)/2)</f>
        <v>0</v>
      </c>
      <c r="QW18" s="42">
        <f>IF($CW18="P",CS18,(CS18+BP18)/2)</f>
        <v>0</v>
      </c>
      <c r="QX18" s="42">
        <f>IF($CW18="P",CT18,(CT18+BQ18)/2)</f>
        <v>0</v>
      </c>
      <c r="QY18" s="42">
        <f>IF($CW18="P",CU18,(CU18+BR18)/2)</f>
        <v>0</v>
      </c>
      <c r="QZ18" s="42">
        <f>IF($CW18="P",CV18,(CV18+BS18)/2)</f>
        <v>0</v>
      </c>
      <c r="RA18" s="51" t="s">
        <v>58</v>
      </c>
      <c r="RB18" s="76">
        <f>IF(SUM(QH18,QL18)&gt;0,SUM(QH18,QL18),"")</f>
        <v>7</v>
      </c>
      <c r="RC18" s="76">
        <f>IF(SUM(QG18:QH18,QJ18:QL18,QN18)-QI18-QM18&gt;0,SUM(QG18:QH18,QJ18:QL18,QN18)-QI18-QM18,"")</f>
        <v>25.1</v>
      </c>
      <c r="RD18" s="76">
        <f>IF(SUM(QO18:QP18,QR18)-QQ18&gt;0,SUM(QO18:QP18,QR18)-QQ18,"")</f>
        <v>10.199999999999999</v>
      </c>
      <c r="RE18" s="76">
        <f>IF(SUM(QH18,QL18,QP18)&gt;0,SUM(QH18,QL18,QP18),"")</f>
        <v>8.6</v>
      </c>
      <c r="RF18" s="76">
        <f>IF(SUM(RC18,RD18)&gt;0,SUM(RC18,RD18),"")</f>
        <v>35.299999999999997</v>
      </c>
      <c r="RG18" s="76" t="str">
        <f>IF(SUM(QT18,QX18)&gt;0,SUM(QT18,QX18),"")</f>
        <v/>
      </c>
      <c r="RH18" s="76" t="str">
        <f>IF(SUM(QS18:QT18,QV18:QX18,QZ18)-SUM(QU18,QY18)&gt;0,SUM(QS18:QT18,QV18:QX18,QZ18)-SUM(QU18,QY18),"")</f>
        <v/>
      </c>
      <c r="RI18" s="76">
        <f>IF(SUM(RC18,RH18)&gt;0,SUM(RC18,RH18),"")</f>
        <v>25.1</v>
      </c>
    </row>
    <row r="19" spans="1:477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6" t="s">
        <v>78</v>
      </c>
      <c r="C19" s="7" t="s">
        <v>77</v>
      </c>
      <c r="D19" s="18">
        <v>2001</v>
      </c>
      <c r="E19" s="14">
        <f>SUM(J19:T19)+SUM(J19:P19)*0.0000001+SUM(J19)*0.0000000000001</f>
        <v>188.10001394000508</v>
      </c>
      <c r="F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G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H19" s="70" t="str">
        <f>IF(AND(G19="P",F19=""),"No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I19="P","Worlds Team",IF(F19="P","National Team","")))))</f>
        <v/>
      </c>
      <c r="I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J19" s="13">
        <f>IF(COUNT(AS19,BV19,CY19)&gt;0,LARGE((AS19,BV19,CY19),1),0)</f>
        <v>50.7</v>
      </c>
      <c r="K19" s="13" t="str">
        <f>IF(J19=0,"",IF(J19=CY19,$CC$1,IF(J19=BV19,$AZ$1,IF(J19=AS19,$W$1,""))))</f>
        <v>2022 Nationals</v>
      </c>
      <c r="L19" s="13">
        <f>IF(COUNT(AS19,BV19,CY19)&gt;1,LARGE((AS19,BV19,CY19),2),0)</f>
        <v>43</v>
      </c>
      <c r="M19" s="13" t="str">
        <f>IF(L19=0,"",IF(L19=CY19,$CC$1,IF(L19=BV19,$AZ$1,IF(L19=AS19,$W$1,""))))</f>
        <v>2022 Elite Canada</v>
      </c>
      <c r="N19" s="13">
        <f>IF(COUNT(AT19,BW19,CZ19)&gt;0,LARGE((AT19,BW19,CZ19),1),0)</f>
        <v>24.3</v>
      </c>
      <c r="O19" s="13" t="str">
        <f>IF(N19=0,"",IF(N19=CZ19,$CC$1,IF(N19=BW19,$AZ$1,IF(N19=AT19,$W$1,""))))</f>
        <v>2022 Elite Canada</v>
      </c>
      <c r="P19" s="13">
        <f>IF(COUNT(AT19,BW19,CZ19)&gt;1,LARGE((AT19,BW19,CZ19),2),0)</f>
        <v>21.400000000000002</v>
      </c>
      <c r="Q19" s="13" t="str">
        <f>IF(P19=0,"",IF(P19=CZ19,$CC$1,IF(P19=BW19,$AZ$1,IF(P19=AT19,$W$1,""))))</f>
        <v>2022 Nationals</v>
      </c>
      <c r="R19" s="13">
        <f>IF(MAX(AX19,CA19,DD19)&gt;0,MAX(AX19,CA19,DD19),0)</f>
        <v>48.7</v>
      </c>
      <c r="S19" s="13" t="str">
        <f>IF(R19=0,"",IF(R19=DD19,$CC$1,IF(R19=CA19,$AZ$1,IF(R19=AX19,$W$1,""))))</f>
        <v>2022 Elite Canada</v>
      </c>
      <c r="T19" s="13" t="str">
        <f>IF(MAX(DF19:DH19)&gt;0,MAX(DF19:DH19),"")</f>
        <v/>
      </c>
      <c r="U19" s="16" t="str">
        <f>IF(T19="","",IF(T19=DF19,"("&amp;DF$2&amp;")",IF(T19=DH19,"("&amp;DH$2&amp;")")))</f>
        <v/>
      </c>
      <c r="V19" s="13" t="str">
        <f>IF(T19="","",IF(T19=DF19,IF(T19+IF(L19="",0,L19)=PZ19,$PE$1,IF(T19+IF(L19="",0,L19)=OX19,$OC$1,IF(T19+IF(L19="",0,L19)=NV19,$NA$1,IF(T19+IF(L19="",0,L19)=MT19,$LY$1,IF(T19+IF(L19="",0,L19)=LR19,$KW$1,IF(T19+IF(L19="",0,L19)=KP19,$JU$1,IF(T19+IF(L19="",0,L19)=JN19,$IS$1,IF(T19+IF(L19="",0,L19)=IL19,$HQ$1,IF(T19+IF(L19="",0,L19)=HJ19,$GO$1,IF(T19+IF(L19="",0,L19)=GH19,$FM$1,IF(T19+IF(L19="",0,L19)=FF19,$EK$1,IF(T19+IF(L19="",0,L19)=ED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</f>
        <v/>
      </c>
      <c r="W19" s="27">
        <v>17.2</v>
      </c>
      <c r="X19" s="27">
        <v>2.4</v>
      </c>
      <c r="Y19" s="27">
        <v>0</v>
      </c>
      <c r="Z19" s="27">
        <v>0</v>
      </c>
      <c r="AA19" s="27">
        <v>18.399999999999999</v>
      </c>
      <c r="AB19" s="27">
        <v>5.6</v>
      </c>
      <c r="AC19" s="27">
        <v>0.6</v>
      </c>
      <c r="AD19" s="27">
        <v>0</v>
      </c>
      <c r="AE19" s="27">
        <v>18.5</v>
      </c>
      <c r="AF19" s="27">
        <v>6</v>
      </c>
      <c r="AG19" s="27">
        <v>0.2</v>
      </c>
      <c r="AH19" s="27">
        <v>0</v>
      </c>
      <c r="AI19" s="27">
        <v>18.399999999999999</v>
      </c>
      <c r="AJ19" s="27">
        <v>6</v>
      </c>
      <c r="AK19" s="27">
        <v>0.6</v>
      </c>
      <c r="AL19" s="27">
        <v>0</v>
      </c>
      <c r="AM19" s="27">
        <v>18.3</v>
      </c>
      <c r="AN19" s="27">
        <v>6.8</v>
      </c>
      <c r="AO19" s="27">
        <v>0.2</v>
      </c>
      <c r="AP19" s="27">
        <v>0</v>
      </c>
      <c r="AQ19" s="51"/>
      <c r="AR19" s="76">
        <f>IF(SUM(X19,AB19)&gt;0,SUM(X19,AB19),"")</f>
        <v>8</v>
      </c>
      <c r="AS19" s="76">
        <f>IF(SUM(W19:X19,Z19:AB19,AD19)-Y19-AC19&gt;0,SUM(W19:X19,Z19:AB19,AD19)-Y19-AC19,"")</f>
        <v>43</v>
      </c>
      <c r="AT19" s="76">
        <f>IF(SUM(AE19:AF19,AH19)-AG19&gt;0,SUM(AE19:AF19,AH19)-AG19,"")</f>
        <v>24.3</v>
      </c>
      <c r="AU19" s="76">
        <f>IF(SUM(X19,AB19,AF19)&gt;0,SUM(X19,AB19,AF19),"")</f>
        <v>14</v>
      </c>
      <c r="AV19" s="76">
        <f>IF(SUM(AS19,AT19)&gt;0,SUM(AS19,AT19),"")</f>
        <v>67.3</v>
      </c>
      <c r="AW19" s="76">
        <f>IF(SUM(AJ19,AN19)&gt;0,SUM(AJ19,AN19),"")</f>
        <v>12.8</v>
      </c>
      <c r="AX19" s="76">
        <f>IF(SUM(AI19:AJ19,AL19:AN19,AP19)-SUM(AK19,AO19)&gt;0,SUM(AI19:AJ19,AL19:AN19,AP19)-SUM(AK19,AO19),"")</f>
        <v>48.7</v>
      </c>
      <c r="AY19" s="76">
        <f>IF(SUM(AS19,AX19)&gt;0,SUM(AS19,AX19),"")</f>
        <v>91.7</v>
      </c>
      <c r="AZ19" s="26">
        <v>19.100000000000001</v>
      </c>
      <c r="BA19" s="26">
        <v>6.8</v>
      </c>
      <c r="BB19" s="26">
        <v>0.6</v>
      </c>
      <c r="BC19" s="26">
        <v>0</v>
      </c>
      <c r="BD19" s="26">
        <v>19</v>
      </c>
      <c r="BE19" s="26">
        <v>6.4</v>
      </c>
      <c r="BF19" s="26">
        <v>0</v>
      </c>
      <c r="BG19" s="26">
        <v>0</v>
      </c>
      <c r="BH19" s="26">
        <v>17.100000000000001</v>
      </c>
      <c r="BI19" s="26">
        <v>5.2</v>
      </c>
      <c r="BJ19" s="26">
        <v>0.9</v>
      </c>
      <c r="BK19" s="26">
        <v>0</v>
      </c>
      <c r="BL19" s="26">
        <v>0</v>
      </c>
      <c r="BM19" s="26">
        <v>0</v>
      </c>
      <c r="BN19" s="26">
        <v>0</v>
      </c>
      <c r="BO19" s="26">
        <v>0</v>
      </c>
      <c r="BP19" s="26">
        <v>16.5</v>
      </c>
      <c r="BQ19" s="26">
        <v>6</v>
      </c>
      <c r="BR19" s="26">
        <v>1</v>
      </c>
      <c r="BS19" s="26">
        <v>0</v>
      </c>
      <c r="BT19" s="52"/>
      <c r="BU19" s="16">
        <f>IF(SUM(BA19,BE19)&gt;0,SUM(BA19,BE19),"")</f>
        <v>13.2</v>
      </c>
      <c r="BV19" s="16">
        <f>IF(SUM(AZ19:BA19,BC19:BE19,BG19)-BB19-BF19&gt;0,SUM(AZ19:BA19,BC19:BE19,BG19)-BB19-BF19,"")</f>
        <v>50.7</v>
      </c>
      <c r="BW19" s="16">
        <f>IF(SUM(BH19:BI19,BK19)-BJ19&gt;0,SUM(BH19:BI19,BK19)-BJ19,"")</f>
        <v>21.400000000000002</v>
      </c>
      <c r="BX19" s="16">
        <f>IF(SUM(BA19,BE19,BI19)&gt;0,SUM(BA19,BE19,BI19),"")</f>
        <v>18.399999999999999</v>
      </c>
      <c r="BY19" s="16">
        <f>IF(SUM(BV19,BW19)&gt;0,SUM(BV19,BW19),"")</f>
        <v>72.100000000000009</v>
      </c>
      <c r="BZ19" s="16">
        <f>IF(SUM(BM19,BQ19)&gt;0,SUM(BM19,BQ19),"")</f>
        <v>6</v>
      </c>
      <c r="CA19" s="16">
        <f>IF(SUM(BL19:BM19,BO19:BQ19,BS19)-SUM(BN19,BR19)&gt;0,SUM(BL19:BM19,BO19:BQ19,BS19)-SUM(BN19,BR19),"")</f>
        <v>21.5</v>
      </c>
      <c r="CB19" s="16">
        <f>IF(SUM(BV19,CA19)&gt;0,SUM(BV19,CA19),"")</f>
        <v>72.2</v>
      </c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51"/>
      <c r="CX19" s="76" t="str">
        <f>IF(SUM(CD19,CH19)&gt;0,SUM(CD19,CH19),"")</f>
        <v/>
      </c>
      <c r="CY19" s="76" t="str">
        <f>IF(SUM(CC19:CD19,CF19:CH19,CJ19)-CE19-CI19&gt;0,SUM(CC19:CD19,CF19:CH19,CJ19)-CE19-CI19,"")</f>
        <v/>
      </c>
      <c r="CZ19" s="76" t="str">
        <f>IF(SUM(CK19:CL19,CN19)-CM19&gt;0,SUM(CK19:CL19,CN19)-CM19,"")</f>
        <v/>
      </c>
      <c r="DA19" s="76" t="str">
        <f>IF(SUM(CD19,CH19,CL19)&gt;0,SUM(CD19,CH19,CL19),"")</f>
        <v/>
      </c>
      <c r="DB19" s="76" t="str">
        <f>IF(SUM(CY19,CZ19)&gt;0,SUM(CY19,CZ19),"")</f>
        <v/>
      </c>
      <c r="DC19" s="76" t="str">
        <f>IF(SUM(CP19,CT19)&gt;0,SUM(CP19,CT19),"")</f>
        <v/>
      </c>
      <c r="DD19" s="76" t="str">
        <f>IF(SUM(CO19:CP19,CR19:CT19,CV19)-SUM(CQ19,CU19)&gt;0,SUM(CO19:CP19,CR19:CT19,CV19)-SUM(CQ19,CU19),"")</f>
        <v/>
      </c>
      <c r="DE19" s="76" t="str">
        <f>IF(SUM(CY19,DD19)&gt;0,SUM(CY19,DD19),"")</f>
        <v/>
      </c>
      <c r="DF19" s="87" t="str">
        <f>IF(L19&gt;=0.001,IF(MAX(ED19,FF19,GH19,HJ19,IL19,JN19,KP19,LR19,MT19,NV19,OX19,PZ19)-IF(L19="",0,L19)&gt;0.001,MAX(ED19,FF19,GH19,HJ19,IL19,JN19,KP19,LR19,MT19,NV19,OX19,PZ19)-IF(L19="",0,L19),""),"")</f>
        <v/>
      </c>
      <c r="DG19" s="87" t="str">
        <f>IF(P19&gt;=0.001,IF(MAX(EE19,FG19,GI19,HK19,IM19,JO19,KQ19,LS19,MU19,NW19,OY19,QA19)-IF(P19="",0,P19)&gt;0.001,MAX(EE19,FG19,GI19,HK19,IM19,JO19,KQ19,LS19,MU19,NW19,OY19,QA19)-IF(P19="",0,P19),""),"")</f>
        <v/>
      </c>
      <c r="DH19" s="87" t="str">
        <f>IF(R19&gt;=0.001,IF(MAX(EI19,FK19,GM19,HO19,IQ19,JS19,KU19,LW19,MY19,OA19,PC19,QE19)-IF(R19="",0,R19)&gt;0.001,MAX(EI19,FK19,GM19,HO19,IQ19,JS19,KU19,LW19,MY19,OA19,PC19,QE19)-IF(R19="",0,R19),""),"")</f>
        <v/>
      </c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76" t="str">
        <f>IF(SUM(DJ19,DN19)&gt;0,SUM(DJ19,DN19),"")</f>
        <v/>
      </c>
      <c r="ED19" s="76" t="str">
        <f>IF(SUM(DI19:DJ19,DL19:DN19,DP19)-DK19-DO19&gt;0,SUM(DI19:DJ19,DL19:DN19,DP19)-DK19-DO19,"")</f>
        <v/>
      </c>
      <c r="EE19" s="76" t="str">
        <f>IF(SUM(DQ19:DR19,DT19)-DS19&gt;0,SUM(DQ19:DR19,DT19)-DS19,"")</f>
        <v/>
      </c>
      <c r="EF19" s="76" t="str">
        <f>IF(SUM(DJ19,DN19,DR19)&gt;0,SUM(DJ19,DN19,DR19),"")</f>
        <v/>
      </c>
      <c r="EG19" s="76" t="str">
        <f>IF(SUM(ED19,EE19)&gt;0,SUM(ED19,EE19),"")</f>
        <v/>
      </c>
      <c r="EH19" s="76" t="str">
        <f>IF(SUM(DV19,DZ19)&gt;0,SUM(DV19,DZ19),"")</f>
        <v/>
      </c>
      <c r="EI19" s="76" t="str">
        <f>IF(SUM(DU19:DV19,DX19:DZ19,EB19)-SUM(DW19,EA19)&gt;0,SUM(DU19:DV19,DX19:DZ19,EB19)-SUM(DW19,EA19),"")</f>
        <v/>
      </c>
      <c r="EJ19" s="76" t="str">
        <f>IF(SUM(ED19,EI19)&gt;0,SUM(ED19,EI19),"")</f>
        <v/>
      </c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16" t="str">
        <f>IF(SUM(EL19,EP19)&gt;0,SUM(EL19,EP19),"")</f>
        <v/>
      </c>
      <c r="FF19" s="16" t="str">
        <f>IF(SUM(EK19:EL19,EN19:EP19,ER19)-EM19-EQ19&gt;0,SUM(EK19:EL19,EN19:EP19,ER19)-EM19-EQ19,"")</f>
        <v/>
      </c>
      <c r="FG19" s="16" t="str">
        <f>IF(SUM(ES19:ET19,EV19)-EU19&gt;0,SUM(ES19:ET19,EV19)-EU19,"")</f>
        <v/>
      </c>
      <c r="FH19" s="16" t="str">
        <f>IF(SUM(EL19,EP19,ET19)&gt;0,SUM(EL19,EP19,ET19),"")</f>
        <v/>
      </c>
      <c r="FI19" s="16" t="str">
        <f>IF(SUM(FF19,FG19)&gt;0,SUM(FF19,FG19),"")</f>
        <v/>
      </c>
      <c r="FJ19" s="16" t="str">
        <f>IF(SUM(EX19,FB19)&gt;0,SUM(EX19,FB19),"")</f>
        <v/>
      </c>
      <c r="FK19" s="16" t="str">
        <f>IF(SUM(EW19:EX19,EZ19:FB19,FD19)-SUM(EY19,FC19)&gt;0,SUM(EW19:EX19,EZ19:FB19,FD19)-SUM(EY19,FC19),"")</f>
        <v/>
      </c>
      <c r="FL19" s="16" t="str">
        <f>IF(SUM(FF19,FK19)&gt;0,SUM(FF19,FK19),"")</f>
        <v/>
      </c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76" t="str">
        <f>IF(SUM(FN19,FR19)&gt;0,SUM(FN19,FR19),"")</f>
        <v/>
      </c>
      <c r="GH19" s="76" t="str">
        <f>IF(SUM(FM19:FN19,FP19:FR19,FT19)-FO19-FS19&gt;0,SUM(FM19:FN19,FP19:FR19,FT19)-FO19-FS19,"")</f>
        <v/>
      </c>
      <c r="GI19" s="76" t="str">
        <f>IF(SUM(FU19:FV19,FX19)-FW19&gt;0,SUM(FU19:FV19,FX19)-FW19,"")</f>
        <v/>
      </c>
      <c r="GJ19" s="76" t="str">
        <f>IF(SUM(FN19,FR19,FV19)&gt;0,SUM(FN19,FR19,FV19),"")</f>
        <v/>
      </c>
      <c r="GK19" s="76" t="str">
        <f>IF(SUM(GH19,GI19)&gt;0,SUM(GH19,GI19),"")</f>
        <v/>
      </c>
      <c r="GL19" s="76" t="str">
        <f>IF(SUM(FZ19,GD19)&gt;0,SUM(FZ19,GD19),"")</f>
        <v/>
      </c>
      <c r="GM19" s="76" t="str">
        <f>IF(SUM(FY19:FZ19,GB19:GD19,GF19)-SUM(GA19,GE19)&gt;0,SUM(FY19:FZ19,GB19:GD19,GF19)-SUM(GA19,GE19),"")</f>
        <v/>
      </c>
      <c r="GN19" s="76" t="str">
        <f>IF(SUM(GH19,GM19)&gt;0,SUM(GH19,GM19),"")</f>
        <v/>
      </c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16" t="str">
        <f>IF(SUM(GP19,GT19)&gt;0,SUM(GP19,GT19),"")</f>
        <v/>
      </c>
      <c r="HJ19" s="16" t="str">
        <f>IF(SUM(GO19:GP19,GR19:GT19,GV19)-GQ19-GU19&gt;0,SUM(GO19:GP19,GR19:GT19,GV19)-GQ19-GU19,"")</f>
        <v/>
      </c>
      <c r="HK19" s="16" t="str">
        <f>IF(SUM(GW19:GX19,GZ19)-GY19&gt;0,SUM(GW19:GX19,GZ19)-GY19,"")</f>
        <v/>
      </c>
      <c r="HL19" s="16" t="str">
        <f>IF(SUM(GP19,GT19,GX19)&gt;0,SUM(GP19,GT19,GX19),"")</f>
        <v/>
      </c>
      <c r="HM19" s="16" t="str">
        <f>IF(SUM(HJ19,HK19)&gt;0,SUM(HJ19,HK19),"")</f>
        <v/>
      </c>
      <c r="HN19" s="16" t="str">
        <f>IF(SUM(HB19,HF19)&gt;0,SUM(HB19,HF19),"")</f>
        <v/>
      </c>
      <c r="HO19" s="16" t="str">
        <f>IF(SUM(HA19:HB19,HD19:HF19,HH19)-SUM(HC19,HG19)&gt;0,SUM(HA19:HB19,HD19:HF19,HH19)-SUM(HC19,HG19),"")</f>
        <v/>
      </c>
      <c r="HP19" s="16" t="str">
        <f>IF(SUM(HJ19,HO19)&gt;0,SUM(HJ19,HO19),"")</f>
        <v/>
      </c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76" t="str">
        <f>IF(SUM(HR19,HV19)&gt;0,SUM(HR19,HV19),"")</f>
        <v/>
      </c>
      <c r="IL19" s="76" t="str">
        <f>IF(SUM(HQ19:HR19,HT19:HV19,HX19)-HS19-HW19&gt;0,SUM(HQ19:HR19,HT19:HV19,HX19)-HS19-HW19,"")</f>
        <v/>
      </c>
      <c r="IM19" s="76" t="str">
        <f>IF(SUM(HY19:HZ19,IB19)-IA19&gt;0,SUM(HY19:HZ19,IB19)-IA19,"")</f>
        <v/>
      </c>
      <c r="IN19" s="76" t="str">
        <f>IF(SUM(HR19,HV19,HZ19)&gt;0,SUM(HR19,HV19,HZ19),"")</f>
        <v/>
      </c>
      <c r="IO19" s="76" t="str">
        <f>IF(SUM(IL19,IM19)&gt;0,SUM(IL19,IM19),"")</f>
        <v/>
      </c>
      <c r="IP19" s="76" t="str">
        <f>IF(SUM(ID19,IH19)&gt;0,SUM(ID19,IH19),"")</f>
        <v/>
      </c>
      <c r="IQ19" s="76" t="str">
        <f>IF(SUM(IC19:ID19,IF19:IH19,IJ19)-SUM(IE19,II19)&gt;0,SUM(IC19:ID19,IF19:IH19,IJ19)-SUM(IE19,II19),"")</f>
        <v/>
      </c>
      <c r="IR19" s="76" t="str">
        <f>IF(SUM(IL19,IQ19)&gt;0,SUM(IL19,IQ19),"")</f>
        <v/>
      </c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16" t="str">
        <f>IF(SUM(IT19,IX19)&gt;0,SUM(IT19,IX19),"")</f>
        <v/>
      </c>
      <c r="JN19" s="16" t="str">
        <f>IF(SUM(IS19:IT19,IV19:IX19,IZ19)-IU19-IY19&gt;0,SUM(IS19:IT19,IV19:IX19,IZ19)-IU19-IY19,"")</f>
        <v/>
      </c>
      <c r="JO19" s="16" t="str">
        <f>IF(SUM(JA19:JB19,JD19)-JC19&gt;0,SUM(JA19:JB19,JD19)-JC19,"")</f>
        <v/>
      </c>
      <c r="JP19" s="16" t="str">
        <f>IF(SUM(IT19,IX19,JB19)&gt;0,SUM(IT19,IX19,JB19),"")</f>
        <v/>
      </c>
      <c r="JQ19" s="16" t="str">
        <f>IF(SUM(JN19,JO19)&gt;0,SUM(JN19,JO19),"")</f>
        <v/>
      </c>
      <c r="JR19" s="16" t="str">
        <f>IF(SUM(JF19,JJ19)&gt;0,SUM(JF19,JJ19),"")</f>
        <v/>
      </c>
      <c r="JS19" s="16" t="str">
        <f>IF(SUM(JE19:JF19,JH19:JJ19,JL19)-SUM(JG19,JK19)&gt;0,SUM(JE19:JF19,JH19:JJ19,JL19)-SUM(JG19,JK19),"")</f>
        <v/>
      </c>
      <c r="JT19" s="16" t="str">
        <f>IF(SUM(JN19,JS19)&gt;0,SUM(JN19,JS19),"")</f>
        <v/>
      </c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76" t="str">
        <f>IF(SUM(JV19,JZ19)&gt;0,SUM(JV19,JZ19),"")</f>
        <v/>
      </c>
      <c r="KP19" s="76" t="str">
        <f>IF(SUM(JU19:JV19,JX19:JZ19,KB19)-JW19-KA19&gt;0,SUM(JU19:JV19,JX19:JZ19,KB19)-JW19-KA19,"")</f>
        <v/>
      </c>
      <c r="KQ19" s="76" t="str">
        <f>IF(SUM(KC19:KD19,KF19)-KE19&gt;0,SUM(KC19:KD19,KF19)-KE19,"")</f>
        <v/>
      </c>
      <c r="KR19" s="76" t="str">
        <f>IF(SUM(JV19,JZ19,KD19)&gt;0,SUM(JV19,JZ19,KD19),"")</f>
        <v/>
      </c>
      <c r="KS19" s="76" t="str">
        <f>IF(SUM(KP19,KQ19)&gt;0,SUM(KP19,KQ19),"")</f>
        <v/>
      </c>
      <c r="KT19" s="76" t="str">
        <f>IF(SUM(KH19,KL19)&gt;0,SUM(KH19,KL19),"")</f>
        <v/>
      </c>
      <c r="KU19" s="76" t="str">
        <f>IF(SUM(KG19:KH19,KJ19:KL19,KN19)-SUM(KI19,KM19)&gt;0,SUM(KG19:KH19,KJ19:KL19,KN19)-SUM(KI19,KM19),"")</f>
        <v/>
      </c>
      <c r="KV19" s="76" t="str">
        <f>IF(SUM(KP19,KU19)&gt;0,SUM(KP19,KU19),"")</f>
        <v/>
      </c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16" t="str">
        <f>IF(SUM(KX19,LB19)&gt;0,SUM(KX19,LB19),"")</f>
        <v/>
      </c>
      <c r="LR19" s="16" t="str">
        <f>IF(SUM(KW19:KX19,KZ19:LB19,LD19)-KY19-LC19&gt;0,SUM(KW19:KX19,KZ19:LB19,LD19)-KY19-LC19,"")</f>
        <v/>
      </c>
      <c r="LS19" s="16" t="str">
        <f>IF(SUM(LE19:LF19,LH19)-LG19&gt;0,SUM(LE19:LF19,LH19)-LG19,"")</f>
        <v/>
      </c>
      <c r="LT19" s="16" t="str">
        <f>IF(SUM(KX19,LB19,LF19)&gt;0,SUM(KX19,LB19,LF19),"")</f>
        <v/>
      </c>
      <c r="LU19" s="16" t="str">
        <f>IF(SUM(LR19,LS19)&gt;0,SUM(LR19,LS19),"")</f>
        <v/>
      </c>
      <c r="LV19" s="16" t="str">
        <f>IF(SUM(LJ19,LN19)&gt;0,SUM(LJ19,LN19),"")</f>
        <v/>
      </c>
      <c r="LW19" s="16" t="str">
        <f>IF(SUM(LI19:LJ19,LL19:LN19,LP19)-SUM(LK19,LO19)&gt;0,SUM(LI19:LJ19,LL19:LN19,LP19)-SUM(LK19,LO19),"")</f>
        <v/>
      </c>
      <c r="LX19" s="16" t="str">
        <f>IF(SUM(LR19,LW19)&gt;0,SUM(LR19,LW19),"")</f>
        <v/>
      </c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76" t="str">
        <f>IF(SUM(LZ19,MD19)&gt;0,SUM(LZ19,MD19),"")</f>
        <v/>
      </c>
      <c r="MT19" s="76" t="str">
        <f>IF(SUM(LY19:LZ19,MB19:MD19,MF19)-MA19-ME19&gt;0,SUM(LY19:LZ19,MB19:MD19,MF19)-MA19-ME19,"")</f>
        <v/>
      </c>
      <c r="MU19" s="76" t="str">
        <f>IF(SUM(MG19:MH19,MJ19)-MI19&gt;0,SUM(MG19:MH19,MJ19)-MI19,"")</f>
        <v/>
      </c>
      <c r="MV19" s="76" t="str">
        <f>IF(SUM(LZ19,MD19,MH19)&gt;0,SUM(LZ19,MD19,MH19),"")</f>
        <v/>
      </c>
      <c r="MW19" s="76" t="str">
        <f>IF(SUM(MT19,MU19)&gt;0,SUM(MT19,MU19),"")</f>
        <v/>
      </c>
      <c r="MX19" s="76" t="str">
        <f>IF(SUM(ML19,MP19)&gt;0,SUM(ML19,MP19),"")</f>
        <v/>
      </c>
      <c r="MY19" s="76" t="str">
        <f>IF(SUM(MK19:ML19,MN19:MP19,MR19)-SUM(MM19,MQ19)&gt;0,SUM(MK19:ML19,MN19:MP19,MR19)-SUM(MM19,MQ19),"")</f>
        <v/>
      </c>
      <c r="MZ19" s="76" t="str">
        <f>IF(SUM(MT19,MY19)&gt;0,SUM(MT19,MY19),"")</f>
        <v/>
      </c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16" t="str">
        <f>IF(SUM(NB19,NF19)&gt;0,SUM(NB19,NF19),"")</f>
        <v/>
      </c>
      <c r="NV19" s="16" t="str">
        <f>IF(SUM(NA19:NB19,ND19:NF19,NH19)-NC19-NG19&gt;0,SUM(NA19:NB19,ND19:NF19,NH19)-NC19-NG19,"")</f>
        <v/>
      </c>
      <c r="NW19" s="16" t="str">
        <f>IF(SUM(NI19:NJ19,NL19)-NK19&gt;0,SUM(NI19:NJ19,NL19)-NK19,"")</f>
        <v/>
      </c>
      <c r="NX19" s="16" t="str">
        <f>IF(SUM(NB19,NF19,NJ19)&gt;0,SUM(NB19,NF19,NJ19),"")</f>
        <v/>
      </c>
      <c r="NY19" s="16" t="str">
        <f>IF(SUM(NV19,NW19)&gt;0,SUM(NV19,NW19),"")</f>
        <v/>
      </c>
      <c r="NZ19" s="16" t="str">
        <f>IF(SUM(NN19,NR19)&gt;0,SUM(NN19,NR19),"")</f>
        <v/>
      </c>
      <c r="OA19" s="16" t="str">
        <f>IF(SUM(NM19:NN19,NP19:NR19,NT19)-SUM(NO19,NS19)&gt;0,SUM(NM19:NN19,NP19:NR19,NT19)-SUM(NO19,NS19),"")</f>
        <v/>
      </c>
      <c r="OB19" s="16" t="str">
        <f>IF(SUM(NV19,OA19)&gt;0,SUM(NV19,OA19),"")</f>
        <v/>
      </c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25"/>
      <c r="OW19" s="76" t="str">
        <f>IF(SUM(OD19,OH19)&gt;0,SUM(OD19,OH19),"")</f>
        <v/>
      </c>
      <c r="OX19" s="76" t="str">
        <f>IF(SUM(OC19:OD19,OF19:OH19,OJ19)-OE19-OI19&gt;0,SUM(OC19:OD19,OF19:OH19,OJ19)-OE19-OI19,"")</f>
        <v/>
      </c>
      <c r="OY19" s="76" t="str">
        <f>IF(SUM(OK19:OL19,ON19)-OM19&gt;0,SUM(OK19:OL19,ON19)-OM19,"")</f>
        <v/>
      </c>
      <c r="OZ19" s="76" t="str">
        <f>IF(SUM(OD19,OH19,OL19)&gt;0,SUM(OD19,OH19,OL19),"")</f>
        <v/>
      </c>
      <c r="PA19" s="76" t="str">
        <f>IF(SUM(OX19,OY19)&gt;0,SUM(OX19,OY19),"")</f>
        <v/>
      </c>
      <c r="PB19" s="76" t="str">
        <f>IF(SUM(OP19,OT19)&gt;0,SUM(OP19,OT19),"")</f>
        <v/>
      </c>
      <c r="PC19" s="76" t="str">
        <f>IF(SUM(OO19:OP19,OR19:OT19,OV19)-SUM(OQ19,OU19)&gt;0,SUM(OO19:OP19,OR19:OT19,OV19)-SUM(OQ19,OU19),"")</f>
        <v/>
      </c>
      <c r="PD19" s="76" t="str">
        <f>IF(SUM(OX19,PC19)&gt;0,SUM(OX19,PC19),"")</f>
        <v/>
      </c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6"/>
      <c r="PY19" s="16" t="str">
        <f>IF(SUM(PF19,PJ19)&gt;0,SUM(PF19,PJ19),"")</f>
        <v/>
      </c>
      <c r="PZ19" s="16" t="str">
        <f>IF(SUM(PE19:PF19,PH19:PJ19,PL19)-PG19-PK19&gt;0,SUM(PE19:PF19,PH19:PJ19,PL19)-PG19-PK19,"")</f>
        <v/>
      </c>
      <c r="QA19" s="16" t="str">
        <f>IF(SUM(PM19:PN19,PP19)-PO19&gt;0,SUM(PM19:PN19,PP19)-PO19,"")</f>
        <v/>
      </c>
      <c r="QB19" s="16" t="str">
        <f>IF(SUM(PF19,PJ19,PN19)&gt;0,SUM(PF19,PJ19,PN19),"")</f>
        <v/>
      </c>
      <c r="QC19" s="16" t="str">
        <f>IF(SUM(PZ19,QA19)&gt;0,SUM(PZ19,QA19),"")</f>
        <v/>
      </c>
      <c r="QD19" s="16" t="str">
        <f>IF(SUM(PR19,PV19)&gt;0,SUM(PR19,PV19),"")</f>
        <v/>
      </c>
      <c r="QE19" s="16" t="str">
        <f>IF(SUM(PQ19:PR19,PT19:PV19,PX19)-SUM(PS19,PW19)&gt;0,SUM(PQ19:PR19,PT19:PV19,PX19)-SUM(PS19,PW19),"")</f>
        <v/>
      </c>
      <c r="QF19" s="16" t="str">
        <f>IF(SUM(PZ19,QE19)&gt;0,SUM(PZ19,QE19),"")</f>
        <v/>
      </c>
      <c r="QG19" s="42">
        <f>IF($CW19="P",CC19,(CC19+AZ19)/2)</f>
        <v>9.5500000000000007</v>
      </c>
      <c r="QH19" s="42">
        <f>IF($CW19="P",CD19,(CD19+BA19)/2)</f>
        <v>3.4</v>
      </c>
      <c r="QI19" s="42">
        <f>IF($CW19="P",CE19,(CE19+BB19)/2)</f>
        <v>0.3</v>
      </c>
      <c r="QJ19" s="42">
        <f>IF($CW19="P",CF19,(CF19+BC19)/2)</f>
        <v>0</v>
      </c>
      <c r="QK19" s="42">
        <f>IF($CW19="P",CG19,(CG19+BD19)/2)</f>
        <v>9.5</v>
      </c>
      <c r="QL19" s="42">
        <f>IF($CW19="P",CH19,(CH19+BE19)/2)</f>
        <v>3.2</v>
      </c>
      <c r="QM19" s="42">
        <f>IF($CW19="P",CI19,(CI19+BF19)/2)</f>
        <v>0</v>
      </c>
      <c r="QN19" s="42">
        <f>IF($CW19="P",CJ19,(CJ19+BG19)/2)</f>
        <v>0</v>
      </c>
      <c r="QO19" s="42">
        <f>IF($CW19="P",CK19,(CK19+BH19)/2)</f>
        <v>8.5500000000000007</v>
      </c>
      <c r="QP19" s="42">
        <f>IF($CW19="P",CL19,(CL19+BI19)/2)</f>
        <v>2.6</v>
      </c>
      <c r="QQ19" s="42">
        <f>IF($CW19="P",CM19,(CM19+BJ19)/2)</f>
        <v>0.45</v>
      </c>
      <c r="QR19" s="42">
        <f>IF($CW19="P",CN19,(CN19+BK19)/2)</f>
        <v>0</v>
      </c>
      <c r="QS19" s="42">
        <f>IF($CW19="P",CO19,(CO19+BL19)/2)</f>
        <v>0</v>
      </c>
      <c r="QT19" s="42">
        <f>IF($CW19="P",CP19,(CP19+BM19)/2)</f>
        <v>0</v>
      </c>
      <c r="QU19" s="42">
        <f>IF($CW19="P",CQ19,(CQ19+BN19)/2)</f>
        <v>0</v>
      </c>
      <c r="QV19" s="42">
        <f>IF($CW19="P",CR19,(CR19+BO19)/2)</f>
        <v>0</v>
      </c>
      <c r="QW19" s="42">
        <f>IF($CW19="P",CS19,(CS19+BP19)/2)</f>
        <v>8.25</v>
      </c>
      <c r="QX19" s="42">
        <f>IF($CW19="P",CT19,(CT19+BQ19)/2)</f>
        <v>3</v>
      </c>
      <c r="QY19" s="42">
        <f>IF($CW19="P",CU19,(CU19+BR19)/2)</f>
        <v>0.5</v>
      </c>
      <c r="QZ19" s="42">
        <f>IF($CW19="P",CV19,(CV19+BS19)/2)</f>
        <v>0</v>
      </c>
      <c r="RA19" s="51" t="s">
        <v>58</v>
      </c>
      <c r="RB19" s="76">
        <f>IF(SUM(QH19,QL19)&gt;0,SUM(QH19,QL19),"")</f>
        <v>6.6</v>
      </c>
      <c r="RC19" s="76">
        <f>IF(SUM(QG19:QH19,QJ19:QL19,QN19)-QI19-QM19&gt;0,SUM(QG19:QH19,QJ19:QL19,QN19)-QI19-QM19,"")</f>
        <v>25.35</v>
      </c>
      <c r="RD19" s="76">
        <f>IF(SUM(QO19:QP19,QR19)-QQ19&gt;0,SUM(QO19:QP19,QR19)-QQ19,"")</f>
        <v>10.700000000000001</v>
      </c>
      <c r="RE19" s="76">
        <f>IF(SUM(QH19,QL19,QP19)&gt;0,SUM(QH19,QL19,QP19),"")</f>
        <v>9.1999999999999993</v>
      </c>
      <c r="RF19" s="76">
        <f>IF(SUM(RC19,RD19)&gt;0,SUM(RC19,RD19),"")</f>
        <v>36.050000000000004</v>
      </c>
      <c r="RG19" s="76">
        <f>IF(SUM(QT19,QX19)&gt;0,SUM(QT19,QX19),"")</f>
        <v>3</v>
      </c>
      <c r="RH19" s="76">
        <f>IF(SUM(QS19:QT19,QV19:QX19,QZ19)-SUM(QU19,QY19)&gt;0,SUM(QS19:QT19,QV19:QX19,QZ19)-SUM(QU19,QY19),"")</f>
        <v>10.75</v>
      </c>
      <c r="RI19" s="76">
        <f>IF(SUM(RC19,RH19)&gt;0,SUM(RC19,RH19),"")</f>
        <v>36.1</v>
      </c>
    </row>
    <row r="20" spans="1:477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6" t="s">
        <v>148</v>
      </c>
      <c r="C20" s="7" t="s">
        <v>5</v>
      </c>
      <c r="D20" s="18">
        <v>1999</v>
      </c>
      <c r="E20" s="14">
        <f>SUM(J20:T20)+SUM(J20:P20)*0.0000001+SUM(J20)*0.0000000000001</f>
        <v>176.30001212000508</v>
      </c>
      <c r="F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G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H20" s="70" t="str">
        <f>IF(AND(G20="P",F20=""),"No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I20="P","Worlds Team",IF(F20="P","National Team","")))))</f>
        <v/>
      </c>
      <c r="I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J20" s="13">
        <f>IF(COUNT(AS20,BV20,CY20)&gt;0,LARGE((AS20,BV20,CY20),1),0)</f>
        <v>50.599999999999994</v>
      </c>
      <c r="K20" s="13" t="str">
        <f>IF(J20=0,"",IF(J20=CY20,$CC$1,IF(J20=BV20,$AZ$1,IF(J20=AS20,$W$1,""))))</f>
        <v>2022 Elite Canada</v>
      </c>
      <c r="L20" s="13">
        <f>IF(COUNT(AS20,BV20,CY20)&gt;1,LARGE((AS20,BV20,CY20),2),0)</f>
        <v>45.599999999999994</v>
      </c>
      <c r="M20" s="13" t="str">
        <f>IF(L20=0,"",IF(L20=CY20,$CC$1,IF(L20=BV20,$AZ$1,IF(L20=AS20,$W$1,""))))</f>
        <v>2022 Nationals</v>
      </c>
      <c r="N20" s="13">
        <f>IF(COUNT(AT20,BW20,CZ20)&gt;0,LARGE((AT20,BW20,CZ20),1),0)</f>
        <v>25</v>
      </c>
      <c r="O20" s="13" t="str">
        <f>IF(N20=0,"",IF(N20=CZ20,$CC$1,IF(N20=BW20,$AZ$1,IF(N20=AT20,$W$1,""))))</f>
        <v>2022 Elite Canada</v>
      </c>
      <c r="P20" s="13">
        <f>IF(COUNT(AT20,BW20,CZ20)&gt;1,LARGE((AT20,BW20,CZ20),2),0)</f>
        <v>0</v>
      </c>
      <c r="Q20" s="13" t="str">
        <f>IF(P20=0,"",IF(P20=CZ20,$CC$1,IF(P20=BW20,$AZ$1,IF(P20=AT20,$W$1,""))))</f>
        <v/>
      </c>
      <c r="R20" s="13">
        <f>IF(MAX(AX20,CA20,DD20)&gt;0,MAX(AX20,CA20,DD20),0)</f>
        <v>50.400000000000006</v>
      </c>
      <c r="S20" s="13" t="str">
        <f>IF(R20=0,"",IF(R20=DD20,$CC$1,IF(R20=CA20,$AZ$1,IF(R20=AX20,$W$1,""))))</f>
        <v>2022 Elite Canada</v>
      </c>
      <c r="T20" s="13">
        <f>IF(MAX(DF20:DH20)&gt;0,MAX(DF20:DH20),"")</f>
        <v>4.7000000000000028</v>
      </c>
      <c r="U20" s="16" t="str">
        <f>IF(T20="","",IF(T20=DF20,"("&amp;DF$2&amp;")",IF(T20=DH20,"("&amp;DH$2&amp;")")))</f>
        <v>(Q1)</v>
      </c>
      <c r="V20" s="13" t="str">
        <f>IF(T20="","",IF(T20=DF20,IF(T20+IF(L20="",0,L20)=PZ20,$PE$1,IF(T20+IF(L20="",0,L20)=OX20,$OC$1,IF(T20+IF(L20="",0,L20)=NV20,$NA$1,IF(T20+IF(L20="",0,L20)=MT20,$LY$1,IF(T20+IF(L20="",0,L20)=LR20,$KW$1,IF(T20+IF(L20="",0,L20)=KP20,$JU$1,IF(T20+IF(L20="",0,L20)=JN20,$IS$1,IF(T20+IF(L20="",0,L20)=IL20,$HQ$1,IF(T20+IF(L20="",0,L20)=HJ20,$GO$1,IF(T20+IF(L20="",0,L20)=GH20,$FM$1,IF(T20+IF(L20="",0,L20)=FF20,$EK$1,IF(T20+IF(L20="",0,L20)=ED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</f>
        <v>2022 World Games Technical Trial #1 (Mar 12)</v>
      </c>
      <c r="W20" s="27">
        <v>19</v>
      </c>
      <c r="X20" s="27">
        <v>7.2</v>
      </c>
      <c r="Y20" s="27">
        <v>0</v>
      </c>
      <c r="Z20" s="27">
        <v>0</v>
      </c>
      <c r="AA20" s="27">
        <v>18.399999999999999</v>
      </c>
      <c r="AB20" s="27">
        <v>6</v>
      </c>
      <c r="AC20" s="27">
        <v>0</v>
      </c>
      <c r="AD20" s="27">
        <v>0</v>
      </c>
      <c r="AE20" s="27">
        <v>19</v>
      </c>
      <c r="AF20" s="27">
        <v>6</v>
      </c>
      <c r="AG20" s="27">
        <v>0</v>
      </c>
      <c r="AH20" s="27">
        <v>0</v>
      </c>
      <c r="AI20" s="27">
        <v>18.8</v>
      </c>
      <c r="AJ20" s="27">
        <v>6.4</v>
      </c>
      <c r="AK20" s="27">
        <v>0.8</v>
      </c>
      <c r="AL20" s="27">
        <v>0</v>
      </c>
      <c r="AM20" s="27">
        <v>19.2</v>
      </c>
      <c r="AN20" s="27">
        <v>6.8</v>
      </c>
      <c r="AO20" s="27">
        <v>0</v>
      </c>
      <c r="AP20" s="27">
        <v>0</v>
      </c>
      <c r="AQ20" s="51"/>
      <c r="AR20" s="76">
        <f>IF(SUM(X20,AB20)&gt;0,SUM(X20,AB20),"")</f>
        <v>13.2</v>
      </c>
      <c r="AS20" s="76">
        <f>IF(SUM(W20:X20,Z20:AB20,AD20)-Y20-AC20&gt;0,SUM(W20:X20,Z20:AB20,AD20)-Y20-AC20,"")</f>
        <v>50.599999999999994</v>
      </c>
      <c r="AT20" s="76">
        <f>IF(SUM(AE20:AF20,AH20)-AG20&gt;0,SUM(AE20:AF20,AH20)-AG20,"")</f>
        <v>25</v>
      </c>
      <c r="AU20" s="76">
        <f>IF(SUM(X20,AB20,AF20)&gt;0,SUM(X20,AB20,AF20),"")</f>
        <v>19.2</v>
      </c>
      <c r="AV20" s="76">
        <f>IF(SUM(AS20,AT20)&gt;0,SUM(AS20,AT20),"")</f>
        <v>75.599999999999994</v>
      </c>
      <c r="AW20" s="76">
        <f>IF(SUM(AJ20,AN20)&gt;0,SUM(AJ20,AN20),"")</f>
        <v>13.2</v>
      </c>
      <c r="AX20" s="76">
        <f>IF(SUM(AI20:AJ20,AL20:AN20,AP20)-SUM(AK20,AO20)&gt;0,SUM(AI20:AJ20,AL20:AN20,AP20)-SUM(AK20,AO20),"")</f>
        <v>50.400000000000006</v>
      </c>
      <c r="AY20" s="76">
        <f>IF(SUM(AS20,AX20)&gt;0,SUM(AS20,AX20),"")</f>
        <v>101</v>
      </c>
      <c r="AZ20" s="26">
        <v>16.5</v>
      </c>
      <c r="BA20" s="26">
        <v>6.4</v>
      </c>
      <c r="BB20" s="26">
        <v>1</v>
      </c>
      <c r="BC20" s="26">
        <v>0</v>
      </c>
      <c r="BD20" s="26">
        <v>17.899999999999999</v>
      </c>
      <c r="BE20" s="26">
        <v>6</v>
      </c>
      <c r="BF20" s="26">
        <v>0.2</v>
      </c>
      <c r="BG20" s="26">
        <v>0</v>
      </c>
      <c r="BH20" s="26">
        <v>0</v>
      </c>
      <c r="BI20" s="26">
        <v>0</v>
      </c>
      <c r="BJ20" s="26">
        <v>0</v>
      </c>
      <c r="BK20" s="26">
        <v>0</v>
      </c>
      <c r="BL20" s="26"/>
      <c r="BM20" s="26"/>
      <c r="BN20" s="26"/>
      <c r="BO20" s="26"/>
      <c r="BP20" s="26"/>
      <c r="BQ20" s="26"/>
      <c r="BR20" s="26"/>
      <c r="BS20" s="26"/>
      <c r="BT20" s="52"/>
      <c r="BU20" s="16">
        <f>IF(SUM(BA20,BE20)&gt;0,SUM(BA20,BE20),"")</f>
        <v>12.4</v>
      </c>
      <c r="BV20" s="16">
        <f>IF(SUM(AZ20:BA20,BC20:BE20,BG20)-BB20-BF20&gt;0,SUM(AZ20:BA20,BC20:BE20,BG20)-BB20-BF20,"")</f>
        <v>45.599999999999994</v>
      </c>
      <c r="BW20" s="16" t="str">
        <f>IF(SUM(BH20:BI20,BK20)-BJ20&gt;0,SUM(BH20:BI20,BK20)-BJ20,"")</f>
        <v/>
      </c>
      <c r="BX20" s="16">
        <f>IF(SUM(BA20,BE20,BI20)&gt;0,SUM(BA20,BE20,BI20),"")</f>
        <v>12.4</v>
      </c>
      <c r="BY20" s="16">
        <f>IF(SUM(BV20,BW20)&gt;0,SUM(BV20,BW20),"")</f>
        <v>45.599999999999994</v>
      </c>
      <c r="BZ20" s="16" t="str">
        <f>IF(SUM(BM20,BQ20)&gt;0,SUM(BM20,BQ20),"")</f>
        <v/>
      </c>
      <c r="CA20" s="16" t="str">
        <f>IF(SUM(BL20:BM20,BO20:BQ20,BS20)-SUM(BN20,BR20)&gt;0,SUM(BL20:BM20,BO20:BQ20,BS20)-SUM(BN20,BR20),"")</f>
        <v/>
      </c>
      <c r="CB20" s="16">
        <f>IF(SUM(BV20,CA20)&gt;0,SUM(BV20,CA20),"")</f>
        <v>45.599999999999994</v>
      </c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51"/>
      <c r="CX20" s="76" t="str">
        <f>IF(SUM(CD20,CH20)&gt;0,SUM(CD20,CH20),"")</f>
        <v/>
      </c>
      <c r="CY20" s="76" t="str">
        <f>IF(SUM(CC20:CD20,CF20:CH20,CJ20)-CE20-CI20&gt;0,SUM(CC20:CD20,CF20:CH20,CJ20)-CE20-CI20,"")</f>
        <v/>
      </c>
      <c r="CZ20" s="76" t="str">
        <f>IF(SUM(CK20:CL20,CN20)-CM20&gt;0,SUM(CK20:CL20,CN20)-CM20,"")</f>
        <v/>
      </c>
      <c r="DA20" s="76" t="str">
        <f>IF(SUM(CD20,CH20,CL20)&gt;0,SUM(CD20,CH20,CL20),"")</f>
        <v/>
      </c>
      <c r="DB20" s="76" t="str">
        <f>IF(SUM(CY20,CZ20)&gt;0,SUM(CY20,CZ20),"")</f>
        <v/>
      </c>
      <c r="DC20" s="76" t="str">
        <f>IF(SUM(CP20,CT20)&gt;0,SUM(CP20,CT20),"")</f>
        <v/>
      </c>
      <c r="DD20" s="76" t="str">
        <f>IF(SUM(CO20:CP20,CR20:CT20,CV20)-SUM(CQ20,CU20)&gt;0,SUM(CO20:CP20,CR20:CT20,CV20)-SUM(CQ20,CU20),"")</f>
        <v/>
      </c>
      <c r="DE20" s="76" t="str">
        <f>IF(SUM(CY20,DD20)&gt;0,SUM(CY20,DD20),"")</f>
        <v/>
      </c>
      <c r="DF20" s="87">
        <f>IF(L20&gt;=0.001,IF(MAX(ED20,FF20,GH20,HJ20,IL20,JN20,KP20,LR20,MT20,NV20,OX20,PZ20)-IF(L20="",0,L20)&gt;0.001,MAX(ED20,FF20,GH20,HJ20,IL20,JN20,KP20,LR20,MT20,NV20,OX20,PZ20)-IF(L20="",0,L20),""),"")</f>
        <v>4.7000000000000028</v>
      </c>
      <c r="DG20" s="87" t="str">
        <f>IF(P20&gt;=0.001,IF(MAX(EE20,FG20,GI20,HK20,IM20,JO20,KQ20,LS20,MU20,NW20,OY20,QA20)-IF(P20="",0,P20)&gt;0.001,MAX(EE20,FG20,GI20,HK20,IM20,JO20,KQ20,LS20,MU20,NW20,OY20,QA20)-IF(P20="",0,P20),""),"")</f>
        <v/>
      </c>
      <c r="DH20" s="87">
        <f>IF(R20&gt;=0.001,IF(MAX(EI20,FK20,GM20,HO20,IQ20,JS20,KU20,LW20,MY20,OA20,PC20,QE20)-IF(R20="",0,R20)&gt;0.001,MAX(EI20,FK20,GM20,HO20,IQ20,JS20,KU20,LW20,MY20,OA20,PC20,QE20)-IF(R20="",0,R20),""),"")</f>
        <v>0.19999999999998863</v>
      </c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76" t="str">
        <f>IF(SUM(DJ20,DN20)&gt;0,SUM(DJ20,DN20),"")</f>
        <v/>
      </c>
      <c r="ED20" s="76" t="str">
        <f>IF(SUM(DI20:DJ20,DL20:DN20,DP20)-DK20-DO20&gt;0,SUM(DI20:DJ20,DL20:DN20,DP20)-DK20-DO20,"")</f>
        <v/>
      </c>
      <c r="EE20" s="76" t="str">
        <f>IF(SUM(DQ20:DR20,DT20)-DS20&gt;0,SUM(DQ20:DR20,DT20)-DS20,"")</f>
        <v/>
      </c>
      <c r="EF20" s="76" t="str">
        <f>IF(SUM(DJ20,DN20,DR20)&gt;0,SUM(DJ20,DN20,DR20),"")</f>
        <v/>
      </c>
      <c r="EG20" s="76" t="str">
        <f>IF(SUM(ED20,EE20)&gt;0,SUM(ED20,EE20),"")</f>
        <v/>
      </c>
      <c r="EH20" s="76" t="str">
        <f>IF(SUM(DV20,DZ20)&gt;0,SUM(DV20,DZ20),"")</f>
        <v/>
      </c>
      <c r="EI20" s="76" t="str">
        <f>IF(SUM(DU20:DV20,DX20:DZ20,EB20)-SUM(DW20,EA20)&gt;0,SUM(DU20:DV20,DX20:DZ20,EB20)-SUM(DW20,EA20),"")</f>
        <v/>
      </c>
      <c r="EJ20" s="76" t="str">
        <f>IF(SUM(ED20,EI20)&gt;0,SUM(ED20,EI20),"")</f>
        <v/>
      </c>
      <c r="EK20" s="26">
        <v>18.8</v>
      </c>
      <c r="EL20" s="26">
        <v>7.2</v>
      </c>
      <c r="EM20" s="26">
        <v>0.8</v>
      </c>
      <c r="EN20" s="26">
        <v>0</v>
      </c>
      <c r="EO20" s="26">
        <v>19.3</v>
      </c>
      <c r="EP20" s="26">
        <v>6</v>
      </c>
      <c r="EQ20" s="26">
        <v>0.2</v>
      </c>
      <c r="ER20" s="26">
        <v>0</v>
      </c>
      <c r="ES20" s="26"/>
      <c r="ET20" s="26"/>
      <c r="EU20" s="26"/>
      <c r="EV20" s="26"/>
      <c r="EW20" s="26">
        <v>19</v>
      </c>
      <c r="EX20" s="26">
        <v>7.2</v>
      </c>
      <c r="EY20" s="26">
        <v>0.2</v>
      </c>
      <c r="EZ20" s="26">
        <v>0</v>
      </c>
      <c r="FA20" s="26">
        <v>18.600000000000001</v>
      </c>
      <c r="FB20" s="26">
        <v>6.8</v>
      </c>
      <c r="FC20" s="26">
        <v>0.8</v>
      </c>
      <c r="FD20" s="26">
        <v>0</v>
      </c>
      <c r="FE20" s="16">
        <f>IF(SUM(EL20,EP20)&gt;0,SUM(EL20,EP20),"")</f>
        <v>13.2</v>
      </c>
      <c r="FF20" s="16">
        <f>IF(SUM(EK20:EL20,EN20:EP20,ER20)-EM20-EQ20&gt;0,SUM(EK20:EL20,EN20:EP20,ER20)-EM20-EQ20,"")</f>
        <v>50.3</v>
      </c>
      <c r="FG20" s="16" t="str">
        <f>IF(SUM(ES20:ET20,EV20)-EU20&gt;0,SUM(ES20:ET20,EV20)-EU20,"")</f>
        <v/>
      </c>
      <c r="FH20" s="16">
        <f>IF(SUM(EL20,EP20,ET20)&gt;0,SUM(EL20,EP20,ET20),"")</f>
        <v>13.2</v>
      </c>
      <c r="FI20" s="16">
        <f>IF(SUM(FF20,FG20)&gt;0,SUM(FF20,FG20),"")</f>
        <v>50.3</v>
      </c>
      <c r="FJ20" s="16">
        <f>IF(SUM(EX20,FB20)&gt;0,SUM(EX20,FB20),"")</f>
        <v>14</v>
      </c>
      <c r="FK20" s="16">
        <f>IF(SUM(EW20:EX20,EZ20:FB20,FD20)-SUM(EY20,FC20)&gt;0,SUM(EW20:EX20,EZ20:FB20,FD20)-SUM(EY20,FC20),"")</f>
        <v>50.599999999999994</v>
      </c>
      <c r="FL20" s="16">
        <f>IF(SUM(FF20,FK20)&gt;0,SUM(FF20,FK20),"")</f>
        <v>100.89999999999999</v>
      </c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76" t="str">
        <f>IF(SUM(FN20,FR20)&gt;0,SUM(FN20,FR20),"")</f>
        <v/>
      </c>
      <c r="GH20" s="76" t="str">
        <f>IF(SUM(FM20:FN20,FP20:FR20,FT20)-FO20-FS20&gt;0,SUM(FM20:FN20,FP20:FR20,FT20)-FO20-FS20,"")</f>
        <v/>
      </c>
      <c r="GI20" s="76" t="str">
        <f>IF(SUM(FU20:FV20,FX20)-FW20&gt;0,SUM(FU20:FV20,FX20)-FW20,"")</f>
        <v/>
      </c>
      <c r="GJ20" s="76" t="str">
        <f>IF(SUM(FN20,FR20,FV20)&gt;0,SUM(FN20,FR20,FV20),"")</f>
        <v/>
      </c>
      <c r="GK20" s="76" t="str">
        <f>IF(SUM(GH20,GI20)&gt;0,SUM(GH20,GI20),"")</f>
        <v/>
      </c>
      <c r="GL20" s="76" t="str">
        <f>IF(SUM(FZ20,GD20)&gt;0,SUM(FZ20,GD20),"")</f>
        <v/>
      </c>
      <c r="GM20" s="76" t="str">
        <f>IF(SUM(FY20:FZ20,GB20:GD20,GF20)-SUM(GA20,GE20)&gt;0,SUM(FY20:FZ20,GB20:GD20,GF20)-SUM(GA20,GE20),"")</f>
        <v/>
      </c>
      <c r="GN20" s="76" t="str">
        <f>IF(SUM(GH20,GM20)&gt;0,SUM(GH20,GM20),"")</f>
        <v/>
      </c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16" t="str">
        <f>IF(SUM(GP20,GT20)&gt;0,SUM(GP20,GT20),"")</f>
        <v/>
      </c>
      <c r="HJ20" s="16" t="str">
        <f>IF(SUM(GO20:GP20,GR20:GT20,GV20)-GQ20-GU20&gt;0,SUM(GO20:GP20,GR20:GT20,GV20)-GQ20-GU20,"")</f>
        <v/>
      </c>
      <c r="HK20" s="16" t="str">
        <f>IF(SUM(GW20:GX20,GZ20)-GY20&gt;0,SUM(GW20:GX20,GZ20)-GY20,"")</f>
        <v/>
      </c>
      <c r="HL20" s="16" t="str">
        <f>IF(SUM(GP20,GT20,GX20)&gt;0,SUM(GP20,GT20,GX20),"")</f>
        <v/>
      </c>
      <c r="HM20" s="16" t="str">
        <f>IF(SUM(HJ20,HK20)&gt;0,SUM(HJ20,HK20),"")</f>
        <v/>
      </c>
      <c r="HN20" s="16" t="str">
        <f>IF(SUM(HB20,HF20)&gt;0,SUM(HB20,HF20),"")</f>
        <v/>
      </c>
      <c r="HO20" s="16" t="str">
        <f>IF(SUM(HA20:HB20,HD20:HF20,HH20)-SUM(HC20,HG20)&gt;0,SUM(HA20:HB20,HD20:HF20,HH20)-SUM(HC20,HG20),"")</f>
        <v/>
      </c>
      <c r="HP20" s="16" t="str">
        <f>IF(SUM(HJ20,HO20)&gt;0,SUM(HJ20,HO20),"")</f>
        <v/>
      </c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76" t="str">
        <f>IF(SUM(HR20,HV20)&gt;0,SUM(HR20,HV20),"")</f>
        <v/>
      </c>
      <c r="IL20" s="76" t="str">
        <f>IF(SUM(HQ20:HR20,HT20:HV20,HX20)-HS20-HW20&gt;0,SUM(HQ20:HR20,HT20:HV20,HX20)-HS20-HW20,"")</f>
        <v/>
      </c>
      <c r="IM20" s="76" t="str">
        <f>IF(SUM(HY20:HZ20,IB20)-IA20&gt;0,SUM(HY20:HZ20,IB20)-IA20,"")</f>
        <v/>
      </c>
      <c r="IN20" s="76" t="str">
        <f>IF(SUM(HR20,HV20,HZ20)&gt;0,SUM(HR20,HV20,HZ20),"")</f>
        <v/>
      </c>
      <c r="IO20" s="76" t="str">
        <f>IF(SUM(IL20,IM20)&gt;0,SUM(IL20,IM20),"")</f>
        <v/>
      </c>
      <c r="IP20" s="76" t="str">
        <f>IF(SUM(ID20,IH20)&gt;0,SUM(ID20,IH20),"")</f>
        <v/>
      </c>
      <c r="IQ20" s="76" t="str">
        <f>IF(SUM(IC20:ID20,IF20:IH20,IJ20)-SUM(IE20,II20)&gt;0,SUM(IC20:ID20,IF20:IH20,IJ20)-SUM(IE20,II20),"")</f>
        <v/>
      </c>
      <c r="IR20" s="76" t="str">
        <f>IF(SUM(IL20,IQ20)&gt;0,SUM(IL20,IQ20),"")</f>
        <v/>
      </c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16" t="str">
        <f>IF(SUM(IT20,IX20)&gt;0,SUM(IT20,IX20),"")</f>
        <v/>
      </c>
      <c r="JN20" s="16" t="str">
        <f>IF(SUM(IS20:IT20,IV20:IX20,IZ20)-IU20-IY20&gt;0,SUM(IS20:IT20,IV20:IX20,IZ20)-IU20-IY20,"")</f>
        <v/>
      </c>
      <c r="JO20" s="16" t="str">
        <f>IF(SUM(JA20:JB20,JD20)-JC20&gt;0,SUM(JA20:JB20,JD20)-JC20,"")</f>
        <v/>
      </c>
      <c r="JP20" s="16" t="str">
        <f>IF(SUM(IT20,IX20,JB20)&gt;0,SUM(IT20,IX20,JB20),"")</f>
        <v/>
      </c>
      <c r="JQ20" s="16" t="str">
        <f>IF(SUM(JN20,JO20)&gt;0,SUM(JN20,JO20),"")</f>
        <v/>
      </c>
      <c r="JR20" s="16" t="str">
        <f>IF(SUM(JF20,JJ20)&gt;0,SUM(JF20,JJ20),"")</f>
        <v/>
      </c>
      <c r="JS20" s="16" t="str">
        <f>IF(SUM(JE20:JF20,JH20:JJ20,JL20)-SUM(JG20,JK20)&gt;0,SUM(JE20:JF20,JH20:JJ20,JL20)-SUM(JG20,JK20),"")</f>
        <v/>
      </c>
      <c r="JT20" s="16" t="str">
        <f>IF(SUM(JN20,JS20)&gt;0,SUM(JN20,JS20),"")</f>
        <v/>
      </c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76" t="str">
        <f>IF(SUM(JV20,JZ20)&gt;0,SUM(JV20,JZ20),"")</f>
        <v/>
      </c>
      <c r="KP20" s="76" t="str">
        <f>IF(SUM(JU20:JV20,JX20:JZ20,KB20)-JW20-KA20&gt;0,SUM(JU20:JV20,JX20:JZ20,KB20)-JW20-KA20,"")</f>
        <v/>
      </c>
      <c r="KQ20" s="76" t="str">
        <f>IF(SUM(KC20:KD20,KF20)-KE20&gt;0,SUM(KC20:KD20,KF20)-KE20,"")</f>
        <v/>
      </c>
      <c r="KR20" s="76" t="str">
        <f>IF(SUM(JV20,JZ20,KD20)&gt;0,SUM(JV20,JZ20,KD20),"")</f>
        <v/>
      </c>
      <c r="KS20" s="76" t="str">
        <f>IF(SUM(KP20,KQ20)&gt;0,SUM(KP20,KQ20),"")</f>
        <v/>
      </c>
      <c r="KT20" s="76" t="str">
        <f>IF(SUM(KH20,KL20)&gt;0,SUM(KH20,KL20),"")</f>
        <v/>
      </c>
      <c r="KU20" s="76" t="str">
        <f>IF(SUM(KG20:KH20,KJ20:KL20,KN20)-SUM(KI20,KM20)&gt;0,SUM(KG20:KH20,KJ20:KL20,KN20)-SUM(KI20,KM20),"")</f>
        <v/>
      </c>
      <c r="KV20" s="76" t="str">
        <f>IF(SUM(KP20,KU20)&gt;0,SUM(KP20,KU20),"")</f>
        <v/>
      </c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16" t="str">
        <f>IF(SUM(KX20,LB20)&gt;0,SUM(KX20,LB20),"")</f>
        <v/>
      </c>
      <c r="LR20" s="16" t="str">
        <f>IF(SUM(KW20:KX20,KZ20:LB20,LD20)-KY20-LC20&gt;0,SUM(KW20:KX20,KZ20:LB20,LD20)-KY20-LC20,"")</f>
        <v/>
      </c>
      <c r="LS20" s="16" t="str">
        <f>IF(SUM(LE20:LF20,LH20)-LG20&gt;0,SUM(LE20:LF20,LH20)-LG20,"")</f>
        <v/>
      </c>
      <c r="LT20" s="16" t="str">
        <f>IF(SUM(KX20,LB20,LF20)&gt;0,SUM(KX20,LB20,LF20),"")</f>
        <v/>
      </c>
      <c r="LU20" s="16" t="str">
        <f>IF(SUM(LR20,LS20)&gt;0,SUM(LR20,LS20),"")</f>
        <v/>
      </c>
      <c r="LV20" s="16" t="str">
        <f>IF(SUM(LJ20,LN20)&gt;0,SUM(LJ20,LN20),"")</f>
        <v/>
      </c>
      <c r="LW20" s="16" t="str">
        <f>IF(SUM(LI20:LJ20,LL20:LN20,LP20)-SUM(LK20,LO20)&gt;0,SUM(LI20:LJ20,LL20:LN20,LP20)-SUM(LK20,LO20),"")</f>
        <v/>
      </c>
      <c r="LX20" s="16" t="str">
        <f>IF(SUM(LR20,LW20)&gt;0,SUM(LR20,LW20),"")</f>
        <v/>
      </c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76" t="str">
        <f>IF(SUM(LZ20,MD20)&gt;0,SUM(LZ20,MD20),"")</f>
        <v/>
      </c>
      <c r="MT20" s="76" t="str">
        <f>IF(SUM(LY20:LZ20,MB20:MD20,MF20)-MA20-ME20&gt;0,SUM(LY20:LZ20,MB20:MD20,MF20)-MA20-ME20,"")</f>
        <v/>
      </c>
      <c r="MU20" s="76" t="str">
        <f>IF(SUM(MG20:MH20,MJ20)-MI20&gt;0,SUM(MG20:MH20,MJ20)-MI20,"")</f>
        <v/>
      </c>
      <c r="MV20" s="76" t="str">
        <f>IF(SUM(LZ20,MD20,MH20)&gt;0,SUM(LZ20,MD20,MH20),"")</f>
        <v/>
      </c>
      <c r="MW20" s="76" t="str">
        <f>IF(SUM(MT20,MU20)&gt;0,SUM(MT20,MU20),"")</f>
        <v/>
      </c>
      <c r="MX20" s="76" t="str">
        <f>IF(SUM(ML20,MP20)&gt;0,SUM(ML20,MP20),"")</f>
        <v/>
      </c>
      <c r="MY20" s="76" t="str">
        <f>IF(SUM(MK20:ML20,MN20:MP20,MR20)-SUM(MM20,MQ20)&gt;0,SUM(MK20:ML20,MN20:MP20,MR20)-SUM(MM20,MQ20),"")</f>
        <v/>
      </c>
      <c r="MZ20" s="76" t="str">
        <f>IF(SUM(MT20,MY20)&gt;0,SUM(MT20,MY20),"")</f>
        <v/>
      </c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6"/>
      <c r="NU20" s="16" t="str">
        <f>IF(SUM(NB20,NF20)&gt;0,SUM(NB20,NF20),"")</f>
        <v/>
      </c>
      <c r="NV20" s="16" t="str">
        <f>IF(SUM(NA20:NB20,ND20:NF20,NH20)-NC20-NG20&gt;0,SUM(NA20:NB20,ND20:NF20,NH20)-NC20-NG20,"")</f>
        <v/>
      </c>
      <c r="NW20" s="16" t="str">
        <f>IF(SUM(NI20:NJ20,NL20)-NK20&gt;0,SUM(NI20:NJ20,NL20)-NK20,"")</f>
        <v/>
      </c>
      <c r="NX20" s="16" t="str">
        <f>IF(SUM(NB20,NF20,NJ20)&gt;0,SUM(NB20,NF20,NJ20),"")</f>
        <v/>
      </c>
      <c r="NY20" s="16" t="str">
        <f>IF(SUM(NV20,NW20)&gt;0,SUM(NV20,NW20),"")</f>
        <v/>
      </c>
      <c r="NZ20" s="16" t="str">
        <f>IF(SUM(NN20,NR20)&gt;0,SUM(NN20,NR20),"")</f>
        <v/>
      </c>
      <c r="OA20" s="16" t="str">
        <f>IF(SUM(NM20:NN20,NP20:NR20,NT20)-SUM(NO20,NS20)&gt;0,SUM(NM20:NN20,NP20:NR20,NT20)-SUM(NO20,NS20),"")</f>
        <v/>
      </c>
      <c r="OB20" s="16" t="str">
        <f>IF(SUM(NV20,OA20)&gt;0,SUM(NV20,OA20),"")</f>
        <v/>
      </c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76" t="str">
        <f>IF(SUM(OD20,OH20)&gt;0,SUM(OD20,OH20),"")</f>
        <v/>
      </c>
      <c r="OX20" s="76" t="str">
        <f>IF(SUM(OC20:OD20,OF20:OH20,OJ20)-OE20-OI20&gt;0,SUM(OC20:OD20,OF20:OH20,OJ20)-OE20-OI20,"")</f>
        <v/>
      </c>
      <c r="OY20" s="76" t="str">
        <f>IF(SUM(OK20:OL20,ON20)-OM20&gt;0,SUM(OK20:OL20,ON20)-OM20,"")</f>
        <v/>
      </c>
      <c r="OZ20" s="76" t="str">
        <f>IF(SUM(OD20,OH20,OL20)&gt;0,SUM(OD20,OH20,OL20),"")</f>
        <v/>
      </c>
      <c r="PA20" s="76" t="str">
        <f>IF(SUM(OX20,OY20)&gt;0,SUM(OX20,OY20),"")</f>
        <v/>
      </c>
      <c r="PB20" s="76" t="str">
        <f>IF(SUM(OP20,OT20)&gt;0,SUM(OP20,OT20),"")</f>
        <v/>
      </c>
      <c r="PC20" s="76" t="str">
        <f>IF(SUM(OO20:OP20,OR20:OT20,OV20)-SUM(OQ20,OU20)&gt;0,SUM(OO20:OP20,OR20:OT20,OV20)-SUM(OQ20,OU20),"")</f>
        <v/>
      </c>
      <c r="PD20" s="76" t="str">
        <f>IF(SUM(OX20,PC20)&gt;0,SUM(OX20,PC20),"")</f>
        <v/>
      </c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6"/>
      <c r="PY20" s="16" t="str">
        <f>IF(SUM(PF20,PJ20)&gt;0,SUM(PF20,PJ20),"")</f>
        <v/>
      </c>
      <c r="PZ20" s="16" t="str">
        <f>IF(SUM(PE20:PF20,PH20:PJ20,PL20)-PG20-PK20&gt;0,SUM(PE20:PF20,PH20:PJ20,PL20)-PG20-PK20,"")</f>
        <v/>
      </c>
      <c r="QA20" s="16" t="str">
        <f>IF(SUM(PM20:PN20,PP20)-PO20&gt;0,SUM(PM20:PN20,PP20)-PO20,"")</f>
        <v/>
      </c>
      <c r="QB20" s="16" t="str">
        <f>IF(SUM(PF20,PJ20,PN20)&gt;0,SUM(PF20,PJ20,PN20),"")</f>
        <v/>
      </c>
      <c r="QC20" s="16" t="str">
        <f>IF(SUM(PZ20,QA20)&gt;0,SUM(PZ20,QA20),"")</f>
        <v/>
      </c>
      <c r="QD20" s="16" t="str">
        <f>IF(SUM(PR20,PV20)&gt;0,SUM(PR20,PV20),"")</f>
        <v/>
      </c>
      <c r="QE20" s="16" t="str">
        <f>IF(SUM(PQ20:PR20,PT20:PV20,PX20)-SUM(PS20,PW20)&gt;0,SUM(PQ20:PR20,PT20:PV20,PX20)-SUM(PS20,PW20),"")</f>
        <v/>
      </c>
      <c r="QF20" s="16" t="str">
        <f>IF(SUM(PZ20,QE20)&gt;0,SUM(PZ20,QE20),"")</f>
        <v/>
      </c>
      <c r="QG20" s="42">
        <f>IF($CW20="P",CC20,(CC20+AZ20)/2)</f>
        <v>8.25</v>
      </c>
      <c r="QH20" s="42">
        <f>IF($CW20="P",CD20,(CD20+BA20)/2)</f>
        <v>3.2</v>
      </c>
      <c r="QI20" s="42">
        <f>IF($CW20="P",CE20,(CE20+BB20)/2)</f>
        <v>0.5</v>
      </c>
      <c r="QJ20" s="42">
        <f>IF($CW20="P",CF20,(CF20+BC20)/2)</f>
        <v>0</v>
      </c>
      <c r="QK20" s="42">
        <f>IF($CW20="P",CG20,(CG20+BD20)/2)</f>
        <v>8.9499999999999993</v>
      </c>
      <c r="QL20" s="42">
        <f>IF($CW20="P",CH20,(CH20+BE20)/2)</f>
        <v>3</v>
      </c>
      <c r="QM20" s="42">
        <f>IF($CW20="P",CI20,(CI20+BF20)/2)</f>
        <v>0.1</v>
      </c>
      <c r="QN20" s="42">
        <f>IF($CW20="P",CJ20,(CJ20+BG20)/2)</f>
        <v>0</v>
      </c>
      <c r="QO20" s="42">
        <f>IF($CW20="P",CK20,(CK20+BH20)/2)</f>
        <v>0</v>
      </c>
      <c r="QP20" s="42">
        <f>IF($CW20="P",CL20,(CL20+BI20)/2)</f>
        <v>0</v>
      </c>
      <c r="QQ20" s="42">
        <f>IF($CW20="P",CM20,(CM20+BJ20)/2)</f>
        <v>0</v>
      </c>
      <c r="QR20" s="42">
        <f>IF($CW20="P",CN20,(CN20+BK20)/2)</f>
        <v>0</v>
      </c>
      <c r="QS20" s="42">
        <f>IF($CW20="P",CO20,(CO20+BL20)/2)</f>
        <v>0</v>
      </c>
      <c r="QT20" s="42">
        <f>IF($CW20="P",CP20,(CP20+BM20)/2)</f>
        <v>0</v>
      </c>
      <c r="QU20" s="42">
        <f>IF($CW20="P",CQ20,(CQ20+BN20)/2)</f>
        <v>0</v>
      </c>
      <c r="QV20" s="42">
        <f>IF($CW20="P",CR20,(CR20+BO20)/2)</f>
        <v>0</v>
      </c>
      <c r="QW20" s="42">
        <f>IF($CW20="P",CS20,(CS20+BP20)/2)</f>
        <v>0</v>
      </c>
      <c r="QX20" s="42">
        <f>IF($CW20="P",CT20,(CT20+BQ20)/2)</f>
        <v>0</v>
      </c>
      <c r="QY20" s="42">
        <f>IF($CW20="P",CU20,(CU20+BR20)/2)</f>
        <v>0</v>
      </c>
      <c r="QZ20" s="42">
        <f>IF($CW20="P",CV20,(CV20+BS20)/2)</f>
        <v>0</v>
      </c>
      <c r="RA20" s="51" t="s">
        <v>58</v>
      </c>
      <c r="RB20" s="76">
        <f>IF(SUM(QH20,QL20)&gt;0,SUM(QH20,QL20),"")</f>
        <v>6.2</v>
      </c>
      <c r="RC20" s="76">
        <f>IF(SUM(QG20:QH20,QJ20:QL20,QN20)-QI20-QM20&gt;0,SUM(QG20:QH20,QJ20:QL20,QN20)-QI20-QM20,"")</f>
        <v>22.799999999999997</v>
      </c>
      <c r="RD20" s="76" t="str">
        <f>IF(SUM(QO20:QP20,QR20)-QQ20&gt;0,SUM(QO20:QP20,QR20)-QQ20,"")</f>
        <v/>
      </c>
      <c r="RE20" s="76">
        <f>IF(SUM(QH20,QL20,QP20)&gt;0,SUM(QH20,QL20,QP20),"")</f>
        <v>6.2</v>
      </c>
      <c r="RF20" s="76">
        <f>IF(SUM(RC20,RD20)&gt;0,SUM(RC20,RD20),"")</f>
        <v>22.799999999999997</v>
      </c>
      <c r="RG20" s="76" t="str">
        <f>IF(SUM(QT20,QX20)&gt;0,SUM(QT20,QX20),"")</f>
        <v/>
      </c>
      <c r="RH20" s="76" t="str">
        <f>IF(SUM(QS20:QT20,QV20:QX20,QZ20)-SUM(QU20,QY20)&gt;0,SUM(QS20:QT20,QV20:QX20,QZ20)-SUM(QU20,QY20),"")</f>
        <v/>
      </c>
      <c r="RI20" s="76">
        <f>IF(SUM(RC20,RH20)&gt;0,SUM(RC20,RH20),"")</f>
        <v>22.799999999999997</v>
      </c>
    </row>
    <row r="21" spans="1:477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6" t="s">
        <v>90</v>
      </c>
      <c r="C21" s="7" t="s">
        <v>6</v>
      </c>
      <c r="D21" s="18">
        <v>2002</v>
      </c>
      <c r="E21" s="14">
        <f>SUM(J21:T21)+SUM(J21:P21)*0.0000001+SUM(J21)*0.0000000000001</f>
        <v>129.60001259000487</v>
      </c>
      <c r="F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G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H21" s="70" t="str">
        <f>IF(AND(G21="P",F21=""),"No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I21="P","Worlds Team",IF(F21="P","National Team","")))))</f>
        <v/>
      </c>
      <c r="I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J21" s="13">
        <f>IF(COUNT(AS21,BV21,CY21)&gt;0,LARGE((AS21,BV21,CY21),1),0)</f>
        <v>48.2</v>
      </c>
      <c r="K21" s="13" t="str">
        <f>IF(J21=0,"",IF(J21=CY21,$CC$1,IF(J21=BV21,$AZ$1,IF(J21=AS21,$W$1,""))))</f>
        <v>2022 Elite Canada</v>
      </c>
      <c r="L21" s="13">
        <f>IF(COUNT(AS21,BV21,CY21)&gt;1,LARGE((AS21,BV21,CY21),2),0)</f>
        <v>42.1</v>
      </c>
      <c r="M21" s="13" t="str">
        <f>IF(L21=0,"",IF(L21=CY21,$CC$1,IF(L21=BV21,$AZ$1,IF(L21=AS21,$W$1,""))))</f>
        <v>2022 Nationals</v>
      </c>
      <c r="N21" s="13">
        <f>IF(COUNT(AT21,BW21,CZ21)&gt;0,LARGE((AT21,BW21,CZ21),1),0)</f>
        <v>19.300000000000004</v>
      </c>
      <c r="O21" s="13" t="str">
        <f>IF(N21=0,"",IF(N21=CZ21,$CC$1,IF(N21=BW21,$AZ$1,IF(N21=AT21,$W$1,""))))</f>
        <v>2022 Elite Canada</v>
      </c>
      <c r="P21" s="13">
        <f>IF(COUNT(AT21,BW21,CZ21)&gt;1,LARGE((AT21,BW21,CZ21),2),0)</f>
        <v>16.3</v>
      </c>
      <c r="Q21" s="13" t="str">
        <f>IF(P21=0,"",IF(P21=CZ21,$CC$1,IF(P21=BW21,$AZ$1,IF(P21=AT21,$W$1,""))))</f>
        <v>2022 Nationals</v>
      </c>
      <c r="R21" s="13">
        <f>IF(MAX(AX21,CA21,DD21)&gt;0,MAX(AX21,CA21,DD21),0)</f>
        <v>0</v>
      </c>
      <c r="S21" s="13" t="str">
        <f>IF(R21=0,"",IF(R21=DD21,$CC$1,IF(R21=CA21,$AZ$1,IF(R21=AX21,$W$1,""))))</f>
        <v/>
      </c>
      <c r="T21" s="13">
        <f>IF(MAX(DF21:DH21)&gt;0,MAX(DF21:DH21),"")</f>
        <v>3.6999999999999886</v>
      </c>
      <c r="U21" s="16" t="str">
        <f>IF(T21="","",IF(T21=DF21,"("&amp;DF$2&amp;")",IF(T21=DH21,"("&amp;DH$2&amp;")")))</f>
        <v>(Q1)</v>
      </c>
      <c r="V21" s="13" t="str">
        <f>IF(T21="","",IF(T21=DF21,IF(T21+IF(L21="",0,L21)=PZ21,$PE$1,IF(T21+IF(L21="",0,L21)=OX21,$OC$1,IF(T21+IF(L21="",0,L21)=NV21,$NA$1,IF(T21+IF(L21="",0,L21)=MT21,$LY$1,IF(T21+IF(L21="",0,L21)=LR21,$KW$1,IF(T21+IF(L21="",0,L21)=KP21,$JU$1,IF(T21+IF(L21="",0,L21)=JN21,$IS$1,IF(T21+IF(L21="",0,L21)=IL21,$HQ$1,IF(T21+IF(L21="",0,L21)=HJ21,$GO$1,IF(T21+IF(L21="",0,L21)=GH21,$FM$1,IF(T21+IF(L21="",0,L21)=FF21,$EK$1,IF(T21+IF(L21="",0,L21)=ED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</f>
        <v>2022 World Games Technical Trial #1 (Mar 12)</v>
      </c>
      <c r="W21" s="27">
        <v>18.2</v>
      </c>
      <c r="X21" s="27">
        <v>6</v>
      </c>
      <c r="Y21" s="27">
        <v>0.8</v>
      </c>
      <c r="Z21" s="27">
        <v>0</v>
      </c>
      <c r="AA21" s="27">
        <v>19</v>
      </c>
      <c r="AB21" s="27">
        <v>6.4</v>
      </c>
      <c r="AC21" s="27">
        <v>0.6</v>
      </c>
      <c r="AD21" s="27">
        <v>0</v>
      </c>
      <c r="AE21" s="27">
        <v>18.100000000000001</v>
      </c>
      <c r="AF21" s="27">
        <v>4.0999999999999996</v>
      </c>
      <c r="AG21" s="27">
        <v>2.9</v>
      </c>
      <c r="AH21" s="27">
        <v>0</v>
      </c>
      <c r="AI21" s="27"/>
      <c r="AJ21" s="27"/>
      <c r="AK21" s="27"/>
      <c r="AL21" s="27"/>
      <c r="AM21" s="27"/>
      <c r="AN21" s="27"/>
      <c r="AO21" s="27"/>
      <c r="AP21" s="27"/>
      <c r="AQ21" s="51"/>
      <c r="AR21" s="76">
        <f>IF(SUM(X21,AB21)&gt;0,SUM(X21,AB21),"")</f>
        <v>12.4</v>
      </c>
      <c r="AS21" s="76">
        <f>IF(SUM(W21:X21,Z21:AB21,AD21)-Y21-AC21&gt;0,SUM(W21:X21,Z21:AB21,AD21)-Y21-AC21,"")</f>
        <v>48.2</v>
      </c>
      <c r="AT21" s="76">
        <f>IF(SUM(AE21:AF21,AH21)-AG21&gt;0,SUM(AE21:AF21,AH21)-AG21,"")</f>
        <v>19.300000000000004</v>
      </c>
      <c r="AU21" s="76">
        <f>IF(SUM(X21,AB21,AF21)&gt;0,SUM(X21,AB21,AF21),"")</f>
        <v>16.5</v>
      </c>
      <c r="AV21" s="76">
        <f>IF(SUM(AS21,AT21)&gt;0,SUM(AS21,AT21),"")</f>
        <v>67.5</v>
      </c>
      <c r="AW21" s="76" t="str">
        <f>IF(SUM(AJ21,AN21)&gt;0,SUM(AJ21,AN21),"")</f>
        <v/>
      </c>
      <c r="AX21" s="76" t="str">
        <f>IF(SUM(AI21:AJ21,AL21:AN21,AP21)-SUM(AK21,AO21)&gt;0,SUM(AI21:AJ21,AL21:AN21,AP21)-SUM(AK21,AO21),"")</f>
        <v/>
      </c>
      <c r="AY21" s="76">
        <f>IF(SUM(AS21,AX21)&gt;0,SUM(AS21,AX21),"")</f>
        <v>48.2</v>
      </c>
      <c r="AZ21" s="26">
        <v>18</v>
      </c>
      <c r="BA21" s="26">
        <v>5.6</v>
      </c>
      <c r="BB21" s="26">
        <v>1</v>
      </c>
      <c r="BC21" s="26">
        <v>0</v>
      </c>
      <c r="BD21" s="26">
        <v>18.5</v>
      </c>
      <c r="BE21" s="26">
        <v>3.8</v>
      </c>
      <c r="BF21" s="26">
        <v>2.8000000000000003</v>
      </c>
      <c r="BG21" s="26">
        <v>0</v>
      </c>
      <c r="BH21" s="26">
        <v>16.3</v>
      </c>
      <c r="BI21" s="26">
        <v>3.3</v>
      </c>
      <c r="BJ21" s="26">
        <v>3.3000000000000003</v>
      </c>
      <c r="BK21" s="26">
        <v>0</v>
      </c>
      <c r="BL21" s="26"/>
      <c r="BM21" s="26"/>
      <c r="BN21" s="26"/>
      <c r="BO21" s="26"/>
      <c r="BP21" s="26"/>
      <c r="BQ21" s="26"/>
      <c r="BR21" s="26"/>
      <c r="BS21" s="26"/>
      <c r="BT21" s="52"/>
      <c r="BU21" s="16">
        <f>IF(SUM(BA21,BE21)&gt;0,SUM(BA21,BE21),"")</f>
        <v>9.3999999999999986</v>
      </c>
      <c r="BV21" s="16">
        <f>IF(SUM(AZ21:BA21,BC21:BE21,BG21)-BB21-BF21&gt;0,SUM(AZ21:BA21,BC21:BE21,BG21)-BB21-BF21,"")</f>
        <v>42.1</v>
      </c>
      <c r="BW21" s="16">
        <f>IF(SUM(BH21:BI21,BK21)-BJ21&gt;0,SUM(BH21:BI21,BK21)-BJ21,"")</f>
        <v>16.3</v>
      </c>
      <c r="BX21" s="16">
        <f>IF(SUM(BA21,BE21,BI21)&gt;0,SUM(BA21,BE21,BI21),"")</f>
        <v>12.7</v>
      </c>
      <c r="BY21" s="16">
        <f>IF(SUM(BV21,BW21)&gt;0,SUM(BV21,BW21),"")</f>
        <v>58.400000000000006</v>
      </c>
      <c r="BZ21" s="16" t="str">
        <f>IF(SUM(BM21,BQ21)&gt;0,SUM(BM21,BQ21),"")</f>
        <v/>
      </c>
      <c r="CA21" s="16" t="str">
        <f>IF(SUM(BL21:BM21,BO21:BQ21,BS21)-SUM(BN21,BR21)&gt;0,SUM(BL21:BM21,BO21:BQ21,BS21)-SUM(BN21,BR21),"")</f>
        <v/>
      </c>
      <c r="CB21" s="16">
        <f>IF(SUM(BV21,CA21)&gt;0,SUM(BV21,CA21),"")</f>
        <v>42.1</v>
      </c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51"/>
      <c r="CX21" s="76" t="str">
        <f>IF(SUM(CD21,CH21)&gt;0,SUM(CD21,CH21),"")</f>
        <v/>
      </c>
      <c r="CY21" s="76" t="str">
        <f>IF(SUM(CC21:CD21,CF21:CH21,CJ21)-CE21-CI21&gt;0,SUM(CC21:CD21,CF21:CH21,CJ21)-CE21-CI21,"")</f>
        <v/>
      </c>
      <c r="CZ21" s="76" t="str">
        <f>IF(SUM(CK21:CL21,CN21)-CM21&gt;0,SUM(CK21:CL21,CN21)-CM21,"")</f>
        <v/>
      </c>
      <c r="DA21" s="76" t="str">
        <f>IF(SUM(CD21,CH21,CL21)&gt;0,SUM(CD21,CH21,CL21),"")</f>
        <v/>
      </c>
      <c r="DB21" s="76" t="str">
        <f>IF(SUM(CY21,CZ21)&gt;0,SUM(CY21,CZ21),"")</f>
        <v/>
      </c>
      <c r="DC21" s="76" t="str">
        <f>IF(SUM(CP21,CT21)&gt;0,SUM(CP21,CT21),"")</f>
        <v/>
      </c>
      <c r="DD21" s="76" t="str">
        <f>IF(SUM(CO21:CP21,CR21:CT21,CV21)-SUM(CQ21,CU21)&gt;0,SUM(CO21:CP21,CR21:CT21,CV21)-SUM(CQ21,CU21),"")</f>
        <v/>
      </c>
      <c r="DE21" s="76" t="str">
        <f>IF(SUM(CY21,DD21)&gt;0,SUM(CY21,DD21),"")</f>
        <v/>
      </c>
      <c r="DF21" s="87">
        <f>IF(L21&gt;=0.001,IF(MAX(ED21,FF21,GH21,HJ21,IL21,JN21,KP21,LR21,MT21,NV21,OX21,PZ21)-IF(L21="",0,L21)&gt;0.001,MAX(ED21,FF21,GH21,HJ21,IL21,JN21,KP21,LR21,MT21,NV21,OX21,PZ21)-IF(L21="",0,L21),""),"")</f>
        <v>3.6999999999999886</v>
      </c>
      <c r="DG21" s="87" t="str">
        <f>IF(P21&gt;=0.001,IF(MAX(EE21,FG21,GI21,HK21,IM21,JO21,KQ21,LS21,MU21,NW21,OY21,QA21)-IF(P21="",0,P21)&gt;0.001,MAX(EE21,FG21,GI21,HK21,IM21,JO21,KQ21,LS21,MU21,NW21,OY21,QA21)-IF(P21="",0,P21),""),"")</f>
        <v/>
      </c>
      <c r="DH21" s="87" t="str">
        <f>IF(R21&gt;=0.001,IF(MAX(EI21,FK21,GM21,HO21,IQ21,JS21,KU21,LW21,MY21,OA21,PC21,QE21)-IF(R21="",0,R21)&gt;0.001,MAX(EI21,FK21,GM21,HO21,IQ21,JS21,KU21,LW21,MY21,OA21,PC21,QE21)-IF(R21="",0,R21),""),"")</f>
        <v/>
      </c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76" t="str">
        <f>IF(SUM(DJ21,DN21)&gt;0,SUM(DJ21,DN21),"")</f>
        <v/>
      </c>
      <c r="ED21" s="76" t="str">
        <f>IF(SUM(DI21:DJ21,DL21:DN21,DP21)-DK21-DO21&gt;0,SUM(DI21:DJ21,DL21:DN21,DP21)-DK21-DO21,"")</f>
        <v/>
      </c>
      <c r="EE21" s="76" t="str">
        <f>IF(SUM(DQ21:DR21,DT21)-DS21&gt;0,SUM(DQ21:DR21,DT21)-DS21,"")</f>
        <v/>
      </c>
      <c r="EF21" s="76" t="str">
        <f>IF(SUM(DJ21,DN21,DR21)&gt;0,SUM(DJ21,DN21,DR21),"")</f>
        <v/>
      </c>
      <c r="EG21" s="76" t="str">
        <f>IF(SUM(ED21,EE21)&gt;0,SUM(ED21,EE21),"")</f>
        <v/>
      </c>
      <c r="EH21" s="76" t="str">
        <f>IF(SUM(DV21,DZ21)&gt;0,SUM(DV21,DZ21),"")</f>
        <v/>
      </c>
      <c r="EI21" s="76" t="str">
        <f>IF(SUM(DU21:DV21,DX21:DZ21,EB21)-SUM(DW21,EA21)&gt;0,SUM(DU21:DV21,DX21:DZ21,EB21)-SUM(DW21,EA21),"")</f>
        <v/>
      </c>
      <c r="EJ21" s="76" t="str">
        <f>IF(SUM(ED21,EI21)&gt;0,SUM(ED21,EI21),"")</f>
        <v/>
      </c>
      <c r="EK21" s="26">
        <v>18</v>
      </c>
      <c r="EL21" s="26">
        <v>3.2</v>
      </c>
      <c r="EM21" s="26">
        <v>0</v>
      </c>
      <c r="EN21" s="26">
        <v>0</v>
      </c>
      <c r="EO21" s="26">
        <v>18.399999999999999</v>
      </c>
      <c r="EP21" s="26">
        <v>6.4</v>
      </c>
      <c r="EQ21" s="26">
        <v>0.2</v>
      </c>
      <c r="ER21" s="26">
        <v>0</v>
      </c>
      <c r="ES21" s="26"/>
      <c r="ET21" s="26"/>
      <c r="EU21" s="26"/>
      <c r="EV21" s="26"/>
      <c r="EW21" s="26">
        <v>0</v>
      </c>
      <c r="EX21" s="26">
        <v>0</v>
      </c>
      <c r="EY21" s="26">
        <v>0</v>
      </c>
      <c r="EZ21" s="26">
        <v>0</v>
      </c>
      <c r="FA21" s="26">
        <v>0</v>
      </c>
      <c r="FB21" s="26">
        <v>0</v>
      </c>
      <c r="FC21" s="26">
        <v>0</v>
      </c>
      <c r="FD21" s="26">
        <v>0</v>
      </c>
      <c r="FE21" s="16">
        <f>IF(SUM(EL21,EP21)&gt;0,SUM(EL21,EP21),"")</f>
        <v>9.6000000000000014</v>
      </c>
      <c r="FF21" s="16">
        <f>IF(SUM(EK21:EL21,EN21:EP21,ER21)-EM21-EQ21&gt;0,SUM(EK21:EL21,EN21:EP21,ER21)-EM21-EQ21,"")</f>
        <v>45.79999999999999</v>
      </c>
      <c r="FG21" s="16" t="str">
        <f>IF(SUM(ES21:ET21,EV21)-EU21&gt;0,SUM(ES21:ET21,EV21)-EU21,"")</f>
        <v/>
      </c>
      <c r="FH21" s="16">
        <f>IF(SUM(EL21,EP21,ET21)&gt;0,SUM(EL21,EP21,ET21),"")</f>
        <v>9.6000000000000014</v>
      </c>
      <c r="FI21" s="16">
        <f>IF(SUM(FF21,FG21)&gt;0,SUM(FF21,FG21),"")</f>
        <v>45.79999999999999</v>
      </c>
      <c r="FJ21" s="16" t="str">
        <f>IF(SUM(EX21,FB21)&gt;0,SUM(EX21,FB21),"")</f>
        <v/>
      </c>
      <c r="FK21" s="16" t="str">
        <f>IF(SUM(EW21:EX21,EZ21:FB21,FD21)-SUM(EY21,FC21)&gt;0,SUM(EW21:EX21,EZ21:FB21,FD21)-SUM(EY21,FC21),"")</f>
        <v/>
      </c>
      <c r="FL21" s="16">
        <f>IF(SUM(FF21,FK21)&gt;0,SUM(FF21,FK21),"")</f>
        <v>45.79999999999999</v>
      </c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76" t="str">
        <f>IF(SUM(FN21,FR21)&gt;0,SUM(FN21,FR21),"")</f>
        <v/>
      </c>
      <c r="GH21" s="76" t="str">
        <f>IF(SUM(FM21:FN21,FP21:FR21,FT21)-FO21-FS21&gt;0,SUM(FM21:FN21,FP21:FR21,FT21)-FO21-FS21,"")</f>
        <v/>
      </c>
      <c r="GI21" s="76" t="str">
        <f>IF(SUM(FU21:FV21,FX21)-FW21&gt;0,SUM(FU21:FV21,FX21)-FW21,"")</f>
        <v/>
      </c>
      <c r="GJ21" s="76" t="str">
        <f>IF(SUM(FN21,FR21,FV21)&gt;0,SUM(FN21,FR21,FV21),"")</f>
        <v/>
      </c>
      <c r="GK21" s="76" t="str">
        <f>IF(SUM(GH21,GI21)&gt;0,SUM(GH21,GI21),"")</f>
        <v/>
      </c>
      <c r="GL21" s="76" t="str">
        <f>IF(SUM(FZ21,GD21)&gt;0,SUM(FZ21,GD21),"")</f>
        <v/>
      </c>
      <c r="GM21" s="76" t="str">
        <f>IF(SUM(FY21:FZ21,GB21:GD21,GF21)-SUM(GA21,GE21)&gt;0,SUM(FY21:FZ21,GB21:GD21,GF21)-SUM(GA21,GE21),"")</f>
        <v/>
      </c>
      <c r="GN21" s="76" t="str">
        <f>IF(SUM(GH21,GM21)&gt;0,SUM(GH21,GM21),"")</f>
        <v/>
      </c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16" t="str">
        <f>IF(SUM(GP21,GT21)&gt;0,SUM(GP21,GT21),"")</f>
        <v/>
      </c>
      <c r="HJ21" s="16" t="str">
        <f>IF(SUM(GO21:GP21,GR21:GT21,GV21)-GQ21-GU21&gt;0,SUM(GO21:GP21,GR21:GT21,GV21)-GQ21-GU21,"")</f>
        <v/>
      </c>
      <c r="HK21" s="16" t="str">
        <f>IF(SUM(GW21:GX21,GZ21)-GY21&gt;0,SUM(GW21:GX21,GZ21)-GY21,"")</f>
        <v/>
      </c>
      <c r="HL21" s="16" t="str">
        <f>IF(SUM(GP21,GT21,GX21)&gt;0,SUM(GP21,GT21,GX21),"")</f>
        <v/>
      </c>
      <c r="HM21" s="16" t="str">
        <f>IF(SUM(HJ21,HK21)&gt;0,SUM(HJ21,HK21),"")</f>
        <v/>
      </c>
      <c r="HN21" s="16" t="str">
        <f>IF(SUM(HB21,HF21)&gt;0,SUM(HB21,HF21),"")</f>
        <v/>
      </c>
      <c r="HO21" s="16" t="str">
        <f>IF(SUM(HA21:HB21,HD21:HF21,HH21)-SUM(HC21,HG21)&gt;0,SUM(HA21:HB21,HD21:HF21,HH21)-SUM(HC21,HG21),"")</f>
        <v/>
      </c>
      <c r="HP21" s="16" t="str">
        <f>IF(SUM(HJ21,HO21)&gt;0,SUM(HJ21,HO21),"")</f>
        <v/>
      </c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76" t="str">
        <f>IF(SUM(HR21,HV21)&gt;0,SUM(HR21,HV21),"")</f>
        <v/>
      </c>
      <c r="IL21" s="76" t="str">
        <f>IF(SUM(HQ21:HR21,HT21:HV21,HX21)-HS21-HW21&gt;0,SUM(HQ21:HR21,HT21:HV21,HX21)-HS21-HW21,"")</f>
        <v/>
      </c>
      <c r="IM21" s="76" t="str">
        <f>IF(SUM(HY21:HZ21,IB21)-IA21&gt;0,SUM(HY21:HZ21,IB21)-IA21,"")</f>
        <v/>
      </c>
      <c r="IN21" s="76" t="str">
        <f>IF(SUM(HR21,HV21,HZ21)&gt;0,SUM(HR21,HV21,HZ21),"")</f>
        <v/>
      </c>
      <c r="IO21" s="76" t="str">
        <f>IF(SUM(IL21,IM21)&gt;0,SUM(IL21,IM21),"")</f>
        <v/>
      </c>
      <c r="IP21" s="76" t="str">
        <f>IF(SUM(ID21,IH21)&gt;0,SUM(ID21,IH21),"")</f>
        <v/>
      </c>
      <c r="IQ21" s="76" t="str">
        <f>IF(SUM(IC21:ID21,IF21:IH21,IJ21)-SUM(IE21,II21)&gt;0,SUM(IC21:ID21,IF21:IH21,IJ21)-SUM(IE21,II21),"")</f>
        <v/>
      </c>
      <c r="IR21" s="76" t="str">
        <f>IF(SUM(IL21,IQ21)&gt;0,SUM(IL21,IQ21),"")</f>
        <v/>
      </c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16" t="str">
        <f>IF(SUM(IT21,IX21)&gt;0,SUM(IT21,IX21),"")</f>
        <v/>
      </c>
      <c r="JN21" s="16" t="str">
        <f>IF(SUM(IS21:IT21,IV21:IX21,IZ21)-IU21-IY21&gt;0,SUM(IS21:IT21,IV21:IX21,IZ21)-IU21-IY21,"")</f>
        <v/>
      </c>
      <c r="JO21" s="16" t="str">
        <f>IF(SUM(JA21:JB21,JD21)-JC21&gt;0,SUM(JA21:JB21,JD21)-JC21,"")</f>
        <v/>
      </c>
      <c r="JP21" s="16" t="str">
        <f>IF(SUM(IT21,IX21,JB21)&gt;0,SUM(IT21,IX21,JB21),"")</f>
        <v/>
      </c>
      <c r="JQ21" s="16" t="str">
        <f>IF(SUM(JN21,JO21)&gt;0,SUM(JN21,JO21),"")</f>
        <v/>
      </c>
      <c r="JR21" s="16" t="str">
        <f>IF(SUM(JF21,JJ21)&gt;0,SUM(JF21,JJ21),"")</f>
        <v/>
      </c>
      <c r="JS21" s="16" t="str">
        <f>IF(SUM(JE21:JF21,JH21:JJ21,JL21)-SUM(JG21,JK21)&gt;0,SUM(JE21:JF21,JH21:JJ21,JL21)-SUM(JG21,JK21),"")</f>
        <v/>
      </c>
      <c r="JT21" s="16" t="str">
        <f>IF(SUM(JN21,JS21)&gt;0,SUM(JN21,JS21),"")</f>
        <v/>
      </c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76" t="str">
        <f>IF(SUM(JV21,JZ21)&gt;0,SUM(JV21,JZ21),"")</f>
        <v/>
      </c>
      <c r="KP21" s="76" t="str">
        <f>IF(SUM(JU21:JV21,JX21:JZ21,KB21)-JW21-KA21&gt;0,SUM(JU21:JV21,JX21:JZ21,KB21)-JW21-KA21,"")</f>
        <v/>
      </c>
      <c r="KQ21" s="76" t="str">
        <f>IF(SUM(KC21:KD21,KF21)-KE21&gt;0,SUM(KC21:KD21,KF21)-KE21,"")</f>
        <v/>
      </c>
      <c r="KR21" s="76" t="str">
        <f>IF(SUM(JV21,JZ21,KD21)&gt;0,SUM(JV21,JZ21,KD21),"")</f>
        <v/>
      </c>
      <c r="KS21" s="76" t="str">
        <f>IF(SUM(KP21,KQ21)&gt;0,SUM(KP21,KQ21),"")</f>
        <v/>
      </c>
      <c r="KT21" s="76" t="str">
        <f>IF(SUM(KH21,KL21)&gt;0,SUM(KH21,KL21),"")</f>
        <v/>
      </c>
      <c r="KU21" s="76" t="str">
        <f>IF(SUM(KG21:KH21,KJ21:KL21,KN21)-SUM(KI21,KM21)&gt;0,SUM(KG21:KH21,KJ21:KL21,KN21)-SUM(KI21,KM21),"")</f>
        <v/>
      </c>
      <c r="KV21" s="76" t="str">
        <f>IF(SUM(KP21,KU21)&gt;0,SUM(KP21,KU21),"")</f>
        <v/>
      </c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16" t="str">
        <f>IF(SUM(KX21,LB21)&gt;0,SUM(KX21,LB21),"")</f>
        <v/>
      </c>
      <c r="LR21" s="16" t="str">
        <f>IF(SUM(KW21:KX21,KZ21:LB21,LD21)-KY21-LC21&gt;0,SUM(KW21:KX21,KZ21:LB21,LD21)-KY21-LC21,"")</f>
        <v/>
      </c>
      <c r="LS21" s="16" t="str">
        <f>IF(SUM(LE21:LF21,LH21)-LG21&gt;0,SUM(LE21:LF21,LH21)-LG21,"")</f>
        <v/>
      </c>
      <c r="LT21" s="16" t="str">
        <f>IF(SUM(KX21,LB21,LF21)&gt;0,SUM(KX21,LB21,LF21),"")</f>
        <v/>
      </c>
      <c r="LU21" s="16" t="str">
        <f>IF(SUM(LR21,LS21)&gt;0,SUM(LR21,LS21),"")</f>
        <v/>
      </c>
      <c r="LV21" s="16" t="str">
        <f>IF(SUM(LJ21,LN21)&gt;0,SUM(LJ21,LN21),"")</f>
        <v/>
      </c>
      <c r="LW21" s="16" t="str">
        <f>IF(SUM(LI21:LJ21,LL21:LN21,LP21)-SUM(LK21,LO21)&gt;0,SUM(LI21:LJ21,LL21:LN21,LP21)-SUM(LK21,LO21),"")</f>
        <v/>
      </c>
      <c r="LX21" s="16" t="str">
        <f>IF(SUM(LR21,LW21)&gt;0,SUM(LR21,LW21),"")</f>
        <v/>
      </c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76" t="str">
        <f>IF(SUM(LZ21,MD21)&gt;0,SUM(LZ21,MD21),"")</f>
        <v/>
      </c>
      <c r="MT21" s="76" t="str">
        <f>IF(SUM(LY21:LZ21,MB21:MD21,MF21)-MA21-ME21&gt;0,SUM(LY21:LZ21,MB21:MD21,MF21)-MA21-ME21,"")</f>
        <v/>
      </c>
      <c r="MU21" s="76" t="str">
        <f>IF(SUM(MG21:MH21,MJ21)-MI21&gt;0,SUM(MG21:MH21,MJ21)-MI21,"")</f>
        <v/>
      </c>
      <c r="MV21" s="76" t="str">
        <f>IF(SUM(LZ21,MD21,MH21)&gt;0,SUM(LZ21,MD21,MH21),"")</f>
        <v/>
      </c>
      <c r="MW21" s="76" t="str">
        <f>IF(SUM(MT21,MU21)&gt;0,SUM(MT21,MU21),"")</f>
        <v/>
      </c>
      <c r="MX21" s="76" t="str">
        <f>IF(SUM(ML21,MP21)&gt;0,SUM(ML21,MP21),"")</f>
        <v/>
      </c>
      <c r="MY21" s="76" t="str">
        <f>IF(SUM(MK21:ML21,MN21:MP21,MR21)-SUM(MM21,MQ21)&gt;0,SUM(MK21:ML21,MN21:MP21,MR21)-SUM(MM21,MQ21),"")</f>
        <v/>
      </c>
      <c r="MZ21" s="76" t="str">
        <f>IF(SUM(MT21,MY21)&gt;0,SUM(MT21,MY21),"")</f>
        <v/>
      </c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16" t="str">
        <f>IF(SUM(NB21,NF21)&gt;0,SUM(NB21,NF21),"")</f>
        <v/>
      </c>
      <c r="NV21" s="16" t="str">
        <f>IF(SUM(NA21:NB21,ND21:NF21,NH21)-NC21-NG21&gt;0,SUM(NA21:NB21,ND21:NF21,NH21)-NC21-NG21,"")</f>
        <v/>
      </c>
      <c r="NW21" s="16" t="str">
        <f>IF(SUM(NI21:NJ21,NL21)-NK21&gt;0,SUM(NI21:NJ21,NL21)-NK21,"")</f>
        <v/>
      </c>
      <c r="NX21" s="16" t="str">
        <f>IF(SUM(NB21,NF21,NJ21)&gt;0,SUM(NB21,NF21,NJ21),"")</f>
        <v/>
      </c>
      <c r="NY21" s="16" t="str">
        <f>IF(SUM(NV21,NW21)&gt;0,SUM(NV21,NW21),"")</f>
        <v/>
      </c>
      <c r="NZ21" s="16" t="str">
        <f>IF(SUM(NN21,NR21)&gt;0,SUM(NN21,NR21),"")</f>
        <v/>
      </c>
      <c r="OA21" s="16" t="str">
        <f>IF(SUM(NM21:NN21,NP21:NR21,NT21)-SUM(NO21,NS21)&gt;0,SUM(NM21:NN21,NP21:NR21,NT21)-SUM(NO21,NS21),"")</f>
        <v/>
      </c>
      <c r="OB21" s="16" t="str">
        <f>IF(SUM(NV21,OA21)&gt;0,SUM(NV21,OA21),"")</f>
        <v/>
      </c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76" t="str">
        <f>IF(SUM(OD21,OH21)&gt;0,SUM(OD21,OH21),"")</f>
        <v/>
      </c>
      <c r="OX21" s="76" t="str">
        <f>IF(SUM(OC21:OD21,OF21:OH21,OJ21)-OE21-OI21&gt;0,SUM(OC21:OD21,OF21:OH21,OJ21)-OE21-OI21,"")</f>
        <v/>
      </c>
      <c r="OY21" s="76" t="str">
        <f>IF(SUM(OK21:OL21,ON21)-OM21&gt;0,SUM(OK21:OL21,ON21)-OM21,"")</f>
        <v/>
      </c>
      <c r="OZ21" s="76" t="str">
        <f>IF(SUM(OD21,OH21,OL21)&gt;0,SUM(OD21,OH21,OL21),"")</f>
        <v/>
      </c>
      <c r="PA21" s="76" t="str">
        <f>IF(SUM(OX21,OY21)&gt;0,SUM(OX21,OY21),"")</f>
        <v/>
      </c>
      <c r="PB21" s="76" t="str">
        <f>IF(SUM(OP21,OT21)&gt;0,SUM(OP21,OT21),"")</f>
        <v/>
      </c>
      <c r="PC21" s="76" t="str">
        <f>IF(SUM(OO21:OP21,OR21:OT21,OV21)-SUM(OQ21,OU21)&gt;0,SUM(OO21:OP21,OR21:OT21,OV21)-SUM(OQ21,OU21),"")</f>
        <v/>
      </c>
      <c r="PD21" s="76" t="str">
        <f>IF(SUM(OX21,PC21)&gt;0,SUM(OX21,PC21),"")</f>
        <v/>
      </c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6"/>
      <c r="PY21" s="16" t="str">
        <f>IF(SUM(PF21,PJ21)&gt;0,SUM(PF21,PJ21),"")</f>
        <v/>
      </c>
      <c r="PZ21" s="16" t="str">
        <f>IF(SUM(PE21:PF21,PH21:PJ21,PL21)-PG21-PK21&gt;0,SUM(PE21:PF21,PH21:PJ21,PL21)-PG21-PK21,"")</f>
        <v/>
      </c>
      <c r="QA21" s="16" t="str">
        <f>IF(SUM(PM21:PN21,PP21)-PO21&gt;0,SUM(PM21:PN21,PP21)-PO21,"")</f>
        <v/>
      </c>
      <c r="QB21" s="16" t="str">
        <f>IF(SUM(PF21,PJ21,PN21)&gt;0,SUM(PF21,PJ21,PN21),"")</f>
        <v/>
      </c>
      <c r="QC21" s="16" t="str">
        <f>IF(SUM(PZ21,QA21)&gt;0,SUM(PZ21,QA21),"")</f>
        <v/>
      </c>
      <c r="QD21" s="16" t="str">
        <f>IF(SUM(PR21,PV21)&gt;0,SUM(PR21,PV21),"")</f>
        <v/>
      </c>
      <c r="QE21" s="16" t="str">
        <f>IF(SUM(PQ21:PR21,PT21:PV21,PX21)-SUM(PS21,PW21)&gt;0,SUM(PQ21:PR21,PT21:PV21,PX21)-SUM(PS21,PW21),"")</f>
        <v/>
      </c>
      <c r="QF21" s="16" t="str">
        <f>IF(SUM(PZ21,QE21)&gt;0,SUM(PZ21,QE21),"")</f>
        <v/>
      </c>
      <c r="QG21" s="42">
        <f>IF($CW21="P",CC21,(CC21+AZ21)/2)</f>
        <v>9</v>
      </c>
      <c r="QH21" s="42">
        <f>IF($CW21="P",CD21,(CD21+BA21)/2)</f>
        <v>2.8</v>
      </c>
      <c r="QI21" s="42">
        <f>IF($CW21="P",CE21,(CE21+BB21)/2)</f>
        <v>0.5</v>
      </c>
      <c r="QJ21" s="42">
        <f>IF($CW21="P",CF21,(CF21+BC21)/2)</f>
        <v>0</v>
      </c>
      <c r="QK21" s="42">
        <f>IF($CW21="P",CG21,(CG21+BD21)/2)</f>
        <v>9.25</v>
      </c>
      <c r="QL21" s="42">
        <f>IF($CW21="P",CH21,(CH21+BE21)/2)</f>
        <v>1.9</v>
      </c>
      <c r="QM21" s="42">
        <f>IF($CW21="P",CI21,(CI21+BF21)/2)</f>
        <v>1.4000000000000001</v>
      </c>
      <c r="QN21" s="42">
        <f>IF($CW21="P",CJ21,(CJ21+BG21)/2)</f>
        <v>0</v>
      </c>
      <c r="QO21" s="42">
        <f>IF($CW21="P",CK21,(CK21+BH21)/2)</f>
        <v>8.15</v>
      </c>
      <c r="QP21" s="42">
        <f>IF($CW21="P",CL21,(CL21+BI21)/2)</f>
        <v>1.65</v>
      </c>
      <c r="QQ21" s="42">
        <f>IF($CW21="P",CM21,(CM21+BJ21)/2)</f>
        <v>1.6500000000000001</v>
      </c>
      <c r="QR21" s="42">
        <f>IF($CW21="P",CN21,(CN21+BK21)/2)</f>
        <v>0</v>
      </c>
      <c r="QS21" s="42">
        <f>IF($CW21="P",CO21,(CO21+BL21)/2)</f>
        <v>0</v>
      </c>
      <c r="QT21" s="42">
        <f>IF($CW21="P",CP21,(CP21+BM21)/2)</f>
        <v>0</v>
      </c>
      <c r="QU21" s="42">
        <f>IF($CW21="P",CQ21,(CQ21+BN21)/2)</f>
        <v>0</v>
      </c>
      <c r="QV21" s="42">
        <f>IF($CW21="P",CR21,(CR21+BO21)/2)</f>
        <v>0</v>
      </c>
      <c r="QW21" s="42">
        <f>IF($CW21="P",CS21,(CS21+BP21)/2)</f>
        <v>0</v>
      </c>
      <c r="QX21" s="42">
        <f>IF($CW21="P",CT21,(CT21+BQ21)/2)</f>
        <v>0</v>
      </c>
      <c r="QY21" s="42">
        <f>IF($CW21="P",CU21,(CU21+BR21)/2)</f>
        <v>0</v>
      </c>
      <c r="QZ21" s="42">
        <f>IF($CW21="P",CV21,(CV21+BS21)/2)</f>
        <v>0</v>
      </c>
      <c r="RA21" s="51" t="s">
        <v>58</v>
      </c>
      <c r="RB21" s="76">
        <f>IF(SUM(QH21,QL21)&gt;0,SUM(QH21,QL21),"")</f>
        <v>4.6999999999999993</v>
      </c>
      <c r="RC21" s="76">
        <f>IF(SUM(QG21:QH21,QJ21:QL21,QN21)-QI21-QM21&gt;0,SUM(QG21:QH21,QJ21:QL21,QN21)-QI21-QM21,"")</f>
        <v>21.05</v>
      </c>
      <c r="RD21" s="76">
        <f>IF(SUM(QO21:QP21,QR21)-QQ21&gt;0,SUM(QO21:QP21,QR21)-QQ21,"")</f>
        <v>8.15</v>
      </c>
      <c r="RE21" s="76">
        <f>IF(SUM(QH21,QL21,QP21)&gt;0,SUM(QH21,QL21,QP21),"")</f>
        <v>6.35</v>
      </c>
      <c r="RF21" s="76">
        <f>IF(SUM(RC21,RD21)&gt;0,SUM(RC21,RD21),"")</f>
        <v>29.200000000000003</v>
      </c>
      <c r="RG21" s="76" t="str">
        <f>IF(SUM(QT21,QX21)&gt;0,SUM(QT21,QX21),"")</f>
        <v/>
      </c>
      <c r="RH21" s="76" t="str">
        <f>IF(SUM(QS21:QT21,QV21:QX21,QZ21)-SUM(QU21,QY21)&gt;0,SUM(QS21:QT21,QV21:QX21,QZ21)-SUM(QU21,QY21),"")</f>
        <v/>
      </c>
      <c r="RI21" s="76">
        <f>IF(SUM(RC21,RH21)&gt;0,SUM(RC21,RH21),"")</f>
        <v>21.05</v>
      </c>
    </row>
    <row r="22" spans="1:477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6" t="s">
        <v>151</v>
      </c>
      <c r="C22" s="7" t="s">
        <v>8</v>
      </c>
      <c r="D22" s="18">
        <v>2005</v>
      </c>
      <c r="E22" s="14">
        <f>SUM(J22:T22)+SUM(J22:P22)*0.0000001+SUM(J22)*0.0000000000001</f>
        <v>83.500008350004308</v>
      </c>
      <c r="F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G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H22" s="70" t="str">
        <f>IF(AND(G22="P",F22=""),"No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I22="P","Worlds Team",IF(F22="P","National Team","")))))</f>
        <v/>
      </c>
      <c r="I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J22" s="13">
        <f>IF(COUNT(AS22,BV22,CY22)&gt;0,LARGE((AS22,BV22,CY22),1),0)</f>
        <v>43.099999999999994</v>
      </c>
      <c r="K22" s="13" t="str">
        <f>IF(J22=0,"",IF(J22=CY22,$CC$1,IF(J22=BV22,$AZ$1,IF(J22=AS22,$W$1,""))))</f>
        <v>2022 Nationals</v>
      </c>
      <c r="L22" s="13">
        <f>IF(COUNT(AS22,BV22,CY22)&gt;1,LARGE((AS22,BV22,CY22),2),0)</f>
        <v>20</v>
      </c>
      <c r="M22" s="13" t="str">
        <f>IF(L22=0,"",IF(L22=CY22,$CC$1,IF(L22=BV22,$AZ$1,IF(L22=AS22,$W$1,""))))</f>
        <v>2022 Elite Canada</v>
      </c>
      <c r="N22" s="13">
        <f>IF(COUNT(AT22,BW22,CZ22)&gt;0,LARGE((AT22,BW22,CZ22),1),0)</f>
        <v>20.399999999999999</v>
      </c>
      <c r="O22" s="13" t="str">
        <f>IF(N22=0,"",IF(N22=CZ22,$CC$1,IF(N22=BW22,$AZ$1,IF(N22=AT22,$W$1,""))))</f>
        <v>2022 Nationals</v>
      </c>
      <c r="P22" s="13">
        <f>IF(COUNT(AT22,BW22,CZ22)&gt;1,LARGE((AT22,BW22,CZ22),2),0)</f>
        <v>0</v>
      </c>
      <c r="Q22" s="13" t="str">
        <f>IF(P22=0,"",IF(P22=CZ22,$CC$1,IF(P22=BW22,$AZ$1,IF(P22=AT22,$W$1,""))))</f>
        <v/>
      </c>
      <c r="R22" s="13">
        <f>IF(MAX(AX22,CA22,DD22)&gt;0,MAX(AX22,CA22,DD22),0)</f>
        <v>0</v>
      </c>
      <c r="S22" s="13" t="str">
        <f>IF(R22=0,"",IF(R22=DD22,$CC$1,IF(R22=CA22,$AZ$1,IF(R22=AX22,$W$1,""))))</f>
        <v/>
      </c>
      <c r="T22" s="13" t="str">
        <f>IF(MAX(DF22:DH22)&gt;0,MAX(DF22:DH22),"")</f>
        <v/>
      </c>
      <c r="U22" s="16" t="str">
        <f>IF(T22="","",IF(T22=DF22,"("&amp;DF$2&amp;")",IF(T22=DH22,"("&amp;DH$2&amp;")")))</f>
        <v/>
      </c>
      <c r="V22" s="13" t="str">
        <f>IF(T22="","",IF(T22=DF22,IF(T22+IF(L22="",0,L22)=PZ22,$PE$1,IF(T22+IF(L22="",0,L22)=OX22,$OC$1,IF(T22+IF(L22="",0,L22)=NV22,$NA$1,IF(T22+IF(L22="",0,L22)=MT22,$LY$1,IF(T22+IF(L22="",0,L22)=LR22,$KW$1,IF(T22+IF(L22="",0,L22)=KP22,$JU$1,IF(T22+IF(L22="",0,L22)=JN22,$IS$1,IF(T22+IF(L22="",0,L22)=IL22,$HQ$1,IF(T22+IF(L22="",0,L22)=HJ22,$GO$1,IF(T22+IF(L22="",0,L22)=GH22,$FM$1,IF(T22+IF(L22="",0,L22)=FF22,$EK$1,IF(T22+IF(L22="",0,L22)=ED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</f>
        <v/>
      </c>
      <c r="W22" s="27">
        <v>17.600000000000001</v>
      </c>
      <c r="X22" s="27">
        <v>2.4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51"/>
      <c r="AR22" s="76">
        <f>IF(SUM(X22,AB22)&gt;0,SUM(X22,AB22),"")</f>
        <v>2.4</v>
      </c>
      <c r="AS22" s="76">
        <f>IF(SUM(W22:X22,Z22:AB22,AD22)-Y22-AC22&gt;0,SUM(W22:X22,Z22:AB22,AD22)-Y22-AC22,"")</f>
        <v>20</v>
      </c>
      <c r="AT22" s="76" t="str">
        <f>IF(SUM(AE22:AF22,AH22)-AG22&gt;0,SUM(AE22:AF22,AH22)-AG22,"")</f>
        <v/>
      </c>
      <c r="AU22" s="76">
        <f>IF(SUM(X22,AB22,AF22)&gt;0,SUM(X22,AB22,AF22),"")</f>
        <v>2.4</v>
      </c>
      <c r="AV22" s="76">
        <f>IF(SUM(AS22,AT22)&gt;0,SUM(AS22,AT22),"")</f>
        <v>20</v>
      </c>
      <c r="AW22" s="76" t="str">
        <f>IF(SUM(AJ22,AN22)&gt;0,SUM(AJ22,AN22),"")</f>
        <v/>
      </c>
      <c r="AX22" s="76" t="str">
        <f>IF(SUM(AI22:AJ22,AL22:AN22,AP22)-SUM(AK22,AO22)&gt;0,SUM(AI22:AJ22,AL22:AN22,AP22)-SUM(AK22,AO22),"")</f>
        <v/>
      </c>
      <c r="AY22" s="76">
        <f>IF(SUM(AS22,AX22)&gt;0,SUM(AS22,AX22),"")</f>
        <v>20</v>
      </c>
      <c r="AZ22" s="26">
        <v>18.899999999999999</v>
      </c>
      <c r="BA22" s="26">
        <v>6.8</v>
      </c>
      <c r="BB22" s="26">
        <v>0.2</v>
      </c>
      <c r="BC22" s="26">
        <v>0</v>
      </c>
      <c r="BD22" s="26">
        <v>17.600000000000001</v>
      </c>
      <c r="BE22" s="26">
        <v>0</v>
      </c>
      <c r="BF22" s="26">
        <v>0</v>
      </c>
      <c r="BG22" s="26">
        <v>0</v>
      </c>
      <c r="BH22" s="26">
        <v>17.2</v>
      </c>
      <c r="BI22" s="26">
        <v>3.2</v>
      </c>
      <c r="BJ22" s="26">
        <v>0</v>
      </c>
      <c r="BK22" s="26">
        <v>0</v>
      </c>
      <c r="BL22" s="26"/>
      <c r="BM22" s="26"/>
      <c r="BN22" s="26"/>
      <c r="BO22" s="26"/>
      <c r="BP22" s="26"/>
      <c r="BQ22" s="26"/>
      <c r="BR22" s="26"/>
      <c r="BS22" s="26"/>
      <c r="BT22" s="52"/>
      <c r="BU22" s="16">
        <f>IF(SUM(BA22,BE22)&gt;0,SUM(BA22,BE22),"")</f>
        <v>6.8</v>
      </c>
      <c r="BV22" s="16">
        <f>IF(SUM(AZ22:BA22,BC22:BE22,BG22)-BB22-BF22&gt;0,SUM(AZ22:BA22,BC22:BE22,BG22)-BB22-BF22,"")</f>
        <v>43.099999999999994</v>
      </c>
      <c r="BW22" s="16">
        <f>IF(SUM(BH22:BI22,BK22)-BJ22&gt;0,SUM(BH22:BI22,BK22)-BJ22,"")</f>
        <v>20.399999999999999</v>
      </c>
      <c r="BX22" s="16">
        <f>IF(SUM(BA22,BE22,BI22)&gt;0,SUM(BA22,BE22,BI22),"")</f>
        <v>10</v>
      </c>
      <c r="BY22" s="16">
        <f>IF(SUM(BV22,BW22)&gt;0,SUM(BV22,BW22),"")</f>
        <v>63.499999999999993</v>
      </c>
      <c r="BZ22" s="16" t="str">
        <f>IF(SUM(BM22,BQ22)&gt;0,SUM(BM22,BQ22),"")</f>
        <v/>
      </c>
      <c r="CA22" s="16" t="str">
        <f>IF(SUM(BL22:BM22,BO22:BQ22,BS22)-SUM(BN22,BR22)&gt;0,SUM(BL22:BM22,BO22:BQ22,BS22)-SUM(BN22,BR22),"")</f>
        <v/>
      </c>
      <c r="CB22" s="16">
        <f>IF(SUM(BV22,CA22)&gt;0,SUM(BV22,CA22),"")</f>
        <v>43.099999999999994</v>
      </c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51"/>
      <c r="CX22" s="76" t="str">
        <f>IF(SUM(CD22,CH22)&gt;0,SUM(CD22,CH22),"")</f>
        <v/>
      </c>
      <c r="CY22" s="76" t="str">
        <f>IF(SUM(CC22:CD22,CF22:CH22,CJ22)-CE22-CI22&gt;0,SUM(CC22:CD22,CF22:CH22,CJ22)-CE22-CI22,"")</f>
        <v/>
      </c>
      <c r="CZ22" s="76" t="str">
        <f>IF(SUM(CK22:CL22,CN22)-CM22&gt;0,SUM(CK22:CL22,CN22)-CM22,"")</f>
        <v/>
      </c>
      <c r="DA22" s="76" t="str">
        <f>IF(SUM(CD22,CH22,CL22)&gt;0,SUM(CD22,CH22,CL22),"")</f>
        <v/>
      </c>
      <c r="DB22" s="76" t="str">
        <f>IF(SUM(CY22,CZ22)&gt;0,SUM(CY22,CZ22),"")</f>
        <v/>
      </c>
      <c r="DC22" s="76" t="str">
        <f>IF(SUM(CP22,CT22)&gt;0,SUM(CP22,CT22),"")</f>
        <v/>
      </c>
      <c r="DD22" s="76" t="str">
        <f>IF(SUM(CO22:CP22,CR22:CT22,CV22)-SUM(CQ22,CU22)&gt;0,SUM(CO22:CP22,CR22:CT22,CV22)-SUM(CQ22,CU22),"")</f>
        <v/>
      </c>
      <c r="DE22" s="76" t="str">
        <f>IF(SUM(CY22,DD22)&gt;0,SUM(CY22,DD22),"")</f>
        <v/>
      </c>
      <c r="DF22" s="87" t="str">
        <f>IF(L22&gt;=0.001,IF(MAX(ED22,FF22,GH22,HJ22,IL22,JN22,KP22,LR22,MT22,NV22,OX22,PZ22)-IF(L22="",0,L22)&gt;0.001,MAX(ED22,FF22,GH22,HJ22,IL22,JN22,KP22,LR22,MT22,NV22,OX22,PZ22)-IF(L22="",0,L22),""),"")</f>
        <v/>
      </c>
      <c r="DG22" s="87" t="str">
        <f>IF(P22&gt;=0.001,IF(MAX(EE22,FG22,GI22,HK22,IM22,JO22,KQ22,LS22,MU22,NW22,OY22,QA22)-IF(P22="",0,P22)&gt;0.001,MAX(EE22,FG22,GI22,HK22,IM22,JO22,KQ22,LS22,MU22,NW22,OY22,QA22)-IF(P22="",0,P22),""),"")</f>
        <v/>
      </c>
      <c r="DH22" s="87" t="str">
        <f>IF(R22&gt;=0.001,IF(MAX(EI22,FK22,GM22,HO22,IQ22,JS22,KU22,LW22,MY22,OA22,PC22,QE22)-IF(R22="",0,R22)&gt;0.001,MAX(EI22,FK22,GM22,HO22,IQ22,JS22,KU22,LW22,MY22,OA22,PC22,QE22)-IF(R22="",0,R22),""),"")</f>
        <v/>
      </c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76" t="str">
        <f>IF(SUM(DJ22,DN22)&gt;0,SUM(DJ22,DN22),"")</f>
        <v/>
      </c>
      <c r="ED22" s="76" t="str">
        <f>IF(SUM(DI22:DJ22,DL22:DN22,DP22)-DK22-DO22&gt;0,SUM(DI22:DJ22,DL22:DN22,DP22)-DK22-DO22,"")</f>
        <v/>
      </c>
      <c r="EE22" s="76" t="str">
        <f>IF(SUM(DQ22:DR22,DT22)-DS22&gt;0,SUM(DQ22:DR22,DT22)-DS22,"")</f>
        <v/>
      </c>
      <c r="EF22" s="76" t="str">
        <f>IF(SUM(DJ22,DN22,DR22)&gt;0,SUM(DJ22,DN22,DR22),"")</f>
        <v/>
      </c>
      <c r="EG22" s="76" t="str">
        <f>IF(SUM(ED22,EE22)&gt;0,SUM(ED22,EE22),"")</f>
        <v/>
      </c>
      <c r="EH22" s="76" t="str">
        <f>IF(SUM(DV22,DZ22)&gt;0,SUM(DV22,DZ22),"")</f>
        <v/>
      </c>
      <c r="EI22" s="76" t="str">
        <f>IF(SUM(DU22:DV22,DX22:DZ22,EB22)-SUM(DW22,EA22)&gt;0,SUM(DU22:DV22,DX22:DZ22,EB22)-SUM(DW22,EA22),"")</f>
        <v/>
      </c>
      <c r="EJ22" s="76" t="str">
        <f>IF(SUM(ED22,EI22)&gt;0,SUM(ED22,EI22),"")</f>
        <v/>
      </c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16" t="str">
        <f>IF(SUM(EL22,EP22)&gt;0,SUM(EL22,EP22),"")</f>
        <v/>
      </c>
      <c r="FF22" s="16" t="str">
        <f>IF(SUM(EK22:EL22,EN22:EP22,ER22)-EM22-EQ22&gt;0,SUM(EK22:EL22,EN22:EP22,ER22)-EM22-EQ22,"")</f>
        <v/>
      </c>
      <c r="FG22" s="16" t="str">
        <f>IF(SUM(ES22:ET22,EV22)-EU22&gt;0,SUM(ES22:ET22,EV22)-EU22,"")</f>
        <v/>
      </c>
      <c r="FH22" s="16" t="str">
        <f>IF(SUM(EL22,EP22,ET22)&gt;0,SUM(EL22,EP22,ET22),"")</f>
        <v/>
      </c>
      <c r="FI22" s="16" t="str">
        <f>IF(SUM(FF22,FG22)&gt;0,SUM(FF22,FG22),"")</f>
        <v/>
      </c>
      <c r="FJ22" s="16" t="str">
        <f>IF(SUM(EX22,FB22)&gt;0,SUM(EX22,FB22),"")</f>
        <v/>
      </c>
      <c r="FK22" s="16" t="str">
        <f>IF(SUM(EW22:EX22,EZ22:FB22,FD22)-SUM(EY22,FC22)&gt;0,SUM(EW22:EX22,EZ22:FB22,FD22)-SUM(EY22,FC22),"")</f>
        <v/>
      </c>
      <c r="FL22" s="16" t="str">
        <f>IF(SUM(FF22,FK22)&gt;0,SUM(FF22,FK22),"")</f>
        <v/>
      </c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76" t="str">
        <f>IF(SUM(FN22,FR22)&gt;0,SUM(FN22,FR22),"")</f>
        <v/>
      </c>
      <c r="GH22" s="76" t="str">
        <f>IF(SUM(FM22:FN22,FP22:FR22,FT22)-FO22-FS22&gt;0,SUM(FM22:FN22,FP22:FR22,FT22)-FO22-FS22,"")</f>
        <v/>
      </c>
      <c r="GI22" s="76" t="str">
        <f>IF(SUM(FU22:FV22,FX22)-FW22&gt;0,SUM(FU22:FV22,FX22)-FW22,"")</f>
        <v/>
      </c>
      <c r="GJ22" s="76" t="str">
        <f>IF(SUM(FN22,FR22,FV22)&gt;0,SUM(FN22,FR22,FV22),"")</f>
        <v/>
      </c>
      <c r="GK22" s="76" t="str">
        <f>IF(SUM(GH22,GI22)&gt;0,SUM(GH22,GI22),"")</f>
        <v/>
      </c>
      <c r="GL22" s="76" t="str">
        <f>IF(SUM(FZ22,GD22)&gt;0,SUM(FZ22,GD22),"")</f>
        <v/>
      </c>
      <c r="GM22" s="76" t="str">
        <f>IF(SUM(FY22:FZ22,GB22:GD22,GF22)-SUM(GA22,GE22)&gt;0,SUM(FY22:FZ22,GB22:GD22,GF22)-SUM(GA22,GE22),"")</f>
        <v/>
      </c>
      <c r="GN22" s="76" t="str">
        <f>IF(SUM(GH22,GM22)&gt;0,SUM(GH22,GM22),"")</f>
        <v/>
      </c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16" t="str">
        <f>IF(SUM(GP22,GT22)&gt;0,SUM(GP22,GT22),"")</f>
        <v/>
      </c>
      <c r="HJ22" s="16" t="str">
        <f>IF(SUM(GO22:GP22,GR22:GT22,GV22)-GQ22-GU22&gt;0,SUM(GO22:GP22,GR22:GT22,GV22)-GQ22-GU22,"")</f>
        <v/>
      </c>
      <c r="HK22" s="16" t="str">
        <f>IF(SUM(GW22:GX22,GZ22)-GY22&gt;0,SUM(GW22:GX22,GZ22)-GY22,"")</f>
        <v/>
      </c>
      <c r="HL22" s="16" t="str">
        <f>IF(SUM(GP22,GT22,GX22)&gt;0,SUM(GP22,GT22,GX22),"")</f>
        <v/>
      </c>
      <c r="HM22" s="16" t="str">
        <f>IF(SUM(HJ22,HK22)&gt;0,SUM(HJ22,HK22),"")</f>
        <v/>
      </c>
      <c r="HN22" s="16" t="str">
        <f>IF(SUM(HB22,HF22)&gt;0,SUM(HB22,HF22),"")</f>
        <v/>
      </c>
      <c r="HO22" s="16" t="str">
        <f>IF(SUM(HA22:HB22,HD22:HF22,HH22)-SUM(HC22,HG22)&gt;0,SUM(HA22:HB22,HD22:HF22,HH22)-SUM(HC22,HG22),"")</f>
        <v/>
      </c>
      <c r="HP22" s="16" t="str">
        <f>IF(SUM(HJ22,HO22)&gt;0,SUM(HJ22,HO22),"")</f>
        <v/>
      </c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76" t="str">
        <f>IF(SUM(HR22,HV22)&gt;0,SUM(HR22,HV22),"")</f>
        <v/>
      </c>
      <c r="IL22" s="76" t="str">
        <f>IF(SUM(HQ22:HR22,HT22:HV22,HX22)-HS22-HW22&gt;0,SUM(HQ22:HR22,HT22:HV22,HX22)-HS22-HW22,"")</f>
        <v/>
      </c>
      <c r="IM22" s="76" t="str">
        <f>IF(SUM(HY22:HZ22,IB22)-IA22&gt;0,SUM(HY22:HZ22,IB22)-IA22,"")</f>
        <v/>
      </c>
      <c r="IN22" s="76" t="str">
        <f>IF(SUM(HR22,HV22,HZ22)&gt;0,SUM(HR22,HV22,HZ22),"")</f>
        <v/>
      </c>
      <c r="IO22" s="76" t="str">
        <f>IF(SUM(IL22,IM22)&gt;0,SUM(IL22,IM22),"")</f>
        <v/>
      </c>
      <c r="IP22" s="76" t="str">
        <f>IF(SUM(ID22,IH22)&gt;0,SUM(ID22,IH22),"")</f>
        <v/>
      </c>
      <c r="IQ22" s="76" t="str">
        <f>IF(SUM(IC22:ID22,IF22:IH22,IJ22)-SUM(IE22,II22)&gt;0,SUM(IC22:ID22,IF22:IH22,IJ22)-SUM(IE22,II22),"")</f>
        <v/>
      </c>
      <c r="IR22" s="76" t="str">
        <f>IF(SUM(IL22,IQ22)&gt;0,SUM(IL22,IQ22),"")</f>
        <v/>
      </c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16" t="str">
        <f>IF(SUM(IT22,IX22)&gt;0,SUM(IT22,IX22),"")</f>
        <v/>
      </c>
      <c r="JN22" s="16" t="str">
        <f>IF(SUM(IS22:IT22,IV22:IX22,IZ22)-IU22-IY22&gt;0,SUM(IS22:IT22,IV22:IX22,IZ22)-IU22-IY22,"")</f>
        <v/>
      </c>
      <c r="JO22" s="16" t="str">
        <f>IF(SUM(JA22:JB22,JD22)-JC22&gt;0,SUM(JA22:JB22,JD22)-JC22,"")</f>
        <v/>
      </c>
      <c r="JP22" s="16" t="str">
        <f>IF(SUM(IT22,IX22,JB22)&gt;0,SUM(IT22,IX22,JB22),"")</f>
        <v/>
      </c>
      <c r="JQ22" s="16" t="str">
        <f>IF(SUM(JN22,JO22)&gt;0,SUM(JN22,JO22),"")</f>
        <v/>
      </c>
      <c r="JR22" s="16" t="str">
        <f>IF(SUM(JF22,JJ22)&gt;0,SUM(JF22,JJ22),"")</f>
        <v/>
      </c>
      <c r="JS22" s="16" t="str">
        <f>IF(SUM(JE22:JF22,JH22:JJ22,JL22)-SUM(JG22,JK22)&gt;0,SUM(JE22:JF22,JH22:JJ22,JL22)-SUM(JG22,JK22),"")</f>
        <v/>
      </c>
      <c r="JT22" s="16" t="str">
        <f>IF(SUM(JN22,JS22)&gt;0,SUM(JN22,JS22),"")</f>
        <v/>
      </c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76" t="str">
        <f>IF(SUM(JV22,JZ22)&gt;0,SUM(JV22,JZ22),"")</f>
        <v/>
      </c>
      <c r="KP22" s="76" t="str">
        <f>IF(SUM(JU22:JV22,JX22:JZ22,KB22)-JW22-KA22&gt;0,SUM(JU22:JV22,JX22:JZ22,KB22)-JW22-KA22,"")</f>
        <v/>
      </c>
      <c r="KQ22" s="76" t="str">
        <f>IF(SUM(KC22:KD22,KF22)-KE22&gt;0,SUM(KC22:KD22,KF22)-KE22,"")</f>
        <v/>
      </c>
      <c r="KR22" s="76" t="str">
        <f>IF(SUM(JV22,JZ22,KD22)&gt;0,SUM(JV22,JZ22,KD22),"")</f>
        <v/>
      </c>
      <c r="KS22" s="76" t="str">
        <f>IF(SUM(KP22,KQ22)&gt;0,SUM(KP22,KQ22),"")</f>
        <v/>
      </c>
      <c r="KT22" s="76" t="str">
        <f>IF(SUM(KH22,KL22)&gt;0,SUM(KH22,KL22),"")</f>
        <v/>
      </c>
      <c r="KU22" s="76" t="str">
        <f>IF(SUM(KG22:KH22,KJ22:KL22,KN22)-SUM(KI22,KM22)&gt;0,SUM(KG22:KH22,KJ22:KL22,KN22)-SUM(KI22,KM22),"")</f>
        <v/>
      </c>
      <c r="KV22" s="76" t="str">
        <f>IF(SUM(KP22,KU22)&gt;0,SUM(KP22,KU22),"")</f>
        <v/>
      </c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16" t="str">
        <f>IF(SUM(KX22,LB22)&gt;0,SUM(KX22,LB22),"")</f>
        <v/>
      </c>
      <c r="LR22" s="16" t="str">
        <f>IF(SUM(KW22:KX22,KZ22:LB22,LD22)-KY22-LC22&gt;0,SUM(KW22:KX22,KZ22:LB22,LD22)-KY22-LC22,"")</f>
        <v/>
      </c>
      <c r="LS22" s="16" t="str">
        <f>IF(SUM(LE22:LF22,LH22)-LG22&gt;0,SUM(LE22:LF22,LH22)-LG22,"")</f>
        <v/>
      </c>
      <c r="LT22" s="16" t="str">
        <f>IF(SUM(KX22,LB22,LF22)&gt;0,SUM(KX22,LB22,LF22),"")</f>
        <v/>
      </c>
      <c r="LU22" s="16" t="str">
        <f>IF(SUM(LR22,LS22)&gt;0,SUM(LR22,LS22),"")</f>
        <v/>
      </c>
      <c r="LV22" s="16" t="str">
        <f>IF(SUM(LJ22,LN22)&gt;0,SUM(LJ22,LN22),"")</f>
        <v/>
      </c>
      <c r="LW22" s="16" t="str">
        <f>IF(SUM(LI22:LJ22,LL22:LN22,LP22)-SUM(LK22,LO22)&gt;0,SUM(LI22:LJ22,LL22:LN22,LP22)-SUM(LK22,LO22),"")</f>
        <v/>
      </c>
      <c r="LX22" s="16" t="str">
        <f>IF(SUM(LR22,LW22)&gt;0,SUM(LR22,LW22),"")</f>
        <v/>
      </c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76" t="str">
        <f>IF(SUM(LZ22,MD22)&gt;0,SUM(LZ22,MD22),"")</f>
        <v/>
      </c>
      <c r="MT22" s="76" t="str">
        <f>IF(SUM(LY22:LZ22,MB22:MD22,MF22)-MA22-ME22&gt;0,SUM(LY22:LZ22,MB22:MD22,MF22)-MA22-ME22,"")</f>
        <v/>
      </c>
      <c r="MU22" s="76" t="str">
        <f>IF(SUM(MG22:MH22,MJ22)-MI22&gt;0,SUM(MG22:MH22,MJ22)-MI22,"")</f>
        <v/>
      </c>
      <c r="MV22" s="76" t="str">
        <f>IF(SUM(LZ22,MD22,MH22)&gt;0,SUM(LZ22,MD22,MH22),"")</f>
        <v/>
      </c>
      <c r="MW22" s="76" t="str">
        <f>IF(SUM(MT22,MU22)&gt;0,SUM(MT22,MU22),"")</f>
        <v/>
      </c>
      <c r="MX22" s="76" t="str">
        <f>IF(SUM(ML22,MP22)&gt;0,SUM(ML22,MP22),"")</f>
        <v/>
      </c>
      <c r="MY22" s="76" t="str">
        <f>IF(SUM(MK22:ML22,MN22:MP22,MR22)-SUM(MM22,MQ22)&gt;0,SUM(MK22:ML22,MN22:MP22,MR22)-SUM(MM22,MQ22),"")</f>
        <v/>
      </c>
      <c r="MZ22" s="76" t="str">
        <f>IF(SUM(MT22,MY22)&gt;0,SUM(MT22,MY22),"")</f>
        <v/>
      </c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6"/>
      <c r="NU22" s="16" t="str">
        <f>IF(SUM(NB22,NF22)&gt;0,SUM(NB22,NF22),"")</f>
        <v/>
      </c>
      <c r="NV22" s="16" t="str">
        <f>IF(SUM(NA22:NB22,ND22:NF22,NH22)-NC22-NG22&gt;0,SUM(NA22:NB22,ND22:NF22,NH22)-NC22-NG22,"")</f>
        <v/>
      </c>
      <c r="NW22" s="16" t="str">
        <f>IF(SUM(NI22:NJ22,NL22)-NK22&gt;0,SUM(NI22:NJ22,NL22)-NK22,"")</f>
        <v/>
      </c>
      <c r="NX22" s="16" t="str">
        <f>IF(SUM(NB22,NF22,NJ22)&gt;0,SUM(NB22,NF22,NJ22),"")</f>
        <v/>
      </c>
      <c r="NY22" s="16" t="str">
        <f>IF(SUM(NV22,NW22)&gt;0,SUM(NV22,NW22),"")</f>
        <v/>
      </c>
      <c r="NZ22" s="16" t="str">
        <f>IF(SUM(NN22,NR22)&gt;0,SUM(NN22,NR22),"")</f>
        <v/>
      </c>
      <c r="OA22" s="16" t="str">
        <f>IF(SUM(NM22:NN22,NP22:NR22,NT22)-SUM(NO22,NS22)&gt;0,SUM(NM22:NN22,NP22:NR22,NT22)-SUM(NO22,NS22),"")</f>
        <v/>
      </c>
      <c r="OB22" s="16" t="str">
        <f>IF(SUM(NV22,OA22)&gt;0,SUM(NV22,OA22),"")</f>
        <v/>
      </c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76" t="str">
        <f>IF(SUM(OD22,OH22)&gt;0,SUM(OD22,OH22),"")</f>
        <v/>
      </c>
      <c r="OX22" s="76" t="str">
        <f>IF(SUM(OC22:OD22,OF22:OH22,OJ22)-OE22-OI22&gt;0,SUM(OC22:OD22,OF22:OH22,OJ22)-OE22-OI22,"")</f>
        <v/>
      </c>
      <c r="OY22" s="76" t="str">
        <f>IF(SUM(OK22:OL22,ON22)-OM22&gt;0,SUM(OK22:OL22,ON22)-OM22,"")</f>
        <v/>
      </c>
      <c r="OZ22" s="76" t="str">
        <f>IF(SUM(OD22,OH22,OL22)&gt;0,SUM(OD22,OH22,OL22),"")</f>
        <v/>
      </c>
      <c r="PA22" s="76" t="str">
        <f>IF(SUM(OX22,OY22)&gt;0,SUM(OX22,OY22),"")</f>
        <v/>
      </c>
      <c r="PB22" s="76" t="str">
        <f>IF(SUM(OP22,OT22)&gt;0,SUM(OP22,OT22),"")</f>
        <v/>
      </c>
      <c r="PC22" s="76" t="str">
        <f>IF(SUM(OO22:OP22,OR22:OT22,OV22)-SUM(OQ22,OU22)&gt;0,SUM(OO22:OP22,OR22:OT22,OV22)-SUM(OQ22,OU22),"")</f>
        <v/>
      </c>
      <c r="PD22" s="76" t="str">
        <f>IF(SUM(OX22,PC22)&gt;0,SUM(OX22,PC22),"")</f>
        <v/>
      </c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6"/>
      <c r="PY22" s="16" t="str">
        <f>IF(SUM(PF22,PJ22)&gt;0,SUM(PF22,PJ22),"")</f>
        <v/>
      </c>
      <c r="PZ22" s="16" t="str">
        <f>IF(SUM(PE22:PF22,PH22:PJ22,PL22)-PG22-PK22&gt;0,SUM(PE22:PF22,PH22:PJ22,PL22)-PG22-PK22,"")</f>
        <v/>
      </c>
      <c r="QA22" s="16" t="str">
        <f>IF(SUM(PM22:PN22,PP22)-PO22&gt;0,SUM(PM22:PN22,PP22)-PO22,"")</f>
        <v/>
      </c>
      <c r="QB22" s="16" t="str">
        <f>IF(SUM(PF22,PJ22,PN22)&gt;0,SUM(PF22,PJ22,PN22),"")</f>
        <v/>
      </c>
      <c r="QC22" s="16" t="str">
        <f>IF(SUM(PZ22,QA22)&gt;0,SUM(PZ22,QA22),"")</f>
        <v/>
      </c>
      <c r="QD22" s="16" t="str">
        <f>IF(SUM(PR22,PV22)&gt;0,SUM(PR22,PV22),"")</f>
        <v/>
      </c>
      <c r="QE22" s="16" t="str">
        <f>IF(SUM(PQ22:PR22,PT22:PV22,PX22)-SUM(PS22,PW22)&gt;0,SUM(PQ22:PR22,PT22:PV22,PX22)-SUM(PS22,PW22),"")</f>
        <v/>
      </c>
      <c r="QF22" s="16" t="str">
        <f>IF(SUM(PZ22,QE22)&gt;0,SUM(PZ22,QE22),"")</f>
        <v/>
      </c>
      <c r="QG22" s="42">
        <f>IF($CW22="P",CC22,(CC22+AZ22)/2)</f>
        <v>9.4499999999999993</v>
      </c>
      <c r="QH22" s="42">
        <f>IF($CW22="P",CD22,(CD22+BA22)/2)</f>
        <v>3.4</v>
      </c>
      <c r="QI22" s="42">
        <f>IF($CW22="P",CE22,(CE22+BB22)/2)</f>
        <v>0.1</v>
      </c>
      <c r="QJ22" s="42">
        <f>IF($CW22="P",CF22,(CF22+BC22)/2)</f>
        <v>0</v>
      </c>
      <c r="QK22" s="42">
        <f>IF($CW22="P",CG22,(CG22+BD22)/2)</f>
        <v>8.8000000000000007</v>
      </c>
      <c r="QL22" s="42">
        <f>IF($CW22="P",CH22,(CH22+BE22)/2)</f>
        <v>0</v>
      </c>
      <c r="QM22" s="42">
        <f>IF($CW22="P",CI22,(CI22+BF22)/2)</f>
        <v>0</v>
      </c>
      <c r="QN22" s="42">
        <f>IF($CW22="P",CJ22,(CJ22+BG22)/2)</f>
        <v>0</v>
      </c>
      <c r="QO22" s="42">
        <f>IF($CW22="P",CK22,(CK22+BH22)/2)</f>
        <v>8.6</v>
      </c>
      <c r="QP22" s="42">
        <f>IF($CW22="P",CL22,(CL22+BI22)/2)</f>
        <v>1.6</v>
      </c>
      <c r="QQ22" s="42">
        <f>IF($CW22="P",CM22,(CM22+BJ22)/2)</f>
        <v>0</v>
      </c>
      <c r="QR22" s="42">
        <f>IF($CW22="P",CN22,(CN22+BK22)/2)</f>
        <v>0</v>
      </c>
      <c r="QS22" s="42">
        <f>IF($CW22="P",CO22,(CO22+BL22)/2)</f>
        <v>0</v>
      </c>
      <c r="QT22" s="42">
        <f>IF($CW22="P",CP22,(CP22+BM22)/2)</f>
        <v>0</v>
      </c>
      <c r="QU22" s="42">
        <f>IF($CW22="P",CQ22,(CQ22+BN22)/2)</f>
        <v>0</v>
      </c>
      <c r="QV22" s="42">
        <f>IF($CW22="P",CR22,(CR22+BO22)/2)</f>
        <v>0</v>
      </c>
      <c r="QW22" s="42">
        <f>IF($CW22="P",CS22,(CS22+BP22)/2)</f>
        <v>0</v>
      </c>
      <c r="QX22" s="42">
        <f>IF($CW22="P",CT22,(CT22+BQ22)/2)</f>
        <v>0</v>
      </c>
      <c r="QY22" s="42">
        <f>IF($CW22="P",CU22,(CU22+BR22)/2)</f>
        <v>0</v>
      </c>
      <c r="QZ22" s="42">
        <f>IF($CW22="P",CV22,(CV22+BS22)/2)</f>
        <v>0</v>
      </c>
      <c r="RA22" s="51" t="s">
        <v>58</v>
      </c>
      <c r="RB22" s="76">
        <f>IF(SUM(QH22,QL22)&gt;0,SUM(QH22,QL22),"")</f>
        <v>3.4</v>
      </c>
      <c r="RC22" s="76">
        <f>IF(SUM(QG22:QH22,QJ22:QL22,QN22)-QI22-QM22&gt;0,SUM(QG22:QH22,QJ22:QL22,QN22)-QI22-QM22,"")</f>
        <v>21.549999999999997</v>
      </c>
      <c r="RD22" s="76">
        <f>IF(SUM(QO22:QP22,QR22)-QQ22&gt;0,SUM(QO22:QP22,QR22)-QQ22,"")</f>
        <v>10.199999999999999</v>
      </c>
      <c r="RE22" s="76">
        <f>IF(SUM(QH22,QL22,QP22)&gt;0,SUM(QH22,QL22,QP22),"")</f>
        <v>5</v>
      </c>
      <c r="RF22" s="76">
        <f>IF(SUM(RC22,RD22)&gt;0,SUM(RC22,RD22),"")</f>
        <v>31.749999999999996</v>
      </c>
      <c r="RG22" s="76" t="str">
        <f>IF(SUM(QT22,QX22)&gt;0,SUM(QT22,QX22),"")</f>
        <v/>
      </c>
      <c r="RH22" s="76" t="str">
        <f>IF(SUM(QS22:QT22,QV22:QX22,QZ22)-SUM(QU22,QY22)&gt;0,SUM(QS22:QT22,QV22:QX22,QZ22)-SUM(QU22,QY22),"")</f>
        <v/>
      </c>
      <c r="RI22" s="76">
        <f>IF(SUM(RC22,RH22)&gt;0,SUM(RC22,RH22),"")</f>
        <v>21.549999999999997</v>
      </c>
    </row>
    <row r="23" spans="1:477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6" t="s">
        <v>33</v>
      </c>
      <c r="C23" s="7" t="s">
        <v>8</v>
      </c>
      <c r="D23" s="18">
        <v>1998</v>
      </c>
      <c r="E23" s="14">
        <f>SUM(J23:T23)+SUM(J23:P23)*0.0000001+SUM(J23)*0.0000000000001</f>
        <v>50.300005030005025</v>
      </c>
      <c r="F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G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H23" s="70" t="str">
        <f>IF(AND(G23="P",F23=""),"No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I23="P","Worlds Team",IF(F23="P","National Team","")))))</f>
        <v/>
      </c>
      <c r="I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J23" s="13">
        <f>IF(COUNT(AS23,BV23,CY23)&gt;0,LARGE((AS23,BV23,CY23),1),0)</f>
        <v>50.3</v>
      </c>
      <c r="K23" s="13" t="str">
        <f>IF(J23=0,"",IF(J23=CY23,$CC$1,IF(J23=BV23,$AZ$1,IF(J23=AS23,$W$1,""))))</f>
        <v>2022 Elite Canada</v>
      </c>
      <c r="L23" s="13">
        <f>IF(COUNT(AS23,BV23,CY23)&gt;1,LARGE((AS23,BV23,CY23),2),0)</f>
        <v>0</v>
      </c>
      <c r="M23" s="13" t="str">
        <f>IF(L23=0,"",IF(L23=CY23,$CC$1,IF(L23=BV23,$AZ$1,IF(L23=AS23,$W$1,""))))</f>
        <v/>
      </c>
      <c r="N23" s="13">
        <f>IF(COUNT(AT23,BW23,CZ23)&gt;0,LARGE((AT23,BW23,CZ23),1),0)</f>
        <v>0</v>
      </c>
      <c r="O23" s="13" t="str">
        <f>IF(N23=0,"",IF(N23=CZ23,$CC$1,IF(N23=BW23,$AZ$1,IF(N23=AT23,$W$1,""))))</f>
        <v/>
      </c>
      <c r="P23" s="13">
        <f>IF(COUNT(AT23,BW23,CZ23)&gt;1,LARGE((AT23,BW23,CZ23),2),0)</f>
        <v>0</v>
      </c>
      <c r="Q23" s="13" t="str">
        <f>IF(P23=0,"",IF(P23=CZ23,$CC$1,IF(P23=BW23,$AZ$1,IF(P23=AT23,$W$1,""))))</f>
        <v/>
      </c>
      <c r="R23" s="13">
        <f>IF(MAX(AX23,CA23,DD23)&gt;0,MAX(AX23,CA23,DD23),0)</f>
        <v>0</v>
      </c>
      <c r="S23" s="13" t="str">
        <f>IF(R23=0,"",IF(R23=DD23,$CC$1,IF(R23=CA23,$AZ$1,IF(R23=AX23,$W$1,""))))</f>
        <v/>
      </c>
      <c r="T23" s="13" t="str">
        <f>IF(MAX(DF23:DH23)&gt;0,MAX(DF23:DH23),"")</f>
        <v/>
      </c>
      <c r="U23" s="16" t="str">
        <f>IF(T23="","",IF(T23=DF23,"("&amp;DF$2&amp;")",IF(T23=DH23,"("&amp;DH$2&amp;")")))</f>
        <v/>
      </c>
      <c r="V23" s="13" t="str">
        <f>IF(T23="","",IF(T23=DF23,IF(T23+IF(L23="",0,L23)=PZ23,$PE$1,IF(T23+IF(L23="",0,L23)=OX23,$OC$1,IF(T23+IF(L23="",0,L23)=NV23,$NA$1,IF(T23+IF(L23="",0,L23)=MT23,$LY$1,IF(T23+IF(L23="",0,L23)=LR23,$KW$1,IF(T23+IF(L23="",0,L23)=KP23,$JU$1,IF(T23+IF(L23="",0,L23)=JN23,$IS$1,IF(T23+IF(L23="",0,L23)=IL23,$HQ$1,IF(T23+IF(L23="",0,L23)=HJ23,$GO$1,IF(T23+IF(L23="",0,L23)=GH23,$FM$1,IF(T23+IF(L23="",0,L23)=FF23,$EK$1,IF(T23+IF(L23="",0,L23)=ED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</f>
        <v/>
      </c>
      <c r="W23" s="27">
        <v>18.2</v>
      </c>
      <c r="X23" s="27">
        <v>7.2</v>
      </c>
      <c r="Y23" s="27">
        <v>0.6</v>
      </c>
      <c r="Z23" s="27">
        <v>0</v>
      </c>
      <c r="AA23" s="27">
        <v>18.5</v>
      </c>
      <c r="AB23" s="27">
        <v>7.2</v>
      </c>
      <c r="AC23" s="27">
        <v>0.2</v>
      </c>
      <c r="AD23" s="27">
        <v>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51"/>
      <c r="AR23" s="76">
        <f>IF(SUM(X23,AB23)&gt;0,SUM(X23,AB23),"")</f>
        <v>14.4</v>
      </c>
      <c r="AS23" s="76">
        <f>IF(SUM(W23:X23,Z23:AB23,AD23)-Y23-AC23&gt;0,SUM(W23:X23,Z23:AB23,AD23)-Y23-AC23,"")</f>
        <v>50.3</v>
      </c>
      <c r="AT23" s="76" t="str">
        <f>IF(SUM(AE23:AF23,AH23)-AG23&gt;0,SUM(AE23:AF23,AH23)-AG23,"")</f>
        <v/>
      </c>
      <c r="AU23" s="76">
        <f>IF(SUM(X23,AB23,AF23)&gt;0,SUM(X23,AB23,AF23),"")</f>
        <v>14.4</v>
      </c>
      <c r="AV23" s="76">
        <f>IF(SUM(AS23,AT23)&gt;0,SUM(AS23,AT23),"")</f>
        <v>50.3</v>
      </c>
      <c r="AW23" s="76" t="str">
        <f>IF(SUM(AJ23,AN23)&gt;0,SUM(AJ23,AN23),"")</f>
        <v/>
      </c>
      <c r="AX23" s="76" t="str">
        <f>IF(SUM(AI23:AJ23,AL23:AN23,AP23)-SUM(AK23,AO23)&gt;0,SUM(AI23:AJ23,AL23:AN23,AP23)-SUM(AK23,AO23),"")</f>
        <v/>
      </c>
      <c r="AY23" s="76">
        <f>IF(SUM(AS23,AX23)&gt;0,SUM(AS23,AX23),"")</f>
        <v>50.3</v>
      </c>
      <c r="AZ23" s="26">
        <v>0</v>
      </c>
      <c r="BA23" s="26">
        <v>0</v>
      </c>
      <c r="BB23" s="26">
        <v>0</v>
      </c>
      <c r="BC23" s="26"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26">
        <v>0</v>
      </c>
      <c r="BJ23" s="26">
        <v>0</v>
      </c>
      <c r="BK23" s="26">
        <v>0</v>
      </c>
      <c r="BL23" s="26"/>
      <c r="BM23" s="26"/>
      <c r="BN23" s="26"/>
      <c r="BO23" s="26"/>
      <c r="BP23" s="26"/>
      <c r="BQ23" s="26"/>
      <c r="BR23" s="26"/>
      <c r="BS23" s="26"/>
      <c r="BT23" s="52"/>
      <c r="BU23" s="16" t="str">
        <f>IF(SUM(BA23,BE23)&gt;0,SUM(BA23,BE23),"")</f>
        <v/>
      </c>
      <c r="BV23" s="16" t="str">
        <f>IF(SUM(AZ23:BA23,BC23:BE23,BG23)-BB23-BF23&gt;0,SUM(AZ23:BA23,BC23:BE23,BG23)-BB23-BF23,"")</f>
        <v/>
      </c>
      <c r="BW23" s="16" t="str">
        <f>IF(SUM(BH23:BI23,BK23)-BJ23&gt;0,SUM(BH23:BI23,BK23)-BJ23,"")</f>
        <v/>
      </c>
      <c r="BX23" s="16" t="str">
        <f>IF(SUM(BA23,BE23,BI23)&gt;0,SUM(BA23,BE23,BI23),"")</f>
        <v/>
      </c>
      <c r="BY23" s="16" t="str">
        <f>IF(SUM(BV23,BW23)&gt;0,SUM(BV23,BW23),"")</f>
        <v/>
      </c>
      <c r="BZ23" s="16" t="str">
        <f>IF(SUM(BM23,BQ23)&gt;0,SUM(BM23,BQ23),"")</f>
        <v/>
      </c>
      <c r="CA23" s="16" t="str">
        <f>IF(SUM(BL23:BM23,BO23:BQ23,BS23)-SUM(BN23,BR23)&gt;0,SUM(BL23:BM23,BO23:BQ23,BS23)-SUM(BN23,BR23),"")</f>
        <v/>
      </c>
      <c r="CB23" s="16" t="str">
        <f>IF(SUM(BV23,CA23)&gt;0,SUM(BV23,CA23),"")</f>
        <v/>
      </c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51"/>
      <c r="CX23" s="76" t="str">
        <f>IF(SUM(CD23,CH23)&gt;0,SUM(CD23,CH23),"")</f>
        <v/>
      </c>
      <c r="CY23" s="76" t="str">
        <f>IF(SUM(CC23:CD23,CF23:CH23,CJ23)-CE23-CI23&gt;0,SUM(CC23:CD23,CF23:CH23,CJ23)-CE23-CI23,"")</f>
        <v/>
      </c>
      <c r="CZ23" s="76" t="str">
        <f>IF(SUM(CK23:CL23,CN23)-CM23&gt;0,SUM(CK23:CL23,CN23)-CM23,"")</f>
        <v/>
      </c>
      <c r="DA23" s="76" t="str">
        <f>IF(SUM(CD23,CH23,CL23)&gt;0,SUM(CD23,CH23,CL23),"")</f>
        <v/>
      </c>
      <c r="DB23" s="76" t="str">
        <f>IF(SUM(CY23,CZ23)&gt;0,SUM(CY23,CZ23),"")</f>
        <v/>
      </c>
      <c r="DC23" s="76" t="str">
        <f>IF(SUM(CP23,CT23)&gt;0,SUM(CP23,CT23),"")</f>
        <v/>
      </c>
      <c r="DD23" s="76" t="str">
        <f>IF(SUM(CO23:CP23,CR23:CT23,CV23)-SUM(CQ23,CU23)&gt;0,SUM(CO23:CP23,CR23:CT23,CV23)-SUM(CQ23,CU23),"")</f>
        <v/>
      </c>
      <c r="DE23" s="76" t="str">
        <f>IF(SUM(CY23,DD23)&gt;0,SUM(CY23,DD23),"")</f>
        <v/>
      </c>
      <c r="DF23" s="87" t="str">
        <f>IF(L23&gt;=0.001,IF(MAX(ED23,FF23,GH23,HJ23,IL23,JN23,KP23,LR23,MT23,NV23,OX23,PZ23)-IF(L23="",0,L23)&gt;0.001,MAX(ED23,FF23,GH23,HJ23,IL23,JN23,KP23,LR23,MT23,NV23,OX23,PZ23)-IF(L23="",0,L23),""),"")</f>
        <v/>
      </c>
      <c r="DG23" s="87" t="str">
        <f>IF(P23&gt;=0.001,IF(MAX(EE23,FG23,GI23,HK23,IM23,JO23,KQ23,LS23,MU23,NW23,OY23,QA23)-IF(P23="",0,P23)&gt;0.001,MAX(EE23,FG23,GI23,HK23,IM23,JO23,KQ23,LS23,MU23,NW23,OY23,QA23)-IF(P23="",0,P23),""),"")</f>
        <v/>
      </c>
      <c r="DH23" s="87" t="str">
        <f>IF(R23&gt;=0.001,IF(MAX(EI23,FK23,GM23,HO23,IQ23,JS23,KU23,LW23,MY23,OA23,PC23,QE23)-IF(R23="",0,R23)&gt;0.001,MAX(EI23,FK23,GM23,HO23,IQ23,JS23,KU23,LW23,MY23,OA23,PC23,QE23)-IF(R23="",0,R23),""),"")</f>
        <v/>
      </c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76" t="str">
        <f>IF(SUM(DJ23,DN23)&gt;0,SUM(DJ23,DN23),"")</f>
        <v/>
      </c>
      <c r="ED23" s="76" t="str">
        <f>IF(SUM(DI23:DJ23,DL23:DN23,DP23)-DK23-DO23&gt;0,SUM(DI23:DJ23,DL23:DN23,DP23)-DK23-DO23,"")</f>
        <v/>
      </c>
      <c r="EE23" s="76" t="str">
        <f>IF(SUM(DQ23:DR23,DT23)-DS23&gt;0,SUM(DQ23:DR23,DT23)-DS23,"")</f>
        <v/>
      </c>
      <c r="EF23" s="76" t="str">
        <f>IF(SUM(DJ23,DN23,DR23)&gt;0,SUM(DJ23,DN23,DR23),"")</f>
        <v/>
      </c>
      <c r="EG23" s="76" t="str">
        <f>IF(SUM(ED23,EE23)&gt;0,SUM(ED23,EE23),"")</f>
        <v/>
      </c>
      <c r="EH23" s="76" t="str">
        <f>IF(SUM(DV23,DZ23)&gt;0,SUM(DV23,DZ23),"")</f>
        <v/>
      </c>
      <c r="EI23" s="76" t="str">
        <f>IF(SUM(DU23:DV23,DX23:DZ23,EB23)-SUM(DW23,EA23)&gt;0,SUM(DU23:DV23,DX23:DZ23,EB23)-SUM(DW23,EA23),"")</f>
        <v/>
      </c>
      <c r="EJ23" s="76" t="str">
        <f>IF(SUM(ED23,EI23)&gt;0,SUM(ED23,EI23),"")</f>
        <v/>
      </c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16" t="str">
        <f>IF(SUM(EL23,EP23)&gt;0,SUM(EL23,EP23),"")</f>
        <v/>
      </c>
      <c r="FF23" s="16" t="str">
        <f>IF(SUM(EK23:EL23,EN23:EP23,ER23)-EM23-EQ23&gt;0,SUM(EK23:EL23,EN23:EP23,ER23)-EM23-EQ23,"")</f>
        <v/>
      </c>
      <c r="FG23" s="16" t="str">
        <f>IF(SUM(ES23:ET23,EV23)-EU23&gt;0,SUM(ES23:ET23,EV23)-EU23,"")</f>
        <v/>
      </c>
      <c r="FH23" s="16" t="str">
        <f>IF(SUM(EL23,EP23,ET23)&gt;0,SUM(EL23,EP23,ET23),"")</f>
        <v/>
      </c>
      <c r="FI23" s="16" t="str">
        <f>IF(SUM(FF23,FG23)&gt;0,SUM(FF23,FG23),"")</f>
        <v/>
      </c>
      <c r="FJ23" s="16" t="str">
        <f>IF(SUM(EX23,FB23)&gt;0,SUM(EX23,FB23),"")</f>
        <v/>
      </c>
      <c r="FK23" s="16" t="str">
        <f>IF(SUM(EW23:EX23,EZ23:FB23,FD23)-SUM(EY23,FC23)&gt;0,SUM(EW23:EX23,EZ23:FB23,FD23)-SUM(EY23,FC23),"")</f>
        <v/>
      </c>
      <c r="FL23" s="16" t="str">
        <f>IF(SUM(FF23,FK23)&gt;0,SUM(FF23,FK23),"")</f>
        <v/>
      </c>
      <c r="FM23" s="25">
        <v>17.5</v>
      </c>
      <c r="FN23" s="25">
        <v>2.8</v>
      </c>
      <c r="FO23" s="25">
        <v>0</v>
      </c>
      <c r="FP23" s="25">
        <v>0</v>
      </c>
      <c r="FQ23" s="25">
        <v>18.399999999999999</v>
      </c>
      <c r="FR23" s="25">
        <v>6</v>
      </c>
      <c r="FS23" s="25">
        <v>0.8</v>
      </c>
      <c r="FT23" s="25">
        <v>0</v>
      </c>
      <c r="FU23" s="25"/>
      <c r="FV23" s="25"/>
      <c r="FW23" s="25"/>
      <c r="FX23" s="25"/>
      <c r="FY23" s="25">
        <v>17.600000000000001</v>
      </c>
      <c r="FZ23" s="25">
        <v>2.8</v>
      </c>
      <c r="GA23" s="25">
        <v>0</v>
      </c>
      <c r="GB23" s="25">
        <v>0</v>
      </c>
      <c r="GC23" s="25">
        <v>18.2</v>
      </c>
      <c r="GD23" s="25">
        <v>6.8</v>
      </c>
      <c r="GE23" s="25">
        <v>0.6</v>
      </c>
      <c r="GF23" s="25">
        <v>0</v>
      </c>
      <c r="GG23" s="76">
        <f>IF(SUM(FN23,FR23)&gt;0,SUM(FN23,FR23),"")</f>
        <v>8.8000000000000007</v>
      </c>
      <c r="GH23" s="76">
        <f>IF(SUM(FM23:FN23,FP23:FR23,FT23)-FO23-FS23&gt;0,SUM(FM23:FN23,FP23:FR23,FT23)-FO23-FS23,"")</f>
        <v>43.900000000000006</v>
      </c>
      <c r="GI23" s="76" t="str">
        <f>IF(SUM(FU23:FV23,FX23)-FW23&gt;0,SUM(FU23:FV23,FX23)-FW23,"")</f>
        <v/>
      </c>
      <c r="GJ23" s="76">
        <f>IF(SUM(FN23,FR23,FV23)&gt;0,SUM(FN23,FR23,FV23),"")</f>
        <v>8.8000000000000007</v>
      </c>
      <c r="GK23" s="76">
        <f>IF(SUM(GH23,GI23)&gt;0,SUM(GH23,GI23),"")</f>
        <v>43.900000000000006</v>
      </c>
      <c r="GL23" s="76">
        <f>IF(SUM(FZ23,GD23)&gt;0,SUM(FZ23,GD23),"")</f>
        <v>9.6</v>
      </c>
      <c r="GM23" s="76">
        <f>IF(SUM(FY23:FZ23,GB23:GD23,GF23)-SUM(GA23,GE23)&gt;0,SUM(FY23:FZ23,GB23:GD23,GF23)-SUM(GA23,GE23),"")</f>
        <v>44.8</v>
      </c>
      <c r="GN23" s="76">
        <f>IF(SUM(GH23,GM23)&gt;0,SUM(GH23,GM23),"")</f>
        <v>88.7</v>
      </c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16" t="str">
        <f>IF(SUM(GP23,GT23)&gt;0,SUM(GP23,GT23),"")</f>
        <v/>
      </c>
      <c r="HJ23" s="16" t="str">
        <f>IF(SUM(GO23:GP23,GR23:GT23,GV23)-GQ23-GU23&gt;0,SUM(GO23:GP23,GR23:GT23,GV23)-GQ23-GU23,"")</f>
        <v/>
      </c>
      <c r="HK23" s="16" t="str">
        <f>IF(SUM(GW23:GX23,GZ23)-GY23&gt;0,SUM(GW23:GX23,GZ23)-GY23,"")</f>
        <v/>
      </c>
      <c r="HL23" s="16" t="str">
        <f>IF(SUM(GP23,GT23,GX23)&gt;0,SUM(GP23,GT23,GX23),"")</f>
        <v/>
      </c>
      <c r="HM23" s="16" t="str">
        <f>IF(SUM(HJ23,HK23)&gt;0,SUM(HJ23,HK23),"")</f>
        <v/>
      </c>
      <c r="HN23" s="16" t="str">
        <f>IF(SUM(HB23,HF23)&gt;0,SUM(HB23,HF23),"")</f>
        <v/>
      </c>
      <c r="HO23" s="16" t="str">
        <f>IF(SUM(HA23:HB23,HD23:HF23,HH23)-SUM(HC23,HG23)&gt;0,SUM(HA23:HB23,HD23:HF23,HH23)-SUM(HC23,HG23),"")</f>
        <v/>
      </c>
      <c r="HP23" s="16" t="str">
        <f>IF(SUM(HJ23,HO23)&gt;0,SUM(HJ23,HO23),"")</f>
        <v/>
      </c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76" t="str">
        <f>IF(SUM(HR23,HV23)&gt;0,SUM(HR23,HV23),"")</f>
        <v/>
      </c>
      <c r="IL23" s="76" t="str">
        <f>IF(SUM(HQ23:HR23,HT23:HV23,HX23)-HS23-HW23&gt;0,SUM(HQ23:HR23,HT23:HV23,HX23)-HS23-HW23,"")</f>
        <v/>
      </c>
      <c r="IM23" s="76" t="str">
        <f>IF(SUM(HY23:HZ23,IB23)-IA23&gt;0,SUM(HY23:HZ23,IB23)-IA23,"")</f>
        <v/>
      </c>
      <c r="IN23" s="76" t="str">
        <f>IF(SUM(HR23,HV23,HZ23)&gt;0,SUM(HR23,HV23,HZ23),"")</f>
        <v/>
      </c>
      <c r="IO23" s="76" t="str">
        <f>IF(SUM(IL23,IM23)&gt;0,SUM(IL23,IM23),"")</f>
        <v/>
      </c>
      <c r="IP23" s="76" t="str">
        <f>IF(SUM(ID23,IH23)&gt;0,SUM(ID23,IH23),"")</f>
        <v/>
      </c>
      <c r="IQ23" s="76" t="str">
        <f>IF(SUM(IC23:ID23,IF23:IH23,IJ23)-SUM(IE23,II23)&gt;0,SUM(IC23:ID23,IF23:IH23,IJ23)-SUM(IE23,II23),"")</f>
        <v/>
      </c>
      <c r="IR23" s="76" t="str">
        <f>IF(SUM(IL23,IQ23)&gt;0,SUM(IL23,IQ23),"")</f>
        <v/>
      </c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16" t="str">
        <f>IF(SUM(IT23,IX23)&gt;0,SUM(IT23,IX23),"")</f>
        <v/>
      </c>
      <c r="JN23" s="16" t="str">
        <f>IF(SUM(IS23:IT23,IV23:IX23,IZ23)-IU23-IY23&gt;0,SUM(IS23:IT23,IV23:IX23,IZ23)-IU23-IY23,"")</f>
        <v/>
      </c>
      <c r="JO23" s="16" t="str">
        <f>IF(SUM(JA23:JB23,JD23)-JC23&gt;0,SUM(JA23:JB23,JD23)-JC23,"")</f>
        <v/>
      </c>
      <c r="JP23" s="16" t="str">
        <f>IF(SUM(IT23,IX23,JB23)&gt;0,SUM(IT23,IX23,JB23),"")</f>
        <v/>
      </c>
      <c r="JQ23" s="16" t="str">
        <f>IF(SUM(JN23,JO23)&gt;0,SUM(JN23,JO23),"")</f>
        <v/>
      </c>
      <c r="JR23" s="16" t="str">
        <f>IF(SUM(JF23,JJ23)&gt;0,SUM(JF23,JJ23),"")</f>
        <v/>
      </c>
      <c r="JS23" s="16" t="str">
        <f>IF(SUM(JE23:JF23,JH23:JJ23,JL23)-SUM(JG23,JK23)&gt;0,SUM(JE23:JF23,JH23:JJ23,JL23)-SUM(JG23,JK23),"")</f>
        <v/>
      </c>
      <c r="JT23" s="16" t="str">
        <f>IF(SUM(JN23,JS23)&gt;0,SUM(JN23,JS23),"")</f>
        <v/>
      </c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76" t="str">
        <f>IF(SUM(JV23,JZ23)&gt;0,SUM(JV23,JZ23),"")</f>
        <v/>
      </c>
      <c r="KP23" s="76" t="str">
        <f>IF(SUM(JU23:JV23,JX23:JZ23,KB23)-JW23-KA23&gt;0,SUM(JU23:JV23,JX23:JZ23,KB23)-JW23-KA23,"")</f>
        <v/>
      </c>
      <c r="KQ23" s="76" t="str">
        <f>IF(SUM(KC23:KD23,KF23)-KE23&gt;0,SUM(KC23:KD23,KF23)-KE23,"")</f>
        <v/>
      </c>
      <c r="KR23" s="76" t="str">
        <f>IF(SUM(JV23,JZ23,KD23)&gt;0,SUM(JV23,JZ23,KD23),"")</f>
        <v/>
      </c>
      <c r="KS23" s="76" t="str">
        <f>IF(SUM(KP23,KQ23)&gt;0,SUM(KP23,KQ23),"")</f>
        <v/>
      </c>
      <c r="KT23" s="76" t="str">
        <f>IF(SUM(KH23,KL23)&gt;0,SUM(KH23,KL23),"")</f>
        <v/>
      </c>
      <c r="KU23" s="76" t="str">
        <f>IF(SUM(KG23:KH23,KJ23:KL23,KN23)-SUM(KI23,KM23)&gt;0,SUM(KG23:KH23,KJ23:KL23,KN23)-SUM(KI23,KM23),"")</f>
        <v/>
      </c>
      <c r="KV23" s="76" t="str">
        <f>IF(SUM(KP23,KU23)&gt;0,SUM(KP23,KU23),"")</f>
        <v/>
      </c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16" t="str">
        <f>IF(SUM(KX23,LB23)&gt;0,SUM(KX23,LB23),"")</f>
        <v/>
      </c>
      <c r="LR23" s="16" t="str">
        <f>IF(SUM(KW23:KX23,KZ23:LB23,LD23)-KY23-LC23&gt;0,SUM(KW23:KX23,KZ23:LB23,LD23)-KY23-LC23,"")</f>
        <v/>
      </c>
      <c r="LS23" s="16" t="str">
        <f>IF(SUM(LE23:LF23,LH23)-LG23&gt;0,SUM(LE23:LF23,LH23)-LG23,"")</f>
        <v/>
      </c>
      <c r="LT23" s="16" t="str">
        <f>IF(SUM(KX23,LB23,LF23)&gt;0,SUM(KX23,LB23,LF23),"")</f>
        <v/>
      </c>
      <c r="LU23" s="16" t="str">
        <f>IF(SUM(LR23,LS23)&gt;0,SUM(LR23,LS23),"")</f>
        <v/>
      </c>
      <c r="LV23" s="16" t="str">
        <f>IF(SUM(LJ23,LN23)&gt;0,SUM(LJ23,LN23),"")</f>
        <v/>
      </c>
      <c r="LW23" s="16" t="str">
        <f>IF(SUM(LI23:LJ23,LL23:LN23,LP23)-SUM(LK23,LO23)&gt;0,SUM(LI23:LJ23,LL23:LN23,LP23)-SUM(LK23,LO23),"")</f>
        <v/>
      </c>
      <c r="LX23" s="16" t="str">
        <f>IF(SUM(LR23,LW23)&gt;0,SUM(LR23,LW23),"")</f>
        <v/>
      </c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76" t="str">
        <f>IF(SUM(LZ23,MD23)&gt;0,SUM(LZ23,MD23),"")</f>
        <v/>
      </c>
      <c r="MT23" s="76" t="str">
        <f>IF(SUM(LY23:LZ23,MB23:MD23,MF23)-MA23-ME23&gt;0,SUM(LY23:LZ23,MB23:MD23,MF23)-MA23-ME23,"")</f>
        <v/>
      </c>
      <c r="MU23" s="76" t="str">
        <f>IF(SUM(MG23:MH23,MJ23)-MI23&gt;0,SUM(MG23:MH23,MJ23)-MI23,"")</f>
        <v/>
      </c>
      <c r="MV23" s="76" t="str">
        <f>IF(SUM(LZ23,MD23,MH23)&gt;0,SUM(LZ23,MD23,MH23),"")</f>
        <v/>
      </c>
      <c r="MW23" s="76" t="str">
        <f>IF(SUM(MT23,MU23)&gt;0,SUM(MT23,MU23),"")</f>
        <v/>
      </c>
      <c r="MX23" s="76" t="str">
        <f>IF(SUM(ML23,MP23)&gt;0,SUM(ML23,MP23),"")</f>
        <v/>
      </c>
      <c r="MY23" s="76" t="str">
        <f>IF(SUM(MK23:ML23,MN23:MP23,MR23)-SUM(MM23,MQ23)&gt;0,SUM(MK23:ML23,MN23:MP23,MR23)-SUM(MM23,MQ23),"")</f>
        <v/>
      </c>
      <c r="MZ23" s="76" t="str">
        <f>IF(SUM(MT23,MY23)&gt;0,SUM(MT23,MY23),"")</f>
        <v/>
      </c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6"/>
      <c r="NU23" s="16" t="str">
        <f>IF(SUM(NB23,NF23)&gt;0,SUM(NB23,NF23),"")</f>
        <v/>
      </c>
      <c r="NV23" s="16" t="str">
        <f>IF(SUM(NA23:NB23,ND23:NF23,NH23)-NC23-NG23&gt;0,SUM(NA23:NB23,ND23:NF23,NH23)-NC23-NG23,"")</f>
        <v/>
      </c>
      <c r="NW23" s="16" t="str">
        <f>IF(SUM(NI23:NJ23,NL23)-NK23&gt;0,SUM(NI23:NJ23,NL23)-NK23,"")</f>
        <v/>
      </c>
      <c r="NX23" s="16" t="str">
        <f>IF(SUM(NB23,NF23,NJ23)&gt;0,SUM(NB23,NF23,NJ23),"")</f>
        <v/>
      </c>
      <c r="NY23" s="16" t="str">
        <f>IF(SUM(NV23,NW23)&gt;0,SUM(NV23,NW23),"")</f>
        <v/>
      </c>
      <c r="NZ23" s="16" t="str">
        <f>IF(SUM(NN23,NR23)&gt;0,SUM(NN23,NR23),"")</f>
        <v/>
      </c>
      <c r="OA23" s="16" t="str">
        <f>IF(SUM(NM23:NN23,NP23:NR23,NT23)-SUM(NO23,NS23)&gt;0,SUM(NM23:NN23,NP23:NR23,NT23)-SUM(NO23,NS23),"")</f>
        <v/>
      </c>
      <c r="OB23" s="16" t="str">
        <f>IF(SUM(NV23,OA23)&gt;0,SUM(NV23,OA23),"")</f>
        <v/>
      </c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76" t="str">
        <f>IF(SUM(OD23,OH23)&gt;0,SUM(OD23,OH23),"")</f>
        <v/>
      </c>
      <c r="OX23" s="76" t="str">
        <f>IF(SUM(OC23:OD23,OF23:OH23,OJ23)-OE23-OI23&gt;0,SUM(OC23:OD23,OF23:OH23,OJ23)-OE23-OI23,"")</f>
        <v/>
      </c>
      <c r="OY23" s="76" t="str">
        <f>IF(SUM(OK23:OL23,ON23)-OM23&gt;0,SUM(OK23:OL23,ON23)-OM23,"")</f>
        <v/>
      </c>
      <c r="OZ23" s="76" t="str">
        <f>IF(SUM(OD23,OH23,OL23)&gt;0,SUM(OD23,OH23,OL23),"")</f>
        <v/>
      </c>
      <c r="PA23" s="76" t="str">
        <f>IF(SUM(OX23,OY23)&gt;0,SUM(OX23,OY23),"")</f>
        <v/>
      </c>
      <c r="PB23" s="76" t="str">
        <f>IF(SUM(OP23,OT23)&gt;0,SUM(OP23,OT23),"")</f>
        <v/>
      </c>
      <c r="PC23" s="76" t="str">
        <f>IF(SUM(OO23:OP23,OR23:OT23,OV23)-SUM(OQ23,OU23)&gt;0,SUM(OO23:OP23,OR23:OT23,OV23)-SUM(OQ23,OU23),"")</f>
        <v/>
      </c>
      <c r="PD23" s="76" t="str">
        <f>IF(SUM(OX23,PC23)&gt;0,SUM(OX23,PC23),"")</f>
        <v/>
      </c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6"/>
      <c r="PY23" s="16" t="str">
        <f>IF(SUM(PF23,PJ23)&gt;0,SUM(PF23,PJ23),"")</f>
        <v/>
      </c>
      <c r="PZ23" s="16" t="str">
        <f>IF(SUM(PE23:PF23,PH23:PJ23,PL23)-PG23-PK23&gt;0,SUM(PE23:PF23,PH23:PJ23,PL23)-PG23-PK23,"")</f>
        <v/>
      </c>
      <c r="QA23" s="16" t="str">
        <f>IF(SUM(PM23:PN23,PP23)-PO23&gt;0,SUM(PM23:PN23,PP23)-PO23,"")</f>
        <v/>
      </c>
      <c r="QB23" s="16" t="str">
        <f>IF(SUM(PF23,PJ23,PN23)&gt;0,SUM(PF23,PJ23,PN23),"")</f>
        <v/>
      </c>
      <c r="QC23" s="16" t="str">
        <f>IF(SUM(PZ23,QA23)&gt;0,SUM(PZ23,QA23),"")</f>
        <v/>
      </c>
      <c r="QD23" s="16" t="str">
        <f>IF(SUM(PR23,PV23)&gt;0,SUM(PR23,PV23),"")</f>
        <v/>
      </c>
      <c r="QE23" s="16" t="str">
        <f>IF(SUM(PQ23:PR23,PT23:PV23,PX23)-SUM(PS23,PW23)&gt;0,SUM(PQ23:PR23,PT23:PV23,PX23)-SUM(PS23,PW23),"")</f>
        <v/>
      </c>
      <c r="QF23" s="16" t="str">
        <f>IF(SUM(PZ23,QE23)&gt;0,SUM(PZ23,QE23),"")</f>
        <v/>
      </c>
      <c r="QG23" s="42">
        <f>IF($CW23="P",CC23,(CC23+AZ23)/2)</f>
        <v>0</v>
      </c>
      <c r="QH23" s="42">
        <f>IF($CW23="P",CD23,(CD23+BA23)/2)</f>
        <v>0</v>
      </c>
      <c r="QI23" s="42">
        <f>IF($CW23="P",CE23,(CE23+BB23)/2)</f>
        <v>0</v>
      </c>
      <c r="QJ23" s="42">
        <f>IF($CW23="P",CF23,(CF23+BC23)/2)</f>
        <v>0</v>
      </c>
      <c r="QK23" s="42">
        <f>IF($CW23="P",CG23,(CG23+BD23)/2)</f>
        <v>0</v>
      </c>
      <c r="QL23" s="42">
        <f>IF($CW23="P",CH23,(CH23+BE23)/2)</f>
        <v>0</v>
      </c>
      <c r="QM23" s="42">
        <f>IF($CW23="P",CI23,(CI23+BF23)/2)</f>
        <v>0</v>
      </c>
      <c r="QN23" s="42">
        <f>IF($CW23="P",CJ23,(CJ23+BG23)/2)</f>
        <v>0</v>
      </c>
      <c r="QO23" s="42">
        <f>IF($CW23="P",CK23,(CK23+BH23)/2)</f>
        <v>0</v>
      </c>
      <c r="QP23" s="42">
        <f>IF($CW23="P",CL23,(CL23+BI23)/2)</f>
        <v>0</v>
      </c>
      <c r="QQ23" s="42">
        <f>IF($CW23="P",CM23,(CM23+BJ23)/2)</f>
        <v>0</v>
      </c>
      <c r="QR23" s="42">
        <f>IF($CW23="P",CN23,(CN23+BK23)/2)</f>
        <v>0</v>
      </c>
      <c r="QS23" s="42">
        <f>IF($CW23="P",CO23,(CO23+BL23)/2)</f>
        <v>0</v>
      </c>
      <c r="QT23" s="42">
        <f>IF($CW23="P",CP23,(CP23+BM23)/2)</f>
        <v>0</v>
      </c>
      <c r="QU23" s="42">
        <f>IF($CW23="P",CQ23,(CQ23+BN23)/2)</f>
        <v>0</v>
      </c>
      <c r="QV23" s="42">
        <f>IF($CW23="P",CR23,(CR23+BO23)/2)</f>
        <v>0</v>
      </c>
      <c r="QW23" s="42">
        <f>IF($CW23="P",CS23,(CS23+BP23)/2)</f>
        <v>0</v>
      </c>
      <c r="QX23" s="42">
        <f>IF($CW23="P",CT23,(CT23+BQ23)/2)</f>
        <v>0</v>
      </c>
      <c r="QY23" s="42">
        <f>IF($CW23="P",CU23,(CU23+BR23)/2)</f>
        <v>0</v>
      </c>
      <c r="QZ23" s="42">
        <f>IF($CW23="P",CV23,(CV23+BS23)/2)</f>
        <v>0</v>
      </c>
      <c r="RA23" s="51" t="s">
        <v>58</v>
      </c>
      <c r="RB23" s="76" t="str">
        <f>IF(SUM(QH23,QL23)&gt;0,SUM(QH23,QL23),"")</f>
        <v/>
      </c>
      <c r="RC23" s="76" t="str">
        <f>IF(SUM(QG23:QH23,QJ23:QL23,QN23)-QI23-QM23&gt;0,SUM(QG23:QH23,QJ23:QL23,QN23)-QI23-QM23,"")</f>
        <v/>
      </c>
      <c r="RD23" s="76" t="str">
        <f>IF(SUM(QO23:QP23,QR23)-QQ23&gt;0,SUM(QO23:QP23,QR23)-QQ23,"")</f>
        <v/>
      </c>
      <c r="RE23" s="76" t="str">
        <f>IF(SUM(QH23,QL23,QP23)&gt;0,SUM(QH23,QL23,QP23),"")</f>
        <v/>
      </c>
      <c r="RF23" s="76" t="str">
        <f>IF(SUM(RC23,RD23)&gt;0,SUM(RC23,RD23),"")</f>
        <v/>
      </c>
      <c r="RG23" s="76" t="str">
        <f>IF(SUM(QT23,QX23)&gt;0,SUM(QT23,QX23),"")</f>
        <v/>
      </c>
      <c r="RH23" s="76" t="str">
        <f>IF(SUM(QS23:QT23,QV23:QX23,QZ23)-SUM(QU23,QY23)&gt;0,SUM(QS23:QT23,QV23:QX23,QZ23)-SUM(QU23,QY23),"")</f>
        <v/>
      </c>
      <c r="RI23" s="76" t="str">
        <f>IF(SUM(RC23,RH23)&gt;0,SUM(RC23,RH23),"")</f>
        <v/>
      </c>
    </row>
    <row r="24" spans="1:477" ht="17" x14ac:dyDescent="0.2">
      <c r="T24" s="15"/>
      <c r="U24" s="15"/>
      <c r="V24" s="15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</row>
    <row r="25" spans="1:477" ht="17" x14ac:dyDescent="0.2">
      <c r="T25" s="15"/>
      <c r="U25" s="15"/>
      <c r="V25" s="15"/>
    </row>
    <row r="26" spans="1:477" ht="17" x14ac:dyDescent="0.2">
      <c r="B26" s="43" t="s">
        <v>55</v>
      </c>
      <c r="T26" s="15"/>
      <c r="U26" s="15"/>
      <c r="V26" s="15"/>
      <c r="AR26" s="7"/>
      <c r="AY26" s="78">
        <v>14.4</v>
      </c>
      <c r="BU26" s="7"/>
      <c r="CB26" s="78">
        <v>14.4</v>
      </c>
      <c r="CX26" s="7"/>
      <c r="DE26" s="78">
        <v>14.4</v>
      </c>
      <c r="EC26" s="7"/>
      <c r="EJ26" s="78">
        <v>1.0000000000000001E-5</v>
      </c>
      <c r="FE26" s="7"/>
      <c r="FL26" s="78">
        <v>14.4</v>
      </c>
      <c r="GG26" s="7"/>
      <c r="GN26" s="78">
        <v>14.4</v>
      </c>
      <c r="HI26" s="7"/>
      <c r="HP26" s="78">
        <v>14.4</v>
      </c>
      <c r="IK26" s="7"/>
      <c r="IR26" s="78">
        <v>14.4</v>
      </c>
      <c r="JM26" s="7"/>
      <c r="JT26" s="78">
        <v>14.4</v>
      </c>
      <c r="KO26" s="7"/>
      <c r="KV26" s="78">
        <v>14.4</v>
      </c>
      <c r="LQ26" s="7"/>
      <c r="LX26" s="78">
        <v>14.4</v>
      </c>
      <c r="MS26" s="7"/>
      <c r="MZ26" s="78">
        <v>14.4</v>
      </c>
      <c r="NU26" s="7"/>
      <c r="OB26" s="78">
        <v>14.4</v>
      </c>
      <c r="OW26" s="7"/>
      <c r="PD26" s="78">
        <v>14.4</v>
      </c>
      <c r="PY26" s="7"/>
      <c r="QF26" s="78">
        <v>14.4</v>
      </c>
    </row>
    <row r="27" spans="1:477" ht="17" x14ac:dyDescent="0.2">
      <c r="B27" s="54" t="s">
        <v>54</v>
      </c>
      <c r="T27" s="15"/>
      <c r="U27" s="15"/>
      <c r="V27" s="15"/>
      <c r="AR27" s="7"/>
      <c r="AY27" s="93">
        <v>21.6</v>
      </c>
      <c r="BU27" s="7"/>
      <c r="CB27" s="93">
        <v>21.6</v>
      </c>
      <c r="CX27" s="7"/>
      <c r="DE27" s="93">
        <v>21.6</v>
      </c>
      <c r="EC27" s="7"/>
      <c r="EJ27" s="93">
        <v>2.0000000000000002E-5</v>
      </c>
      <c r="FE27" s="7"/>
      <c r="FL27" s="93">
        <v>21.6</v>
      </c>
      <c r="GG27" s="7"/>
      <c r="GN27" s="93">
        <v>21.6</v>
      </c>
      <c r="HI27" s="7"/>
      <c r="HP27" s="93">
        <v>21.6</v>
      </c>
      <c r="IK27" s="7"/>
      <c r="IR27" s="93">
        <v>21.6</v>
      </c>
      <c r="JM27" s="7"/>
      <c r="JT27" s="93">
        <v>21.6</v>
      </c>
      <c r="KO27" s="7"/>
      <c r="KV27" s="93">
        <v>21.6</v>
      </c>
      <c r="LQ27" s="7"/>
      <c r="LX27" s="93">
        <v>21.6</v>
      </c>
      <c r="MS27" s="7"/>
      <c r="MZ27" s="93">
        <v>21.6</v>
      </c>
      <c r="NU27" s="7"/>
      <c r="OB27" s="93">
        <v>21.6</v>
      </c>
      <c r="OW27" s="7"/>
      <c r="PD27" s="93">
        <v>21.6</v>
      </c>
      <c r="PY27" s="7"/>
      <c r="QF27" s="93">
        <v>21.6</v>
      </c>
    </row>
    <row r="28" spans="1:477" ht="17" x14ac:dyDescent="0.2">
      <c r="A28" s="35"/>
      <c r="B28" s="55" t="s">
        <v>68</v>
      </c>
      <c r="C28" s="34"/>
      <c r="T28" s="15"/>
      <c r="U28" s="15"/>
      <c r="V28" s="15"/>
      <c r="AR28" s="7"/>
      <c r="AY28" s="80">
        <v>23.2</v>
      </c>
      <c r="BU28" s="7"/>
      <c r="CB28" s="80">
        <v>23.2</v>
      </c>
      <c r="CX28" s="7"/>
      <c r="DE28" s="80">
        <v>23.2</v>
      </c>
      <c r="EC28" s="7"/>
      <c r="EJ28" s="80">
        <v>3.0000000000000001E-5</v>
      </c>
      <c r="FE28" s="7"/>
      <c r="FL28" s="80">
        <v>23.2</v>
      </c>
      <c r="GG28" s="7"/>
      <c r="GN28" s="80">
        <v>23.2</v>
      </c>
      <c r="HI28" s="7"/>
      <c r="HP28" s="80">
        <v>23.2</v>
      </c>
      <c r="IK28" s="7"/>
      <c r="IR28" s="80">
        <v>23.2</v>
      </c>
      <c r="JM28" s="7"/>
      <c r="JT28" s="80">
        <v>23.2</v>
      </c>
      <c r="KO28" s="7"/>
      <c r="KV28" s="80">
        <v>23.2</v>
      </c>
      <c r="LQ28" s="7"/>
      <c r="LX28" s="80">
        <v>23.2</v>
      </c>
      <c r="MS28" s="7"/>
      <c r="MZ28" s="80">
        <v>23.2</v>
      </c>
      <c r="NU28" s="7"/>
      <c r="OB28" s="80">
        <v>23.2</v>
      </c>
      <c r="OW28" s="7"/>
      <c r="PD28" s="80">
        <v>23.2</v>
      </c>
      <c r="PY28" s="7"/>
      <c r="QF28" s="80">
        <v>23.2</v>
      </c>
    </row>
    <row r="29" spans="1:477" ht="17" x14ac:dyDescent="0.2">
      <c r="A29" s="35"/>
      <c r="B29" s="66" t="s">
        <v>81</v>
      </c>
      <c r="C29" s="34"/>
      <c r="T29" s="15"/>
      <c r="U29" s="15"/>
      <c r="V29" s="15"/>
      <c r="AR29" s="7"/>
      <c r="AY29" s="81">
        <v>25.6</v>
      </c>
      <c r="BU29" s="7"/>
      <c r="CB29" s="81">
        <v>25.6</v>
      </c>
      <c r="CX29" s="7"/>
      <c r="DE29" s="81">
        <v>25.6</v>
      </c>
      <c r="EC29" s="7"/>
      <c r="EJ29" s="81">
        <v>4.0000000000000003E-5</v>
      </c>
      <c r="FE29" s="7"/>
      <c r="FL29" s="81">
        <v>25.6</v>
      </c>
      <c r="GG29" s="7"/>
      <c r="GN29" s="81">
        <v>25.6</v>
      </c>
      <c r="HI29" s="7"/>
      <c r="HP29" s="81">
        <v>25.6</v>
      </c>
      <c r="IK29" s="7"/>
      <c r="IR29" s="81">
        <v>25.6</v>
      </c>
      <c r="JM29" s="7"/>
      <c r="JT29" s="81">
        <v>25.6</v>
      </c>
      <c r="KO29" s="7"/>
      <c r="KV29" s="81">
        <v>25.6</v>
      </c>
      <c r="LQ29" s="7"/>
      <c r="LX29" s="81">
        <v>25.6</v>
      </c>
      <c r="MS29" s="7"/>
      <c r="MZ29" s="81">
        <v>25.6</v>
      </c>
      <c r="NU29" s="7"/>
      <c r="OB29" s="81">
        <v>25.6</v>
      </c>
      <c r="OW29" s="7"/>
      <c r="PD29" s="81">
        <v>25.6</v>
      </c>
      <c r="PY29" s="7"/>
      <c r="QF29" s="81">
        <v>25.6</v>
      </c>
    </row>
    <row r="30" spans="1:477" ht="17" x14ac:dyDescent="0.2">
      <c r="A30" s="35"/>
      <c r="B30" s="65" t="s">
        <v>52</v>
      </c>
      <c r="C30" s="34"/>
      <c r="T30" s="15"/>
      <c r="U30" s="15"/>
      <c r="V30" s="15"/>
      <c r="AR30" s="7"/>
      <c r="AY30" s="82">
        <v>51.2</v>
      </c>
      <c r="BU30" s="7"/>
      <c r="CB30" s="82">
        <v>51.2</v>
      </c>
      <c r="CX30" s="7"/>
      <c r="DE30" s="82">
        <v>51.2</v>
      </c>
      <c r="EC30" s="7"/>
      <c r="EJ30" s="82">
        <v>5.0000000000000002E-5</v>
      </c>
      <c r="FE30" s="7"/>
      <c r="FL30" s="82">
        <v>51.2</v>
      </c>
      <c r="GG30" s="7"/>
      <c r="GN30" s="82">
        <v>51.2</v>
      </c>
      <c r="HI30" s="7"/>
      <c r="HP30" s="82">
        <v>51.2</v>
      </c>
      <c r="IK30" s="7"/>
      <c r="IR30" s="82">
        <v>51.2</v>
      </c>
      <c r="JM30" s="7"/>
      <c r="JT30" s="82">
        <v>51.2</v>
      </c>
      <c r="KO30" s="7"/>
      <c r="KV30" s="82">
        <v>51.2</v>
      </c>
      <c r="LQ30" s="7"/>
      <c r="LX30" s="82">
        <v>51.2</v>
      </c>
      <c r="MS30" s="7"/>
      <c r="MZ30" s="82">
        <v>51.2</v>
      </c>
      <c r="NU30" s="7"/>
      <c r="OB30" s="82">
        <v>51.2</v>
      </c>
      <c r="OW30" s="7"/>
      <c r="PD30" s="82">
        <v>51.2</v>
      </c>
      <c r="PY30" s="7"/>
      <c r="QF30" s="82">
        <v>51.2</v>
      </c>
    </row>
    <row r="31" spans="1:477" ht="17" x14ac:dyDescent="0.2">
      <c r="A31" s="35"/>
      <c r="B31" s="44" t="s">
        <v>53</v>
      </c>
      <c r="C31" s="34"/>
      <c r="T31" s="15"/>
      <c r="U31" s="15"/>
      <c r="V31" s="15"/>
      <c r="AR31" s="7"/>
      <c r="AY31" s="83">
        <v>77.2</v>
      </c>
      <c r="BU31" s="7"/>
      <c r="CB31" s="83">
        <v>77.2</v>
      </c>
      <c r="CX31" s="7"/>
      <c r="DE31" s="83">
        <v>77.2</v>
      </c>
      <c r="EC31" s="7"/>
      <c r="EJ31" s="83">
        <v>6.0000000000000002E-5</v>
      </c>
      <c r="FE31" s="7"/>
      <c r="FL31" s="83">
        <v>77.2</v>
      </c>
      <c r="GG31" s="7"/>
      <c r="GN31" s="83">
        <v>77.2</v>
      </c>
      <c r="HI31" s="7"/>
      <c r="HP31" s="83">
        <v>77.2</v>
      </c>
      <c r="IK31" s="7"/>
      <c r="IR31" s="83">
        <v>77.2</v>
      </c>
      <c r="JM31" s="7"/>
      <c r="JT31" s="83">
        <v>77.2</v>
      </c>
      <c r="KO31" s="7"/>
      <c r="KV31" s="83">
        <v>77.2</v>
      </c>
      <c r="LQ31" s="7"/>
      <c r="LX31" s="83">
        <v>77.2</v>
      </c>
      <c r="MS31" s="7"/>
      <c r="MZ31" s="83">
        <v>77.2</v>
      </c>
      <c r="NU31" s="7"/>
      <c r="OB31" s="83">
        <v>77.2</v>
      </c>
      <c r="OW31" s="7"/>
      <c r="PD31" s="83">
        <v>77.2</v>
      </c>
      <c r="PY31" s="7"/>
      <c r="QF31" s="83">
        <v>77.2</v>
      </c>
    </row>
    <row r="32" spans="1:477" ht="17" x14ac:dyDescent="0.2">
      <c r="A32" s="35"/>
      <c r="B32" s="64" t="s">
        <v>67</v>
      </c>
      <c r="C32" s="34"/>
      <c r="T32" s="15"/>
      <c r="U32" s="15"/>
      <c r="V32" s="15"/>
      <c r="AR32" s="7"/>
      <c r="AY32" s="84">
        <v>79.8</v>
      </c>
      <c r="BU32" s="7"/>
      <c r="CB32" s="84">
        <v>79.8</v>
      </c>
      <c r="CX32" s="7"/>
      <c r="DE32" s="84">
        <v>79.8</v>
      </c>
      <c r="EC32" s="7"/>
      <c r="EJ32" s="84">
        <v>6.9999999999999994E-5</v>
      </c>
      <c r="FE32" s="7"/>
      <c r="FL32" s="84">
        <v>79.8</v>
      </c>
      <c r="GG32" s="7"/>
      <c r="GN32" s="84">
        <v>79.8</v>
      </c>
      <c r="HI32" s="7"/>
      <c r="HP32" s="84">
        <v>79.8</v>
      </c>
      <c r="IK32" s="7"/>
      <c r="IR32" s="84">
        <v>79.8</v>
      </c>
      <c r="JM32" s="7"/>
      <c r="JT32" s="84">
        <v>79.8</v>
      </c>
      <c r="KO32" s="7"/>
      <c r="KV32" s="84">
        <v>79.8</v>
      </c>
      <c r="LQ32" s="7"/>
      <c r="LX32" s="84">
        <v>79.8</v>
      </c>
      <c r="MS32" s="7"/>
      <c r="MZ32" s="84">
        <v>79.8</v>
      </c>
      <c r="NU32" s="7"/>
      <c r="OB32" s="84">
        <v>79.8</v>
      </c>
      <c r="OW32" s="7"/>
      <c r="PD32" s="84">
        <v>79.8</v>
      </c>
      <c r="PY32" s="7"/>
      <c r="QF32" s="84">
        <v>79.8</v>
      </c>
    </row>
    <row r="33" spans="1:458" ht="17" x14ac:dyDescent="0.2">
      <c r="A33" s="35"/>
      <c r="B33" s="45" t="s">
        <v>36</v>
      </c>
      <c r="C33" s="34"/>
      <c r="T33" s="15"/>
      <c r="U33" s="15"/>
      <c r="V33" s="15"/>
      <c r="AR33" s="7"/>
      <c r="AY33" s="85">
        <v>82.2</v>
      </c>
      <c r="BU33" s="7"/>
      <c r="CB33" s="85">
        <v>82.2</v>
      </c>
      <c r="CX33" s="7"/>
      <c r="DE33" s="85">
        <v>82.2</v>
      </c>
      <c r="EC33" s="7"/>
      <c r="EG33" s="70" t="s">
        <v>155</v>
      </c>
      <c r="EJ33" s="85">
        <v>8.0000000000000007E-5</v>
      </c>
      <c r="FE33" s="7"/>
      <c r="FL33" s="85">
        <v>82.2</v>
      </c>
      <c r="GG33" s="7"/>
      <c r="GN33" s="85">
        <v>82.2</v>
      </c>
      <c r="HI33" s="7"/>
      <c r="HP33" s="85">
        <v>82.2</v>
      </c>
      <c r="IK33" s="7"/>
      <c r="IR33" s="85">
        <v>82.2</v>
      </c>
      <c r="JM33" s="7"/>
      <c r="JT33" s="85">
        <v>82.2</v>
      </c>
      <c r="KO33" s="7"/>
      <c r="KV33" s="85">
        <v>82.2</v>
      </c>
      <c r="LQ33" s="7"/>
      <c r="LX33" s="85">
        <v>82.2</v>
      </c>
      <c r="MS33" s="7"/>
      <c r="MZ33" s="85">
        <v>82.2</v>
      </c>
      <c r="NU33" s="7"/>
      <c r="OB33" s="85">
        <v>82.2</v>
      </c>
      <c r="OW33" s="7"/>
      <c r="PD33" s="85">
        <v>82.2</v>
      </c>
      <c r="PY33" s="7"/>
      <c r="QF33" s="85">
        <v>82.2</v>
      </c>
    </row>
    <row r="34" spans="1:458" x14ac:dyDescent="0.2">
      <c r="B34" s="53" t="s">
        <v>59</v>
      </c>
      <c r="C34" s="2"/>
    </row>
    <row r="35" spans="1:458" x14ac:dyDescent="0.2">
      <c r="A35" s="35"/>
      <c r="B35" s="35"/>
      <c r="C35" s="34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35"/>
      <c r="B36" s="35"/>
      <c r="C36" s="34"/>
    </row>
    <row r="37" spans="1:458" x14ac:dyDescent="0.2">
      <c r="A37" s="35"/>
      <c r="B37" s="35"/>
      <c r="C37" s="34"/>
    </row>
    <row r="38" spans="1:458" x14ac:dyDescent="0.2">
      <c r="A38" s="6"/>
      <c r="B38" s="6"/>
      <c r="C38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F1:F24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23">
    <cfRule type="expression" dxfId="55" priority="5" stopIfTrue="1">
      <formula>IF($AQ4&lt;&gt;"",1,0)</formula>
    </cfRule>
  </conditionalFormatting>
  <conditionalFormatting sqref="AZ4:CB23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23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V34:AV1048576 BY34:BY1048576 EG34:EG1048576 FI34:FI1048576 BY1:BY32 DB1:DB1048576 EG1:EG32 FI1:FI32 GK1:GK1048576 HM1:HM1048576 IO1:IO1048576 JQ1:JQ1048576 KS1:KS1048576 LU1:LU1048576 MW1:MW1048576 NY1:NY1048576 PA1:PA1048576 QC1:QC1048576 AV1:AV32">
    <cfRule type="cellIs" dxfId="43" priority="59086" operator="between">
      <formula>AY$33</formula>
      <formula>1000</formula>
    </cfRule>
    <cfRule type="cellIs" dxfId="42" priority="59087" operator="between">
      <formula>AY$32</formula>
      <formula>AY$33</formula>
    </cfRule>
    <cfRule type="cellIs" dxfId="41" priority="59088" operator="between">
      <formula>AY$31</formula>
      <formula>AY$32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0" priority="74420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39" priority="74465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8" priority="74510" operator="between">
      <formula>AY$26</formula>
      <formula>AY$27</formula>
    </cfRule>
    <cfRule type="cellIs" dxfId="37" priority="74511" operator="between">
      <formula>AY$27</formula>
      <formula>AY$28</formula>
    </cfRule>
    <cfRule type="cellIs" dxfId="36" priority="74512" operator="between">
      <formula>AY$28</formula>
      <formula>AY$29</formula>
    </cfRule>
    <cfRule type="cellIs" dxfId="35" priority="74513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4" priority="74690" operator="between">
      <formula>AY$30</formula>
      <formula>AY$31</formula>
    </cfRule>
    <cfRule type="cellIs" dxfId="33" priority="74691" operator="between">
      <formula>AY$31</formula>
      <formula>AY$32</formula>
    </cfRule>
    <cfRule type="cellIs" dxfId="32" priority="74692" operator="between">
      <formula>AY$32</formula>
      <formula>AY$33</formula>
    </cfRule>
    <cfRule type="cellIs" dxfId="31" priority="74693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75002" operator="between">
      <formula>AY$29</formula>
      <formula>1000</formula>
    </cfRule>
    <cfRule type="cellIs" dxfId="29" priority="75003" operator="between">
      <formula>AY$28</formula>
      <formula>AY$29</formula>
    </cfRule>
    <cfRule type="cellIs" dxfId="28" priority="75004" operator="between">
      <formula>AY$27</formula>
      <formula>AY$28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29</v>
      </c>
      <c r="C1" s="118" t="s">
        <v>0</v>
      </c>
      <c r="D1" s="118" t="s">
        <v>60</v>
      </c>
      <c r="E1" s="118" t="s">
        <v>2</v>
      </c>
      <c r="F1" s="120" t="s">
        <v>66</v>
      </c>
      <c r="G1" s="120" t="s">
        <v>11</v>
      </c>
      <c r="H1" s="118" t="s">
        <v>12</v>
      </c>
      <c r="I1" s="120" t="s">
        <v>91</v>
      </c>
      <c r="J1" s="119" t="s">
        <v>136</v>
      </c>
      <c r="K1" s="117" t="s">
        <v>34</v>
      </c>
      <c r="L1" s="119" t="s">
        <v>137</v>
      </c>
      <c r="M1" s="117" t="s">
        <v>34</v>
      </c>
      <c r="N1" s="119" t="s">
        <v>138</v>
      </c>
      <c r="O1" s="117" t="s">
        <v>34</v>
      </c>
      <c r="P1" s="119" t="s">
        <v>139</v>
      </c>
      <c r="Q1" s="117" t="s">
        <v>34</v>
      </c>
      <c r="R1" s="117" t="s">
        <v>13</v>
      </c>
      <c r="S1" s="117" t="s">
        <v>34</v>
      </c>
      <c r="T1" s="121" t="s">
        <v>14</v>
      </c>
      <c r="U1" s="117" t="s">
        <v>35</v>
      </c>
      <c r="V1" s="117" t="s">
        <v>34</v>
      </c>
      <c r="W1" s="114" t="s">
        <v>127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182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209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65</v>
      </c>
      <c r="DG1" s="116"/>
      <c r="DH1" s="116"/>
      <c r="DI1" s="114" t="s">
        <v>103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153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156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157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 t="s">
        <v>173</v>
      </c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 t="s">
        <v>178</v>
      </c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 t="s">
        <v>179</v>
      </c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69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128</v>
      </c>
      <c r="X2" s="112"/>
      <c r="Y2" s="112"/>
      <c r="Z2" s="112"/>
      <c r="AA2" s="112" t="s">
        <v>129</v>
      </c>
      <c r="AB2" s="112"/>
      <c r="AC2" s="112"/>
      <c r="AD2" s="112"/>
      <c r="AE2" s="112" t="s">
        <v>130</v>
      </c>
      <c r="AF2" s="112"/>
      <c r="AG2" s="112"/>
      <c r="AH2" s="112"/>
      <c r="AI2" s="112" t="s">
        <v>131</v>
      </c>
      <c r="AJ2" s="112"/>
      <c r="AK2" s="112"/>
      <c r="AL2" s="112"/>
      <c r="AM2" s="122" t="s">
        <v>132</v>
      </c>
      <c r="AN2" s="122"/>
      <c r="AO2" s="122"/>
      <c r="AP2" s="122"/>
      <c r="AQ2" s="94"/>
      <c r="AR2" s="94" t="s">
        <v>133</v>
      </c>
      <c r="AS2" s="94" t="s">
        <v>134</v>
      </c>
      <c r="AT2" s="94" t="s">
        <v>130</v>
      </c>
      <c r="AU2" s="94" t="s">
        <v>140</v>
      </c>
      <c r="AV2" s="94" t="s">
        <v>24</v>
      </c>
      <c r="AW2" s="94" t="s">
        <v>71</v>
      </c>
      <c r="AX2" s="94" t="s">
        <v>135</v>
      </c>
      <c r="AY2" s="94" t="s">
        <v>18</v>
      </c>
      <c r="AZ2" s="113" t="s">
        <v>128</v>
      </c>
      <c r="BA2" s="113"/>
      <c r="BB2" s="113"/>
      <c r="BC2" s="113"/>
      <c r="BD2" s="113" t="s">
        <v>129</v>
      </c>
      <c r="BE2" s="113"/>
      <c r="BF2" s="113"/>
      <c r="BG2" s="113"/>
      <c r="BH2" s="113" t="s">
        <v>130</v>
      </c>
      <c r="BI2" s="113"/>
      <c r="BJ2" s="113"/>
      <c r="BK2" s="113"/>
      <c r="BL2" s="113" t="s">
        <v>131</v>
      </c>
      <c r="BM2" s="113"/>
      <c r="BN2" s="113"/>
      <c r="BO2" s="113"/>
      <c r="BP2" s="123" t="s">
        <v>132</v>
      </c>
      <c r="BQ2" s="123"/>
      <c r="BR2" s="123"/>
      <c r="BS2" s="123"/>
      <c r="BT2" s="95"/>
      <c r="BU2" s="95" t="s">
        <v>133</v>
      </c>
      <c r="BV2" s="95" t="s">
        <v>134</v>
      </c>
      <c r="BW2" s="95" t="s">
        <v>130</v>
      </c>
      <c r="BX2" s="95" t="s">
        <v>140</v>
      </c>
      <c r="BY2" s="95" t="s">
        <v>24</v>
      </c>
      <c r="BZ2" s="95" t="s">
        <v>71</v>
      </c>
      <c r="CA2" s="95" t="s">
        <v>135</v>
      </c>
      <c r="CB2" s="95" t="s">
        <v>18</v>
      </c>
      <c r="CC2" s="112" t="s">
        <v>128</v>
      </c>
      <c r="CD2" s="112"/>
      <c r="CE2" s="112"/>
      <c r="CF2" s="112"/>
      <c r="CG2" s="112" t="s">
        <v>129</v>
      </c>
      <c r="CH2" s="112"/>
      <c r="CI2" s="112"/>
      <c r="CJ2" s="112"/>
      <c r="CK2" s="112" t="s">
        <v>130</v>
      </c>
      <c r="CL2" s="112"/>
      <c r="CM2" s="112"/>
      <c r="CN2" s="112"/>
      <c r="CO2" s="112" t="s">
        <v>131</v>
      </c>
      <c r="CP2" s="112"/>
      <c r="CQ2" s="112"/>
      <c r="CR2" s="112"/>
      <c r="CS2" s="122" t="s">
        <v>132</v>
      </c>
      <c r="CT2" s="122"/>
      <c r="CU2" s="122"/>
      <c r="CV2" s="122"/>
      <c r="CW2" s="94"/>
      <c r="CX2" s="94" t="s">
        <v>133</v>
      </c>
      <c r="CY2" s="94" t="s">
        <v>134</v>
      </c>
      <c r="CZ2" s="94" t="s">
        <v>130</v>
      </c>
      <c r="DA2" s="94" t="s">
        <v>140</v>
      </c>
      <c r="DB2" s="94" t="s">
        <v>24</v>
      </c>
      <c r="DC2" s="94" t="s">
        <v>71</v>
      </c>
      <c r="DD2" s="94" t="s">
        <v>135</v>
      </c>
      <c r="DE2" s="94" t="s">
        <v>18</v>
      </c>
      <c r="DF2" s="86" t="s">
        <v>134</v>
      </c>
      <c r="DG2" s="86" t="s">
        <v>130</v>
      </c>
      <c r="DH2" s="86" t="s">
        <v>23</v>
      </c>
      <c r="DI2" s="112" t="s">
        <v>128</v>
      </c>
      <c r="DJ2" s="112"/>
      <c r="DK2" s="112"/>
      <c r="DL2" s="112"/>
      <c r="DM2" s="112" t="s">
        <v>129</v>
      </c>
      <c r="DN2" s="112"/>
      <c r="DO2" s="112"/>
      <c r="DP2" s="112"/>
      <c r="DQ2" s="112" t="s">
        <v>130</v>
      </c>
      <c r="DR2" s="112"/>
      <c r="DS2" s="112"/>
      <c r="DT2" s="112"/>
      <c r="DU2" s="112" t="s">
        <v>131</v>
      </c>
      <c r="DV2" s="112"/>
      <c r="DW2" s="112"/>
      <c r="DX2" s="112"/>
      <c r="DY2" s="124" t="s">
        <v>132</v>
      </c>
      <c r="DZ2" s="124"/>
      <c r="EA2" s="124"/>
      <c r="EB2" s="124"/>
      <c r="EC2" s="94" t="s">
        <v>133</v>
      </c>
      <c r="ED2" s="94" t="s">
        <v>134</v>
      </c>
      <c r="EE2" s="94" t="s">
        <v>130</v>
      </c>
      <c r="EF2" s="94" t="s">
        <v>140</v>
      </c>
      <c r="EG2" s="94" t="s">
        <v>24</v>
      </c>
      <c r="EH2" s="94" t="s">
        <v>71</v>
      </c>
      <c r="EI2" s="94" t="s">
        <v>135</v>
      </c>
      <c r="EJ2" s="94" t="s">
        <v>18</v>
      </c>
      <c r="EK2" s="113" t="s">
        <v>128</v>
      </c>
      <c r="EL2" s="113"/>
      <c r="EM2" s="113"/>
      <c r="EN2" s="113"/>
      <c r="EO2" s="113" t="s">
        <v>129</v>
      </c>
      <c r="EP2" s="113"/>
      <c r="EQ2" s="113"/>
      <c r="ER2" s="113"/>
      <c r="ES2" s="113" t="s">
        <v>130</v>
      </c>
      <c r="ET2" s="113"/>
      <c r="EU2" s="113"/>
      <c r="EV2" s="113"/>
      <c r="EW2" s="113" t="s">
        <v>131</v>
      </c>
      <c r="EX2" s="113"/>
      <c r="EY2" s="113"/>
      <c r="EZ2" s="113"/>
      <c r="FA2" s="123" t="s">
        <v>132</v>
      </c>
      <c r="FB2" s="123"/>
      <c r="FC2" s="123"/>
      <c r="FD2" s="123"/>
      <c r="FE2" s="95" t="s">
        <v>133</v>
      </c>
      <c r="FF2" s="95" t="s">
        <v>134</v>
      </c>
      <c r="FG2" s="95" t="s">
        <v>130</v>
      </c>
      <c r="FH2" s="95" t="s">
        <v>140</v>
      </c>
      <c r="FI2" s="95" t="s">
        <v>24</v>
      </c>
      <c r="FJ2" s="95" t="s">
        <v>71</v>
      </c>
      <c r="FK2" s="95" t="s">
        <v>135</v>
      </c>
      <c r="FL2" s="95" t="s">
        <v>18</v>
      </c>
      <c r="FM2" s="112" t="s">
        <v>128</v>
      </c>
      <c r="FN2" s="112"/>
      <c r="FO2" s="112"/>
      <c r="FP2" s="112"/>
      <c r="FQ2" s="112" t="s">
        <v>129</v>
      </c>
      <c r="FR2" s="112"/>
      <c r="FS2" s="112"/>
      <c r="FT2" s="112"/>
      <c r="FU2" s="112" t="s">
        <v>130</v>
      </c>
      <c r="FV2" s="112"/>
      <c r="FW2" s="112"/>
      <c r="FX2" s="112"/>
      <c r="FY2" s="112" t="s">
        <v>131</v>
      </c>
      <c r="FZ2" s="112"/>
      <c r="GA2" s="112"/>
      <c r="GB2" s="112"/>
      <c r="GC2" s="124" t="s">
        <v>132</v>
      </c>
      <c r="GD2" s="124"/>
      <c r="GE2" s="124"/>
      <c r="GF2" s="124"/>
      <c r="GG2" s="94" t="s">
        <v>133</v>
      </c>
      <c r="GH2" s="94" t="s">
        <v>134</v>
      </c>
      <c r="GI2" s="94" t="s">
        <v>130</v>
      </c>
      <c r="GJ2" s="94" t="s">
        <v>140</v>
      </c>
      <c r="GK2" s="94" t="s">
        <v>24</v>
      </c>
      <c r="GL2" s="94" t="s">
        <v>71</v>
      </c>
      <c r="GM2" s="94" t="s">
        <v>135</v>
      </c>
      <c r="GN2" s="94" t="s">
        <v>18</v>
      </c>
      <c r="GO2" s="113" t="s">
        <v>128</v>
      </c>
      <c r="GP2" s="113"/>
      <c r="GQ2" s="113"/>
      <c r="GR2" s="113"/>
      <c r="GS2" s="113" t="s">
        <v>129</v>
      </c>
      <c r="GT2" s="113"/>
      <c r="GU2" s="113"/>
      <c r="GV2" s="113"/>
      <c r="GW2" s="113" t="s">
        <v>130</v>
      </c>
      <c r="GX2" s="113"/>
      <c r="GY2" s="113"/>
      <c r="GZ2" s="113"/>
      <c r="HA2" s="113" t="s">
        <v>131</v>
      </c>
      <c r="HB2" s="113"/>
      <c r="HC2" s="113"/>
      <c r="HD2" s="113"/>
      <c r="HE2" s="123" t="s">
        <v>132</v>
      </c>
      <c r="HF2" s="123"/>
      <c r="HG2" s="123"/>
      <c r="HH2" s="123"/>
      <c r="HI2" s="95" t="s">
        <v>133</v>
      </c>
      <c r="HJ2" s="95" t="s">
        <v>134</v>
      </c>
      <c r="HK2" s="95" t="s">
        <v>130</v>
      </c>
      <c r="HL2" s="95" t="s">
        <v>140</v>
      </c>
      <c r="HM2" s="95" t="s">
        <v>24</v>
      </c>
      <c r="HN2" s="95" t="s">
        <v>71</v>
      </c>
      <c r="HO2" s="95" t="s">
        <v>135</v>
      </c>
      <c r="HP2" s="95" t="s">
        <v>18</v>
      </c>
      <c r="HQ2" s="112" t="s">
        <v>128</v>
      </c>
      <c r="HR2" s="112"/>
      <c r="HS2" s="112"/>
      <c r="HT2" s="112"/>
      <c r="HU2" s="112" t="s">
        <v>129</v>
      </c>
      <c r="HV2" s="112"/>
      <c r="HW2" s="112"/>
      <c r="HX2" s="112"/>
      <c r="HY2" s="112" t="s">
        <v>130</v>
      </c>
      <c r="HZ2" s="112"/>
      <c r="IA2" s="112"/>
      <c r="IB2" s="112"/>
      <c r="IC2" s="112" t="s">
        <v>131</v>
      </c>
      <c r="ID2" s="112"/>
      <c r="IE2" s="112"/>
      <c r="IF2" s="112"/>
      <c r="IG2" s="124" t="s">
        <v>132</v>
      </c>
      <c r="IH2" s="124"/>
      <c r="II2" s="124"/>
      <c r="IJ2" s="124"/>
      <c r="IK2" s="94" t="s">
        <v>133</v>
      </c>
      <c r="IL2" s="94" t="s">
        <v>134</v>
      </c>
      <c r="IM2" s="94" t="s">
        <v>130</v>
      </c>
      <c r="IN2" s="94" t="s">
        <v>140</v>
      </c>
      <c r="IO2" s="94" t="s">
        <v>24</v>
      </c>
      <c r="IP2" s="94" t="s">
        <v>71</v>
      </c>
      <c r="IQ2" s="94" t="s">
        <v>135</v>
      </c>
      <c r="IR2" s="94" t="s">
        <v>18</v>
      </c>
      <c r="IS2" s="113" t="s">
        <v>128</v>
      </c>
      <c r="IT2" s="113"/>
      <c r="IU2" s="113"/>
      <c r="IV2" s="113"/>
      <c r="IW2" s="113" t="s">
        <v>129</v>
      </c>
      <c r="IX2" s="113"/>
      <c r="IY2" s="113"/>
      <c r="IZ2" s="113"/>
      <c r="JA2" s="113" t="s">
        <v>130</v>
      </c>
      <c r="JB2" s="113"/>
      <c r="JC2" s="113"/>
      <c r="JD2" s="113"/>
      <c r="JE2" s="113" t="s">
        <v>131</v>
      </c>
      <c r="JF2" s="113"/>
      <c r="JG2" s="113"/>
      <c r="JH2" s="113"/>
      <c r="JI2" s="123" t="s">
        <v>132</v>
      </c>
      <c r="JJ2" s="123"/>
      <c r="JK2" s="123"/>
      <c r="JL2" s="123"/>
      <c r="JM2" s="95" t="s">
        <v>133</v>
      </c>
      <c r="JN2" s="95" t="s">
        <v>134</v>
      </c>
      <c r="JO2" s="95" t="s">
        <v>130</v>
      </c>
      <c r="JP2" s="95" t="s">
        <v>140</v>
      </c>
      <c r="JQ2" s="95" t="s">
        <v>24</v>
      </c>
      <c r="JR2" s="95" t="s">
        <v>71</v>
      </c>
      <c r="JS2" s="95" t="s">
        <v>135</v>
      </c>
      <c r="JT2" s="95" t="s">
        <v>18</v>
      </c>
      <c r="JU2" s="112" t="s">
        <v>128</v>
      </c>
      <c r="JV2" s="112"/>
      <c r="JW2" s="112"/>
      <c r="JX2" s="112"/>
      <c r="JY2" s="112" t="s">
        <v>129</v>
      </c>
      <c r="JZ2" s="112"/>
      <c r="KA2" s="112"/>
      <c r="KB2" s="112"/>
      <c r="KC2" s="112" t="s">
        <v>130</v>
      </c>
      <c r="KD2" s="112"/>
      <c r="KE2" s="112"/>
      <c r="KF2" s="112"/>
      <c r="KG2" s="112" t="s">
        <v>131</v>
      </c>
      <c r="KH2" s="112"/>
      <c r="KI2" s="112"/>
      <c r="KJ2" s="112"/>
      <c r="KK2" s="124" t="s">
        <v>132</v>
      </c>
      <c r="KL2" s="124"/>
      <c r="KM2" s="124"/>
      <c r="KN2" s="124"/>
      <c r="KO2" s="94" t="s">
        <v>133</v>
      </c>
      <c r="KP2" s="94" t="s">
        <v>134</v>
      </c>
      <c r="KQ2" s="94" t="s">
        <v>130</v>
      </c>
      <c r="KR2" s="94" t="s">
        <v>140</v>
      </c>
      <c r="KS2" s="94" t="s">
        <v>24</v>
      </c>
      <c r="KT2" s="94" t="s">
        <v>71</v>
      </c>
      <c r="KU2" s="94" t="s">
        <v>135</v>
      </c>
      <c r="KV2" s="94" t="s">
        <v>18</v>
      </c>
      <c r="KW2" s="113" t="s">
        <v>128</v>
      </c>
      <c r="KX2" s="113"/>
      <c r="KY2" s="113"/>
      <c r="KZ2" s="113"/>
      <c r="LA2" s="113" t="s">
        <v>129</v>
      </c>
      <c r="LB2" s="113"/>
      <c r="LC2" s="113"/>
      <c r="LD2" s="113"/>
      <c r="LE2" s="113" t="s">
        <v>130</v>
      </c>
      <c r="LF2" s="113"/>
      <c r="LG2" s="113"/>
      <c r="LH2" s="113"/>
      <c r="LI2" s="113" t="s">
        <v>131</v>
      </c>
      <c r="LJ2" s="113"/>
      <c r="LK2" s="113"/>
      <c r="LL2" s="113"/>
      <c r="LM2" s="123" t="s">
        <v>132</v>
      </c>
      <c r="LN2" s="123"/>
      <c r="LO2" s="123"/>
      <c r="LP2" s="123"/>
      <c r="LQ2" s="95" t="s">
        <v>133</v>
      </c>
      <c r="LR2" s="95" t="s">
        <v>134</v>
      </c>
      <c r="LS2" s="95" t="s">
        <v>130</v>
      </c>
      <c r="LT2" s="95" t="s">
        <v>140</v>
      </c>
      <c r="LU2" s="95" t="s">
        <v>24</v>
      </c>
      <c r="LV2" s="95" t="s">
        <v>71</v>
      </c>
      <c r="LW2" s="95" t="s">
        <v>135</v>
      </c>
      <c r="LX2" s="95" t="s">
        <v>18</v>
      </c>
      <c r="LY2" s="112" t="s">
        <v>128</v>
      </c>
      <c r="LZ2" s="112"/>
      <c r="MA2" s="112"/>
      <c r="MB2" s="112"/>
      <c r="MC2" s="112" t="s">
        <v>129</v>
      </c>
      <c r="MD2" s="112"/>
      <c r="ME2" s="112"/>
      <c r="MF2" s="112"/>
      <c r="MG2" s="112" t="s">
        <v>130</v>
      </c>
      <c r="MH2" s="112"/>
      <c r="MI2" s="112"/>
      <c r="MJ2" s="112"/>
      <c r="MK2" s="112" t="s">
        <v>131</v>
      </c>
      <c r="ML2" s="112"/>
      <c r="MM2" s="112"/>
      <c r="MN2" s="112"/>
      <c r="MO2" s="124" t="s">
        <v>132</v>
      </c>
      <c r="MP2" s="124"/>
      <c r="MQ2" s="124"/>
      <c r="MR2" s="124"/>
      <c r="MS2" s="94" t="s">
        <v>133</v>
      </c>
      <c r="MT2" s="94" t="s">
        <v>134</v>
      </c>
      <c r="MU2" s="94" t="s">
        <v>130</v>
      </c>
      <c r="MV2" s="94" t="s">
        <v>140</v>
      </c>
      <c r="MW2" s="94" t="s">
        <v>24</v>
      </c>
      <c r="MX2" s="94" t="s">
        <v>71</v>
      </c>
      <c r="MY2" s="94" t="s">
        <v>135</v>
      </c>
      <c r="MZ2" s="94" t="s">
        <v>18</v>
      </c>
      <c r="NA2" s="113" t="s">
        <v>128</v>
      </c>
      <c r="NB2" s="113"/>
      <c r="NC2" s="113"/>
      <c r="ND2" s="113"/>
      <c r="NE2" s="113" t="s">
        <v>129</v>
      </c>
      <c r="NF2" s="113"/>
      <c r="NG2" s="113"/>
      <c r="NH2" s="113"/>
      <c r="NI2" s="113" t="s">
        <v>130</v>
      </c>
      <c r="NJ2" s="113"/>
      <c r="NK2" s="113"/>
      <c r="NL2" s="113"/>
      <c r="NM2" s="113" t="s">
        <v>131</v>
      </c>
      <c r="NN2" s="113"/>
      <c r="NO2" s="113"/>
      <c r="NP2" s="113"/>
      <c r="NQ2" s="123" t="s">
        <v>132</v>
      </c>
      <c r="NR2" s="123"/>
      <c r="NS2" s="123"/>
      <c r="NT2" s="123"/>
      <c r="NU2" s="95" t="s">
        <v>133</v>
      </c>
      <c r="NV2" s="95" t="s">
        <v>134</v>
      </c>
      <c r="NW2" s="95" t="s">
        <v>130</v>
      </c>
      <c r="NX2" s="95" t="s">
        <v>140</v>
      </c>
      <c r="NY2" s="95" t="s">
        <v>24</v>
      </c>
      <c r="NZ2" s="95" t="s">
        <v>71</v>
      </c>
      <c r="OA2" s="95" t="s">
        <v>135</v>
      </c>
      <c r="OB2" s="95" t="s">
        <v>18</v>
      </c>
      <c r="OC2" s="112" t="s">
        <v>128</v>
      </c>
      <c r="OD2" s="112"/>
      <c r="OE2" s="112"/>
      <c r="OF2" s="112"/>
      <c r="OG2" s="112" t="s">
        <v>129</v>
      </c>
      <c r="OH2" s="112"/>
      <c r="OI2" s="112"/>
      <c r="OJ2" s="112"/>
      <c r="OK2" s="112" t="s">
        <v>130</v>
      </c>
      <c r="OL2" s="112"/>
      <c r="OM2" s="112"/>
      <c r="ON2" s="112"/>
      <c r="OO2" s="112" t="s">
        <v>131</v>
      </c>
      <c r="OP2" s="112"/>
      <c r="OQ2" s="112"/>
      <c r="OR2" s="112"/>
      <c r="OS2" s="124" t="s">
        <v>132</v>
      </c>
      <c r="OT2" s="124"/>
      <c r="OU2" s="124"/>
      <c r="OV2" s="124"/>
      <c r="OW2" s="94" t="s">
        <v>133</v>
      </c>
      <c r="OX2" s="94" t="s">
        <v>134</v>
      </c>
      <c r="OY2" s="94" t="s">
        <v>130</v>
      </c>
      <c r="OZ2" s="94" t="s">
        <v>140</v>
      </c>
      <c r="PA2" s="94" t="s">
        <v>24</v>
      </c>
      <c r="PB2" s="94" t="s">
        <v>71</v>
      </c>
      <c r="PC2" s="94" t="s">
        <v>135</v>
      </c>
      <c r="PD2" s="94" t="s">
        <v>18</v>
      </c>
      <c r="PE2" s="113" t="s">
        <v>128</v>
      </c>
      <c r="PF2" s="113"/>
      <c r="PG2" s="113"/>
      <c r="PH2" s="113"/>
      <c r="PI2" s="113" t="s">
        <v>129</v>
      </c>
      <c r="PJ2" s="113"/>
      <c r="PK2" s="113"/>
      <c r="PL2" s="113"/>
      <c r="PM2" s="113" t="s">
        <v>130</v>
      </c>
      <c r="PN2" s="113"/>
      <c r="PO2" s="113"/>
      <c r="PP2" s="113"/>
      <c r="PQ2" s="113" t="s">
        <v>131</v>
      </c>
      <c r="PR2" s="113"/>
      <c r="PS2" s="113"/>
      <c r="PT2" s="113"/>
      <c r="PU2" s="123" t="s">
        <v>132</v>
      </c>
      <c r="PV2" s="123"/>
      <c r="PW2" s="123"/>
      <c r="PX2" s="123"/>
      <c r="PY2" s="95" t="s">
        <v>133</v>
      </c>
      <c r="PZ2" s="95" t="s">
        <v>134</v>
      </c>
      <c r="QA2" s="95" t="s">
        <v>130</v>
      </c>
      <c r="QB2" s="95" t="s">
        <v>140</v>
      </c>
      <c r="QC2" s="95" t="s">
        <v>24</v>
      </c>
      <c r="QD2" s="95" t="s">
        <v>71</v>
      </c>
      <c r="QE2" s="95" t="s">
        <v>135</v>
      </c>
      <c r="QF2" s="95" t="s">
        <v>18</v>
      </c>
      <c r="QG2" s="112" t="s">
        <v>128</v>
      </c>
      <c r="QH2" s="112"/>
      <c r="QI2" s="112"/>
      <c r="QJ2" s="112"/>
      <c r="QK2" s="112" t="s">
        <v>129</v>
      </c>
      <c r="QL2" s="112"/>
      <c r="QM2" s="112"/>
      <c r="QN2" s="112"/>
      <c r="QO2" s="112" t="s">
        <v>130</v>
      </c>
      <c r="QP2" s="112"/>
      <c r="QQ2" s="112"/>
      <c r="QR2" s="112"/>
      <c r="QS2" s="112" t="s">
        <v>131</v>
      </c>
      <c r="QT2" s="112"/>
      <c r="QU2" s="112"/>
      <c r="QV2" s="112"/>
      <c r="QW2" s="122" t="s">
        <v>132</v>
      </c>
      <c r="QX2" s="122"/>
      <c r="QY2" s="122"/>
      <c r="QZ2" s="122"/>
      <c r="RA2" s="94"/>
      <c r="RB2" s="94" t="s">
        <v>133</v>
      </c>
      <c r="RC2" s="94" t="s">
        <v>134</v>
      </c>
      <c r="RD2" s="94" t="s">
        <v>130</v>
      </c>
      <c r="RE2" s="94" t="s">
        <v>140</v>
      </c>
      <c r="RF2" s="94" t="s">
        <v>24</v>
      </c>
      <c r="RG2" s="94" t="s">
        <v>71</v>
      </c>
      <c r="RH2" s="94" t="s">
        <v>135</v>
      </c>
      <c r="RI2" s="94" t="s">
        <v>18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94" t="s">
        <v>15</v>
      </c>
      <c r="X3" s="94" t="s">
        <v>10</v>
      </c>
      <c r="Y3" s="94" t="s">
        <v>31</v>
      </c>
      <c r="Z3" s="94" t="s">
        <v>32</v>
      </c>
      <c r="AA3" s="94" t="s">
        <v>15</v>
      </c>
      <c r="AB3" s="94" t="s">
        <v>10</v>
      </c>
      <c r="AC3" s="94" t="s">
        <v>31</v>
      </c>
      <c r="AD3" s="94" t="s">
        <v>32</v>
      </c>
      <c r="AE3" s="94" t="s">
        <v>15</v>
      </c>
      <c r="AF3" s="94" t="s">
        <v>10</v>
      </c>
      <c r="AG3" s="94" t="s">
        <v>31</v>
      </c>
      <c r="AH3" s="94" t="s">
        <v>32</v>
      </c>
      <c r="AI3" s="94" t="s">
        <v>15</v>
      </c>
      <c r="AJ3" s="94" t="s">
        <v>10</v>
      </c>
      <c r="AK3" s="94" t="s">
        <v>31</v>
      </c>
      <c r="AL3" s="94" t="s">
        <v>32</v>
      </c>
      <c r="AM3" s="96" t="s">
        <v>15</v>
      </c>
      <c r="AN3" s="96" t="s">
        <v>10</v>
      </c>
      <c r="AO3" s="96" t="s">
        <v>31</v>
      </c>
      <c r="AP3" s="96" t="s">
        <v>32</v>
      </c>
      <c r="AQ3" s="94" t="s">
        <v>57</v>
      </c>
      <c r="AR3" s="94"/>
      <c r="AS3" s="94"/>
      <c r="AT3" s="94"/>
      <c r="AU3" s="94"/>
      <c r="AV3" s="94"/>
      <c r="AW3" s="94"/>
      <c r="AX3" s="94"/>
      <c r="AY3" s="94"/>
      <c r="AZ3" s="95" t="s">
        <v>15</v>
      </c>
      <c r="BA3" s="95" t="s">
        <v>10</v>
      </c>
      <c r="BB3" s="95" t="s">
        <v>31</v>
      </c>
      <c r="BC3" s="95" t="s">
        <v>32</v>
      </c>
      <c r="BD3" s="95" t="s">
        <v>15</v>
      </c>
      <c r="BE3" s="95" t="s">
        <v>10</v>
      </c>
      <c r="BF3" s="95" t="s">
        <v>31</v>
      </c>
      <c r="BG3" s="95" t="s">
        <v>32</v>
      </c>
      <c r="BH3" s="95" t="s">
        <v>15</v>
      </c>
      <c r="BI3" s="95" t="s">
        <v>10</v>
      </c>
      <c r="BJ3" s="95" t="s">
        <v>31</v>
      </c>
      <c r="BK3" s="95" t="s">
        <v>32</v>
      </c>
      <c r="BL3" s="95" t="s">
        <v>15</v>
      </c>
      <c r="BM3" s="95" t="s">
        <v>10</v>
      </c>
      <c r="BN3" s="95" t="s">
        <v>31</v>
      </c>
      <c r="BO3" s="95" t="s">
        <v>32</v>
      </c>
      <c r="BP3" s="97" t="s">
        <v>15</v>
      </c>
      <c r="BQ3" s="97" t="s">
        <v>10</v>
      </c>
      <c r="BR3" s="97" t="s">
        <v>31</v>
      </c>
      <c r="BS3" s="97" t="s">
        <v>32</v>
      </c>
      <c r="BT3" s="95" t="s">
        <v>57</v>
      </c>
      <c r="BU3" s="95"/>
      <c r="BV3" s="95"/>
      <c r="BW3" s="95"/>
      <c r="BX3" s="95"/>
      <c r="BY3" s="95"/>
      <c r="BZ3" s="95"/>
      <c r="CA3" s="95"/>
      <c r="CB3" s="95"/>
      <c r="CC3" s="94" t="s">
        <v>15</v>
      </c>
      <c r="CD3" s="94" t="s">
        <v>10</v>
      </c>
      <c r="CE3" s="94" t="s">
        <v>31</v>
      </c>
      <c r="CF3" s="94" t="s">
        <v>32</v>
      </c>
      <c r="CG3" s="94" t="s">
        <v>15</v>
      </c>
      <c r="CH3" s="94" t="s">
        <v>10</v>
      </c>
      <c r="CI3" s="94" t="s">
        <v>31</v>
      </c>
      <c r="CJ3" s="94" t="s">
        <v>32</v>
      </c>
      <c r="CK3" s="94" t="s">
        <v>15</v>
      </c>
      <c r="CL3" s="94" t="s">
        <v>10</v>
      </c>
      <c r="CM3" s="94" t="s">
        <v>31</v>
      </c>
      <c r="CN3" s="94" t="s">
        <v>32</v>
      </c>
      <c r="CO3" s="94" t="s">
        <v>15</v>
      </c>
      <c r="CP3" s="94" t="s">
        <v>10</v>
      </c>
      <c r="CQ3" s="94" t="s">
        <v>31</v>
      </c>
      <c r="CR3" s="94" t="s">
        <v>32</v>
      </c>
      <c r="CS3" s="96" t="s">
        <v>15</v>
      </c>
      <c r="CT3" s="96" t="s">
        <v>10</v>
      </c>
      <c r="CU3" s="96" t="s">
        <v>31</v>
      </c>
      <c r="CV3" s="96" t="s">
        <v>32</v>
      </c>
      <c r="CW3" s="94" t="s">
        <v>57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15</v>
      </c>
      <c r="DJ3" s="94" t="s">
        <v>10</v>
      </c>
      <c r="DK3" s="94" t="s">
        <v>31</v>
      </c>
      <c r="DL3" s="94" t="s">
        <v>32</v>
      </c>
      <c r="DM3" s="94" t="s">
        <v>15</v>
      </c>
      <c r="DN3" s="94" t="s">
        <v>10</v>
      </c>
      <c r="DO3" s="94" t="s">
        <v>31</v>
      </c>
      <c r="DP3" s="94" t="s">
        <v>32</v>
      </c>
      <c r="DQ3" s="94" t="s">
        <v>15</v>
      </c>
      <c r="DR3" s="94" t="s">
        <v>10</v>
      </c>
      <c r="DS3" s="94" t="s">
        <v>31</v>
      </c>
      <c r="DT3" s="94" t="s">
        <v>32</v>
      </c>
      <c r="DU3" s="94" t="s">
        <v>15</v>
      </c>
      <c r="DV3" s="94" t="s">
        <v>10</v>
      </c>
      <c r="DW3" s="94" t="s">
        <v>31</v>
      </c>
      <c r="DX3" s="94" t="s">
        <v>32</v>
      </c>
      <c r="DY3" s="98" t="s">
        <v>15</v>
      </c>
      <c r="DZ3" s="98" t="s">
        <v>10</v>
      </c>
      <c r="EA3" s="98" t="s">
        <v>31</v>
      </c>
      <c r="EB3" s="98" t="s">
        <v>32</v>
      </c>
      <c r="EC3" s="94"/>
      <c r="ED3" s="94"/>
      <c r="EE3" s="94"/>
      <c r="EF3" s="94"/>
      <c r="EG3" s="94"/>
      <c r="EH3" s="94"/>
      <c r="EI3" s="94"/>
      <c r="EJ3" s="94"/>
      <c r="EK3" s="95" t="s">
        <v>15</v>
      </c>
      <c r="EL3" s="95" t="s">
        <v>10</v>
      </c>
      <c r="EM3" s="95" t="s">
        <v>31</v>
      </c>
      <c r="EN3" s="95" t="s">
        <v>32</v>
      </c>
      <c r="EO3" s="95" t="s">
        <v>15</v>
      </c>
      <c r="EP3" s="95" t="s">
        <v>10</v>
      </c>
      <c r="EQ3" s="95" t="s">
        <v>31</v>
      </c>
      <c r="ER3" s="95" t="s">
        <v>32</v>
      </c>
      <c r="ES3" s="95" t="s">
        <v>15</v>
      </c>
      <c r="ET3" s="95" t="s">
        <v>10</v>
      </c>
      <c r="EU3" s="95" t="s">
        <v>31</v>
      </c>
      <c r="EV3" s="95" t="s">
        <v>32</v>
      </c>
      <c r="EW3" s="95" t="s">
        <v>15</v>
      </c>
      <c r="EX3" s="95" t="s">
        <v>10</v>
      </c>
      <c r="EY3" s="95" t="s">
        <v>31</v>
      </c>
      <c r="EZ3" s="95" t="s">
        <v>32</v>
      </c>
      <c r="FA3" s="97" t="s">
        <v>15</v>
      </c>
      <c r="FB3" s="97" t="s">
        <v>10</v>
      </c>
      <c r="FC3" s="97" t="s">
        <v>31</v>
      </c>
      <c r="FD3" s="97" t="s">
        <v>32</v>
      </c>
      <c r="FE3" s="95"/>
      <c r="FF3" s="95"/>
      <c r="FG3" s="95"/>
      <c r="FH3" s="95"/>
      <c r="FI3" s="95"/>
      <c r="FJ3" s="95"/>
      <c r="FK3" s="95"/>
      <c r="FL3" s="95"/>
      <c r="FM3" s="94" t="s">
        <v>15</v>
      </c>
      <c r="FN3" s="94" t="s">
        <v>10</v>
      </c>
      <c r="FO3" s="94" t="s">
        <v>31</v>
      </c>
      <c r="FP3" s="94" t="s">
        <v>32</v>
      </c>
      <c r="FQ3" s="94" t="s">
        <v>15</v>
      </c>
      <c r="FR3" s="94" t="s">
        <v>10</v>
      </c>
      <c r="FS3" s="94" t="s">
        <v>31</v>
      </c>
      <c r="FT3" s="94" t="s">
        <v>32</v>
      </c>
      <c r="FU3" s="94" t="s">
        <v>15</v>
      </c>
      <c r="FV3" s="94" t="s">
        <v>10</v>
      </c>
      <c r="FW3" s="94" t="s">
        <v>31</v>
      </c>
      <c r="FX3" s="94" t="s">
        <v>32</v>
      </c>
      <c r="FY3" s="94" t="s">
        <v>15</v>
      </c>
      <c r="FZ3" s="94" t="s">
        <v>10</v>
      </c>
      <c r="GA3" s="94" t="s">
        <v>31</v>
      </c>
      <c r="GB3" s="94" t="s">
        <v>32</v>
      </c>
      <c r="GC3" s="98" t="s">
        <v>15</v>
      </c>
      <c r="GD3" s="98" t="s">
        <v>10</v>
      </c>
      <c r="GE3" s="98" t="s">
        <v>31</v>
      </c>
      <c r="GF3" s="98" t="s">
        <v>32</v>
      </c>
      <c r="GG3" s="94"/>
      <c r="GH3" s="94"/>
      <c r="GI3" s="94"/>
      <c r="GJ3" s="94"/>
      <c r="GK3" s="94"/>
      <c r="GL3" s="94"/>
      <c r="GM3" s="94"/>
      <c r="GN3" s="94"/>
      <c r="GO3" s="95" t="s">
        <v>15</v>
      </c>
      <c r="GP3" s="95" t="s">
        <v>10</v>
      </c>
      <c r="GQ3" s="95" t="s">
        <v>31</v>
      </c>
      <c r="GR3" s="95" t="s">
        <v>32</v>
      </c>
      <c r="GS3" s="95" t="s">
        <v>15</v>
      </c>
      <c r="GT3" s="95" t="s">
        <v>10</v>
      </c>
      <c r="GU3" s="95" t="s">
        <v>31</v>
      </c>
      <c r="GV3" s="95" t="s">
        <v>32</v>
      </c>
      <c r="GW3" s="95" t="s">
        <v>15</v>
      </c>
      <c r="GX3" s="95" t="s">
        <v>10</v>
      </c>
      <c r="GY3" s="95" t="s">
        <v>31</v>
      </c>
      <c r="GZ3" s="95" t="s">
        <v>32</v>
      </c>
      <c r="HA3" s="95" t="s">
        <v>15</v>
      </c>
      <c r="HB3" s="95" t="s">
        <v>10</v>
      </c>
      <c r="HC3" s="95" t="s">
        <v>31</v>
      </c>
      <c r="HD3" s="95" t="s">
        <v>32</v>
      </c>
      <c r="HE3" s="97" t="s">
        <v>15</v>
      </c>
      <c r="HF3" s="97" t="s">
        <v>10</v>
      </c>
      <c r="HG3" s="97" t="s">
        <v>31</v>
      </c>
      <c r="HH3" s="97" t="s">
        <v>32</v>
      </c>
      <c r="HI3" s="95"/>
      <c r="HJ3" s="95"/>
      <c r="HK3" s="95"/>
      <c r="HL3" s="95"/>
      <c r="HM3" s="95"/>
      <c r="HN3" s="95"/>
      <c r="HO3" s="95"/>
      <c r="HP3" s="95"/>
      <c r="HQ3" s="94" t="s">
        <v>15</v>
      </c>
      <c r="HR3" s="94" t="s">
        <v>10</v>
      </c>
      <c r="HS3" s="94" t="s">
        <v>31</v>
      </c>
      <c r="HT3" s="94" t="s">
        <v>32</v>
      </c>
      <c r="HU3" s="94" t="s">
        <v>15</v>
      </c>
      <c r="HV3" s="94" t="s">
        <v>10</v>
      </c>
      <c r="HW3" s="94" t="s">
        <v>31</v>
      </c>
      <c r="HX3" s="94" t="s">
        <v>32</v>
      </c>
      <c r="HY3" s="94" t="s">
        <v>15</v>
      </c>
      <c r="HZ3" s="94" t="s">
        <v>10</v>
      </c>
      <c r="IA3" s="94" t="s">
        <v>31</v>
      </c>
      <c r="IB3" s="94" t="s">
        <v>32</v>
      </c>
      <c r="IC3" s="94" t="s">
        <v>15</v>
      </c>
      <c r="ID3" s="94" t="s">
        <v>10</v>
      </c>
      <c r="IE3" s="94" t="s">
        <v>31</v>
      </c>
      <c r="IF3" s="94" t="s">
        <v>32</v>
      </c>
      <c r="IG3" s="98" t="s">
        <v>15</v>
      </c>
      <c r="IH3" s="98" t="s">
        <v>10</v>
      </c>
      <c r="II3" s="98" t="s">
        <v>31</v>
      </c>
      <c r="IJ3" s="98" t="s">
        <v>32</v>
      </c>
      <c r="IK3" s="94"/>
      <c r="IL3" s="94"/>
      <c r="IM3" s="94"/>
      <c r="IN3" s="94"/>
      <c r="IO3" s="94"/>
      <c r="IP3" s="94"/>
      <c r="IQ3" s="94"/>
      <c r="IR3" s="94"/>
      <c r="IS3" s="95" t="s">
        <v>15</v>
      </c>
      <c r="IT3" s="95" t="s">
        <v>10</v>
      </c>
      <c r="IU3" s="95" t="s">
        <v>31</v>
      </c>
      <c r="IV3" s="95" t="s">
        <v>32</v>
      </c>
      <c r="IW3" s="95" t="s">
        <v>15</v>
      </c>
      <c r="IX3" s="95" t="s">
        <v>10</v>
      </c>
      <c r="IY3" s="95" t="s">
        <v>31</v>
      </c>
      <c r="IZ3" s="95" t="s">
        <v>32</v>
      </c>
      <c r="JA3" s="95" t="s">
        <v>15</v>
      </c>
      <c r="JB3" s="95" t="s">
        <v>10</v>
      </c>
      <c r="JC3" s="95" t="s">
        <v>31</v>
      </c>
      <c r="JD3" s="95" t="s">
        <v>32</v>
      </c>
      <c r="JE3" s="95" t="s">
        <v>15</v>
      </c>
      <c r="JF3" s="95" t="s">
        <v>10</v>
      </c>
      <c r="JG3" s="95" t="s">
        <v>31</v>
      </c>
      <c r="JH3" s="95" t="s">
        <v>32</v>
      </c>
      <c r="JI3" s="97" t="s">
        <v>15</v>
      </c>
      <c r="JJ3" s="97" t="s">
        <v>10</v>
      </c>
      <c r="JK3" s="97" t="s">
        <v>31</v>
      </c>
      <c r="JL3" s="97" t="s">
        <v>32</v>
      </c>
      <c r="JM3" s="95"/>
      <c r="JN3" s="95"/>
      <c r="JO3" s="95"/>
      <c r="JP3" s="95"/>
      <c r="JQ3" s="95"/>
      <c r="JR3" s="95"/>
      <c r="JS3" s="95"/>
      <c r="JT3" s="95"/>
      <c r="JU3" s="94" t="s">
        <v>15</v>
      </c>
      <c r="JV3" s="94" t="s">
        <v>10</v>
      </c>
      <c r="JW3" s="94" t="s">
        <v>31</v>
      </c>
      <c r="JX3" s="94" t="s">
        <v>32</v>
      </c>
      <c r="JY3" s="94" t="s">
        <v>15</v>
      </c>
      <c r="JZ3" s="94" t="s">
        <v>10</v>
      </c>
      <c r="KA3" s="94" t="s">
        <v>31</v>
      </c>
      <c r="KB3" s="94" t="s">
        <v>32</v>
      </c>
      <c r="KC3" s="94" t="s">
        <v>15</v>
      </c>
      <c r="KD3" s="94" t="s">
        <v>10</v>
      </c>
      <c r="KE3" s="94" t="s">
        <v>31</v>
      </c>
      <c r="KF3" s="94" t="s">
        <v>32</v>
      </c>
      <c r="KG3" s="94" t="s">
        <v>15</v>
      </c>
      <c r="KH3" s="94" t="s">
        <v>10</v>
      </c>
      <c r="KI3" s="94" t="s">
        <v>31</v>
      </c>
      <c r="KJ3" s="94" t="s">
        <v>32</v>
      </c>
      <c r="KK3" s="98" t="s">
        <v>15</v>
      </c>
      <c r="KL3" s="98" t="s">
        <v>10</v>
      </c>
      <c r="KM3" s="98" t="s">
        <v>31</v>
      </c>
      <c r="KN3" s="98" t="s">
        <v>32</v>
      </c>
      <c r="KO3" s="94"/>
      <c r="KP3" s="94"/>
      <c r="KQ3" s="94"/>
      <c r="KR3" s="94"/>
      <c r="KS3" s="94"/>
      <c r="KT3" s="94"/>
      <c r="KU3" s="94"/>
      <c r="KV3" s="94"/>
      <c r="KW3" s="95" t="s">
        <v>15</v>
      </c>
      <c r="KX3" s="95" t="s">
        <v>10</v>
      </c>
      <c r="KY3" s="95" t="s">
        <v>31</v>
      </c>
      <c r="KZ3" s="95" t="s">
        <v>32</v>
      </c>
      <c r="LA3" s="95" t="s">
        <v>15</v>
      </c>
      <c r="LB3" s="95" t="s">
        <v>10</v>
      </c>
      <c r="LC3" s="95" t="s">
        <v>31</v>
      </c>
      <c r="LD3" s="95" t="s">
        <v>32</v>
      </c>
      <c r="LE3" s="95" t="s">
        <v>15</v>
      </c>
      <c r="LF3" s="95" t="s">
        <v>10</v>
      </c>
      <c r="LG3" s="95" t="s">
        <v>31</v>
      </c>
      <c r="LH3" s="95" t="s">
        <v>32</v>
      </c>
      <c r="LI3" s="95" t="s">
        <v>15</v>
      </c>
      <c r="LJ3" s="95" t="s">
        <v>10</v>
      </c>
      <c r="LK3" s="95" t="s">
        <v>31</v>
      </c>
      <c r="LL3" s="95" t="s">
        <v>32</v>
      </c>
      <c r="LM3" s="97" t="s">
        <v>15</v>
      </c>
      <c r="LN3" s="97" t="s">
        <v>10</v>
      </c>
      <c r="LO3" s="97" t="s">
        <v>31</v>
      </c>
      <c r="LP3" s="97" t="s">
        <v>32</v>
      </c>
      <c r="LQ3" s="95"/>
      <c r="LR3" s="95"/>
      <c r="LS3" s="95"/>
      <c r="LT3" s="95"/>
      <c r="LU3" s="95"/>
      <c r="LV3" s="95"/>
      <c r="LW3" s="95"/>
      <c r="LX3" s="95"/>
      <c r="LY3" s="94" t="s">
        <v>15</v>
      </c>
      <c r="LZ3" s="94" t="s">
        <v>10</v>
      </c>
      <c r="MA3" s="94" t="s">
        <v>31</v>
      </c>
      <c r="MB3" s="94" t="s">
        <v>32</v>
      </c>
      <c r="MC3" s="94" t="s">
        <v>15</v>
      </c>
      <c r="MD3" s="94" t="s">
        <v>10</v>
      </c>
      <c r="ME3" s="94" t="s">
        <v>31</v>
      </c>
      <c r="MF3" s="94" t="s">
        <v>32</v>
      </c>
      <c r="MG3" s="94" t="s">
        <v>15</v>
      </c>
      <c r="MH3" s="94" t="s">
        <v>10</v>
      </c>
      <c r="MI3" s="94" t="s">
        <v>31</v>
      </c>
      <c r="MJ3" s="94" t="s">
        <v>32</v>
      </c>
      <c r="MK3" s="94" t="s">
        <v>15</v>
      </c>
      <c r="ML3" s="94" t="s">
        <v>10</v>
      </c>
      <c r="MM3" s="94" t="s">
        <v>31</v>
      </c>
      <c r="MN3" s="94" t="s">
        <v>32</v>
      </c>
      <c r="MO3" s="98" t="s">
        <v>15</v>
      </c>
      <c r="MP3" s="98" t="s">
        <v>10</v>
      </c>
      <c r="MQ3" s="98" t="s">
        <v>31</v>
      </c>
      <c r="MR3" s="98" t="s">
        <v>32</v>
      </c>
      <c r="MS3" s="94"/>
      <c r="MT3" s="94"/>
      <c r="MU3" s="94"/>
      <c r="MV3" s="94"/>
      <c r="MW3" s="94"/>
      <c r="MX3" s="94"/>
      <c r="MY3" s="94"/>
      <c r="MZ3" s="94"/>
      <c r="NA3" s="95" t="s">
        <v>15</v>
      </c>
      <c r="NB3" s="95" t="s">
        <v>10</v>
      </c>
      <c r="NC3" s="95" t="s">
        <v>31</v>
      </c>
      <c r="ND3" s="95" t="s">
        <v>32</v>
      </c>
      <c r="NE3" s="95" t="s">
        <v>15</v>
      </c>
      <c r="NF3" s="95" t="s">
        <v>10</v>
      </c>
      <c r="NG3" s="95" t="s">
        <v>31</v>
      </c>
      <c r="NH3" s="95" t="s">
        <v>32</v>
      </c>
      <c r="NI3" s="95" t="s">
        <v>15</v>
      </c>
      <c r="NJ3" s="95" t="s">
        <v>10</v>
      </c>
      <c r="NK3" s="95" t="s">
        <v>31</v>
      </c>
      <c r="NL3" s="95" t="s">
        <v>32</v>
      </c>
      <c r="NM3" s="95" t="s">
        <v>15</v>
      </c>
      <c r="NN3" s="95" t="s">
        <v>10</v>
      </c>
      <c r="NO3" s="95" t="s">
        <v>31</v>
      </c>
      <c r="NP3" s="95" t="s">
        <v>32</v>
      </c>
      <c r="NQ3" s="97" t="s">
        <v>15</v>
      </c>
      <c r="NR3" s="97" t="s">
        <v>10</v>
      </c>
      <c r="NS3" s="97" t="s">
        <v>31</v>
      </c>
      <c r="NT3" s="97" t="s">
        <v>32</v>
      </c>
      <c r="NU3" s="95"/>
      <c r="NV3" s="95"/>
      <c r="NW3" s="95"/>
      <c r="NX3" s="95"/>
      <c r="NY3" s="95"/>
      <c r="NZ3" s="95"/>
      <c r="OA3" s="95"/>
      <c r="OB3" s="95"/>
      <c r="OC3" s="94" t="s">
        <v>15</v>
      </c>
      <c r="OD3" s="94" t="s">
        <v>10</v>
      </c>
      <c r="OE3" s="94" t="s">
        <v>31</v>
      </c>
      <c r="OF3" s="94" t="s">
        <v>32</v>
      </c>
      <c r="OG3" s="94" t="s">
        <v>15</v>
      </c>
      <c r="OH3" s="94" t="s">
        <v>10</v>
      </c>
      <c r="OI3" s="94" t="s">
        <v>31</v>
      </c>
      <c r="OJ3" s="94" t="s">
        <v>32</v>
      </c>
      <c r="OK3" s="94" t="s">
        <v>15</v>
      </c>
      <c r="OL3" s="94" t="s">
        <v>10</v>
      </c>
      <c r="OM3" s="94" t="s">
        <v>31</v>
      </c>
      <c r="ON3" s="94" t="s">
        <v>32</v>
      </c>
      <c r="OO3" s="94" t="s">
        <v>15</v>
      </c>
      <c r="OP3" s="94" t="s">
        <v>10</v>
      </c>
      <c r="OQ3" s="94" t="s">
        <v>31</v>
      </c>
      <c r="OR3" s="94" t="s">
        <v>32</v>
      </c>
      <c r="OS3" s="98" t="s">
        <v>15</v>
      </c>
      <c r="OT3" s="98" t="s">
        <v>10</v>
      </c>
      <c r="OU3" s="98" t="s">
        <v>31</v>
      </c>
      <c r="OV3" s="98" t="s">
        <v>32</v>
      </c>
      <c r="OW3" s="94"/>
      <c r="OX3" s="94"/>
      <c r="OY3" s="94"/>
      <c r="OZ3" s="94"/>
      <c r="PA3" s="94"/>
      <c r="PB3" s="94"/>
      <c r="PC3" s="94"/>
      <c r="PD3" s="94"/>
      <c r="PE3" s="95" t="s">
        <v>15</v>
      </c>
      <c r="PF3" s="95" t="s">
        <v>10</v>
      </c>
      <c r="PG3" s="95" t="s">
        <v>31</v>
      </c>
      <c r="PH3" s="95" t="s">
        <v>32</v>
      </c>
      <c r="PI3" s="95" t="s">
        <v>15</v>
      </c>
      <c r="PJ3" s="95" t="s">
        <v>10</v>
      </c>
      <c r="PK3" s="95" t="s">
        <v>31</v>
      </c>
      <c r="PL3" s="95" t="s">
        <v>32</v>
      </c>
      <c r="PM3" s="95" t="s">
        <v>15</v>
      </c>
      <c r="PN3" s="95" t="s">
        <v>10</v>
      </c>
      <c r="PO3" s="95" t="s">
        <v>31</v>
      </c>
      <c r="PP3" s="95" t="s">
        <v>32</v>
      </c>
      <c r="PQ3" s="95" t="s">
        <v>15</v>
      </c>
      <c r="PR3" s="95" t="s">
        <v>10</v>
      </c>
      <c r="PS3" s="95" t="s">
        <v>31</v>
      </c>
      <c r="PT3" s="95" t="s">
        <v>32</v>
      </c>
      <c r="PU3" s="97" t="s">
        <v>15</v>
      </c>
      <c r="PV3" s="97" t="s">
        <v>10</v>
      </c>
      <c r="PW3" s="97" t="s">
        <v>31</v>
      </c>
      <c r="PX3" s="97" t="s">
        <v>32</v>
      </c>
      <c r="PY3" s="95"/>
      <c r="PZ3" s="95"/>
      <c r="QA3" s="95"/>
      <c r="QB3" s="95"/>
      <c r="QC3" s="95"/>
      <c r="QD3" s="95"/>
      <c r="QE3" s="95"/>
      <c r="QF3" s="95"/>
      <c r="QG3" s="94" t="s">
        <v>15</v>
      </c>
      <c r="QH3" s="94" t="s">
        <v>10</v>
      </c>
      <c r="QI3" s="94" t="s">
        <v>31</v>
      </c>
      <c r="QJ3" s="94" t="s">
        <v>32</v>
      </c>
      <c r="QK3" s="94" t="s">
        <v>15</v>
      </c>
      <c r="QL3" s="94" t="s">
        <v>10</v>
      </c>
      <c r="QM3" s="94" t="s">
        <v>31</v>
      </c>
      <c r="QN3" s="94" t="s">
        <v>32</v>
      </c>
      <c r="QO3" s="94" t="s">
        <v>15</v>
      </c>
      <c r="QP3" s="94" t="s">
        <v>10</v>
      </c>
      <c r="QQ3" s="94" t="s">
        <v>31</v>
      </c>
      <c r="QR3" s="94" t="s">
        <v>32</v>
      </c>
      <c r="QS3" s="94" t="s">
        <v>15</v>
      </c>
      <c r="QT3" s="94" t="s">
        <v>10</v>
      </c>
      <c r="QU3" s="94" t="s">
        <v>31</v>
      </c>
      <c r="QV3" s="94" t="s">
        <v>32</v>
      </c>
      <c r="QW3" s="96" t="s">
        <v>15</v>
      </c>
      <c r="QX3" s="96" t="s">
        <v>10</v>
      </c>
      <c r="QY3" s="96" t="s">
        <v>31</v>
      </c>
      <c r="QZ3" s="96" t="s">
        <v>32</v>
      </c>
      <c r="RA3" s="94" t="s">
        <v>57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75</v>
      </c>
      <c r="C4" s="7" t="s">
        <v>6</v>
      </c>
      <c r="D4" s="18">
        <v>2001</v>
      </c>
      <c r="E4" s="14">
        <f>SUM(J4:T4)+SUM(J4:P4)*0.0000001+SUM(J4)*0.0000000000001</f>
        <v>203.90001519000509</v>
      </c>
      <c r="F4" s="3" t="str">
        <f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Merit</v>
      </c>
      <c r="I4" s="3" t="str">
        <f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51.099999999999994</v>
      </c>
      <c r="K4" s="13" t="str">
        <f>IF(J4=0,"",IF(J4=CY4,$CC$1,IF(J4=BV4,$AZ$1,IF(J4=AS4,$W$1,""))))</f>
        <v>2022 Nationals</v>
      </c>
      <c r="L4" s="13">
        <f>IF(COUNT(AS4,BV4,CY4)&gt;1,LARGE((AS4,BV4,CY4),2),0)</f>
        <v>50.8</v>
      </c>
      <c r="M4" s="13" t="str">
        <f>IF(L4=0,"",IF(L4=CY4,$CC$1,IF(L4=BV4,$AZ$1,IF(L4=AS4,$W$1,""))))</f>
        <v>2022 Elite Canada</v>
      </c>
      <c r="N4" s="13">
        <f>IF(COUNT(AT4,BW4,CZ4)&gt;0,LARGE((AT4,BW4,CZ4),1),0)</f>
        <v>25.099999999999998</v>
      </c>
      <c r="O4" s="13" t="str">
        <f>IF(N4=0,"",IF(N4=CZ4,$CC$1,IF(N4=BW4,$AZ$1,IF(N4=AT4,$W$1,""))))</f>
        <v>2022 Nationals</v>
      </c>
      <c r="P4" s="13">
        <f>IF(COUNT(AT4,BW4,CZ4)&gt;1,LARGE((AT4,BW4,CZ4),2),0)</f>
        <v>24.9</v>
      </c>
      <c r="Q4" s="13" t="str">
        <f>IF(P4=0,"",IF(P4=CZ4,$CC$1,IF(P4=BW4,$AZ$1,IF(P4=AT4,$W$1,""))))</f>
        <v>2022 3rd Domestic Trial</v>
      </c>
      <c r="R4" s="13">
        <f>IF(MAX(AX4,CA4,DD4)&gt;0,MAX(AX4,CA4,DD4),0)</f>
        <v>51.8</v>
      </c>
      <c r="S4" s="13" t="str">
        <f>IF(R4=0,"",IF(R4=DD4,$CC$1,IF(R4=CA4,$AZ$1,IF(R4=AX4,$W$1,""))))</f>
        <v>2022 3rd Domestic Trial</v>
      </c>
      <c r="T4" s="13">
        <f>IF(MAX(DF4:DH4)&gt;0,MAX(DF4:DH4),"")</f>
        <v>0.19999999999999574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18.8</v>
      </c>
      <c r="X4" s="27">
        <v>6.8</v>
      </c>
      <c r="Y4" s="27">
        <v>0</v>
      </c>
      <c r="Z4" s="27">
        <v>0.3</v>
      </c>
      <c r="AA4" s="27">
        <v>18.600000000000001</v>
      </c>
      <c r="AB4" s="27">
        <v>6.8</v>
      </c>
      <c r="AC4" s="27">
        <v>0.8</v>
      </c>
      <c r="AD4" s="27">
        <v>0.3</v>
      </c>
      <c r="AE4" s="27">
        <v>18.5</v>
      </c>
      <c r="AF4" s="27">
        <v>5.6</v>
      </c>
      <c r="AG4" s="27">
        <v>0.6</v>
      </c>
      <c r="AH4" s="27">
        <v>0</v>
      </c>
      <c r="AI4" s="27">
        <v>18.100000000000001</v>
      </c>
      <c r="AJ4" s="27">
        <v>6.8</v>
      </c>
      <c r="AK4" s="27">
        <v>0.2</v>
      </c>
      <c r="AL4" s="27">
        <v>0.6</v>
      </c>
      <c r="AM4" s="27">
        <v>18.8</v>
      </c>
      <c r="AN4" s="27">
        <v>6.4</v>
      </c>
      <c r="AO4" s="27">
        <v>0</v>
      </c>
      <c r="AP4" s="27">
        <v>0</v>
      </c>
      <c r="AQ4" s="51"/>
      <c r="AR4" s="76">
        <f>IF(SUM(X4,AB4)&gt;0,SUM(X4,AB4),"")</f>
        <v>13.6</v>
      </c>
      <c r="AS4" s="76">
        <f>IF(SUM(W4:X4,Z4:AB4,AD4)-Y4-AC4&gt;0,SUM(W4:X4,Z4:AB4,AD4)-Y4-AC4,"")</f>
        <v>50.8</v>
      </c>
      <c r="AT4" s="76">
        <f>IF(SUM(AE4:AF4,AH4)-AG4&gt;0,SUM(AE4:AF4,AH4)-AG4,"")</f>
        <v>23.5</v>
      </c>
      <c r="AU4" s="76">
        <f>IF(SUM(X4,AB4,AF4)&gt;0,SUM(X4,AB4,AF4),"")</f>
        <v>19.2</v>
      </c>
      <c r="AV4" s="76">
        <f>IF(SUM(AS4,AT4)&gt;0,SUM(AS4,AT4),"")</f>
        <v>74.3</v>
      </c>
      <c r="AW4" s="76">
        <f>IF(SUM(AJ4,AN4)&gt;0,SUM(AJ4,AN4),"")</f>
        <v>13.2</v>
      </c>
      <c r="AX4" s="76">
        <f>IF(SUM(AI4:AJ4,AL4:AN4,AP4)-SUM(AK4,AO4)&gt;0,SUM(AI4:AJ4,AL4:AN4,AP4)-SUM(AK4,AO4),"")</f>
        <v>50.5</v>
      </c>
      <c r="AY4" s="76">
        <f>IF(SUM(AS4,AX4)&gt;0,SUM(AS4,AX4),"")</f>
        <v>101.3</v>
      </c>
      <c r="AZ4" s="26">
        <v>18.7</v>
      </c>
      <c r="BA4" s="26">
        <v>6.8</v>
      </c>
      <c r="BB4" s="26">
        <v>0.2</v>
      </c>
      <c r="BC4" s="26">
        <v>0.3</v>
      </c>
      <c r="BD4" s="26">
        <v>18.600000000000001</v>
      </c>
      <c r="BE4" s="26">
        <v>6.8</v>
      </c>
      <c r="BF4" s="26">
        <v>0.2</v>
      </c>
      <c r="BG4" s="26">
        <v>0.3</v>
      </c>
      <c r="BH4" s="26">
        <v>18.399999999999999</v>
      </c>
      <c r="BI4" s="26">
        <v>6.4</v>
      </c>
      <c r="BJ4" s="26">
        <v>0</v>
      </c>
      <c r="BK4" s="26">
        <v>0.3</v>
      </c>
      <c r="BL4" s="26">
        <v>0</v>
      </c>
      <c r="BM4" s="26">
        <v>0</v>
      </c>
      <c r="BN4" s="26">
        <v>0</v>
      </c>
      <c r="BO4" s="26">
        <v>0</v>
      </c>
      <c r="BP4" s="26">
        <v>18.5</v>
      </c>
      <c r="BQ4" s="26">
        <v>8.4</v>
      </c>
      <c r="BR4" s="26">
        <v>0</v>
      </c>
      <c r="BS4" s="26">
        <v>0.6</v>
      </c>
      <c r="BT4" s="52"/>
      <c r="BU4" s="16">
        <f>IF(SUM(BA4,BE4)&gt;0,SUM(BA4,BE4),"")</f>
        <v>13.6</v>
      </c>
      <c r="BV4" s="16">
        <f>IF(SUM(AZ4:BA4,BC4:BE4,BG4)-BB4-BF4&gt;0,SUM(AZ4:BA4,BC4:BE4,BG4)-BB4-BF4,"")</f>
        <v>51.099999999999994</v>
      </c>
      <c r="BW4" s="16">
        <f>IF(SUM(BH4:BI4,BK4)-BJ4&gt;0,SUM(BH4:BI4,BK4)-BJ4,"")</f>
        <v>25.099999999999998</v>
      </c>
      <c r="BX4" s="16">
        <f>IF(SUM(BA4,BE4,BI4)&gt;0,SUM(BA4,BE4,BI4),"")</f>
        <v>20</v>
      </c>
      <c r="BY4" s="16">
        <f>IF(SUM(BV4,BW4)&gt;0,SUM(BV4,BW4),"")</f>
        <v>76.199999999999989</v>
      </c>
      <c r="BZ4" s="16">
        <f>IF(SUM(BM4,BQ4)&gt;0,SUM(BM4,BQ4),"")</f>
        <v>8.4</v>
      </c>
      <c r="CA4" s="16">
        <f>IF(SUM(BL4:BM4,BO4:BQ4,BS4)-SUM(BN4,BR4)&gt;0,SUM(BL4:BM4,BO4:BQ4,BS4)-SUM(BN4,BR4),"")</f>
        <v>27.5</v>
      </c>
      <c r="CB4" s="16">
        <f>IF(SUM(BV4,CA4)&gt;0,SUM(BV4,CA4),"")</f>
        <v>78.599999999999994</v>
      </c>
      <c r="CC4" s="27">
        <v>18.899999999999999</v>
      </c>
      <c r="CD4" s="27">
        <v>6</v>
      </c>
      <c r="CE4" s="27">
        <v>0.2</v>
      </c>
      <c r="CF4" s="27">
        <v>0.3</v>
      </c>
      <c r="CG4" s="27">
        <v>19</v>
      </c>
      <c r="CH4" s="27">
        <v>6.4</v>
      </c>
      <c r="CI4" s="27">
        <v>0</v>
      </c>
      <c r="CJ4" s="27">
        <v>0</v>
      </c>
      <c r="CK4" s="27">
        <v>18.399999999999999</v>
      </c>
      <c r="CL4" s="27">
        <v>6.8</v>
      </c>
      <c r="CM4" s="27">
        <v>0.6</v>
      </c>
      <c r="CN4" s="27">
        <v>0.3</v>
      </c>
      <c r="CO4" s="27">
        <v>18.600000000000001</v>
      </c>
      <c r="CP4" s="27">
        <v>6.8</v>
      </c>
      <c r="CQ4" s="27">
        <v>0.2</v>
      </c>
      <c r="CR4" s="27">
        <v>0.3</v>
      </c>
      <c r="CS4" s="27">
        <v>18.8</v>
      </c>
      <c r="CT4" s="27">
        <v>7.2</v>
      </c>
      <c r="CU4" s="27">
        <v>0</v>
      </c>
      <c r="CV4" s="27">
        <v>0.3</v>
      </c>
      <c r="CW4" s="51"/>
      <c r="CX4" s="76">
        <f>IF(SUM(CD4,CH4)&gt;0,SUM(CD4,CH4),"")</f>
        <v>12.4</v>
      </c>
      <c r="CY4" s="76">
        <f>IF(SUM(CC4:CD4,CF4:CH4,CJ4)-CE4-CI4&gt;0,SUM(CC4:CD4,CF4:CH4,CJ4)-CE4-CI4,"")</f>
        <v>50.4</v>
      </c>
      <c r="CZ4" s="76">
        <f>IF(SUM(CK4:CL4,CN4)-CM4&gt;0,SUM(CK4:CL4,CN4)-CM4,"")</f>
        <v>24.9</v>
      </c>
      <c r="DA4" s="76">
        <f>IF(SUM(CD4,CH4,CL4)&gt;0,SUM(CD4,CH4,CL4),"")</f>
        <v>19.2</v>
      </c>
      <c r="DB4" s="76">
        <f>IF(SUM(CY4,CZ4)&gt;0,SUM(CY4,CZ4),"")</f>
        <v>75.3</v>
      </c>
      <c r="DC4" s="76">
        <f>IF(SUM(CP4,CT4)&gt;0,SUM(CP4,CT4),"")</f>
        <v>14</v>
      </c>
      <c r="DD4" s="76">
        <f>IF(SUM(CO4:CP4,CR4:CT4,CV4)-SUM(CQ4,CU4)&gt;0,SUM(CO4:CP4,CR4:CT4,CV4)-SUM(CQ4,CU4),"")</f>
        <v>51.8</v>
      </c>
      <c r="DE4" s="76">
        <f>IF(SUM(CY4,DD4)&gt;0,SUM(CY4,DD4),"")</f>
        <v>102.19999999999999</v>
      </c>
      <c r="DF4" s="87">
        <f>IF(L4&gt;=0.001,IF(MAX(ED4,FF4,GH4,HJ4,IL4,JN4,KP4,LR4,MT4,NV4,OX4,PZ4)-IF(L4="",0,L4)&gt;0.001,MAX(ED4,FF4,GH4,HJ4,IL4,JN4,KP4,LR4,MT4,NV4,OX4,PZ4)-IF(L4="",0,L4),""),"")</f>
        <v>0.19999999999999574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>IF(SUM(FN4,FR4)&gt;0,SUM(FN4,FR4),"")</f>
        <v>12.8</v>
      </c>
      <c r="GH4" s="76">
        <f>IF(SUM(FM4:FN4,FP4:FR4,FT4)-FO4-FS4&gt;0,SUM(FM4:FN4,FP4:FR4,FT4)-FO4-FS4,"")</f>
        <v>50.599999999999994</v>
      </c>
      <c r="GI4" s="76" t="str">
        <f>IF(SUM(FU4:FV4,FX4)-FW4&gt;0,SUM(FU4:FV4,FX4)-FW4,"")</f>
        <v/>
      </c>
      <c r="GJ4" s="76">
        <f>IF(SUM(FN4,FR4,FV4)&gt;0,SUM(FN4,FR4,FV4),"")</f>
        <v>12.8</v>
      </c>
      <c r="GK4" s="76">
        <f>IF(SUM(GH4,GI4)&gt;0,SUM(GH4,GI4),"")</f>
        <v>50.599999999999994</v>
      </c>
      <c r="GL4" s="76">
        <f>IF(SUM(FZ4,GD4)&gt;0,SUM(FZ4,GD4),"")</f>
        <v>13.2</v>
      </c>
      <c r="GM4" s="76">
        <f>IF(SUM(FY4:FZ4,GB4:GD4,GF4)-SUM(GA4,GE4)&gt;0,SUM(FY4:FZ4,GB4:GD4,GF4)-SUM(GA4,GE4),"")</f>
        <v>50.099999999999994</v>
      </c>
      <c r="GN4" s="76">
        <f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>IF(SUM(GP4,GT4)&gt;0,SUM(GP4,GT4),"")</f>
        <v>13.6</v>
      </c>
      <c r="HJ4" s="16">
        <f>IF(SUM(GO4:GP4,GR4:GT4,GV4)-GQ4-GU4&gt;0,SUM(GO4:GP4,GR4:GT4,GV4)-GQ4-GU4,"")</f>
        <v>50.599999999999994</v>
      </c>
      <c r="HK4" s="16" t="str">
        <f>IF(SUM(GW4:GX4,GZ4)-GY4&gt;0,SUM(GW4:GX4,GZ4)-GY4,"")</f>
        <v/>
      </c>
      <c r="HL4" s="16">
        <f>IF(SUM(GP4,GT4,GX4)&gt;0,SUM(GP4,GT4,GX4),"")</f>
        <v>13.6</v>
      </c>
      <c r="HM4" s="16">
        <f>IF(SUM(HJ4,HK4)&gt;0,SUM(HJ4,HK4),"")</f>
        <v>50.599999999999994</v>
      </c>
      <c r="HN4" s="16">
        <f>IF(SUM(HB4,HF4)&gt;0,SUM(HB4,HF4),"")</f>
        <v>14.8</v>
      </c>
      <c r="HO4" s="16">
        <f>IF(SUM(HA4:HB4,HD4:HF4,HH4)-SUM(HC4,HG4)&gt;0,SUM(HA4:HB4,HD4:HF4,HH4)-SUM(HC4,HG4),"")</f>
        <v>51.300000000000004</v>
      </c>
      <c r="HP4" s="16">
        <f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>
        <v>18.5</v>
      </c>
      <c r="JV4" s="25">
        <v>7.2</v>
      </c>
      <c r="JW4" s="25">
        <v>0</v>
      </c>
      <c r="JX4" s="25">
        <v>0</v>
      </c>
      <c r="JY4" s="25">
        <v>17.399999999999999</v>
      </c>
      <c r="JZ4" s="25">
        <v>6.8</v>
      </c>
      <c r="KA4" s="25">
        <v>0.6</v>
      </c>
      <c r="KB4" s="25">
        <v>0</v>
      </c>
      <c r="KC4" s="25"/>
      <c r="KD4" s="25"/>
      <c r="KE4" s="25"/>
      <c r="KF4" s="25"/>
      <c r="KG4" s="25">
        <v>18.100000000000001</v>
      </c>
      <c r="KH4" s="25">
        <v>6.8</v>
      </c>
      <c r="KI4" s="25">
        <v>0.6</v>
      </c>
      <c r="KJ4" s="25">
        <v>0</v>
      </c>
      <c r="KK4" s="25"/>
      <c r="KL4" s="25"/>
      <c r="KM4" s="25"/>
      <c r="KN4" s="25"/>
      <c r="KO4" s="76">
        <f>IF(SUM(JV4,JZ4)&gt;0,SUM(JV4,JZ4),"")</f>
        <v>14</v>
      </c>
      <c r="KP4" s="76">
        <f>IF(SUM(JU4:JV4,JX4:JZ4,KB4)-JW4-KA4&gt;0,SUM(JU4:JV4,JX4:JZ4,KB4)-JW4-KA4,"")</f>
        <v>49.29999999999999</v>
      </c>
      <c r="KQ4" s="76" t="str">
        <f>IF(SUM(KC4:KD4,KF4)-KE4&gt;0,SUM(KC4:KD4,KF4)-KE4,"")</f>
        <v/>
      </c>
      <c r="KR4" s="76">
        <f>IF(SUM(JV4,JZ4,KD4)&gt;0,SUM(JV4,JZ4,KD4),"")</f>
        <v>14</v>
      </c>
      <c r="KS4" s="76">
        <f>IF(SUM(KP4,KQ4)&gt;0,SUM(KP4,KQ4),"")</f>
        <v>49.29999999999999</v>
      </c>
      <c r="KT4" s="76">
        <f>IF(SUM(KH4,KL4)&gt;0,SUM(KH4,KL4),"")</f>
        <v>6.8</v>
      </c>
      <c r="KU4" s="76">
        <f>IF(SUM(KG4:KH4,KJ4:KL4,KN4)-SUM(KI4,KM4)&gt;0,SUM(KG4:KH4,KJ4:KL4,KN4)-SUM(KI4,KM4),"")</f>
        <v>24.3</v>
      </c>
      <c r="KV4" s="76">
        <f>IF(SUM(KP4,KU4)&gt;0,SUM(KP4,KU4),"")</f>
        <v>73.599999999999994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18.799999999999997</v>
      </c>
      <c r="QH4" s="42">
        <f>IF($CW4="P",CD4,(CD4+BA4)/2)</f>
        <v>6.4</v>
      </c>
      <c r="QI4" s="42">
        <f>IF($CW4="P",CE4,(CE4+BB4)/2)</f>
        <v>0.2</v>
      </c>
      <c r="QJ4" s="42">
        <f>IF($CW4="P",CF4,(CF4+BC4)/2)</f>
        <v>0.3</v>
      </c>
      <c r="QK4" s="42">
        <f>IF($CW4="P",CG4,(CG4+BD4)/2)</f>
        <v>18.8</v>
      </c>
      <c r="QL4" s="42">
        <f>IF($CW4="P",CH4,(CH4+BE4)/2)</f>
        <v>6.6</v>
      </c>
      <c r="QM4" s="42">
        <f>IF($CW4="P",CI4,(CI4+BF4)/2)</f>
        <v>0.1</v>
      </c>
      <c r="QN4" s="42">
        <f>IF($CW4="P",CJ4,(CJ4+BG4)/2)</f>
        <v>0.15</v>
      </c>
      <c r="QO4" s="42">
        <f>IF($CW4="P",CK4,(CK4+BH4)/2)</f>
        <v>18.399999999999999</v>
      </c>
      <c r="QP4" s="42">
        <f>IF($CW4="P",CL4,(CL4+BI4)/2)</f>
        <v>6.6</v>
      </c>
      <c r="QQ4" s="42">
        <f>IF($CW4="P",CM4,(CM4+BJ4)/2)</f>
        <v>0.3</v>
      </c>
      <c r="QR4" s="42">
        <f>IF($CW4="P",CN4,(CN4+BK4)/2)</f>
        <v>0.3</v>
      </c>
      <c r="QS4" s="42">
        <f>IF($CW4="P",CO4,(CO4+BL4)/2)</f>
        <v>9.3000000000000007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0.15</v>
      </c>
      <c r="QW4" s="42">
        <f>IF($CW4="P",CS4,(CS4+BP4)/2)</f>
        <v>18.649999999999999</v>
      </c>
      <c r="QX4" s="42">
        <f>IF($CW4="P",CT4,(CT4+BQ4)/2)</f>
        <v>7.8000000000000007</v>
      </c>
      <c r="QY4" s="42">
        <f>IF($CW4="P",CU4,(CU4+BR4)/2)</f>
        <v>0</v>
      </c>
      <c r="QZ4" s="42">
        <f>IF($CW4="P",CV4,(CV4+BS4)/2)</f>
        <v>0.44999999999999996</v>
      </c>
      <c r="RA4" s="51" t="s">
        <v>58</v>
      </c>
      <c r="RB4" s="76">
        <f>IF(SUM(QH4,QL4)&gt;0,SUM(QH4,QL4),"")</f>
        <v>13</v>
      </c>
      <c r="RC4" s="76">
        <f>IF(SUM(QG4:QH4,QJ4:QL4,QN4)-QI4-QM4&gt;0,SUM(QG4:QH4,QJ4:QL4,QN4)-QI4-QM4,"")</f>
        <v>50.749999999999993</v>
      </c>
      <c r="RD4" s="76">
        <f>IF(SUM(QO4:QP4,QR4)-QQ4&gt;0,SUM(QO4:QP4,QR4)-QQ4,"")</f>
        <v>25</v>
      </c>
      <c r="RE4" s="76">
        <f>IF(SUM(QH4,QL4,QP4)&gt;0,SUM(QH4,QL4,QP4),"")</f>
        <v>19.600000000000001</v>
      </c>
      <c r="RF4" s="76">
        <f>IF(SUM(RC4,RD4)&gt;0,SUM(RC4,RD4),"")</f>
        <v>75.75</v>
      </c>
      <c r="RG4" s="76">
        <f>IF(SUM(QT4,QX4)&gt;0,SUM(QT4,QX4),"")</f>
        <v>11.200000000000001</v>
      </c>
      <c r="RH4" s="76">
        <f>IF(SUM(QS4:QT4,QV4:QX4,QZ4)-SUM(QU4,QY4)&gt;0,SUM(QS4:QT4,QV4:QX4,QZ4)-SUM(QU4,QY4),"")</f>
        <v>39.65</v>
      </c>
      <c r="RI4" s="76">
        <f>IF(SUM(RC4,RH4)&gt;0,SUM(RC4,RH4),"")</f>
        <v>90.399999999999991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99</v>
      </c>
      <c r="C5" s="7" t="s">
        <v>40</v>
      </c>
      <c r="D5" s="18">
        <v>2002</v>
      </c>
      <c r="E5" s="14">
        <f>SUM(J5:T5)+SUM(J5:P5)*0.0000001+SUM(J5)*0.0000000000001</f>
        <v>202.40001488000505</v>
      </c>
      <c r="F5" s="3" t="str">
        <f>IF(OR(AND(AR5&gt;=AY$19,AS5&gt;=AY$23,AR5&lt;&gt;"",AQ5=""),AND(AW5&gt;=AY$19,AX5&gt;=AY$23,AW5&lt;&gt;"",AQ5=""),AND(BU5&gt;=CB$19,BV5&gt;=CB$23,BU5&lt;&gt;"",BT5=""),AND(BZ5&gt;=CB$19,CA5&gt;=CB$23,BZ5&lt;&gt;"",BT5=""),AND(CX5&gt;=DE$19,CY5&gt;=DE$23,CX5&lt;&gt;"",CW5=""),AND(DC5&gt;=DE$19,DD5&gt;=DE$23,DC5&lt;&gt;""),AND(EC5&gt;=EJ$19,ED5&gt;=EJ$23,EC5&lt;&gt;""),AND(EH5&gt;=EJ$19,EI5&gt;=EJ$23,EH5&lt;&gt;""),AND(FE5&gt;=FL$19,FF5&gt;=FL$23,FE5&lt;&gt;""),AND(FJ5&gt;=FL$19,FK5&gt;=FL$23,FJ5&lt;&gt;""),AND(GG5&gt;=GN$19,GH5&gt;=GN$23,GG5&lt;&gt;""),AND(GL5&gt;=GN$19,GM5&gt;=GN$23,GL5&lt;&gt;""),AND(HI5&gt;=HP$19,HJ5&gt;=HP$23,HI5&lt;&gt;""),AND(HN5&gt;=HP$19,HO5&gt;=HP$23,HN5&lt;&gt;""),AND(IK5&gt;=IR$19,IL5&gt;=IR$23,IK5&lt;&gt;""),AND(IP5&gt;=IR$19,IQ5&gt;=IR$23,IP5&lt;&gt;""),AND(JM5&gt;=JT$19,JN5&gt;=JT$23,JM5&lt;&gt;""),AND(JR5&gt;=JT$19,JS5&gt;=JT$23,JR5&lt;&gt;""),AND(KO5&gt;=KV$19,KP5&gt;=KV$23,KO5&lt;&gt;""),AND(KT5&gt;=KV$19,KU5&gt;=KV$23,KT5&lt;&gt;""),AND(LQ5&gt;=LX$19,LR5&gt;=LX$23,LQ5&lt;&gt;""),AND(LV5&gt;=LX$19,LW5&gt;=LX$23,LV5&lt;&gt;""),AND(MS5&gt;=MZ$19,MT5&gt;=MZ$23,MS5&lt;&gt;""),AND(MX5&gt;=MZ$19,MY5&gt;=MZ$23,MX5&lt;&gt;""),AND(NU5&gt;=OB$19,NV5&gt;=OB$23,NU5&lt;&gt;""),AND(NZ5&gt;=OB$19,OA5&gt;=OB$23,NZ5&lt;&gt;""),AND(OW5&gt;=PD$19,OX5&gt;=PD$23,OW5&lt;&gt;""),AND(PB5&gt;=PD$19,PC5&gt;=PD$23,PB5&lt;&gt;""),AND(PY5&gt;=QF$19,PZ5&gt;=QF$23,PY5&lt;&gt;""),AND(QD5&gt;=QF$19,QE5&gt;=QF$23,QD5&lt;&gt;"")),"P","")</f>
        <v>P</v>
      </c>
      <c r="G5" s="3" t="str">
        <f>IF(OR(AND(AS5&gt;=AY$23,AS5&lt;&gt;"",AQ5=""),AND(AX5&gt;=AY$23,AX5&lt;&gt;"",AQ5=""),AND(BV5&gt;=CB$23,BV5&lt;&gt;"",BT5=""),AND(CA5&gt;=CB$23,CA5&lt;&gt;"",BT5=""),AND(CY5&gt;=DE$23,CY5&lt;&gt;"",CW5=""),AND(DD5&gt;=DE$23,DD5&lt;&gt;"",CW5=""),AND(ED5&gt;=EJ$23,ED5&lt;&gt;""),AND(EI5&gt;=EJ$23,EI5&lt;&gt;""),AND(FF5&gt;=FL$23,FF5&lt;&gt;""),AND(FK5&gt;=FL$23,FK5&lt;&gt;""),AND(GH5&gt;=GN$23,GH5&lt;&gt;""),AND(GM5&gt;=GN$23,GM5&lt;&gt;""),AND(HJ5&gt;=HP$23,HJ5&lt;&gt;""),AND(HO5&gt;=HP$23,HO5&lt;&gt;""),AND(IL5&gt;=IR$23,IL5&lt;&gt;""),AND(IQ5&gt;=IR$23,IQ5&lt;&gt;""),AND(JN5&gt;=JT$23,JN5&lt;&gt;""),AND(JS5&gt;=JT$23,JS5&lt;&gt;""),AND(KP5&gt;=KV$23,KP5&lt;&gt;""),AND(KU5&gt;=KV$23,KU5&lt;&gt;""),AND(LR5&gt;=LX$23,LR5&lt;&gt;""),AND(LW5&gt;=LX$23,LW5&lt;&gt;""),AND(MT5&gt;=MZ$23,MT5&lt;&gt;""),AND(MY5&gt;=MZ$23,MY5&lt;&gt;""),AND(NV5&gt;=OB$23,NV5&lt;&gt;""),AND(OA5&gt;=OB$23,OA5&lt;&gt;""),AND(OX5&gt;=PD$23,OX5&lt;&gt;""),AND(PC5&gt;=PD$23,PC5&lt;&gt;""),AND(PZ5&gt;=QF$23,PZ5&lt;&gt;""),AND(QE5&gt;=QF$23,QE5&lt;&gt;"")),"P","")</f>
        <v>P</v>
      </c>
      <c r="H5" s="70" t="str">
        <f>IF(AND(G5="P",F5=""),"No DD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Merit",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Excellence",IF(I5="P","Worlds Team",IF(F5="P","National Team","")))))</f>
        <v>Merit</v>
      </c>
      <c r="I5" s="3" t="str">
        <f>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P","")</f>
        <v>P</v>
      </c>
      <c r="J5" s="13">
        <f>IF(COUNT(AS5,BV5,CY5)&gt;0,LARGE((AS5,BV5,CY5),1),0)</f>
        <v>50.699999999999996</v>
      </c>
      <c r="K5" s="13" t="str">
        <f>IF(J5=0,"",IF(J5=CY5,$CC$1,IF(J5=BV5,$AZ$1,IF(J5=AS5,$W$1,""))))</f>
        <v>2022 Nationals</v>
      </c>
      <c r="L5" s="13">
        <f>IF(COUNT(AS5,BV5,CY5)&gt;1,LARGE((AS5,BV5,CY5),2),0)</f>
        <v>48.5</v>
      </c>
      <c r="M5" s="13" t="str">
        <f>IF(L5=0,"",IF(L5=CY5,$CC$1,IF(L5=BV5,$AZ$1,IF(L5=AS5,$W$1,""))))</f>
        <v>2022 Elite Canada</v>
      </c>
      <c r="N5" s="13">
        <f>IF(COUNT(AT5,BW5,CZ5)&gt;0,LARGE((AT5,BW5,CZ5),1),0)</f>
        <v>25.1</v>
      </c>
      <c r="O5" s="13" t="str">
        <f>IF(N5=0,"",IF(N5=CZ5,$CC$1,IF(N5=BW5,$AZ$1,IF(N5=AT5,$W$1,""))))</f>
        <v>2022 3rd Domestic Trial</v>
      </c>
      <c r="P5" s="13">
        <f>IF(COUNT(AT5,BW5,CZ5)&gt;1,LARGE((AT5,BW5,CZ5),2),0)</f>
        <v>24.5</v>
      </c>
      <c r="Q5" s="13" t="str">
        <f>IF(P5=0,"",IF(P5=CZ5,$CC$1,IF(P5=BW5,$AZ$1,IF(P5=AT5,$W$1,""))))</f>
        <v>2022 Nationals</v>
      </c>
      <c r="R5" s="13">
        <f>IF(MAX(AX5,CA5,DD5)&gt;0,MAX(AX5,CA5,DD5),0)</f>
        <v>50.699999999999996</v>
      </c>
      <c r="S5" s="13" t="str">
        <f>IF(R5=0,"",IF(R5=DD5,$CC$1,IF(R5=CA5,$AZ$1,IF(R5=AX5,$W$1,""))))</f>
        <v>2022 Nationals</v>
      </c>
      <c r="T5" s="13">
        <f>IF(MAX(DF5:DH5)&gt;0,MAX(DF5:DH5),"")</f>
        <v>2.8999999999999915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#2 (May 15)</v>
      </c>
      <c r="W5" s="27">
        <v>18.600000000000001</v>
      </c>
      <c r="X5" s="27">
        <v>5.6</v>
      </c>
      <c r="Y5" s="27">
        <v>0.6</v>
      </c>
      <c r="Z5" s="27">
        <v>0</v>
      </c>
      <c r="AA5" s="27">
        <v>18.899999999999999</v>
      </c>
      <c r="AB5" s="27">
        <v>6</v>
      </c>
      <c r="AC5" s="27">
        <v>0</v>
      </c>
      <c r="AD5" s="27">
        <v>0</v>
      </c>
      <c r="AE5" s="27">
        <v>18.600000000000001</v>
      </c>
      <c r="AF5" s="27">
        <v>6</v>
      </c>
      <c r="AG5" s="27">
        <v>0.6</v>
      </c>
      <c r="AH5" s="27">
        <v>0.3</v>
      </c>
      <c r="AI5" s="27">
        <v>19</v>
      </c>
      <c r="AJ5" s="27">
        <v>6.4</v>
      </c>
      <c r="AK5" s="27">
        <v>0</v>
      </c>
      <c r="AL5" s="27">
        <v>0</v>
      </c>
      <c r="AM5" s="27">
        <v>19.2</v>
      </c>
      <c r="AN5" s="27">
        <v>5.2</v>
      </c>
      <c r="AO5" s="27">
        <v>0</v>
      </c>
      <c r="AP5" s="27">
        <v>0</v>
      </c>
      <c r="AQ5" s="51"/>
      <c r="AR5" s="76">
        <f>IF(SUM(X5,AB5)&gt;0,SUM(X5,AB5),"")</f>
        <v>11.6</v>
      </c>
      <c r="AS5" s="76">
        <f>IF(SUM(W5:X5,Z5:AB5,AD5)-Y5-AC5&gt;0,SUM(W5:X5,Z5:AB5,AD5)-Y5-AC5,"")</f>
        <v>48.5</v>
      </c>
      <c r="AT5" s="76">
        <f>IF(SUM(AE5:AF5,AH5)-AG5&gt;0,SUM(AE5:AF5,AH5)-AG5,"")</f>
        <v>24.3</v>
      </c>
      <c r="AU5" s="76">
        <f>IF(SUM(X5,AB5,AF5)&gt;0,SUM(X5,AB5,AF5),"")</f>
        <v>17.600000000000001</v>
      </c>
      <c r="AV5" s="76">
        <f>IF(SUM(AS5,AT5)&gt;0,SUM(AS5,AT5),"")</f>
        <v>72.8</v>
      </c>
      <c r="AW5" s="76">
        <f>IF(SUM(AJ5,AN5)&gt;0,SUM(AJ5,AN5),"")</f>
        <v>11.600000000000001</v>
      </c>
      <c r="AX5" s="76">
        <f>IF(SUM(AI5:AJ5,AL5:AN5,AP5)-SUM(AK5,AO5)&gt;0,SUM(AI5:AJ5,AL5:AN5,AP5)-SUM(AK5,AO5),"")</f>
        <v>49.8</v>
      </c>
      <c r="AY5" s="76">
        <f>IF(SUM(AS5,AX5)&gt;0,SUM(AS5,AX5),"")</f>
        <v>98.3</v>
      </c>
      <c r="AZ5" s="26">
        <v>18.600000000000001</v>
      </c>
      <c r="BA5" s="26">
        <v>6.4</v>
      </c>
      <c r="BB5" s="26">
        <v>0</v>
      </c>
      <c r="BC5" s="26">
        <v>0</v>
      </c>
      <c r="BD5" s="26">
        <v>18.600000000000001</v>
      </c>
      <c r="BE5" s="26">
        <v>6.8</v>
      </c>
      <c r="BF5" s="26">
        <v>0</v>
      </c>
      <c r="BG5" s="26">
        <v>0.3</v>
      </c>
      <c r="BH5" s="26">
        <v>18.399999999999999</v>
      </c>
      <c r="BI5" s="26">
        <v>6</v>
      </c>
      <c r="BJ5" s="26">
        <v>0.2</v>
      </c>
      <c r="BK5" s="26">
        <v>0.3</v>
      </c>
      <c r="BL5" s="26">
        <v>18.600000000000001</v>
      </c>
      <c r="BM5" s="26">
        <v>6.4</v>
      </c>
      <c r="BN5" s="26">
        <v>0</v>
      </c>
      <c r="BO5" s="26">
        <v>0</v>
      </c>
      <c r="BP5" s="26">
        <v>18.600000000000001</v>
      </c>
      <c r="BQ5" s="26">
        <v>6.8</v>
      </c>
      <c r="BR5" s="26">
        <v>0</v>
      </c>
      <c r="BS5" s="26">
        <v>0.3</v>
      </c>
      <c r="BT5" s="52"/>
      <c r="BU5" s="16">
        <f>IF(SUM(BA5,BE5)&gt;0,SUM(BA5,BE5),"")</f>
        <v>13.2</v>
      </c>
      <c r="BV5" s="16">
        <f>IF(SUM(AZ5:BA5,BC5:BE5,BG5)-BB5-BF5&gt;0,SUM(AZ5:BA5,BC5:BE5,BG5)-BB5-BF5,"")</f>
        <v>50.699999999999996</v>
      </c>
      <c r="BW5" s="16">
        <f>IF(SUM(BH5:BI5,BK5)-BJ5&gt;0,SUM(BH5:BI5,BK5)-BJ5,"")</f>
        <v>24.5</v>
      </c>
      <c r="BX5" s="16">
        <f>IF(SUM(BA5,BE5,BI5)&gt;0,SUM(BA5,BE5,BI5),"")</f>
        <v>19.2</v>
      </c>
      <c r="BY5" s="16">
        <f>IF(SUM(BV5,BW5)&gt;0,SUM(BV5,BW5),"")</f>
        <v>75.199999999999989</v>
      </c>
      <c r="BZ5" s="16">
        <f>IF(SUM(BM5,BQ5)&gt;0,SUM(BM5,BQ5),"")</f>
        <v>13.2</v>
      </c>
      <c r="CA5" s="16">
        <f>IF(SUM(BL5:BM5,BO5:BQ5,BS5)-SUM(BN5,BR5)&gt;0,SUM(BL5:BM5,BO5:BQ5,BS5)-SUM(BN5,BR5),"")</f>
        <v>50.699999999999996</v>
      </c>
      <c r="CB5" s="16">
        <f>IF(SUM(BV5,CA5)&gt;0,SUM(BV5,CA5),"")</f>
        <v>101.39999999999999</v>
      </c>
      <c r="CC5" s="27">
        <v>18.7</v>
      </c>
      <c r="CD5" s="27">
        <v>5.6</v>
      </c>
      <c r="CE5" s="27">
        <v>0.2</v>
      </c>
      <c r="CF5" s="27">
        <v>0</v>
      </c>
      <c r="CG5" s="27">
        <v>18.2</v>
      </c>
      <c r="CH5" s="27">
        <v>6</v>
      </c>
      <c r="CI5" s="27">
        <v>0.8</v>
      </c>
      <c r="CJ5" s="27">
        <v>0.3</v>
      </c>
      <c r="CK5" s="27">
        <v>18.7</v>
      </c>
      <c r="CL5" s="27">
        <v>6.4</v>
      </c>
      <c r="CM5" s="27">
        <v>0</v>
      </c>
      <c r="CN5" s="27">
        <v>0</v>
      </c>
      <c r="CO5" s="27">
        <v>18.600000000000001</v>
      </c>
      <c r="CP5" s="27">
        <v>6.4</v>
      </c>
      <c r="CQ5" s="27">
        <v>0</v>
      </c>
      <c r="CR5" s="27">
        <v>0</v>
      </c>
      <c r="CS5" s="27">
        <v>18.7</v>
      </c>
      <c r="CT5" s="27">
        <v>5.2</v>
      </c>
      <c r="CU5" s="27">
        <v>0.2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47.8</v>
      </c>
      <c r="CZ5" s="76">
        <f>IF(SUM(CK5:CL5,CN5)-CM5&gt;0,SUM(CK5:CL5,CN5)-CM5,"")</f>
        <v>25.1</v>
      </c>
      <c r="DA5" s="76">
        <f>IF(SUM(CD5,CH5,CL5)&gt;0,SUM(CD5,CH5,CL5),"")</f>
        <v>18</v>
      </c>
      <c r="DB5" s="76">
        <f>IF(SUM(CY5,CZ5)&gt;0,SUM(CY5,CZ5),"")</f>
        <v>72.900000000000006</v>
      </c>
      <c r="DC5" s="76">
        <f>IF(SUM(CP5,CT5)&gt;0,SUM(CP5,CT5),"")</f>
        <v>11.600000000000001</v>
      </c>
      <c r="DD5" s="76">
        <f>IF(SUM(CO5:CP5,CR5:CT5,CV5)-SUM(CQ5,CU5)&gt;0,SUM(CO5:CP5,CR5:CT5,CV5)-SUM(CQ5,CU5),"")</f>
        <v>48.7</v>
      </c>
      <c r="DE5" s="76">
        <f>IF(SUM(CY5,DD5)&gt;0,SUM(CY5,DD5),"")</f>
        <v>96.5</v>
      </c>
      <c r="DF5" s="87">
        <f>IF(L5&gt;=0.001,IF(MAX(ED5,FF5,GH5,HJ5,IL5,JN5,KP5,LR5,MT5,NV5,OX5,PZ5)-IF(L5="",0,L5)&gt;0.001,MAX(ED5,FF5,GH5,HJ5,IL5,JN5,KP5,LR5,MT5,NV5,OX5,PZ5)-IF(L5="",0,L5),""),"")</f>
        <v>2.8999999999999915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>IF(SUM(FN5,FR5)&gt;0,SUM(FN5,FR5),"")</f>
        <v>14</v>
      </c>
      <c r="GH5" s="76">
        <f>IF(SUM(FM5:FN5,FP5:FR5,FT5)-FO5-FS5&gt;0,SUM(FM5:FN5,FP5:FR5,FT5)-FO5-FS5,"")</f>
        <v>51.399999999999991</v>
      </c>
      <c r="GI5" s="76" t="str">
        <f>IF(SUM(FU5:FV5,FX5)-FW5&gt;0,SUM(FU5:FV5,FX5)-FW5,"")</f>
        <v/>
      </c>
      <c r="GJ5" s="76">
        <f>IF(SUM(FN5,FR5,FV5)&gt;0,SUM(FN5,FR5,FV5),"")</f>
        <v>14</v>
      </c>
      <c r="GK5" s="76">
        <f>IF(SUM(GH5,GI5)&gt;0,SUM(GH5,GI5),"")</f>
        <v>51.399999999999991</v>
      </c>
      <c r="GL5" s="76">
        <f>IF(SUM(FZ5,GD5)&gt;0,SUM(FZ5,GD5),"")</f>
        <v>6</v>
      </c>
      <c r="GM5" s="76">
        <f>IF(SUM(FY5:FZ5,GB5:GD5,GF5)-SUM(GA5,GE5)&gt;0,SUM(FY5:FZ5,GB5:GD5,GF5)-SUM(GA5,GE5),"")</f>
        <v>40.9</v>
      </c>
      <c r="GN5" s="76">
        <f>IF(SUM(GH5,GM5)&gt;0,SUM(GH5,GM5),"")</f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11.600000000000001</v>
      </c>
      <c r="HJ5" s="16">
        <f>IF(SUM(GO5:GP5,GR5:GT5,GV5)-GQ5-GU5&gt;0,SUM(GO5:GP5,GR5:GT5,GV5)-GQ5-GU5,"")</f>
        <v>47.5</v>
      </c>
      <c r="HK5" s="16" t="str">
        <f>IF(SUM(GW5:GX5,GZ5)-GY5&gt;0,SUM(GW5:GX5,GZ5)-GY5,"")</f>
        <v/>
      </c>
      <c r="HL5" s="16">
        <f>IF(SUM(GP5,GT5,GX5)&gt;0,SUM(GP5,GT5,GX5),"")</f>
        <v>11.600000000000001</v>
      </c>
      <c r="HM5" s="16">
        <f>IF(SUM(HJ5,HK5)&gt;0,SUM(HJ5,HK5),"")</f>
        <v>47.5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47.5</v>
      </c>
      <c r="HQ5" s="25">
        <v>18.600000000000001</v>
      </c>
      <c r="HR5" s="25">
        <v>6.4</v>
      </c>
      <c r="HS5" s="25">
        <v>0.2</v>
      </c>
      <c r="HT5" s="25">
        <v>0</v>
      </c>
      <c r="HU5" s="25">
        <v>17.399999999999999</v>
      </c>
      <c r="HV5" s="25">
        <v>2.4</v>
      </c>
      <c r="HW5" s="25">
        <v>0</v>
      </c>
      <c r="HX5" s="25">
        <v>0</v>
      </c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>
        <f>IF(SUM(HR5,HV5)&gt;0,SUM(HR5,HV5),"")</f>
        <v>8.8000000000000007</v>
      </c>
      <c r="IL5" s="76">
        <f>IF(SUM(HQ5:HR5,HT5:HV5,HX5)-HS5-HW5&gt;0,SUM(HQ5:HR5,HT5:HV5,HX5)-HS5-HW5,"")</f>
        <v>44.599999999999994</v>
      </c>
      <c r="IM5" s="76" t="str">
        <f>IF(SUM(HY5:HZ5,IB5)-IA5&gt;0,SUM(HY5:HZ5,IB5)-IA5,"")</f>
        <v/>
      </c>
      <c r="IN5" s="76">
        <f>IF(SUM(HR5,HV5,HZ5)&gt;0,SUM(HR5,HV5,HZ5),"")</f>
        <v>8.8000000000000007</v>
      </c>
      <c r="IO5" s="76">
        <f>IF(SUM(IL5,IM5)&gt;0,SUM(IL5,IM5),"")</f>
        <v>44.599999999999994</v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>
        <f>IF(SUM(IL5,IQ5)&gt;0,SUM(IL5,IQ5),"")</f>
        <v>44.599999999999994</v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18.649999999999999</v>
      </c>
      <c r="QH5" s="42">
        <f>IF($CW5="P",CD5,(CD5+BA5)/2)</f>
        <v>6</v>
      </c>
      <c r="QI5" s="42">
        <f>IF($CW5="P",CE5,(CE5+BB5)/2)</f>
        <v>0.1</v>
      </c>
      <c r="QJ5" s="42">
        <f>IF($CW5="P",CF5,(CF5+BC5)/2)</f>
        <v>0</v>
      </c>
      <c r="QK5" s="42">
        <f>IF($CW5="P",CG5,(CG5+BD5)/2)</f>
        <v>18.399999999999999</v>
      </c>
      <c r="QL5" s="42">
        <f>IF($CW5="P",CH5,(CH5+BE5)/2)</f>
        <v>6.4</v>
      </c>
      <c r="QM5" s="42">
        <f>IF($CW5="P",CI5,(CI5+BF5)/2)</f>
        <v>0.4</v>
      </c>
      <c r="QN5" s="42">
        <f>IF($CW5="P",CJ5,(CJ5+BG5)/2)</f>
        <v>0.3</v>
      </c>
      <c r="QO5" s="42">
        <f>IF($CW5="P",CK5,(CK5+BH5)/2)</f>
        <v>18.549999999999997</v>
      </c>
      <c r="QP5" s="42">
        <f>IF($CW5="P",CL5,(CL5+BI5)/2)</f>
        <v>6.2</v>
      </c>
      <c r="QQ5" s="42">
        <f>IF($CW5="P",CM5,(CM5+BJ5)/2)</f>
        <v>0.1</v>
      </c>
      <c r="QR5" s="42">
        <f>IF($CW5="P",CN5,(CN5+BK5)/2)</f>
        <v>0.15</v>
      </c>
      <c r="QS5" s="42">
        <f>IF($CW5="P",CO5,(CO5+BL5)/2)</f>
        <v>18.600000000000001</v>
      </c>
      <c r="QT5" s="42">
        <f>IF($CW5="P",CP5,(CP5+BM5)/2)</f>
        <v>6.4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18.649999999999999</v>
      </c>
      <c r="QX5" s="42">
        <f>IF($CW5="P",CT5,(CT5+BQ5)/2)</f>
        <v>6</v>
      </c>
      <c r="QY5" s="42">
        <f>IF($CW5="P",CU5,(CU5+BR5)/2)</f>
        <v>0.1</v>
      </c>
      <c r="QZ5" s="42">
        <f>IF($CW5="P",CV5,(CV5+BS5)/2)</f>
        <v>0.15</v>
      </c>
      <c r="RA5" s="51" t="s">
        <v>58</v>
      </c>
      <c r="RB5" s="76">
        <f>IF(SUM(QH5,QL5)&gt;0,SUM(QH5,QL5),"")</f>
        <v>12.4</v>
      </c>
      <c r="RC5" s="76">
        <f>IF(SUM(QG5:QH5,QJ5:QL5,QN5)-QI5-QM5&gt;0,SUM(QG5:QH5,QJ5:QL5,QN5)-QI5-QM5,"")</f>
        <v>49.249999999999993</v>
      </c>
      <c r="RD5" s="76">
        <f>IF(SUM(QO5:QP5,QR5)-QQ5&gt;0,SUM(QO5:QP5,QR5)-QQ5,"")</f>
        <v>24.799999999999994</v>
      </c>
      <c r="RE5" s="76">
        <f>IF(SUM(QH5,QL5,QP5)&gt;0,SUM(QH5,QL5,QP5),"")</f>
        <v>18.600000000000001</v>
      </c>
      <c r="RF5" s="76">
        <f>IF(SUM(RC5,RD5)&gt;0,SUM(RC5,RD5),"")</f>
        <v>74.049999999999983</v>
      </c>
      <c r="RG5" s="76">
        <f>IF(SUM(QT5,QX5)&gt;0,SUM(QT5,QX5),"")</f>
        <v>12.4</v>
      </c>
      <c r="RH5" s="76">
        <f>IF(SUM(QS5:QT5,QV5:QX5,QZ5)-SUM(QU5,QY5)&gt;0,SUM(QS5:QT5,QV5:QX5,QZ5)-SUM(QU5,QY5),"")</f>
        <v>49.699999999999996</v>
      </c>
      <c r="RI5" s="76">
        <f>IF(SUM(RC5,RH5)&gt;0,SUM(RC5,RH5),"")</f>
        <v>98.949999999999989</v>
      </c>
    </row>
    <row r="6" spans="1:477" x14ac:dyDescent="0.2">
      <c r="A6" s="5" cm="1">
        <f t="array" ref="A6">IF(AND(F6="P",G6="P"),SUMPRODUCT((F$4:F$17="P")*(G$4:G$17="P")*(E$4:E$17&gt;E6))+1,IF(G6="P",SUMPRODUCT((F$4:F$17="")*(G$4:G$17="P")*(E$4:E$17&gt;E6))+1+SUMPRODUCT((F$4:F$17="P")*(G$4:G$17="P")),""))</f>
        <v>3</v>
      </c>
      <c r="B6" s="6" t="s">
        <v>88</v>
      </c>
      <c r="C6" s="7" t="s">
        <v>6</v>
      </c>
      <c r="D6" s="18">
        <v>1996</v>
      </c>
      <c r="E6" s="14">
        <f>SUM(J6:T6)+SUM(J6:P6)*0.0000001+SUM(J6)*0.0000000000001</f>
        <v>195.70001466000488</v>
      </c>
      <c r="F6" s="3" t="str">
        <f>IF(OR(AND(AR6&gt;=AY$19,AS6&gt;=AY$23,AR6&lt;&gt;"",AQ6=""),AND(AW6&gt;=AY$19,AX6&gt;=AY$23,AW6&lt;&gt;"",AQ6=""),AND(BU6&gt;=CB$19,BV6&gt;=CB$23,BU6&lt;&gt;"",BT6=""),AND(BZ6&gt;=CB$19,CA6&gt;=CB$23,BZ6&lt;&gt;"",BT6=""),AND(CX6&gt;=DE$19,CY6&gt;=DE$23,CX6&lt;&gt;"",CW6=""),AND(DC6&gt;=DE$19,DD6&gt;=DE$23,DC6&lt;&gt;""),AND(EC6&gt;=EJ$19,ED6&gt;=EJ$23,EC6&lt;&gt;""),AND(EH6&gt;=EJ$19,EI6&gt;=EJ$23,EH6&lt;&gt;""),AND(FE6&gt;=FL$19,FF6&gt;=FL$23,FE6&lt;&gt;""),AND(FJ6&gt;=FL$19,FK6&gt;=FL$23,FJ6&lt;&gt;""),AND(GG6&gt;=GN$19,GH6&gt;=GN$23,GG6&lt;&gt;""),AND(GL6&gt;=GN$19,GM6&gt;=GN$23,GL6&lt;&gt;""),AND(HI6&gt;=HP$19,HJ6&gt;=HP$23,HI6&lt;&gt;""),AND(HN6&gt;=HP$19,HO6&gt;=HP$23,HN6&lt;&gt;""),AND(IK6&gt;=IR$19,IL6&gt;=IR$23,IK6&lt;&gt;""),AND(IP6&gt;=IR$19,IQ6&gt;=IR$23,IP6&lt;&gt;""),AND(JM6&gt;=JT$19,JN6&gt;=JT$23,JM6&lt;&gt;""),AND(JR6&gt;=JT$19,JS6&gt;=JT$23,JR6&lt;&gt;""),AND(KO6&gt;=KV$19,KP6&gt;=KV$23,KO6&lt;&gt;""),AND(KT6&gt;=KV$19,KU6&gt;=KV$23,KT6&lt;&gt;""),AND(LQ6&gt;=LX$19,LR6&gt;=LX$23,LQ6&lt;&gt;""),AND(LV6&gt;=LX$19,LW6&gt;=LX$23,LV6&lt;&gt;""),AND(MS6&gt;=MZ$19,MT6&gt;=MZ$23,MS6&lt;&gt;""),AND(MX6&gt;=MZ$19,MY6&gt;=MZ$23,MX6&lt;&gt;""),AND(NU6&gt;=OB$19,NV6&gt;=OB$23,NU6&lt;&gt;""),AND(NZ6&gt;=OB$19,OA6&gt;=OB$23,NZ6&lt;&gt;""),AND(OW6&gt;=PD$19,OX6&gt;=PD$23,OW6&lt;&gt;""),AND(PB6&gt;=PD$19,PC6&gt;=PD$23,PB6&lt;&gt;""),AND(PY6&gt;=QF$19,PZ6&gt;=QF$23,PY6&lt;&gt;""),AND(QD6&gt;=QF$19,QE6&gt;=QF$23,QD6&lt;&gt;"")),"P","")</f>
        <v>P</v>
      </c>
      <c r="G6" s="3" t="str">
        <f>IF(OR(AND(AS6&gt;=AY$23,AS6&lt;&gt;"",AQ6=""),AND(AX6&gt;=AY$23,AX6&lt;&gt;"",AQ6=""),AND(BV6&gt;=CB$23,BV6&lt;&gt;"",BT6=""),AND(CA6&gt;=CB$23,CA6&lt;&gt;"",BT6=""),AND(CY6&gt;=DE$23,CY6&lt;&gt;"",CW6=""),AND(DD6&gt;=DE$23,DD6&lt;&gt;"",CW6=""),AND(ED6&gt;=EJ$23,ED6&lt;&gt;""),AND(EI6&gt;=EJ$23,EI6&lt;&gt;""),AND(FF6&gt;=FL$23,FF6&lt;&gt;""),AND(FK6&gt;=FL$23,FK6&lt;&gt;""),AND(GH6&gt;=GN$23,GH6&lt;&gt;""),AND(GM6&gt;=GN$23,GM6&lt;&gt;""),AND(HJ6&gt;=HP$23,HJ6&lt;&gt;""),AND(HO6&gt;=HP$23,HO6&lt;&gt;""),AND(IL6&gt;=IR$23,IL6&lt;&gt;""),AND(IQ6&gt;=IR$23,IQ6&lt;&gt;""),AND(JN6&gt;=JT$23,JN6&lt;&gt;""),AND(JS6&gt;=JT$23,JS6&lt;&gt;""),AND(KP6&gt;=KV$23,KP6&lt;&gt;""),AND(KU6&gt;=KV$23,KU6&lt;&gt;""),AND(LR6&gt;=LX$23,LR6&lt;&gt;""),AND(LW6&gt;=LX$23,LW6&lt;&gt;""),AND(MT6&gt;=MZ$23,MT6&lt;&gt;""),AND(MY6&gt;=MZ$23,MY6&lt;&gt;""),AND(NV6&gt;=OB$23,NV6&lt;&gt;""),AND(OA6&gt;=OB$23,OA6&lt;&gt;""),AND(OX6&gt;=PD$23,OX6&lt;&gt;""),AND(PC6&gt;=PD$23,PC6&lt;&gt;""),AND(PZ6&gt;=QF$23,PZ6&lt;&gt;""),AND(QE6&gt;=QF$23,QE6&lt;&gt;"")),"P","")</f>
        <v>P</v>
      </c>
      <c r="H6" s="70" t="str">
        <f>IF(AND(G6="P",F6=""),"No DD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Merit",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Excellence",IF(I6="P","Worlds Team",IF(F6="P","National Team","")))))</f>
        <v>Worlds Team</v>
      </c>
      <c r="I6" s="3" t="str">
        <f>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48.7</v>
      </c>
      <c r="M6" s="13" t="str">
        <f>IF(L6=0,"",IF(L6=CY6,$CC$1,IF(L6=BV6,$AZ$1,IF(L6=AS6,$W$1,""))))</f>
        <v>2022 Nationals</v>
      </c>
      <c r="N6" s="13">
        <f>IF(COUNT(AT6,BW6,CZ6)&gt;0,LARGE((AT6,BW6,CZ6),1),0)</f>
        <v>25.299999999999997</v>
      </c>
      <c r="O6" s="13" t="str">
        <f>IF(N6=0,"",IF(N6=CZ6,$CC$1,IF(N6=BW6,$AZ$1,IF(N6=AT6,$W$1,""))))</f>
        <v>2022 3rd Domestic Trial</v>
      </c>
      <c r="P6" s="13">
        <f>IF(COUNT(AT6,BW6,CZ6)&gt;1,LARGE((AT6,BW6,CZ6),2),0)</f>
        <v>23.6</v>
      </c>
      <c r="Q6" s="13" t="str">
        <f>IF(P6=0,"",IF(P6=CZ6,$CC$1,IF(P6=BW6,$AZ$1,IF(P6=AT6,$W$1,""))))</f>
        <v>2022 Elite Canada</v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>
        <v>18.899999999999999</v>
      </c>
      <c r="X6" s="27">
        <v>6.4</v>
      </c>
      <c r="Y6" s="27">
        <v>0.2</v>
      </c>
      <c r="Z6" s="27">
        <v>0</v>
      </c>
      <c r="AA6" s="27">
        <v>18.899999999999999</v>
      </c>
      <c r="AB6" s="27">
        <v>5.2</v>
      </c>
      <c r="AC6" s="27">
        <v>0.2</v>
      </c>
      <c r="AD6" s="27">
        <v>0</v>
      </c>
      <c r="AE6" s="27">
        <v>18.8</v>
      </c>
      <c r="AF6" s="27">
        <v>4.8</v>
      </c>
      <c r="AG6" s="27">
        <v>0</v>
      </c>
      <c r="AH6" s="27">
        <v>0</v>
      </c>
      <c r="AI6" s="27">
        <v>18.7</v>
      </c>
      <c r="AJ6" s="27">
        <v>6.4</v>
      </c>
      <c r="AK6" s="27">
        <v>0</v>
      </c>
      <c r="AL6" s="27">
        <v>0</v>
      </c>
      <c r="AM6" s="27">
        <v>18.8</v>
      </c>
      <c r="AN6" s="27">
        <v>5.2</v>
      </c>
      <c r="AO6" s="27">
        <v>0</v>
      </c>
      <c r="AP6" s="27">
        <v>0</v>
      </c>
      <c r="AQ6" s="51"/>
      <c r="AR6" s="76">
        <f>IF(SUM(X6,AB6)&gt;0,SUM(X6,AB6),"")</f>
        <v>11.600000000000001</v>
      </c>
      <c r="AS6" s="76">
        <f>IF(SUM(W6:X6,Z6:AB6,AD6)-Y6-AC6&gt;0,SUM(W6:X6,Z6:AB6,AD6)-Y6-AC6,"")</f>
        <v>48.999999999999993</v>
      </c>
      <c r="AT6" s="76">
        <f>IF(SUM(AE6:AF6,AH6)-AG6&gt;0,SUM(AE6:AF6,AH6)-AG6,"")</f>
        <v>23.6</v>
      </c>
      <c r="AU6" s="76">
        <f>IF(SUM(X6,AB6,AF6)&gt;0,SUM(X6,AB6,AF6),"")</f>
        <v>16.400000000000002</v>
      </c>
      <c r="AV6" s="76">
        <f>IF(SUM(AS6,AT6)&gt;0,SUM(AS6,AT6),"")</f>
        <v>72.599999999999994</v>
      </c>
      <c r="AW6" s="76">
        <f>IF(SUM(AJ6,AN6)&gt;0,SUM(AJ6,AN6),"")</f>
        <v>11.600000000000001</v>
      </c>
      <c r="AX6" s="76">
        <f>IF(SUM(AI6:AJ6,AL6:AN6,AP6)-SUM(AK6,AO6)&gt;0,SUM(AI6:AJ6,AL6:AN6,AP6)-SUM(AK6,AO6),"")</f>
        <v>49.100000000000009</v>
      </c>
      <c r="AY6" s="76">
        <f>IF(SUM(AS6,AX6)&gt;0,SUM(AS6,AX6),"")</f>
        <v>98.1</v>
      </c>
      <c r="AZ6" s="26">
        <v>18.2</v>
      </c>
      <c r="BA6" s="26">
        <v>6.4</v>
      </c>
      <c r="BB6" s="26">
        <v>0</v>
      </c>
      <c r="BC6" s="26">
        <v>0</v>
      </c>
      <c r="BD6" s="26">
        <v>18.899999999999999</v>
      </c>
      <c r="BE6" s="26">
        <v>5.2</v>
      </c>
      <c r="BF6" s="26">
        <v>0</v>
      </c>
      <c r="BG6" s="26">
        <v>0</v>
      </c>
      <c r="BH6" s="26">
        <v>17.899999999999999</v>
      </c>
      <c r="BI6" s="26">
        <v>5.2</v>
      </c>
      <c r="BJ6" s="26">
        <v>0.8</v>
      </c>
      <c r="BK6" s="26">
        <v>0.3</v>
      </c>
      <c r="BL6" s="26">
        <v>18.3</v>
      </c>
      <c r="BM6" s="26">
        <v>5.6</v>
      </c>
      <c r="BN6" s="26">
        <v>0</v>
      </c>
      <c r="BO6" s="26">
        <v>0</v>
      </c>
      <c r="BP6" s="26">
        <v>18.600000000000001</v>
      </c>
      <c r="BQ6" s="26">
        <v>6</v>
      </c>
      <c r="BR6" s="26">
        <v>0.8</v>
      </c>
      <c r="BS6" s="26">
        <v>0</v>
      </c>
      <c r="BT6" s="52"/>
      <c r="BU6" s="16">
        <f>IF(SUM(BA6,BE6)&gt;0,SUM(BA6,BE6),"")</f>
        <v>11.600000000000001</v>
      </c>
      <c r="BV6" s="16">
        <f>IF(SUM(AZ6:BA6,BC6:BE6,BG6)-BB6-BF6&gt;0,SUM(AZ6:BA6,BC6:BE6,BG6)-BB6-BF6,"")</f>
        <v>48.7</v>
      </c>
      <c r="BW6" s="16">
        <f>IF(SUM(BH6:BI6,BK6)-BJ6&gt;0,SUM(BH6:BI6,BK6)-BJ6,"")</f>
        <v>22.599999999999998</v>
      </c>
      <c r="BX6" s="16">
        <f>IF(SUM(BA6,BE6,BI6)&gt;0,SUM(BA6,BE6,BI6),"")</f>
        <v>16.8</v>
      </c>
      <c r="BY6" s="16">
        <f>IF(SUM(BV6,BW6)&gt;0,SUM(BV6,BW6),"")</f>
        <v>71.3</v>
      </c>
      <c r="BZ6" s="16">
        <f>IF(SUM(BM6,BQ6)&gt;0,SUM(BM6,BQ6),"")</f>
        <v>11.6</v>
      </c>
      <c r="CA6" s="16">
        <f>IF(SUM(BL6:BM6,BO6:BQ6,BS6)-SUM(BN6,BR6)&gt;0,SUM(BL6:BM6,BO6:BQ6,BS6)-SUM(BN6,BR6),"")</f>
        <v>47.7</v>
      </c>
      <c r="CB6" s="16">
        <f>IF(SUM(BV6,CA6)&gt;0,SUM(BV6,CA6),"")</f>
        <v>96.4</v>
      </c>
      <c r="CC6" s="27">
        <v>19.02</v>
      </c>
      <c r="CD6" s="27">
        <v>5.2</v>
      </c>
      <c r="CE6" s="27">
        <v>0</v>
      </c>
      <c r="CF6" s="27">
        <v>0</v>
      </c>
      <c r="CG6" s="27">
        <v>18.2</v>
      </c>
      <c r="CH6" s="27">
        <v>5.2</v>
      </c>
      <c r="CI6" s="27">
        <v>0</v>
      </c>
      <c r="CJ6" s="27">
        <v>0.3</v>
      </c>
      <c r="CK6" s="27">
        <v>18.899999999999999</v>
      </c>
      <c r="CL6" s="27">
        <v>6.4</v>
      </c>
      <c r="CM6" s="27">
        <v>0</v>
      </c>
      <c r="CN6" s="27">
        <v>0</v>
      </c>
      <c r="CO6" s="27">
        <v>19.2</v>
      </c>
      <c r="CP6" s="27">
        <v>5.2</v>
      </c>
      <c r="CQ6" s="27">
        <v>0</v>
      </c>
      <c r="CR6" s="27">
        <v>0</v>
      </c>
      <c r="CS6" s="27">
        <v>17.600000000000001</v>
      </c>
      <c r="CT6" s="27">
        <v>2.8</v>
      </c>
      <c r="CU6" s="27">
        <v>0</v>
      </c>
      <c r="CV6" s="27">
        <v>0</v>
      </c>
      <c r="CW6" s="51"/>
      <c r="CX6" s="76">
        <f>IF(SUM(CD6,CH6)&gt;0,SUM(CD6,CH6),"")</f>
        <v>10.4</v>
      </c>
      <c r="CY6" s="76">
        <f>IF(SUM(CC6:CD6,CF6:CH6,CJ6)-CE6-CI6&gt;0,SUM(CC6:CD6,CF6:CH6,CJ6)-CE6-CI6,"")</f>
        <v>47.92</v>
      </c>
      <c r="CZ6" s="76">
        <f>IF(SUM(CK6:CL6,CN6)-CM6&gt;0,SUM(CK6:CL6,CN6)-CM6,"")</f>
        <v>25.299999999999997</v>
      </c>
      <c r="DA6" s="76">
        <f>IF(SUM(CD6,CH6,CL6)&gt;0,SUM(CD6,CH6,CL6),"")</f>
        <v>16.8</v>
      </c>
      <c r="DB6" s="76">
        <f>IF(SUM(CY6,CZ6)&gt;0,SUM(CY6,CZ6),"")</f>
        <v>73.22</v>
      </c>
      <c r="DC6" s="76">
        <f>IF(SUM(CP6,CT6)&gt;0,SUM(CP6,CT6),"")</f>
        <v>8</v>
      </c>
      <c r="DD6" s="76">
        <f>IF(SUM(CO6:CP6,CR6:CT6,CV6)-SUM(CQ6,CU6)&gt;0,SUM(CO6:CP6,CR6:CT6,CV6)-SUM(CQ6,CU6),"")</f>
        <v>44.8</v>
      </c>
      <c r="DE6" s="76">
        <f>IF(SUM(CY6,DD6)&gt;0,SUM(CY6,DD6),"")</f>
        <v>92.72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>
        <v>16.3</v>
      </c>
      <c r="FN6" s="25">
        <v>5.2</v>
      </c>
      <c r="FO6" s="25">
        <v>0.6</v>
      </c>
      <c r="FP6" s="25">
        <v>0.3</v>
      </c>
      <c r="FQ6" s="25">
        <v>18.5</v>
      </c>
      <c r="FR6" s="25">
        <v>5.6</v>
      </c>
      <c r="FS6" s="25">
        <v>0.2</v>
      </c>
      <c r="FT6" s="25">
        <v>0</v>
      </c>
      <c r="FU6" s="25"/>
      <c r="FV6" s="25"/>
      <c r="FW6" s="25"/>
      <c r="FX6" s="25"/>
      <c r="FY6" s="25">
        <v>19</v>
      </c>
      <c r="FZ6" s="25">
        <v>6.4</v>
      </c>
      <c r="GA6" s="25">
        <v>0</v>
      </c>
      <c r="GB6" s="25">
        <v>0</v>
      </c>
      <c r="GC6" s="25">
        <v>18.8</v>
      </c>
      <c r="GD6" s="25">
        <v>5.2</v>
      </c>
      <c r="GE6" s="25">
        <v>0.6</v>
      </c>
      <c r="GF6" s="25">
        <v>0</v>
      </c>
      <c r="GG6" s="76">
        <f>IF(SUM(FN6,FR6)&gt;0,SUM(FN6,FR6),"")</f>
        <v>10.8</v>
      </c>
      <c r="GH6" s="76">
        <f>IF(SUM(FM6:FN6,FP6:FR6,FT6)-FO6-FS6&gt;0,SUM(FM6:FN6,FP6:FR6,FT6)-FO6-FS6,"")</f>
        <v>45.099999999999994</v>
      </c>
      <c r="GI6" s="76" t="str">
        <f>IF(SUM(FU6:FV6,FX6)-FW6&gt;0,SUM(FU6:FV6,FX6)-FW6,"")</f>
        <v/>
      </c>
      <c r="GJ6" s="76">
        <f>IF(SUM(FN6,FR6,FV6)&gt;0,SUM(FN6,FR6,FV6),"")</f>
        <v>10.8</v>
      </c>
      <c r="GK6" s="76">
        <f>IF(SUM(GH6,GI6)&gt;0,SUM(GH6,GI6),"")</f>
        <v>45.099999999999994</v>
      </c>
      <c r="GL6" s="76">
        <f>IF(SUM(FZ6,GD6)&gt;0,SUM(FZ6,GD6),"")</f>
        <v>11.600000000000001</v>
      </c>
      <c r="GM6" s="76">
        <f>IF(SUM(FY6:FZ6,GB6:GD6,GF6)-SUM(GA6,GE6)&gt;0,SUM(FY6:FZ6,GB6:GD6,GF6)-SUM(GA6,GE6),"")</f>
        <v>48.800000000000004</v>
      </c>
      <c r="GN6" s="76">
        <f>IF(SUM(GH6,GM6)&gt;0,SUM(GH6,GM6),"")</f>
        <v>93.9</v>
      </c>
      <c r="GO6" s="26">
        <v>18.2</v>
      </c>
      <c r="GP6" s="26">
        <v>6.4</v>
      </c>
      <c r="GQ6" s="26">
        <v>0.2</v>
      </c>
      <c r="GR6" s="26">
        <v>0</v>
      </c>
      <c r="GS6" s="26">
        <v>19</v>
      </c>
      <c r="GT6" s="26">
        <v>5.2</v>
      </c>
      <c r="GU6" s="26">
        <v>0</v>
      </c>
      <c r="GV6" s="26">
        <v>0</v>
      </c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>
        <f>IF(SUM(GP6,GT6)&gt;0,SUM(GP6,GT6),"")</f>
        <v>11.600000000000001</v>
      </c>
      <c r="HJ6" s="16">
        <f>IF(SUM(GO6:GP6,GR6:GT6,GV6)-GQ6-GU6&gt;0,SUM(GO6:GP6,GR6:GT6,GV6)-GQ6-GU6,"")</f>
        <v>48.6</v>
      </c>
      <c r="HK6" s="16" t="str">
        <f>IF(SUM(GW6:GX6,GZ6)-GY6&gt;0,SUM(GW6:GX6,GZ6)-GY6,"")</f>
        <v/>
      </c>
      <c r="HL6" s="16">
        <f>IF(SUM(GP6,GT6,GX6)&gt;0,SUM(GP6,GT6,GX6),"")</f>
        <v>11.600000000000001</v>
      </c>
      <c r="HM6" s="16">
        <f>IF(SUM(HJ6,HK6)&gt;0,SUM(HJ6,HK6),"")</f>
        <v>48.6</v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>
        <f>IF(SUM(HJ6,HO6)&gt;0,SUM(HJ6,HO6),"")</f>
        <v>48.6</v>
      </c>
      <c r="HQ6" s="25">
        <v>17</v>
      </c>
      <c r="HR6" s="25">
        <v>3.2</v>
      </c>
      <c r="HS6" s="25">
        <v>0</v>
      </c>
      <c r="HT6" s="25">
        <v>0</v>
      </c>
      <c r="HU6" s="25">
        <v>18</v>
      </c>
      <c r="HV6" s="25">
        <v>5.6</v>
      </c>
      <c r="HW6" s="25">
        <v>0.2</v>
      </c>
      <c r="HX6" s="25">
        <v>0</v>
      </c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>
        <f>IF(SUM(HR6,HV6)&gt;0,SUM(HR6,HV6),"")</f>
        <v>8.8000000000000007</v>
      </c>
      <c r="IL6" s="76">
        <f>IF(SUM(HQ6:HR6,HT6:HV6,HX6)-HS6-HW6&gt;0,SUM(HQ6:HR6,HT6:HV6,HX6)-HS6-HW6,"")</f>
        <v>43.6</v>
      </c>
      <c r="IM6" s="76" t="str">
        <f>IF(SUM(HY6:HZ6,IB6)-IA6&gt;0,SUM(HY6:HZ6,IB6)-IA6,"")</f>
        <v/>
      </c>
      <c r="IN6" s="76">
        <f>IF(SUM(HR6,HV6,HZ6)&gt;0,SUM(HR6,HV6,HZ6),"")</f>
        <v>8.8000000000000007</v>
      </c>
      <c r="IO6" s="76">
        <f>IF(SUM(IL6,IM6)&gt;0,SUM(IL6,IM6),"")</f>
        <v>43.6</v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>
        <f>IF(SUM(IL6,IQ6)&gt;0,SUM(IL6,IQ6),"")</f>
        <v>43.6</v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18.61</v>
      </c>
      <c r="QH6" s="42">
        <f>IF($CW6="P",CD6,(CD6+BA6)/2)</f>
        <v>5.8000000000000007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18.549999999999997</v>
      </c>
      <c r="QL6" s="42">
        <f>IF($CW6="P",CH6,(CH6+BE6)/2)</f>
        <v>5.2</v>
      </c>
      <c r="QM6" s="42">
        <f>IF($CW6="P",CI6,(CI6+BF6)/2)</f>
        <v>0</v>
      </c>
      <c r="QN6" s="42">
        <f>IF($CW6="P",CJ6,(CJ6+BG6)/2)</f>
        <v>0.15</v>
      </c>
      <c r="QO6" s="42">
        <f>IF($CW6="P",CK6,(CK6+BH6)/2)</f>
        <v>18.399999999999999</v>
      </c>
      <c r="QP6" s="42">
        <f>IF($CW6="P",CL6,(CL6+BI6)/2)</f>
        <v>5.8000000000000007</v>
      </c>
      <c r="QQ6" s="42">
        <f>IF($CW6="P",CM6,(CM6+BJ6)/2)</f>
        <v>0.4</v>
      </c>
      <c r="QR6" s="42">
        <f>IF($CW6="P",CN6,(CN6+BK6)/2)</f>
        <v>0.15</v>
      </c>
      <c r="QS6" s="42">
        <f>IF($CW6="P",CO6,(CO6+BL6)/2)</f>
        <v>18.75</v>
      </c>
      <c r="QT6" s="42">
        <f>IF($CW6="P",CP6,(CP6+BM6)/2)</f>
        <v>5.4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18.100000000000001</v>
      </c>
      <c r="QX6" s="42">
        <f>IF($CW6="P",CT6,(CT6+BQ6)/2)</f>
        <v>4.4000000000000004</v>
      </c>
      <c r="QY6" s="42">
        <f>IF($CW6="P",CU6,(CU6+BR6)/2)</f>
        <v>0.4</v>
      </c>
      <c r="QZ6" s="42">
        <f>IF($CW6="P",CV6,(CV6+BS6)/2)</f>
        <v>0</v>
      </c>
      <c r="RA6" s="51" t="s">
        <v>58</v>
      </c>
      <c r="RB6" s="76">
        <f>IF(SUM(QH6,QL6)&gt;0,SUM(QH6,QL6),"")</f>
        <v>11</v>
      </c>
      <c r="RC6" s="76">
        <f>IF(SUM(QG6:QH6,QJ6:QL6,QN6)-QI6-QM6&gt;0,SUM(QG6:QH6,QJ6:QL6,QN6)-QI6-QM6,"")</f>
        <v>48.309999999999995</v>
      </c>
      <c r="RD6" s="76">
        <f>IF(SUM(QO6:QP6,QR6)-QQ6&gt;0,SUM(QO6:QP6,QR6)-QQ6,"")</f>
        <v>23.95</v>
      </c>
      <c r="RE6" s="76">
        <f>IF(SUM(QH6,QL6,QP6)&gt;0,SUM(QH6,QL6,QP6),"")</f>
        <v>16.8</v>
      </c>
      <c r="RF6" s="76">
        <f>IF(SUM(RC6,RD6)&gt;0,SUM(RC6,RD6),"")</f>
        <v>72.259999999999991</v>
      </c>
      <c r="RG6" s="76">
        <f>IF(SUM(QT6,QX6)&gt;0,SUM(QT6,QX6),"")</f>
        <v>9.8000000000000007</v>
      </c>
      <c r="RH6" s="76">
        <f>IF(SUM(QS6:QT6,QV6:QX6,QZ6)-SUM(QU6,QY6)&gt;0,SUM(QS6:QT6,QV6:QX6,QZ6)-SUM(QU6,QY6),"")</f>
        <v>46.25</v>
      </c>
      <c r="RI6" s="76">
        <f>IF(SUM(RC6,RH6)&gt;0,SUM(RC6,RH6),"")</f>
        <v>94.56</v>
      </c>
    </row>
    <row r="7" spans="1:477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6" t="s">
        <v>87</v>
      </c>
      <c r="C7" s="7" t="s">
        <v>5</v>
      </c>
      <c r="D7" s="18">
        <v>2003</v>
      </c>
      <c r="E7" s="14">
        <f>SUM(J7:T7)+SUM(J7:P7)*0.0000001+SUM(J7)*0.0000000000001</f>
        <v>195.28001443000494</v>
      </c>
      <c r="F7" s="3" t="str">
        <f>IF(OR(AND(AR7&gt;=AY$19,AS7&gt;=AY$23,AR7&lt;&gt;"",AQ7=""),AND(AW7&gt;=AY$19,AX7&gt;=AY$23,AW7&lt;&gt;"",AQ7=""),AND(BU7&gt;=CB$19,BV7&gt;=CB$23,BU7&lt;&gt;"",BT7=""),AND(BZ7&gt;=CB$19,CA7&gt;=CB$23,BZ7&lt;&gt;"",BT7=""),AND(CX7&gt;=DE$19,CY7&gt;=DE$23,CX7&lt;&gt;"",CW7=""),AND(DC7&gt;=DE$19,DD7&gt;=DE$23,DC7&lt;&gt;""),AND(EC7&gt;=EJ$19,ED7&gt;=EJ$23,EC7&lt;&gt;""),AND(EH7&gt;=EJ$19,EI7&gt;=EJ$23,EH7&lt;&gt;""),AND(FE7&gt;=FL$19,FF7&gt;=FL$23,FE7&lt;&gt;""),AND(FJ7&gt;=FL$19,FK7&gt;=FL$23,FJ7&lt;&gt;""),AND(GG7&gt;=GN$19,GH7&gt;=GN$23,GG7&lt;&gt;""),AND(GL7&gt;=GN$19,GM7&gt;=GN$23,GL7&lt;&gt;""),AND(HI7&gt;=HP$19,HJ7&gt;=HP$23,HI7&lt;&gt;""),AND(HN7&gt;=HP$19,HO7&gt;=HP$23,HN7&lt;&gt;""),AND(IK7&gt;=IR$19,IL7&gt;=IR$23,IK7&lt;&gt;""),AND(IP7&gt;=IR$19,IQ7&gt;=IR$23,IP7&lt;&gt;""),AND(JM7&gt;=JT$19,JN7&gt;=JT$23,JM7&lt;&gt;""),AND(JR7&gt;=JT$19,JS7&gt;=JT$23,JR7&lt;&gt;""),AND(KO7&gt;=KV$19,KP7&gt;=KV$23,KO7&lt;&gt;""),AND(KT7&gt;=KV$19,KU7&gt;=KV$23,KT7&lt;&gt;""),AND(LQ7&gt;=LX$19,LR7&gt;=LX$23,LQ7&lt;&gt;""),AND(LV7&gt;=LX$19,LW7&gt;=LX$23,LV7&lt;&gt;""),AND(MS7&gt;=MZ$19,MT7&gt;=MZ$23,MS7&lt;&gt;""),AND(MX7&gt;=MZ$19,MY7&gt;=MZ$23,MX7&lt;&gt;""),AND(NU7&gt;=OB$19,NV7&gt;=OB$23,NU7&lt;&gt;""),AND(NZ7&gt;=OB$19,OA7&gt;=OB$23,NZ7&lt;&gt;""),AND(OW7&gt;=PD$19,OX7&gt;=PD$23,OW7&lt;&gt;""),AND(PB7&gt;=PD$19,PC7&gt;=PD$23,PB7&lt;&gt;""),AND(PY7&gt;=QF$19,PZ7&gt;=QF$23,PY7&lt;&gt;""),AND(QD7&gt;=QF$19,QE7&gt;=QF$23,QD7&lt;&gt;"")),"P","")</f>
        <v>P</v>
      </c>
      <c r="G7" s="3" t="str">
        <f>IF(OR(AND(AS7&gt;=AY$23,AS7&lt;&gt;"",AQ7=""),AND(AX7&gt;=AY$23,AX7&lt;&gt;"",AQ7=""),AND(BV7&gt;=CB$23,BV7&lt;&gt;"",BT7=""),AND(CA7&gt;=CB$23,CA7&lt;&gt;"",BT7=""),AND(CY7&gt;=DE$23,CY7&lt;&gt;"",CW7=""),AND(DD7&gt;=DE$23,DD7&lt;&gt;"",CW7=""),AND(ED7&gt;=EJ$23,ED7&lt;&gt;""),AND(EI7&gt;=EJ$23,EI7&lt;&gt;""),AND(FF7&gt;=FL$23,FF7&lt;&gt;""),AND(FK7&gt;=FL$23,FK7&lt;&gt;""),AND(GH7&gt;=GN$23,GH7&lt;&gt;""),AND(GM7&gt;=GN$23,GM7&lt;&gt;""),AND(HJ7&gt;=HP$23,HJ7&lt;&gt;""),AND(HO7&gt;=HP$23,HO7&lt;&gt;""),AND(IL7&gt;=IR$23,IL7&lt;&gt;""),AND(IQ7&gt;=IR$23,IQ7&lt;&gt;""),AND(JN7&gt;=JT$23,JN7&lt;&gt;""),AND(JS7&gt;=JT$23,JS7&lt;&gt;""),AND(KP7&gt;=KV$23,KP7&lt;&gt;""),AND(KU7&gt;=KV$23,KU7&lt;&gt;""),AND(LR7&gt;=LX$23,LR7&lt;&gt;""),AND(LW7&gt;=LX$23,LW7&lt;&gt;""),AND(MT7&gt;=MZ$23,MT7&lt;&gt;""),AND(MY7&gt;=MZ$23,MY7&lt;&gt;""),AND(NV7&gt;=OB$23,NV7&lt;&gt;""),AND(OA7&gt;=OB$23,OA7&lt;&gt;""),AND(OX7&gt;=PD$23,OX7&lt;&gt;""),AND(PC7&gt;=PD$23,PC7&lt;&gt;""),AND(PZ7&gt;=QF$23,PZ7&lt;&gt;""),AND(QE7&gt;=QF$23,QE7&lt;&gt;"")),"P","")</f>
        <v>P</v>
      </c>
      <c r="H7" s="70" t="str">
        <f>IF(AND(G7="P",F7=""),"No DD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Merit",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Excellence",IF(I7="P","Worlds Team",IF(F7="P","National Team","")))))</f>
        <v>Worlds Team</v>
      </c>
      <c r="I7" s="3" t="str">
        <f>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P","")</f>
        <v>P</v>
      </c>
      <c r="J7" s="13">
        <f>IF(COUNT(AS7,BV7,CY7)&gt;0,LARGE((AS7,BV7,CY7),1),0)</f>
        <v>49.2</v>
      </c>
      <c r="K7" s="13" t="str">
        <f>IF(J7=0,"",IF(J7=CY7,$CC$1,IF(J7=BV7,$AZ$1,IF(J7=AS7,$W$1,""))))</f>
        <v>2022 Elite Canada</v>
      </c>
      <c r="L7" s="13">
        <f>IF(COUNT(AS7,BV7,CY7)&gt;1,LARGE((AS7,BV7,CY7),2),0)</f>
        <v>47.599999999999994</v>
      </c>
      <c r="M7" s="13" t="str">
        <f>IF(L7=0,"",IF(L7=CY7,$CC$1,IF(L7=BV7,$AZ$1,IF(L7=AS7,$W$1,""))))</f>
        <v>2022 3rd Domestic Trial</v>
      </c>
      <c r="N7" s="13">
        <f>IF(COUNT(AT7,BW7,CZ7)&gt;0,LARGE((AT7,BW7,CZ7),1),0)</f>
        <v>24</v>
      </c>
      <c r="O7" s="13" t="str">
        <f>IF(N7=0,"",IF(N7=CZ7,$CC$1,IF(N7=BW7,$AZ$1,IF(N7=AT7,$W$1,""))))</f>
        <v>2022 Nationals</v>
      </c>
      <c r="P7" s="13">
        <f>IF(COUNT(AT7,BW7,CZ7)&gt;1,LARGE((AT7,BW7,CZ7),2),0)</f>
        <v>23.5</v>
      </c>
      <c r="Q7" s="13" t="str">
        <f>IF(P7=0,"",IF(P7=CZ7,$CC$1,IF(P7=BW7,$AZ$1,IF(P7=AT7,$W$1,""))))</f>
        <v>2022 3rd Domestic Trial</v>
      </c>
      <c r="R7" s="13">
        <f>IF(MAX(AX7,CA7,DD7)&gt;0,MAX(AX7,CA7,DD7),0)</f>
        <v>48.78</v>
      </c>
      <c r="S7" s="13" t="str">
        <f>IF(R7=0,"",IF(R7=DD7,$CC$1,IF(R7=CA7,$AZ$1,IF(R7=AX7,$W$1,""))))</f>
        <v>2022 3rd Domestic Trial</v>
      </c>
      <c r="T7" s="13">
        <f>IF(MAX(DF7:DH7)&gt;0,MAX(DF7:DH7),"")</f>
        <v>2.2000000000000028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19</v>
      </c>
      <c r="X7" s="27">
        <v>5.6</v>
      </c>
      <c r="Y7" s="27">
        <v>0</v>
      </c>
      <c r="Z7" s="27">
        <v>0</v>
      </c>
      <c r="AA7" s="27">
        <v>18.600000000000001</v>
      </c>
      <c r="AB7" s="27">
        <v>6</v>
      </c>
      <c r="AC7" s="27">
        <v>0</v>
      </c>
      <c r="AD7" s="27">
        <v>0</v>
      </c>
      <c r="AE7" s="27">
        <v>18.399999999999999</v>
      </c>
      <c r="AF7" s="27">
        <v>5.2</v>
      </c>
      <c r="AG7" s="27">
        <v>0.6</v>
      </c>
      <c r="AH7" s="27">
        <v>0</v>
      </c>
      <c r="AI7" s="27">
        <v>18.600000000000001</v>
      </c>
      <c r="AJ7" s="27">
        <v>5.6</v>
      </c>
      <c r="AK7" s="27">
        <v>0</v>
      </c>
      <c r="AL7" s="27">
        <v>0</v>
      </c>
      <c r="AM7" s="27">
        <v>18.600000000000001</v>
      </c>
      <c r="AN7" s="27">
        <v>6</v>
      </c>
      <c r="AO7" s="27">
        <v>0.8</v>
      </c>
      <c r="AP7" s="27">
        <v>0</v>
      </c>
      <c r="AQ7" s="51"/>
      <c r="AR7" s="76">
        <f>IF(SUM(X7,AB7)&gt;0,SUM(X7,AB7),"")</f>
        <v>11.6</v>
      </c>
      <c r="AS7" s="76">
        <f>IF(SUM(W7:X7,Z7:AB7,AD7)-Y7-AC7&gt;0,SUM(W7:X7,Z7:AB7,AD7)-Y7-AC7,"")</f>
        <v>49.2</v>
      </c>
      <c r="AT7" s="76">
        <f>IF(SUM(AE7:AF7,AH7)-AG7&gt;0,SUM(AE7:AF7,AH7)-AG7,"")</f>
        <v>22.999999999999996</v>
      </c>
      <c r="AU7" s="76">
        <f>IF(SUM(X7,AB7,AF7)&gt;0,SUM(X7,AB7,AF7),"")</f>
        <v>16.8</v>
      </c>
      <c r="AV7" s="76">
        <f>IF(SUM(AS7,AT7)&gt;0,SUM(AS7,AT7),"")</f>
        <v>72.2</v>
      </c>
      <c r="AW7" s="76">
        <f>IF(SUM(AJ7,AN7)&gt;0,SUM(AJ7,AN7),"")</f>
        <v>11.6</v>
      </c>
      <c r="AX7" s="76">
        <f>IF(SUM(AI7:AJ7,AL7:AN7,AP7)-SUM(AK7,AO7)&gt;0,SUM(AI7:AJ7,AL7:AN7,AP7)-SUM(AK7,AO7),"")</f>
        <v>48.000000000000007</v>
      </c>
      <c r="AY7" s="76">
        <f>IF(SUM(AS7,AX7)&gt;0,SUM(AS7,AX7),"")</f>
        <v>97.200000000000017</v>
      </c>
      <c r="AZ7" s="26">
        <v>18.100000000000001</v>
      </c>
      <c r="BA7" s="26">
        <v>2.9</v>
      </c>
      <c r="BB7" s="26">
        <v>2.1</v>
      </c>
      <c r="BC7" s="26">
        <v>0</v>
      </c>
      <c r="BD7" s="26">
        <v>18</v>
      </c>
      <c r="BE7" s="26">
        <v>6</v>
      </c>
      <c r="BF7" s="26">
        <v>0</v>
      </c>
      <c r="BG7" s="26">
        <v>0.3</v>
      </c>
      <c r="BH7" s="26">
        <v>18.399999999999999</v>
      </c>
      <c r="BI7" s="26">
        <v>5.6</v>
      </c>
      <c r="BJ7" s="26">
        <v>0</v>
      </c>
      <c r="BK7" s="26">
        <v>0</v>
      </c>
      <c r="BL7" s="26">
        <v>18.5</v>
      </c>
      <c r="BM7" s="26">
        <v>6.4</v>
      </c>
      <c r="BN7" s="26">
        <v>0.2</v>
      </c>
      <c r="BO7" s="26">
        <v>0</v>
      </c>
      <c r="BP7" s="26">
        <v>17.2</v>
      </c>
      <c r="BQ7" s="26">
        <v>2.4</v>
      </c>
      <c r="BR7" s="26">
        <v>0</v>
      </c>
      <c r="BS7" s="26">
        <v>0</v>
      </c>
      <c r="BT7" s="52"/>
      <c r="BU7" s="16">
        <f>IF(SUM(BA7,BE7)&gt;0,SUM(BA7,BE7),"")</f>
        <v>8.9</v>
      </c>
      <c r="BV7" s="16">
        <f>IF(SUM(AZ7:BA7,BC7:BE7,BG7)-BB7-BF7&gt;0,SUM(AZ7:BA7,BC7:BE7,BG7)-BB7-BF7,"")</f>
        <v>43.199999999999996</v>
      </c>
      <c r="BW7" s="16">
        <f>IF(SUM(BH7:BI7,BK7)-BJ7&gt;0,SUM(BH7:BI7,BK7)-BJ7,"")</f>
        <v>24</v>
      </c>
      <c r="BX7" s="16">
        <f>IF(SUM(BA7,BE7,BI7)&gt;0,SUM(BA7,BE7,BI7),"")</f>
        <v>14.5</v>
      </c>
      <c r="BY7" s="16">
        <f>IF(SUM(BV7,BW7)&gt;0,SUM(BV7,BW7),"")</f>
        <v>67.199999999999989</v>
      </c>
      <c r="BZ7" s="16">
        <f>IF(SUM(BM7,BQ7)&gt;0,SUM(BM7,BQ7),"")</f>
        <v>8.8000000000000007</v>
      </c>
      <c r="CA7" s="16">
        <f>IF(SUM(BL7:BM7,BO7:BQ7,BS7)-SUM(BN7,BR7)&gt;0,SUM(BL7:BM7,BO7:BQ7,BS7)-SUM(BN7,BR7),"")</f>
        <v>44.29999999999999</v>
      </c>
      <c r="CB7" s="16">
        <f>IF(SUM(BV7,CA7)&gt;0,SUM(BV7,CA7),"")</f>
        <v>87.499999999999986</v>
      </c>
      <c r="CC7" s="27">
        <v>18.899999999999999</v>
      </c>
      <c r="CD7" s="27">
        <v>5.2</v>
      </c>
      <c r="CE7" s="27">
        <v>0.2</v>
      </c>
      <c r="CF7" s="27">
        <v>0</v>
      </c>
      <c r="CG7" s="27">
        <v>18.399999999999999</v>
      </c>
      <c r="CH7" s="27">
        <v>5.2</v>
      </c>
      <c r="CI7" s="27">
        <v>0.2</v>
      </c>
      <c r="CJ7" s="27">
        <v>0.3</v>
      </c>
      <c r="CK7" s="27">
        <v>18.5</v>
      </c>
      <c r="CL7" s="27">
        <v>5.6</v>
      </c>
      <c r="CM7" s="27">
        <v>0.6</v>
      </c>
      <c r="CN7" s="27">
        <v>0</v>
      </c>
      <c r="CO7" s="27">
        <v>18.600000000000001</v>
      </c>
      <c r="CP7" s="27">
        <v>6.4</v>
      </c>
      <c r="CQ7" s="27">
        <v>0</v>
      </c>
      <c r="CR7" s="27">
        <v>0</v>
      </c>
      <c r="CS7" s="27">
        <v>18.579999999999998</v>
      </c>
      <c r="CT7" s="27">
        <v>5.2</v>
      </c>
      <c r="CU7" s="27">
        <v>0</v>
      </c>
      <c r="CV7" s="27">
        <v>0</v>
      </c>
      <c r="CW7" s="51"/>
      <c r="CX7" s="76">
        <f>IF(SUM(CD7,CH7)&gt;0,SUM(CD7,CH7),"")</f>
        <v>10.4</v>
      </c>
      <c r="CY7" s="76">
        <f>IF(SUM(CC7:CD7,CF7:CH7,CJ7)-CE7-CI7&gt;0,SUM(CC7:CD7,CF7:CH7,CJ7)-CE7-CI7,"")</f>
        <v>47.599999999999994</v>
      </c>
      <c r="CZ7" s="76">
        <f>IF(SUM(CK7:CL7,CN7)-CM7&gt;0,SUM(CK7:CL7,CN7)-CM7,"")</f>
        <v>23.5</v>
      </c>
      <c r="DA7" s="76">
        <f>IF(SUM(CD7,CH7,CL7)&gt;0,SUM(CD7,CH7,CL7),"")</f>
        <v>16</v>
      </c>
      <c r="DB7" s="76">
        <f>IF(SUM(CY7,CZ7)&gt;0,SUM(CY7,CZ7),"")</f>
        <v>71.099999999999994</v>
      </c>
      <c r="DC7" s="76">
        <f>IF(SUM(CP7,CT7)&gt;0,SUM(CP7,CT7),"")</f>
        <v>11.600000000000001</v>
      </c>
      <c r="DD7" s="76">
        <f>IF(SUM(CO7:CP7,CR7:CT7,CV7)-SUM(CQ7,CU7)&gt;0,SUM(CO7:CP7,CR7:CT7,CV7)-SUM(CQ7,CU7),"")</f>
        <v>48.78</v>
      </c>
      <c r="DE7" s="76">
        <f>IF(SUM(CY7,DD7)&gt;0,SUM(CY7,DD7),"")</f>
        <v>96.38</v>
      </c>
      <c r="DF7" s="87">
        <f>IF(L7&gt;=0.001,IF(MAX(ED7,FF7,GH7,HJ7,IL7,JN7,KP7,LR7,MT7,NV7,OX7,PZ7)-IF(L7="",0,L7)&gt;0.001,MAX(ED7,FF7,GH7,HJ7,IL7,JN7,KP7,LR7,MT7,NV7,OX7,PZ7)-IF(L7="",0,L7),""),"")</f>
        <v>2.2000000000000028</v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4.0000000000000003E-5</v>
      </c>
      <c r="ED7" s="76">
        <f>IF(SUM(DI7:DJ7,DL7:DN7,DP7)-DK7-DO7&gt;0,SUM(DI7:DJ7,DL7:DN7,DP7)-DK7-DO7,"")</f>
        <v>4.0000000000000003E-5</v>
      </c>
      <c r="EE7" s="76" t="str">
        <f>IF(SUM(DQ7:DR7,DT7)-DS7&gt;0,SUM(DQ7:DR7,DT7)-DS7,"")</f>
        <v/>
      </c>
      <c r="EF7" s="76">
        <f>IF(SUM(DJ7,DN7,DR7)&gt;0,SUM(DJ7,DN7,DR7),"")</f>
        <v>4.0000000000000003E-5</v>
      </c>
      <c r="EG7" s="76">
        <f>IF(SUM(ED7,EE7)&gt;0,SUM(ED7,EE7),"")</f>
        <v>4.0000000000000003E-5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>IF(SUM(EL7,EP7)&gt;0,SUM(EL7,EP7),"")</f>
        <v>8</v>
      </c>
      <c r="FF7" s="16">
        <f>IF(SUM(EK7:EL7,EN7:EP7,ER7)-EM7-EQ7&gt;0,SUM(EK7:EL7,EN7:EP7,ER7)-EM7-EQ7,"")</f>
        <v>44.1</v>
      </c>
      <c r="FG7" s="16" t="str">
        <f>IF(SUM(ES7:ET7,EV7)-EU7&gt;0,SUM(ES7:ET7,EV7)-EU7,"")</f>
        <v/>
      </c>
      <c r="FH7" s="16">
        <f>IF(SUM(EL7,EP7,ET7)&gt;0,SUM(EL7,EP7,ET7),"")</f>
        <v>8</v>
      </c>
      <c r="FI7" s="16">
        <f>IF(SUM(FF7,FG7)&gt;0,SUM(FF7,FG7),"")</f>
        <v>44.1</v>
      </c>
      <c r="FJ7" s="16">
        <f>IF(SUM(EX7,FB7)&gt;0,SUM(EX7,FB7),"")</f>
        <v>11.6</v>
      </c>
      <c r="FK7" s="16">
        <f>IF(SUM(EW7:EX7,EZ7:FB7,FD7)-SUM(EY7,FC7)&gt;0,SUM(EW7:EX7,EZ7:FB7,FD7)-SUM(EY7,FC7),"")</f>
        <v>48.1</v>
      </c>
      <c r="FL7" s="16">
        <f>IF(SUM(FF7,FK7)&gt;0,SUM(FF7,FK7),"")</f>
        <v>92.2</v>
      </c>
      <c r="FM7" s="25">
        <v>18.600000000000001</v>
      </c>
      <c r="FN7" s="25">
        <v>6.4</v>
      </c>
      <c r="FO7" s="25">
        <v>0</v>
      </c>
      <c r="FP7" s="25">
        <v>0</v>
      </c>
      <c r="FQ7" s="25">
        <v>18.5</v>
      </c>
      <c r="FR7" s="25">
        <v>6</v>
      </c>
      <c r="FS7" s="25">
        <v>0</v>
      </c>
      <c r="FT7" s="25">
        <v>0.3</v>
      </c>
      <c r="FU7" s="25"/>
      <c r="FV7" s="25"/>
      <c r="FW7" s="25"/>
      <c r="FX7" s="25"/>
      <c r="FY7" s="25">
        <v>17.399999999999999</v>
      </c>
      <c r="FZ7" s="25">
        <v>2.8</v>
      </c>
      <c r="GA7" s="25">
        <v>0</v>
      </c>
      <c r="GB7" s="25">
        <v>0</v>
      </c>
      <c r="GC7" s="25">
        <v>17.399999999999999</v>
      </c>
      <c r="GD7" s="25">
        <v>2.4</v>
      </c>
      <c r="GE7" s="25">
        <v>0</v>
      </c>
      <c r="GF7" s="25">
        <v>0</v>
      </c>
      <c r="GG7" s="76">
        <f>IF(SUM(FN7,FR7)&gt;0,SUM(FN7,FR7),"")</f>
        <v>12.4</v>
      </c>
      <c r="GH7" s="76">
        <f>IF(SUM(FM7:FN7,FP7:FR7,FT7)-FO7-FS7&gt;0,SUM(FM7:FN7,FP7:FR7,FT7)-FO7-FS7,"")</f>
        <v>49.8</v>
      </c>
      <c r="GI7" s="76" t="str">
        <f>IF(SUM(FU7:FV7,FX7)-FW7&gt;0,SUM(FU7:FV7,FX7)-FW7,"")</f>
        <v/>
      </c>
      <c r="GJ7" s="76">
        <f>IF(SUM(FN7,FR7,FV7)&gt;0,SUM(FN7,FR7,FV7),"")</f>
        <v>12.4</v>
      </c>
      <c r="GK7" s="76">
        <f>IF(SUM(GH7,GI7)&gt;0,SUM(GH7,GI7),"")</f>
        <v>49.8</v>
      </c>
      <c r="GL7" s="76">
        <f>IF(SUM(FZ7,GD7)&gt;0,SUM(FZ7,GD7),"")</f>
        <v>5.1999999999999993</v>
      </c>
      <c r="GM7" s="76">
        <f>IF(SUM(FY7:FZ7,GB7:GD7,GF7)-SUM(GA7,GE7)&gt;0,SUM(FY7:FZ7,GB7:GD7,GF7)-SUM(GA7,GE7),"")</f>
        <v>39.999999999999993</v>
      </c>
      <c r="GN7" s="76">
        <f>IF(SUM(GH7,GM7)&gt;0,SUM(GH7,GM7),"")</f>
        <v>89.799999999999983</v>
      </c>
      <c r="GO7" s="26">
        <v>18.399999999999999</v>
      </c>
      <c r="GP7" s="26">
        <v>5.6</v>
      </c>
      <c r="GQ7" s="26">
        <v>0</v>
      </c>
      <c r="GR7" s="26">
        <v>0</v>
      </c>
      <c r="GS7" s="26">
        <v>18.399999999999999</v>
      </c>
      <c r="GT7" s="26">
        <v>6.8</v>
      </c>
      <c r="GU7" s="26">
        <v>0</v>
      </c>
      <c r="GV7" s="26">
        <v>0</v>
      </c>
      <c r="GW7" s="26"/>
      <c r="GX7" s="26"/>
      <c r="GY7" s="26"/>
      <c r="GZ7" s="26"/>
      <c r="HA7" s="26">
        <v>18.2</v>
      </c>
      <c r="HB7" s="26">
        <v>6.4</v>
      </c>
      <c r="HC7" s="26">
        <v>0.8</v>
      </c>
      <c r="HD7" s="26">
        <v>0</v>
      </c>
      <c r="HE7" s="26"/>
      <c r="HF7" s="26"/>
      <c r="HG7" s="26"/>
      <c r="HH7" s="26"/>
      <c r="HI7" s="16">
        <f>IF(SUM(GP7,GT7)&gt;0,SUM(GP7,GT7),"")</f>
        <v>12.399999999999999</v>
      </c>
      <c r="HJ7" s="16">
        <f>IF(SUM(GO7:GP7,GR7:GT7,GV7)-GQ7-GU7&gt;0,SUM(GO7:GP7,GR7:GT7,GV7)-GQ7-GU7,"")</f>
        <v>49.199999999999996</v>
      </c>
      <c r="HK7" s="16" t="str">
        <f>IF(SUM(GW7:GX7,GZ7)-GY7&gt;0,SUM(GW7:GX7,GZ7)-GY7,"")</f>
        <v/>
      </c>
      <c r="HL7" s="16">
        <f>IF(SUM(GP7,GT7,GX7)&gt;0,SUM(GP7,GT7,GX7),"")</f>
        <v>12.399999999999999</v>
      </c>
      <c r="HM7" s="16">
        <f>IF(SUM(HJ7,HK7)&gt;0,SUM(HJ7,HK7),"")</f>
        <v>49.199999999999996</v>
      </c>
      <c r="HN7" s="16">
        <f>IF(SUM(HB7,HF7)&gt;0,SUM(HB7,HF7),"")</f>
        <v>6.4</v>
      </c>
      <c r="HO7" s="16">
        <f>IF(SUM(HA7:HB7,HD7:HF7,HH7)-SUM(HC7,HG7)&gt;0,SUM(HA7:HB7,HD7:HF7,HH7)-SUM(HC7,HG7),"")</f>
        <v>23.8</v>
      </c>
      <c r="HP7" s="16">
        <f>IF(SUM(HJ7,HO7)&gt;0,SUM(HJ7,HO7),"")</f>
        <v>73</v>
      </c>
      <c r="HQ7" s="25">
        <v>18.7</v>
      </c>
      <c r="HR7" s="25">
        <v>6.4</v>
      </c>
      <c r="HS7" s="25">
        <v>0</v>
      </c>
      <c r="HT7" s="25">
        <v>0</v>
      </c>
      <c r="HU7" s="25">
        <v>18.399999999999999</v>
      </c>
      <c r="HV7" s="25">
        <v>6</v>
      </c>
      <c r="HW7" s="25">
        <v>0</v>
      </c>
      <c r="HX7" s="25">
        <v>0</v>
      </c>
      <c r="HY7" s="25"/>
      <c r="HZ7" s="25"/>
      <c r="IA7" s="25"/>
      <c r="IB7" s="25"/>
      <c r="IC7" s="25">
        <v>0</v>
      </c>
      <c r="ID7" s="25">
        <v>0</v>
      </c>
      <c r="IE7" s="25">
        <v>0</v>
      </c>
      <c r="IF7" s="25">
        <v>0</v>
      </c>
      <c r="IG7" s="25"/>
      <c r="IH7" s="25"/>
      <c r="II7" s="25"/>
      <c r="IJ7" s="25"/>
      <c r="IK7" s="76">
        <f>IF(SUM(HR7,HV7)&gt;0,SUM(HR7,HV7),"")</f>
        <v>12.4</v>
      </c>
      <c r="IL7" s="76">
        <f>IF(SUM(HQ7:HR7,HT7:HV7,HX7)-HS7-HW7&gt;0,SUM(HQ7:HR7,HT7:HV7,HX7)-HS7-HW7,"")</f>
        <v>49.5</v>
      </c>
      <c r="IM7" s="76" t="str">
        <f>IF(SUM(HY7:HZ7,IB7)-IA7&gt;0,SUM(HY7:HZ7,IB7)-IA7,"")</f>
        <v/>
      </c>
      <c r="IN7" s="76">
        <f>IF(SUM(HR7,HV7,HZ7)&gt;0,SUM(HR7,HV7,HZ7),"")</f>
        <v>12.4</v>
      </c>
      <c r="IO7" s="76">
        <f>IF(SUM(IL7,IM7)&gt;0,SUM(IL7,IM7),"")</f>
        <v>49.5</v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>
        <f>IF(SUM(IL7,IQ7)&gt;0,SUM(IL7,IQ7),"")</f>
        <v>49.5</v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18.5</v>
      </c>
      <c r="QH7" s="42">
        <f>IF($CW7="P",CD7,(CD7+BA7)/2)</f>
        <v>4.05</v>
      </c>
      <c r="QI7" s="42">
        <f>IF($CW7="P",CE7,(CE7+BB7)/2)</f>
        <v>1.1500000000000001</v>
      </c>
      <c r="QJ7" s="42">
        <f>IF($CW7="P",CF7,(CF7+BC7)/2)</f>
        <v>0</v>
      </c>
      <c r="QK7" s="42">
        <f>IF($CW7="P",CG7,(CG7+BD7)/2)</f>
        <v>18.2</v>
      </c>
      <c r="QL7" s="42">
        <f>IF($CW7="P",CH7,(CH7+BE7)/2)</f>
        <v>5.6</v>
      </c>
      <c r="QM7" s="42">
        <f>IF($CW7="P",CI7,(CI7+BF7)/2)</f>
        <v>0.1</v>
      </c>
      <c r="QN7" s="42">
        <f>IF($CW7="P",CJ7,(CJ7+BG7)/2)</f>
        <v>0.3</v>
      </c>
      <c r="QO7" s="42">
        <f>IF($CW7="P",CK7,(CK7+BH7)/2)</f>
        <v>18.45</v>
      </c>
      <c r="QP7" s="42">
        <f>IF($CW7="P",CL7,(CL7+BI7)/2)</f>
        <v>5.6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18.55</v>
      </c>
      <c r="QT7" s="42">
        <f>IF($CW7="P",CP7,(CP7+BM7)/2)</f>
        <v>6.4</v>
      </c>
      <c r="QU7" s="42">
        <f>IF($CW7="P",CQ7,(CQ7+BN7)/2)</f>
        <v>0.1</v>
      </c>
      <c r="QV7" s="42">
        <f>IF($CW7="P",CR7,(CR7+BO7)/2)</f>
        <v>0</v>
      </c>
      <c r="QW7" s="42">
        <f>IF($CW7="P",CS7,(CS7+BP7)/2)</f>
        <v>17.89</v>
      </c>
      <c r="QX7" s="42">
        <f>IF($CW7="P",CT7,(CT7+BQ7)/2)</f>
        <v>3.8</v>
      </c>
      <c r="QY7" s="42">
        <f>IF($CW7="P",CU7,(CU7+BR7)/2)</f>
        <v>0</v>
      </c>
      <c r="QZ7" s="42">
        <f>IF($CW7="P",CV7,(CV7+BS7)/2)</f>
        <v>0</v>
      </c>
      <c r="RA7" s="51" t="s">
        <v>58</v>
      </c>
      <c r="RB7" s="76">
        <f>IF(SUM(QH7,QL7)&gt;0,SUM(QH7,QL7),"")</f>
        <v>9.6499999999999986</v>
      </c>
      <c r="RC7" s="76">
        <f>IF(SUM(QG7:QH7,QJ7:QL7,QN7)-QI7-QM7&gt;0,SUM(QG7:QH7,QJ7:QL7,QN7)-QI7-QM7,"")</f>
        <v>45.4</v>
      </c>
      <c r="RD7" s="76">
        <f>IF(SUM(QO7:QP7,QR7)-QQ7&gt;0,SUM(QO7:QP7,QR7)-QQ7,"")</f>
        <v>23.749999999999996</v>
      </c>
      <c r="RE7" s="76">
        <f>IF(SUM(QH7,QL7,QP7)&gt;0,SUM(QH7,QL7,QP7),"")</f>
        <v>15.249999999999998</v>
      </c>
      <c r="RF7" s="76">
        <f>IF(SUM(RC7,RD7)&gt;0,SUM(RC7,RD7),"")</f>
        <v>69.149999999999991</v>
      </c>
      <c r="RG7" s="76">
        <f>IF(SUM(QT7,QX7)&gt;0,SUM(QT7,QX7),"")</f>
        <v>10.199999999999999</v>
      </c>
      <c r="RH7" s="76">
        <f>IF(SUM(QS7:QT7,QV7:QX7,QZ7)-SUM(QU7,QY7)&gt;0,SUM(QS7:QT7,QV7:QX7,QZ7)-SUM(QU7,QY7),"")</f>
        <v>46.54</v>
      </c>
      <c r="RI7" s="76">
        <f>IF(SUM(RC7,RH7)&gt;0,SUM(RC7,RH7),"")</f>
        <v>91.94</v>
      </c>
    </row>
    <row r="8" spans="1:477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6" t="s">
        <v>100</v>
      </c>
      <c r="C8" s="7" t="s">
        <v>6</v>
      </c>
      <c r="D8" s="18">
        <v>2004</v>
      </c>
      <c r="E8" s="14">
        <f>SUM(J8:T8)+SUM(J8:P8)*0.0000001+SUM(J8)*0.0000000000001</f>
        <v>193.10001422000474</v>
      </c>
      <c r="F8" s="3" t="str">
        <f>IF(OR(AND(AR8&gt;=AY$19,AS8&gt;=AY$23,AR8&lt;&gt;"",AQ8=""),AND(AW8&gt;=AY$19,AX8&gt;=AY$23,AW8&lt;&gt;"",AQ8=""),AND(BU8&gt;=CB$19,BV8&gt;=CB$23,BU8&lt;&gt;"",BT8=""),AND(BZ8&gt;=CB$19,CA8&gt;=CB$23,BZ8&lt;&gt;"",BT8=""),AND(CX8&gt;=DE$19,CY8&gt;=DE$23,CX8&lt;&gt;"",CW8=""),AND(DC8&gt;=DE$19,DD8&gt;=DE$23,DC8&lt;&gt;""),AND(EC8&gt;=EJ$19,ED8&gt;=EJ$23,EC8&lt;&gt;""),AND(EH8&gt;=EJ$19,EI8&gt;=EJ$23,EH8&lt;&gt;""),AND(FE8&gt;=FL$19,FF8&gt;=FL$23,FE8&lt;&gt;""),AND(FJ8&gt;=FL$19,FK8&gt;=FL$23,FJ8&lt;&gt;""),AND(GG8&gt;=GN$19,GH8&gt;=GN$23,GG8&lt;&gt;""),AND(GL8&gt;=GN$19,GM8&gt;=GN$23,GL8&lt;&gt;""),AND(HI8&gt;=HP$19,HJ8&gt;=HP$23,HI8&lt;&gt;""),AND(HN8&gt;=HP$19,HO8&gt;=HP$23,HN8&lt;&gt;""),AND(IK8&gt;=IR$19,IL8&gt;=IR$23,IK8&lt;&gt;""),AND(IP8&gt;=IR$19,IQ8&gt;=IR$23,IP8&lt;&gt;""),AND(JM8&gt;=JT$19,JN8&gt;=JT$23,JM8&lt;&gt;""),AND(JR8&gt;=JT$19,JS8&gt;=JT$23,JR8&lt;&gt;""),AND(KO8&gt;=KV$19,KP8&gt;=KV$23,KO8&lt;&gt;""),AND(KT8&gt;=KV$19,KU8&gt;=KV$23,KT8&lt;&gt;""),AND(LQ8&gt;=LX$19,LR8&gt;=LX$23,LQ8&lt;&gt;""),AND(LV8&gt;=LX$19,LW8&gt;=LX$23,LV8&lt;&gt;""),AND(MS8&gt;=MZ$19,MT8&gt;=MZ$23,MS8&lt;&gt;""),AND(MX8&gt;=MZ$19,MY8&gt;=MZ$23,MX8&lt;&gt;""),AND(NU8&gt;=OB$19,NV8&gt;=OB$23,NU8&lt;&gt;""),AND(NZ8&gt;=OB$19,OA8&gt;=OB$23,NZ8&lt;&gt;""),AND(OW8&gt;=PD$19,OX8&gt;=PD$23,OW8&lt;&gt;""),AND(PB8&gt;=PD$19,PC8&gt;=PD$23,PB8&lt;&gt;""),AND(PY8&gt;=QF$19,PZ8&gt;=QF$23,PY8&lt;&gt;""),AND(QD8&gt;=QF$19,QE8&gt;=QF$23,QD8&lt;&gt;"")),"P","")</f>
        <v>P</v>
      </c>
      <c r="G8" s="3" t="str">
        <f>IF(OR(AND(AS8&gt;=AY$23,AS8&lt;&gt;"",AQ8=""),AND(AX8&gt;=AY$23,AX8&lt;&gt;"",AQ8=""),AND(BV8&gt;=CB$23,BV8&lt;&gt;"",BT8=""),AND(CA8&gt;=CB$23,CA8&lt;&gt;"",BT8=""),AND(CY8&gt;=DE$23,CY8&lt;&gt;"",CW8=""),AND(DD8&gt;=DE$23,DD8&lt;&gt;"",CW8=""),AND(ED8&gt;=EJ$23,ED8&lt;&gt;""),AND(EI8&gt;=EJ$23,EI8&lt;&gt;""),AND(FF8&gt;=FL$23,FF8&lt;&gt;""),AND(FK8&gt;=FL$23,FK8&lt;&gt;""),AND(GH8&gt;=GN$23,GH8&lt;&gt;""),AND(GM8&gt;=GN$23,GM8&lt;&gt;""),AND(HJ8&gt;=HP$23,HJ8&lt;&gt;""),AND(HO8&gt;=HP$23,HO8&lt;&gt;""),AND(IL8&gt;=IR$23,IL8&lt;&gt;""),AND(IQ8&gt;=IR$23,IQ8&lt;&gt;""),AND(JN8&gt;=JT$23,JN8&lt;&gt;""),AND(JS8&gt;=JT$23,JS8&lt;&gt;""),AND(KP8&gt;=KV$23,KP8&lt;&gt;""),AND(KU8&gt;=KV$23,KU8&lt;&gt;""),AND(LR8&gt;=LX$23,LR8&lt;&gt;""),AND(LW8&gt;=LX$23,LW8&lt;&gt;""),AND(MT8&gt;=MZ$23,MT8&lt;&gt;""),AND(MY8&gt;=MZ$23,MY8&lt;&gt;""),AND(NV8&gt;=OB$23,NV8&lt;&gt;""),AND(OA8&gt;=OB$23,OA8&lt;&gt;""),AND(OX8&gt;=PD$23,OX8&lt;&gt;""),AND(PC8&gt;=PD$23,PC8&lt;&gt;""),AND(PZ8&gt;=QF$23,PZ8&lt;&gt;""),AND(QE8&gt;=QF$23,QE8&lt;&gt;"")),"P","")</f>
        <v>P</v>
      </c>
      <c r="H8" s="70" t="str">
        <f>IF(AND(G8="P",F8=""),"No DD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Merit",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Excellence",IF(I8="P","Worlds Team",IF(F8="P","National Team","")))))</f>
        <v>National Team</v>
      </c>
      <c r="I8" s="3" t="str">
        <f>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P","")</f>
        <v/>
      </c>
      <c r="J8" s="13">
        <f>IF(COUNT(AS8,BV8,CY8)&gt;0,LARGE((AS8,BV8,CY8),1),0)</f>
        <v>47.3</v>
      </c>
      <c r="K8" s="13" t="str">
        <f>IF(J8=0,"",IF(J8=CY8,$CC$1,IF(J8=BV8,$AZ$1,IF(J8=AS8,$W$1,""))))</f>
        <v>2022 Nationals</v>
      </c>
      <c r="L8" s="13">
        <f>IF(COUNT(AS8,BV8,CY8)&gt;1,LARGE((AS8,BV8,CY8),2),0)</f>
        <v>47.000000000000007</v>
      </c>
      <c r="M8" s="13" t="str">
        <f>IF(L8=0,"",IF(L8=CY8,$CC$1,IF(L8=BV8,$AZ$1,IF(L8=AS8,$W$1,""))))</f>
        <v>2022 Elite Canada</v>
      </c>
      <c r="N8" s="13">
        <f>IF(COUNT(AT8,BW8,CZ8)&gt;0,LARGE((AT8,BW8,CZ8),1),0)</f>
        <v>24.299999999999997</v>
      </c>
      <c r="O8" s="13" t="str">
        <f>IF(N8=0,"",IF(N8=CZ8,$CC$1,IF(N8=BW8,$AZ$1,IF(N8=AT8,$W$1,""))))</f>
        <v>2022 3rd Domestic Trial</v>
      </c>
      <c r="P8" s="13">
        <f>IF(COUNT(AT8,BW8,CZ8)&gt;1,LARGE((AT8,BW8,CZ8),2),0)</f>
        <v>23.599999999999998</v>
      </c>
      <c r="Q8" s="13" t="str">
        <f>IF(P8=0,"",IF(P8=CZ8,$CC$1,IF(P8=BW8,$AZ$1,IF(P8=AT8,$W$1,""))))</f>
        <v>2022 Nationals</v>
      </c>
      <c r="R8" s="13">
        <f>IF(MAX(AX8,CA8,DD8)&gt;0,MAX(AX8,CA8,DD8),0)</f>
        <v>49.4</v>
      </c>
      <c r="S8" s="13" t="str">
        <f>IF(R8=0,"",IF(R8=DD8,$CC$1,IF(R8=CA8,$AZ$1,IF(R8=AX8,$W$1,""))))</f>
        <v>2022 Nationals</v>
      </c>
      <c r="T8" s="13">
        <f>IF(MAX(DF8:DH8)&gt;0,MAX(DF8:DH8),"")</f>
        <v>1.4999999999999929</v>
      </c>
      <c r="U8" s="16" t="str">
        <f>IF(T8="","",IF(T8=DF8,"("&amp;DF$2&amp;")",IF(T8=DH8,"("&amp;DH$2&amp;")")))</f>
        <v>(Q1)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Coimbra Gym Fest (June 26)</v>
      </c>
      <c r="W8" s="27">
        <v>18.600000000000001</v>
      </c>
      <c r="X8" s="27">
        <v>5.2</v>
      </c>
      <c r="Y8" s="27">
        <v>0.8</v>
      </c>
      <c r="Z8" s="27">
        <v>0</v>
      </c>
      <c r="AA8" s="27">
        <v>18.600000000000001</v>
      </c>
      <c r="AB8" s="27">
        <v>5.6</v>
      </c>
      <c r="AC8" s="27">
        <v>0.2</v>
      </c>
      <c r="AD8" s="27">
        <v>0</v>
      </c>
      <c r="AE8" s="27">
        <v>18</v>
      </c>
      <c r="AF8" s="27">
        <v>4.8</v>
      </c>
      <c r="AG8" s="27">
        <v>0.6</v>
      </c>
      <c r="AH8" s="27">
        <v>0</v>
      </c>
      <c r="AI8" s="27">
        <v>18.5</v>
      </c>
      <c r="AJ8" s="27">
        <v>5.2</v>
      </c>
      <c r="AK8" s="27">
        <v>0.2</v>
      </c>
      <c r="AL8" s="27">
        <v>0</v>
      </c>
      <c r="AM8" s="27">
        <v>19</v>
      </c>
      <c r="AN8" s="27">
        <v>5.6</v>
      </c>
      <c r="AO8" s="27">
        <v>0</v>
      </c>
      <c r="AP8" s="27">
        <v>0</v>
      </c>
      <c r="AQ8" s="51"/>
      <c r="AR8" s="76">
        <f>IF(SUM(X8,AB8)&gt;0,SUM(X8,AB8),"")</f>
        <v>10.8</v>
      </c>
      <c r="AS8" s="76">
        <f>IF(SUM(W8:X8,Z8:AB8,AD8)-Y8-AC8&gt;0,SUM(W8:X8,Z8:AB8,AD8)-Y8-AC8,"")</f>
        <v>47.000000000000007</v>
      </c>
      <c r="AT8" s="76">
        <f>IF(SUM(AE8:AF8,AH8)-AG8&gt;0,SUM(AE8:AF8,AH8)-AG8,"")</f>
        <v>22.2</v>
      </c>
      <c r="AU8" s="76">
        <f>IF(SUM(X8,AB8,AF8)&gt;0,SUM(X8,AB8,AF8),"")</f>
        <v>15.600000000000001</v>
      </c>
      <c r="AV8" s="76">
        <f>IF(SUM(AS8,AT8)&gt;0,SUM(AS8,AT8),"")</f>
        <v>69.2</v>
      </c>
      <c r="AW8" s="76">
        <f>IF(SUM(AJ8,AN8)&gt;0,SUM(AJ8,AN8),"")</f>
        <v>10.8</v>
      </c>
      <c r="AX8" s="76">
        <f>IF(SUM(AI8:AJ8,AL8:AN8,AP8)-SUM(AK8,AO8)&gt;0,SUM(AI8:AJ8,AL8:AN8,AP8)-SUM(AK8,AO8),"")</f>
        <v>48.1</v>
      </c>
      <c r="AY8" s="76">
        <f>IF(SUM(AS8,AX8)&gt;0,SUM(AS8,AX8),"")</f>
        <v>95.100000000000009</v>
      </c>
      <c r="AZ8" s="26">
        <v>18.3</v>
      </c>
      <c r="BA8" s="26">
        <v>5.2</v>
      </c>
      <c r="BB8" s="26">
        <v>0</v>
      </c>
      <c r="BC8" s="26">
        <v>0</v>
      </c>
      <c r="BD8" s="26">
        <v>18.8</v>
      </c>
      <c r="BE8" s="26">
        <v>5.6</v>
      </c>
      <c r="BF8" s="26">
        <v>0.6</v>
      </c>
      <c r="BG8" s="26">
        <v>0</v>
      </c>
      <c r="BH8" s="26">
        <v>18.399999999999999</v>
      </c>
      <c r="BI8" s="26">
        <v>5.2</v>
      </c>
      <c r="BJ8" s="26">
        <v>0</v>
      </c>
      <c r="BK8" s="26">
        <v>0</v>
      </c>
      <c r="BL8" s="26">
        <v>19</v>
      </c>
      <c r="BM8" s="26">
        <v>6</v>
      </c>
      <c r="BN8" s="26">
        <v>0</v>
      </c>
      <c r="BO8" s="26">
        <v>0</v>
      </c>
      <c r="BP8" s="26">
        <v>19.399999999999999</v>
      </c>
      <c r="BQ8" s="26">
        <v>5.6</v>
      </c>
      <c r="BR8" s="26">
        <v>0.6</v>
      </c>
      <c r="BS8" s="26">
        <v>0</v>
      </c>
      <c r="BT8" s="52"/>
      <c r="BU8" s="16">
        <f>IF(SUM(BA8,BE8)&gt;0,SUM(BA8,BE8),"")</f>
        <v>10.8</v>
      </c>
      <c r="BV8" s="16">
        <f>IF(SUM(AZ8:BA8,BC8:BE8,BG8)-BB8-BF8&gt;0,SUM(AZ8:BA8,BC8:BE8,BG8)-BB8-BF8,"")</f>
        <v>47.3</v>
      </c>
      <c r="BW8" s="16">
        <f>IF(SUM(BH8:BI8,BK8)-BJ8&gt;0,SUM(BH8:BI8,BK8)-BJ8,"")</f>
        <v>23.599999999999998</v>
      </c>
      <c r="BX8" s="16">
        <f>IF(SUM(BA8,BE8,BI8)&gt;0,SUM(BA8,BE8,BI8),"")</f>
        <v>16</v>
      </c>
      <c r="BY8" s="16">
        <f>IF(SUM(BV8,BW8)&gt;0,SUM(BV8,BW8),"")</f>
        <v>70.899999999999991</v>
      </c>
      <c r="BZ8" s="16">
        <f>IF(SUM(BM8,BQ8)&gt;0,SUM(BM8,BQ8),"")</f>
        <v>11.6</v>
      </c>
      <c r="CA8" s="16">
        <f>IF(SUM(BL8:BM8,BO8:BQ8,BS8)-SUM(BN8,BR8)&gt;0,SUM(BL8:BM8,BO8:BQ8,BS8)-SUM(BN8,BR8),"")</f>
        <v>49.4</v>
      </c>
      <c r="CB8" s="16">
        <f>IF(SUM(BV8,CA8)&gt;0,SUM(BV8,CA8),"")</f>
        <v>96.699999999999989</v>
      </c>
      <c r="CC8" s="27">
        <v>19</v>
      </c>
      <c r="CD8" s="27">
        <v>5.2</v>
      </c>
      <c r="CE8" s="27">
        <v>0.2</v>
      </c>
      <c r="CF8" s="27">
        <v>0</v>
      </c>
      <c r="CG8" s="27">
        <v>17.399999999999999</v>
      </c>
      <c r="CH8" s="27">
        <v>2.8</v>
      </c>
      <c r="CI8" s="27">
        <v>0</v>
      </c>
      <c r="CJ8" s="27">
        <v>0</v>
      </c>
      <c r="CK8" s="27">
        <v>18.5</v>
      </c>
      <c r="CL8" s="27">
        <v>6.4</v>
      </c>
      <c r="CM8" s="27">
        <v>0.6</v>
      </c>
      <c r="CN8" s="27">
        <v>0</v>
      </c>
      <c r="CO8" s="27">
        <v>17</v>
      </c>
      <c r="CP8" s="27">
        <v>6</v>
      </c>
      <c r="CQ8" s="27">
        <v>0.8</v>
      </c>
      <c r="CR8" s="27">
        <v>0</v>
      </c>
      <c r="CS8" s="27">
        <v>18.2</v>
      </c>
      <c r="CT8" s="27">
        <v>6</v>
      </c>
      <c r="CU8" s="27">
        <v>0.8</v>
      </c>
      <c r="CV8" s="27">
        <v>0</v>
      </c>
      <c r="CW8" s="51"/>
      <c r="CX8" s="76">
        <f>IF(SUM(CD8,CH8)&gt;0,SUM(CD8,CH8),"")</f>
        <v>8</v>
      </c>
      <c r="CY8" s="76">
        <f>IF(SUM(CC8:CD8,CF8:CH8,CJ8)-CE8-CI8&gt;0,SUM(CC8:CD8,CF8:CH8,CJ8)-CE8-CI8,"")</f>
        <v>44.199999999999989</v>
      </c>
      <c r="CZ8" s="76">
        <f>IF(SUM(CK8:CL8,CN8)-CM8&gt;0,SUM(CK8:CL8,CN8)-CM8,"")</f>
        <v>24.299999999999997</v>
      </c>
      <c r="DA8" s="76">
        <f>IF(SUM(CD8,CH8,CL8)&gt;0,SUM(CD8,CH8,CL8),"")</f>
        <v>14.4</v>
      </c>
      <c r="DB8" s="76">
        <f>IF(SUM(CY8,CZ8)&gt;0,SUM(CY8,CZ8),"")</f>
        <v>68.499999999999986</v>
      </c>
      <c r="DC8" s="76">
        <f>IF(SUM(CP8,CT8)&gt;0,SUM(CP8,CT8),"")</f>
        <v>12</v>
      </c>
      <c r="DD8" s="76">
        <f>IF(SUM(CO8:CP8,CR8:CT8,CV8)-SUM(CQ8,CU8)&gt;0,SUM(CO8:CP8,CR8:CT8,CV8)-SUM(CQ8,CU8),"")</f>
        <v>45.6</v>
      </c>
      <c r="DE8" s="76">
        <f>IF(SUM(CY8,DD8)&gt;0,SUM(CY8,DD8),"")</f>
        <v>89.799999999999983</v>
      </c>
      <c r="DF8" s="87">
        <f>IF(L8&gt;=0.001,IF(MAX(ED8,FF8,GH8,HJ8,IL8,JN8,KP8,LR8,MT8,NV8,OX8,PZ8)-IF(L8="",0,L8)&gt;0.001,MAX(ED8,FF8,GH8,HJ8,IL8,JN8,KP8,LR8,MT8,NV8,OX8,PZ8)-IF(L8="",0,L8),""),"")</f>
        <v>1.4999999999999929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5.2</v>
      </c>
      <c r="EM8" s="26">
        <v>0.6</v>
      </c>
      <c r="EN8" s="26">
        <v>0</v>
      </c>
      <c r="EO8" s="26">
        <v>18.600000000000001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18.399999999999999</v>
      </c>
      <c r="EX8" s="26">
        <v>5.2</v>
      </c>
      <c r="EY8" s="26">
        <v>0</v>
      </c>
      <c r="EZ8" s="26">
        <v>0</v>
      </c>
      <c r="FA8" s="26">
        <v>18.8</v>
      </c>
      <c r="FB8" s="26">
        <v>5.6</v>
      </c>
      <c r="FC8" s="26">
        <v>0.2</v>
      </c>
      <c r="FD8" s="26">
        <v>0</v>
      </c>
      <c r="FE8" s="16">
        <f>IF(SUM(EL8,EP8)&gt;0,SUM(EL8,EP8),"")</f>
        <v>10.8</v>
      </c>
      <c r="FF8" s="16">
        <f>IF(SUM(EK8:EL8,EN8:EP8,ER8)-EM8-EQ8&gt;0,SUM(EK8:EL8,EN8:EP8,ER8)-EM8-EQ8,"")</f>
        <v>47.2</v>
      </c>
      <c r="FG8" s="16" t="str">
        <f>IF(SUM(ES8:ET8,EV8)-EU8&gt;0,SUM(ES8:ET8,EV8)-EU8,"")</f>
        <v/>
      </c>
      <c r="FH8" s="16">
        <f>IF(SUM(EL8,EP8,ET8)&gt;0,SUM(EL8,EP8,ET8),"")</f>
        <v>10.8</v>
      </c>
      <c r="FI8" s="16">
        <f>IF(SUM(FF8,FG8)&gt;0,SUM(FF8,FG8),"")</f>
        <v>47.2</v>
      </c>
      <c r="FJ8" s="16">
        <f>IF(SUM(EX8,FB8)&gt;0,SUM(EX8,FB8),"")</f>
        <v>10.8</v>
      </c>
      <c r="FK8" s="16">
        <f>IF(SUM(EW8:EX8,EZ8:FB8,FD8)-SUM(EY8,FC8)&gt;0,SUM(EW8:EX8,EZ8:FB8,FD8)-SUM(EY8,FC8),"")</f>
        <v>47.8</v>
      </c>
      <c r="FL8" s="16">
        <f>IF(SUM(FF8,FK8)&gt;0,SUM(FF8,FK8),"")</f>
        <v>95</v>
      </c>
      <c r="FM8" s="25">
        <v>17.399999999999999</v>
      </c>
      <c r="FN8" s="25">
        <v>2.4</v>
      </c>
      <c r="FO8" s="25">
        <v>0</v>
      </c>
      <c r="FP8" s="25">
        <v>0</v>
      </c>
      <c r="FQ8" s="25">
        <v>18.2</v>
      </c>
      <c r="FR8" s="25">
        <v>5.6</v>
      </c>
      <c r="FS8" s="25">
        <v>0.2</v>
      </c>
      <c r="FT8" s="25">
        <v>0</v>
      </c>
      <c r="FU8" s="25"/>
      <c r="FV8" s="25"/>
      <c r="FW8" s="25"/>
      <c r="FX8" s="25"/>
      <c r="FY8" s="25">
        <v>18.399999999999999</v>
      </c>
      <c r="FZ8" s="25">
        <v>5.6</v>
      </c>
      <c r="GA8" s="25">
        <v>0.2</v>
      </c>
      <c r="GB8" s="25">
        <v>0</v>
      </c>
      <c r="GC8" s="25">
        <v>18.8</v>
      </c>
      <c r="GD8" s="25">
        <v>5.6</v>
      </c>
      <c r="GE8" s="25">
        <v>0</v>
      </c>
      <c r="GF8" s="25">
        <v>0</v>
      </c>
      <c r="GG8" s="76">
        <f>IF(SUM(FN8,FR8)&gt;0,SUM(FN8,FR8),"")</f>
        <v>8</v>
      </c>
      <c r="GH8" s="76">
        <f>IF(SUM(FM8:FN8,FP8:FR8,FT8)-FO8-FS8&gt;0,SUM(FM8:FN8,FP8:FR8,FT8)-FO8-FS8,"")</f>
        <v>43.4</v>
      </c>
      <c r="GI8" s="76" t="str">
        <f>IF(SUM(FU8:FV8,FX8)-FW8&gt;0,SUM(FU8:FV8,FX8)-FW8,"")</f>
        <v/>
      </c>
      <c r="GJ8" s="76">
        <f>IF(SUM(FN8,FR8,FV8)&gt;0,SUM(FN8,FR8,FV8),"")</f>
        <v>8</v>
      </c>
      <c r="GK8" s="76">
        <f>IF(SUM(GH8,GI8)&gt;0,SUM(GH8,GI8),"")</f>
        <v>43.4</v>
      </c>
      <c r="GL8" s="76">
        <f>IF(SUM(FZ8,GD8)&gt;0,SUM(FZ8,GD8),"")</f>
        <v>11.2</v>
      </c>
      <c r="GM8" s="76">
        <f>IF(SUM(FY8:FZ8,GB8:GD8,GF8)-SUM(GA8,GE8)&gt;0,SUM(FY8:FZ8,GB8:GD8,GF8)-SUM(GA8,GE8),"")</f>
        <v>48.199999999999996</v>
      </c>
      <c r="GN8" s="76">
        <f>IF(SUM(GH8,GM8)&gt;0,SUM(GH8,GM8),"")</f>
        <v>91.6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>
        <v>18.600000000000001</v>
      </c>
      <c r="IT8" s="26">
        <v>6</v>
      </c>
      <c r="IU8" s="26">
        <v>0.6</v>
      </c>
      <c r="IV8" s="26">
        <v>0</v>
      </c>
      <c r="IW8" s="26">
        <v>18.899999999999999</v>
      </c>
      <c r="IX8" s="26">
        <v>5.6</v>
      </c>
      <c r="IY8" s="26">
        <v>0</v>
      </c>
      <c r="IZ8" s="26">
        <v>0</v>
      </c>
      <c r="JA8" s="26"/>
      <c r="JB8" s="26"/>
      <c r="JC8" s="26"/>
      <c r="JD8" s="26"/>
      <c r="JE8" s="26">
        <v>18.600000000000001</v>
      </c>
      <c r="JF8" s="26">
        <v>5.6</v>
      </c>
      <c r="JG8" s="26">
        <v>0</v>
      </c>
      <c r="JH8" s="26">
        <v>0</v>
      </c>
      <c r="JI8" s="26">
        <v>18</v>
      </c>
      <c r="JJ8" s="26">
        <v>5.6</v>
      </c>
      <c r="JK8" s="26">
        <v>0.2</v>
      </c>
      <c r="JL8" s="26">
        <v>0</v>
      </c>
      <c r="JM8" s="16">
        <f>IF(SUM(IT8,IX8)&gt;0,SUM(IT8,IX8),"")</f>
        <v>11.6</v>
      </c>
      <c r="JN8" s="16">
        <f>IF(SUM(IS8:IT8,IV8:IX8,IZ8)-IU8-IY8&gt;0,SUM(IS8:IT8,IV8:IX8,IZ8)-IU8-IY8,"")</f>
        <v>48.5</v>
      </c>
      <c r="JO8" s="16" t="str">
        <f>IF(SUM(JA8:JB8,JD8)-JC8&gt;0,SUM(JA8:JB8,JD8)-JC8,"")</f>
        <v/>
      </c>
      <c r="JP8" s="16">
        <f>IF(SUM(IT8,IX8,JB8)&gt;0,SUM(IT8,IX8,JB8),"")</f>
        <v>11.6</v>
      </c>
      <c r="JQ8" s="16">
        <f>IF(SUM(JN8,JO8)&gt;0,SUM(JN8,JO8),"")</f>
        <v>48.5</v>
      </c>
      <c r="JR8" s="16">
        <f>IF(SUM(JF8,JJ8)&gt;0,SUM(JF8,JJ8),"")</f>
        <v>11.2</v>
      </c>
      <c r="JS8" s="16">
        <f>IF(SUM(JE8:JF8,JH8:JJ8,JL8)-SUM(JG8,JK8)&gt;0,SUM(JE8:JF8,JH8:JJ8,JL8)-SUM(JG8,JK8),"")</f>
        <v>47.6</v>
      </c>
      <c r="JT8" s="16">
        <f>IF(SUM(JN8,JS8)&gt;0,SUM(JN8,JS8),"")</f>
        <v>96.1</v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18.649999999999999</v>
      </c>
      <c r="QH8" s="42">
        <f>IF($CW8="P",CD8,(CD8+BA8)/2)</f>
        <v>5.2</v>
      </c>
      <c r="QI8" s="42">
        <f>IF($CW8="P",CE8,(CE8+BB8)/2)</f>
        <v>0.1</v>
      </c>
      <c r="QJ8" s="42">
        <f>IF($CW8="P",CF8,(CF8+BC8)/2)</f>
        <v>0</v>
      </c>
      <c r="QK8" s="42">
        <f>IF($CW8="P",CG8,(CG8+BD8)/2)</f>
        <v>18.100000000000001</v>
      </c>
      <c r="QL8" s="42">
        <f>IF($CW8="P",CH8,(CH8+BE8)/2)</f>
        <v>4.1999999999999993</v>
      </c>
      <c r="QM8" s="42">
        <f>IF($CW8="P",CI8,(CI8+BF8)/2)</f>
        <v>0.3</v>
      </c>
      <c r="QN8" s="42">
        <f>IF($CW8="P",CJ8,(CJ8+BG8)/2)</f>
        <v>0</v>
      </c>
      <c r="QO8" s="42">
        <f>IF($CW8="P",CK8,(CK8+BH8)/2)</f>
        <v>18.45</v>
      </c>
      <c r="QP8" s="42">
        <f>IF($CW8="P",CL8,(CL8+BI8)/2)</f>
        <v>5.8000000000000007</v>
      </c>
      <c r="QQ8" s="42">
        <f>IF($CW8="P",CM8,(CM8+BJ8)/2)</f>
        <v>0.3</v>
      </c>
      <c r="QR8" s="42">
        <f>IF($CW8="P",CN8,(CN8+BK8)/2)</f>
        <v>0</v>
      </c>
      <c r="QS8" s="42">
        <f>IF($CW8="P",CO8,(CO8+BL8)/2)</f>
        <v>18</v>
      </c>
      <c r="QT8" s="42">
        <f>IF($CW8="P",CP8,(CP8+BM8)/2)</f>
        <v>6</v>
      </c>
      <c r="QU8" s="42">
        <f>IF($CW8="P",CQ8,(CQ8+BN8)/2)</f>
        <v>0.4</v>
      </c>
      <c r="QV8" s="42">
        <f>IF($CW8="P",CR8,(CR8+BO8)/2)</f>
        <v>0</v>
      </c>
      <c r="QW8" s="42">
        <f>IF($CW8="P",CS8,(CS8+BP8)/2)</f>
        <v>18.799999999999997</v>
      </c>
      <c r="QX8" s="42">
        <f>IF($CW8="P",CT8,(CT8+BQ8)/2)</f>
        <v>5.8</v>
      </c>
      <c r="QY8" s="42">
        <f>IF($CW8="P",CU8,(CU8+BR8)/2)</f>
        <v>0.7</v>
      </c>
      <c r="QZ8" s="42">
        <f>IF($CW8="P",CV8,(CV8+BS8)/2)</f>
        <v>0</v>
      </c>
      <c r="RA8" s="51" t="s">
        <v>58</v>
      </c>
      <c r="RB8" s="76">
        <f>IF(SUM(QH8,QL8)&gt;0,SUM(QH8,QL8),"")</f>
        <v>9.3999999999999986</v>
      </c>
      <c r="RC8" s="76">
        <f>IF(SUM(QG8:QH8,QJ8:QL8,QN8)-QI8-QM8&gt;0,SUM(QG8:QH8,QJ8:QL8,QN8)-QI8-QM8,"")</f>
        <v>45.750000000000007</v>
      </c>
      <c r="RD8" s="76">
        <f>IF(SUM(QO8:QP8,QR8)-QQ8&gt;0,SUM(QO8:QP8,QR8)-QQ8,"")</f>
        <v>23.95</v>
      </c>
      <c r="RE8" s="76">
        <f>IF(SUM(QH8,QL8,QP8)&gt;0,SUM(QH8,QL8,QP8),"")</f>
        <v>15.2</v>
      </c>
      <c r="RF8" s="76">
        <f>IF(SUM(RC8,RD8)&gt;0,SUM(RC8,RD8),"")</f>
        <v>69.7</v>
      </c>
      <c r="RG8" s="76">
        <f>IF(SUM(QT8,QX8)&gt;0,SUM(QT8,QX8),"")</f>
        <v>11.8</v>
      </c>
      <c r="RH8" s="76">
        <f>IF(SUM(QS8:QT8,QV8:QX8,QZ8)-SUM(QU8,QY8)&gt;0,SUM(QS8:QT8,QV8:QX8,QZ8)-SUM(QU8,QY8),"")</f>
        <v>47.499999999999993</v>
      </c>
      <c r="RI8" s="76">
        <f>IF(SUM(RC8,RH8)&gt;0,SUM(RC8,RH8),"")</f>
        <v>93.25</v>
      </c>
    </row>
    <row r="9" spans="1:477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6" t="s">
        <v>102</v>
      </c>
      <c r="C9" s="7" t="s">
        <v>5</v>
      </c>
      <c r="D9" s="18">
        <v>1999</v>
      </c>
      <c r="E9" s="14">
        <f>SUM(J9:T9)+SUM(J9:P9)*0.0000001+SUM(J9)*0.0000000000001</f>
        <v>192.94001430000475</v>
      </c>
      <c r="F9" s="3" t="str">
        <f>IF(OR(AND(AR9&gt;=AY$19,AS9&gt;=AY$23,AR9&lt;&gt;"",AQ9=""),AND(AW9&gt;=AY$19,AX9&gt;=AY$23,AW9&lt;&gt;"",AQ9=""),AND(BU9&gt;=CB$19,BV9&gt;=CB$23,BU9&lt;&gt;"",BT9=""),AND(BZ9&gt;=CB$19,CA9&gt;=CB$23,BZ9&lt;&gt;"",BT9=""),AND(CX9&gt;=DE$19,CY9&gt;=DE$23,CX9&lt;&gt;"",CW9=""),AND(DC9&gt;=DE$19,DD9&gt;=DE$23,DC9&lt;&gt;""),AND(EC9&gt;=EJ$19,ED9&gt;=EJ$23,EC9&lt;&gt;""),AND(EH9&gt;=EJ$19,EI9&gt;=EJ$23,EH9&lt;&gt;""),AND(FE9&gt;=FL$19,FF9&gt;=FL$23,FE9&lt;&gt;""),AND(FJ9&gt;=FL$19,FK9&gt;=FL$23,FJ9&lt;&gt;""),AND(GG9&gt;=GN$19,GH9&gt;=GN$23,GG9&lt;&gt;""),AND(GL9&gt;=GN$19,GM9&gt;=GN$23,GL9&lt;&gt;""),AND(HI9&gt;=HP$19,HJ9&gt;=HP$23,HI9&lt;&gt;""),AND(HN9&gt;=HP$19,HO9&gt;=HP$23,HN9&lt;&gt;""),AND(IK9&gt;=IR$19,IL9&gt;=IR$23,IK9&lt;&gt;""),AND(IP9&gt;=IR$19,IQ9&gt;=IR$23,IP9&lt;&gt;""),AND(JM9&gt;=JT$19,JN9&gt;=JT$23,JM9&lt;&gt;""),AND(JR9&gt;=JT$19,JS9&gt;=JT$23,JR9&lt;&gt;""),AND(KO9&gt;=KV$19,KP9&gt;=KV$23,KO9&lt;&gt;""),AND(KT9&gt;=KV$19,KU9&gt;=KV$23,KT9&lt;&gt;""),AND(LQ9&gt;=LX$19,LR9&gt;=LX$23,LQ9&lt;&gt;""),AND(LV9&gt;=LX$19,LW9&gt;=LX$23,LV9&lt;&gt;""),AND(MS9&gt;=MZ$19,MT9&gt;=MZ$23,MS9&lt;&gt;""),AND(MX9&gt;=MZ$19,MY9&gt;=MZ$23,MX9&lt;&gt;""),AND(NU9&gt;=OB$19,NV9&gt;=OB$23,NU9&lt;&gt;""),AND(NZ9&gt;=OB$19,OA9&gt;=OB$23,NZ9&lt;&gt;""),AND(OW9&gt;=PD$19,OX9&gt;=PD$23,OW9&lt;&gt;""),AND(PB9&gt;=PD$19,PC9&gt;=PD$23,PB9&lt;&gt;""),AND(PY9&gt;=QF$19,PZ9&gt;=QF$23,PY9&lt;&gt;""),AND(QD9&gt;=QF$19,QE9&gt;=QF$23,QD9&lt;&gt;"")),"P","")</f>
        <v>P</v>
      </c>
      <c r="G9" s="3" t="str">
        <f>IF(OR(AND(AS9&gt;=AY$23,AS9&lt;&gt;"",AQ9=""),AND(AX9&gt;=AY$23,AX9&lt;&gt;"",AQ9=""),AND(BV9&gt;=CB$23,BV9&lt;&gt;"",BT9=""),AND(CA9&gt;=CB$23,CA9&lt;&gt;"",BT9=""),AND(CY9&gt;=DE$23,CY9&lt;&gt;"",CW9=""),AND(DD9&gt;=DE$23,DD9&lt;&gt;"",CW9=""),AND(ED9&gt;=EJ$23,ED9&lt;&gt;""),AND(EI9&gt;=EJ$23,EI9&lt;&gt;""),AND(FF9&gt;=FL$23,FF9&lt;&gt;""),AND(FK9&gt;=FL$23,FK9&lt;&gt;""),AND(GH9&gt;=GN$23,GH9&lt;&gt;""),AND(GM9&gt;=GN$23,GM9&lt;&gt;""),AND(HJ9&gt;=HP$23,HJ9&lt;&gt;""),AND(HO9&gt;=HP$23,HO9&lt;&gt;""),AND(IL9&gt;=IR$23,IL9&lt;&gt;""),AND(IQ9&gt;=IR$23,IQ9&lt;&gt;""),AND(JN9&gt;=JT$23,JN9&lt;&gt;""),AND(JS9&gt;=JT$23,JS9&lt;&gt;""),AND(KP9&gt;=KV$23,KP9&lt;&gt;""),AND(KU9&gt;=KV$23,KU9&lt;&gt;""),AND(LR9&gt;=LX$23,LR9&lt;&gt;""),AND(LW9&gt;=LX$23,LW9&lt;&gt;""),AND(MT9&gt;=MZ$23,MT9&lt;&gt;""),AND(MY9&gt;=MZ$23,MY9&lt;&gt;""),AND(NV9&gt;=OB$23,NV9&lt;&gt;""),AND(OA9&gt;=OB$23,OA9&lt;&gt;""),AND(OX9&gt;=PD$23,OX9&lt;&gt;""),AND(PC9&gt;=PD$23,PC9&lt;&gt;""),AND(PZ9&gt;=QF$23,PZ9&lt;&gt;""),AND(QE9&gt;=QF$23,QE9&lt;&gt;"")),"P","")</f>
        <v>P</v>
      </c>
      <c r="H9" s="70" t="str">
        <f>IF(AND(G9="P",F9=""),"No DD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Merit",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Excellence",IF(I9="P","Worlds Team",IF(F9="P","National Team","")))))</f>
        <v>National Team</v>
      </c>
      <c r="I9" s="3" t="str">
        <f>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P","")</f>
        <v/>
      </c>
      <c r="J9" s="13">
        <f>IF(COUNT(AS9,BV9,CY9)&gt;0,LARGE((AS9,BV9,CY9),1),0)</f>
        <v>47.4</v>
      </c>
      <c r="K9" s="13" t="str">
        <f>IF(J9=0,"",IF(J9=CY9,$CC$1,IF(J9=BV9,$AZ$1,IF(J9=AS9,$W$1,""))))</f>
        <v>2022 Nationals</v>
      </c>
      <c r="L9" s="13">
        <f>IF(COUNT(AS9,BV9,CY9)&gt;1,LARGE((AS9,BV9,CY9),2),0)</f>
        <v>47.099999999999994</v>
      </c>
      <c r="M9" s="13" t="str">
        <f>IF(L9=0,"",IF(L9=CY9,$CC$1,IF(L9=BV9,$AZ$1,IF(L9=AS9,$W$1,""))))</f>
        <v>2022 3rd Domestic Trial</v>
      </c>
      <c r="N9" s="13">
        <f>IF(COUNT(AT9,BW9,CZ9)&gt;0,LARGE((AT9,BW9,CZ9),1),0)</f>
        <v>24.4</v>
      </c>
      <c r="O9" s="13" t="str">
        <f>IF(N9=0,"",IF(N9=CZ9,$CC$1,IF(N9=BW9,$AZ$1,IF(N9=AT9,$W$1,""))))</f>
        <v>2022 Nationals</v>
      </c>
      <c r="P9" s="13">
        <f>IF(COUNT(AT9,BW9,CZ9)&gt;1,LARGE((AT9,BW9,CZ9),2),0)</f>
        <v>24.099999999999998</v>
      </c>
      <c r="Q9" s="13" t="str">
        <f>IF(P9=0,"",IF(P9=CZ9,$CC$1,IF(P9=BW9,$AZ$1,IF(P9=AT9,$W$1,""))))</f>
        <v>2022 3rd Domestic Trial</v>
      </c>
      <c r="R9" s="13">
        <f>IF(MAX(AX9,CA9,DD9)&gt;0,MAX(AX9,CA9,DD9),0)</f>
        <v>48.84</v>
      </c>
      <c r="S9" s="13" t="str">
        <f>IF(R9=0,"",IF(R9=DD9,$CC$1,IF(R9=CA9,$AZ$1,IF(R9=AX9,$W$1,""))))</f>
        <v>2022 3rd Domestic Trial</v>
      </c>
      <c r="T9" s="13">
        <f>IF(MAX(DF9:DH9)&gt;0,MAX(DF9:DH9),"")</f>
        <v>1.1000000000000014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>
        <v>18.7</v>
      </c>
      <c r="X9" s="27">
        <v>5.6</v>
      </c>
      <c r="Y9" s="27">
        <v>0</v>
      </c>
      <c r="Z9" s="27">
        <v>0</v>
      </c>
      <c r="AA9" s="27">
        <v>18.600000000000001</v>
      </c>
      <c r="AB9" s="27">
        <v>3.3</v>
      </c>
      <c r="AC9" s="27">
        <v>1.1000000000000001</v>
      </c>
      <c r="AD9" s="27">
        <v>0</v>
      </c>
      <c r="AE9" s="27">
        <v>19.100000000000001</v>
      </c>
      <c r="AF9" s="27">
        <v>5.2</v>
      </c>
      <c r="AG9" s="27">
        <v>0.6</v>
      </c>
      <c r="AH9" s="27">
        <v>0</v>
      </c>
      <c r="AI9" s="27">
        <v>18.7</v>
      </c>
      <c r="AJ9" s="27">
        <v>5.6</v>
      </c>
      <c r="AK9" s="27">
        <v>0</v>
      </c>
      <c r="AL9" s="27">
        <v>0</v>
      </c>
      <c r="AM9" s="27">
        <v>18.899999999999999</v>
      </c>
      <c r="AN9" s="27">
        <v>5.6</v>
      </c>
      <c r="AO9" s="27">
        <v>0</v>
      </c>
      <c r="AP9" s="27">
        <v>0</v>
      </c>
      <c r="AQ9" s="51"/>
      <c r="AR9" s="76">
        <f>IF(SUM(X9,AB9)&gt;0,SUM(X9,AB9),"")</f>
        <v>8.8999999999999986</v>
      </c>
      <c r="AS9" s="76">
        <f>IF(SUM(W9:X9,Z9:AB9,AD9)-Y9-AC9&gt;0,SUM(W9:X9,Z9:AB9,AD9)-Y9-AC9,"")</f>
        <v>45.099999999999994</v>
      </c>
      <c r="AT9" s="76">
        <f>IF(SUM(AE9:AF9,AH9)-AG9&gt;0,SUM(AE9:AF9,AH9)-AG9,"")</f>
        <v>23.7</v>
      </c>
      <c r="AU9" s="76">
        <f>IF(SUM(X9,AB9,AF9)&gt;0,SUM(X9,AB9,AF9),"")</f>
        <v>14.099999999999998</v>
      </c>
      <c r="AV9" s="76">
        <f>IF(SUM(AS9,AT9)&gt;0,SUM(AS9,AT9),"")</f>
        <v>68.8</v>
      </c>
      <c r="AW9" s="76">
        <f>IF(SUM(AJ9,AN9)&gt;0,SUM(AJ9,AN9),"")</f>
        <v>11.2</v>
      </c>
      <c r="AX9" s="76">
        <f>IF(SUM(AI9:AJ9,AL9:AN9,AP9)-SUM(AK9,AO9)&gt;0,SUM(AI9:AJ9,AL9:AN9,AP9)-SUM(AK9,AO9),"")</f>
        <v>48.8</v>
      </c>
      <c r="AY9" s="76">
        <f>IF(SUM(AS9,AX9)&gt;0,SUM(AS9,AX9),"")</f>
        <v>93.899999999999991</v>
      </c>
      <c r="AZ9" s="26">
        <v>18.600000000000001</v>
      </c>
      <c r="BA9" s="26">
        <v>5.6</v>
      </c>
      <c r="BB9" s="26">
        <v>0.6</v>
      </c>
      <c r="BC9" s="26">
        <v>0</v>
      </c>
      <c r="BD9" s="26">
        <v>18.8</v>
      </c>
      <c r="BE9" s="26">
        <v>5.6</v>
      </c>
      <c r="BF9" s="26">
        <v>0.6</v>
      </c>
      <c r="BG9" s="26">
        <v>0</v>
      </c>
      <c r="BH9" s="26">
        <v>18.8</v>
      </c>
      <c r="BI9" s="26">
        <v>5.6</v>
      </c>
      <c r="BJ9" s="26">
        <v>0</v>
      </c>
      <c r="BK9" s="26">
        <v>0</v>
      </c>
      <c r="BL9" s="26">
        <v>17.2</v>
      </c>
      <c r="BM9" s="26">
        <v>3.2</v>
      </c>
      <c r="BN9" s="26">
        <v>0</v>
      </c>
      <c r="BO9" s="26">
        <v>0.3</v>
      </c>
      <c r="BP9" s="26">
        <v>18.5</v>
      </c>
      <c r="BQ9" s="26">
        <v>6</v>
      </c>
      <c r="BR9" s="26">
        <v>0.2</v>
      </c>
      <c r="BS9" s="26">
        <v>0</v>
      </c>
      <c r="BT9" s="52"/>
      <c r="BU9" s="16">
        <f>IF(SUM(BA9,BE9)&gt;0,SUM(BA9,BE9),"")</f>
        <v>11.2</v>
      </c>
      <c r="BV9" s="16">
        <f>IF(SUM(AZ9:BA9,BC9:BE9,BG9)-BB9-BF9&gt;0,SUM(AZ9:BA9,BC9:BE9,BG9)-BB9-BF9,"")</f>
        <v>47.4</v>
      </c>
      <c r="BW9" s="16">
        <f>IF(SUM(BH9:BI9,BK9)-BJ9&gt;0,SUM(BH9:BI9,BK9)-BJ9,"")</f>
        <v>24.4</v>
      </c>
      <c r="BX9" s="16">
        <f>IF(SUM(BA9,BE9,BI9)&gt;0,SUM(BA9,BE9,BI9),"")</f>
        <v>16.799999999999997</v>
      </c>
      <c r="BY9" s="16">
        <f>IF(SUM(BV9,BW9)&gt;0,SUM(BV9,BW9),"")</f>
        <v>71.8</v>
      </c>
      <c r="BZ9" s="16">
        <f>IF(SUM(BM9,BQ9)&gt;0,SUM(BM9,BQ9),"")</f>
        <v>9.1999999999999993</v>
      </c>
      <c r="CA9" s="16">
        <f>IF(SUM(BL9:BM9,BO9:BQ9,BS9)-SUM(BN9,BR9)&gt;0,SUM(BL9:BM9,BO9:BQ9,BS9)-SUM(BN9,BR9),"")</f>
        <v>45</v>
      </c>
      <c r="CB9" s="16">
        <f>IF(SUM(BV9,CA9)&gt;0,SUM(BV9,CA9),"")</f>
        <v>92.4</v>
      </c>
      <c r="CC9" s="27">
        <v>18.5</v>
      </c>
      <c r="CD9" s="27">
        <v>4.4000000000000004</v>
      </c>
      <c r="CE9" s="27">
        <v>0.2</v>
      </c>
      <c r="CF9" s="27">
        <v>0</v>
      </c>
      <c r="CG9" s="27">
        <v>19</v>
      </c>
      <c r="CH9" s="27">
        <v>6</v>
      </c>
      <c r="CI9" s="27">
        <v>0.6</v>
      </c>
      <c r="CJ9" s="27">
        <v>0</v>
      </c>
      <c r="CK9" s="27">
        <v>18.8</v>
      </c>
      <c r="CL9" s="27">
        <v>5.6</v>
      </c>
      <c r="CM9" s="27">
        <v>0.6</v>
      </c>
      <c r="CN9" s="27">
        <v>0.3</v>
      </c>
      <c r="CO9" s="27">
        <v>18.739999999999998</v>
      </c>
      <c r="CP9" s="27">
        <v>6</v>
      </c>
      <c r="CQ9" s="27">
        <v>0.2</v>
      </c>
      <c r="CR9" s="27">
        <v>0</v>
      </c>
      <c r="CS9" s="27">
        <v>18.600000000000001</v>
      </c>
      <c r="CT9" s="27">
        <v>6</v>
      </c>
      <c r="CU9" s="27">
        <v>0.6</v>
      </c>
      <c r="CV9" s="27">
        <v>0.3</v>
      </c>
      <c r="CW9" s="51"/>
      <c r="CX9" s="76">
        <f>IF(SUM(CD9,CH9)&gt;0,SUM(CD9,CH9),"")</f>
        <v>10.4</v>
      </c>
      <c r="CY9" s="76">
        <f>IF(SUM(CC9:CD9,CF9:CH9,CJ9)-CE9-CI9&gt;0,SUM(CC9:CD9,CF9:CH9,CJ9)-CE9-CI9,"")</f>
        <v>47.099999999999994</v>
      </c>
      <c r="CZ9" s="76">
        <f>IF(SUM(CK9:CL9,CN9)-CM9&gt;0,SUM(CK9:CL9,CN9)-CM9,"")</f>
        <v>24.099999999999998</v>
      </c>
      <c r="DA9" s="76">
        <f>IF(SUM(CD9,CH9,CL9)&gt;0,SUM(CD9,CH9,CL9),"")</f>
        <v>16</v>
      </c>
      <c r="DB9" s="76">
        <f>IF(SUM(CY9,CZ9)&gt;0,SUM(CY9,CZ9),"")</f>
        <v>71.199999999999989</v>
      </c>
      <c r="DC9" s="76">
        <f>IF(SUM(CP9,CT9)&gt;0,SUM(CP9,CT9),"")</f>
        <v>12</v>
      </c>
      <c r="DD9" s="76">
        <f>IF(SUM(CO9:CP9,CR9:CT9,CV9)-SUM(CQ9,CU9)&gt;0,SUM(CO9:CP9,CR9:CT9,CV9)-SUM(CQ9,CU9),"")</f>
        <v>48.84</v>
      </c>
      <c r="DE9" s="76">
        <f>IF(SUM(CY9,DD9)&gt;0,SUM(CY9,DD9),"")</f>
        <v>95.94</v>
      </c>
      <c r="DF9" s="87">
        <f>IF(L9&gt;=0.001,IF(MAX(ED9,FF9,GH9,HJ9,IL9,JN9,KP9,LR9,MT9,NV9,OX9,PZ9)-IF(L9="",0,L9)&gt;0.001,MAX(ED9,FF9,GH9,HJ9,IL9,JN9,KP9,LR9,MT9,NV9,OX9,PZ9)-IF(L9="",0,L9),""),"")</f>
        <v>1.1000000000000014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 t="str">
        <f>IF(R9&gt;=0.001,IF(MAX(EI9,FK9,GM9,HO9,IQ9,JS9,KU9,LW9,MY9,OA9,PC9,QE9)-IF(R9="",0,R9)&gt;0.001,MAX(EI9,FK9,GM9,HO9,IQ9,JS9,KU9,LW9,MY9,OA9,PC9,QE9)-IF(R9="",0,R9),""),"")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18.7</v>
      </c>
      <c r="EL9" s="26">
        <v>5.6</v>
      </c>
      <c r="EM9" s="26">
        <v>0.6</v>
      </c>
      <c r="EN9" s="26">
        <v>0</v>
      </c>
      <c r="EO9" s="26">
        <v>18.899999999999999</v>
      </c>
      <c r="EP9" s="26">
        <v>5.6</v>
      </c>
      <c r="EQ9" s="26">
        <v>0</v>
      </c>
      <c r="ER9" s="26">
        <v>0</v>
      </c>
      <c r="ES9" s="26"/>
      <c r="ET9" s="26"/>
      <c r="EU9" s="26"/>
      <c r="EV9" s="26"/>
      <c r="EW9" s="26">
        <v>18.899999999999999</v>
      </c>
      <c r="EX9" s="26">
        <v>2.8</v>
      </c>
      <c r="EY9" s="26">
        <v>1.6</v>
      </c>
      <c r="EZ9" s="26">
        <v>0</v>
      </c>
      <c r="FA9" s="26">
        <v>18.399999999999999</v>
      </c>
      <c r="FB9" s="26">
        <v>2.4</v>
      </c>
      <c r="FC9" s="26">
        <v>2.2000000000000002</v>
      </c>
      <c r="FD9" s="26">
        <v>0</v>
      </c>
      <c r="FE9" s="16">
        <f>IF(SUM(EL9,EP9)&gt;0,SUM(EL9,EP9),"")</f>
        <v>11.2</v>
      </c>
      <c r="FF9" s="16">
        <f>IF(SUM(EK9:EL9,EN9:EP9,ER9)-EM9-EQ9&gt;0,SUM(EK9:EL9,EN9:EP9,ER9)-EM9-EQ9,"")</f>
        <v>48.199999999999996</v>
      </c>
      <c r="FG9" s="16" t="str">
        <f>IF(SUM(ES9:ET9,EV9)-EU9&gt;0,SUM(ES9:ET9,EV9)-EU9,"")</f>
        <v/>
      </c>
      <c r="FH9" s="16">
        <f>IF(SUM(EL9,EP9,ET9)&gt;0,SUM(EL9,EP9,ET9),"")</f>
        <v>11.2</v>
      </c>
      <c r="FI9" s="16">
        <f>IF(SUM(FF9,FG9)&gt;0,SUM(FF9,FG9),"")</f>
        <v>48.199999999999996</v>
      </c>
      <c r="FJ9" s="16">
        <f>IF(SUM(EX9,FB9)&gt;0,SUM(EX9,FB9),"")</f>
        <v>5.1999999999999993</v>
      </c>
      <c r="FK9" s="16">
        <f>IF(SUM(EW9:EX9,EZ9:FB9,FD9)-SUM(EY9,FC9)&gt;0,SUM(EW9:EX9,EZ9:FB9,FD9)-SUM(EY9,FC9),"")</f>
        <v>38.699999999999996</v>
      </c>
      <c r="FL9" s="16">
        <f>IF(SUM(FF9,FK9)&gt;0,SUM(FF9,FK9),"")</f>
        <v>86.899999999999991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18.55</v>
      </c>
      <c r="QH9" s="42">
        <f>IF($CW9="P",CD9,(CD9+BA9)/2)</f>
        <v>5</v>
      </c>
      <c r="QI9" s="42">
        <f>IF($CW9="P",CE9,(CE9+BB9)/2)</f>
        <v>0.4</v>
      </c>
      <c r="QJ9" s="42">
        <f>IF($CW9="P",CF9,(CF9+BC9)/2)</f>
        <v>0</v>
      </c>
      <c r="QK9" s="42">
        <f>IF($CW9="P",CG9,(CG9+BD9)/2)</f>
        <v>18.899999999999999</v>
      </c>
      <c r="QL9" s="42">
        <f>IF($CW9="P",CH9,(CH9+BE9)/2)</f>
        <v>5.8</v>
      </c>
      <c r="QM9" s="42">
        <f>IF($CW9="P",CI9,(CI9+BF9)/2)</f>
        <v>0.6</v>
      </c>
      <c r="QN9" s="42">
        <f>IF($CW9="P",CJ9,(CJ9+BG9)/2)</f>
        <v>0</v>
      </c>
      <c r="QO9" s="42">
        <f>IF($CW9="P",CK9,(CK9+BH9)/2)</f>
        <v>18.8</v>
      </c>
      <c r="QP9" s="42">
        <f>IF($CW9="P",CL9,(CL9+BI9)/2)</f>
        <v>5.6</v>
      </c>
      <c r="QQ9" s="42">
        <f>IF($CW9="P",CM9,(CM9+BJ9)/2)</f>
        <v>0.3</v>
      </c>
      <c r="QR9" s="42">
        <f>IF($CW9="P",CN9,(CN9+BK9)/2)</f>
        <v>0.15</v>
      </c>
      <c r="QS9" s="42">
        <f>IF($CW9="P",CO9,(CO9+BL9)/2)</f>
        <v>17.97</v>
      </c>
      <c r="QT9" s="42">
        <f>IF($CW9="P",CP9,(CP9+BM9)/2)</f>
        <v>4.5999999999999996</v>
      </c>
      <c r="QU9" s="42">
        <f>IF($CW9="P",CQ9,(CQ9+BN9)/2)</f>
        <v>0.1</v>
      </c>
      <c r="QV9" s="42">
        <f>IF($CW9="P",CR9,(CR9+BO9)/2)</f>
        <v>0.15</v>
      </c>
      <c r="QW9" s="42">
        <f>IF($CW9="P",CS9,(CS9+BP9)/2)</f>
        <v>18.55</v>
      </c>
      <c r="QX9" s="42">
        <f>IF($CW9="P",CT9,(CT9+BQ9)/2)</f>
        <v>6</v>
      </c>
      <c r="QY9" s="42">
        <f>IF($CW9="P",CU9,(CU9+BR9)/2)</f>
        <v>0.4</v>
      </c>
      <c r="QZ9" s="42">
        <f>IF($CW9="P",CV9,(CV9+BS9)/2)</f>
        <v>0.15</v>
      </c>
      <c r="RA9" s="51" t="s">
        <v>58</v>
      </c>
      <c r="RB9" s="76">
        <f>IF(SUM(QH9,QL9)&gt;0,SUM(QH9,QL9),"")</f>
        <v>10.8</v>
      </c>
      <c r="RC9" s="76">
        <f>IF(SUM(QG9:QH9,QJ9:QL9,QN9)-QI9-QM9&gt;0,SUM(QG9:QH9,QJ9:QL9,QN9)-QI9-QM9,"")</f>
        <v>47.25</v>
      </c>
      <c r="RD9" s="76">
        <f>IF(SUM(QO9:QP9,QR9)-QQ9&gt;0,SUM(QO9:QP9,QR9)-QQ9,"")</f>
        <v>24.249999999999996</v>
      </c>
      <c r="RE9" s="76">
        <f>IF(SUM(QH9,QL9,QP9)&gt;0,SUM(QH9,QL9,QP9),"")</f>
        <v>16.399999999999999</v>
      </c>
      <c r="RF9" s="76">
        <f>IF(SUM(RC9,RD9)&gt;0,SUM(RC9,RD9),"")</f>
        <v>71.5</v>
      </c>
      <c r="RG9" s="76">
        <f>IF(SUM(QT9,QX9)&gt;0,SUM(QT9,QX9),"")</f>
        <v>10.6</v>
      </c>
      <c r="RH9" s="76">
        <f>IF(SUM(QS9:QT9,QV9:QX9,QZ9)-SUM(QU9,QY9)&gt;0,SUM(QS9:QT9,QV9:QX9,QZ9)-SUM(QU9,QY9),"")</f>
        <v>46.919999999999995</v>
      </c>
      <c r="RI9" s="76">
        <f>IF(SUM(RC9,RH9)&gt;0,SUM(RC9,RH9),"")</f>
        <v>94.169999999999987</v>
      </c>
    </row>
    <row r="10" spans="1:477" x14ac:dyDescent="0.2">
      <c r="A10" s="5">
        <f>IF(AND(F10="P",G10="P"),SUMPRODUCT((F$4:F$17="P")*(G$4:G$17="P")*(E$4:E$17&gt;E10))+1,IF(G10="P",SUMPRODUCT((F$4:F$17="")*(G$4:G$17="P")*(E$4:E$17&gt;E10))+1+SUMPRODUCT((F$4:F$17="P")*(G$4:G$17="P")),""))</f>
        <v>7</v>
      </c>
      <c r="B10" s="6" t="s">
        <v>76</v>
      </c>
      <c r="C10" s="7" t="s">
        <v>6</v>
      </c>
      <c r="D10" s="18">
        <v>2001</v>
      </c>
      <c r="E10" s="14">
        <f>SUM(J10:T10)+SUM(J10:P10)*0.0000001+SUM(J10)*0.0000000000001</f>
        <v>191.20001419500488</v>
      </c>
      <c r="F10" s="3" t="str">
        <f>IF(OR(AND(AR10&gt;=AY$19,AS10&gt;=AY$23,AR10&lt;&gt;"",AQ10=""),AND(AW10&gt;=AY$19,AX10&gt;=AY$23,AW10&lt;&gt;"",AQ10=""),AND(BU10&gt;=CB$19,BV10&gt;=CB$23,BU10&lt;&gt;"",BT10=""),AND(BZ10&gt;=CB$19,CA10&gt;=CB$23,BZ10&lt;&gt;"",BT10=""),AND(CX10&gt;=DE$19,CY10&gt;=DE$23,CX10&lt;&gt;"",CW10=""),AND(DC10&gt;=DE$19,DD10&gt;=DE$23,DC10&lt;&gt;""),AND(EC10&gt;=EJ$19,ED10&gt;=EJ$23,EC10&lt;&gt;""),AND(EH10&gt;=EJ$19,EI10&gt;=EJ$23,EH10&lt;&gt;""),AND(FE10&gt;=FL$19,FF10&gt;=FL$23,FE10&lt;&gt;""),AND(FJ10&gt;=FL$19,FK10&gt;=FL$23,FJ10&lt;&gt;""),AND(GG10&gt;=GN$19,GH10&gt;=GN$23,GG10&lt;&gt;""),AND(GL10&gt;=GN$19,GM10&gt;=GN$23,GL10&lt;&gt;""),AND(HI10&gt;=HP$19,HJ10&gt;=HP$23,HI10&lt;&gt;""),AND(HN10&gt;=HP$19,HO10&gt;=HP$23,HN10&lt;&gt;""),AND(IK10&gt;=IR$19,IL10&gt;=IR$23,IK10&lt;&gt;""),AND(IP10&gt;=IR$19,IQ10&gt;=IR$23,IP10&lt;&gt;""),AND(JM10&gt;=JT$19,JN10&gt;=JT$23,JM10&lt;&gt;""),AND(JR10&gt;=JT$19,JS10&gt;=JT$23,JR10&lt;&gt;""),AND(KO10&gt;=KV$19,KP10&gt;=KV$23,KO10&lt;&gt;""),AND(KT10&gt;=KV$19,KU10&gt;=KV$23,KT10&lt;&gt;""),AND(LQ10&gt;=LX$19,LR10&gt;=LX$23,LQ10&lt;&gt;""),AND(LV10&gt;=LX$19,LW10&gt;=LX$23,LV10&lt;&gt;""),AND(MS10&gt;=MZ$19,MT10&gt;=MZ$23,MS10&lt;&gt;""),AND(MX10&gt;=MZ$19,MY10&gt;=MZ$23,MX10&lt;&gt;""),AND(NU10&gt;=OB$19,NV10&gt;=OB$23,NU10&lt;&gt;""),AND(NZ10&gt;=OB$19,OA10&gt;=OB$23,NZ10&lt;&gt;""),AND(OW10&gt;=PD$19,OX10&gt;=PD$23,OW10&lt;&gt;""),AND(PB10&gt;=PD$19,PC10&gt;=PD$23,PB10&lt;&gt;""),AND(PY10&gt;=QF$19,PZ10&gt;=QF$23,PY10&lt;&gt;""),AND(QD10&gt;=QF$19,QE10&gt;=QF$23,QD10&lt;&gt;"")),"P","")</f>
        <v>P</v>
      </c>
      <c r="G10" s="3" t="str">
        <f>IF(OR(AND(AS10&gt;=AY$23,AS10&lt;&gt;"",AQ10=""),AND(AX10&gt;=AY$23,AX10&lt;&gt;"",AQ10=""),AND(BV10&gt;=CB$23,BV10&lt;&gt;"",BT10=""),AND(CA10&gt;=CB$23,CA10&lt;&gt;"",BT10=""),AND(CY10&gt;=DE$23,CY10&lt;&gt;"",CW10=""),AND(DD10&gt;=DE$23,DD10&lt;&gt;"",CW10=""),AND(ED10&gt;=EJ$23,ED10&lt;&gt;""),AND(EI10&gt;=EJ$23,EI10&lt;&gt;""),AND(FF10&gt;=FL$23,FF10&lt;&gt;""),AND(FK10&gt;=FL$23,FK10&lt;&gt;""),AND(GH10&gt;=GN$23,GH10&lt;&gt;""),AND(GM10&gt;=GN$23,GM10&lt;&gt;""),AND(HJ10&gt;=HP$23,HJ10&lt;&gt;""),AND(HO10&gt;=HP$23,HO10&lt;&gt;""),AND(IL10&gt;=IR$23,IL10&lt;&gt;""),AND(IQ10&gt;=IR$23,IQ10&lt;&gt;""),AND(JN10&gt;=JT$23,JN10&lt;&gt;""),AND(JS10&gt;=JT$23,JS10&lt;&gt;""),AND(KP10&gt;=KV$23,KP10&lt;&gt;""),AND(KU10&gt;=KV$23,KU10&lt;&gt;""),AND(LR10&gt;=LX$23,LR10&lt;&gt;""),AND(LW10&gt;=LX$23,LW10&lt;&gt;""),AND(MT10&gt;=MZ$23,MT10&lt;&gt;""),AND(MY10&gt;=MZ$23,MY10&lt;&gt;""),AND(NV10&gt;=OB$23,NV10&lt;&gt;""),AND(OA10&gt;=OB$23,OA10&lt;&gt;""),AND(OX10&gt;=PD$23,OX10&lt;&gt;""),AND(PC10&gt;=PD$23,PC10&lt;&gt;""),AND(PZ10&gt;=QF$23,PZ10&lt;&gt;""),AND(QE10&gt;=QF$23,QE10&lt;&gt;"")),"P","")</f>
        <v>P</v>
      </c>
      <c r="H10" s="70" t="str">
        <f>IF(AND(G10="P",F10=""),"No DD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Merit",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Excellence",IF(I10="P","Worlds Team",IF(F10="P","National Team","")))))</f>
        <v>Worlds Team</v>
      </c>
      <c r="I10" s="3" t="str">
        <f>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P","")</f>
        <v>P</v>
      </c>
      <c r="J10" s="13">
        <f>IF(COUNT(AS10,BV10,CY10)&gt;0,LARGE((AS10,BV10,CY10),1),0)</f>
        <v>48.5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46.050000000000004</v>
      </c>
      <c r="M10" s="13" t="str">
        <f>IF(L10=0,"",IF(L10=CY10,$CC$1,IF(L10=BV10,$AZ$1,IF(L10=AS10,$W$1,""))))</f>
        <v>2022 3rd Domestic Trial</v>
      </c>
      <c r="N10" s="13">
        <f>IF(COUNT(AT10,BW10,CZ10)&gt;0,LARGE((AT10,BW10,CZ10),1),0)</f>
        <v>23.8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23.6</v>
      </c>
      <c r="Q10" s="13" t="str">
        <f>IF(P10=0,"",IF(P10=CZ10,$CC$1,IF(P10=BW10,$AZ$1,IF(P10=AT10,$W$1,""))))</f>
        <v>2022 3rd Domestic Trial</v>
      </c>
      <c r="R10" s="13">
        <f>IF(MAX(AX10,CA10,DD10)&gt;0,MAX(AX10,CA10,DD10),0)</f>
        <v>47.5</v>
      </c>
      <c r="S10" s="13" t="str">
        <f>IF(R10=0,"",IF(R10=DD10,$CC$1,IF(R10=CA10,$AZ$1,IF(R10=AX10,$W$1,""))))</f>
        <v>2022 Elite Canada</v>
      </c>
      <c r="T10" s="13">
        <f>IF(MAX(DF10:DH10)&gt;0,MAX(DF10:DH10),"")</f>
        <v>1.7499999999999929</v>
      </c>
      <c r="U10" s="16" t="str">
        <f>IF(T10="","",IF(T10=DF10,"("&amp;DF$2&amp;")",IF(T10=DH10,"("&amp;DH$2&amp;")")))</f>
        <v>(Q1)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Cup POR (June 26)</v>
      </c>
      <c r="W10" s="27">
        <v>18.600000000000001</v>
      </c>
      <c r="X10" s="27">
        <v>5.6</v>
      </c>
      <c r="Y10" s="27">
        <v>0.2</v>
      </c>
      <c r="Z10" s="27">
        <v>0</v>
      </c>
      <c r="AA10" s="27">
        <v>18.5</v>
      </c>
      <c r="AB10" s="27">
        <v>6</v>
      </c>
      <c r="AC10" s="27">
        <v>0</v>
      </c>
      <c r="AD10" s="27">
        <v>0</v>
      </c>
      <c r="AE10" s="27">
        <v>19</v>
      </c>
      <c r="AF10" s="27">
        <v>4.8</v>
      </c>
      <c r="AG10" s="27">
        <v>0</v>
      </c>
      <c r="AH10" s="27">
        <v>0</v>
      </c>
      <c r="AI10" s="27">
        <v>18.3</v>
      </c>
      <c r="AJ10" s="27">
        <v>5.6</v>
      </c>
      <c r="AK10" s="27">
        <v>0.2</v>
      </c>
      <c r="AL10" s="27">
        <v>0</v>
      </c>
      <c r="AM10" s="27">
        <v>18</v>
      </c>
      <c r="AN10" s="27">
        <v>6</v>
      </c>
      <c r="AO10" s="27">
        <v>0.2</v>
      </c>
      <c r="AP10" s="27">
        <v>0</v>
      </c>
      <c r="AQ10" s="51"/>
      <c r="AR10" s="76">
        <f>IF(SUM(X10,AB10)&gt;0,SUM(X10,AB10),"")</f>
        <v>11.6</v>
      </c>
      <c r="AS10" s="76">
        <f>IF(SUM(W10:X10,Z10:AB10,AD10)-Y10-AC10&gt;0,SUM(W10:X10,Z10:AB10,AD10)-Y10-AC10,"")</f>
        <v>48.5</v>
      </c>
      <c r="AT10" s="76">
        <f>IF(SUM(AE10:AF10,AH10)-AG10&gt;0,SUM(AE10:AF10,AH10)-AG10,"")</f>
        <v>23.8</v>
      </c>
      <c r="AU10" s="76">
        <f>IF(SUM(X10,AB10,AF10)&gt;0,SUM(X10,AB10,AF10),"")</f>
        <v>16.399999999999999</v>
      </c>
      <c r="AV10" s="76">
        <f>IF(SUM(AS10,AT10)&gt;0,SUM(AS10,AT10),"")</f>
        <v>72.3</v>
      </c>
      <c r="AW10" s="76">
        <f>IF(SUM(AJ10,AN10)&gt;0,SUM(AJ10,AN10),"")</f>
        <v>11.6</v>
      </c>
      <c r="AX10" s="76">
        <f>IF(SUM(AI10:AJ10,AL10:AN10,AP10)-SUM(AK10,AO10)&gt;0,SUM(AI10:AJ10,AL10:AN10,AP10)-SUM(AK10,AO10),"")</f>
        <v>47.5</v>
      </c>
      <c r="AY10" s="76">
        <f>IF(SUM(AS10,AX10)&gt;0,SUM(AS10,AX10),"")</f>
        <v>96</v>
      </c>
      <c r="AZ10" s="26">
        <v>18.399999999999999</v>
      </c>
      <c r="BA10" s="26">
        <v>5.6</v>
      </c>
      <c r="BB10" s="26">
        <v>0</v>
      </c>
      <c r="BC10" s="26">
        <v>0</v>
      </c>
      <c r="BD10" s="26">
        <v>17.2</v>
      </c>
      <c r="BE10" s="26">
        <v>2.4</v>
      </c>
      <c r="BF10" s="26">
        <v>0</v>
      </c>
      <c r="BG10" s="26">
        <v>0</v>
      </c>
      <c r="BH10" s="26">
        <v>18.600000000000001</v>
      </c>
      <c r="BI10" s="26">
        <v>4.8</v>
      </c>
      <c r="BJ10" s="26">
        <v>0</v>
      </c>
      <c r="BK10" s="26">
        <v>0</v>
      </c>
      <c r="BL10" s="26">
        <v>18.399999999999999</v>
      </c>
      <c r="BM10" s="26">
        <v>5.6</v>
      </c>
      <c r="BN10" s="26">
        <v>0</v>
      </c>
      <c r="BO10" s="26">
        <v>0</v>
      </c>
      <c r="BP10" s="26">
        <v>18.3</v>
      </c>
      <c r="BQ10" s="26">
        <v>3</v>
      </c>
      <c r="BR10" s="26">
        <v>1.4</v>
      </c>
      <c r="BS10" s="26">
        <v>0</v>
      </c>
      <c r="BT10" s="52"/>
      <c r="BU10" s="16">
        <f>IF(SUM(BA10,BE10)&gt;0,SUM(BA10,BE10),"")</f>
        <v>8</v>
      </c>
      <c r="BV10" s="16">
        <f>IF(SUM(AZ10:BA10,BC10:BE10,BG10)-BB10-BF10&gt;0,SUM(AZ10:BA10,BC10:BE10,BG10)-BB10-BF10,"")</f>
        <v>43.6</v>
      </c>
      <c r="BW10" s="16">
        <f>IF(SUM(BH10:BI10,BK10)-BJ10&gt;0,SUM(BH10:BI10,BK10)-BJ10,"")</f>
        <v>23.400000000000002</v>
      </c>
      <c r="BX10" s="16">
        <f>IF(SUM(BA10,BE10,BI10)&gt;0,SUM(BA10,BE10,BI10),"")</f>
        <v>12.8</v>
      </c>
      <c r="BY10" s="16">
        <f>IF(SUM(BV10,BW10)&gt;0,SUM(BV10,BW10),"")</f>
        <v>67</v>
      </c>
      <c r="BZ10" s="16">
        <f>IF(SUM(BM10,BQ10)&gt;0,SUM(BM10,BQ10),"")</f>
        <v>8.6</v>
      </c>
      <c r="CA10" s="16">
        <f>IF(SUM(BL10:BM10,BO10:BQ10,BS10)-SUM(BN10,BR10)&gt;0,SUM(BL10:BM10,BO10:BQ10,BS10)-SUM(BN10,BR10),"")</f>
        <v>43.9</v>
      </c>
      <c r="CB10" s="16">
        <f>IF(SUM(BV10,CA10)&gt;0,SUM(BV10,CA10),"")</f>
        <v>87.5</v>
      </c>
      <c r="CC10" s="27">
        <v>18.5</v>
      </c>
      <c r="CD10" s="27">
        <v>5.6</v>
      </c>
      <c r="CE10" s="27">
        <v>0.1</v>
      </c>
      <c r="CF10" s="27">
        <v>0</v>
      </c>
      <c r="CG10" s="27">
        <v>17.850000000000001</v>
      </c>
      <c r="CH10" s="27">
        <v>4.2</v>
      </c>
      <c r="CI10" s="27">
        <v>0</v>
      </c>
      <c r="CJ10" s="27">
        <v>0</v>
      </c>
      <c r="CK10" s="27">
        <v>18.8</v>
      </c>
      <c r="CL10" s="27">
        <v>4.8</v>
      </c>
      <c r="CM10" s="27">
        <v>0</v>
      </c>
      <c r="CN10" s="27">
        <v>0</v>
      </c>
      <c r="CO10" s="27">
        <v>18.350000000000001</v>
      </c>
      <c r="CP10" s="27">
        <v>5.6</v>
      </c>
      <c r="CQ10" s="27">
        <v>0.1</v>
      </c>
      <c r="CR10" s="27">
        <v>0</v>
      </c>
      <c r="CS10" s="27">
        <v>18.149999999999999</v>
      </c>
      <c r="CT10" s="27">
        <v>4.5</v>
      </c>
      <c r="CU10" s="27">
        <v>0.79999999999999993</v>
      </c>
      <c r="CV10" s="27">
        <v>0</v>
      </c>
      <c r="CW10" s="51" t="s">
        <v>58</v>
      </c>
      <c r="CX10" s="76">
        <f>IF(SUM(CD10,CH10)&gt;0,SUM(CD10,CH10),"")</f>
        <v>9.8000000000000007</v>
      </c>
      <c r="CY10" s="76">
        <f>IF(SUM(CC10:CD10,CF10:CH10,CJ10)-CE10-CI10&gt;0,SUM(CC10:CD10,CF10:CH10,CJ10)-CE10-CI10,"")</f>
        <v>46.050000000000004</v>
      </c>
      <c r="CZ10" s="76">
        <f>IF(SUM(CK10:CL10,CN10)-CM10&gt;0,SUM(CK10:CL10,CN10)-CM10,"")</f>
        <v>23.6</v>
      </c>
      <c r="DA10" s="76">
        <f>IF(SUM(CD10,CH10,CL10)&gt;0,SUM(CD10,CH10,CL10),"")</f>
        <v>14.600000000000001</v>
      </c>
      <c r="DB10" s="76">
        <f>IF(SUM(CY10,CZ10)&gt;0,SUM(CY10,CZ10),"")</f>
        <v>69.650000000000006</v>
      </c>
      <c r="DC10" s="76">
        <f>IF(SUM(CP10,CT10)&gt;0,SUM(CP10,CT10),"")</f>
        <v>10.1</v>
      </c>
      <c r="DD10" s="76">
        <f>IF(SUM(CO10:CP10,CR10:CT10,CV10)-SUM(CQ10,CU10)&gt;0,SUM(CO10:CP10,CR10:CT10,CV10)-SUM(CQ10,CU10),"")</f>
        <v>45.7</v>
      </c>
      <c r="DE10" s="76">
        <f>IF(SUM(CY10,DD10)&gt;0,SUM(CY10,DD10),"")</f>
        <v>91.75</v>
      </c>
      <c r="DF10" s="87">
        <f>IF(L10&gt;=0.001,IF(MAX(ED10,FF10,GH10,HJ10,IL10,JN10,KP10,LR10,MT10,NV10,OX10,PZ10)-IF(L10="",0,L10)&gt;0.001,MAX(ED10,FF10,GH10,HJ10,IL10,JN10,KP10,LR10,MT10,NV10,OX10,PZ10)-IF(L10="",0,L10),""),"")</f>
        <v>1.7499999999999929</v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9.9999999999994316E-2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18.600000000000001</v>
      </c>
      <c r="EL10" s="26">
        <v>5.6</v>
      </c>
      <c r="EM10" s="26">
        <v>0</v>
      </c>
      <c r="EN10" s="26">
        <v>0</v>
      </c>
      <c r="EO10" s="26">
        <v>18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</v>
      </c>
      <c r="EX10" s="26">
        <v>5.6</v>
      </c>
      <c r="EY10" s="26">
        <v>0.2</v>
      </c>
      <c r="EZ10" s="26">
        <v>0</v>
      </c>
      <c r="FA10" s="26">
        <v>18.2</v>
      </c>
      <c r="FB10" s="26">
        <v>6</v>
      </c>
      <c r="FC10" s="26">
        <v>0</v>
      </c>
      <c r="FD10" s="26">
        <v>0</v>
      </c>
      <c r="FE10" s="16">
        <f>IF(SUM(EL10,EP10)&gt;0,SUM(EL10,EP10),"")</f>
        <v>11.2</v>
      </c>
      <c r="FF10" s="16">
        <f>IF(SUM(EK10:EL10,EN10:EP10,ER10)-EM10-EQ10&gt;0,SUM(EK10:EL10,EN10:EP10,ER10)-EM10-EQ10,"")</f>
        <v>47.6</v>
      </c>
      <c r="FG10" s="16" t="str">
        <f>IF(SUM(ES10:ET10,EV10)-EU10&gt;0,SUM(ES10:ET10,EV10)-EU10,"")</f>
        <v/>
      </c>
      <c r="FH10" s="16">
        <f>IF(SUM(EL10,EP10,ET10)&gt;0,SUM(EL10,EP10,ET10),"")</f>
        <v>11.2</v>
      </c>
      <c r="FI10" s="16">
        <f>IF(SUM(FF10,FG10)&gt;0,SUM(FF10,FG10),"")</f>
        <v>47.6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47.599999999999994</v>
      </c>
      <c r="FL10" s="16">
        <f>IF(SUM(FF10,FK10)&gt;0,SUM(FF10,FK10),"")</f>
        <v>95.199999999999989</v>
      </c>
      <c r="FM10" s="25">
        <v>18.600000000000001</v>
      </c>
      <c r="FN10" s="25">
        <v>5.6</v>
      </c>
      <c r="FO10" s="25">
        <v>0</v>
      </c>
      <c r="FP10" s="25">
        <v>0</v>
      </c>
      <c r="FQ10" s="25">
        <v>18.2</v>
      </c>
      <c r="FR10" s="25">
        <v>5.6</v>
      </c>
      <c r="FS10" s="25">
        <v>0.6</v>
      </c>
      <c r="FT10" s="25">
        <v>0</v>
      </c>
      <c r="FU10" s="25"/>
      <c r="FV10" s="25"/>
      <c r="FW10" s="25"/>
      <c r="FX10" s="25"/>
      <c r="FY10" s="25">
        <v>18.100000000000001</v>
      </c>
      <c r="FZ10" s="25">
        <v>4.8</v>
      </c>
      <c r="GA10" s="25">
        <v>0.6</v>
      </c>
      <c r="GB10" s="25">
        <v>0</v>
      </c>
      <c r="GC10" s="25">
        <v>16.600000000000001</v>
      </c>
      <c r="GD10" s="25">
        <v>6</v>
      </c>
      <c r="GE10" s="25">
        <v>0.2</v>
      </c>
      <c r="GF10" s="25">
        <v>0</v>
      </c>
      <c r="GG10" s="76">
        <f>IF(SUM(FN10,FR10)&gt;0,SUM(FN10,FR10),"")</f>
        <v>11.2</v>
      </c>
      <c r="GH10" s="76">
        <f>IF(SUM(FM10:FN10,FP10:FR10,FT10)-FO10-FS10&gt;0,SUM(FM10:FN10,FP10:FR10,FT10)-FO10-FS10,"")</f>
        <v>47.400000000000006</v>
      </c>
      <c r="GI10" s="76" t="str">
        <f>IF(SUM(FU10:FV10,FX10)-FW10&gt;0,SUM(FU10:FV10,FX10)-FW10,"")</f>
        <v/>
      </c>
      <c r="GJ10" s="76">
        <f>IF(SUM(FN10,FR10,FV10)&gt;0,SUM(FN10,FR10,FV10),"")</f>
        <v>11.2</v>
      </c>
      <c r="GK10" s="76">
        <f>IF(SUM(GH10,GI10)&gt;0,SUM(GH10,GI10),"")</f>
        <v>47.400000000000006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44.7</v>
      </c>
      <c r="GN10" s="76">
        <f>IF(SUM(GH10,GM10)&gt;0,SUM(GH10,GM10),"")</f>
        <v>92.100000000000009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>
        <v>18.8</v>
      </c>
      <c r="HR10" s="25">
        <v>5.6</v>
      </c>
      <c r="HS10" s="25">
        <v>0</v>
      </c>
      <c r="HT10" s="25">
        <v>0</v>
      </c>
      <c r="HU10" s="25">
        <v>17.600000000000001</v>
      </c>
      <c r="HV10" s="25">
        <v>6</v>
      </c>
      <c r="HW10" s="25">
        <v>0.2</v>
      </c>
      <c r="HX10" s="25">
        <v>0</v>
      </c>
      <c r="HY10" s="25"/>
      <c r="HZ10" s="25"/>
      <c r="IA10" s="25"/>
      <c r="IB10" s="25"/>
      <c r="IC10" s="25">
        <v>18.399999999999999</v>
      </c>
      <c r="ID10" s="25">
        <v>5.6</v>
      </c>
      <c r="IE10" s="25">
        <v>0</v>
      </c>
      <c r="IF10" s="25">
        <v>0</v>
      </c>
      <c r="IG10" s="25"/>
      <c r="IH10" s="25"/>
      <c r="II10" s="25"/>
      <c r="IJ10" s="25"/>
      <c r="IK10" s="76">
        <f>IF(SUM(HR10,HV10)&gt;0,SUM(HR10,HV10),"")</f>
        <v>11.6</v>
      </c>
      <c r="IL10" s="76">
        <f>IF(SUM(HQ10:HR10,HT10:HV10,HX10)-HS10-HW10&gt;0,SUM(HQ10:HR10,HT10:HV10,HX10)-HS10-HW10,"")</f>
        <v>47.8</v>
      </c>
      <c r="IM10" s="76" t="str">
        <f>IF(SUM(HY10:HZ10,IB10)-IA10&gt;0,SUM(HY10:HZ10,IB10)-IA10,"")</f>
        <v/>
      </c>
      <c r="IN10" s="76">
        <f>IF(SUM(HR10,HV10,HZ10)&gt;0,SUM(HR10,HV10,HZ10),"")</f>
        <v>11.6</v>
      </c>
      <c r="IO10" s="76">
        <f>IF(SUM(IL10,IM10)&gt;0,SUM(IL10,IM10),"")</f>
        <v>47.8</v>
      </c>
      <c r="IP10" s="76">
        <f>IF(SUM(ID10,IH10)&gt;0,SUM(ID10,IH10),"")</f>
        <v>5.6</v>
      </c>
      <c r="IQ10" s="76">
        <f>IF(SUM(IC10:ID10,IF10:IH10,IJ10)-SUM(IE10,II10)&gt;0,SUM(IC10:ID10,IF10:IH10,IJ10)-SUM(IE10,II10),"")</f>
        <v>24</v>
      </c>
      <c r="IR10" s="76">
        <f>IF(SUM(IL10,IQ10)&gt;0,SUM(IL10,IQ10),"")</f>
        <v>71.8</v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18.5</v>
      </c>
      <c r="QH10" s="42">
        <f>IF($CW10="P",CD10,(CD10+BA10)/2)</f>
        <v>5.6</v>
      </c>
      <c r="QI10" s="42">
        <f>IF($CW10="P",CE10,(CE10+BB10)/2)</f>
        <v>0.1</v>
      </c>
      <c r="QJ10" s="42">
        <f>IF($CW10="P",CF10,(CF10+BC10)/2)</f>
        <v>0</v>
      </c>
      <c r="QK10" s="42">
        <f>IF($CW10="P",CG10,(CG10+BD10)/2)</f>
        <v>17.850000000000001</v>
      </c>
      <c r="QL10" s="42">
        <f>IF($CW10="P",CH10,(CH10+BE10)/2)</f>
        <v>4.2</v>
      </c>
      <c r="QM10" s="42">
        <f>IF($CW10="P",CI10,(CI10+BF10)/2)</f>
        <v>0</v>
      </c>
      <c r="QN10" s="42">
        <f>IF($CW10="P",CJ10,(CJ10+BG10)/2)</f>
        <v>0</v>
      </c>
      <c r="QO10" s="42">
        <f>IF($CW10="P",CK10,(CK10+BH10)/2)</f>
        <v>18.8</v>
      </c>
      <c r="QP10" s="42">
        <f>IF($CW10="P",CL10,(CL10+BI10)/2)</f>
        <v>4.8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18.350000000000001</v>
      </c>
      <c r="QT10" s="42">
        <f>IF($CW10="P",CP10,(CP10+BM10)/2)</f>
        <v>5.6</v>
      </c>
      <c r="QU10" s="42">
        <f>IF($CW10="P",CQ10,(CQ10+BN10)/2)</f>
        <v>0.1</v>
      </c>
      <c r="QV10" s="42">
        <f>IF($CW10="P",CR10,(CR10+BO10)/2)</f>
        <v>0</v>
      </c>
      <c r="QW10" s="42">
        <f>IF($CW10="P",CS10,(CS10+BP10)/2)</f>
        <v>18.149999999999999</v>
      </c>
      <c r="QX10" s="42">
        <f>IF($CW10="P",CT10,(CT10+BQ10)/2)</f>
        <v>4.5</v>
      </c>
      <c r="QY10" s="42">
        <f>IF($CW10="P",CU10,(CU10+BR10)/2)</f>
        <v>0.79999999999999993</v>
      </c>
      <c r="QZ10" s="42">
        <f>IF($CW10="P",CV10,(CV10+BS10)/2)</f>
        <v>0</v>
      </c>
      <c r="RA10" s="51" t="s">
        <v>58</v>
      </c>
      <c r="RB10" s="76">
        <f>IF(SUM(QH10,QL10)&gt;0,SUM(QH10,QL10),"")</f>
        <v>9.8000000000000007</v>
      </c>
      <c r="RC10" s="76">
        <f>IF(SUM(QG10:QH10,QJ10:QL10,QN10)-QI10-QM10&gt;0,SUM(QG10:QH10,QJ10:QL10,QN10)-QI10-QM10,"")</f>
        <v>46.050000000000004</v>
      </c>
      <c r="RD10" s="76">
        <f>IF(SUM(QO10:QP10,QR10)-QQ10&gt;0,SUM(QO10:QP10,QR10)-QQ10,"")</f>
        <v>23.6</v>
      </c>
      <c r="RE10" s="76">
        <f>IF(SUM(QH10,QL10,QP10)&gt;0,SUM(QH10,QL10,QP10),"")</f>
        <v>14.600000000000001</v>
      </c>
      <c r="RF10" s="76">
        <f>IF(SUM(RC10,RD10)&gt;0,SUM(RC10,RD10),"")</f>
        <v>69.650000000000006</v>
      </c>
      <c r="RG10" s="76">
        <f>IF(SUM(QT10,QX10)&gt;0,SUM(QT10,QX10),"")</f>
        <v>10.1</v>
      </c>
      <c r="RH10" s="76">
        <f>IF(SUM(QS10:QT10,QV10:QX10,QZ10)-SUM(QU10,QY10)&gt;0,SUM(QS10:QT10,QV10:QX10,QZ10)-SUM(QU10,QY10),"")</f>
        <v>45.7</v>
      </c>
      <c r="RI10" s="76">
        <f>IF(SUM(RC10,RH10)&gt;0,SUM(RC10,RH10),"")</f>
        <v>91.75</v>
      </c>
    </row>
    <row r="11" spans="1:477" x14ac:dyDescent="0.2">
      <c r="A11" s="5">
        <f>IF(AND(F11="P",G11="P"),SUMPRODUCT((F$4:F$17="P")*(G$4:G$17="P")*(E$4:E$17&gt;E11))+1,IF(G11="P",SUMPRODUCT((F$4:F$17="")*(G$4:G$17="P")*(E$4:E$17&gt;E11))+1+SUMPRODUCT((F$4:F$17="P")*(G$4:G$17="P")),""))</f>
        <v>8</v>
      </c>
      <c r="B11" s="6" t="s">
        <v>152</v>
      </c>
      <c r="C11" s="7" t="s">
        <v>40</v>
      </c>
      <c r="D11" s="18">
        <v>2000</v>
      </c>
      <c r="E11" s="14">
        <f>SUM(J11:T11)+SUM(J11:P11)*0.0000001+SUM(J11)*0.0000000000001</f>
        <v>190.50001410000473</v>
      </c>
      <c r="F11" s="3" t="str">
        <f>IF(OR(AND(AR11&gt;=AY$19,AS11&gt;=AY$23,AR11&lt;&gt;"",AQ11=""),AND(AW11&gt;=AY$19,AX11&gt;=AY$23,AW11&lt;&gt;"",AQ11=""),AND(BU11&gt;=CB$19,BV11&gt;=CB$23,BU11&lt;&gt;"",BT11=""),AND(BZ11&gt;=CB$19,CA11&gt;=CB$23,BZ11&lt;&gt;"",BT11=""),AND(CX11&gt;=DE$19,CY11&gt;=DE$23,CX11&lt;&gt;"",CW11=""),AND(DC11&gt;=DE$19,DD11&gt;=DE$23,DC11&lt;&gt;""),AND(EC11&gt;=EJ$19,ED11&gt;=EJ$23,EC11&lt;&gt;""),AND(EH11&gt;=EJ$19,EI11&gt;=EJ$23,EH11&lt;&gt;""),AND(FE11&gt;=FL$19,FF11&gt;=FL$23,FE11&lt;&gt;""),AND(FJ11&gt;=FL$19,FK11&gt;=FL$23,FJ11&lt;&gt;""),AND(GG11&gt;=GN$19,GH11&gt;=GN$23,GG11&lt;&gt;""),AND(GL11&gt;=GN$19,GM11&gt;=GN$23,GL11&lt;&gt;""),AND(HI11&gt;=HP$19,HJ11&gt;=HP$23,HI11&lt;&gt;""),AND(HN11&gt;=HP$19,HO11&gt;=HP$23,HN11&lt;&gt;""),AND(IK11&gt;=IR$19,IL11&gt;=IR$23,IK11&lt;&gt;""),AND(IP11&gt;=IR$19,IQ11&gt;=IR$23,IP11&lt;&gt;""),AND(JM11&gt;=JT$19,JN11&gt;=JT$23,JM11&lt;&gt;""),AND(JR11&gt;=JT$19,JS11&gt;=JT$23,JR11&lt;&gt;""),AND(KO11&gt;=KV$19,KP11&gt;=KV$23,KO11&lt;&gt;""),AND(KT11&gt;=KV$19,KU11&gt;=KV$23,KT11&lt;&gt;""),AND(LQ11&gt;=LX$19,LR11&gt;=LX$23,LQ11&lt;&gt;""),AND(LV11&gt;=LX$19,LW11&gt;=LX$23,LV11&lt;&gt;""),AND(MS11&gt;=MZ$19,MT11&gt;=MZ$23,MS11&lt;&gt;""),AND(MX11&gt;=MZ$19,MY11&gt;=MZ$23,MX11&lt;&gt;""),AND(NU11&gt;=OB$19,NV11&gt;=OB$23,NU11&lt;&gt;""),AND(NZ11&gt;=OB$19,OA11&gt;=OB$23,NZ11&lt;&gt;""),AND(OW11&gt;=PD$19,OX11&gt;=PD$23,OW11&lt;&gt;""),AND(PB11&gt;=PD$19,PC11&gt;=PD$23,PB11&lt;&gt;""),AND(PY11&gt;=QF$19,PZ11&gt;=QF$23,PY11&lt;&gt;""),AND(QD11&gt;=QF$19,QE11&gt;=QF$23,QD11&lt;&gt;"")),"P","")</f>
        <v>P</v>
      </c>
      <c r="G11" s="3" t="str">
        <f>IF(OR(AND(AS11&gt;=AY$23,AS11&lt;&gt;"",AQ11=""),AND(AX11&gt;=AY$23,AX11&lt;&gt;"",AQ11=""),AND(BV11&gt;=CB$23,BV11&lt;&gt;"",BT11=""),AND(CA11&gt;=CB$23,CA11&lt;&gt;"",BT11=""),AND(CY11&gt;=DE$23,CY11&lt;&gt;"",CW11=""),AND(DD11&gt;=DE$23,DD11&lt;&gt;"",CW11=""),AND(ED11&gt;=EJ$23,ED11&lt;&gt;""),AND(EI11&gt;=EJ$23,EI11&lt;&gt;""),AND(FF11&gt;=FL$23,FF11&lt;&gt;""),AND(FK11&gt;=FL$23,FK11&lt;&gt;""),AND(GH11&gt;=GN$23,GH11&lt;&gt;""),AND(GM11&gt;=GN$23,GM11&lt;&gt;""),AND(HJ11&gt;=HP$23,HJ11&lt;&gt;""),AND(HO11&gt;=HP$23,HO11&lt;&gt;""),AND(IL11&gt;=IR$23,IL11&lt;&gt;""),AND(IQ11&gt;=IR$23,IQ11&lt;&gt;""),AND(JN11&gt;=JT$23,JN11&lt;&gt;""),AND(JS11&gt;=JT$23,JS11&lt;&gt;""),AND(KP11&gt;=KV$23,KP11&lt;&gt;""),AND(KU11&gt;=KV$23,KU11&lt;&gt;""),AND(LR11&gt;=LX$23,LR11&lt;&gt;""),AND(LW11&gt;=LX$23,LW11&lt;&gt;""),AND(MT11&gt;=MZ$23,MT11&lt;&gt;""),AND(MY11&gt;=MZ$23,MY11&lt;&gt;""),AND(NV11&gt;=OB$23,NV11&lt;&gt;""),AND(OA11&gt;=OB$23,OA11&lt;&gt;""),AND(OX11&gt;=PD$23,OX11&lt;&gt;""),AND(PC11&gt;=PD$23,PC11&lt;&gt;""),AND(PZ11&gt;=QF$23,PZ11&lt;&gt;""),AND(QE11&gt;=QF$23,QE11&lt;&gt;"")),"P","")</f>
        <v>P</v>
      </c>
      <c r="H11" s="70" t="str">
        <f>IF(AND(G11="P",F11=""),"No DD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Merit",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Excellence",IF(I11="P","Worlds Team",IF(F11="P","National Team","")))))</f>
        <v>National Team</v>
      </c>
      <c r="I11" s="3" t="str">
        <f>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P","")</f>
        <v/>
      </c>
      <c r="J11" s="13">
        <f>IF(COUNT(AS11,BV11,CY11)&gt;0,LARGE((AS11,BV11,CY11),1),0)</f>
        <v>47.6</v>
      </c>
      <c r="K11" s="13" t="str">
        <f>IF(J11=0,"",IF(J11=CY11,$CC$1,IF(J11=BV11,$AZ$1,IF(J11=AS11,$W$1,""))))</f>
        <v>2022 3rd Domestic Trial</v>
      </c>
      <c r="L11" s="13">
        <f>IF(COUNT(AS11,BV11,CY11)&gt;1,LARGE((AS11,BV11,CY11),2),0)</f>
        <v>47.5</v>
      </c>
      <c r="M11" s="13" t="str">
        <f>IF(L11=0,"",IF(L11=CY11,$CC$1,IF(L11=BV11,$AZ$1,IF(L11=AS11,$W$1,""))))</f>
        <v>2022 Nationals</v>
      </c>
      <c r="N11" s="13">
        <f>IF(COUNT(AT11,BW11,CZ11)&gt;0,LARGE((AT11,BW11,CZ11),1),0)</f>
        <v>23.5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22.4</v>
      </c>
      <c r="Q11" s="13" t="str">
        <f>IF(P11=0,"",IF(P11=CZ11,$CC$1,IF(P11=BW11,$AZ$1,IF(P11=AT11,$W$1,""))))</f>
        <v>2022 Nationals</v>
      </c>
      <c r="R11" s="13">
        <f>IF(MAX(AX11,CA11,DD11)&gt;0,MAX(AX11,CA11,DD11),0)</f>
        <v>49.5</v>
      </c>
      <c r="S11" s="13" t="str">
        <f>IF(R11=0,"",IF(R11=DD11,$CC$1,IF(R11=CA11,$AZ$1,IF(R11=AX11,$W$1,""))))</f>
        <v>2022 3rd Domestic Trial</v>
      </c>
      <c r="T11" s="13" t="str">
        <f>IF(MAX(DF11:DH11)&gt;0,MAX(DF11:DH11),"")</f>
        <v/>
      </c>
      <c r="U11" s="16" t="str">
        <f>IF(T11="","",IF(T11=DF11,"("&amp;DF$2&amp;")",IF(T11=DH11,"("&amp;DH$2&amp;")")))</f>
        <v/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/>
      </c>
      <c r="W11" s="27">
        <v>18.5</v>
      </c>
      <c r="X11" s="27">
        <v>5.2</v>
      </c>
      <c r="Y11" s="27">
        <v>0</v>
      </c>
      <c r="Z11" s="27">
        <v>0</v>
      </c>
      <c r="AA11" s="27">
        <v>18.600000000000001</v>
      </c>
      <c r="AB11" s="27">
        <v>5.6</v>
      </c>
      <c r="AC11" s="27">
        <v>0.6</v>
      </c>
      <c r="AD11" s="27">
        <v>0</v>
      </c>
      <c r="AE11" s="27">
        <v>18.2</v>
      </c>
      <c r="AF11" s="27">
        <v>5.2</v>
      </c>
      <c r="AG11" s="27">
        <v>0.2</v>
      </c>
      <c r="AH11" s="27">
        <v>0.3</v>
      </c>
      <c r="AI11" s="27">
        <v>18.399999999999999</v>
      </c>
      <c r="AJ11" s="27">
        <v>5.2</v>
      </c>
      <c r="AK11" s="27">
        <v>0.6</v>
      </c>
      <c r="AL11" s="27">
        <v>0</v>
      </c>
      <c r="AM11" s="27">
        <v>19</v>
      </c>
      <c r="AN11" s="27">
        <v>5.6</v>
      </c>
      <c r="AO11" s="27">
        <v>0.2</v>
      </c>
      <c r="AP11" s="27">
        <v>0</v>
      </c>
      <c r="AQ11" s="51"/>
      <c r="AR11" s="76">
        <f>IF(SUM(X11,AB11)&gt;0,SUM(X11,AB11),"")</f>
        <v>10.8</v>
      </c>
      <c r="AS11" s="76">
        <f>IF(SUM(W11:X11,Z11:AB11,AD11)-Y11-AC11&gt;0,SUM(W11:X11,Z11:AB11,AD11)-Y11-AC11,"")</f>
        <v>47.3</v>
      </c>
      <c r="AT11" s="76">
        <f>IF(SUM(AE11:AF11,AH11)-AG11&gt;0,SUM(AE11:AF11,AH11)-AG11,"")</f>
        <v>23.5</v>
      </c>
      <c r="AU11" s="76">
        <f>IF(SUM(X11,AB11,AF11)&gt;0,SUM(X11,AB11,AF11),"")</f>
        <v>16</v>
      </c>
      <c r="AV11" s="76">
        <f>IF(SUM(AS11,AT11)&gt;0,SUM(AS11,AT11),"")</f>
        <v>70.8</v>
      </c>
      <c r="AW11" s="76">
        <f>IF(SUM(AJ11,AN11)&gt;0,SUM(AJ11,AN11),"")</f>
        <v>10.8</v>
      </c>
      <c r="AX11" s="76">
        <f>IF(SUM(AI11:AJ11,AL11:AN11,AP11)-SUM(AK11,AO11)&gt;0,SUM(AI11:AJ11,AL11:AN11,AP11)-SUM(AK11,AO11),"")</f>
        <v>47.4</v>
      </c>
      <c r="AY11" s="76">
        <f>IF(SUM(AS11,AX11)&gt;0,SUM(AS11,AX11),"")</f>
        <v>94.699999999999989</v>
      </c>
      <c r="AZ11" s="26">
        <v>18.600000000000001</v>
      </c>
      <c r="BA11" s="26">
        <v>5.2</v>
      </c>
      <c r="BB11" s="26">
        <v>0</v>
      </c>
      <c r="BC11" s="26">
        <v>0</v>
      </c>
      <c r="BD11" s="26">
        <v>18.7</v>
      </c>
      <c r="BE11" s="26">
        <v>5.6</v>
      </c>
      <c r="BF11" s="26">
        <v>0.6</v>
      </c>
      <c r="BG11" s="26">
        <v>0</v>
      </c>
      <c r="BH11" s="26">
        <v>17.7</v>
      </c>
      <c r="BI11" s="26">
        <v>5.2</v>
      </c>
      <c r="BJ11" s="26">
        <v>0.8</v>
      </c>
      <c r="BK11" s="26">
        <v>0.3</v>
      </c>
      <c r="BL11" s="26">
        <v>18.399999999999999</v>
      </c>
      <c r="BM11" s="26">
        <v>6</v>
      </c>
      <c r="BN11" s="26">
        <v>0.2</v>
      </c>
      <c r="BO11" s="26">
        <v>0</v>
      </c>
      <c r="BP11" s="26">
        <v>18.3</v>
      </c>
      <c r="BQ11" s="26">
        <v>5.6</v>
      </c>
      <c r="BR11" s="26">
        <v>0.6</v>
      </c>
      <c r="BS11" s="26">
        <v>0</v>
      </c>
      <c r="BT11" s="52"/>
      <c r="BU11" s="16">
        <f>IF(SUM(BA11,BE11)&gt;0,SUM(BA11,BE11),"")</f>
        <v>10.8</v>
      </c>
      <c r="BV11" s="16">
        <f>IF(SUM(AZ11:BA11,BC11:BE11,BG11)-BB11-BF11&gt;0,SUM(AZ11:BA11,BC11:BE11,BG11)-BB11-BF11,"")</f>
        <v>47.5</v>
      </c>
      <c r="BW11" s="16">
        <f>IF(SUM(BH11:BI11,BK11)-BJ11&gt;0,SUM(BH11:BI11,BK11)-BJ11,"")</f>
        <v>22.4</v>
      </c>
      <c r="BX11" s="16">
        <f>IF(SUM(BA11,BE11,BI11)&gt;0,SUM(BA11,BE11,BI11),"")</f>
        <v>16</v>
      </c>
      <c r="BY11" s="16">
        <f>IF(SUM(BV11,BW11)&gt;0,SUM(BV11,BW11),"")</f>
        <v>69.900000000000006</v>
      </c>
      <c r="BZ11" s="16">
        <f>IF(SUM(BM11,BQ11)&gt;0,SUM(BM11,BQ11),"")</f>
        <v>11.6</v>
      </c>
      <c r="CA11" s="16">
        <f>IF(SUM(BL11:BM11,BO11:BQ11,BS11)-SUM(BN11,BR11)&gt;0,SUM(BL11:BM11,BO11:BQ11,BS11)-SUM(BN11,BR11),"")</f>
        <v>47.500000000000007</v>
      </c>
      <c r="CB11" s="16">
        <f>IF(SUM(BV11,CA11)&gt;0,SUM(BV11,CA11),"")</f>
        <v>95</v>
      </c>
      <c r="CC11" s="27">
        <v>18.600000000000001</v>
      </c>
      <c r="CD11" s="27">
        <v>6</v>
      </c>
      <c r="CE11" s="27">
        <v>0.2</v>
      </c>
      <c r="CF11" s="27">
        <v>0</v>
      </c>
      <c r="CG11" s="27">
        <v>18.399999999999999</v>
      </c>
      <c r="CH11" s="27">
        <v>5.6</v>
      </c>
      <c r="CI11" s="27">
        <v>0.8</v>
      </c>
      <c r="CJ11" s="27">
        <v>0</v>
      </c>
      <c r="CK11" s="27">
        <v>17</v>
      </c>
      <c r="CL11" s="27">
        <v>3.2</v>
      </c>
      <c r="CM11" s="27">
        <v>0</v>
      </c>
      <c r="CN11" s="27">
        <v>0.3</v>
      </c>
      <c r="CO11" s="27">
        <v>18.899999999999999</v>
      </c>
      <c r="CP11" s="27">
        <v>6</v>
      </c>
      <c r="CQ11" s="27">
        <v>0</v>
      </c>
      <c r="CR11" s="27">
        <v>0</v>
      </c>
      <c r="CS11" s="27">
        <v>19</v>
      </c>
      <c r="CT11" s="27">
        <v>5.6</v>
      </c>
      <c r="CU11" s="27">
        <v>0</v>
      </c>
      <c r="CV11" s="27">
        <v>0</v>
      </c>
      <c r="CW11" s="51"/>
      <c r="CX11" s="76">
        <f>IF(SUM(CD11,CH11)&gt;0,SUM(CD11,CH11),"")</f>
        <v>11.6</v>
      </c>
      <c r="CY11" s="76">
        <f>IF(SUM(CC11:CD11,CF11:CH11,CJ11)-CE11-CI11&gt;0,SUM(CC11:CD11,CF11:CH11,CJ11)-CE11-CI11,"")</f>
        <v>47.6</v>
      </c>
      <c r="CZ11" s="76">
        <f>IF(SUM(CK11:CL11,CN11)-CM11&gt;0,SUM(CK11:CL11,CN11)-CM11,"")</f>
        <v>20.5</v>
      </c>
      <c r="DA11" s="76">
        <f>IF(SUM(CD11,CH11,CL11)&gt;0,SUM(CD11,CH11,CL11),"")</f>
        <v>14.8</v>
      </c>
      <c r="DB11" s="76">
        <f>IF(SUM(CY11,CZ11)&gt;0,SUM(CY11,CZ11),"")</f>
        <v>68.099999999999994</v>
      </c>
      <c r="DC11" s="76">
        <f>IF(SUM(CP11,CT11)&gt;0,SUM(CP11,CT11),"")</f>
        <v>11.6</v>
      </c>
      <c r="DD11" s="76">
        <f>IF(SUM(CO11:CP11,CR11:CT11,CV11)-SUM(CQ11,CU11)&gt;0,SUM(CO11:CP11,CR11:CT11,CV11)-SUM(CQ11,CU11),"")</f>
        <v>49.5</v>
      </c>
      <c r="DE11" s="76">
        <f>IF(SUM(CY11,DD11)&gt;0,SUM(CY11,DD11),"")</f>
        <v>97.1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 t="str">
        <f>IF(R11&gt;=0.001,IF(MAX(EI11,FK11,GM11,HO11,IQ11,JS11,KU11,LW11,MY11,OA11,PC11,QE11)-IF(R11="",0,R11)&gt;0.001,MAX(EI11,FK11,GM11,HO11,IQ11,JS11,KU11,LW11,MY11,OA11,PC11,QE11)-IF(R11="",0,R11),""),"")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>IF(SUM(FN11,FR11)&gt;0,SUM(FN11,FR11),"")</f>
        <v/>
      </c>
      <c r="GH11" s="76" t="str">
        <f>IF(SUM(FM11:FN11,FP11:FR11,FT11)-FO11-FS11&gt;0,SUM(FM11:FN11,FP11:FR11,FT11)-FO11-FS11,"")</f>
        <v/>
      </c>
      <c r="GI11" s="76" t="str">
        <f>IF(SUM(FU11:FV11,FX11)-FW11&gt;0,SUM(FU11:FV11,FX11)-FW11,"")</f>
        <v/>
      </c>
      <c r="GJ11" s="76" t="str">
        <f>IF(SUM(FN11,FR11,FV11)&gt;0,SUM(FN11,FR11,FV11),"")</f>
        <v/>
      </c>
      <c r="GK11" s="76" t="str">
        <f>IF(SUM(GH11,GI11)&gt;0,SUM(GH11,GI11),"")</f>
        <v/>
      </c>
      <c r="GL11" s="76" t="str">
        <f>IF(SUM(FZ11,GD11)&gt;0,SUM(FZ11,GD11),"")</f>
        <v/>
      </c>
      <c r="GM11" s="76" t="str">
        <f>IF(SUM(FY11:FZ11,GB11:GD11,GF11)-SUM(GA11,GE11)&gt;0,SUM(FY11:FZ11,GB11:GD11,GF11)-SUM(GA11,GE11),"")</f>
        <v/>
      </c>
      <c r="GN11" s="76" t="str">
        <f>IF(SUM(GH11,GM11)&gt;0,SUM(GH11,GM11),"")</f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18.600000000000001</v>
      </c>
      <c r="QH11" s="42">
        <f>IF($CW11="P",CD11,(CD11+BA11)/2)</f>
        <v>5.6</v>
      </c>
      <c r="QI11" s="42">
        <f>IF($CW11="P",CE11,(CE11+BB11)/2)</f>
        <v>0.1</v>
      </c>
      <c r="QJ11" s="42">
        <f>IF($CW11="P",CF11,(CF11+BC11)/2)</f>
        <v>0</v>
      </c>
      <c r="QK11" s="42">
        <f>IF($CW11="P",CG11,(CG11+BD11)/2)</f>
        <v>18.549999999999997</v>
      </c>
      <c r="QL11" s="42">
        <f>IF($CW11="P",CH11,(CH11+BE11)/2)</f>
        <v>5.6</v>
      </c>
      <c r="QM11" s="42">
        <f>IF($CW11="P",CI11,(CI11+BF11)/2)</f>
        <v>0.7</v>
      </c>
      <c r="QN11" s="42">
        <f>IF($CW11="P",CJ11,(CJ11+BG11)/2)</f>
        <v>0</v>
      </c>
      <c r="QO11" s="42">
        <f>IF($CW11="P",CK11,(CK11+BH11)/2)</f>
        <v>17.350000000000001</v>
      </c>
      <c r="QP11" s="42">
        <f>IF($CW11="P",CL11,(CL11+BI11)/2)</f>
        <v>4.2</v>
      </c>
      <c r="QQ11" s="42">
        <f>IF($CW11="P",CM11,(CM11+BJ11)/2)</f>
        <v>0.4</v>
      </c>
      <c r="QR11" s="42">
        <f>IF($CW11="P",CN11,(CN11+BK11)/2)</f>
        <v>0.3</v>
      </c>
      <c r="QS11" s="42">
        <f>IF($CW11="P",CO11,(CO11+BL11)/2)</f>
        <v>18.649999999999999</v>
      </c>
      <c r="QT11" s="42">
        <f>IF($CW11="P",CP11,(CP11+BM11)/2)</f>
        <v>6</v>
      </c>
      <c r="QU11" s="42">
        <f>IF($CW11="P",CQ11,(CQ11+BN11)/2)</f>
        <v>0.1</v>
      </c>
      <c r="QV11" s="42">
        <f>IF($CW11="P",CR11,(CR11+BO11)/2)</f>
        <v>0</v>
      </c>
      <c r="QW11" s="42">
        <f>IF($CW11="P",CS11,(CS11+BP11)/2)</f>
        <v>18.649999999999999</v>
      </c>
      <c r="QX11" s="42">
        <f>IF($CW11="P",CT11,(CT11+BQ11)/2)</f>
        <v>5.6</v>
      </c>
      <c r="QY11" s="42">
        <f>IF($CW11="P",CU11,(CU11+BR11)/2)</f>
        <v>0.3</v>
      </c>
      <c r="QZ11" s="42">
        <f>IF($CW11="P",CV11,(CV11+BS11)/2)</f>
        <v>0</v>
      </c>
      <c r="RA11" s="51" t="s">
        <v>58</v>
      </c>
      <c r="RB11" s="76">
        <f>IF(SUM(QH11,QL11)&gt;0,SUM(QH11,QL11),"")</f>
        <v>11.2</v>
      </c>
      <c r="RC11" s="76">
        <f>IF(SUM(QG11:QH11,QJ11:QL11,QN11)-QI11-QM11&gt;0,SUM(QG11:QH11,QJ11:QL11,QN11)-QI11-QM11,"")</f>
        <v>47.55</v>
      </c>
      <c r="RD11" s="76">
        <f>IF(SUM(QO11:QP11,QR11)-QQ11&gt;0,SUM(QO11:QP11,QR11)-QQ11,"")</f>
        <v>21.450000000000003</v>
      </c>
      <c r="RE11" s="76">
        <f>IF(SUM(QH11,QL11,QP11)&gt;0,SUM(QH11,QL11,QP11),"")</f>
        <v>15.399999999999999</v>
      </c>
      <c r="RF11" s="76">
        <f>IF(SUM(RC11,RD11)&gt;0,SUM(RC11,RD11),"")</f>
        <v>69</v>
      </c>
      <c r="RG11" s="76">
        <f>IF(SUM(QT11,QX11)&gt;0,SUM(QT11,QX11),"")</f>
        <v>11.6</v>
      </c>
      <c r="RH11" s="76">
        <f>IF(SUM(QS11:QT11,QV11:QX11,QZ11)-SUM(QU11,QY11)&gt;0,SUM(QS11:QT11,QV11:QX11,QZ11)-SUM(QU11,QY11),"")</f>
        <v>48.5</v>
      </c>
      <c r="RI11" s="76">
        <f>IF(SUM(RC11,RH11)&gt;0,SUM(RC11,RH11),"")</f>
        <v>96.05</v>
      </c>
    </row>
    <row r="12" spans="1:477" x14ac:dyDescent="0.2">
      <c r="A12" s="5">
        <f>IF(AND(F12="P",G12="P"),SUMPRODUCT((F$4:F$17="P")*(G$4:G$17="P")*(E$4:E$17&gt;E12))+1,IF(G12="P",SUMPRODUCT((F$4:F$17="")*(G$4:G$17="P")*(E$4:E$17&gt;E12))+1+SUMPRODUCT((F$4:F$17="P")*(G$4:G$17="P")),""))</f>
        <v>9</v>
      </c>
      <c r="B12" s="6" t="s">
        <v>172</v>
      </c>
      <c r="C12" s="7" t="s">
        <v>5</v>
      </c>
      <c r="D12" s="18">
        <v>2001</v>
      </c>
      <c r="E12" s="14">
        <f>SUM(J12:T12)+SUM(J12:P12)*0.0000001+SUM(J12)*0.0000000000001</f>
        <v>189.20001398000468</v>
      </c>
      <c r="F12" s="3" t="str">
        <f>IF(OR(AND(AR12&gt;=AY$19,AS12&gt;=AY$23,AR12&lt;&gt;"",AQ12=""),AND(AW12&gt;=AY$19,AX12&gt;=AY$23,AW12&lt;&gt;"",AQ12=""),AND(BU12&gt;=CB$19,BV12&gt;=CB$23,BU12&lt;&gt;"",BT12=""),AND(BZ12&gt;=CB$19,CA12&gt;=CB$23,BZ12&lt;&gt;"",BT12=""),AND(CX12&gt;=DE$19,CY12&gt;=DE$23,CX12&lt;&gt;"",CW12=""),AND(DC12&gt;=DE$19,DD12&gt;=DE$23,DC12&lt;&gt;""),AND(EC12&gt;=EJ$19,ED12&gt;=EJ$23,EC12&lt;&gt;""),AND(EH12&gt;=EJ$19,EI12&gt;=EJ$23,EH12&lt;&gt;""),AND(FE12&gt;=FL$19,FF12&gt;=FL$23,FE12&lt;&gt;""),AND(FJ12&gt;=FL$19,FK12&gt;=FL$23,FJ12&lt;&gt;""),AND(GG12&gt;=GN$19,GH12&gt;=GN$23,GG12&lt;&gt;""),AND(GL12&gt;=GN$19,GM12&gt;=GN$23,GL12&lt;&gt;""),AND(HI12&gt;=HP$19,HJ12&gt;=HP$23,HI12&lt;&gt;""),AND(HN12&gt;=HP$19,HO12&gt;=HP$23,HN12&lt;&gt;""),AND(IK12&gt;=IR$19,IL12&gt;=IR$23,IK12&lt;&gt;""),AND(IP12&gt;=IR$19,IQ12&gt;=IR$23,IP12&lt;&gt;""),AND(JM12&gt;=JT$19,JN12&gt;=JT$23,JM12&lt;&gt;""),AND(JR12&gt;=JT$19,JS12&gt;=JT$23,JR12&lt;&gt;""),AND(KO12&gt;=KV$19,KP12&gt;=KV$23,KO12&lt;&gt;""),AND(KT12&gt;=KV$19,KU12&gt;=KV$23,KT12&lt;&gt;""),AND(LQ12&gt;=LX$19,LR12&gt;=LX$23,LQ12&lt;&gt;""),AND(LV12&gt;=LX$19,LW12&gt;=LX$23,LV12&lt;&gt;""),AND(MS12&gt;=MZ$19,MT12&gt;=MZ$23,MS12&lt;&gt;""),AND(MX12&gt;=MZ$19,MY12&gt;=MZ$23,MX12&lt;&gt;""),AND(NU12&gt;=OB$19,NV12&gt;=OB$23,NU12&lt;&gt;""),AND(NZ12&gt;=OB$19,OA12&gt;=OB$23,NZ12&lt;&gt;""),AND(OW12&gt;=PD$19,OX12&gt;=PD$23,OW12&lt;&gt;""),AND(PB12&gt;=PD$19,PC12&gt;=PD$23,PB12&lt;&gt;""),AND(PY12&gt;=QF$19,PZ12&gt;=QF$23,PY12&lt;&gt;""),AND(QD12&gt;=QF$19,QE12&gt;=QF$23,QD12&lt;&gt;"")),"P","")</f>
        <v>P</v>
      </c>
      <c r="G12" s="3" t="str">
        <f>IF(OR(AND(AS12&gt;=AY$23,AS12&lt;&gt;"",AQ12=""),AND(AX12&gt;=AY$23,AX12&lt;&gt;"",AQ12=""),AND(BV12&gt;=CB$23,BV12&lt;&gt;"",BT12=""),AND(CA12&gt;=CB$23,CA12&lt;&gt;"",BT12=""),AND(CY12&gt;=DE$23,CY12&lt;&gt;"",CW12=""),AND(DD12&gt;=DE$23,DD12&lt;&gt;"",CW12=""),AND(ED12&gt;=EJ$23,ED12&lt;&gt;""),AND(EI12&gt;=EJ$23,EI12&lt;&gt;""),AND(FF12&gt;=FL$23,FF12&lt;&gt;""),AND(FK12&gt;=FL$23,FK12&lt;&gt;""),AND(GH12&gt;=GN$23,GH12&lt;&gt;""),AND(GM12&gt;=GN$23,GM12&lt;&gt;""),AND(HJ12&gt;=HP$23,HJ12&lt;&gt;""),AND(HO12&gt;=HP$23,HO12&lt;&gt;""),AND(IL12&gt;=IR$23,IL12&lt;&gt;""),AND(IQ12&gt;=IR$23,IQ12&lt;&gt;""),AND(JN12&gt;=JT$23,JN12&lt;&gt;""),AND(JS12&gt;=JT$23,JS12&lt;&gt;""),AND(KP12&gt;=KV$23,KP12&lt;&gt;""),AND(KU12&gt;=KV$23,KU12&lt;&gt;""),AND(LR12&gt;=LX$23,LR12&lt;&gt;""),AND(LW12&gt;=LX$23,LW12&lt;&gt;""),AND(MT12&gt;=MZ$23,MT12&lt;&gt;""),AND(MY12&gt;=MZ$23,MY12&lt;&gt;""),AND(NV12&gt;=OB$23,NV12&lt;&gt;""),AND(OA12&gt;=OB$23,OA12&lt;&gt;""),AND(OX12&gt;=PD$23,OX12&lt;&gt;""),AND(PC12&gt;=PD$23,PC12&lt;&gt;""),AND(PZ12&gt;=QF$23,PZ12&lt;&gt;""),AND(QE12&gt;=QF$23,QE12&lt;&gt;"")),"P","")</f>
        <v>P</v>
      </c>
      <c r="H12" s="70" t="str">
        <f>IF(AND(G12="P",F12=""),"No DD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Merit",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Excellence",IF(I12="P","Worlds Team",IF(F12="P","National Team","")))))</f>
        <v>National Team</v>
      </c>
      <c r="I12" s="3" t="str">
        <f>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P","")</f>
        <v/>
      </c>
      <c r="J12" s="13">
        <f>IF(COUNT(AS12,BV12,CY12)&gt;0,LARGE((AS12,BV12,CY12),1),0)</f>
        <v>47</v>
      </c>
      <c r="K12" s="13" t="str">
        <f>IF(J12=0,"",IF(J12=CY12,$CC$1,IF(J12=BV12,$AZ$1,IF(J12=AS12,$W$1,""))))</f>
        <v>2022 Nationals</v>
      </c>
      <c r="L12" s="13">
        <f>IF(COUNT(AS12,BV12,CY12)&gt;1,LARGE((AS12,BV12,CY12),2),0)</f>
        <v>46.099999999999994</v>
      </c>
      <c r="M12" s="13" t="str">
        <f>IF(L12=0,"",IF(L12=CY12,$CC$1,IF(L12=BV12,$AZ$1,IF(L12=AS12,$W$1,""))))</f>
        <v>2022 3rd Domestic Trial</v>
      </c>
      <c r="N12" s="13">
        <f>IF(COUNT(AT12,BW12,CZ12)&gt;0,LARGE((AT12,BW12,CZ12),1),0)</f>
        <v>23.599999999999998</v>
      </c>
      <c r="O12" s="13" t="str">
        <f>IF(N12=0,"",IF(N12=CZ12,$CC$1,IF(N12=BW12,$AZ$1,IF(N12=AT12,$W$1,""))))</f>
        <v>2022 3rd Domestic Trial</v>
      </c>
      <c r="P12" s="13">
        <f>IF(COUNT(AT12,BW12,CZ12)&gt;1,LARGE((AT12,BW12,CZ12),2),0)</f>
        <v>23.1</v>
      </c>
      <c r="Q12" s="13" t="str">
        <f>IF(P12=0,"",IF(P12=CZ12,$CC$1,IF(P12=BW12,$AZ$1,IF(P12=AT12,$W$1,""))))</f>
        <v>2022 Elite Canada</v>
      </c>
      <c r="R12" s="13">
        <f>IF(MAX(AX12,CA12,DD12)&gt;0,MAX(AX12,CA12,DD12),0)</f>
        <v>48.2</v>
      </c>
      <c r="S12" s="13" t="str">
        <f>IF(R12=0,"",IF(R12=DD12,$CC$1,IF(R12=CA12,$AZ$1,IF(R12=AX12,$W$1,""))))</f>
        <v>2022 Nationals</v>
      </c>
      <c r="T12" s="13">
        <f>IF(MAX(DF12:DH12)&gt;0,MAX(DF12:DH12),"")</f>
        <v>1.2000000000000028</v>
      </c>
      <c r="U12" s="16" t="str">
        <f>IF(T12="","",IF(T12=DF12,"("&amp;DF$2&amp;")",IF(T12=DH12,"("&amp;DH$2&amp;")")))</f>
        <v>(Q1)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#2 (May 15)</v>
      </c>
      <c r="W12" s="27">
        <v>18.3</v>
      </c>
      <c r="X12" s="27">
        <v>5.2</v>
      </c>
      <c r="Y12" s="27">
        <v>0</v>
      </c>
      <c r="Z12" s="27">
        <v>0</v>
      </c>
      <c r="AA12" s="27">
        <v>18</v>
      </c>
      <c r="AB12" s="27">
        <v>5.2</v>
      </c>
      <c r="AC12" s="27">
        <v>1</v>
      </c>
      <c r="AD12" s="27">
        <v>0.3</v>
      </c>
      <c r="AE12" s="27">
        <v>18.8</v>
      </c>
      <c r="AF12" s="27">
        <v>4.3</v>
      </c>
      <c r="AG12" s="27">
        <v>0</v>
      </c>
      <c r="AH12" s="27">
        <v>0</v>
      </c>
      <c r="AI12" s="27">
        <v>18.5</v>
      </c>
      <c r="AJ12" s="27">
        <v>5.2</v>
      </c>
      <c r="AK12" s="27">
        <v>0</v>
      </c>
      <c r="AL12" s="27">
        <v>0</v>
      </c>
      <c r="AM12" s="27">
        <v>18.2</v>
      </c>
      <c r="AN12" s="27">
        <v>5.2</v>
      </c>
      <c r="AO12" s="27">
        <v>0.2</v>
      </c>
      <c r="AP12" s="27">
        <v>0.3</v>
      </c>
      <c r="AQ12" s="51"/>
      <c r="AR12" s="76">
        <f>IF(SUM(X12,AB12)&gt;0,SUM(X12,AB12),"")</f>
        <v>10.4</v>
      </c>
      <c r="AS12" s="76">
        <f>IF(SUM(W12:X12,Z12:AB12,AD12)-Y12-AC12&gt;0,SUM(W12:X12,Z12:AB12,AD12)-Y12-AC12,"")</f>
        <v>46</v>
      </c>
      <c r="AT12" s="76">
        <f>IF(SUM(AE12:AF12,AH12)-AG12&gt;0,SUM(AE12:AF12,AH12)-AG12,"")</f>
        <v>23.1</v>
      </c>
      <c r="AU12" s="76">
        <f>IF(SUM(X12,AB12,AF12)&gt;0,SUM(X12,AB12,AF12),"")</f>
        <v>14.7</v>
      </c>
      <c r="AV12" s="76">
        <f>IF(SUM(AS12,AT12)&gt;0,SUM(AS12,AT12),"")</f>
        <v>69.099999999999994</v>
      </c>
      <c r="AW12" s="76">
        <f>IF(SUM(AJ12,AN12)&gt;0,SUM(AJ12,AN12),"")</f>
        <v>10.4</v>
      </c>
      <c r="AX12" s="76">
        <f>IF(SUM(AI12:AJ12,AL12:AN12,AP12)-SUM(AK12,AO12)&gt;0,SUM(AI12:AJ12,AL12:AN12,AP12)-SUM(AK12,AO12),"")</f>
        <v>47.199999999999996</v>
      </c>
      <c r="AY12" s="76">
        <f>IF(SUM(AS12,AX12)&gt;0,SUM(AS12,AX12),"")</f>
        <v>93.199999999999989</v>
      </c>
      <c r="AZ12" s="26">
        <v>18.2</v>
      </c>
      <c r="BA12" s="26">
        <v>5.6</v>
      </c>
      <c r="BB12" s="26">
        <v>0.8</v>
      </c>
      <c r="BC12" s="26">
        <v>0</v>
      </c>
      <c r="BD12" s="26">
        <v>18.2</v>
      </c>
      <c r="BE12" s="26">
        <v>6</v>
      </c>
      <c r="BF12" s="26">
        <v>0.2</v>
      </c>
      <c r="BG12" s="26">
        <v>0</v>
      </c>
      <c r="BH12" s="26">
        <v>17.899999999999999</v>
      </c>
      <c r="BI12" s="26">
        <v>4.4000000000000004</v>
      </c>
      <c r="BJ12" s="26">
        <v>1</v>
      </c>
      <c r="BK12" s="26">
        <v>0</v>
      </c>
      <c r="BL12" s="26">
        <v>18.399999999999999</v>
      </c>
      <c r="BM12" s="26">
        <v>5.6</v>
      </c>
      <c r="BN12" s="26">
        <v>0</v>
      </c>
      <c r="BO12" s="26">
        <v>0</v>
      </c>
      <c r="BP12" s="26">
        <v>18.2</v>
      </c>
      <c r="BQ12" s="26">
        <v>6</v>
      </c>
      <c r="BR12" s="26">
        <v>0</v>
      </c>
      <c r="BS12" s="26">
        <v>0</v>
      </c>
      <c r="BT12" s="52"/>
      <c r="BU12" s="16">
        <f>IF(SUM(BA12,BE12)&gt;0,SUM(BA12,BE12),"")</f>
        <v>11.6</v>
      </c>
      <c r="BV12" s="16">
        <f>IF(SUM(AZ12:BA12,BC12:BE12,BG12)-BB12-BF12&gt;0,SUM(AZ12:BA12,BC12:BE12,BG12)-BB12-BF12,"")</f>
        <v>47</v>
      </c>
      <c r="BW12" s="16">
        <f>IF(SUM(BH12:BI12,BK12)-BJ12&gt;0,SUM(BH12:BI12,BK12)-BJ12,"")</f>
        <v>21.299999999999997</v>
      </c>
      <c r="BX12" s="16">
        <f>IF(SUM(BA12,BE12,BI12)&gt;0,SUM(BA12,BE12,BI12),"")</f>
        <v>16</v>
      </c>
      <c r="BY12" s="16">
        <f>IF(SUM(BV12,BW12)&gt;0,SUM(BV12,BW12),"")</f>
        <v>68.3</v>
      </c>
      <c r="BZ12" s="16">
        <f>IF(SUM(BM12,BQ12)&gt;0,SUM(BM12,BQ12),"")</f>
        <v>11.6</v>
      </c>
      <c r="CA12" s="16">
        <f>IF(SUM(BL12:BM12,BO12:BQ12,BS12)-SUM(BN12,BR12)&gt;0,SUM(BL12:BM12,BO12:BQ12,BS12)-SUM(BN12,BR12),"")</f>
        <v>48.2</v>
      </c>
      <c r="CB12" s="16">
        <f>IF(SUM(BV12,CA12)&gt;0,SUM(BV12,CA12),"")</f>
        <v>95.2</v>
      </c>
      <c r="CC12" s="27">
        <v>18.5</v>
      </c>
      <c r="CD12" s="27">
        <v>4.8</v>
      </c>
      <c r="CE12" s="27">
        <v>0.6</v>
      </c>
      <c r="CF12" s="27">
        <v>0</v>
      </c>
      <c r="CG12" s="27">
        <v>19.2</v>
      </c>
      <c r="CH12" s="27">
        <v>4.3</v>
      </c>
      <c r="CI12" s="27">
        <v>0.1</v>
      </c>
      <c r="CJ12" s="27">
        <v>0</v>
      </c>
      <c r="CK12" s="27">
        <v>18.2</v>
      </c>
      <c r="CL12" s="27">
        <v>5.6</v>
      </c>
      <c r="CM12" s="27">
        <v>0.2</v>
      </c>
      <c r="CN12" s="27">
        <v>0</v>
      </c>
      <c r="CO12" s="27">
        <v>18.5</v>
      </c>
      <c r="CP12" s="27">
        <v>4.8</v>
      </c>
      <c r="CQ12" s="27">
        <v>0</v>
      </c>
      <c r="CR12" s="27">
        <v>0</v>
      </c>
      <c r="CS12" s="27">
        <v>18.100000000000001</v>
      </c>
      <c r="CT12" s="27">
        <v>4.8</v>
      </c>
      <c r="CU12" s="27">
        <v>0.8</v>
      </c>
      <c r="CV12" s="27">
        <v>0</v>
      </c>
      <c r="CW12" s="51"/>
      <c r="CX12" s="76">
        <f>IF(SUM(CD12,CH12)&gt;0,SUM(CD12,CH12),"")</f>
        <v>9.1</v>
      </c>
      <c r="CY12" s="76">
        <f>IF(SUM(CC12:CD12,CF12:CH12,CJ12)-CE12-CI12&gt;0,SUM(CC12:CD12,CF12:CH12,CJ12)-CE12-CI12,"")</f>
        <v>46.099999999999994</v>
      </c>
      <c r="CZ12" s="76">
        <f>IF(SUM(CK12:CL12,CN12)-CM12&gt;0,SUM(CK12:CL12,CN12)-CM12,"")</f>
        <v>23.599999999999998</v>
      </c>
      <c r="DA12" s="76">
        <f>IF(SUM(CD12,CH12,CL12)&gt;0,SUM(CD12,CH12,CL12),"")</f>
        <v>14.7</v>
      </c>
      <c r="DB12" s="76">
        <f>IF(SUM(CY12,CZ12)&gt;0,SUM(CY12,CZ12),"")</f>
        <v>69.699999999999989</v>
      </c>
      <c r="DC12" s="76">
        <f>IF(SUM(CP12,CT12)&gt;0,SUM(CP12,CT12),"")</f>
        <v>9.6</v>
      </c>
      <c r="DD12" s="76">
        <f>IF(SUM(CO12:CP12,CR12:CT12,CV12)-SUM(CQ12,CU12)&gt;0,SUM(CO12:CP12,CR12:CT12,CV12)-SUM(CQ12,CU12),"")</f>
        <v>45.400000000000006</v>
      </c>
      <c r="DE12" s="76">
        <f>IF(SUM(CY12,DD12)&gt;0,SUM(CY12,DD12),"")</f>
        <v>91.5</v>
      </c>
      <c r="DF12" s="87">
        <f>IF(L12&gt;=0.001,IF(MAX(ED12,FF12,GH12,HJ12,IL12,JN12,KP12,LR12,MT12,NV12,OX12,PZ12)-IF(L12="",0,L12)&gt;0.001,MAX(ED12,FF12,GH12,HJ12,IL12,JN12,KP12,LR12,MT12,NV12,OX12,PZ12)-IF(L12="",0,L12),""),"")</f>
        <v>1.2000000000000028</v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0.49999999999999289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>
        <v>17.899999999999999</v>
      </c>
      <c r="FN12" s="25">
        <v>6</v>
      </c>
      <c r="FO12" s="25">
        <v>0</v>
      </c>
      <c r="FP12" s="25">
        <v>0</v>
      </c>
      <c r="FQ12" s="25">
        <v>18.399999999999999</v>
      </c>
      <c r="FR12" s="25">
        <v>5.6</v>
      </c>
      <c r="FS12" s="25">
        <v>0.6</v>
      </c>
      <c r="FT12" s="25">
        <v>0</v>
      </c>
      <c r="FU12" s="25"/>
      <c r="FV12" s="25"/>
      <c r="FW12" s="25"/>
      <c r="FX12" s="25"/>
      <c r="FY12" s="25">
        <v>18.7</v>
      </c>
      <c r="FZ12" s="25">
        <v>5.6</v>
      </c>
      <c r="GA12" s="25">
        <v>0</v>
      </c>
      <c r="GB12" s="25">
        <v>0</v>
      </c>
      <c r="GC12" s="25">
        <v>18.600000000000001</v>
      </c>
      <c r="GD12" s="25">
        <v>6</v>
      </c>
      <c r="GE12" s="25">
        <v>0.2</v>
      </c>
      <c r="GF12" s="25">
        <v>0</v>
      </c>
      <c r="GG12" s="76">
        <f>IF(SUM(FN12,FR12)&gt;0,SUM(FN12,FR12),"")</f>
        <v>11.6</v>
      </c>
      <c r="GH12" s="76">
        <f>IF(SUM(FM12:FN12,FP12:FR12,FT12)-FO12-FS12&gt;0,SUM(FM12:FN12,FP12:FR12,FT12)-FO12-FS12,"")</f>
        <v>47.3</v>
      </c>
      <c r="GI12" s="76" t="str">
        <f>IF(SUM(FU12:FV12,FX12)-FW12&gt;0,SUM(FU12:FV12,FX12)-FW12,"")</f>
        <v/>
      </c>
      <c r="GJ12" s="76">
        <f>IF(SUM(FN12,FR12,FV12)&gt;0,SUM(FN12,FR12,FV12),"")</f>
        <v>11.6</v>
      </c>
      <c r="GK12" s="76">
        <f>IF(SUM(GH12,GI12)&gt;0,SUM(GH12,GI12),"")</f>
        <v>47.3</v>
      </c>
      <c r="GL12" s="76">
        <f>IF(SUM(FZ12,GD12)&gt;0,SUM(FZ12,GD12),"")</f>
        <v>11.6</v>
      </c>
      <c r="GM12" s="76">
        <f>IF(SUM(FY12:FZ12,GB12:GD12,GF12)-SUM(GA12,GE12)&gt;0,SUM(FY12:FZ12,GB12:GD12,GF12)-SUM(GA12,GE12),"")</f>
        <v>48.699999999999996</v>
      </c>
      <c r="GN12" s="76">
        <f>IF(SUM(GH12,GM12)&gt;0,SUM(GH12,GM12),"")</f>
        <v>96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>
        <v>0</v>
      </c>
      <c r="IT12" s="26">
        <v>0</v>
      </c>
      <c r="IU12" s="26">
        <v>0</v>
      </c>
      <c r="IV12" s="26">
        <v>0</v>
      </c>
      <c r="IW12" s="26">
        <v>18.100000000000001</v>
      </c>
      <c r="IX12" s="26">
        <v>6</v>
      </c>
      <c r="IY12" s="26">
        <v>0</v>
      </c>
      <c r="IZ12" s="26">
        <v>0</v>
      </c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>
        <f>IF(SUM(IT12,IX12)&gt;0,SUM(IT12,IX12),"")</f>
        <v>6</v>
      </c>
      <c r="JN12" s="16">
        <f>IF(SUM(IS12:IT12,IV12:IX12,IZ12)-IU12-IY12&gt;0,SUM(IS12:IT12,IV12:IX12,IZ12)-IU12-IY12,"")</f>
        <v>24.1</v>
      </c>
      <c r="JO12" s="16" t="str">
        <f>IF(SUM(JA12:JB12,JD12)-JC12&gt;0,SUM(JA12:JB12,JD12)-JC12,"")</f>
        <v/>
      </c>
      <c r="JP12" s="16">
        <f>IF(SUM(IT12,IX12,JB12)&gt;0,SUM(IT12,IX12,JB12),"")</f>
        <v>6</v>
      </c>
      <c r="JQ12" s="16">
        <f>IF(SUM(JN12,JO12)&gt;0,SUM(JN12,JO12),"")</f>
        <v>24.1</v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>
        <f>IF(SUM(JN12,JS12)&gt;0,SUM(JN12,JS12),"")</f>
        <v>24.1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18.350000000000001</v>
      </c>
      <c r="QH12" s="42">
        <f>IF($CW12="P",CD12,(CD12+BA12)/2)</f>
        <v>5.1999999999999993</v>
      </c>
      <c r="QI12" s="42">
        <f>IF($CW12="P",CE12,(CE12+BB12)/2)</f>
        <v>0.7</v>
      </c>
      <c r="QJ12" s="42">
        <f>IF($CW12="P",CF12,(CF12+BC12)/2)</f>
        <v>0</v>
      </c>
      <c r="QK12" s="42">
        <f>IF($CW12="P",CG12,(CG12+BD12)/2)</f>
        <v>18.7</v>
      </c>
      <c r="QL12" s="42">
        <f>IF($CW12="P",CH12,(CH12+BE12)/2)</f>
        <v>5.15</v>
      </c>
      <c r="QM12" s="42">
        <f>IF($CW12="P",CI12,(CI12+BF12)/2)</f>
        <v>0.15000000000000002</v>
      </c>
      <c r="QN12" s="42">
        <f>IF($CW12="P",CJ12,(CJ12+BG12)/2)</f>
        <v>0</v>
      </c>
      <c r="QO12" s="42">
        <f>IF($CW12="P",CK12,(CK12+BH12)/2)</f>
        <v>18.049999999999997</v>
      </c>
      <c r="QP12" s="42">
        <f>IF($CW12="P",CL12,(CL12+BI12)/2)</f>
        <v>5</v>
      </c>
      <c r="QQ12" s="42">
        <f>IF($CW12="P",CM12,(CM12+BJ12)/2)</f>
        <v>0.6</v>
      </c>
      <c r="QR12" s="42">
        <f>IF($CW12="P",CN12,(CN12+BK12)/2)</f>
        <v>0</v>
      </c>
      <c r="QS12" s="42">
        <f>IF($CW12="P",CO12,(CO12+BL12)/2)</f>
        <v>18.45</v>
      </c>
      <c r="QT12" s="42">
        <f>IF($CW12="P",CP12,(CP12+BM12)/2)</f>
        <v>5.1999999999999993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18.149999999999999</v>
      </c>
      <c r="QX12" s="42">
        <f>IF($CW12="P",CT12,(CT12+BQ12)/2)</f>
        <v>5.4</v>
      </c>
      <c r="QY12" s="42">
        <f>IF($CW12="P",CU12,(CU12+BR12)/2)</f>
        <v>0.4</v>
      </c>
      <c r="QZ12" s="42">
        <f>IF($CW12="P",CV12,(CV12+BS12)/2)</f>
        <v>0</v>
      </c>
      <c r="RA12" s="51" t="s">
        <v>58</v>
      </c>
      <c r="RB12" s="76">
        <f>IF(SUM(QH12,QL12)&gt;0,SUM(QH12,QL12),"")</f>
        <v>10.35</v>
      </c>
      <c r="RC12" s="76">
        <f>IF(SUM(QG12:QH12,QJ12:QL12,QN12)-QI12-QM12&gt;0,SUM(QG12:QH12,QJ12:QL12,QN12)-QI12-QM12,"")</f>
        <v>46.55</v>
      </c>
      <c r="RD12" s="76">
        <f>IF(SUM(QO12:QP12,QR12)-QQ12&gt;0,SUM(QO12:QP12,QR12)-QQ12,"")</f>
        <v>22.449999999999996</v>
      </c>
      <c r="RE12" s="76">
        <f>IF(SUM(QH12,QL12,QP12)&gt;0,SUM(QH12,QL12,QP12),"")</f>
        <v>15.35</v>
      </c>
      <c r="RF12" s="76">
        <f>IF(SUM(RC12,RD12)&gt;0,SUM(RC12,RD12),"")</f>
        <v>69</v>
      </c>
      <c r="RG12" s="76">
        <f>IF(SUM(QT12,QX12)&gt;0,SUM(QT12,QX12),"")</f>
        <v>10.6</v>
      </c>
      <c r="RH12" s="76">
        <f>IF(SUM(QS12:QT12,QV12:QX12,QZ12)-SUM(QU12,QY12)&gt;0,SUM(QS12:QT12,QV12:QX12,QZ12)-SUM(QU12,QY12),"")</f>
        <v>46.8</v>
      </c>
      <c r="RI12" s="76">
        <f>IF(SUM(RC12,RH12)&gt;0,SUM(RC12,RH12),"")</f>
        <v>93.35</v>
      </c>
    </row>
    <row r="13" spans="1:477" x14ac:dyDescent="0.2">
      <c r="A13" s="5">
        <f>IF(AND(F13="P",G13="P"),SUMPRODUCT((F$4:F$17="P")*(G$4:G$17="P")*(E$4:E$17&gt;E13))+1,IF(G13="P",SUMPRODUCT((F$4:F$17="")*(G$4:G$17="P")*(E$4:E$17&gt;E13))+1+SUMPRODUCT((F$4:F$17="P")*(G$4:G$17="P")),""))</f>
        <v>10</v>
      </c>
      <c r="B13" s="6" t="s">
        <v>94</v>
      </c>
      <c r="C13" s="7" t="s">
        <v>6</v>
      </c>
      <c r="D13" s="18">
        <v>2003</v>
      </c>
      <c r="E13" s="14">
        <f>SUM(J13:T13)+SUM(J13:P13)*0.0000001+SUM(J13)*0.0000000000001</f>
        <v>187.84001388400486</v>
      </c>
      <c r="F13" s="3" t="str">
        <f>IF(OR(AND(AR13&gt;=AY$19,AS13&gt;=AY$23,AR13&lt;&gt;"",AQ13=""),AND(AW13&gt;=AY$19,AX13&gt;=AY$23,AW13&lt;&gt;"",AQ13=""),AND(BU13&gt;=CB$19,BV13&gt;=CB$23,BU13&lt;&gt;"",BT13=""),AND(BZ13&gt;=CB$19,CA13&gt;=CB$23,BZ13&lt;&gt;"",BT13=""),AND(CX13&gt;=DE$19,CY13&gt;=DE$23,CX13&lt;&gt;"",CW13=""),AND(DC13&gt;=DE$19,DD13&gt;=DE$23,DC13&lt;&gt;""),AND(EC13&gt;=EJ$19,ED13&gt;=EJ$23,EC13&lt;&gt;""),AND(EH13&gt;=EJ$19,EI13&gt;=EJ$23,EH13&lt;&gt;""),AND(FE13&gt;=FL$19,FF13&gt;=FL$23,FE13&lt;&gt;""),AND(FJ13&gt;=FL$19,FK13&gt;=FL$23,FJ13&lt;&gt;""),AND(GG13&gt;=GN$19,GH13&gt;=GN$23,GG13&lt;&gt;""),AND(GL13&gt;=GN$19,GM13&gt;=GN$23,GL13&lt;&gt;""),AND(HI13&gt;=HP$19,HJ13&gt;=HP$23,HI13&lt;&gt;""),AND(HN13&gt;=HP$19,HO13&gt;=HP$23,HN13&lt;&gt;""),AND(IK13&gt;=IR$19,IL13&gt;=IR$23,IK13&lt;&gt;""),AND(IP13&gt;=IR$19,IQ13&gt;=IR$23,IP13&lt;&gt;""),AND(JM13&gt;=JT$19,JN13&gt;=JT$23,JM13&lt;&gt;""),AND(JR13&gt;=JT$19,JS13&gt;=JT$23,JR13&lt;&gt;""),AND(KO13&gt;=KV$19,KP13&gt;=KV$23,KO13&lt;&gt;""),AND(KT13&gt;=KV$19,KU13&gt;=KV$23,KT13&lt;&gt;""),AND(LQ13&gt;=LX$19,LR13&gt;=LX$23,LQ13&lt;&gt;""),AND(LV13&gt;=LX$19,LW13&gt;=LX$23,LV13&lt;&gt;""),AND(MS13&gt;=MZ$19,MT13&gt;=MZ$23,MS13&lt;&gt;""),AND(MX13&gt;=MZ$19,MY13&gt;=MZ$23,MX13&lt;&gt;""),AND(NU13&gt;=OB$19,NV13&gt;=OB$23,NU13&lt;&gt;""),AND(NZ13&gt;=OB$19,OA13&gt;=OB$23,NZ13&lt;&gt;""),AND(OW13&gt;=PD$19,OX13&gt;=PD$23,OW13&lt;&gt;""),AND(PB13&gt;=PD$19,PC13&gt;=PD$23,PB13&lt;&gt;""),AND(PY13&gt;=QF$19,PZ13&gt;=QF$23,PY13&lt;&gt;""),AND(QD13&gt;=QF$19,QE13&gt;=QF$23,QD13&lt;&gt;"")),"P","")</f>
        <v>P</v>
      </c>
      <c r="G13" s="3" t="str">
        <f>IF(OR(AND(AS13&gt;=AY$23,AS13&lt;&gt;"",AQ13=""),AND(AX13&gt;=AY$23,AX13&lt;&gt;"",AQ13=""),AND(BV13&gt;=CB$23,BV13&lt;&gt;"",BT13=""),AND(CA13&gt;=CB$23,CA13&lt;&gt;"",BT13=""),AND(CY13&gt;=DE$23,CY13&lt;&gt;"",CW13=""),AND(DD13&gt;=DE$23,DD13&lt;&gt;"",CW13=""),AND(ED13&gt;=EJ$23,ED13&lt;&gt;""),AND(EI13&gt;=EJ$23,EI13&lt;&gt;""),AND(FF13&gt;=FL$23,FF13&lt;&gt;""),AND(FK13&gt;=FL$23,FK13&lt;&gt;""),AND(GH13&gt;=GN$23,GH13&lt;&gt;""),AND(GM13&gt;=GN$23,GM13&lt;&gt;""),AND(HJ13&gt;=HP$23,HJ13&lt;&gt;""),AND(HO13&gt;=HP$23,HO13&lt;&gt;""),AND(IL13&gt;=IR$23,IL13&lt;&gt;""),AND(IQ13&gt;=IR$23,IQ13&lt;&gt;""),AND(JN13&gt;=JT$23,JN13&lt;&gt;""),AND(JS13&gt;=JT$23,JS13&lt;&gt;""),AND(KP13&gt;=KV$23,KP13&lt;&gt;""),AND(KU13&gt;=KV$23,KU13&lt;&gt;""),AND(LR13&gt;=LX$23,LR13&lt;&gt;""),AND(LW13&gt;=LX$23,LW13&lt;&gt;""),AND(MT13&gt;=MZ$23,MT13&lt;&gt;""),AND(MY13&gt;=MZ$23,MY13&lt;&gt;""),AND(NV13&gt;=OB$23,NV13&lt;&gt;""),AND(OA13&gt;=OB$23,OA13&lt;&gt;""),AND(OX13&gt;=PD$23,OX13&lt;&gt;""),AND(PC13&gt;=PD$23,PC13&lt;&gt;""),AND(PZ13&gt;=QF$23,PZ13&lt;&gt;""),AND(QE13&gt;=QF$23,QE13&lt;&gt;"")),"P","")</f>
        <v>P</v>
      </c>
      <c r="H13" s="70" t="str">
        <f>IF(AND(G13="P",F13=""),"No DD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Merit",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Excellence",IF(I13="P","Worlds Team",IF(F13="P","National Team","")))))</f>
        <v>National Team</v>
      </c>
      <c r="I13" s="3" t="str">
        <f>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P","")</f>
        <v/>
      </c>
      <c r="J13" s="13">
        <f>IF(COUNT(AS13,BV13,CY13)&gt;0,LARGE((AS13,BV13,CY13),1),0)</f>
        <v>48.64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47.8</v>
      </c>
      <c r="M13" s="13" t="str">
        <f>IF(L13=0,"",IF(L13=CY13,$CC$1,IF(L13=BV13,$AZ$1,IF(L13=AS13,$W$1,""))))</f>
        <v>2022 Nationals</v>
      </c>
      <c r="N13" s="13">
        <f>IF(COUNT(AT13,BW13,CZ13)&gt;0,LARGE((AT13,BW13,CZ13),1),0)</f>
        <v>22.2</v>
      </c>
      <c r="O13" s="13" t="str">
        <f>IF(N13=0,"",IF(N13=CZ13,$CC$1,IF(N13=BW13,$AZ$1,IF(N13=AT13,$W$1,""))))</f>
        <v>2022 Nationals</v>
      </c>
      <c r="P13" s="13">
        <f>IF(COUNT(AT13,BW13,CZ13)&gt;1,LARGE((AT13,BW13,CZ13),2),0)</f>
        <v>20.2</v>
      </c>
      <c r="Q13" s="13" t="str">
        <f>IF(P13=0,"",IF(P13=CZ13,$CC$1,IF(P13=BW13,$AZ$1,IF(P13=AT13,$W$1,""))))</f>
        <v>2022 Elite Canada</v>
      </c>
      <c r="R13" s="13">
        <f>IF(MAX(AX13,CA13,DD13)&gt;0,MAX(AX13,CA13,DD13),0)</f>
        <v>48.199999999999996</v>
      </c>
      <c r="S13" s="13" t="str">
        <f>IF(R13=0,"",IF(R13=DD13,$CC$1,IF(R13=CA13,$AZ$1,IF(R13=AX13,$W$1,""))))</f>
        <v>2022 Nationals</v>
      </c>
      <c r="T13" s="13">
        <f>IF(MAX(DF13:DH13)&gt;0,MAX(DF13:DH13),"")</f>
        <v>0.80000000000000426</v>
      </c>
      <c r="U13" s="16" t="str">
        <f>IF(T13="","",IF(T13=DF13,"("&amp;DF$2&amp;")",IF(T13=DH13,"("&amp;DH$2&amp;")")))</f>
        <v>(Q1)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World Games Technical Trial #2 (May 15)</v>
      </c>
      <c r="W13" s="27">
        <v>18.64</v>
      </c>
      <c r="X13" s="27">
        <v>6</v>
      </c>
      <c r="Y13" s="27">
        <v>0</v>
      </c>
      <c r="Z13" s="27">
        <v>0</v>
      </c>
      <c r="AA13" s="27">
        <v>19</v>
      </c>
      <c r="AB13" s="27">
        <v>5.6</v>
      </c>
      <c r="AC13" s="27">
        <v>0.6</v>
      </c>
      <c r="AD13" s="27">
        <v>0</v>
      </c>
      <c r="AE13" s="27">
        <v>17.399999999999999</v>
      </c>
      <c r="AF13" s="27">
        <v>2.8</v>
      </c>
      <c r="AG13" s="27">
        <v>0</v>
      </c>
      <c r="AH13" s="27">
        <v>0</v>
      </c>
      <c r="AI13" s="27">
        <v>17.399999999999999</v>
      </c>
      <c r="AJ13" s="27">
        <v>2.4</v>
      </c>
      <c r="AK13" s="27">
        <v>0</v>
      </c>
      <c r="AL13" s="27">
        <v>0</v>
      </c>
      <c r="AM13" s="27">
        <v>16.899999999999999</v>
      </c>
      <c r="AN13" s="27">
        <v>6.4</v>
      </c>
      <c r="AO13" s="27">
        <v>0.6</v>
      </c>
      <c r="AP13" s="27">
        <v>0</v>
      </c>
      <c r="AQ13" s="51"/>
      <c r="AR13" s="76">
        <f>IF(SUM(X13,AB13)&gt;0,SUM(X13,AB13),"")</f>
        <v>11.6</v>
      </c>
      <c r="AS13" s="76">
        <f>IF(SUM(W13:X13,Z13:AB13,AD13)-Y13-AC13&gt;0,SUM(W13:X13,Z13:AB13,AD13)-Y13-AC13,"")</f>
        <v>48.64</v>
      </c>
      <c r="AT13" s="76">
        <f>IF(SUM(AE13:AF13,AH13)-AG13&gt;0,SUM(AE13:AF13,AH13)-AG13,"")</f>
        <v>20.2</v>
      </c>
      <c r="AU13" s="76">
        <f>IF(SUM(X13,AB13,AF13)&gt;0,SUM(X13,AB13,AF13),"")</f>
        <v>14.399999999999999</v>
      </c>
      <c r="AV13" s="76">
        <f>IF(SUM(AS13,AT13)&gt;0,SUM(AS13,AT13),"")</f>
        <v>68.84</v>
      </c>
      <c r="AW13" s="76">
        <f>IF(SUM(AJ13,AN13)&gt;0,SUM(AJ13,AN13),"")</f>
        <v>8.8000000000000007</v>
      </c>
      <c r="AX13" s="76">
        <f>IF(SUM(AI13:AJ13,AL13:AN13,AP13)-SUM(AK13,AO13)&gt;0,SUM(AI13:AJ13,AL13:AN13,AP13)-SUM(AK13,AO13),"")</f>
        <v>42.499999999999993</v>
      </c>
      <c r="AY13" s="76">
        <f>IF(SUM(AS13,AX13)&gt;0,SUM(AS13,AX13),"")</f>
        <v>91.139999999999986</v>
      </c>
      <c r="AZ13" s="26">
        <v>18.399999999999999</v>
      </c>
      <c r="BA13" s="26">
        <v>6</v>
      </c>
      <c r="BB13" s="26">
        <v>0</v>
      </c>
      <c r="BC13" s="26">
        <v>0</v>
      </c>
      <c r="BD13" s="26">
        <v>18.399999999999999</v>
      </c>
      <c r="BE13" s="26">
        <v>5.6</v>
      </c>
      <c r="BF13" s="26">
        <v>0.6</v>
      </c>
      <c r="BG13" s="26">
        <v>0</v>
      </c>
      <c r="BH13" s="26">
        <v>18</v>
      </c>
      <c r="BI13" s="26">
        <v>4.8</v>
      </c>
      <c r="BJ13" s="26">
        <v>0.6</v>
      </c>
      <c r="BK13" s="26">
        <v>0</v>
      </c>
      <c r="BL13" s="26">
        <v>18.2</v>
      </c>
      <c r="BM13" s="26">
        <v>6</v>
      </c>
      <c r="BN13" s="26">
        <v>0</v>
      </c>
      <c r="BO13" s="26">
        <v>0</v>
      </c>
      <c r="BP13" s="26">
        <v>18.399999999999999</v>
      </c>
      <c r="BQ13" s="26">
        <v>5.6</v>
      </c>
      <c r="BR13" s="26">
        <v>0</v>
      </c>
      <c r="BS13" s="26">
        <v>0</v>
      </c>
      <c r="BT13" s="52"/>
      <c r="BU13" s="16">
        <f>IF(SUM(BA13,BE13)&gt;0,SUM(BA13,BE13),"")</f>
        <v>11.6</v>
      </c>
      <c r="BV13" s="16">
        <f>IF(SUM(AZ13:BA13,BC13:BE13,BG13)-BB13-BF13&gt;0,SUM(AZ13:BA13,BC13:BE13,BG13)-BB13-BF13,"")</f>
        <v>47.8</v>
      </c>
      <c r="BW13" s="16">
        <f>IF(SUM(BH13:BI13,BK13)-BJ13&gt;0,SUM(BH13:BI13,BK13)-BJ13,"")</f>
        <v>22.2</v>
      </c>
      <c r="BX13" s="16">
        <f>IF(SUM(BA13,BE13,BI13)&gt;0,SUM(BA13,BE13,BI13),"")</f>
        <v>16.399999999999999</v>
      </c>
      <c r="BY13" s="16">
        <f>IF(SUM(BV13,BW13)&gt;0,SUM(BV13,BW13),"")</f>
        <v>70</v>
      </c>
      <c r="BZ13" s="16">
        <f>IF(SUM(BM13,BQ13)&gt;0,SUM(BM13,BQ13),"")</f>
        <v>11.6</v>
      </c>
      <c r="CA13" s="16">
        <f>IF(SUM(BL13:BM13,BO13:BQ13,BS13)-SUM(BN13,BR13)&gt;0,SUM(BL13:BM13,BO13:BQ13,BS13)-SUM(BN13,BR13),"")</f>
        <v>48.199999999999996</v>
      </c>
      <c r="CB13" s="16">
        <f>IF(SUM(BV13,CA13)&gt;0,SUM(BV13,CA13),"")</f>
        <v>96</v>
      </c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51"/>
      <c r="CX13" s="76" t="str">
        <f>IF(SUM(CD13,CH13)&gt;0,SUM(CD13,CH13),"")</f>
        <v/>
      </c>
      <c r="CY13" s="76" t="str">
        <f>IF(SUM(CC13:CD13,CF13:CH13,CJ13)-CE13-CI13&gt;0,SUM(CC13:CD13,CF13:CH13,CJ13)-CE13-CI13,"")</f>
        <v/>
      </c>
      <c r="CZ13" s="76" t="str">
        <f>IF(SUM(CK13:CL13,CN13)-CM13&gt;0,SUM(CK13:CL13,CN13)-CM13,"")</f>
        <v/>
      </c>
      <c r="DA13" s="76" t="str">
        <f>IF(SUM(CD13,CH13,CL13)&gt;0,SUM(CD13,CH13,CL13),"")</f>
        <v/>
      </c>
      <c r="DB13" s="76" t="str">
        <f>IF(SUM(CY13,CZ13)&gt;0,SUM(CY13,CZ13),"")</f>
        <v/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 t="str">
        <f>IF(SUM(CY13,DD13)&gt;0,SUM(CY13,DD13),"")</f>
        <v/>
      </c>
      <c r="DF13" s="87">
        <f>IF(L13&gt;=0.001,IF(MAX(ED13,FF13,GH13,HJ13,IL13,JN13,KP13,LR13,MT13,NV13,OX13,PZ13)-IF(L13="",0,L13)&gt;0.001,MAX(ED13,FF13,GH13,HJ13,IL13,JN13,KP13,LR13,MT13,NV13,OX13,PZ13)-IF(L13="",0,L13),""),"")</f>
        <v>0.80000000000000426</v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>
        <f>IF(R13&gt;=0.001,IF(MAX(EI13,FK13,GM13,HO13,IQ13,JS13,KU13,LW13,MY13,OA13,PC13,QE13)-IF(R13="",0,R13)&gt;0.001,MAX(EI13,FK13,GM13,HO13,IQ13,JS13,KU13,LW13,MY13,OA13,PC13,QE13)-IF(R13="",0,R13),""),"")</f>
        <v>0.5</v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>
        <v>18.600000000000001</v>
      </c>
      <c r="EL13" s="26">
        <v>6</v>
      </c>
      <c r="EM13" s="26">
        <v>0.2</v>
      </c>
      <c r="EN13" s="26">
        <v>0</v>
      </c>
      <c r="EO13" s="26">
        <v>18.600000000000001</v>
      </c>
      <c r="EP13" s="26">
        <v>5.6</v>
      </c>
      <c r="EQ13" s="26">
        <v>0.2</v>
      </c>
      <c r="ER13" s="26">
        <v>0</v>
      </c>
      <c r="ES13" s="26"/>
      <c r="ET13" s="26"/>
      <c r="EU13" s="26"/>
      <c r="EV13" s="26"/>
      <c r="EW13" s="26">
        <v>18.600000000000001</v>
      </c>
      <c r="EX13" s="26">
        <v>6</v>
      </c>
      <c r="EY13" s="26">
        <v>0.2</v>
      </c>
      <c r="EZ13" s="26">
        <v>0</v>
      </c>
      <c r="FA13" s="26">
        <v>18.7</v>
      </c>
      <c r="FB13" s="26">
        <v>5.6</v>
      </c>
      <c r="FC13" s="26">
        <v>0</v>
      </c>
      <c r="FD13" s="26">
        <v>0</v>
      </c>
      <c r="FE13" s="16">
        <f>IF(SUM(EL13,EP13)&gt;0,SUM(EL13,EP13),"")</f>
        <v>11.6</v>
      </c>
      <c r="FF13" s="16">
        <f>IF(SUM(EK13:EL13,EN13:EP13,ER13)-EM13-EQ13&gt;0,SUM(EK13:EL13,EN13:EP13,ER13)-EM13-EQ13,"")</f>
        <v>48.4</v>
      </c>
      <c r="FG13" s="16" t="str">
        <f>IF(SUM(ES13:ET13,EV13)-EU13&gt;0,SUM(ES13:ET13,EV13)-EU13,"")</f>
        <v/>
      </c>
      <c r="FH13" s="16">
        <f>IF(SUM(EL13,EP13,ET13)&gt;0,SUM(EL13,EP13,ET13),"")</f>
        <v>11.6</v>
      </c>
      <c r="FI13" s="16">
        <f>IF(SUM(FF13,FG13)&gt;0,SUM(FF13,FG13),"")</f>
        <v>48.4</v>
      </c>
      <c r="FJ13" s="16">
        <f>IF(SUM(EX13,FB13)&gt;0,SUM(EX13,FB13),"")</f>
        <v>11.6</v>
      </c>
      <c r="FK13" s="16">
        <f>IF(SUM(EW13:EX13,EZ13:FB13,FD13)-SUM(EY13,FC13)&gt;0,SUM(EW13:EX13,EZ13:FB13,FD13)-SUM(EY13,FC13),"")</f>
        <v>48.699999999999996</v>
      </c>
      <c r="FL13" s="16">
        <f>IF(SUM(FF13,FK13)&gt;0,SUM(FF13,FK13),"")</f>
        <v>97.1</v>
      </c>
      <c r="FM13" s="25">
        <v>18.600000000000001</v>
      </c>
      <c r="FN13" s="25">
        <v>6</v>
      </c>
      <c r="FO13" s="25">
        <v>0.2</v>
      </c>
      <c r="FP13" s="25">
        <v>0</v>
      </c>
      <c r="FQ13" s="25">
        <v>18.8</v>
      </c>
      <c r="FR13" s="25">
        <v>5.6</v>
      </c>
      <c r="FS13" s="25">
        <v>0.2</v>
      </c>
      <c r="FT13" s="25">
        <v>0</v>
      </c>
      <c r="FU13" s="25"/>
      <c r="FV13" s="25"/>
      <c r="FW13" s="25"/>
      <c r="FX13" s="25"/>
      <c r="FY13" s="25">
        <v>18.2</v>
      </c>
      <c r="FZ13" s="25">
        <v>4.4000000000000004</v>
      </c>
      <c r="GA13" s="25">
        <v>0.2</v>
      </c>
      <c r="GB13" s="25">
        <v>0</v>
      </c>
      <c r="GC13" s="25">
        <v>18.5</v>
      </c>
      <c r="GD13" s="25">
        <v>6.4</v>
      </c>
      <c r="GE13" s="25">
        <v>0</v>
      </c>
      <c r="GF13" s="25">
        <v>0</v>
      </c>
      <c r="GG13" s="76">
        <f>IF(SUM(FN13,FR13)&gt;0,SUM(FN13,FR13),"")</f>
        <v>11.6</v>
      </c>
      <c r="GH13" s="76">
        <f>IF(SUM(FM13:FN13,FP13:FR13,FT13)-FO13-FS13&gt;0,SUM(FM13:FN13,FP13:FR13,FT13)-FO13-FS13,"")</f>
        <v>48.6</v>
      </c>
      <c r="GI13" s="76" t="str">
        <f>IF(SUM(FU13:FV13,FX13)-FW13&gt;0,SUM(FU13:FV13,FX13)-FW13,"")</f>
        <v/>
      </c>
      <c r="GJ13" s="76">
        <f>IF(SUM(FN13,FR13,FV13)&gt;0,SUM(FN13,FR13,FV13),"")</f>
        <v>11.6</v>
      </c>
      <c r="GK13" s="76">
        <f>IF(SUM(GH13,GI13)&gt;0,SUM(GH13,GI13),"")</f>
        <v>48.6</v>
      </c>
      <c r="GL13" s="76">
        <f>IF(SUM(FZ13,GD13)&gt;0,SUM(FZ13,GD13),"")</f>
        <v>10.8</v>
      </c>
      <c r="GM13" s="76">
        <f>IF(SUM(FY13:FZ13,GB13:GD13,GF13)-SUM(GA13,GE13)&gt;0,SUM(FY13:FZ13,GB13:GD13,GF13)-SUM(GA13,GE13),"")</f>
        <v>47.3</v>
      </c>
      <c r="GN13" s="76">
        <f>IF(SUM(GH13,GM13)&gt;0,SUM(GH13,GM13),"")</f>
        <v>95.9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>
        <v>18.100000000000001</v>
      </c>
      <c r="IT13" s="26">
        <v>6</v>
      </c>
      <c r="IU13" s="26">
        <v>0</v>
      </c>
      <c r="IV13" s="26">
        <v>0</v>
      </c>
      <c r="IW13" s="26">
        <v>18.2</v>
      </c>
      <c r="IX13" s="26">
        <v>5.6</v>
      </c>
      <c r="IY13" s="26">
        <v>0</v>
      </c>
      <c r="IZ13" s="26">
        <v>0</v>
      </c>
      <c r="JA13" s="26"/>
      <c r="JB13" s="26"/>
      <c r="JC13" s="26"/>
      <c r="JD13" s="26"/>
      <c r="JE13" s="26">
        <v>17.899999999999999</v>
      </c>
      <c r="JF13" s="26">
        <v>6.4</v>
      </c>
      <c r="JG13" s="26">
        <v>0.8</v>
      </c>
      <c r="JH13" s="26">
        <v>0</v>
      </c>
      <c r="JI13" s="26"/>
      <c r="JJ13" s="26"/>
      <c r="JK13" s="26"/>
      <c r="JL13" s="26"/>
      <c r="JM13" s="16">
        <f>IF(SUM(IT13,IX13)&gt;0,SUM(IT13,IX13),"")</f>
        <v>11.6</v>
      </c>
      <c r="JN13" s="16">
        <f>IF(SUM(IS13:IT13,IV13:IX13,IZ13)-IU13-IY13&gt;0,SUM(IS13:IT13,IV13:IX13,IZ13)-IU13-IY13,"")</f>
        <v>47.9</v>
      </c>
      <c r="JO13" s="16" t="str">
        <f>IF(SUM(JA13:JB13,JD13)-JC13&gt;0,SUM(JA13:JB13,JD13)-JC13,"")</f>
        <v/>
      </c>
      <c r="JP13" s="16">
        <f>IF(SUM(IT13,IX13,JB13)&gt;0,SUM(IT13,IX13,JB13),"")</f>
        <v>11.6</v>
      </c>
      <c r="JQ13" s="16">
        <f>IF(SUM(JN13,JO13)&gt;0,SUM(JN13,JO13),"")</f>
        <v>47.9</v>
      </c>
      <c r="JR13" s="16">
        <f>IF(SUM(JF13,JJ13)&gt;0,SUM(JF13,JJ13),"")</f>
        <v>6.4</v>
      </c>
      <c r="JS13" s="16">
        <f>IF(SUM(JE13:JF13,JH13:JJ13,JL13)-SUM(JG13,JK13)&gt;0,SUM(JE13:JF13,JH13:JJ13,JL13)-SUM(JG13,JK13),"")</f>
        <v>23.499999999999996</v>
      </c>
      <c r="JT13" s="16">
        <f>IF(SUM(JN13,JS13)&gt;0,SUM(JN13,JS13),"")</f>
        <v>71.399999999999991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9.1999999999999993</v>
      </c>
      <c r="QH13" s="42">
        <f>IF($CW13="P",CD13,(CD13+BA13)/2)</f>
        <v>3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9.1999999999999993</v>
      </c>
      <c r="QL13" s="42">
        <f>IF($CW13="P",CH13,(CH13+BE13)/2)</f>
        <v>2.8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</v>
      </c>
      <c r="QP13" s="42">
        <f>IF($CW13="P",CL13,(CL13+BI13)/2)</f>
        <v>2.4</v>
      </c>
      <c r="QQ13" s="42">
        <f>IF($CW13="P",CM13,(CM13+BJ13)/2)</f>
        <v>0.3</v>
      </c>
      <c r="QR13" s="42">
        <f>IF($CW13="P",CN13,(CN13+BK13)/2)</f>
        <v>0</v>
      </c>
      <c r="QS13" s="42">
        <f>IF($CW13="P",CO13,(CO13+BL13)/2)</f>
        <v>9.1</v>
      </c>
      <c r="QT13" s="42">
        <f>IF($CW13="P",CP13,(CP13+BM13)/2)</f>
        <v>3</v>
      </c>
      <c r="QU13" s="42">
        <f>IF($CW13="P",CQ13,(CQ13+BN13)/2)</f>
        <v>0</v>
      </c>
      <c r="QV13" s="42">
        <f>IF($CW13="P",CR13,(CR13+BO13)/2)</f>
        <v>0</v>
      </c>
      <c r="QW13" s="42">
        <f>IF($CW13="P",CS13,(CS13+BP13)/2)</f>
        <v>9.1999999999999993</v>
      </c>
      <c r="QX13" s="42">
        <f>IF($CW13="P",CT13,(CT13+BQ13)/2)</f>
        <v>2.8</v>
      </c>
      <c r="QY13" s="42">
        <f>IF($CW13="P",CU13,(CU13+BR13)/2)</f>
        <v>0</v>
      </c>
      <c r="QZ13" s="42">
        <f>IF($CW13="P",CV13,(CV13+BS13)/2)</f>
        <v>0</v>
      </c>
      <c r="RA13" s="51" t="s">
        <v>58</v>
      </c>
      <c r="RB13" s="76">
        <f>IF(SUM(QH13,QL13)&gt;0,SUM(QH13,QL13),"")</f>
        <v>5.8</v>
      </c>
      <c r="RC13" s="76">
        <f>IF(SUM(QG13:QH13,QJ13:QL13,QN13)-QI13-QM13&gt;0,SUM(QG13:QH13,QJ13:QL13,QN13)-QI13-QM13,"")</f>
        <v>23.9</v>
      </c>
      <c r="RD13" s="76">
        <f>IF(SUM(QO13:QP13,QR13)-QQ13&gt;0,SUM(QO13:QP13,QR13)-QQ13,"")</f>
        <v>11.1</v>
      </c>
      <c r="RE13" s="76">
        <f>IF(SUM(QH13,QL13,QP13)&gt;0,SUM(QH13,QL13,QP13),"")</f>
        <v>8.1999999999999993</v>
      </c>
      <c r="RF13" s="76">
        <f>IF(SUM(RC13,RD13)&gt;0,SUM(RC13,RD13),"")</f>
        <v>35</v>
      </c>
      <c r="RG13" s="76">
        <f>IF(SUM(QT13,QX13)&gt;0,SUM(QT13,QX13),"")</f>
        <v>5.8</v>
      </c>
      <c r="RH13" s="76">
        <f>IF(SUM(QS13:QT13,QV13:QX13,QZ13)-SUM(QU13,QY13)&gt;0,SUM(QS13:QT13,QV13:QX13,QZ13)-SUM(QU13,QY13),"")</f>
        <v>24.099999999999998</v>
      </c>
      <c r="RI13" s="76">
        <f>IF(SUM(RC13,RH13)&gt;0,SUM(RC13,RH13),"")</f>
        <v>48</v>
      </c>
    </row>
    <row r="14" spans="1:477" x14ac:dyDescent="0.2">
      <c r="A14" s="5">
        <f>IF(AND(F14="P",G14="P"),SUMPRODUCT((F$4:F$17="P")*(G$4:G$17="P")*(E$4:E$17&gt;E14))+1,IF(G14="P",SUMPRODUCT((F$4:F$17="")*(G$4:G$17="P")*(E$4:E$17&gt;E14))+1+SUMPRODUCT((F$4:F$17="P")*(G$4:G$17="P")),""))</f>
        <v>11</v>
      </c>
      <c r="B14" s="6" t="s">
        <v>170</v>
      </c>
      <c r="C14" s="7" t="s">
        <v>5</v>
      </c>
      <c r="D14" s="18">
        <v>2003</v>
      </c>
      <c r="E14" s="14">
        <f>SUM(J14:T14)+SUM(J14:P14)*0.0000001+SUM(J14)*0.0000000000001</f>
        <v>124.80000988000361</v>
      </c>
      <c r="F14" s="3" t="str">
        <f>IF(OR(AND(AR14&gt;=AY$19,AS14&gt;=AY$23,AR14&lt;&gt;"",AQ14=""),AND(AW14&gt;=AY$19,AX14&gt;=AY$23,AW14&lt;&gt;"",AQ14=""),AND(BU14&gt;=CB$19,BV14&gt;=CB$23,BU14&lt;&gt;"",BT14=""),AND(BZ14&gt;=CB$19,CA14&gt;=CB$23,BZ14&lt;&gt;"",BT14=""),AND(CX14&gt;=DE$19,CY14&gt;=DE$23,CX14&lt;&gt;"",CW14=""),AND(DC14&gt;=DE$19,DD14&gt;=DE$23,DC14&lt;&gt;""),AND(EC14&gt;=EJ$19,ED14&gt;=EJ$23,EC14&lt;&gt;""),AND(EH14&gt;=EJ$19,EI14&gt;=EJ$23,EH14&lt;&gt;""),AND(FE14&gt;=FL$19,FF14&gt;=FL$23,FE14&lt;&gt;""),AND(FJ14&gt;=FL$19,FK14&gt;=FL$23,FJ14&lt;&gt;""),AND(GG14&gt;=GN$19,GH14&gt;=GN$23,GG14&lt;&gt;""),AND(GL14&gt;=GN$19,GM14&gt;=GN$23,GL14&lt;&gt;""),AND(HI14&gt;=HP$19,HJ14&gt;=HP$23,HI14&lt;&gt;""),AND(HN14&gt;=HP$19,HO14&gt;=HP$23,HN14&lt;&gt;""),AND(IK14&gt;=IR$19,IL14&gt;=IR$23,IK14&lt;&gt;""),AND(IP14&gt;=IR$19,IQ14&gt;=IR$23,IP14&lt;&gt;""),AND(JM14&gt;=JT$19,JN14&gt;=JT$23,JM14&lt;&gt;""),AND(JR14&gt;=JT$19,JS14&gt;=JT$23,JR14&lt;&gt;""),AND(KO14&gt;=KV$19,KP14&gt;=KV$23,KO14&lt;&gt;""),AND(KT14&gt;=KV$19,KU14&gt;=KV$23,KT14&lt;&gt;""),AND(LQ14&gt;=LX$19,LR14&gt;=LX$23,LQ14&lt;&gt;""),AND(LV14&gt;=LX$19,LW14&gt;=LX$23,LV14&lt;&gt;""),AND(MS14&gt;=MZ$19,MT14&gt;=MZ$23,MS14&lt;&gt;""),AND(MX14&gt;=MZ$19,MY14&gt;=MZ$23,MX14&lt;&gt;""),AND(NU14&gt;=OB$19,NV14&gt;=OB$23,NU14&lt;&gt;""),AND(NZ14&gt;=OB$19,OA14&gt;=OB$23,NZ14&lt;&gt;""),AND(OW14&gt;=PD$19,OX14&gt;=PD$23,OW14&lt;&gt;""),AND(PB14&gt;=PD$19,PC14&gt;=PD$23,PB14&lt;&gt;""),AND(PY14&gt;=QF$19,PZ14&gt;=QF$23,PY14&lt;&gt;""),AND(QD14&gt;=QF$19,QE14&gt;=QF$23,QD14&lt;&gt;"")),"P","")</f>
        <v>P</v>
      </c>
      <c r="G14" s="3" t="str">
        <f>IF(OR(AND(AS14&gt;=AY$23,AS14&lt;&gt;"",AQ14=""),AND(AX14&gt;=AY$23,AX14&lt;&gt;"",AQ14=""),AND(BV14&gt;=CB$23,BV14&lt;&gt;"",BT14=""),AND(CA14&gt;=CB$23,CA14&lt;&gt;"",BT14=""),AND(CY14&gt;=DE$23,CY14&lt;&gt;"",CW14=""),AND(DD14&gt;=DE$23,DD14&lt;&gt;"",CW14=""),AND(ED14&gt;=EJ$23,ED14&lt;&gt;""),AND(EI14&gt;=EJ$23,EI14&lt;&gt;""),AND(FF14&gt;=FL$23,FF14&lt;&gt;""),AND(FK14&gt;=FL$23,FK14&lt;&gt;""),AND(GH14&gt;=GN$23,GH14&lt;&gt;""),AND(GM14&gt;=GN$23,GM14&lt;&gt;""),AND(HJ14&gt;=HP$23,HJ14&lt;&gt;""),AND(HO14&gt;=HP$23,HO14&lt;&gt;""),AND(IL14&gt;=IR$23,IL14&lt;&gt;""),AND(IQ14&gt;=IR$23,IQ14&lt;&gt;""),AND(JN14&gt;=JT$23,JN14&lt;&gt;""),AND(JS14&gt;=JT$23,JS14&lt;&gt;""),AND(KP14&gt;=KV$23,KP14&lt;&gt;""),AND(KU14&gt;=KV$23,KU14&lt;&gt;""),AND(LR14&gt;=LX$23,LR14&lt;&gt;""),AND(LW14&gt;=LX$23,LW14&lt;&gt;""),AND(MT14&gt;=MZ$23,MT14&lt;&gt;""),AND(MY14&gt;=MZ$23,MY14&lt;&gt;""),AND(NV14&gt;=OB$23,NV14&lt;&gt;""),AND(OA14&gt;=OB$23,OA14&lt;&gt;""),AND(OX14&gt;=PD$23,OX14&lt;&gt;""),AND(PC14&gt;=PD$23,PC14&lt;&gt;""),AND(PZ14&gt;=QF$23,PZ14&lt;&gt;""),AND(QE14&gt;=QF$23,QE14&lt;&gt;"")),"P","")</f>
        <v>P</v>
      </c>
      <c r="H14" s="70" t="str">
        <f>IF(AND(G14="P",F14=""),"No DD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Merit",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Excellence",IF(I14="P","Worlds Team",IF(F14="P","National Team","")))))</f>
        <v>National Team</v>
      </c>
      <c r="I14" s="3" t="str">
        <f>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P","")</f>
        <v/>
      </c>
      <c r="J14" s="13">
        <f>IF(COUNT(AS14,BV14,CY14)&gt;0,LARGE((AS14,BV14,CY14),1),0)</f>
        <v>36.200000000000003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22.400000000000002</v>
      </c>
      <c r="M14" s="13" t="str">
        <f>IF(L14=0,"",IF(L14=CY14,$CC$1,IF(L14=BV14,$AZ$1,IF(L14=AS14,$W$1,""))))</f>
        <v>2022 Nationals</v>
      </c>
      <c r="N14" s="13">
        <f>IF(COUNT(AT14,BW14,CZ14)&gt;0,LARGE((AT14,BW14,CZ14),1),0)</f>
        <v>21.4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18.799999999999997</v>
      </c>
      <c r="Q14" s="13" t="str">
        <f>IF(P14=0,"",IF(P14=CZ14,$CC$1,IF(P14=BW14,$AZ$1,IF(P14=AT14,$W$1,""))))</f>
        <v>2022 Nationals</v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>
        <f>IF(MAX(DF14:DH14)&gt;0,MAX(DF14:DH14),"")</f>
        <v>25.999999999999996</v>
      </c>
      <c r="U14" s="16" t="str">
        <f>IF(T14="","",IF(T14=DF14,"("&amp;DF$2&amp;")",IF(T14=DH14,"("&amp;DH$2&amp;")")))</f>
        <v>(Q1)</v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>2022 Coimbra Gym Fest (June 26)</v>
      </c>
      <c r="W14" s="27">
        <v>17.600000000000001</v>
      </c>
      <c r="X14" s="27">
        <v>4.4000000000000004</v>
      </c>
      <c r="Y14" s="27">
        <v>0.8</v>
      </c>
      <c r="Z14" s="27">
        <v>0</v>
      </c>
      <c r="AA14" s="27">
        <v>18</v>
      </c>
      <c r="AB14" s="27">
        <v>0</v>
      </c>
      <c r="AC14" s="27">
        <v>3</v>
      </c>
      <c r="AD14" s="27">
        <v>0</v>
      </c>
      <c r="AE14" s="27">
        <v>18.3</v>
      </c>
      <c r="AF14" s="27">
        <v>3.9</v>
      </c>
      <c r="AG14" s="27">
        <v>0.8</v>
      </c>
      <c r="AH14" s="27">
        <v>0</v>
      </c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>IF(SUM(X14,AB14)&gt;0,SUM(X14,AB14),"")</f>
        <v>4.4000000000000004</v>
      </c>
      <c r="AS14" s="76">
        <f>IF(SUM(W14:X14,Z14:AB14,AD14)-Y14-AC14&gt;0,SUM(W14:X14,Z14:AB14,AD14)-Y14-AC14,"")</f>
        <v>36.200000000000003</v>
      </c>
      <c r="AT14" s="76">
        <f>IF(SUM(AE14:AF14,AH14)-AG14&gt;0,SUM(AE14:AF14,AH14)-AG14,"")</f>
        <v>21.4</v>
      </c>
      <c r="AU14" s="76">
        <f>IF(SUM(X14,AB14,AF14)&gt;0,SUM(X14,AB14,AF14),"")</f>
        <v>8.3000000000000007</v>
      </c>
      <c r="AV14" s="76">
        <f>IF(SUM(AS14,AT14)&gt;0,SUM(AS14,AT14),"")</f>
        <v>57.6</v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>
        <f>IF(SUM(AS14,AX14)&gt;0,SUM(AS14,AX14),"")</f>
        <v>36.200000000000003</v>
      </c>
      <c r="AZ14" s="26">
        <v>17.600000000000001</v>
      </c>
      <c r="BA14" s="26">
        <v>4.8</v>
      </c>
      <c r="BB14" s="26">
        <v>0</v>
      </c>
      <c r="BC14" s="26">
        <v>0</v>
      </c>
      <c r="BD14" s="26">
        <v>0</v>
      </c>
      <c r="BE14" s="26">
        <v>0</v>
      </c>
      <c r="BF14" s="26">
        <v>0</v>
      </c>
      <c r="BG14" s="26">
        <v>0</v>
      </c>
      <c r="BH14" s="26">
        <v>18.399999999999999</v>
      </c>
      <c r="BI14" s="26">
        <v>2.4</v>
      </c>
      <c r="BJ14" s="26">
        <v>2</v>
      </c>
      <c r="BK14" s="26">
        <v>0</v>
      </c>
      <c r="BL14" s="26">
        <v>0</v>
      </c>
      <c r="BM14" s="26">
        <v>0</v>
      </c>
      <c r="BN14" s="26">
        <v>0</v>
      </c>
      <c r="BO14" s="26">
        <v>0</v>
      </c>
      <c r="BP14" s="26">
        <v>0</v>
      </c>
      <c r="BQ14" s="26">
        <v>0</v>
      </c>
      <c r="BR14" s="26">
        <v>0</v>
      </c>
      <c r="BS14" s="26">
        <v>0</v>
      </c>
      <c r="BT14" s="52"/>
      <c r="BU14" s="16">
        <f>IF(SUM(BA14,BE14)&gt;0,SUM(BA14,BE14),"")</f>
        <v>4.8</v>
      </c>
      <c r="BV14" s="16">
        <f>IF(SUM(AZ14:BA14,BC14:BE14,BG14)-BB14-BF14&gt;0,SUM(AZ14:BA14,BC14:BE14,BG14)-BB14-BF14,"")</f>
        <v>22.400000000000002</v>
      </c>
      <c r="BW14" s="16">
        <f>IF(SUM(BH14:BI14,BK14)-BJ14&gt;0,SUM(BH14:BI14,BK14)-BJ14,"")</f>
        <v>18.799999999999997</v>
      </c>
      <c r="BX14" s="16">
        <f>IF(SUM(BA14,BE14,BI14)&gt;0,SUM(BA14,BE14,BI14),"")</f>
        <v>7.1999999999999993</v>
      </c>
      <c r="BY14" s="16">
        <f>IF(SUM(BV14,BW14)&gt;0,SUM(BV14,BW14),"")</f>
        <v>41.2</v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>
        <f>IF(SUM(BV14,CA14)&gt;0,SUM(BV14,CA14),"")</f>
        <v>22.400000000000002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>IF(SUM(CD14,CH14)&gt;0,SUM(CD14,CH14),"")</f>
        <v/>
      </c>
      <c r="CY14" s="76" t="str">
        <f>IF(SUM(CC14:CD14,CF14:CH14,CJ14)-CE14-CI14&gt;0,SUM(CC14:CD14,CF14:CH14,CJ14)-CE14-CI14,"")</f>
        <v/>
      </c>
      <c r="CZ14" s="76" t="str">
        <f>IF(SUM(CK14:CL14,CN14)-CM14&gt;0,SUM(CK14:CL14,CN14)-CM14,"")</f>
        <v/>
      </c>
      <c r="DA14" s="76" t="str">
        <f>IF(SUM(CD14,CH14,CL14)&gt;0,SUM(CD14,CH14,CL14),"")</f>
        <v/>
      </c>
      <c r="DB14" s="76" t="str">
        <f>IF(SUM(CY14,CZ14)&gt;0,SUM(CY14,CZ14),"")</f>
        <v/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 t="str">
        <f>IF(SUM(CY14,DD14)&gt;0,SUM(CY14,DD14),"")</f>
        <v/>
      </c>
      <c r="DF14" s="87">
        <f>IF(L14&gt;=0.001,IF(MAX(ED14,FF14,GH14,HJ14,IL14,JN14,KP14,LR14,MT14,NV14,OX14,PZ14)-IF(L14="",0,L14)&gt;0.001,MAX(ED14,FF14,GH14,HJ14,IL14,JN14,KP14,LR14,MT14,NV14,OX14,PZ14)-IF(L14="",0,L14),""),"")</f>
        <v>25.999999999999996</v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>
        <v>18.600000000000001</v>
      </c>
      <c r="FN14" s="25">
        <v>5.6</v>
      </c>
      <c r="FO14" s="25">
        <v>0.2</v>
      </c>
      <c r="FP14" s="25">
        <v>0</v>
      </c>
      <c r="FQ14" s="25">
        <v>17.7</v>
      </c>
      <c r="FR14" s="25">
        <v>6</v>
      </c>
      <c r="FS14" s="25">
        <v>1</v>
      </c>
      <c r="FT14" s="25">
        <v>0</v>
      </c>
      <c r="FU14" s="25"/>
      <c r="FV14" s="25"/>
      <c r="FW14" s="25"/>
      <c r="FX14" s="25"/>
      <c r="FY14" s="25">
        <v>18.7</v>
      </c>
      <c r="FZ14" s="25">
        <v>5.6</v>
      </c>
      <c r="GA14" s="25">
        <v>0.2</v>
      </c>
      <c r="GB14" s="25">
        <v>0</v>
      </c>
      <c r="GC14" s="25">
        <v>18.399999999999999</v>
      </c>
      <c r="GD14" s="25">
        <v>6</v>
      </c>
      <c r="GE14" s="25">
        <v>0.2</v>
      </c>
      <c r="GF14" s="25">
        <v>0</v>
      </c>
      <c r="GG14" s="76">
        <f>IF(SUM(FN14,FR14)&gt;0,SUM(FN14,FR14),"")</f>
        <v>11.6</v>
      </c>
      <c r="GH14" s="76">
        <f>IF(SUM(FM14:FN14,FP14:FR14,FT14)-FO14-FS14&gt;0,SUM(FM14:FN14,FP14:FR14,FT14)-FO14-FS14,"")</f>
        <v>46.7</v>
      </c>
      <c r="GI14" s="76" t="str">
        <f>IF(SUM(FU14:FV14,FX14)-FW14&gt;0,SUM(FU14:FV14,FX14)-FW14,"")</f>
        <v/>
      </c>
      <c r="GJ14" s="76">
        <f>IF(SUM(FN14,FR14,FV14)&gt;0,SUM(FN14,FR14,FV14),"")</f>
        <v>11.6</v>
      </c>
      <c r="GK14" s="76">
        <f>IF(SUM(GH14,GI14)&gt;0,SUM(GH14,GI14),"")</f>
        <v>46.7</v>
      </c>
      <c r="GL14" s="76">
        <f>IF(SUM(FZ14,GD14)&gt;0,SUM(FZ14,GD14),"")</f>
        <v>11.6</v>
      </c>
      <c r="GM14" s="76">
        <f>IF(SUM(FY14:FZ14,GB14:GD14,GF14)-SUM(GA14,GE14)&gt;0,SUM(FY14:FZ14,GB14:GD14,GF14)-SUM(GA14,GE14),"")</f>
        <v>48.3</v>
      </c>
      <c r="GN14" s="76">
        <f>IF(SUM(GH14,GM14)&gt;0,SUM(GH14,GM14),"")</f>
        <v>95</v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>
        <v>18.600000000000001</v>
      </c>
      <c r="IT14" s="26">
        <v>5.6</v>
      </c>
      <c r="IU14" s="26">
        <v>0</v>
      </c>
      <c r="IV14" s="26">
        <v>0</v>
      </c>
      <c r="IW14" s="26">
        <v>18.399999999999999</v>
      </c>
      <c r="IX14" s="26">
        <v>6</v>
      </c>
      <c r="IY14" s="26">
        <v>0.2</v>
      </c>
      <c r="IZ14" s="26">
        <v>0</v>
      </c>
      <c r="JA14" s="26"/>
      <c r="JB14" s="26"/>
      <c r="JC14" s="26"/>
      <c r="JD14" s="26"/>
      <c r="JE14" s="26">
        <v>18.600000000000001</v>
      </c>
      <c r="JF14" s="26">
        <v>5.6</v>
      </c>
      <c r="JG14" s="26">
        <v>0.6</v>
      </c>
      <c r="JH14" s="26">
        <v>0</v>
      </c>
      <c r="JI14" s="26">
        <v>18.2</v>
      </c>
      <c r="JJ14" s="26">
        <v>6</v>
      </c>
      <c r="JK14" s="26">
        <v>0</v>
      </c>
      <c r="JL14" s="26">
        <v>0</v>
      </c>
      <c r="JM14" s="16">
        <f>IF(SUM(IT14,IX14)&gt;0,SUM(IT14,IX14),"")</f>
        <v>11.6</v>
      </c>
      <c r="JN14" s="16">
        <f>IF(SUM(IS14:IT14,IV14:IX14,IZ14)-IU14-IY14&gt;0,SUM(IS14:IT14,IV14:IX14,IZ14)-IU14-IY14,"")</f>
        <v>48.4</v>
      </c>
      <c r="JO14" s="16" t="str">
        <f>IF(SUM(JA14:JB14,JD14)-JC14&gt;0,SUM(JA14:JB14,JD14)-JC14,"")</f>
        <v/>
      </c>
      <c r="JP14" s="16">
        <f>IF(SUM(IT14,IX14,JB14)&gt;0,SUM(IT14,IX14,JB14),"")</f>
        <v>11.6</v>
      </c>
      <c r="JQ14" s="16">
        <f>IF(SUM(JN14,JO14)&gt;0,SUM(JN14,JO14),"")</f>
        <v>48.4</v>
      </c>
      <c r="JR14" s="16">
        <f>IF(SUM(JF14,JJ14)&gt;0,SUM(JF14,JJ14),"")</f>
        <v>11.6</v>
      </c>
      <c r="JS14" s="16">
        <f>IF(SUM(JE14:JF14,JH14:JJ14,JL14)-SUM(JG14,JK14)&gt;0,SUM(JE14:JF14,JH14:JJ14,JL14)-SUM(JG14,JK14),"")</f>
        <v>47.800000000000004</v>
      </c>
      <c r="JT14" s="16">
        <f>IF(SUM(JN14,JS14)&gt;0,SUM(JN14,JS14),"")</f>
        <v>96.2</v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8.8000000000000007</v>
      </c>
      <c r="QH14" s="42">
        <f>IF($CW14="P",CD14,(CD14+BA14)/2)</f>
        <v>2.4</v>
      </c>
      <c r="QI14" s="42">
        <f>IF($CW14="P",CE14,(CE14+BB14)/2)</f>
        <v>0</v>
      </c>
      <c r="QJ14" s="42">
        <f>IF($CW14="P",CF14,(CF14+BC14)/2)</f>
        <v>0</v>
      </c>
      <c r="QK14" s="42">
        <f>IF($CW14="P",CG14,(CG14+BD14)/2)</f>
        <v>0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9.1999999999999993</v>
      </c>
      <c r="QP14" s="42">
        <f>IF($CW14="P",CL14,(CL14+BI14)/2)</f>
        <v>1.2</v>
      </c>
      <c r="QQ14" s="42">
        <f>IF($CW14="P",CM14,(CM14+BJ14)/2)</f>
        <v>1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58</v>
      </c>
      <c r="RB14" s="76">
        <f>IF(SUM(QH14,QL14)&gt;0,SUM(QH14,QL14),"")</f>
        <v>2.4</v>
      </c>
      <c r="RC14" s="76">
        <f>IF(SUM(QG14:QH14,QJ14:QL14,QN14)-QI14-QM14&gt;0,SUM(QG14:QH14,QJ14:QL14,QN14)-QI14-QM14,"")</f>
        <v>11.200000000000001</v>
      </c>
      <c r="RD14" s="76">
        <f>IF(SUM(QO14:QP14,QR14)-QQ14&gt;0,SUM(QO14:QP14,QR14)-QQ14,"")</f>
        <v>9.3999999999999986</v>
      </c>
      <c r="RE14" s="76">
        <f>IF(SUM(QH14,QL14,QP14)&gt;0,SUM(QH14,QL14,QP14),"")</f>
        <v>3.5999999999999996</v>
      </c>
      <c r="RF14" s="76">
        <f>IF(SUM(RC14,RD14)&gt;0,SUM(RC14,RD14),"")</f>
        <v>20.6</v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>
        <f>IF(SUM(RC14,RH14)&gt;0,SUM(RC14,RH14),"")</f>
        <v>11.200000000000001</v>
      </c>
    </row>
    <row r="15" spans="1:477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6" t="s">
        <v>208</v>
      </c>
      <c r="C15" s="7" t="s">
        <v>5</v>
      </c>
      <c r="D15" s="18">
        <v>1999</v>
      </c>
      <c r="E15" s="14">
        <f>SUM(J15:T15)+SUM(J15:P15)*0.0000001+SUM(J15)*0.0000000000001</f>
        <v>116.80000699000472</v>
      </c>
      <c r="F15" s="3" t="str">
        <f>IF(OR(AND(AR15&gt;=AY$19,AS15&gt;=AY$23,AR15&lt;&gt;"",AQ15=""),AND(AW15&gt;=AY$19,AX15&gt;=AY$23,AW15&lt;&gt;"",AQ15=""),AND(BU15&gt;=CB$19,BV15&gt;=CB$23,BU15&lt;&gt;"",BT15=""),AND(BZ15&gt;=CB$19,CA15&gt;=CB$23,BZ15&lt;&gt;"",BT15=""),AND(CX15&gt;=DE$19,CY15&gt;=DE$23,CX15&lt;&gt;"",CW15=""),AND(DC15&gt;=DE$19,DD15&gt;=DE$23,DC15&lt;&gt;""),AND(EC15&gt;=EJ$19,ED15&gt;=EJ$23,EC15&lt;&gt;""),AND(EH15&gt;=EJ$19,EI15&gt;=EJ$23,EH15&lt;&gt;""),AND(FE15&gt;=FL$19,FF15&gt;=FL$23,FE15&lt;&gt;""),AND(FJ15&gt;=FL$19,FK15&gt;=FL$23,FJ15&lt;&gt;""),AND(GG15&gt;=GN$19,GH15&gt;=GN$23,GG15&lt;&gt;""),AND(GL15&gt;=GN$19,GM15&gt;=GN$23,GL15&lt;&gt;""),AND(HI15&gt;=HP$19,HJ15&gt;=HP$23,HI15&lt;&gt;""),AND(HN15&gt;=HP$19,HO15&gt;=HP$23,HN15&lt;&gt;""),AND(IK15&gt;=IR$19,IL15&gt;=IR$23,IK15&lt;&gt;""),AND(IP15&gt;=IR$19,IQ15&gt;=IR$23,IP15&lt;&gt;""),AND(JM15&gt;=JT$19,JN15&gt;=JT$23,JM15&lt;&gt;""),AND(JR15&gt;=JT$19,JS15&gt;=JT$23,JR15&lt;&gt;""),AND(KO15&gt;=KV$19,KP15&gt;=KV$23,KO15&lt;&gt;""),AND(KT15&gt;=KV$19,KU15&gt;=KV$23,KT15&lt;&gt;""),AND(LQ15&gt;=LX$19,LR15&gt;=LX$23,LQ15&lt;&gt;""),AND(LV15&gt;=LX$19,LW15&gt;=LX$23,LV15&lt;&gt;""),AND(MS15&gt;=MZ$19,MT15&gt;=MZ$23,MS15&lt;&gt;""),AND(MX15&gt;=MZ$19,MY15&gt;=MZ$23,MX15&lt;&gt;""),AND(NU15&gt;=OB$19,NV15&gt;=OB$23,NU15&lt;&gt;""),AND(NZ15&gt;=OB$19,OA15&gt;=OB$23,NZ15&lt;&gt;""),AND(OW15&gt;=PD$19,OX15&gt;=PD$23,OW15&lt;&gt;""),AND(PB15&gt;=PD$19,PC15&gt;=PD$23,PB15&lt;&gt;""),AND(PY15&gt;=QF$19,PZ15&gt;=QF$23,PY15&lt;&gt;""),AND(QD15&gt;=QF$19,QE15&gt;=QF$23,QD15&lt;&gt;"")),"P","")</f>
        <v/>
      </c>
      <c r="G15" s="3" t="str">
        <f>IF(OR(AND(AS15&gt;=AY$23,AS15&lt;&gt;"",AQ15=""),AND(AX15&gt;=AY$23,AX15&lt;&gt;"",AQ15=""),AND(BV15&gt;=CB$23,BV15&lt;&gt;"",BT15=""),AND(CA15&gt;=CB$23,CA15&lt;&gt;"",BT15=""),AND(CY15&gt;=DE$23,CY15&lt;&gt;"",CW15=""),AND(DD15&gt;=DE$23,DD15&lt;&gt;"",CW15=""),AND(ED15&gt;=EJ$23,ED15&lt;&gt;""),AND(EI15&gt;=EJ$23,EI15&lt;&gt;""),AND(FF15&gt;=FL$23,FF15&lt;&gt;""),AND(FK15&gt;=FL$23,FK15&lt;&gt;""),AND(GH15&gt;=GN$23,GH15&lt;&gt;""),AND(GM15&gt;=GN$23,GM15&lt;&gt;""),AND(HJ15&gt;=HP$23,HJ15&lt;&gt;""),AND(HO15&gt;=HP$23,HO15&lt;&gt;""),AND(IL15&gt;=IR$23,IL15&lt;&gt;""),AND(IQ15&gt;=IR$23,IQ15&lt;&gt;""),AND(JN15&gt;=JT$23,JN15&lt;&gt;""),AND(JS15&gt;=JT$23,JS15&lt;&gt;""),AND(KP15&gt;=KV$23,KP15&lt;&gt;""),AND(KU15&gt;=KV$23,KU15&lt;&gt;""),AND(LR15&gt;=LX$23,LR15&lt;&gt;""),AND(LW15&gt;=LX$23,LW15&lt;&gt;""),AND(MT15&gt;=MZ$23,MT15&lt;&gt;""),AND(MY15&gt;=MZ$23,MY15&lt;&gt;""),AND(NV15&gt;=OB$23,NV15&lt;&gt;""),AND(OA15&gt;=OB$23,OA15&lt;&gt;""),AND(OX15&gt;=PD$23,OX15&lt;&gt;""),AND(PC15&gt;=PD$23,PC15&lt;&gt;""),AND(PZ15&gt;=QF$23,PZ15&lt;&gt;""),AND(QE15&gt;=QF$23,QE15&lt;&gt;"")),"P","")</f>
        <v/>
      </c>
      <c r="H15" s="70" t="str">
        <f>IF(AND(G15="P",F15=""),"No DD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Merit",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Excellence",IF(I15="P","Worlds Team",IF(F15="P","National Team","")))))</f>
        <v/>
      </c>
      <c r="I15" s="3" t="str">
        <f>IF(OR(AND(AU15&gt;=AY$20,AV15&gt;=AY$24,AU15&lt;&gt;"",AQ15=""),AND(BX15&gt;=CB$20,BY15&gt;=CB$24,BX15&lt;&gt;"",BT15=""),AND(DA15&gt;=DE$20,DB15&gt;=DE$24,DA15&lt;&gt;"",CW15=""),AND(EF15&gt;=EJ$20,EG15&gt;=EJ$24,EF15&lt;&gt;""),AND(FH15&gt;=FL$20,FI15&gt;=FL$24,FH15&lt;&gt;""),AND(GJ15&gt;=GN$20,GK15&gt;=GN$24,GJ15&lt;&gt;""),AND(HL15&gt;=HP$20,HM15&gt;=HP$24,HL15&lt;&gt;""),AND(IN15&gt;=IR$20,IO15&gt;=IR$24,IN15&lt;&gt;""),AND(JP15&gt;=JT$20,JQ15&gt;=JT$24,JP15&lt;&gt;""),AND(KR15&gt;=KV$20,KS15&gt;=KV$24,KR15&lt;&gt;""),AND(LT15&gt;=LX$20,LU15&gt;=LX$24,LT15&lt;&gt;""),AND(MV15&gt;=MZ$20,MW15&gt;=MZ$24,MV15&lt;&gt;""),AND(NX15&gt;=OB$20,NY15&gt;=OB$24,NX15&lt;&gt;""),AND(OZ15&gt;=PD$20,PA15&gt;=PD$24,OZ15&lt;&gt;""),AND(QB15&gt;=QF$20,QC15&gt;=QF$24,QB15&lt;&gt;"")),"P","")</f>
        <v/>
      </c>
      <c r="J15" s="13">
        <f>IF(COUNT(AS15,BV15,CY15)&gt;0,LARGE((AS15,BV15,CY15),1),0)</f>
        <v>47.1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22.799999999999997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46.9</v>
      </c>
      <c r="S15" s="13" t="str">
        <f>IF(R15=0,"",IF(R15=DD15,$CC$1,IF(R15=CA15,$AZ$1,IF(R15=AX15,$W$1,""))))</f>
        <v>2022 Elite Canada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>
        <v>18.600000000000001</v>
      </c>
      <c r="X15" s="27">
        <v>5.2</v>
      </c>
      <c r="Y15" s="27">
        <v>0</v>
      </c>
      <c r="Z15" s="27">
        <v>0</v>
      </c>
      <c r="AA15" s="27">
        <v>18.399999999999999</v>
      </c>
      <c r="AB15" s="27">
        <v>5.2</v>
      </c>
      <c r="AC15" s="27">
        <v>0.6</v>
      </c>
      <c r="AD15" s="27">
        <v>0.3</v>
      </c>
      <c r="AE15" s="27">
        <v>18.399999999999999</v>
      </c>
      <c r="AF15" s="27">
        <v>4.4000000000000004</v>
      </c>
      <c r="AG15" s="27">
        <v>0</v>
      </c>
      <c r="AH15" s="27">
        <v>0</v>
      </c>
      <c r="AI15" s="27">
        <v>18.600000000000001</v>
      </c>
      <c r="AJ15" s="27">
        <v>5.2</v>
      </c>
      <c r="AK15" s="27">
        <v>0</v>
      </c>
      <c r="AL15" s="27">
        <v>0</v>
      </c>
      <c r="AM15" s="27">
        <v>18.2</v>
      </c>
      <c r="AN15" s="27">
        <v>5.2</v>
      </c>
      <c r="AO15" s="27">
        <v>0.6</v>
      </c>
      <c r="AP15" s="27">
        <v>0.3</v>
      </c>
      <c r="AQ15" s="51"/>
      <c r="AR15" s="76">
        <f>IF(SUM(X15,AB15)&gt;0,SUM(X15,AB15),"")</f>
        <v>10.4</v>
      </c>
      <c r="AS15" s="76">
        <f>IF(SUM(W15:X15,Z15:AB15,AD15)-Y15-AC15&gt;0,SUM(W15:X15,Z15:AB15,AD15)-Y15-AC15,"")</f>
        <v>47.1</v>
      </c>
      <c r="AT15" s="76">
        <f>IF(SUM(AE15:AF15,AH15)-AG15&gt;0,SUM(AE15:AF15,AH15)-AG15,"")</f>
        <v>22.799999999999997</v>
      </c>
      <c r="AU15" s="76">
        <f>IF(SUM(X15,AB15,AF15)&gt;0,SUM(X15,AB15,AF15),"")</f>
        <v>14.8</v>
      </c>
      <c r="AV15" s="76">
        <f>IF(SUM(AS15,AT15)&gt;0,SUM(AS15,AT15),"")</f>
        <v>69.900000000000006</v>
      </c>
      <c r="AW15" s="76">
        <f>IF(SUM(AJ15,AN15)&gt;0,SUM(AJ15,AN15),"")</f>
        <v>10.4</v>
      </c>
      <c r="AX15" s="76">
        <f>IF(SUM(AI15:AJ15,AL15:AN15,AP15)-SUM(AK15,AO15)&gt;0,SUM(AI15:AJ15,AL15:AN15,AP15)-SUM(AK15,AO15),"")</f>
        <v>46.9</v>
      </c>
      <c r="AY15" s="76">
        <f>IF(SUM(AS15,AX15)&gt;0,SUM(AS15,AX15),"")</f>
        <v>94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51"/>
      <c r="CX15" s="76" t="str">
        <f>IF(SUM(CD15,CH15)&gt;0,SUM(CD15,CH15),"")</f>
        <v/>
      </c>
      <c r="CY15" s="76" t="str">
        <f>IF(SUM(CC15:CD15,CF15:CH15,CJ15)-CE15-CI15&gt;0,SUM(CC15:CD15,CF15:CH15,CJ15)-CE15-CI15,"")</f>
        <v/>
      </c>
      <c r="CZ15" s="76" t="str">
        <f>IF(SUM(CK15:CL15,CN15)-CM15&gt;0,SUM(CK15:CL15,CN15)-CM15,"")</f>
        <v/>
      </c>
      <c r="DA15" s="76" t="str">
        <f>IF(SUM(CD15,CH15,CL15)&gt;0,SUM(CD15,CH15,CL15),"")</f>
        <v/>
      </c>
      <c r="DB15" s="76" t="str">
        <f>IF(SUM(CY15,CZ15)&gt;0,SUM(CY15,CZ15),"")</f>
        <v/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 t="str">
        <f>IF(SUM(CY15,DD15)&gt;0,SUM(CY15,DD15),"")</f>
        <v/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0</v>
      </c>
      <c r="QH15" s="42">
        <f>IF($CW15="P",CD15,(CD15+BA15)/2)</f>
        <v>0</v>
      </c>
      <c r="QI15" s="42">
        <f>IF($CW15="P",CE15,(CE15+BB15)/2)</f>
        <v>0</v>
      </c>
      <c r="QJ15" s="42">
        <f>IF($CW15="P",CF15,(CF15+BC15)/2)</f>
        <v>0</v>
      </c>
      <c r="QK15" s="42">
        <f>IF($CW15="P",CG15,(CG15+BD15)/2)</f>
        <v>0</v>
      </c>
      <c r="QL15" s="42">
        <f>IF($CW15="P",CH15,(CH15+BE15)/2)</f>
        <v>0</v>
      </c>
      <c r="QM15" s="42">
        <f>IF($CW15="P",CI15,(CI15+BF15)/2)</f>
        <v>0</v>
      </c>
      <c r="QN15" s="42">
        <f>IF($CW15="P",CJ15,(CJ15+BG15)/2)</f>
        <v>0</v>
      </c>
      <c r="QO15" s="42">
        <f>IF($CW15="P",CK15,(CK15+BH15)/2)</f>
        <v>0</v>
      </c>
      <c r="QP15" s="42">
        <f>IF($CW15="P",CL15,(CL15+BI15)/2)</f>
        <v>0</v>
      </c>
      <c r="QQ15" s="42">
        <f>IF($CW15="P",CM15,(CM15+BJ15)/2)</f>
        <v>0</v>
      </c>
      <c r="QR15" s="42">
        <f>IF($CW15="P",CN15,(CN15+BK15)/2)</f>
        <v>0</v>
      </c>
      <c r="QS15" s="42">
        <f>IF($CW15="P",CO15,(CO15+BL15)/2)</f>
        <v>0</v>
      </c>
      <c r="QT15" s="42">
        <f>IF($CW15="P",CP15,(CP15+BM15)/2)</f>
        <v>0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0</v>
      </c>
      <c r="QX15" s="42">
        <f>IF($CW15="P",CT15,(CT15+BQ15)/2)</f>
        <v>0</v>
      </c>
      <c r="QY15" s="42">
        <f>IF($CW15="P",CU15,(CU15+BR15)/2)</f>
        <v>0</v>
      </c>
      <c r="QZ15" s="42">
        <f>IF($CW15="P",CV15,(CV15+BS15)/2)</f>
        <v>0</v>
      </c>
      <c r="RA15" s="51" t="s">
        <v>58</v>
      </c>
      <c r="RB15" s="76" t="str">
        <f>IF(SUM(QH15,QL15)&gt;0,SUM(QH15,QL15),"")</f>
        <v/>
      </c>
      <c r="RC15" s="76" t="str">
        <f>IF(SUM(QG15:QH15,QJ15:QL15,QN15)-QI15-QM15&gt;0,SUM(QG15:QH15,QJ15:QL15,QN15)-QI15-QM15,"")</f>
        <v/>
      </c>
      <c r="RD15" s="76" t="str">
        <f>IF(SUM(QO15:QP15,QR15)-QQ15&gt;0,SUM(QO15:QP15,QR15)-QQ15,"")</f>
        <v/>
      </c>
      <c r="RE15" s="76" t="str">
        <f>IF(SUM(QH15,QL15,QP15)&gt;0,SUM(QH15,QL15,QP15),"")</f>
        <v/>
      </c>
      <c r="RF15" s="76" t="str">
        <f>IF(SUM(RC15,RD15)&gt;0,SUM(RC15,RD15),"")</f>
        <v/>
      </c>
      <c r="RG15" s="76" t="str">
        <f>IF(SUM(QT15,QX15)&gt;0,SUM(QT15,QX15),"")</f>
        <v/>
      </c>
      <c r="RH15" s="76" t="str">
        <f>IF(SUM(QS15:QT15,QV15:QX15,QZ15)-SUM(QU15,QY15)&gt;0,SUM(QS15:QT15,QV15:QX15,QZ15)-SUM(QU15,QY15),"")</f>
        <v/>
      </c>
      <c r="RI15" s="76" t="str">
        <f>IF(SUM(RC15,RH15)&gt;0,SUM(RC15,RH15),"")</f>
        <v/>
      </c>
    </row>
    <row r="16" spans="1:477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6" t="s">
        <v>95</v>
      </c>
      <c r="C16" s="7" t="s">
        <v>6</v>
      </c>
      <c r="D16" s="18">
        <v>2003</v>
      </c>
      <c r="E16" s="14">
        <f>SUM(J16:T16)+SUM(J16:P16)*0.0000001+SUM(J16)*0.0000000000001</f>
        <v>104.90001049000422</v>
      </c>
      <c r="F16" s="3" t="str">
        <f>IF(OR(AND(AR16&gt;=AY$19,AS16&gt;=AY$23,AR16&lt;&gt;"",AQ16=""),AND(AW16&gt;=AY$19,AX16&gt;=AY$23,AW16&lt;&gt;"",AQ16=""),AND(BU16&gt;=CB$19,BV16&gt;=CB$23,BU16&lt;&gt;"",BT16=""),AND(BZ16&gt;=CB$19,CA16&gt;=CB$23,BZ16&lt;&gt;"",BT16=""),AND(CX16&gt;=DE$19,CY16&gt;=DE$23,CX16&lt;&gt;"",CW16=""),AND(DC16&gt;=DE$19,DD16&gt;=DE$23,DC16&lt;&gt;""),AND(EC16&gt;=EJ$19,ED16&gt;=EJ$23,EC16&lt;&gt;""),AND(EH16&gt;=EJ$19,EI16&gt;=EJ$23,EH16&lt;&gt;""),AND(FE16&gt;=FL$19,FF16&gt;=FL$23,FE16&lt;&gt;""),AND(FJ16&gt;=FL$19,FK16&gt;=FL$23,FJ16&lt;&gt;""),AND(GG16&gt;=GN$19,GH16&gt;=GN$23,GG16&lt;&gt;""),AND(GL16&gt;=GN$19,GM16&gt;=GN$23,GL16&lt;&gt;""),AND(HI16&gt;=HP$19,HJ16&gt;=HP$23,HI16&lt;&gt;""),AND(HN16&gt;=HP$19,HO16&gt;=HP$23,HN16&lt;&gt;""),AND(IK16&gt;=IR$19,IL16&gt;=IR$23,IK16&lt;&gt;""),AND(IP16&gt;=IR$19,IQ16&gt;=IR$23,IP16&lt;&gt;""),AND(JM16&gt;=JT$19,JN16&gt;=JT$23,JM16&lt;&gt;""),AND(JR16&gt;=JT$19,JS16&gt;=JT$23,JR16&lt;&gt;""),AND(KO16&gt;=KV$19,KP16&gt;=KV$23,KO16&lt;&gt;""),AND(KT16&gt;=KV$19,KU16&gt;=KV$23,KT16&lt;&gt;""),AND(LQ16&gt;=LX$19,LR16&gt;=LX$23,LQ16&lt;&gt;""),AND(LV16&gt;=LX$19,LW16&gt;=LX$23,LV16&lt;&gt;""),AND(MS16&gt;=MZ$19,MT16&gt;=MZ$23,MS16&lt;&gt;""),AND(MX16&gt;=MZ$19,MY16&gt;=MZ$23,MX16&lt;&gt;""),AND(NU16&gt;=OB$19,NV16&gt;=OB$23,NU16&lt;&gt;""),AND(NZ16&gt;=OB$19,OA16&gt;=OB$23,NZ16&lt;&gt;""),AND(OW16&gt;=PD$19,OX16&gt;=PD$23,OW16&lt;&gt;""),AND(PB16&gt;=PD$19,PC16&gt;=PD$23,PB16&lt;&gt;""),AND(PY16&gt;=QF$19,PZ16&gt;=QF$23,PY16&lt;&gt;""),AND(QD16&gt;=QF$19,QE16&gt;=QF$23,QD16&lt;&gt;"")),"P","")</f>
        <v/>
      </c>
      <c r="G16" s="3" t="str">
        <f>IF(OR(AND(AS16&gt;=AY$23,AS16&lt;&gt;"",AQ16=""),AND(AX16&gt;=AY$23,AX16&lt;&gt;"",AQ16=""),AND(BV16&gt;=CB$23,BV16&lt;&gt;"",BT16=""),AND(CA16&gt;=CB$23,CA16&lt;&gt;"",BT16=""),AND(CY16&gt;=DE$23,CY16&lt;&gt;"",CW16=""),AND(DD16&gt;=DE$23,DD16&lt;&gt;"",CW16=""),AND(ED16&gt;=EJ$23,ED16&lt;&gt;""),AND(EI16&gt;=EJ$23,EI16&lt;&gt;""),AND(FF16&gt;=FL$23,FF16&lt;&gt;""),AND(FK16&gt;=FL$23,FK16&lt;&gt;""),AND(GH16&gt;=GN$23,GH16&lt;&gt;""),AND(GM16&gt;=GN$23,GM16&lt;&gt;""),AND(HJ16&gt;=HP$23,HJ16&lt;&gt;""),AND(HO16&gt;=HP$23,HO16&lt;&gt;""),AND(IL16&gt;=IR$23,IL16&lt;&gt;""),AND(IQ16&gt;=IR$23,IQ16&lt;&gt;""),AND(JN16&gt;=JT$23,JN16&lt;&gt;""),AND(JS16&gt;=JT$23,JS16&lt;&gt;""),AND(KP16&gt;=KV$23,KP16&lt;&gt;""),AND(KU16&gt;=KV$23,KU16&lt;&gt;""),AND(LR16&gt;=LX$23,LR16&lt;&gt;""),AND(LW16&gt;=LX$23,LW16&lt;&gt;""),AND(MT16&gt;=MZ$23,MT16&lt;&gt;""),AND(MY16&gt;=MZ$23,MY16&lt;&gt;""),AND(NV16&gt;=OB$23,NV16&lt;&gt;""),AND(OA16&gt;=OB$23,OA16&lt;&gt;""),AND(OX16&gt;=PD$23,OX16&lt;&gt;""),AND(PC16&gt;=PD$23,PC16&lt;&gt;""),AND(PZ16&gt;=QF$23,PZ16&lt;&gt;""),AND(QE16&gt;=QF$23,QE16&lt;&gt;"")),"P","")</f>
        <v/>
      </c>
      <c r="H16" s="70" t="str">
        <f>IF(AND(G16="P",F16=""),"No DD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Merit",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Excellence",IF(I16="P","Worlds Team",IF(F16="P","National Team","")))))</f>
        <v/>
      </c>
      <c r="I16" s="3" t="str">
        <f>IF(OR(AND(AU16&gt;=AY$20,AV16&gt;=AY$24,AU16&lt;&gt;"",AQ16=""),AND(BX16&gt;=CB$20,BY16&gt;=CB$24,BX16&lt;&gt;"",BT16=""),AND(DA16&gt;=DE$20,DB16&gt;=DE$24,DA16&lt;&gt;"",CW16=""),AND(EF16&gt;=EJ$20,EG16&gt;=EJ$24,EF16&lt;&gt;""),AND(FH16&gt;=FL$20,FI16&gt;=FL$24,FH16&lt;&gt;""),AND(GJ16&gt;=GN$20,GK16&gt;=GN$24,GJ16&lt;&gt;""),AND(HL16&gt;=HP$20,HM16&gt;=HP$24,HL16&lt;&gt;""),AND(IN16&gt;=IR$20,IO16&gt;=IR$24,IN16&lt;&gt;""),AND(JP16&gt;=JT$20,JQ16&gt;=JT$24,JP16&lt;&gt;""),AND(KR16&gt;=KV$20,KS16&gt;=KV$24,KR16&lt;&gt;""),AND(LT16&gt;=LX$20,LU16&gt;=LX$24,LT16&lt;&gt;""),AND(MV16&gt;=MZ$20,MW16&gt;=MZ$24,MV16&lt;&gt;""),AND(NX16&gt;=OB$20,NY16&gt;=OB$24,NX16&lt;&gt;""),AND(OZ16&gt;=PD$20,PA16&gt;=PD$24,OZ16&lt;&gt;""),AND(QB16&gt;=QF$20,QC16&gt;=QF$24,QB16&lt;&gt;"")),"P","")</f>
        <v/>
      </c>
      <c r="J16" s="13">
        <f>IF(COUNT(AS16,BV16,CY16)&gt;0,LARGE((AS16,BV16,CY16),1),0)</f>
        <v>42.2</v>
      </c>
      <c r="K16" s="13" t="str">
        <f>IF(J16=0,"",IF(J16=CY16,$CC$1,IF(J16=BV16,$AZ$1,IF(J16=AS16,$W$1,""))))</f>
        <v>2022 Nationals</v>
      </c>
      <c r="L16" s="13">
        <f>IF(COUNT(AS16,BV16,CY16)&gt;1,LARGE((AS16,BV16,CY16),2),0)</f>
        <v>40.5</v>
      </c>
      <c r="M16" s="13" t="str">
        <f>IF(L16=0,"",IF(L16=CY16,$CC$1,IF(L16=BV16,$AZ$1,IF(L16=AS16,$W$1,""))))</f>
        <v>2022 Elite Canada</v>
      </c>
      <c r="N16" s="13">
        <f>IF(COUNT(AT16,BW16,CZ16)&gt;0,LARGE((AT16,BW16,CZ16),1),0)</f>
        <v>22.2</v>
      </c>
      <c r="O16" s="13" t="str">
        <f>IF(N16=0,"",IF(N16=CZ16,$CC$1,IF(N16=BW16,$AZ$1,IF(N16=AT16,$W$1,""))))</f>
        <v>2022 Nationals</v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>
        <v>18.399999999999999</v>
      </c>
      <c r="X16" s="27">
        <v>5.2</v>
      </c>
      <c r="Y16" s="27">
        <v>0.2</v>
      </c>
      <c r="Z16" s="27">
        <v>0</v>
      </c>
      <c r="AA16" s="27">
        <v>17.100000000000001</v>
      </c>
      <c r="AB16" s="27">
        <v>0</v>
      </c>
      <c r="AC16" s="27">
        <v>0</v>
      </c>
      <c r="AD16" s="27">
        <v>0</v>
      </c>
      <c r="AE16" s="27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>
        <v>0</v>
      </c>
      <c r="AP16" s="27">
        <v>0</v>
      </c>
      <c r="AQ16" s="51"/>
      <c r="AR16" s="76">
        <f>IF(SUM(X16,AB16)&gt;0,SUM(X16,AB16),"")</f>
        <v>5.2</v>
      </c>
      <c r="AS16" s="76">
        <f>IF(SUM(W16:X16,Z16:AB16,AD16)-Y16-AC16&gt;0,SUM(W16:X16,Z16:AB16,AD16)-Y16-AC16,"")</f>
        <v>40.5</v>
      </c>
      <c r="AT16" s="76" t="str">
        <f>IF(SUM(AE16:AF16,AH16)-AG16&gt;0,SUM(AE16:AF16,AH16)-AG16,"")</f>
        <v/>
      </c>
      <c r="AU16" s="76">
        <f>IF(SUM(X16,AB16,AF16)&gt;0,SUM(X16,AB16,AF16),"")</f>
        <v>5.2</v>
      </c>
      <c r="AV16" s="76">
        <f>IF(SUM(AS16,AT16)&gt;0,SUM(AS16,AT16),"")</f>
        <v>40.5</v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>
        <f>IF(SUM(AS16,AX16)&gt;0,SUM(AS16,AX16),"")</f>
        <v>40.5</v>
      </c>
      <c r="AZ16" s="26">
        <v>16.600000000000001</v>
      </c>
      <c r="BA16" s="26">
        <v>3</v>
      </c>
      <c r="BB16" s="26">
        <v>1.5999999999999999</v>
      </c>
      <c r="BC16" s="26">
        <v>0</v>
      </c>
      <c r="BD16" s="26">
        <v>18.600000000000001</v>
      </c>
      <c r="BE16" s="26">
        <v>5.6</v>
      </c>
      <c r="BF16" s="26">
        <v>0</v>
      </c>
      <c r="BG16" s="26">
        <v>0</v>
      </c>
      <c r="BH16" s="26">
        <v>18.2</v>
      </c>
      <c r="BI16" s="26">
        <v>4.8</v>
      </c>
      <c r="BJ16" s="26">
        <v>0.8</v>
      </c>
      <c r="BK16" s="26">
        <v>0</v>
      </c>
      <c r="BL16" s="26">
        <v>0</v>
      </c>
      <c r="BM16" s="26">
        <v>0</v>
      </c>
      <c r="BN16" s="26">
        <v>0</v>
      </c>
      <c r="BO16" s="26">
        <v>0</v>
      </c>
      <c r="BP16" s="26">
        <v>0</v>
      </c>
      <c r="BQ16" s="26">
        <v>0</v>
      </c>
      <c r="BR16" s="26">
        <v>0</v>
      </c>
      <c r="BS16" s="26">
        <v>0</v>
      </c>
      <c r="BT16" s="52"/>
      <c r="BU16" s="16">
        <f>IF(SUM(BA16,BE16)&gt;0,SUM(BA16,BE16),"")</f>
        <v>8.6</v>
      </c>
      <c r="BV16" s="16">
        <f>IF(SUM(AZ16:BA16,BC16:BE16,BG16)-BB16-BF16&gt;0,SUM(AZ16:BA16,BC16:BE16,BG16)-BB16-BF16,"")</f>
        <v>42.2</v>
      </c>
      <c r="BW16" s="16">
        <f>IF(SUM(BH16:BI16,BK16)-BJ16&gt;0,SUM(BH16:BI16,BK16)-BJ16,"")</f>
        <v>22.2</v>
      </c>
      <c r="BX16" s="16">
        <f>IF(SUM(BA16,BE16,BI16)&gt;0,SUM(BA16,BE16,BI16),"")</f>
        <v>13.399999999999999</v>
      </c>
      <c r="BY16" s="16">
        <f>IF(SUM(BV16,BW16)&gt;0,SUM(BV16,BW16),"")</f>
        <v>64.400000000000006</v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>
        <f>IF(SUM(BV16,CA16)&gt;0,SUM(BV16,CA16),"")</f>
        <v>42.2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>IF(SUM(CD16,CH16)&gt;0,SUM(CD16,CH16),"")</f>
        <v/>
      </c>
      <c r="CY16" s="76" t="str">
        <f>IF(SUM(CC16:CD16,CF16:CH16,CJ16)-CE16-CI16&gt;0,SUM(CC16:CD16,CF16:CH16,CJ16)-CE16-CI16,"")</f>
        <v/>
      </c>
      <c r="CZ16" s="76" t="str">
        <f>IF(SUM(CK16:CL16,CN16)-CM16&gt;0,SUM(CK16:CL16,CN16)-CM16,"")</f>
        <v/>
      </c>
      <c r="DA16" s="76" t="str">
        <f>IF(SUM(CD16,CH16,CL16)&gt;0,SUM(CD16,CH16,CL16),"")</f>
        <v/>
      </c>
      <c r="DB16" s="76" t="str">
        <f>IF(SUM(CY16,CZ16)&gt;0,SUM(CY16,CZ16),"")</f>
        <v/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 t="str">
        <f>IF(SUM(CY16,DD16)&gt;0,SUM(CY16,DD16),"")</f>
        <v/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8.3000000000000007</v>
      </c>
      <c r="QH16" s="42">
        <f>IF($CW16="P",CD16,(CD16+BA16)/2)</f>
        <v>1.5</v>
      </c>
      <c r="QI16" s="42">
        <f>IF($CW16="P",CE16,(CE16+BB16)/2)</f>
        <v>0.79999999999999993</v>
      </c>
      <c r="QJ16" s="42">
        <f>IF($CW16="P",CF16,(CF16+BC16)/2)</f>
        <v>0</v>
      </c>
      <c r="QK16" s="42">
        <f>IF($CW16="P",CG16,(CG16+BD16)/2)</f>
        <v>9.3000000000000007</v>
      </c>
      <c r="QL16" s="42">
        <f>IF($CW16="P",CH16,(CH16+BE16)/2)</f>
        <v>2.8</v>
      </c>
      <c r="QM16" s="42">
        <f>IF($CW16="P",CI16,(CI16+BF16)/2)</f>
        <v>0</v>
      </c>
      <c r="QN16" s="42">
        <f>IF($CW16="P",CJ16,(CJ16+BG16)/2)</f>
        <v>0</v>
      </c>
      <c r="QO16" s="42">
        <f>IF($CW16="P",CK16,(CK16+BH16)/2)</f>
        <v>9.1</v>
      </c>
      <c r="QP16" s="42">
        <f>IF($CW16="P",CL16,(CL16+BI16)/2)</f>
        <v>2.4</v>
      </c>
      <c r="QQ16" s="42">
        <f>IF($CW16="P",CM16,(CM16+BJ16)/2)</f>
        <v>0.4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58</v>
      </c>
      <c r="RB16" s="76">
        <f>IF(SUM(QH16,QL16)&gt;0,SUM(QH16,QL16),"")</f>
        <v>4.3</v>
      </c>
      <c r="RC16" s="76">
        <f>IF(SUM(QG16:QH16,QJ16:QL16,QN16)-QI16-QM16&gt;0,SUM(QG16:QH16,QJ16:QL16,QN16)-QI16-QM16,"")</f>
        <v>21.1</v>
      </c>
      <c r="RD16" s="76">
        <f>IF(SUM(QO16:QP16,QR16)-QQ16&gt;0,SUM(QO16:QP16,QR16)-QQ16,"")</f>
        <v>11.1</v>
      </c>
      <c r="RE16" s="76">
        <f>IF(SUM(QH16,QL16,QP16)&gt;0,SUM(QH16,QL16,QP16),"")</f>
        <v>6.6999999999999993</v>
      </c>
      <c r="RF16" s="76">
        <f>IF(SUM(RC16,RD16)&gt;0,SUM(RC16,RD16),"")</f>
        <v>32.200000000000003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21.1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55</v>
      </c>
      <c r="T19" s="15"/>
      <c r="U19" s="15"/>
      <c r="V19" s="15"/>
      <c r="AR19" s="7"/>
      <c r="AY19" s="78">
        <v>10.8</v>
      </c>
      <c r="BU19" s="7"/>
      <c r="CB19" s="78">
        <v>10.8</v>
      </c>
      <c r="CX19" s="7"/>
      <c r="DE19" s="78">
        <v>10.8</v>
      </c>
      <c r="EC19" s="7"/>
      <c r="EJ19" s="78">
        <v>1.0000000000000001E-5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54</v>
      </c>
      <c r="T20" s="15"/>
      <c r="U20" s="15"/>
      <c r="V20" s="15"/>
      <c r="AR20" s="7"/>
      <c r="AY20" s="93">
        <v>16</v>
      </c>
      <c r="BU20" s="7"/>
      <c r="CB20" s="93">
        <v>16</v>
      </c>
      <c r="CX20" s="7"/>
      <c r="DE20" s="93">
        <v>16</v>
      </c>
      <c r="EC20" s="7"/>
      <c r="EJ20" s="93">
        <v>2.0000000000000002E-5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68</v>
      </c>
      <c r="C21" s="34"/>
      <c r="T21" s="15"/>
      <c r="U21" s="15"/>
      <c r="V21" s="15"/>
      <c r="AR21" s="7"/>
      <c r="AY21" s="80">
        <v>16.8</v>
      </c>
      <c r="BU21" s="7"/>
      <c r="CB21" s="80">
        <v>16.8</v>
      </c>
      <c r="CX21" s="7"/>
      <c r="DE21" s="80">
        <v>16.8</v>
      </c>
      <c r="EC21" s="7"/>
      <c r="EJ21" s="80">
        <v>3.0000000000000001E-5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81</v>
      </c>
      <c r="C22" s="34"/>
      <c r="T22" s="15"/>
      <c r="U22" s="15"/>
      <c r="V22" s="15"/>
      <c r="AR22" s="7"/>
      <c r="AY22" s="81">
        <v>17.600000000000001</v>
      </c>
      <c r="BU22" s="7"/>
      <c r="CB22" s="81">
        <v>17.600000000000001</v>
      </c>
      <c r="CX22" s="7"/>
      <c r="DE22" s="81">
        <v>17.600000000000001</v>
      </c>
      <c r="EC22" s="7"/>
      <c r="EJ22" s="81">
        <v>4.0000000000000003E-5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52</v>
      </c>
      <c r="C23" s="34"/>
      <c r="T23" s="15"/>
      <c r="U23" s="15"/>
      <c r="V23" s="15"/>
      <c r="AR23" s="7"/>
      <c r="AY23" s="82">
        <v>48</v>
      </c>
      <c r="BU23" s="7"/>
      <c r="CB23" s="82">
        <v>48</v>
      </c>
      <c r="CX23" s="7"/>
      <c r="DE23" s="82">
        <v>48</v>
      </c>
      <c r="EC23" s="7"/>
      <c r="EJ23" s="82">
        <v>5.0000000000000002E-5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53</v>
      </c>
      <c r="C24" s="34"/>
      <c r="T24" s="15"/>
      <c r="U24" s="15"/>
      <c r="V24" s="15"/>
      <c r="AR24" s="7"/>
      <c r="AY24" s="83">
        <v>72</v>
      </c>
      <c r="BU24" s="7"/>
      <c r="CB24" s="83">
        <v>72</v>
      </c>
      <c r="CX24" s="7"/>
      <c r="DE24" s="83">
        <v>72</v>
      </c>
      <c r="EC24" s="7"/>
      <c r="EJ24" s="83">
        <v>6.0000000000000002E-5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67</v>
      </c>
      <c r="C25" s="34"/>
      <c r="T25" s="15"/>
      <c r="U25" s="15"/>
      <c r="V25" s="15"/>
      <c r="AR25" s="7"/>
      <c r="AY25" s="84">
        <v>73.400000000000006</v>
      </c>
      <c r="BU25" s="7"/>
      <c r="CB25" s="84">
        <v>73.400000000000006</v>
      </c>
      <c r="CX25" s="7"/>
      <c r="DE25" s="84">
        <v>73.400000000000006</v>
      </c>
      <c r="EC25" s="7"/>
      <c r="EJ25" s="84">
        <v>6.9999999999999994E-5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36</v>
      </c>
      <c r="C26" s="34"/>
      <c r="T26" s="15"/>
      <c r="U26" s="15"/>
      <c r="V26" s="15"/>
      <c r="AR26" s="7"/>
      <c r="AY26" s="85">
        <v>74.8</v>
      </c>
      <c r="BU26" s="7"/>
      <c r="CB26" s="85">
        <v>74.8</v>
      </c>
      <c r="CX26" s="7"/>
      <c r="DE26" s="85">
        <v>74.8</v>
      </c>
      <c r="EC26" s="7"/>
      <c r="EG26" s="70" t="s">
        <v>155</v>
      </c>
      <c r="EJ26" s="85">
        <v>8.0000000000000007E-5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59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6">
      <sortCondition descending="1" ref="F1:F1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15" priority="60352" operator="between">
      <formula>AY$26</formula>
      <formula>1000</formula>
    </cfRule>
    <cfRule type="cellIs" dxfId="14" priority="60353" operator="between">
      <formula>AY$25</formula>
      <formula>AY$26</formula>
    </cfRule>
    <cfRule type="cellIs" dxfId="13" priority="60354" operator="between">
      <formula>AY$24</formula>
      <formula>AY$25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65105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65150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65195" operator="between">
      <formula>AY$19</formula>
      <formula>AY$20</formula>
    </cfRule>
    <cfRule type="cellIs" dxfId="9" priority="65196" operator="between">
      <formula>AY$20</formula>
      <formula>AY$21</formula>
    </cfRule>
    <cfRule type="cellIs" dxfId="8" priority="65197" operator="between">
      <formula>AY$21</formula>
      <formula>AY$22</formula>
    </cfRule>
    <cfRule type="cellIs" dxfId="7" priority="65198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65375" operator="between">
      <formula>AY$23</formula>
      <formula>AY$24</formula>
    </cfRule>
    <cfRule type="cellIs" dxfId="5" priority="65376" operator="between">
      <formula>AY$24</formula>
      <formula>AY$25</formula>
    </cfRule>
    <cfRule type="cellIs" dxfId="4" priority="65377" operator="between">
      <formula>AY$25</formula>
      <formula>AY$26</formula>
    </cfRule>
    <cfRule type="cellIs" dxfId="3" priority="65378" operator="between">
      <formula>AY$26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5687" operator="between">
      <formula>AY$22</formula>
      <formula>1000</formula>
    </cfRule>
    <cfRule type="cellIs" dxfId="1" priority="65688" operator="between">
      <formula>AY$21</formula>
      <formula>AY$22</formula>
    </cfRule>
    <cfRule type="cellIs" dxfId="0" priority="656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2022-09-28T15:39:59Z</dcterms:modified>
</cp:coreProperties>
</file>