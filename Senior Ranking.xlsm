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9BBCB48E-E339-8F48-9482-F197AB45D01B}" xr6:coauthVersionLast="36" xr6:coauthVersionMax="36" xr10:uidLastSave="{00000000-0000-0000-0000-000000000000}"/>
  <bookViews>
    <workbookView xWindow="0" yWindow="440" windowWidth="33600" windowHeight="2056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7902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F11" i="5" l="1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CE11" i="5"/>
  <c r="BY4" i="5" l="1"/>
  <c r="BY5" i="5"/>
  <c r="BY6" i="5"/>
  <c r="BY7" i="5"/>
  <c r="BY8" i="5"/>
  <c r="BY9" i="5"/>
  <c r="BY10" i="5"/>
  <c r="BY11" i="5"/>
  <c r="BY12" i="5"/>
  <c r="BY13" i="5"/>
  <c r="BY14" i="5"/>
  <c r="BY15" i="5"/>
  <c r="KH4" i="9"/>
  <c r="KH5" i="9"/>
  <c r="KH6" i="9"/>
  <c r="KH7" i="9"/>
  <c r="KH8" i="9"/>
  <c r="KH9" i="9"/>
  <c r="KH10" i="9"/>
  <c r="KH11" i="9"/>
  <c r="KH12" i="9"/>
  <c r="KH13" i="9"/>
  <c r="KH14" i="9"/>
  <c r="AK4" i="4"/>
  <c r="AK9" i="10" l="1"/>
  <c r="AL9" i="10"/>
  <c r="AM9" i="10"/>
  <c r="AO9" i="10"/>
  <c r="BG9" i="10"/>
  <c r="BH9" i="10"/>
  <c r="BI9" i="10"/>
  <c r="BK9" i="10"/>
  <c r="CC9" i="10"/>
  <c r="CD9" i="10"/>
  <c r="CE9" i="10"/>
  <c r="CG9" i="10"/>
  <c r="DA9" i="10"/>
  <c r="DB9" i="10"/>
  <c r="DC9" i="10"/>
  <c r="DE9" i="10"/>
  <c r="DV9" i="10"/>
  <c r="DW9" i="10"/>
  <c r="DX9" i="10"/>
  <c r="DZ9" i="10"/>
  <c r="EQ9" i="10"/>
  <c r="ER9" i="10"/>
  <c r="ES9" i="10"/>
  <c r="EU9" i="10"/>
  <c r="FL9" i="10"/>
  <c r="FM9" i="10"/>
  <c r="FN9" i="10"/>
  <c r="FP9" i="10"/>
  <c r="GG9" i="10"/>
  <c r="GH9" i="10"/>
  <c r="GI9" i="10"/>
  <c r="GK9" i="10"/>
  <c r="HB9" i="10"/>
  <c r="HC9" i="10"/>
  <c r="HD9" i="10"/>
  <c r="HF9" i="10"/>
  <c r="HW9" i="10"/>
  <c r="HX9" i="10"/>
  <c r="HY9" i="10"/>
  <c r="IA9" i="10"/>
  <c r="IR9" i="10"/>
  <c r="IS9" i="10"/>
  <c r="IT9" i="10"/>
  <c r="IV9" i="10"/>
  <c r="JM9" i="10"/>
  <c r="JN9" i="10"/>
  <c r="JO9" i="10"/>
  <c r="JQ9" i="10"/>
  <c r="KH9" i="10"/>
  <c r="KI9" i="10"/>
  <c r="KJ9" i="10"/>
  <c r="KL9" i="10"/>
  <c r="LC9" i="10"/>
  <c r="LD9" i="10"/>
  <c r="LE9" i="10"/>
  <c r="LG9" i="10"/>
  <c r="LX9" i="10"/>
  <c r="LY9" i="10"/>
  <c r="LZ9" i="10"/>
  <c r="MB9" i="10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I14" i="9"/>
  <c r="KJ14" i="9"/>
  <c r="KL14" i="9"/>
  <c r="LC14" i="9"/>
  <c r="LD14" i="9"/>
  <c r="LE14" i="9"/>
  <c r="LG14" i="9"/>
  <c r="LX14" i="9"/>
  <c r="LY14" i="9"/>
  <c r="LZ14" i="9"/>
  <c r="MB14" i="9"/>
  <c r="ET9" i="10" l="1"/>
  <c r="EV9" i="10"/>
  <c r="HE9" i="10"/>
  <c r="HG9" i="10" s="1"/>
  <c r="AN14" i="9"/>
  <c r="JP9" i="10"/>
  <c r="JR9" i="10" s="1"/>
  <c r="KK9" i="10"/>
  <c r="KM9" i="10" s="1"/>
  <c r="IU9" i="10"/>
  <c r="IW9" i="10" s="1"/>
  <c r="AN9" i="10"/>
  <c r="AP9" i="10" s="1"/>
  <c r="LF9" i="10"/>
  <c r="LH9" i="10" s="1"/>
  <c r="G9" i="10"/>
  <c r="F9" i="10"/>
  <c r="F14" i="9"/>
  <c r="G14" i="9"/>
  <c r="HZ14" i="9"/>
  <c r="IB14" i="9" s="1"/>
  <c r="BJ14" i="9"/>
  <c r="GJ14" i="9"/>
  <c r="GL14" i="9" s="1"/>
  <c r="FO9" i="10"/>
  <c r="FQ9" i="10" s="1"/>
  <c r="DY9" i="10"/>
  <c r="EA9" i="10" s="1"/>
  <c r="GJ9" i="10"/>
  <c r="GL9" i="10" s="1"/>
  <c r="MA9" i="10"/>
  <c r="MC9" i="10" s="1"/>
  <c r="DD9" i="10"/>
  <c r="DF9" i="10" s="1"/>
  <c r="BJ9" i="10"/>
  <c r="FO14" i="9"/>
  <c r="FQ14" i="9" s="1"/>
  <c r="KK14" i="9"/>
  <c r="KM14" i="9" s="1"/>
  <c r="HE14" i="9"/>
  <c r="HG14" i="9" s="1"/>
  <c r="LF14" i="9"/>
  <c r="LH14" i="9" s="1"/>
  <c r="AP14" i="9"/>
  <c r="DY14" i="9"/>
  <c r="EA14" i="9" s="1"/>
  <c r="MA14" i="9"/>
  <c r="MC14" i="9" s="1"/>
  <c r="IU14" i="9"/>
  <c r="IW14" i="9" s="1"/>
  <c r="DD14" i="9"/>
  <c r="DF14" i="9" s="1"/>
  <c r="JP14" i="9"/>
  <c r="JR14" i="9" s="1"/>
  <c r="HZ9" i="10"/>
  <c r="IB9" i="10" s="1"/>
  <c r="CF9" i="10"/>
  <c r="CH9" i="10" s="1"/>
  <c r="P9" i="10"/>
  <c r="Q9" i="10" s="1"/>
  <c r="ET14" i="9"/>
  <c r="EV14" i="9" s="1"/>
  <c r="CF14" i="9"/>
  <c r="CH14" i="9" s="1"/>
  <c r="P14" i="9"/>
  <c r="Q14" i="9" s="1"/>
  <c r="BL14" i="9"/>
  <c r="AL6" i="7"/>
  <c r="AM6" i="7"/>
  <c r="AN6" i="7"/>
  <c r="AO6" i="7"/>
  <c r="AQ6" i="7"/>
  <c r="BJ6" i="7"/>
  <c r="BK6" i="7"/>
  <c r="BL6" i="7"/>
  <c r="BM6" i="7"/>
  <c r="BO6" i="7"/>
  <c r="CH6" i="7"/>
  <c r="CI6" i="7"/>
  <c r="CJ6" i="7"/>
  <c r="CK6" i="7"/>
  <c r="CM6" i="7"/>
  <c r="DH6" i="7"/>
  <c r="DI6" i="7"/>
  <c r="DJ6" i="7"/>
  <c r="DK6" i="7"/>
  <c r="DM6" i="7"/>
  <c r="EE6" i="7"/>
  <c r="EF6" i="7"/>
  <c r="EG6" i="7"/>
  <c r="EH6" i="7"/>
  <c r="EJ6" i="7"/>
  <c r="FB6" i="7"/>
  <c r="FC6" i="7"/>
  <c r="FD6" i="7"/>
  <c r="FE6" i="7"/>
  <c r="FG6" i="7"/>
  <c r="FY6" i="7"/>
  <c r="FZ6" i="7"/>
  <c r="GA6" i="7"/>
  <c r="GB6" i="7"/>
  <c r="GD6" i="7"/>
  <c r="GV6" i="7"/>
  <c r="GW6" i="7"/>
  <c r="GX6" i="7"/>
  <c r="GY6" i="7"/>
  <c r="HA6" i="7"/>
  <c r="HS6" i="7"/>
  <c r="HT6" i="7"/>
  <c r="HU6" i="7"/>
  <c r="HV6" i="7"/>
  <c r="HX6" i="7"/>
  <c r="IP6" i="7"/>
  <c r="IQ6" i="7"/>
  <c r="IR6" i="7"/>
  <c r="IS6" i="7"/>
  <c r="IU6" i="7"/>
  <c r="JM6" i="7"/>
  <c r="JN6" i="7"/>
  <c r="JO6" i="7"/>
  <c r="JP6" i="7"/>
  <c r="JR6" i="7"/>
  <c r="KJ6" i="7"/>
  <c r="KK6" i="7"/>
  <c r="KL6" i="7"/>
  <c r="KM6" i="7"/>
  <c r="KO6" i="7"/>
  <c r="LG6" i="7"/>
  <c r="LH6" i="7"/>
  <c r="LI6" i="7"/>
  <c r="LJ6" i="7"/>
  <c r="LL6" i="7"/>
  <c r="MD6" i="7"/>
  <c r="ME6" i="7"/>
  <c r="MF6" i="7"/>
  <c r="MG6" i="7"/>
  <c r="MI6" i="7"/>
  <c r="NA6" i="7"/>
  <c r="NB6" i="7"/>
  <c r="NC6" i="7"/>
  <c r="ND6" i="7"/>
  <c r="NF6" i="7"/>
  <c r="H9" i="10" l="1"/>
  <c r="H14" i="9"/>
  <c r="A14" i="9" s="1"/>
  <c r="I14" i="9"/>
  <c r="F6" i="7"/>
  <c r="G6" i="7"/>
  <c r="BL9" i="10"/>
  <c r="I9" i="10"/>
  <c r="CK9" i="10"/>
  <c r="J9" i="10"/>
  <c r="N9" i="10" s="1"/>
  <c r="IT6" i="7"/>
  <c r="IV6" i="7" s="1"/>
  <c r="CK14" i="9"/>
  <c r="J14" i="9"/>
  <c r="L14" i="9" s="1"/>
  <c r="NE6" i="7"/>
  <c r="NG6" i="7" s="1"/>
  <c r="GC6" i="7"/>
  <c r="GE6" i="7" s="1"/>
  <c r="AP6" i="7"/>
  <c r="LK6" i="7"/>
  <c r="LM6" i="7" s="1"/>
  <c r="MH6" i="7"/>
  <c r="MJ6" i="7" s="1"/>
  <c r="KN6" i="7"/>
  <c r="KP6" i="7" s="1"/>
  <c r="JQ6" i="7"/>
  <c r="JS6" i="7" s="1"/>
  <c r="HW6" i="7"/>
  <c r="HY6" i="7" s="1"/>
  <c r="DL6" i="7"/>
  <c r="DN6" i="7" s="1"/>
  <c r="GZ6" i="7"/>
  <c r="HB6" i="7" s="1"/>
  <c r="EI6" i="7"/>
  <c r="EK6" i="7" s="1"/>
  <c r="FF6" i="7"/>
  <c r="FH6" i="7" s="1"/>
  <c r="BN6" i="7"/>
  <c r="CL6" i="7"/>
  <c r="CN6" i="7" s="1"/>
  <c r="P6" i="7"/>
  <c r="Q6" i="7" s="1"/>
  <c r="AK8" i="10"/>
  <c r="AL8" i="10"/>
  <c r="AM8" i="10"/>
  <c r="AO8" i="10"/>
  <c r="BG8" i="10"/>
  <c r="BH8" i="10"/>
  <c r="BI8" i="10"/>
  <c r="BK8" i="10"/>
  <c r="CC8" i="10"/>
  <c r="CD8" i="10"/>
  <c r="CE8" i="10"/>
  <c r="CG8" i="10"/>
  <c r="DA8" i="10"/>
  <c r="DB8" i="10"/>
  <c r="DC8" i="10"/>
  <c r="DE8" i="10"/>
  <c r="DV8" i="10"/>
  <c r="DW8" i="10"/>
  <c r="DX8" i="10"/>
  <c r="DZ8" i="10"/>
  <c r="EQ8" i="10"/>
  <c r="ER8" i="10"/>
  <c r="ES8" i="10"/>
  <c r="EU8" i="10"/>
  <c r="FL8" i="10"/>
  <c r="FM8" i="10"/>
  <c r="FN8" i="10"/>
  <c r="FP8" i="10"/>
  <c r="GG8" i="10"/>
  <c r="GH8" i="10"/>
  <c r="GI8" i="10"/>
  <c r="GK8" i="10"/>
  <c r="HB8" i="10"/>
  <c r="HC8" i="10"/>
  <c r="HD8" i="10"/>
  <c r="HF8" i="10"/>
  <c r="HW8" i="10"/>
  <c r="HX8" i="10"/>
  <c r="HY8" i="10"/>
  <c r="IA8" i="10"/>
  <c r="IR8" i="10"/>
  <c r="IS8" i="10"/>
  <c r="IT8" i="10"/>
  <c r="IV8" i="10"/>
  <c r="JM8" i="10"/>
  <c r="JN8" i="10"/>
  <c r="JO8" i="10"/>
  <c r="JQ8" i="10"/>
  <c r="KH8" i="10"/>
  <c r="KI8" i="10"/>
  <c r="KJ8" i="10"/>
  <c r="KL8" i="10"/>
  <c r="LC8" i="10"/>
  <c r="LD8" i="10"/>
  <c r="LE8" i="10"/>
  <c r="LG8" i="10"/>
  <c r="LX8" i="10"/>
  <c r="LY8" i="10"/>
  <c r="LZ8" i="10"/>
  <c r="MB8" i="10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I13" i="9"/>
  <c r="KJ13" i="9"/>
  <c r="KL13" i="9"/>
  <c r="LC13" i="9"/>
  <c r="LD13" i="9"/>
  <c r="LE13" i="9"/>
  <c r="LG13" i="9"/>
  <c r="LX13" i="9"/>
  <c r="LY13" i="9"/>
  <c r="LZ13" i="9"/>
  <c r="MB13" i="9"/>
  <c r="K9" i="10" l="1"/>
  <c r="O9" i="10" s="1"/>
  <c r="L9" i="10"/>
  <c r="AR6" i="7"/>
  <c r="H6" i="7"/>
  <c r="I6" i="7"/>
  <c r="G8" i="10"/>
  <c r="F8" i="10"/>
  <c r="F13" i="9"/>
  <c r="G13" i="9"/>
  <c r="N14" i="9"/>
  <c r="K14" i="9"/>
  <c r="M14" i="9" s="1"/>
  <c r="CJ9" i="10"/>
  <c r="CI9" i="10"/>
  <c r="CI14" i="9"/>
  <c r="CQ6" i="7"/>
  <c r="BP6" i="7"/>
  <c r="J6" i="7"/>
  <c r="N6" i="7" s="1"/>
  <c r="DY8" i="10"/>
  <c r="EA8" i="10" s="1"/>
  <c r="HZ8" i="10"/>
  <c r="IB8" i="10" s="1"/>
  <c r="ET8" i="10"/>
  <c r="EV8" i="10" s="1"/>
  <c r="CF8" i="10"/>
  <c r="CH8" i="10" s="1"/>
  <c r="ET13" i="9"/>
  <c r="EV13" i="9" s="1"/>
  <c r="FO13" i="9"/>
  <c r="FQ13" i="9" s="1"/>
  <c r="HE13" i="9"/>
  <c r="HG13" i="9" s="1"/>
  <c r="KK13" i="9"/>
  <c r="KM13" i="9" s="1"/>
  <c r="KK8" i="10"/>
  <c r="KM8" i="10" s="1"/>
  <c r="DD8" i="10"/>
  <c r="DF8" i="10" s="1"/>
  <c r="BJ8" i="10"/>
  <c r="BL8" i="10" s="1"/>
  <c r="HE8" i="10"/>
  <c r="HG8" i="10" s="1"/>
  <c r="LF8" i="10"/>
  <c r="LH8" i="10" s="1"/>
  <c r="AN8" i="10"/>
  <c r="P8" i="10"/>
  <c r="Q8" i="10" s="1"/>
  <c r="MA8" i="10"/>
  <c r="MC8" i="10" s="1"/>
  <c r="FO8" i="10"/>
  <c r="FQ8" i="10" s="1"/>
  <c r="JP8" i="10"/>
  <c r="JR8" i="10" s="1"/>
  <c r="IU8" i="10"/>
  <c r="IW8" i="10" s="1"/>
  <c r="HZ13" i="9"/>
  <c r="IB13" i="9" s="1"/>
  <c r="BJ13" i="9"/>
  <c r="BL13" i="9" s="1"/>
  <c r="LF13" i="9"/>
  <c r="LH13" i="9" s="1"/>
  <c r="MA13" i="9"/>
  <c r="MC13" i="9" s="1"/>
  <c r="CF13" i="9"/>
  <c r="CH13" i="9" s="1"/>
  <c r="AN13" i="9"/>
  <c r="IU13" i="9"/>
  <c r="IW13" i="9" s="1"/>
  <c r="DD13" i="9"/>
  <c r="DF13" i="9" s="1"/>
  <c r="P13" i="9"/>
  <c r="CK13" i="9" s="1"/>
  <c r="JP13" i="9"/>
  <c r="JR13" i="9" s="1"/>
  <c r="GJ13" i="9"/>
  <c r="GL13" i="9" s="1"/>
  <c r="GJ8" i="10"/>
  <c r="GL8" i="10" s="1"/>
  <c r="DY13" i="9"/>
  <c r="EA13" i="9" s="1"/>
  <c r="M9" i="10" l="1"/>
  <c r="H13" i="9"/>
  <c r="A13" i="9" s="1"/>
  <c r="O14" i="9"/>
  <c r="AP8" i="10"/>
  <c r="H8" i="10"/>
  <c r="I8" i="10"/>
  <c r="CJ14" i="9"/>
  <c r="R14" i="9" s="1"/>
  <c r="I13" i="9"/>
  <c r="R9" i="10"/>
  <c r="E9" i="10" s="1"/>
  <c r="A9" i="10" s="1"/>
  <c r="K6" i="7"/>
  <c r="O6" i="7" s="1"/>
  <c r="L6" i="7"/>
  <c r="CK8" i="10"/>
  <c r="CP6" i="7"/>
  <c r="Q13" i="9"/>
  <c r="J13" i="9"/>
  <c r="L13" i="9" s="1"/>
  <c r="J8" i="10"/>
  <c r="N8" i="10" s="1"/>
  <c r="AP13" i="9"/>
  <c r="E14" i="9" l="1"/>
  <c r="M6" i="7"/>
  <c r="S9" i="10"/>
  <c r="T9" i="10"/>
  <c r="S14" i="9"/>
  <c r="T14" i="9"/>
  <c r="CO6" i="7"/>
  <c r="R6" i="7" s="1"/>
  <c r="L8" i="10"/>
  <c r="K8" i="10"/>
  <c r="O8" i="10" s="1"/>
  <c r="K13" i="9"/>
  <c r="M13" i="9" s="1"/>
  <c r="N13" i="9"/>
  <c r="CJ8" i="10"/>
  <c r="CI13" i="9"/>
  <c r="E6" i="7" l="1"/>
  <c r="M8" i="10"/>
  <c r="O13" i="9"/>
  <c r="S6" i="7"/>
  <c r="T6" i="7"/>
  <c r="CI8" i="10"/>
  <c r="R8" i="10" s="1"/>
  <c r="CJ13" i="9"/>
  <c r="R13" i="9" s="1"/>
  <c r="E8" i="10" l="1"/>
  <c r="A8" i="10" s="1"/>
  <c r="E13" i="9"/>
  <c r="S8" i="10"/>
  <c r="T8" i="10"/>
  <c r="S13" i="9"/>
  <c r="T13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GL9" i="9" s="1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BJ8" i="9"/>
  <c r="BL8" i="9" s="1"/>
  <c r="CF9" i="9"/>
  <c r="CH9" i="9" s="1"/>
  <c r="CF8" i="9"/>
  <c r="CH8" i="9" s="1"/>
  <c r="AK11" i="9"/>
  <c r="AL11" i="9"/>
  <c r="AM11" i="9"/>
  <c r="AO11" i="9"/>
  <c r="BG11" i="9"/>
  <c r="BH11" i="9"/>
  <c r="BI11" i="9"/>
  <c r="BK11" i="9"/>
  <c r="CC11" i="9"/>
  <c r="CD11" i="9"/>
  <c r="CE11" i="9"/>
  <c r="CG11" i="9"/>
  <c r="DA11" i="9"/>
  <c r="DB11" i="9"/>
  <c r="DC11" i="9"/>
  <c r="DE11" i="9"/>
  <c r="DV11" i="9"/>
  <c r="DW11" i="9"/>
  <c r="DX11" i="9"/>
  <c r="DZ11" i="9"/>
  <c r="EQ11" i="9"/>
  <c r="ER11" i="9"/>
  <c r="ES11" i="9"/>
  <c r="EU11" i="9"/>
  <c r="FL11" i="9"/>
  <c r="FM11" i="9"/>
  <c r="FN11" i="9"/>
  <c r="FP11" i="9"/>
  <c r="GG11" i="9"/>
  <c r="GH11" i="9"/>
  <c r="GI11" i="9"/>
  <c r="GK11" i="9"/>
  <c r="HB11" i="9"/>
  <c r="HC11" i="9"/>
  <c r="HD11" i="9"/>
  <c r="HF11" i="9"/>
  <c r="HW11" i="9"/>
  <c r="HX11" i="9"/>
  <c r="HY11" i="9"/>
  <c r="IA11" i="9"/>
  <c r="IR11" i="9"/>
  <c r="IS11" i="9"/>
  <c r="IT11" i="9"/>
  <c r="IV11" i="9"/>
  <c r="JM11" i="9"/>
  <c r="JN11" i="9"/>
  <c r="JO11" i="9"/>
  <c r="JQ11" i="9"/>
  <c r="KI11" i="9"/>
  <c r="KJ11" i="9"/>
  <c r="KL11" i="9"/>
  <c r="LC11" i="9"/>
  <c r="LD11" i="9"/>
  <c r="LE11" i="9"/>
  <c r="LG11" i="9"/>
  <c r="LX11" i="9"/>
  <c r="LY11" i="9"/>
  <c r="LZ11" i="9"/>
  <c r="MB11" i="9"/>
  <c r="AP8" i="9" l="1"/>
  <c r="H8" i="9"/>
  <c r="A8" i="9" s="1"/>
  <c r="AP9" i="9"/>
  <c r="H9" i="9"/>
  <c r="A9" i="9" s="1"/>
  <c r="G11" i="9"/>
  <c r="F11" i="9"/>
  <c r="I8" i="9"/>
  <c r="I9" i="9"/>
  <c r="CK9" i="9"/>
  <c r="CK8" i="9"/>
  <c r="J8" i="9"/>
  <c r="L8" i="9" s="1"/>
  <c r="J9" i="9"/>
  <c r="N9" i="9" s="1"/>
  <c r="IU11" i="9"/>
  <c r="IW11" i="9" s="1"/>
  <c r="FO11" i="9"/>
  <c r="FQ11" i="9" s="1"/>
  <c r="LF11" i="9"/>
  <c r="LH11" i="9" s="1"/>
  <c r="DY11" i="9"/>
  <c r="EA11" i="9" s="1"/>
  <c r="KK11" i="9"/>
  <c r="KM11" i="9" s="1"/>
  <c r="AN11" i="9"/>
  <c r="HZ11" i="9"/>
  <c r="IB11" i="9" s="1"/>
  <c r="ET11" i="9"/>
  <c r="EV11" i="9" s="1"/>
  <c r="JP11" i="9"/>
  <c r="JR11" i="9" s="1"/>
  <c r="HE11" i="9"/>
  <c r="HG11" i="9" s="1"/>
  <c r="MA11" i="9"/>
  <c r="MC11" i="9" s="1"/>
  <c r="DD11" i="9"/>
  <c r="DF11" i="9" s="1"/>
  <c r="GJ11" i="9"/>
  <c r="GL11" i="9" s="1"/>
  <c r="P11" i="9"/>
  <c r="Q11" i="9" s="1"/>
  <c r="CF11" i="9"/>
  <c r="CH11" i="9" s="1"/>
  <c r="BJ11" i="9"/>
  <c r="LZ4" i="2"/>
  <c r="I11" i="9" l="1"/>
  <c r="AP11" i="9"/>
  <c r="H11" i="9"/>
  <c r="A11" i="9" s="1"/>
  <c r="K8" i="9"/>
  <c r="M8" i="9" s="1"/>
  <c r="N8" i="9"/>
  <c r="L9" i="9"/>
  <c r="K9" i="9"/>
  <c r="O9" i="9" s="1"/>
  <c r="CJ9" i="9"/>
  <c r="CI8" i="9"/>
  <c r="BL11" i="9"/>
  <c r="J11" i="9"/>
  <c r="L11" i="9" s="1"/>
  <c r="CK11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CI9" i="9"/>
  <c r="R9" i="9" s="1"/>
  <c r="R8" i="9"/>
  <c r="AN6" i="9"/>
  <c r="N11" i="9"/>
  <c r="BJ6" i="9"/>
  <c r="BL6" i="9" s="1"/>
  <c r="LF6" i="9"/>
  <c r="LH6" i="9" s="1"/>
  <c r="K11" i="9"/>
  <c r="M11" i="9" s="1"/>
  <c r="CI11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7" i="10"/>
  <c r="LZ7" i="10"/>
  <c r="LY7" i="10"/>
  <c r="LX7" i="10"/>
  <c r="LG7" i="10"/>
  <c r="LE7" i="10"/>
  <c r="LD7" i="10"/>
  <c r="LC7" i="10"/>
  <c r="KL7" i="10"/>
  <c r="KJ7" i="10"/>
  <c r="KI7" i="10"/>
  <c r="KH7" i="10"/>
  <c r="JQ7" i="10"/>
  <c r="JO7" i="10"/>
  <c r="JN7" i="10"/>
  <c r="JM7" i="10"/>
  <c r="IV7" i="10"/>
  <c r="IT7" i="10"/>
  <c r="IS7" i="10"/>
  <c r="IR7" i="10"/>
  <c r="IA7" i="10"/>
  <c r="HY7" i="10"/>
  <c r="HX7" i="10"/>
  <c r="HW7" i="10"/>
  <c r="HF7" i="10"/>
  <c r="HD7" i="10"/>
  <c r="HC7" i="10"/>
  <c r="HB7" i="10"/>
  <c r="GK7" i="10"/>
  <c r="GI7" i="10"/>
  <c r="GH7" i="10"/>
  <c r="GG7" i="10"/>
  <c r="FP7" i="10"/>
  <c r="FN7" i="10"/>
  <c r="FM7" i="10"/>
  <c r="FL7" i="10"/>
  <c r="EU7" i="10"/>
  <c r="ES7" i="10"/>
  <c r="ER7" i="10"/>
  <c r="EQ7" i="10"/>
  <c r="DZ7" i="10"/>
  <c r="DX7" i="10"/>
  <c r="DW7" i="10"/>
  <c r="DV7" i="10"/>
  <c r="DE7" i="10"/>
  <c r="DC7" i="10"/>
  <c r="DB7" i="10"/>
  <c r="DA7" i="10"/>
  <c r="CG7" i="10"/>
  <c r="CE7" i="10"/>
  <c r="CD7" i="10"/>
  <c r="CC7" i="10"/>
  <c r="BK7" i="10"/>
  <c r="BI7" i="10"/>
  <c r="BH7" i="10"/>
  <c r="BG7" i="10"/>
  <c r="AO7" i="10"/>
  <c r="AM7" i="10"/>
  <c r="AL7" i="10"/>
  <c r="AK7" i="10"/>
  <c r="NF5" i="7"/>
  <c r="ND5" i="7"/>
  <c r="NC5" i="7"/>
  <c r="NB5" i="7"/>
  <c r="NA5" i="7"/>
  <c r="MI5" i="7"/>
  <c r="MG5" i="7"/>
  <c r="MF5" i="7"/>
  <c r="ME5" i="7"/>
  <c r="MD5" i="7"/>
  <c r="LL5" i="7"/>
  <c r="LJ5" i="7"/>
  <c r="LI5" i="7"/>
  <c r="LH5" i="7"/>
  <c r="LG5" i="7"/>
  <c r="KO5" i="7"/>
  <c r="KM5" i="7"/>
  <c r="KL5" i="7"/>
  <c r="KK5" i="7"/>
  <c r="KJ5" i="7"/>
  <c r="JR5" i="7"/>
  <c r="JP5" i="7"/>
  <c r="JO5" i="7"/>
  <c r="JN5" i="7"/>
  <c r="JM5" i="7"/>
  <c r="IU5" i="7"/>
  <c r="IS5" i="7"/>
  <c r="IR5" i="7"/>
  <c r="IQ5" i="7"/>
  <c r="IP5" i="7"/>
  <c r="HX5" i="7"/>
  <c r="HV5" i="7"/>
  <c r="HU5" i="7"/>
  <c r="HT5" i="7"/>
  <c r="HS5" i="7"/>
  <c r="HA5" i="7"/>
  <c r="GY5" i="7"/>
  <c r="GX5" i="7"/>
  <c r="GW5" i="7"/>
  <c r="GV5" i="7"/>
  <c r="GD5" i="7"/>
  <c r="GB5" i="7"/>
  <c r="GA5" i="7"/>
  <c r="FZ5" i="7"/>
  <c r="FY5" i="7"/>
  <c r="FG5" i="7"/>
  <c r="FE5" i="7"/>
  <c r="FD5" i="7"/>
  <c r="FC5" i="7"/>
  <c r="FB5" i="7"/>
  <c r="EJ5" i="7"/>
  <c r="EH5" i="7"/>
  <c r="EG5" i="7"/>
  <c r="EF5" i="7"/>
  <c r="EE5" i="7"/>
  <c r="DM5" i="7"/>
  <c r="DK5" i="7"/>
  <c r="DJ5" i="7"/>
  <c r="DI5" i="7"/>
  <c r="DH5" i="7"/>
  <c r="CM5" i="7"/>
  <c r="CK5" i="7"/>
  <c r="CJ5" i="7"/>
  <c r="CI5" i="7"/>
  <c r="CH5" i="7"/>
  <c r="BO5" i="7"/>
  <c r="BM5" i="7"/>
  <c r="BL5" i="7"/>
  <c r="BK5" i="7"/>
  <c r="BJ5" i="7"/>
  <c r="AQ5" i="7"/>
  <c r="AO5" i="7"/>
  <c r="AN5" i="7"/>
  <c r="AM5" i="7"/>
  <c r="AL5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1" i="9" l="1"/>
  <c r="F4" i="8"/>
  <c r="G4" i="8"/>
  <c r="F5" i="7"/>
  <c r="G5" i="7"/>
  <c r="G8" i="7"/>
  <c r="F8" i="7"/>
  <c r="F7" i="10"/>
  <c r="G7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5" i="7"/>
  <c r="EK5" i="7" s="1"/>
  <c r="LK5" i="7"/>
  <c r="LM5" i="7" s="1"/>
  <c r="MH4" i="8"/>
  <c r="MJ4" i="8" s="1"/>
  <c r="IT4" i="8"/>
  <c r="IV4" i="8" s="1"/>
  <c r="DL5" i="7"/>
  <c r="DN5" i="7" s="1"/>
  <c r="KN5" i="7"/>
  <c r="KP5" i="7" s="1"/>
  <c r="NE8" i="7"/>
  <c r="NG8" i="7" s="1"/>
  <c r="CJ11" i="9"/>
  <c r="R11" i="9" s="1"/>
  <c r="BN4" i="8"/>
  <c r="BP4" i="8" s="1"/>
  <c r="GZ5" i="7"/>
  <c r="HB5" i="7" s="1"/>
  <c r="EI4" i="8"/>
  <c r="EK4" i="8" s="1"/>
  <c r="LK4" i="8"/>
  <c r="LM4" i="8" s="1"/>
  <c r="KN8" i="7"/>
  <c r="KP8" i="7" s="1"/>
  <c r="FF8" i="7"/>
  <c r="FH8" i="7" s="1"/>
  <c r="MH8" i="7"/>
  <c r="MJ8" i="7" s="1"/>
  <c r="GC5" i="7"/>
  <c r="GE5" i="7" s="1"/>
  <c r="NE5" i="7"/>
  <c r="NG5" i="7" s="1"/>
  <c r="DD7" i="10"/>
  <c r="DF7" i="10" s="1"/>
  <c r="ET7" i="10"/>
  <c r="EV7" i="10" s="1"/>
  <c r="GJ7" i="10"/>
  <c r="GL7" i="10" s="1"/>
  <c r="HZ7" i="10"/>
  <c r="IB7" i="10" s="1"/>
  <c r="LF7" i="10"/>
  <c r="LH7" i="10" s="1"/>
  <c r="GZ4" i="8"/>
  <c r="HB4" i="8" s="1"/>
  <c r="HW8" i="7"/>
  <c r="HY8" i="7" s="1"/>
  <c r="BN5" i="7"/>
  <c r="BP5" i="7" s="1"/>
  <c r="HW4" i="8"/>
  <c r="HY4" i="8" s="1"/>
  <c r="JP7" i="10"/>
  <c r="JR7" i="10" s="1"/>
  <c r="FO7" i="10"/>
  <c r="FQ7" i="10" s="1"/>
  <c r="IU7" i="10"/>
  <c r="IW7" i="10" s="1"/>
  <c r="MA7" i="10"/>
  <c r="MC7" i="10" s="1"/>
  <c r="Q6" i="9"/>
  <c r="FF4" i="8"/>
  <c r="FH4" i="8" s="1"/>
  <c r="EI8" i="7"/>
  <c r="EK8" i="7" s="1"/>
  <c r="FF5" i="7"/>
  <c r="FH5" i="7" s="1"/>
  <c r="IT5" i="7"/>
  <c r="IV5" i="7" s="1"/>
  <c r="BN8" i="7"/>
  <c r="BP8" i="7" s="1"/>
  <c r="MH5" i="7"/>
  <c r="MJ5" i="7" s="1"/>
  <c r="BJ7" i="10"/>
  <c r="BL7" i="10" s="1"/>
  <c r="P7" i="10"/>
  <c r="CK7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5" i="7"/>
  <c r="P8" i="7"/>
  <c r="Q8" i="7" s="1"/>
  <c r="JQ8" i="7"/>
  <c r="JS8" i="7" s="1"/>
  <c r="JQ5" i="7"/>
  <c r="JS5" i="7" s="1"/>
  <c r="AP8" i="7"/>
  <c r="IT8" i="7"/>
  <c r="IV8" i="7" s="1"/>
  <c r="LK8" i="7"/>
  <c r="LM8" i="7" s="1"/>
  <c r="HW5" i="7"/>
  <c r="HY5" i="7" s="1"/>
  <c r="KK7" i="10"/>
  <c r="KM7" i="10" s="1"/>
  <c r="DY7" i="10"/>
  <c r="EA7" i="10" s="1"/>
  <c r="HE7" i="10"/>
  <c r="HG7" i="10" s="1"/>
  <c r="J6" i="9"/>
  <c r="L6" i="9" s="1"/>
  <c r="CF7" i="10"/>
  <c r="CH7" i="10" s="1"/>
  <c r="AN7" i="10"/>
  <c r="CL4" i="8"/>
  <c r="CN4" i="8" s="1"/>
  <c r="CL8" i="7"/>
  <c r="CN8" i="7" s="1"/>
  <c r="CL5" i="7"/>
  <c r="CN5" i="7" s="1"/>
  <c r="AP4" i="8"/>
  <c r="P5" i="7"/>
  <c r="CQ5" i="7" s="1"/>
  <c r="P4" i="8"/>
  <c r="Q4" i="8" s="1"/>
  <c r="RG11" i="6"/>
  <c r="RE11" i="6"/>
  <c r="RD11" i="6"/>
  <c r="RF11" i="6"/>
  <c r="RC11" i="6"/>
  <c r="QC11" i="6"/>
  <c r="QA11" i="6"/>
  <c r="PZ11" i="6"/>
  <c r="QB11" i="6"/>
  <c r="PY11" i="6"/>
  <c r="OY11" i="6"/>
  <c r="OW11" i="6"/>
  <c r="OV11" i="6"/>
  <c r="OX11" i="6"/>
  <c r="OU11" i="6"/>
  <c r="NU11" i="6"/>
  <c r="NS11" i="6"/>
  <c r="NR11" i="6"/>
  <c r="NT11" i="6"/>
  <c r="NQ11" i="6"/>
  <c r="MQ11" i="6"/>
  <c r="MO11" i="6"/>
  <c r="MN11" i="6"/>
  <c r="MP11" i="6"/>
  <c r="MM11" i="6"/>
  <c r="LM11" i="6"/>
  <c r="LK11" i="6"/>
  <c r="LJ11" i="6"/>
  <c r="LL11" i="6"/>
  <c r="LI11" i="6"/>
  <c r="KI11" i="6"/>
  <c r="KG11" i="6"/>
  <c r="KF11" i="6"/>
  <c r="KH11" i="6"/>
  <c r="KE11" i="6"/>
  <c r="JE11" i="6"/>
  <c r="JC11" i="6"/>
  <c r="JB11" i="6"/>
  <c r="JD11" i="6"/>
  <c r="JA11" i="6"/>
  <c r="IA11" i="6"/>
  <c r="HY11" i="6"/>
  <c r="HX11" i="6"/>
  <c r="HZ11" i="6"/>
  <c r="HW11" i="6"/>
  <c r="GW11" i="6"/>
  <c r="GU11" i="6"/>
  <c r="GT11" i="6"/>
  <c r="GV11" i="6"/>
  <c r="GS11" i="6"/>
  <c r="FS11" i="6"/>
  <c r="FQ11" i="6"/>
  <c r="FP11" i="6"/>
  <c r="FR11" i="6"/>
  <c r="FO11" i="6"/>
  <c r="EO11" i="6"/>
  <c r="EM11" i="6"/>
  <c r="EL11" i="6"/>
  <c r="EN11" i="6"/>
  <c r="EK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6"/>
  <c r="RE10" i="6"/>
  <c r="RD10" i="6"/>
  <c r="RF10" i="6"/>
  <c r="RC10" i="6"/>
  <c r="QC10" i="6"/>
  <c r="QA10" i="6"/>
  <c r="PZ10" i="6"/>
  <c r="QB10" i="6"/>
  <c r="PY10" i="6"/>
  <c r="OY10" i="6"/>
  <c r="OW10" i="6"/>
  <c r="OV10" i="6"/>
  <c r="OX10" i="6"/>
  <c r="OU10" i="6"/>
  <c r="NU10" i="6"/>
  <c r="NS10" i="6"/>
  <c r="NR10" i="6"/>
  <c r="NT10" i="6"/>
  <c r="NQ10" i="6"/>
  <c r="MQ10" i="6"/>
  <c r="MO10" i="6"/>
  <c r="MN10" i="6"/>
  <c r="MP10" i="6"/>
  <c r="MM10" i="6"/>
  <c r="LM10" i="6"/>
  <c r="LK10" i="6"/>
  <c r="LJ10" i="6"/>
  <c r="LL10" i="6"/>
  <c r="LI10" i="6"/>
  <c r="KI10" i="6"/>
  <c r="KG10" i="6"/>
  <c r="KF10" i="6"/>
  <c r="KH10" i="6"/>
  <c r="KE10" i="6"/>
  <c r="JE10" i="6"/>
  <c r="JC10" i="6"/>
  <c r="JB10" i="6"/>
  <c r="JD10" i="6"/>
  <c r="JA10" i="6"/>
  <c r="IA10" i="6"/>
  <c r="HY10" i="6"/>
  <c r="HX10" i="6"/>
  <c r="HZ10" i="6"/>
  <c r="HW10" i="6"/>
  <c r="GW10" i="6"/>
  <c r="GU10" i="6"/>
  <c r="GT10" i="6"/>
  <c r="GV10" i="6"/>
  <c r="GS10" i="6"/>
  <c r="FS10" i="6"/>
  <c r="FQ10" i="6"/>
  <c r="FP10" i="6"/>
  <c r="FR10" i="6"/>
  <c r="FO10" i="6"/>
  <c r="EO10" i="6"/>
  <c r="EM10" i="6"/>
  <c r="EL10" i="6"/>
  <c r="EN10" i="6"/>
  <c r="EK10" i="6"/>
  <c r="DH10" i="6"/>
  <c r="DF10" i="6"/>
  <c r="DE10" i="6"/>
  <c r="DG10" i="6"/>
  <c r="DD10" i="6"/>
  <c r="CC10" i="6"/>
  <c r="CA10" i="6"/>
  <c r="BZ10" i="6"/>
  <c r="CB10" i="6"/>
  <c r="BY10" i="6"/>
  <c r="AX10" i="6"/>
  <c r="AV10" i="6"/>
  <c r="AU10" i="6"/>
  <c r="AW10" i="6"/>
  <c r="AT10" i="6"/>
  <c r="RG10" i="5"/>
  <c r="RE10" i="5"/>
  <c r="RD10" i="5"/>
  <c r="RF10" i="5"/>
  <c r="RC10" i="5"/>
  <c r="QC10" i="5"/>
  <c r="QA10" i="5"/>
  <c r="PZ10" i="5"/>
  <c r="QB10" i="5"/>
  <c r="PY10" i="5"/>
  <c r="OY10" i="5"/>
  <c r="OW10" i="5"/>
  <c r="OV10" i="5"/>
  <c r="OX10" i="5"/>
  <c r="OU10" i="5"/>
  <c r="NU10" i="5"/>
  <c r="NS10" i="5"/>
  <c r="NR10" i="5"/>
  <c r="NT10" i="5"/>
  <c r="NQ10" i="5"/>
  <c r="MQ10" i="5"/>
  <c r="MO10" i="5"/>
  <c r="MN10" i="5"/>
  <c r="MP10" i="5"/>
  <c r="MM10" i="5"/>
  <c r="LM10" i="5"/>
  <c r="LK10" i="5"/>
  <c r="LJ10" i="5"/>
  <c r="LL10" i="5"/>
  <c r="LI10" i="5"/>
  <c r="KI10" i="5"/>
  <c r="KG10" i="5"/>
  <c r="KF10" i="5"/>
  <c r="KH10" i="5"/>
  <c r="KE10" i="5"/>
  <c r="JE10" i="5"/>
  <c r="JC10" i="5"/>
  <c r="JB10" i="5"/>
  <c r="JD10" i="5"/>
  <c r="JA10" i="5"/>
  <c r="IA10" i="5"/>
  <c r="HY10" i="5"/>
  <c r="HX10" i="5"/>
  <c r="HZ10" i="5"/>
  <c r="HW10" i="5"/>
  <c r="GW10" i="5"/>
  <c r="GU10" i="5"/>
  <c r="GT10" i="5"/>
  <c r="GV10" i="5"/>
  <c r="GS10" i="5"/>
  <c r="FS10" i="5"/>
  <c r="FQ10" i="5"/>
  <c r="FP10" i="5"/>
  <c r="FR10" i="5"/>
  <c r="FO10" i="5"/>
  <c r="EO10" i="5"/>
  <c r="EM10" i="5"/>
  <c r="EL10" i="5"/>
  <c r="EN10" i="5"/>
  <c r="EK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8" i="5"/>
  <c r="RE8" i="5"/>
  <c r="RD8" i="5"/>
  <c r="RF8" i="5"/>
  <c r="RC8" i="5"/>
  <c r="QC8" i="5"/>
  <c r="QA8" i="5"/>
  <c r="PZ8" i="5"/>
  <c r="QB8" i="5"/>
  <c r="PY8" i="5"/>
  <c r="OY8" i="5"/>
  <c r="OW8" i="5"/>
  <c r="OV8" i="5"/>
  <c r="OX8" i="5"/>
  <c r="OU8" i="5"/>
  <c r="NU8" i="5"/>
  <c r="NS8" i="5"/>
  <c r="NR8" i="5"/>
  <c r="NT8" i="5"/>
  <c r="NQ8" i="5"/>
  <c r="MQ8" i="5"/>
  <c r="MO8" i="5"/>
  <c r="MN8" i="5"/>
  <c r="MP8" i="5"/>
  <c r="MM8" i="5"/>
  <c r="LM8" i="5"/>
  <c r="LK8" i="5"/>
  <c r="LJ8" i="5"/>
  <c r="LL8" i="5"/>
  <c r="LI8" i="5"/>
  <c r="KI8" i="5"/>
  <c r="KG8" i="5"/>
  <c r="KF8" i="5"/>
  <c r="KH8" i="5"/>
  <c r="KE8" i="5"/>
  <c r="JE8" i="5"/>
  <c r="JC8" i="5"/>
  <c r="JB8" i="5"/>
  <c r="JD8" i="5"/>
  <c r="JA8" i="5"/>
  <c r="IA8" i="5"/>
  <c r="HY8" i="5"/>
  <c r="HX8" i="5"/>
  <c r="HZ8" i="5"/>
  <c r="HW8" i="5"/>
  <c r="GW8" i="5"/>
  <c r="GU8" i="5"/>
  <c r="GT8" i="5"/>
  <c r="GV8" i="5"/>
  <c r="GS8" i="5"/>
  <c r="FS8" i="5"/>
  <c r="FQ8" i="5"/>
  <c r="FP8" i="5"/>
  <c r="FR8" i="5"/>
  <c r="FO8" i="5"/>
  <c r="EO8" i="5"/>
  <c r="EM8" i="5"/>
  <c r="EL8" i="5"/>
  <c r="EN8" i="5"/>
  <c r="EK8" i="5"/>
  <c r="DH8" i="5"/>
  <c r="DF8" i="5"/>
  <c r="DE8" i="5"/>
  <c r="DG8" i="5"/>
  <c r="DD8" i="5"/>
  <c r="CC8" i="5"/>
  <c r="CA8" i="5"/>
  <c r="BZ8" i="5"/>
  <c r="CB8" i="5"/>
  <c r="AX8" i="5"/>
  <c r="AV8" i="5"/>
  <c r="AU8" i="5"/>
  <c r="AW8" i="5"/>
  <c r="AT8" i="5"/>
  <c r="RG5" i="5"/>
  <c r="RE5" i="5"/>
  <c r="RD5" i="5"/>
  <c r="RF5" i="5"/>
  <c r="RC5" i="5"/>
  <c r="QC5" i="5"/>
  <c r="QA5" i="5"/>
  <c r="PZ5" i="5"/>
  <c r="QB5" i="5"/>
  <c r="PY5" i="5"/>
  <c r="OY5" i="5"/>
  <c r="OW5" i="5"/>
  <c r="OV5" i="5"/>
  <c r="OX5" i="5"/>
  <c r="OU5" i="5"/>
  <c r="NU5" i="5"/>
  <c r="NS5" i="5"/>
  <c r="NR5" i="5"/>
  <c r="NT5" i="5"/>
  <c r="NQ5" i="5"/>
  <c r="MQ5" i="5"/>
  <c r="MO5" i="5"/>
  <c r="MN5" i="5"/>
  <c r="MP5" i="5"/>
  <c r="MM5" i="5"/>
  <c r="LM5" i="5"/>
  <c r="LK5" i="5"/>
  <c r="LJ5" i="5"/>
  <c r="LL5" i="5"/>
  <c r="LI5" i="5"/>
  <c r="KI5" i="5"/>
  <c r="KG5" i="5"/>
  <c r="KF5" i="5"/>
  <c r="KH5" i="5"/>
  <c r="KE5" i="5"/>
  <c r="JE5" i="5"/>
  <c r="JC5" i="5"/>
  <c r="JB5" i="5"/>
  <c r="JD5" i="5"/>
  <c r="JA5" i="5"/>
  <c r="IA5" i="5"/>
  <c r="HY5" i="5"/>
  <c r="HX5" i="5"/>
  <c r="HZ5" i="5"/>
  <c r="HW5" i="5"/>
  <c r="GW5" i="5"/>
  <c r="GU5" i="5"/>
  <c r="GT5" i="5"/>
  <c r="GV5" i="5"/>
  <c r="GS5" i="5"/>
  <c r="FS5" i="5"/>
  <c r="FQ5" i="5"/>
  <c r="FP5" i="5"/>
  <c r="FR5" i="5"/>
  <c r="FO5" i="5"/>
  <c r="EO5" i="5"/>
  <c r="EM5" i="5"/>
  <c r="EL5" i="5"/>
  <c r="EN5" i="5"/>
  <c r="EK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2" i="4"/>
  <c r="LZ12" i="4"/>
  <c r="LY12" i="4"/>
  <c r="LX12" i="4"/>
  <c r="LG12" i="4"/>
  <c r="LE12" i="4"/>
  <c r="LD12" i="4"/>
  <c r="LC12" i="4"/>
  <c r="KL12" i="4"/>
  <c r="KJ12" i="4"/>
  <c r="KI12" i="4"/>
  <c r="KH12" i="4"/>
  <c r="JQ12" i="4"/>
  <c r="JO12" i="4"/>
  <c r="JN12" i="4"/>
  <c r="JM12" i="4"/>
  <c r="IV12" i="4"/>
  <c r="IT12" i="4"/>
  <c r="IS12" i="4"/>
  <c r="IR12" i="4"/>
  <c r="IA12" i="4"/>
  <c r="HY12" i="4"/>
  <c r="HX12" i="4"/>
  <c r="HW12" i="4"/>
  <c r="HF12" i="4"/>
  <c r="HD12" i="4"/>
  <c r="HC12" i="4"/>
  <c r="HB12" i="4"/>
  <c r="GK12" i="4"/>
  <c r="GI12" i="4"/>
  <c r="GH12" i="4"/>
  <c r="GG12" i="4"/>
  <c r="FP12" i="4"/>
  <c r="FN12" i="4"/>
  <c r="FM12" i="4"/>
  <c r="FL12" i="4"/>
  <c r="EU12" i="4"/>
  <c r="ES12" i="4"/>
  <c r="ER12" i="4"/>
  <c r="EQ12" i="4"/>
  <c r="DZ12" i="4"/>
  <c r="DX12" i="4"/>
  <c r="DW12" i="4"/>
  <c r="DV12" i="4"/>
  <c r="DE12" i="4"/>
  <c r="DC12" i="4"/>
  <c r="DB12" i="4"/>
  <c r="DA12" i="4"/>
  <c r="CG12" i="4"/>
  <c r="CE12" i="4"/>
  <c r="CD12" i="4"/>
  <c r="CC12" i="4"/>
  <c r="BK12" i="4"/>
  <c r="BI12" i="4"/>
  <c r="BH12" i="4"/>
  <c r="BG12" i="4"/>
  <c r="AO12" i="4"/>
  <c r="AM12" i="4"/>
  <c r="AL12" i="4"/>
  <c r="AK12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6" i="4"/>
  <c r="LZ16" i="4"/>
  <c r="LY16" i="4"/>
  <c r="LX16" i="4"/>
  <c r="LG16" i="4"/>
  <c r="LE16" i="4"/>
  <c r="LD16" i="4"/>
  <c r="LC16" i="4"/>
  <c r="KL16" i="4"/>
  <c r="KJ16" i="4"/>
  <c r="KI16" i="4"/>
  <c r="KH16" i="4"/>
  <c r="JQ16" i="4"/>
  <c r="JO16" i="4"/>
  <c r="JN16" i="4"/>
  <c r="JM16" i="4"/>
  <c r="IV16" i="4"/>
  <c r="IT16" i="4"/>
  <c r="IS16" i="4"/>
  <c r="IR16" i="4"/>
  <c r="IA16" i="4"/>
  <c r="HY16" i="4"/>
  <c r="HX16" i="4"/>
  <c r="HW16" i="4"/>
  <c r="HF16" i="4"/>
  <c r="HD16" i="4"/>
  <c r="HC16" i="4"/>
  <c r="HB16" i="4"/>
  <c r="GK16" i="4"/>
  <c r="GI16" i="4"/>
  <c r="GH16" i="4"/>
  <c r="GG16" i="4"/>
  <c r="FP16" i="4"/>
  <c r="FN16" i="4"/>
  <c r="FM16" i="4"/>
  <c r="FL16" i="4"/>
  <c r="EU16" i="4"/>
  <c r="ES16" i="4"/>
  <c r="ER16" i="4"/>
  <c r="EQ16" i="4"/>
  <c r="DZ16" i="4"/>
  <c r="DX16" i="4"/>
  <c r="DW16" i="4"/>
  <c r="DV16" i="4"/>
  <c r="DE16" i="4"/>
  <c r="DC16" i="4"/>
  <c r="DB16" i="4"/>
  <c r="DA16" i="4"/>
  <c r="CG16" i="4"/>
  <c r="CE16" i="4"/>
  <c r="CD16" i="4"/>
  <c r="CC16" i="4"/>
  <c r="BK16" i="4"/>
  <c r="BI16" i="4"/>
  <c r="BH16" i="4"/>
  <c r="BG16" i="4"/>
  <c r="AO16" i="4"/>
  <c r="AM16" i="4"/>
  <c r="AL16" i="4"/>
  <c r="AK16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8" i="5" l="1"/>
  <c r="F5" i="5"/>
  <c r="G5" i="5"/>
  <c r="I5" i="5" s="1"/>
  <c r="H5" i="5"/>
  <c r="F10" i="5"/>
  <c r="G10" i="5"/>
  <c r="I10" i="5" s="1"/>
  <c r="H10" i="5"/>
  <c r="F8" i="5"/>
  <c r="G8" i="5"/>
  <c r="I8" i="5" s="1"/>
  <c r="H10" i="6"/>
  <c r="G11" i="6"/>
  <c r="F11" i="6"/>
  <c r="H11" i="6"/>
  <c r="F10" i="6"/>
  <c r="G10" i="6"/>
  <c r="I10" i="6" s="1"/>
  <c r="I4" i="8"/>
  <c r="H4" i="8"/>
  <c r="AR5" i="7"/>
  <c r="H5" i="7"/>
  <c r="H8" i="7"/>
  <c r="A8" i="7" s="1"/>
  <c r="I8" i="7"/>
  <c r="I5" i="7"/>
  <c r="AP7" i="10"/>
  <c r="H7" i="10"/>
  <c r="A7" i="10" s="1"/>
  <c r="I7" i="10"/>
  <c r="F10" i="2"/>
  <c r="G10" i="2"/>
  <c r="G16" i="4"/>
  <c r="F16" i="4"/>
  <c r="G15" i="4"/>
  <c r="F15" i="4"/>
  <c r="G18" i="4"/>
  <c r="F18" i="4"/>
  <c r="G17" i="4"/>
  <c r="F17" i="4"/>
  <c r="F12" i="4"/>
  <c r="G12" i="4"/>
  <c r="AN18" i="4"/>
  <c r="AP18" i="4" s="1"/>
  <c r="DY18" i="4"/>
  <c r="EA18" i="4" s="1"/>
  <c r="FO18" i="4"/>
  <c r="FQ18" i="4" s="1"/>
  <c r="HE18" i="4"/>
  <c r="HG18" i="4" s="1"/>
  <c r="IU18" i="4"/>
  <c r="IW18" i="4" s="1"/>
  <c r="KK18" i="4"/>
  <c r="KM18" i="4" s="1"/>
  <c r="MA18" i="4"/>
  <c r="MC18" i="4" s="1"/>
  <c r="BJ16" i="4"/>
  <c r="BL16" i="4" s="1"/>
  <c r="DD16" i="4"/>
  <c r="DF16" i="4" s="1"/>
  <c r="ET16" i="4"/>
  <c r="EV16" i="4" s="1"/>
  <c r="GJ16" i="4"/>
  <c r="GL16" i="4" s="1"/>
  <c r="HZ16" i="4"/>
  <c r="IB16" i="4" s="1"/>
  <c r="JP16" i="4"/>
  <c r="JR16" i="4" s="1"/>
  <c r="LF16" i="4"/>
  <c r="LH16" i="4" s="1"/>
  <c r="FO17" i="4"/>
  <c r="FQ17" i="4" s="1"/>
  <c r="LF15" i="4"/>
  <c r="LH15" i="4" s="1"/>
  <c r="AN12" i="4"/>
  <c r="CF12" i="4"/>
  <c r="CH12" i="4" s="1"/>
  <c r="FO12" i="4"/>
  <c r="FQ12" i="4" s="1"/>
  <c r="IU12" i="4"/>
  <c r="IW12" i="4" s="1"/>
  <c r="MA12" i="4"/>
  <c r="MC12" i="4" s="1"/>
  <c r="E11" i="9"/>
  <c r="T11" i="9"/>
  <c r="S11" i="9"/>
  <c r="BJ10" i="2"/>
  <c r="BL10" i="2" s="1"/>
  <c r="DD10" i="2"/>
  <c r="DF10" i="2" s="1"/>
  <c r="ET10" i="2"/>
  <c r="EV10" i="2" s="1"/>
  <c r="GJ10" i="2"/>
  <c r="GL10" i="2" s="1"/>
  <c r="HZ10" i="2"/>
  <c r="IB10" i="2" s="1"/>
  <c r="JP10" i="2"/>
  <c r="JR10" i="2" s="1"/>
  <c r="LF10" i="2"/>
  <c r="LH10" i="2" s="1"/>
  <c r="IU17" i="4"/>
  <c r="IW17" i="4" s="1"/>
  <c r="MA17" i="4"/>
  <c r="MC17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7" i="4"/>
  <c r="J4" i="8"/>
  <c r="K4" i="8" s="1"/>
  <c r="Q7" i="10"/>
  <c r="P15" i="4"/>
  <c r="Q15" i="4" s="1"/>
  <c r="P12" i="4"/>
  <c r="CK12" i="4" s="1"/>
  <c r="Q5" i="7"/>
  <c r="IB8" i="5"/>
  <c r="RH8" i="5"/>
  <c r="JF10" i="5"/>
  <c r="MR5" i="5"/>
  <c r="EP8" i="5"/>
  <c r="NV8" i="5"/>
  <c r="CD11" i="6"/>
  <c r="IB11" i="6"/>
  <c r="RH11" i="6"/>
  <c r="CQ8" i="7"/>
  <c r="J5" i="7"/>
  <c r="K5" i="7" s="1"/>
  <c r="N6" i="9"/>
  <c r="K6" i="9"/>
  <c r="M6" i="9" s="1"/>
  <c r="AR4" i="8"/>
  <c r="J8" i="7"/>
  <c r="N8" i="7" s="1"/>
  <c r="AR8" i="7"/>
  <c r="J7" i="10"/>
  <c r="N7" i="10" s="1"/>
  <c r="CI6" i="9"/>
  <c r="CQ4" i="8"/>
  <c r="LN10" i="5"/>
  <c r="GX8" i="5"/>
  <c r="QD8" i="5"/>
  <c r="LN5" i="5"/>
  <c r="CD8" i="5"/>
  <c r="MR10" i="5"/>
  <c r="DI11" i="6"/>
  <c r="MR11" i="6"/>
  <c r="IB10" i="6"/>
  <c r="RH10" i="6"/>
  <c r="JF11" i="6"/>
  <c r="KJ11" i="6"/>
  <c r="EP10" i="6"/>
  <c r="FT10" i="6"/>
  <c r="NV10" i="6"/>
  <c r="OZ10" i="6"/>
  <c r="GX11" i="6"/>
  <c r="QD11" i="6"/>
  <c r="AY11" i="6"/>
  <c r="J10" i="5"/>
  <c r="K10" i="5" s="1"/>
  <c r="AY10" i="5"/>
  <c r="JF5" i="5"/>
  <c r="AY8" i="5"/>
  <c r="AY5" i="5"/>
  <c r="FT8" i="5"/>
  <c r="OZ8" i="5"/>
  <c r="KJ10" i="5"/>
  <c r="LN8" i="5"/>
  <c r="GX10" i="5"/>
  <c r="QD10" i="5"/>
  <c r="J5" i="5"/>
  <c r="L5" i="5" s="1"/>
  <c r="KJ5" i="5"/>
  <c r="CD5" i="5"/>
  <c r="CD10" i="5"/>
  <c r="IB5" i="5"/>
  <c r="RH5" i="5"/>
  <c r="P8" i="5"/>
  <c r="DL8" i="5" s="1"/>
  <c r="DI8" i="5"/>
  <c r="MR8" i="5"/>
  <c r="IB10" i="5"/>
  <c r="RH10" i="5"/>
  <c r="P10" i="5"/>
  <c r="DL10" i="5" s="1"/>
  <c r="GX5" i="5"/>
  <c r="QD5" i="5"/>
  <c r="EP5" i="5"/>
  <c r="FT5" i="5"/>
  <c r="NV5" i="5"/>
  <c r="OZ5" i="5"/>
  <c r="JF8" i="5"/>
  <c r="KJ8" i="5"/>
  <c r="EP10" i="5"/>
  <c r="FT10" i="5"/>
  <c r="NV10" i="5"/>
  <c r="OZ10" i="5"/>
  <c r="LN10" i="6"/>
  <c r="DI10" i="6"/>
  <c r="MR10" i="6"/>
  <c r="KJ10" i="6"/>
  <c r="NV11" i="6"/>
  <c r="FT11" i="6"/>
  <c r="OZ11" i="6"/>
  <c r="GX10" i="6"/>
  <c r="QD10" i="6"/>
  <c r="P11" i="6"/>
  <c r="DL11" i="6" s="1"/>
  <c r="LN11" i="6"/>
  <c r="AY10" i="6"/>
  <c r="JF10" i="6"/>
  <c r="EP11" i="6"/>
  <c r="CD10" i="6"/>
  <c r="AN10" i="2"/>
  <c r="FO10" i="2"/>
  <c r="FQ10" i="2" s="1"/>
  <c r="IU10" i="2"/>
  <c r="IW10" i="2" s="1"/>
  <c r="MA10" i="2"/>
  <c r="MC10" i="2" s="1"/>
  <c r="BJ18" i="4"/>
  <c r="BL18" i="4" s="1"/>
  <c r="DD18" i="4"/>
  <c r="DF18" i="4" s="1"/>
  <c r="ET18" i="4"/>
  <c r="EV18" i="4" s="1"/>
  <c r="GJ18" i="4"/>
  <c r="GL18" i="4" s="1"/>
  <c r="HZ18" i="4"/>
  <c r="IB18" i="4" s="1"/>
  <c r="AN16" i="4"/>
  <c r="CF16" i="4"/>
  <c r="CH16" i="4" s="1"/>
  <c r="FO16" i="4"/>
  <c r="FQ16" i="4" s="1"/>
  <c r="IU16" i="4"/>
  <c r="IW16" i="4" s="1"/>
  <c r="MA16" i="4"/>
  <c r="MC16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AN15" i="4"/>
  <c r="FO15" i="4"/>
  <c r="FQ15" i="4" s="1"/>
  <c r="IU15" i="4"/>
  <c r="IW15" i="4" s="1"/>
  <c r="MA15" i="4"/>
  <c r="MC15" i="4" s="1"/>
  <c r="BJ12" i="4"/>
  <c r="BL12" i="4" s="1"/>
  <c r="DD12" i="4"/>
  <c r="DF12" i="4" s="1"/>
  <c r="ET12" i="4"/>
  <c r="EV12" i="4" s="1"/>
  <c r="GJ12" i="4"/>
  <c r="GL12" i="4" s="1"/>
  <c r="HZ12" i="4"/>
  <c r="IB12" i="4" s="1"/>
  <c r="JP12" i="4"/>
  <c r="JR12" i="4" s="1"/>
  <c r="LF12" i="4"/>
  <c r="LH12" i="4" s="1"/>
  <c r="J11" i="6"/>
  <c r="J10" i="6"/>
  <c r="N10" i="6" s="1"/>
  <c r="P10" i="6"/>
  <c r="DL10" i="6" s="1"/>
  <c r="DI10" i="5"/>
  <c r="J8" i="5"/>
  <c r="P5" i="5"/>
  <c r="Q5" i="5" s="1"/>
  <c r="DI5" i="5"/>
  <c r="LF18" i="4"/>
  <c r="LH18" i="4" s="1"/>
  <c r="P18" i="4"/>
  <c r="Q18" i="4" s="1"/>
  <c r="DY16" i="4"/>
  <c r="EA16" i="4" s="1"/>
  <c r="HE15" i="4"/>
  <c r="HG15" i="4" s="1"/>
  <c r="KK16" i="4"/>
  <c r="KM16" i="4" s="1"/>
  <c r="HE16" i="4"/>
  <c r="HG16" i="4" s="1"/>
  <c r="KK15" i="4"/>
  <c r="KM15" i="4" s="1"/>
  <c r="DY15" i="4"/>
  <c r="EA15" i="4" s="1"/>
  <c r="DY12" i="4"/>
  <c r="EA12" i="4" s="1"/>
  <c r="HE12" i="4"/>
  <c r="HG12" i="4" s="1"/>
  <c r="KK12" i="4"/>
  <c r="KM12" i="4" s="1"/>
  <c r="P16" i="4"/>
  <c r="Q16" i="4" s="1"/>
  <c r="JP18" i="4"/>
  <c r="JR18" i="4" s="1"/>
  <c r="P17" i="4"/>
  <c r="CK17" i="4" s="1"/>
  <c r="CF15" i="4"/>
  <c r="CH15" i="4" s="1"/>
  <c r="DY17" i="4"/>
  <c r="EA17" i="4" s="1"/>
  <c r="HE17" i="4"/>
  <c r="HG17" i="4" s="1"/>
  <c r="KK17" i="4"/>
  <c r="KM17" i="4" s="1"/>
  <c r="CF17" i="4"/>
  <c r="CH17" i="4" s="1"/>
  <c r="CF18" i="4"/>
  <c r="DY10" i="2"/>
  <c r="EA10" i="2" s="1"/>
  <c r="HE10" i="2"/>
  <c r="HG10" i="2" s="1"/>
  <c r="KK10" i="2"/>
  <c r="KM10" i="2" s="1"/>
  <c r="P10" i="2"/>
  <c r="CK10" i="2" s="1"/>
  <c r="CF10" i="2"/>
  <c r="CH10" i="2" s="1"/>
  <c r="I11" i="6" l="1"/>
  <c r="CJ6" i="9"/>
  <c r="R6" i="9" s="1"/>
  <c r="O6" i="9"/>
  <c r="I10" i="2"/>
  <c r="H10" i="2"/>
  <c r="I17" i="4"/>
  <c r="I18" i="4"/>
  <c r="H16" i="4"/>
  <c r="A16" i="4" s="1"/>
  <c r="I15" i="4"/>
  <c r="AP15" i="4"/>
  <c r="H15" i="4"/>
  <c r="A15" i="4" s="1"/>
  <c r="AP17" i="4"/>
  <c r="H17" i="4"/>
  <c r="A17" i="4" s="1"/>
  <c r="I12" i="4"/>
  <c r="AP12" i="4"/>
  <c r="H12" i="4"/>
  <c r="A12" i="4" s="1"/>
  <c r="I16" i="4"/>
  <c r="CH18" i="4"/>
  <c r="H18" i="4"/>
  <c r="DL5" i="5"/>
  <c r="L4" i="8"/>
  <c r="M4" i="8" s="1"/>
  <c r="N4" i="8"/>
  <c r="O4" i="8" s="1"/>
  <c r="CK15" i="4"/>
  <c r="N5" i="7"/>
  <c r="O5" i="7" s="1"/>
  <c r="L5" i="7"/>
  <c r="M5" i="7" s="1"/>
  <c r="Q12" i="4"/>
  <c r="K8" i="7"/>
  <c r="O8" i="7" s="1"/>
  <c r="L8" i="7"/>
  <c r="L7" i="10"/>
  <c r="K7" i="10"/>
  <c r="O7" i="10" s="1"/>
  <c r="L10" i="5"/>
  <c r="M10" i="5" s="1"/>
  <c r="Q10" i="5"/>
  <c r="N10" i="5"/>
  <c r="O10" i="5" s="1"/>
  <c r="DK10" i="6"/>
  <c r="J18" i="4"/>
  <c r="L18" i="4" s="1"/>
  <c r="CK16" i="4"/>
  <c r="CJ7" i="10"/>
  <c r="CP8" i="7"/>
  <c r="Q10" i="6"/>
  <c r="Q8" i="5"/>
  <c r="K5" i="5"/>
  <c r="M5" i="5" s="1"/>
  <c r="N5" i="5"/>
  <c r="Q11" i="6"/>
  <c r="AP10" i="2"/>
  <c r="J10" i="2"/>
  <c r="N10" i="2" s="1"/>
  <c r="J16" i="4"/>
  <c r="L16" i="4" s="1"/>
  <c r="AP16" i="4"/>
  <c r="CK18" i="4"/>
  <c r="J12" i="4"/>
  <c r="K12" i="4" s="1"/>
  <c r="N11" i="6"/>
  <c r="L11" i="6"/>
  <c r="K11" i="6"/>
  <c r="L10" i="6"/>
  <c r="K10" i="6"/>
  <c r="O10" i="6" s="1"/>
  <c r="N8" i="5"/>
  <c r="L8" i="5"/>
  <c r="K8" i="5"/>
  <c r="DJ5" i="5"/>
  <c r="Q17" i="4"/>
  <c r="J15" i="4"/>
  <c r="N15" i="4" s="1"/>
  <c r="J17" i="4"/>
  <c r="L17" i="4" s="1"/>
  <c r="Q10" i="2"/>
  <c r="NT13" i="5"/>
  <c r="NT9" i="5"/>
  <c r="NT6" i="5"/>
  <c r="NQ13" i="5"/>
  <c r="NQ9" i="5"/>
  <c r="O5" i="5" l="1"/>
  <c r="M8" i="7"/>
  <c r="M8" i="5"/>
  <c r="O8" i="5"/>
  <c r="M11" i="6"/>
  <c r="DJ10" i="6"/>
  <c r="R10" i="6" s="1"/>
  <c r="S10" i="6" s="1"/>
  <c r="M10" i="6"/>
  <c r="O11" i="6"/>
  <c r="CO4" i="8"/>
  <c r="M7" i="10"/>
  <c r="CP4" i="8"/>
  <c r="CP5" i="7"/>
  <c r="CO5" i="7"/>
  <c r="CO8" i="7"/>
  <c r="R8" i="7" s="1"/>
  <c r="E8" i="7" s="1"/>
  <c r="DK10" i="5"/>
  <c r="CI7" i="10"/>
  <c r="R7" i="10" s="1"/>
  <c r="E7" i="10" s="1"/>
  <c r="DJ10" i="5"/>
  <c r="N18" i="4"/>
  <c r="K10" i="2"/>
  <c r="O10" i="2" s="1"/>
  <c r="K18" i="4"/>
  <c r="M18" i="4" s="1"/>
  <c r="N16" i="4"/>
  <c r="K16" i="4"/>
  <c r="M16" i="4" s="1"/>
  <c r="T6" i="9"/>
  <c r="S6" i="9"/>
  <c r="E6" i="9"/>
  <c r="A6" i="9" s="1"/>
  <c r="DK5" i="5"/>
  <c r="R5" i="5" s="1"/>
  <c r="L10" i="2"/>
  <c r="CI10" i="2" s="1"/>
  <c r="L12" i="4"/>
  <c r="N12" i="4"/>
  <c r="O12" i="4" s="1"/>
  <c r="DJ11" i="6"/>
  <c r="DK11" i="6"/>
  <c r="DJ8" i="5"/>
  <c r="DK8" i="5"/>
  <c r="K15" i="4"/>
  <c r="O15" i="4" s="1"/>
  <c r="L15" i="4"/>
  <c r="N17" i="4"/>
  <c r="K17" i="4"/>
  <c r="M17" i="4" s="1"/>
  <c r="CJ15" i="4"/>
  <c r="CI17" i="4"/>
  <c r="CI16" i="4"/>
  <c r="CI18" i="4"/>
  <c r="CJ10" i="2"/>
  <c r="OX5" i="6"/>
  <c r="OX6" i="6"/>
  <c r="OX9" i="6"/>
  <c r="OX8" i="6"/>
  <c r="OU5" i="6"/>
  <c r="ME6" i="8"/>
  <c r="MD6" i="8"/>
  <c r="LG7" i="7"/>
  <c r="R4" i="8" l="1"/>
  <c r="T4" i="8" s="1"/>
  <c r="O16" i="4"/>
  <c r="O17" i="4"/>
  <c r="CI15" i="4"/>
  <c r="R15" i="4" s="1"/>
  <c r="M15" i="4"/>
  <c r="CI12" i="4"/>
  <c r="M12" i="4"/>
  <c r="CJ18" i="4"/>
  <c r="R18" i="4" s="1"/>
  <c r="O18" i="4"/>
  <c r="R5" i="7"/>
  <c r="E5" i="7" s="1"/>
  <c r="R10" i="5"/>
  <c r="E10" i="5" s="1"/>
  <c r="A10" i="5" s="1"/>
  <c r="T7" i="10"/>
  <c r="S7" i="10"/>
  <c r="T10" i="6"/>
  <c r="CJ16" i="4"/>
  <c r="R16" i="4" s="1"/>
  <c r="T16" i="4" s="1"/>
  <c r="E4" i="8"/>
  <c r="E10" i="6"/>
  <c r="T8" i="7"/>
  <c r="M10" i="2"/>
  <c r="S8" i="7"/>
  <c r="T5" i="5"/>
  <c r="E5" i="5"/>
  <c r="CJ12" i="4"/>
  <c r="S5" i="5"/>
  <c r="R11" i="6"/>
  <c r="R8" i="5"/>
  <c r="CJ17" i="4"/>
  <c r="R17" i="4" s="1"/>
  <c r="R10" i="2"/>
  <c r="CE12" i="9"/>
  <c r="BI10" i="9"/>
  <c r="HD7" i="9"/>
  <c r="LC7" i="9"/>
  <c r="LC10" i="9"/>
  <c r="KJ7" i="9"/>
  <c r="HD8" i="2"/>
  <c r="LD8" i="4"/>
  <c r="LD9" i="4"/>
  <c r="LD19" i="4"/>
  <c r="LD7" i="4"/>
  <c r="LE7" i="4"/>
  <c r="KI9" i="4"/>
  <c r="KJ19" i="4"/>
  <c r="KJ7" i="4"/>
  <c r="LD5" i="2"/>
  <c r="LE5" i="2"/>
  <c r="LE7" i="2"/>
  <c r="BI4" i="2"/>
  <c r="KH7" i="2"/>
  <c r="JM7" i="2"/>
  <c r="LX9" i="4"/>
  <c r="LC9" i="4"/>
  <c r="LC19" i="4"/>
  <c r="KH7" i="4"/>
  <c r="JM5" i="4"/>
  <c r="AW11" i="5"/>
  <c r="CB11" i="5"/>
  <c r="DG11" i="5"/>
  <c r="AW4" i="5"/>
  <c r="CB4" i="5"/>
  <c r="DG4" i="5"/>
  <c r="AW13" i="5"/>
  <c r="CB13" i="5"/>
  <c r="DG13" i="5"/>
  <c r="AW6" i="5"/>
  <c r="CB6" i="5"/>
  <c r="DG6" i="5"/>
  <c r="AW9" i="5"/>
  <c r="CB9" i="5"/>
  <c r="DG9" i="5"/>
  <c r="AW12" i="5"/>
  <c r="CB12" i="5"/>
  <c r="DG12" i="5"/>
  <c r="AW7" i="5"/>
  <c r="CB7" i="5"/>
  <c r="DG7" i="5"/>
  <c r="AW14" i="5"/>
  <c r="CB14" i="5"/>
  <c r="DG14" i="5"/>
  <c r="AW15" i="5"/>
  <c r="CB15" i="5"/>
  <c r="DG15" i="5"/>
  <c r="AT11" i="5"/>
  <c r="DD11" i="5"/>
  <c r="AT4" i="5"/>
  <c r="DD4" i="5"/>
  <c r="AT13" i="5"/>
  <c r="DD13" i="5"/>
  <c r="AT6" i="5"/>
  <c r="DD6" i="5"/>
  <c r="AT9" i="5"/>
  <c r="DD9" i="5"/>
  <c r="AT12" i="5"/>
  <c r="DD12" i="5"/>
  <c r="AT7" i="5"/>
  <c r="DD7" i="5"/>
  <c r="AT14" i="5"/>
  <c r="DD14" i="5"/>
  <c r="AT15" i="5"/>
  <c r="DD15" i="5"/>
  <c r="AW4" i="6"/>
  <c r="CB4" i="6"/>
  <c r="DG4" i="6"/>
  <c r="AW5" i="6"/>
  <c r="CB5" i="6"/>
  <c r="DG5" i="6"/>
  <c r="AW6" i="6"/>
  <c r="CB6" i="6"/>
  <c r="DG6" i="6"/>
  <c r="AW9" i="6"/>
  <c r="CB9" i="6"/>
  <c r="DG9" i="6"/>
  <c r="AW8" i="6"/>
  <c r="CB8" i="6"/>
  <c r="DG8" i="6"/>
  <c r="AW7" i="6"/>
  <c r="CB7" i="6"/>
  <c r="DG7" i="6"/>
  <c r="AW13" i="6"/>
  <c r="CB13" i="6"/>
  <c r="DG13" i="6"/>
  <c r="AW12" i="6"/>
  <c r="CB12" i="6"/>
  <c r="DG12" i="6"/>
  <c r="AT4" i="6"/>
  <c r="BY4" i="6"/>
  <c r="DD4" i="6"/>
  <c r="AT5" i="6"/>
  <c r="BY5" i="6"/>
  <c r="DD5" i="6"/>
  <c r="AT6" i="6"/>
  <c r="BY6" i="6"/>
  <c r="DD6" i="6"/>
  <c r="AT9" i="6"/>
  <c r="BY9" i="6"/>
  <c r="DD9" i="6"/>
  <c r="AT8" i="6"/>
  <c r="BY8" i="6"/>
  <c r="DD8" i="6"/>
  <c r="AT7" i="6"/>
  <c r="BY7" i="6"/>
  <c r="DD7" i="6"/>
  <c r="AT13" i="6"/>
  <c r="BY13" i="6"/>
  <c r="DD13" i="6"/>
  <c r="AT12" i="6"/>
  <c r="BY12" i="6"/>
  <c r="DD12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7" i="7"/>
  <c r="AO7" i="7"/>
  <c r="BL7" i="7"/>
  <c r="BM7" i="7"/>
  <c r="CJ7" i="7"/>
  <c r="CK7" i="7"/>
  <c r="AN9" i="7"/>
  <c r="AO9" i="7"/>
  <c r="BL9" i="7"/>
  <c r="BM9" i="7"/>
  <c r="CJ9" i="7"/>
  <c r="CK9" i="7"/>
  <c r="AN10" i="7"/>
  <c r="AO10" i="7"/>
  <c r="BL10" i="7"/>
  <c r="BM10" i="7"/>
  <c r="CJ10" i="7"/>
  <c r="CK10" i="7"/>
  <c r="AL4" i="7"/>
  <c r="AM4" i="7"/>
  <c r="BJ4" i="7"/>
  <c r="BK4" i="7"/>
  <c r="CH4" i="7"/>
  <c r="CI4" i="7"/>
  <c r="AL7" i="7"/>
  <c r="AM7" i="7"/>
  <c r="BJ7" i="7"/>
  <c r="BK7" i="7"/>
  <c r="CH7" i="7"/>
  <c r="CI7" i="7"/>
  <c r="AL9" i="7"/>
  <c r="AM9" i="7"/>
  <c r="BJ9" i="7"/>
  <c r="BK9" i="7"/>
  <c r="CH9" i="7"/>
  <c r="CI9" i="7"/>
  <c r="AL10" i="7"/>
  <c r="AM10" i="7"/>
  <c r="BJ10" i="7"/>
  <c r="BK10" i="7"/>
  <c r="CH10" i="7"/>
  <c r="CI10" i="7"/>
  <c r="AL4" i="10"/>
  <c r="AM4" i="10"/>
  <c r="BH4" i="10"/>
  <c r="BI4" i="10"/>
  <c r="CD4" i="10"/>
  <c r="CE4" i="10"/>
  <c r="AL5" i="10"/>
  <c r="AM5" i="10"/>
  <c r="BH5" i="10"/>
  <c r="BI5" i="10"/>
  <c r="CD5" i="10"/>
  <c r="CE5" i="10"/>
  <c r="AL6" i="10"/>
  <c r="AM6" i="10"/>
  <c r="BH6" i="10"/>
  <c r="BI6" i="10"/>
  <c r="CD6" i="10"/>
  <c r="CE6" i="10"/>
  <c r="AK4" i="10"/>
  <c r="BG4" i="10"/>
  <c r="CC4" i="10"/>
  <c r="AK5" i="10"/>
  <c r="BG5" i="10"/>
  <c r="CC5" i="10"/>
  <c r="AK6" i="10"/>
  <c r="BG6" i="10"/>
  <c r="CC6" i="10"/>
  <c r="AL4" i="9"/>
  <c r="AM4" i="9"/>
  <c r="BH4" i="9"/>
  <c r="BI4" i="9"/>
  <c r="CD4" i="9"/>
  <c r="CE4" i="9"/>
  <c r="AL7" i="9"/>
  <c r="AM7" i="9"/>
  <c r="BH7" i="9"/>
  <c r="BI7" i="9"/>
  <c r="CD7" i="9"/>
  <c r="CE7" i="9"/>
  <c r="AL10" i="9"/>
  <c r="AM10" i="9"/>
  <c r="BH10" i="9"/>
  <c r="CD10" i="9"/>
  <c r="CE10" i="9"/>
  <c r="AL5" i="9"/>
  <c r="AM5" i="9"/>
  <c r="BH5" i="9"/>
  <c r="BI5" i="9"/>
  <c r="CD5" i="9"/>
  <c r="CE5" i="9"/>
  <c r="AL12" i="9"/>
  <c r="AM12" i="9"/>
  <c r="BH12" i="9"/>
  <c r="BI12" i="9"/>
  <c r="CD12" i="9"/>
  <c r="AK4" i="9"/>
  <c r="BG4" i="9"/>
  <c r="CC4" i="9"/>
  <c r="AK7" i="9"/>
  <c r="BG7" i="9"/>
  <c r="CC7" i="9"/>
  <c r="AK10" i="9"/>
  <c r="BG10" i="9"/>
  <c r="CC10" i="9"/>
  <c r="AK5" i="9"/>
  <c r="BG5" i="9"/>
  <c r="CC5" i="9"/>
  <c r="AK12" i="9"/>
  <c r="BG12" i="9"/>
  <c r="CC12" i="9"/>
  <c r="AL6" i="2"/>
  <c r="AM6" i="2"/>
  <c r="BH6" i="2"/>
  <c r="BI6" i="2"/>
  <c r="CD6" i="2"/>
  <c r="CE6" i="2"/>
  <c r="AL7" i="2"/>
  <c r="AM7" i="2"/>
  <c r="BH7" i="2"/>
  <c r="BI7" i="2"/>
  <c r="CD7" i="2"/>
  <c r="CE7" i="2"/>
  <c r="AL5" i="2"/>
  <c r="AM5" i="2"/>
  <c r="BH5" i="2"/>
  <c r="BI5" i="2"/>
  <c r="CD5" i="2"/>
  <c r="CE5" i="2"/>
  <c r="AL9" i="2"/>
  <c r="AM9" i="2"/>
  <c r="BH9" i="2"/>
  <c r="BI9" i="2"/>
  <c r="CD9" i="2"/>
  <c r="CE9" i="2"/>
  <c r="AL8" i="2"/>
  <c r="AM8" i="2"/>
  <c r="BH8" i="2"/>
  <c r="BI8" i="2"/>
  <c r="CD8" i="2"/>
  <c r="CE8" i="2"/>
  <c r="AL4" i="2"/>
  <c r="AM4" i="2"/>
  <c r="BH4" i="2"/>
  <c r="CD4" i="2"/>
  <c r="CE4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6" i="2"/>
  <c r="BG6" i="2"/>
  <c r="CC6" i="2"/>
  <c r="AK7" i="2"/>
  <c r="BG7" i="2"/>
  <c r="CC7" i="2"/>
  <c r="AK5" i="2"/>
  <c r="BG5" i="2"/>
  <c r="CC5" i="2"/>
  <c r="AK9" i="2"/>
  <c r="BG9" i="2"/>
  <c r="CC9" i="2"/>
  <c r="AK8" i="2"/>
  <c r="BG8" i="2"/>
  <c r="CC8" i="2"/>
  <c r="AK4" i="2"/>
  <c r="BG4" i="2"/>
  <c r="CC4" i="2"/>
  <c r="AK13" i="2"/>
  <c r="BG13" i="2"/>
  <c r="CC13" i="2"/>
  <c r="AK11" i="2"/>
  <c r="BG11" i="2"/>
  <c r="CC11" i="2"/>
  <c r="AK12" i="2"/>
  <c r="BG12" i="2"/>
  <c r="CC12" i="2"/>
  <c r="AL5" i="4"/>
  <c r="AM5" i="4"/>
  <c r="BH5" i="4"/>
  <c r="BI5" i="4"/>
  <c r="CD5" i="4"/>
  <c r="CE5" i="4"/>
  <c r="AL8" i="4"/>
  <c r="AM8" i="4"/>
  <c r="BH8" i="4"/>
  <c r="BI8" i="4"/>
  <c r="CD8" i="4"/>
  <c r="CE8" i="4"/>
  <c r="AL9" i="4"/>
  <c r="AM9" i="4"/>
  <c r="BH9" i="4"/>
  <c r="BI9" i="4"/>
  <c r="CD9" i="4"/>
  <c r="CE9" i="4"/>
  <c r="AL19" i="4"/>
  <c r="AM19" i="4"/>
  <c r="BH19" i="4"/>
  <c r="BI19" i="4"/>
  <c r="CD19" i="4"/>
  <c r="CE19" i="4"/>
  <c r="AL6" i="4"/>
  <c r="AM6" i="4"/>
  <c r="BH6" i="4"/>
  <c r="BI6" i="4"/>
  <c r="CD6" i="4"/>
  <c r="CE6" i="4"/>
  <c r="AL10" i="4"/>
  <c r="AM10" i="4"/>
  <c r="BH10" i="4"/>
  <c r="BI10" i="4"/>
  <c r="CD10" i="4"/>
  <c r="CE10" i="4"/>
  <c r="AM4" i="4"/>
  <c r="BH4" i="4"/>
  <c r="BI4" i="4"/>
  <c r="CD4" i="4"/>
  <c r="CE4" i="4"/>
  <c r="AM7" i="4"/>
  <c r="BH7" i="4"/>
  <c r="BI7" i="4"/>
  <c r="CD7" i="4"/>
  <c r="CE7" i="4"/>
  <c r="AL11" i="4"/>
  <c r="AM11" i="4"/>
  <c r="BH11" i="4"/>
  <c r="BI11" i="4"/>
  <c r="CD11" i="4"/>
  <c r="CE11" i="4"/>
  <c r="AL20" i="4"/>
  <c r="AM20" i="4"/>
  <c r="BH20" i="4"/>
  <c r="BI20" i="4"/>
  <c r="CD20" i="4"/>
  <c r="CE20" i="4"/>
  <c r="AL13" i="4"/>
  <c r="AM13" i="4"/>
  <c r="BH13" i="4"/>
  <c r="BI13" i="4"/>
  <c r="CD13" i="4"/>
  <c r="CE13" i="4"/>
  <c r="AL21" i="4"/>
  <c r="AM21" i="4"/>
  <c r="BH21" i="4"/>
  <c r="BI21" i="4"/>
  <c r="CD21" i="4"/>
  <c r="CE21" i="4"/>
  <c r="AL23" i="4"/>
  <c r="AM23" i="4"/>
  <c r="BH23" i="4"/>
  <c r="BI23" i="4"/>
  <c r="CD23" i="4"/>
  <c r="CE23" i="4"/>
  <c r="AL24" i="4"/>
  <c r="AM24" i="4"/>
  <c r="BH24" i="4"/>
  <c r="BI24" i="4"/>
  <c r="CD24" i="4"/>
  <c r="CE24" i="4"/>
  <c r="AL22" i="4"/>
  <c r="AM22" i="4"/>
  <c r="BH22" i="4"/>
  <c r="BI22" i="4"/>
  <c r="CD22" i="4"/>
  <c r="CE22" i="4"/>
  <c r="AL14" i="4"/>
  <c r="AM14" i="4"/>
  <c r="BH14" i="4"/>
  <c r="BI14" i="4"/>
  <c r="CD14" i="4"/>
  <c r="CE14" i="4"/>
  <c r="AK5" i="4"/>
  <c r="BG5" i="4"/>
  <c r="CC5" i="4"/>
  <c r="AK8" i="4"/>
  <c r="BG8" i="4"/>
  <c r="CC8" i="4"/>
  <c r="AK9" i="4"/>
  <c r="BG9" i="4"/>
  <c r="CC9" i="4"/>
  <c r="AK19" i="4"/>
  <c r="BG19" i="4"/>
  <c r="CC19" i="4"/>
  <c r="AK6" i="4"/>
  <c r="BG6" i="4"/>
  <c r="CC6" i="4"/>
  <c r="AK10" i="4"/>
  <c r="BG10" i="4"/>
  <c r="CC10" i="4"/>
  <c r="BG4" i="4"/>
  <c r="CC4" i="4"/>
  <c r="AK7" i="4"/>
  <c r="BG7" i="4"/>
  <c r="CC7" i="4"/>
  <c r="AK11" i="4"/>
  <c r="BG11" i="4"/>
  <c r="CC11" i="4"/>
  <c r="AK20" i="4"/>
  <c r="BG20" i="4"/>
  <c r="CC20" i="4"/>
  <c r="AK13" i="4"/>
  <c r="BG13" i="4"/>
  <c r="CC13" i="4"/>
  <c r="AK21" i="4"/>
  <c r="BG21" i="4"/>
  <c r="CC21" i="4"/>
  <c r="AK23" i="4"/>
  <c r="BG23" i="4"/>
  <c r="CC23" i="4"/>
  <c r="AK24" i="4"/>
  <c r="BG24" i="4"/>
  <c r="CC24" i="4"/>
  <c r="AK22" i="4"/>
  <c r="BG22" i="4"/>
  <c r="CC22" i="4"/>
  <c r="AK14" i="4"/>
  <c r="BG14" i="4"/>
  <c r="CC14" i="4"/>
  <c r="AL4" i="4"/>
  <c r="AL7" i="4"/>
  <c r="DB7" i="4"/>
  <c r="DW7" i="4"/>
  <c r="ER7" i="4"/>
  <c r="FM7" i="4"/>
  <c r="GH7" i="4"/>
  <c r="HC7" i="4"/>
  <c r="HX7" i="4"/>
  <c r="IS7" i="4"/>
  <c r="JN7" i="4"/>
  <c r="KI7" i="4"/>
  <c r="LY7" i="4"/>
  <c r="DC7" i="4"/>
  <c r="DX7" i="4"/>
  <c r="ES7" i="4"/>
  <c r="FN7" i="4"/>
  <c r="GI7" i="4"/>
  <c r="HD7" i="4"/>
  <c r="HY7" i="4"/>
  <c r="IT7" i="4"/>
  <c r="JO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7" i="4"/>
  <c r="BK7" i="4"/>
  <c r="CG7" i="4"/>
  <c r="AO5" i="4"/>
  <c r="BK5" i="4"/>
  <c r="CG5" i="4"/>
  <c r="DB5" i="4"/>
  <c r="DW5" i="4"/>
  <c r="ER5" i="4"/>
  <c r="FM5" i="4"/>
  <c r="GH5" i="4"/>
  <c r="HC5" i="4"/>
  <c r="HX5" i="4"/>
  <c r="IS5" i="4"/>
  <c r="JN5" i="4"/>
  <c r="KI5" i="4"/>
  <c r="LD5" i="4"/>
  <c r="LY5" i="4"/>
  <c r="DC5" i="4"/>
  <c r="DX5" i="4"/>
  <c r="ES5" i="4"/>
  <c r="FN5" i="4"/>
  <c r="GI5" i="4"/>
  <c r="HD5" i="4"/>
  <c r="HY5" i="4"/>
  <c r="IT5" i="4"/>
  <c r="JO5" i="4"/>
  <c r="KJ5" i="4"/>
  <c r="LE5" i="4"/>
  <c r="LZ5" i="4"/>
  <c r="DE5" i="4"/>
  <c r="DZ5" i="4"/>
  <c r="EU5" i="4"/>
  <c r="FP5" i="4"/>
  <c r="GK5" i="4"/>
  <c r="HF5" i="4"/>
  <c r="IA5" i="4"/>
  <c r="IV5" i="4"/>
  <c r="JQ5" i="4"/>
  <c r="KL5" i="4"/>
  <c r="LG5" i="4"/>
  <c r="MB5" i="4"/>
  <c r="AO8" i="4"/>
  <c r="BK8" i="4"/>
  <c r="CG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KJ8" i="4"/>
  <c r="LE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9" i="4"/>
  <c r="BK9" i="4"/>
  <c r="CG9" i="4"/>
  <c r="DB9" i="4"/>
  <c r="DW9" i="4"/>
  <c r="ER9" i="4"/>
  <c r="FM9" i="4"/>
  <c r="GH9" i="4"/>
  <c r="HC9" i="4"/>
  <c r="HX9" i="4"/>
  <c r="IS9" i="4"/>
  <c r="JN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9" i="4"/>
  <c r="BK19" i="4"/>
  <c r="CG19" i="4"/>
  <c r="DB19" i="4"/>
  <c r="DW19" i="4"/>
  <c r="ER19" i="4"/>
  <c r="FM19" i="4"/>
  <c r="GH19" i="4"/>
  <c r="HC19" i="4"/>
  <c r="HX19" i="4"/>
  <c r="IS19" i="4"/>
  <c r="JN19" i="4"/>
  <c r="KI19" i="4"/>
  <c r="LY19" i="4"/>
  <c r="DC19" i="4"/>
  <c r="DX19" i="4"/>
  <c r="ES19" i="4"/>
  <c r="FN19" i="4"/>
  <c r="GI19" i="4"/>
  <c r="HD19" i="4"/>
  <c r="HY19" i="4"/>
  <c r="IT19" i="4"/>
  <c r="JO19" i="4"/>
  <c r="LE19" i="4"/>
  <c r="LZ19" i="4"/>
  <c r="DE19" i="4"/>
  <c r="DZ19" i="4"/>
  <c r="EU19" i="4"/>
  <c r="FP19" i="4"/>
  <c r="GK19" i="4"/>
  <c r="HF19" i="4"/>
  <c r="IA19" i="4"/>
  <c r="IV19" i="4"/>
  <c r="JQ19" i="4"/>
  <c r="KL19" i="4"/>
  <c r="LG19" i="4"/>
  <c r="MB19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KI10" i="4"/>
  <c r="LD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11" i="4"/>
  <c r="BK11" i="4"/>
  <c r="CG11" i="4"/>
  <c r="DB11" i="4"/>
  <c r="DW11" i="4"/>
  <c r="ER11" i="4"/>
  <c r="FM11" i="4"/>
  <c r="GH11" i="4"/>
  <c r="HC11" i="4"/>
  <c r="HX11" i="4"/>
  <c r="IS11" i="4"/>
  <c r="JN11" i="4"/>
  <c r="KI11" i="4"/>
  <c r="LD11" i="4"/>
  <c r="LY11" i="4"/>
  <c r="DC11" i="4"/>
  <c r="DX11" i="4"/>
  <c r="ES11" i="4"/>
  <c r="FN11" i="4"/>
  <c r="GI11" i="4"/>
  <c r="HD11" i="4"/>
  <c r="HY11" i="4"/>
  <c r="IT11" i="4"/>
  <c r="JO11" i="4"/>
  <c r="KJ11" i="4"/>
  <c r="LE11" i="4"/>
  <c r="LZ11" i="4"/>
  <c r="DE11" i="4"/>
  <c r="DZ11" i="4"/>
  <c r="EU11" i="4"/>
  <c r="FP11" i="4"/>
  <c r="GK11" i="4"/>
  <c r="HF11" i="4"/>
  <c r="IA11" i="4"/>
  <c r="IV11" i="4"/>
  <c r="JQ11" i="4"/>
  <c r="KL11" i="4"/>
  <c r="LG11" i="4"/>
  <c r="MB11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D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23" i="4"/>
  <c r="BK23" i="4"/>
  <c r="CG23" i="4"/>
  <c r="DB23" i="4"/>
  <c r="DW23" i="4"/>
  <c r="ER23" i="4"/>
  <c r="FM23" i="4"/>
  <c r="GH23" i="4"/>
  <c r="HC23" i="4"/>
  <c r="HX23" i="4"/>
  <c r="IS23" i="4"/>
  <c r="JN23" i="4"/>
  <c r="KI23" i="4"/>
  <c r="LD23" i="4"/>
  <c r="LY23" i="4"/>
  <c r="DC23" i="4"/>
  <c r="DX23" i="4"/>
  <c r="ES23" i="4"/>
  <c r="FN23" i="4"/>
  <c r="GI23" i="4"/>
  <c r="HD23" i="4"/>
  <c r="HY23" i="4"/>
  <c r="IT23" i="4"/>
  <c r="JO23" i="4"/>
  <c r="KJ23" i="4"/>
  <c r="LE23" i="4"/>
  <c r="LZ23" i="4"/>
  <c r="DE23" i="4"/>
  <c r="DZ23" i="4"/>
  <c r="EU23" i="4"/>
  <c r="FP23" i="4"/>
  <c r="GK23" i="4"/>
  <c r="HF23" i="4"/>
  <c r="IA23" i="4"/>
  <c r="IV23" i="4"/>
  <c r="JQ23" i="4"/>
  <c r="KL23" i="4"/>
  <c r="LG23" i="4"/>
  <c r="MB23" i="4"/>
  <c r="AO24" i="4"/>
  <c r="BK24" i="4"/>
  <c r="CG24" i="4"/>
  <c r="DB24" i="4"/>
  <c r="DW24" i="4"/>
  <c r="ER24" i="4"/>
  <c r="FM24" i="4"/>
  <c r="GH24" i="4"/>
  <c r="HC24" i="4"/>
  <c r="HX24" i="4"/>
  <c r="IS24" i="4"/>
  <c r="JN24" i="4"/>
  <c r="KI24" i="4"/>
  <c r="LD24" i="4"/>
  <c r="LY24" i="4"/>
  <c r="DC24" i="4"/>
  <c r="DX24" i="4"/>
  <c r="ES24" i="4"/>
  <c r="FN24" i="4"/>
  <c r="GI24" i="4"/>
  <c r="HD24" i="4"/>
  <c r="HY24" i="4"/>
  <c r="IT24" i="4"/>
  <c r="JO24" i="4"/>
  <c r="KJ24" i="4"/>
  <c r="LE24" i="4"/>
  <c r="LZ24" i="4"/>
  <c r="DE24" i="4"/>
  <c r="DZ24" i="4"/>
  <c r="EU24" i="4"/>
  <c r="FP24" i="4"/>
  <c r="GK24" i="4"/>
  <c r="HF24" i="4"/>
  <c r="IA24" i="4"/>
  <c r="IV24" i="4"/>
  <c r="JQ24" i="4"/>
  <c r="KL24" i="4"/>
  <c r="LG24" i="4"/>
  <c r="MB24" i="4"/>
  <c r="AO22" i="4"/>
  <c r="BK22" i="4"/>
  <c r="CG22" i="4"/>
  <c r="DB22" i="4"/>
  <c r="DW22" i="4"/>
  <c r="ER22" i="4"/>
  <c r="FM22" i="4"/>
  <c r="GH22" i="4"/>
  <c r="HC22" i="4"/>
  <c r="HX22" i="4"/>
  <c r="IS22" i="4"/>
  <c r="JN22" i="4"/>
  <c r="KI22" i="4"/>
  <c r="LD22" i="4"/>
  <c r="LY22" i="4"/>
  <c r="DC22" i="4"/>
  <c r="DX22" i="4"/>
  <c r="ES22" i="4"/>
  <c r="FN22" i="4"/>
  <c r="GI22" i="4"/>
  <c r="HD22" i="4"/>
  <c r="HY22" i="4"/>
  <c r="IT22" i="4"/>
  <c r="JO22" i="4"/>
  <c r="KJ22" i="4"/>
  <c r="LE22" i="4"/>
  <c r="LZ22" i="4"/>
  <c r="DE22" i="4"/>
  <c r="DZ22" i="4"/>
  <c r="EU22" i="4"/>
  <c r="FP22" i="4"/>
  <c r="GK22" i="4"/>
  <c r="HF22" i="4"/>
  <c r="IA22" i="4"/>
  <c r="IV22" i="4"/>
  <c r="JQ22" i="4"/>
  <c r="KL22" i="4"/>
  <c r="LG22" i="4"/>
  <c r="MB22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6" i="10"/>
  <c r="DZ6" i="10"/>
  <c r="EU6" i="10"/>
  <c r="FP6" i="10"/>
  <c r="GK6" i="10"/>
  <c r="HF6" i="10"/>
  <c r="IA6" i="10"/>
  <c r="IV6" i="10"/>
  <c r="JQ6" i="10"/>
  <c r="KL6" i="10"/>
  <c r="LG6" i="10"/>
  <c r="MB6" i="10"/>
  <c r="AO6" i="10"/>
  <c r="BK6" i="10"/>
  <c r="CG6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10" i="9"/>
  <c r="DW10" i="9"/>
  <c r="ER10" i="9"/>
  <c r="FM10" i="9"/>
  <c r="GH10" i="9"/>
  <c r="HC10" i="9"/>
  <c r="HX10" i="9"/>
  <c r="IS10" i="9"/>
  <c r="JN10" i="9"/>
  <c r="KI10" i="9"/>
  <c r="LD10" i="9"/>
  <c r="LY10" i="9"/>
  <c r="DC10" i="9"/>
  <c r="DX10" i="9"/>
  <c r="ES10" i="9"/>
  <c r="FN10" i="9"/>
  <c r="GI10" i="9"/>
  <c r="HD10" i="9"/>
  <c r="HY10" i="9"/>
  <c r="IT10" i="9"/>
  <c r="JO10" i="9"/>
  <c r="KJ10" i="9"/>
  <c r="LE10" i="9"/>
  <c r="LZ10" i="9"/>
  <c r="DE10" i="9"/>
  <c r="DZ10" i="9"/>
  <c r="EU10" i="9"/>
  <c r="FP10" i="9"/>
  <c r="GK10" i="9"/>
  <c r="HF10" i="9"/>
  <c r="IA10" i="9"/>
  <c r="IV10" i="9"/>
  <c r="JQ10" i="9"/>
  <c r="KL10" i="9"/>
  <c r="LG10" i="9"/>
  <c r="MB10" i="9"/>
  <c r="AO10" i="9"/>
  <c r="BK10" i="9"/>
  <c r="CG10" i="9"/>
  <c r="DB5" i="9"/>
  <c r="DW5" i="9"/>
  <c r="ER5" i="9"/>
  <c r="FM5" i="9"/>
  <c r="GH5" i="9"/>
  <c r="HC5" i="9"/>
  <c r="HX5" i="9"/>
  <c r="IS5" i="9"/>
  <c r="JN5" i="9"/>
  <c r="KI5" i="9"/>
  <c r="LD5" i="9"/>
  <c r="LY5" i="9"/>
  <c r="DC5" i="9"/>
  <c r="DX5" i="9"/>
  <c r="ES5" i="9"/>
  <c r="FN5" i="9"/>
  <c r="GI5" i="9"/>
  <c r="HD5" i="9"/>
  <c r="HY5" i="9"/>
  <c r="IT5" i="9"/>
  <c r="JO5" i="9"/>
  <c r="KJ5" i="9"/>
  <c r="LE5" i="9"/>
  <c r="LZ5" i="9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12" i="9"/>
  <c r="DW12" i="9"/>
  <c r="ER12" i="9"/>
  <c r="FM12" i="9"/>
  <c r="GH12" i="9"/>
  <c r="HC12" i="9"/>
  <c r="HX12" i="9"/>
  <c r="IS12" i="9"/>
  <c r="JN12" i="9"/>
  <c r="KI12" i="9"/>
  <c r="LD12" i="9"/>
  <c r="LY12" i="9"/>
  <c r="DC12" i="9"/>
  <c r="DX12" i="9"/>
  <c r="ES12" i="9"/>
  <c r="FN12" i="9"/>
  <c r="GI12" i="9"/>
  <c r="HD12" i="9"/>
  <c r="HY12" i="9"/>
  <c r="IT12" i="9"/>
  <c r="JO12" i="9"/>
  <c r="KJ12" i="9"/>
  <c r="LE12" i="9"/>
  <c r="LZ12" i="9"/>
  <c r="DE12" i="9"/>
  <c r="DZ12" i="9"/>
  <c r="EU12" i="9"/>
  <c r="FP12" i="9"/>
  <c r="GK12" i="9"/>
  <c r="HF12" i="9"/>
  <c r="IA12" i="9"/>
  <c r="IV12" i="9"/>
  <c r="JQ12" i="9"/>
  <c r="KL12" i="9"/>
  <c r="LG12" i="9"/>
  <c r="MB12" i="9"/>
  <c r="AO12" i="9"/>
  <c r="BK12" i="9"/>
  <c r="CG12" i="9"/>
  <c r="DC4" i="9"/>
  <c r="DX4" i="9"/>
  <c r="ES4" i="9"/>
  <c r="FN4" i="9"/>
  <c r="GI4" i="9"/>
  <c r="HD4" i="9"/>
  <c r="HY4" i="9"/>
  <c r="IT4" i="9"/>
  <c r="JO4" i="9"/>
  <c r="KJ4" i="9"/>
  <c r="LE4" i="9"/>
  <c r="LZ4" i="9"/>
  <c r="DB4" i="9"/>
  <c r="DW4" i="9"/>
  <c r="ER4" i="9"/>
  <c r="FM4" i="9"/>
  <c r="GH4" i="9"/>
  <c r="HC4" i="9"/>
  <c r="HX4" i="9"/>
  <c r="IS4" i="9"/>
  <c r="JN4" i="9"/>
  <c r="KI4" i="9"/>
  <c r="LD4" i="9"/>
  <c r="LY4" i="9"/>
  <c r="DB5" i="2"/>
  <c r="DW5" i="2"/>
  <c r="ER5" i="2"/>
  <c r="FM5" i="2"/>
  <c r="GH5" i="2"/>
  <c r="HC5" i="2"/>
  <c r="HX5" i="2"/>
  <c r="IS5" i="2"/>
  <c r="JN5" i="2"/>
  <c r="KI5" i="2"/>
  <c r="LY5" i="2"/>
  <c r="DC5" i="2"/>
  <c r="DX5" i="2"/>
  <c r="ES5" i="2"/>
  <c r="FN5" i="2"/>
  <c r="GI5" i="2"/>
  <c r="HD5" i="2"/>
  <c r="HY5" i="2"/>
  <c r="IT5" i="2"/>
  <c r="JO5" i="2"/>
  <c r="KJ5" i="2"/>
  <c r="LZ5" i="2"/>
  <c r="DE5" i="2"/>
  <c r="DZ5" i="2"/>
  <c r="EU5" i="2"/>
  <c r="FP5" i="2"/>
  <c r="GK5" i="2"/>
  <c r="HF5" i="2"/>
  <c r="IA5" i="2"/>
  <c r="IV5" i="2"/>
  <c r="JQ5" i="2"/>
  <c r="KL5" i="2"/>
  <c r="LG5" i="2"/>
  <c r="MB5" i="2"/>
  <c r="AO5" i="2"/>
  <c r="BK5" i="2"/>
  <c r="CG5" i="2"/>
  <c r="DB7" i="2"/>
  <c r="DW7" i="2"/>
  <c r="ER7" i="2"/>
  <c r="FM7" i="2"/>
  <c r="GH7" i="2"/>
  <c r="HC7" i="2"/>
  <c r="HX7" i="2"/>
  <c r="IS7" i="2"/>
  <c r="JN7" i="2"/>
  <c r="KI7" i="2"/>
  <c r="LD7" i="2"/>
  <c r="LY7" i="2"/>
  <c r="DC7" i="2"/>
  <c r="DX7" i="2"/>
  <c r="ES7" i="2"/>
  <c r="FN7" i="2"/>
  <c r="GI7" i="2"/>
  <c r="HD7" i="2"/>
  <c r="HY7" i="2"/>
  <c r="IT7" i="2"/>
  <c r="JO7" i="2"/>
  <c r="KJ7" i="2"/>
  <c r="LZ7" i="2"/>
  <c r="DE7" i="2"/>
  <c r="DZ7" i="2"/>
  <c r="EU7" i="2"/>
  <c r="FP7" i="2"/>
  <c r="GK7" i="2"/>
  <c r="HF7" i="2"/>
  <c r="IA7" i="2"/>
  <c r="IV7" i="2"/>
  <c r="JQ7" i="2"/>
  <c r="KL7" i="2"/>
  <c r="LG7" i="2"/>
  <c r="MB7" i="2"/>
  <c r="AO7" i="2"/>
  <c r="BK7" i="2"/>
  <c r="CG7" i="2"/>
  <c r="DB9" i="2"/>
  <c r="DW9" i="2"/>
  <c r="ER9" i="2"/>
  <c r="FM9" i="2"/>
  <c r="GH9" i="2"/>
  <c r="HC9" i="2"/>
  <c r="HX9" i="2"/>
  <c r="IS9" i="2"/>
  <c r="JN9" i="2"/>
  <c r="KI9" i="2"/>
  <c r="LD9" i="2"/>
  <c r="LY9" i="2"/>
  <c r="DC9" i="2"/>
  <c r="DX9" i="2"/>
  <c r="ES9" i="2"/>
  <c r="FN9" i="2"/>
  <c r="GI9" i="2"/>
  <c r="HD9" i="2"/>
  <c r="HY9" i="2"/>
  <c r="IT9" i="2"/>
  <c r="JO9" i="2"/>
  <c r="KJ9" i="2"/>
  <c r="LE9" i="2"/>
  <c r="LZ9" i="2"/>
  <c r="DE9" i="2"/>
  <c r="DZ9" i="2"/>
  <c r="EU9" i="2"/>
  <c r="FP9" i="2"/>
  <c r="GK9" i="2"/>
  <c r="HF9" i="2"/>
  <c r="IA9" i="2"/>
  <c r="IV9" i="2"/>
  <c r="JQ9" i="2"/>
  <c r="KL9" i="2"/>
  <c r="LG9" i="2"/>
  <c r="MB9" i="2"/>
  <c r="AO9" i="2"/>
  <c r="BK9" i="2"/>
  <c r="CG9" i="2"/>
  <c r="DB8" i="2"/>
  <c r="DW8" i="2"/>
  <c r="ER8" i="2"/>
  <c r="FM8" i="2"/>
  <c r="GH8" i="2"/>
  <c r="HC8" i="2"/>
  <c r="HX8" i="2"/>
  <c r="IS8" i="2"/>
  <c r="JN8" i="2"/>
  <c r="KI8" i="2"/>
  <c r="LD8" i="2"/>
  <c r="LY8" i="2"/>
  <c r="DC8" i="2"/>
  <c r="DX8" i="2"/>
  <c r="ES8" i="2"/>
  <c r="FN8" i="2"/>
  <c r="GI8" i="2"/>
  <c r="HY8" i="2"/>
  <c r="IT8" i="2"/>
  <c r="JO8" i="2"/>
  <c r="KJ8" i="2"/>
  <c r="LE8" i="2"/>
  <c r="LZ8" i="2"/>
  <c r="DE8" i="2"/>
  <c r="DZ8" i="2"/>
  <c r="EU8" i="2"/>
  <c r="FP8" i="2"/>
  <c r="GK8" i="2"/>
  <c r="HF8" i="2"/>
  <c r="IA8" i="2"/>
  <c r="IV8" i="2"/>
  <c r="JQ8" i="2"/>
  <c r="KL8" i="2"/>
  <c r="LG8" i="2"/>
  <c r="MB8" i="2"/>
  <c r="AO8" i="2"/>
  <c r="BK8" i="2"/>
  <c r="CG8" i="2"/>
  <c r="DB4" i="2"/>
  <c r="DW4" i="2"/>
  <c r="ER4" i="2"/>
  <c r="FM4" i="2"/>
  <c r="GH4" i="2"/>
  <c r="HC4" i="2"/>
  <c r="HX4" i="2"/>
  <c r="IS4" i="2"/>
  <c r="JN4" i="2"/>
  <c r="KI4" i="2"/>
  <c r="LD4" i="2"/>
  <c r="LY4" i="2"/>
  <c r="MA4" i="2" s="1"/>
  <c r="DC4" i="2"/>
  <c r="DX4" i="2"/>
  <c r="ES4" i="2"/>
  <c r="FN4" i="2"/>
  <c r="GI4" i="2"/>
  <c r="HD4" i="2"/>
  <c r="HY4" i="2"/>
  <c r="IT4" i="2"/>
  <c r="JO4" i="2"/>
  <c r="KJ4" i="2"/>
  <c r="LE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DC13" i="2"/>
  <c r="DX13" i="2"/>
  <c r="ES13" i="2"/>
  <c r="FN13" i="2"/>
  <c r="GI13" i="2"/>
  <c r="HD13" i="2"/>
  <c r="HY13" i="2"/>
  <c r="IT13" i="2"/>
  <c r="JO13" i="2"/>
  <c r="KJ13" i="2"/>
  <c r="LE13" i="2"/>
  <c r="LZ13" i="2"/>
  <c r="DE13" i="2"/>
  <c r="DZ13" i="2"/>
  <c r="EU13" i="2"/>
  <c r="FP13" i="2"/>
  <c r="GK13" i="2"/>
  <c r="HF13" i="2"/>
  <c r="IA13" i="2"/>
  <c r="IV13" i="2"/>
  <c r="JQ13" i="2"/>
  <c r="KL13" i="2"/>
  <c r="LG13" i="2"/>
  <c r="MB13" i="2"/>
  <c r="AO13" i="2"/>
  <c r="BK13" i="2"/>
  <c r="CG13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DC12" i="2"/>
  <c r="DX12" i="2"/>
  <c r="ES12" i="2"/>
  <c r="FN12" i="2"/>
  <c r="GI12" i="2"/>
  <c r="HD12" i="2"/>
  <c r="HY12" i="2"/>
  <c r="IT12" i="2"/>
  <c r="JO12" i="2"/>
  <c r="KJ12" i="2"/>
  <c r="LE12" i="2"/>
  <c r="LZ12" i="2"/>
  <c r="DE12" i="2"/>
  <c r="DZ12" i="2"/>
  <c r="EU12" i="2"/>
  <c r="FP12" i="2"/>
  <c r="GK12" i="2"/>
  <c r="HF12" i="2"/>
  <c r="IA12" i="2"/>
  <c r="IV12" i="2"/>
  <c r="JQ12" i="2"/>
  <c r="KL12" i="2"/>
  <c r="LG12" i="2"/>
  <c r="MB12" i="2"/>
  <c r="AO12" i="2"/>
  <c r="BK12" i="2"/>
  <c r="CG12" i="2"/>
  <c r="DE6" i="2"/>
  <c r="DZ6" i="2"/>
  <c r="EU6" i="2"/>
  <c r="FP6" i="2"/>
  <c r="GK6" i="2"/>
  <c r="HF6" i="2"/>
  <c r="IA6" i="2"/>
  <c r="IV6" i="2"/>
  <c r="JQ6" i="2"/>
  <c r="KL6" i="2"/>
  <c r="LG6" i="2"/>
  <c r="MB6" i="2"/>
  <c r="AO6" i="2"/>
  <c r="BK6" i="2"/>
  <c r="CG6" i="2"/>
  <c r="DC6" i="2"/>
  <c r="DX6" i="2"/>
  <c r="ES6" i="2"/>
  <c r="FN6" i="2"/>
  <c r="GI6" i="2"/>
  <c r="HD6" i="2"/>
  <c r="HY6" i="2"/>
  <c r="IT6" i="2"/>
  <c r="JO6" i="2"/>
  <c r="KJ6" i="2"/>
  <c r="LE6" i="2"/>
  <c r="LZ6" i="2"/>
  <c r="DB6" i="2"/>
  <c r="DW6" i="2"/>
  <c r="ER6" i="2"/>
  <c r="FM6" i="2"/>
  <c r="GH6" i="2"/>
  <c r="HC6" i="2"/>
  <c r="HX6" i="2"/>
  <c r="IS6" i="2"/>
  <c r="JN6" i="2"/>
  <c r="KI6" i="2"/>
  <c r="LD6" i="2"/>
  <c r="LY6" i="2"/>
  <c r="DB5" i="10"/>
  <c r="DW5" i="10"/>
  <c r="ER5" i="10"/>
  <c r="FM5" i="10"/>
  <c r="GH5" i="10"/>
  <c r="HC5" i="10"/>
  <c r="HX5" i="10"/>
  <c r="IS5" i="10"/>
  <c r="JN5" i="10"/>
  <c r="KI5" i="10"/>
  <c r="LD5" i="10"/>
  <c r="LY5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6" i="10"/>
  <c r="DW6" i="10"/>
  <c r="ER6" i="10"/>
  <c r="FM6" i="10"/>
  <c r="GH6" i="10"/>
  <c r="HC6" i="10"/>
  <c r="HX6" i="10"/>
  <c r="IS6" i="10"/>
  <c r="JN6" i="10"/>
  <c r="KI6" i="10"/>
  <c r="LD6" i="10"/>
  <c r="LY6" i="10"/>
  <c r="DC6" i="10"/>
  <c r="DX6" i="10"/>
  <c r="ES6" i="10"/>
  <c r="FN6" i="10"/>
  <c r="GI6" i="10"/>
  <c r="HD6" i="10"/>
  <c r="HY6" i="10"/>
  <c r="IT6" i="10"/>
  <c r="JO6" i="10"/>
  <c r="KJ6" i="10"/>
  <c r="LE6" i="10"/>
  <c r="LZ6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J7" i="7"/>
  <c r="EG7" i="7"/>
  <c r="FD7" i="7"/>
  <c r="GA7" i="7"/>
  <c r="GX7" i="7"/>
  <c r="HU7" i="7"/>
  <c r="IR7" i="7"/>
  <c r="JO7" i="7"/>
  <c r="KL7" i="7"/>
  <c r="LI7" i="7"/>
  <c r="MF7" i="7"/>
  <c r="NC7" i="7"/>
  <c r="DK7" i="7"/>
  <c r="EH7" i="7"/>
  <c r="FE7" i="7"/>
  <c r="GB7" i="7"/>
  <c r="GY7" i="7"/>
  <c r="HV7" i="7"/>
  <c r="IS7" i="7"/>
  <c r="JP7" i="7"/>
  <c r="KM7" i="7"/>
  <c r="LJ7" i="7"/>
  <c r="MG7" i="7"/>
  <c r="ND7" i="7"/>
  <c r="DM7" i="7"/>
  <c r="EJ7" i="7"/>
  <c r="FG7" i="7"/>
  <c r="GD7" i="7"/>
  <c r="HA7" i="7"/>
  <c r="HX7" i="7"/>
  <c r="IU7" i="7"/>
  <c r="JR7" i="7"/>
  <c r="KO7" i="7"/>
  <c r="LL7" i="7"/>
  <c r="MI7" i="7"/>
  <c r="NF7" i="7"/>
  <c r="AQ7" i="7"/>
  <c r="BO7" i="7"/>
  <c r="CM7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DJ10" i="7"/>
  <c r="EG10" i="7"/>
  <c r="FD10" i="7"/>
  <c r="GA10" i="7"/>
  <c r="GX10" i="7"/>
  <c r="HU10" i="7"/>
  <c r="IR10" i="7"/>
  <c r="JO10" i="7"/>
  <c r="KL10" i="7"/>
  <c r="LI10" i="7"/>
  <c r="MF10" i="7"/>
  <c r="NC10" i="7"/>
  <c r="DK10" i="7"/>
  <c r="EH10" i="7"/>
  <c r="FE10" i="7"/>
  <c r="GB10" i="7"/>
  <c r="GY10" i="7"/>
  <c r="HV10" i="7"/>
  <c r="IS10" i="7"/>
  <c r="JP10" i="7"/>
  <c r="KM10" i="7"/>
  <c r="LJ10" i="7"/>
  <c r="MG10" i="7"/>
  <c r="ND10" i="7"/>
  <c r="DM10" i="7"/>
  <c r="EJ10" i="7"/>
  <c r="FG10" i="7"/>
  <c r="GD10" i="7"/>
  <c r="HA10" i="7"/>
  <c r="HX10" i="7"/>
  <c r="IU10" i="7"/>
  <c r="JR10" i="7"/>
  <c r="KO10" i="7"/>
  <c r="LL10" i="7"/>
  <c r="MI10" i="7"/>
  <c r="NF10" i="7"/>
  <c r="AQ10" i="7"/>
  <c r="BO10" i="7"/>
  <c r="CM10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BZ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CA5" i="6"/>
  <c r="EO5" i="6"/>
  <c r="FS5" i="6"/>
  <c r="GW5" i="6"/>
  <c r="IA5" i="6"/>
  <c r="JE5" i="6"/>
  <c r="KI5" i="6"/>
  <c r="LM5" i="6"/>
  <c r="MQ5" i="6"/>
  <c r="OY5" i="6"/>
  <c r="OZ5" i="6" s="1"/>
  <c r="QC5" i="6"/>
  <c r="RG5" i="6"/>
  <c r="AX5" i="6"/>
  <c r="CC5" i="6"/>
  <c r="DH5" i="6"/>
  <c r="DI5" i="6" s="1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OZ6" i="6" s="1"/>
  <c r="QC6" i="6"/>
  <c r="RG6" i="6"/>
  <c r="AX6" i="6"/>
  <c r="CC6" i="6"/>
  <c r="DH6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DE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DF9" i="6"/>
  <c r="EO9" i="6"/>
  <c r="FS9" i="6"/>
  <c r="GW9" i="6"/>
  <c r="IA9" i="6"/>
  <c r="JE9" i="6"/>
  <c r="KI9" i="6"/>
  <c r="LM9" i="6"/>
  <c r="MQ9" i="6"/>
  <c r="OY9" i="6"/>
  <c r="QC9" i="6"/>
  <c r="RG9" i="6"/>
  <c r="AX9" i="6"/>
  <c r="CC9" i="6"/>
  <c r="DH9" i="6"/>
  <c r="EL8" i="6"/>
  <c r="FP8" i="6"/>
  <c r="GT8" i="6"/>
  <c r="HX8" i="6"/>
  <c r="JB8" i="6"/>
  <c r="KF8" i="6"/>
  <c r="LJ8" i="6"/>
  <c r="MN8" i="6"/>
  <c r="NR8" i="6"/>
  <c r="OV8" i="6"/>
  <c r="PZ8" i="6"/>
  <c r="RD8" i="6"/>
  <c r="AU8" i="6"/>
  <c r="DE8" i="6"/>
  <c r="EM8" i="6"/>
  <c r="FQ8" i="6"/>
  <c r="GU8" i="6"/>
  <c r="HY8" i="6"/>
  <c r="JC8" i="6"/>
  <c r="KG8" i="6"/>
  <c r="LK8" i="6"/>
  <c r="MO8" i="6"/>
  <c r="NS8" i="6"/>
  <c r="OW8" i="6"/>
  <c r="QA8" i="6"/>
  <c r="RE8" i="6"/>
  <c r="AV8" i="6"/>
  <c r="DF8" i="6"/>
  <c r="EO8" i="6"/>
  <c r="FS8" i="6"/>
  <c r="GW8" i="6"/>
  <c r="IA8" i="6"/>
  <c r="JE8" i="6"/>
  <c r="KI8" i="6"/>
  <c r="LM8" i="6"/>
  <c r="MQ8" i="6"/>
  <c r="OY8" i="6"/>
  <c r="OZ8" i="6" s="1"/>
  <c r="QC8" i="6"/>
  <c r="RG8" i="6"/>
  <c r="AX8" i="6"/>
  <c r="CC8" i="6"/>
  <c r="CD8" i="6" s="1"/>
  <c r="DH8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BZ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CA7" i="6"/>
  <c r="EO7" i="6"/>
  <c r="FS7" i="6"/>
  <c r="GW7" i="6"/>
  <c r="IA7" i="6"/>
  <c r="JE7" i="6"/>
  <c r="KI7" i="6"/>
  <c r="LM7" i="6"/>
  <c r="MQ7" i="6"/>
  <c r="OY7" i="6"/>
  <c r="QC7" i="6"/>
  <c r="RG7" i="6"/>
  <c r="AX7" i="6"/>
  <c r="CC7" i="6"/>
  <c r="DH7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AU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AV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L12" i="6"/>
  <c r="FP12" i="6"/>
  <c r="GT12" i="6"/>
  <c r="HX12" i="6"/>
  <c r="JB12" i="6"/>
  <c r="KF12" i="6"/>
  <c r="LJ12" i="6"/>
  <c r="MN12" i="6"/>
  <c r="NR12" i="6"/>
  <c r="OV12" i="6"/>
  <c r="PZ12" i="6"/>
  <c r="RD12" i="6"/>
  <c r="AU12" i="6"/>
  <c r="DE12" i="6"/>
  <c r="EM12" i="6"/>
  <c r="FQ12" i="6"/>
  <c r="GU12" i="6"/>
  <c r="HY12" i="6"/>
  <c r="JC12" i="6"/>
  <c r="KG12" i="6"/>
  <c r="LK12" i="6"/>
  <c r="MO12" i="6"/>
  <c r="NS12" i="6"/>
  <c r="OW12" i="6"/>
  <c r="QA12" i="6"/>
  <c r="RE12" i="6"/>
  <c r="AV12" i="6"/>
  <c r="DF12" i="6"/>
  <c r="EO12" i="6"/>
  <c r="FS12" i="6"/>
  <c r="GW12" i="6"/>
  <c r="IA12" i="6"/>
  <c r="JE12" i="6"/>
  <c r="KI12" i="6"/>
  <c r="LM12" i="6"/>
  <c r="MQ12" i="6"/>
  <c r="OY12" i="6"/>
  <c r="QC12" i="6"/>
  <c r="RG12" i="6"/>
  <c r="AX12" i="6"/>
  <c r="AY12" i="6" s="1"/>
  <c r="CC12" i="6"/>
  <c r="DH12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13" i="5"/>
  <c r="FS13" i="5"/>
  <c r="GW13" i="5"/>
  <c r="IA13" i="5"/>
  <c r="JE13" i="5"/>
  <c r="KI13" i="5"/>
  <c r="LM13" i="5"/>
  <c r="MQ13" i="5"/>
  <c r="OY13" i="5"/>
  <c r="QC13" i="5"/>
  <c r="RG13" i="5"/>
  <c r="AX13" i="5"/>
  <c r="CC13" i="5"/>
  <c r="DH13" i="5"/>
  <c r="EO9" i="5"/>
  <c r="FS9" i="5"/>
  <c r="GW9" i="5"/>
  <c r="IA9" i="5"/>
  <c r="JE9" i="5"/>
  <c r="KI9" i="5"/>
  <c r="LM9" i="5"/>
  <c r="MQ9" i="5"/>
  <c r="OY9" i="5"/>
  <c r="QC9" i="5"/>
  <c r="RG9" i="5"/>
  <c r="AX9" i="5"/>
  <c r="CC9" i="5"/>
  <c r="CD9" i="5" s="1"/>
  <c r="DH9" i="5"/>
  <c r="EO6" i="5"/>
  <c r="FS6" i="5"/>
  <c r="GW6" i="5"/>
  <c r="IA6" i="5"/>
  <c r="JE6" i="5"/>
  <c r="KI6" i="5"/>
  <c r="LM6" i="5"/>
  <c r="MQ6" i="5"/>
  <c r="OY6" i="5"/>
  <c r="QC6" i="5"/>
  <c r="RG6" i="5"/>
  <c r="AX6" i="5"/>
  <c r="CC6" i="5"/>
  <c r="DH6" i="5"/>
  <c r="EO12" i="5"/>
  <c r="FS12" i="5"/>
  <c r="GW12" i="5"/>
  <c r="IA12" i="5"/>
  <c r="JE12" i="5"/>
  <c r="KI12" i="5"/>
  <c r="LM12" i="5"/>
  <c r="MQ12" i="5"/>
  <c r="OY12" i="5"/>
  <c r="QC12" i="5"/>
  <c r="RG12" i="5"/>
  <c r="AX12" i="5"/>
  <c r="CC12" i="5"/>
  <c r="DH12" i="5"/>
  <c r="EO7" i="5"/>
  <c r="FS7" i="5"/>
  <c r="GW7" i="5"/>
  <c r="IA7" i="5"/>
  <c r="JE7" i="5"/>
  <c r="KI7" i="5"/>
  <c r="LM7" i="5"/>
  <c r="MQ7" i="5"/>
  <c r="OY7" i="5"/>
  <c r="QC7" i="5"/>
  <c r="RG7" i="5"/>
  <c r="AX7" i="5"/>
  <c r="CC7" i="5"/>
  <c r="DH7" i="5"/>
  <c r="EO14" i="5"/>
  <c r="FS14" i="5"/>
  <c r="GW14" i="5"/>
  <c r="IA14" i="5"/>
  <c r="JE14" i="5"/>
  <c r="KI14" i="5"/>
  <c r="LM14" i="5"/>
  <c r="MQ14" i="5"/>
  <c r="OY14" i="5"/>
  <c r="QC14" i="5"/>
  <c r="RG14" i="5"/>
  <c r="AX14" i="5"/>
  <c r="AY14" i="5" s="1"/>
  <c r="CC14" i="5"/>
  <c r="DH14" i="5"/>
  <c r="EO15" i="5"/>
  <c r="FS15" i="5"/>
  <c r="GW15" i="5"/>
  <c r="IA15" i="5"/>
  <c r="JE15" i="5"/>
  <c r="KI15" i="5"/>
  <c r="LM15" i="5"/>
  <c r="MQ15" i="5"/>
  <c r="OY15" i="5"/>
  <c r="QC15" i="5"/>
  <c r="RG15" i="5"/>
  <c r="AX15" i="5"/>
  <c r="CC15" i="5"/>
  <c r="DH15" i="5"/>
  <c r="EO11" i="5"/>
  <c r="FS11" i="5"/>
  <c r="GW11" i="5"/>
  <c r="IA11" i="5"/>
  <c r="JE11" i="5"/>
  <c r="KI11" i="5"/>
  <c r="LM11" i="5"/>
  <c r="MQ11" i="5"/>
  <c r="OY11" i="5"/>
  <c r="QC11" i="5"/>
  <c r="RG11" i="5"/>
  <c r="AX11" i="5"/>
  <c r="CC11" i="5"/>
  <c r="DH11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13" i="5"/>
  <c r="FQ13" i="5"/>
  <c r="GU13" i="5"/>
  <c r="HY13" i="5"/>
  <c r="JC13" i="5"/>
  <c r="KG13" i="5"/>
  <c r="LK13" i="5"/>
  <c r="MO13" i="5"/>
  <c r="NS13" i="5"/>
  <c r="OW13" i="5"/>
  <c r="QA13" i="5"/>
  <c r="RE13" i="5"/>
  <c r="CA13" i="5"/>
  <c r="DF13" i="5"/>
  <c r="EM9" i="5"/>
  <c r="FQ9" i="5"/>
  <c r="GU9" i="5"/>
  <c r="HY9" i="5"/>
  <c r="JC9" i="5"/>
  <c r="KG9" i="5"/>
  <c r="LK9" i="5"/>
  <c r="MO9" i="5"/>
  <c r="NS9" i="5"/>
  <c r="OW9" i="5"/>
  <c r="QA9" i="5"/>
  <c r="RE9" i="5"/>
  <c r="AV9" i="5"/>
  <c r="CA9" i="5"/>
  <c r="EM6" i="5"/>
  <c r="FQ6" i="5"/>
  <c r="GU6" i="5"/>
  <c r="HY6" i="5"/>
  <c r="JC6" i="5"/>
  <c r="KG6" i="5"/>
  <c r="LK6" i="5"/>
  <c r="MO6" i="5"/>
  <c r="NS6" i="5"/>
  <c r="OW6" i="5"/>
  <c r="QA6" i="5"/>
  <c r="RE6" i="5"/>
  <c r="AV6" i="5"/>
  <c r="CA6" i="5"/>
  <c r="EM12" i="5"/>
  <c r="FQ12" i="5"/>
  <c r="GU12" i="5"/>
  <c r="HY12" i="5"/>
  <c r="JC12" i="5"/>
  <c r="KG12" i="5"/>
  <c r="LK12" i="5"/>
  <c r="MO12" i="5"/>
  <c r="NS12" i="5"/>
  <c r="OW12" i="5"/>
  <c r="QA12" i="5"/>
  <c r="RE12" i="5"/>
  <c r="AV12" i="5"/>
  <c r="DF12" i="5"/>
  <c r="EM7" i="5"/>
  <c r="FQ7" i="5"/>
  <c r="GU7" i="5"/>
  <c r="HY7" i="5"/>
  <c r="JC7" i="5"/>
  <c r="KG7" i="5"/>
  <c r="LK7" i="5"/>
  <c r="MO7" i="5"/>
  <c r="NS7" i="5"/>
  <c r="OW7" i="5"/>
  <c r="QA7" i="5"/>
  <c r="RE7" i="5"/>
  <c r="AV7" i="5"/>
  <c r="CA7" i="5"/>
  <c r="EM14" i="5"/>
  <c r="FQ14" i="5"/>
  <c r="GU14" i="5"/>
  <c r="HY14" i="5"/>
  <c r="JC14" i="5"/>
  <c r="KG14" i="5"/>
  <c r="LK14" i="5"/>
  <c r="MO14" i="5"/>
  <c r="NS14" i="5"/>
  <c r="OW14" i="5"/>
  <c r="QA14" i="5"/>
  <c r="RE14" i="5"/>
  <c r="AV14" i="5"/>
  <c r="DF14" i="5"/>
  <c r="EM15" i="5"/>
  <c r="FQ15" i="5"/>
  <c r="GU15" i="5"/>
  <c r="HY15" i="5"/>
  <c r="JC15" i="5"/>
  <c r="KG15" i="5"/>
  <c r="LK15" i="5"/>
  <c r="MO15" i="5"/>
  <c r="NS15" i="5"/>
  <c r="OW15" i="5"/>
  <c r="QA15" i="5"/>
  <c r="RE15" i="5"/>
  <c r="AV15" i="5"/>
  <c r="DF15" i="5"/>
  <c r="EM11" i="5"/>
  <c r="FQ11" i="5"/>
  <c r="GU11" i="5"/>
  <c r="HY11" i="5"/>
  <c r="JC11" i="5"/>
  <c r="KG11" i="5"/>
  <c r="LK11" i="5"/>
  <c r="MO11" i="5"/>
  <c r="NS11" i="5"/>
  <c r="OW11" i="5"/>
  <c r="QA11" i="5"/>
  <c r="RE11" i="5"/>
  <c r="CA11" i="5"/>
  <c r="DF11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13" i="5"/>
  <c r="FP13" i="5"/>
  <c r="GT13" i="5"/>
  <c r="HX13" i="5"/>
  <c r="JB13" i="5"/>
  <c r="KF13" i="5"/>
  <c r="LJ13" i="5"/>
  <c r="MN13" i="5"/>
  <c r="NR13" i="5"/>
  <c r="OV13" i="5"/>
  <c r="PZ13" i="5"/>
  <c r="RD13" i="5"/>
  <c r="BZ13" i="5"/>
  <c r="DE13" i="5"/>
  <c r="EL9" i="5"/>
  <c r="FP9" i="5"/>
  <c r="GT9" i="5"/>
  <c r="HX9" i="5"/>
  <c r="JB9" i="5"/>
  <c r="KF9" i="5"/>
  <c r="LJ9" i="5"/>
  <c r="MN9" i="5"/>
  <c r="NR9" i="5"/>
  <c r="OV9" i="5"/>
  <c r="PZ9" i="5"/>
  <c r="RD9" i="5"/>
  <c r="AU9" i="5"/>
  <c r="BZ9" i="5"/>
  <c r="EL6" i="5"/>
  <c r="FP6" i="5"/>
  <c r="GT6" i="5"/>
  <c r="HX6" i="5"/>
  <c r="JB6" i="5"/>
  <c r="KF6" i="5"/>
  <c r="LJ6" i="5"/>
  <c r="MN6" i="5"/>
  <c r="NR6" i="5"/>
  <c r="OV6" i="5"/>
  <c r="PZ6" i="5"/>
  <c r="RD6" i="5"/>
  <c r="AU6" i="5"/>
  <c r="BZ6" i="5"/>
  <c r="EL12" i="5"/>
  <c r="FP12" i="5"/>
  <c r="GT12" i="5"/>
  <c r="HX12" i="5"/>
  <c r="JB12" i="5"/>
  <c r="KF12" i="5"/>
  <c r="LJ12" i="5"/>
  <c r="MN12" i="5"/>
  <c r="NR12" i="5"/>
  <c r="OV12" i="5"/>
  <c r="PZ12" i="5"/>
  <c r="RD12" i="5"/>
  <c r="AU12" i="5"/>
  <c r="DE12" i="5"/>
  <c r="EL7" i="5"/>
  <c r="FP7" i="5"/>
  <c r="GT7" i="5"/>
  <c r="HX7" i="5"/>
  <c r="JB7" i="5"/>
  <c r="KF7" i="5"/>
  <c r="LJ7" i="5"/>
  <c r="MN7" i="5"/>
  <c r="NR7" i="5"/>
  <c r="OV7" i="5"/>
  <c r="PZ7" i="5"/>
  <c r="RD7" i="5"/>
  <c r="AU7" i="5"/>
  <c r="BZ7" i="5"/>
  <c r="EL14" i="5"/>
  <c r="FP14" i="5"/>
  <c r="GT14" i="5"/>
  <c r="HX14" i="5"/>
  <c r="JB14" i="5"/>
  <c r="KF14" i="5"/>
  <c r="LJ14" i="5"/>
  <c r="MN14" i="5"/>
  <c r="NR14" i="5"/>
  <c r="OV14" i="5"/>
  <c r="PZ14" i="5"/>
  <c r="RD14" i="5"/>
  <c r="AU14" i="5"/>
  <c r="DE14" i="5"/>
  <c r="EL15" i="5"/>
  <c r="FP15" i="5"/>
  <c r="GT15" i="5"/>
  <c r="HX15" i="5"/>
  <c r="JB15" i="5"/>
  <c r="KF15" i="5"/>
  <c r="LJ15" i="5"/>
  <c r="MN15" i="5"/>
  <c r="NR15" i="5"/>
  <c r="OV15" i="5"/>
  <c r="PZ15" i="5"/>
  <c r="RD15" i="5"/>
  <c r="AU15" i="5"/>
  <c r="DE15" i="5"/>
  <c r="EL11" i="5"/>
  <c r="FP11" i="5"/>
  <c r="GT11" i="5"/>
  <c r="HX11" i="5"/>
  <c r="JB11" i="5"/>
  <c r="KF11" i="5"/>
  <c r="LJ11" i="5"/>
  <c r="MN11" i="5"/>
  <c r="NR11" i="5"/>
  <c r="OV11" i="5"/>
  <c r="PZ11" i="5"/>
  <c r="RD11" i="5"/>
  <c r="BZ11" i="5"/>
  <c r="DE11" i="5"/>
  <c r="LX19" i="4"/>
  <c r="FL4" i="10"/>
  <c r="FL5" i="10"/>
  <c r="FL6" i="10"/>
  <c r="LX10" i="9"/>
  <c r="JM10" i="9"/>
  <c r="IR10" i="9"/>
  <c r="HW10" i="9"/>
  <c r="HB10" i="9"/>
  <c r="GG10" i="9"/>
  <c r="FL10" i="9"/>
  <c r="EQ10" i="9"/>
  <c r="DV10" i="9"/>
  <c r="DA10" i="9"/>
  <c r="RF7" i="5"/>
  <c r="RC7" i="5"/>
  <c r="QB7" i="5"/>
  <c r="PY7" i="5"/>
  <c r="OX7" i="5"/>
  <c r="OU7" i="5"/>
  <c r="NT7" i="5"/>
  <c r="NU7" i="5"/>
  <c r="NQ7" i="5"/>
  <c r="MP7" i="5"/>
  <c r="MM7" i="5"/>
  <c r="LL7" i="5"/>
  <c r="LI7" i="5"/>
  <c r="KH7" i="5"/>
  <c r="KE7" i="5"/>
  <c r="JD7" i="5"/>
  <c r="JA7" i="5"/>
  <c r="HZ7" i="5"/>
  <c r="HW7" i="5"/>
  <c r="GV7" i="5"/>
  <c r="GS7" i="5"/>
  <c r="LX6" i="10"/>
  <c r="LC6" i="10"/>
  <c r="KH6" i="10"/>
  <c r="JM6" i="10"/>
  <c r="IR6" i="10"/>
  <c r="HW6" i="10"/>
  <c r="HB6" i="10"/>
  <c r="GG6" i="10"/>
  <c r="EQ6" i="10"/>
  <c r="DV6" i="10"/>
  <c r="DA6" i="10"/>
  <c r="LL9" i="5"/>
  <c r="LL14" i="5"/>
  <c r="QB5" i="6"/>
  <c r="HB8" i="4"/>
  <c r="HW8" i="4"/>
  <c r="IR8" i="4"/>
  <c r="JM8" i="4"/>
  <c r="KH8" i="4"/>
  <c r="LC8" i="4"/>
  <c r="LX8" i="4"/>
  <c r="HB6" i="4"/>
  <c r="HW6" i="4"/>
  <c r="IR6" i="4"/>
  <c r="JM6" i="4"/>
  <c r="KH6" i="4"/>
  <c r="LC6" i="4"/>
  <c r="LX6" i="4"/>
  <c r="HB7" i="4"/>
  <c r="HW7" i="4"/>
  <c r="IR7" i="4"/>
  <c r="JM7" i="4"/>
  <c r="LC7" i="4"/>
  <c r="LX7" i="4"/>
  <c r="HB9" i="4"/>
  <c r="HW9" i="4"/>
  <c r="IR9" i="4"/>
  <c r="JM9" i="4"/>
  <c r="KH9" i="4"/>
  <c r="HB10" i="4"/>
  <c r="HW10" i="4"/>
  <c r="IR10" i="4"/>
  <c r="JM10" i="4"/>
  <c r="KH10" i="4"/>
  <c r="LC10" i="4"/>
  <c r="LX10" i="4"/>
  <c r="HB19" i="4"/>
  <c r="HW19" i="4"/>
  <c r="IR19" i="4"/>
  <c r="JM19" i="4"/>
  <c r="KH19" i="4"/>
  <c r="HB5" i="4"/>
  <c r="HW5" i="4"/>
  <c r="IR5" i="4"/>
  <c r="KH5" i="4"/>
  <c r="LC5" i="4"/>
  <c r="LX5" i="4"/>
  <c r="HB11" i="4"/>
  <c r="HW11" i="4"/>
  <c r="IR11" i="4"/>
  <c r="JM11" i="4"/>
  <c r="KH11" i="4"/>
  <c r="LC11" i="4"/>
  <c r="LX11" i="4"/>
  <c r="HB20" i="4"/>
  <c r="HW20" i="4"/>
  <c r="IR20" i="4"/>
  <c r="JM20" i="4"/>
  <c r="KH20" i="4"/>
  <c r="LC20" i="4"/>
  <c r="LX20" i="4"/>
  <c r="HB13" i="4"/>
  <c r="HW13" i="4"/>
  <c r="IR13" i="4"/>
  <c r="JM13" i="4"/>
  <c r="KH13" i="4"/>
  <c r="LC13" i="4"/>
  <c r="LX13" i="4"/>
  <c r="HB22" i="4"/>
  <c r="HW22" i="4"/>
  <c r="IR22" i="4"/>
  <c r="JM22" i="4"/>
  <c r="KH22" i="4"/>
  <c r="LC22" i="4"/>
  <c r="LX22" i="4"/>
  <c r="HB24" i="4"/>
  <c r="HW24" i="4"/>
  <c r="IR24" i="4"/>
  <c r="JM24" i="4"/>
  <c r="KH24" i="4"/>
  <c r="LC24" i="4"/>
  <c r="LX24" i="4"/>
  <c r="HB21" i="4"/>
  <c r="HW21" i="4"/>
  <c r="IR21" i="4"/>
  <c r="JM21" i="4"/>
  <c r="KH21" i="4"/>
  <c r="LC21" i="4"/>
  <c r="LX21" i="4"/>
  <c r="HB23" i="4"/>
  <c r="HW23" i="4"/>
  <c r="IR23" i="4"/>
  <c r="JM23" i="4"/>
  <c r="KH23" i="4"/>
  <c r="LC23" i="4"/>
  <c r="LX23" i="4"/>
  <c r="HB14" i="4"/>
  <c r="HW14" i="4"/>
  <c r="IR14" i="4"/>
  <c r="JM14" i="4"/>
  <c r="KH14" i="4"/>
  <c r="LC14" i="4"/>
  <c r="LX14" i="4"/>
  <c r="LX4" i="4"/>
  <c r="LC4" i="4"/>
  <c r="KH4" i="4"/>
  <c r="JM4" i="4"/>
  <c r="IR4" i="4"/>
  <c r="HW4" i="4"/>
  <c r="HB4" i="4"/>
  <c r="DE7" i="5"/>
  <c r="DF7" i="5"/>
  <c r="DE9" i="5"/>
  <c r="DF9" i="5"/>
  <c r="CA12" i="5"/>
  <c r="CA15" i="5"/>
  <c r="BZ14" i="5"/>
  <c r="CA14" i="5"/>
  <c r="DE6" i="5"/>
  <c r="DF6" i="5"/>
  <c r="RF16" i="5"/>
  <c r="RG16" i="5"/>
  <c r="RE16" i="5"/>
  <c r="RD16" i="5"/>
  <c r="RC16" i="5"/>
  <c r="QB16" i="5"/>
  <c r="QC16" i="5"/>
  <c r="QA16" i="5"/>
  <c r="PZ16" i="5"/>
  <c r="PY16" i="5"/>
  <c r="RF15" i="5"/>
  <c r="RC15" i="5"/>
  <c r="QB15" i="5"/>
  <c r="QD15" i="5" s="1"/>
  <c r="PY15" i="5"/>
  <c r="RF14" i="5"/>
  <c r="RC14" i="5"/>
  <c r="QB14" i="5"/>
  <c r="PY14" i="5"/>
  <c r="RF12" i="5"/>
  <c r="RC12" i="5"/>
  <c r="QB12" i="5"/>
  <c r="PY12" i="5"/>
  <c r="RF9" i="5"/>
  <c r="RC9" i="5"/>
  <c r="QB9" i="5"/>
  <c r="PY9" i="5"/>
  <c r="RF6" i="5"/>
  <c r="RC6" i="5"/>
  <c r="QB6" i="5"/>
  <c r="PY6" i="5"/>
  <c r="RF13" i="5"/>
  <c r="RC13" i="5"/>
  <c r="QB13" i="5"/>
  <c r="PY13" i="5"/>
  <c r="RF4" i="5"/>
  <c r="RC4" i="5"/>
  <c r="QB4" i="5"/>
  <c r="PY4" i="5"/>
  <c r="RF11" i="5"/>
  <c r="RC11" i="5"/>
  <c r="QB11" i="5"/>
  <c r="PY11" i="5"/>
  <c r="OX16" i="5"/>
  <c r="OY16" i="5"/>
  <c r="OW16" i="5"/>
  <c r="OV16" i="5"/>
  <c r="OU16" i="5"/>
  <c r="NT16" i="5"/>
  <c r="NU16" i="5"/>
  <c r="NS16" i="5"/>
  <c r="NR16" i="5"/>
  <c r="NQ16" i="5"/>
  <c r="OX15" i="5"/>
  <c r="OU15" i="5"/>
  <c r="NT15" i="5"/>
  <c r="NU15" i="5"/>
  <c r="NQ15" i="5"/>
  <c r="OX14" i="5"/>
  <c r="OU14" i="5"/>
  <c r="NT14" i="5"/>
  <c r="NU14" i="5"/>
  <c r="NQ14" i="5"/>
  <c r="OX12" i="5"/>
  <c r="OU12" i="5"/>
  <c r="NT12" i="5"/>
  <c r="NU12" i="5"/>
  <c r="NQ12" i="5"/>
  <c r="OX9" i="5"/>
  <c r="OU9" i="5"/>
  <c r="NU9" i="5"/>
  <c r="OX6" i="5"/>
  <c r="OU6" i="5"/>
  <c r="NU6" i="5"/>
  <c r="NQ6" i="5"/>
  <c r="OX13" i="5"/>
  <c r="OU13" i="5"/>
  <c r="NU13" i="5"/>
  <c r="OX4" i="5"/>
  <c r="OU4" i="5"/>
  <c r="NT4" i="5"/>
  <c r="NU4" i="5"/>
  <c r="NQ4" i="5"/>
  <c r="OX11" i="5"/>
  <c r="OU11" i="5"/>
  <c r="NT11" i="5"/>
  <c r="NU11" i="5"/>
  <c r="NQ11" i="5"/>
  <c r="MP16" i="5"/>
  <c r="MQ16" i="5"/>
  <c r="MO16" i="5"/>
  <c r="MN16" i="5"/>
  <c r="MM16" i="5"/>
  <c r="LL16" i="5"/>
  <c r="LM16" i="5"/>
  <c r="LK16" i="5"/>
  <c r="LJ16" i="5"/>
  <c r="LI16" i="5"/>
  <c r="MP15" i="5"/>
  <c r="MM15" i="5"/>
  <c r="LL15" i="5"/>
  <c r="LI15" i="5"/>
  <c r="MP14" i="5"/>
  <c r="MM14" i="5"/>
  <c r="LI14" i="5"/>
  <c r="MP12" i="5"/>
  <c r="MM12" i="5"/>
  <c r="LL12" i="5"/>
  <c r="LI12" i="5"/>
  <c r="MP9" i="5"/>
  <c r="MM9" i="5"/>
  <c r="LI9" i="5"/>
  <c r="MP6" i="5"/>
  <c r="MM6" i="5"/>
  <c r="LL6" i="5"/>
  <c r="LI6" i="5"/>
  <c r="MP13" i="5"/>
  <c r="MM13" i="5"/>
  <c r="LL13" i="5"/>
  <c r="LI13" i="5"/>
  <c r="MP4" i="5"/>
  <c r="MM4" i="5"/>
  <c r="LL4" i="5"/>
  <c r="LI4" i="5"/>
  <c r="MP11" i="5"/>
  <c r="MM11" i="5"/>
  <c r="LL11" i="5"/>
  <c r="LI11" i="5"/>
  <c r="KH4" i="5"/>
  <c r="KH13" i="5"/>
  <c r="KH6" i="5"/>
  <c r="KH9" i="5"/>
  <c r="KH12" i="5"/>
  <c r="KH14" i="5"/>
  <c r="KH15" i="5"/>
  <c r="KH16" i="5"/>
  <c r="KH11" i="5"/>
  <c r="JD4" i="5"/>
  <c r="JD13" i="5"/>
  <c r="JD6" i="5"/>
  <c r="JD9" i="5"/>
  <c r="JD12" i="5"/>
  <c r="JD14" i="5"/>
  <c r="JD15" i="5"/>
  <c r="JD16" i="5"/>
  <c r="JD11" i="5"/>
  <c r="HZ4" i="5"/>
  <c r="HZ13" i="5"/>
  <c r="HZ6" i="5"/>
  <c r="HZ9" i="5"/>
  <c r="HZ12" i="5"/>
  <c r="IB12" i="5" s="1"/>
  <c r="HZ14" i="5"/>
  <c r="HZ15" i="5"/>
  <c r="HZ16" i="5"/>
  <c r="HZ11" i="5"/>
  <c r="GV12" i="5"/>
  <c r="GV15" i="5"/>
  <c r="GV11" i="5"/>
  <c r="GV14" i="5"/>
  <c r="GV4" i="5"/>
  <c r="GV13" i="5"/>
  <c r="GV6" i="5"/>
  <c r="GV9" i="5"/>
  <c r="FR4" i="5"/>
  <c r="FR13" i="5"/>
  <c r="FR14" i="5"/>
  <c r="FR15" i="5"/>
  <c r="FR12" i="5"/>
  <c r="FR7" i="5"/>
  <c r="FR6" i="5"/>
  <c r="FR9" i="5"/>
  <c r="FR11" i="5"/>
  <c r="EN4" i="5"/>
  <c r="EN13" i="5"/>
  <c r="EN14" i="5"/>
  <c r="EN15" i="5"/>
  <c r="EN12" i="5"/>
  <c r="EN7" i="5"/>
  <c r="EN6" i="5"/>
  <c r="EN9" i="5"/>
  <c r="EN11" i="5"/>
  <c r="RF8" i="6"/>
  <c r="RC8" i="6"/>
  <c r="QB8" i="6"/>
  <c r="PY8" i="6"/>
  <c r="RF7" i="6"/>
  <c r="RC7" i="6"/>
  <c r="QB7" i="6"/>
  <c r="PY7" i="6"/>
  <c r="RF6" i="6"/>
  <c r="RC6" i="6"/>
  <c r="QB6" i="6"/>
  <c r="PY6" i="6"/>
  <c r="RF13" i="6"/>
  <c r="RC13" i="6"/>
  <c r="QB13" i="6"/>
  <c r="PY13" i="6"/>
  <c r="RF12" i="6"/>
  <c r="RC12" i="6"/>
  <c r="QB12" i="6"/>
  <c r="PY12" i="6"/>
  <c r="RF9" i="6"/>
  <c r="RC9" i="6"/>
  <c r="QB9" i="6"/>
  <c r="PY9" i="6"/>
  <c r="RF5" i="6"/>
  <c r="RC5" i="6"/>
  <c r="PY5" i="6"/>
  <c r="RF4" i="6"/>
  <c r="RC4" i="6"/>
  <c r="QB4" i="6"/>
  <c r="PY4" i="6"/>
  <c r="OU8" i="6"/>
  <c r="NT8" i="6"/>
  <c r="NU8" i="6"/>
  <c r="NQ8" i="6"/>
  <c r="OX7" i="6"/>
  <c r="OU7" i="6"/>
  <c r="NT7" i="6"/>
  <c r="NU7" i="6"/>
  <c r="NQ7" i="6"/>
  <c r="OU6" i="6"/>
  <c r="NT6" i="6"/>
  <c r="NU6" i="6"/>
  <c r="NQ6" i="6"/>
  <c r="OX13" i="6"/>
  <c r="OU13" i="6"/>
  <c r="NT13" i="6"/>
  <c r="NU13" i="6"/>
  <c r="NQ13" i="6"/>
  <c r="OX12" i="6"/>
  <c r="OU12" i="6"/>
  <c r="NT12" i="6"/>
  <c r="NU12" i="6"/>
  <c r="NQ12" i="6"/>
  <c r="OU9" i="6"/>
  <c r="NT9" i="6"/>
  <c r="NU9" i="6"/>
  <c r="NQ9" i="6"/>
  <c r="NT5" i="6"/>
  <c r="NU5" i="6"/>
  <c r="NQ5" i="6"/>
  <c r="OX4" i="6"/>
  <c r="OU4" i="6"/>
  <c r="NT4" i="6"/>
  <c r="NU4" i="6"/>
  <c r="NQ4" i="6"/>
  <c r="MP8" i="6"/>
  <c r="MM8" i="6"/>
  <c r="LL8" i="6"/>
  <c r="LI8" i="6"/>
  <c r="MP7" i="6"/>
  <c r="MM7" i="6"/>
  <c r="LL7" i="6"/>
  <c r="LI7" i="6"/>
  <c r="MP6" i="6"/>
  <c r="MM6" i="6"/>
  <c r="LL6" i="6"/>
  <c r="LI6" i="6"/>
  <c r="MP13" i="6"/>
  <c r="MM13" i="6"/>
  <c r="LL13" i="6"/>
  <c r="LI13" i="6"/>
  <c r="MP12" i="6"/>
  <c r="MM12" i="6"/>
  <c r="LL12" i="6"/>
  <c r="LI12" i="6"/>
  <c r="MP9" i="6"/>
  <c r="MM9" i="6"/>
  <c r="LL9" i="6"/>
  <c r="LI9" i="6"/>
  <c r="MP5" i="6"/>
  <c r="MM5" i="6"/>
  <c r="LL5" i="6"/>
  <c r="LI5" i="6"/>
  <c r="MP4" i="6"/>
  <c r="MM4" i="6"/>
  <c r="LL4" i="6"/>
  <c r="LI4" i="6"/>
  <c r="KH5" i="6"/>
  <c r="KH9" i="6"/>
  <c r="KH12" i="6"/>
  <c r="KH13" i="6"/>
  <c r="KH6" i="6"/>
  <c r="KH7" i="6"/>
  <c r="KH8" i="6"/>
  <c r="KH4" i="6"/>
  <c r="JD5" i="6"/>
  <c r="JD9" i="6"/>
  <c r="JD12" i="6"/>
  <c r="JD13" i="6"/>
  <c r="JD6" i="6"/>
  <c r="JD7" i="6"/>
  <c r="JD8" i="6"/>
  <c r="JD4" i="6"/>
  <c r="HZ5" i="6"/>
  <c r="HZ9" i="6"/>
  <c r="HZ12" i="6"/>
  <c r="HZ13" i="6"/>
  <c r="HZ6" i="6"/>
  <c r="HZ7" i="6"/>
  <c r="HZ8" i="6"/>
  <c r="HZ4" i="6"/>
  <c r="GV5" i="6"/>
  <c r="GV9" i="6"/>
  <c r="GV12" i="6"/>
  <c r="GV13" i="6"/>
  <c r="GV6" i="6"/>
  <c r="GV7" i="6"/>
  <c r="GV8" i="6"/>
  <c r="GV4" i="6"/>
  <c r="FR5" i="6"/>
  <c r="FR9" i="6"/>
  <c r="FR12" i="6"/>
  <c r="FR13" i="6"/>
  <c r="FR6" i="6"/>
  <c r="FR7" i="6"/>
  <c r="FR8" i="6"/>
  <c r="FR4" i="6"/>
  <c r="EN5" i="6"/>
  <c r="EN9" i="6"/>
  <c r="EN12" i="6"/>
  <c r="EN13" i="6"/>
  <c r="EN6" i="6"/>
  <c r="EN7" i="6"/>
  <c r="EN8" i="6"/>
  <c r="EN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7" i="7"/>
  <c r="FC7" i="7"/>
  <c r="FY7" i="7"/>
  <c r="FZ7" i="7"/>
  <c r="GV7" i="7"/>
  <c r="GW7" i="7"/>
  <c r="HS7" i="7"/>
  <c r="HT7" i="7"/>
  <c r="IP7" i="7"/>
  <c r="IQ7" i="7"/>
  <c r="JM7" i="7"/>
  <c r="JN7" i="7"/>
  <c r="KJ7" i="7"/>
  <c r="KK7" i="7"/>
  <c r="LH7" i="7"/>
  <c r="MD7" i="7"/>
  <c r="ME7" i="7"/>
  <c r="NA7" i="7"/>
  <c r="NB7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FB10" i="7"/>
  <c r="FC10" i="7"/>
  <c r="FY10" i="7"/>
  <c r="FZ10" i="7"/>
  <c r="GV10" i="7"/>
  <c r="GW10" i="7"/>
  <c r="HS10" i="7"/>
  <c r="HT10" i="7"/>
  <c r="IP10" i="7"/>
  <c r="IQ10" i="7"/>
  <c r="JM10" i="7"/>
  <c r="JN10" i="7"/>
  <c r="KJ10" i="7"/>
  <c r="KK10" i="7"/>
  <c r="LG10" i="7"/>
  <c r="LH10" i="7"/>
  <c r="MD10" i="7"/>
  <c r="ME10" i="7"/>
  <c r="NA10" i="7"/>
  <c r="NB10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5" i="9"/>
  <c r="EQ5" i="9"/>
  <c r="FL5" i="9"/>
  <c r="GG5" i="9"/>
  <c r="HB5" i="9"/>
  <c r="HW5" i="9"/>
  <c r="IR5" i="9"/>
  <c r="JM5" i="9"/>
  <c r="LC5" i="9"/>
  <c r="LX5" i="9"/>
  <c r="DV12" i="9"/>
  <c r="EQ12" i="9"/>
  <c r="FL12" i="9"/>
  <c r="GG12" i="9"/>
  <c r="HB12" i="9"/>
  <c r="HW12" i="9"/>
  <c r="IR12" i="9"/>
  <c r="JM12" i="9"/>
  <c r="LC12" i="9"/>
  <c r="LX12" i="9"/>
  <c r="LX4" i="9"/>
  <c r="LC4" i="9"/>
  <c r="JM4" i="9"/>
  <c r="IR4" i="9"/>
  <c r="HB4" i="9"/>
  <c r="HW4" i="9"/>
  <c r="GG4" i="9"/>
  <c r="BZ15" i="5"/>
  <c r="DE5" i="6"/>
  <c r="DF5" i="6"/>
  <c r="BZ12" i="6"/>
  <c r="CA12" i="6"/>
  <c r="DE7" i="6"/>
  <c r="DF7" i="6"/>
  <c r="DE4" i="6"/>
  <c r="DF4" i="6"/>
  <c r="DM4" i="7"/>
  <c r="HW4" i="5"/>
  <c r="JA4" i="5"/>
  <c r="KE4" i="5"/>
  <c r="HW13" i="5"/>
  <c r="JA13" i="5"/>
  <c r="KE13" i="5"/>
  <c r="HW6" i="5"/>
  <c r="JA6" i="5"/>
  <c r="KE6" i="5"/>
  <c r="HW9" i="5"/>
  <c r="JA9" i="5"/>
  <c r="KE9" i="5"/>
  <c r="HW12" i="5"/>
  <c r="JA12" i="5"/>
  <c r="KE12" i="5"/>
  <c r="HW14" i="5"/>
  <c r="JA14" i="5"/>
  <c r="KE14" i="5"/>
  <c r="HW15" i="5"/>
  <c r="JA15" i="5"/>
  <c r="KE15" i="5"/>
  <c r="HW16" i="5"/>
  <c r="HX16" i="5"/>
  <c r="HY16" i="5"/>
  <c r="IA16" i="5"/>
  <c r="JA16" i="5"/>
  <c r="JB16" i="5"/>
  <c r="JC16" i="5"/>
  <c r="JE16" i="5"/>
  <c r="KE16" i="5"/>
  <c r="KF16" i="5"/>
  <c r="KG16" i="5"/>
  <c r="KI16" i="5"/>
  <c r="KE11" i="5"/>
  <c r="JA11" i="5"/>
  <c r="HW11" i="5"/>
  <c r="GS12" i="5"/>
  <c r="GS15" i="5"/>
  <c r="GS11" i="5"/>
  <c r="GS14" i="5"/>
  <c r="GS4" i="5"/>
  <c r="GS13" i="5"/>
  <c r="GS6" i="5"/>
  <c r="GS9" i="5"/>
  <c r="FO4" i="5"/>
  <c r="FO13" i="5"/>
  <c r="FO14" i="5"/>
  <c r="FO15" i="5"/>
  <c r="FO12" i="5"/>
  <c r="FO7" i="5"/>
  <c r="FO6" i="5"/>
  <c r="FO9" i="5"/>
  <c r="FO11" i="5"/>
  <c r="EK4" i="5"/>
  <c r="EK13" i="5"/>
  <c r="EK14" i="5"/>
  <c r="EK15" i="5"/>
  <c r="EK12" i="5"/>
  <c r="EK7" i="5"/>
  <c r="EK6" i="5"/>
  <c r="EK9" i="5"/>
  <c r="EK11" i="5"/>
  <c r="HW5" i="6"/>
  <c r="JA5" i="6"/>
  <c r="KE5" i="6"/>
  <c r="HW9" i="6"/>
  <c r="JA9" i="6"/>
  <c r="KE9" i="6"/>
  <c r="HW12" i="6"/>
  <c r="JA12" i="6"/>
  <c r="KE12" i="6"/>
  <c r="HW13" i="6"/>
  <c r="JA13" i="6"/>
  <c r="KE13" i="6"/>
  <c r="HW6" i="6"/>
  <c r="JA6" i="6"/>
  <c r="KE6" i="6"/>
  <c r="HW7" i="6"/>
  <c r="JA7" i="6"/>
  <c r="KE7" i="6"/>
  <c r="HW8" i="6"/>
  <c r="JA8" i="6"/>
  <c r="KE8" i="6"/>
  <c r="KE4" i="6"/>
  <c r="JA4" i="6"/>
  <c r="HW4" i="6"/>
  <c r="GS5" i="6"/>
  <c r="GS9" i="6"/>
  <c r="GS12" i="6"/>
  <c r="GS13" i="6"/>
  <c r="GS6" i="6"/>
  <c r="GS7" i="6"/>
  <c r="GS8" i="6"/>
  <c r="GS4" i="6"/>
  <c r="FO5" i="6"/>
  <c r="FO9" i="6"/>
  <c r="FO12" i="6"/>
  <c r="FO13" i="6"/>
  <c r="FO6" i="6"/>
  <c r="FO7" i="6"/>
  <c r="FO8" i="6"/>
  <c r="FO4" i="6"/>
  <c r="EK5" i="6"/>
  <c r="EK9" i="6"/>
  <c r="EK12" i="6"/>
  <c r="EK13" i="6"/>
  <c r="EK6" i="6"/>
  <c r="EK7" i="6"/>
  <c r="EK8" i="6"/>
  <c r="EK4" i="6"/>
  <c r="EQ5" i="10"/>
  <c r="GG5" i="10"/>
  <c r="HB5" i="10"/>
  <c r="HW5" i="10"/>
  <c r="IR5" i="10"/>
  <c r="JM5" i="10"/>
  <c r="KH5" i="10"/>
  <c r="LC5" i="10"/>
  <c r="LX5" i="10"/>
  <c r="DV5" i="10"/>
  <c r="LX4" i="10"/>
  <c r="LC4" i="10"/>
  <c r="KH4" i="10"/>
  <c r="JM4" i="10"/>
  <c r="IR4" i="10"/>
  <c r="HW4" i="10"/>
  <c r="HB4" i="10"/>
  <c r="GG4" i="10"/>
  <c r="EQ4" i="10"/>
  <c r="DA4" i="10"/>
  <c r="DV4" i="10"/>
  <c r="DA5" i="10"/>
  <c r="DA7" i="9"/>
  <c r="DA5" i="9"/>
  <c r="DA12" i="9"/>
  <c r="FL4" i="9"/>
  <c r="EQ4" i="9"/>
  <c r="DV4" i="9"/>
  <c r="DA4" i="9"/>
  <c r="FL8" i="4"/>
  <c r="GG8" i="4"/>
  <c r="FL6" i="4"/>
  <c r="GG6" i="4"/>
  <c r="FL7" i="4"/>
  <c r="GG7" i="4"/>
  <c r="FL9" i="4"/>
  <c r="GG9" i="4"/>
  <c r="FL10" i="4"/>
  <c r="GG10" i="4"/>
  <c r="FL19" i="4"/>
  <c r="GG19" i="4"/>
  <c r="FL5" i="4"/>
  <c r="GG5" i="4"/>
  <c r="FL11" i="4"/>
  <c r="GG11" i="4"/>
  <c r="FL20" i="4"/>
  <c r="GG20" i="4"/>
  <c r="FL13" i="4"/>
  <c r="GG13" i="4"/>
  <c r="FL22" i="4"/>
  <c r="GG22" i="4"/>
  <c r="FL24" i="4"/>
  <c r="GG24" i="4"/>
  <c r="FL21" i="4"/>
  <c r="GG21" i="4"/>
  <c r="FL23" i="4"/>
  <c r="GG23" i="4"/>
  <c r="FL14" i="4"/>
  <c r="GG14" i="4"/>
  <c r="GG4" i="4"/>
  <c r="FL4" i="4"/>
  <c r="EQ8" i="4"/>
  <c r="EQ6" i="4"/>
  <c r="EQ7" i="4"/>
  <c r="EQ9" i="4"/>
  <c r="EQ10" i="4"/>
  <c r="EQ19" i="4"/>
  <c r="EQ5" i="4"/>
  <c r="EQ11" i="4"/>
  <c r="EQ20" i="4"/>
  <c r="EQ13" i="4"/>
  <c r="EQ22" i="4"/>
  <c r="EQ24" i="4"/>
  <c r="EQ21" i="4"/>
  <c r="EQ23" i="4"/>
  <c r="EQ14" i="4"/>
  <c r="EQ4" i="4"/>
  <c r="DV8" i="4"/>
  <c r="DV6" i="4"/>
  <c r="DV7" i="4"/>
  <c r="DV9" i="4"/>
  <c r="DV10" i="4"/>
  <c r="DV19" i="4"/>
  <c r="DV5" i="4"/>
  <c r="DV11" i="4"/>
  <c r="DV20" i="4"/>
  <c r="DV13" i="4"/>
  <c r="DV22" i="4"/>
  <c r="DV24" i="4"/>
  <c r="DV21" i="4"/>
  <c r="DV23" i="4"/>
  <c r="DV14" i="4"/>
  <c r="DV4" i="4"/>
  <c r="DA8" i="4"/>
  <c r="DA6" i="4"/>
  <c r="DA7" i="4"/>
  <c r="DA9" i="4"/>
  <c r="DA10" i="4"/>
  <c r="DA19" i="4"/>
  <c r="DA5" i="4"/>
  <c r="DA11" i="4"/>
  <c r="DA20" i="4"/>
  <c r="DA13" i="4"/>
  <c r="DA22" i="4"/>
  <c r="DA24" i="4"/>
  <c r="DA21" i="4"/>
  <c r="DA23" i="4"/>
  <c r="DA14" i="4"/>
  <c r="DA4" i="4"/>
  <c r="GG5" i="2"/>
  <c r="HB5" i="2"/>
  <c r="HW5" i="2"/>
  <c r="IR5" i="2"/>
  <c r="JM5" i="2"/>
  <c r="KH5" i="2"/>
  <c r="LC5" i="2"/>
  <c r="LX5" i="2"/>
  <c r="GG9" i="2"/>
  <c r="HB9" i="2"/>
  <c r="HW9" i="2"/>
  <c r="IR9" i="2"/>
  <c r="JM9" i="2"/>
  <c r="KH9" i="2"/>
  <c r="LC9" i="2"/>
  <c r="LX9" i="2"/>
  <c r="GG7" i="2"/>
  <c r="HB7" i="2"/>
  <c r="HW7" i="2"/>
  <c r="IR7" i="2"/>
  <c r="LC7" i="2"/>
  <c r="LX7" i="2"/>
  <c r="GG8" i="2"/>
  <c r="HB8" i="2"/>
  <c r="HW8" i="2"/>
  <c r="IR8" i="2"/>
  <c r="JM8" i="2"/>
  <c r="KH8" i="2"/>
  <c r="LC8" i="2"/>
  <c r="LX8" i="2"/>
  <c r="GG4" i="2"/>
  <c r="HB4" i="2"/>
  <c r="HW4" i="2"/>
  <c r="IR4" i="2"/>
  <c r="JM4" i="2"/>
  <c r="KH4" i="2"/>
  <c r="LC4" i="2"/>
  <c r="LX4" i="2"/>
  <c r="GG11" i="2"/>
  <c r="HB11" i="2"/>
  <c r="HW11" i="2"/>
  <c r="IR11" i="2"/>
  <c r="JM11" i="2"/>
  <c r="KH11" i="2"/>
  <c r="LC11" i="2"/>
  <c r="LX11" i="2"/>
  <c r="GG12" i="2"/>
  <c r="HB12" i="2"/>
  <c r="HW12" i="2"/>
  <c r="IR12" i="2"/>
  <c r="JM12" i="2"/>
  <c r="KH12" i="2"/>
  <c r="LC12" i="2"/>
  <c r="LX12" i="2"/>
  <c r="GG13" i="2"/>
  <c r="HB13" i="2"/>
  <c r="HW13" i="2"/>
  <c r="IR13" i="2"/>
  <c r="JM13" i="2"/>
  <c r="KH13" i="2"/>
  <c r="LC13" i="2"/>
  <c r="LX13" i="2"/>
  <c r="FL5" i="2"/>
  <c r="FL9" i="2"/>
  <c r="FL7" i="2"/>
  <c r="FL8" i="2"/>
  <c r="FL4" i="2"/>
  <c r="FL11" i="2"/>
  <c r="FL12" i="2"/>
  <c r="FL13" i="2"/>
  <c r="EQ5" i="2"/>
  <c r="EQ9" i="2"/>
  <c r="EQ7" i="2"/>
  <c r="EQ8" i="2"/>
  <c r="EQ4" i="2"/>
  <c r="EQ11" i="2"/>
  <c r="EQ12" i="2"/>
  <c r="EQ13" i="2"/>
  <c r="DV5" i="2"/>
  <c r="DV9" i="2"/>
  <c r="DV7" i="2"/>
  <c r="DV8" i="2"/>
  <c r="DV4" i="2"/>
  <c r="DV11" i="2"/>
  <c r="DV12" i="2"/>
  <c r="DV13" i="2"/>
  <c r="DA5" i="2"/>
  <c r="DA9" i="2"/>
  <c r="DA7" i="2"/>
  <c r="DA8" i="2"/>
  <c r="DA4" i="2"/>
  <c r="DA11" i="2"/>
  <c r="DA12" i="2"/>
  <c r="DA13" i="2"/>
  <c r="LX6" i="2"/>
  <c r="LC6" i="2"/>
  <c r="KH6" i="2"/>
  <c r="JM6" i="2"/>
  <c r="IR6" i="2"/>
  <c r="HW6" i="2"/>
  <c r="HB6" i="2"/>
  <c r="GG6" i="2"/>
  <c r="FL6" i="2"/>
  <c r="EQ6" i="2"/>
  <c r="DV6" i="2"/>
  <c r="DA6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U13" i="5"/>
  <c r="AV13" i="5"/>
  <c r="AV11" i="5"/>
  <c r="AU11" i="5"/>
  <c r="FZ4" i="7"/>
  <c r="FY4" i="7"/>
  <c r="FC4" i="7"/>
  <c r="FB4" i="7"/>
  <c r="BZ9" i="6"/>
  <c r="CA9" i="6"/>
  <c r="BZ13" i="6"/>
  <c r="CA13" i="6"/>
  <c r="BZ6" i="6"/>
  <c r="CA6" i="6"/>
  <c r="BZ8" i="6"/>
  <c r="CA8" i="6"/>
  <c r="DH7" i="8"/>
  <c r="EF8" i="8"/>
  <c r="EE8" i="8"/>
  <c r="EF5" i="8"/>
  <c r="EE5" i="8"/>
  <c r="EF6" i="8"/>
  <c r="EE6" i="8"/>
  <c r="EF7" i="8"/>
  <c r="EE7" i="8"/>
  <c r="EF10" i="7"/>
  <c r="EE10" i="7"/>
  <c r="EF9" i="7"/>
  <c r="EE9" i="7"/>
  <c r="EF7" i="7"/>
  <c r="EE7" i="7"/>
  <c r="EF4" i="7"/>
  <c r="EE4" i="7"/>
  <c r="DI8" i="8"/>
  <c r="DH8" i="8"/>
  <c r="DI5" i="8"/>
  <c r="DH5" i="8"/>
  <c r="DI6" i="8"/>
  <c r="DH6" i="8"/>
  <c r="DI7" i="8"/>
  <c r="DI10" i="7"/>
  <c r="DH10" i="7"/>
  <c r="DI9" i="7"/>
  <c r="DH9" i="7"/>
  <c r="DI7" i="7"/>
  <c r="DH7" i="7"/>
  <c r="DI4" i="7"/>
  <c r="DH4" i="7"/>
  <c r="MR15" i="5" l="1"/>
  <c r="KJ14" i="5"/>
  <c r="CD5" i="6"/>
  <c r="AY8" i="6"/>
  <c r="S4" i="8"/>
  <c r="EP12" i="5"/>
  <c r="H13" i="5"/>
  <c r="H9" i="5"/>
  <c r="GX7" i="5"/>
  <c r="AY5" i="6"/>
  <c r="DI9" i="6"/>
  <c r="H7" i="6"/>
  <c r="R12" i="4"/>
  <c r="T12" i="4" s="1"/>
  <c r="F15" i="5"/>
  <c r="G15" i="5"/>
  <c r="I15" i="5" s="1"/>
  <c r="F9" i="5"/>
  <c r="G9" i="5"/>
  <c r="F11" i="5"/>
  <c r="G11" i="5"/>
  <c r="H4" i="5"/>
  <c r="H7" i="5"/>
  <c r="G14" i="5"/>
  <c r="F14" i="5"/>
  <c r="G6" i="5"/>
  <c r="I6" i="5" s="1"/>
  <c r="F6" i="5"/>
  <c r="H6" i="5"/>
  <c r="H15" i="5"/>
  <c r="H11" i="5"/>
  <c r="G7" i="5"/>
  <c r="I7" i="5" s="1"/>
  <c r="F7" i="5"/>
  <c r="F13" i="5"/>
  <c r="G13" i="5"/>
  <c r="H12" i="5"/>
  <c r="F12" i="5"/>
  <c r="G12" i="5"/>
  <c r="I12" i="5" s="1"/>
  <c r="F4" i="5"/>
  <c r="G4" i="5"/>
  <c r="I4" i="5" s="1"/>
  <c r="H14" i="5"/>
  <c r="H6" i="6"/>
  <c r="F12" i="6"/>
  <c r="G12" i="6"/>
  <c r="H12" i="6"/>
  <c r="F8" i="6"/>
  <c r="G8" i="6"/>
  <c r="H8" i="6"/>
  <c r="G6" i="6"/>
  <c r="I6" i="6" s="1"/>
  <c r="F6" i="6"/>
  <c r="F5" i="6"/>
  <c r="G5" i="6"/>
  <c r="I5" i="6" s="1"/>
  <c r="H5" i="6"/>
  <c r="IB12" i="6"/>
  <c r="F13" i="6"/>
  <c r="G13" i="6"/>
  <c r="H13" i="6"/>
  <c r="F9" i="6"/>
  <c r="G9" i="6"/>
  <c r="I9" i="6" s="1"/>
  <c r="H9" i="6"/>
  <c r="F7" i="6"/>
  <c r="G7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7" i="7"/>
  <c r="F7" i="7"/>
  <c r="F10" i="7"/>
  <c r="G10" i="7"/>
  <c r="F4" i="7"/>
  <c r="G4" i="7"/>
  <c r="F5" i="10"/>
  <c r="G5" i="10"/>
  <c r="F4" i="10"/>
  <c r="G4" i="10"/>
  <c r="F6" i="10"/>
  <c r="G6" i="10"/>
  <c r="F4" i="9"/>
  <c r="G4" i="9"/>
  <c r="F10" i="9"/>
  <c r="G10" i="9"/>
  <c r="G12" i="9"/>
  <c r="F12" i="9"/>
  <c r="F7" i="9"/>
  <c r="G7" i="9"/>
  <c r="F5" i="9"/>
  <c r="G5" i="9"/>
  <c r="G7" i="2"/>
  <c r="F7" i="2"/>
  <c r="G13" i="2"/>
  <c r="F13" i="2"/>
  <c r="G9" i="2"/>
  <c r="F9" i="2"/>
  <c r="G12" i="2"/>
  <c r="F12" i="2"/>
  <c r="G6" i="2"/>
  <c r="I6" i="2" s="1"/>
  <c r="F6" i="2"/>
  <c r="G4" i="2"/>
  <c r="F4" i="2"/>
  <c r="G5" i="2"/>
  <c r="I5" i="2" s="1"/>
  <c r="F5" i="2"/>
  <c r="G8" i="2"/>
  <c r="F8" i="2"/>
  <c r="F11" i="2"/>
  <c r="G11" i="2"/>
  <c r="F20" i="4"/>
  <c r="G20" i="4"/>
  <c r="F22" i="4"/>
  <c r="G22" i="4"/>
  <c r="G19" i="4"/>
  <c r="F19" i="4"/>
  <c r="F4" i="4"/>
  <c r="G4" i="4"/>
  <c r="F21" i="4"/>
  <c r="G21" i="4"/>
  <c r="F5" i="4"/>
  <c r="G5" i="4"/>
  <c r="F11" i="4"/>
  <c r="G11" i="4"/>
  <c r="G10" i="4"/>
  <c r="F10" i="4"/>
  <c r="G23" i="4"/>
  <c r="F23" i="4"/>
  <c r="F24" i="4"/>
  <c r="G24" i="4"/>
  <c r="F9" i="4"/>
  <c r="G9" i="4"/>
  <c r="F8" i="4"/>
  <c r="G8" i="4"/>
  <c r="F13" i="4"/>
  <c r="G13" i="4"/>
  <c r="F14" i="4"/>
  <c r="G14" i="4"/>
  <c r="F7" i="4"/>
  <c r="G7" i="4"/>
  <c r="G6" i="4"/>
  <c r="F6" i="4"/>
  <c r="AY7" i="5"/>
  <c r="DI15" i="5"/>
  <c r="GX4" i="5"/>
  <c r="DI7" i="5"/>
  <c r="OZ14" i="5"/>
  <c r="GX6" i="5"/>
  <c r="CD7" i="6"/>
  <c r="QD6" i="6"/>
  <c r="KJ8" i="6"/>
  <c r="IB8" i="6"/>
  <c r="FT7" i="6"/>
  <c r="IB5" i="6"/>
  <c r="FT6" i="6"/>
  <c r="MR9" i="6"/>
  <c r="QD7" i="6"/>
  <c r="DI7" i="6"/>
  <c r="AY11" i="5"/>
  <c r="LF7" i="4"/>
  <c r="S10" i="5"/>
  <c r="QD7" i="5"/>
  <c r="MR12" i="5"/>
  <c r="FT7" i="5"/>
  <c r="KJ13" i="6"/>
  <c r="MR13" i="6"/>
  <c r="AY12" i="5"/>
  <c r="GX9" i="5"/>
  <c r="CD13" i="5"/>
  <c r="IB15" i="5"/>
  <c r="CD4" i="6"/>
  <c r="AY9" i="6"/>
  <c r="DI4" i="6"/>
  <c r="T10" i="5"/>
  <c r="DI4" i="5"/>
  <c r="FT12" i="5"/>
  <c r="KJ6" i="5"/>
  <c r="QD13" i="5"/>
  <c r="QD12" i="5"/>
  <c r="FT13" i="5"/>
  <c r="MR4" i="5"/>
  <c r="DI9" i="5"/>
  <c r="AY13" i="5"/>
  <c r="IB9" i="5"/>
  <c r="CD7" i="5"/>
  <c r="AY7" i="6"/>
  <c r="CD9" i="6"/>
  <c r="E18" i="4"/>
  <c r="A18" i="4" s="1"/>
  <c r="S5" i="7"/>
  <c r="T5" i="7"/>
  <c r="CD13" i="6"/>
  <c r="AY13" i="6"/>
  <c r="AY6" i="5"/>
  <c r="QD11" i="5"/>
  <c r="FT11" i="5"/>
  <c r="IB7" i="5"/>
  <c r="QD9" i="5"/>
  <c r="FT9" i="5"/>
  <c r="IB6" i="5"/>
  <c r="MR11" i="5"/>
  <c r="MR13" i="5"/>
  <c r="CD6" i="5"/>
  <c r="DI11" i="5"/>
  <c r="FT14" i="5"/>
  <c r="KJ11" i="5"/>
  <c r="KJ13" i="5"/>
  <c r="FT6" i="5"/>
  <c r="KJ12" i="5"/>
  <c r="MR9" i="5"/>
  <c r="QD6" i="5"/>
  <c r="QD14" i="5"/>
  <c r="IB4" i="5"/>
  <c r="MR7" i="5"/>
  <c r="JF4" i="5"/>
  <c r="DI12" i="5"/>
  <c r="AY9" i="5"/>
  <c r="CD4" i="5"/>
  <c r="JF15" i="5"/>
  <c r="OZ9" i="5"/>
  <c r="EP7" i="5"/>
  <c r="LN12" i="5"/>
  <c r="OZ7" i="5"/>
  <c r="EP9" i="5"/>
  <c r="LN11" i="5"/>
  <c r="LN13" i="5"/>
  <c r="GX14" i="5"/>
  <c r="RH6" i="5"/>
  <c r="RH14" i="5"/>
  <c r="CD15" i="5"/>
  <c r="EP6" i="5"/>
  <c r="RH15" i="5"/>
  <c r="LN7" i="5"/>
  <c r="JF12" i="5"/>
  <c r="GX15" i="5"/>
  <c r="EP14" i="5"/>
  <c r="JF11" i="5"/>
  <c r="JF13" i="5"/>
  <c r="OZ6" i="5"/>
  <c r="RH4" i="5"/>
  <c r="LN9" i="5"/>
  <c r="LN4" i="5"/>
  <c r="LN15" i="5"/>
  <c r="OZ11" i="5"/>
  <c r="OZ13" i="5"/>
  <c r="OZ12" i="5"/>
  <c r="RH9" i="5"/>
  <c r="RH7" i="5"/>
  <c r="FT15" i="5"/>
  <c r="MR14" i="5"/>
  <c r="MR6" i="5"/>
  <c r="KJ7" i="5"/>
  <c r="FT4" i="5"/>
  <c r="IB11" i="5"/>
  <c r="IB13" i="5"/>
  <c r="QD4" i="5"/>
  <c r="KJ9" i="5"/>
  <c r="IB9" i="6"/>
  <c r="FT8" i="6"/>
  <c r="MR5" i="6"/>
  <c r="KJ6" i="6"/>
  <c r="IB13" i="6"/>
  <c r="FT12" i="6"/>
  <c r="KJ4" i="6"/>
  <c r="EP6" i="6"/>
  <c r="FT5" i="6"/>
  <c r="MR6" i="6"/>
  <c r="JF4" i="6"/>
  <c r="RH5" i="6"/>
  <c r="AY4" i="6"/>
  <c r="JF8" i="6"/>
  <c r="LN13" i="6"/>
  <c r="AY6" i="6"/>
  <c r="EP7" i="6"/>
  <c r="GX12" i="6"/>
  <c r="GX5" i="6"/>
  <c r="LN9" i="6"/>
  <c r="OZ7" i="6"/>
  <c r="CD12" i="6"/>
  <c r="LN12" i="6"/>
  <c r="MC4" i="2"/>
  <c r="MA10" i="4"/>
  <c r="MC10" i="4" s="1"/>
  <c r="MA5" i="2"/>
  <c r="MC5" i="2" s="1"/>
  <c r="GX8" i="6"/>
  <c r="JF13" i="6"/>
  <c r="LN7" i="6"/>
  <c r="RH12" i="6"/>
  <c r="LF7" i="2"/>
  <c r="LH7" i="2" s="1"/>
  <c r="JF12" i="6"/>
  <c r="DL7" i="7"/>
  <c r="DN7" i="7" s="1"/>
  <c r="GJ5" i="2"/>
  <c r="GL5" i="2" s="1"/>
  <c r="S18" i="4"/>
  <c r="T17" i="4"/>
  <c r="E17" i="4"/>
  <c r="DI6" i="5"/>
  <c r="DI14" i="5"/>
  <c r="DI13" i="6"/>
  <c r="IB4" i="6"/>
  <c r="MR7" i="6"/>
  <c r="KJ9" i="6"/>
  <c r="QD5" i="6"/>
  <c r="GX4" i="6"/>
  <c r="DI6" i="6"/>
  <c r="EP12" i="6"/>
  <c r="DI8" i="6"/>
  <c r="RH8" i="6"/>
  <c r="CD6" i="6"/>
  <c r="JF9" i="6"/>
  <c r="EP5" i="6"/>
  <c r="LN6" i="6"/>
  <c r="HE7" i="9"/>
  <c r="HG7" i="9" s="1"/>
  <c r="S17" i="4"/>
  <c r="DI12" i="6"/>
  <c r="S11" i="6"/>
  <c r="T11" i="6"/>
  <c r="E11" i="6"/>
  <c r="A11" i="6" s="1"/>
  <c r="S8" i="5"/>
  <c r="T8" i="5"/>
  <c r="E8" i="5"/>
  <c r="GX11" i="5"/>
  <c r="LF8" i="2"/>
  <c r="LH8" i="2" s="1"/>
  <c r="E16" i="4"/>
  <c r="S16" i="4"/>
  <c r="KK7" i="4"/>
  <c r="KM7" i="4" s="1"/>
  <c r="T15" i="4"/>
  <c r="S15" i="4"/>
  <c r="E15" i="4"/>
  <c r="T18" i="4"/>
  <c r="MH6" i="8"/>
  <c r="MJ6" i="8" s="1"/>
  <c r="IU7" i="9"/>
  <c r="IW7" i="9" s="1"/>
  <c r="HZ9" i="2"/>
  <c r="IB9" i="2" s="1"/>
  <c r="DD7" i="2"/>
  <c r="DF7" i="2" s="1"/>
  <c r="DY13" i="2"/>
  <c r="EA13" i="2" s="1"/>
  <c r="JP4" i="2"/>
  <c r="JR4" i="2" s="1"/>
  <c r="ET8" i="2"/>
  <c r="EV8" i="2" s="1"/>
  <c r="ET4" i="4"/>
  <c r="EV4" i="4" s="1"/>
  <c r="FO20" i="4"/>
  <c r="FQ20" i="4" s="1"/>
  <c r="ET11" i="4"/>
  <c r="EV11" i="4" s="1"/>
  <c r="T10" i="2"/>
  <c r="S10" i="2"/>
  <c r="E10" i="2"/>
  <c r="DL8" i="8"/>
  <c r="DN8" i="8" s="1"/>
  <c r="JP13" i="2"/>
  <c r="JR13" i="2" s="1"/>
  <c r="IU4" i="2"/>
  <c r="IW4" i="2" s="1"/>
  <c r="CD14" i="5"/>
  <c r="CD11" i="5"/>
  <c r="DI13" i="5"/>
  <c r="EP4" i="6"/>
  <c r="GX13" i="6"/>
  <c r="MH9" i="7"/>
  <c r="MJ9" i="7" s="1"/>
  <c r="HZ19" i="4"/>
  <c r="IB19" i="4" s="1"/>
  <c r="KJ4" i="5"/>
  <c r="KJ15" i="5"/>
  <c r="JF6" i="5"/>
  <c r="JF14" i="5"/>
  <c r="IB14" i="5"/>
  <c r="EP11" i="5"/>
  <c r="EP13" i="5"/>
  <c r="J11" i="5"/>
  <c r="K11" i="5" s="1"/>
  <c r="EI7" i="7"/>
  <c r="EK7" i="7" s="1"/>
  <c r="CD12" i="5"/>
  <c r="JF7" i="6"/>
  <c r="JF6" i="6"/>
  <c r="GX9" i="6"/>
  <c r="RH9" i="6"/>
  <c r="EP8" i="6"/>
  <c r="LN5" i="6"/>
  <c r="KJ12" i="6"/>
  <c r="FT13" i="6"/>
  <c r="JQ9" i="7"/>
  <c r="JS9" i="7" s="1"/>
  <c r="JP6" i="2"/>
  <c r="JR6" i="2" s="1"/>
  <c r="JF9" i="5"/>
  <c r="GX12" i="5"/>
  <c r="NV15" i="5"/>
  <c r="RH11" i="5"/>
  <c r="RH13" i="5"/>
  <c r="RH12" i="5"/>
  <c r="EP15" i="5"/>
  <c r="OZ15" i="5"/>
  <c r="AY4" i="5"/>
  <c r="AY15" i="5"/>
  <c r="GX13" i="5"/>
  <c r="LN6" i="5"/>
  <c r="LN14" i="5"/>
  <c r="EP4" i="5"/>
  <c r="OZ4" i="5"/>
  <c r="J9" i="5"/>
  <c r="L9" i="5" s="1"/>
  <c r="KJ5" i="6"/>
  <c r="MR8" i="6"/>
  <c r="QD9" i="6"/>
  <c r="MR4" i="6"/>
  <c r="QD13" i="6"/>
  <c r="IB7" i="6"/>
  <c r="IB6" i="6"/>
  <c r="FT9" i="6"/>
  <c r="RH4" i="6"/>
  <c r="GX7" i="6"/>
  <c r="GX6" i="6"/>
  <c r="OZ12" i="6"/>
  <c r="CL6" i="8"/>
  <c r="CN6" i="8" s="1"/>
  <c r="BN7" i="8"/>
  <c r="BP7" i="8" s="1"/>
  <c r="AP7" i="7"/>
  <c r="MH7" i="7"/>
  <c r="MJ7" i="7" s="1"/>
  <c r="DL9" i="7"/>
  <c r="DN9" i="7" s="1"/>
  <c r="NE7" i="7"/>
  <c r="NG7" i="7" s="1"/>
  <c r="FO10" i="9"/>
  <c r="FQ10" i="9" s="1"/>
  <c r="MA10" i="9"/>
  <c r="MC10" i="9" s="1"/>
  <c r="MA5" i="9"/>
  <c r="MC5" i="9" s="1"/>
  <c r="FO5" i="9"/>
  <c r="FQ5" i="9" s="1"/>
  <c r="HZ10" i="9"/>
  <c r="IB10" i="9" s="1"/>
  <c r="JP4" i="9"/>
  <c r="JR4" i="9" s="1"/>
  <c r="DD4" i="9"/>
  <c r="DF4" i="9" s="1"/>
  <c r="MA12" i="9"/>
  <c r="MC12" i="9" s="1"/>
  <c r="KK5" i="2"/>
  <c r="KM5" i="2" s="1"/>
  <c r="CF12" i="2"/>
  <c r="CH12" i="2" s="1"/>
  <c r="JP5" i="2"/>
  <c r="JR5" i="2" s="1"/>
  <c r="DD5" i="2"/>
  <c r="DF5" i="2" s="1"/>
  <c r="HE7" i="2"/>
  <c r="HG7" i="2" s="1"/>
  <c r="IU8" i="2"/>
  <c r="IW8" i="2" s="1"/>
  <c r="LF9" i="2"/>
  <c r="LH9" i="2" s="1"/>
  <c r="ET7" i="4"/>
  <c r="EV7" i="4" s="1"/>
  <c r="FO8" i="4"/>
  <c r="FQ8" i="4" s="1"/>
  <c r="ET5" i="4"/>
  <c r="EV5" i="4" s="1"/>
  <c r="GJ9" i="4"/>
  <c r="GL9" i="4" s="1"/>
  <c r="DY5" i="4"/>
  <c r="EA5" i="4" s="1"/>
  <c r="DD22" i="4"/>
  <c r="DF22" i="4" s="1"/>
  <c r="IU24" i="4"/>
  <c r="IW24" i="4" s="1"/>
  <c r="KK11" i="4"/>
  <c r="KM11" i="4" s="1"/>
  <c r="GJ19" i="4"/>
  <c r="GL19" i="4" s="1"/>
  <c r="KK23" i="4"/>
  <c r="KM23" i="4" s="1"/>
  <c r="JP23" i="4"/>
  <c r="JR23" i="4" s="1"/>
  <c r="HZ21" i="4"/>
  <c r="IB21" i="4" s="1"/>
  <c r="FO11" i="4"/>
  <c r="FQ11" i="4" s="1"/>
  <c r="HE6" i="4"/>
  <c r="HG6" i="4" s="1"/>
  <c r="DY7" i="4"/>
  <c r="EA7" i="4" s="1"/>
  <c r="FO7" i="4"/>
  <c r="FQ7" i="4" s="1"/>
  <c r="EI6" i="8"/>
  <c r="EK6" i="8" s="1"/>
  <c r="GZ7" i="8"/>
  <c r="HB7" i="8" s="1"/>
  <c r="NE6" i="8"/>
  <c r="NG6" i="8" s="1"/>
  <c r="JF16" i="5"/>
  <c r="JF5" i="6"/>
  <c r="LN8" i="6"/>
  <c r="OZ13" i="6"/>
  <c r="OZ9" i="6"/>
  <c r="RH6" i="6"/>
  <c r="EP13" i="6"/>
  <c r="LN4" i="6"/>
  <c r="RH7" i="6"/>
  <c r="EP9" i="6"/>
  <c r="GC10" i="7"/>
  <c r="GE10" i="7" s="1"/>
  <c r="HW9" i="7"/>
  <c r="HY9" i="7" s="1"/>
  <c r="KN7" i="7"/>
  <c r="KP7" i="7" s="1"/>
  <c r="GZ7" i="7"/>
  <c r="HB7" i="7" s="1"/>
  <c r="IU22" i="4"/>
  <c r="IW22" i="4" s="1"/>
  <c r="HE23" i="4"/>
  <c r="HG23" i="4" s="1"/>
  <c r="DY23" i="4"/>
  <c r="EA23" i="4" s="1"/>
  <c r="GJ4" i="4"/>
  <c r="GL4" i="4" s="1"/>
  <c r="JP4" i="4"/>
  <c r="JR4" i="4" s="1"/>
  <c r="DD4" i="4"/>
  <c r="DF4" i="4" s="1"/>
  <c r="FO21" i="4"/>
  <c r="FQ21" i="4" s="1"/>
  <c r="HZ13" i="4"/>
  <c r="IB13" i="4" s="1"/>
  <c r="HE20" i="4"/>
  <c r="HG20" i="4" s="1"/>
  <c r="DD11" i="4"/>
  <c r="DF11" i="4" s="1"/>
  <c r="LF6" i="4"/>
  <c r="LH6" i="4" s="1"/>
  <c r="KJ7" i="6"/>
  <c r="MR12" i="6"/>
  <c r="QD8" i="6"/>
  <c r="FT4" i="6"/>
  <c r="DL7" i="8"/>
  <c r="DN7" i="8" s="1"/>
  <c r="LK8" i="8"/>
  <c r="LM8" i="8" s="1"/>
  <c r="KN5" i="8"/>
  <c r="KP5" i="8" s="1"/>
  <c r="FF6" i="8"/>
  <c r="FH6" i="8" s="1"/>
  <c r="AP10" i="7"/>
  <c r="BN4" i="7"/>
  <c r="BP4" i="7" s="1"/>
  <c r="MH10" i="7"/>
  <c r="MJ10" i="7" s="1"/>
  <c r="HW4" i="7"/>
  <c r="HY4" i="7" s="1"/>
  <c r="KN4" i="7"/>
  <c r="KP4" i="7" s="1"/>
  <c r="GC4" i="7"/>
  <c r="GE4" i="7" s="1"/>
  <c r="FO6" i="10"/>
  <c r="FQ6" i="10" s="1"/>
  <c r="CF5" i="10"/>
  <c r="CH5" i="10" s="1"/>
  <c r="BJ4" i="10"/>
  <c r="BL4" i="10" s="1"/>
  <c r="HZ4" i="10"/>
  <c r="IB4" i="10" s="1"/>
  <c r="LF6" i="10"/>
  <c r="LH6" i="10" s="1"/>
  <c r="ET6" i="10"/>
  <c r="EV6" i="10" s="1"/>
  <c r="LF5" i="10"/>
  <c r="LH5" i="10" s="1"/>
  <c r="ET5" i="10"/>
  <c r="EV5" i="10" s="1"/>
  <c r="HE4" i="10"/>
  <c r="HG4" i="10" s="1"/>
  <c r="KK4" i="10"/>
  <c r="KM4" i="10" s="1"/>
  <c r="DY4" i="10"/>
  <c r="EA4" i="10" s="1"/>
  <c r="HE6" i="10"/>
  <c r="HG6" i="10" s="1"/>
  <c r="KK6" i="10"/>
  <c r="KM6" i="10" s="1"/>
  <c r="DY6" i="10"/>
  <c r="EA6" i="10" s="1"/>
  <c r="HE5" i="10"/>
  <c r="HG5" i="10" s="1"/>
  <c r="KK5" i="10"/>
  <c r="KM5" i="10" s="1"/>
  <c r="DY5" i="10"/>
  <c r="EA5" i="10" s="1"/>
  <c r="CF7" i="9"/>
  <c r="CH7" i="9" s="1"/>
  <c r="HE4" i="9"/>
  <c r="HG4" i="9" s="1"/>
  <c r="JP12" i="9"/>
  <c r="JR12" i="9" s="1"/>
  <c r="DD12" i="9"/>
  <c r="DF12" i="9" s="1"/>
  <c r="IU5" i="9"/>
  <c r="IW5" i="9" s="1"/>
  <c r="BJ4" i="9"/>
  <c r="BL4" i="9" s="1"/>
  <c r="GJ4" i="9"/>
  <c r="GL4" i="9" s="1"/>
  <c r="FO12" i="9"/>
  <c r="FQ12" i="9" s="1"/>
  <c r="IU12" i="9"/>
  <c r="IW12" i="9" s="1"/>
  <c r="LF5" i="9"/>
  <c r="LH5" i="9" s="1"/>
  <c r="ET5" i="9"/>
  <c r="EV5" i="9" s="1"/>
  <c r="HZ5" i="9"/>
  <c r="IB5" i="9" s="1"/>
  <c r="KK10" i="9"/>
  <c r="KM10" i="9" s="1"/>
  <c r="DY10" i="9"/>
  <c r="EA10" i="9" s="1"/>
  <c r="HE10" i="9"/>
  <c r="HG10" i="9" s="1"/>
  <c r="GJ7" i="9"/>
  <c r="GL7" i="9" s="1"/>
  <c r="MA4" i="9"/>
  <c r="MC4" i="9" s="1"/>
  <c r="FO4" i="9"/>
  <c r="FQ4" i="9" s="1"/>
  <c r="IU4" i="9"/>
  <c r="IW4" i="9" s="1"/>
  <c r="LF12" i="9"/>
  <c r="LH12" i="9" s="1"/>
  <c r="ET12" i="9"/>
  <c r="EV12" i="9" s="1"/>
  <c r="HZ12" i="9"/>
  <c r="IB12" i="9" s="1"/>
  <c r="KK5" i="9"/>
  <c r="KM5" i="9" s="1"/>
  <c r="DY5" i="9"/>
  <c r="EA5" i="9" s="1"/>
  <c r="HE5" i="9"/>
  <c r="HG5" i="9" s="1"/>
  <c r="JP10" i="9"/>
  <c r="JR10" i="9" s="1"/>
  <c r="DD10" i="9"/>
  <c r="DF10" i="9" s="1"/>
  <c r="GJ10" i="9"/>
  <c r="GL10" i="9" s="1"/>
  <c r="MA7" i="9"/>
  <c r="MC7" i="9" s="1"/>
  <c r="FO7" i="9"/>
  <c r="FQ7" i="9" s="1"/>
  <c r="P11" i="2"/>
  <c r="Q11" i="2" s="1"/>
  <c r="FO6" i="2"/>
  <c r="FQ6" i="2" s="1"/>
  <c r="JP12" i="2"/>
  <c r="JR12" i="2" s="1"/>
  <c r="DD12" i="2"/>
  <c r="DF12" i="2" s="1"/>
  <c r="P9" i="2"/>
  <c r="CK9" i="2" s="1"/>
  <c r="CF4" i="2"/>
  <c r="CH4" i="2" s="1"/>
  <c r="BJ8" i="2"/>
  <c r="BL8" i="2" s="1"/>
  <c r="CF7" i="2"/>
  <c r="CH7" i="2" s="1"/>
  <c r="BJ6" i="2"/>
  <c r="BL6" i="2" s="1"/>
  <c r="FO12" i="2"/>
  <c r="FQ12" i="2" s="1"/>
  <c r="KK7" i="2"/>
  <c r="KM7" i="2" s="1"/>
  <c r="DY7" i="2"/>
  <c r="EA7" i="2" s="1"/>
  <c r="HE11" i="2"/>
  <c r="HG11" i="2" s="1"/>
  <c r="HE9" i="2"/>
  <c r="HG9" i="2" s="1"/>
  <c r="KK9" i="2"/>
  <c r="KM9" i="2" s="1"/>
  <c r="DY9" i="2"/>
  <c r="EA9" i="2" s="1"/>
  <c r="GJ7" i="2"/>
  <c r="GL7" i="2" s="1"/>
  <c r="JP7" i="2"/>
  <c r="JR7" i="2" s="1"/>
  <c r="FO5" i="2"/>
  <c r="FQ5" i="2" s="1"/>
  <c r="IU5" i="2"/>
  <c r="IW5" i="2" s="1"/>
  <c r="AN8" i="2"/>
  <c r="GJ6" i="2"/>
  <c r="GL6" i="2" s="1"/>
  <c r="DD6" i="2"/>
  <c r="DF6" i="2" s="1"/>
  <c r="KK12" i="2"/>
  <c r="KM12" i="2" s="1"/>
  <c r="HE12" i="2"/>
  <c r="HG12" i="2" s="1"/>
  <c r="JP11" i="2"/>
  <c r="JR11" i="2" s="1"/>
  <c r="DD11" i="2"/>
  <c r="DF11" i="2" s="1"/>
  <c r="GJ11" i="2"/>
  <c r="GL11" i="2" s="1"/>
  <c r="IU13" i="2"/>
  <c r="IW13" i="2" s="1"/>
  <c r="MA13" i="2"/>
  <c r="MC13" i="2" s="1"/>
  <c r="FO13" i="2"/>
  <c r="FQ13" i="2" s="1"/>
  <c r="HZ4" i="2"/>
  <c r="IB4" i="2" s="1"/>
  <c r="LF4" i="2"/>
  <c r="LH4" i="2" s="1"/>
  <c r="ET4" i="2"/>
  <c r="EV4" i="2" s="1"/>
  <c r="HE8" i="2"/>
  <c r="HG8" i="2" s="1"/>
  <c r="KK8" i="2"/>
  <c r="KM8" i="2" s="1"/>
  <c r="DY8" i="2"/>
  <c r="EA8" i="2" s="1"/>
  <c r="GJ9" i="2"/>
  <c r="GL9" i="2" s="1"/>
  <c r="JP9" i="2"/>
  <c r="JR9" i="2" s="1"/>
  <c r="DD9" i="2"/>
  <c r="DF9" i="2" s="1"/>
  <c r="MA7" i="2"/>
  <c r="MC7" i="2" s="1"/>
  <c r="FO7" i="2"/>
  <c r="FQ7" i="2" s="1"/>
  <c r="IU7" i="2"/>
  <c r="IW7" i="2" s="1"/>
  <c r="LF5" i="2"/>
  <c r="LH5" i="2" s="1"/>
  <c r="ET5" i="2"/>
  <c r="EV5" i="2" s="1"/>
  <c r="HZ5" i="2"/>
  <c r="IB5" i="2" s="1"/>
  <c r="GJ12" i="2"/>
  <c r="GL12" i="2" s="1"/>
  <c r="IU11" i="2"/>
  <c r="IW11" i="2" s="1"/>
  <c r="MA11" i="2"/>
  <c r="MC11" i="2" s="1"/>
  <c r="FO11" i="2"/>
  <c r="FQ11" i="2" s="1"/>
  <c r="HZ13" i="2"/>
  <c r="IB13" i="2" s="1"/>
  <c r="LF13" i="2"/>
  <c r="LH13" i="2" s="1"/>
  <c r="ET13" i="2"/>
  <c r="EV13" i="2" s="1"/>
  <c r="HE4" i="2"/>
  <c r="HG4" i="2" s="1"/>
  <c r="KK4" i="2"/>
  <c r="KM4" i="2" s="1"/>
  <c r="DY4" i="2"/>
  <c r="EA4" i="2" s="1"/>
  <c r="GJ8" i="2"/>
  <c r="GL8" i="2" s="1"/>
  <c r="JP8" i="2"/>
  <c r="JR8" i="2" s="1"/>
  <c r="DD8" i="2"/>
  <c r="DF8" i="2" s="1"/>
  <c r="AN20" i="4"/>
  <c r="P8" i="4"/>
  <c r="Q8" i="4" s="1"/>
  <c r="CF20" i="4"/>
  <c r="CH20" i="4" s="1"/>
  <c r="BJ11" i="4"/>
  <c r="BL11" i="4" s="1"/>
  <c r="AN6" i="4"/>
  <c r="CF9" i="4"/>
  <c r="CH9" i="4" s="1"/>
  <c r="BJ8" i="4"/>
  <c r="BL8" i="4" s="1"/>
  <c r="AN5" i="4"/>
  <c r="GJ23" i="4"/>
  <c r="GL23" i="4" s="1"/>
  <c r="DD23" i="4"/>
  <c r="DF23" i="4" s="1"/>
  <c r="HE13" i="4"/>
  <c r="HG13" i="4" s="1"/>
  <c r="HE22" i="4"/>
  <c r="HG22" i="4" s="1"/>
  <c r="KK22" i="4"/>
  <c r="KM22" i="4" s="1"/>
  <c r="DY22" i="4"/>
  <c r="EA22" i="4" s="1"/>
  <c r="GJ24" i="4"/>
  <c r="GL24" i="4" s="1"/>
  <c r="JP24" i="4"/>
  <c r="JR24" i="4" s="1"/>
  <c r="DD24" i="4"/>
  <c r="DF24" i="4" s="1"/>
  <c r="GJ22" i="4"/>
  <c r="GL22" i="4" s="1"/>
  <c r="JP22" i="4"/>
  <c r="JR22" i="4" s="1"/>
  <c r="MA24" i="4"/>
  <c r="MC24" i="4" s="1"/>
  <c r="FO24" i="4"/>
  <c r="FQ24" i="4" s="1"/>
  <c r="P24" i="4"/>
  <c r="Q24" i="4" s="1"/>
  <c r="HZ23" i="4"/>
  <c r="IB23" i="4" s="1"/>
  <c r="FO13" i="4"/>
  <c r="FQ13" i="4" s="1"/>
  <c r="JP10" i="4"/>
  <c r="JR10" i="4" s="1"/>
  <c r="LF19" i="4"/>
  <c r="LH19" i="4" s="1"/>
  <c r="HE9" i="4"/>
  <c r="HG9" i="4" s="1"/>
  <c r="GJ8" i="4"/>
  <c r="GL8" i="4" s="1"/>
  <c r="HE7" i="4"/>
  <c r="HG7" i="4" s="1"/>
  <c r="J12" i="5"/>
  <c r="L12" i="5" s="1"/>
  <c r="RH16" i="5"/>
  <c r="IB16" i="5"/>
  <c r="P9" i="6"/>
  <c r="Q9" i="6" s="1"/>
  <c r="J13" i="6"/>
  <c r="K13" i="6" s="1"/>
  <c r="J12" i="6"/>
  <c r="P13" i="6"/>
  <c r="Q13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JQ10" i="7"/>
  <c r="JS10" i="7" s="1"/>
  <c r="NE10" i="7"/>
  <c r="NG10" i="7" s="1"/>
  <c r="LK9" i="7"/>
  <c r="LM9" i="7" s="1"/>
  <c r="EI9" i="7"/>
  <c r="EK9" i="7" s="1"/>
  <c r="MH4" i="7"/>
  <c r="MJ4" i="7" s="1"/>
  <c r="FF4" i="7"/>
  <c r="FH4" i="7" s="1"/>
  <c r="IT10" i="7"/>
  <c r="IV10" i="7" s="1"/>
  <c r="FF10" i="7"/>
  <c r="FH10" i="7" s="1"/>
  <c r="GZ9" i="7"/>
  <c r="HB9" i="7" s="1"/>
  <c r="KN9" i="7"/>
  <c r="KP9" i="7" s="1"/>
  <c r="LK4" i="7"/>
  <c r="LM4" i="7" s="1"/>
  <c r="EI4" i="7"/>
  <c r="EK4" i="7" s="1"/>
  <c r="LK10" i="7"/>
  <c r="LM10" i="7" s="1"/>
  <c r="EI10" i="7"/>
  <c r="EK10" i="7" s="1"/>
  <c r="GC9" i="7"/>
  <c r="GE9" i="7" s="1"/>
  <c r="IT7" i="7"/>
  <c r="IV7" i="7" s="1"/>
  <c r="KN10" i="7"/>
  <c r="KP10" i="7" s="1"/>
  <c r="DL10" i="7"/>
  <c r="DN10" i="7" s="1"/>
  <c r="CL7" i="7"/>
  <c r="CN7" i="7" s="1"/>
  <c r="GJ4" i="10"/>
  <c r="GL4" i="10" s="1"/>
  <c r="JP4" i="10"/>
  <c r="JR4" i="10" s="1"/>
  <c r="DD4" i="10"/>
  <c r="DF4" i="10" s="1"/>
  <c r="GJ6" i="10"/>
  <c r="GL6" i="10" s="1"/>
  <c r="JP6" i="10"/>
  <c r="JR6" i="10" s="1"/>
  <c r="DD6" i="10"/>
  <c r="DF6" i="10" s="1"/>
  <c r="GJ5" i="10"/>
  <c r="GL5" i="10" s="1"/>
  <c r="JP5" i="10"/>
  <c r="JR5" i="10" s="1"/>
  <c r="DD5" i="10"/>
  <c r="DF5" i="10" s="1"/>
  <c r="BJ5" i="10"/>
  <c r="BL5" i="10" s="1"/>
  <c r="AN4" i="10"/>
  <c r="MA4" i="10"/>
  <c r="MC4" i="10" s="1"/>
  <c r="FO4" i="10"/>
  <c r="FQ4" i="10" s="1"/>
  <c r="IU4" i="10"/>
  <c r="IW4" i="10" s="1"/>
  <c r="MA6" i="10"/>
  <c r="MC6" i="10" s="1"/>
  <c r="IU5" i="10"/>
  <c r="IW5" i="10" s="1"/>
  <c r="HZ6" i="10"/>
  <c r="IB6" i="10" s="1"/>
  <c r="HZ5" i="10"/>
  <c r="IB5" i="10" s="1"/>
  <c r="P5" i="9"/>
  <c r="CK5" i="9" s="1"/>
  <c r="AN7" i="9"/>
  <c r="LF4" i="9"/>
  <c r="LH4" i="9" s="1"/>
  <c r="ET4" i="9"/>
  <c r="EV4" i="9" s="1"/>
  <c r="HZ4" i="9"/>
  <c r="IB4" i="9" s="1"/>
  <c r="KK12" i="9"/>
  <c r="KM12" i="9" s="1"/>
  <c r="DY12" i="9"/>
  <c r="EA12" i="9" s="1"/>
  <c r="HE12" i="9"/>
  <c r="HG12" i="9" s="1"/>
  <c r="JP5" i="9"/>
  <c r="JR5" i="9" s="1"/>
  <c r="DD5" i="9"/>
  <c r="DF5" i="9" s="1"/>
  <c r="GJ5" i="9"/>
  <c r="GL5" i="9" s="1"/>
  <c r="CF12" i="9"/>
  <c r="CH12" i="9" s="1"/>
  <c r="BJ5" i="9"/>
  <c r="BL5" i="9" s="1"/>
  <c r="AN10" i="9"/>
  <c r="KK7" i="9"/>
  <c r="KM7" i="9" s="1"/>
  <c r="DY7" i="9"/>
  <c r="EA7" i="9" s="1"/>
  <c r="P13" i="2"/>
  <c r="Q13" i="2" s="1"/>
  <c r="LF6" i="2"/>
  <c r="LH6" i="2" s="1"/>
  <c r="HZ6" i="2"/>
  <c r="IB6" i="2" s="1"/>
  <c r="IU12" i="2"/>
  <c r="IW12" i="2" s="1"/>
  <c r="MA12" i="2"/>
  <c r="MC12" i="2" s="1"/>
  <c r="HZ11" i="2"/>
  <c r="IB11" i="2" s="1"/>
  <c r="LF11" i="2"/>
  <c r="LH11" i="2" s="1"/>
  <c r="ET11" i="2"/>
  <c r="EV11" i="2" s="1"/>
  <c r="KK13" i="2"/>
  <c r="KM13" i="2" s="1"/>
  <c r="DD4" i="2"/>
  <c r="DF4" i="2" s="1"/>
  <c r="MA8" i="2"/>
  <c r="MC8" i="2" s="1"/>
  <c r="MA9" i="2"/>
  <c r="MC9" i="2" s="1"/>
  <c r="IU9" i="2"/>
  <c r="IW9" i="2" s="1"/>
  <c r="HZ7" i="2"/>
  <c r="IB7" i="2" s="1"/>
  <c r="HE5" i="2"/>
  <c r="HG5" i="2" s="1"/>
  <c r="BJ13" i="2"/>
  <c r="BL13" i="2" s="1"/>
  <c r="HZ12" i="2"/>
  <c r="IB12" i="2" s="1"/>
  <c r="LF12" i="2"/>
  <c r="LH12" i="2" s="1"/>
  <c r="ET12" i="2"/>
  <c r="EV12" i="2" s="1"/>
  <c r="KK11" i="2"/>
  <c r="KM11" i="2" s="1"/>
  <c r="DY11" i="2"/>
  <c r="EA11" i="2" s="1"/>
  <c r="HZ8" i="2"/>
  <c r="IB8" i="2" s="1"/>
  <c r="AN5" i="2"/>
  <c r="CF6" i="2"/>
  <c r="CH6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KK24" i="4"/>
  <c r="KM24" i="4" s="1"/>
  <c r="CF14" i="4"/>
  <c r="CH14" i="4" s="1"/>
  <c r="CF4" i="4"/>
  <c r="CH4" i="4" s="1"/>
  <c r="CF22" i="4"/>
  <c r="CH22" i="4" s="1"/>
  <c r="BJ24" i="4"/>
  <c r="BL24" i="4" s="1"/>
  <c r="AN23" i="4"/>
  <c r="CF13" i="4"/>
  <c r="CH13" i="4" s="1"/>
  <c r="BJ20" i="4"/>
  <c r="BL20" i="4" s="1"/>
  <c r="AN11" i="4"/>
  <c r="IU10" i="4"/>
  <c r="IW10" i="4" s="1"/>
  <c r="HZ6" i="4"/>
  <c r="IB6" i="4" s="1"/>
  <c r="JP7" i="4"/>
  <c r="JR7" i="4" s="1"/>
  <c r="DD7" i="4"/>
  <c r="DF7" i="4" s="1"/>
  <c r="GJ7" i="4"/>
  <c r="GL7" i="4" s="1"/>
  <c r="BJ22" i="4"/>
  <c r="BL22" i="4" s="1"/>
  <c r="IU4" i="4"/>
  <c r="IW4" i="4" s="1"/>
  <c r="MA4" i="4"/>
  <c r="MC4" i="4" s="1"/>
  <c r="FO4" i="4"/>
  <c r="FQ4" i="4" s="1"/>
  <c r="LF21" i="4"/>
  <c r="LH21" i="4" s="1"/>
  <c r="ET21" i="4"/>
  <c r="EV21" i="4" s="1"/>
  <c r="DY6" i="4"/>
  <c r="EA6" i="4" s="1"/>
  <c r="P6" i="4"/>
  <c r="Q6" i="4" s="1"/>
  <c r="IU9" i="4"/>
  <c r="IW9" i="4" s="1"/>
  <c r="HZ8" i="4"/>
  <c r="IB8" i="4" s="1"/>
  <c r="HE5" i="4"/>
  <c r="HG5" i="4" s="1"/>
  <c r="IU7" i="4"/>
  <c r="IW7" i="4" s="1"/>
  <c r="MA7" i="4"/>
  <c r="MC7" i="4" s="1"/>
  <c r="MA14" i="4"/>
  <c r="MC14" i="4" s="1"/>
  <c r="FO14" i="4"/>
  <c r="FQ14" i="4" s="1"/>
  <c r="MA22" i="4"/>
  <c r="MC22" i="4" s="1"/>
  <c r="FO22" i="4"/>
  <c r="FQ22" i="4" s="1"/>
  <c r="HZ24" i="4"/>
  <c r="IB24" i="4" s="1"/>
  <c r="LF24" i="4"/>
  <c r="LH24" i="4" s="1"/>
  <c r="ET24" i="4"/>
  <c r="EV24" i="4" s="1"/>
  <c r="IU23" i="4"/>
  <c r="IW23" i="4" s="1"/>
  <c r="MA23" i="4"/>
  <c r="MC23" i="4" s="1"/>
  <c r="FO23" i="4"/>
  <c r="FQ23" i="4" s="1"/>
  <c r="HZ4" i="4"/>
  <c r="IB4" i="4" s="1"/>
  <c r="LF4" i="4"/>
  <c r="LH4" i="4" s="1"/>
  <c r="HE21" i="4"/>
  <c r="HG21" i="4" s="1"/>
  <c r="KK21" i="4"/>
  <c r="KM21" i="4" s="1"/>
  <c r="DY21" i="4"/>
  <c r="EA21" i="4" s="1"/>
  <c r="HE10" i="4"/>
  <c r="HG10" i="4" s="1"/>
  <c r="JP6" i="4"/>
  <c r="JR6" i="4" s="1"/>
  <c r="IU19" i="4"/>
  <c r="IW19" i="4" s="1"/>
  <c r="ET9" i="4"/>
  <c r="EV9" i="4" s="1"/>
  <c r="DY8" i="4"/>
  <c r="EA8" i="4" s="1"/>
  <c r="GJ5" i="4"/>
  <c r="GL5" i="4" s="1"/>
  <c r="JP5" i="4"/>
  <c r="JR5" i="4" s="1"/>
  <c r="DD5" i="4"/>
  <c r="DF5" i="4" s="1"/>
  <c r="BJ5" i="4"/>
  <c r="BL5" i="4" s="1"/>
  <c r="HZ14" i="4"/>
  <c r="IB14" i="4" s="1"/>
  <c r="LF14" i="4"/>
  <c r="LH14" i="4" s="1"/>
  <c r="ET14" i="4"/>
  <c r="EV14" i="4" s="1"/>
  <c r="HZ22" i="4"/>
  <c r="IB22" i="4" s="1"/>
  <c r="LF22" i="4"/>
  <c r="LH22" i="4" s="1"/>
  <c r="ET22" i="4"/>
  <c r="EV22" i="4" s="1"/>
  <c r="HE24" i="4"/>
  <c r="HG24" i="4" s="1"/>
  <c r="DY24" i="4"/>
  <c r="EA24" i="4" s="1"/>
  <c r="LF23" i="4"/>
  <c r="LH23" i="4" s="1"/>
  <c r="ET23" i="4"/>
  <c r="EV23" i="4" s="1"/>
  <c r="HE4" i="4"/>
  <c r="HG4" i="4" s="1"/>
  <c r="KK4" i="4"/>
  <c r="KM4" i="4" s="1"/>
  <c r="DY4" i="4"/>
  <c r="EA4" i="4" s="1"/>
  <c r="GJ21" i="4"/>
  <c r="GL21" i="4" s="1"/>
  <c r="JP21" i="4"/>
  <c r="JR21" i="4" s="1"/>
  <c r="DD21" i="4"/>
  <c r="DF21" i="4" s="1"/>
  <c r="ET20" i="4"/>
  <c r="EV20" i="4" s="1"/>
  <c r="HZ20" i="4"/>
  <c r="IB20" i="4" s="1"/>
  <c r="P11" i="4"/>
  <c r="Q11" i="4" s="1"/>
  <c r="GJ10" i="4"/>
  <c r="GL10" i="4" s="1"/>
  <c r="MA6" i="4"/>
  <c r="MC6" i="4" s="1"/>
  <c r="NV14" i="5"/>
  <c r="J4" i="5"/>
  <c r="N4" i="5" s="1"/>
  <c r="NV7" i="5"/>
  <c r="J7" i="5"/>
  <c r="L7" i="5" s="1"/>
  <c r="LN16" i="5"/>
  <c r="NV11" i="5"/>
  <c r="NV16" i="5"/>
  <c r="J15" i="5"/>
  <c r="N15" i="5" s="1"/>
  <c r="NV13" i="5"/>
  <c r="QD16" i="5"/>
  <c r="NV9" i="5"/>
  <c r="NV6" i="5"/>
  <c r="P7" i="5"/>
  <c r="P9" i="5"/>
  <c r="KJ16" i="5"/>
  <c r="NV12" i="5"/>
  <c r="OZ16" i="5"/>
  <c r="J13" i="5"/>
  <c r="L13" i="5" s="1"/>
  <c r="JF7" i="5"/>
  <c r="MR16" i="5"/>
  <c r="NV4" i="5"/>
  <c r="J14" i="5"/>
  <c r="N14" i="5" s="1"/>
  <c r="J6" i="5"/>
  <c r="N6" i="5" s="1"/>
  <c r="NV12" i="6"/>
  <c r="J8" i="6"/>
  <c r="L8" i="6" s="1"/>
  <c r="J5" i="6"/>
  <c r="L5" i="6" s="1"/>
  <c r="RH13" i="6"/>
  <c r="QD12" i="6"/>
  <c r="OZ4" i="6"/>
  <c r="NV13" i="6"/>
  <c r="NV6" i="6"/>
  <c r="NV5" i="6"/>
  <c r="NV7" i="6"/>
  <c r="NV4" i="6"/>
  <c r="QD4" i="6"/>
  <c r="J9" i="6"/>
  <c r="L9" i="6" s="1"/>
  <c r="J4" i="6"/>
  <c r="N4" i="6" s="1"/>
  <c r="NV8" i="6"/>
  <c r="J6" i="6"/>
  <c r="NV9" i="6"/>
  <c r="J7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7" i="7"/>
  <c r="BP7" i="7" s="1"/>
  <c r="JQ7" i="7"/>
  <c r="JS7" i="7" s="1"/>
  <c r="GC7" i="7"/>
  <c r="GE7" i="7" s="1"/>
  <c r="HW10" i="7"/>
  <c r="HY10" i="7" s="1"/>
  <c r="NE9" i="7"/>
  <c r="NG9" i="7" s="1"/>
  <c r="FF7" i="7"/>
  <c r="FH7" i="7" s="1"/>
  <c r="CL10" i="7"/>
  <c r="CN10" i="7" s="1"/>
  <c r="GZ4" i="7"/>
  <c r="HB4" i="7" s="1"/>
  <c r="JQ4" i="7"/>
  <c r="JS4" i="7" s="1"/>
  <c r="GZ10" i="7"/>
  <c r="HB10" i="7" s="1"/>
  <c r="IT9" i="7"/>
  <c r="IV9" i="7" s="1"/>
  <c r="FF9" i="7"/>
  <c r="FH9" i="7" s="1"/>
  <c r="HW7" i="7"/>
  <c r="HY7" i="7" s="1"/>
  <c r="LK7" i="7"/>
  <c r="LM7" i="7" s="1"/>
  <c r="NE4" i="7"/>
  <c r="NG4" i="7" s="1"/>
  <c r="BN9" i="7"/>
  <c r="BP9" i="7" s="1"/>
  <c r="AP4" i="7"/>
  <c r="BN10" i="7"/>
  <c r="BP10" i="7" s="1"/>
  <c r="P7" i="7"/>
  <c r="Q7" i="7" s="1"/>
  <c r="AP9" i="7"/>
  <c r="DL4" i="7"/>
  <c r="DN4" i="7" s="1"/>
  <c r="CL4" i="7"/>
  <c r="CN4" i="7" s="1"/>
  <c r="P10" i="7"/>
  <c r="BJ6" i="10"/>
  <c r="BL6" i="10" s="1"/>
  <c r="LF4" i="10"/>
  <c r="LH4" i="10" s="1"/>
  <c r="P6" i="10"/>
  <c r="Q6" i="10" s="1"/>
  <c r="AN5" i="10"/>
  <c r="IU6" i="10"/>
  <c r="IW6" i="10" s="1"/>
  <c r="MA5" i="10"/>
  <c r="MC5" i="10" s="1"/>
  <c r="FO5" i="10"/>
  <c r="FQ5" i="10" s="1"/>
  <c r="P4" i="10"/>
  <c r="Q4" i="10" s="1"/>
  <c r="P5" i="10"/>
  <c r="AN6" i="10"/>
  <c r="CF4" i="10"/>
  <c r="CH4" i="10" s="1"/>
  <c r="CF6" i="10"/>
  <c r="CH6" i="10" s="1"/>
  <c r="ET4" i="10"/>
  <c r="EV4" i="10" s="1"/>
  <c r="P7" i="9"/>
  <c r="CK7" i="9" s="1"/>
  <c r="BJ10" i="9"/>
  <c r="KK4" i="9"/>
  <c r="KM4" i="9" s="1"/>
  <c r="GJ12" i="9"/>
  <c r="GL12" i="9" s="1"/>
  <c r="LF10" i="9"/>
  <c r="LH10" i="9" s="1"/>
  <c r="ET10" i="9"/>
  <c r="EV10" i="9" s="1"/>
  <c r="JP7" i="9"/>
  <c r="JR7" i="9" s="1"/>
  <c r="DD7" i="9"/>
  <c r="DF7" i="9" s="1"/>
  <c r="BJ12" i="9"/>
  <c r="BL12" i="9" s="1"/>
  <c r="AN5" i="9"/>
  <c r="DY4" i="9"/>
  <c r="EA4" i="9" s="1"/>
  <c r="IU10" i="9"/>
  <c r="IW10" i="9" s="1"/>
  <c r="LF7" i="9"/>
  <c r="LH7" i="9" s="1"/>
  <c r="ET7" i="9"/>
  <c r="EV7" i="9" s="1"/>
  <c r="P4" i="9"/>
  <c r="CK4" i="9" s="1"/>
  <c r="AN4" i="9"/>
  <c r="HZ7" i="9"/>
  <c r="IB7" i="9" s="1"/>
  <c r="P12" i="9"/>
  <c r="P10" i="9"/>
  <c r="CF10" i="9"/>
  <c r="CH10" i="9" s="1"/>
  <c r="AN12" i="9"/>
  <c r="CF4" i="9"/>
  <c r="CH4" i="9" s="1"/>
  <c r="CF5" i="9"/>
  <c r="CH5" i="9" s="1"/>
  <c r="BJ7" i="9"/>
  <c r="BL7" i="9" s="1"/>
  <c r="DY12" i="2"/>
  <c r="EA12" i="2" s="1"/>
  <c r="CF9" i="2"/>
  <c r="CH9" i="2" s="1"/>
  <c r="IU6" i="2"/>
  <c r="IW6" i="2" s="1"/>
  <c r="MA6" i="2"/>
  <c r="MC6" i="2" s="1"/>
  <c r="AN11" i="2"/>
  <c r="P6" i="2"/>
  <c r="Q6" i="2" s="1"/>
  <c r="AN4" i="2"/>
  <c r="BJ7" i="2"/>
  <c r="BL7" i="2" s="1"/>
  <c r="ET6" i="2"/>
  <c r="EV6" i="2" s="1"/>
  <c r="HE13" i="2"/>
  <c r="HG13" i="2" s="1"/>
  <c r="GJ4" i="2"/>
  <c r="GL4" i="2" s="1"/>
  <c r="FO8" i="2"/>
  <c r="FQ8" i="2" s="1"/>
  <c r="FO9" i="2"/>
  <c r="FQ9" i="2" s="1"/>
  <c r="ET7" i="2"/>
  <c r="EV7" i="2" s="1"/>
  <c r="DY5" i="2"/>
  <c r="EA5" i="2" s="1"/>
  <c r="HE6" i="2"/>
  <c r="HG6" i="2" s="1"/>
  <c r="KK6" i="2"/>
  <c r="KM6" i="2" s="1"/>
  <c r="DY6" i="2"/>
  <c r="EA6" i="2" s="1"/>
  <c r="DD13" i="2"/>
  <c r="DF13" i="2" s="1"/>
  <c r="GJ13" i="2"/>
  <c r="GL13" i="2" s="1"/>
  <c r="FO4" i="2"/>
  <c r="FQ4" i="2" s="1"/>
  <c r="ET9" i="2"/>
  <c r="EV9" i="2" s="1"/>
  <c r="BJ12" i="2"/>
  <c r="BL12" i="2" s="1"/>
  <c r="AN13" i="2"/>
  <c r="CF5" i="2"/>
  <c r="CH5" i="2" s="1"/>
  <c r="AN12" i="2"/>
  <c r="CF8" i="2"/>
  <c r="CH8" i="2" s="1"/>
  <c r="BJ5" i="2"/>
  <c r="BL5" i="2" s="1"/>
  <c r="CF13" i="2"/>
  <c r="CH13" i="2" s="1"/>
  <c r="AN6" i="2"/>
  <c r="P5" i="2"/>
  <c r="CF11" i="2"/>
  <c r="CH11" i="2" s="1"/>
  <c r="BJ9" i="2"/>
  <c r="BL9" i="2" s="1"/>
  <c r="AN7" i="2"/>
  <c r="P8" i="2"/>
  <c r="P7" i="2"/>
  <c r="BJ4" i="2"/>
  <c r="P12" i="2"/>
  <c r="BJ11" i="2"/>
  <c r="BL11" i="2" s="1"/>
  <c r="AN9" i="2"/>
  <c r="BJ10" i="4"/>
  <c r="BL10" i="4" s="1"/>
  <c r="GJ20" i="4"/>
  <c r="GL20" i="4" s="1"/>
  <c r="MA11" i="4"/>
  <c r="MC11" i="4" s="1"/>
  <c r="FO10" i="4"/>
  <c r="FQ10" i="4" s="1"/>
  <c r="P21" i="4"/>
  <c r="Q21" i="4" s="1"/>
  <c r="JP13" i="4"/>
  <c r="JR13" i="4" s="1"/>
  <c r="DD13" i="4"/>
  <c r="DF13" i="4" s="1"/>
  <c r="GJ13" i="4"/>
  <c r="GL13" i="4" s="1"/>
  <c r="IU20" i="4"/>
  <c r="IW20" i="4" s="1"/>
  <c r="MA20" i="4"/>
  <c r="MC20" i="4" s="1"/>
  <c r="HZ11" i="4"/>
  <c r="IB11" i="4" s="1"/>
  <c r="LF11" i="4"/>
  <c r="LH11" i="4" s="1"/>
  <c r="HZ10" i="4"/>
  <c r="IB10" i="4" s="1"/>
  <c r="LF10" i="4"/>
  <c r="LH10" i="4" s="1"/>
  <c r="ET10" i="4"/>
  <c r="EV10" i="4" s="1"/>
  <c r="KK6" i="4"/>
  <c r="KM6" i="4" s="1"/>
  <c r="HE19" i="4"/>
  <c r="HG19" i="4" s="1"/>
  <c r="KK19" i="4"/>
  <c r="KM19" i="4" s="1"/>
  <c r="DY19" i="4"/>
  <c r="EA19" i="4" s="1"/>
  <c r="JP9" i="4"/>
  <c r="JR9" i="4" s="1"/>
  <c r="DD9" i="4"/>
  <c r="DF9" i="4" s="1"/>
  <c r="MA8" i="4"/>
  <c r="MC8" i="4" s="1"/>
  <c r="IU8" i="4"/>
  <c r="IW8" i="4" s="1"/>
  <c r="LF5" i="4"/>
  <c r="LH5" i="4" s="1"/>
  <c r="HZ5" i="4"/>
  <c r="IB5" i="4" s="1"/>
  <c r="BJ14" i="4"/>
  <c r="BL14" i="4" s="1"/>
  <c r="CF23" i="4"/>
  <c r="CH23" i="4" s="1"/>
  <c r="CF7" i="4"/>
  <c r="CH7" i="4" s="1"/>
  <c r="ET19" i="4"/>
  <c r="EV19" i="4" s="1"/>
  <c r="KK9" i="4"/>
  <c r="KM9" i="4" s="1"/>
  <c r="DD8" i="4"/>
  <c r="DF8" i="4" s="1"/>
  <c r="FO5" i="4"/>
  <c r="FQ5" i="4" s="1"/>
  <c r="AN22" i="4"/>
  <c r="CF21" i="4"/>
  <c r="CH21" i="4" s="1"/>
  <c r="BJ13" i="4"/>
  <c r="BL13" i="4" s="1"/>
  <c r="CF19" i="4"/>
  <c r="CH19" i="4" s="1"/>
  <c r="IU13" i="4"/>
  <c r="IW13" i="4" s="1"/>
  <c r="MA13" i="4"/>
  <c r="MC13" i="4" s="1"/>
  <c r="LF20" i="4"/>
  <c r="LH20" i="4" s="1"/>
  <c r="HE11" i="4"/>
  <c r="HG11" i="4" s="1"/>
  <c r="DY11" i="4"/>
  <c r="EA11" i="4" s="1"/>
  <c r="KK10" i="4"/>
  <c r="KM10" i="4" s="1"/>
  <c r="DY10" i="4"/>
  <c r="EA10" i="4" s="1"/>
  <c r="GJ6" i="4"/>
  <c r="GL6" i="4" s="1"/>
  <c r="DD6" i="4"/>
  <c r="DF6" i="4" s="1"/>
  <c r="JP19" i="4"/>
  <c r="JR19" i="4" s="1"/>
  <c r="DD19" i="4"/>
  <c r="DF19" i="4" s="1"/>
  <c r="MA9" i="4"/>
  <c r="MC9" i="4" s="1"/>
  <c r="FO9" i="4"/>
  <c r="FQ9" i="4" s="1"/>
  <c r="LF8" i="4"/>
  <c r="LH8" i="4" s="1"/>
  <c r="ET8" i="4"/>
  <c r="EV8" i="4" s="1"/>
  <c r="CF11" i="4"/>
  <c r="CH11" i="4" s="1"/>
  <c r="ET6" i="4"/>
  <c r="EV6" i="4" s="1"/>
  <c r="DY9" i="4"/>
  <c r="EA9" i="4" s="1"/>
  <c r="JP8" i="4"/>
  <c r="JR8" i="4" s="1"/>
  <c r="MA5" i="4"/>
  <c r="MC5" i="4" s="1"/>
  <c r="IU5" i="4"/>
  <c r="IW5" i="4" s="1"/>
  <c r="BJ9" i="4"/>
  <c r="BL9" i="4" s="1"/>
  <c r="P23" i="4"/>
  <c r="Q23" i="4" s="1"/>
  <c r="IU21" i="4"/>
  <c r="IW21" i="4" s="1"/>
  <c r="MA21" i="4"/>
  <c r="MC21" i="4" s="1"/>
  <c r="LF13" i="4"/>
  <c r="LH13" i="4" s="1"/>
  <c r="ET13" i="4"/>
  <c r="EV13" i="4" s="1"/>
  <c r="KK20" i="4"/>
  <c r="KM20" i="4" s="1"/>
  <c r="DY20" i="4"/>
  <c r="EA20" i="4" s="1"/>
  <c r="GJ11" i="4"/>
  <c r="GL11" i="4" s="1"/>
  <c r="JP11" i="4"/>
  <c r="JR11" i="4" s="1"/>
  <c r="DD10" i="4"/>
  <c r="DF10" i="4" s="1"/>
  <c r="IU6" i="4"/>
  <c r="IW6" i="4" s="1"/>
  <c r="FO19" i="4"/>
  <c r="FQ19" i="4" s="1"/>
  <c r="HZ9" i="4"/>
  <c r="IB9" i="4" s="1"/>
  <c r="HE8" i="4"/>
  <c r="HG8" i="4" s="1"/>
  <c r="AN4" i="4"/>
  <c r="LH7" i="4"/>
  <c r="P5" i="4"/>
  <c r="CK5" i="4" s="1"/>
  <c r="BJ21" i="4"/>
  <c r="BL21" i="4" s="1"/>
  <c r="AN8" i="4"/>
  <c r="KK13" i="4"/>
  <c r="KM13" i="4" s="1"/>
  <c r="DY13" i="4"/>
  <c r="EA13" i="4" s="1"/>
  <c r="JP20" i="4"/>
  <c r="JR20" i="4" s="1"/>
  <c r="DD20" i="4"/>
  <c r="DF20" i="4" s="1"/>
  <c r="IU11" i="4"/>
  <c r="IW11" i="4" s="1"/>
  <c r="HZ7" i="4"/>
  <c r="IB7" i="4" s="1"/>
  <c r="BJ23" i="4"/>
  <c r="BL23" i="4" s="1"/>
  <c r="CF6" i="4"/>
  <c r="CH6" i="4" s="1"/>
  <c r="BJ19" i="4"/>
  <c r="BL19" i="4" s="1"/>
  <c r="AN9" i="4"/>
  <c r="IU14" i="4"/>
  <c r="IW14" i="4" s="1"/>
  <c r="P7" i="4"/>
  <c r="BJ6" i="4"/>
  <c r="BL6" i="4" s="1"/>
  <c r="FO6" i="4"/>
  <c r="FQ6" i="4" s="1"/>
  <c r="MA19" i="4"/>
  <c r="MC19" i="4" s="1"/>
  <c r="LF9" i="4"/>
  <c r="LH9" i="4" s="1"/>
  <c r="KK8" i="4"/>
  <c r="KM8" i="4" s="1"/>
  <c r="KK5" i="4"/>
  <c r="KM5" i="4" s="1"/>
  <c r="P10" i="4"/>
  <c r="CK10" i="4" s="1"/>
  <c r="AN14" i="4"/>
  <c r="BJ7" i="4"/>
  <c r="BL7" i="4" s="1"/>
  <c r="CF10" i="4"/>
  <c r="CH10" i="4" s="1"/>
  <c r="P9" i="4"/>
  <c r="CK9" i="4" s="1"/>
  <c r="AN21" i="4"/>
  <c r="AN13" i="4"/>
  <c r="AN19" i="4"/>
  <c r="CF5" i="4"/>
  <c r="CH5" i="4" s="1"/>
  <c r="P14" i="4"/>
  <c r="CK14" i="4" s="1"/>
  <c r="P22" i="4"/>
  <c r="CK22" i="4" s="1"/>
  <c r="P4" i="4"/>
  <c r="Q4" i="4" s="1"/>
  <c r="P20" i="4"/>
  <c r="CK20" i="4" s="1"/>
  <c r="P19" i="4"/>
  <c r="Q19" i="4" s="1"/>
  <c r="AN24" i="4"/>
  <c r="AN10" i="4"/>
  <c r="CF8" i="4"/>
  <c r="CH8" i="4" s="1"/>
  <c r="P14" i="5"/>
  <c r="P6" i="5"/>
  <c r="P7" i="6"/>
  <c r="P6" i="6"/>
  <c r="P4" i="7"/>
  <c r="P9" i="7"/>
  <c r="P4" i="2"/>
  <c r="P15" i="5"/>
  <c r="P4" i="5"/>
  <c r="P12" i="6"/>
  <c r="P5" i="6"/>
  <c r="P5" i="8"/>
  <c r="P11" i="5"/>
  <c r="P12" i="5"/>
  <c r="P13" i="5"/>
  <c r="P4" i="6"/>
  <c r="P8" i="6"/>
  <c r="AN7" i="4"/>
  <c r="BJ4" i="4"/>
  <c r="BL4" i="4" s="1"/>
  <c r="P13" i="4"/>
  <c r="CF24" i="4"/>
  <c r="CH24" i="4" s="1"/>
  <c r="H22" i="4" l="1"/>
  <c r="I7" i="9"/>
  <c r="I8" i="6"/>
  <c r="I11" i="5"/>
  <c r="H6" i="2"/>
  <c r="I13" i="6"/>
  <c r="H12" i="9"/>
  <c r="A12" i="9" s="1"/>
  <c r="H13" i="4"/>
  <c r="A13" i="4" s="1"/>
  <c r="I12" i="6"/>
  <c r="H7" i="4"/>
  <c r="E12" i="4"/>
  <c r="S12" i="4"/>
  <c r="I13" i="5"/>
  <c r="I9" i="5"/>
  <c r="DK14" i="5"/>
  <c r="H5" i="10"/>
  <c r="H4" i="10"/>
  <c r="H9" i="2"/>
  <c r="H13" i="2"/>
  <c r="A13" i="2" s="1"/>
  <c r="H8" i="2"/>
  <c r="I8" i="4"/>
  <c r="H4" i="4"/>
  <c r="H19" i="4"/>
  <c r="A19" i="4" s="1"/>
  <c r="I14" i="5"/>
  <c r="I7" i="6"/>
  <c r="I8" i="8"/>
  <c r="H6" i="8"/>
  <c r="I5" i="8"/>
  <c r="H5" i="8"/>
  <c r="I7" i="8"/>
  <c r="H8" i="8"/>
  <c r="H7" i="8"/>
  <c r="I6" i="8"/>
  <c r="I10" i="7"/>
  <c r="I4" i="7"/>
  <c r="H10" i="7"/>
  <c r="A10" i="7" s="1"/>
  <c r="I7" i="7"/>
  <c r="H9" i="7"/>
  <c r="AR7" i="7"/>
  <c r="H7" i="7"/>
  <c r="H4" i="7"/>
  <c r="I9" i="7"/>
  <c r="I6" i="10"/>
  <c r="H6" i="10"/>
  <c r="I4" i="10"/>
  <c r="I5" i="10"/>
  <c r="I12" i="9"/>
  <c r="I10" i="9"/>
  <c r="AP10" i="9"/>
  <c r="H10" i="9"/>
  <c r="A10" i="9" s="1"/>
  <c r="H4" i="9"/>
  <c r="H7" i="9"/>
  <c r="A7" i="9" s="1"/>
  <c r="I5" i="9"/>
  <c r="I4" i="9"/>
  <c r="H5" i="9"/>
  <c r="I8" i="2"/>
  <c r="H5" i="2"/>
  <c r="I9" i="2"/>
  <c r="AP4" i="2"/>
  <c r="H4" i="2"/>
  <c r="H11" i="2"/>
  <c r="I4" i="2"/>
  <c r="I13" i="2"/>
  <c r="I12" i="2"/>
  <c r="I11" i="2"/>
  <c r="H7" i="2"/>
  <c r="H12" i="2"/>
  <c r="A12" i="2" s="1"/>
  <c r="I7" i="2"/>
  <c r="I7" i="4"/>
  <c r="I10" i="4"/>
  <c r="H9" i="4"/>
  <c r="A9" i="4" s="1"/>
  <c r="H14" i="4"/>
  <c r="A14" i="4" s="1"/>
  <c r="H21" i="4"/>
  <c r="A21" i="4" s="1"/>
  <c r="I6" i="4"/>
  <c r="H10" i="4"/>
  <c r="A10" i="4" s="1"/>
  <c r="AP20" i="4"/>
  <c r="H20" i="4"/>
  <c r="A20" i="4" s="1"/>
  <c r="I9" i="4"/>
  <c r="I11" i="4"/>
  <c r="H24" i="4"/>
  <c r="A24" i="4" s="1"/>
  <c r="AP5" i="4"/>
  <c r="H5" i="4"/>
  <c r="I14" i="4"/>
  <c r="I19" i="4"/>
  <c r="H8" i="4"/>
  <c r="H11" i="4"/>
  <c r="A11" i="4" s="1"/>
  <c r="I24" i="4"/>
  <c r="I5" i="4"/>
  <c r="I22" i="4"/>
  <c r="I13" i="4"/>
  <c r="H6" i="4"/>
  <c r="I21" i="4"/>
  <c r="I20" i="4"/>
  <c r="I4" i="4"/>
  <c r="H23" i="4"/>
  <c r="A23" i="4" s="1"/>
  <c r="I23" i="4"/>
  <c r="A13" i="6"/>
  <c r="CK8" i="4"/>
  <c r="N11" i="5"/>
  <c r="O11" i="5" s="1"/>
  <c r="L11" i="5"/>
  <c r="M11" i="5" s="1"/>
  <c r="CK13" i="2"/>
  <c r="A12" i="5"/>
  <c r="A12" i="6"/>
  <c r="CK11" i="4"/>
  <c r="A15" i="5"/>
  <c r="CK6" i="4"/>
  <c r="N9" i="5"/>
  <c r="K9" i="5"/>
  <c r="M9" i="5" s="1"/>
  <c r="DJ9" i="5"/>
  <c r="L15" i="5"/>
  <c r="N13" i="5"/>
  <c r="N13" i="6"/>
  <c r="AR9" i="7"/>
  <c r="AR10" i="7"/>
  <c r="AP4" i="10"/>
  <c r="AP5" i="10"/>
  <c r="AP5" i="9"/>
  <c r="AP7" i="9"/>
  <c r="AP4" i="9"/>
  <c r="J10" i="9"/>
  <c r="L10" i="9" s="1"/>
  <c r="AP8" i="2"/>
  <c r="AP9" i="2"/>
  <c r="AP7" i="2"/>
  <c r="AP13" i="2"/>
  <c r="AP5" i="2"/>
  <c r="AP11" i="2"/>
  <c r="Q9" i="2"/>
  <c r="AP4" i="4"/>
  <c r="AP22" i="4"/>
  <c r="A22" i="4"/>
  <c r="AP23" i="4"/>
  <c r="AP6" i="4"/>
  <c r="CK24" i="4"/>
  <c r="A7" i="4"/>
  <c r="AP11" i="4"/>
  <c r="AR8" i="8"/>
  <c r="AR7" i="8"/>
  <c r="AR6" i="8"/>
  <c r="AR5" i="8"/>
  <c r="BL10" i="9"/>
  <c r="BL4" i="2"/>
  <c r="N12" i="5"/>
  <c r="K12" i="5"/>
  <c r="M12" i="5" s="1"/>
  <c r="DL9" i="6"/>
  <c r="L13" i="6"/>
  <c r="Q8" i="8"/>
  <c r="CK4" i="10"/>
  <c r="CK11" i="2"/>
  <c r="N7" i="5"/>
  <c r="K15" i="5"/>
  <c r="O15" i="5" s="1"/>
  <c r="N9" i="6"/>
  <c r="L4" i="6"/>
  <c r="L12" i="6"/>
  <c r="CQ6" i="8"/>
  <c r="Q5" i="9"/>
  <c r="J20" i="4"/>
  <c r="N20" i="4" s="1"/>
  <c r="CK21" i="4"/>
  <c r="DK15" i="5"/>
  <c r="DJ13" i="5"/>
  <c r="DJ12" i="5"/>
  <c r="DJ7" i="5"/>
  <c r="N5" i="6"/>
  <c r="K12" i="6"/>
  <c r="K5" i="6"/>
  <c r="M5" i="6" s="1"/>
  <c r="K8" i="6"/>
  <c r="M8" i="6" s="1"/>
  <c r="N8" i="6"/>
  <c r="DL13" i="6"/>
  <c r="N12" i="6"/>
  <c r="J7" i="8"/>
  <c r="N7" i="8" s="1"/>
  <c r="J8" i="8"/>
  <c r="L8" i="8" s="1"/>
  <c r="CQ7" i="7"/>
  <c r="J7" i="7"/>
  <c r="J5" i="10"/>
  <c r="K5" i="10" s="1"/>
  <c r="J5" i="9"/>
  <c r="Q7" i="9"/>
  <c r="CK6" i="2"/>
  <c r="J5" i="2"/>
  <c r="L5" i="2" s="1"/>
  <c r="CK19" i="4"/>
  <c r="Q20" i="4"/>
  <c r="CK23" i="4"/>
  <c r="Q5" i="4"/>
  <c r="Q9" i="4"/>
  <c r="J14" i="4"/>
  <c r="N14" i="4" s="1"/>
  <c r="J19" i="4"/>
  <c r="N19" i="4" s="1"/>
  <c r="DK4" i="5"/>
  <c r="K4" i="5"/>
  <c r="O4" i="5" s="1"/>
  <c r="L4" i="5"/>
  <c r="K7" i="5"/>
  <c r="M7" i="5" s="1"/>
  <c r="DK6" i="5"/>
  <c r="DL9" i="5"/>
  <c r="Q9" i="5"/>
  <c r="DL7" i="5"/>
  <c r="Q7" i="5"/>
  <c r="K6" i="5"/>
  <c r="O6" i="5" s="1"/>
  <c r="L6" i="5"/>
  <c r="K14" i="5"/>
  <c r="O14" i="5" s="1"/>
  <c r="K13" i="5"/>
  <c r="M13" i="5" s="1"/>
  <c r="L14" i="5"/>
  <c r="K7" i="6"/>
  <c r="DK4" i="6"/>
  <c r="K6" i="6"/>
  <c r="L6" i="6"/>
  <c r="K4" i="6"/>
  <c r="O4" i="6" s="1"/>
  <c r="DJ5" i="6"/>
  <c r="N6" i="6"/>
  <c r="L7" i="6"/>
  <c r="K9" i="6"/>
  <c r="M9" i="6" s="1"/>
  <c r="DJ8" i="6"/>
  <c r="N7" i="6"/>
  <c r="J5" i="8"/>
  <c r="CQ7" i="8"/>
  <c r="Q7" i="8"/>
  <c r="J6" i="8"/>
  <c r="J9" i="7"/>
  <c r="CQ10" i="7"/>
  <c r="Q10" i="7"/>
  <c r="J4" i="7"/>
  <c r="AR4" i="7"/>
  <c r="J10" i="7"/>
  <c r="K10" i="7" s="1"/>
  <c r="CK6" i="10"/>
  <c r="J6" i="10"/>
  <c r="AP6" i="10"/>
  <c r="J4" i="10"/>
  <c r="CK5" i="10"/>
  <c r="Q5" i="10"/>
  <c r="Q4" i="9"/>
  <c r="CK10" i="9"/>
  <c r="Q10" i="9"/>
  <c r="J7" i="9"/>
  <c r="CK12" i="9"/>
  <c r="Q12" i="9"/>
  <c r="J4" i="9"/>
  <c r="L4" i="9" s="1"/>
  <c r="J12" i="9"/>
  <c r="AP12" i="9"/>
  <c r="J4" i="2"/>
  <c r="J13" i="2"/>
  <c r="K13" i="2" s="1"/>
  <c r="CK12" i="2"/>
  <c r="Q12" i="2"/>
  <c r="CK5" i="2"/>
  <c r="Q5" i="2"/>
  <c r="J12" i="2"/>
  <c r="AP12" i="2"/>
  <c r="J11" i="2"/>
  <c r="CK7" i="2"/>
  <c r="Q7" i="2"/>
  <c r="J6" i="2"/>
  <c r="AP6" i="2"/>
  <c r="J8" i="2"/>
  <c r="N8" i="2" s="1"/>
  <c r="J9" i="2"/>
  <c r="L9" i="2" s="1"/>
  <c r="J7" i="2"/>
  <c r="CK8" i="2"/>
  <c r="Q8" i="2"/>
  <c r="J22" i="4"/>
  <c r="J5" i="4"/>
  <c r="J10" i="4"/>
  <c r="K10" i="4" s="1"/>
  <c r="Q10" i="4"/>
  <c r="J8" i="4"/>
  <c r="N8" i="4" s="1"/>
  <c r="Q14" i="4"/>
  <c r="J11" i="4"/>
  <c r="J21" i="4"/>
  <c r="AP21" i="4"/>
  <c r="J23" i="4"/>
  <c r="Q7" i="4"/>
  <c r="CK7" i="4"/>
  <c r="AP10" i="4"/>
  <c r="AP8" i="4"/>
  <c r="AP24" i="4"/>
  <c r="J6" i="4"/>
  <c r="L6" i="4" s="1"/>
  <c r="AP19" i="4"/>
  <c r="J9" i="4"/>
  <c r="AP9" i="4"/>
  <c r="Q22" i="4"/>
  <c r="CK4" i="4"/>
  <c r="J13" i="4"/>
  <c r="AP13" i="4"/>
  <c r="AP14" i="4"/>
  <c r="J4" i="4"/>
  <c r="K4" i="4" s="1"/>
  <c r="DL14" i="5"/>
  <c r="Q14" i="5"/>
  <c r="DL8" i="6"/>
  <c r="Q8" i="6"/>
  <c r="DL12" i="6"/>
  <c r="Q12" i="6"/>
  <c r="CQ5" i="8"/>
  <c r="Q5" i="8"/>
  <c r="DL4" i="5"/>
  <c r="Q4" i="5"/>
  <c r="J7" i="4"/>
  <c r="AP7" i="4"/>
  <c r="J24" i="4"/>
  <c r="DL4" i="6"/>
  <c r="Q4" i="6"/>
  <c r="CK4" i="2"/>
  <c r="Q4" i="2"/>
  <c r="DL13" i="5"/>
  <c r="Q13" i="5"/>
  <c r="DL15" i="5"/>
  <c r="Q15" i="5"/>
  <c r="CQ9" i="7"/>
  <c r="Q9" i="7"/>
  <c r="CK13" i="4"/>
  <c r="Q13" i="4"/>
  <c r="DL12" i="5"/>
  <c r="Q12" i="5"/>
  <c r="CQ4" i="7"/>
  <c r="Q4" i="7"/>
  <c r="DL6" i="6"/>
  <c r="Q6" i="6"/>
  <c r="DL11" i="5"/>
  <c r="Q11" i="5"/>
  <c r="DJ9" i="6"/>
  <c r="DL7" i="6"/>
  <c r="Q7" i="6"/>
  <c r="DL5" i="6"/>
  <c r="Q5" i="6"/>
  <c r="DL6" i="5"/>
  <c r="Q6" i="5"/>
  <c r="M4" i="6" l="1"/>
  <c r="O12" i="5"/>
  <c r="M6" i="5"/>
  <c r="DK13" i="5"/>
  <c r="R13" i="5" s="1"/>
  <c r="S13" i="5" s="1"/>
  <c r="O13" i="5"/>
  <c r="M15" i="5"/>
  <c r="DJ4" i="5"/>
  <c r="R4" i="5" s="1"/>
  <c r="S4" i="5" s="1"/>
  <c r="M4" i="5"/>
  <c r="M14" i="5"/>
  <c r="O7" i="5"/>
  <c r="DK9" i="5"/>
  <c r="R9" i="5" s="1"/>
  <c r="S9" i="5" s="1"/>
  <c r="O9" i="5"/>
  <c r="O7" i="6"/>
  <c r="M12" i="6"/>
  <c r="DK12" i="6"/>
  <c r="O12" i="6"/>
  <c r="M7" i="6"/>
  <c r="DK8" i="6"/>
  <c r="R8" i="6" s="1"/>
  <c r="T8" i="6" s="1"/>
  <c r="O8" i="6"/>
  <c r="O6" i="6"/>
  <c r="DJ13" i="6"/>
  <c r="M13" i="6"/>
  <c r="DJ4" i="6"/>
  <c r="R4" i="6" s="1"/>
  <c r="O9" i="6"/>
  <c r="DJ6" i="6"/>
  <c r="M6" i="6"/>
  <c r="DK5" i="6"/>
  <c r="R5" i="6" s="1"/>
  <c r="S5" i="6" s="1"/>
  <c r="O5" i="6"/>
  <c r="DK13" i="6"/>
  <c r="O13" i="6"/>
  <c r="CI10" i="9"/>
  <c r="CJ20" i="4"/>
  <c r="A9" i="7"/>
  <c r="DJ11" i="5"/>
  <c r="DK11" i="5"/>
  <c r="DJ15" i="5"/>
  <c r="R15" i="5" s="1"/>
  <c r="DK9" i="6"/>
  <c r="R9" i="6" s="1"/>
  <c r="K10" i="9"/>
  <c r="M10" i="9" s="1"/>
  <c r="N10" i="9"/>
  <c r="N5" i="2"/>
  <c r="L14" i="4"/>
  <c r="K14" i="4"/>
  <c r="O14" i="4" s="1"/>
  <c r="K19" i="4"/>
  <c r="O19" i="4" s="1"/>
  <c r="K20" i="4"/>
  <c r="O20" i="4" s="1"/>
  <c r="L20" i="4"/>
  <c r="DJ12" i="6"/>
  <c r="K8" i="8"/>
  <c r="M8" i="8" s="1"/>
  <c r="N8" i="8"/>
  <c r="N5" i="10"/>
  <c r="L5" i="10"/>
  <c r="M5" i="10" s="1"/>
  <c r="N13" i="2"/>
  <c r="N10" i="4"/>
  <c r="L10" i="4"/>
  <c r="M10" i="4" s="1"/>
  <c r="DK12" i="5"/>
  <c r="R12" i="5" s="1"/>
  <c r="K7" i="8"/>
  <c r="O7" i="8" s="1"/>
  <c r="L7" i="8"/>
  <c r="L7" i="7"/>
  <c r="L4" i="2"/>
  <c r="CI4" i="2" s="1"/>
  <c r="L19" i="4"/>
  <c r="DK7" i="5"/>
  <c r="R7" i="5" s="1"/>
  <c r="N5" i="8"/>
  <c r="K5" i="8"/>
  <c r="K7" i="7"/>
  <c r="K5" i="9"/>
  <c r="N5" i="9"/>
  <c r="L5" i="9"/>
  <c r="K7" i="2"/>
  <c r="L7" i="2"/>
  <c r="CI7" i="2" s="1"/>
  <c r="K5" i="2"/>
  <c r="M5" i="2" s="1"/>
  <c r="N7" i="2"/>
  <c r="K6" i="4"/>
  <c r="M6" i="4" s="1"/>
  <c r="DJ7" i="6"/>
  <c r="N7" i="7"/>
  <c r="K9" i="7"/>
  <c r="N9" i="7"/>
  <c r="L9" i="7"/>
  <c r="K4" i="9"/>
  <c r="M4" i="9" s="1"/>
  <c r="N4" i="9"/>
  <c r="K4" i="2"/>
  <c r="K8" i="2"/>
  <c r="O8" i="2" s="1"/>
  <c r="N4" i="2"/>
  <c r="L8" i="2"/>
  <c r="CI8" i="2" s="1"/>
  <c r="K9" i="2"/>
  <c r="L13" i="2"/>
  <c r="CI13" i="2" s="1"/>
  <c r="L8" i="4"/>
  <c r="K8" i="4"/>
  <c r="O8" i="4" s="1"/>
  <c r="N6" i="4"/>
  <c r="DJ6" i="5"/>
  <c r="R6" i="5" s="1"/>
  <c r="DJ14" i="5"/>
  <c r="R14" i="5" s="1"/>
  <c r="S14" i="5" s="1"/>
  <c r="DK7" i="6"/>
  <c r="DK6" i="6"/>
  <c r="L5" i="8"/>
  <c r="N6" i="8"/>
  <c r="K6" i="8"/>
  <c r="L6" i="8"/>
  <c r="L10" i="7"/>
  <c r="N10" i="7"/>
  <c r="L4" i="7"/>
  <c r="K4" i="7"/>
  <c r="N4" i="7"/>
  <c r="N4" i="10"/>
  <c r="K4" i="10"/>
  <c r="L4" i="10"/>
  <c r="K6" i="10"/>
  <c r="N6" i="10"/>
  <c r="L6" i="10"/>
  <c r="L7" i="9"/>
  <c r="K7" i="9"/>
  <c r="N7" i="9"/>
  <c r="K12" i="9"/>
  <c r="L12" i="9"/>
  <c r="N12" i="9"/>
  <c r="N9" i="2"/>
  <c r="K6" i="2"/>
  <c r="L6" i="2"/>
  <c r="N6" i="2"/>
  <c r="N11" i="2"/>
  <c r="K11" i="2"/>
  <c r="L11" i="2"/>
  <c r="K12" i="2"/>
  <c r="N12" i="2"/>
  <c r="L12" i="2"/>
  <c r="N5" i="4"/>
  <c r="K5" i="4"/>
  <c r="K11" i="4"/>
  <c r="N11" i="4"/>
  <c r="L11" i="4"/>
  <c r="L5" i="4"/>
  <c r="L22" i="4"/>
  <c r="N22" i="4"/>
  <c r="K22" i="4"/>
  <c r="L13" i="4"/>
  <c r="N13" i="4"/>
  <c r="K13" i="4"/>
  <c r="K23" i="4"/>
  <c r="L23" i="4"/>
  <c r="N23" i="4"/>
  <c r="L9" i="4"/>
  <c r="N9" i="4"/>
  <c r="K9" i="4"/>
  <c r="N21" i="4"/>
  <c r="K21" i="4"/>
  <c r="L21" i="4"/>
  <c r="CJ8" i="4"/>
  <c r="CJ14" i="4"/>
  <c r="CJ19" i="4"/>
  <c r="CI5" i="2"/>
  <c r="CP7" i="8"/>
  <c r="N24" i="4"/>
  <c r="K24" i="4"/>
  <c r="L24" i="4"/>
  <c r="CO8" i="8"/>
  <c r="CI6" i="4"/>
  <c r="CJ8" i="2"/>
  <c r="CI9" i="2"/>
  <c r="M9" i="2"/>
  <c r="CI4" i="9"/>
  <c r="N7" i="4"/>
  <c r="K7" i="4"/>
  <c r="L7" i="4"/>
  <c r="L4" i="4"/>
  <c r="M4" i="4" s="1"/>
  <c r="N4" i="4"/>
  <c r="O4" i="4" s="1"/>
  <c r="O4" i="7" l="1"/>
  <c r="M9" i="7"/>
  <c r="M6" i="10"/>
  <c r="O6" i="10"/>
  <c r="O8" i="8"/>
  <c r="O7" i="2"/>
  <c r="M5" i="8"/>
  <c r="O5" i="8"/>
  <c r="M6" i="8"/>
  <c r="M4" i="10"/>
  <c r="M7" i="4"/>
  <c r="O9" i="2"/>
  <c r="E9" i="6"/>
  <c r="M4" i="7"/>
  <c r="O23" i="4"/>
  <c r="O11" i="4"/>
  <c r="R12" i="6"/>
  <c r="S12" i="6" s="1"/>
  <c r="R13" i="6"/>
  <c r="S13" i="6" s="1"/>
  <c r="R6" i="6"/>
  <c r="S6" i="6" s="1"/>
  <c r="O6" i="8"/>
  <c r="CO7" i="8"/>
  <c r="R7" i="8" s="1"/>
  <c r="M7" i="8"/>
  <c r="CP7" i="7"/>
  <c r="O7" i="7"/>
  <c r="CP10" i="7"/>
  <c r="O10" i="7"/>
  <c r="CP9" i="7"/>
  <c r="O9" i="7"/>
  <c r="M7" i="7"/>
  <c r="CO10" i="7"/>
  <c r="M10" i="7"/>
  <c r="O4" i="10"/>
  <c r="CJ5" i="10"/>
  <c r="O5" i="10"/>
  <c r="M7" i="9"/>
  <c r="CJ10" i="9"/>
  <c r="R10" i="9" s="1"/>
  <c r="S10" i="9" s="1"/>
  <c r="O10" i="9"/>
  <c r="O7" i="9"/>
  <c r="CJ4" i="9"/>
  <c r="R4" i="9" s="1"/>
  <c r="O4" i="9"/>
  <c r="O12" i="9"/>
  <c r="CI5" i="9"/>
  <c r="R5" i="9" s="1"/>
  <c r="S5" i="9" s="1"/>
  <c r="M5" i="9"/>
  <c r="M12" i="9"/>
  <c r="CJ5" i="9"/>
  <c r="O5" i="9"/>
  <c r="O6" i="2"/>
  <c r="O5" i="2"/>
  <c r="O12" i="2"/>
  <c r="O11" i="2"/>
  <c r="CJ4" i="2"/>
  <c r="R4" i="2" s="1"/>
  <c r="O4" i="2"/>
  <c r="CJ13" i="2"/>
  <c r="R13" i="2" s="1"/>
  <c r="O13" i="2"/>
  <c r="M14" i="4"/>
  <c r="M13" i="4"/>
  <c r="O7" i="4"/>
  <c r="M24" i="4"/>
  <c r="M21" i="4"/>
  <c r="M11" i="4"/>
  <c r="M19" i="4"/>
  <c r="O9" i="4"/>
  <c r="CI8" i="4"/>
  <c r="R8" i="4" s="1"/>
  <c r="M8" i="4"/>
  <c r="O22" i="4"/>
  <c r="M23" i="4"/>
  <c r="M5" i="4"/>
  <c r="CJ10" i="4"/>
  <c r="O10" i="4"/>
  <c r="M20" i="4"/>
  <c r="O5" i="4"/>
  <c r="M9" i="4"/>
  <c r="M22" i="4"/>
  <c r="O24" i="4"/>
  <c r="O21" i="4"/>
  <c r="O13" i="4"/>
  <c r="CJ6" i="4"/>
  <c r="R6" i="4" s="1"/>
  <c r="T6" i="4" s="1"/>
  <c r="O6" i="4"/>
  <c r="R11" i="5"/>
  <c r="E11" i="5" s="1"/>
  <c r="E4" i="6"/>
  <c r="CO7" i="7"/>
  <c r="CJ5" i="2"/>
  <c r="R5" i="2" s="1"/>
  <c r="S5" i="2" s="1"/>
  <c r="CI14" i="4"/>
  <c r="R14" i="4" s="1"/>
  <c r="T15" i="5"/>
  <c r="S15" i="5"/>
  <c r="E15" i="5"/>
  <c r="E4" i="5"/>
  <c r="E9" i="5"/>
  <c r="E13" i="5"/>
  <c r="T9" i="5"/>
  <c r="T13" i="5"/>
  <c r="T9" i="6"/>
  <c r="S9" i="6"/>
  <c r="CP8" i="8"/>
  <c r="R8" i="8" s="1"/>
  <c r="S8" i="8" s="1"/>
  <c r="M7" i="2"/>
  <c r="R7" i="6"/>
  <c r="E7" i="6" s="1"/>
  <c r="CI5" i="10"/>
  <c r="CI19" i="4"/>
  <c r="R19" i="4" s="1"/>
  <c r="T19" i="4" s="1"/>
  <c r="CI20" i="4"/>
  <c r="R20" i="4" s="1"/>
  <c r="T20" i="4" s="1"/>
  <c r="CI10" i="4"/>
  <c r="T4" i="5"/>
  <c r="T4" i="6"/>
  <c r="S4" i="6"/>
  <c r="T5" i="6"/>
  <c r="CO9" i="7"/>
  <c r="M8" i="2"/>
  <c r="CP5" i="8"/>
  <c r="M4" i="2"/>
  <c r="T12" i="5"/>
  <c r="S12" i="5"/>
  <c r="E12" i="5"/>
  <c r="M13" i="2"/>
  <c r="T6" i="5"/>
  <c r="S6" i="5"/>
  <c r="S7" i="5"/>
  <c r="T7" i="5"/>
  <c r="E7" i="5"/>
  <c r="E14" i="5"/>
  <c r="CO5" i="8"/>
  <c r="CJ7" i="2"/>
  <c r="R7" i="2" s="1"/>
  <c r="E6" i="5"/>
  <c r="CJ9" i="2"/>
  <c r="R9" i="2" s="1"/>
  <c r="T14" i="5"/>
  <c r="S8" i="6"/>
  <c r="E8" i="6"/>
  <c r="A8" i="6" s="1"/>
  <c r="E5" i="6"/>
  <c r="CO6" i="8"/>
  <c r="CP6" i="8"/>
  <c r="CP4" i="7"/>
  <c r="CO4" i="7"/>
  <c r="CI4" i="10"/>
  <c r="CI6" i="10"/>
  <c r="CJ4" i="10"/>
  <c r="CJ6" i="10"/>
  <c r="CI12" i="9"/>
  <c r="CJ7" i="9"/>
  <c r="CI7" i="9"/>
  <c r="CJ12" i="9"/>
  <c r="R8" i="2"/>
  <c r="CJ6" i="2"/>
  <c r="M12" i="2"/>
  <c r="CI12" i="2"/>
  <c r="CJ12" i="2"/>
  <c r="CI11" i="2"/>
  <c r="M11" i="2"/>
  <c r="CI6" i="2"/>
  <c r="M6" i="2"/>
  <c r="CJ11" i="2"/>
  <c r="CI11" i="4"/>
  <c r="CJ22" i="4"/>
  <c r="CI22" i="4"/>
  <c r="CJ11" i="4"/>
  <c r="CI5" i="4"/>
  <c r="CJ5" i="4"/>
  <c r="CJ23" i="4"/>
  <c r="CJ9" i="4"/>
  <c r="CI9" i="4"/>
  <c r="CJ13" i="4"/>
  <c r="CI21" i="4"/>
  <c r="CI23" i="4"/>
  <c r="CI13" i="4"/>
  <c r="CJ21" i="4"/>
  <c r="CI4" i="4"/>
  <c r="CI24" i="4"/>
  <c r="CI7" i="4"/>
  <c r="CJ24" i="4"/>
  <c r="CJ4" i="4"/>
  <c r="CJ7" i="4"/>
  <c r="T12" i="6" l="1"/>
  <c r="E10" i="9"/>
  <c r="R5" i="10"/>
  <c r="S5" i="10" s="1"/>
  <c r="R7" i="7"/>
  <c r="S7" i="7" s="1"/>
  <c r="R9" i="7"/>
  <c r="S9" i="7" s="1"/>
  <c r="E6" i="6"/>
  <c r="A4" i="6" s="1"/>
  <c r="T6" i="6"/>
  <c r="T13" i="6"/>
  <c r="E13" i="6"/>
  <c r="R10" i="7"/>
  <c r="S10" i="7" s="1"/>
  <c r="S11" i="5"/>
  <c r="E12" i="6"/>
  <c r="T10" i="9"/>
  <c r="R10" i="4"/>
  <c r="T10" i="4" s="1"/>
  <c r="T11" i="5"/>
  <c r="A9" i="5"/>
  <c r="R5" i="8"/>
  <c r="S5" i="8" s="1"/>
  <c r="T7" i="6"/>
  <c r="A8" i="5"/>
  <c r="A14" i="5"/>
  <c r="A5" i="5"/>
  <c r="A7" i="5"/>
  <c r="S7" i="6"/>
  <c r="E7" i="2"/>
  <c r="R4" i="7"/>
  <c r="E4" i="7" s="1"/>
  <c r="E8" i="2"/>
  <c r="E20" i="4"/>
  <c r="A11" i="5"/>
  <c r="A6" i="5"/>
  <c r="A4" i="5"/>
  <c r="A13" i="5"/>
  <c r="S20" i="4"/>
  <c r="E7" i="8"/>
  <c r="E5" i="9"/>
  <c r="T5" i="9"/>
  <c r="E13" i="2"/>
  <c r="S7" i="2"/>
  <c r="T7" i="2"/>
  <c r="S13" i="2"/>
  <c r="S9" i="2"/>
  <c r="E9" i="2"/>
  <c r="T9" i="2"/>
  <c r="S8" i="2"/>
  <c r="T5" i="2"/>
  <c r="R12" i="2"/>
  <c r="S12" i="2" s="1"/>
  <c r="R21" i="4"/>
  <c r="S21" i="4" s="1"/>
  <c r="R22" i="4"/>
  <c r="E22" i="4" s="1"/>
  <c r="E6" i="4"/>
  <c r="T8" i="8"/>
  <c r="E8" i="8"/>
  <c r="R6" i="8"/>
  <c r="R6" i="10"/>
  <c r="E6" i="10" s="1"/>
  <c r="R4" i="10"/>
  <c r="R7" i="9"/>
  <c r="R12" i="9"/>
  <c r="T8" i="2"/>
  <c r="E5" i="2"/>
  <c r="T13" i="2"/>
  <c r="R11" i="2"/>
  <c r="E11" i="2" s="1"/>
  <c r="A11" i="2" s="1"/>
  <c r="R6" i="2"/>
  <c r="E6" i="2" s="1"/>
  <c r="S19" i="4"/>
  <c r="R9" i="4"/>
  <c r="E9" i="4" s="1"/>
  <c r="E19" i="4"/>
  <c r="R11" i="4"/>
  <c r="S6" i="4"/>
  <c r="R23" i="4"/>
  <c r="S23" i="4" s="1"/>
  <c r="R5" i="4"/>
  <c r="R13" i="4"/>
  <c r="T14" i="4"/>
  <c r="S14" i="4"/>
  <c r="E14" i="4"/>
  <c r="R24" i="4"/>
  <c r="E24" i="4" s="1"/>
  <c r="R4" i="4"/>
  <c r="E4" i="4" s="1"/>
  <c r="S4" i="2"/>
  <c r="T4" i="2"/>
  <c r="E4" i="2"/>
  <c r="T8" i="4"/>
  <c r="S8" i="4"/>
  <c r="T4" i="9"/>
  <c r="S4" i="9"/>
  <c r="R7" i="4"/>
  <c r="E7" i="4" s="1"/>
  <c r="T7" i="8"/>
  <c r="S7" i="8"/>
  <c r="E4" i="9"/>
  <c r="E8" i="4"/>
  <c r="A10" i="6" l="1"/>
  <c r="E9" i="7"/>
  <c r="T9" i="7"/>
  <c r="E5" i="10"/>
  <c r="A7" i="6"/>
  <c r="A6" i="6"/>
  <c r="A5" i="6"/>
  <c r="A9" i="6"/>
  <c r="T10" i="7"/>
  <c r="E10" i="7"/>
  <c r="T7" i="7"/>
  <c r="T5" i="10"/>
  <c r="E7" i="7"/>
  <c r="A5" i="7" s="1"/>
  <c r="S10" i="4"/>
  <c r="E10" i="4"/>
  <c r="E5" i="8"/>
  <c r="T5" i="8"/>
  <c r="S4" i="7"/>
  <c r="T4" i="7"/>
  <c r="S6" i="10"/>
  <c r="A7" i="7"/>
  <c r="T6" i="10"/>
  <c r="S9" i="4"/>
  <c r="T9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1" i="4"/>
  <c r="T21" i="4"/>
  <c r="E12" i="2"/>
  <c r="A10" i="2" s="1"/>
  <c r="T12" i="2"/>
  <c r="S22" i="4"/>
  <c r="T22" i="4"/>
  <c r="S6" i="8"/>
  <c r="T6" i="8"/>
  <c r="E6" i="8"/>
  <c r="A8" i="8" s="1"/>
  <c r="T4" i="10"/>
  <c r="S4" i="10"/>
  <c r="E4" i="10"/>
  <c r="A6" i="10" s="1"/>
  <c r="S12" i="9"/>
  <c r="T12" i="9"/>
  <c r="S7" i="9"/>
  <c r="T7" i="9"/>
  <c r="E7" i="9"/>
  <c r="E12" i="9"/>
  <c r="S6" i="2"/>
  <c r="T6" i="2"/>
  <c r="S11" i="2"/>
  <c r="T11" i="2"/>
  <c r="E5" i="4"/>
  <c r="T5" i="4"/>
  <c r="S5" i="4"/>
  <c r="E11" i="4"/>
  <c r="T11" i="4"/>
  <c r="S11" i="4"/>
  <c r="T23" i="4"/>
  <c r="E23" i="4"/>
  <c r="S13" i="4"/>
  <c r="T13" i="4"/>
  <c r="E13" i="4"/>
  <c r="S24" i="4"/>
  <c r="T24" i="4"/>
  <c r="T4" i="4"/>
  <c r="S4" i="4"/>
  <c r="S7" i="4"/>
  <c r="T7" i="4"/>
  <c r="D44" i="11" l="1"/>
  <c r="A6" i="7"/>
  <c r="A4" i="7"/>
  <c r="C30" i="11" s="1"/>
  <c r="D43" i="11"/>
  <c r="C45" i="11"/>
  <c r="C49" i="11"/>
  <c r="D42" i="11"/>
  <c r="D45" i="11"/>
  <c r="D46" i="11"/>
  <c r="D48" i="11"/>
  <c r="C46" i="11"/>
  <c r="C48" i="11"/>
  <c r="C44" i="11"/>
  <c r="D47" i="11"/>
  <c r="D49" i="11"/>
  <c r="C42" i="11"/>
  <c r="C47" i="11"/>
  <c r="C43" i="11"/>
  <c r="A5" i="8"/>
  <c r="A7" i="2"/>
  <c r="A5" i="9"/>
  <c r="A7" i="8"/>
  <c r="A6" i="8"/>
  <c r="A4" i="8"/>
  <c r="A6" i="4"/>
  <c r="A5" i="2"/>
  <c r="A4" i="4"/>
  <c r="A4" i="9"/>
  <c r="A5" i="10"/>
  <c r="A4" i="10"/>
  <c r="A6" i="2"/>
  <c r="A8" i="2"/>
  <c r="A9" i="2"/>
  <c r="A4" i="2"/>
  <c r="A5" i="4"/>
  <c r="A8" i="4"/>
  <c r="C27" i="11" l="1"/>
  <c r="C32" i="11"/>
  <c r="D28" i="11"/>
  <c r="C29" i="11"/>
  <c r="D26" i="11"/>
  <c r="C26" i="11"/>
  <c r="D27" i="11"/>
  <c r="D33" i="11"/>
  <c r="D31" i="11"/>
  <c r="D30" i="11"/>
  <c r="C28" i="11"/>
  <c r="D32" i="11"/>
  <c r="C33" i="11"/>
  <c r="C31" i="11"/>
  <c r="D29" i="11"/>
  <c r="D19" i="1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<sst xmlns="http://schemas.openxmlformats.org/spreadsheetml/2006/main" count="3909" uniqueCount="185">
  <si>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</si>
  <si>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</si>
  <si>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</si>
  <si>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</si>
  <si>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</si>
  <si>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</si>
  <si>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</si>
  <si>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</si>
  <si>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</si>
  <si>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</si>
  <si>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</si>
  <si>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DAGENAIS, Frédéric</t>
  </si>
  <si>
    <t>QC</t>
  </si>
  <si>
    <t>ARMSTRONG, Mark</t>
  </si>
  <si>
    <t>MASSÉ, Gabriel</t>
  </si>
  <si>
    <t>CARISSE, Jesse</t>
  </si>
  <si>
    <t>TYO, Benjamin</t>
  </si>
  <si>
    <t>BRUNO, Mario</t>
  </si>
  <si>
    <t>NG, Vincent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</si>
  <si>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</si>
  <si>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</si>
  <si>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</si>
  <si>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</si>
  <si>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</si>
  <si>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</si>
  <si>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</si>
  <si>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</si>
  <si>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</si>
  <si>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</si>
  <si>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</si>
  <si>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</si>
  <si>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</si>
  <si>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</si>
  <si>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</si>
  <si>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</si>
  <si>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</si>
  <si>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</si>
  <si>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</si>
  <si>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</si>
  <si>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</si>
  <si>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LAPIERRE, Kyle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</si>
  <si>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</si>
  <si>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</si>
  <si>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</si>
  <si>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</si>
  <si>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</si>
  <si>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</si>
  <si>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</si>
  <si>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DUFOUR, Karine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</si>
  <si>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</si>
  <si>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</si>
  <si>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</si>
  <si>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</si>
  <si>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</si>
  <si>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</si>
  <si>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</si>
  <si>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</si>
  <si>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</si>
  <si>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</si>
  <si>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</si>
  <si>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</si>
  <si>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</si>
  <si>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</si>
  <si>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</si>
  <si>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</si>
  <si>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WHEATLEY, Sarah</t>
  </si>
  <si>
    <t>OH, Arden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</si>
  <si>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</si>
  <si>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</si>
  <si>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</si>
  <si>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</si>
  <si>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</si>
  <si>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</si>
  <si>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</si>
  <si>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</si>
  <si>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</si>
  <si>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</si>
  <si>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</si>
  <si>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</si>
  <si>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</si>
  <si>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</si>
  <si>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</si>
  <si>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</si>
  <si>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</si>
  <si>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</si>
  <si>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</si>
  <si>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</si>
  <si>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</si>
  <si>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</si>
  <si>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2017 3rd Domestic Trial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</si>
  <si>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</si>
  <si>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</si>
  <si>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</si>
  <si>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</si>
  <si>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</si>
  <si>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</si>
  <si>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CRANHAM &amp; NG</t>
  </si>
  <si>
    <t>SMITH &amp; TAM</t>
  </si>
  <si>
    <t>SOEHN &amp; SOEHN</t>
  </si>
  <si>
    <t>2017 World Cup POR (Sept)</t>
  </si>
  <si>
    <t>2017 World Cup ESP (Oct)</t>
  </si>
  <si>
    <t>Team Members:</t>
  </si>
  <si>
    <t>TRA-M</t>
  </si>
  <si>
    <t>Member</t>
  </si>
  <si>
    <t>Last Updated:</t>
  </si>
  <si>
    <t>Ciudad de Valladolid (Oct)</t>
  </si>
  <si>
    <t>TRA-W</t>
  </si>
  <si>
    <t>SYN-M</t>
  </si>
  <si>
    <t>SYN-W</t>
  </si>
  <si>
    <t>TUM-M</t>
  </si>
  <si>
    <t>TUM-W</t>
  </si>
  <si>
    <t>DMT-M</t>
  </si>
  <si>
    <t>DMT-W</t>
  </si>
  <si>
    <t>2017 World Championships (Nov)</t>
  </si>
  <si>
    <t>2017 World Championships Semi-Finals (Nov)</t>
  </si>
  <si>
    <t>2017 World Championships Team Finals (Nov)</t>
  </si>
  <si>
    <t>2017 World Age Group Championships (Nov)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</si>
  <si>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</si>
  <si>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</si>
  <si>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</si>
  <si>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</si>
  <si>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</si>
  <si>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</si>
  <si>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</si>
  <si>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</si>
  <si>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</si>
  <si>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</si>
  <si>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</si>
  <si>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</si>
  <si>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</si>
  <si>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</si>
  <si>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</si>
  <si>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</si>
  <si>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</si>
  <si>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</si>
  <si>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2018 World Cup ITA (Apr)</t>
  </si>
  <si>
    <t>2018 Pacific Rim (Apr)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</si>
  <si>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</si>
  <si>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</si>
  <si>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</si>
  <si>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</si>
  <si>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</si>
  <si>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</si>
  <si>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</si>
  <si>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</si>
  <si>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</si>
  <si>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</si>
  <si>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</si>
  <si>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</si>
  <si>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2018 Pacific Rim Team Finals (Apr)</t>
  </si>
  <si>
    <t>ON/BC</t>
  </si>
  <si>
    <t>ROUX &amp; SOEHN</t>
  </si>
  <si>
    <t>REDILLAS, Damien</t>
  </si>
  <si>
    <t>HAIMES, Devon</t>
  </si>
  <si>
    <t>2018 Junior Pan Am Championships (June)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</si>
  <si>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</si>
  <si>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</si>
  <si>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</si>
  <si>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</si>
  <si>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</si>
  <si>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</si>
  <si>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</si>
  <si>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</si>
  <si>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</si>
  <si>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</si>
  <si>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</si>
  <si>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</si>
  <si>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1994/1992</t>
  </si>
  <si>
    <t>2002/1999</t>
  </si>
  <si>
    <t>1997/1995</t>
  </si>
  <si>
    <t>1994/1995</t>
  </si>
  <si>
    <t>2001/2002</t>
  </si>
  <si>
    <t>1998/1997</t>
  </si>
  <si>
    <t>1992/1998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</si>
  <si>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</si>
  <si>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</si>
  <si>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</si>
  <si>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</si>
  <si>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</si>
  <si>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</si>
  <si>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</si>
  <si>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</si>
  <si>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Added Several Macros</t>
  </si>
  <si>
    <t>2018 World Cup JPN (Aug)</t>
  </si>
  <si>
    <t>World Cup JPN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</si>
</sst>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3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3" borderId="0" xfId="0" applyFont="1" applyFill="1" applyAlignment="1" applyProtection="1">
      <alignment horizontal="center"/>
      <protection locked="0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1"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E5C6FA"/>
      <color rgb="FFFFBFFF"/>
      <color rgb="FFFF00FC"/>
      <color rgb="FFFFA300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101</v>
      </c>
      <c r="B1" t="s">
        <v>1</v>
      </c>
      <c r="C1" t="s">
        <v>103</v>
      </c>
      <c r="D1" t="s">
        <v>22</v>
      </c>
      <c r="E1" s="62"/>
      <c r="F1" s="62"/>
      <c r="J1" s="62"/>
      <c r="K1" s="62"/>
      <c r="L1" s="62"/>
    </row>
    <row r="2" spans="1:12" x14ac:dyDescent="0.2">
      <c r="A2" s="12" t="s">
        <v>102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Worlds Team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SOEHN, Keegan</v>
      </c>
      <c r="D3" s="12" t="str">
        <f>IF(B3&gt;MAX('TRA-M'!A:A),"",IF(INDEX('TRA-M'!I:I,MATCH(B3,'TRA-M'!A:A))="","No DD",INDEX('TRA-M'!I:I,MATCH(B3,'TRA-M'!A:A))))</f>
        <v>Worlds Team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CRANHAM, Jacob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SOEHN, Kyle</v>
      </c>
      <c r="D5" s="12" t="str">
        <f>IF(B5&gt;MAX('TRA-M'!A:A),"",IF(INDEX('TRA-M'!I:I,MATCH(B5,'TRA-M'!A:A))="","No DD",INDEX('TRA-M'!I:I,MATCH(B5,'TRA-M'!A:A))))</f>
        <v>National Team</v>
      </c>
    </row>
    <row r="6" spans="1:12" hidden="1" x14ac:dyDescent="0.2">
      <c r="A6" s="12"/>
      <c r="B6" s="12">
        <v>5</v>
      </c>
      <c r="C6" s="12" t="str">
        <f>IF(B6&gt;MAX('TRA-M'!A:A),"",INDEX('TRA-M'!B:B,MATCH(B6,'TRA-M'!A:A)))</f>
        <v/>
      </c>
      <c r="D6" s="12" t="str">
        <f>IF(B6&gt;MAX('TRA-M'!A:A),"",IF(INDEX('TRA-M'!I:I,MATCH(B6,'TRA-M'!A:A))="","No DD",INDEX('TRA-M'!I:I,MATCH(B6,'TRA-M'!A:A))))</f>
        <v/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106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Funding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Funding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hidden="1" x14ac:dyDescent="0.2">
      <c r="A17" s="15"/>
      <c r="B17" s="15">
        <v>8</v>
      </c>
      <c r="C17" s="15" t="str">
        <f>IF(B9&gt;MAX('TRA-W'!A:A),"",INDEX('TRA-W'!B:B,MATCH(B9,'TRA-W'!A:A)))</f>
        <v/>
      </c>
      <c r="D17" s="15" t="str">
        <f>IF(B9&gt;MAX('TRA-W'!A:A),"",IF(INDEX('TRA-W'!I:I,MATCH(B9,'TRA-W'!A:A))="","No DD",INDEX('TRA-W'!I:I,MATCH(B9,'TRA-W'!A:A))))</f>
        <v/>
      </c>
      <c r="J17" s="62"/>
    </row>
    <row r="18" spans="1:10" x14ac:dyDescent="0.2">
      <c r="A18" s="12" t="s">
        <v>107</v>
      </c>
      <c r="B18" s="12">
        <v>1</v>
      </c>
      <c r="C18" s="12" t="str">
        <f>IF(B2&gt;MAX('SYN-M'!A:A),"",INDEX('SYN-M'!B:B,MATCH(B2,'SYN-M'!A:A)))</f>
        <v>SOEHN &amp; SOEHN</v>
      </c>
      <c r="D18" s="12" t="str">
        <f>IF(B2&gt;MAX('SYN-M'!A:A),"",IF(INDEX('SYN-M'!I:I,MATCH(B2,'SYN-M'!A:A))="","No DD",INDEX('SYN-M'!I:I,MATCH(B2,'SYN-M'!A:A))))</f>
        <v>Funding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BURNETT &amp; CRANHAM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108</v>
      </c>
      <c r="B22" s="15">
        <v>1</v>
      </c>
      <c r="C22" s="15" t="str">
        <f>IF(B2&gt;MAX('SYN-W'!A:A),"",INDEX('SYN-W'!B:B,MATCH(B2,'SYN-W'!A:A)))</f>
        <v>MÉTHOT &amp; MILETTE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SMITH &amp; TAM</v>
      </c>
      <c r="D23" s="15" t="str">
        <f>IF(B3&gt;MAX('SYN-W'!A:A),"",IF(INDEX('SYN-W'!I:I,MATCH(B3,'SYN-W'!A:A))="","No DD",INDEX('SYN-W'!I:I,MATCH(B3,'SYN-W'!A:A))))</f>
        <v>Funding</v>
      </c>
    </row>
    <row r="24" spans="1:10" x14ac:dyDescent="0.2">
      <c r="A24" s="15"/>
      <c r="B24" s="15">
        <v>3</v>
      </c>
      <c r="C24" s="15" t="str">
        <f>IF(B4&gt;MAX('SYN-W'!A:A),"",INDEX('SYN-W'!B:B,MATCH(B4,'SYN-W'!A:A)))</f>
        <v>MACLENNAN &amp; TAM</v>
      </c>
      <c r="D24" s="15" t="str">
        <f>IF(B4&gt;MAX('SYN-W'!A:A),"",IF(INDEX('SYN-W'!I:I,MATCH(B4,'SYN-W'!A:A))="","No DD",INDEX('SYN-W'!I:I,MATCH(B4,'SYN-W'!A:A))))</f>
        <v>Merit</v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109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SUNDQUIST, Callum</v>
      </c>
      <c r="D27" s="12" t="str">
        <f>IF(B3&gt;MAX('TUM-M'!A:A),"",IF(INDEX('TUM-M'!I:I,MATCH(B3,'TUM-M'!A:A))="","No DD",INDEX('TUM-M'!I:I,MATCH(B3,'TUM-M'!A:A))))</f>
        <v>Worlds Team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REDILLAS, Damien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CHAVES, Michael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110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111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ARMSTRONG, Mark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SHEEHAN, Ryan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TOMALTY, Connar</v>
      </c>
      <c r="D45" s="12" t="str">
        <f>IF(B5&gt;MAX('DMT-M'!A:A),"",IF(INDEX('DMT-M'!I:I,MATCH(B5,'DMT-M'!A:A))="","No DD",INDEX('DMT-M'!I:I,MATCH(B5,'DMT-M'!A:A))))</f>
        <v>National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SUNDQUIST, Callum</v>
      </c>
      <c r="D46" s="12" t="str">
        <f>IF(B6&gt;MAX('DMT-M'!A:A),"",IF(INDEX('DMT-M'!I:I,MATCH(B6,'DMT-M'!A:A))="","No DD",INDEX('DMT-M'!I:I,MATCH(B6,'DMT-M'!A:A))))</f>
        <v>National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BLAKELY, Zachary</v>
      </c>
      <c r="D47" s="12" t="str">
        <f>IF(B7&gt;MAX('DMT-M'!A:A),"",IF(INDEX('DMT-M'!I:I,MATCH(B7,'DMT-M'!A:A))="","No DD",INDEX('DMT-M'!I:I,MATCH(B7,'DMT-M'!A:A))))</f>
        <v>No DD</v>
      </c>
    </row>
    <row r="48" spans="1:4" hidden="1" x14ac:dyDescent="0.2">
      <c r="A48" s="12"/>
      <c r="B48" s="12">
        <v>7</v>
      </c>
      <c r="C48" s="12" t="str">
        <f>IF(B8&gt;MAX('DMT-M'!A:A),"",INDEX('DMT-M'!B:B,MATCH(B8,'DMT-M'!A:A)))</f>
        <v/>
      </c>
      <c r="D48" s="12" t="str">
        <f>IF(B8&gt;MAX('DMT-M'!A:A),"",IF(INDEX('DMT-M'!I:I,MATCH(B8,'DMT-M'!A:A))="","No DD",INDEX('DMT-M'!I:I,MATCH(B8,'DMT-M'!A:A))))</f>
        <v/>
      </c>
    </row>
    <row r="49" spans="1:5" hidden="1" x14ac:dyDescent="0.2">
      <c r="A49" s="12"/>
      <c r="B49" s="12">
        <v>8</v>
      </c>
      <c r="C49" s="12" t="str">
        <f>IF(B9&gt;MAX('DMT-M'!A:A),"",INDEX('DMT-M'!B:B,MATCH(B9,'DMT-M'!A:A)))</f>
        <v/>
      </c>
      <c r="D49" s="12" t="str">
        <f>IF(B9&gt;MAX('DMT-M'!A:A),"",IF(INDEX('DMT-M'!I:I,MATCH(B9,'DMT-M'!A:A))="","No DD",INDEX('DMT-M'!I:I,MATCH(B9,'DMT-M'!A:A))))</f>
        <v/>
      </c>
    </row>
    <row r="50" spans="1:5" x14ac:dyDescent="0.2">
      <c r="A50" s="15" t="s">
        <v>112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GRIEVE, Danielle</v>
      </c>
      <c r="D52" s="15" t="str">
        <f>IF(B4&gt;MAX('DMT-W'!A:A),"",IF(INDEX('DMT-W'!I:I,MATCH(B4,'DMT-W'!A:A))="","No DD",INDEX('DMT-W'!I:I,MATCH(B4,'DMT-W'!A:A))))</f>
        <v>Worlds Team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FOREST, Alexandra</v>
      </c>
      <c r="D54" s="15" t="str">
        <f>IF(B6&gt;MAX('DMT-W'!A:A),"",IF(INDEX('DMT-W'!I:I,MATCH(B6,'DMT-W'!A:A))="","No DD",INDEX('DMT-W'!I:I,MATCH(B6,'DMT-W'!A:A))))</f>
        <v>Funding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92</v>
      </c>
    </row>
    <row r="60" spans="1:5" x14ac:dyDescent="0.2">
      <c r="B60" s="62" t="s">
        <v>90</v>
      </c>
    </row>
    <row r="61" spans="1:5" x14ac:dyDescent="0.2">
      <c r="B61" s="62" t="s">
        <v>91</v>
      </c>
    </row>
    <row r="62" spans="1:5" x14ac:dyDescent="0.2">
      <c r="B62" s="62" t="s">
        <v>179</v>
      </c>
      <c r="D62" s="62" t="s">
        <v>177</v>
      </c>
      <c r="E62" t="s">
        <v>177</v>
      </c>
    </row>
    <row r="63" spans="1:5" x14ac:dyDescent="0.2">
      <c r="B63" s="32" t="s">
        <v>180</v>
      </c>
      <c r="D63" s="62" t="s">
        <v>177</v>
      </c>
    </row>
    <row r="64" spans="1:5" x14ac:dyDescent="0.2">
      <c r="B64" s="62" t="s">
        <v>178</v>
      </c>
      <c r="D64" s="62"/>
    </row>
    <row r="65" spans="1:4" x14ac:dyDescent="0.2">
      <c r="B65" s="62" t="s">
        <v>181</v>
      </c>
      <c r="D65" s="62" t="s">
        <v>177</v>
      </c>
    </row>
    <row r="66" spans="1:4" x14ac:dyDescent="0.2">
      <c r="A66" t="s">
        <v>104</v>
      </c>
      <c r="B66" s="96">
        <v>43332</v>
      </c>
      <c r="C66" s="96"/>
    </row>
    <row r="67" spans="1:4" x14ac:dyDescent="0.2">
      <c r="B67" t="s">
        <v>184</v>
      </c>
    </row>
    <row r="68" spans="1:4" x14ac:dyDescent="0.2">
      <c r="B68" t="s">
        <v>182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0" priority="1" operator="containsText" text="No DD">
      <formula>NOT(ISERROR(SEARCH("No DD",D2)))</formula>
    </cfRule>
    <cfRule type="containsText" dxfId="199" priority="4" operator="containsText" text="Merit">
      <formula>NOT(ISERROR(SEARCH("Merit",D2)))</formula>
    </cfRule>
    <cfRule type="containsText" dxfId="198" priority="5" operator="containsText" text="Funding">
      <formula>NOT(ISERROR(SEARCH("Funding",D2)))</formula>
    </cfRule>
    <cfRule type="containsText" dxfId="197" priority="6" operator="containsText" text="Worlds Team">
      <formula>NOT(ISERROR(SEARCH("Worlds Team",D2)))</formula>
    </cfRule>
    <cfRule type="containsText" dxfId="19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24</v>
      </c>
      <c r="M1" s="101" t="s">
        <v>86</v>
      </c>
      <c r="N1" s="101" t="s">
        <v>25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4" t="s">
        <v>121</v>
      </c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2" t="s">
        <v>139</v>
      </c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5" t="s">
        <v>27</v>
      </c>
      <c r="CJ1" s="105"/>
      <c r="CK1" s="105"/>
      <c r="CL1" s="102" t="s">
        <v>113</v>
      </c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4" t="s">
        <v>136</v>
      </c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2" t="s">
        <v>149</v>
      </c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4" t="s">
        <v>135</v>
      </c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2" t="s">
        <v>183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</row>
    <row r="2" spans="1:34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32</v>
      </c>
      <c r="V2" s="98"/>
      <c r="W2" s="98"/>
      <c r="X2" s="98"/>
      <c r="Y2" s="98"/>
      <c r="Z2" s="98" t="s">
        <v>33</v>
      </c>
      <c r="AA2" s="98"/>
      <c r="AB2" s="98"/>
      <c r="AC2" s="98"/>
      <c r="AD2" s="98"/>
      <c r="AE2" s="98" t="s">
        <v>36</v>
      </c>
      <c r="AF2" s="98"/>
      <c r="AG2" s="98"/>
      <c r="AH2" s="98"/>
      <c r="AI2" s="98"/>
      <c r="AJ2" s="90"/>
      <c r="AK2" s="41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97" t="s">
        <v>32</v>
      </c>
      <c r="AR2" s="97"/>
      <c r="AS2" s="97"/>
      <c r="AT2" s="97"/>
      <c r="AU2" s="97"/>
      <c r="AV2" s="97" t="s">
        <v>33</v>
      </c>
      <c r="AW2" s="97"/>
      <c r="AX2" s="97"/>
      <c r="AY2" s="97"/>
      <c r="AZ2" s="97"/>
      <c r="BA2" s="97" t="s">
        <v>36</v>
      </c>
      <c r="BB2" s="97"/>
      <c r="BC2" s="97"/>
      <c r="BD2" s="97"/>
      <c r="BE2" s="97"/>
      <c r="BF2" s="89"/>
      <c r="BG2" s="42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8" t="s">
        <v>32</v>
      </c>
      <c r="BN2" s="98"/>
      <c r="BO2" s="98"/>
      <c r="BP2" s="98"/>
      <c r="BQ2" s="98"/>
      <c r="BR2" s="98" t="s">
        <v>33</v>
      </c>
      <c r="BS2" s="98"/>
      <c r="BT2" s="98"/>
      <c r="BU2" s="98"/>
      <c r="BV2" s="98"/>
      <c r="BW2" s="98" t="s">
        <v>36</v>
      </c>
      <c r="BX2" s="98"/>
      <c r="BY2" s="98"/>
      <c r="BZ2" s="98"/>
      <c r="CA2" s="98"/>
      <c r="CB2" s="90"/>
      <c r="CC2" s="41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8" t="s">
        <v>32</v>
      </c>
      <c r="CM2" s="98"/>
      <c r="CN2" s="98"/>
      <c r="CO2" s="98"/>
      <c r="CP2" s="98"/>
      <c r="CQ2" s="98" t="s">
        <v>33</v>
      </c>
      <c r="CR2" s="98"/>
      <c r="CS2" s="98"/>
      <c r="CT2" s="98"/>
      <c r="CU2" s="98"/>
      <c r="CV2" s="98" t="s">
        <v>36</v>
      </c>
      <c r="CW2" s="98"/>
      <c r="CX2" s="98"/>
      <c r="CY2" s="98"/>
      <c r="CZ2" s="98"/>
      <c r="DA2" s="41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97" t="s">
        <v>32</v>
      </c>
      <c r="DH2" s="97"/>
      <c r="DI2" s="97"/>
      <c r="DJ2" s="97"/>
      <c r="DK2" s="97"/>
      <c r="DL2" s="97" t="s">
        <v>33</v>
      </c>
      <c r="DM2" s="97"/>
      <c r="DN2" s="97"/>
      <c r="DO2" s="97"/>
      <c r="DP2" s="97"/>
      <c r="DQ2" s="97" t="s">
        <v>36</v>
      </c>
      <c r="DR2" s="97"/>
      <c r="DS2" s="97"/>
      <c r="DT2" s="97"/>
      <c r="DU2" s="97"/>
      <c r="DV2" s="42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8" t="s">
        <v>32</v>
      </c>
      <c r="EC2" s="98"/>
      <c r="ED2" s="98"/>
      <c r="EE2" s="98"/>
      <c r="EF2" s="98"/>
      <c r="EG2" s="98" t="s">
        <v>33</v>
      </c>
      <c r="EH2" s="98"/>
      <c r="EI2" s="98"/>
      <c r="EJ2" s="98"/>
      <c r="EK2" s="98"/>
      <c r="EL2" s="98" t="s">
        <v>36</v>
      </c>
      <c r="EM2" s="98"/>
      <c r="EN2" s="98"/>
      <c r="EO2" s="98"/>
      <c r="EP2" s="98"/>
      <c r="EQ2" s="41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97" t="s">
        <v>32</v>
      </c>
      <c r="EX2" s="97"/>
      <c r="EY2" s="97"/>
      <c r="EZ2" s="97"/>
      <c r="FA2" s="97"/>
      <c r="FB2" s="97" t="s">
        <v>33</v>
      </c>
      <c r="FC2" s="97"/>
      <c r="FD2" s="97"/>
      <c r="FE2" s="97"/>
      <c r="FF2" s="97"/>
      <c r="FG2" s="97" t="s">
        <v>36</v>
      </c>
      <c r="FH2" s="97"/>
      <c r="FI2" s="97"/>
      <c r="FJ2" s="97"/>
      <c r="FK2" s="97"/>
      <c r="FL2" s="42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8" t="s">
        <v>32</v>
      </c>
      <c r="FS2" s="98"/>
      <c r="FT2" s="98"/>
      <c r="FU2" s="98"/>
      <c r="FV2" s="98"/>
      <c r="FW2" s="98" t="s">
        <v>33</v>
      </c>
      <c r="FX2" s="98"/>
      <c r="FY2" s="98"/>
      <c r="FZ2" s="98"/>
      <c r="GA2" s="98"/>
      <c r="GB2" s="98" t="s">
        <v>36</v>
      </c>
      <c r="GC2" s="98"/>
      <c r="GD2" s="98"/>
      <c r="GE2" s="98"/>
      <c r="GF2" s="98"/>
      <c r="GG2" s="41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97" t="s">
        <v>32</v>
      </c>
      <c r="GN2" s="97"/>
      <c r="GO2" s="97"/>
      <c r="GP2" s="97"/>
      <c r="GQ2" s="97"/>
      <c r="GR2" s="97" t="s">
        <v>33</v>
      </c>
      <c r="GS2" s="97"/>
      <c r="GT2" s="97"/>
      <c r="GU2" s="97"/>
      <c r="GV2" s="97"/>
      <c r="GW2" s="97" t="s">
        <v>36</v>
      </c>
      <c r="GX2" s="97"/>
      <c r="GY2" s="97"/>
      <c r="GZ2" s="97"/>
      <c r="HA2" s="97"/>
      <c r="HB2" s="42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8" t="s">
        <v>32</v>
      </c>
      <c r="HI2" s="98"/>
      <c r="HJ2" s="98"/>
      <c r="HK2" s="98"/>
      <c r="HL2" s="98"/>
      <c r="HM2" s="98" t="s">
        <v>33</v>
      </c>
      <c r="HN2" s="98"/>
      <c r="HO2" s="98"/>
      <c r="HP2" s="98"/>
      <c r="HQ2" s="98"/>
      <c r="HR2" s="98" t="s">
        <v>36</v>
      </c>
      <c r="HS2" s="98"/>
      <c r="HT2" s="98"/>
      <c r="HU2" s="98"/>
      <c r="HV2" s="98"/>
      <c r="HW2" s="41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97" t="s">
        <v>32</v>
      </c>
      <c r="ID2" s="97"/>
      <c r="IE2" s="97"/>
      <c r="IF2" s="97"/>
      <c r="IG2" s="97"/>
      <c r="IH2" s="97" t="s">
        <v>33</v>
      </c>
      <c r="II2" s="97"/>
      <c r="IJ2" s="97"/>
      <c r="IK2" s="97"/>
      <c r="IL2" s="97"/>
      <c r="IM2" s="97" t="s">
        <v>36</v>
      </c>
      <c r="IN2" s="97"/>
      <c r="IO2" s="97"/>
      <c r="IP2" s="97"/>
      <c r="IQ2" s="97"/>
      <c r="IR2" s="42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8" t="s">
        <v>32</v>
      </c>
      <c r="IY2" s="98"/>
      <c r="IZ2" s="98"/>
      <c r="JA2" s="98"/>
      <c r="JB2" s="98"/>
      <c r="JC2" s="98" t="s">
        <v>33</v>
      </c>
      <c r="JD2" s="98"/>
      <c r="JE2" s="98"/>
      <c r="JF2" s="98"/>
      <c r="JG2" s="98"/>
      <c r="JH2" s="98" t="s">
        <v>36</v>
      </c>
      <c r="JI2" s="98"/>
      <c r="JJ2" s="98"/>
      <c r="JK2" s="98"/>
      <c r="JL2" s="98"/>
      <c r="JM2" s="41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97" t="s">
        <v>32</v>
      </c>
      <c r="JT2" s="97"/>
      <c r="JU2" s="97"/>
      <c r="JV2" s="97"/>
      <c r="JW2" s="97"/>
      <c r="JX2" s="97" t="s">
        <v>33</v>
      </c>
      <c r="JY2" s="97"/>
      <c r="JZ2" s="97"/>
      <c r="KA2" s="97"/>
      <c r="KB2" s="97"/>
      <c r="KC2" s="97" t="s">
        <v>36</v>
      </c>
      <c r="KD2" s="97"/>
      <c r="KE2" s="97"/>
      <c r="KF2" s="97"/>
      <c r="KG2" s="97"/>
      <c r="KH2" s="42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8" t="s">
        <v>32</v>
      </c>
      <c r="KO2" s="98"/>
      <c r="KP2" s="98"/>
      <c r="KQ2" s="98"/>
      <c r="KR2" s="98"/>
      <c r="KS2" s="98" t="s">
        <v>33</v>
      </c>
      <c r="KT2" s="98"/>
      <c r="KU2" s="98"/>
      <c r="KV2" s="98"/>
      <c r="KW2" s="98"/>
      <c r="KX2" s="98" t="s">
        <v>36</v>
      </c>
      <c r="KY2" s="98"/>
      <c r="KZ2" s="98"/>
      <c r="LA2" s="98"/>
      <c r="LB2" s="98"/>
      <c r="LC2" s="41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97" t="s">
        <v>32</v>
      </c>
      <c r="LJ2" s="97"/>
      <c r="LK2" s="97"/>
      <c r="LL2" s="97"/>
      <c r="LM2" s="97"/>
      <c r="LN2" s="97" t="s">
        <v>33</v>
      </c>
      <c r="LO2" s="97"/>
      <c r="LP2" s="97"/>
      <c r="LQ2" s="97"/>
      <c r="LR2" s="97"/>
      <c r="LS2" s="97" t="s">
        <v>36</v>
      </c>
      <c r="LT2" s="97"/>
      <c r="LU2" s="97"/>
      <c r="LV2" s="97"/>
      <c r="LW2" s="97"/>
      <c r="LX2" s="42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41" t="s">
        <v>28</v>
      </c>
      <c r="V3" s="41" t="s">
        <v>29</v>
      </c>
      <c r="W3" s="41" t="s">
        <v>20</v>
      </c>
      <c r="X3" s="41" t="s">
        <v>30</v>
      </c>
      <c r="Y3" s="56" t="s">
        <v>56</v>
      </c>
      <c r="Z3" s="41" t="s">
        <v>28</v>
      </c>
      <c r="AA3" s="41" t="s">
        <v>29</v>
      </c>
      <c r="AB3" s="41" t="s">
        <v>20</v>
      </c>
      <c r="AC3" s="41" t="s">
        <v>30</v>
      </c>
      <c r="AD3" s="56" t="s">
        <v>56</v>
      </c>
      <c r="AE3" s="41" t="s">
        <v>28</v>
      </c>
      <c r="AF3" s="41" t="s">
        <v>29</v>
      </c>
      <c r="AG3" s="41" t="s">
        <v>20</v>
      </c>
      <c r="AH3" s="41" t="s">
        <v>30</v>
      </c>
      <c r="AI3" s="56" t="s">
        <v>56</v>
      </c>
      <c r="AJ3" s="90" t="s">
        <v>158</v>
      </c>
      <c r="AK3" s="12"/>
      <c r="AL3" s="11"/>
      <c r="AM3" s="11"/>
      <c r="AN3" s="11"/>
      <c r="AO3" s="12"/>
      <c r="AP3" s="12"/>
      <c r="AQ3" s="42" t="s">
        <v>28</v>
      </c>
      <c r="AR3" s="42" t="s">
        <v>29</v>
      </c>
      <c r="AS3" s="42" t="s">
        <v>20</v>
      </c>
      <c r="AT3" s="42" t="s">
        <v>30</v>
      </c>
      <c r="AU3" s="57" t="s">
        <v>56</v>
      </c>
      <c r="AV3" s="42" t="s">
        <v>28</v>
      </c>
      <c r="AW3" s="42" t="s">
        <v>29</v>
      </c>
      <c r="AX3" s="42" t="s">
        <v>20</v>
      </c>
      <c r="AY3" s="42" t="s">
        <v>30</v>
      </c>
      <c r="AZ3" s="57" t="s">
        <v>56</v>
      </c>
      <c r="BA3" s="42" t="s">
        <v>28</v>
      </c>
      <c r="BB3" s="42" t="s">
        <v>29</v>
      </c>
      <c r="BC3" s="42" t="s">
        <v>20</v>
      </c>
      <c r="BD3" s="57" t="s">
        <v>30</v>
      </c>
      <c r="BE3" s="42" t="s">
        <v>56</v>
      </c>
      <c r="BF3" s="89" t="s">
        <v>158</v>
      </c>
      <c r="BG3" s="15"/>
      <c r="BH3" s="14"/>
      <c r="BI3" s="14"/>
      <c r="BJ3" s="14"/>
      <c r="BK3" s="15"/>
      <c r="BL3" s="15"/>
      <c r="BM3" s="41" t="s">
        <v>28</v>
      </c>
      <c r="BN3" s="41" t="s">
        <v>29</v>
      </c>
      <c r="BO3" s="41" t="s">
        <v>20</v>
      </c>
      <c r="BP3" s="41" t="s">
        <v>30</v>
      </c>
      <c r="BQ3" s="56" t="s">
        <v>56</v>
      </c>
      <c r="BR3" s="41" t="s">
        <v>28</v>
      </c>
      <c r="BS3" s="41" t="s">
        <v>29</v>
      </c>
      <c r="BT3" s="41" t="s">
        <v>20</v>
      </c>
      <c r="BU3" s="41" t="s">
        <v>30</v>
      </c>
      <c r="BV3" s="56" t="s">
        <v>56</v>
      </c>
      <c r="BW3" s="41" t="s">
        <v>28</v>
      </c>
      <c r="BX3" s="41" t="s">
        <v>29</v>
      </c>
      <c r="BY3" s="41" t="s">
        <v>20</v>
      </c>
      <c r="BZ3" s="41" t="s">
        <v>30</v>
      </c>
      <c r="CA3" s="56" t="s">
        <v>56</v>
      </c>
      <c r="CB3" s="90" t="s">
        <v>158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28</v>
      </c>
      <c r="CM3" s="41" t="s">
        <v>29</v>
      </c>
      <c r="CN3" s="41" t="s">
        <v>20</v>
      </c>
      <c r="CO3" s="41" t="s">
        <v>30</v>
      </c>
      <c r="CP3" s="56" t="s">
        <v>56</v>
      </c>
      <c r="CQ3" s="41" t="s">
        <v>28</v>
      </c>
      <c r="CR3" s="41" t="s">
        <v>29</v>
      </c>
      <c r="CS3" s="41" t="s">
        <v>20</v>
      </c>
      <c r="CT3" s="41" t="s">
        <v>30</v>
      </c>
      <c r="CU3" s="56" t="s">
        <v>56</v>
      </c>
      <c r="CV3" s="41" t="s">
        <v>28</v>
      </c>
      <c r="CW3" s="41" t="s">
        <v>29</v>
      </c>
      <c r="CX3" s="41" t="s">
        <v>20</v>
      </c>
      <c r="CY3" s="41" t="s">
        <v>30</v>
      </c>
      <c r="CZ3" s="56" t="s">
        <v>56</v>
      </c>
      <c r="DA3" s="12"/>
      <c r="DB3" s="11"/>
      <c r="DC3" s="11"/>
      <c r="DD3" s="11"/>
      <c r="DE3" s="12"/>
      <c r="DF3" s="12"/>
      <c r="DG3" s="42" t="s">
        <v>28</v>
      </c>
      <c r="DH3" s="42" t="s">
        <v>29</v>
      </c>
      <c r="DI3" s="42" t="s">
        <v>20</v>
      </c>
      <c r="DJ3" s="42" t="s">
        <v>30</v>
      </c>
      <c r="DK3" s="57" t="s">
        <v>56</v>
      </c>
      <c r="DL3" s="42" t="s">
        <v>28</v>
      </c>
      <c r="DM3" s="42" t="s">
        <v>29</v>
      </c>
      <c r="DN3" s="42" t="s">
        <v>20</v>
      </c>
      <c r="DO3" s="42" t="s">
        <v>30</v>
      </c>
      <c r="DP3" s="57" t="s">
        <v>56</v>
      </c>
      <c r="DQ3" s="42" t="s">
        <v>28</v>
      </c>
      <c r="DR3" s="42" t="s">
        <v>29</v>
      </c>
      <c r="DS3" s="42" t="s">
        <v>20</v>
      </c>
      <c r="DT3" s="42" t="s">
        <v>30</v>
      </c>
      <c r="DU3" s="61" t="s">
        <v>56</v>
      </c>
      <c r="DV3" s="15"/>
      <c r="DW3" s="14"/>
      <c r="DX3" s="14"/>
      <c r="DY3" s="14"/>
      <c r="DZ3" s="15"/>
      <c r="EA3" s="15"/>
      <c r="EB3" s="41" t="s">
        <v>28</v>
      </c>
      <c r="EC3" s="41" t="s">
        <v>29</v>
      </c>
      <c r="ED3" s="41" t="s">
        <v>20</v>
      </c>
      <c r="EE3" s="41" t="s">
        <v>30</v>
      </c>
      <c r="EF3" s="56" t="s">
        <v>56</v>
      </c>
      <c r="EG3" s="41" t="s">
        <v>28</v>
      </c>
      <c r="EH3" s="41" t="s">
        <v>29</v>
      </c>
      <c r="EI3" s="41" t="s">
        <v>20</v>
      </c>
      <c r="EJ3" s="41" t="s">
        <v>30</v>
      </c>
      <c r="EK3" s="56" t="s">
        <v>56</v>
      </c>
      <c r="EL3" s="41" t="s">
        <v>28</v>
      </c>
      <c r="EM3" s="41" t="s">
        <v>29</v>
      </c>
      <c r="EN3" s="41" t="s">
        <v>20</v>
      </c>
      <c r="EO3" s="41" t="s">
        <v>30</v>
      </c>
      <c r="EP3" s="56" t="s">
        <v>56</v>
      </c>
      <c r="EQ3" s="12"/>
      <c r="ER3" s="11"/>
      <c r="ES3" s="11"/>
      <c r="ET3" s="11"/>
      <c r="EU3" s="12"/>
      <c r="EV3" s="12"/>
      <c r="EW3" s="42" t="s">
        <v>28</v>
      </c>
      <c r="EX3" s="42" t="s">
        <v>29</v>
      </c>
      <c r="EY3" s="42" t="s">
        <v>20</v>
      </c>
      <c r="EZ3" s="42" t="s">
        <v>30</v>
      </c>
      <c r="FA3" s="57" t="s">
        <v>56</v>
      </c>
      <c r="FB3" s="42" t="s">
        <v>28</v>
      </c>
      <c r="FC3" s="42" t="s">
        <v>29</v>
      </c>
      <c r="FD3" s="42" t="s">
        <v>20</v>
      </c>
      <c r="FE3" s="42" t="s">
        <v>30</v>
      </c>
      <c r="FF3" s="57" t="s">
        <v>56</v>
      </c>
      <c r="FG3" s="42" t="s">
        <v>28</v>
      </c>
      <c r="FH3" s="42" t="s">
        <v>29</v>
      </c>
      <c r="FI3" s="42" t="s">
        <v>20</v>
      </c>
      <c r="FJ3" s="42" t="s">
        <v>30</v>
      </c>
      <c r="FK3" s="57" t="s">
        <v>56</v>
      </c>
      <c r="FL3" s="15"/>
      <c r="FM3" s="14"/>
      <c r="FN3" s="14"/>
      <c r="FO3" s="14"/>
      <c r="FP3" s="15"/>
      <c r="FQ3" s="15"/>
      <c r="FR3" s="41" t="s">
        <v>28</v>
      </c>
      <c r="FS3" s="41" t="s">
        <v>29</v>
      </c>
      <c r="FT3" s="41" t="s">
        <v>20</v>
      </c>
      <c r="FU3" s="41" t="s">
        <v>30</v>
      </c>
      <c r="FV3" s="56" t="s">
        <v>56</v>
      </c>
      <c r="FW3" s="41" t="s">
        <v>28</v>
      </c>
      <c r="FX3" s="41" t="s">
        <v>29</v>
      </c>
      <c r="FY3" s="41" t="s">
        <v>20</v>
      </c>
      <c r="FZ3" s="41" t="s">
        <v>30</v>
      </c>
      <c r="GA3" s="56" t="s">
        <v>56</v>
      </c>
      <c r="GB3" s="41" t="s">
        <v>28</v>
      </c>
      <c r="GC3" s="41" t="s">
        <v>29</v>
      </c>
      <c r="GD3" s="41" t="s">
        <v>20</v>
      </c>
      <c r="GE3" s="41" t="s">
        <v>30</v>
      </c>
      <c r="GF3" s="56" t="s">
        <v>56</v>
      </c>
      <c r="GG3" s="12"/>
      <c r="GH3" s="11"/>
      <c r="GI3" s="11"/>
      <c r="GJ3" s="11"/>
      <c r="GK3" s="12"/>
      <c r="GL3" s="12"/>
      <c r="GM3" s="42" t="s">
        <v>28</v>
      </c>
      <c r="GN3" s="42" t="s">
        <v>29</v>
      </c>
      <c r="GO3" s="42" t="s">
        <v>20</v>
      </c>
      <c r="GP3" s="42" t="s">
        <v>30</v>
      </c>
      <c r="GQ3" s="57" t="s">
        <v>56</v>
      </c>
      <c r="GR3" s="42" t="s">
        <v>28</v>
      </c>
      <c r="GS3" s="42" t="s">
        <v>29</v>
      </c>
      <c r="GT3" s="42" t="s">
        <v>20</v>
      </c>
      <c r="GU3" s="42" t="s">
        <v>30</v>
      </c>
      <c r="GV3" s="57" t="s">
        <v>56</v>
      </c>
      <c r="GW3" s="42" t="s">
        <v>28</v>
      </c>
      <c r="GX3" s="42" t="s">
        <v>29</v>
      </c>
      <c r="GY3" s="42" t="s">
        <v>20</v>
      </c>
      <c r="GZ3" s="42" t="s">
        <v>30</v>
      </c>
      <c r="HA3" s="57" t="s">
        <v>56</v>
      </c>
      <c r="HB3" s="15"/>
      <c r="HC3" s="14"/>
      <c r="HD3" s="14"/>
      <c r="HE3" s="14"/>
      <c r="HF3" s="15"/>
      <c r="HG3" s="15"/>
      <c r="HH3" s="41" t="s">
        <v>28</v>
      </c>
      <c r="HI3" s="41" t="s">
        <v>29</v>
      </c>
      <c r="HJ3" s="41" t="s">
        <v>20</v>
      </c>
      <c r="HK3" s="41" t="s">
        <v>30</v>
      </c>
      <c r="HL3" s="56" t="s">
        <v>56</v>
      </c>
      <c r="HM3" s="41" t="s">
        <v>28</v>
      </c>
      <c r="HN3" s="41" t="s">
        <v>29</v>
      </c>
      <c r="HO3" s="41" t="s">
        <v>20</v>
      </c>
      <c r="HP3" s="41" t="s">
        <v>30</v>
      </c>
      <c r="HQ3" s="56" t="s">
        <v>56</v>
      </c>
      <c r="HR3" s="41" t="s">
        <v>28</v>
      </c>
      <c r="HS3" s="41" t="s">
        <v>29</v>
      </c>
      <c r="HT3" s="41" t="s">
        <v>20</v>
      </c>
      <c r="HU3" s="41" t="s">
        <v>30</v>
      </c>
      <c r="HV3" s="56" t="s">
        <v>56</v>
      </c>
      <c r="HW3" s="12"/>
      <c r="HX3" s="11"/>
      <c r="HY3" s="11"/>
      <c r="HZ3" s="11"/>
      <c r="IA3" s="12"/>
      <c r="IB3" s="12"/>
      <c r="IC3" s="42" t="s">
        <v>28</v>
      </c>
      <c r="ID3" s="42" t="s">
        <v>29</v>
      </c>
      <c r="IE3" s="42" t="s">
        <v>20</v>
      </c>
      <c r="IF3" s="42" t="s">
        <v>30</v>
      </c>
      <c r="IG3" s="57" t="s">
        <v>56</v>
      </c>
      <c r="IH3" s="42" t="s">
        <v>28</v>
      </c>
      <c r="II3" s="42" t="s">
        <v>29</v>
      </c>
      <c r="IJ3" s="42" t="s">
        <v>20</v>
      </c>
      <c r="IK3" s="42" t="s">
        <v>30</v>
      </c>
      <c r="IL3" s="57" t="s">
        <v>56</v>
      </c>
      <c r="IM3" s="42" t="s">
        <v>28</v>
      </c>
      <c r="IN3" s="42" t="s">
        <v>29</v>
      </c>
      <c r="IO3" s="42" t="s">
        <v>20</v>
      </c>
      <c r="IP3" s="42" t="s">
        <v>30</v>
      </c>
      <c r="IQ3" s="57" t="s">
        <v>56</v>
      </c>
      <c r="IR3" s="15"/>
      <c r="IS3" s="14"/>
      <c r="IT3" s="14"/>
      <c r="IU3" s="14"/>
      <c r="IV3" s="15"/>
      <c r="IW3" s="15"/>
      <c r="IX3" s="41" t="s">
        <v>28</v>
      </c>
      <c r="IY3" s="41" t="s">
        <v>29</v>
      </c>
      <c r="IZ3" s="41" t="s">
        <v>20</v>
      </c>
      <c r="JA3" s="41" t="s">
        <v>30</v>
      </c>
      <c r="JB3" s="56" t="s">
        <v>56</v>
      </c>
      <c r="JC3" s="41" t="s">
        <v>28</v>
      </c>
      <c r="JD3" s="41" t="s">
        <v>29</v>
      </c>
      <c r="JE3" s="41" t="s">
        <v>20</v>
      </c>
      <c r="JF3" s="41" t="s">
        <v>30</v>
      </c>
      <c r="JG3" s="56" t="s">
        <v>56</v>
      </c>
      <c r="JH3" s="41" t="s">
        <v>28</v>
      </c>
      <c r="JI3" s="41" t="s">
        <v>29</v>
      </c>
      <c r="JJ3" s="41" t="s">
        <v>20</v>
      </c>
      <c r="JK3" s="41" t="s">
        <v>30</v>
      </c>
      <c r="JL3" s="56" t="s">
        <v>56</v>
      </c>
      <c r="JM3" s="12"/>
      <c r="JN3" s="11"/>
      <c r="JO3" s="11"/>
      <c r="JP3" s="11"/>
      <c r="JQ3" s="12"/>
      <c r="JR3" s="12"/>
      <c r="JS3" s="42" t="s">
        <v>28</v>
      </c>
      <c r="JT3" s="42" t="s">
        <v>29</v>
      </c>
      <c r="JU3" s="42" t="s">
        <v>20</v>
      </c>
      <c r="JV3" s="42" t="s">
        <v>30</v>
      </c>
      <c r="JW3" s="57" t="s">
        <v>56</v>
      </c>
      <c r="JX3" s="42" t="s">
        <v>28</v>
      </c>
      <c r="JY3" s="42" t="s">
        <v>29</v>
      </c>
      <c r="JZ3" s="42" t="s">
        <v>20</v>
      </c>
      <c r="KA3" s="42" t="s">
        <v>30</v>
      </c>
      <c r="KB3" s="57" t="s">
        <v>56</v>
      </c>
      <c r="KC3" s="42" t="s">
        <v>28</v>
      </c>
      <c r="KD3" s="42" t="s">
        <v>29</v>
      </c>
      <c r="KE3" s="42" t="s">
        <v>20</v>
      </c>
      <c r="KF3" s="42" t="s">
        <v>30</v>
      </c>
      <c r="KG3" s="57" t="s">
        <v>56</v>
      </c>
      <c r="KH3" s="15"/>
      <c r="KI3" s="14"/>
      <c r="KJ3" s="14"/>
      <c r="KK3" s="14"/>
      <c r="KL3" s="15"/>
      <c r="KM3" s="15"/>
      <c r="KN3" s="41" t="s">
        <v>28</v>
      </c>
      <c r="KO3" s="41" t="s">
        <v>29</v>
      </c>
      <c r="KP3" s="41" t="s">
        <v>20</v>
      </c>
      <c r="KQ3" s="41" t="s">
        <v>30</v>
      </c>
      <c r="KR3" s="56" t="s">
        <v>56</v>
      </c>
      <c r="KS3" s="41" t="s">
        <v>28</v>
      </c>
      <c r="KT3" s="41" t="s">
        <v>29</v>
      </c>
      <c r="KU3" s="41" t="s">
        <v>20</v>
      </c>
      <c r="KV3" s="41" t="s">
        <v>30</v>
      </c>
      <c r="KW3" s="56" t="s">
        <v>56</v>
      </c>
      <c r="KX3" s="41" t="s">
        <v>28</v>
      </c>
      <c r="KY3" s="41" t="s">
        <v>29</v>
      </c>
      <c r="KZ3" s="41" t="s">
        <v>20</v>
      </c>
      <c r="LA3" s="41" t="s">
        <v>30</v>
      </c>
      <c r="LB3" s="56" t="s">
        <v>56</v>
      </c>
      <c r="LC3" s="12"/>
      <c r="LD3" s="11"/>
      <c r="LE3" s="11"/>
      <c r="LF3" s="11"/>
      <c r="LG3" s="12"/>
      <c r="LH3" s="12"/>
      <c r="LI3" s="42" t="s">
        <v>28</v>
      </c>
      <c r="LJ3" s="42" t="s">
        <v>29</v>
      </c>
      <c r="LK3" s="42" t="s">
        <v>20</v>
      </c>
      <c r="LL3" s="42" t="s">
        <v>30</v>
      </c>
      <c r="LM3" s="57" t="s">
        <v>56</v>
      </c>
      <c r="LN3" s="42" t="s">
        <v>28</v>
      </c>
      <c r="LO3" s="42" t="s">
        <v>29</v>
      </c>
      <c r="LP3" s="42" t="s">
        <v>20</v>
      </c>
      <c r="LQ3" s="42" t="s">
        <v>30</v>
      </c>
      <c r="LR3" s="57" t="s">
        <v>56</v>
      </c>
      <c r="LS3" s="42" t="s">
        <v>28</v>
      </c>
      <c r="LT3" s="42" t="s">
        <v>29</v>
      </c>
      <c r="LU3" s="42" t="s">
        <v>20</v>
      </c>
      <c r="LV3" s="42" t="s">
        <v>30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IF(AND(F4="P",H4="P"),SUMPRODUCT((F$4:F$24="P")*(H$4:H$24="P")*(E$4:E$24&gt;E4))+1,IF(H4="P",SUMPRODUCT((F$4:F$24="")*(H$4:H$24="P")*(E$4:E$24&gt;E4))+1+SUMPRODUCT((F$4:F$24="P")*(H$4:H$24="P")),""))</f>
        <v>1</v>
      </c>
      <c r="B4" s="9" t="s">
        <v>51</v>
      </c>
      <c r="C4" s="5" t="s">
        <v>3</v>
      </c>
      <c r="D4" s="6">
        <v>1986</v>
      </c>
      <c r="E4" s="17">
        <f>SUM(J4:R4)</f>
        <v>275.2471875</v>
      </c>
      <c r="F4" s="4" t="str">
        <f>IF(OR(AND($AK4&gt;=$AL$27,NOT($AK4=""),$AJ4=""),AND($BG4&gt;=$BH$27,NOT($BG4=""),$BF4=""),AND($CC4&gt;=$CD$27,NOT($CC4=""),$CB4="")),"P","")</f>
        <v>P</v>
      </c>
      <c r="G4" s="4" t="str">
        <f>IF(OR(AND($AK4&gt;=$AL$28,NOT($AK4=""),$AJ4=""),AND($BG4&gt;=$BH$28,NOT($BG4=""),$BF4=""),AND($CC4&gt;=$CD$28,NOT($CC4=""),$CB4="")),"P","")</f>
        <v>P</v>
      </c>
      <c r="H4" s="4" t="str">
        <f>IF(OR(AND($AN4&gt;=$AL$29,NOT($AN4=""),$AJ4=""),AND($BJ4&gt;=$BH$29,NOT($BJ4=""),$BF4=""),AND($CF4&gt;=$CD$29,NOT($CF4=""),$CB4="")),"P","")</f>
        <v>P</v>
      </c>
      <c r="I4" t="str">
        <f>IF(AND(G4="P",OR(AND($AM4&gt;$AL$32,NOT($AM4=""),$AJ4=""),AND($AO4&gt;$AL$32,NOT($AO4=""),$AJ4=""),AND($BI4&gt;$BH$32,NOT($BI4=""),$BF4=""),AND($BK4&gt;$BH$32,NOT($BK4=""),$BF4=""),AND($CE4&gt;$CD$32,NOT($CE4=""),$CB4=""),AND($CG4&gt;$CD$32,NOT($CG4=""),$CB4=""))),"Merit",IF(AND(G4="P",OR(AND($AN4&gt;$AL$31,NOT($AN4=""),$AJ4=""),AND($BJ4&gt;$BH$31,NOT($BJ4=""),$BF4=""),AND($CF4&gt;$CD$31,NOT($CF4=""),$CB4=""))),"Funding",IF(AND(G4="P",OR(AND($AN4&gt;$AL$30,NOT($AN4=""),$AJ4=""),AND($BJ4&gt;$BH$30,NOT($BJ4=""),$BF4=""),AND($CF4&gt;$CD$30,NOT($CF4=""),$CB4=""))),"Worlds Team",IF(AND(F4="P",OR(AND($AN4&gt;$AL$29,NOT($AN4=""),$AJ4=""),AND($BJ4&gt;$BH$29,NOT($BJ4=""),$BF4=""),AND($CF4&gt;$CD$29,NOT($CF4=""),$CB4=""))),"National Team",""))))</f>
        <v>Worlds Team</v>
      </c>
      <c r="J4" s="16">
        <f>MAX(AN4,BJ4,CF4)</f>
        <v>108.06218749999999</v>
      </c>
      <c r="K4" s="16" t="str">
        <f>IF(J4=CF4,$BM$1,IF(J4=BJ4,$AQ$1,IF(J4=AN4,$U$1,"")))</f>
        <v>2017 3rd Domestic Trial</v>
      </c>
      <c r="L4" s="16">
        <f>IF($J4=$AN4,MAX(BH4,CD4),IF($J4=$BJ4,MAX(AL4,CD4),MAX(AL4,BH4)))</f>
        <v>51.589999999999996</v>
      </c>
      <c r="M4" s="16" t="str">
        <f>IF(AND(L4=CD4,$K4&lt;&gt;$BM$1),$BM$1,IF(AND(L4=BH4,$K4&lt;&gt;$AQ$1),$AQ$1,IF(AND(L4=AL4,$K4&lt;&gt;$U$1),$U$1,"")))</f>
        <v>2018 Nationals</v>
      </c>
      <c r="N4" s="16">
        <f>IF($J4=$AN4,MAX(BI4,CE4),IF($J4=$BJ4,MAX(AM4,CE4),MAX(AM4,BI4)))</f>
        <v>56.444999999999993</v>
      </c>
      <c r="O4" s="16" t="str">
        <f>IF(AND(N4=CE4,$K4&lt;&gt;$BM$1),$BM$1,IF(AND(N4=BI4,$K4&lt;&gt;$AQ$1),$AQ$1,IF(AND(N4=AM4,$K4&lt;&gt;$U$1),$U$1,"")))</f>
        <v>2018 Nationals</v>
      </c>
      <c r="P4" s="16">
        <f>MAX(AO4,BK4,CG4)</f>
        <v>59.15</v>
      </c>
      <c r="Q4" s="16" t="str">
        <f>IF(P4=CG4,$BM$1,IF(P4=BK4,$AQ$1,IF(P4=AO4,$U$1,"")))</f>
        <v>2018 Nationals</v>
      </c>
      <c r="R4" s="16" t="str">
        <f>IF(MAX(CI4,CJ4,CK4)&gt;0,MAX(CI4,CJ4,CK4),"")</f>
        <v/>
      </c>
      <c r="S4" s="31" t="str">
        <f>IF(R4="","",IF(R4=CI4,"(Vol 1)",IF(R4=CJ4,"(Vol 2)",IF(R4=CK4,"(Final)"))))</f>
        <v/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81">
        <v>27.274999999999999</v>
      </c>
      <c r="V4" s="81">
        <v>3</v>
      </c>
      <c r="W4" s="81">
        <v>3.1</v>
      </c>
      <c r="X4" s="81">
        <v>17.258749999999999</v>
      </c>
      <c r="Y4" s="81">
        <v>0</v>
      </c>
      <c r="Z4" s="81">
        <v>22.393750000000001</v>
      </c>
      <c r="AA4" s="81">
        <v>1</v>
      </c>
      <c r="AB4" s="81">
        <v>17.7</v>
      </c>
      <c r="AC4" s="81">
        <v>16.334687500000001</v>
      </c>
      <c r="AD4" s="81">
        <v>0</v>
      </c>
      <c r="AE4" s="81">
        <v>25.587499999999999</v>
      </c>
      <c r="AF4" s="81">
        <v>1</v>
      </c>
      <c r="AG4" s="81">
        <v>15.3125</v>
      </c>
      <c r="AH4" s="81">
        <v>16.301875000000003</v>
      </c>
      <c r="AI4" s="81">
        <v>0</v>
      </c>
      <c r="AJ4" s="93" t="s">
        <v>159</v>
      </c>
      <c r="AK4" s="13">
        <f>IF(SUM(W4,AB4)&gt;0,SUM(W4,AB4),"")</f>
        <v>20.8</v>
      </c>
      <c r="AL4" s="13">
        <f>IF(SUM(U4:X4)-Y4&gt;0,SUM(U4:X4)-Y4,"")</f>
        <v>50.633749999999999</v>
      </c>
      <c r="AM4" s="13">
        <f>IF(SUM(Z4:AC4)-AD4&gt;0,SUM(Z4:AC4)-AD4,"")</f>
        <v>57.428437500000001</v>
      </c>
      <c r="AN4" s="13">
        <f>IF(SUM(AL4:AM4)&gt;0,SUM(AL4:AM4),"")</f>
        <v>108.06218749999999</v>
      </c>
      <c r="AO4" s="13">
        <f>IF(SUM(AE4:AH4)-AI4&gt;0,SUM(AE4:AH4)-AI4,"")</f>
        <v>58.201875000000001</v>
      </c>
      <c r="AP4" s="13">
        <f>IF(SUM(AN4,AO4)&gt;0,SUM(AN4,AO4),"")</f>
        <v>166.26406249999999</v>
      </c>
      <c r="AQ4" s="74">
        <v>18.2</v>
      </c>
      <c r="AR4" s="74">
        <v>9.4</v>
      </c>
      <c r="AS4" s="74">
        <v>5.4</v>
      </c>
      <c r="AT4" s="74">
        <v>17.46</v>
      </c>
      <c r="AU4" s="74">
        <v>0</v>
      </c>
      <c r="AV4" s="74">
        <v>16.899999999999999</v>
      </c>
      <c r="AW4" s="74">
        <v>9.4499999999999993</v>
      </c>
      <c r="AX4" s="74">
        <v>13.6</v>
      </c>
      <c r="AY4" s="74">
        <v>16.344999999999999</v>
      </c>
      <c r="AZ4" s="74">
        <v>0</v>
      </c>
      <c r="BA4" s="74">
        <v>18</v>
      </c>
      <c r="BB4" s="74">
        <v>9.6</v>
      </c>
      <c r="BC4" s="74">
        <v>14</v>
      </c>
      <c r="BD4" s="74">
        <v>16.5</v>
      </c>
      <c r="BE4" s="74">
        <v>0</v>
      </c>
      <c r="BF4" s="94"/>
      <c r="BG4" s="16">
        <f>IF(SUM(AS4,AX4)&gt;0,SUM(AS4,AX4),"")</f>
        <v>19</v>
      </c>
      <c r="BH4" s="16">
        <f>IF(SUM(AQ4:AT4)-AU4&gt;0,SUM(AQ4:AT4)-AU4,"")</f>
        <v>50.46</v>
      </c>
      <c r="BI4" s="16">
        <f>IF(SUM(AV4:AY4)-AZ4&gt;0,SUM(AV4:AY4)-AZ4,"")</f>
        <v>56.294999999999995</v>
      </c>
      <c r="BJ4" s="16">
        <f>IF(SUM(BH4:BI4)&gt;0,SUM(BH4:BI4),"")</f>
        <v>106.755</v>
      </c>
      <c r="BK4" s="16">
        <f>IF(SUM(BA4:BD4)-BE4&gt;0,SUM(BA4:BD4)-BE4,"")</f>
        <v>58.1</v>
      </c>
      <c r="BL4" s="16">
        <f>IF(SUM(BJ4,BK4)&gt;0,SUM(BJ4,BK4),"")</f>
        <v>164.85499999999999</v>
      </c>
      <c r="BM4" s="55">
        <v>18.7</v>
      </c>
      <c r="BN4" s="55">
        <v>9.5500000000000007</v>
      </c>
      <c r="BO4" s="55">
        <v>5.8</v>
      </c>
      <c r="BP4" s="55">
        <v>17.54</v>
      </c>
      <c r="BQ4" s="55">
        <v>0</v>
      </c>
      <c r="BR4" s="55">
        <v>16.399999999999999</v>
      </c>
      <c r="BS4" s="55">
        <v>8.75</v>
      </c>
      <c r="BT4" s="55">
        <v>15.2</v>
      </c>
      <c r="BU4" s="55">
        <v>16.094999999999999</v>
      </c>
      <c r="BV4" s="55">
        <v>0</v>
      </c>
      <c r="BW4" s="55">
        <v>18.2</v>
      </c>
      <c r="BX4" s="55">
        <v>9.4499999999999993</v>
      </c>
      <c r="BY4" s="55">
        <v>15</v>
      </c>
      <c r="BZ4" s="55">
        <v>16.5</v>
      </c>
      <c r="CA4" s="55">
        <v>0</v>
      </c>
      <c r="CB4" s="93"/>
      <c r="CC4" s="13">
        <f>IF(SUM(BO4,BT4)&gt;0,SUM(BO4,BT4),"")</f>
        <v>21</v>
      </c>
      <c r="CD4" s="13">
        <f>IF(SUM(BM4:BP4)-BQ4&gt;0,SUM(BM4:BP4)-BQ4,"")</f>
        <v>51.589999999999996</v>
      </c>
      <c r="CE4" s="13">
        <f>IF(SUM(BR4:BU4)-BV4&gt;0,SUM(BR4:BU4)-BV4,"")</f>
        <v>56.444999999999993</v>
      </c>
      <c r="CF4" s="13">
        <f>IF(SUM(CD4:CE4)&gt;0,SUM(CD4:CE4),"")</f>
        <v>108.035</v>
      </c>
      <c r="CG4" s="13">
        <f>IF(SUM(BW4:BZ4)-CA4&gt;0,SUM(BW4:BZ4)-CA4,"")</f>
        <v>59.15</v>
      </c>
      <c r="CH4" s="13">
        <f>IF(SUM(CF4,CG4)&gt;0,SUM(CF4,CG4),"")</f>
        <v>167.185</v>
      </c>
      <c r="CI4" s="30" t="str">
        <f>IF(MAX(DB4,DW4,ER4,FM4,GH4,HC4,HX4,IS4,JN4,KI4,LD4,LY4)-L4&gt;0.001,MAX(DB4,DW4,ER4,FM4,GH4,HC4,HX4,IS4,JN4,KI4,LD4,LY4)-L4,"")</f>
        <v/>
      </c>
      <c r="CJ4" s="30" t="str">
        <f>IF(MAX(DC4,DX4,ES4,FN4,GI4,HD4,HY4,IT4,JO4,KJ4,LE4,LZ4)-N4&gt;0.001,MAX(DC4,DX4,ES4,FN4,GI4,HD4,HY4,IT4,JO4,KJ4,LE4,LZ4)-N4,"")</f>
        <v/>
      </c>
      <c r="CK4" s="30" t="str">
        <f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IF(AND(F5="P",H5="P"),SUMPRODUCT((F$4:F$24="P")*(H$4:H$24="P")*(E$4:E$24&gt;E5))+1,IF(H5="P",SUMPRODUCT((F$4:F$24="")*(H$4:H$24="P")*(E$4:E$24&gt;E5))+1+SUMPRODUCT((F$4:F$24="P")*(H$4:H$24="P")),""))</f>
        <v>2</v>
      </c>
      <c r="B5" s="9" t="s">
        <v>4</v>
      </c>
      <c r="C5" s="5" t="s">
        <v>5</v>
      </c>
      <c r="D5" s="6">
        <v>1992</v>
      </c>
      <c r="E5" s="17">
        <f>SUM(J5:R5)</f>
        <v>274.82499999999999</v>
      </c>
      <c r="F5" s="4" t="str">
        <f>IF(OR(AND($AK5&gt;=$AL$27,NOT($AK5=""),$AJ5=""),AND($BG5&gt;=$BH$27,NOT($BG5=""),$BF5=""),AND($CC5&gt;=$CD$27,NOT($CC5=""),$CB5="")),"P","")</f>
        <v>P</v>
      </c>
      <c r="G5" s="4" t="str">
        <f>IF(OR(AND($AK5&gt;=$AL$28,NOT($AK5=""),$AJ5=""),AND($BG5&gt;=$BH$28,NOT($BG5=""),$BF5=""),AND($CC5&gt;=$CD$28,NOT($CC5=""),$CB5="")),"P","")</f>
        <v>P</v>
      </c>
      <c r="H5" s="4" t="str">
        <f>IF(OR(AND($AN5&gt;=$AL$29,NOT($AN5=""),$AJ5=""),AND($BJ5&gt;=$BH$29,NOT($BJ5=""),$BF5=""),AND($CF5&gt;=$CD$29,NOT($CF5=""),$CB5="")),"P","")</f>
        <v>P</v>
      </c>
      <c r="I5" t="str">
        <f>IF(AND(G5="P",OR(AND($AM5&gt;$AL$32,NOT($AM5=""),$AJ5=""),AND($AO5&gt;$AL$32,NOT($AO5=""),$AJ5=""),AND($BI5&gt;$BH$32,NOT($BI5=""),$BF5=""),AND($BK5&gt;$BH$32,NOT($BK5=""),$BF5=""),AND($CE5&gt;$CD$32,NOT($CE5=""),$CB5=""),AND($CG5&gt;$CD$32,NOT($CG5=""),$CB5=""))),"Merit",IF(AND(G5="P",OR(AND($AN5&gt;$AL$31,NOT($AN5=""),$AJ5=""),AND($BJ5&gt;$BH$31,NOT($BJ5=""),$BF5=""),AND($CF5&gt;$CD$31,NOT($CF5=""),$CB5=""))),"Funding",IF(AND(G5="P",OR(AND($AN5&gt;$AL$30,NOT($AN5=""),$AJ5=""),AND($BJ5&gt;$BH$30,NOT($BJ5=""),$BF5=""),AND($CF5&gt;$CD$30,NOT($CF5=""),$CB5=""))),"Worlds Team",IF(AND(F5="P",OR(AND($AN5&gt;$AL$29,NOT($AN5=""),$AJ5=""),AND($BJ5&gt;$BH$29,NOT($BJ5=""),$BF5=""),AND($CF5&gt;$CD$29,NOT($CF5=""),$CB5=""))),"National Team",""))))</f>
        <v>Worlds Team</v>
      </c>
      <c r="J5" s="16">
        <f>MAX(AN5,BJ5,CF5)</f>
        <v>106.61</v>
      </c>
      <c r="K5" s="16" t="str">
        <f>IF(J5=CF5,$BM$1,IF(J5=BJ5,$AQ$1,IF(J5=AN5,$U$1,"")))</f>
        <v>2017 3rd Domestic Trial</v>
      </c>
      <c r="L5" s="16">
        <f>IF($J5=$AN5,MAX(BH5,CD5),IF($J5=$BJ5,MAX(AL5,CD5),MAX(AL5,BH5)))</f>
        <v>51.234999999999999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54.775000000000006</v>
      </c>
      <c r="O5" s="16" t="str">
        <f>IF(AND(N5=CE5,$K5&lt;&gt;$BM$1),$BM$1,IF(AND(N5=BI5,$K5&lt;&gt;$AQ$1),$AQ$1,IF(AND(N5=AM5,$K5&lt;&gt;$U$1),$U$1,"")))</f>
        <v>2018 Nationals</v>
      </c>
      <c r="P5" s="16">
        <f>MAX(AO5,BK5,CG5)</f>
        <v>59.370000000000005</v>
      </c>
      <c r="Q5" s="16" t="str">
        <f>IF(P5=CG5,$BM$1,IF(P5=BK5,$AQ$1,IF(P5=AO5,$U$1,"")))</f>
        <v>2018 Nationals</v>
      </c>
      <c r="R5" s="16">
        <f>IF(MAX(CI5,CJ5,CK5)&gt;0,MAX(CI5,CJ5,CK5),"")</f>
        <v>2.8349999999999937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2017 World Championships (Nov)</v>
      </c>
      <c r="U5" s="81">
        <v>18.3</v>
      </c>
      <c r="V5" s="81">
        <v>9.1</v>
      </c>
      <c r="W5" s="81">
        <v>5.8</v>
      </c>
      <c r="X5" s="81">
        <v>16.975000000000001</v>
      </c>
      <c r="Y5" s="81">
        <v>0</v>
      </c>
      <c r="Z5" s="81">
        <v>16.600000000000001</v>
      </c>
      <c r="AA5" s="81">
        <v>8.9</v>
      </c>
      <c r="AB5" s="81">
        <v>15</v>
      </c>
      <c r="AC5" s="81">
        <v>15.935</v>
      </c>
      <c r="AD5" s="81">
        <v>0</v>
      </c>
      <c r="AE5" s="81">
        <v>17.100000000000001</v>
      </c>
      <c r="AF5" s="81">
        <v>9.1</v>
      </c>
      <c r="AG5" s="81">
        <v>15</v>
      </c>
      <c r="AH5" s="81">
        <v>16.399999999999999</v>
      </c>
      <c r="AI5" s="81">
        <v>0</v>
      </c>
      <c r="AJ5" s="93"/>
      <c r="AK5" s="13">
        <f>IF(SUM(W5,AB5)&gt;0,SUM(W5,AB5),"")</f>
        <v>20.8</v>
      </c>
      <c r="AL5" s="13">
        <f>IF(SUM(U5:X5)-Y5&gt;0,SUM(U5:X5)-Y5,"")</f>
        <v>50.174999999999997</v>
      </c>
      <c r="AM5" s="13">
        <f>IF(SUM(Z5:AC5)-AD5&gt;0,SUM(Z5:AC5)-AD5,"")</f>
        <v>56.435000000000002</v>
      </c>
      <c r="AN5" s="13">
        <f>IF(SUM(AL5:AM5)&gt;0,SUM(AL5:AM5),"")</f>
        <v>106.61</v>
      </c>
      <c r="AO5" s="13">
        <f>IF(SUM(AE5:AH5)-AI5&gt;0,SUM(AE5:AH5)-AI5,"")</f>
        <v>57.6</v>
      </c>
      <c r="AP5" s="13">
        <f>IF(SUM(AN5,AO5)&gt;0,SUM(AN5,AO5),"")</f>
        <v>164.21</v>
      </c>
      <c r="AQ5" s="88">
        <v>17.5</v>
      </c>
      <c r="AR5" s="88">
        <v>9.35</v>
      </c>
      <c r="AS5" s="88">
        <v>5.8</v>
      </c>
      <c r="AT5" s="88">
        <v>17.855</v>
      </c>
      <c r="AU5" s="88">
        <v>0</v>
      </c>
      <c r="AV5" s="88">
        <v>1.6</v>
      </c>
      <c r="AW5" s="88">
        <v>0.9</v>
      </c>
      <c r="AX5" s="88">
        <v>2.2000000000000002</v>
      </c>
      <c r="AY5" s="88">
        <v>1.845</v>
      </c>
      <c r="AZ5" s="88">
        <v>0</v>
      </c>
      <c r="BA5" s="88"/>
      <c r="BB5" s="88"/>
      <c r="BC5" s="88"/>
      <c r="BD5" s="88"/>
      <c r="BE5" s="88"/>
      <c r="BF5" s="94"/>
      <c r="BG5" s="16">
        <f>IF(SUM(AS5,AX5)&gt;0,SUM(AS5,AX5),"")</f>
        <v>8</v>
      </c>
      <c r="BH5" s="16">
        <f>IF(SUM(AQ5:AT5)-AU5&gt;0,SUM(AQ5:AT5)-AU5,"")</f>
        <v>50.504999999999995</v>
      </c>
      <c r="BI5" s="16">
        <f>IF(SUM(AV5:AY5)-AZ5&gt;0,SUM(AV5:AY5)-AZ5,"")</f>
        <v>6.5449999999999999</v>
      </c>
      <c r="BJ5" s="16">
        <f>IF(SUM(BH5:BI5)&gt;0,SUM(BH5:BI5),"")</f>
        <v>57.05</v>
      </c>
      <c r="BK5" s="16" t="str">
        <f>IF(SUM(BA5:BD5)-BE5&gt;0,SUM(BA5:BD5)-BE5,"")</f>
        <v/>
      </c>
      <c r="BL5" s="16">
        <f>IF(SUM(BJ5,BK5)&gt;0,SUM(BJ5,BK5),"")</f>
        <v>57.05</v>
      </c>
      <c r="BM5" s="81">
        <v>18.600000000000001</v>
      </c>
      <c r="BN5" s="81">
        <v>9.1999999999999993</v>
      </c>
      <c r="BO5" s="81">
        <v>6.1</v>
      </c>
      <c r="BP5" s="81">
        <v>17.335000000000001</v>
      </c>
      <c r="BQ5" s="81">
        <v>0</v>
      </c>
      <c r="BR5" s="81">
        <v>15.6</v>
      </c>
      <c r="BS5" s="81">
        <v>9</v>
      </c>
      <c r="BT5" s="81">
        <v>13.8</v>
      </c>
      <c r="BU5" s="81">
        <v>16.375</v>
      </c>
      <c r="BV5" s="81">
        <v>0</v>
      </c>
      <c r="BW5" s="81">
        <v>17.100000000000001</v>
      </c>
      <c r="BX5" s="81">
        <v>9.75</v>
      </c>
      <c r="BY5" s="81">
        <v>15.8</v>
      </c>
      <c r="BZ5" s="81">
        <v>16.72</v>
      </c>
      <c r="CA5" s="81">
        <v>0</v>
      </c>
      <c r="CB5" s="93"/>
      <c r="CC5" s="13">
        <f>IF(SUM(BO5,BT5)&gt;0,SUM(BO5,BT5),"")</f>
        <v>19.899999999999999</v>
      </c>
      <c r="CD5" s="13">
        <f>IF(SUM(BM5:BP5)-BQ5&gt;0,SUM(BM5:BP5)-BQ5,"")</f>
        <v>51.234999999999999</v>
      </c>
      <c r="CE5" s="13">
        <f>IF(SUM(BR5:BU5)-BV5&gt;0,SUM(BR5:BU5)-BV5,"")</f>
        <v>54.775000000000006</v>
      </c>
      <c r="CF5" s="13">
        <f>IF(SUM(CD5:CE5)&gt;0,SUM(CD5:CE5),"")</f>
        <v>106.01</v>
      </c>
      <c r="CG5" s="13">
        <f>IF(SUM(BW5:BZ5)-CA5&gt;0,SUM(BW5:BZ5)-CA5,"")</f>
        <v>59.370000000000005</v>
      </c>
      <c r="CH5" s="13">
        <f>IF(SUM(CF5,CG5)&gt;0,SUM(CF5,CG5),"")</f>
        <v>165.38</v>
      </c>
      <c r="CI5" s="30" t="str">
        <f>IF(MAX(DB5,DW5,ER5,FM5,GH5,HC5,HX5,IS5,JN5,KI5,LD5,LY5)-L5&gt;0.001,MAX(DB5,DW5,ER5,FM5,GH5,HC5,HX5,IS5,JN5,KI5,LD5,LY5)-L5,"")</f>
        <v/>
      </c>
      <c r="CJ5" s="30">
        <f>IF(MAX(DC5,DX5,ES5,FN5,GI5,HD5,HY5,IT5,JO5,KJ5,LE5,LZ5)-N5&gt;0.001,MAX(DC5,DX5,ES5,FN5,GI5,HD5,HY5,IT5,JO5,KJ5,LE5,LZ5)-N5,"")</f>
        <v>2.8349999999999937</v>
      </c>
      <c r="CK5" s="30" t="str">
        <f>IF(MAX(DE5,DZ5,EU5,FP5,GK5,HF5,IA5,IV5,JQ5,KL5,LG5,MB5)-P5&gt;0.001,MAX(DE5,DZ5,EU5,FP5,GK5,HF5,IA5,IV5,JQ5,KL5,LG5,MB5)-P5,"")</f>
        <v/>
      </c>
      <c r="CL5" s="47">
        <v>17.8</v>
      </c>
      <c r="CM5" s="47">
        <v>9.5</v>
      </c>
      <c r="CN5" s="47">
        <v>5.4</v>
      </c>
      <c r="CO5" s="47">
        <v>17.78</v>
      </c>
      <c r="CP5" s="47">
        <v>0</v>
      </c>
      <c r="CQ5" s="47">
        <v>14.5</v>
      </c>
      <c r="CR5" s="47">
        <v>9.6</v>
      </c>
      <c r="CS5" s="47">
        <v>16.899999999999999</v>
      </c>
      <c r="CT5" s="47">
        <v>16.61</v>
      </c>
      <c r="CU5" s="47">
        <v>0</v>
      </c>
      <c r="CV5" s="47"/>
      <c r="CW5" s="47"/>
      <c r="CX5" s="47"/>
      <c r="CY5" s="47"/>
      <c r="CZ5" s="47"/>
      <c r="DA5" s="13">
        <f>IF(SUM(CN5,CS5)&gt;0,SUM(CN5,CS5),"")</f>
        <v>22.299999999999997</v>
      </c>
      <c r="DB5" s="13">
        <f>IF(SUM(CL5:CO5)-CP5&gt;0,SUM(CL5:CO5)-CP5,"")</f>
        <v>50.480000000000004</v>
      </c>
      <c r="DC5" s="13">
        <f>IF(SUM(CQ5:CT5)-CU5&gt;0,SUM(CQ5:CT5)-CU5,"")</f>
        <v>57.61</v>
      </c>
      <c r="DD5" s="13">
        <f>IF(SUM(DB5:DC5)&gt;0,SUM(DB5:DC5),"")</f>
        <v>108.09</v>
      </c>
      <c r="DE5" s="13" t="str">
        <f>IF(SUM(CV5:CY5)-CZ5&gt;0,SUM(CV5:CY5)-CZ5,"")</f>
        <v/>
      </c>
      <c r="DF5" s="13">
        <f>IF(SUM(DD5,DE5)&gt;0,SUM(DD5,DE5),"")</f>
        <v>108.09</v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>
        <v>17.899999999999999</v>
      </c>
      <c r="EX5" s="48">
        <v>9.15</v>
      </c>
      <c r="EY5" s="48">
        <v>6.1</v>
      </c>
      <c r="EZ5" s="48">
        <v>17.98</v>
      </c>
      <c r="FA5" s="48">
        <v>0</v>
      </c>
      <c r="FB5" s="48">
        <v>1.6</v>
      </c>
      <c r="FC5" s="48">
        <v>0.9</v>
      </c>
      <c r="FD5" s="48">
        <v>2.2000000000000002</v>
      </c>
      <c r="FE5" s="48">
        <v>1.855</v>
      </c>
      <c r="FF5" s="48">
        <v>0</v>
      </c>
      <c r="FG5" s="48"/>
      <c r="FH5" s="48"/>
      <c r="FI5" s="48"/>
      <c r="FJ5" s="48"/>
      <c r="FK5" s="48"/>
      <c r="FL5" s="16">
        <f>IF(SUM(EY5,FD5)&gt;0,SUM(EY5,FD5),"")</f>
        <v>8.3000000000000007</v>
      </c>
      <c r="FM5" s="16">
        <f>IF(SUM(EW5:EZ5)-FA5&gt;0,SUM(EW5:EZ5)-FA5,"")</f>
        <v>51.129999999999995</v>
      </c>
      <c r="FN5" s="16">
        <f>IF(SUM(FB5:FE5)-FF5&gt;0,SUM(FB5:FE5)-FF5,"")</f>
        <v>6.5549999999999997</v>
      </c>
      <c r="FO5" s="16">
        <f>IF(SUM(FM5:FN5)&gt;0,SUM(FM5:FN5),"")</f>
        <v>57.684999999999995</v>
      </c>
      <c r="FP5" s="16" t="str">
        <f>IF(SUM(FG5:FJ5)-FK5&gt;0,SUM(FG5:FJ5)-FK5,"")</f>
        <v/>
      </c>
      <c r="FQ5" s="16">
        <f>IF(SUM(FO5,FP5)&gt;0,SUM(FO5,FP5),"")</f>
        <v>57.684999999999995</v>
      </c>
      <c r="FR5" s="47">
        <v>13.1</v>
      </c>
      <c r="FS5" s="47">
        <v>6.85</v>
      </c>
      <c r="FT5" s="47">
        <v>2</v>
      </c>
      <c r="FU5" s="47">
        <v>12.675000000000001</v>
      </c>
      <c r="FV5" s="47">
        <v>0</v>
      </c>
      <c r="FW5" s="47">
        <v>14.9</v>
      </c>
      <c r="FX5" s="47">
        <v>9</v>
      </c>
      <c r="FY5" s="47">
        <v>15.6</v>
      </c>
      <c r="FZ5" s="47">
        <v>16.774999999999999</v>
      </c>
      <c r="GA5" s="47">
        <v>0</v>
      </c>
      <c r="GB5" s="47"/>
      <c r="GC5" s="47"/>
      <c r="GD5" s="47"/>
      <c r="GE5" s="47"/>
      <c r="GF5" s="47"/>
      <c r="GG5" s="13">
        <f>IF(SUM(FT5,FY5)&gt;0,SUM(FT5,FY5),"")</f>
        <v>17.600000000000001</v>
      </c>
      <c r="GH5" s="13">
        <f>IF(SUM(FR5:FU5)-FV5&gt;0,SUM(FR5:FU5)-FV5,"")</f>
        <v>34.625</v>
      </c>
      <c r="GI5" s="13">
        <f>IF(SUM(FW5:FZ5)-GA5&gt;0,SUM(FW5:FZ5)-GA5,"")</f>
        <v>56.274999999999999</v>
      </c>
      <c r="GJ5" s="13">
        <f>IF(SUM(GH5:GI5)&gt;0,SUM(GH5:GI5),"")</f>
        <v>90.9</v>
      </c>
      <c r="GK5" s="13" t="str">
        <f>IF(SUM(GB5:GE5)-GF5&gt;0,SUM(GB5:GE5)-GF5,"")</f>
        <v/>
      </c>
      <c r="GL5" s="13">
        <f>IF(SUM(GJ5,GK5)&gt;0,SUM(GJ5,GK5),"")</f>
        <v>90.9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IF(AND(F6="P",H6="P"),SUMPRODUCT((F$4:F$24="P")*(H$4:H$24="P")*(E$4:E$24&gt;E6))+1,IF(H6="P",SUMPRODUCT((F$4:F$24="")*(H$4:H$24="P")*(E$4:E$24&gt;E6))+1+SUMPRODUCT((F$4:F$24="P")*(H$4:H$24="P")),""))</f>
        <v>3</v>
      </c>
      <c r="B6" s="7" t="s">
        <v>9</v>
      </c>
      <c r="C6" s="8" t="s">
        <v>3</v>
      </c>
      <c r="D6" s="6">
        <v>1994</v>
      </c>
      <c r="E6" s="17">
        <f>SUM(J6:R6)</f>
        <v>271.58999999999997</v>
      </c>
      <c r="F6" s="4" t="str">
        <f>IF(OR(AND($AK6&gt;=$AL$27,NOT($AK6=""),$AJ6=""),AND($BG6&gt;=$BH$27,NOT($BG6=""),$BF6=""),AND($CC6&gt;=$CD$27,NOT($CC6=""),$CB6="")),"P","")</f>
        <v>P</v>
      </c>
      <c r="G6" s="4" t="str">
        <f>IF(OR(AND($AK6&gt;=$AL$28,NOT($AK6=""),$AJ6=""),AND($BG6&gt;=$BH$28,NOT($BG6=""),$BF6=""),AND($CC6&gt;=$CD$28,NOT($CC6=""),$CB6="")),"P","")</f>
        <v>P</v>
      </c>
      <c r="H6" s="4" t="str">
        <f>IF(OR(AND($AN6&gt;=$AL$29,NOT($AN6=""),$AJ6=""),AND($BJ6&gt;=$BH$29,NOT($BJ6=""),$BF6=""),AND($CF6&gt;=$CD$29,NOT($CF6=""),$CB6="")),"P","")</f>
        <v>P</v>
      </c>
      <c r="I6" t="str">
        <f>IF(AND(G6="P",OR(AND($AM6&gt;$AL$32,NOT($AM6=""),$AJ6=""),AND($AO6&gt;$AL$32,NOT($AO6=""),$AJ6=""),AND($BI6&gt;$BH$32,NOT($BI6=""),$BF6=""),AND($BK6&gt;$BH$32,NOT($BK6=""),$BF6=""),AND($CE6&gt;$CD$32,NOT($CE6=""),$CB6=""),AND($CG6&gt;$CD$32,NOT($CG6=""),$CB6=""))),"Merit",IF(AND(G6="P",OR(AND($AN6&gt;$AL$31,NOT($AN6=""),$AJ6=""),AND($BJ6&gt;$BH$31,NOT($BJ6=""),$BF6=""),AND($CF6&gt;$CD$31,NOT($CF6=""),$CB6=""))),"Funding",IF(AND(G6="P",OR(AND($AN6&gt;$AL$30,NOT($AN6=""),$AJ6=""),AND($BJ6&gt;$BH$30,NOT($BJ6=""),$BF6=""),AND($CF6&gt;$CD$30,NOT($CF6=""),$CB6=""))),"Worlds Team",IF(AND(F6="P",OR(AND($AN6&gt;$AL$29,NOT($AN6=""),$AJ6=""),AND($BJ6&gt;$BH$29,NOT($BJ6=""),$BF6=""),AND($CF6&gt;$CD$29,NOT($CF6=""),$CB6=""))),"National Team",""))))</f>
        <v>Worlds Team</v>
      </c>
      <c r="J6" s="16">
        <f>MAX(AN6,BJ6,CF6)</f>
        <v>107.235</v>
      </c>
      <c r="K6" s="16" t="str">
        <f>IF(J6=CF6,$BM$1,IF(J6=BJ6,$AQ$1,IF(J6=AN6,$U$1,"")))</f>
        <v>2018 Nationals</v>
      </c>
      <c r="L6" s="16">
        <f>IF($J6=$AN6,MAX(BH6,CD6),IF($J6=$BJ6,MAX(AL6,CD6),MAX(AL6,BH6)))</f>
        <v>50.25</v>
      </c>
      <c r="M6" s="16" t="str">
        <f>IF(AND(L6=CD6,$K6&lt;&gt;$BM$1),$BM$1,IF(AND(L6=BH6,$K6&lt;&gt;$AQ$1),$AQ$1,IF(AND(L6=AL6,$K6&lt;&gt;$U$1),$U$1,"")))</f>
        <v>2018 Canada Cup</v>
      </c>
      <c r="N6" s="16">
        <f>IF($J6=$AN6,MAX(BI6,CE6),IF($J6=$BJ6,MAX(AM6,CE6),MAX(AM6,BI6)))</f>
        <v>56.769999999999996</v>
      </c>
      <c r="O6" s="16" t="str">
        <f>IF(AND(N6=CE6,$K6&lt;&gt;$BM$1),$BM$1,IF(AND(N6=BI6,$K6&lt;&gt;$AQ$1),$AQ$1,IF(AND(N6=AM6,$K6&lt;&gt;$U$1),$U$1,"")))</f>
        <v>2018 Canada Cup</v>
      </c>
      <c r="P6" s="16">
        <f>MAX(AO6,BK6,CG6)</f>
        <v>56.83</v>
      </c>
      <c r="Q6" s="16" t="str">
        <f>IF(P6=CG6,$BM$1,IF(P6=BK6,$AQ$1,IF(P6=AO6,$U$1,"")))</f>
        <v>2018 Canada Cup</v>
      </c>
      <c r="R6" s="16">
        <f>IF(MAX(CI6,CJ6,CK6)&gt;0,MAX(CI6,CJ6,CK6),"")</f>
        <v>0.50500000000000966</v>
      </c>
      <c r="S6" s="31" t="str">
        <f>IF(R6="","",IF(R6=CI6,"(Vol 1)",IF(R6=CJ6,"(Vol 2)",IF(R6=CK6,"(Final)"))))</f>
        <v>(Vol 2)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2018 Pacific Rim (Apr)</v>
      </c>
      <c r="U6" s="81">
        <v>17.399999999999999</v>
      </c>
      <c r="V6" s="81">
        <v>9</v>
      </c>
      <c r="W6" s="81">
        <v>5.6</v>
      </c>
      <c r="X6" s="81">
        <v>17.114999999999998</v>
      </c>
      <c r="Y6" s="81">
        <v>0</v>
      </c>
      <c r="Z6" s="81">
        <v>9.8000000000000007</v>
      </c>
      <c r="AA6" s="81">
        <v>5.4</v>
      </c>
      <c r="AB6" s="81">
        <v>9.8000000000000007</v>
      </c>
      <c r="AC6" s="81">
        <v>10.095000000000001</v>
      </c>
      <c r="AD6" s="81">
        <v>0.2</v>
      </c>
      <c r="AE6" s="81">
        <v>13.7</v>
      </c>
      <c r="AF6" s="81">
        <v>8.9</v>
      </c>
      <c r="AG6" s="81">
        <v>15.4</v>
      </c>
      <c r="AH6" s="81">
        <v>15.565</v>
      </c>
      <c r="AI6" s="81">
        <v>0</v>
      </c>
      <c r="AJ6" s="93"/>
      <c r="AK6" s="13">
        <f>IF(SUM(W6,AB6)&gt;0,SUM(W6,AB6),"")</f>
        <v>15.4</v>
      </c>
      <c r="AL6" s="13">
        <f>IF(SUM(U6:X6)-Y6&gt;0,SUM(U6:X6)-Y6,"")</f>
        <v>49.114999999999995</v>
      </c>
      <c r="AM6" s="13">
        <f>IF(SUM(Z6:AC6)-AD6&gt;0,SUM(Z6:AC6)-AD6,"")</f>
        <v>34.894999999999996</v>
      </c>
      <c r="AN6" s="13">
        <f>IF(SUM(AL6:AM6)&gt;0,SUM(AL6:AM6),"")</f>
        <v>84.009999999999991</v>
      </c>
      <c r="AO6" s="13">
        <f>IF(SUM(AE6:AH6)-AI6&gt;0,SUM(AE6:AH6)-AI6,"")</f>
        <v>53.564999999999998</v>
      </c>
      <c r="AP6" s="13">
        <f>IF(SUM(AN6,AO6)&gt;0,SUM(AN6,AO6),"")</f>
        <v>137.57499999999999</v>
      </c>
      <c r="AQ6" s="88">
        <v>18</v>
      </c>
      <c r="AR6" s="88">
        <v>9.4499999999999993</v>
      </c>
      <c r="AS6" s="88">
        <v>5.4</v>
      </c>
      <c r="AT6" s="88">
        <v>17.399999999999999</v>
      </c>
      <c r="AU6" s="88">
        <v>0</v>
      </c>
      <c r="AV6" s="88">
        <v>15.6</v>
      </c>
      <c r="AW6" s="88">
        <v>8.9499999999999993</v>
      </c>
      <c r="AX6" s="88">
        <v>16</v>
      </c>
      <c r="AY6" s="88">
        <v>16.22</v>
      </c>
      <c r="AZ6" s="88">
        <v>0</v>
      </c>
      <c r="BA6" s="88">
        <v>15.6</v>
      </c>
      <c r="BB6" s="88">
        <v>9.1</v>
      </c>
      <c r="BC6" s="88">
        <v>16.100000000000001</v>
      </c>
      <c r="BD6" s="88">
        <v>16.03</v>
      </c>
      <c r="BE6" s="88">
        <v>0</v>
      </c>
      <c r="BF6" s="94"/>
      <c r="BG6" s="16">
        <f>IF(SUM(AS6,AX6)&gt;0,SUM(AS6,AX6),"")</f>
        <v>21.4</v>
      </c>
      <c r="BH6" s="16">
        <f>IF(SUM(AQ6:AT6)-AU6&gt;0,SUM(AQ6:AT6)-AU6,"")</f>
        <v>50.25</v>
      </c>
      <c r="BI6" s="16">
        <f>IF(SUM(AV6:AY6)-AZ6&gt;0,SUM(AV6:AY6)-AZ6,"")</f>
        <v>56.769999999999996</v>
      </c>
      <c r="BJ6" s="16">
        <f>IF(SUM(BH6:BI6)&gt;0,SUM(BH6:BI6),"")</f>
        <v>107.02</v>
      </c>
      <c r="BK6" s="16">
        <f>IF(SUM(BA6:BD6)-BE6&gt;0,SUM(BA6:BD6)-BE6,"")</f>
        <v>56.83</v>
      </c>
      <c r="BL6" s="16">
        <f>IF(SUM(BJ6,BK6)&gt;0,SUM(BJ6,BK6),"")</f>
        <v>163.85</v>
      </c>
      <c r="BM6" s="47">
        <v>18.100000000000001</v>
      </c>
      <c r="BN6" s="47">
        <v>9.4</v>
      </c>
      <c r="BO6" s="47">
        <v>5.4</v>
      </c>
      <c r="BP6" s="47">
        <v>17.71</v>
      </c>
      <c r="BQ6" s="47">
        <v>0</v>
      </c>
      <c r="BR6" s="47">
        <v>15.9</v>
      </c>
      <c r="BS6" s="47">
        <v>8.8000000000000007</v>
      </c>
      <c r="BT6" s="47">
        <v>16.100000000000001</v>
      </c>
      <c r="BU6" s="47">
        <v>15.824999999999999</v>
      </c>
      <c r="BV6" s="47">
        <v>0</v>
      </c>
      <c r="BW6" s="47">
        <v>7.2</v>
      </c>
      <c r="BX6" s="47">
        <v>3.55</v>
      </c>
      <c r="BY6" s="47">
        <v>6.7</v>
      </c>
      <c r="BZ6" s="47">
        <v>6.7249999999999996</v>
      </c>
      <c r="CA6" s="47">
        <v>0.2</v>
      </c>
      <c r="CB6" s="93"/>
      <c r="CC6" s="13">
        <f>IF(SUM(BO6,BT6)&gt;0,SUM(BO6,BT6),"")</f>
        <v>21.5</v>
      </c>
      <c r="CD6" s="13">
        <f>IF(SUM(BM6:BP6)-BQ6&gt;0,SUM(BM6:BP6)-BQ6,"")</f>
        <v>50.61</v>
      </c>
      <c r="CE6" s="13">
        <f>IF(SUM(BR6:BU6)-BV6&gt;0,SUM(BR6:BU6)-BV6,"")</f>
        <v>56.625</v>
      </c>
      <c r="CF6" s="13">
        <f>IF(SUM(CD6:CE6)&gt;0,SUM(CD6:CE6),"")</f>
        <v>107.235</v>
      </c>
      <c r="CG6" s="13">
        <f>IF(SUM(BW6:BZ6)-CA6&gt;0,SUM(BW6:BZ6)-CA6,"")</f>
        <v>23.974999999999998</v>
      </c>
      <c r="CH6" s="13">
        <f>IF(SUM(CF6,CG6)&gt;0,SUM(CF6,CG6),"")</f>
        <v>131.21</v>
      </c>
      <c r="CI6" s="30" t="str">
        <f>IF(MAX(DB6,DW6,ER6,FM6,GH6,HC6,HX6,IS6,JN6,KI6,LD6,LY6)-L6&gt;0.001,MAX(DB6,DW6,ER6,FM6,GH6,HC6,HX6,IS6,JN6,KI6,LD6,LY6)-L6,"")</f>
        <v/>
      </c>
      <c r="CJ6" s="30">
        <f>IF(MAX(DC6,DX6,ES6,FN6,GI6,HD6,HY6,IT6,JO6,KJ6,LE6,LZ6)-N6&gt;0.001,MAX(DC6,DX6,ES6,FN6,GI6,HD6,HY6,IT6,JO6,KJ6,LE6,LZ6)-N6,"")</f>
        <v>0.50500000000000966</v>
      </c>
      <c r="CK6" s="30">
        <f>IF(MAX(DE6,DZ6,EU6,FP6,GK6,HF6,IA6,IV6,JQ6,KL6,LG6,MB6)-P6&gt;0.001,MAX(DE6,DZ6,EU6,FP6,GK6,HF6,IA6,IV6,JQ6,KL6,LG6,MB6)-P6,"")</f>
        <v>0.37000000000000455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>
        <v>17.8</v>
      </c>
      <c r="DH6" s="48">
        <v>5.4</v>
      </c>
      <c r="DI6" s="48">
        <v>9.15</v>
      </c>
      <c r="DJ6" s="48">
        <v>17.48</v>
      </c>
      <c r="DK6" s="48">
        <v>0</v>
      </c>
      <c r="DL6" s="48">
        <v>15.5</v>
      </c>
      <c r="DM6" s="48">
        <v>16</v>
      </c>
      <c r="DN6" s="48">
        <v>9.35</v>
      </c>
      <c r="DO6" s="48">
        <v>16.425000000000001</v>
      </c>
      <c r="DP6" s="48">
        <v>0</v>
      </c>
      <c r="DQ6" s="48">
        <v>15.5</v>
      </c>
      <c r="DR6" s="48">
        <v>8.9499999999999993</v>
      </c>
      <c r="DS6" s="48">
        <v>16.2</v>
      </c>
      <c r="DT6" s="48">
        <v>16.55</v>
      </c>
      <c r="DU6" s="48">
        <v>0</v>
      </c>
      <c r="DV6" s="16">
        <f>IF(SUM(DI6,DN6)&gt;0,SUM(DI6,DN6),"")</f>
        <v>18.5</v>
      </c>
      <c r="DW6" s="16">
        <f>IF(SUM(DG6:DJ6)-DK6&gt;0,SUM(DG6:DJ6)-DK6,"")</f>
        <v>49.83</v>
      </c>
      <c r="DX6" s="16">
        <f>IF(SUM(DL6:DO6)-DP6&gt;0,SUM(DL6:DO6)-DP6,"")</f>
        <v>57.275000000000006</v>
      </c>
      <c r="DY6" s="16">
        <f>IF(SUM(DW6:DX6)&gt;0,SUM(DW6:DX6),"")</f>
        <v>107.105</v>
      </c>
      <c r="DZ6" s="16">
        <f>IF(SUM(DQ6:DT6)-DU6&gt;0,SUM(DQ6:DT6)-DU6,"")</f>
        <v>57.2</v>
      </c>
      <c r="EA6" s="16">
        <f>IF(SUM(DY6,DZ6)&gt;0,SUM(DY6,DZ6),"")</f>
        <v>164.30500000000001</v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>
        <v>14.9</v>
      </c>
      <c r="EM6" s="47">
        <v>9.35</v>
      </c>
      <c r="EN6" s="47">
        <v>16</v>
      </c>
      <c r="EO6" s="47">
        <v>16.16</v>
      </c>
      <c r="EP6" s="47">
        <v>0</v>
      </c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>
        <f>IF(SUM(EL6:EO6)-EP6&gt;0,SUM(EL6:EO6)-EP6,"")</f>
        <v>56.41</v>
      </c>
      <c r="EV6" s="13">
        <f>IF(SUM(ET6,EU6)&gt;0,SUM(ET6,EU6),"")</f>
        <v>56.41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IF(AND(F7="P",H7="P"),SUMPRODUCT((F$4:F$24="P")*(H$4:H$24="P")*(E$4:E$24&gt;E7))+1,IF(H7="P",SUMPRODUCT((F$4:F$24="")*(H$4:H$24="P")*(E$4:E$24&gt;E7))+1+SUMPRODUCT((F$4:F$24="P")*(H$4:H$24="P")),""))</f>
        <v/>
      </c>
      <c r="B7" s="9" t="s">
        <v>52</v>
      </c>
      <c r="C7" s="5" t="s">
        <v>7</v>
      </c>
      <c r="D7" s="8">
        <v>1995</v>
      </c>
      <c r="E7" s="17">
        <f>SUM(J7:R7)</f>
        <v>262.03968750000001</v>
      </c>
      <c r="F7" s="4" t="str">
        <f>IF(OR(AND($AK7&gt;=$AL$27,NOT($AK7=""),$AJ7=""),AND($BG7&gt;=$BH$27,NOT($BG7=""),$BF7=""),AND($CC7&gt;=$CD$27,NOT($CC7=""),$CB7="")),"P","")</f>
        <v>P</v>
      </c>
      <c r="G7" s="4" t="str">
        <f>IF(OR(AND($AK7&gt;=$AL$28,NOT($AK7=""),$AJ7=""),AND($BG7&gt;=$BH$28,NOT($BG7=""),$BF7=""),AND($CC7&gt;=$CD$28,NOT($CC7=""),$CB7="")),"P","")</f>
        <v/>
      </c>
      <c r="H7" s="4" t="str">
        <f>IF(OR(AND($AN7&gt;=$AL$29,NOT($AN7=""),$AJ7=""),AND($BJ7&gt;=$BH$29,NOT($BJ7=""),$BF7=""),AND($CF7&gt;=$CD$29,NOT($CF7=""),$CB7="")),"P","")</f>
        <v/>
      </c>
      <c r="I7" t="str">
        <f>IF(AND(G7="P",OR(AND($AM7&gt;$AL$32,NOT($AM7=""),$AJ7=""),AND($AO7&gt;$AL$32,NOT($AO7=""),$AJ7=""),AND($BI7&gt;$BH$32,NOT($BI7=""),$BF7=""),AND($BK7&gt;$BH$32,NOT($BK7=""),$BF7=""),AND($CE7&gt;$CD$32,NOT($CE7=""),$CB7=""),AND($CG7&gt;$CD$32,NOT($CG7=""),$CB7=""))),"Merit",IF(AND(G7="P",OR(AND($AN7&gt;$AL$31,NOT($AN7=""),$AJ7=""),AND($BJ7&gt;$BH$31,NOT($BJ7=""),$BF7=""),AND($CF7&gt;$CD$31,NOT($CF7=""),$CB7=""))),"Funding",IF(AND(G7="P",OR(AND($AN7&gt;$AL$30,NOT($AN7=""),$AJ7=""),AND($BJ7&gt;$BH$30,NOT($BJ7=""),$BF7=""),AND($CF7&gt;$CD$30,NOT($CF7=""),$CB7=""))),"Worlds Team",IF(AND(F7="P",OR(AND($AN7&gt;$AL$29,NOT($AN7=""),$AJ7=""),AND($BJ7&gt;$BH$29,NOT($BJ7=""),$BF7=""),AND($CF7&gt;$CD$29,NOT($CF7=""),$CB7=""))),"National Team",""))))</f>
        <v/>
      </c>
      <c r="J7" s="16">
        <f>MAX(AN7,BJ7,CF7)</f>
        <v>102.9</v>
      </c>
      <c r="K7" s="16" t="str">
        <f>IF(J7=CF7,$BM$1,IF(J7=BJ7,$AQ$1,IF(J7=AN7,$U$1,"")))</f>
        <v>2018 Canada Cup</v>
      </c>
      <c r="L7" s="16">
        <f>IF($J7=$AN7,MAX(BH7,CD7),IF($J7=$BJ7,MAX(AL7,CD7),MAX(AL7,BH7)))</f>
        <v>50.373125000000002</v>
      </c>
      <c r="M7" s="16" t="str">
        <f>IF(AND(L7=CD7,$K7&lt;&gt;$BM$1),$BM$1,IF(AND(L7=BH7,$K7&lt;&gt;$AQ$1),$AQ$1,IF(AND(L7=AL7,$K7&lt;&gt;$U$1),$U$1,"")))</f>
        <v>2017 3rd Domestic Trial</v>
      </c>
      <c r="N7" s="16">
        <f>IF($J7=$AN7,MAX(BI7,CE7),IF($J7=$BJ7,MAX(AM7,CE7),MAX(AM7,BI7)))</f>
        <v>53.574999999999996</v>
      </c>
      <c r="O7" s="16" t="str">
        <f>IF(AND(N7=CE7,$K7&lt;&gt;$BM$1),$BM$1,IF(AND(N7=BI7,$K7&lt;&gt;$AQ$1),$AQ$1,IF(AND(N7=AM7,$K7&lt;&gt;$U$1),$U$1,"")))</f>
        <v>2018 Nationals</v>
      </c>
      <c r="P7" s="16">
        <f>MAX(AO7,BK7,CG7)</f>
        <v>55.191562500000003</v>
      </c>
      <c r="Q7" s="16" t="str">
        <f>IF(P7=CG7,$BM$1,IF(P7=BK7,$AQ$1,IF(P7=AO7,$U$1,"")))</f>
        <v>2017 3rd Domestic Trial</v>
      </c>
      <c r="R7" s="16" t="str">
        <f>IF(MAX(CI7,CJ7,CK7)&gt;0,MAX(CI7,CJ7,CK7),"")</f>
        <v/>
      </c>
      <c r="S7" s="31" t="str">
        <f>IF(R7="","",IF(R7=CI7,"(Vol 1)",IF(R7=CJ7,"(Vol 2)",IF(R7=CK7,"(Final)"))))</f>
        <v/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/>
      </c>
      <c r="U7" s="81">
        <v>27.324999999999996</v>
      </c>
      <c r="V7" s="81">
        <v>3</v>
      </c>
      <c r="W7" s="81">
        <v>2.7</v>
      </c>
      <c r="X7" s="81">
        <v>17.348125000000003</v>
      </c>
      <c r="Y7" s="81">
        <v>0</v>
      </c>
      <c r="Z7" s="81">
        <v>14.90625</v>
      </c>
      <c r="AA7" s="81">
        <v>0.875</v>
      </c>
      <c r="AB7" s="81">
        <v>18.100000000000001</v>
      </c>
      <c r="AC7" s="81">
        <v>14.600937499999999</v>
      </c>
      <c r="AD7" s="81">
        <v>0</v>
      </c>
      <c r="AE7" s="81">
        <v>21.931249999999999</v>
      </c>
      <c r="AF7" s="81">
        <v>1</v>
      </c>
      <c r="AG7" s="81">
        <v>15.725</v>
      </c>
      <c r="AH7" s="81">
        <v>16.5353125</v>
      </c>
      <c r="AI7" s="81">
        <v>0</v>
      </c>
      <c r="AJ7" s="93" t="s">
        <v>159</v>
      </c>
      <c r="AK7" s="13">
        <f>IF(SUM(W7,AB7)&gt;0,SUM(W7,AB7),"")</f>
        <v>20.8</v>
      </c>
      <c r="AL7" s="13">
        <f>IF(SUM(U7:X7)-Y7&gt;0,SUM(U7:X7)-Y7,"")</f>
        <v>50.373125000000002</v>
      </c>
      <c r="AM7" s="13">
        <f>IF(SUM(Z7:AC7)-AD7&gt;0,SUM(Z7:AC7)-AD7,"")</f>
        <v>48.482187500000002</v>
      </c>
      <c r="AN7" s="13">
        <f>IF(SUM(AL7:AM7)&gt;0,SUM(AL7:AM7),"")</f>
        <v>98.855312499999997</v>
      </c>
      <c r="AO7" s="13">
        <f>IF(SUM(AE7:AH7)-AI7&gt;0,SUM(AE7:AH7)-AI7,"")</f>
        <v>55.191562500000003</v>
      </c>
      <c r="AP7" s="13">
        <f>IF(SUM(AN7,AO7)&gt;0,SUM(AN7,AO7),"")</f>
        <v>154.046875</v>
      </c>
      <c r="AQ7" s="74">
        <v>17.8</v>
      </c>
      <c r="AR7" s="74">
        <v>9.35</v>
      </c>
      <c r="AS7" s="74">
        <v>5.2</v>
      </c>
      <c r="AT7" s="74">
        <v>16.38</v>
      </c>
      <c r="AU7" s="74">
        <v>0</v>
      </c>
      <c r="AV7" s="74">
        <v>15.3</v>
      </c>
      <c r="AW7" s="74">
        <v>9.1999999999999993</v>
      </c>
      <c r="AX7" s="74">
        <v>14.1</v>
      </c>
      <c r="AY7" s="74">
        <v>15.57</v>
      </c>
      <c r="AZ7" s="74">
        <v>0</v>
      </c>
      <c r="BA7" s="74">
        <v>15.2</v>
      </c>
      <c r="BB7" s="74">
        <v>9</v>
      </c>
      <c r="BC7" s="74">
        <v>14.1</v>
      </c>
      <c r="BD7" s="74">
        <v>15.345000000000001</v>
      </c>
      <c r="BE7" s="74">
        <v>0</v>
      </c>
      <c r="BF7" s="94"/>
      <c r="BG7" s="16">
        <f>IF(SUM(AS7,AX7)&gt;0,SUM(AS7,AX7),"")</f>
        <v>19.3</v>
      </c>
      <c r="BH7" s="16">
        <f>IF(SUM(AQ7:AT7)-AU7&gt;0,SUM(AQ7:AT7)-AU7,"")</f>
        <v>48.730000000000004</v>
      </c>
      <c r="BI7" s="16">
        <f>IF(SUM(AV7:AY7)-AZ7&gt;0,SUM(AV7:AY7)-AZ7,"")</f>
        <v>54.17</v>
      </c>
      <c r="BJ7" s="16">
        <f>IF(SUM(BH7:BI7)&gt;0,SUM(BH7:BI7),"")</f>
        <v>102.9</v>
      </c>
      <c r="BK7" s="16">
        <f>IF(SUM(BA7:BD7)-BE7&gt;0,SUM(BA7:BD7)-BE7,"")</f>
        <v>53.644999999999996</v>
      </c>
      <c r="BL7" s="16">
        <f>IF(SUM(BJ7,BK7)&gt;0,SUM(BJ7,BK7),"")</f>
        <v>156.54500000000002</v>
      </c>
      <c r="BM7" s="55">
        <v>17.5</v>
      </c>
      <c r="BN7" s="55">
        <v>9.4</v>
      </c>
      <c r="BO7" s="55">
        <v>5.8</v>
      </c>
      <c r="BP7" s="55">
        <v>16.38</v>
      </c>
      <c r="BQ7" s="55">
        <v>0</v>
      </c>
      <c r="BR7" s="55">
        <v>14.2</v>
      </c>
      <c r="BS7" s="55">
        <v>9.15</v>
      </c>
      <c r="BT7" s="55">
        <v>14.7</v>
      </c>
      <c r="BU7" s="55">
        <v>15.525</v>
      </c>
      <c r="BV7" s="55">
        <v>0</v>
      </c>
      <c r="BW7" s="55">
        <v>1.7</v>
      </c>
      <c r="BX7" s="55">
        <v>0.9</v>
      </c>
      <c r="BY7" s="55">
        <v>1.7</v>
      </c>
      <c r="BZ7" s="55">
        <v>1.7250000000000001</v>
      </c>
      <c r="CA7" s="55">
        <v>0</v>
      </c>
      <c r="CB7" s="93"/>
      <c r="CC7" s="13">
        <f>IF(SUM(BO7,BT7)&gt;0,SUM(BO7,BT7),"")</f>
        <v>20.5</v>
      </c>
      <c r="CD7" s="13">
        <f>IF(SUM(BM7:BP7)-BQ7&gt;0,SUM(BM7:BP7)-BQ7,"")</f>
        <v>49.08</v>
      </c>
      <c r="CE7" s="13">
        <f>IF(SUM(BR7:BU7)-BV7&gt;0,SUM(BR7:BU7)-BV7,"")</f>
        <v>53.574999999999996</v>
      </c>
      <c r="CF7" s="13">
        <f>IF(SUM(CD7:CE7)&gt;0,SUM(CD7:CE7),"")</f>
        <v>102.655</v>
      </c>
      <c r="CG7" s="13">
        <f>IF(SUM(BW7:BZ7)-CA7&gt;0,SUM(BW7:BZ7)-CA7,"")</f>
        <v>6.0250000000000004</v>
      </c>
      <c r="CH7" s="13">
        <f>IF(SUM(CF7,CG7)&gt;0,SUM(CF7,CG7),"")</f>
        <v>108.68</v>
      </c>
      <c r="CI7" s="30" t="str">
        <f>IF(MAX(DB7,DW7,ER7,FM7,GH7,HC7,HX7,IS7,JN7,KI7,LD7,LY7)-L7&gt;0.001,MAX(DB7,DW7,ER7,FM7,GH7,HC7,HX7,IS7,JN7,KI7,LD7,LY7)-L7,"")</f>
        <v/>
      </c>
      <c r="CJ7" s="30" t="str">
        <f>IF(MAX(DC7,DX7,ES7,FN7,GI7,HD7,HY7,IT7,JO7,KJ7,LE7,LZ7)-N7&gt;0.001,MAX(DC7,DX7,ES7,FN7,GI7,HD7,HY7,IT7,JO7,KJ7,LE7,LZ7)-N7,"")</f>
        <v/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>
        <f>IF(AND(F8="P",H8="P"),SUMPRODUCT((F$4:F$24="P")*(H$4:H$24="P")*(E$4:E$24&gt;E8))+1,IF(H8="P",SUMPRODUCT((F$4:F$24="")*(H$4:H$24="P")*(E$4:E$24&gt;E8))+1+SUMPRODUCT((F$4:F$24="P")*(H$4:H$24="P")),""))</f>
        <v>4</v>
      </c>
      <c r="B8" s="9" t="s">
        <v>6</v>
      </c>
      <c r="C8" s="5" t="s">
        <v>5</v>
      </c>
      <c r="D8" s="33">
        <v>1989</v>
      </c>
      <c r="E8" s="17">
        <f>SUM(J8:R8)</f>
        <v>260.98</v>
      </c>
      <c r="F8" s="4" t="str">
        <f>IF(OR(AND($AK8&gt;=$AL$27,NOT($AK8=""),$AJ8=""),AND($BG8&gt;=$BH$27,NOT($BG8=""),$BF8=""),AND($CC8&gt;=$CD$27,NOT($CC8=""),$CB8="")),"P","")</f>
        <v>P</v>
      </c>
      <c r="G8" s="4" t="str">
        <f>IF(OR(AND($AK8&gt;=$AL$28,NOT($AK8=""),$AJ8=""),AND($BG8&gt;=$BH$28,NOT($BG8=""),$BF8=""),AND($CC8&gt;=$CD$28,NOT($CC8=""),$CB8="")),"P","")</f>
        <v>P</v>
      </c>
      <c r="H8" s="4" t="str">
        <f>IF(OR(AND($AN8&gt;=$AL$29,NOT($AN8=""),$AJ8=""),AND($BJ8&gt;=$BH$29,NOT($BJ8=""),$BF8=""),AND($CF8&gt;=$CD$29,NOT($CF8=""),$CB8="")),"P","")</f>
        <v>P</v>
      </c>
      <c r="I8" t="str">
        <f>IF(AND(G8="P",OR(AND($AM8&gt;$AL$32,NOT($AM8=""),$AJ8=""),AND($AO8&gt;$AL$32,NOT($AO8=""),$AJ8=""),AND($BI8&gt;$BH$32,NOT($BI8=""),$BF8=""),AND($BK8&gt;$BH$32,NOT($BK8=""),$BF8=""),AND($CE8&gt;$CD$32,NOT($CE8=""),$CB8=""),AND($CG8&gt;$CD$32,NOT($CG8=""),$CB8=""))),"Merit",IF(AND(G8="P",OR(AND($AN8&gt;$AL$31,NOT($AN8=""),$AJ8=""),AND($BJ8&gt;$BH$31,NOT($BJ8=""),$BF8=""),AND($CF8&gt;$CD$31,NOT($CF8=""),$CB8=""))),"Funding",IF(AND(G8="P",OR(AND($AN8&gt;$AL$30,NOT($AN8=""),$AJ8=""),AND($BJ8&gt;$BH$30,NOT($BJ8=""),$BF8=""),AND($CF8&gt;$CD$30,NOT($CF8=""),$CB8=""))),"Worlds Team",IF(AND(F8="P",OR(AND($AN8&gt;$AL$29,NOT($AN8=""),$AJ8=""),AND($BJ8&gt;$BH$29,NOT($BJ8=""),$BF8=""),AND($CF8&gt;$CD$29,NOT($CF8=""),$CB8=""))),"National Team",""))))</f>
        <v>National Team</v>
      </c>
      <c r="J8" s="16">
        <f>MAX(AN8,BJ8,CF8)</f>
        <v>104.56</v>
      </c>
      <c r="K8" s="16" t="str">
        <f>IF(J8=CF8,$BM$1,IF(J8=BJ8,$AQ$1,IF(J8=AN8,$U$1,"")))</f>
        <v>2018 Nationals</v>
      </c>
      <c r="L8" s="16">
        <f>IF($J8=$AN8,MAX(BH8,CD8),IF($J8=$BJ8,MAX(AL8,CD8),MAX(AL8,BH8)))</f>
        <v>48.370000000000005</v>
      </c>
      <c r="M8" s="16" t="str">
        <f>IF(AND(L8=CD8,$K8&lt;&gt;$BM$1),$BM$1,IF(AND(L8=BH8,$K8&lt;&gt;$AQ$1),$AQ$1,IF(AND(L8=AL8,$K8&lt;&gt;$U$1),$U$1,"")))</f>
        <v>2017 3rd Domestic Trial</v>
      </c>
      <c r="N8" s="16">
        <f>IF($J8=$AN8,MAX(BI8,CE8),IF($J8=$BJ8,MAX(AM8,CE8),MAX(AM8,BI8)))</f>
        <v>52.774999999999999</v>
      </c>
      <c r="O8" s="16" t="str">
        <f>IF(AND(N8=CE8,$K8&lt;&gt;$BM$1),$BM$1,IF(AND(N8=BI8,$K8&lt;&gt;$AQ$1),$AQ$1,IF(AND(N8=AM8,$K8&lt;&gt;$U$1),$U$1,"")))</f>
        <v>2017 3rd Domestic Trial</v>
      </c>
      <c r="P8" s="16">
        <f>MAX(AO8,BK8,CG8)</f>
        <v>55.275000000000006</v>
      </c>
      <c r="Q8" s="16" t="str">
        <f>IF(P8=CG8,$BM$1,IF(P8=BK8,$AQ$1,IF(P8=AO8,$U$1,"")))</f>
        <v>2018 Nationals</v>
      </c>
      <c r="R8" s="16" t="str">
        <f>IF(MAX(CI8,CJ8,CK8)&gt;0,MAX(CI8,CJ8,CK8),"")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81">
        <v>17.100000000000001</v>
      </c>
      <c r="V8" s="81">
        <v>8.9</v>
      </c>
      <c r="W8" s="81">
        <v>5.8</v>
      </c>
      <c r="X8" s="81">
        <v>16.57</v>
      </c>
      <c r="Y8" s="81">
        <v>0</v>
      </c>
      <c r="Z8" s="81">
        <v>12.5</v>
      </c>
      <c r="AA8" s="81">
        <v>9.5</v>
      </c>
      <c r="AB8" s="81">
        <v>15</v>
      </c>
      <c r="AC8" s="81">
        <v>15.775</v>
      </c>
      <c r="AD8" s="81">
        <v>0</v>
      </c>
      <c r="AE8" s="81">
        <v>15.3</v>
      </c>
      <c r="AF8" s="81">
        <v>9.1999999999999993</v>
      </c>
      <c r="AG8" s="81">
        <v>13.5</v>
      </c>
      <c r="AH8" s="81">
        <v>15.75</v>
      </c>
      <c r="AI8" s="81">
        <v>0</v>
      </c>
      <c r="AJ8" s="93"/>
      <c r="AK8" s="13">
        <f>IF(SUM(W8,AB8)&gt;0,SUM(W8,AB8),"")</f>
        <v>20.8</v>
      </c>
      <c r="AL8" s="13">
        <f>IF(SUM(U8:X8)-Y8&gt;0,SUM(U8:X8)-Y8,"")</f>
        <v>48.370000000000005</v>
      </c>
      <c r="AM8" s="13">
        <f>IF(SUM(Z8:AC8)-AD8&gt;0,SUM(Z8:AC8)-AD8,"")</f>
        <v>52.774999999999999</v>
      </c>
      <c r="AN8" s="13">
        <f>IF(SUM(AL8:AM8)&gt;0,SUM(AL8:AM8),"")</f>
        <v>101.14500000000001</v>
      </c>
      <c r="AO8" s="13">
        <f>IF(SUM(AE8:AH8)-AI8&gt;0,SUM(AE8:AH8)-AI8,"")</f>
        <v>53.75</v>
      </c>
      <c r="AP8" s="13">
        <f>IF(SUM(AN8,AO8)&gt;0,SUM(AN8,AO8),"")</f>
        <v>154.89500000000001</v>
      </c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94"/>
      <c r="BG8" s="16" t="str">
        <f>IF(SUM(AS8,AX8)&gt;0,SUM(AS8,AX8),"")</f>
        <v/>
      </c>
      <c r="BH8" s="16" t="str">
        <f>IF(SUM(AQ8:AT8)-AU8&gt;0,SUM(AQ8:AT8)-AU8,"")</f>
        <v/>
      </c>
      <c r="BI8" s="16" t="str">
        <f>IF(SUM(AV8:AY8)-AZ8&gt;0,SUM(AV8:AY8)-AZ8,"")</f>
        <v/>
      </c>
      <c r="BJ8" s="16" t="str">
        <f>IF(SUM(BH8:BI8)&gt;0,SUM(BH8:BI8),"")</f>
        <v/>
      </c>
      <c r="BK8" s="16" t="str">
        <f>IF(SUM(BA8:BD8)-BE8&gt;0,SUM(BA8:BD8)-BE8,"")</f>
        <v/>
      </c>
      <c r="BL8" s="16" t="str">
        <f>IF(SUM(BJ8,BK8)&gt;0,SUM(BJ8,BK8),"")</f>
        <v/>
      </c>
      <c r="BM8" s="47">
        <v>17.100000000000001</v>
      </c>
      <c r="BN8" s="47">
        <v>9.4</v>
      </c>
      <c r="BO8" s="47">
        <v>5.8</v>
      </c>
      <c r="BP8" s="47">
        <v>16.594999999999999</v>
      </c>
      <c r="BQ8" s="47">
        <v>0</v>
      </c>
      <c r="BR8" s="47">
        <v>17.100000000000001</v>
      </c>
      <c r="BS8" s="47">
        <v>9.1</v>
      </c>
      <c r="BT8" s="47">
        <v>13.1</v>
      </c>
      <c r="BU8" s="47">
        <v>16.364999999999998</v>
      </c>
      <c r="BV8" s="47">
        <v>0</v>
      </c>
      <c r="BW8" s="47">
        <v>16.8</v>
      </c>
      <c r="BX8" s="47">
        <v>8.9</v>
      </c>
      <c r="BY8" s="47">
        <v>13.1</v>
      </c>
      <c r="BZ8" s="47">
        <v>16.475000000000001</v>
      </c>
      <c r="CA8" s="47">
        <v>0</v>
      </c>
      <c r="CB8" s="93"/>
      <c r="CC8" s="13">
        <f>IF(SUM(BO8,BT8)&gt;0,SUM(BO8,BT8),"")</f>
        <v>18.899999999999999</v>
      </c>
      <c r="CD8" s="13">
        <f>IF(SUM(BM8:BP8)-BQ8&gt;0,SUM(BM8:BP8)-BQ8,"")</f>
        <v>48.894999999999996</v>
      </c>
      <c r="CE8" s="13">
        <f>IF(SUM(BR8:BU8)-BV8&gt;0,SUM(BR8:BU8)-BV8,"")</f>
        <v>55.665000000000006</v>
      </c>
      <c r="CF8" s="13">
        <f>IF(SUM(CD8:CE8)&gt;0,SUM(CD8:CE8),"")</f>
        <v>104.56</v>
      </c>
      <c r="CG8" s="13">
        <f>IF(SUM(BW8:BZ8)-CA8&gt;0,SUM(BW8:BZ8)-CA8,"")</f>
        <v>55.275000000000006</v>
      </c>
      <c r="CH8" s="13">
        <f>IF(SUM(CF8,CG8)&gt;0,SUM(CF8,CG8),"")</f>
        <v>159.83500000000001</v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IF(AND(F9="P",H9="P"),SUMPRODUCT((F$4:F$24="P")*(H$4:H$24="P")*(E$4:E$24&gt;E9))+1,IF(H9="P",SUMPRODUCT((F$4:F$24="")*(H$4:H$24="P")*(E$4:E$24&gt;E9))+1+SUMPRODUCT((F$4:F$24="P")*(H$4:H$24="P")),""))</f>
        <v/>
      </c>
      <c r="B9" s="9" t="s">
        <v>19</v>
      </c>
      <c r="C9" s="5" t="s">
        <v>7</v>
      </c>
      <c r="D9" s="33">
        <v>1995</v>
      </c>
      <c r="E9" s="17">
        <f>SUM(J9:R9)</f>
        <v>257.51499999999999</v>
      </c>
      <c r="F9" s="4" t="str">
        <f>IF(OR(AND($AK9&gt;=$AL$27,NOT($AK9=""),$AJ9=""),AND($BG9&gt;=$BH$27,NOT($BG9=""),$BF9=""),AND($CC9&gt;=$CD$27,NOT($CC9=""),$CB9="")),"P","")</f>
        <v>P</v>
      </c>
      <c r="G9" s="4" t="str">
        <f>IF(OR(AND($AK9&gt;=$AL$28,NOT($AK9=""),$AJ9=""),AND($BG9&gt;=$BH$28,NOT($BG9=""),$BF9=""),AND($CC9&gt;=$CD$28,NOT($CC9=""),$CB9="")),"P","")</f>
        <v/>
      </c>
      <c r="H9" s="4" t="str">
        <f>IF(OR(AND($AN9&gt;=$AL$29,NOT($AN9=""),$AJ9=""),AND($BJ9&gt;=$BH$29,NOT($BJ9=""),$BF9=""),AND($CF9&gt;=$CD$29,NOT($CF9=""),$CB9="")),"P","")</f>
        <v/>
      </c>
      <c r="I9" t="str">
        <f>IF(AND(G9="P",OR(AND($AM9&gt;$AL$32,NOT($AM9=""),$AJ9=""),AND($AO9&gt;$AL$32,NOT($AO9=""),$AJ9=""),AND($BI9&gt;$BH$32,NOT($BI9=""),$BF9=""),AND($BK9&gt;$BH$32,NOT($BK9=""),$BF9=""),AND($CE9&gt;$CD$32,NOT($CE9=""),$CB9=""),AND($CG9&gt;$CD$32,NOT($CG9=""),$CB9=""))),"Merit",IF(AND(G9="P",OR(AND($AN9&gt;$AL$31,NOT($AN9=""),$AJ9=""),AND($BJ9&gt;$BH$31,NOT($BJ9=""),$BF9=""),AND($CF9&gt;$CD$31,NOT($CF9=""),$CB9=""))),"Funding",IF(AND(G9="P",OR(AND($AN9&gt;$AL$30,NOT($AN9=""),$AJ9=""),AND($BJ9&gt;$BH$30,NOT($BJ9=""),$BF9=""),AND($CF9&gt;$CD$30,NOT($CF9=""),$CB9=""))),"Worlds Team",IF(AND(F9="P",OR(AND($AN9&gt;$AL$29,NOT($AN9=""),$AJ9=""),AND($BJ9&gt;$BH$29,NOT($BJ9=""),$BF9=""),AND($CF9&gt;$CD$29,NOT($CF9=""),$CB9=""))),"National Team",""))))</f>
        <v/>
      </c>
      <c r="J9" s="16">
        <f>MAX(AN9,BJ9,CF9)</f>
        <v>103.175</v>
      </c>
      <c r="K9" s="16" t="str">
        <f>IF(J9=CF9,$BM$1,IF(J9=BJ9,$AQ$1,IF(J9=AN9,$U$1,"")))</f>
        <v>2017 3rd Domestic Trial</v>
      </c>
      <c r="L9" s="16">
        <f>IF($J9=$AN9,MAX(BH9,CD9),IF($J9=$BJ9,MAX(AL9,CD9),MAX(AL9,BH9)))</f>
        <v>47.480000000000004</v>
      </c>
      <c r="M9" s="16" t="str">
        <f>IF(AND(L9=CD9,$K9&lt;&gt;$BM$1),$BM$1,IF(AND(L9=BH9,$K9&lt;&gt;$AQ$1),$AQ$1,IF(AND(L9=AL9,$K9&lt;&gt;$U$1),$U$1,"")))</f>
        <v>2018 Nationals</v>
      </c>
      <c r="N9" s="16">
        <f>IF($J9=$AN9,MAX(BI9,CE9),IF($J9=$BJ9,MAX(AM9,CE9),MAX(AM9,BI9)))</f>
        <v>52.145000000000003</v>
      </c>
      <c r="O9" s="16" t="str">
        <f>IF(AND(N9=CE9,$K9&lt;&gt;$BM$1),$BM$1,IF(AND(N9=BI9,$K9&lt;&gt;$AQ$1),$AQ$1,IF(AND(N9=AM9,$K9&lt;&gt;$U$1),$U$1,"")))</f>
        <v>2018 Nationals</v>
      </c>
      <c r="P9" s="16">
        <f>MAX(AO9,BK9,CG9)</f>
        <v>54.715000000000003</v>
      </c>
      <c r="Q9" s="16" t="str">
        <f>IF(P9=CG9,$BM$1,IF(P9=BK9,$AQ$1,IF(P9=AO9,$U$1,"")))</f>
        <v>2017 3rd Domestic Trial</v>
      </c>
      <c r="R9" s="16" t="str">
        <f>IF(MAX(CI9,CJ9,CK9)&gt;0,MAX(CI9,CJ9,CK9),"")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81">
        <v>16.899999999999999</v>
      </c>
      <c r="V9" s="81">
        <v>9.1999999999999993</v>
      </c>
      <c r="W9" s="81">
        <v>5.2</v>
      </c>
      <c r="X9" s="81">
        <v>17.010000000000002</v>
      </c>
      <c r="Y9" s="81">
        <v>0</v>
      </c>
      <c r="Z9" s="81">
        <v>14.4</v>
      </c>
      <c r="AA9" s="81">
        <v>9.4</v>
      </c>
      <c r="AB9" s="81">
        <v>15</v>
      </c>
      <c r="AC9" s="81">
        <v>16.065000000000001</v>
      </c>
      <c r="AD9" s="81">
        <v>0</v>
      </c>
      <c r="AE9" s="81">
        <v>13.6</v>
      </c>
      <c r="AF9" s="81">
        <v>9.3000000000000007</v>
      </c>
      <c r="AG9" s="81">
        <v>16.100000000000001</v>
      </c>
      <c r="AH9" s="81">
        <v>15.715</v>
      </c>
      <c r="AI9" s="81">
        <v>0</v>
      </c>
      <c r="AJ9" s="93"/>
      <c r="AK9" s="13">
        <f>IF(SUM(W9,AB9)&gt;0,SUM(W9,AB9),"")</f>
        <v>20.2</v>
      </c>
      <c r="AL9" s="13">
        <f>IF(SUM(U9:X9)-Y9&gt;0,SUM(U9:X9)-Y9,"")</f>
        <v>48.31</v>
      </c>
      <c r="AM9" s="13">
        <f>IF(SUM(Z9:AC9)-AD9&gt;0,SUM(Z9:AC9)-AD9,"")</f>
        <v>54.864999999999995</v>
      </c>
      <c r="AN9" s="13">
        <f>IF(SUM(AL9:AM9)&gt;0,SUM(AL9:AM9),"")</f>
        <v>103.175</v>
      </c>
      <c r="AO9" s="13">
        <f>IF(SUM(AE9:AH9)-AI9&gt;0,SUM(AE9:AH9)-AI9,"")</f>
        <v>54.715000000000003</v>
      </c>
      <c r="AP9" s="13">
        <f>IF(SUM(AN9,AO9)&gt;0,SUM(AN9,AO9),"")</f>
        <v>157.88999999999999</v>
      </c>
      <c r="AQ9" s="88">
        <v>16.399999999999999</v>
      </c>
      <c r="AR9" s="88">
        <v>4.75</v>
      </c>
      <c r="AS9" s="88">
        <v>5.4</v>
      </c>
      <c r="AT9" s="88">
        <v>16.899999999999999</v>
      </c>
      <c r="AU9" s="88">
        <v>0</v>
      </c>
      <c r="AV9" s="88">
        <v>2.5</v>
      </c>
      <c r="AW9" s="88">
        <v>1.7</v>
      </c>
      <c r="AX9" s="88">
        <v>3.8</v>
      </c>
      <c r="AY9" s="88">
        <v>3.5049999999999999</v>
      </c>
      <c r="AZ9" s="88">
        <v>0</v>
      </c>
      <c r="BA9" s="88"/>
      <c r="BB9" s="88"/>
      <c r="BC9" s="88"/>
      <c r="BD9" s="88"/>
      <c r="BE9" s="88"/>
      <c r="BF9" s="94"/>
      <c r="BG9" s="16">
        <f>IF(SUM(AS9,AX9)&gt;0,SUM(AS9,AX9),"")</f>
        <v>9.1999999999999993</v>
      </c>
      <c r="BH9" s="16">
        <f>IF(SUM(AQ9:AT9)-AU9&gt;0,SUM(AQ9:AT9)-AU9,"")</f>
        <v>43.449999999999996</v>
      </c>
      <c r="BI9" s="16">
        <f>IF(SUM(AV9:AY9)-AZ9&gt;0,SUM(AV9:AY9)-AZ9,"")</f>
        <v>11.504999999999999</v>
      </c>
      <c r="BJ9" s="16">
        <f>IF(SUM(BH9:BI9)&gt;0,SUM(BH9:BI9),"")</f>
        <v>54.954999999999998</v>
      </c>
      <c r="BK9" s="16" t="str">
        <f>IF(SUM(BA9:BD9)-BE9&gt;0,SUM(BA9:BD9)-BE9,"")</f>
        <v/>
      </c>
      <c r="BL9" s="16">
        <f>IF(SUM(BJ9,BK9)&gt;0,SUM(BJ9,BK9),"")</f>
        <v>54.954999999999998</v>
      </c>
      <c r="BM9" s="47">
        <v>16.5</v>
      </c>
      <c r="BN9" s="47">
        <v>9.15</v>
      </c>
      <c r="BO9" s="47">
        <v>5.8</v>
      </c>
      <c r="BP9" s="47">
        <v>16.03</v>
      </c>
      <c r="BQ9" s="47">
        <v>0</v>
      </c>
      <c r="BR9" s="47">
        <v>13.9</v>
      </c>
      <c r="BS9" s="47">
        <v>8.8000000000000007</v>
      </c>
      <c r="BT9" s="47">
        <v>14.4</v>
      </c>
      <c r="BU9" s="47">
        <v>15.045</v>
      </c>
      <c r="BV9" s="47">
        <v>0</v>
      </c>
      <c r="BW9" s="47">
        <v>14.4</v>
      </c>
      <c r="BX9" s="47">
        <v>9</v>
      </c>
      <c r="BY9" s="47">
        <v>15.4</v>
      </c>
      <c r="BZ9" s="47">
        <v>14.96</v>
      </c>
      <c r="CA9" s="47">
        <v>0</v>
      </c>
      <c r="CB9" s="93"/>
      <c r="CC9" s="13">
        <f>IF(SUM(BO9,BT9)&gt;0,SUM(BO9,BT9),"")</f>
        <v>20.2</v>
      </c>
      <c r="CD9" s="13">
        <f>IF(SUM(BM9:BP9)-BQ9&gt;0,SUM(BM9:BP9)-BQ9,"")</f>
        <v>47.480000000000004</v>
      </c>
      <c r="CE9" s="13">
        <f>IF(SUM(BR9:BU9)-BV9&gt;0,SUM(BR9:BU9)-BV9,"")</f>
        <v>52.145000000000003</v>
      </c>
      <c r="CF9" s="13">
        <f>IF(SUM(CD9:CE9)&gt;0,SUM(CD9:CE9),"")</f>
        <v>99.625</v>
      </c>
      <c r="CG9" s="13">
        <f>IF(SUM(BW9:BZ9)-CA9&gt;0,SUM(BW9:BZ9)-CA9,"")</f>
        <v>53.76</v>
      </c>
      <c r="CH9" s="13">
        <f>IF(SUM(CF9,CG9)&gt;0,SUM(CF9,CG9),"")</f>
        <v>153.38499999999999</v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>
        <v>16.399999999999999</v>
      </c>
      <c r="DH9" s="48">
        <v>4.8</v>
      </c>
      <c r="DI9" s="48">
        <v>9.4499999999999993</v>
      </c>
      <c r="DJ9" s="48">
        <v>16.02</v>
      </c>
      <c r="DK9" s="48">
        <v>0</v>
      </c>
      <c r="DL9" s="48">
        <v>16.100000000000001</v>
      </c>
      <c r="DM9" s="48">
        <v>10.3</v>
      </c>
      <c r="DN9" s="48">
        <v>9.6999999999999993</v>
      </c>
      <c r="DO9" s="48">
        <v>15.38</v>
      </c>
      <c r="DP9" s="48">
        <v>0</v>
      </c>
      <c r="DQ9" s="48">
        <v>16.100000000000001</v>
      </c>
      <c r="DR9" s="48">
        <v>9.4499999999999993</v>
      </c>
      <c r="DS9" s="48">
        <v>10.3</v>
      </c>
      <c r="DT9" s="48">
        <v>15.47</v>
      </c>
      <c r="DU9" s="48">
        <v>0</v>
      </c>
      <c r="DV9" s="16">
        <f>IF(SUM(DI9,DN9)&gt;0,SUM(DI9,DN9),"")</f>
        <v>19.149999999999999</v>
      </c>
      <c r="DW9" s="16">
        <f>IF(SUM(DG9:DJ9)-DK9&gt;0,SUM(DG9:DJ9)-DK9,"")</f>
        <v>46.67</v>
      </c>
      <c r="DX9" s="16">
        <f>IF(SUM(DL9:DO9)-DP9&gt;0,SUM(DL9:DO9)-DP9,"")</f>
        <v>51.480000000000004</v>
      </c>
      <c r="DY9" s="16">
        <f>IF(SUM(DW9:DX9)&gt;0,SUM(DW9:DX9),"")</f>
        <v>98.15</v>
      </c>
      <c r="DZ9" s="16">
        <f>IF(SUM(DQ9:DT9)-DU9&gt;0,SUM(DQ9:DT9)-DU9,"")</f>
        <v>51.32</v>
      </c>
      <c r="EA9" s="16">
        <f>IF(SUM(DY9,DZ9)&gt;0,SUM(DY9,DZ9),"")</f>
        <v>149.47</v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>
        <v>16.2</v>
      </c>
      <c r="EM9" s="47">
        <v>9.5500000000000007</v>
      </c>
      <c r="EN9" s="47">
        <v>10.3</v>
      </c>
      <c r="EO9" s="47">
        <v>15.25</v>
      </c>
      <c r="EP9" s="47">
        <v>0</v>
      </c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>
        <f>IF(SUM(EL9:EO9)-EP9&gt;0,SUM(EL9:EO9)-EP9,"")</f>
        <v>51.3</v>
      </c>
      <c r="EV9" s="13">
        <f>IF(SUM(ET9,EU9)&gt;0,SUM(ET9,EU9),"")</f>
        <v>51.3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IF(AND(F10="P",H10="P"),SUMPRODUCT((F$4:F$24="P")*(H$4:H$24="P")*(E$4:E$24&gt;E10))+1,IF(H10="P",SUMPRODUCT((F$4:F$24="")*(H$4:H$24="P")*(E$4:E$24&gt;E10))+1+SUMPRODUCT((F$4:F$24="P")*(H$4:H$24="P")),""))</f>
        <v/>
      </c>
      <c r="B10" s="7" t="s">
        <v>15</v>
      </c>
      <c r="C10" s="8" t="s">
        <v>3</v>
      </c>
      <c r="D10" s="6">
        <v>1988</v>
      </c>
      <c r="E10" s="17">
        <f>SUM(J10:R10)</f>
        <v>255.92000000000002</v>
      </c>
      <c r="F10" s="4" t="str">
        <f>IF(OR(AND($AK10&gt;=$AL$27,NOT($AK10=""),$AJ10=""),AND($BG10&gt;=$BH$27,NOT($BG10=""),$BF10=""),AND($CC10&gt;=$CD$27,NOT($CC10=""),$CB10="")),"P","")</f>
        <v>P</v>
      </c>
      <c r="G10" s="4" t="str">
        <f>IF(OR(AND($AK10&gt;=$AL$28,NOT($AK10=""),$AJ10=""),AND($BG10&gt;=$BH$28,NOT($BG10=""),$BF10=""),AND($CC10&gt;=$CD$28,NOT($CC10=""),$CB10="")),"P","")</f>
        <v>P</v>
      </c>
      <c r="H10" s="4" t="str">
        <f>IF(OR(AND($AN10&gt;=$AL$29,NOT($AN10=""),$AJ10=""),AND($BJ10&gt;=$BH$29,NOT($BJ10=""),$BF10=""),AND($CF10&gt;=$CD$29,NOT($CF10=""),$CB10="")),"P","")</f>
        <v/>
      </c>
      <c r="I10" t="str">
        <f>IF(AND(G10="P",OR(AND($AM10&gt;$AL$32,NOT($AM10=""),$AJ10=""),AND($AO10&gt;$AL$32,NOT($AO10=""),$AJ10=""),AND($BI10&gt;$BH$32,NOT($BI10=""),$BF10=""),AND($BK10&gt;$BH$32,NOT($BK10=""),$BF10=""),AND($CE10&gt;$CD$32,NOT($CE10=""),$CB10=""),AND($CG10&gt;$CD$32,NOT($CG10=""),$CB10=""))),"Merit",IF(AND(G10="P",OR(AND($AN10&gt;$AL$31,NOT($AN10=""),$AJ10=""),AND($BJ10&gt;$BH$31,NOT($BJ10=""),$BF10=""),AND($CF10&gt;$CD$31,NOT($CF10=""),$CB10=""))),"Funding",IF(AND(G10="P",OR(AND($AN10&gt;$AL$30,NOT($AN10=""),$AJ10=""),AND($BJ10&gt;$BH$30,NOT($BJ10=""),$BF10=""),AND($CF10&gt;$CD$30,NOT($CF10=""),$CB10=""))),"Worlds Team",IF(AND(F10="P",OR(AND($AN10&gt;$AL$29,NOT($AN10=""),$AJ10=""),AND($BJ10&gt;$BH$29,NOT($BJ10=""),$BF10=""),AND($CF10&gt;$CD$29,NOT($CF10=""),$CB10=""))),"National Team",""))))</f>
        <v/>
      </c>
      <c r="J10" s="16">
        <f>MAX(AN10,BJ10,CF10)</f>
        <v>101.94499999999999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48.484999999999999</v>
      </c>
      <c r="M10" s="16" t="str">
        <f>IF(AND(L10=CD10,$K10&lt;&gt;$BM$1),$BM$1,IF(AND(L10=BH10,$K10&lt;&gt;$AQ$1),$AQ$1,IF(AND(L10=AL10,$K10&lt;&gt;$U$1),$U$1,"")))</f>
        <v>2017 3rd Domestic Trial</v>
      </c>
      <c r="N10" s="16">
        <f>IF($J10=$AN10,MAX(BI10,CE10),IF($J10=$BJ10,MAX(AM10,CE10),MAX(AM10,BI10)))</f>
        <v>52.849999999999994</v>
      </c>
      <c r="O10" s="16" t="str">
        <f>IF(AND(N10=CE10,$K10&lt;&gt;$BM$1),$BM$1,IF(AND(N10=BI10,$K10&lt;&gt;$AQ$1),$AQ$1,IF(AND(N10=AM10,$K10&lt;&gt;$U$1),$U$1,"")))</f>
        <v>2018 Canada Cup</v>
      </c>
      <c r="P10" s="16">
        <f>MAX(AO10,BK10,CG10)</f>
        <v>52.64</v>
      </c>
      <c r="Q10" s="16" t="str">
        <f>IF(P10=CG10,$BM$1,IF(P10=BK10,$AQ$1,IF(P10=AO10,$U$1,"")))</f>
        <v>2017 3rd Domestic Trial</v>
      </c>
      <c r="R10" s="16" t="str">
        <f>IF(MAX(CI10,CJ10,CK10)&gt;0,MAX(CI10,CJ10,CK10),"")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81">
        <v>17.399999999999999</v>
      </c>
      <c r="V10" s="81">
        <v>9.5</v>
      </c>
      <c r="W10" s="81">
        <v>5.4</v>
      </c>
      <c r="X10" s="81">
        <v>16.184999999999999</v>
      </c>
      <c r="Y10" s="81">
        <v>0</v>
      </c>
      <c r="Z10" s="81">
        <v>12</v>
      </c>
      <c r="AA10" s="81">
        <v>8.8000000000000007</v>
      </c>
      <c r="AB10" s="81">
        <v>15</v>
      </c>
      <c r="AC10" s="81">
        <v>14.47</v>
      </c>
      <c r="AD10" s="81">
        <v>0.2</v>
      </c>
      <c r="AE10" s="81">
        <v>13.5</v>
      </c>
      <c r="AF10" s="81">
        <v>9.4</v>
      </c>
      <c r="AG10" s="81">
        <v>15</v>
      </c>
      <c r="AH10" s="81">
        <v>14.74</v>
      </c>
      <c r="AI10" s="81">
        <v>0</v>
      </c>
      <c r="AJ10" s="93"/>
      <c r="AK10" s="13">
        <f>IF(SUM(W10,AB10)&gt;0,SUM(W10,AB10),"")</f>
        <v>20.399999999999999</v>
      </c>
      <c r="AL10" s="13">
        <f>IF(SUM(U10:X10)-Y10&gt;0,SUM(U10:X10)-Y10,"")</f>
        <v>48.484999999999999</v>
      </c>
      <c r="AM10" s="13">
        <f>IF(SUM(Z10:AC10)-AD10&gt;0,SUM(Z10:AC10)-AD10,"")</f>
        <v>50.069999999999993</v>
      </c>
      <c r="AN10" s="13">
        <f>IF(SUM(AL10:AM10)&gt;0,SUM(AL10:AM10),"")</f>
        <v>98.554999999999993</v>
      </c>
      <c r="AO10" s="13">
        <f>IF(SUM(AE10:AH10)-AI10&gt;0,SUM(AE10:AH10)-AI10,"")</f>
        <v>52.64</v>
      </c>
      <c r="AP10" s="13">
        <f>IF(SUM(AN10,AO10)&gt;0,SUM(AN10,AO10),"")</f>
        <v>151.19499999999999</v>
      </c>
      <c r="AQ10" s="88">
        <v>16.5</v>
      </c>
      <c r="AR10" s="88">
        <v>8.5</v>
      </c>
      <c r="AS10" s="88">
        <v>5.6</v>
      </c>
      <c r="AT10" s="88">
        <v>16.215</v>
      </c>
      <c r="AU10" s="88">
        <v>0</v>
      </c>
      <c r="AV10" s="88">
        <v>14.1</v>
      </c>
      <c r="AW10" s="88">
        <v>8.6</v>
      </c>
      <c r="AX10" s="88">
        <v>15.2</v>
      </c>
      <c r="AY10" s="88">
        <v>14.95</v>
      </c>
      <c r="AZ10" s="88">
        <v>0</v>
      </c>
      <c r="BA10" s="88">
        <v>4.5999999999999996</v>
      </c>
      <c r="BB10" s="88">
        <v>2.7</v>
      </c>
      <c r="BC10" s="88">
        <v>5.0999999999999996</v>
      </c>
      <c r="BD10" s="88">
        <v>4.8</v>
      </c>
      <c r="BE10" s="88">
        <v>0</v>
      </c>
      <c r="BF10" s="94"/>
      <c r="BG10" s="16">
        <f>IF(SUM(AS10,AX10)&gt;0,SUM(AS10,AX10),"")</f>
        <v>20.799999999999997</v>
      </c>
      <c r="BH10" s="16">
        <f>IF(SUM(AQ10:AT10)-AU10&gt;0,SUM(AQ10:AT10)-AU10,"")</f>
        <v>46.814999999999998</v>
      </c>
      <c r="BI10" s="16">
        <f>IF(SUM(AV10:AY10)-AZ10&gt;0,SUM(AV10:AY10)-AZ10,"")</f>
        <v>52.849999999999994</v>
      </c>
      <c r="BJ10" s="16">
        <f>IF(SUM(BH10:BI10)&gt;0,SUM(BH10:BI10),"")</f>
        <v>99.664999999999992</v>
      </c>
      <c r="BK10" s="16">
        <f>IF(SUM(BA10:BD10)-BE10&gt;0,SUM(BA10:BD10)-BE10,"")</f>
        <v>17.2</v>
      </c>
      <c r="BL10" s="16">
        <f>IF(SUM(BJ10,BK10)&gt;0,SUM(BJ10,BK10),"")</f>
        <v>116.86499999999999</v>
      </c>
      <c r="BM10" s="47">
        <v>17</v>
      </c>
      <c r="BN10" s="47">
        <v>9.3000000000000007</v>
      </c>
      <c r="BO10" s="47">
        <v>5.2</v>
      </c>
      <c r="BP10" s="47">
        <v>16.734999999999999</v>
      </c>
      <c r="BQ10" s="47">
        <v>0</v>
      </c>
      <c r="BR10" s="47">
        <v>14.6</v>
      </c>
      <c r="BS10" s="47">
        <v>8.5500000000000007</v>
      </c>
      <c r="BT10" s="47">
        <v>15.2</v>
      </c>
      <c r="BU10" s="47">
        <v>15.36</v>
      </c>
      <c r="BV10" s="47">
        <v>0</v>
      </c>
      <c r="BW10" s="47"/>
      <c r="BX10" s="47"/>
      <c r="BY10" s="47"/>
      <c r="BZ10" s="47"/>
      <c r="CA10" s="47"/>
      <c r="CB10" s="93"/>
      <c r="CC10" s="13">
        <f>IF(SUM(BO10,BT10)&gt;0,SUM(BO10,BT10),"")</f>
        <v>20.399999999999999</v>
      </c>
      <c r="CD10" s="13">
        <f>IF(SUM(BM10:BP10)-BQ10&gt;0,SUM(BM10:BP10)-BQ10,"")</f>
        <v>48.234999999999999</v>
      </c>
      <c r="CE10" s="13">
        <f>IF(SUM(BR10:BU10)-BV10&gt;0,SUM(BR10:BU10)-BV10,"")</f>
        <v>53.709999999999994</v>
      </c>
      <c r="CF10" s="13">
        <f>IF(SUM(CD10:CE10)&gt;0,SUM(CD10:CE10),"")</f>
        <v>101.94499999999999</v>
      </c>
      <c r="CG10" s="13" t="str">
        <f>IF(SUM(BW10:BZ10)-CA10&gt;0,SUM(BW10:BZ10)-CA10,"")</f>
        <v/>
      </c>
      <c r="CH10" s="13">
        <f>IF(SUM(CF10,CG10)&gt;0,SUM(CF10,CG10),"")</f>
        <v>101.94499999999999</v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IF(AND(F11="P",H11="P"),SUMPRODUCT((F$4:F$24="P")*(H$4:H$24="P")*(E$4:E$24&gt;E11))+1,IF(H11="P",SUMPRODUCT((F$4:F$24="")*(H$4:H$24="P")*(E$4:E$24&gt;E11))+1+SUMPRODUCT((F$4:F$24="P")*(H$4:H$24="P")),""))</f>
        <v/>
      </c>
      <c r="B11" s="9" t="s">
        <v>8</v>
      </c>
      <c r="C11" s="5" t="s">
        <v>5</v>
      </c>
      <c r="D11" s="33">
        <v>1993</v>
      </c>
      <c r="E11" s="17">
        <f>SUM(J11:R11)</f>
        <v>248.76500000000001</v>
      </c>
      <c r="F11" s="4" t="str">
        <f>IF(OR(AND($AK11&gt;=$AL$27,NOT($AK11=""),$AJ11=""),AND($BG11&gt;=$BH$27,NOT($BG11=""),$BF11=""),AND($CC11&gt;=$CD$27,NOT($CC11=""),$CB11="")),"P","")</f>
        <v>P</v>
      </c>
      <c r="G11" s="4" t="str">
        <f>IF(OR(AND($AK11&gt;=$AL$28,NOT($AK11=""),$AJ11=""),AND($BG11&gt;=$BH$28,NOT($BG11=""),$BF11=""),AND($CC11&gt;=$CD$28,NOT($CC11=""),$CB11="")),"P","")</f>
        <v/>
      </c>
      <c r="H11" s="4" t="str">
        <f>IF(OR(AND($AN11&gt;=$AL$29,NOT($AN11=""),$AJ11=""),AND($BJ11&gt;=$BH$29,NOT($BJ11=""),$BF11=""),AND($CF11&gt;=$CD$29,NOT($CF11=""),$CB11="")),"P","")</f>
        <v/>
      </c>
      <c r="I11" t="str">
        <f>IF(AND(G11="P",OR(AND($AM11&gt;$AL$32,NOT($AM11=""),$AJ11=""),AND($AO11&gt;$AL$32,NOT($AO11=""),$AJ11=""),AND($BI11&gt;$BH$32,NOT($BI11=""),$BF11=""),AND($BK11&gt;$BH$32,NOT($BK11=""),$BF11=""),AND($CE11&gt;$CD$32,NOT($CE11=""),$CB11=""),AND($CG11&gt;$CD$32,NOT($CG11=""),$CB11=""))),"Merit",IF(AND(G11="P",OR(AND($AN11&gt;$AL$31,NOT($AN11=""),$AJ11=""),AND($BJ11&gt;$BH$31,NOT($BJ11=""),$BF11=""),AND($CF11&gt;$CD$31,NOT($CF11=""),$CB11=""))),"Funding",IF(AND(G11="P",OR(AND($AN11&gt;$AL$30,NOT($AN11=""),$AJ11=""),AND($BJ11&gt;$BH$30,NOT($BJ11=""),$BF11=""),AND($CF11&gt;$CD$30,NOT($CF11=""),$CB11=""))),"Worlds Team",IF(AND(F11="P",OR(AND($AN11&gt;$AL$29,NOT($AN11=""),$AJ11=""),AND($BJ11&gt;$BH$29,NOT($BJ11=""),$BF11=""),AND($CF11&gt;$CD$29,NOT($CF11=""),$CB11=""))),"National Team",""))))</f>
        <v/>
      </c>
      <c r="J11" s="16">
        <f>MAX(AN11,BJ11,CF11)</f>
        <v>98.60499999999999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46.644999999999996</v>
      </c>
      <c r="M11" s="16" t="str">
        <f>IF(AND(L11=CD11,$K11&lt;&gt;$BM$1),$BM$1,IF(AND(L11=BH11,$K11&lt;&gt;$AQ$1),$AQ$1,IF(AND(L11=AL11,$K11&lt;&gt;$U$1),$U$1,"")))</f>
        <v>2018 Canada Cup</v>
      </c>
      <c r="N11" s="16">
        <f>IF($J11=$AN11,MAX(BI11,CE11),IF($J11=$BJ11,MAX(AM11,CE11),MAX(AM11,BI11)))</f>
        <v>51.179999999999993</v>
      </c>
      <c r="O11" s="16" t="str">
        <f>IF(AND(N11=CE11,$K11&lt;&gt;$BM$1),$BM$1,IF(AND(N11=BI11,$K11&lt;&gt;$AQ$1),$AQ$1,IF(AND(N11=AM11,$K11&lt;&gt;$U$1),$U$1,"")))</f>
        <v>2018 Canada Cup</v>
      </c>
      <c r="P11" s="16">
        <f>MAX(AO11,BK11,CG11)</f>
        <v>52.335000000000001</v>
      </c>
      <c r="Q11" s="16" t="str">
        <f>IF(P11=CG11,$BM$1,IF(P11=BK11,$AQ$1,IF(P11=AO11,$U$1,"")))</f>
        <v>2018 Canada Cup</v>
      </c>
      <c r="R11" s="16" t="str">
        <f>IF(MAX(CI11,CJ11,CK11)&gt;0,MAX(CI11,CJ11,CK11),"")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88">
        <v>15.3</v>
      </c>
      <c r="AR11" s="88">
        <v>9.1</v>
      </c>
      <c r="AS11" s="88">
        <v>6</v>
      </c>
      <c r="AT11" s="88">
        <v>16.245000000000001</v>
      </c>
      <c r="AU11" s="88">
        <v>0</v>
      </c>
      <c r="AV11" s="88">
        <v>13.1</v>
      </c>
      <c r="AW11" s="88">
        <v>9.0500000000000007</v>
      </c>
      <c r="AX11" s="88">
        <v>14.2</v>
      </c>
      <c r="AY11" s="88">
        <v>14.83</v>
      </c>
      <c r="AZ11" s="88">
        <v>0</v>
      </c>
      <c r="BA11" s="88">
        <v>13.8</v>
      </c>
      <c r="BB11" s="88">
        <v>9.0500000000000007</v>
      </c>
      <c r="BC11" s="88">
        <v>14</v>
      </c>
      <c r="BD11" s="88">
        <v>15.484999999999999</v>
      </c>
      <c r="BE11" s="88">
        <v>0</v>
      </c>
      <c r="BF11" s="94"/>
      <c r="BG11" s="16">
        <f>IF(SUM(AS11,AX11)&gt;0,SUM(AS11,AX11),"")</f>
        <v>20.2</v>
      </c>
      <c r="BH11" s="16">
        <f>IF(SUM(AQ11:AT11)-AU11&gt;0,SUM(AQ11:AT11)-AU11,"")</f>
        <v>46.644999999999996</v>
      </c>
      <c r="BI11" s="16">
        <f>IF(SUM(AV11:AY11)-AZ11&gt;0,SUM(AV11:AY11)-AZ11,"")</f>
        <v>51.179999999999993</v>
      </c>
      <c r="BJ11" s="16">
        <f>IF(SUM(BH11:BI11)&gt;0,SUM(BH11:BI11),"")</f>
        <v>97.824999999999989</v>
      </c>
      <c r="BK11" s="16">
        <f>IF(SUM(BA11:BD11)-BE11&gt;0,SUM(BA11:BD11)-BE11,"")</f>
        <v>52.335000000000001</v>
      </c>
      <c r="BL11" s="16">
        <f>IF(SUM(BJ11,BK11)&gt;0,SUM(BJ11,BK11),"")</f>
        <v>150.16</v>
      </c>
      <c r="BM11" s="47">
        <v>17</v>
      </c>
      <c r="BN11" s="47">
        <v>9.1999999999999993</v>
      </c>
      <c r="BO11" s="47">
        <v>5</v>
      </c>
      <c r="BP11" s="47">
        <v>16.68</v>
      </c>
      <c r="BQ11" s="47">
        <v>0</v>
      </c>
      <c r="BR11" s="47">
        <v>13.3</v>
      </c>
      <c r="BS11" s="47">
        <v>8.9499999999999993</v>
      </c>
      <c r="BT11" s="47">
        <v>13.1</v>
      </c>
      <c r="BU11" s="47">
        <v>15.375</v>
      </c>
      <c r="BV11" s="47">
        <v>0</v>
      </c>
      <c r="BW11" s="47"/>
      <c r="BX11" s="47"/>
      <c r="BY11" s="47"/>
      <c r="BZ11" s="47"/>
      <c r="CA11" s="47"/>
      <c r="CB11" s="93"/>
      <c r="CC11" s="13">
        <f>IF(SUM(BO11,BT11)&gt;0,SUM(BO11,BT11),"")</f>
        <v>18.100000000000001</v>
      </c>
      <c r="CD11" s="13">
        <f>IF(SUM(BM11:BP11)-BQ11&gt;0,SUM(BM11:BP11)-BQ11,"")</f>
        <v>47.879999999999995</v>
      </c>
      <c r="CE11" s="13">
        <f>IF(SUM(BR11:BU11)-BV11&gt;0,SUM(BR11:BU11)-BV11,"")</f>
        <v>50.725000000000001</v>
      </c>
      <c r="CF11" s="13">
        <f>IF(SUM(CD11:CE11)&gt;0,SUM(CD11:CE11),"")</f>
        <v>98.60499999999999</v>
      </c>
      <c r="CG11" s="13" t="str">
        <f>IF(SUM(BW11:BZ11)-CA11&gt;0,SUM(BW11:BZ11)-CA11,"")</f>
        <v/>
      </c>
      <c r="CH11" s="13">
        <f>IF(SUM(CF11,CG11)&gt;0,SUM(CF11,CG11),"")</f>
        <v>98.60499999999999</v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IF(AND(F12="P",H12="P"),SUMPRODUCT((F$4:F$24="P")*(H$4:H$24="P")*(E$4:E$24&gt;E12))+1,IF(H12="P",SUMPRODUCT((F$4:F$24="")*(H$4:H$24="P")*(E$4:E$24&gt;E12))+1+SUMPRODUCT((F$4:F$24="P")*(H$4:H$24="P")),""))</f>
        <v/>
      </c>
      <c r="B12" s="7" t="s">
        <v>127</v>
      </c>
      <c r="C12" s="8" t="s">
        <v>5</v>
      </c>
      <c r="D12" s="33">
        <v>1999</v>
      </c>
      <c r="E12" s="17">
        <f>SUM(J12:R12)</f>
        <v>217.85000000000002</v>
      </c>
      <c r="F12" s="4" t="str">
        <f>IF(OR(AND($AK12&gt;=$AL$27,NOT($AK12=""),$AJ12=""),AND($BG12&gt;=$BH$27,NOT($BG12=""),$BF12=""),AND($CC12&gt;=$CD$27,NOT($CC12=""),$CB12="")),"P","")</f>
        <v>P</v>
      </c>
      <c r="G12" s="4" t="str">
        <f>IF(OR(AND($AK12&gt;=$AL$28,NOT($AK12=""),$AJ12=""),AND($BG12&gt;=$BH$28,NOT($BG12=""),$BF12=""),AND($CC12&gt;=$CD$28,NOT($CC12=""),$CB12="")),"P","")</f>
        <v>P</v>
      </c>
      <c r="H12" s="4" t="str">
        <f>IF(OR(AND($AN12&gt;=$AL$29,NOT($AN12=""),$AJ12=""),AND($BJ12&gt;=$BH$29,NOT($BJ12=""),$BF12=""),AND($CF12&gt;=$CD$29,NOT($CF12=""),$CB12="")),"P","")</f>
        <v/>
      </c>
      <c r="I12" t="str">
        <f>IF(AND(G12="P",OR(AND($AM12&gt;$AL$32,NOT($AM12=""),$AJ12=""),AND($AO12&gt;$AL$32,NOT($AO12=""),$AJ12=""),AND($BI12&gt;$BH$32,NOT($BI12=""),$BF12=""),AND($BK12&gt;$BH$32,NOT($BK12=""),$BF12=""),AND($CE12&gt;$CD$32,NOT($CE12=""),$CB12=""),AND($CG12&gt;$CD$32,NOT($CG12=""),$CB12=""))),"Merit",IF(AND(G12="P",OR(AND($AN12&gt;$AL$31,NOT($AN12=""),$AJ12=""),AND($BJ12&gt;$BH$31,NOT($BJ12=""),$BF12=""),AND($CF12&gt;$CD$31,NOT($CF12=""),$CB12=""))),"Funding",IF(AND(G12="P",OR(AND($AN12&gt;$AL$30,NOT($AN12=""),$AJ12=""),AND($BJ12&gt;$BH$30,NOT($BJ12=""),$BF12=""),AND($CF12&gt;$CD$30,NOT($CF12=""),$CB12=""))),"Worlds Team",IF(AND(F12="P",OR(AND($AN12&gt;$AL$29,NOT($AN12=""),$AJ12=""),AND($BJ12&gt;$BH$29,NOT($BJ12=""),$BF12=""),AND($CF12&gt;$CD$29,NOT($CF12=""),$CB12=""))),"National Team",""))))</f>
        <v/>
      </c>
      <c r="J12" s="16">
        <f>MAX(AN12,BJ12,CF12)</f>
        <v>102.38500000000001</v>
      </c>
      <c r="K12" s="16" t="str">
        <f>IF(J12=CF12,$BM$1,IF(J12=BJ12,$AQ$1,IF(J12=AN12,$U$1,"")))</f>
        <v>2018 Nationals</v>
      </c>
      <c r="L12" s="16">
        <f>IF($J12=$AN12,MAX(BH12,CD12),IF($J12=$BJ12,MAX(AL12,CD12),MAX(AL12,BH12)))</f>
        <v>46.324999999999996</v>
      </c>
      <c r="M12" s="16" t="str">
        <f>IF(AND(L12=CD12,$K12&lt;&gt;$BM$1),$BM$1,IF(AND(L12=BH12,$K12&lt;&gt;$AQ$1),$AQ$1,IF(AND(L12=AL12,$K12&lt;&gt;$U$1),$U$1,"")))</f>
        <v>2018 Canada Cup</v>
      </c>
      <c r="N12" s="16">
        <f>IF($J12=$AN12,MAX(BI12,CE12),IF($J12=$BJ12,MAX(AM12,CE12),MAX(AM12,BI12)))</f>
        <v>16.87</v>
      </c>
      <c r="O12" s="16" t="str">
        <f>IF(AND(N12=CE12,$K12&lt;&gt;$BM$1),$BM$1,IF(AND(N12=BI12,$K12&lt;&gt;$AQ$1),$AQ$1,IF(AND(N12=AM12,$K12&lt;&gt;$U$1),$U$1,"")))</f>
        <v>2018 Canada Cup</v>
      </c>
      <c r="P12" s="16">
        <f>MAX(AO12,BK12,CG12)</f>
        <v>52.27</v>
      </c>
      <c r="Q12" s="16" t="str">
        <f>IF(P12=CG12,$BM$1,IF(P12=BK12,$AQ$1,IF(P12=AO12,$U$1,"")))</f>
        <v>2018 Nationals</v>
      </c>
      <c r="R12" s="16" t="str">
        <f>IF(MAX(CI12,CJ12,CK12)&gt;0,MAX(CI12,CJ12,CK12),"")</f>
        <v/>
      </c>
      <c r="S12" s="31" t="str">
        <f>IF(R12="","",IF(R12=CI12,"(Vol 1)",IF(R12=CJ12,"(Vol 2)",IF(R12=CK12,"(Final)"))))</f>
        <v/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93"/>
      <c r="AK12" s="13" t="str">
        <f>IF(SUM(W12,AB12)&gt;0,SUM(W12,AB12),"")</f>
        <v/>
      </c>
      <c r="AL12" s="13" t="str">
        <f>IF(SUM(U12:X12)-Y12&gt;0,SUM(U12:X12)-Y12,"")</f>
        <v/>
      </c>
      <c r="AM12" s="13" t="str">
        <f>IF(SUM(Z12:AC12)-AD12&gt;0,SUM(Z12:AC12)-AD12,"")</f>
        <v/>
      </c>
      <c r="AN12" s="13" t="str">
        <f>IF(SUM(AL12:AM12)&gt;0,SUM(AL12:AM12),"")</f>
        <v/>
      </c>
      <c r="AO12" s="13" t="str">
        <f>IF(SUM(AE12:AH12)-AI12&gt;0,SUM(AE12:AH12)-AI12,"")</f>
        <v/>
      </c>
      <c r="AP12" s="13" t="str">
        <f>IF(SUM(AN12,AO12)&gt;0,SUM(AN12,AO12),"")</f>
        <v/>
      </c>
      <c r="AQ12" s="88">
        <v>15.8</v>
      </c>
      <c r="AR12" s="88">
        <v>8.85</v>
      </c>
      <c r="AS12" s="88">
        <v>5.4</v>
      </c>
      <c r="AT12" s="88">
        <v>16.274999999999999</v>
      </c>
      <c r="AU12" s="88">
        <v>0</v>
      </c>
      <c r="AV12" s="88">
        <v>4.4000000000000004</v>
      </c>
      <c r="AW12" s="88">
        <v>2.5</v>
      </c>
      <c r="AX12" s="88">
        <v>4.9000000000000004</v>
      </c>
      <c r="AY12" s="88">
        <v>5.07</v>
      </c>
      <c r="AZ12" s="88">
        <v>0</v>
      </c>
      <c r="BA12" s="88"/>
      <c r="BB12" s="88"/>
      <c r="BC12" s="88"/>
      <c r="BD12" s="88"/>
      <c r="BE12" s="88"/>
      <c r="BF12" s="94"/>
      <c r="BG12" s="16">
        <f>IF(SUM(AS12,AX12)&gt;0,SUM(AS12,AX12),"")</f>
        <v>10.3</v>
      </c>
      <c r="BH12" s="16">
        <f>IF(SUM(AQ12:AT12)-AU12&gt;0,SUM(AQ12:AT12)-AU12,"")</f>
        <v>46.324999999999996</v>
      </c>
      <c r="BI12" s="16">
        <f>IF(SUM(AV12:AY12)-AZ12&gt;0,SUM(AV12:AY12)-AZ12,"")</f>
        <v>16.87</v>
      </c>
      <c r="BJ12" s="16">
        <f>IF(SUM(BH12:BI12)&gt;0,SUM(BH12:BI12),"")</f>
        <v>63.194999999999993</v>
      </c>
      <c r="BK12" s="16" t="str">
        <f>IF(SUM(BA12:BD12)-BE12&gt;0,SUM(BA12:BD12)-BE12,"")</f>
        <v/>
      </c>
      <c r="BL12" s="16">
        <f>IF(SUM(BJ12,BK12)&gt;0,SUM(BJ12,BK12),"")</f>
        <v>63.194999999999993</v>
      </c>
      <c r="BM12" s="47">
        <v>17</v>
      </c>
      <c r="BN12" s="47">
        <v>9.35</v>
      </c>
      <c r="BO12" s="47">
        <v>5.4</v>
      </c>
      <c r="BP12" s="47">
        <v>16.45</v>
      </c>
      <c r="BQ12" s="47">
        <v>0</v>
      </c>
      <c r="BR12" s="47">
        <v>14.8</v>
      </c>
      <c r="BS12" s="47">
        <v>8.65</v>
      </c>
      <c r="BT12" s="47">
        <v>15.2</v>
      </c>
      <c r="BU12" s="47">
        <v>15.535</v>
      </c>
      <c r="BV12" s="47">
        <v>0</v>
      </c>
      <c r="BW12" s="47">
        <v>13.1</v>
      </c>
      <c r="BX12" s="47">
        <v>9.1</v>
      </c>
      <c r="BY12" s="47">
        <v>15</v>
      </c>
      <c r="BZ12" s="47">
        <v>15.07</v>
      </c>
      <c r="CA12" s="47">
        <v>0</v>
      </c>
      <c r="CB12" s="93"/>
      <c r="CC12" s="13">
        <f>IF(SUM(BO12,BT12)&gt;0,SUM(BO12,BT12),"")</f>
        <v>20.6</v>
      </c>
      <c r="CD12" s="13">
        <f>IF(SUM(BM12:BP12)-BQ12&gt;0,SUM(BM12:BP12)-BQ12,"")</f>
        <v>48.2</v>
      </c>
      <c r="CE12" s="13">
        <f>IF(SUM(BR12:BU12)-BV12&gt;0,SUM(BR12:BU12)-BV12,"")</f>
        <v>54.185000000000002</v>
      </c>
      <c r="CF12" s="13">
        <f>IF(SUM(CD12:CE12)&gt;0,SUM(CD12:CE12),"")</f>
        <v>102.38500000000001</v>
      </c>
      <c r="CG12" s="13">
        <f>IF(SUM(BW12:BZ12)-CA12&gt;0,SUM(BW12:BZ12)-CA12,"")</f>
        <v>52.27</v>
      </c>
      <c r="CH12" s="13">
        <f>IF(SUM(CF12,CG12)&gt;0,SUM(CF12,CG12),"")</f>
        <v>154.655</v>
      </c>
      <c r="CI12" s="30" t="str">
        <f>IF(MAX(DB12,DW12,ER12,FM12,GH12,HC12,HX12,IS12,JN12,KI12,LD12,LY12)-L12&gt;0.001,MAX(DB12,DW12,ER12,FM12,GH12,HC12,HX12,IS12,JN12,KI12,LD12,LY12)-L12,"")</f>
        <v/>
      </c>
      <c r="CJ12" s="30" t="str">
        <f>IF(MAX(DC12,DX12,ES12,FN12,GI12,HD12,HY12,IT12,JO12,KJ12,LE12,LZ12)-N12&gt;0.001,MAX(DC12,DX12,ES12,FN12,GI12,HD12,HY12,IT12,JO12,KJ12,LE12,LZ12)-N12,"")</f>
        <v/>
      </c>
      <c r="CK12" s="30" t="str">
        <f>IF(MAX(DE12,DZ12,EU12,FP12,GK12,HF12,IA12,IV12,JQ12,KL12,LG12,MB12)-P12&gt;0.001,MAX(DE12,DZ12,EU12,FP12,GK12,HF12,IA12,IV12,JQ12,KL12,LG12,MB12)-P12,"")</f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IF(AND(F13="P",H13="P"),SUMPRODUCT((F$4:F$24="P")*(H$4:H$24="P")*(E$4:E$24&gt;E13))+1,IF(H13="P",SUMPRODUCT((F$4:F$24="")*(H$4:H$24="P")*(E$4:E$24&gt;E13))+1+SUMPRODUCT((F$4:F$24="P")*(H$4:H$24="P")),""))</f>
        <v/>
      </c>
      <c r="B13" s="7" t="s">
        <v>10</v>
      </c>
      <c r="C13" s="8" t="s">
        <v>3</v>
      </c>
      <c r="D13" s="33">
        <v>1997</v>
      </c>
      <c r="E13" s="17">
        <f>SUM(J13:R13)</f>
        <v>252.4</v>
      </c>
      <c r="F13" s="4" t="str">
        <f>IF(OR(AND($AK13&gt;=$AL$27,NOT($AK13=""),$AJ13=""),AND($BG13&gt;=$BH$27,NOT($BG13=""),$BF13=""),AND($CC13&gt;=$CD$27,NOT($CC13=""),$CB13="")),"P","")</f>
        <v/>
      </c>
      <c r="G13" s="4" t="str">
        <f>IF(OR(AND($AK13&gt;=$AL$28,NOT($AK13=""),$AJ13=""),AND($BG13&gt;=$BH$28,NOT($BG13=""),$BF13=""),AND($CC13&gt;=$CD$28,NOT($CC13=""),$CB13="")),"P","")</f>
        <v/>
      </c>
      <c r="H13" s="4" t="str">
        <f>IF(OR(AND($AN13&gt;=$AL$29,NOT($AN13=""),$AJ13=""),AND($BJ13&gt;=$BH$29,NOT($BJ13=""),$BF13=""),AND($CF13&gt;=$CD$29,NOT($CF13=""),$CB13="")),"P","")</f>
        <v/>
      </c>
      <c r="I13" t="str">
        <f>IF(AND(G13="P",OR(AND($AM13&gt;$AL$32,NOT($AM13=""),$AJ13=""),AND($AO13&gt;$AL$32,NOT($AO13=""),$AJ13=""),AND($BI13&gt;$BH$32,NOT($BI13=""),$BF13=""),AND($BK13&gt;$BH$32,NOT($BK13=""),$BF13=""),AND($CE13&gt;$CD$32,NOT($CE13=""),$CB13=""),AND($CG13&gt;$CD$32,NOT($CG13=""),$CB13=""))),"Merit",IF(AND(G13="P",OR(AND($AN13&gt;$AL$31,NOT($AN13=""),$AJ13=""),AND($BJ13&gt;$BH$31,NOT($BJ13=""),$BF13=""),AND($CF13&gt;$CD$31,NOT($CF13=""),$CB13=""))),"Funding",IF(AND(G13="P",OR(AND($AN13&gt;$AL$30,NOT($AN13=""),$AJ13=""),AND($BJ13&gt;$BH$30,NOT($BJ13=""),$BF13=""),AND($CF13&gt;$CD$30,NOT($CF13=""),$CB13=""))),"Worlds Team",IF(AND(F13="P",OR(AND($AN13&gt;$AL$29,NOT($AN13=""),$AJ13=""),AND($BJ13&gt;$BH$29,NOT($BJ13=""),$BF13=""),AND($CF13&gt;$CD$29,NOT($CF13=""),$CB13=""))),"National Team",""))))</f>
        <v/>
      </c>
      <c r="J13" s="16">
        <f>MAX(AN13,BJ13,CF13)</f>
        <v>90.73</v>
      </c>
      <c r="K13" s="16" t="str">
        <f>IF(J13=CF13,$BM$1,IF(J13=BJ13,$AQ$1,IF(J13=AN13,$U$1,"")))</f>
        <v>2018 Canada Cup</v>
      </c>
      <c r="L13" s="16">
        <f>IF($J13=$AN13,MAX(BH13,CD13),IF($J13=$BJ13,MAX(AL13,CD13),MAX(AL13,BH13)))</f>
        <v>49.070000000000007</v>
      </c>
      <c r="M13" s="16" t="str">
        <f>IF(AND(L13=CD13,$K13&lt;&gt;$BM$1),$BM$1,IF(AND(L13=BH13,$K13&lt;&gt;$AQ$1),$AQ$1,IF(AND(L13=AL13,$K13&lt;&gt;$U$1),$U$1,"")))</f>
        <v>2018 Nationals</v>
      </c>
      <c r="N13" s="16">
        <f>IF($J13=$AN13,MAX(BI13,CE13),IF($J13=$BJ13,MAX(AM13,CE13),MAX(AM13,BI13)))</f>
        <v>55.010000000000005</v>
      </c>
      <c r="O13" s="16" t="str">
        <f>IF(AND(N13=CE13,$K13&lt;&gt;$BM$1),$BM$1,IF(AND(N13=BI13,$K13&lt;&gt;$AQ$1),$AQ$1,IF(AND(N13=AM13,$K13&lt;&gt;$U$1),$U$1,"")))</f>
        <v>2017 3rd Domestic Trial</v>
      </c>
      <c r="P13" s="16">
        <f>MAX(AO13,BK13,CG13)</f>
        <v>57.59</v>
      </c>
      <c r="Q13" s="16" t="str">
        <f>IF(P13=CG13,$BM$1,IF(P13=BK13,$AQ$1,IF(P13=AO13,$U$1,"")))</f>
        <v>2018 Canada Cup</v>
      </c>
      <c r="R13" s="16" t="str">
        <f>IF(MAX(CI13,CJ13,CK13)&gt;0,MAX(CI13,CJ13,CK13),"")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81">
        <v>1.8</v>
      </c>
      <c r="V13" s="81">
        <v>0.9</v>
      </c>
      <c r="W13" s="81">
        <v>1.1000000000000001</v>
      </c>
      <c r="X13" s="81">
        <v>1.7949999999999999</v>
      </c>
      <c r="Y13" s="81">
        <v>0</v>
      </c>
      <c r="Z13" s="81">
        <v>14.8</v>
      </c>
      <c r="AA13" s="81">
        <v>9.5</v>
      </c>
      <c r="AB13" s="81">
        <v>14.8</v>
      </c>
      <c r="AC13" s="81">
        <v>15.91</v>
      </c>
      <c r="AD13" s="81">
        <v>0</v>
      </c>
      <c r="AE13" s="81"/>
      <c r="AF13" s="81"/>
      <c r="AG13" s="81"/>
      <c r="AH13" s="81"/>
      <c r="AI13" s="81"/>
      <c r="AJ13" s="93"/>
      <c r="AK13" s="13">
        <f>IF(SUM(W13,AB13)&gt;0,SUM(W13,AB13),"")</f>
        <v>15.9</v>
      </c>
      <c r="AL13" s="13">
        <f>IF(SUM(U13:X13)-Y13&gt;0,SUM(U13:X13)-Y13,"")</f>
        <v>5.5950000000000006</v>
      </c>
      <c r="AM13" s="13">
        <f>IF(SUM(Z13:AC13)-AD13&gt;0,SUM(Z13:AC13)-AD13,"")</f>
        <v>55.010000000000005</v>
      </c>
      <c r="AN13" s="13">
        <f>IF(SUM(AL13:AM13)&gt;0,SUM(AL13:AM13),"")</f>
        <v>60.605000000000004</v>
      </c>
      <c r="AO13" s="13" t="str">
        <f>IF(SUM(AE13:AH13)-AI13&gt;0,SUM(AE13:AH13)-AI13,"")</f>
        <v/>
      </c>
      <c r="AP13" s="13">
        <f>IF(SUM(AN13,AO13)&gt;0,SUM(AN13,AO13),"")</f>
        <v>60.605000000000004</v>
      </c>
      <c r="AQ13" s="88">
        <v>13.7</v>
      </c>
      <c r="AR13" s="88">
        <v>7.15</v>
      </c>
      <c r="AS13" s="88">
        <v>2.2999999999999998</v>
      </c>
      <c r="AT13" s="88">
        <v>13.84</v>
      </c>
      <c r="AU13" s="88">
        <v>0</v>
      </c>
      <c r="AV13" s="88">
        <v>13.9</v>
      </c>
      <c r="AW13" s="88">
        <v>9.1</v>
      </c>
      <c r="AX13" s="88">
        <v>14.6</v>
      </c>
      <c r="AY13" s="88">
        <v>16.14</v>
      </c>
      <c r="AZ13" s="88">
        <v>0</v>
      </c>
      <c r="BA13" s="88">
        <v>15.5</v>
      </c>
      <c r="BB13" s="88">
        <v>9.4499999999999993</v>
      </c>
      <c r="BC13" s="88">
        <v>16.2</v>
      </c>
      <c r="BD13" s="88">
        <v>16.440000000000001</v>
      </c>
      <c r="BE13" s="88">
        <v>0</v>
      </c>
      <c r="BF13" s="94"/>
      <c r="BG13" s="16">
        <f>IF(SUM(AS13,AX13)&gt;0,SUM(AS13,AX13),"")</f>
        <v>16.899999999999999</v>
      </c>
      <c r="BH13" s="16">
        <f>IF(SUM(AQ13:AT13)-AU13&gt;0,SUM(AQ13:AT13)-AU13,"")</f>
        <v>36.99</v>
      </c>
      <c r="BI13" s="16">
        <f>IF(SUM(AV13:AY13)-AZ13&gt;0,SUM(AV13:AY13)-AZ13,"")</f>
        <v>53.74</v>
      </c>
      <c r="BJ13" s="16">
        <f>IF(SUM(BH13:BI13)&gt;0,SUM(BH13:BI13),"")</f>
        <v>90.73</v>
      </c>
      <c r="BK13" s="16">
        <f>IF(SUM(BA13:BD13)-BE13&gt;0,SUM(BA13:BD13)-BE13,"")</f>
        <v>57.59</v>
      </c>
      <c r="BL13" s="16">
        <f>IF(SUM(BJ13,BK13)&gt;0,SUM(BJ13,BK13),"")</f>
        <v>148.32</v>
      </c>
      <c r="BM13" s="47">
        <v>17.7</v>
      </c>
      <c r="BN13" s="47">
        <v>9.3000000000000007</v>
      </c>
      <c r="BO13" s="47">
        <v>5.2</v>
      </c>
      <c r="BP13" s="47">
        <v>16.87</v>
      </c>
      <c r="BQ13" s="47">
        <v>0</v>
      </c>
      <c r="BR13" s="47">
        <v>2.7</v>
      </c>
      <c r="BS13" s="47">
        <v>1.7</v>
      </c>
      <c r="BT13" s="47">
        <v>3.8</v>
      </c>
      <c r="BU13" s="47">
        <v>3.5449999999999999</v>
      </c>
      <c r="BV13" s="47">
        <v>0.4</v>
      </c>
      <c r="BW13" s="47"/>
      <c r="BX13" s="47"/>
      <c r="BY13" s="47"/>
      <c r="BZ13" s="47"/>
      <c r="CA13" s="47"/>
      <c r="CB13" s="93"/>
      <c r="CC13" s="13">
        <f>IF(SUM(BO13,BT13)&gt;0,SUM(BO13,BT13),"")</f>
        <v>9</v>
      </c>
      <c r="CD13" s="13">
        <f>IF(SUM(BM13:BP13)-BQ13&gt;0,SUM(BM13:BP13)-BQ13,"")</f>
        <v>49.070000000000007</v>
      </c>
      <c r="CE13" s="13">
        <f>IF(SUM(BR13:BU13)-BV13&gt;0,SUM(BR13:BU13)-BV13,"")</f>
        <v>11.344999999999999</v>
      </c>
      <c r="CF13" s="13">
        <f>IF(SUM(CD13:CE13)&gt;0,SUM(CD13:CE13),"")</f>
        <v>60.415000000000006</v>
      </c>
      <c r="CG13" s="13" t="str">
        <f>IF(SUM(BW13:BZ13)-CA13&gt;0,SUM(BW13:BZ13)-CA13,"")</f>
        <v/>
      </c>
      <c r="CH13" s="13">
        <f>IF(SUM(CF13,CG13)&gt;0,SUM(CF13,CG13),"")</f>
        <v>60.415000000000006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IF(AND(F14="P",H14="P"),SUMPRODUCT((F$4:F$24="P")*(H$4:H$24="P")*(E$4:E$24&gt;E14))+1,IF(H14="P",SUMPRODUCT((F$4:F$24="")*(H$4:H$24="P")*(E$4:E$24&gt;E14))+1+SUMPRODUCT((F$4:F$24="P")*(H$4:H$24="P")),""))</f>
        <v/>
      </c>
      <c r="B14" s="9" t="s">
        <v>17</v>
      </c>
      <c r="C14" s="5" t="s">
        <v>7</v>
      </c>
      <c r="D14" s="8">
        <v>1996</v>
      </c>
      <c r="E14" s="17">
        <f>SUM(J14:R14)</f>
        <v>240.38</v>
      </c>
      <c r="F14" s="4" t="str">
        <f>IF(OR(AND($AK14&gt;=$AL$27,NOT($AK14=""),$AJ14=""),AND($BG14&gt;=$BH$27,NOT($BG14=""),$BF14=""),AND($CC14&gt;=$CD$27,NOT($CC14=""),$CB14="")),"P","")</f>
        <v/>
      </c>
      <c r="G14" s="4" t="str">
        <f>IF(OR(AND($AK14&gt;=$AL$28,NOT($AK14=""),$AJ14=""),AND($BG14&gt;=$BH$28,NOT($BG14=""),$BF14=""),AND($CC14&gt;=$CD$28,NOT($CC14=""),$CB14="")),"P","")</f>
        <v/>
      </c>
      <c r="H14" s="4" t="str">
        <f>IF(OR(AND($AN14&gt;=$AL$29,NOT($AN14=""),$AJ14=""),AND($BJ14&gt;=$BH$29,NOT($BJ14=""),$BF14=""),AND($CF14&gt;=$CD$29,NOT($CF14=""),$CB14="")),"P","")</f>
        <v/>
      </c>
      <c r="I14" t="str">
        <f>IF(AND(G14="P",OR(AND($AM14&gt;$AL$32,NOT($AM14=""),$AJ14=""),AND($AO14&gt;$AL$32,NOT($AO14=""),$AJ14=""),AND($BI14&gt;$BH$32,NOT($BI14=""),$BF14=""),AND($BK14&gt;$BH$32,NOT($BK14=""),$BF14=""),AND($CE14&gt;$CD$32,NOT($CE14=""),$CB14=""),AND($CG14&gt;$CD$32,NOT($CG14=""),$CB14=""))),"Merit",IF(AND(G14="P",OR(AND($AN14&gt;$AL$31,NOT($AN14=""),$AJ14=""),AND($BJ14&gt;$BH$31,NOT($BJ14=""),$BF14=""),AND($CF14&gt;$CD$31,NOT($CF14=""),$CB14=""))),"Funding",IF(AND(G14="P",OR(AND($AN14&gt;$AL$30,NOT($AN14=""),$AJ14=""),AND($BJ14&gt;$BH$30,NOT($BJ14=""),$BF14=""),AND($CF14&gt;$CD$30,NOT($CF14=""),$CB14=""))),"Worlds Team",IF(AND(F14="P",OR(AND($AN14&gt;$AL$29,NOT($AN14=""),$AJ14=""),AND($BJ14&gt;$BH$29,NOT($BJ14=""),$BF14=""),AND($CF14&gt;$CD$29,NOT($CF14=""),$CB14=""))),"National Team",""))))</f>
        <v/>
      </c>
      <c r="J14" s="16">
        <f>MAX(AN14,BJ14,CF14)</f>
        <v>101.13000000000001</v>
      </c>
      <c r="K14" s="16" t="str">
        <f>IF(J14=CF14,$BM$1,IF(J14=BJ14,$AQ$1,IF(J14=AN14,$U$1,"")))</f>
        <v>2018 Nationals</v>
      </c>
      <c r="L14" s="16">
        <f>IF($J14=$AN14,MAX(BH14,CD14),IF($J14=$BJ14,MAX(AL14,CD14),MAX(AL14,BH14)))</f>
        <v>36.774999999999999</v>
      </c>
      <c r="M14" s="16" t="str">
        <f>IF(AND(L14=CD14,$K14&lt;&gt;$BM$1),$BM$1,IF(AND(L14=BH14,$K14&lt;&gt;$AQ$1),$AQ$1,IF(AND(L14=AL14,$K14&lt;&gt;$U$1),$U$1,"")))</f>
        <v>2018 Canada Cup</v>
      </c>
      <c r="N14" s="16">
        <f>IF($J14=$AN14,MAX(BI14,CE14),IF($J14=$BJ14,MAX(AM14,CE14),MAX(AM14,BI14)))</f>
        <v>50.525000000000006</v>
      </c>
      <c r="O14" s="16" t="str">
        <f>IF(AND(N14=CE14,$K14&lt;&gt;$BM$1),$BM$1,IF(AND(N14=BI14,$K14&lt;&gt;$AQ$1),$AQ$1,IF(AND(N14=AM14,$K14&lt;&gt;$U$1),$U$1,"")))</f>
        <v>2018 Canada Cup</v>
      </c>
      <c r="P14" s="16">
        <f>MAX(AO14,BK14,CG14)</f>
        <v>51.95</v>
      </c>
      <c r="Q14" s="16" t="str">
        <f>IF(P14=CG14,$BM$1,IF(P14=BK14,$AQ$1,IF(P14=AO14,$U$1,"")))</f>
        <v>2018 Nationals</v>
      </c>
      <c r="R14" s="16" t="str">
        <f>IF(MAX(CI14,CJ14,CK14)&gt;0,MAX(CI14,CJ14,CK14),"")</f>
        <v/>
      </c>
      <c r="S14" s="31" t="str">
        <f>IF(R14="","",IF(R14=CI14,"(Vol 1)",IF(R14=CJ14,"(Vol 2)",IF(R14=CK14,"(Final)"))))</f>
        <v/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/>
      </c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93"/>
      <c r="AK14" s="13" t="str">
        <f>IF(SUM(W14,AB14)&gt;0,SUM(W14,AB14),"")</f>
        <v/>
      </c>
      <c r="AL14" s="13" t="str">
        <f>IF(SUM(U14:X14)-Y14&gt;0,SUM(U14:X14)-Y14,"")</f>
        <v/>
      </c>
      <c r="AM14" s="13" t="str">
        <f>IF(SUM(Z14:AC14)-AD14&gt;0,SUM(Z14:AC14)-AD14,"")</f>
        <v/>
      </c>
      <c r="AN14" s="13" t="str">
        <f>IF(SUM(AL14:AM14)&gt;0,SUM(AL14:AM14),"")</f>
        <v/>
      </c>
      <c r="AO14" s="13" t="str">
        <f>IF(SUM(AE14:AH14)-AI14&gt;0,SUM(AE14:AH14)-AI14,"")</f>
        <v/>
      </c>
      <c r="AP14" s="13" t="str">
        <f>IF(SUM(AN14,AO14)&gt;0,SUM(AN14,AO14),"")</f>
        <v/>
      </c>
      <c r="AQ14" s="88">
        <v>13.8</v>
      </c>
      <c r="AR14" s="88">
        <v>7.05</v>
      </c>
      <c r="AS14" s="88">
        <v>2.7</v>
      </c>
      <c r="AT14" s="88">
        <v>13.225</v>
      </c>
      <c r="AU14" s="88">
        <v>0</v>
      </c>
      <c r="AV14" s="88">
        <v>12.2</v>
      </c>
      <c r="AW14" s="88">
        <v>8.5</v>
      </c>
      <c r="AX14" s="88">
        <v>14.4</v>
      </c>
      <c r="AY14" s="88">
        <v>15.425000000000001</v>
      </c>
      <c r="AZ14" s="88">
        <v>0</v>
      </c>
      <c r="BA14" s="88">
        <v>8.6999999999999993</v>
      </c>
      <c r="BB14" s="88">
        <v>5.55</v>
      </c>
      <c r="BC14" s="88">
        <v>9.1999999999999993</v>
      </c>
      <c r="BD14" s="88">
        <v>9.8699999999999992</v>
      </c>
      <c r="BE14" s="88">
        <v>0</v>
      </c>
      <c r="BF14" s="94"/>
      <c r="BG14" s="16">
        <f>IF(SUM(AS14,AX14)&gt;0,SUM(AS14,AX14),"")</f>
        <v>17.100000000000001</v>
      </c>
      <c r="BH14" s="16">
        <f>IF(SUM(AQ14:AT14)-AU14&gt;0,SUM(AQ14:AT14)-AU14,"")</f>
        <v>36.774999999999999</v>
      </c>
      <c r="BI14" s="16">
        <f>IF(SUM(AV14:AY14)-AZ14&gt;0,SUM(AV14:AY14)-AZ14,"")</f>
        <v>50.525000000000006</v>
      </c>
      <c r="BJ14" s="16">
        <f>IF(SUM(BH14:BI14)&gt;0,SUM(BH14:BI14),"")</f>
        <v>87.300000000000011</v>
      </c>
      <c r="BK14" s="16">
        <f>IF(SUM(BA14:BD14)-BE14&gt;0,SUM(BA14:BD14)-BE14,"")</f>
        <v>33.32</v>
      </c>
      <c r="BL14" s="16">
        <f>IF(SUM(BJ14,BK14)&gt;0,SUM(BJ14,BK14),"")</f>
        <v>120.62</v>
      </c>
      <c r="BM14" s="47">
        <v>17.600000000000001</v>
      </c>
      <c r="BN14" s="47">
        <v>8.6</v>
      </c>
      <c r="BO14" s="47">
        <v>5.0999999999999996</v>
      </c>
      <c r="BP14" s="47">
        <v>16.315000000000001</v>
      </c>
      <c r="BQ14" s="47">
        <v>0</v>
      </c>
      <c r="BR14" s="47">
        <v>14.2</v>
      </c>
      <c r="BS14" s="47">
        <v>8.9499999999999993</v>
      </c>
      <c r="BT14" s="47">
        <v>15</v>
      </c>
      <c r="BU14" s="47">
        <v>15.765000000000001</v>
      </c>
      <c r="BV14" s="47">
        <v>0.4</v>
      </c>
      <c r="BW14" s="47">
        <v>13.6</v>
      </c>
      <c r="BX14" s="47">
        <v>8.9</v>
      </c>
      <c r="BY14" s="47">
        <v>13.6</v>
      </c>
      <c r="BZ14" s="47">
        <v>15.85</v>
      </c>
      <c r="CA14" s="47">
        <v>0</v>
      </c>
      <c r="CB14" s="93"/>
      <c r="CC14" s="13">
        <f>IF(SUM(BO14,BT14)&gt;0,SUM(BO14,BT14),"")</f>
        <v>20.100000000000001</v>
      </c>
      <c r="CD14" s="13">
        <f>IF(SUM(BM14:BP14)-BQ14&gt;0,SUM(BM14:BP14)-BQ14,"")</f>
        <v>47.615000000000009</v>
      </c>
      <c r="CE14" s="13">
        <f>IF(SUM(BR14:BU14)-BV14&gt;0,SUM(BR14:BU14)-BV14,"")</f>
        <v>53.515000000000001</v>
      </c>
      <c r="CF14" s="13">
        <f>IF(SUM(CD14:CE14)&gt;0,SUM(CD14:CE14),"")</f>
        <v>101.13000000000001</v>
      </c>
      <c r="CG14" s="13">
        <f>IF(SUM(BW14:BZ14)-CA14&gt;0,SUM(BW14:BZ14)-CA14,"")</f>
        <v>51.95</v>
      </c>
      <c r="CH14" s="13">
        <f>IF(SUM(CF14,CG14)&gt;0,SUM(CF14,CG14),"")</f>
        <v>153.08000000000001</v>
      </c>
      <c r="CI14" s="30" t="str">
        <f>IF(MAX(DB14,DW14,ER14,FM14,GH14,HC14,HX14,IS14,JN14,KI14,LD14,LY14)-L14&gt;0.001,MAX(DB14,DW14,ER14,FM14,GH14,HC14,HX14,IS14,JN14,KI14,LD14,LY14)-L14,"")</f>
        <v/>
      </c>
      <c r="CJ14" s="30" t="str">
        <f>IF(MAX(DC14,DX14,ES14,FN14,GI14,HD14,HY14,IT14,JO14,KJ14,LE14,LZ14)-N14&gt;0.001,MAX(DC14,DX14,ES14,FN14,GI14,HD14,HY14,IT14,JO14,KJ14,LE14,LZ14)-N14,"")</f>
        <v/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IF(AND(F15="P",H15="P"),SUMPRODUCT((F$4:F$24="P")*(H$4:H$24="P")*(E$4:E$24&gt;E15))+1,IF(H15="P",SUMPRODUCT((F$4:F$24="")*(H$4:H$24="P")*(E$4:E$24&gt;E15))+1+SUMPRODUCT((F$4:F$24="P")*(H$4:H$24="P")),""))</f>
        <v/>
      </c>
      <c r="B15" s="7" t="s">
        <v>126</v>
      </c>
      <c r="C15" s="8" t="s">
        <v>12</v>
      </c>
      <c r="D15" s="33">
        <v>1999</v>
      </c>
      <c r="E15" s="17">
        <f>SUM(J15:R15)</f>
        <v>229.28499999999997</v>
      </c>
      <c r="F15" s="4" t="str">
        <f>IF(OR(AND($AK15&gt;=$AL$27,NOT($AK15=""),$AJ15=""),AND($BG15&gt;=$BH$27,NOT($BG15=""),$BF15=""),AND($CC15&gt;=$CD$27,NOT($CC15=""),$CB15="")),"P","")</f>
        <v/>
      </c>
      <c r="G15" s="4" t="str">
        <f>IF(OR(AND($AK15&gt;=$AL$28,NOT($AK15=""),$AJ15=""),AND($BG15&gt;=$BH$28,NOT($BG15=""),$BF15=""),AND($CC15&gt;=$CD$28,NOT($CC15=""),$CB15="")),"P","")</f>
        <v/>
      </c>
      <c r="H15" s="4" t="str">
        <f>IF(OR(AND($AN15&gt;=$AL$29,NOT($AN15=""),$AJ15=""),AND($BJ15&gt;=$BH$29,NOT($BJ15=""),$BF15=""),AND($CF15&gt;=$CD$29,NOT($CF15=""),$CB15="")),"P","")</f>
        <v/>
      </c>
      <c r="I15" t="str">
        <f>IF(AND(G15="P",OR(AND($AM15&gt;$AL$32,NOT($AM15=""),$AJ15=""),AND($AO15&gt;$AL$32,NOT($AO15=""),$AJ15=""),AND($BI15&gt;$BH$32,NOT($BI15=""),$BF15=""),AND($BK15&gt;$BH$32,NOT($BK15=""),$BF15=""),AND($CE15&gt;$CD$32,NOT($CE15=""),$CB15=""),AND($CG15&gt;$CD$32,NOT($CG15=""),$CB15=""))),"Merit",IF(AND(G15="P",OR(AND($AN15&gt;$AL$31,NOT($AN15=""),$AJ15=""),AND($BJ15&gt;$BH$31,NOT($BJ15=""),$BF15=""),AND($CF15&gt;$CD$31,NOT($CF15=""),$CB15=""))),"Funding",IF(AND(G15="P",OR(AND($AN15&gt;$AL$30,NOT($AN15=""),$AJ15=""),AND($BJ15&gt;$BH$30,NOT($BJ15=""),$BF15=""),AND($CF15&gt;$CD$30,NOT($CF15=""),$CB15=""))),"Worlds Team",IF(AND(F15="P",OR(AND($AN15&gt;$AL$29,NOT($AN15=""),$AJ15=""),AND($BJ15&gt;$BH$29,NOT($BJ15=""),$BF15=""),AND($CF15&gt;$CD$29,NOT($CF15=""),$CB15=""))),"National Team",""))))</f>
        <v/>
      </c>
      <c r="J15" s="16">
        <f>MAX(AN15,BJ15,CF15)</f>
        <v>102.55</v>
      </c>
      <c r="K15" s="16" t="str">
        <f>IF(J15=CF15,$BM$1,IF(J15=BJ15,$AQ$1,IF(J15=AN15,$U$1,"")))</f>
        <v>2018 Nationals</v>
      </c>
      <c r="L15" s="16">
        <f>IF($J15=$AN15,MAX(BH15,CD15),IF($J15=$BJ15,MAX(AL15,CD15),MAX(AL15,BH15)))</f>
        <v>45.024999999999999</v>
      </c>
      <c r="M15" s="16" t="str">
        <f>IF(AND(L15=CD15,$K15&lt;&gt;$BM$1),$BM$1,IF(AND(L15=BH15,$K15&lt;&gt;$AQ$1),$AQ$1,IF(AND(L15=AL15,$K15&lt;&gt;$U$1),$U$1,"")))</f>
        <v>2018 Canada Cup</v>
      </c>
      <c r="N15" s="16">
        <f>IF($J15=$AN15,MAX(BI15,CE15),IF($J15=$BJ15,MAX(AM15,CE15),MAX(AM15,BI15)))</f>
        <v>27.73</v>
      </c>
      <c r="O15" s="16" t="str">
        <f>IF(AND(N15=CE15,$K15&lt;&gt;$BM$1),$BM$1,IF(AND(N15=BI15,$K15&lt;&gt;$AQ$1),$AQ$1,IF(AND(N15=AM15,$K15&lt;&gt;$U$1),$U$1,"")))</f>
        <v>2018 Canada Cup</v>
      </c>
      <c r="P15" s="16">
        <f>MAX(AO15,BK15,CG15)</f>
        <v>53.98</v>
      </c>
      <c r="Q15" s="16" t="str">
        <f>IF(P15=CG15,$BM$1,IF(P15=BK15,$AQ$1,IF(P15=AO15,$U$1,"")))</f>
        <v>2018 Nationals</v>
      </c>
      <c r="R15" s="16" t="str">
        <f>IF(MAX(CI15,CJ15,CK15)&gt;0,MAX(CI15,CJ15,CK15),"")</f>
        <v/>
      </c>
      <c r="S15" s="31" t="str">
        <f>IF(R15="","",IF(R15=CI15,"(Vol 1)",IF(R15=CJ15,"(Vol 2)",IF(R15=CK15,"(Final)"))))</f>
        <v/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/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93"/>
      <c r="AK15" s="13" t="str">
        <f>IF(SUM(W15,AB15)&gt;0,SUM(W15,AB15),"")</f>
        <v/>
      </c>
      <c r="AL15" s="13" t="str">
        <f>IF(SUM(U15:X15)-Y15&gt;0,SUM(U15:X15)-Y15,"")</f>
        <v/>
      </c>
      <c r="AM15" s="13" t="str">
        <f>IF(SUM(Z15:AC15)-AD15&gt;0,SUM(Z15:AC15)-AD15,"")</f>
        <v/>
      </c>
      <c r="AN15" s="13" t="str">
        <f>IF(SUM(AL15:AM15)&gt;0,SUM(AL15:AM15),"")</f>
        <v/>
      </c>
      <c r="AO15" s="13" t="str">
        <f>IF(SUM(AE15:AH15)-AI15&gt;0,SUM(AE15:AH15)-AI15,"")</f>
        <v/>
      </c>
      <c r="AP15" s="13" t="str">
        <f>IF(SUM(AN15,AO15)&gt;0,SUM(AN15,AO15),"")</f>
        <v/>
      </c>
      <c r="AQ15" s="88">
        <v>15.5</v>
      </c>
      <c r="AR15" s="88">
        <v>8.6999999999999993</v>
      </c>
      <c r="AS15" s="88">
        <v>6</v>
      </c>
      <c r="AT15" s="88">
        <v>16.824999999999999</v>
      </c>
      <c r="AU15" s="88">
        <v>2</v>
      </c>
      <c r="AV15" s="88">
        <v>8</v>
      </c>
      <c r="AW15" s="88">
        <v>4.3</v>
      </c>
      <c r="AX15" s="88">
        <v>7.6</v>
      </c>
      <c r="AY15" s="88">
        <v>8.23</v>
      </c>
      <c r="AZ15" s="88">
        <v>0.4</v>
      </c>
      <c r="BA15" s="88"/>
      <c r="BB15" s="88"/>
      <c r="BC15" s="88"/>
      <c r="BD15" s="88"/>
      <c r="BE15" s="88"/>
      <c r="BF15" s="94"/>
      <c r="BG15" s="16">
        <f>IF(SUM(AS15,AX15)&gt;0,SUM(AS15,AX15),"")</f>
        <v>13.6</v>
      </c>
      <c r="BH15" s="16">
        <f>IF(SUM(AQ15:AT15)-AU15&gt;0,SUM(AQ15:AT15)-AU15,"")</f>
        <v>45.024999999999999</v>
      </c>
      <c r="BI15" s="16">
        <f>IF(SUM(AV15:AY15)-AZ15&gt;0,SUM(AV15:AY15)-AZ15,"")</f>
        <v>27.73</v>
      </c>
      <c r="BJ15" s="16">
        <f>IF(SUM(BH15:BI15)&gt;0,SUM(BH15:BI15),"")</f>
        <v>72.754999999999995</v>
      </c>
      <c r="BK15" s="16" t="str">
        <f>IF(SUM(BA15:BD15)-BE15&gt;0,SUM(BA15:BD15)-BE15,"")</f>
        <v/>
      </c>
      <c r="BL15" s="16">
        <f>IF(SUM(BJ15,BK15)&gt;0,SUM(BJ15,BK15),"")</f>
        <v>72.754999999999995</v>
      </c>
      <c r="BM15" s="47">
        <v>17.399999999999999</v>
      </c>
      <c r="BN15" s="47">
        <v>8.8000000000000007</v>
      </c>
      <c r="BO15" s="47">
        <v>5</v>
      </c>
      <c r="BP15" s="47">
        <v>17.045000000000002</v>
      </c>
      <c r="BQ15" s="47">
        <v>0</v>
      </c>
      <c r="BR15" s="47">
        <v>16.399999999999999</v>
      </c>
      <c r="BS15" s="47">
        <v>8.6</v>
      </c>
      <c r="BT15" s="47">
        <v>13.3</v>
      </c>
      <c r="BU15" s="47">
        <v>16.004999999999999</v>
      </c>
      <c r="BV15" s="47">
        <v>0</v>
      </c>
      <c r="BW15" s="47">
        <v>15.7</v>
      </c>
      <c r="BX15" s="47">
        <v>9.0500000000000007</v>
      </c>
      <c r="BY15" s="47">
        <v>13.3</v>
      </c>
      <c r="BZ15" s="47">
        <v>15.93</v>
      </c>
      <c r="CA15" s="47">
        <v>0</v>
      </c>
      <c r="CB15" s="93"/>
      <c r="CC15" s="13">
        <f>IF(SUM(BO15,BT15)&gt;0,SUM(BO15,BT15),"")</f>
        <v>18.3</v>
      </c>
      <c r="CD15" s="13">
        <f>IF(SUM(BM15:BP15)-BQ15&gt;0,SUM(BM15:BP15)-BQ15,"")</f>
        <v>48.245000000000005</v>
      </c>
      <c r="CE15" s="13">
        <f>IF(SUM(BR15:BU15)-BV15&gt;0,SUM(BR15:BU15)-BV15,"")</f>
        <v>54.304999999999993</v>
      </c>
      <c r="CF15" s="13">
        <f>IF(SUM(CD15:CE15)&gt;0,SUM(CD15:CE15),"")</f>
        <v>102.55</v>
      </c>
      <c r="CG15" s="13">
        <f>IF(SUM(BW15:BZ15)-CA15&gt;0,SUM(BW15:BZ15)-CA15,"")</f>
        <v>53.98</v>
      </c>
      <c r="CH15" s="13">
        <f>IF(SUM(CF15,CG15)&gt;0,SUM(CF15,CG15),"")</f>
        <v>156.53</v>
      </c>
      <c r="CI15" s="30" t="str">
        <f>IF(MAX(DB15,DW15,ER15,FM15,GH15,HC15,HX15,IS15,JN15,KI15,LD15,LY15)-L15&gt;0.001,MAX(DB15,DW15,ER15,FM15,GH15,HC15,HX15,IS15,JN15,KI15,LD15,LY15)-L15,"")</f>
        <v/>
      </c>
      <c r="CJ15" s="30" t="str">
        <f>IF(MAX(DC15,DX15,ES15,FN15,GI15,HD15,HY15,IT15,JO15,KJ15,LE15,LZ15)-N15&gt;0.001,MAX(DC15,DX15,ES15,FN15,GI15,HD15,HY15,IT15,JO15,KJ15,LE15,LZ15)-N15,"")</f>
        <v/>
      </c>
      <c r="CK15" s="30" t="str">
        <f>IF(MAX(DE15,DZ15,EU15,FP15,GK15,HF15,IA15,IV15,JQ15,KL15,LG15,MB15)-P15&gt;0.001,MAX(DE15,DZ15,EU15,FP15,GK15,HF15,IA15,IV15,JQ15,KL15,LG15,MB15)-P15,"")</f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IF(SUM(CN15,CS15)&gt;0,SUM(CN15,CS15),"")</f>
        <v/>
      </c>
      <c r="DB15" s="13" t="str">
        <f>IF(SUM(CL15:CO15)-CP15&gt;0,SUM(CL15:CO15)-CP15,"")</f>
        <v/>
      </c>
      <c r="DC15" s="13" t="str">
        <f>IF(SUM(CQ15:CT15)-CU15&gt;0,SUM(CQ15:CT15)-CU15,"")</f>
        <v/>
      </c>
      <c r="DD15" s="13" t="str">
        <f>IF(SUM(DB15:DC15)&gt;0,SUM(DB15:DC15),"")</f>
        <v/>
      </c>
      <c r="DE15" s="13" t="str">
        <f>IF(SUM(CV15:CY15)-CZ15&gt;0,SUM(CV15:CY15)-CZ15,"")</f>
        <v/>
      </c>
      <c r="DF15" s="13" t="str">
        <f>IF(SUM(DD15,DE15)&gt;0,SUM(DD15,DE15),"")</f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>IF(SUM(ED15,EI15)&gt;0,SUM(ED15,EI15),"")</f>
        <v/>
      </c>
      <c r="ER15" s="13" t="str">
        <f>IF(SUM(EB15:EE15)-EF15&gt;0,SUM(EB15:EE15)-EF15,"")</f>
        <v/>
      </c>
      <c r="ES15" s="13" t="str">
        <f>IF(SUM(EG15:EJ15)-EK15&gt;0,SUM(EG15:EJ15)-EK15,"")</f>
        <v/>
      </c>
      <c r="ET15" s="13" t="str">
        <f>IF(SUM(ER15:ES15)&gt;0,SUM(ER15:ES15),"")</f>
        <v/>
      </c>
      <c r="EU15" s="13" t="str">
        <f>IF(SUM(EL15:EO15)-EP15&gt;0,SUM(EL15:EO15)-EP15,"")</f>
        <v/>
      </c>
      <c r="EV15" s="13" t="str">
        <f>IF(SUM(ET15,EU15)&gt;0,SUM(ET15,EU15),"")</f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>IF(SUM(GO15,GT15)&gt;0,SUM(GO15,GT15),"")</f>
        <v/>
      </c>
      <c r="HC15" s="16" t="str">
        <f>IF(SUM(GM15:GP15)-GQ15&gt;0,SUM(GM15:GP15)-GQ15,"")</f>
        <v/>
      </c>
      <c r="HD15" s="16" t="str">
        <f>IF(SUM(GR15:GU15)-GV15&gt;0,SUM(GR15:GU15)-GV15,"")</f>
        <v/>
      </c>
      <c r="HE15" s="16" t="str">
        <f>IF(SUM(HC15:HD15)&gt;0,SUM(HC15:HD15),"")</f>
        <v/>
      </c>
      <c r="HF15" s="16" t="str">
        <f>IF(SUM(GW15:GZ15)-HA15&gt;0,SUM(GW15:GZ15)-HA15,"")</f>
        <v/>
      </c>
      <c r="HG15" s="16" t="str">
        <f>IF(SUM(HE15,HF15)&gt;0,SUM(HE15,HF15),"")</f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>IF(SUM(KP15,KU15)&gt;0,SUM(KP15,KU15),"")</f>
        <v/>
      </c>
      <c r="LD15" s="13" t="str">
        <f>IF(SUM(KN15:KQ15)-KR15&gt;0,SUM(KN15:KQ15)-KR15,"")</f>
        <v/>
      </c>
      <c r="LE15" s="13" t="str">
        <f>IF(SUM(KS15:KV15)-KW15&gt;0,SUM(KS15:KV15)-KW15,"")</f>
        <v/>
      </c>
      <c r="LF15" s="13" t="str">
        <f>IF(SUM(LD15:LE15)&gt;0,SUM(LD15:LE15),"")</f>
        <v/>
      </c>
      <c r="LG15" s="13" t="str">
        <f>IF(SUM(KX15:LA15)-LB15&gt;0,SUM(KX15:LA15)-LB15,"")</f>
        <v/>
      </c>
      <c r="LH15" s="13" t="str">
        <f>IF(SUM(LF15,LG15)&gt;0,SUM(LF15,LG15),"")</f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A16" s="6" t="str">
        <f>IF(AND(F16="P",H16="P"),SUMPRODUCT((F$4:F$24="P")*(H$4:H$24="P")*(E$4:E$24&gt;E16))+1,IF(H16="P",SUMPRODUCT((F$4:F$24="")*(H$4:H$24="P")*(E$4:E$24&gt;E16))+1+SUMPRODUCT((F$4:F$24="P")*(H$4:H$24="P")),""))</f>
        <v/>
      </c>
      <c r="B16" s="7" t="s">
        <v>124</v>
      </c>
      <c r="C16" s="8" t="s">
        <v>12</v>
      </c>
      <c r="D16" s="33">
        <v>1998</v>
      </c>
      <c r="E16" s="17">
        <f>SUM(J16:R16)</f>
        <v>197.785</v>
      </c>
      <c r="F16" s="4" t="str">
        <f>IF(OR(AND($AK16&gt;=$AL$27,NOT($AK16=""),$AJ16=""),AND($BG16&gt;=$BH$27,NOT($BG16=""),$BF16=""),AND($CC16&gt;=$CD$27,NOT($CC16=""),$CB16="")),"P","")</f>
        <v/>
      </c>
      <c r="G16" s="4" t="str">
        <f>IF(OR(AND($AK16&gt;=$AL$28,NOT($AK16=""),$AJ16=""),AND($BG16&gt;=$BH$28,NOT($BG16=""),$BF16=""),AND($CC16&gt;=$CD$28,NOT($CC16=""),$CB16="")),"P","")</f>
        <v/>
      </c>
      <c r="H16" s="4" t="str">
        <f>IF(OR(AND($AN16&gt;=$AL$29,NOT($AN16=""),$AJ16=""),AND($BJ16&gt;=$BH$29,NOT($BJ16=""),$BF16=""),AND($CF16&gt;=$CD$29,NOT($CF16=""),$CB16="")),"P","")</f>
        <v/>
      </c>
      <c r="I16" t="str">
        <f>IF(AND(G16="P",OR(AND($AM16&gt;$AL$32,NOT($AM16=""),$AJ16=""),AND($AO16&gt;$AL$32,NOT($AO16=""),$AJ16=""),AND($BI16&gt;$BH$32,NOT($BI16=""),$BF16=""),AND($BK16&gt;$BH$32,NOT($BK16=""),$BF16=""),AND($CE16&gt;$CD$32,NOT($CE16=""),$CB16=""),AND($CG16&gt;$CD$32,NOT($CG16=""),$CB16=""))),"Merit",IF(AND(G16="P",OR(AND($AN16&gt;$AL$31,NOT($AN16=""),$AJ16=""),AND($BJ16&gt;$BH$31,NOT($BJ16=""),$BF16=""),AND($CF16&gt;$CD$31,NOT($CF16=""),$CB16=""))),"Funding",IF(AND(G16="P",OR(AND($AN16&gt;$AL$30,NOT($AN16=""),$AJ16=""),AND($BJ16&gt;$BH$30,NOT($BJ16=""),$BF16=""),AND($CF16&gt;$CD$30,NOT($CF16=""),$CB16=""))),"Worlds Team",IF(AND(F16="P",OR(AND($AN16&gt;$AL$29,NOT($AN16=""),$AJ16=""),AND($BJ16&gt;$BH$29,NOT($BJ16=""),$BF16=""),AND($CF16&gt;$CD$29,NOT($CF16=""),$CB16=""))),"National Team",""))))</f>
        <v/>
      </c>
      <c r="J16" s="16">
        <f>MAX(AN16,BJ16,CF16)</f>
        <v>93.07</v>
      </c>
      <c r="K16" s="16" t="str">
        <f>IF(J16=CF16,$BM$1,IF(J16=BJ16,$AQ$1,IF(J16=AN16,$U$1,"")))</f>
        <v>2018 Canada Cup</v>
      </c>
      <c r="L16" s="16">
        <f>IF($J16=$AN16,MAX(BH16,CD16),IF($J16=$BJ16,MAX(AL16,CD16),MAX(AL16,BH16)))</f>
        <v>46.6</v>
      </c>
      <c r="M16" s="16" t="str">
        <f>IF(AND(L16=CD16,$K16&lt;&gt;$BM$1),$BM$1,IF(AND(L16=BH16,$K16&lt;&gt;$AQ$1),$AQ$1,IF(AND(L16=AL16,$K16&lt;&gt;$U$1),$U$1,"")))</f>
        <v>2018 Nationals</v>
      </c>
      <c r="N16" s="16">
        <f>IF($J16=$AN16,MAX(BI16,CE16),IF($J16=$BJ16,MAX(AM16,CE16),MAX(AM16,BI16)))</f>
        <v>10.615</v>
      </c>
      <c r="O16" s="16" t="str">
        <f>IF(AND(N16=CE16,$K16&lt;&gt;$BM$1),$BM$1,IF(AND(N16=BI16,$K16&lt;&gt;$AQ$1),$AQ$1,IF(AND(N16=AM16,$K16&lt;&gt;$U$1),$U$1,"")))</f>
        <v>2018 Nationals</v>
      </c>
      <c r="P16" s="16">
        <f>MAX(AO16,BK16,CG16)</f>
        <v>47.5</v>
      </c>
      <c r="Q16" s="16" t="str">
        <f>IF(P16=CG16,$BM$1,IF(P16=BK16,$AQ$1,IF(P16=AO16,$U$1,"")))</f>
        <v>2018 Canada Cup</v>
      </c>
      <c r="R16" s="16" t="str">
        <f>IF(MAX(CI16,CJ16,CK16)&gt;0,MAX(CI16,CJ16,CK16),"")</f>
        <v/>
      </c>
      <c r="S16" s="31" t="str">
        <f>IF(R16="","",IF(R16=CI16,"(Vol 1)",IF(R16=CJ16,"(Vol 2)",IF(R16=CK16,"(Final)"))))</f>
        <v/>
      </c>
      <c r="T16" s="16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/>
      </c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93"/>
      <c r="AK16" s="13" t="str">
        <f>IF(SUM(W16,AB16)&gt;0,SUM(W16,AB16),"")</f>
        <v/>
      </c>
      <c r="AL16" s="13" t="str">
        <f>IF(SUM(U16:X16)-Y16&gt;0,SUM(U16:X16)-Y16,"")</f>
        <v/>
      </c>
      <c r="AM16" s="13" t="str">
        <f>IF(SUM(Z16:AC16)-AD16&gt;0,SUM(Z16:AC16)-AD16,"")</f>
        <v/>
      </c>
      <c r="AN16" s="13" t="str">
        <f>IF(SUM(AL16:AM16)&gt;0,SUM(AL16:AM16),"")</f>
        <v/>
      </c>
      <c r="AO16" s="13" t="str">
        <f>IF(SUM(AE16:AH16)-AI16&gt;0,SUM(AE16:AH16)-AI16,"")</f>
        <v/>
      </c>
      <c r="AP16" s="13" t="str">
        <f>IF(SUM(AN16,AO16)&gt;0,SUM(AN16,AO16),"")</f>
        <v/>
      </c>
      <c r="AQ16" s="88">
        <v>15.5</v>
      </c>
      <c r="AR16" s="88">
        <v>8.15</v>
      </c>
      <c r="AS16" s="88">
        <v>4.8</v>
      </c>
      <c r="AT16" s="88">
        <v>15.33</v>
      </c>
      <c r="AU16" s="88">
        <v>0</v>
      </c>
      <c r="AV16" s="88">
        <v>14.8</v>
      </c>
      <c r="AW16" s="88">
        <v>8.75</v>
      </c>
      <c r="AX16" s="88">
        <v>10.199999999999999</v>
      </c>
      <c r="AY16" s="88">
        <v>15.54</v>
      </c>
      <c r="AZ16" s="88">
        <v>0</v>
      </c>
      <c r="BA16" s="88">
        <v>13.7</v>
      </c>
      <c r="BB16" s="88">
        <v>8.65</v>
      </c>
      <c r="BC16" s="88">
        <v>10.199999999999999</v>
      </c>
      <c r="BD16" s="88">
        <v>14.95</v>
      </c>
      <c r="BE16" s="88">
        <v>0</v>
      </c>
      <c r="BF16" s="94"/>
      <c r="BG16" s="16">
        <f>IF(SUM(AS16,AX16)&gt;0,SUM(AS16,AX16),"")</f>
        <v>15</v>
      </c>
      <c r="BH16" s="16">
        <f>IF(SUM(AQ16:AT16)-AU16&gt;0,SUM(AQ16:AT16)-AU16,"")</f>
        <v>43.78</v>
      </c>
      <c r="BI16" s="16">
        <f>IF(SUM(AV16:AY16)-AZ16&gt;0,SUM(AV16:AY16)-AZ16,"")</f>
        <v>49.29</v>
      </c>
      <c r="BJ16" s="16">
        <f>IF(SUM(BH16:BI16)&gt;0,SUM(BH16:BI16),"")</f>
        <v>93.07</v>
      </c>
      <c r="BK16" s="16">
        <f>IF(SUM(BA16:BD16)-BE16&gt;0,SUM(BA16:BD16)-BE16,"")</f>
        <v>47.5</v>
      </c>
      <c r="BL16" s="16">
        <f>IF(SUM(BJ16,BK16)&gt;0,SUM(BJ16,BK16),"")</f>
        <v>140.57</v>
      </c>
      <c r="BM16" s="47">
        <v>16.600000000000001</v>
      </c>
      <c r="BN16" s="47">
        <v>9</v>
      </c>
      <c r="BO16" s="47">
        <v>4.8</v>
      </c>
      <c r="BP16" s="47">
        <v>16.2</v>
      </c>
      <c r="BQ16" s="47">
        <v>0</v>
      </c>
      <c r="BR16" s="47">
        <v>3</v>
      </c>
      <c r="BS16" s="47">
        <v>1.5</v>
      </c>
      <c r="BT16" s="47">
        <v>2.9</v>
      </c>
      <c r="BU16" s="47">
        <v>3.2149999999999999</v>
      </c>
      <c r="BV16" s="47">
        <v>0</v>
      </c>
      <c r="BW16" s="47"/>
      <c r="BX16" s="47"/>
      <c r="BY16" s="47"/>
      <c r="BZ16" s="47"/>
      <c r="CA16" s="47"/>
      <c r="CB16" s="93"/>
      <c r="CC16" s="13">
        <f>IF(SUM(BO16,BT16)&gt;0,SUM(BO16,BT16),"")</f>
        <v>7.6999999999999993</v>
      </c>
      <c r="CD16" s="13">
        <f>IF(SUM(BM16:BP16)-BQ16&gt;0,SUM(BM16:BP16)-BQ16,"")</f>
        <v>46.6</v>
      </c>
      <c r="CE16" s="13">
        <f>IF(SUM(BR16:BU16)-BV16&gt;0,SUM(BR16:BU16)-BV16,"")</f>
        <v>10.615</v>
      </c>
      <c r="CF16" s="13">
        <f>IF(SUM(CD16:CE16)&gt;0,SUM(CD16:CE16),"")</f>
        <v>57.215000000000003</v>
      </c>
      <c r="CG16" s="13" t="str">
        <f>IF(SUM(BW16:BZ16)-CA16&gt;0,SUM(BW16:BZ16)-CA16,"")</f>
        <v/>
      </c>
      <c r="CH16" s="13">
        <f>IF(SUM(CF16,CG16)&gt;0,SUM(CF16,CG16),"")</f>
        <v>57.215000000000003</v>
      </c>
      <c r="CI16" s="30" t="str">
        <f>IF(MAX(DB16,DW16,ER16,FM16,GH16,HC16,HX16,IS16,JN16,KI16,LD16,LY16)-L16&gt;0.001,MAX(DB16,DW16,ER16,FM16,GH16,HC16,HX16,IS16,JN16,KI16,LD16,LY16)-L16,"")</f>
        <v/>
      </c>
      <c r="CJ16" s="30" t="str">
        <f>IF(MAX(DC16,DX16,ES16,FN16,GI16,HD16,HY16,IT16,JO16,KJ16,LE16,LZ16)-N16&gt;0.001,MAX(DC16,DX16,ES16,FN16,GI16,HD16,HY16,IT16,JO16,KJ16,LE16,LZ16)-N16,"")</f>
        <v/>
      </c>
      <c r="CK16" s="30" t="str">
        <f>IF(MAX(DE16,DZ16,EU16,FP16,GK16,HF16,IA16,IV16,JQ16,KL16,LG16,MB16)-P16&gt;0.001,MAX(DE16,DZ16,EU16,FP16,GK16,HF16,IA16,IV16,JQ16,KL16,LG16,MB16)-P16,"")</f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>IF(SUM(CN16,CS16)&gt;0,SUM(CN16,CS16),"")</f>
        <v/>
      </c>
      <c r="DB16" s="13" t="str">
        <f>IF(SUM(CL16:CO16)-CP16&gt;0,SUM(CL16:CO16)-CP16,"")</f>
        <v/>
      </c>
      <c r="DC16" s="13" t="str">
        <f>IF(SUM(CQ16:CT16)-CU16&gt;0,SUM(CQ16:CT16)-CU16,"")</f>
        <v/>
      </c>
      <c r="DD16" s="13" t="str">
        <f>IF(SUM(DB16:DC16)&gt;0,SUM(DB16:DC16),"")</f>
        <v/>
      </c>
      <c r="DE16" s="13" t="str">
        <f>IF(SUM(CV16:CY16)-CZ16&gt;0,SUM(CV16:CY16)-CZ16,"")</f>
        <v/>
      </c>
      <c r="DF16" s="13" t="str">
        <f>IF(SUM(DD16,DE16)&gt;0,SUM(DD16,DE16),"")</f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>IF(SUM(DI16,DN16)&gt;0,SUM(DI16,DN16),"")</f>
        <v/>
      </c>
      <c r="DW16" s="16" t="str">
        <f>IF(SUM(DG16:DJ16)-DK16&gt;0,SUM(DG16:DJ16)-DK16,"")</f>
        <v/>
      </c>
      <c r="DX16" s="16" t="str">
        <f>IF(SUM(DL16:DO16)-DP16&gt;0,SUM(DL16:DO16)-DP16,"")</f>
        <v/>
      </c>
      <c r="DY16" s="16" t="str">
        <f>IF(SUM(DW16:DX16)&gt;0,SUM(DW16:DX16),"")</f>
        <v/>
      </c>
      <c r="DZ16" s="16" t="str">
        <f>IF(SUM(DQ16:DT16)-DU16&gt;0,SUM(DQ16:DT16)-DU16,"")</f>
        <v/>
      </c>
      <c r="EA16" s="16" t="str">
        <f>IF(SUM(DY16,DZ16)&gt;0,SUM(DY16,DZ16),"")</f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>IF(SUM(ED16,EI16)&gt;0,SUM(ED16,EI16),"")</f>
        <v/>
      </c>
      <c r="ER16" s="13" t="str">
        <f>IF(SUM(EB16:EE16)-EF16&gt;0,SUM(EB16:EE16)-EF16,"")</f>
        <v/>
      </c>
      <c r="ES16" s="13" t="str">
        <f>IF(SUM(EG16:EJ16)-EK16&gt;0,SUM(EG16:EJ16)-EK16,"")</f>
        <v/>
      </c>
      <c r="ET16" s="13" t="str">
        <f>IF(SUM(ER16:ES16)&gt;0,SUM(ER16:ES16),"")</f>
        <v/>
      </c>
      <c r="EU16" s="13" t="str">
        <f>IF(SUM(EL16:EO16)-EP16&gt;0,SUM(EL16:EO16)-EP16,"")</f>
        <v/>
      </c>
      <c r="EV16" s="13" t="str">
        <f>IF(SUM(ET16,EU16)&gt;0,SUM(ET16,EU16),"")</f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>IF(SUM(EY16,FD16)&gt;0,SUM(EY16,FD16),"")</f>
        <v/>
      </c>
      <c r="FM16" s="16" t="str">
        <f>IF(SUM(EW16:EZ16)-FA16&gt;0,SUM(EW16:EZ16)-FA16,"")</f>
        <v/>
      </c>
      <c r="FN16" s="16" t="str">
        <f>IF(SUM(FB16:FE16)-FF16&gt;0,SUM(FB16:FE16)-FF16,"")</f>
        <v/>
      </c>
      <c r="FO16" s="16" t="str">
        <f>IF(SUM(FM16:FN16)&gt;0,SUM(FM16:FN16),"")</f>
        <v/>
      </c>
      <c r="FP16" s="16" t="str">
        <f>IF(SUM(FG16:FJ16)-FK16&gt;0,SUM(FG16:FJ16)-FK16,"")</f>
        <v/>
      </c>
      <c r="FQ16" s="16" t="str">
        <f>IF(SUM(FO16,FP16)&gt;0,SUM(FO16,FP16),"")</f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>IF(SUM(FT16,FY16)&gt;0,SUM(FT16,FY16),"")</f>
        <v/>
      </c>
      <c r="GH16" s="13" t="str">
        <f>IF(SUM(FR16:FU16)-FV16&gt;0,SUM(FR16:FU16)-FV16,"")</f>
        <v/>
      </c>
      <c r="GI16" s="13" t="str">
        <f>IF(SUM(FW16:FZ16)-GA16&gt;0,SUM(FW16:FZ16)-GA16,"")</f>
        <v/>
      </c>
      <c r="GJ16" s="13" t="str">
        <f>IF(SUM(GH16:GI16)&gt;0,SUM(GH16:GI16),"")</f>
        <v/>
      </c>
      <c r="GK16" s="13" t="str">
        <f>IF(SUM(GB16:GE16)-GF16&gt;0,SUM(GB16:GE16)-GF16,"")</f>
        <v/>
      </c>
      <c r="GL16" s="13" t="str">
        <f>IF(SUM(GJ16,GK16)&gt;0,SUM(GJ16,GK16),"")</f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>IF(SUM(GO16,GT16)&gt;0,SUM(GO16,GT16),"")</f>
        <v/>
      </c>
      <c r="HC16" s="16" t="str">
        <f>IF(SUM(GM16:GP16)-GQ16&gt;0,SUM(GM16:GP16)-GQ16,"")</f>
        <v/>
      </c>
      <c r="HD16" s="16" t="str">
        <f>IF(SUM(GR16:GU16)-GV16&gt;0,SUM(GR16:GU16)-GV16,"")</f>
        <v/>
      </c>
      <c r="HE16" s="16" t="str">
        <f>IF(SUM(HC16:HD16)&gt;0,SUM(HC16:HD16),"")</f>
        <v/>
      </c>
      <c r="HF16" s="16" t="str">
        <f>IF(SUM(GW16:GZ16)-HA16&gt;0,SUM(GW16:GZ16)-HA16,"")</f>
        <v/>
      </c>
      <c r="HG16" s="16" t="str">
        <f>IF(SUM(HE16,HF16)&gt;0,SUM(HE16,HF16),"")</f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>IF(SUM(HJ16,HO16)&gt;0,SUM(HJ16,HO16),"")</f>
        <v/>
      </c>
      <c r="HX16" s="13" t="str">
        <f>IF(SUM(HH16:HK16)-HL16&gt;0,SUM(HH16:HK16)-HL16,"")</f>
        <v/>
      </c>
      <c r="HY16" s="13" t="str">
        <f>IF(SUM(HM16:HP16)-HQ16&gt;0,SUM(HM16:HP16)-HQ16,"")</f>
        <v/>
      </c>
      <c r="HZ16" s="13" t="str">
        <f>IF(SUM(HX16:HY16)&gt;0,SUM(HX16:HY16),"")</f>
        <v/>
      </c>
      <c r="IA16" s="13" t="str">
        <f>IF(SUM(HR16:HU16)-HV16&gt;0,SUM(HR16:HU16)-HV16,"")</f>
        <v/>
      </c>
      <c r="IB16" s="13" t="str">
        <f>IF(SUM(HZ16,IA16)&gt;0,SUM(HZ16,IA16),"")</f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>IF(SUM(IE16,IJ16)&gt;0,SUM(IE16,IJ16),"")</f>
        <v/>
      </c>
      <c r="IS16" s="16" t="str">
        <f>IF(SUM(IC16:IF16)-IG16&gt;0,SUM(IC16:IF16)-IG16,"")</f>
        <v/>
      </c>
      <c r="IT16" s="16" t="str">
        <f>IF(SUM(IH16:IK16)-IL16&gt;0,SUM(IH16:IK16)-IL16,"")</f>
        <v/>
      </c>
      <c r="IU16" s="16" t="str">
        <f>IF(SUM(IS16:IT16)&gt;0,SUM(IS16:IT16),"")</f>
        <v/>
      </c>
      <c r="IV16" s="16" t="str">
        <f>IF(SUM(IM16:IP16)-IQ16&gt;0,SUM(IM16:IP16)-IQ16,"")</f>
        <v/>
      </c>
      <c r="IW16" s="16" t="str">
        <f>IF(SUM(IU16,IV16)&gt;0,SUM(IU16,IV16),"")</f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>IF(SUM(IZ16,JE16)&gt;0,SUM(IZ16,JE16),"")</f>
        <v/>
      </c>
      <c r="JN16" s="13" t="str">
        <f>IF(SUM(IX16:JA16)-JB16&gt;0,SUM(IX16:JA16)-JB16,"")</f>
        <v/>
      </c>
      <c r="JO16" s="13" t="str">
        <f>IF(SUM(JC16:JF16)-JG16&gt;0,SUM(JC16:JF16)-JG16,"")</f>
        <v/>
      </c>
      <c r="JP16" s="13" t="str">
        <f>IF(SUM(JN16:JO16)&gt;0,SUM(JN16:JO16),"")</f>
        <v/>
      </c>
      <c r="JQ16" s="13" t="str">
        <f>IF(SUM(JH16:JK16)-JL16&gt;0,SUM(JH16:JK16)-JL16,"")</f>
        <v/>
      </c>
      <c r="JR16" s="13" t="str">
        <f>IF(SUM(JP16,JQ16)&gt;0,SUM(JP16,JQ16),"")</f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>IF(SUM(JU16,JZ16)&gt;0,SUM(JU16,JZ16),"")</f>
        <v/>
      </c>
      <c r="KI16" s="16" t="str">
        <f>IF(SUM(JS16:JV16)-JW16&gt;0,SUM(JS16:JV16)-JW16,"")</f>
        <v/>
      </c>
      <c r="KJ16" s="16" t="str">
        <f>IF(SUM(JX16:KA16)-KB16&gt;0,SUM(JX16:KA16)-KB16,"")</f>
        <v/>
      </c>
      <c r="KK16" s="16" t="str">
        <f>IF(SUM(KI16:KJ16)&gt;0,SUM(KI16:KJ16),"")</f>
        <v/>
      </c>
      <c r="KL16" s="16" t="str">
        <f>IF(SUM(KC16:KF16)-KG16&gt;0,SUM(KC16:KF16)-KG16,"")</f>
        <v/>
      </c>
      <c r="KM16" s="16" t="str">
        <f>IF(SUM(KK16,KL16)&gt;0,SUM(KK16,KL16),"")</f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>IF(SUM(KP16,KU16)&gt;0,SUM(KP16,KU16),"")</f>
        <v/>
      </c>
      <c r="LD16" s="13" t="str">
        <f>IF(SUM(KN16:KQ16)-KR16&gt;0,SUM(KN16:KQ16)-KR16,"")</f>
        <v/>
      </c>
      <c r="LE16" s="13" t="str">
        <f>IF(SUM(KS16:KV16)-KW16&gt;0,SUM(KS16:KV16)-KW16,"")</f>
        <v/>
      </c>
      <c r="LF16" s="13" t="str">
        <f>IF(SUM(LD16:LE16)&gt;0,SUM(LD16:LE16),"")</f>
        <v/>
      </c>
      <c r="LG16" s="13" t="str">
        <f>IF(SUM(KX16:LA16)-LB16&gt;0,SUM(KX16:LA16)-LB16,"")</f>
        <v/>
      </c>
      <c r="LH16" s="13" t="str">
        <f>IF(SUM(LF16,LG16)&gt;0,SUM(LF16,LG16),"")</f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>IF(SUM(LK16,LP16)&gt;0,SUM(LK16,LP16),"")</f>
        <v/>
      </c>
      <c r="LY16" s="16" t="str">
        <f>IF(SUM(LI16:LL16)-LM16&gt;0,SUM(LI16:LL16)-LM16,"")</f>
        <v/>
      </c>
      <c r="LZ16" s="16" t="str">
        <f>IF(SUM(LN16:LQ16)-LR16&gt;0,SUM(LN16:LQ16)-LR16,"")</f>
        <v/>
      </c>
      <c r="MA16" s="16" t="str">
        <f>IF(SUM(LY16:LZ16)&gt;0,SUM(LY16:LZ16),"")</f>
        <v/>
      </c>
      <c r="MB16" s="16" t="str">
        <f>IF(SUM(LS16:LV16)-LW16&gt;0,SUM(LS16:LV16)-LW16,"")</f>
        <v/>
      </c>
      <c r="MC16" s="16" t="str">
        <f>IF(SUM(MA16,MB16)&gt;0,SUM(MA16,MB16),"")</f>
        <v/>
      </c>
    </row>
    <row r="17" spans="1:341" x14ac:dyDescent="0.2">
      <c r="A17" s="6" t="str">
        <f>IF(AND(F17="P",H17="P"),SUMPRODUCT((F$4:F$24="P")*(H$4:H$24="P")*(E$4:E$24&gt;E17))+1,IF(H17="P",SUMPRODUCT((F$4:F$24="")*(H$4:H$24="P")*(E$4:E$24&gt;E17))+1+SUMPRODUCT((F$4:F$24="P")*(H$4:H$24="P")),""))</f>
        <v/>
      </c>
      <c r="B17" s="7" t="s">
        <v>125</v>
      </c>
      <c r="C17" s="8" t="s">
        <v>5</v>
      </c>
      <c r="D17" s="33">
        <v>1999</v>
      </c>
      <c r="E17" s="17">
        <f>SUM(J17:R17)</f>
        <v>194.745</v>
      </c>
      <c r="F17" s="4" t="str">
        <f>IF(OR(AND($AK17&gt;=$AL$27,NOT($AK17=""),$AJ17=""),AND($BG17&gt;=$BH$27,NOT($BG17=""),$BF17=""),AND($CC17&gt;=$CD$27,NOT($CC17=""),$CB17="")),"P","")</f>
        <v/>
      </c>
      <c r="G17" s="4" t="str">
        <f>IF(OR(AND($AK17&gt;=$AL$28,NOT($AK17=""),$AJ17=""),AND($BG17&gt;=$BH$28,NOT($BG17=""),$BF17=""),AND($CC17&gt;=$CD$28,NOT($CC17=""),$CB17="")),"P","")</f>
        <v/>
      </c>
      <c r="H17" s="4" t="str">
        <f>IF(OR(AND($AN17&gt;=$AL$29,NOT($AN17=""),$AJ17=""),AND($BJ17&gt;=$BH$29,NOT($BJ17=""),$BF17=""),AND($CF17&gt;=$CD$29,NOT($CF17=""),$CB17="")),"P","")</f>
        <v/>
      </c>
      <c r="I17" t="str">
        <f>IF(AND(G17="P",OR(AND($AM17&gt;$AL$32,NOT($AM17=""),$AJ17=""),AND($AO17&gt;$AL$32,NOT($AO17=""),$AJ17=""),AND($BI17&gt;$BH$32,NOT($BI17=""),$BF17=""),AND($BK17&gt;$BH$32,NOT($BK17=""),$BF17=""),AND($CE17&gt;$CD$32,NOT($CE17=""),$CB17=""),AND($CG17&gt;$CD$32,NOT($CG17=""),$CB17=""))),"Merit",IF(AND(G17="P",OR(AND($AN17&gt;$AL$31,NOT($AN17=""),$AJ17=""),AND($BJ17&gt;$BH$31,NOT($BJ17=""),$BF17=""),AND($CF17&gt;$CD$31,NOT($CF17=""),$CB17=""))),"Funding",IF(AND(G17="P",OR(AND($AN17&gt;$AL$30,NOT($AN17=""),$AJ17=""),AND($BJ17&gt;$BH$30,NOT($BJ17=""),$BF17=""),AND($CF17&gt;$CD$30,NOT($CF17=""),$CB17=""))),"Worlds Team",IF(AND(F17="P",OR(AND($AN17&gt;$AL$29,NOT($AN17=""),$AJ17=""),AND($BJ17&gt;$BH$29,NOT($BJ17=""),$BF17=""),AND($CF17&gt;$CD$29,NOT($CF17=""),$CB17=""))),"National Team",""))))</f>
        <v/>
      </c>
      <c r="J17" s="16">
        <f>MAX(AN17,BJ17,CF17)</f>
        <v>90.800000000000011</v>
      </c>
      <c r="K17" s="16" t="str">
        <f>IF(J17=CF17,$BM$1,IF(J17=BJ17,$AQ$1,IF(J17=AN17,$U$1,"")))</f>
        <v>2018 Canada Cup</v>
      </c>
      <c r="L17" s="16">
        <f>IF($J17=$AN17,MAX(BH17,CD17),IF($J17=$BJ17,MAX(AL17,CD17),MAX(AL17,BH17)))</f>
        <v>18.265000000000001</v>
      </c>
      <c r="M17" s="16" t="str">
        <f>IF(AND(L17=CD17,$K17&lt;&gt;$BM$1),$BM$1,IF(AND(L17=BH17,$K17&lt;&gt;$AQ$1),$AQ$1,IF(AND(L17=AL17,$K17&lt;&gt;$U$1),$U$1,"")))</f>
        <v>2018 Nationals</v>
      </c>
      <c r="N17" s="16">
        <f>IF($J17=$AN17,MAX(BI17,CE17),IF($J17=$BJ17,MAX(AM17,CE17),MAX(AM17,BI17)))</f>
        <v>50.075000000000003</v>
      </c>
      <c r="O17" s="16" t="str">
        <f>IF(AND(N17=CE17,$K17&lt;&gt;$BM$1),$BM$1,IF(AND(N17=BI17,$K17&lt;&gt;$AQ$1),$AQ$1,IF(AND(N17=AM17,$K17&lt;&gt;$U$1),$U$1,"")))</f>
        <v>2018 Nationals</v>
      </c>
      <c r="P17" s="16">
        <f>MAX(AO17,BK17,CG17)</f>
        <v>35.605000000000004</v>
      </c>
      <c r="Q17" s="16" t="str">
        <f>IF(P17=CG17,$BM$1,IF(P17=BK17,$AQ$1,IF(P17=AO17,$U$1,"")))</f>
        <v>2018 Canada Cup</v>
      </c>
      <c r="R17" s="16" t="str">
        <f>IF(MAX(CI17,CJ17,CK17)&gt;0,MAX(CI17,CJ17,CK17),"")</f>
        <v/>
      </c>
      <c r="S17" s="31" t="str">
        <f>IF(R17="","",IF(R17=CI17,"(Vol 1)",IF(R17=CJ17,"(Vol 2)",IF(R17=CK17,"(Final)"))))</f>
        <v/>
      </c>
      <c r="T17" s="16" t="str">
        <f>IF(R17="","",IF(R17=CI17,IF(R17+L17=LY17,$LI$1,IF(R17+L17=LD17,$KN$1,IF(R17+L17=KI17,$JS$1,IF(R17+L17=JN17,$IX$1,IF(R17+L17=IS17,$IC$1,IF(R17+L17=HX17,$HH$1,IF(R17+L17=HC17,$GM$1,IF(R17+L17=GH17,$FR$1,IF(R17+L17=FM17,$EW$1,IF(R17+L17=ER17,$EB$1,IF(R17+L17=DW17,$DG$1,IF(R17+L17=DB17,$CL$1)))))))))))),IF(R17=CJ17,IF(R17+N17=LZ17,$LI$1,IF(R17+N17=LE17,$KN$1,IF(R17+N17=KJ17,$JS$1,IF(R17+N17=JO17,$IX$1,IF(R17+N17=IT17,$IC$1,IF(R17+N17=HY17,$HH$1,IF(R17+N17=HD17,$GM$1,IF(R17+N17=GI17,$FR$1,IF(R17+N17=FN17,$EW$1,IF(R17+N17=ES17,$EB$1,IF(R17+N17=DX17,$DG$1,IF(R17+N17=DC17,$CL$1)))))))))))),IF(R17=CK17,IF(R17+P17=MB17,$LI$1,IF(R17+P17=LG17,$KN$1,IF(R17+P17=KL17,$JS$1,IF(R17+P17=JQ17,$IX$1,IF(R17+P17=IV17,$IC$1,IF(R17+P17=IA17,$HH$1,IF(R17+P17=HF17,$GM$1,IF(R17+P17=GK17,$FR$1,IF(R17+P17=FP17,$EW$1,IF(R17+P17=EU17,$EB$1,IF(R17+P17=DZ17,$DG$1,IF(R17+P17=DE17,$CL$1))))))))))))))))</f>
        <v/>
      </c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93"/>
      <c r="AK17" s="13" t="str">
        <f>IF(SUM(W17,AB17)&gt;0,SUM(W17,AB17),"")</f>
        <v/>
      </c>
      <c r="AL17" s="13" t="str">
        <f>IF(SUM(U17:X17)-Y17&gt;0,SUM(U17:X17)-Y17,"")</f>
        <v/>
      </c>
      <c r="AM17" s="13" t="str">
        <f>IF(SUM(Z17:AC17)-AD17&gt;0,SUM(Z17:AC17)-AD17,"")</f>
        <v/>
      </c>
      <c r="AN17" s="13" t="str">
        <f>IF(SUM(AL17:AM17)&gt;0,SUM(AL17:AM17),"")</f>
        <v/>
      </c>
      <c r="AO17" s="13" t="str">
        <f>IF(SUM(AE17:AH17)-AI17&gt;0,SUM(AE17:AH17)-AI17,"")</f>
        <v/>
      </c>
      <c r="AP17" s="13" t="str">
        <f>IF(SUM(AN17,AO17)&gt;0,SUM(AN17,AO17),"")</f>
        <v/>
      </c>
      <c r="AQ17" s="88">
        <v>16.2</v>
      </c>
      <c r="AR17" s="88">
        <v>8.9499999999999993</v>
      </c>
      <c r="AS17" s="88">
        <v>4.5999999999999996</v>
      </c>
      <c r="AT17" s="88">
        <v>15.515000000000001</v>
      </c>
      <c r="AU17" s="88">
        <v>0</v>
      </c>
      <c r="AV17" s="88">
        <v>13</v>
      </c>
      <c r="AW17" s="88">
        <v>7.55</v>
      </c>
      <c r="AX17" s="88">
        <v>11.3</v>
      </c>
      <c r="AY17" s="88">
        <v>13.685</v>
      </c>
      <c r="AZ17" s="88">
        <v>0</v>
      </c>
      <c r="BA17" s="88">
        <v>11.2</v>
      </c>
      <c r="BB17" s="88">
        <v>6</v>
      </c>
      <c r="BC17" s="88">
        <v>7.9</v>
      </c>
      <c r="BD17" s="88">
        <v>10.505000000000001</v>
      </c>
      <c r="BE17" s="88">
        <v>0</v>
      </c>
      <c r="BF17" s="94"/>
      <c r="BG17" s="16">
        <f>IF(SUM(AS17,AX17)&gt;0,SUM(AS17,AX17),"")</f>
        <v>15.9</v>
      </c>
      <c r="BH17" s="16">
        <f>IF(SUM(AQ17:AT17)-AU17&gt;0,SUM(AQ17:AT17)-AU17,"")</f>
        <v>45.265000000000001</v>
      </c>
      <c r="BI17" s="16">
        <f>IF(SUM(AV17:AY17)-AZ17&gt;0,SUM(AV17:AY17)-AZ17,"")</f>
        <v>45.535000000000004</v>
      </c>
      <c r="BJ17" s="16">
        <f>IF(SUM(BH17:BI17)&gt;0,SUM(BH17:BI17),"")</f>
        <v>90.800000000000011</v>
      </c>
      <c r="BK17" s="16">
        <f>IF(SUM(BA17:BD17)-BE17&gt;0,SUM(BA17:BD17)-BE17,"")</f>
        <v>35.605000000000004</v>
      </c>
      <c r="BL17" s="16">
        <f>IF(SUM(BJ17,BK17)&gt;0,SUM(BJ17,BK17),"")</f>
        <v>126.40500000000002</v>
      </c>
      <c r="BM17" s="47">
        <v>7.3</v>
      </c>
      <c r="BN17" s="47">
        <v>3.65</v>
      </c>
      <c r="BO17" s="47">
        <v>0.6</v>
      </c>
      <c r="BP17" s="47">
        <v>6.7149999999999999</v>
      </c>
      <c r="BQ17" s="47">
        <v>0</v>
      </c>
      <c r="BR17" s="47">
        <v>14.1</v>
      </c>
      <c r="BS17" s="47">
        <v>8.75</v>
      </c>
      <c r="BT17" s="47">
        <v>12.3</v>
      </c>
      <c r="BU17" s="47">
        <v>14.925000000000001</v>
      </c>
      <c r="BV17" s="47">
        <v>0</v>
      </c>
      <c r="BW17" s="47"/>
      <c r="BX17" s="47"/>
      <c r="BY17" s="47"/>
      <c r="BZ17" s="47"/>
      <c r="CA17" s="47"/>
      <c r="CB17" s="93"/>
      <c r="CC17" s="13">
        <f>IF(SUM(BO17,BT17)&gt;0,SUM(BO17,BT17),"")</f>
        <v>12.9</v>
      </c>
      <c r="CD17" s="13">
        <f>IF(SUM(BM17:BP17)-BQ17&gt;0,SUM(BM17:BP17)-BQ17,"")</f>
        <v>18.265000000000001</v>
      </c>
      <c r="CE17" s="13">
        <f>IF(SUM(BR17:BU17)-BV17&gt;0,SUM(BR17:BU17)-BV17,"")</f>
        <v>50.075000000000003</v>
      </c>
      <c r="CF17" s="13">
        <f>IF(SUM(CD17:CE17)&gt;0,SUM(CD17:CE17),"")</f>
        <v>68.34</v>
      </c>
      <c r="CG17" s="13" t="str">
        <f>IF(SUM(BW17:BZ17)-CA17&gt;0,SUM(BW17:BZ17)-CA17,"")</f>
        <v/>
      </c>
      <c r="CH17" s="13">
        <f>IF(SUM(CF17,CG17)&gt;0,SUM(CF17,CG17),"")</f>
        <v>68.34</v>
      </c>
      <c r="CI17" s="30" t="str">
        <f>IF(MAX(DB17,DW17,ER17,FM17,GH17,HC17,HX17,IS17,JN17,KI17,LD17,LY17)-L17&gt;0.001,MAX(DB17,DW17,ER17,FM17,GH17,HC17,HX17,IS17,JN17,KI17,LD17,LY17)-L17,"")</f>
        <v/>
      </c>
      <c r="CJ17" s="30" t="str">
        <f>IF(MAX(DC17,DX17,ES17,FN17,GI17,HD17,HY17,IT17,JO17,KJ17,LE17,LZ17)-N17&gt;0.001,MAX(DC17,DX17,ES17,FN17,GI17,HD17,HY17,IT17,JO17,KJ17,LE17,LZ17)-N17,"")</f>
        <v/>
      </c>
      <c r="CK17" s="30" t="str">
        <f>IF(MAX(DE17,DZ17,EU17,FP17,GK17,HF17,IA17,IV17,JQ17,KL17,LG17,MB17)-P17&gt;0.001,MAX(DE17,DZ17,EU17,FP17,GK17,HF17,IA17,IV17,JQ17,KL17,LG17,MB17)-P17,"")</f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>IF(SUM(CN17,CS17)&gt;0,SUM(CN17,CS17),"")</f>
        <v/>
      </c>
      <c r="DB17" s="13" t="str">
        <f>IF(SUM(CL17:CO17)-CP17&gt;0,SUM(CL17:CO17)-CP17,"")</f>
        <v/>
      </c>
      <c r="DC17" s="13" t="str">
        <f>IF(SUM(CQ17:CT17)-CU17&gt;0,SUM(CQ17:CT17)-CU17,"")</f>
        <v/>
      </c>
      <c r="DD17" s="13" t="str">
        <f>IF(SUM(DB17:DC17)&gt;0,SUM(DB17:DC17),"")</f>
        <v/>
      </c>
      <c r="DE17" s="13" t="str">
        <f>IF(SUM(CV17:CY17)-CZ17&gt;0,SUM(CV17:CY17)-CZ17,"")</f>
        <v/>
      </c>
      <c r="DF17" s="13" t="str">
        <f>IF(SUM(DD17,DE17)&gt;0,SUM(DD17,DE17),"")</f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>IF(SUM(DI17,DN17)&gt;0,SUM(DI17,DN17),"")</f>
        <v/>
      </c>
      <c r="DW17" s="16" t="str">
        <f>IF(SUM(DG17:DJ17)-DK17&gt;0,SUM(DG17:DJ17)-DK17,"")</f>
        <v/>
      </c>
      <c r="DX17" s="16" t="str">
        <f>IF(SUM(DL17:DO17)-DP17&gt;0,SUM(DL17:DO17)-DP17,"")</f>
        <v/>
      </c>
      <c r="DY17" s="16" t="str">
        <f>IF(SUM(DW17:DX17)&gt;0,SUM(DW17:DX17),"")</f>
        <v/>
      </c>
      <c r="DZ17" s="16" t="str">
        <f>IF(SUM(DQ17:DT17)-DU17&gt;0,SUM(DQ17:DT17)-DU17,"")</f>
        <v/>
      </c>
      <c r="EA17" s="16" t="str">
        <f>IF(SUM(DY17,DZ17)&gt;0,SUM(DY17,DZ17),"")</f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>IF(SUM(ED17,EI17)&gt;0,SUM(ED17,EI17),"")</f>
        <v/>
      </c>
      <c r="ER17" s="13" t="str">
        <f>IF(SUM(EB17:EE17)-EF17&gt;0,SUM(EB17:EE17)-EF17,"")</f>
        <v/>
      </c>
      <c r="ES17" s="13" t="str">
        <f>IF(SUM(EG17:EJ17)-EK17&gt;0,SUM(EG17:EJ17)-EK17,"")</f>
        <v/>
      </c>
      <c r="ET17" s="13" t="str">
        <f>IF(SUM(ER17:ES17)&gt;0,SUM(ER17:ES17),"")</f>
        <v/>
      </c>
      <c r="EU17" s="13" t="str">
        <f>IF(SUM(EL17:EO17)-EP17&gt;0,SUM(EL17:EO17)-EP17,"")</f>
        <v/>
      </c>
      <c r="EV17" s="13" t="str">
        <f>IF(SUM(ET17,EU17)&gt;0,SUM(ET17,EU17),"")</f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>IF(SUM(EY17,FD17)&gt;0,SUM(EY17,FD17),"")</f>
        <v/>
      </c>
      <c r="FM17" s="16" t="str">
        <f>IF(SUM(EW17:EZ17)-FA17&gt;0,SUM(EW17:EZ17)-FA17,"")</f>
        <v/>
      </c>
      <c r="FN17" s="16" t="str">
        <f>IF(SUM(FB17:FE17)-FF17&gt;0,SUM(FB17:FE17)-FF17,"")</f>
        <v/>
      </c>
      <c r="FO17" s="16" t="str">
        <f>IF(SUM(FM17:FN17)&gt;0,SUM(FM17:FN17),"")</f>
        <v/>
      </c>
      <c r="FP17" s="16" t="str">
        <f>IF(SUM(FG17:FJ17)-FK17&gt;0,SUM(FG17:FJ17)-FK17,"")</f>
        <v/>
      </c>
      <c r="FQ17" s="16" t="str">
        <f>IF(SUM(FO17,FP17)&gt;0,SUM(FO17,FP17),"")</f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>IF(SUM(FT17,FY17)&gt;0,SUM(FT17,FY17),"")</f>
        <v/>
      </c>
      <c r="GH17" s="13" t="str">
        <f>IF(SUM(FR17:FU17)-FV17&gt;0,SUM(FR17:FU17)-FV17,"")</f>
        <v/>
      </c>
      <c r="GI17" s="13" t="str">
        <f>IF(SUM(FW17:FZ17)-GA17&gt;0,SUM(FW17:FZ17)-GA17,"")</f>
        <v/>
      </c>
      <c r="GJ17" s="13" t="str">
        <f>IF(SUM(GH17:GI17)&gt;0,SUM(GH17:GI17),"")</f>
        <v/>
      </c>
      <c r="GK17" s="13" t="str">
        <f>IF(SUM(GB17:GE17)-GF17&gt;0,SUM(GB17:GE17)-GF17,"")</f>
        <v/>
      </c>
      <c r="GL17" s="13" t="str">
        <f>IF(SUM(GJ17,GK17)&gt;0,SUM(GJ17,GK17),"")</f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>IF(SUM(GO17,GT17)&gt;0,SUM(GO17,GT17),"")</f>
        <v/>
      </c>
      <c r="HC17" s="16" t="str">
        <f>IF(SUM(GM17:GP17)-GQ17&gt;0,SUM(GM17:GP17)-GQ17,"")</f>
        <v/>
      </c>
      <c r="HD17" s="16" t="str">
        <f>IF(SUM(GR17:GU17)-GV17&gt;0,SUM(GR17:GU17)-GV17,"")</f>
        <v/>
      </c>
      <c r="HE17" s="16" t="str">
        <f>IF(SUM(HC17:HD17)&gt;0,SUM(HC17:HD17),"")</f>
        <v/>
      </c>
      <c r="HF17" s="16" t="str">
        <f>IF(SUM(GW17:GZ17)-HA17&gt;0,SUM(GW17:GZ17)-HA17,"")</f>
        <v/>
      </c>
      <c r="HG17" s="16" t="str">
        <f>IF(SUM(HE17,HF17)&gt;0,SUM(HE17,HF17),"")</f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>IF(SUM(HJ17,HO17)&gt;0,SUM(HJ17,HO17),"")</f>
        <v/>
      </c>
      <c r="HX17" s="13" t="str">
        <f>IF(SUM(HH17:HK17)-HL17&gt;0,SUM(HH17:HK17)-HL17,"")</f>
        <v/>
      </c>
      <c r="HY17" s="13" t="str">
        <f>IF(SUM(HM17:HP17)-HQ17&gt;0,SUM(HM17:HP17)-HQ17,"")</f>
        <v/>
      </c>
      <c r="HZ17" s="13" t="str">
        <f>IF(SUM(HX17:HY17)&gt;0,SUM(HX17:HY17),"")</f>
        <v/>
      </c>
      <c r="IA17" s="13" t="str">
        <f>IF(SUM(HR17:HU17)-HV17&gt;0,SUM(HR17:HU17)-HV17,"")</f>
        <v/>
      </c>
      <c r="IB17" s="13" t="str">
        <f>IF(SUM(HZ17,IA17)&gt;0,SUM(HZ17,IA17),"")</f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>IF(SUM(IE17,IJ17)&gt;0,SUM(IE17,IJ17),"")</f>
        <v/>
      </c>
      <c r="IS17" s="16" t="str">
        <f>IF(SUM(IC17:IF17)-IG17&gt;0,SUM(IC17:IF17)-IG17,"")</f>
        <v/>
      </c>
      <c r="IT17" s="16" t="str">
        <f>IF(SUM(IH17:IK17)-IL17&gt;0,SUM(IH17:IK17)-IL17,"")</f>
        <v/>
      </c>
      <c r="IU17" s="16" t="str">
        <f>IF(SUM(IS17:IT17)&gt;0,SUM(IS17:IT17),"")</f>
        <v/>
      </c>
      <c r="IV17" s="16" t="str">
        <f>IF(SUM(IM17:IP17)-IQ17&gt;0,SUM(IM17:IP17)-IQ17,"")</f>
        <v/>
      </c>
      <c r="IW17" s="16" t="str">
        <f>IF(SUM(IU17,IV17)&gt;0,SUM(IU17,IV17),"")</f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>IF(SUM(IZ17,JE17)&gt;0,SUM(IZ17,JE17),"")</f>
        <v/>
      </c>
      <c r="JN17" s="13" t="str">
        <f>IF(SUM(IX17:JA17)-JB17&gt;0,SUM(IX17:JA17)-JB17,"")</f>
        <v/>
      </c>
      <c r="JO17" s="13" t="str">
        <f>IF(SUM(JC17:JF17)-JG17&gt;0,SUM(JC17:JF17)-JG17,"")</f>
        <v/>
      </c>
      <c r="JP17" s="13" t="str">
        <f>IF(SUM(JN17:JO17)&gt;0,SUM(JN17:JO17),"")</f>
        <v/>
      </c>
      <c r="JQ17" s="13" t="str">
        <f>IF(SUM(JH17:JK17)-JL17&gt;0,SUM(JH17:JK17)-JL17,"")</f>
        <v/>
      </c>
      <c r="JR17" s="13" t="str">
        <f>IF(SUM(JP17,JQ17)&gt;0,SUM(JP17,JQ17),"")</f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>IF(SUM(JU17,JZ17)&gt;0,SUM(JU17,JZ17),"")</f>
        <v/>
      </c>
      <c r="KI17" s="16" t="str">
        <f>IF(SUM(JS17:JV17)-JW17&gt;0,SUM(JS17:JV17)-JW17,"")</f>
        <v/>
      </c>
      <c r="KJ17" s="16" t="str">
        <f>IF(SUM(JX17:KA17)-KB17&gt;0,SUM(JX17:KA17)-KB17,"")</f>
        <v/>
      </c>
      <c r="KK17" s="16" t="str">
        <f>IF(SUM(KI17:KJ17)&gt;0,SUM(KI17:KJ17),"")</f>
        <v/>
      </c>
      <c r="KL17" s="16" t="str">
        <f>IF(SUM(KC17:KF17)-KG17&gt;0,SUM(KC17:KF17)-KG17,"")</f>
        <v/>
      </c>
      <c r="KM17" s="16" t="str">
        <f>IF(SUM(KK17,KL17)&gt;0,SUM(KK17,KL17),"")</f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>IF(SUM(KP17,KU17)&gt;0,SUM(KP17,KU17),"")</f>
        <v/>
      </c>
      <c r="LD17" s="13" t="str">
        <f>IF(SUM(KN17:KQ17)-KR17&gt;0,SUM(KN17:KQ17)-KR17,"")</f>
        <v/>
      </c>
      <c r="LE17" s="13" t="str">
        <f>IF(SUM(KS17:KV17)-KW17&gt;0,SUM(KS17:KV17)-KW17,"")</f>
        <v/>
      </c>
      <c r="LF17" s="13" t="str">
        <f>IF(SUM(LD17:LE17)&gt;0,SUM(LD17:LE17),"")</f>
        <v/>
      </c>
      <c r="LG17" s="13" t="str">
        <f>IF(SUM(KX17:LA17)-LB17&gt;0,SUM(KX17:LA17)-LB17,"")</f>
        <v/>
      </c>
      <c r="LH17" s="13" t="str">
        <f>IF(SUM(LF17,LG17)&gt;0,SUM(LF17,LG17),"")</f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>IF(SUM(LK17,LP17)&gt;0,SUM(LK17,LP17),"")</f>
        <v/>
      </c>
      <c r="LY17" s="16" t="str">
        <f>IF(SUM(LI17:LL17)-LM17&gt;0,SUM(LI17:LL17)-LM17,"")</f>
        <v/>
      </c>
      <c r="LZ17" s="16" t="str">
        <f>IF(SUM(LN17:LQ17)-LR17&gt;0,SUM(LN17:LQ17)-LR17,"")</f>
        <v/>
      </c>
      <c r="MA17" s="16" t="str">
        <f>IF(SUM(LY17:LZ17)&gt;0,SUM(LY17:LZ17),"")</f>
        <v/>
      </c>
      <c r="MB17" s="16" t="str">
        <f>IF(SUM(LS17:LV17)-LW17&gt;0,SUM(LS17:LV17)-LW17,"")</f>
        <v/>
      </c>
      <c r="MC17" s="16" t="str">
        <f>IF(SUM(MA17,MB17)&gt;0,SUM(MA17,MB17),"")</f>
        <v/>
      </c>
    </row>
    <row r="18" spans="1:341" x14ac:dyDescent="0.2">
      <c r="A18" s="6" t="str">
        <f>IF(AND(F18="P",H18="P"),SUMPRODUCT((F$4:F$24="P")*(H$4:H$24="P")*(E$4:E$24&gt;E18))+1,IF(H18="P",SUMPRODUCT((F$4:F$24="")*(H$4:H$24="P")*(E$4:E$24&gt;E18))+1+SUMPRODUCT((F$4:F$24="P")*(H$4:H$24="P")),""))</f>
        <v/>
      </c>
      <c r="B18" s="7" t="s">
        <v>73</v>
      </c>
      <c r="C18" s="8" t="s">
        <v>12</v>
      </c>
      <c r="D18" s="33">
        <v>1998</v>
      </c>
      <c r="E18" s="17">
        <f>SUM(J18:R18)</f>
        <v>166.70999999999998</v>
      </c>
      <c r="F18" s="4" t="str">
        <f>IF(OR(AND($AK18&gt;=$AL$27,NOT($AK18=""),$AJ18=""),AND($BG18&gt;=$BH$27,NOT($BG18=""),$BF18=""),AND($CC18&gt;=$CD$27,NOT($CC18=""),$CB18="")),"P","")</f>
        <v/>
      </c>
      <c r="G18" s="4" t="str">
        <f>IF(OR(AND($AK18&gt;=$AL$28,NOT($AK18=""),$AJ18=""),AND($BG18&gt;=$BH$28,NOT($BG18=""),$BF18=""),AND($CC18&gt;=$CD$28,NOT($CC18=""),$CB18="")),"P","")</f>
        <v/>
      </c>
      <c r="H18" s="4" t="str">
        <f>IF(OR(AND($AN18&gt;=$AL$29,NOT($AN18=""),$AJ18=""),AND($BJ18&gt;=$BH$29,NOT($BJ18=""),$BF18=""),AND($CF18&gt;=$CD$29,NOT($CF18=""),$CB18="")),"P","")</f>
        <v/>
      </c>
      <c r="I18" t="str">
        <f>IF(AND(G18="P",OR(AND($AM18&gt;$AL$32,NOT($AM18=""),$AJ18=""),AND($AO18&gt;$AL$32,NOT($AO18=""),$AJ18=""),AND($BI18&gt;$BH$32,NOT($BI18=""),$BF18=""),AND($BK18&gt;$BH$32,NOT($BK18=""),$BF18=""),AND($CE18&gt;$CD$32,NOT($CE18=""),$CB18=""),AND($CG18&gt;$CD$32,NOT($CG18=""),$CB18=""))),"Merit",IF(AND(G18="P",OR(AND($AN18&gt;$AL$31,NOT($AN18=""),$AJ18=""),AND($BJ18&gt;$BH$31,NOT($BJ18=""),$BF18=""),AND($CF18&gt;$CD$31,NOT($CF18=""),$CB18=""))),"Funding",IF(AND(G18="P",OR(AND($AN18&gt;$AL$30,NOT($AN18=""),$AJ18=""),AND($BJ18&gt;$BH$30,NOT($BJ18=""),$BF18=""),AND($CF18&gt;$CD$30,NOT($CF18=""),$CB18=""))),"Worlds Team",IF(AND(F18="P",OR(AND($AN18&gt;$AL$29,NOT($AN18=""),$AJ18=""),AND($BJ18&gt;$BH$29,NOT($BJ18=""),$BF18=""),AND($CF18&gt;$CD$29,NOT($CF18=""),$CB18=""))),"National Team",""))))</f>
        <v/>
      </c>
      <c r="J18" s="16">
        <f>MAX(AN18,BJ18,CF18)</f>
        <v>97.11</v>
      </c>
      <c r="K18" s="16" t="str">
        <f>IF(J18=CF18,$BM$1,IF(J18=BJ18,$AQ$1,IF(J18=AN18,$U$1,"")))</f>
        <v>2018 Canada Cup</v>
      </c>
      <c r="L18" s="16">
        <f>IF($J18=$AN18,MAX(BH18,CD18),IF($J18=$BJ18,MAX(AL18,CD18),MAX(AL18,BH18)))</f>
        <v>47.769999999999996</v>
      </c>
      <c r="M18" s="16" t="str">
        <f>IF(AND(L18=CD18,$K18&lt;&gt;$BM$1),$BM$1,IF(AND(L18=BH18,$K18&lt;&gt;$AQ$1),$AQ$1,IF(AND(L18=AL18,$K18&lt;&gt;$U$1),$U$1,"")))</f>
        <v>2018 Nationals</v>
      </c>
      <c r="N18" s="16">
        <f>IF($J18=$AN18,MAX(BI18,CE18),IF($J18=$BJ18,MAX(AM18,CE18),MAX(AM18,BI18)))</f>
        <v>10.824999999999999</v>
      </c>
      <c r="O18" s="16" t="str">
        <f>IF(AND(N18=CE18,$K18&lt;&gt;$BM$1),$BM$1,IF(AND(N18=BI18,$K18&lt;&gt;$AQ$1),$AQ$1,IF(AND(N18=AM18,$K18&lt;&gt;$U$1),$U$1,"")))</f>
        <v>2018 Nationals</v>
      </c>
      <c r="P18" s="16">
        <f>MAX(AO18,BK18,CG18)</f>
        <v>11.005000000000001</v>
      </c>
      <c r="Q18" s="16" t="str">
        <f>IF(P18=CG18,$BM$1,IF(P18=BK18,$AQ$1,IF(P18=AO18,$U$1,"")))</f>
        <v>2018 Canada Cup</v>
      </c>
      <c r="R18" s="16" t="str">
        <f>IF(MAX(CI18,CJ18,CK18)&gt;0,MAX(CI18,CJ18,CK18),"")</f>
        <v/>
      </c>
      <c r="S18" s="31" t="str">
        <f>IF(R18="","",IF(R18=CI18,"(Vol 1)",IF(R18=CJ18,"(Vol 2)",IF(R18=CK18,"(Final)"))))</f>
        <v/>
      </c>
      <c r="T18" s="16" t="str">
        <f>IF(R18="","",IF(R18=CI18,IF(R18+L18=LY18,$LI$1,IF(R18+L18=LD18,$KN$1,IF(R18+L18=KI18,$JS$1,IF(R18+L18=JN18,$IX$1,IF(R18+L18=IS18,$IC$1,IF(R18+L18=HX18,$HH$1,IF(R18+L18=HC18,$GM$1,IF(R18+L18=GH18,$FR$1,IF(R18+L18=FM18,$EW$1,IF(R18+L18=ER18,$EB$1,IF(R18+L18=DW18,$DG$1,IF(R18+L18=DB18,$CL$1)))))))))))),IF(R18=CJ18,IF(R18+N18=LZ18,$LI$1,IF(R18+N18=LE18,$KN$1,IF(R18+N18=KJ18,$JS$1,IF(R18+N18=JO18,$IX$1,IF(R18+N18=IT18,$IC$1,IF(R18+N18=HY18,$HH$1,IF(R18+N18=HD18,$GM$1,IF(R18+N18=GI18,$FR$1,IF(R18+N18=FN18,$EW$1,IF(R18+N18=ES18,$EB$1,IF(R18+N18=DX18,$DG$1,IF(R18+N18=DC18,$CL$1)))))))))))),IF(R18=CK18,IF(R18+P18=MB18,$LI$1,IF(R18+P18=LG18,$KN$1,IF(R18+P18=KL18,$JS$1,IF(R18+P18=JQ18,$IX$1,IF(R18+P18=IV18,$IC$1,IF(R18+P18=IA18,$HH$1,IF(R18+P18=HF18,$GM$1,IF(R18+P18=GK18,$FR$1,IF(R18+P18=FP18,$EW$1,IF(R18+P18=EU18,$EB$1,IF(R18+P18=DZ18,$DG$1,IF(R18+P18=DE18,$CL$1))))))))))))))))</f>
        <v/>
      </c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93"/>
      <c r="AK18" s="13" t="str">
        <f>IF(SUM(W18,AB18)&gt;0,SUM(W18,AB18),"")</f>
        <v/>
      </c>
      <c r="AL18" s="13" t="str">
        <f>IF(SUM(U18:X18)-Y18&gt;0,SUM(U18:X18)-Y18,"")</f>
        <v/>
      </c>
      <c r="AM18" s="13" t="str">
        <f>IF(SUM(Z18:AC18)-AD18&gt;0,SUM(Z18:AC18)-AD18,"")</f>
        <v/>
      </c>
      <c r="AN18" s="13" t="str">
        <f>IF(SUM(AL18:AM18)&gt;0,SUM(AL18:AM18),"")</f>
        <v/>
      </c>
      <c r="AO18" s="13" t="str">
        <f>IF(SUM(AE18:AH18)-AI18&gt;0,SUM(AE18:AH18)-AI18,"")</f>
        <v/>
      </c>
      <c r="AP18" s="13" t="str">
        <f>IF(SUM(AN18,AO18)&gt;0,SUM(AN18,AO18),"")</f>
        <v/>
      </c>
      <c r="AQ18" s="88">
        <v>16.600000000000001</v>
      </c>
      <c r="AR18" s="88">
        <v>9.25</v>
      </c>
      <c r="AS18" s="88">
        <v>3.9</v>
      </c>
      <c r="AT18" s="88">
        <v>16.170000000000002</v>
      </c>
      <c r="AU18" s="88">
        <v>0</v>
      </c>
      <c r="AV18" s="88">
        <v>15.2</v>
      </c>
      <c r="AW18" s="88">
        <v>8.9</v>
      </c>
      <c r="AX18" s="88">
        <v>11.4</v>
      </c>
      <c r="AY18" s="88">
        <v>15.69</v>
      </c>
      <c r="AZ18" s="88">
        <v>0</v>
      </c>
      <c r="BA18" s="88">
        <v>3.4</v>
      </c>
      <c r="BB18" s="88">
        <v>1.75</v>
      </c>
      <c r="BC18" s="88">
        <v>2.5</v>
      </c>
      <c r="BD18" s="88">
        <v>3.355</v>
      </c>
      <c r="BE18" s="88">
        <v>0</v>
      </c>
      <c r="BF18" s="94"/>
      <c r="BG18" s="16">
        <f>IF(SUM(AS18,AX18)&gt;0,SUM(AS18,AX18),"")</f>
        <v>15.3</v>
      </c>
      <c r="BH18" s="16">
        <f>IF(SUM(AQ18:AT18)-AU18&gt;0,SUM(AQ18:AT18)-AU18,"")</f>
        <v>45.92</v>
      </c>
      <c r="BI18" s="16">
        <f>IF(SUM(AV18:AY18)-AZ18&gt;0,SUM(AV18:AY18)-AZ18,"")</f>
        <v>51.19</v>
      </c>
      <c r="BJ18" s="16">
        <f>IF(SUM(BH18:BI18)&gt;0,SUM(BH18:BI18),"")</f>
        <v>97.11</v>
      </c>
      <c r="BK18" s="16">
        <f>IF(SUM(BA18:BD18)-BE18&gt;0,SUM(BA18:BD18)-BE18,"")</f>
        <v>11.005000000000001</v>
      </c>
      <c r="BL18" s="16">
        <f>IF(SUM(BJ18,BK18)&gt;0,SUM(BJ18,BK18),"")</f>
        <v>108.11499999999999</v>
      </c>
      <c r="BM18" s="47">
        <v>17.899999999999999</v>
      </c>
      <c r="BN18" s="47">
        <v>9.35</v>
      </c>
      <c r="BO18" s="47">
        <v>3.9</v>
      </c>
      <c r="BP18" s="47">
        <v>16.62</v>
      </c>
      <c r="BQ18" s="47">
        <v>0</v>
      </c>
      <c r="BR18" s="47">
        <v>3.2</v>
      </c>
      <c r="BS18" s="47">
        <v>1.75</v>
      </c>
      <c r="BT18" s="47">
        <v>2.5</v>
      </c>
      <c r="BU18" s="47">
        <v>3.375</v>
      </c>
      <c r="BV18" s="47">
        <v>0</v>
      </c>
      <c r="BW18" s="47"/>
      <c r="BX18" s="47"/>
      <c r="BY18" s="47"/>
      <c r="BZ18" s="47"/>
      <c r="CA18" s="47"/>
      <c r="CB18" s="93"/>
      <c r="CC18" s="13">
        <f>IF(SUM(BO18,BT18)&gt;0,SUM(BO18,BT18),"")</f>
        <v>6.4</v>
      </c>
      <c r="CD18" s="13">
        <f>IF(SUM(BM18:BP18)-BQ18&gt;0,SUM(BM18:BP18)-BQ18,"")</f>
        <v>47.769999999999996</v>
      </c>
      <c r="CE18" s="13">
        <f>IF(SUM(BR18:BU18)-BV18&gt;0,SUM(BR18:BU18)-BV18,"")</f>
        <v>10.824999999999999</v>
      </c>
      <c r="CF18" s="13">
        <f>IF(SUM(CD18:CE18)&gt;0,SUM(CD18:CE18),"")</f>
        <v>58.594999999999999</v>
      </c>
      <c r="CG18" s="13" t="str">
        <f>IF(SUM(BW18:BZ18)-CA18&gt;0,SUM(BW18:BZ18)-CA18,"")</f>
        <v/>
      </c>
      <c r="CH18" s="13">
        <f>IF(SUM(CF18,CG18)&gt;0,SUM(CF18,CG18),"")</f>
        <v>58.594999999999999</v>
      </c>
      <c r="CI18" s="30" t="str">
        <f>IF(MAX(DB18,DW18,ER18,FM18,GH18,HC18,HX18,IS18,JN18,KI18,LD18,LY18)-L18&gt;0.001,MAX(DB18,DW18,ER18,FM18,GH18,HC18,HX18,IS18,JN18,KI18,LD18,LY18)-L18,"")</f>
        <v/>
      </c>
      <c r="CJ18" s="30" t="str">
        <f>IF(MAX(DC18,DX18,ES18,FN18,GI18,HD18,HY18,IT18,JO18,KJ18,LE18,LZ18)-N18&gt;0.001,MAX(DC18,DX18,ES18,FN18,GI18,HD18,HY18,IT18,JO18,KJ18,LE18,LZ18)-N18,"")</f>
        <v/>
      </c>
      <c r="CK18" s="30" t="str">
        <f>IF(MAX(DE18,DZ18,EU18,FP18,GK18,HF18,IA18,IV18,JQ18,KL18,LG18,MB18)-P18&gt;0.001,MAX(DE18,DZ18,EU18,FP18,GK18,HF18,IA18,IV18,JQ18,KL18,LG18,MB18)-P18,"")</f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>IF(SUM(CN18,CS18)&gt;0,SUM(CN18,CS18),"")</f>
        <v/>
      </c>
      <c r="DB18" s="13" t="str">
        <f>IF(SUM(CL18:CO18)-CP18&gt;0,SUM(CL18:CO18)-CP18,"")</f>
        <v/>
      </c>
      <c r="DC18" s="13" t="str">
        <f>IF(SUM(CQ18:CT18)-CU18&gt;0,SUM(CQ18:CT18)-CU18,"")</f>
        <v/>
      </c>
      <c r="DD18" s="13" t="str">
        <f>IF(SUM(DB18:DC18)&gt;0,SUM(DB18:DC18),"")</f>
        <v/>
      </c>
      <c r="DE18" s="13" t="str">
        <f>IF(SUM(CV18:CY18)-CZ18&gt;0,SUM(CV18:CY18)-CZ18,"")</f>
        <v/>
      </c>
      <c r="DF18" s="13" t="str">
        <f>IF(SUM(DD18,DE18)&gt;0,SUM(DD18,DE18),"")</f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>IF(SUM(DI18,DN18)&gt;0,SUM(DI18,DN18),"")</f>
        <v/>
      </c>
      <c r="DW18" s="16" t="str">
        <f>IF(SUM(DG18:DJ18)-DK18&gt;0,SUM(DG18:DJ18)-DK18,"")</f>
        <v/>
      </c>
      <c r="DX18" s="16" t="str">
        <f>IF(SUM(DL18:DO18)-DP18&gt;0,SUM(DL18:DO18)-DP18,"")</f>
        <v/>
      </c>
      <c r="DY18" s="16" t="str">
        <f>IF(SUM(DW18:DX18)&gt;0,SUM(DW18:DX18),"")</f>
        <v/>
      </c>
      <c r="DZ18" s="16" t="str">
        <f>IF(SUM(DQ18:DT18)-DU18&gt;0,SUM(DQ18:DT18)-DU18,"")</f>
        <v/>
      </c>
      <c r="EA18" s="16" t="str">
        <f>IF(SUM(DY18,DZ18)&gt;0,SUM(DY18,DZ18),"")</f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>IF(SUM(ED18,EI18)&gt;0,SUM(ED18,EI18),"")</f>
        <v/>
      </c>
      <c r="ER18" s="13" t="str">
        <f>IF(SUM(EB18:EE18)-EF18&gt;0,SUM(EB18:EE18)-EF18,"")</f>
        <v/>
      </c>
      <c r="ES18" s="13" t="str">
        <f>IF(SUM(EG18:EJ18)-EK18&gt;0,SUM(EG18:EJ18)-EK18,"")</f>
        <v/>
      </c>
      <c r="ET18" s="13" t="str">
        <f>IF(SUM(ER18:ES18)&gt;0,SUM(ER18:ES18),"")</f>
        <v/>
      </c>
      <c r="EU18" s="13" t="str">
        <f>IF(SUM(EL18:EO18)-EP18&gt;0,SUM(EL18:EO18)-EP18,"")</f>
        <v/>
      </c>
      <c r="EV18" s="13" t="str">
        <f>IF(SUM(ET18,EU18)&gt;0,SUM(ET18,EU18),"")</f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>IF(SUM(EY18,FD18)&gt;0,SUM(EY18,FD18),"")</f>
        <v/>
      </c>
      <c r="FM18" s="16" t="str">
        <f>IF(SUM(EW18:EZ18)-FA18&gt;0,SUM(EW18:EZ18)-FA18,"")</f>
        <v/>
      </c>
      <c r="FN18" s="16" t="str">
        <f>IF(SUM(FB18:FE18)-FF18&gt;0,SUM(FB18:FE18)-FF18,"")</f>
        <v/>
      </c>
      <c r="FO18" s="16" t="str">
        <f>IF(SUM(FM18:FN18)&gt;0,SUM(FM18:FN18),"")</f>
        <v/>
      </c>
      <c r="FP18" s="16" t="str">
        <f>IF(SUM(FG18:FJ18)-FK18&gt;0,SUM(FG18:FJ18)-FK18,"")</f>
        <v/>
      </c>
      <c r="FQ18" s="16" t="str">
        <f>IF(SUM(FO18,FP18)&gt;0,SUM(FO18,FP18),"")</f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>IF(SUM(FT18,FY18)&gt;0,SUM(FT18,FY18),"")</f>
        <v/>
      </c>
      <c r="GH18" s="13" t="str">
        <f>IF(SUM(FR18:FU18)-FV18&gt;0,SUM(FR18:FU18)-FV18,"")</f>
        <v/>
      </c>
      <c r="GI18" s="13" t="str">
        <f>IF(SUM(FW18:FZ18)-GA18&gt;0,SUM(FW18:FZ18)-GA18,"")</f>
        <v/>
      </c>
      <c r="GJ18" s="13" t="str">
        <f>IF(SUM(GH18:GI18)&gt;0,SUM(GH18:GI18),"")</f>
        <v/>
      </c>
      <c r="GK18" s="13" t="str">
        <f>IF(SUM(GB18:GE18)-GF18&gt;0,SUM(GB18:GE18)-GF18,"")</f>
        <v/>
      </c>
      <c r="GL18" s="13" t="str">
        <f>IF(SUM(GJ18,GK18)&gt;0,SUM(GJ18,GK18),"")</f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>IF(SUM(GO18,GT18)&gt;0,SUM(GO18,GT18),"")</f>
        <v/>
      </c>
      <c r="HC18" s="16" t="str">
        <f>IF(SUM(GM18:GP18)-GQ18&gt;0,SUM(GM18:GP18)-GQ18,"")</f>
        <v/>
      </c>
      <c r="HD18" s="16" t="str">
        <f>IF(SUM(GR18:GU18)-GV18&gt;0,SUM(GR18:GU18)-GV18,"")</f>
        <v/>
      </c>
      <c r="HE18" s="16" t="str">
        <f>IF(SUM(HC18:HD18)&gt;0,SUM(HC18:HD18),"")</f>
        <v/>
      </c>
      <c r="HF18" s="16" t="str">
        <f>IF(SUM(GW18:GZ18)-HA18&gt;0,SUM(GW18:GZ18)-HA18,"")</f>
        <v/>
      </c>
      <c r="HG18" s="16" t="str">
        <f>IF(SUM(HE18,HF18)&gt;0,SUM(HE18,HF18),"")</f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>IF(SUM(HJ18,HO18)&gt;0,SUM(HJ18,HO18),"")</f>
        <v/>
      </c>
      <c r="HX18" s="13" t="str">
        <f>IF(SUM(HH18:HK18)-HL18&gt;0,SUM(HH18:HK18)-HL18,"")</f>
        <v/>
      </c>
      <c r="HY18" s="13" t="str">
        <f>IF(SUM(HM18:HP18)-HQ18&gt;0,SUM(HM18:HP18)-HQ18,"")</f>
        <v/>
      </c>
      <c r="HZ18" s="13" t="str">
        <f>IF(SUM(HX18:HY18)&gt;0,SUM(HX18:HY18),"")</f>
        <v/>
      </c>
      <c r="IA18" s="13" t="str">
        <f>IF(SUM(HR18:HU18)-HV18&gt;0,SUM(HR18:HU18)-HV18,"")</f>
        <v/>
      </c>
      <c r="IB18" s="13" t="str">
        <f>IF(SUM(HZ18,IA18)&gt;0,SUM(HZ18,IA18),"")</f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>IF(SUM(IE18,IJ18)&gt;0,SUM(IE18,IJ18),"")</f>
        <v/>
      </c>
      <c r="IS18" s="16" t="str">
        <f>IF(SUM(IC18:IF18)-IG18&gt;0,SUM(IC18:IF18)-IG18,"")</f>
        <v/>
      </c>
      <c r="IT18" s="16" t="str">
        <f>IF(SUM(IH18:IK18)-IL18&gt;0,SUM(IH18:IK18)-IL18,"")</f>
        <v/>
      </c>
      <c r="IU18" s="16" t="str">
        <f>IF(SUM(IS18:IT18)&gt;0,SUM(IS18:IT18),"")</f>
        <v/>
      </c>
      <c r="IV18" s="16" t="str">
        <f>IF(SUM(IM18:IP18)-IQ18&gt;0,SUM(IM18:IP18)-IQ18,"")</f>
        <v/>
      </c>
      <c r="IW18" s="16" t="str">
        <f>IF(SUM(IU18,IV18)&gt;0,SUM(IU18,IV18),"")</f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>IF(SUM(IZ18,JE18)&gt;0,SUM(IZ18,JE18),"")</f>
        <v/>
      </c>
      <c r="JN18" s="13" t="str">
        <f>IF(SUM(IX18:JA18)-JB18&gt;0,SUM(IX18:JA18)-JB18,"")</f>
        <v/>
      </c>
      <c r="JO18" s="13" t="str">
        <f>IF(SUM(JC18:JF18)-JG18&gt;0,SUM(JC18:JF18)-JG18,"")</f>
        <v/>
      </c>
      <c r="JP18" s="13" t="str">
        <f>IF(SUM(JN18:JO18)&gt;0,SUM(JN18:JO18),"")</f>
        <v/>
      </c>
      <c r="JQ18" s="13" t="str">
        <f>IF(SUM(JH18:JK18)-JL18&gt;0,SUM(JH18:JK18)-JL18,"")</f>
        <v/>
      </c>
      <c r="JR18" s="13" t="str">
        <f>IF(SUM(JP18,JQ18)&gt;0,SUM(JP18,JQ18),"")</f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>IF(SUM(JU18,JZ18)&gt;0,SUM(JU18,JZ18),"")</f>
        <v/>
      </c>
      <c r="KI18" s="16" t="str">
        <f>IF(SUM(JS18:JV18)-JW18&gt;0,SUM(JS18:JV18)-JW18,"")</f>
        <v/>
      </c>
      <c r="KJ18" s="16" t="str">
        <f>IF(SUM(JX18:KA18)-KB18&gt;0,SUM(JX18:KA18)-KB18,"")</f>
        <v/>
      </c>
      <c r="KK18" s="16" t="str">
        <f>IF(SUM(KI18:KJ18)&gt;0,SUM(KI18:KJ18),"")</f>
        <v/>
      </c>
      <c r="KL18" s="16" t="str">
        <f>IF(SUM(KC18:KF18)-KG18&gt;0,SUM(KC18:KF18)-KG18,"")</f>
        <v/>
      </c>
      <c r="KM18" s="16" t="str">
        <f>IF(SUM(KK18,KL18)&gt;0,SUM(KK18,KL18),"")</f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>IF(SUM(KP18,KU18)&gt;0,SUM(KP18,KU18),"")</f>
        <v/>
      </c>
      <c r="LD18" s="13" t="str">
        <f>IF(SUM(KN18:KQ18)-KR18&gt;0,SUM(KN18:KQ18)-KR18,"")</f>
        <v/>
      </c>
      <c r="LE18" s="13" t="str">
        <f>IF(SUM(KS18:KV18)-KW18&gt;0,SUM(KS18:KV18)-KW18,"")</f>
        <v/>
      </c>
      <c r="LF18" s="13" t="str">
        <f>IF(SUM(LD18:LE18)&gt;0,SUM(LD18:LE18),"")</f>
        <v/>
      </c>
      <c r="LG18" s="13" t="str">
        <f>IF(SUM(KX18:LA18)-LB18&gt;0,SUM(KX18:LA18)-LB18,"")</f>
        <v/>
      </c>
      <c r="LH18" s="13" t="str">
        <f>IF(SUM(LF18,LG18)&gt;0,SUM(LF18,LG18),"")</f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>IF(SUM(LK18,LP18)&gt;0,SUM(LK18,LP18),"")</f>
        <v/>
      </c>
      <c r="LY18" s="16" t="str">
        <f>IF(SUM(LI18:LL18)-LM18&gt;0,SUM(LI18:LL18)-LM18,"")</f>
        <v/>
      </c>
      <c r="LZ18" s="16" t="str">
        <f>IF(SUM(LN18:LQ18)-LR18&gt;0,SUM(LN18:LQ18)-LR18,"")</f>
        <v/>
      </c>
      <c r="MA18" s="16" t="str">
        <f>IF(SUM(LY18:LZ18)&gt;0,SUM(LY18:LZ18),"")</f>
        <v/>
      </c>
      <c r="MB18" s="16" t="str">
        <f>IF(SUM(LS18:LV18)-LW18&gt;0,SUM(LS18:LV18)-LW18,"")</f>
        <v/>
      </c>
      <c r="MC18" s="16" t="str">
        <f>IF(SUM(MA18,MB18)&gt;0,SUM(MA18,MB18),"")</f>
        <v/>
      </c>
    </row>
    <row r="19" spans="1:341" x14ac:dyDescent="0.2">
      <c r="A19" s="6" t="str">
        <f>IF(AND(F19="P",H19="P"),SUMPRODUCT((F$4:F$24="P")*(H$4:H$24="P")*(E$4:E$24&gt;E19))+1,IF(H19="P",SUMPRODUCT((F$4:F$24="")*(H$4:H$24="P")*(E$4:E$24&gt;E19))+1+SUMPRODUCT((F$4:F$24="P")*(H$4:H$24="P")),""))</f>
        <v/>
      </c>
      <c r="B19" s="9" t="s">
        <v>18</v>
      </c>
      <c r="C19" s="5" t="s">
        <v>3</v>
      </c>
      <c r="D19" s="33">
        <v>1992</v>
      </c>
      <c r="E19" s="17">
        <f>SUM(J19:R19)</f>
        <v>153.495</v>
      </c>
      <c r="F19" s="4" t="str">
        <f>IF(OR(AND($AK19&gt;=$AL$27,NOT($AK19=""),$AJ19=""),AND($BG19&gt;=$BH$27,NOT($BG19=""),$BF19=""),AND($CC19&gt;=$CD$27,NOT($CC19=""),$CB19="")),"P","")</f>
        <v/>
      </c>
      <c r="G19" s="4" t="str">
        <f>IF(OR(AND($AK19&gt;=$AL$28,NOT($AK19=""),$AJ19=""),AND($BG19&gt;=$BH$28,NOT($BG19=""),$BF19=""),AND($CC19&gt;=$CD$28,NOT($CC19=""),$CB19="")),"P","")</f>
        <v/>
      </c>
      <c r="H19" s="4" t="str">
        <f>IF(OR(AND($AN19&gt;=$AL$29,NOT($AN19=""),$AJ19=""),AND($BJ19&gt;=$BH$29,NOT($BJ19=""),$BF19=""),AND($CF19&gt;=$CD$29,NOT($CF19=""),$CB19="")),"P","")</f>
        <v/>
      </c>
      <c r="I19" t="str">
        <f>IF(AND(G19="P",OR(AND($AM19&gt;$AL$32,NOT($AM19=""),$AJ19=""),AND($AO19&gt;$AL$32,NOT($AO19=""),$AJ19=""),AND($BI19&gt;$BH$32,NOT($BI19=""),$BF19=""),AND($BK19&gt;$BH$32,NOT($BK19=""),$BF19=""),AND($CE19&gt;$CD$32,NOT($CE19=""),$CB19=""),AND($CG19&gt;$CD$32,NOT($CG19=""),$CB19=""))),"Merit",IF(AND(G19="P",OR(AND($AN19&gt;$AL$31,NOT($AN19=""),$AJ19=""),AND($BJ19&gt;$BH$31,NOT($BJ19=""),$BF19=""),AND($CF19&gt;$CD$31,NOT($CF19=""),$CB19=""))),"Funding",IF(AND(G19="P",OR(AND($AN19&gt;$AL$30,NOT($AN19=""),$AJ19=""),AND($BJ19&gt;$BH$30,NOT($BJ19=""),$BF19=""),AND($CF19&gt;$CD$30,NOT($CF19=""),$CB19=""))),"Worlds Team",IF(AND(F19="P",OR(AND($AN19&gt;$AL$29,NOT($AN19=""),$AJ19=""),AND($BJ19&gt;$BH$29,NOT($BJ19=""),$BF19=""),AND($CF19&gt;$CD$29,NOT($CF19=""),$CB19=""))),"National Team",""))))</f>
        <v/>
      </c>
      <c r="J19" s="16">
        <f>MAX(AN19,BJ19,CF19)</f>
        <v>99.545000000000016</v>
      </c>
      <c r="K19" s="16" t="str">
        <f>IF(J19=CF19,$BM$1,IF(J19=BJ19,$AQ$1,IF(J19=AN19,$U$1,"")))</f>
        <v>2017 3rd Domestic Trial</v>
      </c>
      <c r="L19" s="16">
        <f>IF($J19=$AN19,MAX(BH19,CD19),IF($J19=$BJ19,MAX(AL19,CD19),MAX(AL19,BH19)))</f>
        <v>0</v>
      </c>
      <c r="M19" s="16" t="str">
        <f>IF(AND(L19=CD19,$K19&lt;&gt;$BM$1),$BM$1,IF(AND(L19=BH19,$K19&lt;&gt;$AQ$1),$AQ$1,IF(AND(L19=AL19,$K19&lt;&gt;$U$1),$U$1,"")))</f>
        <v/>
      </c>
      <c r="N19" s="16">
        <f>IF($J19=$AN19,MAX(BI19,CE19),IF($J19=$BJ19,MAX(AM19,CE19),MAX(AM19,BI19)))</f>
        <v>0</v>
      </c>
      <c r="O19" s="16" t="str">
        <f>IF(AND(N19=CE19,$K19&lt;&gt;$BM$1),$BM$1,IF(AND(N19=BI19,$K19&lt;&gt;$AQ$1),$AQ$1,IF(AND(N19=AM19,$K19&lt;&gt;$U$1),$U$1,"")))</f>
        <v/>
      </c>
      <c r="P19" s="16">
        <f>MAX(AO19,BK19,CG19)</f>
        <v>53.949999999999996</v>
      </c>
      <c r="Q19" s="16" t="str">
        <f>IF(P19=CG19,$BM$1,IF(P19=BK19,$AQ$1,IF(P19=AO19,$U$1,"")))</f>
        <v>2017 3rd Domestic Trial</v>
      </c>
      <c r="R19" s="16" t="str">
        <f>IF(MAX(CI19,CJ19,CK19)&gt;0,MAX(CI19,CJ19,CK19),"")</f>
        <v/>
      </c>
      <c r="S19" s="31" t="str">
        <f>IF(R19="","",IF(R19=CI19,"(Vol 1)",IF(R19=CJ19,"(Vol 2)",IF(R19=CK19,"(Final)"))))</f>
        <v/>
      </c>
      <c r="T19" s="16" t="str">
        <f>IF(R19="","",IF(R19=CI19,IF(R19+L19=LY19,$LI$1,IF(R19+L19=LD19,$KN$1,IF(R19+L19=KI19,$JS$1,IF(R19+L19=JN19,$IX$1,IF(R19+L19=IS19,$IC$1,IF(R19+L19=HX19,$HH$1,IF(R19+L19=HC19,$GM$1,IF(R19+L19=GH19,$FR$1,IF(R19+L19=FM19,$EW$1,IF(R19+L19=ER19,$EB$1,IF(R19+L19=DW19,$DG$1,IF(R19+L19=DB19,$CL$1)))))))))))),IF(R19=CJ19,IF(R19+N19=LZ19,$LI$1,IF(R19+N19=LE19,$KN$1,IF(R19+N19=KJ19,$JS$1,IF(R19+N19=JO19,$IX$1,IF(R19+N19=IT19,$IC$1,IF(R19+N19=HY19,$HH$1,IF(R19+N19=HD19,$GM$1,IF(R19+N19=GI19,$FR$1,IF(R19+N19=FN19,$EW$1,IF(R19+N19=ES19,$EB$1,IF(R19+N19=DX19,$DG$1,IF(R19+N19=DC19,$CL$1)))))))))))),IF(R19=CK19,IF(R19+P19=MB19,$LI$1,IF(R19+P19=LG19,$KN$1,IF(R19+P19=KL19,$JS$1,IF(R19+P19=JQ19,$IX$1,IF(R19+P19=IV19,$IC$1,IF(R19+P19=IA19,$HH$1,IF(R19+P19=HF19,$GM$1,IF(R19+P19=GK19,$FR$1,IF(R19+P19=FP19,$EW$1,IF(R19+P19=EU19,$EB$1,IF(R19+P19=DZ19,$DG$1,IF(R19+P19=DE19,$CL$1))))))))))))))))</f>
        <v/>
      </c>
      <c r="U19" s="81">
        <v>16.399999999999999</v>
      </c>
      <c r="V19" s="81">
        <v>8.3000000000000007</v>
      </c>
      <c r="W19" s="81">
        <v>5.9</v>
      </c>
      <c r="X19" s="81">
        <v>15.935</v>
      </c>
      <c r="Y19" s="81">
        <v>0</v>
      </c>
      <c r="Z19" s="81">
        <v>15.2</v>
      </c>
      <c r="AA19" s="81">
        <v>8.9</v>
      </c>
      <c r="AB19" s="81">
        <v>13.5</v>
      </c>
      <c r="AC19" s="81">
        <v>15.41</v>
      </c>
      <c r="AD19" s="81">
        <v>0</v>
      </c>
      <c r="AE19" s="81">
        <v>15.1</v>
      </c>
      <c r="AF19" s="81">
        <v>8.9</v>
      </c>
      <c r="AG19" s="81">
        <v>14.3</v>
      </c>
      <c r="AH19" s="81">
        <v>15.65</v>
      </c>
      <c r="AI19" s="81">
        <v>0</v>
      </c>
      <c r="AJ19" s="93"/>
      <c r="AK19" s="13">
        <f>IF(SUM(W19,AB19)&gt;0,SUM(W19,AB19),"")</f>
        <v>19.399999999999999</v>
      </c>
      <c r="AL19" s="13">
        <f>IF(SUM(U19:X19)-Y19&gt;0,SUM(U19:X19)-Y19,"")</f>
        <v>46.535000000000004</v>
      </c>
      <c r="AM19" s="13">
        <f>IF(SUM(Z19:AC19)-AD19&gt;0,SUM(Z19:AC19)-AD19,"")</f>
        <v>53.010000000000005</v>
      </c>
      <c r="AN19" s="13">
        <f>IF(SUM(AL19:AM19)&gt;0,SUM(AL19:AM19),"")</f>
        <v>99.545000000000016</v>
      </c>
      <c r="AO19" s="13">
        <f>IF(SUM(AE19:AH19)-AI19&gt;0,SUM(AE19:AH19)-AI19,"")</f>
        <v>53.949999999999996</v>
      </c>
      <c r="AP19" s="13">
        <f>IF(SUM(AN19,AO19)&gt;0,SUM(AN19,AO19),"")</f>
        <v>153.495</v>
      </c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94"/>
      <c r="BG19" s="16" t="str">
        <f>IF(SUM(AS19,AX19)&gt;0,SUM(AS19,AX19),"")</f>
        <v/>
      </c>
      <c r="BH19" s="16" t="str">
        <f>IF(SUM(AQ19:AT19)-AU19&gt;0,SUM(AQ19:AT19)-AU19,"")</f>
        <v/>
      </c>
      <c r="BI19" s="16" t="str">
        <f>IF(SUM(AV19:AY19)-AZ19&gt;0,SUM(AV19:AY19)-AZ19,"")</f>
        <v/>
      </c>
      <c r="BJ19" s="16" t="str">
        <f>IF(SUM(BH19:BI19)&gt;0,SUM(BH19:BI19),"")</f>
        <v/>
      </c>
      <c r="BK19" s="16" t="str">
        <f>IF(SUM(BA19:BD19)-BE19&gt;0,SUM(BA19:BD19)-BE19,"")</f>
        <v/>
      </c>
      <c r="BL19" s="16" t="str">
        <f>IF(SUM(BJ19,BK19)&gt;0,SUM(BJ19,BK19),"")</f>
        <v/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>IF(SUM(BO19,BT19)&gt;0,SUM(BO19,BT19),"")</f>
        <v/>
      </c>
      <c r="CD19" s="13" t="str">
        <f>IF(SUM(BM19:BP19)-BQ19&gt;0,SUM(BM19:BP19)-BQ19,"")</f>
        <v/>
      </c>
      <c r="CE19" s="13" t="str">
        <f>IF(SUM(BR19:BU19)-BV19&gt;0,SUM(BR19:BU19)-BV19,"")</f>
        <v/>
      </c>
      <c r="CF19" s="13" t="str">
        <f>IF(SUM(CD19:CE19)&gt;0,SUM(CD19:CE19),"")</f>
        <v/>
      </c>
      <c r="CG19" s="13" t="str">
        <f>IF(SUM(BW19:BZ19)-CA19&gt;0,SUM(BW19:BZ19)-CA19,"")</f>
        <v/>
      </c>
      <c r="CH19" s="13" t="str">
        <f>IF(SUM(CF19,CG19)&gt;0,SUM(CF19,CG19),"")</f>
        <v/>
      </c>
      <c r="CI19" s="30" t="str">
        <f>IF(MAX(DB19,DW19,ER19,FM19,GH19,HC19,HX19,IS19,JN19,KI19,LD19,LY19)-L19&gt;0.001,MAX(DB19,DW19,ER19,FM19,GH19,HC19,HX19,IS19,JN19,KI19,LD19,LY19)-L19,"")</f>
        <v/>
      </c>
      <c r="CJ19" s="30" t="str">
        <f>IF(MAX(DC19,DX19,ES19,FN19,GI19,HD19,HY19,IT19,JO19,KJ19,LE19,LZ19)-N19&gt;0.001,MAX(DC19,DX19,ES19,FN19,GI19,HD19,HY19,IT19,JO19,KJ19,LE19,LZ19)-N19,"")</f>
        <v/>
      </c>
      <c r="CK19" s="30" t="str">
        <f>IF(MAX(DE19,DZ19,EU19,FP19,GK19,HF19,IA19,IV19,JQ19,KL19,LG19,MB19)-P19&gt;0.001,MAX(DE19,DZ19,EU19,FP19,GK19,HF19,IA19,IV19,JQ19,KL19,LG19,MB19)-P19,"")</f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>IF(SUM(CN19,CS19)&gt;0,SUM(CN19,CS19),"")</f>
        <v/>
      </c>
      <c r="DB19" s="13" t="str">
        <f>IF(SUM(CL19:CO19)-CP19&gt;0,SUM(CL19:CO19)-CP19,"")</f>
        <v/>
      </c>
      <c r="DC19" s="13" t="str">
        <f>IF(SUM(CQ19:CT19)-CU19&gt;0,SUM(CQ19:CT19)-CU19,"")</f>
        <v/>
      </c>
      <c r="DD19" s="13" t="str">
        <f>IF(SUM(DB19:DC19)&gt;0,SUM(DB19:DC19),"")</f>
        <v/>
      </c>
      <c r="DE19" s="13" t="str">
        <f>IF(SUM(CV19:CY19)-CZ19&gt;0,SUM(CV19:CY19)-CZ19,"")</f>
        <v/>
      </c>
      <c r="DF19" s="13" t="str">
        <f>IF(SUM(DD19,DE19)&gt;0,SUM(DD19,DE19),"")</f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>IF(SUM(DI19,DN19)&gt;0,SUM(DI19,DN19),"")</f>
        <v/>
      </c>
      <c r="DW19" s="16" t="str">
        <f>IF(SUM(DG19:DJ19)-DK19&gt;0,SUM(DG19:DJ19)-DK19,"")</f>
        <v/>
      </c>
      <c r="DX19" s="16" t="str">
        <f>IF(SUM(DL19:DO19)-DP19&gt;0,SUM(DL19:DO19)-DP19,"")</f>
        <v/>
      </c>
      <c r="DY19" s="16" t="str">
        <f>IF(SUM(DW19:DX19)&gt;0,SUM(DW19:DX19),"")</f>
        <v/>
      </c>
      <c r="DZ19" s="16" t="str">
        <f>IF(SUM(DQ19:DT19)-DU19&gt;0,SUM(DQ19:DT19)-DU19,"")</f>
        <v/>
      </c>
      <c r="EA19" s="16" t="str">
        <f>IF(SUM(DY19,DZ19)&gt;0,SUM(DY19,DZ19),"")</f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>IF(SUM(ED19,EI19)&gt;0,SUM(ED19,EI19),"")</f>
        <v/>
      </c>
      <c r="ER19" s="13" t="str">
        <f>IF(SUM(EB19:EE19)-EF19&gt;0,SUM(EB19:EE19)-EF19,"")</f>
        <v/>
      </c>
      <c r="ES19" s="13" t="str">
        <f>IF(SUM(EG19:EJ19)-EK19&gt;0,SUM(EG19:EJ19)-EK19,"")</f>
        <v/>
      </c>
      <c r="ET19" s="13" t="str">
        <f>IF(SUM(ER19:ES19)&gt;0,SUM(ER19:ES19),"")</f>
        <v/>
      </c>
      <c r="EU19" s="13" t="str">
        <f>IF(SUM(EL19:EO19)-EP19&gt;0,SUM(EL19:EO19)-EP19,"")</f>
        <v/>
      </c>
      <c r="EV19" s="13" t="str">
        <f>IF(SUM(ET19,EU19)&gt;0,SUM(ET19,EU19),"")</f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>IF(SUM(EY19,FD19)&gt;0,SUM(EY19,FD19),"")</f>
        <v/>
      </c>
      <c r="FM19" s="16" t="str">
        <f>IF(SUM(EW19:EZ19)-FA19&gt;0,SUM(EW19:EZ19)-FA19,"")</f>
        <v/>
      </c>
      <c r="FN19" s="16" t="str">
        <f>IF(SUM(FB19:FE19)-FF19&gt;0,SUM(FB19:FE19)-FF19,"")</f>
        <v/>
      </c>
      <c r="FO19" s="16" t="str">
        <f>IF(SUM(FM19:FN19)&gt;0,SUM(FM19:FN19),"")</f>
        <v/>
      </c>
      <c r="FP19" s="16" t="str">
        <f>IF(SUM(FG19:FJ19)-FK19&gt;0,SUM(FG19:FJ19)-FK19,"")</f>
        <v/>
      </c>
      <c r="FQ19" s="16" t="str">
        <f>IF(SUM(FO19,FP19)&gt;0,SUM(FO19,FP19),"")</f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>IF(SUM(FT19,FY19)&gt;0,SUM(FT19,FY19),"")</f>
        <v/>
      </c>
      <c r="GH19" s="13" t="str">
        <f>IF(SUM(FR19:FU19)-FV19&gt;0,SUM(FR19:FU19)-FV19,"")</f>
        <v/>
      </c>
      <c r="GI19" s="13" t="str">
        <f>IF(SUM(FW19:FZ19)-GA19&gt;0,SUM(FW19:FZ19)-GA19,"")</f>
        <v/>
      </c>
      <c r="GJ19" s="13" t="str">
        <f>IF(SUM(GH19:GI19)&gt;0,SUM(GH19:GI19),"")</f>
        <v/>
      </c>
      <c r="GK19" s="13" t="str">
        <f>IF(SUM(GB19:GE19)-GF19&gt;0,SUM(GB19:GE19)-GF19,"")</f>
        <v/>
      </c>
      <c r="GL19" s="13" t="str">
        <f>IF(SUM(GJ19,GK19)&gt;0,SUM(GJ19,GK19),"")</f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>IF(SUM(GO19,GT19)&gt;0,SUM(GO19,GT19),"")</f>
        <v/>
      </c>
      <c r="HC19" s="16" t="str">
        <f>IF(SUM(GM19:GP19)-GQ19&gt;0,SUM(GM19:GP19)-GQ19,"")</f>
        <v/>
      </c>
      <c r="HD19" s="16" t="str">
        <f>IF(SUM(GR19:GU19)-GV19&gt;0,SUM(GR19:GU19)-GV19,"")</f>
        <v/>
      </c>
      <c r="HE19" s="16" t="str">
        <f>IF(SUM(HC19:HD19)&gt;0,SUM(HC19:HD19),"")</f>
        <v/>
      </c>
      <c r="HF19" s="16" t="str">
        <f>IF(SUM(GW19:GZ19)-HA19&gt;0,SUM(GW19:GZ19)-HA19,"")</f>
        <v/>
      </c>
      <c r="HG19" s="16" t="str">
        <f>IF(SUM(HE19,HF19)&gt;0,SUM(HE19,HF19),"")</f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>IF(SUM(HJ19,HO19)&gt;0,SUM(HJ19,HO19),"")</f>
        <v/>
      </c>
      <c r="HX19" s="13" t="str">
        <f>IF(SUM(HH19:HK19)-HL19&gt;0,SUM(HH19:HK19)-HL19,"")</f>
        <v/>
      </c>
      <c r="HY19" s="13" t="str">
        <f>IF(SUM(HM19:HP19)-HQ19&gt;0,SUM(HM19:HP19)-HQ19,"")</f>
        <v/>
      </c>
      <c r="HZ19" s="13" t="str">
        <f>IF(SUM(HX19:HY19)&gt;0,SUM(HX19:HY19),"")</f>
        <v/>
      </c>
      <c r="IA19" s="13" t="str">
        <f>IF(SUM(HR19:HU19)-HV19&gt;0,SUM(HR19:HU19)-HV19,"")</f>
        <v/>
      </c>
      <c r="IB19" s="13" t="str">
        <f>IF(SUM(HZ19,IA19)&gt;0,SUM(HZ19,IA19),"")</f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>IF(SUM(IE19,IJ19)&gt;0,SUM(IE19,IJ19),"")</f>
        <v/>
      </c>
      <c r="IS19" s="16" t="str">
        <f>IF(SUM(IC19:IF19)-IG19&gt;0,SUM(IC19:IF19)-IG19,"")</f>
        <v/>
      </c>
      <c r="IT19" s="16" t="str">
        <f>IF(SUM(IH19:IK19)-IL19&gt;0,SUM(IH19:IK19)-IL19,"")</f>
        <v/>
      </c>
      <c r="IU19" s="16" t="str">
        <f>IF(SUM(IS19:IT19)&gt;0,SUM(IS19:IT19),"")</f>
        <v/>
      </c>
      <c r="IV19" s="16" t="str">
        <f>IF(SUM(IM19:IP19)-IQ19&gt;0,SUM(IM19:IP19)-IQ19,"")</f>
        <v/>
      </c>
      <c r="IW19" s="16" t="str">
        <f>IF(SUM(IU19,IV19)&gt;0,SUM(IU19,IV19),"")</f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>IF(SUM(IZ19,JE19)&gt;0,SUM(IZ19,JE19),"")</f>
        <v/>
      </c>
      <c r="JN19" s="13" t="str">
        <f>IF(SUM(IX19:JA19)-JB19&gt;0,SUM(IX19:JA19)-JB19,"")</f>
        <v/>
      </c>
      <c r="JO19" s="13" t="str">
        <f>IF(SUM(JC19:JF19)-JG19&gt;0,SUM(JC19:JF19)-JG19,"")</f>
        <v/>
      </c>
      <c r="JP19" s="13" t="str">
        <f>IF(SUM(JN19:JO19)&gt;0,SUM(JN19:JO19),"")</f>
        <v/>
      </c>
      <c r="JQ19" s="13" t="str">
        <f>IF(SUM(JH19:JK19)-JL19&gt;0,SUM(JH19:JK19)-JL19,"")</f>
        <v/>
      </c>
      <c r="JR19" s="13" t="str">
        <f>IF(SUM(JP19,JQ19)&gt;0,SUM(JP19,JQ19),"")</f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>IF(SUM(JU19,JZ19)&gt;0,SUM(JU19,JZ19),"")</f>
        <v/>
      </c>
      <c r="KI19" s="16" t="str">
        <f>IF(SUM(JS19:JV19)-JW19&gt;0,SUM(JS19:JV19)-JW19,"")</f>
        <v/>
      </c>
      <c r="KJ19" s="16" t="str">
        <f>IF(SUM(JX19:KA19)-KB19&gt;0,SUM(JX19:KA19)-KB19,"")</f>
        <v/>
      </c>
      <c r="KK19" s="16" t="str">
        <f>IF(SUM(KI19:KJ19)&gt;0,SUM(KI19:KJ19),"")</f>
        <v/>
      </c>
      <c r="KL19" s="16" t="str">
        <f>IF(SUM(KC19:KF19)-KG19&gt;0,SUM(KC19:KF19)-KG19,"")</f>
        <v/>
      </c>
      <c r="KM19" s="16" t="str">
        <f>IF(SUM(KK19,KL19)&gt;0,SUM(KK19,KL19),"")</f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>IF(SUM(KP19,KU19)&gt;0,SUM(KP19,KU19),"")</f>
        <v/>
      </c>
      <c r="LD19" s="13" t="str">
        <f>IF(SUM(KN19:KQ19)-KR19&gt;0,SUM(KN19:KQ19)-KR19,"")</f>
        <v/>
      </c>
      <c r="LE19" s="13" t="str">
        <f>IF(SUM(KS19:KV19)-KW19&gt;0,SUM(KS19:KV19)-KW19,"")</f>
        <v/>
      </c>
      <c r="LF19" s="13" t="str">
        <f>IF(SUM(LD19:LE19)&gt;0,SUM(LD19:LE19),"")</f>
        <v/>
      </c>
      <c r="LG19" s="13" t="str">
        <f>IF(SUM(KX19:LA19)-LB19&gt;0,SUM(KX19:LA19)-LB19,"")</f>
        <v/>
      </c>
      <c r="LH19" s="13" t="str">
        <f>IF(SUM(LF19,LG19)&gt;0,SUM(LF19,LG19),"")</f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>IF(SUM(LK19,LP19)&gt;0,SUM(LK19,LP19),"")</f>
        <v/>
      </c>
      <c r="LY19" s="16" t="str">
        <f>IF(SUM(LI19:LL19)-LM19&gt;0,SUM(LI19:LL19)-LM19,"")</f>
        <v/>
      </c>
      <c r="LZ19" s="16" t="str">
        <f>IF(SUM(LN19:LQ19)-LR19&gt;0,SUM(LN19:LQ19)-LR19,"")</f>
        <v/>
      </c>
      <c r="MA19" s="16" t="str">
        <f>IF(SUM(LY19:LZ19)&gt;0,SUM(LY19:LZ19),"")</f>
        <v/>
      </c>
      <c r="MB19" s="16" t="str">
        <f>IF(SUM(LS19:LV19)-LW19&gt;0,SUM(LS19:LV19)-LW19,"")</f>
        <v/>
      </c>
      <c r="MC19" s="16" t="str">
        <f>IF(SUM(MA19,MB19)&gt;0,SUM(MA19,MB19),"")</f>
        <v/>
      </c>
    </row>
    <row r="20" spans="1:341" x14ac:dyDescent="0.2">
      <c r="A20" s="6" t="str">
        <f>IF(AND(F20="P",H20="P"),SUMPRODUCT((F$4:F$24="P")*(H$4:H$24="P")*(E$4:E$24&gt;E20))+1,IF(H20="P",SUMPRODUCT((F$4:F$24="")*(H$4:H$24="P")*(E$4:E$24&gt;E20))+1+SUMPRODUCT((F$4:F$24="P")*(H$4:H$24="P")),""))</f>
        <v/>
      </c>
      <c r="B20" s="7" t="s">
        <v>16</v>
      </c>
      <c r="C20" s="8" t="s">
        <v>12</v>
      </c>
      <c r="D20" s="33">
        <v>1997</v>
      </c>
      <c r="E20" s="17">
        <f>SUM(J20:R20)</f>
        <v>148.41</v>
      </c>
      <c r="F20" s="4" t="str">
        <f>IF(OR(AND($AK20&gt;=$AL$27,NOT($AK20=""),$AJ20=""),AND($BG20&gt;=$BH$27,NOT($BG20=""),$BF20=""),AND($CC20&gt;=$CD$27,NOT($CC20=""),$CB20="")),"P","")</f>
        <v/>
      </c>
      <c r="G20" s="4" t="str">
        <f>IF(OR(AND($AK20&gt;=$AL$28,NOT($AK20=""),$AJ20=""),AND($BG20&gt;=$BH$28,NOT($BG20=""),$BF20=""),AND($CC20&gt;=$CD$28,NOT($CC20=""),$CB20="")),"P","")</f>
        <v/>
      </c>
      <c r="H20" s="4" t="str">
        <f>IF(OR(AND($AN20&gt;=$AL$29,NOT($AN20=""),$AJ20=""),AND($BJ20&gt;=$BH$29,NOT($BJ20=""),$BF20=""),AND($CF20&gt;=$CD$29,NOT($CF20=""),$CB20="")),"P","")</f>
        <v/>
      </c>
      <c r="I20" t="str">
        <f>IF(AND(G20="P",OR(AND($AM20&gt;$AL$32,NOT($AM20=""),$AJ20=""),AND($AO20&gt;$AL$32,NOT($AO20=""),$AJ20=""),AND($BI20&gt;$BH$32,NOT($BI20=""),$BF20=""),AND($BK20&gt;$BH$32,NOT($BK20=""),$BF20=""),AND($CE20&gt;$CD$32,NOT($CE20=""),$CB20=""),AND($CG20&gt;$CD$32,NOT($CG20=""),$CB20=""))),"Merit",IF(AND(G20="P",OR(AND($AN20&gt;$AL$31,NOT($AN20=""),$AJ20=""),AND($BJ20&gt;$BH$31,NOT($BJ20=""),$BF20=""),AND($CF20&gt;$CD$31,NOT($CF20=""),$CB20=""))),"Funding",IF(AND(G20="P",OR(AND($AN20&gt;$AL$30,NOT($AN20=""),$AJ20=""),AND($BJ20&gt;$BH$30,NOT($BJ20=""),$BF20=""),AND($CF20&gt;$CD$30,NOT($CF20=""),$CB20=""))),"Worlds Team",IF(AND(F20="P",OR(AND($AN20&gt;$AL$29,NOT($AN20=""),$AJ20=""),AND($BJ20&gt;$BH$29,NOT($BJ20=""),$BF20=""),AND($CF20&gt;$CD$29,NOT($CF20=""),$CB20=""))),"National Team",""))))</f>
        <v/>
      </c>
      <c r="J20" s="16">
        <f>MAX(AN20,BJ20,CF20)</f>
        <v>98.405000000000001</v>
      </c>
      <c r="K20" s="16" t="str">
        <f>IF(J20=CF20,$BM$1,IF(J20=BJ20,$AQ$1,IF(J20=AN20,$U$1,"")))</f>
        <v>2017 3rd Domestic Trial</v>
      </c>
      <c r="L20" s="16">
        <f>IF($J20=$AN20,MAX(BH20,CD20),IF($J20=$BJ20,MAX(AL20,CD20),MAX(AL20,BH20)))</f>
        <v>0</v>
      </c>
      <c r="M20" s="16" t="str">
        <f>IF(AND(L20=CD20,$K20&lt;&gt;$BM$1),$BM$1,IF(AND(L20=BH20,$K20&lt;&gt;$AQ$1),$AQ$1,IF(AND(L20=AL20,$K20&lt;&gt;$U$1),$U$1,"")))</f>
        <v/>
      </c>
      <c r="N20" s="16">
        <f>IF($J20=$AN20,MAX(BI20,CE20),IF($J20=$BJ20,MAX(AM20,CE20),MAX(AM20,BI20)))</f>
        <v>0</v>
      </c>
      <c r="O20" s="16" t="str">
        <f>IF(AND(N20=CE20,$K20&lt;&gt;$BM$1),$BM$1,IF(AND(N20=BI20,$K20&lt;&gt;$AQ$1),$AQ$1,IF(AND(N20=AM20,$K20&lt;&gt;$U$1),$U$1,"")))</f>
        <v/>
      </c>
      <c r="P20" s="16">
        <f>MAX(AO20,BK20,CG20)</f>
        <v>50.005000000000003</v>
      </c>
      <c r="Q20" s="16" t="str">
        <f>IF(P20=CG20,$BM$1,IF(P20=BK20,$AQ$1,IF(P20=AO20,$U$1,"")))</f>
        <v>2017 3rd Domestic Trial</v>
      </c>
      <c r="R20" s="16" t="str">
        <f>IF(MAX(CI20,CJ20,CK20)&gt;0,MAX(CI20,CJ20,CK20),"")</f>
        <v/>
      </c>
      <c r="S20" s="31" t="str">
        <f>IF(R20="","",IF(R20=CI20,"(Vol 1)",IF(R20=CJ20,"(Vol 2)",IF(R20=CK20,"(Final)"))))</f>
        <v/>
      </c>
      <c r="T20" s="16" t="str">
        <f>IF(R20="","",IF(R20=CI20,IF(R20+L20=LY20,$LI$1,IF(R20+L20=LD20,$KN$1,IF(R20+L20=KI20,$JS$1,IF(R20+L20=JN20,$IX$1,IF(R20+L20=IS20,$IC$1,IF(R20+L20=HX20,$HH$1,IF(R20+L20=HC20,$GM$1,IF(R20+L20=GH20,$FR$1,IF(R20+L20=FM20,$EW$1,IF(R20+L20=ER20,$EB$1,IF(R20+L20=DW20,$DG$1,IF(R20+L20=DB20,$CL$1)))))))))))),IF(R20=CJ20,IF(R20+N20=LZ20,$LI$1,IF(R20+N20=LE20,$KN$1,IF(R20+N20=KJ20,$JS$1,IF(R20+N20=JO20,$IX$1,IF(R20+N20=IT20,$IC$1,IF(R20+N20=HY20,$HH$1,IF(R20+N20=HD20,$GM$1,IF(R20+N20=GI20,$FR$1,IF(R20+N20=FN20,$EW$1,IF(R20+N20=ES20,$EB$1,IF(R20+N20=DX20,$DG$1,IF(R20+N20=DC20,$CL$1)))))))))))),IF(R20=CK20,IF(R20+P20=MB20,$LI$1,IF(R20+P20=LG20,$KN$1,IF(R20+P20=KL20,$JS$1,IF(R20+P20=JQ20,$IX$1,IF(R20+P20=IV20,$IC$1,IF(R20+P20=IA20,$HH$1,IF(R20+P20=HF20,$GM$1,IF(R20+P20=GK20,$FR$1,IF(R20+P20=FP20,$EW$1,IF(R20+P20=EU20,$EB$1,IF(R20+P20=DZ20,$DG$1,IF(R20+P20=DE20,$CL$1))))))))))))))))</f>
        <v/>
      </c>
      <c r="U20" s="81">
        <v>17.600000000000001</v>
      </c>
      <c r="V20" s="81">
        <v>9.3000000000000007</v>
      </c>
      <c r="W20" s="81">
        <v>3.3</v>
      </c>
      <c r="X20" s="81">
        <v>16.715</v>
      </c>
      <c r="Y20" s="81">
        <v>0</v>
      </c>
      <c r="Z20" s="81">
        <v>14.8</v>
      </c>
      <c r="AA20" s="81">
        <v>9.5</v>
      </c>
      <c r="AB20" s="81">
        <v>11.5</v>
      </c>
      <c r="AC20" s="81">
        <v>15.69</v>
      </c>
      <c r="AD20" s="81">
        <v>0</v>
      </c>
      <c r="AE20" s="81">
        <v>13.9</v>
      </c>
      <c r="AF20" s="81">
        <v>8.9</v>
      </c>
      <c r="AG20" s="81">
        <v>12.3</v>
      </c>
      <c r="AH20" s="81">
        <v>15.505000000000001</v>
      </c>
      <c r="AI20" s="81">
        <v>0.6</v>
      </c>
      <c r="AJ20" s="93"/>
      <c r="AK20" s="13">
        <f>IF(SUM(W20,AB20)&gt;0,SUM(W20,AB20),"")</f>
        <v>14.8</v>
      </c>
      <c r="AL20" s="13">
        <f>IF(SUM(U20:X20)-Y20&gt;0,SUM(U20:X20)-Y20,"")</f>
        <v>46.915000000000006</v>
      </c>
      <c r="AM20" s="13">
        <f>IF(SUM(Z20:AC20)-AD20&gt;0,SUM(Z20:AC20)-AD20,"")</f>
        <v>51.489999999999995</v>
      </c>
      <c r="AN20" s="13">
        <f>IF(SUM(AL20:AM20)&gt;0,SUM(AL20:AM20),"")</f>
        <v>98.405000000000001</v>
      </c>
      <c r="AO20" s="13">
        <f>IF(SUM(AE20:AH20)-AI20&gt;0,SUM(AE20:AH20)-AI20,"")</f>
        <v>50.005000000000003</v>
      </c>
      <c r="AP20" s="13">
        <f>IF(SUM(AN20,AO20)&gt;0,SUM(AN20,AO20),"")</f>
        <v>148.41</v>
      </c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94"/>
      <c r="BG20" s="16" t="str">
        <f>IF(SUM(AS20,AX20)&gt;0,SUM(AS20,AX20),"")</f>
        <v/>
      </c>
      <c r="BH20" s="16" t="str">
        <f>IF(SUM(AQ20:AT20)-AU20&gt;0,SUM(AQ20:AT20)-AU20,"")</f>
        <v/>
      </c>
      <c r="BI20" s="16" t="str">
        <f>IF(SUM(AV20:AY20)-AZ20&gt;0,SUM(AV20:AY20)-AZ20,"")</f>
        <v/>
      </c>
      <c r="BJ20" s="16" t="str">
        <f>IF(SUM(BH20:BI20)&gt;0,SUM(BH20:BI20),"")</f>
        <v/>
      </c>
      <c r="BK20" s="16" t="str">
        <f>IF(SUM(BA20:BD20)-BE20&gt;0,SUM(BA20:BD20)-BE20,"")</f>
        <v/>
      </c>
      <c r="BL20" s="16" t="str">
        <f>IF(SUM(BJ20,BK20)&gt;0,SUM(BJ20,BK20),"")</f>
        <v/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>IF(SUM(BO20,BT20)&gt;0,SUM(BO20,BT20),"")</f>
        <v/>
      </c>
      <c r="CD20" s="13" t="str">
        <f>IF(SUM(BM20:BP20)-BQ20&gt;0,SUM(BM20:BP20)-BQ20,"")</f>
        <v/>
      </c>
      <c r="CE20" s="13" t="str">
        <f>IF(SUM(BR20:BU20)-BV20&gt;0,SUM(BR20:BU20)-BV20,"")</f>
        <v/>
      </c>
      <c r="CF20" s="13" t="str">
        <f>IF(SUM(CD20:CE20)&gt;0,SUM(CD20:CE20),"")</f>
        <v/>
      </c>
      <c r="CG20" s="13" t="str">
        <f>IF(SUM(BW20:BZ20)-CA20&gt;0,SUM(BW20:BZ20)-CA20,"")</f>
        <v/>
      </c>
      <c r="CH20" s="13" t="str">
        <f>IF(SUM(CF20,CG20)&gt;0,SUM(CF20,CG20),"")</f>
        <v/>
      </c>
      <c r="CI20" s="30" t="str">
        <f>IF(MAX(DB20,DW20,ER20,FM20,GH20,HC20,HX20,IS20,JN20,KI20,LD20,LY20)-L20&gt;0.001,MAX(DB20,DW20,ER20,FM20,GH20,HC20,HX20,IS20,JN20,KI20,LD20,LY20)-L20,"")</f>
        <v/>
      </c>
      <c r="CJ20" s="30" t="str">
        <f>IF(MAX(DC20,DX20,ES20,FN20,GI20,HD20,HY20,IT20,JO20,KJ20,LE20,LZ20)-N20&gt;0.001,MAX(DC20,DX20,ES20,FN20,GI20,HD20,HY20,IT20,JO20,KJ20,LE20,LZ20)-N20,"")</f>
        <v/>
      </c>
      <c r="CK20" s="30" t="str">
        <f>IF(MAX(DE20,DZ20,EU20,FP20,GK20,HF20,IA20,IV20,JQ20,KL20,LG20,MB20)-P20&gt;0.001,MAX(DE20,DZ20,EU20,FP20,GK20,HF20,IA20,IV20,JQ20,KL20,LG20,MB20)-P20,"")</f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>IF(SUM(CN20,CS20)&gt;0,SUM(CN20,CS20),"")</f>
        <v/>
      </c>
      <c r="DB20" s="13" t="str">
        <f>IF(SUM(CL20:CO20)-CP20&gt;0,SUM(CL20:CO20)-CP20,"")</f>
        <v/>
      </c>
      <c r="DC20" s="13" t="str">
        <f>IF(SUM(CQ20:CT20)-CU20&gt;0,SUM(CQ20:CT20)-CU20,"")</f>
        <v/>
      </c>
      <c r="DD20" s="13" t="str">
        <f>IF(SUM(DB20:DC20)&gt;0,SUM(DB20:DC20),"")</f>
        <v/>
      </c>
      <c r="DE20" s="13" t="str">
        <f>IF(SUM(CV20:CY20)-CZ20&gt;0,SUM(CV20:CY20)-CZ20,"")</f>
        <v/>
      </c>
      <c r="DF20" s="13" t="str">
        <f>IF(SUM(DD20,DE20)&gt;0,SUM(DD20,DE20),"")</f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>IF(SUM(DI20,DN20)&gt;0,SUM(DI20,DN20),"")</f>
        <v/>
      </c>
      <c r="DW20" s="16" t="str">
        <f>IF(SUM(DG20:DJ20)-DK20&gt;0,SUM(DG20:DJ20)-DK20,"")</f>
        <v/>
      </c>
      <c r="DX20" s="16" t="str">
        <f>IF(SUM(DL20:DO20)-DP20&gt;0,SUM(DL20:DO20)-DP20,"")</f>
        <v/>
      </c>
      <c r="DY20" s="16" t="str">
        <f>IF(SUM(DW20:DX20)&gt;0,SUM(DW20:DX20),"")</f>
        <v/>
      </c>
      <c r="DZ20" s="16" t="str">
        <f>IF(SUM(DQ20:DT20)-DU20&gt;0,SUM(DQ20:DT20)-DU20,"")</f>
        <v/>
      </c>
      <c r="EA20" s="16" t="str">
        <f>IF(SUM(DY20,DZ20)&gt;0,SUM(DY20,DZ20),"")</f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>IF(SUM(ED20,EI20)&gt;0,SUM(ED20,EI20),"")</f>
        <v/>
      </c>
      <c r="ER20" s="13" t="str">
        <f>IF(SUM(EB20:EE20)-EF20&gt;0,SUM(EB20:EE20)-EF20,"")</f>
        <v/>
      </c>
      <c r="ES20" s="13" t="str">
        <f>IF(SUM(EG20:EJ20)-EK20&gt;0,SUM(EG20:EJ20)-EK20,"")</f>
        <v/>
      </c>
      <c r="ET20" s="13" t="str">
        <f>IF(SUM(ER20:ES20)&gt;0,SUM(ER20:ES20),"")</f>
        <v/>
      </c>
      <c r="EU20" s="13" t="str">
        <f>IF(SUM(EL20:EO20)-EP20&gt;0,SUM(EL20:EO20)-EP20,"")</f>
        <v/>
      </c>
      <c r="EV20" s="13" t="str">
        <f>IF(SUM(ET20,EU20)&gt;0,SUM(ET20,EU20),"")</f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>IF(SUM(EY20,FD20)&gt;0,SUM(EY20,FD20),"")</f>
        <v/>
      </c>
      <c r="FM20" s="16" t="str">
        <f>IF(SUM(EW20:EZ20)-FA20&gt;0,SUM(EW20:EZ20)-FA20,"")</f>
        <v/>
      </c>
      <c r="FN20" s="16" t="str">
        <f>IF(SUM(FB20:FE20)-FF20&gt;0,SUM(FB20:FE20)-FF20,"")</f>
        <v/>
      </c>
      <c r="FO20" s="16" t="str">
        <f>IF(SUM(FM20:FN20)&gt;0,SUM(FM20:FN20),"")</f>
        <v/>
      </c>
      <c r="FP20" s="16" t="str">
        <f>IF(SUM(FG20:FJ20)-FK20&gt;0,SUM(FG20:FJ20)-FK20,"")</f>
        <v/>
      </c>
      <c r="FQ20" s="16" t="str">
        <f>IF(SUM(FO20,FP20)&gt;0,SUM(FO20,FP20),"")</f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>IF(SUM(FT20,FY20)&gt;0,SUM(FT20,FY20),"")</f>
        <v/>
      </c>
      <c r="GH20" s="13" t="str">
        <f>IF(SUM(FR20:FU20)-FV20&gt;0,SUM(FR20:FU20)-FV20,"")</f>
        <v/>
      </c>
      <c r="GI20" s="13" t="str">
        <f>IF(SUM(FW20:FZ20)-GA20&gt;0,SUM(FW20:FZ20)-GA20,"")</f>
        <v/>
      </c>
      <c r="GJ20" s="13" t="str">
        <f>IF(SUM(GH20:GI20)&gt;0,SUM(GH20:GI20),"")</f>
        <v/>
      </c>
      <c r="GK20" s="13" t="str">
        <f>IF(SUM(GB20:GE20)-GF20&gt;0,SUM(GB20:GE20)-GF20,"")</f>
        <v/>
      </c>
      <c r="GL20" s="13" t="str">
        <f>IF(SUM(GJ20,GK20)&gt;0,SUM(GJ20,GK20),"")</f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>IF(SUM(GO20,GT20)&gt;0,SUM(GO20,GT20),"")</f>
        <v/>
      </c>
      <c r="HC20" s="16" t="str">
        <f>IF(SUM(GM20:GP20)-GQ20&gt;0,SUM(GM20:GP20)-GQ20,"")</f>
        <v/>
      </c>
      <c r="HD20" s="16" t="str">
        <f>IF(SUM(GR20:GU20)-GV20&gt;0,SUM(GR20:GU20)-GV20,"")</f>
        <v/>
      </c>
      <c r="HE20" s="16" t="str">
        <f>IF(SUM(HC20:HD20)&gt;0,SUM(HC20:HD20),"")</f>
        <v/>
      </c>
      <c r="HF20" s="16" t="str">
        <f>IF(SUM(GW20:GZ20)-HA20&gt;0,SUM(GW20:GZ20)-HA20,"")</f>
        <v/>
      </c>
      <c r="HG20" s="16" t="str">
        <f>IF(SUM(HE20,HF20)&gt;0,SUM(HE20,HF20),"")</f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>IF(SUM(HJ20,HO20)&gt;0,SUM(HJ20,HO20),"")</f>
        <v/>
      </c>
      <c r="HX20" s="13" t="str">
        <f>IF(SUM(HH20:HK20)-HL20&gt;0,SUM(HH20:HK20)-HL20,"")</f>
        <v/>
      </c>
      <c r="HY20" s="13" t="str">
        <f>IF(SUM(HM20:HP20)-HQ20&gt;0,SUM(HM20:HP20)-HQ20,"")</f>
        <v/>
      </c>
      <c r="HZ20" s="13" t="str">
        <f>IF(SUM(HX20:HY20)&gt;0,SUM(HX20:HY20),"")</f>
        <v/>
      </c>
      <c r="IA20" s="13" t="str">
        <f>IF(SUM(HR20:HU20)-HV20&gt;0,SUM(HR20:HU20)-HV20,"")</f>
        <v/>
      </c>
      <c r="IB20" s="13" t="str">
        <f>IF(SUM(HZ20,IA20)&gt;0,SUM(HZ20,IA20),"")</f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>IF(SUM(IE20,IJ20)&gt;0,SUM(IE20,IJ20),"")</f>
        <v/>
      </c>
      <c r="IS20" s="16" t="str">
        <f>IF(SUM(IC20:IF20)-IG20&gt;0,SUM(IC20:IF20)-IG20,"")</f>
        <v/>
      </c>
      <c r="IT20" s="16" t="str">
        <f>IF(SUM(IH20:IK20)-IL20&gt;0,SUM(IH20:IK20)-IL20,"")</f>
        <v/>
      </c>
      <c r="IU20" s="16" t="str">
        <f>IF(SUM(IS20:IT20)&gt;0,SUM(IS20:IT20),"")</f>
        <v/>
      </c>
      <c r="IV20" s="16" t="str">
        <f>IF(SUM(IM20:IP20)-IQ20&gt;0,SUM(IM20:IP20)-IQ20,"")</f>
        <v/>
      </c>
      <c r="IW20" s="16" t="str">
        <f>IF(SUM(IU20,IV20)&gt;0,SUM(IU20,IV20),"")</f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>IF(SUM(IZ20,JE20)&gt;0,SUM(IZ20,JE20),"")</f>
        <v/>
      </c>
      <c r="JN20" s="13" t="str">
        <f>IF(SUM(IX20:JA20)-JB20&gt;0,SUM(IX20:JA20)-JB20,"")</f>
        <v/>
      </c>
      <c r="JO20" s="13" t="str">
        <f>IF(SUM(JC20:JF20)-JG20&gt;0,SUM(JC20:JF20)-JG20,"")</f>
        <v/>
      </c>
      <c r="JP20" s="13" t="str">
        <f>IF(SUM(JN20:JO20)&gt;0,SUM(JN20:JO20),"")</f>
        <v/>
      </c>
      <c r="JQ20" s="13" t="str">
        <f>IF(SUM(JH20:JK20)-JL20&gt;0,SUM(JH20:JK20)-JL20,"")</f>
        <v/>
      </c>
      <c r="JR20" s="13" t="str">
        <f>IF(SUM(JP20,JQ20)&gt;0,SUM(JP20,JQ20),"")</f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>IF(SUM(JU20,JZ20)&gt;0,SUM(JU20,JZ20),"")</f>
        <v/>
      </c>
      <c r="KI20" s="16" t="str">
        <f>IF(SUM(JS20:JV20)-JW20&gt;0,SUM(JS20:JV20)-JW20,"")</f>
        <v/>
      </c>
      <c r="KJ20" s="16" t="str">
        <f>IF(SUM(JX20:KA20)-KB20&gt;0,SUM(JX20:KA20)-KB20,"")</f>
        <v/>
      </c>
      <c r="KK20" s="16" t="str">
        <f>IF(SUM(KI20:KJ20)&gt;0,SUM(KI20:KJ20),"")</f>
        <v/>
      </c>
      <c r="KL20" s="16" t="str">
        <f>IF(SUM(KC20:KF20)-KG20&gt;0,SUM(KC20:KF20)-KG20,"")</f>
        <v/>
      </c>
      <c r="KM20" s="16" t="str">
        <f>IF(SUM(KK20,KL20)&gt;0,SUM(KK20,KL20),"")</f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>IF(SUM(KP20,KU20)&gt;0,SUM(KP20,KU20),"")</f>
        <v/>
      </c>
      <c r="LD20" s="13" t="str">
        <f>IF(SUM(KN20:KQ20)-KR20&gt;0,SUM(KN20:KQ20)-KR20,"")</f>
        <v/>
      </c>
      <c r="LE20" s="13" t="str">
        <f>IF(SUM(KS20:KV20)-KW20&gt;0,SUM(KS20:KV20)-KW20,"")</f>
        <v/>
      </c>
      <c r="LF20" s="13" t="str">
        <f>IF(SUM(LD20:LE20)&gt;0,SUM(LD20:LE20),"")</f>
        <v/>
      </c>
      <c r="LG20" s="13" t="str">
        <f>IF(SUM(KX20:LA20)-LB20&gt;0,SUM(KX20:LA20)-LB20,"")</f>
        <v/>
      </c>
      <c r="LH20" s="13" t="str">
        <f>IF(SUM(LF20,LG20)&gt;0,SUM(LF20,LG20),"")</f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>IF(SUM(LK20,LP20)&gt;0,SUM(LK20,LP20),"")</f>
        <v/>
      </c>
      <c r="LY20" s="16" t="str">
        <f>IF(SUM(LI20:LL20)-LM20&gt;0,SUM(LI20:LL20)-LM20,"")</f>
        <v/>
      </c>
      <c r="LZ20" s="16" t="str">
        <f>IF(SUM(LN20:LQ20)-LR20&gt;0,SUM(LN20:LQ20)-LR20,"")</f>
        <v/>
      </c>
      <c r="MA20" s="16" t="str">
        <f>IF(SUM(LY20:LZ20)&gt;0,SUM(LY20:LZ20),"")</f>
        <v/>
      </c>
      <c r="MB20" s="16" t="str">
        <f>IF(SUM(LS20:LV20)-LW20&gt;0,SUM(LS20:LV20)-LW20,"")</f>
        <v/>
      </c>
      <c r="MC20" s="16" t="str">
        <f>IF(SUM(MA20,MB20)&gt;0,SUM(MA20,MB20),"")</f>
        <v/>
      </c>
    </row>
    <row r="21" spans="1:341" x14ac:dyDescent="0.2">
      <c r="A21" s="6" t="str">
        <f>IF(AND(F21="P",H21="P"),SUMPRODUCT((F$4:F$24="P")*(H$4:H$24="P")*(E$4:E$24&gt;E21))+1,IF(H21="P",SUMPRODUCT((F$4:F$24="")*(H$4:H$24="P")*(E$4:E$24&gt;E21))+1+SUMPRODUCT((F$4:F$24="P")*(H$4:H$24="P")),""))</f>
        <v/>
      </c>
      <c r="B21" s="7" t="s">
        <v>140</v>
      </c>
      <c r="C21" s="8" t="s">
        <v>3</v>
      </c>
      <c r="D21" s="33">
        <v>1999</v>
      </c>
      <c r="E21" s="17">
        <f>SUM(J21:R21)</f>
        <v>134.97</v>
      </c>
      <c r="F21" s="4" t="str">
        <f>IF(OR(AND($AK21&gt;=$AL$27,NOT($AK21=""),$AJ21=""),AND($BG21&gt;=$BH$27,NOT($BG21=""),$BF21=""),AND($CC21&gt;=$CD$27,NOT($CC21=""),$CB21="")),"P","")</f>
        <v/>
      </c>
      <c r="G21" s="4" t="str">
        <f>IF(OR(AND($AK21&gt;=$AL$28,NOT($AK21=""),$AJ21=""),AND($BG21&gt;=$BH$28,NOT($BG21=""),$BF21=""),AND($CC21&gt;=$CD$28,NOT($CC21=""),$CB21="")),"P","")</f>
        <v/>
      </c>
      <c r="H21" s="4" t="str">
        <f>IF(OR(AND($AN21&gt;=$AL$29,NOT($AN21=""),$AJ21=""),AND($BJ21&gt;=$BH$29,NOT($BJ21=""),$BF21=""),AND($CF21&gt;=$CD$29,NOT($CF21=""),$CB21="")),"P","")</f>
        <v/>
      </c>
      <c r="I21" t="str">
        <f>IF(AND(G21="P",OR(AND($AM21&gt;$AL$32,NOT($AM21=""),$AJ21=""),AND($AO21&gt;$AL$32,NOT($AO21=""),$AJ21=""),AND($BI21&gt;$BH$32,NOT($BI21=""),$BF21=""),AND($BK21&gt;$BH$32,NOT($BK21=""),$BF21=""),AND($CE21&gt;$CD$32,NOT($CE21=""),$CB21=""),AND($CG21&gt;$CD$32,NOT($CG21=""),$CB21=""))),"Merit",IF(AND(G21="P",OR(AND($AN21&gt;$AL$31,NOT($AN21=""),$AJ21=""),AND($BJ21&gt;$BH$31,NOT($BJ21=""),$BF21=""),AND($CF21&gt;$CD$31,NOT($CF21=""),$CB21=""))),"Funding",IF(AND(G21="P",OR(AND($AN21&gt;$AL$30,NOT($AN21=""),$AJ21=""),AND($BJ21&gt;$BH$30,NOT($BJ21=""),$BF21=""),AND($CF21&gt;$CD$30,NOT($CF21=""),$CB21=""))),"Worlds Team",IF(AND(F21="P",OR(AND($AN21&gt;$AL$29,NOT($AN21=""),$AJ21=""),AND($BJ21&gt;$BH$29,NOT($BJ21=""),$BF21=""),AND($CF21&gt;$CD$29,NOT($CF21=""),$CB21=""))),"National Team",""))))</f>
        <v/>
      </c>
      <c r="J21" s="16">
        <f>MAX(AN21,BJ21,CF21)</f>
        <v>99.515000000000001</v>
      </c>
      <c r="K21" s="16" t="str">
        <f>IF(J21=CF21,$BM$1,IF(J21=BJ21,$AQ$1,IF(J21=AN21,$U$1,"")))</f>
        <v>2018 Nationals</v>
      </c>
      <c r="L21" s="16">
        <f>IF($J21=$AN21,MAX(BH21,CD21),IF($J21=$BJ21,MAX(AL21,CD21),MAX(AL21,BH21)))</f>
        <v>0</v>
      </c>
      <c r="M21" s="16" t="str">
        <f>IF(AND(L21=CD21,$K21&lt;&gt;$BM$1),$BM$1,IF(AND(L21=BH21,$K21&lt;&gt;$AQ$1),$AQ$1,IF(AND(L21=AL21,$K21&lt;&gt;$U$1),$U$1,"")))</f>
        <v/>
      </c>
      <c r="N21" s="16">
        <f>IF($J21=$AN21,MAX(BI21,CE21),IF($J21=$BJ21,MAX(AM21,CE21),MAX(AM21,BI21)))</f>
        <v>0</v>
      </c>
      <c r="O21" s="16" t="str">
        <f>IF(AND(N21=CE21,$K21&lt;&gt;$BM$1),$BM$1,IF(AND(N21=BI21,$K21&lt;&gt;$AQ$1),$AQ$1,IF(AND(N21=AM21,$K21&lt;&gt;$U$1),$U$1,"")))</f>
        <v/>
      </c>
      <c r="P21" s="16">
        <f>MAX(AO21,BK21,CG21)</f>
        <v>35.454999999999998</v>
      </c>
      <c r="Q21" s="16" t="str">
        <f>IF(P21=CG21,$BM$1,IF(P21=BK21,$AQ$1,IF(P21=AO21,$U$1,"")))</f>
        <v>2018 Nationals</v>
      </c>
      <c r="R21" s="16" t="str">
        <f>IF(MAX(CI21,CJ21,CK21)&gt;0,MAX(CI21,CJ21,CK21),"")</f>
        <v/>
      </c>
      <c r="S21" s="31" t="str">
        <f>IF(R21="","",IF(R21=CI21,"(Vol 1)",IF(R21=CJ21,"(Vol 2)",IF(R21=CK21,"(Final)"))))</f>
        <v/>
      </c>
      <c r="T21" s="16" t="str">
        <f>IF(R21="","",IF(R21=CI21,IF(R21+L21=LY21,$LI$1,IF(R21+L21=LD21,$KN$1,IF(R21+L21=KI21,$JS$1,IF(R21+L21=JN21,$IX$1,IF(R21+L21=IS21,$IC$1,IF(R21+L21=HX21,$HH$1,IF(R21+L21=HC21,$GM$1,IF(R21+L21=GH21,$FR$1,IF(R21+L21=FM21,$EW$1,IF(R21+L21=ER21,$EB$1,IF(R21+L21=DW21,$DG$1,IF(R21+L21=DB21,$CL$1)))))))))))),IF(R21=CJ21,IF(R21+N21=LZ21,$LI$1,IF(R21+N21=LE21,$KN$1,IF(R21+N21=KJ21,$JS$1,IF(R21+N21=JO21,$IX$1,IF(R21+N21=IT21,$IC$1,IF(R21+N21=HY21,$HH$1,IF(R21+N21=HD21,$GM$1,IF(R21+N21=GI21,$FR$1,IF(R21+N21=FN21,$EW$1,IF(R21+N21=ES21,$EB$1,IF(R21+N21=DX21,$DG$1,IF(R21+N21=DC21,$CL$1)))))))))))),IF(R21=CK21,IF(R21+P21=MB21,$LI$1,IF(R21+P21=LG21,$KN$1,IF(R21+P21=KL21,$JS$1,IF(R21+P21=JQ21,$IX$1,IF(R21+P21=IV21,$IC$1,IF(R21+P21=IA21,$HH$1,IF(R21+P21=HF21,$GM$1,IF(R21+P21=GK21,$FR$1,IF(R21+P21=FP21,$EW$1,IF(R21+P21=EU21,$EB$1,IF(R21+P21=DZ21,$DG$1,IF(R21+P21=DE21,$CL$1))))))))))))))))</f>
        <v/>
      </c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93"/>
      <c r="AK21" s="13" t="str">
        <f>IF(SUM(W21,AB21)&gt;0,SUM(W21,AB21),"")</f>
        <v/>
      </c>
      <c r="AL21" s="13" t="str">
        <f>IF(SUM(U21:X21)-Y21&gt;0,SUM(U21:X21)-Y21,"")</f>
        <v/>
      </c>
      <c r="AM21" s="13" t="str">
        <f>IF(SUM(Z21:AC21)-AD21&gt;0,SUM(Z21:AC21)-AD21,"")</f>
        <v/>
      </c>
      <c r="AN21" s="13" t="str">
        <f>IF(SUM(AL21:AM21)&gt;0,SUM(AL21:AM21),"")</f>
        <v/>
      </c>
      <c r="AO21" s="13" t="str">
        <f>IF(SUM(AE21:AH21)-AI21&gt;0,SUM(AE21:AH21)-AI21,"")</f>
        <v/>
      </c>
      <c r="AP21" s="13" t="str">
        <f>IF(SUM(AN21,AO21)&gt;0,SUM(AN21,AO21),"")</f>
        <v/>
      </c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94"/>
      <c r="BG21" s="16" t="str">
        <f>IF(SUM(AS21,AX21)&gt;0,SUM(AS21,AX21),"")</f>
        <v/>
      </c>
      <c r="BH21" s="16" t="str">
        <f>IF(SUM(AQ21:AT21)-AU21&gt;0,SUM(AQ21:AT21)-AU21,"")</f>
        <v/>
      </c>
      <c r="BI21" s="16" t="str">
        <f>IF(SUM(AV21:AY21)-AZ21&gt;0,SUM(AV21:AY21)-AZ21,"")</f>
        <v/>
      </c>
      <c r="BJ21" s="16" t="str">
        <f>IF(SUM(BH21:BI21)&gt;0,SUM(BH21:BI21),"")</f>
        <v/>
      </c>
      <c r="BK21" s="16" t="str">
        <f>IF(SUM(BA21:BD21)-BE21&gt;0,SUM(BA21:BD21)-BE21,"")</f>
        <v/>
      </c>
      <c r="BL21" s="16" t="str">
        <f>IF(SUM(BJ21,BK21)&gt;0,SUM(BJ21,BK21),"")</f>
        <v/>
      </c>
      <c r="BM21" s="47">
        <v>16.399999999999999</v>
      </c>
      <c r="BN21" s="47">
        <v>8.65</v>
      </c>
      <c r="BO21" s="47">
        <v>5.2</v>
      </c>
      <c r="BP21" s="47">
        <v>16.704999999999998</v>
      </c>
      <c r="BQ21" s="47">
        <v>0</v>
      </c>
      <c r="BR21" s="47">
        <v>14.2</v>
      </c>
      <c r="BS21" s="47">
        <v>8.25</v>
      </c>
      <c r="BT21" s="47">
        <v>14.4</v>
      </c>
      <c r="BU21" s="47">
        <v>15.71</v>
      </c>
      <c r="BV21" s="47">
        <v>0</v>
      </c>
      <c r="BW21" s="47">
        <v>8.3000000000000007</v>
      </c>
      <c r="BX21" s="47">
        <v>6</v>
      </c>
      <c r="BY21" s="47">
        <v>10.3</v>
      </c>
      <c r="BZ21" s="47">
        <v>10.855</v>
      </c>
      <c r="CA21" s="47">
        <v>0</v>
      </c>
      <c r="CB21" s="93"/>
      <c r="CC21" s="13">
        <f>IF(SUM(BO21,BT21)&gt;0,SUM(BO21,BT21),"")</f>
        <v>19.600000000000001</v>
      </c>
      <c r="CD21" s="13">
        <f>IF(SUM(BM21:BP21)-BQ21&gt;0,SUM(BM21:BP21)-BQ21,"")</f>
        <v>46.954999999999998</v>
      </c>
      <c r="CE21" s="13">
        <f>IF(SUM(BR21:BU21)-BV21&gt;0,SUM(BR21:BU21)-BV21,"")</f>
        <v>52.56</v>
      </c>
      <c r="CF21" s="13">
        <f>IF(SUM(CD21:CE21)&gt;0,SUM(CD21:CE21),"")</f>
        <v>99.515000000000001</v>
      </c>
      <c r="CG21" s="13">
        <f>IF(SUM(BW21:BZ21)-CA21&gt;0,SUM(BW21:BZ21)-CA21,"")</f>
        <v>35.454999999999998</v>
      </c>
      <c r="CH21" s="13">
        <f>IF(SUM(CF21,CG21)&gt;0,SUM(CF21,CG21),"")</f>
        <v>134.97</v>
      </c>
      <c r="CI21" s="30" t="str">
        <f>IF(MAX(DB21,DW21,ER21,FM21,GH21,HC21,HX21,IS21,JN21,KI21,LD21,LY21)-L21&gt;0.001,MAX(DB21,DW21,ER21,FM21,GH21,HC21,HX21,IS21,JN21,KI21,LD21,LY21)-L21,"")</f>
        <v/>
      </c>
      <c r="CJ21" s="30" t="str">
        <f>IF(MAX(DC21,DX21,ES21,FN21,GI21,HD21,HY21,IT21,JO21,KJ21,LE21,LZ21)-N21&gt;0.001,MAX(DC21,DX21,ES21,FN21,GI21,HD21,HY21,IT21,JO21,KJ21,LE21,LZ21)-N21,"")</f>
        <v/>
      </c>
      <c r="CK21" s="30" t="str">
        <f>IF(MAX(DE21,DZ21,EU21,FP21,GK21,HF21,IA21,IV21,JQ21,KL21,LG21,MB21)-P21&gt;0.001,MAX(DE21,DZ21,EU21,FP21,GK21,HF21,IA21,IV21,JQ21,KL21,LG21,MB21)-P21,"")</f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>IF(SUM(CN21,CS21)&gt;0,SUM(CN21,CS21),"")</f>
        <v/>
      </c>
      <c r="DB21" s="13" t="str">
        <f>IF(SUM(CL21:CO21)-CP21&gt;0,SUM(CL21:CO21)-CP21,"")</f>
        <v/>
      </c>
      <c r="DC21" s="13" t="str">
        <f>IF(SUM(CQ21:CT21)-CU21&gt;0,SUM(CQ21:CT21)-CU21,"")</f>
        <v/>
      </c>
      <c r="DD21" s="13" t="str">
        <f>IF(SUM(DB21:DC21)&gt;0,SUM(DB21:DC21),"")</f>
        <v/>
      </c>
      <c r="DE21" s="13" t="str">
        <f>IF(SUM(CV21:CY21)-CZ21&gt;0,SUM(CV21:CY21)-CZ21,"")</f>
        <v/>
      </c>
      <c r="DF21" s="13" t="str">
        <f>IF(SUM(DD21,DE21)&gt;0,SUM(DD21,DE21),"")</f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>IF(SUM(DI21,DN21)&gt;0,SUM(DI21,DN21),"")</f>
        <v/>
      </c>
      <c r="DW21" s="16" t="str">
        <f>IF(SUM(DG21:DJ21)-DK21&gt;0,SUM(DG21:DJ21)-DK21,"")</f>
        <v/>
      </c>
      <c r="DX21" s="16" t="str">
        <f>IF(SUM(DL21:DO21)-DP21&gt;0,SUM(DL21:DO21)-DP21,"")</f>
        <v/>
      </c>
      <c r="DY21" s="16" t="str">
        <f>IF(SUM(DW21:DX21)&gt;0,SUM(DW21:DX21),"")</f>
        <v/>
      </c>
      <c r="DZ21" s="16" t="str">
        <f>IF(SUM(DQ21:DT21)-DU21&gt;0,SUM(DQ21:DT21)-DU21,"")</f>
        <v/>
      </c>
      <c r="EA21" s="16" t="str">
        <f>IF(SUM(DY21,DZ21)&gt;0,SUM(DY21,DZ21),"")</f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>IF(SUM(ED21,EI21)&gt;0,SUM(ED21,EI21),"")</f>
        <v/>
      </c>
      <c r="ER21" s="13" t="str">
        <f>IF(SUM(EB21:EE21)-EF21&gt;0,SUM(EB21:EE21)-EF21,"")</f>
        <v/>
      </c>
      <c r="ES21" s="13" t="str">
        <f>IF(SUM(EG21:EJ21)-EK21&gt;0,SUM(EG21:EJ21)-EK21,"")</f>
        <v/>
      </c>
      <c r="ET21" s="13" t="str">
        <f>IF(SUM(ER21:ES21)&gt;0,SUM(ER21:ES21),"")</f>
        <v/>
      </c>
      <c r="EU21" s="13" t="str">
        <f>IF(SUM(EL21:EO21)-EP21&gt;0,SUM(EL21:EO21)-EP21,"")</f>
        <v/>
      </c>
      <c r="EV21" s="13" t="str">
        <f>IF(SUM(ET21,EU21)&gt;0,SUM(ET21,EU21),"")</f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>IF(SUM(EY21,FD21)&gt;0,SUM(EY21,FD21),"")</f>
        <v/>
      </c>
      <c r="FM21" s="16" t="str">
        <f>IF(SUM(EW21:EZ21)-FA21&gt;0,SUM(EW21:EZ21)-FA21,"")</f>
        <v/>
      </c>
      <c r="FN21" s="16" t="str">
        <f>IF(SUM(FB21:FE21)-FF21&gt;0,SUM(FB21:FE21)-FF21,"")</f>
        <v/>
      </c>
      <c r="FO21" s="16" t="str">
        <f>IF(SUM(FM21:FN21)&gt;0,SUM(FM21:FN21),"")</f>
        <v/>
      </c>
      <c r="FP21" s="16" t="str">
        <f>IF(SUM(FG21:FJ21)-FK21&gt;0,SUM(FG21:FJ21)-FK21,"")</f>
        <v/>
      </c>
      <c r="FQ21" s="16" t="str">
        <f>IF(SUM(FO21,FP21)&gt;0,SUM(FO21,FP21),"")</f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>IF(SUM(FT21,FY21)&gt;0,SUM(FT21,FY21),"")</f>
        <v/>
      </c>
      <c r="GH21" s="13" t="str">
        <f>IF(SUM(FR21:FU21)-FV21&gt;0,SUM(FR21:FU21)-FV21,"")</f>
        <v/>
      </c>
      <c r="GI21" s="13" t="str">
        <f>IF(SUM(FW21:FZ21)-GA21&gt;0,SUM(FW21:FZ21)-GA21,"")</f>
        <v/>
      </c>
      <c r="GJ21" s="13" t="str">
        <f>IF(SUM(GH21:GI21)&gt;0,SUM(GH21:GI21),"")</f>
        <v/>
      </c>
      <c r="GK21" s="13" t="str">
        <f>IF(SUM(GB21:GE21)-GF21&gt;0,SUM(GB21:GE21)-GF21,"")</f>
        <v/>
      </c>
      <c r="GL21" s="13" t="str">
        <f>IF(SUM(GJ21,GK21)&gt;0,SUM(GJ21,GK21),"")</f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>IF(SUM(GO21,GT21)&gt;0,SUM(GO21,GT21),"")</f>
        <v/>
      </c>
      <c r="HC21" s="16" t="str">
        <f>IF(SUM(GM21:GP21)-GQ21&gt;0,SUM(GM21:GP21)-GQ21,"")</f>
        <v/>
      </c>
      <c r="HD21" s="16" t="str">
        <f>IF(SUM(GR21:GU21)-GV21&gt;0,SUM(GR21:GU21)-GV21,"")</f>
        <v/>
      </c>
      <c r="HE21" s="16" t="str">
        <f>IF(SUM(HC21:HD21)&gt;0,SUM(HC21:HD21),"")</f>
        <v/>
      </c>
      <c r="HF21" s="16" t="str">
        <f>IF(SUM(GW21:GZ21)-HA21&gt;0,SUM(GW21:GZ21)-HA21,"")</f>
        <v/>
      </c>
      <c r="HG21" s="16" t="str">
        <f>IF(SUM(HE21,HF21)&gt;0,SUM(HE21,HF21),"")</f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>IF(SUM(HJ21,HO21)&gt;0,SUM(HJ21,HO21),"")</f>
        <v/>
      </c>
      <c r="HX21" s="13" t="str">
        <f>IF(SUM(HH21:HK21)-HL21&gt;0,SUM(HH21:HK21)-HL21,"")</f>
        <v/>
      </c>
      <c r="HY21" s="13" t="str">
        <f>IF(SUM(HM21:HP21)-HQ21&gt;0,SUM(HM21:HP21)-HQ21,"")</f>
        <v/>
      </c>
      <c r="HZ21" s="13" t="str">
        <f>IF(SUM(HX21:HY21)&gt;0,SUM(HX21:HY21),"")</f>
        <v/>
      </c>
      <c r="IA21" s="13" t="str">
        <f>IF(SUM(HR21:HU21)-HV21&gt;0,SUM(HR21:HU21)-HV21,"")</f>
        <v/>
      </c>
      <c r="IB21" s="13" t="str">
        <f>IF(SUM(HZ21,IA21)&gt;0,SUM(HZ21,IA21),"")</f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>IF(SUM(IE21,IJ21)&gt;0,SUM(IE21,IJ21),"")</f>
        <v/>
      </c>
      <c r="IS21" s="16" t="str">
        <f>IF(SUM(IC21:IF21)-IG21&gt;0,SUM(IC21:IF21)-IG21,"")</f>
        <v/>
      </c>
      <c r="IT21" s="16" t="str">
        <f>IF(SUM(IH21:IK21)-IL21&gt;0,SUM(IH21:IK21)-IL21,"")</f>
        <v/>
      </c>
      <c r="IU21" s="16" t="str">
        <f>IF(SUM(IS21:IT21)&gt;0,SUM(IS21:IT21),"")</f>
        <v/>
      </c>
      <c r="IV21" s="16" t="str">
        <f>IF(SUM(IM21:IP21)-IQ21&gt;0,SUM(IM21:IP21)-IQ21,"")</f>
        <v/>
      </c>
      <c r="IW21" s="16" t="str">
        <f>IF(SUM(IU21,IV21)&gt;0,SUM(IU21,IV21),"")</f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>IF(SUM(IZ21,JE21)&gt;0,SUM(IZ21,JE21),"")</f>
        <v/>
      </c>
      <c r="JN21" s="13" t="str">
        <f>IF(SUM(IX21:JA21)-JB21&gt;0,SUM(IX21:JA21)-JB21,"")</f>
        <v/>
      </c>
      <c r="JO21" s="13" t="str">
        <f>IF(SUM(JC21:JF21)-JG21&gt;0,SUM(JC21:JF21)-JG21,"")</f>
        <v/>
      </c>
      <c r="JP21" s="13" t="str">
        <f>IF(SUM(JN21:JO21)&gt;0,SUM(JN21:JO21),"")</f>
        <v/>
      </c>
      <c r="JQ21" s="13" t="str">
        <f>IF(SUM(JH21:JK21)-JL21&gt;0,SUM(JH21:JK21)-JL21,"")</f>
        <v/>
      </c>
      <c r="JR21" s="13" t="str">
        <f>IF(SUM(JP21,JQ21)&gt;0,SUM(JP21,JQ21),"")</f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>IF(SUM(JU21,JZ21)&gt;0,SUM(JU21,JZ21),"")</f>
        <v/>
      </c>
      <c r="KI21" s="16" t="str">
        <f>IF(SUM(JS21:JV21)-JW21&gt;0,SUM(JS21:JV21)-JW21,"")</f>
        <v/>
      </c>
      <c r="KJ21" s="16" t="str">
        <f>IF(SUM(JX21:KA21)-KB21&gt;0,SUM(JX21:KA21)-KB21,"")</f>
        <v/>
      </c>
      <c r="KK21" s="16" t="str">
        <f>IF(SUM(KI21:KJ21)&gt;0,SUM(KI21:KJ21),"")</f>
        <v/>
      </c>
      <c r="KL21" s="16" t="str">
        <f>IF(SUM(KC21:KF21)-KG21&gt;0,SUM(KC21:KF21)-KG21,"")</f>
        <v/>
      </c>
      <c r="KM21" s="16" t="str">
        <f>IF(SUM(KK21,KL21)&gt;0,SUM(KK21,KL21),"")</f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>IF(SUM(KP21,KU21)&gt;0,SUM(KP21,KU21),"")</f>
        <v/>
      </c>
      <c r="LD21" s="13" t="str">
        <f>IF(SUM(KN21:KQ21)-KR21&gt;0,SUM(KN21:KQ21)-KR21,"")</f>
        <v/>
      </c>
      <c r="LE21" s="13" t="str">
        <f>IF(SUM(KS21:KV21)-KW21&gt;0,SUM(KS21:KV21)-KW21,"")</f>
        <v/>
      </c>
      <c r="LF21" s="13" t="str">
        <f>IF(SUM(LD21:LE21)&gt;0,SUM(LD21:LE21),"")</f>
        <v/>
      </c>
      <c r="LG21" s="13" t="str">
        <f>IF(SUM(KX21:LA21)-LB21&gt;0,SUM(KX21:LA21)-LB21,"")</f>
        <v/>
      </c>
      <c r="LH21" s="13" t="str">
        <f>IF(SUM(LF21,LG21)&gt;0,SUM(LF21,LG21),"")</f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>IF(SUM(LK21,LP21)&gt;0,SUM(LK21,LP21),"")</f>
        <v/>
      </c>
      <c r="LY21" s="16" t="str">
        <f>IF(SUM(LI21:LL21)-LM21&gt;0,SUM(LI21:LL21)-LM21,"")</f>
        <v/>
      </c>
      <c r="LZ21" s="16" t="str">
        <f>IF(SUM(LN21:LQ21)-LR21&gt;0,SUM(LN21:LQ21)-LR21,"")</f>
        <v/>
      </c>
      <c r="MA21" s="16" t="str">
        <f>IF(SUM(LY21:LZ21)&gt;0,SUM(LY21:LZ21),"")</f>
        <v/>
      </c>
      <c r="MB21" s="16" t="str">
        <f>IF(SUM(LS21:LV21)-LW21&gt;0,SUM(LS21:LV21)-LW21,"")</f>
        <v/>
      </c>
      <c r="MC21" s="16" t="str">
        <f>IF(SUM(MA21,MB21)&gt;0,SUM(MA21,MB21),"")</f>
        <v/>
      </c>
    </row>
    <row r="22" spans="1:341" x14ac:dyDescent="0.2">
      <c r="A22" s="6" t="str">
        <f>IF(AND(F22="P",H22="P"),SUMPRODUCT((F$4:F$24="P")*(H$4:H$24="P")*(E$4:E$24&gt;E22))+1,IF(H22="P",SUMPRODUCT((F$4:F$24="")*(H$4:H$24="P")*(E$4:E$24&gt;E22))+1+SUMPRODUCT((F$4:F$24="P")*(H$4:H$24="P")),""))</f>
        <v/>
      </c>
      <c r="B22" s="7" t="s">
        <v>14</v>
      </c>
      <c r="C22" s="8" t="s">
        <v>12</v>
      </c>
      <c r="D22" s="6">
        <v>1997</v>
      </c>
      <c r="E22" s="17">
        <f>SUM(J22:R22)</f>
        <v>122.655</v>
      </c>
      <c r="F22" s="4" t="str">
        <f>IF(OR(AND($AK22&gt;=$AL$27,NOT($AK22=""),$AJ22=""),AND($BG22&gt;=$BH$27,NOT($BG22=""),$BF22=""),AND($CC22&gt;=$CD$27,NOT($CC22=""),$CB22="")),"P","")</f>
        <v/>
      </c>
      <c r="G22" s="4" t="str">
        <f>IF(OR(AND($AK22&gt;=$AL$28,NOT($AK22=""),$AJ22=""),AND($BG22&gt;=$BH$28,NOT($BG22=""),$BF22=""),AND($CC22&gt;=$CD$28,NOT($CC22=""),$CB22="")),"P","")</f>
        <v/>
      </c>
      <c r="H22" s="4" t="str">
        <f>IF(OR(AND($AN22&gt;=$AL$29,NOT($AN22=""),$AJ22=""),AND($BJ22&gt;=$BH$29,NOT($BJ22=""),$BF22=""),AND($CF22&gt;=$CD$29,NOT($CF22=""),$CB22="")),"P","")</f>
        <v/>
      </c>
      <c r="I22" t="str">
        <f>IF(AND(G22="P",OR(AND($AM22&gt;$AL$32,NOT($AM22=""),$AJ22=""),AND($AO22&gt;$AL$32,NOT($AO22=""),$AJ22=""),AND($BI22&gt;$BH$32,NOT($BI22=""),$BF22=""),AND($BK22&gt;$BH$32,NOT($BK22=""),$BF22=""),AND($CE22&gt;$CD$32,NOT($CE22=""),$CB22=""),AND($CG22&gt;$CD$32,NOT($CG22=""),$CB22=""))),"Merit",IF(AND(G22="P",OR(AND($AN22&gt;$AL$31,NOT($AN22=""),$AJ22=""),AND($BJ22&gt;$BH$31,NOT($BJ22=""),$BF22=""),AND($CF22&gt;$CD$31,NOT($CF22=""),$CB22=""))),"Funding",IF(AND(G22="P",OR(AND($AN22&gt;$AL$30,NOT($AN22=""),$AJ22=""),AND($BJ22&gt;$BH$30,NOT($BJ22=""),$BF22=""),AND($CF22&gt;$CD$30,NOT($CF22=""),$CB22=""))),"Worlds Team",IF(AND(F22="P",OR(AND($AN22&gt;$AL$29,NOT($AN22=""),$AJ22=""),AND($BJ22&gt;$BH$29,NOT($BJ22=""),$BF22=""),AND($CF22&gt;$CD$29,NOT($CF22=""),$CB22=""))),"National Team",""))))</f>
        <v/>
      </c>
      <c r="J22" s="16">
        <f>MAX(AN22,BJ22,CF22)</f>
        <v>78.490000000000009</v>
      </c>
      <c r="K22" s="16" t="str">
        <f>IF(J22=CF22,$BM$1,IF(J22=BJ22,$AQ$1,IF(J22=AN22,$U$1,"")))</f>
        <v>2018 Nationals</v>
      </c>
      <c r="L22" s="16">
        <f>IF($J22=$AN22,MAX(BH22,CD22),IF($J22=$BJ22,MAX(AL22,CD22),MAX(AL22,BH22)))</f>
        <v>44.164999999999999</v>
      </c>
      <c r="M22" s="16" t="str">
        <f>IF(AND(L22=CD22,$K22&lt;&gt;$BM$1),$BM$1,IF(AND(L22=BH22,$K22&lt;&gt;$AQ$1),$AQ$1,IF(AND(L22=AL22,$K22&lt;&gt;$U$1),$U$1,"")))</f>
        <v>2018 Canada Cup</v>
      </c>
      <c r="N22" s="16">
        <f>IF($J22=$AN22,MAX(BI22,CE22),IF($J22=$BJ22,MAX(AM22,CE22),MAX(AM22,BI22)))</f>
        <v>0</v>
      </c>
      <c r="O22" s="16" t="str">
        <f>IF(AND(N22=CE22,$K22&lt;&gt;$BM$1),$BM$1,IF(AND(N22=BI22,$K22&lt;&gt;$AQ$1),$AQ$1,IF(AND(N22=AM22,$K22&lt;&gt;$U$1),$U$1,"")))</f>
        <v/>
      </c>
      <c r="P22" s="16">
        <f>MAX(AO22,BK22,CG22)</f>
        <v>0</v>
      </c>
      <c r="Q22" s="16" t="str">
        <f>IF(P22=CG22,$BM$1,IF(P22=BK22,$AQ$1,IF(P22=AO22,$U$1,"")))</f>
        <v/>
      </c>
      <c r="R22" s="16" t="str">
        <f>IF(MAX(CI22,CJ22,CK22)&gt;0,MAX(CI22,CJ22,CK22),"")</f>
        <v/>
      </c>
      <c r="S22" s="31" t="str">
        <f>IF(R22="","",IF(R22=CI22,"(Vol 1)",IF(R22=CJ22,"(Vol 2)",IF(R22=CK22,"(Final)"))))</f>
        <v/>
      </c>
      <c r="T22" s="16" t="str">
        <f>IF(R22="","",IF(R22=CI22,IF(R22+L22=LY22,$LI$1,IF(R22+L22=LD22,$KN$1,IF(R22+L22=KI22,$JS$1,IF(R22+L22=JN22,$IX$1,IF(R22+L22=IS22,$IC$1,IF(R22+L22=HX22,$HH$1,IF(R22+L22=HC22,$GM$1,IF(R22+L22=GH22,$FR$1,IF(R22+L22=FM22,$EW$1,IF(R22+L22=ER22,$EB$1,IF(R22+L22=DW22,$DG$1,IF(R22+L22=DB22,$CL$1)))))))))))),IF(R22=CJ22,IF(R22+N22=LZ22,$LI$1,IF(R22+N22=LE22,$KN$1,IF(R22+N22=KJ22,$JS$1,IF(R22+N22=JO22,$IX$1,IF(R22+N22=IT22,$IC$1,IF(R22+N22=HY22,$HH$1,IF(R22+N22=HD22,$GM$1,IF(R22+N22=GI22,$FR$1,IF(R22+N22=FN22,$EW$1,IF(R22+N22=ES22,$EB$1,IF(R22+N22=DX22,$DG$1,IF(R22+N22=DC22,$CL$1)))))))))))),IF(R22=CK22,IF(R22+P22=MB22,$LI$1,IF(R22+P22=LG22,$KN$1,IF(R22+P22=KL22,$JS$1,IF(R22+P22=JQ22,$IX$1,IF(R22+P22=IV22,$IC$1,IF(R22+P22=IA22,$HH$1,IF(R22+P22=HF22,$GM$1,IF(R22+P22=GK22,$FR$1,IF(R22+P22=FP22,$EW$1,IF(R22+P22=EU22,$EB$1,IF(R22+P22=DZ22,$DG$1,IF(R22+P22=DE22,$CL$1))))))))))))))))</f>
        <v/>
      </c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93"/>
      <c r="AK22" s="13" t="str">
        <f>IF(SUM(W22,AB22)&gt;0,SUM(W22,AB22),"")</f>
        <v/>
      </c>
      <c r="AL22" s="13" t="str">
        <f>IF(SUM(U22:X22)-Y22&gt;0,SUM(U22:X22)-Y22,"")</f>
        <v/>
      </c>
      <c r="AM22" s="13" t="str">
        <f>IF(SUM(Z22:AC22)-AD22&gt;0,SUM(Z22:AC22)-AD22,"")</f>
        <v/>
      </c>
      <c r="AN22" s="13" t="str">
        <f>IF(SUM(AL22:AM22)&gt;0,SUM(AL22:AM22),"")</f>
        <v/>
      </c>
      <c r="AO22" s="13" t="str">
        <f>IF(SUM(AE22:AH22)-AI22&gt;0,SUM(AE22:AH22)-AI22,"")</f>
        <v/>
      </c>
      <c r="AP22" s="13" t="str">
        <f>IF(SUM(AN22,AO22)&gt;0,SUM(AN22,AO22),"")</f>
        <v/>
      </c>
      <c r="AQ22" s="88">
        <v>15.9</v>
      </c>
      <c r="AR22" s="88">
        <v>9.4</v>
      </c>
      <c r="AS22" s="88">
        <v>3</v>
      </c>
      <c r="AT22" s="88">
        <v>15.865</v>
      </c>
      <c r="AU22" s="88">
        <v>0</v>
      </c>
      <c r="AV22" s="88">
        <v>0</v>
      </c>
      <c r="AW22" s="88">
        <v>0</v>
      </c>
      <c r="AX22" s="88">
        <v>0</v>
      </c>
      <c r="AY22" s="88">
        <v>0</v>
      </c>
      <c r="AZ22" s="88">
        <v>0</v>
      </c>
      <c r="BA22" s="88"/>
      <c r="BB22" s="88"/>
      <c r="BC22" s="88"/>
      <c r="BD22" s="88"/>
      <c r="BE22" s="88"/>
      <c r="BF22" s="94"/>
      <c r="BG22" s="16">
        <f>IF(SUM(AS22,AX22)&gt;0,SUM(AS22,AX22),"")</f>
        <v>3</v>
      </c>
      <c r="BH22" s="16">
        <f>IF(SUM(AQ22:AT22)-AU22&gt;0,SUM(AQ22:AT22)-AU22,"")</f>
        <v>44.164999999999999</v>
      </c>
      <c r="BI22" s="16" t="str">
        <f>IF(SUM(AV22:AY22)-AZ22&gt;0,SUM(AV22:AY22)-AZ22,"")</f>
        <v/>
      </c>
      <c r="BJ22" s="16">
        <f>IF(SUM(BH22:BI22)&gt;0,SUM(BH22:BI22),"")</f>
        <v>44.164999999999999</v>
      </c>
      <c r="BK22" s="16" t="str">
        <f>IF(SUM(BA22:BD22)-BE22&gt;0,SUM(BA22:BD22)-BE22,"")</f>
        <v/>
      </c>
      <c r="BL22" s="16">
        <f>IF(SUM(BJ22,BK22)&gt;0,SUM(BJ22,BK22),"")</f>
        <v>44.164999999999999</v>
      </c>
      <c r="BM22" s="47">
        <v>16.5</v>
      </c>
      <c r="BN22" s="47">
        <v>9.3000000000000007</v>
      </c>
      <c r="BO22" s="47">
        <v>3.3</v>
      </c>
      <c r="BP22" s="47">
        <v>15.36</v>
      </c>
      <c r="BQ22" s="47">
        <v>0</v>
      </c>
      <c r="BR22" s="47">
        <v>9.9</v>
      </c>
      <c r="BS22" s="47">
        <v>6.35</v>
      </c>
      <c r="BT22" s="47">
        <v>7.5</v>
      </c>
      <c r="BU22" s="47">
        <v>10.48</v>
      </c>
      <c r="BV22" s="47">
        <v>0.2</v>
      </c>
      <c r="BW22" s="47"/>
      <c r="BX22" s="47"/>
      <c r="BY22" s="47"/>
      <c r="BZ22" s="47"/>
      <c r="CA22" s="47"/>
      <c r="CB22" s="93"/>
      <c r="CC22" s="13">
        <f>IF(SUM(BO22,BT22)&gt;0,SUM(BO22,BT22),"")</f>
        <v>10.8</v>
      </c>
      <c r="CD22" s="13">
        <f>IF(SUM(BM22:BP22)-BQ22&gt;0,SUM(BM22:BP22)-BQ22,"")</f>
        <v>44.46</v>
      </c>
      <c r="CE22" s="13">
        <f>IF(SUM(BR22:BU22)-BV22&gt;0,SUM(BR22:BU22)-BV22,"")</f>
        <v>34.03</v>
      </c>
      <c r="CF22" s="13">
        <f>IF(SUM(CD22:CE22)&gt;0,SUM(CD22:CE22),"")</f>
        <v>78.490000000000009</v>
      </c>
      <c r="CG22" s="13" t="str">
        <f>IF(SUM(BW22:BZ22)-CA22&gt;0,SUM(BW22:BZ22)-CA22,"")</f>
        <v/>
      </c>
      <c r="CH22" s="13">
        <f>IF(SUM(CF22,CG22)&gt;0,SUM(CF22,CG22),"")</f>
        <v>78.490000000000009</v>
      </c>
      <c r="CI22" s="30" t="str">
        <f>IF(MAX(DB22,DW22,ER22,FM22,GH22,HC22,HX22,IS22,JN22,KI22,LD22,LY22)-L22&gt;0.001,MAX(DB22,DW22,ER22,FM22,GH22,HC22,HX22,IS22,JN22,KI22,LD22,LY22)-L22,"")</f>
        <v/>
      </c>
      <c r="CJ22" s="30" t="str">
        <f>IF(MAX(DC22,DX22,ES22,FN22,GI22,HD22,HY22,IT22,JO22,KJ22,LE22,LZ22)-N22&gt;0.001,MAX(DC22,DX22,ES22,FN22,GI22,HD22,HY22,IT22,JO22,KJ22,LE22,LZ22)-N22,"")</f>
        <v/>
      </c>
      <c r="CK22" s="30" t="str">
        <f>IF(MAX(DE22,DZ22,EU22,FP22,GK22,HF22,IA22,IV22,JQ22,KL22,LG22,MB22)-P22&gt;0.001,MAX(DE22,DZ22,EU22,FP22,GK22,HF22,IA22,IV22,JQ22,KL22,LG22,MB22)-P22,"")</f>
        <v/>
      </c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13" t="str">
        <f>IF(SUM(CN22,CS22)&gt;0,SUM(CN22,CS22),"")</f>
        <v/>
      </c>
      <c r="DB22" s="13" t="str">
        <f>IF(SUM(CL22:CO22)-CP22&gt;0,SUM(CL22:CO22)-CP22,"")</f>
        <v/>
      </c>
      <c r="DC22" s="13" t="str">
        <f>IF(SUM(CQ22:CT22)-CU22&gt;0,SUM(CQ22:CT22)-CU22,"")</f>
        <v/>
      </c>
      <c r="DD22" s="13" t="str">
        <f>IF(SUM(DB22:DC22)&gt;0,SUM(DB22:DC22),"")</f>
        <v/>
      </c>
      <c r="DE22" s="13" t="str">
        <f>IF(SUM(CV22:CY22)-CZ22&gt;0,SUM(CV22:CY22)-CZ22,"")</f>
        <v/>
      </c>
      <c r="DF22" s="13" t="str">
        <f>IF(SUM(DD22,DE22)&gt;0,SUM(DD22,DE22),"")</f>
        <v/>
      </c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16" t="str">
        <f>IF(SUM(DI22,DN22)&gt;0,SUM(DI22,DN22),"")</f>
        <v/>
      </c>
      <c r="DW22" s="16" t="str">
        <f>IF(SUM(DG22:DJ22)-DK22&gt;0,SUM(DG22:DJ22)-DK22,"")</f>
        <v/>
      </c>
      <c r="DX22" s="16" t="str">
        <f>IF(SUM(DL22:DO22)-DP22&gt;0,SUM(DL22:DO22)-DP22,"")</f>
        <v/>
      </c>
      <c r="DY22" s="16" t="str">
        <f>IF(SUM(DW22:DX22)&gt;0,SUM(DW22:DX22),"")</f>
        <v/>
      </c>
      <c r="DZ22" s="16" t="str">
        <f>IF(SUM(DQ22:DT22)-DU22&gt;0,SUM(DQ22:DT22)-DU22,"")</f>
        <v/>
      </c>
      <c r="EA22" s="16" t="str">
        <f>IF(SUM(DY22,DZ22)&gt;0,SUM(DY22,DZ22),"")</f>
        <v/>
      </c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13" t="str">
        <f>IF(SUM(ED22,EI22)&gt;0,SUM(ED22,EI22),"")</f>
        <v/>
      </c>
      <c r="ER22" s="13" t="str">
        <f>IF(SUM(EB22:EE22)-EF22&gt;0,SUM(EB22:EE22)-EF22,"")</f>
        <v/>
      </c>
      <c r="ES22" s="13" t="str">
        <f>IF(SUM(EG22:EJ22)-EK22&gt;0,SUM(EG22:EJ22)-EK22,"")</f>
        <v/>
      </c>
      <c r="ET22" s="13" t="str">
        <f>IF(SUM(ER22:ES22)&gt;0,SUM(ER22:ES22),"")</f>
        <v/>
      </c>
      <c r="EU22" s="13" t="str">
        <f>IF(SUM(EL22:EO22)-EP22&gt;0,SUM(EL22:EO22)-EP22,"")</f>
        <v/>
      </c>
      <c r="EV22" s="13" t="str">
        <f>IF(SUM(ET22,EU22)&gt;0,SUM(ET22,EU22),"")</f>
        <v/>
      </c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16" t="str">
        <f>IF(SUM(EY22,FD22)&gt;0,SUM(EY22,FD22),"")</f>
        <v/>
      </c>
      <c r="FM22" s="16" t="str">
        <f>IF(SUM(EW22:EZ22)-FA22&gt;0,SUM(EW22:EZ22)-FA22,"")</f>
        <v/>
      </c>
      <c r="FN22" s="16" t="str">
        <f>IF(SUM(FB22:FE22)-FF22&gt;0,SUM(FB22:FE22)-FF22,"")</f>
        <v/>
      </c>
      <c r="FO22" s="16" t="str">
        <f>IF(SUM(FM22:FN22)&gt;0,SUM(FM22:FN22),"")</f>
        <v/>
      </c>
      <c r="FP22" s="16" t="str">
        <f>IF(SUM(FG22:FJ22)-FK22&gt;0,SUM(FG22:FJ22)-FK22,"")</f>
        <v/>
      </c>
      <c r="FQ22" s="16" t="str">
        <f>IF(SUM(FO22,FP22)&gt;0,SUM(FO22,FP22),"")</f>
        <v/>
      </c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13" t="str">
        <f>IF(SUM(FT22,FY22)&gt;0,SUM(FT22,FY22),"")</f>
        <v/>
      </c>
      <c r="GH22" s="13" t="str">
        <f>IF(SUM(FR22:FU22)-FV22&gt;0,SUM(FR22:FU22)-FV22,"")</f>
        <v/>
      </c>
      <c r="GI22" s="13" t="str">
        <f>IF(SUM(FW22:FZ22)-GA22&gt;0,SUM(FW22:FZ22)-GA22,"")</f>
        <v/>
      </c>
      <c r="GJ22" s="13" t="str">
        <f>IF(SUM(GH22:GI22)&gt;0,SUM(GH22:GI22),"")</f>
        <v/>
      </c>
      <c r="GK22" s="13" t="str">
        <f>IF(SUM(GB22:GE22)-GF22&gt;0,SUM(GB22:GE22)-GF22,"")</f>
        <v/>
      </c>
      <c r="GL22" s="13" t="str">
        <f>IF(SUM(GJ22,GK22)&gt;0,SUM(GJ22,GK22),"")</f>
        <v/>
      </c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48"/>
      <c r="GZ22" s="48"/>
      <c r="HA22" s="48"/>
      <c r="HB22" s="16" t="str">
        <f>IF(SUM(GO22,GT22)&gt;0,SUM(GO22,GT22),"")</f>
        <v/>
      </c>
      <c r="HC22" s="16" t="str">
        <f>IF(SUM(GM22:GP22)-GQ22&gt;0,SUM(GM22:GP22)-GQ22,"")</f>
        <v/>
      </c>
      <c r="HD22" s="16" t="str">
        <f>IF(SUM(GR22:GU22)-GV22&gt;0,SUM(GR22:GU22)-GV22,"")</f>
        <v/>
      </c>
      <c r="HE22" s="16" t="str">
        <f>IF(SUM(HC22:HD22)&gt;0,SUM(HC22:HD22),"")</f>
        <v/>
      </c>
      <c r="HF22" s="16" t="str">
        <f>IF(SUM(GW22:GZ22)-HA22&gt;0,SUM(GW22:GZ22)-HA22,"")</f>
        <v/>
      </c>
      <c r="HG22" s="16" t="str">
        <f>IF(SUM(HE22,HF22)&gt;0,SUM(HE22,HF22),"")</f>
        <v/>
      </c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47"/>
      <c r="HU22" s="47"/>
      <c r="HV22" s="47"/>
      <c r="HW22" s="13" t="str">
        <f>IF(SUM(HJ22,HO22)&gt;0,SUM(HJ22,HO22),"")</f>
        <v/>
      </c>
      <c r="HX22" s="13" t="str">
        <f>IF(SUM(HH22:HK22)-HL22&gt;0,SUM(HH22:HK22)-HL22,"")</f>
        <v/>
      </c>
      <c r="HY22" s="13" t="str">
        <f>IF(SUM(HM22:HP22)-HQ22&gt;0,SUM(HM22:HP22)-HQ22,"")</f>
        <v/>
      </c>
      <c r="HZ22" s="13" t="str">
        <f>IF(SUM(HX22:HY22)&gt;0,SUM(HX22:HY22),"")</f>
        <v/>
      </c>
      <c r="IA22" s="13" t="str">
        <f>IF(SUM(HR22:HU22)-HV22&gt;0,SUM(HR22:HU22)-HV22,"")</f>
        <v/>
      </c>
      <c r="IB22" s="13" t="str">
        <f>IF(SUM(HZ22,IA22)&gt;0,SUM(HZ22,IA22),"")</f>
        <v/>
      </c>
      <c r="IC22" s="48"/>
      <c r="ID22" s="48"/>
      <c r="IE22" s="48"/>
      <c r="IF22" s="48"/>
      <c r="IG22" s="48"/>
      <c r="IH22" s="48"/>
      <c r="II22" s="48"/>
      <c r="IJ22" s="48"/>
      <c r="IK22" s="48"/>
      <c r="IL22" s="48"/>
      <c r="IM22" s="48"/>
      <c r="IN22" s="48"/>
      <c r="IO22" s="48"/>
      <c r="IP22" s="48"/>
      <c r="IQ22" s="48"/>
      <c r="IR22" s="16" t="str">
        <f>IF(SUM(IE22,IJ22)&gt;0,SUM(IE22,IJ22),"")</f>
        <v/>
      </c>
      <c r="IS22" s="16" t="str">
        <f>IF(SUM(IC22:IF22)-IG22&gt;0,SUM(IC22:IF22)-IG22,"")</f>
        <v/>
      </c>
      <c r="IT22" s="16" t="str">
        <f>IF(SUM(IH22:IK22)-IL22&gt;0,SUM(IH22:IK22)-IL22,"")</f>
        <v/>
      </c>
      <c r="IU22" s="16" t="str">
        <f>IF(SUM(IS22:IT22)&gt;0,SUM(IS22:IT22),"")</f>
        <v/>
      </c>
      <c r="IV22" s="16" t="str">
        <f>IF(SUM(IM22:IP22)-IQ22&gt;0,SUM(IM22:IP22)-IQ22,"")</f>
        <v/>
      </c>
      <c r="IW22" s="16" t="str">
        <f>IF(SUM(IU22,IV22)&gt;0,SUM(IU22,IV22),"")</f>
        <v/>
      </c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47"/>
      <c r="JK22" s="47"/>
      <c r="JL22" s="47"/>
      <c r="JM22" s="13" t="str">
        <f>IF(SUM(IZ22,JE22)&gt;0,SUM(IZ22,JE22),"")</f>
        <v/>
      </c>
      <c r="JN22" s="13" t="str">
        <f>IF(SUM(IX22:JA22)-JB22&gt;0,SUM(IX22:JA22)-JB22,"")</f>
        <v/>
      </c>
      <c r="JO22" s="13" t="str">
        <f>IF(SUM(JC22:JF22)-JG22&gt;0,SUM(JC22:JF22)-JG22,"")</f>
        <v/>
      </c>
      <c r="JP22" s="13" t="str">
        <f>IF(SUM(JN22:JO22)&gt;0,SUM(JN22:JO22),"")</f>
        <v/>
      </c>
      <c r="JQ22" s="13" t="str">
        <f>IF(SUM(JH22:JK22)-JL22&gt;0,SUM(JH22:JK22)-JL22,"")</f>
        <v/>
      </c>
      <c r="JR22" s="13" t="str">
        <f>IF(SUM(JP22,JQ22)&gt;0,SUM(JP22,JQ22),"")</f>
        <v/>
      </c>
      <c r="JS22" s="48"/>
      <c r="JT22" s="48"/>
      <c r="JU22" s="48"/>
      <c r="JV22" s="48"/>
      <c r="JW22" s="48"/>
      <c r="JX22" s="48"/>
      <c r="JY22" s="48"/>
      <c r="JZ22" s="48"/>
      <c r="KA22" s="48"/>
      <c r="KB22" s="48"/>
      <c r="KC22" s="48"/>
      <c r="KD22" s="48"/>
      <c r="KE22" s="48"/>
      <c r="KF22" s="48"/>
      <c r="KG22" s="48"/>
      <c r="KH22" s="16" t="str">
        <f>IF(SUM(JU22,JZ22)&gt;0,SUM(JU22,JZ22),"")</f>
        <v/>
      </c>
      <c r="KI22" s="16" t="str">
        <f>IF(SUM(JS22:JV22)-JW22&gt;0,SUM(JS22:JV22)-JW22,"")</f>
        <v/>
      </c>
      <c r="KJ22" s="16" t="str">
        <f>IF(SUM(JX22:KA22)-KB22&gt;0,SUM(JX22:KA22)-KB22,"")</f>
        <v/>
      </c>
      <c r="KK22" s="16" t="str">
        <f>IF(SUM(KI22:KJ22)&gt;0,SUM(KI22:KJ22),"")</f>
        <v/>
      </c>
      <c r="KL22" s="16" t="str">
        <f>IF(SUM(KC22:KF22)-KG22&gt;0,SUM(KC22:KF22)-KG22,"")</f>
        <v/>
      </c>
      <c r="KM22" s="16" t="str">
        <f>IF(SUM(KK22,KL22)&gt;0,SUM(KK22,KL22),"")</f>
        <v/>
      </c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47"/>
      <c r="LA22" s="47"/>
      <c r="LB22" s="47"/>
      <c r="LC22" s="13" t="str">
        <f>IF(SUM(KP22,KU22)&gt;0,SUM(KP22,KU22),"")</f>
        <v/>
      </c>
      <c r="LD22" s="13" t="str">
        <f>IF(SUM(KN22:KQ22)-KR22&gt;0,SUM(KN22:KQ22)-KR22,"")</f>
        <v/>
      </c>
      <c r="LE22" s="13" t="str">
        <f>IF(SUM(KS22:KV22)-KW22&gt;0,SUM(KS22:KV22)-KW22,"")</f>
        <v/>
      </c>
      <c r="LF22" s="13" t="str">
        <f>IF(SUM(LD22:LE22)&gt;0,SUM(LD22:LE22),"")</f>
        <v/>
      </c>
      <c r="LG22" s="13" t="str">
        <f>IF(SUM(KX22:LA22)-LB22&gt;0,SUM(KX22:LA22)-LB22,"")</f>
        <v/>
      </c>
      <c r="LH22" s="13" t="str">
        <f>IF(SUM(LF22,LG22)&gt;0,SUM(LF22,LG22),"")</f>
        <v/>
      </c>
      <c r="LI22" s="48"/>
      <c r="LJ22" s="48"/>
      <c r="LK22" s="48"/>
      <c r="LL22" s="48"/>
      <c r="LM22" s="48"/>
      <c r="LN22" s="48"/>
      <c r="LO22" s="48"/>
      <c r="LP22" s="48"/>
      <c r="LQ22" s="48"/>
      <c r="LR22" s="48"/>
      <c r="LS22" s="48"/>
      <c r="LT22" s="48"/>
      <c r="LU22" s="48"/>
      <c r="LV22" s="48"/>
      <c r="LW22" s="48"/>
      <c r="LX22" s="16" t="str">
        <f>IF(SUM(LK22,LP22)&gt;0,SUM(LK22,LP22),"")</f>
        <v/>
      </c>
      <c r="LY22" s="16" t="str">
        <f>IF(SUM(LI22:LL22)-LM22&gt;0,SUM(LI22:LL22)-LM22,"")</f>
        <v/>
      </c>
      <c r="LZ22" s="16" t="str">
        <f>IF(SUM(LN22:LQ22)-LR22&gt;0,SUM(LN22:LQ22)-LR22,"")</f>
        <v/>
      </c>
      <c r="MA22" s="16" t="str">
        <f>IF(SUM(LY22:LZ22)&gt;0,SUM(LY22:LZ22),"")</f>
        <v/>
      </c>
      <c r="MB22" s="16" t="str">
        <f>IF(SUM(LS22:LV22)-LW22&gt;0,SUM(LS22:LV22)-LW22,"")</f>
        <v/>
      </c>
      <c r="MC22" s="16" t="str">
        <f>IF(SUM(MA22,MB22)&gt;0,SUM(MA22,MB22),"")</f>
        <v/>
      </c>
    </row>
    <row r="23" spans="1:341" x14ac:dyDescent="0.2">
      <c r="A23" s="6" t="str">
        <f>IF(AND(F23="P",H23="P"),SUMPRODUCT((F$4:F$24="P")*(H$4:H$24="P")*(E$4:E$24&gt;E23))+1,IF(H23="P",SUMPRODUCT((F$4:F$24="")*(H$4:H$24="P")*(E$4:E$24&gt;E23))+1+SUMPRODUCT((F$4:F$24="P")*(H$4:H$24="P")),""))</f>
        <v/>
      </c>
      <c r="B23" s="9" t="s">
        <v>40</v>
      </c>
      <c r="C23" s="5" t="s">
        <v>3</v>
      </c>
      <c r="D23" s="33">
        <v>1998</v>
      </c>
      <c r="E23" s="17">
        <f>SUM(J23:R23)</f>
        <v>58.42</v>
      </c>
      <c r="F23" s="4" t="str">
        <f>IF(OR(AND($AK23&gt;=$AL$27,NOT($AK23=""),$AJ23=""),AND($BG23&gt;=$BH$27,NOT($BG23=""),$BF23=""),AND($CC23&gt;=$CD$27,NOT($CC23=""),$CB23="")),"P","")</f>
        <v/>
      </c>
      <c r="G23" s="4" t="str">
        <f>IF(OR(AND($AK23&gt;=$AL$28,NOT($AK23=""),$AJ23=""),AND($BG23&gt;=$BH$28,NOT($BG23=""),$BF23=""),AND($CC23&gt;=$CD$28,NOT($CC23=""),$CB23="")),"P","")</f>
        <v/>
      </c>
      <c r="H23" s="4" t="str">
        <f>IF(OR(AND($AN23&gt;=$AL$29,NOT($AN23=""),$AJ23=""),AND($BJ23&gt;=$BH$29,NOT($BJ23=""),$BF23=""),AND($CF23&gt;=$CD$29,NOT($CF23=""),$CB23="")),"P","")</f>
        <v/>
      </c>
      <c r="I23" t="str">
        <f>IF(AND(G23="P",OR(AND($AM23&gt;$AL$32,NOT($AM23=""),$AJ23=""),AND($AO23&gt;$AL$32,NOT($AO23=""),$AJ23=""),AND($BI23&gt;$BH$32,NOT($BI23=""),$BF23=""),AND($BK23&gt;$BH$32,NOT($BK23=""),$BF23=""),AND($CE23&gt;$CD$32,NOT($CE23=""),$CB23=""),AND($CG23&gt;$CD$32,NOT($CG23=""),$CB23=""))),"Merit",IF(AND(G23="P",OR(AND($AN23&gt;$AL$31,NOT($AN23=""),$AJ23=""),AND($BJ23&gt;$BH$31,NOT($BJ23=""),$BF23=""),AND($CF23&gt;$CD$31,NOT($CF23=""),$CB23=""))),"Funding",IF(AND(G23="P",OR(AND($AN23&gt;$AL$30,NOT($AN23=""),$AJ23=""),AND($BJ23&gt;$BH$30,NOT($BJ23=""),$BF23=""),AND($CF23&gt;$CD$30,NOT($CF23=""),$CB23=""))),"Worlds Team",IF(AND(F23="P",OR(AND($AN23&gt;$AL$29,NOT($AN23=""),$AJ23=""),AND($BJ23&gt;$BH$29,NOT($BJ23=""),$BF23=""),AND($CF23&gt;$CD$29,NOT($CF23=""),$CB23=""))),"National Team",""))))</f>
        <v/>
      </c>
      <c r="J23" s="16">
        <f>MAX(AN23,BJ23,CF23)</f>
        <v>58.42</v>
      </c>
      <c r="K23" s="16" t="str">
        <f>IF(J23=CF23,$BM$1,IF(J23=BJ23,$AQ$1,IF(J23=AN23,$U$1,"")))</f>
        <v>2017 3rd Domestic Trial</v>
      </c>
      <c r="L23" s="16">
        <f>IF($J23=$AN23,MAX(BH23,CD23),IF($J23=$BJ23,MAX(AL23,CD23),MAX(AL23,BH23)))</f>
        <v>0</v>
      </c>
      <c r="M23" s="16" t="str">
        <f>IF(AND(L23=CD23,$K23&lt;&gt;$BM$1),$BM$1,IF(AND(L23=BH23,$K23&lt;&gt;$AQ$1),$AQ$1,IF(AND(L23=AL23,$K23&lt;&gt;$U$1),$U$1,"")))</f>
        <v/>
      </c>
      <c r="N23" s="16">
        <f>IF($J23=$AN23,MAX(BI23,CE23),IF($J23=$BJ23,MAX(AM23,CE23),MAX(AM23,BI23)))</f>
        <v>0</v>
      </c>
      <c r="O23" s="16" t="str">
        <f>IF(AND(N23=CE23,$K23&lt;&gt;$BM$1),$BM$1,IF(AND(N23=BI23,$K23&lt;&gt;$AQ$1),$AQ$1,IF(AND(N23=AM23,$K23&lt;&gt;$U$1),$U$1,"")))</f>
        <v/>
      </c>
      <c r="P23" s="16">
        <f>MAX(AO23,BK23,CG23)</f>
        <v>0</v>
      </c>
      <c r="Q23" s="16" t="str">
        <f>IF(P23=CG23,$BM$1,IF(P23=BK23,$AQ$1,IF(P23=AO23,$U$1,"")))</f>
        <v/>
      </c>
      <c r="R23" s="16" t="str">
        <f>IF(MAX(CI23,CJ23,CK23)&gt;0,MAX(CI23,CJ23,CK23),"")</f>
        <v/>
      </c>
      <c r="S23" s="31" t="str">
        <f>IF(R23="","",IF(R23=CI23,"(Vol 1)",IF(R23=CJ23,"(Vol 2)",IF(R23=CK23,"(Final)"))))</f>
        <v/>
      </c>
      <c r="T23" s="16" t="str">
        <f>IF(R23="","",IF(R23=CI23,IF(R23+L23=LY23,$LI$1,IF(R23+L23=LD23,$KN$1,IF(R23+L23=KI23,$JS$1,IF(R23+L23=JN23,$IX$1,IF(R23+L23=IS23,$IC$1,IF(R23+L23=HX23,$HH$1,IF(R23+L23=HC23,$GM$1,IF(R23+L23=GH23,$FR$1,IF(R23+L23=FM23,$EW$1,IF(R23+L23=ER23,$EB$1,IF(R23+L23=DW23,$DG$1,IF(R23+L23=DB23,$CL$1)))))))))))),IF(R23=CJ23,IF(R23+N23=LZ23,$LI$1,IF(R23+N23=LE23,$KN$1,IF(R23+N23=KJ23,$JS$1,IF(R23+N23=JO23,$IX$1,IF(R23+N23=IT23,$IC$1,IF(R23+N23=HY23,$HH$1,IF(R23+N23=HD23,$GM$1,IF(R23+N23=GI23,$FR$1,IF(R23+N23=FN23,$EW$1,IF(R23+N23=ES23,$EB$1,IF(R23+N23=DX23,$DG$1,IF(R23+N23=DC23,$CL$1)))))))))))),IF(R23=CK23,IF(R23+P23=MB23,$LI$1,IF(R23+P23=LG23,$KN$1,IF(R23+P23=KL23,$JS$1,IF(R23+P23=JQ23,$IX$1,IF(R23+P23=IV23,$IC$1,IF(R23+P23=IA23,$HH$1,IF(R23+P23=HF23,$GM$1,IF(R23+P23=GK23,$FR$1,IF(R23+P23=FP23,$EW$1,IF(R23+P23=EU23,$EB$1,IF(R23+P23=DZ23,$DG$1,IF(R23+P23=DE23,$CL$1))))))))))))))))</f>
        <v/>
      </c>
      <c r="U23" s="81">
        <v>15.2</v>
      </c>
      <c r="V23" s="81">
        <v>8.8000000000000007</v>
      </c>
      <c r="W23" s="81">
        <v>3.3</v>
      </c>
      <c r="X23" s="81">
        <v>15.295</v>
      </c>
      <c r="Y23" s="81">
        <v>2</v>
      </c>
      <c r="Z23" s="81">
        <v>4.2</v>
      </c>
      <c r="AA23" s="81">
        <v>2.9</v>
      </c>
      <c r="AB23" s="81">
        <v>5.9</v>
      </c>
      <c r="AC23" s="81">
        <v>4.8250000000000002</v>
      </c>
      <c r="AD23" s="81">
        <v>0</v>
      </c>
      <c r="AE23" s="81"/>
      <c r="AF23" s="81"/>
      <c r="AG23" s="81"/>
      <c r="AH23" s="81"/>
      <c r="AI23" s="81"/>
      <c r="AJ23" s="93"/>
      <c r="AK23" s="13">
        <f>IF(SUM(W23,AB23)&gt;0,SUM(W23,AB23),"")</f>
        <v>9.1999999999999993</v>
      </c>
      <c r="AL23" s="13">
        <f>IF(SUM(U23:X23)-Y23&gt;0,SUM(U23:X23)-Y23,"")</f>
        <v>40.594999999999999</v>
      </c>
      <c r="AM23" s="13">
        <f>IF(SUM(Z23:AC23)-AD23&gt;0,SUM(Z23:AC23)-AD23,"")</f>
        <v>17.824999999999999</v>
      </c>
      <c r="AN23" s="13">
        <f>IF(SUM(AL23:AM23)&gt;0,SUM(AL23:AM23),"")</f>
        <v>58.42</v>
      </c>
      <c r="AO23" s="13" t="str">
        <f>IF(SUM(AE23:AH23)-AI23&gt;0,SUM(AE23:AH23)-AI23,"")</f>
        <v/>
      </c>
      <c r="AP23" s="13">
        <f>IF(SUM(AN23,AO23)&gt;0,SUM(AN23,AO23),"")</f>
        <v>58.42</v>
      </c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94"/>
      <c r="BG23" s="16" t="str">
        <f>IF(SUM(AS23,AX23)&gt;0,SUM(AS23,AX23),"")</f>
        <v/>
      </c>
      <c r="BH23" s="16" t="str">
        <f>IF(SUM(AQ23:AT23)-AU23&gt;0,SUM(AQ23:AT23)-AU23,"")</f>
        <v/>
      </c>
      <c r="BI23" s="16" t="str">
        <f>IF(SUM(AV23:AY23)-AZ23&gt;0,SUM(AV23:AY23)-AZ23,"")</f>
        <v/>
      </c>
      <c r="BJ23" s="16" t="str">
        <f>IF(SUM(BH23:BI23)&gt;0,SUM(BH23:BI23),"")</f>
        <v/>
      </c>
      <c r="BK23" s="16" t="str">
        <f>IF(SUM(BA23:BD23)-BE23&gt;0,SUM(BA23:BD23)-BE23,"")</f>
        <v/>
      </c>
      <c r="BL23" s="16" t="str">
        <f>IF(SUM(BJ23,BK23)&gt;0,SUM(BJ23,BK23),"")</f>
        <v/>
      </c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93"/>
      <c r="CC23" s="13" t="str">
        <f>IF(SUM(BO23,BT23)&gt;0,SUM(BO23,BT23),"")</f>
        <v/>
      </c>
      <c r="CD23" s="13" t="str">
        <f>IF(SUM(BM23:BP23)-BQ23&gt;0,SUM(BM23:BP23)-BQ23,"")</f>
        <v/>
      </c>
      <c r="CE23" s="13" t="str">
        <f>IF(SUM(BR23:BU23)-BV23&gt;0,SUM(BR23:BU23)-BV23,"")</f>
        <v/>
      </c>
      <c r="CF23" s="13" t="str">
        <f>IF(SUM(CD23:CE23)&gt;0,SUM(CD23:CE23),"")</f>
        <v/>
      </c>
      <c r="CG23" s="13" t="str">
        <f>IF(SUM(BW23:BZ23)-CA23&gt;0,SUM(BW23:BZ23)-CA23,"")</f>
        <v/>
      </c>
      <c r="CH23" s="13" t="str">
        <f>IF(SUM(CF23,CG23)&gt;0,SUM(CF23,CG23),"")</f>
        <v/>
      </c>
      <c r="CI23" s="30" t="str">
        <f>IF(MAX(DB23,DW23,ER23,FM23,GH23,HC23,HX23,IS23,JN23,KI23,LD23,LY23)-L23&gt;0.001,MAX(DB23,DW23,ER23,FM23,GH23,HC23,HX23,IS23,JN23,KI23,LD23,LY23)-L23,"")</f>
        <v/>
      </c>
      <c r="CJ23" s="30" t="str">
        <f>IF(MAX(DC23,DX23,ES23,FN23,GI23,HD23,HY23,IT23,JO23,KJ23,LE23,LZ23)-N23&gt;0.001,MAX(DC23,DX23,ES23,FN23,GI23,HD23,HY23,IT23,JO23,KJ23,LE23,LZ23)-N23,"")</f>
        <v/>
      </c>
      <c r="CK23" s="30" t="str">
        <f>IF(MAX(DE23,DZ23,EU23,FP23,GK23,HF23,IA23,IV23,JQ23,KL23,LG23,MB23)-P23&gt;0.001,MAX(DE23,DZ23,EU23,FP23,GK23,HF23,IA23,IV23,JQ23,KL23,LG23,MB23)-P23,"")</f>
        <v/>
      </c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13" t="str">
        <f>IF(SUM(CN23,CS23)&gt;0,SUM(CN23,CS23),"")</f>
        <v/>
      </c>
      <c r="DB23" s="13" t="str">
        <f>IF(SUM(CL23:CO23)-CP23&gt;0,SUM(CL23:CO23)-CP23,"")</f>
        <v/>
      </c>
      <c r="DC23" s="13" t="str">
        <f>IF(SUM(CQ23:CT23)-CU23&gt;0,SUM(CQ23:CT23)-CU23,"")</f>
        <v/>
      </c>
      <c r="DD23" s="13" t="str">
        <f>IF(SUM(DB23:DC23)&gt;0,SUM(DB23:DC23),"")</f>
        <v/>
      </c>
      <c r="DE23" s="13" t="str">
        <f>IF(SUM(CV23:CY23)-CZ23&gt;0,SUM(CV23:CY23)-CZ23,"")</f>
        <v/>
      </c>
      <c r="DF23" s="13" t="str">
        <f>IF(SUM(DD23,DE23)&gt;0,SUM(DD23,DE23),"")</f>
        <v/>
      </c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48"/>
      <c r="DT23" s="48"/>
      <c r="DU23" s="48"/>
      <c r="DV23" s="16" t="str">
        <f>IF(SUM(DI23,DN23)&gt;0,SUM(DI23,DN23),"")</f>
        <v/>
      </c>
      <c r="DW23" s="16" t="str">
        <f>IF(SUM(DG23:DJ23)-DK23&gt;0,SUM(DG23:DJ23)-DK23,"")</f>
        <v/>
      </c>
      <c r="DX23" s="16" t="str">
        <f>IF(SUM(DL23:DO23)-DP23&gt;0,SUM(DL23:DO23)-DP23,"")</f>
        <v/>
      </c>
      <c r="DY23" s="16" t="str">
        <f>IF(SUM(DW23:DX23)&gt;0,SUM(DW23:DX23),"")</f>
        <v/>
      </c>
      <c r="DZ23" s="16" t="str">
        <f>IF(SUM(DQ23:DT23)-DU23&gt;0,SUM(DQ23:DT23)-DU23,"")</f>
        <v/>
      </c>
      <c r="EA23" s="16" t="str">
        <f>IF(SUM(DY23,DZ23)&gt;0,SUM(DY23,DZ23),"")</f>
        <v/>
      </c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13" t="str">
        <f>IF(SUM(ED23,EI23)&gt;0,SUM(ED23,EI23),"")</f>
        <v/>
      </c>
      <c r="ER23" s="13" t="str">
        <f>IF(SUM(EB23:EE23)-EF23&gt;0,SUM(EB23:EE23)-EF23,"")</f>
        <v/>
      </c>
      <c r="ES23" s="13" t="str">
        <f>IF(SUM(EG23:EJ23)-EK23&gt;0,SUM(EG23:EJ23)-EK23,"")</f>
        <v/>
      </c>
      <c r="ET23" s="13" t="str">
        <f>IF(SUM(ER23:ES23)&gt;0,SUM(ER23:ES23),"")</f>
        <v/>
      </c>
      <c r="EU23" s="13" t="str">
        <f>IF(SUM(EL23:EO23)-EP23&gt;0,SUM(EL23:EO23)-EP23,"")</f>
        <v/>
      </c>
      <c r="EV23" s="13" t="str">
        <f>IF(SUM(ET23,EU23)&gt;0,SUM(ET23,EU23),"")</f>
        <v/>
      </c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48"/>
      <c r="FJ23" s="48"/>
      <c r="FK23" s="48"/>
      <c r="FL23" s="16" t="str">
        <f>IF(SUM(EY23,FD23)&gt;0,SUM(EY23,FD23),"")</f>
        <v/>
      </c>
      <c r="FM23" s="16" t="str">
        <f>IF(SUM(EW23:EZ23)-FA23&gt;0,SUM(EW23:EZ23)-FA23,"")</f>
        <v/>
      </c>
      <c r="FN23" s="16" t="str">
        <f>IF(SUM(FB23:FE23)-FF23&gt;0,SUM(FB23:FE23)-FF23,"")</f>
        <v/>
      </c>
      <c r="FO23" s="16" t="str">
        <f>IF(SUM(FM23:FN23)&gt;0,SUM(FM23:FN23),"")</f>
        <v/>
      </c>
      <c r="FP23" s="16" t="str">
        <f>IF(SUM(FG23:FJ23)-FK23&gt;0,SUM(FG23:FJ23)-FK23,"")</f>
        <v/>
      </c>
      <c r="FQ23" s="16" t="str">
        <f>IF(SUM(FO23,FP23)&gt;0,SUM(FO23,FP23),"")</f>
        <v/>
      </c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13" t="str">
        <f>IF(SUM(FT23,FY23)&gt;0,SUM(FT23,FY23),"")</f>
        <v/>
      </c>
      <c r="GH23" s="13" t="str">
        <f>IF(SUM(FR23:FU23)-FV23&gt;0,SUM(FR23:FU23)-FV23,"")</f>
        <v/>
      </c>
      <c r="GI23" s="13" t="str">
        <f>IF(SUM(FW23:FZ23)-GA23&gt;0,SUM(FW23:FZ23)-GA23,"")</f>
        <v/>
      </c>
      <c r="GJ23" s="13" t="str">
        <f>IF(SUM(GH23:GI23)&gt;0,SUM(GH23:GI23),"")</f>
        <v/>
      </c>
      <c r="GK23" s="13" t="str">
        <f>IF(SUM(GB23:GE23)-GF23&gt;0,SUM(GB23:GE23)-GF23,"")</f>
        <v/>
      </c>
      <c r="GL23" s="13" t="str">
        <f>IF(SUM(GJ23,GK23)&gt;0,SUM(GJ23,GK23),"")</f>
        <v/>
      </c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48"/>
      <c r="GZ23" s="48"/>
      <c r="HA23" s="48"/>
      <c r="HB23" s="16" t="str">
        <f>IF(SUM(GO23,GT23)&gt;0,SUM(GO23,GT23),"")</f>
        <v/>
      </c>
      <c r="HC23" s="16" t="str">
        <f>IF(SUM(GM23:GP23)-GQ23&gt;0,SUM(GM23:GP23)-GQ23,"")</f>
        <v/>
      </c>
      <c r="HD23" s="16" t="str">
        <f>IF(SUM(GR23:GU23)-GV23&gt;0,SUM(GR23:GU23)-GV23,"")</f>
        <v/>
      </c>
      <c r="HE23" s="16" t="str">
        <f>IF(SUM(HC23:HD23)&gt;0,SUM(HC23:HD23),"")</f>
        <v/>
      </c>
      <c r="HF23" s="16" t="str">
        <f>IF(SUM(GW23:GZ23)-HA23&gt;0,SUM(GW23:GZ23)-HA23,"")</f>
        <v/>
      </c>
      <c r="HG23" s="16" t="str">
        <f>IF(SUM(HE23,HF23)&gt;0,SUM(HE23,HF23),"")</f>
        <v/>
      </c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13" t="str">
        <f>IF(SUM(HJ23,HO23)&gt;0,SUM(HJ23,HO23),"")</f>
        <v/>
      </c>
      <c r="HX23" s="13" t="str">
        <f>IF(SUM(HH23:HK23)-HL23&gt;0,SUM(HH23:HK23)-HL23,"")</f>
        <v/>
      </c>
      <c r="HY23" s="13" t="str">
        <f>IF(SUM(HM23:HP23)-HQ23&gt;0,SUM(HM23:HP23)-HQ23,"")</f>
        <v/>
      </c>
      <c r="HZ23" s="13" t="str">
        <f>IF(SUM(HX23:HY23)&gt;0,SUM(HX23:HY23),"")</f>
        <v/>
      </c>
      <c r="IA23" s="13" t="str">
        <f>IF(SUM(HR23:HU23)-HV23&gt;0,SUM(HR23:HU23)-HV23,"")</f>
        <v/>
      </c>
      <c r="IB23" s="13" t="str">
        <f>IF(SUM(HZ23,IA23)&gt;0,SUM(HZ23,IA23),"")</f>
        <v/>
      </c>
      <c r="IC23" s="48"/>
      <c r="ID23" s="48"/>
      <c r="IE23" s="48"/>
      <c r="IF23" s="48"/>
      <c r="IG23" s="48"/>
      <c r="IH23" s="48"/>
      <c r="II23" s="48"/>
      <c r="IJ23" s="48"/>
      <c r="IK23" s="48"/>
      <c r="IL23" s="48"/>
      <c r="IM23" s="48"/>
      <c r="IN23" s="48"/>
      <c r="IO23" s="48"/>
      <c r="IP23" s="48"/>
      <c r="IQ23" s="48"/>
      <c r="IR23" s="16" t="str">
        <f>IF(SUM(IE23,IJ23)&gt;0,SUM(IE23,IJ23),"")</f>
        <v/>
      </c>
      <c r="IS23" s="16" t="str">
        <f>IF(SUM(IC23:IF23)-IG23&gt;0,SUM(IC23:IF23)-IG23,"")</f>
        <v/>
      </c>
      <c r="IT23" s="16" t="str">
        <f>IF(SUM(IH23:IK23)-IL23&gt;0,SUM(IH23:IK23)-IL23,"")</f>
        <v/>
      </c>
      <c r="IU23" s="16" t="str">
        <f>IF(SUM(IS23:IT23)&gt;0,SUM(IS23:IT23),"")</f>
        <v/>
      </c>
      <c r="IV23" s="16" t="str">
        <f>IF(SUM(IM23:IP23)-IQ23&gt;0,SUM(IM23:IP23)-IQ23,"")</f>
        <v/>
      </c>
      <c r="IW23" s="16" t="str">
        <f>IF(SUM(IU23,IV23)&gt;0,SUM(IU23,IV23),"")</f>
        <v/>
      </c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13" t="str">
        <f>IF(SUM(IZ23,JE23)&gt;0,SUM(IZ23,JE23),"")</f>
        <v/>
      </c>
      <c r="JN23" s="13" t="str">
        <f>IF(SUM(IX23:JA23)-JB23&gt;0,SUM(IX23:JA23)-JB23,"")</f>
        <v/>
      </c>
      <c r="JO23" s="13" t="str">
        <f>IF(SUM(JC23:JF23)-JG23&gt;0,SUM(JC23:JF23)-JG23,"")</f>
        <v/>
      </c>
      <c r="JP23" s="13" t="str">
        <f>IF(SUM(JN23:JO23)&gt;0,SUM(JN23:JO23),"")</f>
        <v/>
      </c>
      <c r="JQ23" s="13" t="str">
        <f>IF(SUM(JH23:JK23)-JL23&gt;0,SUM(JH23:JK23)-JL23,"")</f>
        <v/>
      </c>
      <c r="JR23" s="13" t="str">
        <f>IF(SUM(JP23,JQ23)&gt;0,SUM(JP23,JQ23),"")</f>
        <v/>
      </c>
      <c r="JS23" s="48"/>
      <c r="JT23" s="48"/>
      <c r="JU23" s="48"/>
      <c r="JV23" s="48"/>
      <c r="JW23" s="48"/>
      <c r="JX23" s="48"/>
      <c r="JY23" s="48"/>
      <c r="JZ23" s="48"/>
      <c r="KA23" s="48"/>
      <c r="KB23" s="48"/>
      <c r="KC23" s="48"/>
      <c r="KD23" s="48"/>
      <c r="KE23" s="48"/>
      <c r="KF23" s="48"/>
      <c r="KG23" s="48"/>
      <c r="KH23" s="16" t="str">
        <f>IF(SUM(JU23,JZ23)&gt;0,SUM(JU23,JZ23),"")</f>
        <v/>
      </c>
      <c r="KI23" s="16" t="str">
        <f>IF(SUM(JS23:JV23)-JW23&gt;0,SUM(JS23:JV23)-JW23,"")</f>
        <v/>
      </c>
      <c r="KJ23" s="16" t="str">
        <f>IF(SUM(JX23:KA23)-KB23&gt;0,SUM(JX23:KA23)-KB23,"")</f>
        <v/>
      </c>
      <c r="KK23" s="16" t="str">
        <f>IF(SUM(KI23:KJ23)&gt;0,SUM(KI23:KJ23),"")</f>
        <v/>
      </c>
      <c r="KL23" s="16" t="str">
        <f>IF(SUM(KC23:KF23)-KG23&gt;0,SUM(KC23:KF23)-KG23,"")</f>
        <v/>
      </c>
      <c r="KM23" s="16" t="str">
        <f>IF(SUM(KK23,KL23)&gt;0,SUM(KK23,KL23),"")</f>
        <v/>
      </c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13" t="str">
        <f>IF(SUM(KP23,KU23)&gt;0,SUM(KP23,KU23),"")</f>
        <v/>
      </c>
      <c r="LD23" s="13" t="str">
        <f>IF(SUM(KN23:KQ23)-KR23&gt;0,SUM(KN23:KQ23)-KR23,"")</f>
        <v/>
      </c>
      <c r="LE23" s="13" t="str">
        <f>IF(SUM(KS23:KV23)-KW23&gt;0,SUM(KS23:KV23)-KW23,"")</f>
        <v/>
      </c>
      <c r="LF23" s="13" t="str">
        <f>IF(SUM(LD23:LE23)&gt;0,SUM(LD23:LE23),"")</f>
        <v/>
      </c>
      <c r="LG23" s="13" t="str">
        <f>IF(SUM(KX23:LA23)-LB23&gt;0,SUM(KX23:LA23)-LB23,"")</f>
        <v/>
      </c>
      <c r="LH23" s="13" t="str">
        <f>IF(SUM(LF23,LG23)&gt;0,SUM(LF23,LG23),"")</f>
        <v/>
      </c>
      <c r="LI23" s="48"/>
      <c r="LJ23" s="48"/>
      <c r="LK23" s="48"/>
      <c r="LL23" s="48"/>
      <c r="LM23" s="48"/>
      <c r="LN23" s="48"/>
      <c r="LO23" s="48"/>
      <c r="LP23" s="48"/>
      <c r="LQ23" s="48"/>
      <c r="LR23" s="48"/>
      <c r="LS23" s="48"/>
      <c r="LT23" s="48"/>
      <c r="LU23" s="48"/>
      <c r="LV23" s="48"/>
      <c r="LW23" s="48"/>
      <c r="LX23" s="16" t="str">
        <f>IF(SUM(LK23,LP23)&gt;0,SUM(LK23,LP23),"")</f>
        <v/>
      </c>
      <c r="LY23" s="16" t="str">
        <f>IF(SUM(LI23:LL23)-LM23&gt;0,SUM(LI23:LL23)-LM23,"")</f>
        <v/>
      </c>
      <c r="LZ23" s="16" t="str">
        <f>IF(SUM(LN23:LQ23)-LR23&gt;0,SUM(LN23:LQ23)-LR23,"")</f>
        <v/>
      </c>
      <c r="MA23" s="16" t="str">
        <f>IF(SUM(LY23:LZ23)&gt;0,SUM(LY23:LZ23),"")</f>
        <v/>
      </c>
      <c r="MB23" s="16" t="str">
        <f>IF(SUM(LS23:LV23)-LW23&gt;0,SUM(LS23:LV23)-LW23,"")</f>
        <v/>
      </c>
      <c r="MC23" s="16" t="str">
        <f>IF(SUM(MA23,MB23)&gt;0,SUM(MA23,MB23),"")</f>
        <v/>
      </c>
    </row>
    <row r="24" spans="1:341" x14ac:dyDescent="0.2">
      <c r="A24" s="6" t="str">
        <f>IF(AND(F24="P",H24="P"),SUMPRODUCT((F$4:F$24="P")*(H$4:H$24="P")*(E$4:E$24&gt;E24))+1,IF(H24="P",SUMPRODUCT((F$4:F$24="")*(H$4:H$24="P")*(E$4:E$24&gt;E24))+1+SUMPRODUCT((F$4:F$24="P")*(H$4:H$24="P")),""))</f>
        <v/>
      </c>
      <c r="B24" s="7" t="s">
        <v>11</v>
      </c>
      <c r="C24" s="8" t="s">
        <v>12</v>
      </c>
      <c r="D24" s="8">
        <v>1991</v>
      </c>
      <c r="E24" s="17">
        <f>SUM(J24:R24)</f>
        <v>33.075000000000003</v>
      </c>
      <c r="F24" s="4" t="str">
        <f>IF(OR(AND($AK24&gt;=$AL$27,NOT($AK24=""),$AJ24=""),AND($BG24&gt;=$BH$27,NOT($BG24=""),$BF24=""),AND($CC24&gt;=$CD$27,NOT($CC24=""),$CB24="")),"P","")</f>
        <v/>
      </c>
      <c r="G24" s="4" t="str">
        <f>IF(OR(AND($AK24&gt;=$AL$28,NOT($AK24=""),$AJ24=""),AND($BG24&gt;=$BH$28,NOT($BG24=""),$BF24=""),AND($CC24&gt;=$CD$28,NOT($CC24=""),$CB24="")),"P","")</f>
        <v/>
      </c>
      <c r="H24" s="4" t="str">
        <f>IF(OR(AND($AN24&gt;=$AL$29,NOT($AN24=""),$AJ24=""),AND($BJ24&gt;=$BH$29,NOT($BJ24=""),$BF24=""),AND($CF24&gt;=$CD$29,NOT($CF24=""),$CB24="")),"P","")</f>
        <v/>
      </c>
      <c r="I24" t="str">
        <f>IF(AND(G24="P",OR(AND($AM24&gt;$AL$32,NOT($AM24=""),$AJ24=""),AND($AO24&gt;$AL$32,NOT($AO24=""),$AJ24=""),AND($BI24&gt;$BH$32,NOT($BI24=""),$BF24=""),AND($BK24&gt;$BH$32,NOT($BK24=""),$BF24=""),AND($CE24&gt;$CD$32,NOT($CE24=""),$CB24=""),AND($CG24&gt;$CD$32,NOT($CG24=""),$CB24=""))),"Merit",IF(AND(G24="P",OR(AND($AN24&gt;$AL$31,NOT($AN24=""),$AJ24=""),AND($BJ24&gt;$BH$31,NOT($BJ24=""),$BF24=""),AND($CF24&gt;$CD$31,NOT($CF24=""),$CB24=""))),"Funding",IF(AND(G24="P",OR(AND($AN24&gt;$AL$30,NOT($AN24=""),$AJ24=""),AND($BJ24&gt;$BH$30,NOT($BJ24=""),$BF24=""),AND($CF24&gt;$CD$30,NOT($CF24=""),$CB24=""))),"Worlds Team",IF(AND(F24="P",OR(AND($AN24&gt;$AL$29,NOT($AN24=""),$AJ24=""),AND($BJ24&gt;$BH$29,NOT($BJ24=""),$BF24=""),AND($CF24&gt;$CD$29,NOT($CF24=""),$CB24=""))),"National Team",""))))</f>
        <v/>
      </c>
      <c r="J24" s="16">
        <f>MAX(AN24,BJ24,CF24)</f>
        <v>33.075000000000003</v>
      </c>
      <c r="K24" s="16" t="str">
        <f>IF(J24=CF24,$BM$1,IF(J24=BJ24,$AQ$1,IF(J24=AN24,$U$1,"")))</f>
        <v>2017 3rd Domestic Trial</v>
      </c>
      <c r="L24" s="16">
        <f>IF($J24=$AN24,MAX(BH24,CD24),IF($J24=$BJ24,MAX(AL24,CD24),MAX(AL24,BH24)))</f>
        <v>0</v>
      </c>
      <c r="M24" s="16" t="str">
        <f>IF(AND(L24=CD24,$K24&lt;&gt;$BM$1),$BM$1,IF(AND(L24=BH24,$K24&lt;&gt;$AQ$1),$AQ$1,IF(AND(L24=AL24,$K24&lt;&gt;$U$1),$U$1,"")))</f>
        <v/>
      </c>
      <c r="N24" s="16">
        <f>IF($J24=$AN24,MAX(BI24,CE24),IF($J24=$BJ24,MAX(AM24,CE24),MAX(AM24,BI24)))</f>
        <v>0</v>
      </c>
      <c r="O24" s="16" t="str">
        <f>IF(AND(N24=CE24,$K24&lt;&gt;$BM$1),$BM$1,IF(AND(N24=BI24,$K24&lt;&gt;$AQ$1),$AQ$1,IF(AND(N24=AM24,$K24&lt;&gt;$U$1),$U$1,"")))</f>
        <v/>
      </c>
      <c r="P24" s="16">
        <f>MAX(AO24,BK24,CG24)</f>
        <v>0</v>
      </c>
      <c r="Q24" s="16" t="str">
        <f>IF(P24=CG24,$BM$1,IF(P24=BK24,$AQ$1,IF(P24=AO24,$U$1,"")))</f>
        <v/>
      </c>
      <c r="R24" s="16" t="str">
        <f>IF(MAX(CI24,CJ24,CK24)&gt;0,MAX(CI24,CJ24,CK24),"")</f>
        <v/>
      </c>
      <c r="S24" s="31" t="str">
        <f>IF(R24="","",IF(R24=CI24,"(Vol 1)",IF(R24=CJ24,"(Vol 2)",IF(R24=CK24,"(Final)"))))</f>
        <v/>
      </c>
      <c r="T24" s="16" t="str">
        <f>IF(R24="","",IF(R24=CI24,IF(R24+L24=LY24,$LI$1,IF(R24+L24=LD24,$KN$1,IF(R24+L24=KI24,$JS$1,IF(R24+L24=JN24,$IX$1,IF(R24+L24=IS24,$IC$1,IF(R24+L24=HX24,$HH$1,IF(R24+L24=HC24,$GM$1,IF(R24+L24=GH24,$FR$1,IF(R24+L24=FM24,$EW$1,IF(R24+L24=ER24,$EB$1,IF(R24+L24=DW24,$DG$1,IF(R24+L24=DB24,$CL$1)))))))))))),IF(R24=CJ24,IF(R24+N24=LZ24,$LI$1,IF(R24+N24=LE24,$KN$1,IF(R24+N24=KJ24,$JS$1,IF(R24+N24=JO24,$IX$1,IF(R24+N24=IT24,$IC$1,IF(R24+N24=HY24,$HH$1,IF(R24+N24=HD24,$GM$1,IF(R24+N24=GI24,$FR$1,IF(R24+N24=FN24,$EW$1,IF(R24+N24=ES24,$EB$1,IF(R24+N24=DX24,$DG$1,IF(R24+N24=DC24,$CL$1)))))))))))),IF(R24=CK24,IF(R24+P24=MB24,$LI$1,IF(R24+P24=LG24,$KN$1,IF(R24+P24=KL24,$JS$1,IF(R24+P24=JQ24,$IX$1,IF(R24+P24=IV24,$IC$1,IF(R24+P24=IA24,$HH$1,IF(R24+P24=HF24,$GM$1,IF(R24+P24=GK24,$FR$1,IF(R24+P24=FP24,$EW$1,IF(R24+P24=EU24,$EB$1,IF(R24+P24=DZ24,$DG$1,IF(R24+P24=DE24,$CL$1))))))))))))))))</f>
        <v/>
      </c>
      <c r="U24" s="81">
        <v>7.5</v>
      </c>
      <c r="V24" s="81">
        <v>4.5</v>
      </c>
      <c r="W24" s="81">
        <v>2.1</v>
      </c>
      <c r="X24" s="81">
        <v>8.1</v>
      </c>
      <c r="Y24" s="81">
        <v>0</v>
      </c>
      <c r="Z24" s="81">
        <v>2.8</v>
      </c>
      <c r="AA24" s="81">
        <v>1.7</v>
      </c>
      <c r="AB24" s="81">
        <v>3.2</v>
      </c>
      <c r="AC24" s="81">
        <v>3.1749999999999998</v>
      </c>
      <c r="AD24" s="81">
        <v>0</v>
      </c>
      <c r="AE24" s="81"/>
      <c r="AF24" s="81"/>
      <c r="AG24" s="81"/>
      <c r="AH24" s="81"/>
      <c r="AI24" s="81"/>
      <c r="AJ24" s="93"/>
      <c r="AK24" s="13">
        <f>IF(SUM(W24,AB24)&gt;0,SUM(W24,AB24),"")</f>
        <v>5.3000000000000007</v>
      </c>
      <c r="AL24" s="13">
        <f>IF(SUM(U24:X24)-Y24&gt;0,SUM(U24:X24)-Y24,"")</f>
        <v>22.2</v>
      </c>
      <c r="AM24" s="13">
        <f>IF(SUM(Z24:AC24)-AD24&gt;0,SUM(Z24:AC24)-AD24,"")</f>
        <v>10.875</v>
      </c>
      <c r="AN24" s="13">
        <f>IF(SUM(AL24:AM24)&gt;0,SUM(AL24:AM24),"")</f>
        <v>33.075000000000003</v>
      </c>
      <c r="AO24" s="13" t="str">
        <f>IF(SUM(AE24:AH24)-AI24&gt;0,SUM(AE24:AH24)-AI24,"")</f>
        <v/>
      </c>
      <c r="AP24" s="13">
        <f>IF(SUM(AN24,AO24)&gt;0,SUM(AN24,AO24),"")</f>
        <v>33.075000000000003</v>
      </c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94"/>
      <c r="BG24" s="16" t="str">
        <f>IF(SUM(AS24,AX24)&gt;0,SUM(AS24,AX24),"")</f>
        <v/>
      </c>
      <c r="BH24" s="16" t="str">
        <f>IF(SUM(AQ24:AT24)-AU24&gt;0,SUM(AQ24:AT24)-AU24,"")</f>
        <v/>
      </c>
      <c r="BI24" s="16" t="str">
        <f>IF(SUM(AV24:AY24)-AZ24&gt;0,SUM(AV24:AY24)-AZ24,"")</f>
        <v/>
      </c>
      <c r="BJ24" s="16" t="str">
        <f>IF(SUM(BH24:BI24)&gt;0,SUM(BH24:BI24),"")</f>
        <v/>
      </c>
      <c r="BK24" s="16" t="str">
        <f>IF(SUM(BA24:BD24)-BE24&gt;0,SUM(BA24:BD24)-BE24,"")</f>
        <v/>
      </c>
      <c r="BL24" s="16" t="str">
        <f>IF(SUM(BJ24,BK24)&gt;0,SUM(BJ24,BK24),"")</f>
        <v/>
      </c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93"/>
      <c r="CC24" s="13" t="str">
        <f>IF(SUM(BO24,BT24)&gt;0,SUM(BO24,BT24),"")</f>
        <v/>
      </c>
      <c r="CD24" s="13" t="str">
        <f>IF(SUM(BM24:BP24)-BQ24&gt;0,SUM(BM24:BP24)-BQ24,"")</f>
        <v/>
      </c>
      <c r="CE24" s="13" t="str">
        <f>IF(SUM(BR24:BU24)-BV24&gt;0,SUM(BR24:BU24)-BV24,"")</f>
        <v/>
      </c>
      <c r="CF24" s="13" t="str">
        <f>IF(SUM(CD24:CE24)&gt;0,SUM(CD24:CE24),"")</f>
        <v/>
      </c>
      <c r="CG24" s="13" t="str">
        <f>IF(SUM(BW24:BZ24)-CA24&gt;0,SUM(BW24:BZ24)-CA24,"")</f>
        <v/>
      </c>
      <c r="CH24" s="13" t="str">
        <f>IF(SUM(CF24,CG24)&gt;0,SUM(CF24,CG24),"")</f>
        <v/>
      </c>
      <c r="CI24" s="30" t="str">
        <f>IF(MAX(DB24,DW24,ER24,FM24,GH24,HC24,HX24,IS24,JN24,KI24,LD24,LY24)-L24&gt;0.001,MAX(DB24,DW24,ER24,FM24,GH24,HC24,HX24,IS24,JN24,KI24,LD24,LY24)-L24,"")</f>
        <v/>
      </c>
      <c r="CJ24" s="30" t="str">
        <f>IF(MAX(DC24,DX24,ES24,FN24,GI24,HD24,HY24,IT24,JO24,KJ24,LE24,LZ24)-N24&gt;0.001,MAX(DC24,DX24,ES24,FN24,GI24,HD24,HY24,IT24,JO24,KJ24,LE24,LZ24)-N24,"")</f>
        <v/>
      </c>
      <c r="CK24" s="30" t="str">
        <f>IF(MAX(DE24,DZ24,EU24,FP24,GK24,HF24,IA24,IV24,JQ24,KL24,LG24,MB24)-P24&gt;0.001,MAX(DE24,DZ24,EU24,FP24,GK24,HF24,IA24,IV24,JQ24,KL24,LG24,MB24)-P24,"")</f>
        <v/>
      </c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13" t="str">
        <f>IF(SUM(CN24,CS24)&gt;0,SUM(CN24,CS24),"")</f>
        <v/>
      </c>
      <c r="DB24" s="13" t="str">
        <f>IF(SUM(CL24:CO24)-CP24&gt;0,SUM(CL24:CO24)-CP24,"")</f>
        <v/>
      </c>
      <c r="DC24" s="13" t="str">
        <f>IF(SUM(CQ24:CT24)-CU24&gt;0,SUM(CQ24:CT24)-CU24,"")</f>
        <v/>
      </c>
      <c r="DD24" s="13" t="str">
        <f>IF(SUM(DB24:DC24)&gt;0,SUM(DB24:DC24),"")</f>
        <v/>
      </c>
      <c r="DE24" s="13" t="str">
        <f>IF(SUM(CV24:CY24)-CZ24&gt;0,SUM(CV24:CY24)-CZ24,"")</f>
        <v/>
      </c>
      <c r="DF24" s="13" t="str">
        <f>IF(SUM(DD24,DE24)&gt;0,SUM(DD24,DE24),"")</f>
        <v/>
      </c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16" t="str">
        <f>IF(SUM(DI24,DN24)&gt;0,SUM(DI24,DN24),"")</f>
        <v/>
      </c>
      <c r="DW24" s="16" t="str">
        <f>IF(SUM(DG24:DJ24)-DK24&gt;0,SUM(DG24:DJ24)-DK24,"")</f>
        <v/>
      </c>
      <c r="DX24" s="16" t="str">
        <f>IF(SUM(DL24:DO24)-DP24&gt;0,SUM(DL24:DO24)-DP24,"")</f>
        <v/>
      </c>
      <c r="DY24" s="16" t="str">
        <f>IF(SUM(DW24:DX24)&gt;0,SUM(DW24:DX24),"")</f>
        <v/>
      </c>
      <c r="DZ24" s="16" t="str">
        <f>IF(SUM(DQ24:DT24)-DU24&gt;0,SUM(DQ24:DT24)-DU24,"")</f>
        <v/>
      </c>
      <c r="EA24" s="16" t="str">
        <f>IF(SUM(DY24,DZ24)&gt;0,SUM(DY24,DZ24),"")</f>
        <v/>
      </c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47"/>
      <c r="EO24" s="47"/>
      <c r="EP24" s="47"/>
      <c r="EQ24" s="13" t="str">
        <f>IF(SUM(ED24,EI24)&gt;0,SUM(ED24,EI24),"")</f>
        <v/>
      </c>
      <c r="ER24" s="13" t="str">
        <f>IF(SUM(EB24:EE24)-EF24&gt;0,SUM(EB24:EE24)-EF24,"")</f>
        <v/>
      </c>
      <c r="ES24" s="13" t="str">
        <f>IF(SUM(EG24:EJ24)-EK24&gt;0,SUM(EG24:EJ24)-EK24,"")</f>
        <v/>
      </c>
      <c r="ET24" s="13" t="str">
        <f>IF(SUM(ER24:ES24)&gt;0,SUM(ER24:ES24),"")</f>
        <v/>
      </c>
      <c r="EU24" s="13" t="str">
        <f>IF(SUM(EL24:EO24)-EP24&gt;0,SUM(EL24:EO24)-EP24,"")</f>
        <v/>
      </c>
      <c r="EV24" s="13" t="str">
        <f>IF(SUM(ET24,EU24)&gt;0,SUM(ET24,EU24),"")</f>
        <v/>
      </c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48"/>
      <c r="FL24" s="16" t="str">
        <f>IF(SUM(EY24,FD24)&gt;0,SUM(EY24,FD24),"")</f>
        <v/>
      </c>
      <c r="FM24" s="16" t="str">
        <f>IF(SUM(EW24:EZ24)-FA24&gt;0,SUM(EW24:EZ24)-FA24,"")</f>
        <v/>
      </c>
      <c r="FN24" s="16" t="str">
        <f>IF(SUM(FB24:FE24)-FF24&gt;0,SUM(FB24:FE24)-FF24,"")</f>
        <v/>
      </c>
      <c r="FO24" s="16" t="str">
        <f>IF(SUM(FM24:FN24)&gt;0,SUM(FM24:FN24),"")</f>
        <v/>
      </c>
      <c r="FP24" s="16" t="str">
        <f>IF(SUM(FG24:FJ24)-FK24&gt;0,SUM(FG24:FJ24)-FK24,"")</f>
        <v/>
      </c>
      <c r="FQ24" s="16" t="str">
        <f>IF(SUM(FO24,FP24)&gt;0,SUM(FO24,FP24),"")</f>
        <v/>
      </c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47"/>
      <c r="GE24" s="47"/>
      <c r="GF24" s="47"/>
      <c r="GG24" s="13" t="str">
        <f>IF(SUM(FT24,FY24)&gt;0,SUM(FT24,FY24),"")</f>
        <v/>
      </c>
      <c r="GH24" s="13" t="str">
        <f>IF(SUM(FR24:FU24)-FV24&gt;0,SUM(FR24:FU24)-FV24,"")</f>
        <v/>
      </c>
      <c r="GI24" s="13" t="str">
        <f>IF(SUM(FW24:FZ24)-GA24&gt;0,SUM(FW24:FZ24)-GA24,"")</f>
        <v/>
      </c>
      <c r="GJ24" s="13" t="str">
        <f>IF(SUM(GH24:GI24)&gt;0,SUM(GH24:GI24),"")</f>
        <v/>
      </c>
      <c r="GK24" s="13" t="str">
        <f>IF(SUM(GB24:GE24)-GF24&gt;0,SUM(GB24:GE24)-GF24,"")</f>
        <v/>
      </c>
      <c r="GL24" s="13" t="str">
        <f>IF(SUM(GJ24,GK24)&gt;0,SUM(GJ24,GK24),"")</f>
        <v/>
      </c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48"/>
      <c r="GZ24" s="48"/>
      <c r="HA24" s="48"/>
      <c r="HB24" s="16" t="str">
        <f>IF(SUM(GO24,GT24)&gt;0,SUM(GO24,GT24),"")</f>
        <v/>
      </c>
      <c r="HC24" s="16" t="str">
        <f>IF(SUM(GM24:GP24)-GQ24&gt;0,SUM(GM24:GP24)-GQ24,"")</f>
        <v/>
      </c>
      <c r="HD24" s="16" t="str">
        <f>IF(SUM(GR24:GU24)-GV24&gt;0,SUM(GR24:GU24)-GV24,"")</f>
        <v/>
      </c>
      <c r="HE24" s="16" t="str">
        <f>IF(SUM(HC24:HD24)&gt;0,SUM(HC24:HD24),"")</f>
        <v/>
      </c>
      <c r="HF24" s="16" t="str">
        <f>IF(SUM(GW24:GZ24)-HA24&gt;0,SUM(GW24:GZ24)-HA24,"")</f>
        <v/>
      </c>
      <c r="HG24" s="16" t="str">
        <f>IF(SUM(HE24,HF24)&gt;0,SUM(HE24,HF24),"")</f>
        <v/>
      </c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47"/>
      <c r="HU24" s="47"/>
      <c r="HV24" s="47"/>
      <c r="HW24" s="13" t="str">
        <f>IF(SUM(HJ24,HO24)&gt;0,SUM(HJ24,HO24),"")</f>
        <v/>
      </c>
      <c r="HX24" s="13" t="str">
        <f>IF(SUM(HH24:HK24)-HL24&gt;0,SUM(HH24:HK24)-HL24,"")</f>
        <v/>
      </c>
      <c r="HY24" s="13" t="str">
        <f>IF(SUM(HM24:HP24)-HQ24&gt;0,SUM(HM24:HP24)-HQ24,"")</f>
        <v/>
      </c>
      <c r="HZ24" s="13" t="str">
        <f>IF(SUM(HX24:HY24)&gt;0,SUM(HX24:HY24),"")</f>
        <v/>
      </c>
      <c r="IA24" s="13" t="str">
        <f>IF(SUM(HR24:HU24)-HV24&gt;0,SUM(HR24:HU24)-HV24,"")</f>
        <v/>
      </c>
      <c r="IB24" s="13" t="str">
        <f>IF(SUM(HZ24,IA24)&gt;0,SUM(HZ24,IA24),"")</f>
        <v/>
      </c>
      <c r="IC24" s="48"/>
      <c r="ID24" s="48"/>
      <c r="IE24" s="48"/>
      <c r="IF24" s="48"/>
      <c r="IG24" s="48"/>
      <c r="IH24" s="48"/>
      <c r="II24" s="48"/>
      <c r="IJ24" s="48"/>
      <c r="IK24" s="48"/>
      <c r="IL24" s="48"/>
      <c r="IM24" s="48"/>
      <c r="IN24" s="48"/>
      <c r="IO24" s="48"/>
      <c r="IP24" s="48"/>
      <c r="IQ24" s="48"/>
      <c r="IR24" s="16" t="str">
        <f>IF(SUM(IE24,IJ24)&gt;0,SUM(IE24,IJ24),"")</f>
        <v/>
      </c>
      <c r="IS24" s="16" t="str">
        <f>IF(SUM(IC24:IF24)-IG24&gt;0,SUM(IC24:IF24)-IG24,"")</f>
        <v/>
      </c>
      <c r="IT24" s="16" t="str">
        <f>IF(SUM(IH24:IK24)-IL24&gt;0,SUM(IH24:IK24)-IL24,"")</f>
        <v/>
      </c>
      <c r="IU24" s="16" t="str">
        <f>IF(SUM(IS24:IT24)&gt;0,SUM(IS24:IT24),"")</f>
        <v/>
      </c>
      <c r="IV24" s="16" t="str">
        <f>IF(SUM(IM24:IP24)-IQ24&gt;0,SUM(IM24:IP24)-IQ24,"")</f>
        <v/>
      </c>
      <c r="IW24" s="16" t="str">
        <f>IF(SUM(IU24,IV24)&gt;0,SUM(IU24,IV24),"")</f>
        <v/>
      </c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47"/>
      <c r="JK24" s="47"/>
      <c r="JL24" s="47"/>
      <c r="JM24" s="13" t="str">
        <f>IF(SUM(IZ24,JE24)&gt;0,SUM(IZ24,JE24),"")</f>
        <v/>
      </c>
      <c r="JN24" s="13" t="str">
        <f>IF(SUM(IX24:JA24)-JB24&gt;0,SUM(IX24:JA24)-JB24,"")</f>
        <v/>
      </c>
      <c r="JO24" s="13" t="str">
        <f>IF(SUM(JC24:JF24)-JG24&gt;0,SUM(JC24:JF24)-JG24,"")</f>
        <v/>
      </c>
      <c r="JP24" s="13" t="str">
        <f>IF(SUM(JN24:JO24)&gt;0,SUM(JN24:JO24),"")</f>
        <v/>
      </c>
      <c r="JQ24" s="13" t="str">
        <f>IF(SUM(JH24:JK24)-JL24&gt;0,SUM(JH24:JK24)-JL24,"")</f>
        <v/>
      </c>
      <c r="JR24" s="13" t="str">
        <f>IF(SUM(JP24,JQ24)&gt;0,SUM(JP24,JQ24),"")</f>
        <v/>
      </c>
      <c r="JS24" s="48"/>
      <c r="JT24" s="48"/>
      <c r="JU24" s="48"/>
      <c r="JV24" s="48"/>
      <c r="JW24" s="48"/>
      <c r="JX24" s="48"/>
      <c r="JY24" s="48"/>
      <c r="JZ24" s="48"/>
      <c r="KA24" s="48"/>
      <c r="KB24" s="48"/>
      <c r="KC24" s="48"/>
      <c r="KD24" s="48"/>
      <c r="KE24" s="48"/>
      <c r="KF24" s="48"/>
      <c r="KG24" s="48"/>
      <c r="KH24" s="16" t="str">
        <f>IF(SUM(JU24,JZ24)&gt;0,SUM(JU24,JZ24),"")</f>
        <v/>
      </c>
      <c r="KI24" s="16" t="str">
        <f>IF(SUM(JS24:JV24)-JW24&gt;0,SUM(JS24:JV24)-JW24,"")</f>
        <v/>
      </c>
      <c r="KJ24" s="16" t="str">
        <f>IF(SUM(JX24:KA24)-KB24&gt;0,SUM(JX24:KA24)-KB24,"")</f>
        <v/>
      </c>
      <c r="KK24" s="16" t="str">
        <f>IF(SUM(KI24:KJ24)&gt;0,SUM(KI24:KJ24),"")</f>
        <v/>
      </c>
      <c r="KL24" s="16" t="str">
        <f>IF(SUM(KC24:KF24)-KG24&gt;0,SUM(KC24:KF24)-KG24,"")</f>
        <v/>
      </c>
      <c r="KM24" s="16" t="str">
        <f>IF(SUM(KK24,KL24)&gt;0,SUM(KK24,KL24),"")</f>
        <v/>
      </c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47"/>
      <c r="LA24" s="47"/>
      <c r="LB24" s="47"/>
      <c r="LC24" s="13" t="str">
        <f>IF(SUM(KP24,KU24)&gt;0,SUM(KP24,KU24),"")</f>
        <v/>
      </c>
      <c r="LD24" s="13" t="str">
        <f>IF(SUM(KN24:KQ24)-KR24&gt;0,SUM(KN24:KQ24)-KR24,"")</f>
        <v/>
      </c>
      <c r="LE24" s="13" t="str">
        <f>IF(SUM(KS24:KV24)-KW24&gt;0,SUM(KS24:KV24)-KW24,"")</f>
        <v/>
      </c>
      <c r="LF24" s="13" t="str">
        <f>IF(SUM(LD24:LE24)&gt;0,SUM(LD24:LE24),"")</f>
        <v/>
      </c>
      <c r="LG24" s="13" t="str">
        <f>IF(SUM(KX24:LA24)-LB24&gt;0,SUM(KX24:LA24)-LB24,"")</f>
        <v/>
      </c>
      <c r="LH24" s="13" t="str">
        <f>IF(SUM(LF24,LG24)&gt;0,SUM(LF24,LG24),"")</f>
        <v/>
      </c>
      <c r="LI24" s="48"/>
      <c r="LJ24" s="48"/>
      <c r="LK24" s="48"/>
      <c r="LL24" s="48"/>
      <c r="LM24" s="48"/>
      <c r="LN24" s="48"/>
      <c r="LO24" s="48"/>
      <c r="LP24" s="48"/>
      <c r="LQ24" s="48"/>
      <c r="LR24" s="48"/>
      <c r="LS24" s="48"/>
      <c r="LT24" s="48"/>
      <c r="LU24" s="48"/>
      <c r="LV24" s="48"/>
      <c r="LW24" s="48"/>
      <c r="LX24" s="16" t="str">
        <f>IF(SUM(LK24,LP24)&gt;0,SUM(LK24,LP24),"")</f>
        <v/>
      </c>
      <c r="LY24" s="16" t="str">
        <f>IF(SUM(LI24:LL24)-LM24&gt;0,SUM(LI24:LL24)-LM24,"")</f>
        <v/>
      </c>
      <c r="LZ24" s="16" t="str">
        <f>IF(SUM(LN24:LQ24)-LR24&gt;0,SUM(LN24:LQ24)-LR24,"")</f>
        <v/>
      </c>
      <c r="MA24" s="16" t="str">
        <f>IF(SUM(LY24:LZ24)&gt;0,SUM(LY24:LZ24),"")</f>
        <v/>
      </c>
      <c r="MB24" s="16" t="str">
        <f>IF(SUM(LS24:LV24)-LW24&gt;0,SUM(LS24:LV24)-LW24,"")</f>
        <v/>
      </c>
      <c r="MC24" s="16" t="str">
        <f>IF(SUM(MA24,MB24)&gt;0,SUM(MA24,MB24),"")</f>
        <v/>
      </c>
    </row>
    <row r="25" spans="1:341" x14ac:dyDescent="0.2">
      <c r="B25" s="7"/>
      <c r="D25" s="1"/>
    </row>
    <row r="27" spans="1:341" x14ac:dyDescent="0.2">
      <c r="B27" s="82" t="s">
        <v>120</v>
      </c>
      <c r="C27" s="66"/>
      <c r="AL27" s="75">
        <v>20.8</v>
      </c>
      <c r="BG27" s="66"/>
      <c r="BH27" s="75">
        <v>20.2</v>
      </c>
      <c r="CC27" s="66"/>
      <c r="CD27" s="75">
        <v>20.2</v>
      </c>
      <c r="DA27" s="66"/>
      <c r="DB27" s="75">
        <v>20.8</v>
      </c>
      <c r="DV27" s="66"/>
      <c r="DW27" s="75">
        <v>20.2</v>
      </c>
      <c r="EQ27" s="66"/>
      <c r="ER27" s="75">
        <v>20.2</v>
      </c>
      <c r="FL27" s="66"/>
      <c r="FM27" s="75">
        <v>20.2</v>
      </c>
      <c r="GG27" s="66"/>
      <c r="GH27" s="75">
        <v>20.2</v>
      </c>
      <c r="HB27" s="66"/>
      <c r="HC27" s="75">
        <v>20.2</v>
      </c>
      <c r="HW27" s="66"/>
      <c r="HX27" s="75">
        <v>20.2</v>
      </c>
      <c r="IR27" s="66"/>
      <c r="IS27" s="75">
        <v>20.2</v>
      </c>
      <c r="JM27" s="66"/>
      <c r="JN27" s="75">
        <v>20.2</v>
      </c>
      <c r="KH27" s="66"/>
      <c r="KI27" s="75">
        <v>20.2</v>
      </c>
      <c r="LC27" s="66"/>
      <c r="LD27" s="75">
        <v>20.2</v>
      </c>
      <c r="LX27" s="66"/>
      <c r="LY27" s="75">
        <v>20.2</v>
      </c>
    </row>
    <row r="28" spans="1:341" x14ac:dyDescent="0.2">
      <c r="A28" s="66"/>
      <c r="B28" s="83" t="s">
        <v>119</v>
      </c>
      <c r="C28" s="66"/>
      <c r="AL28" s="76">
        <v>20.8</v>
      </c>
      <c r="AN28" s="64"/>
      <c r="AO28" s="64"/>
      <c r="BG28" s="66"/>
      <c r="BH28" s="76">
        <v>20.6</v>
      </c>
      <c r="CC28" s="66"/>
      <c r="CD28" s="76">
        <v>20.6</v>
      </c>
      <c r="DA28" s="66"/>
      <c r="DB28" s="76">
        <v>20.8</v>
      </c>
      <c r="DV28" s="66"/>
      <c r="DW28" s="76">
        <v>20.6</v>
      </c>
      <c r="EQ28" s="66"/>
      <c r="ER28" s="76">
        <v>20.6</v>
      </c>
      <c r="FL28" s="66"/>
      <c r="FM28" s="76">
        <v>20.6</v>
      </c>
      <c r="GG28" s="66"/>
      <c r="GH28" s="76">
        <v>20.6</v>
      </c>
      <c r="HB28" s="66"/>
      <c r="HC28" s="76">
        <v>20.6</v>
      </c>
      <c r="HW28" s="66"/>
      <c r="HX28" s="76">
        <v>20.6</v>
      </c>
      <c r="IR28" s="66"/>
      <c r="IS28" s="76">
        <v>20.6</v>
      </c>
      <c r="JM28" s="66"/>
      <c r="JN28" s="76">
        <v>20.6</v>
      </c>
      <c r="KH28" s="66"/>
      <c r="KI28" s="76">
        <v>20.6</v>
      </c>
      <c r="LC28" s="66"/>
      <c r="LD28" s="76">
        <v>20.6</v>
      </c>
      <c r="LX28" s="66"/>
      <c r="LY28" s="76">
        <v>20.6</v>
      </c>
    </row>
    <row r="29" spans="1:341" x14ac:dyDescent="0.2">
      <c r="A29" s="66"/>
      <c r="B29" s="84" t="s">
        <v>117</v>
      </c>
      <c r="C29" s="66"/>
      <c r="AL29" s="77">
        <v>104.9</v>
      </c>
      <c r="AN29" s="64"/>
      <c r="AO29" s="64"/>
      <c r="BG29" s="66"/>
      <c r="BH29" s="77">
        <v>103</v>
      </c>
      <c r="CC29" s="66"/>
      <c r="CD29" s="77">
        <v>103</v>
      </c>
      <c r="DA29" s="66"/>
      <c r="DB29" s="77">
        <v>104.9</v>
      </c>
      <c r="DV29" s="66"/>
      <c r="DW29" s="77">
        <v>103</v>
      </c>
      <c r="EQ29" s="66"/>
      <c r="ER29" s="77">
        <v>103</v>
      </c>
      <c r="FL29" s="66"/>
      <c r="FM29" s="77">
        <v>103</v>
      </c>
      <c r="GG29" s="66"/>
      <c r="GH29" s="77">
        <v>103</v>
      </c>
      <c r="HB29" s="66"/>
      <c r="HC29" s="77">
        <v>103</v>
      </c>
      <c r="HW29" s="66"/>
      <c r="HX29" s="77">
        <v>103</v>
      </c>
      <c r="IR29" s="66"/>
      <c r="IS29" s="77">
        <v>103</v>
      </c>
      <c r="JM29" s="66"/>
      <c r="JN29" s="77">
        <v>103</v>
      </c>
      <c r="KH29" s="66"/>
      <c r="KI29" s="77">
        <v>103</v>
      </c>
      <c r="LC29" s="66"/>
      <c r="LD29" s="77">
        <v>103</v>
      </c>
      <c r="LX29" s="66"/>
      <c r="LY29" s="77">
        <v>103</v>
      </c>
    </row>
    <row r="30" spans="1:341" x14ac:dyDescent="0.2">
      <c r="A30" s="66"/>
      <c r="B30" s="85" t="s">
        <v>118</v>
      </c>
      <c r="C30" s="66"/>
      <c r="AL30" s="78">
        <v>104.9</v>
      </c>
      <c r="AN30" s="64"/>
      <c r="AO30" s="64"/>
      <c r="BG30" s="66"/>
      <c r="BH30" s="78">
        <v>105</v>
      </c>
      <c r="CC30" s="66"/>
      <c r="CD30" s="78">
        <v>105</v>
      </c>
      <c r="DA30" s="66"/>
      <c r="DB30" s="78">
        <v>104.9</v>
      </c>
      <c r="DV30" s="66"/>
      <c r="DW30" s="78">
        <v>105</v>
      </c>
      <c r="EQ30" s="66"/>
      <c r="ER30" s="78">
        <v>105</v>
      </c>
      <c r="FL30" s="66"/>
      <c r="FM30" s="78">
        <v>105</v>
      </c>
      <c r="GG30" s="66"/>
      <c r="GH30" s="78">
        <v>105</v>
      </c>
      <c r="HB30" s="66"/>
      <c r="HC30" s="78">
        <v>105</v>
      </c>
      <c r="HW30" s="66"/>
      <c r="HX30" s="78">
        <v>105</v>
      </c>
      <c r="IR30" s="66"/>
      <c r="IS30" s="78">
        <v>105</v>
      </c>
      <c r="JM30" s="66"/>
      <c r="JN30" s="78">
        <v>105</v>
      </c>
      <c r="KH30" s="66"/>
      <c r="KI30" s="78">
        <v>105</v>
      </c>
      <c r="LC30" s="66"/>
      <c r="LD30" s="78">
        <v>105</v>
      </c>
      <c r="LX30" s="66"/>
      <c r="LY30" s="78">
        <v>105</v>
      </c>
    </row>
    <row r="31" spans="1:341" x14ac:dyDescent="0.2">
      <c r="A31" s="66"/>
      <c r="B31" s="86" t="s">
        <v>38</v>
      </c>
      <c r="C31" s="66"/>
      <c r="AL31" s="79">
        <v>108.1</v>
      </c>
      <c r="AN31" s="64"/>
      <c r="AO31" s="64"/>
      <c r="BG31" s="66"/>
      <c r="BH31" s="79">
        <v>108.5</v>
      </c>
      <c r="CC31" s="66"/>
      <c r="CD31" s="79">
        <v>108.5</v>
      </c>
      <c r="DA31" s="66"/>
      <c r="DB31" s="79">
        <v>108.1</v>
      </c>
      <c r="DV31" s="66"/>
      <c r="DW31" s="79">
        <v>108.5</v>
      </c>
      <c r="EQ31" s="66"/>
      <c r="ER31" s="79">
        <v>108.5</v>
      </c>
      <c r="FL31" s="66"/>
      <c r="FM31" s="79">
        <v>108.5</v>
      </c>
      <c r="GG31" s="66"/>
      <c r="GH31" s="79">
        <v>108.5</v>
      </c>
      <c r="HB31" s="66"/>
      <c r="HC31" s="79">
        <v>108.5</v>
      </c>
      <c r="HW31" s="66"/>
      <c r="HX31" s="79">
        <v>108.5</v>
      </c>
      <c r="IR31" s="66"/>
      <c r="IS31" s="79">
        <v>108.5</v>
      </c>
      <c r="JM31" s="66"/>
      <c r="JN31" s="79">
        <v>108.5</v>
      </c>
      <c r="KH31" s="66"/>
      <c r="KI31" s="79">
        <v>108.5</v>
      </c>
      <c r="LC31" s="66"/>
      <c r="LD31" s="79">
        <v>108.5</v>
      </c>
      <c r="LX31" s="66"/>
      <c r="LY31" s="79">
        <v>108.5</v>
      </c>
    </row>
    <row r="32" spans="1:341" x14ac:dyDescent="0.2">
      <c r="A32" s="66"/>
      <c r="B32" s="87" t="s">
        <v>88</v>
      </c>
      <c r="C32" s="66"/>
      <c r="AL32" s="80">
        <v>112.7</v>
      </c>
      <c r="AN32" s="64"/>
      <c r="AO32" s="64"/>
      <c r="BG32" s="66"/>
      <c r="BH32" s="80">
        <v>60</v>
      </c>
      <c r="CC32" s="66"/>
      <c r="CD32" s="80">
        <v>60</v>
      </c>
      <c r="DA32" s="66"/>
      <c r="DB32" s="80">
        <v>112.7</v>
      </c>
      <c r="DV32" s="66"/>
      <c r="DW32" s="80">
        <v>60</v>
      </c>
      <c r="EQ32" s="66"/>
      <c r="ER32" s="80">
        <v>60</v>
      </c>
      <c r="FL32" s="66"/>
      <c r="FM32" s="80">
        <v>60</v>
      </c>
      <c r="GG32" s="66"/>
      <c r="GH32" s="80">
        <v>60</v>
      </c>
      <c r="HB32" s="66"/>
      <c r="HC32" s="80">
        <v>60</v>
      </c>
      <c r="HW32" s="66"/>
      <c r="HX32" s="80">
        <v>60</v>
      </c>
      <c r="IR32" s="66"/>
      <c r="IS32" s="80">
        <v>60</v>
      </c>
      <c r="JM32" s="66"/>
      <c r="JN32" s="80">
        <v>60</v>
      </c>
      <c r="KH32" s="66"/>
      <c r="KI32" s="80">
        <v>60</v>
      </c>
      <c r="LC32" s="66"/>
      <c r="LD32" s="80">
        <v>60</v>
      </c>
      <c r="LX32" s="66"/>
      <c r="LY32" s="80">
        <v>60</v>
      </c>
    </row>
    <row r="33" spans="1:127" x14ac:dyDescent="0.2">
      <c r="B33" s="95" t="s">
        <v>160</v>
      </c>
      <c r="C33" s="3"/>
      <c r="AL33" s="64" t="s">
        <v>138</v>
      </c>
      <c r="AM33" s="64"/>
      <c r="AN33" s="64"/>
      <c r="AO33" s="64"/>
      <c r="BH33" s="64"/>
      <c r="DB33" s="64" t="s">
        <v>138</v>
      </c>
      <c r="DW33" s="64"/>
    </row>
    <row r="34" spans="1:127" x14ac:dyDescent="0.2">
      <c r="A34" s="66"/>
      <c r="B34" s="66"/>
      <c r="C34" s="65"/>
      <c r="AL34" s="64"/>
      <c r="AM34" s="64"/>
      <c r="AN34" s="64"/>
      <c r="AO34" s="64"/>
    </row>
    <row r="35" spans="1:127" ht="17" x14ac:dyDescent="0.2">
      <c r="A35" s="66"/>
      <c r="B35" s="66"/>
      <c r="C35" s="65"/>
      <c r="R35" s="23"/>
      <c r="S35" s="23"/>
      <c r="AL35" s="64"/>
      <c r="AM35" s="64"/>
      <c r="AN35" s="64"/>
      <c r="AO35" s="64"/>
    </row>
    <row r="36" spans="1:127" ht="17" x14ac:dyDescent="0.2">
      <c r="A36" s="66"/>
      <c r="B36" s="66"/>
      <c r="C36" s="65"/>
      <c r="R36" s="23"/>
      <c r="AL36" s="64"/>
      <c r="AM36" s="64"/>
      <c r="AN36" s="64"/>
      <c r="AO36" s="64"/>
    </row>
    <row r="37" spans="1:127" ht="17" x14ac:dyDescent="0.2">
      <c r="R37" s="23"/>
      <c r="S37" s="23"/>
      <c r="AL37" s="64"/>
      <c r="AM37" s="64"/>
      <c r="AN37" s="64"/>
      <c r="AO37" s="64"/>
    </row>
    <row r="38" spans="1:127" ht="17" x14ac:dyDescent="0.2">
      <c r="R38" s="23"/>
      <c r="S38" s="23"/>
      <c r="AL38" s="64"/>
      <c r="AM38" s="64"/>
      <c r="AN38" s="64"/>
      <c r="AO38" s="64"/>
    </row>
    <row r="39" spans="1:127" ht="17" x14ac:dyDescent="0.2">
      <c r="R39" s="23"/>
      <c r="S39" s="23"/>
      <c r="AL39" s="64"/>
      <c r="AM39" s="64"/>
      <c r="AN39" s="64"/>
      <c r="AO39" s="64"/>
    </row>
    <row r="40" spans="1:127" ht="17" x14ac:dyDescent="0.2">
      <c r="R40" s="23"/>
      <c r="S40" s="23"/>
      <c r="T40" s="23"/>
    </row>
    <row r="41" spans="1:127" ht="17" x14ac:dyDescent="0.2">
      <c r="R41" s="23"/>
      <c r="S41" s="23"/>
      <c r="T41" s="23"/>
    </row>
    <row r="42" spans="1:127" ht="17" x14ac:dyDescent="0.2">
      <c r="R42" s="23"/>
      <c r="S42" s="23"/>
      <c r="T42" s="23"/>
    </row>
    <row r="43" spans="1:127" ht="17" x14ac:dyDescent="0.2">
      <c r="R43" s="23"/>
      <c r="S43" s="23"/>
      <c r="T43" s="23"/>
    </row>
    <row r="44" spans="1:127" ht="17" x14ac:dyDescent="0.2">
      <c r="R44" s="23"/>
      <c r="S44" s="23"/>
      <c r="T44" s="23"/>
    </row>
    <row r="45" spans="1:127" ht="17" x14ac:dyDescent="0.2">
      <c r="R45" s="23"/>
      <c r="S45" s="23"/>
      <c r="T45" s="23"/>
    </row>
    <row r="46" spans="1:127" ht="17" x14ac:dyDescent="0.2">
      <c r="R46" s="23"/>
      <c r="S46" s="23"/>
      <c r="T46" s="23"/>
    </row>
    <row r="47" spans="1:127" ht="17" x14ac:dyDescent="0.2">
      <c r="R47" s="23"/>
      <c r="S47" s="23"/>
      <c r="T47" s="23"/>
    </row>
    <row r="48" spans="1:127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  <row r="52" spans="18:20" ht="17" x14ac:dyDescent="0.2">
      <c r="R52" s="23"/>
      <c r="S52" s="23"/>
      <c r="T52" s="23"/>
    </row>
    <row r="53" spans="18:20" ht="17" x14ac:dyDescent="0.2">
      <c r="R53" s="23"/>
      <c r="S53" s="23"/>
      <c r="T53" s="23"/>
    </row>
    <row r="54" spans="18:20" ht="17" x14ac:dyDescent="0.2">
      <c r="R54" s="23"/>
      <c r="S54" s="23"/>
      <c r="T54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24">
      <sortCondition descending="1" ref="F1:F21"/>
    </sortState>
  </autoFilter>
  <sortState ref="A1:O3">
    <sortCondition ref="A1"/>
  </sortState>
  <mergeCells count="81"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H1:H3"/>
    <mergeCell ref="I1:I3"/>
    <mergeCell ref="J1:J3"/>
    <mergeCell ref="L1:L3"/>
    <mergeCell ref="N1:N3"/>
    <mergeCell ref="K1:K3"/>
    <mergeCell ref="M1:M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A1:A3"/>
    <mergeCell ref="B1:B3"/>
    <mergeCell ref="C1:C3"/>
    <mergeCell ref="E1:E3"/>
    <mergeCell ref="G1:G3"/>
    <mergeCell ref="D1:D3"/>
    <mergeCell ref="F1:F3"/>
    <mergeCell ref="IX2:JB2"/>
    <mergeCell ref="IM2:IQ2"/>
    <mergeCell ref="IH2:IL2"/>
    <mergeCell ref="IC2:IG2"/>
    <mergeCell ref="FG2:FK2"/>
    <mergeCell ref="FB2:FF2"/>
    <mergeCell ref="EW2:FA2"/>
    <mergeCell ref="EL2:EP2"/>
    <mergeCell ref="EG2:EK2"/>
    <mergeCell ref="DL2:DP2"/>
  </mergeCells>
  <conditionalFormatting sqref="A1:A1048576">
    <cfRule type="expression" dxfId="195" priority="257">
      <formula>AND(H1="P",F1="")</formula>
    </cfRule>
  </conditionalFormatting>
  <conditionalFormatting sqref="I1:I1048576">
    <cfRule type="containsText" dxfId="194" priority="258" operator="containsText" text="Merit">
      <formula>NOT(ISERROR(SEARCH("Merit",I1)))</formula>
    </cfRule>
    <cfRule type="containsText" dxfId="193" priority="259" operator="containsText" text="Funding">
      <formula>NOT(ISERROR(SEARCH("Funding",I1)))</formula>
    </cfRule>
    <cfRule type="containsText" dxfId="192" priority="260" operator="containsText" text="Worlds Team">
      <formula>NOT(ISERROR(SEARCH("Worlds Team",I1)))</formula>
    </cfRule>
    <cfRule type="containsText" dxfId="191" priority="808" operator="containsText" text="National Team">
      <formula>NOT(ISERROR(SEARCH("National Team",I1)))</formula>
    </cfRule>
  </conditionalFormatting>
  <conditionalFormatting sqref="U4:AP24">
    <cfRule type="expression" dxfId="190" priority="20">
      <formula>IF($AJ4&lt;&gt;"",1,0)</formula>
    </cfRule>
  </conditionalFormatting>
  <conditionalFormatting sqref="AK4:BL24">
    <cfRule type="expression" dxfId="189" priority="19">
      <formula>IF($BF4&lt;&gt;"",1,0)</formula>
    </cfRule>
  </conditionalFormatting>
  <conditionalFormatting sqref="BM4:CH24">
    <cfRule type="expression" dxfId="188" priority="18">
      <formula>IF($CB4&lt;&gt;"",1,0)</formula>
    </cfRule>
  </conditionalFormatting>
  <conditionalFormatting sqref="K1:K1048576 Q1:Q1048576 M1:M1048576 O1:O1048576">
    <cfRule type="expression" dxfId="187" priority="999">
      <formula>IF(K1=$BM$1,1,0)</formula>
    </cfRule>
    <cfRule type="expression" dxfId="186" priority="1000">
      <formula>IF(K1=$AQ$1,1,0)</formula>
    </cfRule>
    <cfRule type="expression" dxfId="185" priority="1001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4" priority="3199" operator="between">
      <formula>DB$32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3" priority="3235" operator="between">
      <formula>DB$32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2" priority="3271" operator="between">
      <formula>DB$31</formula>
      <formula>1000</formula>
    </cfRule>
    <cfRule type="cellIs" dxfId="181" priority="3272" operator="between">
      <formula>DB$30</formula>
      <formula>DB$31</formula>
    </cfRule>
    <cfRule type="cellIs" dxfId="180" priority="3273" operator="between">
      <formula>DB$29</formula>
      <formula>DB$30</formula>
    </cfRule>
  </conditionalFormatting>
  <conditionalFormatting sqref="AK1:AK1048576 BG1:BG1048576 CC1:CC1048576">
    <cfRule type="expression" dxfId="179" priority="3379">
      <formula>IF(AND(AK1&gt;=AL$28,AK1&lt;100,AJ1=""),1,0)</formula>
    </cfRule>
    <cfRule type="expression" dxfId="178" priority="3380">
      <formula>IF(AND(AK1&gt;=AL$27,AK1&lt;AL$28,AJ1=""),1,0)</formula>
    </cfRule>
  </conditionalFormatting>
  <conditionalFormatting sqref="AN1:AN1048576 BJ1:BJ1048576 CF1:CF1048576">
    <cfRule type="expression" dxfId="177" priority="3397">
      <formula>IF(AND(AN1&gt;=AL$31,AN1&lt;1000,AJ1=""),1,0)</formula>
    </cfRule>
    <cfRule type="expression" dxfId="176" priority="3398">
      <formula>IF(AND(AN1&gt;=AL$30,AN1&lt;AL$31,AJ1=""),1,0)</formula>
    </cfRule>
    <cfRule type="expression" dxfId="175" priority="3399">
      <formula>IF(AND(AN1&gt;=AL$29,AN1&lt;AL$30,AJ1=""),1,0)</formula>
    </cfRule>
  </conditionalFormatting>
  <conditionalFormatting sqref="CE1:CE1048576 BI1:BI1048576 AM1:AM1048576">
    <cfRule type="expression" dxfId="174" priority="3424">
      <formula>IF(AND(AM1&gt;=AL$32,AM1&lt;1000,AJ1=""),1,0)</formula>
    </cfRule>
  </conditionalFormatting>
  <conditionalFormatting sqref="AO1:AO1048576 BK1:BK1048576 CG1:CG1048576">
    <cfRule type="expression" dxfId="173" priority="3433">
      <formula>IF(AND(AO1&gt;=AL$32,AO1&lt;1000,AJ1=""),1,0)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24</v>
      </c>
      <c r="M1" s="101" t="s">
        <v>86</v>
      </c>
      <c r="N1" s="101" t="s">
        <v>25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4" t="s">
        <v>121</v>
      </c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2" t="s">
        <v>139</v>
      </c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5" t="s">
        <v>27</v>
      </c>
      <c r="CJ1" s="105"/>
      <c r="CK1" s="105"/>
      <c r="CL1" s="102" t="s">
        <v>99</v>
      </c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4" t="s">
        <v>100</v>
      </c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2" t="s">
        <v>113</v>
      </c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4" t="s">
        <v>114</v>
      </c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2" t="s">
        <v>115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4" t="s">
        <v>116</v>
      </c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2" t="s">
        <v>136</v>
      </c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4" t="s">
        <v>149</v>
      </c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2" t="s">
        <v>135</v>
      </c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4" t="s">
        <v>183</v>
      </c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</row>
    <row r="2" spans="1:34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32</v>
      </c>
      <c r="V2" s="98"/>
      <c r="W2" s="98"/>
      <c r="X2" s="98"/>
      <c r="Y2" s="98"/>
      <c r="Z2" s="98" t="s">
        <v>33</v>
      </c>
      <c r="AA2" s="98"/>
      <c r="AB2" s="98"/>
      <c r="AC2" s="98"/>
      <c r="AD2" s="98"/>
      <c r="AE2" s="98" t="s">
        <v>36</v>
      </c>
      <c r="AF2" s="98"/>
      <c r="AG2" s="98"/>
      <c r="AH2" s="98"/>
      <c r="AI2" s="98"/>
      <c r="AJ2" s="91"/>
      <c r="AK2" s="68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97" t="s">
        <v>32</v>
      </c>
      <c r="AR2" s="97"/>
      <c r="AS2" s="97"/>
      <c r="AT2" s="97"/>
      <c r="AU2" s="97"/>
      <c r="AV2" s="97" t="s">
        <v>33</v>
      </c>
      <c r="AW2" s="97"/>
      <c r="AX2" s="97"/>
      <c r="AY2" s="97"/>
      <c r="AZ2" s="97"/>
      <c r="BA2" s="97" t="s">
        <v>36</v>
      </c>
      <c r="BB2" s="97"/>
      <c r="BC2" s="97"/>
      <c r="BD2" s="97"/>
      <c r="BE2" s="97"/>
      <c r="BF2" s="92"/>
      <c r="BG2" s="67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8" t="s">
        <v>32</v>
      </c>
      <c r="BN2" s="98"/>
      <c r="BO2" s="98"/>
      <c r="BP2" s="98"/>
      <c r="BQ2" s="98"/>
      <c r="BR2" s="98" t="s">
        <v>33</v>
      </c>
      <c r="BS2" s="98"/>
      <c r="BT2" s="98"/>
      <c r="BU2" s="98"/>
      <c r="BV2" s="98"/>
      <c r="BW2" s="98" t="s">
        <v>36</v>
      </c>
      <c r="BX2" s="98"/>
      <c r="BY2" s="98"/>
      <c r="BZ2" s="98"/>
      <c r="CA2" s="98"/>
      <c r="CB2" s="91"/>
      <c r="CC2" s="10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8" t="s">
        <v>32</v>
      </c>
      <c r="CM2" s="98"/>
      <c r="CN2" s="98"/>
      <c r="CO2" s="98"/>
      <c r="CP2" s="98"/>
      <c r="CQ2" s="98" t="s">
        <v>33</v>
      </c>
      <c r="CR2" s="98"/>
      <c r="CS2" s="98"/>
      <c r="CT2" s="98"/>
      <c r="CU2" s="98"/>
      <c r="CV2" s="98" t="s">
        <v>36</v>
      </c>
      <c r="CW2" s="98"/>
      <c r="CX2" s="98"/>
      <c r="CY2" s="98"/>
      <c r="CZ2" s="98"/>
      <c r="DA2" s="68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97" t="s">
        <v>32</v>
      </c>
      <c r="DH2" s="97"/>
      <c r="DI2" s="97"/>
      <c r="DJ2" s="97"/>
      <c r="DK2" s="97"/>
      <c r="DL2" s="97" t="s">
        <v>33</v>
      </c>
      <c r="DM2" s="97"/>
      <c r="DN2" s="97"/>
      <c r="DO2" s="97"/>
      <c r="DP2" s="97"/>
      <c r="DQ2" s="97" t="s">
        <v>36</v>
      </c>
      <c r="DR2" s="97"/>
      <c r="DS2" s="97"/>
      <c r="DT2" s="97"/>
      <c r="DU2" s="97"/>
      <c r="DV2" s="67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8" t="s">
        <v>32</v>
      </c>
      <c r="EC2" s="98"/>
      <c r="ED2" s="98"/>
      <c r="EE2" s="98"/>
      <c r="EF2" s="98"/>
      <c r="EG2" s="98" t="s">
        <v>33</v>
      </c>
      <c r="EH2" s="98"/>
      <c r="EI2" s="98"/>
      <c r="EJ2" s="98"/>
      <c r="EK2" s="98"/>
      <c r="EL2" s="98" t="s">
        <v>36</v>
      </c>
      <c r="EM2" s="98"/>
      <c r="EN2" s="98"/>
      <c r="EO2" s="98"/>
      <c r="EP2" s="98"/>
      <c r="EQ2" s="68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97" t="s">
        <v>32</v>
      </c>
      <c r="EX2" s="97"/>
      <c r="EY2" s="97"/>
      <c r="EZ2" s="97"/>
      <c r="FA2" s="97"/>
      <c r="FB2" s="97" t="s">
        <v>33</v>
      </c>
      <c r="FC2" s="97"/>
      <c r="FD2" s="97"/>
      <c r="FE2" s="97"/>
      <c r="FF2" s="97"/>
      <c r="FG2" s="97" t="s">
        <v>36</v>
      </c>
      <c r="FH2" s="97"/>
      <c r="FI2" s="97"/>
      <c r="FJ2" s="97"/>
      <c r="FK2" s="97"/>
      <c r="FL2" s="67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8" t="s">
        <v>32</v>
      </c>
      <c r="FS2" s="98"/>
      <c r="FT2" s="98"/>
      <c r="FU2" s="98"/>
      <c r="FV2" s="98"/>
      <c r="FW2" s="98" t="s">
        <v>33</v>
      </c>
      <c r="FX2" s="98"/>
      <c r="FY2" s="98"/>
      <c r="FZ2" s="98"/>
      <c r="GA2" s="98"/>
      <c r="GB2" s="98" t="s">
        <v>36</v>
      </c>
      <c r="GC2" s="98"/>
      <c r="GD2" s="98"/>
      <c r="GE2" s="98"/>
      <c r="GF2" s="98"/>
      <c r="GG2" s="68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97" t="s">
        <v>32</v>
      </c>
      <c r="GN2" s="97"/>
      <c r="GO2" s="97"/>
      <c r="GP2" s="97"/>
      <c r="GQ2" s="97"/>
      <c r="GR2" s="97" t="s">
        <v>33</v>
      </c>
      <c r="GS2" s="97"/>
      <c r="GT2" s="97"/>
      <c r="GU2" s="97"/>
      <c r="GV2" s="97"/>
      <c r="GW2" s="97" t="s">
        <v>36</v>
      </c>
      <c r="GX2" s="97"/>
      <c r="GY2" s="97"/>
      <c r="GZ2" s="97"/>
      <c r="HA2" s="97"/>
      <c r="HB2" s="67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8" t="s">
        <v>32</v>
      </c>
      <c r="HI2" s="98"/>
      <c r="HJ2" s="98"/>
      <c r="HK2" s="98"/>
      <c r="HL2" s="98"/>
      <c r="HM2" s="98" t="s">
        <v>33</v>
      </c>
      <c r="HN2" s="98"/>
      <c r="HO2" s="98"/>
      <c r="HP2" s="98"/>
      <c r="HQ2" s="98"/>
      <c r="HR2" s="98" t="s">
        <v>36</v>
      </c>
      <c r="HS2" s="98"/>
      <c r="HT2" s="98"/>
      <c r="HU2" s="98"/>
      <c r="HV2" s="98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97" t="s">
        <v>32</v>
      </c>
      <c r="ID2" s="97"/>
      <c r="IE2" s="97"/>
      <c r="IF2" s="97"/>
      <c r="IG2" s="97"/>
      <c r="IH2" s="97" t="s">
        <v>33</v>
      </c>
      <c r="II2" s="97"/>
      <c r="IJ2" s="97"/>
      <c r="IK2" s="97"/>
      <c r="IL2" s="97"/>
      <c r="IM2" s="97" t="s">
        <v>36</v>
      </c>
      <c r="IN2" s="97"/>
      <c r="IO2" s="97"/>
      <c r="IP2" s="97"/>
      <c r="IQ2" s="97"/>
      <c r="IR2" s="67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8" t="s">
        <v>32</v>
      </c>
      <c r="IY2" s="98"/>
      <c r="IZ2" s="98"/>
      <c r="JA2" s="98"/>
      <c r="JB2" s="98"/>
      <c r="JC2" s="98" t="s">
        <v>33</v>
      </c>
      <c r="JD2" s="98"/>
      <c r="JE2" s="98"/>
      <c r="JF2" s="98"/>
      <c r="JG2" s="98"/>
      <c r="JH2" s="98" t="s">
        <v>36</v>
      </c>
      <c r="JI2" s="98"/>
      <c r="JJ2" s="98"/>
      <c r="JK2" s="98"/>
      <c r="JL2" s="98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97" t="s">
        <v>32</v>
      </c>
      <c r="JT2" s="97"/>
      <c r="JU2" s="97"/>
      <c r="JV2" s="97"/>
      <c r="JW2" s="97"/>
      <c r="JX2" s="97" t="s">
        <v>33</v>
      </c>
      <c r="JY2" s="97"/>
      <c r="JZ2" s="97"/>
      <c r="KA2" s="97"/>
      <c r="KB2" s="97"/>
      <c r="KC2" s="97" t="s">
        <v>36</v>
      </c>
      <c r="KD2" s="97"/>
      <c r="KE2" s="97"/>
      <c r="KF2" s="97"/>
      <c r="KG2" s="97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8" t="s">
        <v>32</v>
      </c>
      <c r="KO2" s="98"/>
      <c r="KP2" s="98"/>
      <c r="KQ2" s="98"/>
      <c r="KR2" s="98"/>
      <c r="KS2" s="98" t="s">
        <v>33</v>
      </c>
      <c r="KT2" s="98"/>
      <c r="KU2" s="98"/>
      <c r="KV2" s="98"/>
      <c r="KW2" s="98"/>
      <c r="KX2" s="98" t="s">
        <v>36</v>
      </c>
      <c r="KY2" s="98"/>
      <c r="KZ2" s="98"/>
      <c r="LA2" s="98"/>
      <c r="LB2" s="98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97" t="s">
        <v>32</v>
      </c>
      <c r="LJ2" s="97"/>
      <c r="LK2" s="97"/>
      <c r="LL2" s="97"/>
      <c r="LM2" s="97"/>
      <c r="LN2" s="97" t="s">
        <v>33</v>
      </c>
      <c r="LO2" s="97"/>
      <c r="LP2" s="97"/>
      <c r="LQ2" s="97"/>
      <c r="LR2" s="97"/>
      <c r="LS2" s="97" t="s">
        <v>36</v>
      </c>
      <c r="LT2" s="97"/>
      <c r="LU2" s="97"/>
      <c r="LV2" s="97"/>
      <c r="LW2" s="97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29</v>
      </c>
      <c r="W3" s="68" t="s">
        <v>20</v>
      </c>
      <c r="X3" s="68" t="s">
        <v>30</v>
      </c>
      <c r="Y3" s="68" t="s">
        <v>56</v>
      </c>
      <c r="Z3" s="68" t="s">
        <v>28</v>
      </c>
      <c r="AA3" s="68" t="s">
        <v>29</v>
      </c>
      <c r="AB3" s="68" t="s">
        <v>20</v>
      </c>
      <c r="AC3" s="68" t="s">
        <v>30</v>
      </c>
      <c r="AD3" s="68" t="s">
        <v>56</v>
      </c>
      <c r="AE3" s="68" t="s">
        <v>28</v>
      </c>
      <c r="AF3" s="68" t="s">
        <v>29</v>
      </c>
      <c r="AG3" s="68" t="s">
        <v>20</v>
      </c>
      <c r="AH3" s="68" t="s">
        <v>30</v>
      </c>
      <c r="AI3" s="68" t="s">
        <v>56</v>
      </c>
      <c r="AJ3" s="91" t="s">
        <v>158</v>
      </c>
      <c r="AK3" s="12"/>
      <c r="AL3" s="11"/>
      <c r="AM3" s="11"/>
      <c r="AN3" s="11"/>
      <c r="AO3" s="12"/>
      <c r="AP3" s="12"/>
      <c r="AQ3" s="67" t="s">
        <v>28</v>
      </c>
      <c r="AR3" s="67" t="s">
        <v>29</v>
      </c>
      <c r="AS3" s="67" t="s">
        <v>20</v>
      </c>
      <c r="AT3" s="67" t="s">
        <v>30</v>
      </c>
      <c r="AU3" s="67" t="s">
        <v>56</v>
      </c>
      <c r="AV3" s="67" t="s">
        <v>28</v>
      </c>
      <c r="AW3" s="67" t="s">
        <v>29</v>
      </c>
      <c r="AX3" s="67" t="s">
        <v>20</v>
      </c>
      <c r="AY3" s="67" t="s">
        <v>30</v>
      </c>
      <c r="AZ3" s="67" t="s">
        <v>56</v>
      </c>
      <c r="BA3" s="67" t="s">
        <v>28</v>
      </c>
      <c r="BB3" s="67" t="s">
        <v>29</v>
      </c>
      <c r="BC3" s="67" t="s">
        <v>20</v>
      </c>
      <c r="BD3" s="67" t="s">
        <v>30</v>
      </c>
      <c r="BE3" s="67" t="s">
        <v>56</v>
      </c>
      <c r="BF3" s="92" t="s">
        <v>158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30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30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30</v>
      </c>
      <c r="CA3" s="56" t="s">
        <v>56</v>
      </c>
      <c r="CB3" s="91" t="s">
        <v>158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28</v>
      </c>
      <c r="CM3" s="68" t="s">
        <v>29</v>
      </c>
      <c r="CN3" s="68" t="s">
        <v>20</v>
      </c>
      <c r="CO3" s="68" t="s">
        <v>30</v>
      </c>
      <c r="CP3" s="68" t="s">
        <v>56</v>
      </c>
      <c r="CQ3" s="68" t="s">
        <v>28</v>
      </c>
      <c r="CR3" s="68" t="s">
        <v>29</v>
      </c>
      <c r="CS3" s="68" t="s">
        <v>20</v>
      </c>
      <c r="CT3" s="68" t="s">
        <v>30</v>
      </c>
      <c r="CU3" s="68" t="s">
        <v>56</v>
      </c>
      <c r="CV3" s="68" t="s">
        <v>28</v>
      </c>
      <c r="CW3" s="68" t="s">
        <v>29</v>
      </c>
      <c r="CX3" s="68" t="s">
        <v>20</v>
      </c>
      <c r="CY3" s="68" t="s">
        <v>30</v>
      </c>
      <c r="CZ3" s="68" t="s">
        <v>56</v>
      </c>
      <c r="DA3" s="12"/>
      <c r="DB3" s="11"/>
      <c r="DC3" s="11"/>
      <c r="DD3" s="11"/>
      <c r="DE3" s="12"/>
      <c r="DF3" s="12"/>
      <c r="DG3" s="67" t="s">
        <v>28</v>
      </c>
      <c r="DH3" s="67" t="s">
        <v>29</v>
      </c>
      <c r="DI3" s="67" t="s">
        <v>20</v>
      </c>
      <c r="DJ3" s="67" t="s">
        <v>30</v>
      </c>
      <c r="DK3" s="67" t="s">
        <v>56</v>
      </c>
      <c r="DL3" s="67" t="s">
        <v>28</v>
      </c>
      <c r="DM3" s="67" t="s">
        <v>29</v>
      </c>
      <c r="DN3" s="67" t="s">
        <v>20</v>
      </c>
      <c r="DO3" s="67" t="s">
        <v>30</v>
      </c>
      <c r="DP3" s="67" t="s">
        <v>56</v>
      </c>
      <c r="DQ3" s="67" t="s">
        <v>28</v>
      </c>
      <c r="DR3" s="67" t="s">
        <v>29</v>
      </c>
      <c r="DS3" s="67" t="s">
        <v>20</v>
      </c>
      <c r="DT3" s="67" t="s">
        <v>30</v>
      </c>
      <c r="DU3" s="67" t="s">
        <v>56</v>
      </c>
      <c r="DV3" s="15"/>
      <c r="DW3" s="14"/>
      <c r="DX3" s="14"/>
      <c r="DY3" s="14"/>
      <c r="DZ3" s="15"/>
      <c r="EA3" s="15"/>
      <c r="EB3" s="68" t="s">
        <v>28</v>
      </c>
      <c r="EC3" s="68" t="s">
        <v>29</v>
      </c>
      <c r="ED3" s="68" t="s">
        <v>20</v>
      </c>
      <c r="EE3" s="68" t="s">
        <v>30</v>
      </c>
      <c r="EF3" s="68" t="s">
        <v>56</v>
      </c>
      <c r="EG3" s="68" t="s">
        <v>28</v>
      </c>
      <c r="EH3" s="68" t="s">
        <v>29</v>
      </c>
      <c r="EI3" s="68" t="s">
        <v>20</v>
      </c>
      <c r="EJ3" s="68" t="s">
        <v>30</v>
      </c>
      <c r="EK3" s="68" t="s">
        <v>56</v>
      </c>
      <c r="EL3" s="68" t="s">
        <v>28</v>
      </c>
      <c r="EM3" s="68" t="s">
        <v>29</v>
      </c>
      <c r="EN3" s="68" t="s">
        <v>20</v>
      </c>
      <c r="EO3" s="68" t="s">
        <v>30</v>
      </c>
      <c r="EP3" s="68" t="s">
        <v>56</v>
      </c>
      <c r="EQ3" s="12"/>
      <c r="ER3" s="11"/>
      <c r="ES3" s="11"/>
      <c r="ET3" s="11"/>
      <c r="EU3" s="12"/>
      <c r="EV3" s="12"/>
      <c r="EW3" s="67" t="s">
        <v>28</v>
      </c>
      <c r="EX3" s="67" t="s">
        <v>29</v>
      </c>
      <c r="EY3" s="67" t="s">
        <v>20</v>
      </c>
      <c r="EZ3" s="67" t="s">
        <v>30</v>
      </c>
      <c r="FA3" s="67" t="s">
        <v>56</v>
      </c>
      <c r="FB3" s="67" t="s">
        <v>28</v>
      </c>
      <c r="FC3" s="67" t="s">
        <v>29</v>
      </c>
      <c r="FD3" s="67" t="s">
        <v>20</v>
      </c>
      <c r="FE3" s="67" t="s">
        <v>30</v>
      </c>
      <c r="FF3" s="67" t="s">
        <v>56</v>
      </c>
      <c r="FG3" s="67" t="s">
        <v>28</v>
      </c>
      <c r="FH3" s="67" t="s">
        <v>29</v>
      </c>
      <c r="FI3" s="67" t="s">
        <v>20</v>
      </c>
      <c r="FJ3" s="67" t="s">
        <v>30</v>
      </c>
      <c r="FK3" s="67" t="s">
        <v>56</v>
      </c>
      <c r="FL3" s="15"/>
      <c r="FM3" s="14"/>
      <c r="FN3" s="14"/>
      <c r="FO3" s="14"/>
      <c r="FP3" s="15"/>
      <c r="FQ3" s="15"/>
      <c r="FR3" s="68" t="s">
        <v>28</v>
      </c>
      <c r="FS3" s="68" t="s">
        <v>29</v>
      </c>
      <c r="FT3" s="68" t="s">
        <v>20</v>
      </c>
      <c r="FU3" s="68" t="s">
        <v>30</v>
      </c>
      <c r="FV3" s="68" t="s">
        <v>56</v>
      </c>
      <c r="FW3" s="68" t="s">
        <v>28</v>
      </c>
      <c r="FX3" s="68" t="s">
        <v>29</v>
      </c>
      <c r="FY3" s="68" t="s">
        <v>20</v>
      </c>
      <c r="FZ3" s="68" t="s">
        <v>30</v>
      </c>
      <c r="GA3" s="68" t="s">
        <v>56</v>
      </c>
      <c r="GB3" s="68" t="s">
        <v>28</v>
      </c>
      <c r="GC3" s="68" t="s">
        <v>29</v>
      </c>
      <c r="GD3" s="68" t="s">
        <v>20</v>
      </c>
      <c r="GE3" s="68" t="s">
        <v>30</v>
      </c>
      <c r="GF3" s="68" t="s">
        <v>56</v>
      </c>
      <c r="GG3" s="12"/>
      <c r="GH3" s="11"/>
      <c r="GI3" s="11"/>
      <c r="GJ3" s="11"/>
      <c r="GK3" s="12"/>
      <c r="GL3" s="12"/>
      <c r="GM3" s="67" t="s">
        <v>28</v>
      </c>
      <c r="GN3" s="67" t="s">
        <v>29</v>
      </c>
      <c r="GO3" s="67" t="s">
        <v>20</v>
      </c>
      <c r="GP3" s="67" t="s">
        <v>30</v>
      </c>
      <c r="GQ3" s="67" t="s">
        <v>56</v>
      </c>
      <c r="GR3" s="67" t="s">
        <v>28</v>
      </c>
      <c r="GS3" s="67" t="s">
        <v>29</v>
      </c>
      <c r="GT3" s="67" t="s">
        <v>20</v>
      </c>
      <c r="GU3" s="67" t="s">
        <v>30</v>
      </c>
      <c r="GV3" s="67" t="s">
        <v>56</v>
      </c>
      <c r="GW3" s="67" t="s">
        <v>28</v>
      </c>
      <c r="GX3" s="67" t="s">
        <v>29</v>
      </c>
      <c r="GY3" s="67" t="s">
        <v>20</v>
      </c>
      <c r="GZ3" s="67" t="s">
        <v>30</v>
      </c>
      <c r="HA3" s="67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35" t="s">
        <v>30</v>
      </c>
      <c r="HL3" s="56" t="s">
        <v>56</v>
      </c>
      <c r="HM3" s="35" t="s">
        <v>28</v>
      </c>
      <c r="HN3" s="35" t="s">
        <v>29</v>
      </c>
      <c r="HO3" s="35" t="s">
        <v>20</v>
      </c>
      <c r="HP3" s="35" t="s">
        <v>30</v>
      </c>
      <c r="HQ3" s="56" t="s">
        <v>56</v>
      </c>
      <c r="HR3" s="35" t="s">
        <v>28</v>
      </c>
      <c r="HS3" s="35" t="s">
        <v>29</v>
      </c>
      <c r="HT3" s="35" t="s">
        <v>20</v>
      </c>
      <c r="HU3" s="35" t="s">
        <v>30</v>
      </c>
      <c r="HV3" s="56" t="s">
        <v>56</v>
      </c>
      <c r="HW3" s="12"/>
      <c r="HX3" s="11"/>
      <c r="HY3" s="11"/>
      <c r="HZ3" s="11"/>
      <c r="IA3" s="12"/>
      <c r="IB3" s="12"/>
      <c r="IC3" s="67" t="s">
        <v>28</v>
      </c>
      <c r="ID3" s="67" t="s">
        <v>29</v>
      </c>
      <c r="IE3" s="67" t="s">
        <v>20</v>
      </c>
      <c r="IF3" s="67" t="s">
        <v>30</v>
      </c>
      <c r="IG3" s="67" t="s">
        <v>56</v>
      </c>
      <c r="IH3" s="67" t="s">
        <v>28</v>
      </c>
      <c r="II3" s="67" t="s">
        <v>29</v>
      </c>
      <c r="IJ3" s="67" t="s">
        <v>20</v>
      </c>
      <c r="IK3" s="67" t="s">
        <v>30</v>
      </c>
      <c r="IL3" s="67" t="s">
        <v>56</v>
      </c>
      <c r="IM3" s="67" t="s">
        <v>28</v>
      </c>
      <c r="IN3" s="67" t="s">
        <v>29</v>
      </c>
      <c r="IO3" s="67" t="s">
        <v>20</v>
      </c>
      <c r="IP3" s="67" t="s">
        <v>30</v>
      </c>
      <c r="IQ3" s="67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35" t="s">
        <v>30</v>
      </c>
      <c r="JB3" s="56" t="s">
        <v>56</v>
      </c>
      <c r="JC3" s="35" t="s">
        <v>28</v>
      </c>
      <c r="JD3" s="35" t="s">
        <v>29</v>
      </c>
      <c r="JE3" s="35" t="s">
        <v>20</v>
      </c>
      <c r="JF3" s="35" t="s">
        <v>30</v>
      </c>
      <c r="JG3" s="56" t="s">
        <v>56</v>
      </c>
      <c r="JH3" s="35" t="s">
        <v>28</v>
      </c>
      <c r="JI3" s="35" t="s">
        <v>29</v>
      </c>
      <c r="JJ3" s="35" t="s">
        <v>20</v>
      </c>
      <c r="JK3" s="35" t="s">
        <v>30</v>
      </c>
      <c r="JL3" s="56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4" t="s">
        <v>30</v>
      </c>
      <c r="JW3" s="57" t="s">
        <v>56</v>
      </c>
      <c r="JX3" s="34" t="s">
        <v>28</v>
      </c>
      <c r="JY3" s="34" t="s">
        <v>29</v>
      </c>
      <c r="JZ3" s="34" t="s">
        <v>20</v>
      </c>
      <c r="KA3" s="34" t="s">
        <v>30</v>
      </c>
      <c r="KB3" s="57" t="s">
        <v>56</v>
      </c>
      <c r="KC3" s="34" t="s">
        <v>28</v>
      </c>
      <c r="KD3" s="34" t="s">
        <v>29</v>
      </c>
      <c r="KE3" s="34" t="s">
        <v>20</v>
      </c>
      <c r="KF3" s="34" t="s">
        <v>30</v>
      </c>
      <c r="KG3" s="57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35" t="s">
        <v>30</v>
      </c>
      <c r="KR3" s="56" t="s">
        <v>56</v>
      </c>
      <c r="KS3" s="35" t="s">
        <v>28</v>
      </c>
      <c r="KT3" s="35" t="s">
        <v>29</v>
      </c>
      <c r="KU3" s="35" t="s">
        <v>20</v>
      </c>
      <c r="KV3" s="35" t="s">
        <v>30</v>
      </c>
      <c r="KW3" s="56" t="s">
        <v>56</v>
      </c>
      <c r="KX3" s="35" t="s">
        <v>28</v>
      </c>
      <c r="KY3" s="35" t="s">
        <v>29</v>
      </c>
      <c r="KZ3" s="35" t="s">
        <v>20</v>
      </c>
      <c r="LA3" s="35" t="s">
        <v>30</v>
      </c>
      <c r="LB3" s="56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4" t="s">
        <v>30</v>
      </c>
      <c r="LM3" s="57" t="s">
        <v>56</v>
      </c>
      <c r="LN3" s="57" t="s">
        <v>28</v>
      </c>
      <c r="LO3" s="34" t="s">
        <v>29</v>
      </c>
      <c r="LP3" s="34" t="s">
        <v>20</v>
      </c>
      <c r="LQ3" s="34" t="s">
        <v>30</v>
      </c>
      <c r="LR3" s="57" t="s">
        <v>56</v>
      </c>
      <c r="LS3" s="34" t="s">
        <v>28</v>
      </c>
      <c r="LT3" s="34" t="s">
        <v>29</v>
      </c>
      <c r="LU3" s="34" t="s">
        <v>20</v>
      </c>
      <c r="LV3" s="34" t="s">
        <v>30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46</v>
      </c>
      <c r="C4" s="8" t="s">
        <v>3</v>
      </c>
      <c r="D4" s="6">
        <v>1988</v>
      </c>
      <c r="E4" s="17">
        <f>SUM(J4:R4)</f>
        <v>262.13499999999999</v>
      </c>
      <c r="F4" s="4" t="str">
        <f>IF(OR(AND($AK4&gt;=$AL$16,NOT($AK4=""),$AJ4=""),AND($BG4&gt;=$BH$16,NOT($BG4=""),$BF4=""),AND($CC4&gt;=$CD$16,NOT($CC4=""),$CB4="")),"P","")</f>
        <v>P</v>
      </c>
      <c r="G4" s="4" t="str">
        <f>IF(OR(AND($AK4&gt;=$AL$17,NOT($AK4=""),$AJ4=""),AND($BG4&gt;=$BH$17,NOT($BG4=""),$BF4=""),AND($CC4&gt;=$CD$17,NOT($CC4=""),$CB4="")),"P","")</f>
        <v>P</v>
      </c>
      <c r="H4" s="4" t="str">
        <f>IF(OR(AND($AN4&gt;=$AL$18,NOT($AN4=""),$AJ4=""),AND($BJ4&gt;=$BH$18,NOT($BJ4=""),$BF4=""),AND($CF4&gt;=$CD$18,NOT($CF4=""),$CB4="")),"P","")</f>
        <v>P</v>
      </c>
      <c r="I4" t="str">
        <f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Funding</v>
      </c>
      <c r="J4" s="16">
        <f>MAX(AN4,BJ4,CF4)</f>
        <v>103.69999999999999</v>
      </c>
      <c r="K4" s="16" t="str">
        <f>IF(J4=CF4,$BM$1,IF(J4=BJ4,$AQ$1,IF(J4=AN4,$U$1,"")))</f>
        <v>2018 Canada Cup</v>
      </c>
      <c r="L4" s="16">
        <f>IF($J4=$AN4,MAX(BH4,CD4),IF($J4=$BJ4,MAX(AL4,CD4),MAX(AL4,BH4)))</f>
        <v>49.085000000000001</v>
      </c>
      <c r="M4" s="16" t="str">
        <f>IF(L4=CD4,$BM$1,IF(L4=BH4,$AQ$1,IF(L4=AL4,$U$1,"")))</f>
        <v>2018 Nationals</v>
      </c>
      <c r="N4" s="16">
        <f>IF($J4=$AN4,MAX(BI4,CE4),IF($J4=$BJ4,MAX(AM4,CE4),MAX(AM4,BI4)))</f>
        <v>54.36</v>
      </c>
      <c r="O4" s="16" t="str">
        <f>IF(AND(N4=CE4,$K4&lt;&gt;$BM$1),$BM$1,IF(AND(N4=BI4,$K4&lt;&gt;$AQ$1),$AQ$1,IF(AND(N4=AM4,$K4&lt;&gt;$U$1),$U$1,"")))</f>
        <v>2018 Nationals</v>
      </c>
      <c r="P4" s="16">
        <f>MAX(AO4,BK4,CG4)</f>
        <v>44.8</v>
      </c>
      <c r="Q4" s="16" t="str">
        <f>IF(P4=CG4,$BM$1,IF(P4=BK4,$AQ$1,IF(P4=AO4,$U$1,"")))</f>
        <v>2018 Canada Cup</v>
      </c>
      <c r="R4" s="16">
        <f>IF(MAX(CI4:CK4)&gt;0,MAX(CI4:CK4),"")</f>
        <v>10.189999999999998</v>
      </c>
      <c r="S4" s="31" t="str">
        <f>IF(R4="","",IF(R4=CI4,"(Vol 1)",IF(R4=CJ4,"(Vol 2)",IF(R4=CK4,"(Final)"))))</f>
        <v>(Final)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JPN (Aug)</v>
      </c>
      <c r="U4" s="81">
        <v>24.49</v>
      </c>
      <c r="V4" s="81">
        <v>0</v>
      </c>
      <c r="W4" s="81">
        <v>0</v>
      </c>
      <c r="X4" s="81">
        <v>0</v>
      </c>
      <c r="Y4" s="81">
        <v>0</v>
      </c>
      <c r="Z4" s="81">
        <v>28.518000000000001</v>
      </c>
      <c r="AA4" s="81">
        <v>0</v>
      </c>
      <c r="AB4" s="81">
        <v>0</v>
      </c>
      <c r="AC4" s="81">
        <v>0</v>
      </c>
      <c r="AD4" s="81">
        <v>0</v>
      </c>
      <c r="AE4" s="81">
        <v>26.36</v>
      </c>
      <c r="AF4" s="81">
        <v>0</v>
      </c>
      <c r="AG4" s="81">
        <v>0</v>
      </c>
      <c r="AH4" s="81">
        <v>0</v>
      </c>
      <c r="AI4" s="81">
        <v>0</v>
      </c>
      <c r="AJ4" s="93" t="s">
        <v>159</v>
      </c>
      <c r="AK4" s="13" t="str">
        <f>IF(SUM(W4,AB4)&gt;0,SUM(W4,AB4),"")</f>
        <v/>
      </c>
      <c r="AL4" s="13">
        <f>IF(SUM(U4:X4)-Y4&gt;0,SUM(U4:X4)-Y4,"")</f>
        <v>24.49</v>
      </c>
      <c r="AM4" s="13">
        <f>IF(SUM(Z4:AC4)-AD4&gt;0,SUM(Z4:AC4)-AD4,"")</f>
        <v>28.518000000000001</v>
      </c>
      <c r="AN4" s="13">
        <f>IF(SUM(AL4:AM4)&gt;0,SUM(AL4:AM4),"")</f>
        <v>53.007999999999996</v>
      </c>
      <c r="AO4" s="13">
        <f>IF(SUM(AE4:AH4)-AI4&gt;0,SUM(AE4:AH4)-AI4,"")</f>
        <v>26.36</v>
      </c>
      <c r="AP4" s="13">
        <f>IF(SUM(AN4,AO4)&gt;0,SUM(AN4,AO4),"")</f>
        <v>79.367999999999995</v>
      </c>
      <c r="AQ4" s="88">
        <v>18.399999999999999</v>
      </c>
      <c r="AR4" s="88">
        <v>9.4</v>
      </c>
      <c r="AS4" s="88">
        <v>4.4000000000000004</v>
      </c>
      <c r="AT4" s="88">
        <v>16.515000000000001</v>
      </c>
      <c r="AU4" s="88">
        <v>0</v>
      </c>
      <c r="AV4" s="88">
        <v>16</v>
      </c>
      <c r="AW4" s="88">
        <v>9.5</v>
      </c>
      <c r="AX4" s="88">
        <v>13.5</v>
      </c>
      <c r="AY4" s="88">
        <v>15.984999999999999</v>
      </c>
      <c r="AZ4" s="88">
        <v>0</v>
      </c>
      <c r="BA4" s="88">
        <v>14</v>
      </c>
      <c r="BB4" s="88">
        <v>7.45</v>
      </c>
      <c r="BC4" s="88">
        <v>10.4</v>
      </c>
      <c r="BD4" s="88">
        <v>12.95</v>
      </c>
      <c r="BE4" s="88">
        <v>0</v>
      </c>
      <c r="BF4" s="94"/>
      <c r="BG4" s="16">
        <f>IF(SUM(AS4,AX4)&gt;0,SUM(AS4,AX4),"")</f>
        <v>17.899999999999999</v>
      </c>
      <c r="BH4" s="16">
        <f>IF(SUM(AQ4:AT4)-AU4&gt;0,SUM(AQ4:AT4)-AU4,"")</f>
        <v>48.714999999999996</v>
      </c>
      <c r="BI4" s="16">
        <f>IF(SUM(AV4:AY4)-AZ4&gt;0,SUM(AV4:AY4)-AZ4,"")</f>
        <v>54.984999999999999</v>
      </c>
      <c r="BJ4" s="16">
        <f>IF(SUM(BH4:BI4)&gt;0,SUM(BH4:BI4),"")</f>
        <v>103.69999999999999</v>
      </c>
      <c r="BK4" s="16">
        <f>IF(SUM(BA4:BD4)-BE4&gt;0,SUM(BA4:BD4)-BE4,"")</f>
        <v>44.8</v>
      </c>
      <c r="BL4" s="16">
        <f>IF(SUM(BJ4,BK4)&gt;0,SUM(BJ4,BK4),"")</f>
        <v>148.5</v>
      </c>
      <c r="BM4" s="47">
        <v>18.8</v>
      </c>
      <c r="BN4" s="47">
        <v>9.4</v>
      </c>
      <c r="BO4" s="47">
        <v>4.4000000000000004</v>
      </c>
      <c r="BP4" s="47">
        <v>16.484999999999999</v>
      </c>
      <c r="BQ4" s="47">
        <v>0</v>
      </c>
      <c r="BR4" s="47">
        <v>16.5</v>
      </c>
      <c r="BS4" s="47">
        <v>9.0500000000000007</v>
      </c>
      <c r="BT4" s="47">
        <v>13.3</v>
      </c>
      <c r="BU4" s="47">
        <v>15.51</v>
      </c>
      <c r="BV4" s="47">
        <v>0</v>
      </c>
      <c r="BW4" s="47">
        <v>3.2</v>
      </c>
      <c r="BX4" s="47">
        <v>1.5</v>
      </c>
      <c r="BY4" s="47">
        <v>2.5</v>
      </c>
      <c r="BZ4" s="47">
        <v>3.43</v>
      </c>
      <c r="CA4" s="47">
        <v>0</v>
      </c>
      <c r="CB4" s="93"/>
      <c r="CC4" s="13">
        <f>IF(SUM(BO4,BT4)&gt;0,SUM(BO4,BT4),"")</f>
        <v>17.700000000000003</v>
      </c>
      <c r="CD4" s="13">
        <f>IF(SUM(BM4:BP4)-BQ4&gt;0,SUM(BM4:BP4)-BQ4,"")</f>
        <v>49.085000000000001</v>
      </c>
      <c r="CE4" s="13">
        <f>IF(SUM(BR4:BU4)-BV4&gt;0,SUM(BR4:BU4)-BV4,"")</f>
        <v>54.36</v>
      </c>
      <c r="CF4" s="13">
        <f>IF(SUM(CD4:CE4)&gt;0,SUM(CD4:CE4),"")</f>
        <v>103.44499999999999</v>
      </c>
      <c r="CG4" s="13">
        <f>IF(SUM(BW4:BZ4)-CA4&gt;0,SUM(BW4:BZ4)-CA4,"")</f>
        <v>10.63</v>
      </c>
      <c r="CH4" s="13">
        <f>IF(SUM(CF4,CG4)&gt;0,SUM(CF4,CG4),"")</f>
        <v>114.07499999999999</v>
      </c>
      <c r="CI4" s="30" t="str">
        <f>IF(MAX(DB4,DW4,ER4,FM4,GH4,HC4,HX4,IS4,JN4,KI4,LD4,LY4)-L4&gt;0.001,MAX(DB4,DW4,ER4,FM4,GH4,HC4,HX4,IS4,JN4,KI4,LD4,LY4)-L4,"")</f>
        <v/>
      </c>
      <c r="CJ4" s="30">
        <f>IF(MAX(DC4,DX4,ES4,FN4,GI4,HD4,HY4,IT4,JO4,KJ4,LE4,LZ4)-N4&gt;0.001,MAX(DC4,DX4,ES4,FN4,GI4,HD4,HY4,IT4,JO4,KJ4,LE4,LZ4)-N4,"")</f>
        <v>0.58500000000000085</v>
      </c>
      <c r="CK4" s="30">
        <f>IF(MAX(DE4,DZ4,EU4,FP4,GK4,HF4,IA4,IV4,JQ4,KL4,LG4,MB4)-P4&gt;0.001,MAX(DE4,DZ4,EU4,FP4,GK4,HF4,IA4,IV4,JQ4,KL4,LG4,MB4)-P4,"")</f>
        <v>10.189999999999998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>
        <v>18.399999999999999</v>
      </c>
      <c r="DH4" s="48">
        <v>9.4499999999999993</v>
      </c>
      <c r="DI4" s="48">
        <v>4.3</v>
      </c>
      <c r="DJ4" s="48">
        <v>16.61</v>
      </c>
      <c r="DK4" s="48">
        <v>0</v>
      </c>
      <c r="DL4" s="48">
        <v>15.8</v>
      </c>
      <c r="DM4" s="48">
        <v>8.65</v>
      </c>
      <c r="DN4" s="48">
        <v>14.6</v>
      </c>
      <c r="DO4" s="48">
        <v>15.72</v>
      </c>
      <c r="DP4" s="48">
        <v>0</v>
      </c>
      <c r="DQ4" s="48"/>
      <c r="DR4" s="48"/>
      <c r="DS4" s="48"/>
      <c r="DT4" s="48"/>
      <c r="DU4" s="48"/>
      <c r="DV4" s="16">
        <f>IF(SUM(DI4,DN4)&gt;0,SUM(DI4,DN4),"")</f>
        <v>18.899999999999999</v>
      </c>
      <c r="DW4" s="16">
        <f>IF(SUM(DG4:DJ4)-DK4&gt;0,SUM(DG4:DJ4)-DK4,"")</f>
        <v>48.76</v>
      </c>
      <c r="DX4" s="16">
        <f>IF(SUM(DL4:DO4)-DP4&gt;0,SUM(DL4:DO4)-DP4,"")</f>
        <v>54.77</v>
      </c>
      <c r="DY4" s="16">
        <f>IF(SUM(DW4:DX4)&gt;0,SUM(DW4:DX4),"")</f>
        <v>103.53</v>
      </c>
      <c r="DZ4" s="16" t="str">
        <f>IF(SUM(DQ4:DT4)-DU4&gt;0,SUM(DQ4:DT4)-DU4,"")</f>
        <v/>
      </c>
      <c r="EA4" s="16">
        <f>IF(SUM(DY4,DZ4)&gt;0,SUM(DY4,DZ4),"")</f>
        <v>103.53</v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>
        <v>17.8</v>
      </c>
      <c r="JT4" s="48">
        <v>9.5</v>
      </c>
      <c r="JU4" s="48">
        <v>4.4000000000000004</v>
      </c>
      <c r="JV4" s="48">
        <v>16.68</v>
      </c>
      <c r="JW4" s="48">
        <v>0</v>
      </c>
      <c r="JX4" s="48">
        <v>16.100000000000001</v>
      </c>
      <c r="JY4" s="48">
        <v>8.5500000000000007</v>
      </c>
      <c r="JZ4" s="48">
        <v>14.6</v>
      </c>
      <c r="KA4" s="48">
        <v>15.695</v>
      </c>
      <c r="KB4" s="48">
        <v>0</v>
      </c>
      <c r="KC4" s="48">
        <v>15.8</v>
      </c>
      <c r="KD4" s="48">
        <v>8.75</v>
      </c>
      <c r="KE4" s="48">
        <v>14.6</v>
      </c>
      <c r="KF4" s="48">
        <v>15.84</v>
      </c>
      <c r="KG4" s="48">
        <v>0</v>
      </c>
      <c r="KH4" s="16">
        <f>IF(SUM(JU4,JZ4)&gt;0,SUM(JU4,JZ4),"")</f>
        <v>19</v>
      </c>
      <c r="KI4" s="16">
        <f>IF(SUM(JS4:JV4)-JW4&gt;0,SUM(JS4:JV4)-JW4,"")</f>
        <v>48.38</v>
      </c>
      <c r="KJ4" s="16">
        <f>IF(SUM(JX4:KA4)-KB4&gt;0,SUM(JX4:KA4)-KB4,"")</f>
        <v>54.945</v>
      </c>
      <c r="KK4" s="16">
        <f>IF(SUM(KI4:KJ4)&gt;0,SUM(KI4:KJ4),"")</f>
        <v>103.325</v>
      </c>
      <c r="KL4" s="16">
        <f>IF(SUM(KC4:KF4)-KG4&gt;0,SUM(KC4:KF4)-KG4,"")</f>
        <v>54.989999999999995</v>
      </c>
      <c r="KM4" s="16">
        <f>IF(SUM(KK4,KL4)&gt;0,SUM(KK4,KL4),"")</f>
        <v>158.315</v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42</v>
      </c>
      <c r="C5" s="5" t="s">
        <v>12</v>
      </c>
      <c r="D5" s="33">
        <v>1997</v>
      </c>
      <c r="E5" s="17">
        <f>SUM(J5:R5)</f>
        <v>261.755</v>
      </c>
      <c r="F5" s="4" t="str">
        <f>IF(OR(AND($AK5&gt;=$AL$16,NOT($AK5=""),$AJ5=""),AND($BG5&gt;=$BH$16,NOT($BG5=""),$BF5=""),AND($CC5&gt;=$CD$16,NOT($CC5=""),$CB5="")),"P","")</f>
        <v>P</v>
      </c>
      <c r="G5" s="4" t="str">
        <f>IF(OR(AND($AK5&gt;=$AL$17,NOT($AK5=""),$AJ5=""),AND($BG5&gt;=$BH$17,NOT($BG5=""),$BF5=""),AND($CC5&gt;=$CD$17,NOT($CC5=""),$CB5="")),"P","")</f>
        <v>P</v>
      </c>
      <c r="H5" s="4" t="str">
        <f>IF(OR(AND($AN5&gt;=$AL$18,NOT($AN5=""),$AJ5=""),AND($BJ5&gt;=$BH$18,NOT($BJ5=""),$BF5=""),AND($CF5&gt;=$CD$18,NOT($CF5=""),$CB5="")),"P","")</f>
        <v>P</v>
      </c>
      <c r="I5" t="str">
        <f>IF(AND(G5="P",OR(AND($AM5&gt;$AL$21,NOT($AM5=""),$AJ5=""),AND($AO5&gt;$AL$21,NOT($AO5=""),$AJ5=""),AND($BI5&gt;$BH$21,NOT($BI5=""),$BF5=""),AND($BK5&gt;$BH$21,NOT($BK5=""),$BF5=""),AND($CE5&gt;$CD$21,NOT($CE5=""),$CB5=""),AND($CG5&gt;$CD$21,NOT($CG5=""),$CB5=""))),"Merit",IF(AND(G5="P",OR(AND($AN5&gt;$AL$20,NOT($AN5=""),$AJ5=""),AND($BJ5&gt;$BH$20,NOT($BJ5=""),$BF5=""),AND($CF5&gt;$CD$20,NOT($CF5=""),$CB5=""))),"Funding",IF(AND(G5="P",OR(AND($AN5&gt;$AL$19,NOT($AN5=""),$AJ5=""),AND($BJ5&gt;$BH$19,NOT($BJ5=""),$BF5=""),AND($CF5&gt;$CD$19,NOT($CF5=""),$CB5=""))),"Worlds Team",IF(AND(F5="P",OR(AND($AN5&gt;$AL$18,NOT($AN5=""),$AJ5=""),AND($BJ5&gt;$BH$18,NOT($BJ5=""),$BF5=""),AND($CF5&gt;$CD$18,NOT($CF5=""),$CB5=""))),"National Team",""))))</f>
        <v>Merit</v>
      </c>
      <c r="J5" s="16">
        <f>MAX(AN5,BJ5,CF5)</f>
        <v>104.09</v>
      </c>
      <c r="K5" s="16" t="str">
        <f>IF(J5=CF5,$BM$1,IF(J5=BJ5,$AQ$1,IF(J5=AN5,$U$1,"")))</f>
        <v>2018 Canada Cup</v>
      </c>
      <c r="L5" s="16">
        <f>IF($J5=$AN5,MAX(BH5,CD5),IF($J5=$BJ5,MAX(AL5,CD5),MAX(AL5,BH5)))</f>
        <v>48.339999999999996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52.87</v>
      </c>
      <c r="O5" s="16" t="str">
        <f>IF(AND(N5=CE5,$K5&lt;&gt;$BM$1),$BM$1,IF(AND(N5=BI5,$K5&lt;&gt;$AQ$1),$AQ$1,IF(AND(N5=AM5,$K5&lt;&gt;$U$1),$U$1,"")))</f>
        <v>2017 3rd Domestic Trial</v>
      </c>
      <c r="P5" s="16">
        <f>MAX(AO5,BK5,CG5)</f>
        <v>55.695</v>
      </c>
      <c r="Q5" s="16" t="str">
        <f>IF(P5=CG5,$BM$1,IF(P5=BK5,$AQ$1,IF(P5=AO5,$U$1,"")))</f>
        <v>2018 Canada Cup</v>
      </c>
      <c r="R5" s="16">
        <f>IF(MAX(CI5:CK5)&gt;0,MAX(CI5:CK5),"")</f>
        <v>0.75999999999999801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2017 World Cup POR (Sept)</v>
      </c>
      <c r="U5" s="47">
        <v>13.1</v>
      </c>
      <c r="V5" s="47">
        <v>6.7</v>
      </c>
      <c r="W5" s="47">
        <v>1.9</v>
      </c>
      <c r="X5" s="47">
        <v>11.87</v>
      </c>
      <c r="Y5" s="47">
        <v>0</v>
      </c>
      <c r="Z5" s="47">
        <v>15.6</v>
      </c>
      <c r="AA5" s="47">
        <v>8.9</v>
      </c>
      <c r="AB5" s="47">
        <v>12.8</v>
      </c>
      <c r="AC5" s="47">
        <v>15.57</v>
      </c>
      <c r="AD5" s="47">
        <v>0</v>
      </c>
      <c r="AE5" s="47">
        <v>16.100000000000001</v>
      </c>
      <c r="AF5" s="47">
        <v>8.9</v>
      </c>
      <c r="AG5" s="47">
        <v>13.8</v>
      </c>
      <c r="AH5" s="47">
        <v>15.265000000000001</v>
      </c>
      <c r="AI5" s="47">
        <v>0</v>
      </c>
      <c r="AJ5" s="93"/>
      <c r="AK5" s="13">
        <f>IF(SUM(W5,AB5)&gt;0,SUM(W5,AB5),"")</f>
        <v>14.700000000000001</v>
      </c>
      <c r="AL5" s="13">
        <f>IF(SUM(U5:X5)-Y5&gt;0,SUM(U5:X5)-Y5,"")</f>
        <v>33.57</v>
      </c>
      <c r="AM5" s="13">
        <f>IF(SUM(Z5:AC5)-AD5&gt;0,SUM(Z5:AC5)-AD5,"")</f>
        <v>52.87</v>
      </c>
      <c r="AN5" s="13">
        <f>IF(SUM(AL5:AM5)&gt;0,SUM(AL5:AM5),"")</f>
        <v>86.44</v>
      </c>
      <c r="AO5" s="13">
        <f>IF(SUM(AE5:AH5)-AI5&gt;0,SUM(AE5:AH5)-AI5,"")</f>
        <v>54.064999999999998</v>
      </c>
      <c r="AP5" s="13">
        <f>IF(SUM(AN5,AO5)&gt;0,SUM(AN5,AO5),"")</f>
        <v>140.505</v>
      </c>
      <c r="AQ5" s="88">
        <v>17.600000000000001</v>
      </c>
      <c r="AR5" s="88">
        <v>9.1999999999999993</v>
      </c>
      <c r="AS5" s="88">
        <v>4.9000000000000004</v>
      </c>
      <c r="AT5" s="88">
        <v>16.734999999999999</v>
      </c>
      <c r="AU5" s="88">
        <v>0</v>
      </c>
      <c r="AV5" s="88">
        <v>16.399999999999999</v>
      </c>
      <c r="AW5" s="88">
        <v>9.4</v>
      </c>
      <c r="AX5" s="88">
        <v>13.8</v>
      </c>
      <c r="AY5" s="88">
        <v>16.055</v>
      </c>
      <c r="AZ5" s="88">
        <v>0</v>
      </c>
      <c r="BA5" s="88">
        <v>17</v>
      </c>
      <c r="BB5" s="88">
        <v>8.9</v>
      </c>
      <c r="BC5" s="88">
        <v>13.8</v>
      </c>
      <c r="BD5" s="88">
        <v>15.994999999999999</v>
      </c>
      <c r="BE5" s="88">
        <v>0</v>
      </c>
      <c r="BF5" s="94"/>
      <c r="BG5" s="16">
        <f>IF(SUM(AS5,AX5)&gt;0,SUM(AS5,AX5),"")</f>
        <v>18.700000000000003</v>
      </c>
      <c r="BH5" s="16">
        <f>IF(SUM(AQ5:AT5)-AU5&gt;0,SUM(AQ5:AT5)-AU5,"")</f>
        <v>48.435000000000002</v>
      </c>
      <c r="BI5" s="16">
        <f>IF(SUM(AV5:AY5)-AZ5&gt;0,SUM(AV5:AY5)-AZ5,"")</f>
        <v>55.654999999999994</v>
      </c>
      <c r="BJ5" s="16">
        <f>IF(SUM(BH5:BI5)&gt;0,SUM(BH5:BI5),"")</f>
        <v>104.09</v>
      </c>
      <c r="BK5" s="16">
        <f>IF(SUM(BA5:BD5)-BE5&gt;0,SUM(BA5:BD5)-BE5,"")</f>
        <v>55.695</v>
      </c>
      <c r="BL5" s="16">
        <f>IF(SUM(BJ5,BK5)&gt;0,SUM(BJ5,BK5),"")</f>
        <v>159.785</v>
      </c>
      <c r="BM5" s="47">
        <v>17.399999999999999</v>
      </c>
      <c r="BN5" s="47">
        <v>9.25</v>
      </c>
      <c r="BO5" s="47">
        <v>4.9000000000000004</v>
      </c>
      <c r="BP5" s="47">
        <v>16.79</v>
      </c>
      <c r="BQ5" s="47">
        <v>0</v>
      </c>
      <c r="BR5" s="47">
        <v>3.4</v>
      </c>
      <c r="BS5" s="47">
        <v>1.85</v>
      </c>
      <c r="BT5" s="47">
        <v>3.2</v>
      </c>
      <c r="BU5" s="47">
        <v>3.39</v>
      </c>
      <c r="BV5" s="47">
        <v>0</v>
      </c>
      <c r="BW5" s="47">
        <v>16.3</v>
      </c>
      <c r="BX5" s="47">
        <v>8.9499999999999993</v>
      </c>
      <c r="BY5" s="47">
        <v>13.8</v>
      </c>
      <c r="BZ5" s="47">
        <v>15.69</v>
      </c>
      <c r="CA5" s="47">
        <v>0</v>
      </c>
      <c r="CB5" s="93"/>
      <c r="CC5" s="13">
        <f>IF(SUM(BO5,BT5)&gt;0,SUM(BO5,BT5),"")</f>
        <v>8.1000000000000014</v>
      </c>
      <c r="CD5" s="13">
        <f>IF(SUM(BM5:BP5)-BQ5&gt;0,SUM(BM5:BP5)-BQ5,"")</f>
        <v>48.339999999999996</v>
      </c>
      <c r="CE5" s="13">
        <f>IF(SUM(BR5:BU5)-BV5&gt;0,SUM(BR5:BU5)-BV5,"")</f>
        <v>11.84</v>
      </c>
      <c r="CF5" s="13">
        <f>IF(SUM(CD5:CE5)&gt;0,SUM(CD5:CE5),"")</f>
        <v>60.179999999999993</v>
      </c>
      <c r="CG5" s="13">
        <f>IF(SUM(BW5:BZ5)-CA5&gt;0,SUM(BW5:BZ5)-CA5,"")</f>
        <v>54.739999999999995</v>
      </c>
      <c r="CH5" s="13">
        <f>IF(SUM(CF5,CG5)&gt;0,SUM(CF5,CG5),"")</f>
        <v>114.91999999999999</v>
      </c>
      <c r="CI5" s="30" t="str">
        <f>IF(MAX(DB5,DW5,ER5,FM5,GH5,HC5,HX5,IS5,JN5,KI5,LD5,LY5)-L5&gt;0.001,MAX(DB5,DW5,ER5,FM5,GH5,HC5,HX5,IS5,JN5,KI5,LD5,LY5)-L5,"")</f>
        <v/>
      </c>
      <c r="CJ5" s="30">
        <f>IF(MAX(DC5,DX5,ES5,FN5,GI5,HD5,HY5,IT5,JO5,KJ5,LE5,LZ5)-N5&gt;0.001,MAX(DC5,DX5,ES5,FN5,GI5,HD5,HY5,IT5,JO5,KJ5,LE5,LZ5)-N5,"")</f>
        <v>0.75999999999999801</v>
      </c>
      <c r="CK5" s="30" t="str">
        <f>IF(MAX(DE5,DZ5,EU5,FP5,GK5,HF5,IA5,IV5,JQ5,KL5,LG5,MB5)-P5&gt;0.001,MAX(DE5,DZ5,EU5,FP5,GK5,HF5,IA5,IV5,JQ5,KL5,LG5,MB5)-P5,"")</f>
        <v/>
      </c>
      <c r="CL5" s="47">
        <v>16</v>
      </c>
      <c r="CM5" s="47">
        <v>4.0999999999999996</v>
      </c>
      <c r="CN5" s="47">
        <v>9.15</v>
      </c>
      <c r="CO5" s="47">
        <v>15.904999999999999</v>
      </c>
      <c r="CP5" s="47">
        <v>0</v>
      </c>
      <c r="CQ5" s="47">
        <v>15.2</v>
      </c>
      <c r="CR5" s="47">
        <v>9.3000000000000007</v>
      </c>
      <c r="CS5" s="47">
        <v>13.8</v>
      </c>
      <c r="CT5" s="47">
        <v>15.33</v>
      </c>
      <c r="CU5" s="47">
        <v>0</v>
      </c>
      <c r="CV5" s="47"/>
      <c r="CW5" s="47"/>
      <c r="CX5" s="47"/>
      <c r="CY5" s="47"/>
      <c r="CZ5" s="47"/>
      <c r="DA5" s="13">
        <f>IF(SUM(CN5,CS5)&gt;0,SUM(CN5,CS5),"")</f>
        <v>22.950000000000003</v>
      </c>
      <c r="DB5" s="13">
        <f>IF(SUM(CL5:CO5)-CP5&gt;0,SUM(CL5:CO5)-CP5,"")</f>
        <v>45.155000000000001</v>
      </c>
      <c r="DC5" s="13">
        <f>IF(SUM(CQ5:CT5)-CU5&gt;0,SUM(CQ5:CT5)-CU5,"")</f>
        <v>53.629999999999995</v>
      </c>
      <c r="DD5" s="13">
        <f>IF(SUM(DB5:DC5)&gt;0,SUM(DB5:DC5),"")</f>
        <v>98.784999999999997</v>
      </c>
      <c r="DE5" s="13" t="str">
        <f>IF(SUM(CV5:CY5)-CZ5&gt;0,SUM(CV5:CY5)-CZ5,"")</f>
        <v/>
      </c>
      <c r="DF5" s="13">
        <f>IF(SUM(DD5,DE5)&gt;0,SUM(DD5,DE5),"")</f>
        <v>98.784999999999997</v>
      </c>
      <c r="DG5" s="48">
        <v>15.6</v>
      </c>
      <c r="DH5" s="48">
        <v>9.0500000000000007</v>
      </c>
      <c r="DI5" s="48">
        <v>4.8</v>
      </c>
      <c r="DJ5" s="48">
        <v>16.59</v>
      </c>
      <c r="DK5" s="48">
        <v>0</v>
      </c>
      <c r="DL5" s="48">
        <v>15</v>
      </c>
      <c r="DM5" s="48">
        <v>8.75</v>
      </c>
      <c r="DN5" s="48">
        <v>13.8</v>
      </c>
      <c r="DO5" s="48">
        <v>15.535</v>
      </c>
      <c r="DP5" s="48">
        <v>0</v>
      </c>
      <c r="DQ5" s="48"/>
      <c r="DR5" s="48"/>
      <c r="DS5" s="48"/>
      <c r="DT5" s="48"/>
      <c r="DU5" s="48"/>
      <c r="DV5" s="16">
        <f>IF(SUM(DI5,DN5)&gt;0,SUM(DI5,DN5),"")</f>
        <v>18.600000000000001</v>
      </c>
      <c r="DW5" s="16">
        <f>IF(SUM(DG5:DJ5)-DK5&gt;0,SUM(DG5:DJ5)-DK5,"")</f>
        <v>46.04</v>
      </c>
      <c r="DX5" s="16">
        <f>IF(SUM(DL5:DO5)-DP5&gt;0,SUM(DL5:DO5)-DP5,"")</f>
        <v>53.084999999999994</v>
      </c>
      <c r="DY5" s="16">
        <f>IF(SUM(DW5:DX5)&gt;0,SUM(DW5:DX5),"")</f>
        <v>99.125</v>
      </c>
      <c r="DZ5" s="16" t="str">
        <f>IF(SUM(DQ5:DT5)-DU5&gt;0,SUM(DQ5:DT5)-DU5,"")</f>
        <v/>
      </c>
      <c r="EA5" s="16">
        <f>IF(SUM(DY5,DZ5)&gt;0,SUM(DY5,DZ5),"")</f>
        <v>99.125</v>
      </c>
      <c r="EB5" s="47">
        <v>16.100000000000001</v>
      </c>
      <c r="EC5" s="47">
        <v>8.9499999999999993</v>
      </c>
      <c r="ED5" s="47">
        <v>4.8</v>
      </c>
      <c r="EE5" s="47">
        <v>16.18</v>
      </c>
      <c r="EF5" s="47">
        <v>0</v>
      </c>
      <c r="EG5" s="47">
        <v>15.3</v>
      </c>
      <c r="EH5" s="47">
        <v>8.9</v>
      </c>
      <c r="EI5" s="47">
        <v>12.9</v>
      </c>
      <c r="EJ5" s="47">
        <v>15.395</v>
      </c>
      <c r="EK5" s="47">
        <v>0</v>
      </c>
      <c r="EL5" s="47"/>
      <c r="EM5" s="47"/>
      <c r="EN5" s="47"/>
      <c r="EO5" s="47"/>
      <c r="EP5" s="47"/>
      <c r="EQ5" s="13">
        <f>IF(SUM(ED5,EI5)&gt;0,SUM(ED5,EI5),"")</f>
        <v>17.7</v>
      </c>
      <c r="ER5" s="13">
        <f>IF(SUM(EB5:EE5)-EF5&gt;0,SUM(EB5:EE5)-EF5,"")</f>
        <v>46.03</v>
      </c>
      <c r="ES5" s="13">
        <f>IF(SUM(EG5:EJ5)-EK5&gt;0,SUM(EG5:EJ5)-EK5,"")</f>
        <v>52.495000000000005</v>
      </c>
      <c r="ET5" s="13">
        <f>IF(SUM(ER5:ES5)&gt;0,SUM(ER5:ES5),"")</f>
        <v>98.525000000000006</v>
      </c>
      <c r="EU5" s="13" t="str">
        <f>IF(SUM(EL5:EO5)-EP5&gt;0,SUM(EL5:EO5)-EP5,"")</f>
        <v/>
      </c>
      <c r="EV5" s="13">
        <f>IF(SUM(ET5,EU5)&gt;0,SUM(ET5,EU5),"")</f>
        <v>98.525000000000006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>
        <v>50.79</v>
      </c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>
        <f>IF(SUM(GB5:GE5)-GF5&gt;0,SUM(GB5:GE5)-GF5,"")</f>
        <v>50.79</v>
      </c>
      <c r="GL5" s="13">
        <f>IF(SUM(GJ5,GK5)&gt;0,SUM(GJ5,GK5),"")</f>
        <v>50.79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>
        <v>16.5</v>
      </c>
      <c r="IY5" s="47">
        <v>9.5500000000000007</v>
      </c>
      <c r="IZ5" s="47">
        <v>4.9000000000000004</v>
      </c>
      <c r="JA5" s="47">
        <v>16.600000000000001</v>
      </c>
      <c r="JB5" s="47">
        <v>0</v>
      </c>
      <c r="JC5" s="47">
        <v>14.8</v>
      </c>
      <c r="JD5" s="47">
        <v>8.5500000000000007</v>
      </c>
      <c r="JE5" s="47">
        <v>10.7</v>
      </c>
      <c r="JF5" s="47">
        <v>15.605</v>
      </c>
      <c r="JG5" s="47">
        <v>0</v>
      </c>
      <c r="JH5" s="47"/>
      <c r="JI5" s="47"/>
      <c r="JJ5" s="47"/>
      <c r="JK5" s="47"/>
      <c r="JL5" s="47"/>
      <c r="JM5" s="13">
        <f>IF(SUM(IZ5,JE5)&gt;0,SUM(IZ5,JE5),"")</f>
        <v>15.6</v>
      </c>
      <c r="JN5" s="13">
        <f>IF(SUM(IX5:JA5)-JB5&gt;0,SUM(IX5:JA5)-JB5,"")</f>
        <v>47.550000000000004</v>
      </c>
      <c r="JO5" s="13">
        <f>IF(SUM(JC5:JF5)-JG5&gt;0,SUM(JC5:JF5)-JG5,"")</f>
        <v>49.655000000000001</v>
      </c>
      <c r="JP5" s="13">
        <f>IF(SUM(JN5:JO5)&gt;0,SUM(JN5:JO5),"")</f>
        <v>97.205000000000013</v>
      </c>
      <c r="JQ5" s="13" t="str">
        <f>IF(SUM(JH5:JK5)-JL5&gt;0,SUM(JH5:JK5)-JL5,"")</f>
        <v/>
      </c>
      <c r="JR5" s="13">
        <f>IF(SUM(JP5,JQ5)&gt;0,SUM(JP5,JQ5),"")</f>
        <v>97.205000000000013</v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41</v>
      </c>
      <c r="C6" s="5" t="s">
        <v>12</v>
      </c>
      <c r="D6" s="33">
        <v>1998</v>
      </c>
      <c r="E6" s="17">
        <f>SUM(J6:R6)</f>
        <v>261.16500000000002</v>
      </c>
      <c r="F6" s="4" t="str">
        <f>IF(OR(AND($AK6&gt;=$AL$16,NOT($AK6=""),$AJ6=""),AND($BG6&gt;=$BH$16,NOT($BG6=""),$BF6=""),AND($CC6&gt;=$CD$16,NOT($CC6=""),$CB6="")),"P","")</f>
        <v>P</v>
      </c>
      <c r="G6" s="4" t="str">
        <f>IF(OR(AND($AK6&gt;=$AL$17,NOT($AK6=""),$AJ6=""),AND($BG6&gt;=$BH$17,NOT($BG6=""),$BF6=""),AND($CC6&gt;=$CD$17,NOT($CC6=""),$CB6="")),"P","")</f>
        <v>P</v>
      </c>
      <c r="H6" s="4" t="str">
        <f>IF(OR(AND($AN6&gt;=$AL$18,NOT($AN6=""),$AJ6=""),AND($BJ6&gt;=$BH$18,NOT($BJ6=""),$BF6=""),AND($CF6&gt;=$CD$18,NOT($CF6=""),$CB6="")),"P","")</f>
        <v>P</v>
      </c>
      <c r="I6" t="str">
        <f>IF(AND(G6="P",OR(AND($AM6&gt;$AL$21,NOT($AM6=""),$AJ6=""),AND($AO6&gt;$AL$21,NOT($AO6=""),$AJ6=""),AND($BI6&gt;$BH$21,NOT($BI6=""),$BF6=""),AND($BK6&gt;$BH$21,NOT($BK6=""),$BF6=""),AND($CE6&gt;$CD$21,NOT($CE6=""),$CB6=""),AND($CG6&gt;$CD$21,NOT($CG6=""),$CB6=""))),"Merit",IF(AND(G6="P",OR(AND($AN6&gt;$AL$20,NOT($AN6=""),$AJ6=""),AND($BJ6&gt;$BH$20,NOT($BJ6=""),$BF6=""),AND($CF6&gt;$CD$20,NOT($CF6=""),$CB6=""))),"Funding",IF(AND(G6="P",OR(AND($AN6&gt;$AL$19,NOT($AN6=""),$AJ6=""),AND($BJ6&gt;$BH$19,NOT($BJ6=""),$BF6=""),AND($CF6&gt;$CD$19,NOT($CF6=""),$CB6=""))),"Worlds Team",IF(AND(F6="P",OR(AND($AN6&gt;$AL$18,NOT($AN6=""),$AJ6=""),AND($BJ6&gt;$BH$18,NOT($BJ6=""),$BF6=""),AND($CF6&gt;$CD$18,NOT($CF6=""),$CB6=""))),"National Team",""))))</f>
        <v>Merit</v>
      </c>
      <c r="J6" s="16">
        <f>MAX(AN6,BJ6,CF6)</f>
        <v>103.27</v>
      </c>
      <c r="K6" s="16" t="str">
        <f>IF(J6=CF6,$BM$1,IF(J6=BJ6,$AQ$1,IF(J6=AN6,$U$1,"")))</f>
        <v>2018 Nationals</v>
      </c>
      <c r="L6" s="16">
        <f>IF($J6=$AN6,MAX(BH6,CD6),IF($J6=$BJ6,MAX(AL6,CD6),MAX(AL6,BH6)))</f>
        <v>47.160000000000004</v>
      </c>
      <c r="M6" s="16" t="str">
        <f>IF(L6=CD6,$BM$1,IF(L6=BH6,$AQ$1,IF(L6=AL6,$U$1,"")))</f>
        <v>2017 3rd Domestic Trial</v>
      </c>
      <c r="N6" s="16">
        <f>IF($J6=$AN6,MAX(BI6,CE6),IF($J6=$BJ6,MAX(AM6,CE6),MAX(AM6,BI6)))</f>
        <v>55.245000000000005</v>
      </c>
      <c r="O6" s="16" t="str">
        <f>IF(AND(N6=CE6,$K6&lt;&gt;$BM$1),$BM$1,IF(AND(N6=BI6,$K6&lt;&gt;$AQ$1),$AQ$1,IF(AND(N6=AM6,$K6&lt;&gt;$U$1),$U$1,"")))</f>
        <v>2018 Canada Cup</v>
      </c>
      <c r="P6" s="16">
        <f>MAX(AO6,BK6,CG6)</f>
        <v>54.42</v>
      </c>
      <c r="Q6" s="16" t="str">
        <f>IF(P6=CG6,$BM$1,IF(P6=BK6,$AQ$1,IF(P6=AO6,$U$1,"")))</f>
        <v>2018 Canada Cup</v>
      </c>
      <c r="R6" s="16">
        <f>IF(MAX(CI6:CK6)&gt;0,MAX(CI6:CK6),"")</f>
        <v>1.0700000000000003</v>
      </c>
      <c r="S6" s="31" t="str">
        <f>IF(R6="","",IF(R6=CI6,"(Vol 1)",IF(R6=CJ6,"(Vol 2)",IF(R6=CK6,"(Final)"))))</f>
        <v>(Final)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2017 World Championships (Nov)</v>
      </c>
      <c r="U6" s="47">
        <v>18.100000000000001</v>
      </c>
      <c r="V6" s="47">
        <v>9.1</v>
      </c>
      <c r="W6" s="47">
        <v>4.0999999999999996</v>
      </c>
      <c r="X6" s="47">
        <v>15.86</v>
      </c>
      <c r="Y6" s="47">
        <v>0</v>
      </c>
      <c r="Z6" s="47">
        <v>8.6</v>
      </c>
      <c r="AA6" s="47">
        <v>4.7</v>
      </c>
      <c r="AB6" s="47">
        <v>6.9</v>
      </c>
      <c r="AC6" s="47">
        <v>7.7</v>
      </c>
      <c r="AD6" s="47">
        <v>0</v>
      </c>
      <c r="AE6" s="47">
        <v>17.399999999999999</v>
      </c>
      <c r="AF6" s="47">
        <v>9.1</v>
      </c>
      <c r="AG6" s="47">
        <v>12</v>
      </c>
      <c r="AH6" s="47">
        <v>14.815</v>
      </c>
      <c r="AI6" s="47">
        <v>0</v>
      </c>
      <c r="AJ6" s="93"/>
      <c r="AK6" s="13">
        <f>IF(SUM(W6,AB6)&gt;0,SUM(W6,AB6),"")</f>
        <v>11</v>
      </c>
      <c r="AL6" s="13">
        <f>IF(SUM(U6:X6)-Y6&gt;0,SUM(U6:X6)-Y6,"")</f>
        <v>47.160000000000004</v>
      </c>
      <c r="AM6" s="13">
        <f>IF(SUM(Z6:AC6)-AD6&gt;0,SUM(Z6:AC6)-AD6,"")</f>
        <v>27.900000000000002</v>
      </c>
      <c r="AN6" s="13">
        <f>IF(SUM(AL6:AM6)&gt;0,SUM(AL6:AM6),"")</f>
        <v>75.06</v>
      </c>
      <c r="AO6" s="13">
        <f>IF(SUM(AE6:AH6)-AI6&gt;0,SUM(AE6:AH6)-AI6,"")</f>
        <v>53.314999999999998</v>
      </c>
      <c r="AP6" s="13">
        <f>IF(SUM(AN6,AO6)&gt;0,SUM(AN6,AO6),"")</f>
        <v>128.375</v>
      </c>
      <c r="AQ6" s="88">
        <v>18.100000000000001</v>
      </c>
      <c r="AR6" s="88">
        <v>9.25</v>
      </c>
      <c r="AS6" s="88">
        <v>4</v>
      </c>
      <c r="AT6" s="88">
        <v>15.685</v>
      </c>
      <c r="AU6" s="88">
        <v>0</v>
      </c>
      <c r="AV6" s="88">
        <v>17.100000000000001</v>
      </c>
      <c r="AW6" s="88">
        <v>9.8000000000000007</v>
      </c>
      <c r="AX6" s="88">
        <v>13.3</v>
      </c>
      <c r="AY6" s="88">
        <v>15.045</v>
      </c>
      <c r="AZ6" s="88">
        <v>0</v>
      </c>
      <c r="BA6" s="88">
        <v>17.2</v>
      </c>
      <c r="BB6" s="88">
        <v>8.9499999999999993</v>
      </c>
      <c r="BC6" s="88">
        <v>13.3</v>
      </c>
      <c r="BD6" s="88">
        <v>14.97</v>
      </c>
      <c r="BE6" s="88">
        <v>0</v>
      </c>
      <c r="BF6" s="94"/>
      <c r="BG6" s="16">
        <f>IF(SUM(AS6,AX6)&gt;0,SUM(AS6,AX6),"")</f>
        <v>17.3</v>
      </c>
      <c r="BH6" s="16">
        <f>IF(SUM(AQ6:AT6)-AU6&gt;0,SUM(AQ6:AT6)-AU6,"")</f>
        <v>47.035000000000004</v>
      </c>
      <c r="BI6" s="16">
        <f>IF(SUM(AV6:AY6)-AZ6&gt;0,SUM(AV6:AY6)-AZ6,"")</f>
        <v>55.245000000000005</v>
      </c>
      <c r="BJ6" s="16">
        <f>IF(SUM(BH6:BI6)&gt;0,SUM(BH6:BI6),"")</f>
        <v>102.28</v>
      </c>
      <c r="BK6" s="16">
        <f>IF(SUM(BA6:BD6)-BE6&gt;0,SUM(BA6:BD6)-BE6,"")</f>
        <v>54.42</v>
      </c>
      <c r="BL6" s="16">
        <f>IF(SUM(BJ6,BK6)&gt;0,SUM(BJ6,BK6),"")</f>
        <v>156.69999999999999</v>
      </c>
      <c r="BM6" s="47">
        <v>17.899999999999999</v>
      </c>
      <c r="BN6" s="47">
        <v>8.9</v>
      </c>
      <c r="BO6" s="47">
        <v>5.5</v>
      </c>
      <c r="BP6" s="47">
        <v>15.81</v>
      </c>
      <c r="BQ6" s="47">
        <v>0.2</v>
      </c>
      <c r="BR6" s="47">
        <v>17.100000000000001</v>
      </c>
      <c r="BS6" s="47">
        <v>9.5</v>
      </c>
      <c r="BT6" s="47">
        <v>13.6</v>
      </c>
      <c r="BU6" s="47">
        <v>15.16</v>
      </c>
      <c r="BV6" s="47">
        <v>0</v>
      </c>
      <c r="BW6" s="47">
        <v>16.399999999999999</v>
      </c>
      <c r="BX6" s="47">
        <v>8.65</v>
      </c>
      <c r="BY6" s="47">
        <v>13.6</v>
      </c>
      <c r="BZ6" s="47">
        <v>15.164999999999999</v>
      </c>
      <c r="CA6" s="47">
        <v>0</v>
      </c>
      <c r="CB6" s="93"/>
      <c r="CC6" s="13">
        <f>IF(SUM(BO6,BT6)&gt;0,SUM(BO6,BT6),"")</f>
        <v>19.100000000000001</v>
      </c>
      <c r="CD6" s="13">
        <f>IF(SUM(BM6:BP6)-BQ6&gt;0,SUM(BM6:BP6)-BQ6,"")</f>
        <v>47.91</v>
      </c>
      <c r="CE6" s="13">
        <f>IF(SUM(BR6:BU6)-BV6&gt;0,SUM(BR6:BU6)-BV6,"")</f>
        <v>55.36</v>
      </c>
      <c r="CF6" s="13">
        <f>IF(SUM(CD6:CE6)&gt;0,SUM(CD6:CE6),"")</f>
        <v>103.27</v>
      </c>
      <c r="CG6" s="13">
        <f>IF(SUM(BW6:BZ6)-CA6&gt;0,SUM(BW6:BZ6)-CA6,"")</f>
        <v>53.814999999999998</v>
      </c>
      <c r="CH6" s="13">
        <f>IF(SUM(CF6,CG6)&gt;0,SUM(CF6,CG6),"")</f>
        <v>157.08499999999998</v>
      </c>
      <c r="CI6" s="30">
        <f>IF(MAX(DB6,DW6,ER6,FM6,GH6,HC6,HX6,IS6,JN6,KI6,LD6,LY6)-L6&gt;0.001,MAX(DB6,DW6,ER6,FM6,GH6,HC6,HX6,IS6,JN6,KI6,LD6,LY6)-L6,"")</f>
        <v>0.60999999999999233</v>
      </c>
      <c r="CJ6" s="30" t="str">
        <f>IF(MAX(DC6,DX6,ES6,FN6,GI6,HD6,HY6,IT6,JO6,KJ6,LE6,LZ6)-N6&gt;0.001,MAX(DC6,DX6,ES6,FN6,GI6,HD6,HY6,IT6,JO6,KJ6,LE6,LZ6)-N6,"")</f>
        <v/>
      </c>
      <c r="CK6" s="30">
        <f>IF(MAX(DE6,DZ6,EU6,FP6,GK6,HF6,IA6,IV6,JQ6,KL6,LG6,MB6)-P6&gt;0.001,MAX(DE6,DZ6,EU6,FP6,GK6,HF6,IA6,IV6,JQ6,KL6,LG6,MB6)-P6,"")</f>
        <v>1.0700000000000003</v>
      </c>
      <c r="CL6" s="47">
        <v>16.3</v>
      </c>
      <c r="CM6" s="47">
        <v>8.5</v>
      </c>
      <c r="CN6" s="47">
        <v>4.8</v>
      </c>
      <c r="CO6" s="47">
        <v>15.685</v>
      </c>
      <c r="CP6" s="47">
        <v>0</v>
      </c>
      <c r="CQ6" s="47">
        <v>16.5</v>
      </c>
      <c r="CR6" s="47">
        <v>9.0500000000000007</v>
      </c>
      <c r="CS6" s="47">
        <v>13.5</v>
      </c>
      <c r="CT6" s="47">
        <v>14.994999999999999</v>
      </c>
      <c r="CU6" s="47">
        <v>0</v>
      </c>
      <c r="CV6" s="47"/>
      <c r="CW6" s="47"/>
      <c r="CX6" s="47"/>
      <c r="CY6" s="47"/>
      <c r="CZ6" s="47"/>
      <c r="DA6" s="13">
        <f>IF(SUM(CN6,CS6)&gt;0,SUM(CN6,CS6),"")</f>
        <v>18.3</v>
      </c>
      <c r="DB6" s="13">
        <f>IF(SUM(CL6:CO6)-CP6&gt;0,SUM(CL6:CO6)-CP6,"")</f>
        <v>45.285000000000004</v>
      </c>
      <c r="DC6" s="13">
        <f>IF(SUM(CQ6:CT6)-CU6&gt;0,SUM(CQ6:CT6)-CU6,"")</f>
        <v>54.044999999999995</v>
      </c>
      <c r="DD6" s="13">
        <f>IF(SUM(DB6:DC6)&gt;0,SUM(DB6:DC6),"")</f>
        <v>99.33</v>
      </c>
      <c r="DE6" s="13" t="str">
        <f>IF(SUM(CV6:CY6)-CZ6&gt;0,SUM(CV6:CY6)-CZ6,"")</f>
        <v/>
      </c>
      <c r="DF6" s="13">
        <f>IF(SUM(DD6,DE6)&gt;0,SUM(DD6,DE6),"")</f>
        <v>99.33</v>
      </c>
      <c r="DG6" s="48">
        <v>13.2</v>
      </c>
      <c r="DH6" s="48">
        <v>6.65</v>
      </c>
      <c r="DI6" s="48">
        <v>1.9</v>
      </c>
      <c r="DJ6" s="48">
        <v>11.52</v>
      </c>
      <c r="DK6" s="48">
        <v>0</v>
      </c>
      <c r="DL6" s="48">
        <v>16</v>
      </c>
      <c r="DM6" s="48">
        <v>9.35</v>
      </c>
      <c r="DN6" s="48">
        <v>13.5</v>
      </c>
      <c r="DO6" s="48">
        <v>15.435</v>
      </c>
      <c r="DP6" s="48">
        <v>0</v>
      </c>
      <c r="DQ6" s="48"/>
      <c r="DR6" s="48"/>
      <c r="DS6" s="48"/>
      <c r="DT6" s="48"/>
      <c r="DU6" s="48"/>
      <c r="DV6" s="16">
        <f>IF(SUM(DI6,DN6)&gt;0,SUM(DI6,DN6),"")</f>
        <v>15.4</v>
      </c>
      <c r="DW6" s="16">
        <f>IF(SUM(DG6:DJ6)-DK6&gt;0,SUM(DG6:DJ6)-DK6,"")</f>
        <v>33.269999999999996</v>
      </c>
      <c r="DX6" s="16">
        <f>IF(SUM(DL6:DO6)-DP6&gt;0,SUM(DL6:DO6)-DP6,"")</f>
        <v>54.285000000000004</v>
      </c>
      <c r="DY6" s="16">
        <f>IF(SUM(DW6:DX6)&gt;0,SUM(DW6:DX6),"")</f>
        <v>87.555000000000007</v>
      </c>
      <c r="DZ6" s="16" t="str">
        <f>IF(SUM(DQ6:DT6)-DU6&gt;0,SUM(DQ6:DT6)-DU6,"")</f>
        <v/>
      </c>
      <c r="EA6" s="16">
        <f>IF(SUM(DY6,DZ6)&gt;0,SUM(DY6,DZ6),"")</f>
        <v>87.555000000000007</v>
      </c>
      <c r="EB6" s="47">
        <v>18.399999999999999</v>
      </c>
      <c r="EC6" s="47">
        <v>9.25</v>
      </c>
      <c r="ED6" s="47">
        <v>4.0999999999999996</v>
      </c>
      <c r="EE6" s="47">
        <v>16.02</v>
      </c>
      <c r="EF6" s="47">
        <v>0</v>
      </c>
      <c r="EG6" s="47">
        <v>16.2</v>
      </c>
      <c r="EH6" s="47">
        <v>9.1999999999999993</v>
      </c>
      <c r="EI6" s="47">
        <v>13.5</v>
      </c>
      <c r="EJ6" s="47">
        <v>15.28</v>
      </c>
      <c r="EK6" s="47">
        <v>0.2</v>
      </c>
      <c r="EL6" s="47">
        <v>17</v>
      </c>
      <c r="EM6" s="47">
        <v>9.1999999999999993</v>
      </c>
      <c r="EN6" s="47">
        <v>13.8</v>
      </c>
      <c r="EO6" s="47">
        <v>15.49</v>
      </c>
      <c r="EP6" s="47">
        <v>0</v>
      </c>
      <c r="EQ6" s="13">
        <f>IF(SUM(ED6,EI6)&gt;0,SUM(ED6,EI6),"")</f>
        <v>17.600000000000001</v>
      </c>
      <c r="ER6" s="13">
        <f>IF(SUM(EB6:EE6)-EF6&gt;0,SUM(EB6:EE6)-EF6,"")</f>
        <v>47.769999999999996</v>
      </c>
      <c r="ES6" s="13">
        <f>IF(SUM(EG6:EJ6)-EK6&gt;0,SUM(EG6:EJ6)-EK6,"")</f>
        <v>53.98</v>
      </c>
      <c r="ET6" s="13">
        <f>IF(SUM(ER6:ES6)&gt;0,SUM(ER6:ES6),"")</f>
        <v>101.75</v>
      </c>
      <c r="EU6" s="13">
        <f>IF(SUM(EL6:EO6)-EP6&gt;0,SUM(EL6:EO6)-EP6,"")</f>
        <v>55.49</v>
      </c>
      <c r="EV6" s="13">
        <f>IF(SUM(ET6,EU6)&gt;0,SUM(ET6,EU6),"")</f>
        <v>157.24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>
        <v>16.600000000000001</v>
      </c>
      <c r="FH6" s="48">
        <v>9.3000000000000007</v>
      </c>
      <c r="FI6" s="48">
        <v>13.8</v>
      </c>
      <c r="FJ6" s="48">
        <v>15.22</v>
      </c>
      <c r="FK6" s="48">
        <v>0.2</v>
      </c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>
        <f>IF(SUM(FG6:FJ6)-FK6&gt;0,SUM(FG6:FJ6)-FK6,"")</f>
        <v>54.72</v>
      </c>
      <c r="FQ6" s="16">
        <f>IF(SUM(FO6,FP6)&gt;0,SUM(FO6,FP6),"")</f>
        <v>54.72</v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>
        <v>53.44</v>
      </c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>
        <f>IF(SUM(GB6:GE6)-GF6&gt;0,SUM(GB6:GE6)-GF6,"")</f>
        <v>53.44</v>
      </c>
      <c r="GL6" s="13">
        <f>IF(SUM(GJ6,GK6)&gt;0,SUM(GJ6,GK6),"")</f>
        <v>53.44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>
        <v>18.2</v>
      </c>
      <c r="IY6" s="47">
        <v>9.35</v>
      </c>
      <c r="IZ6" s="47">
        <v>4.3</v>
      </c>
      <c r="JA6" s="47">
        <v>15.92</v>
      </c>
      <c r="JB6" s="47">
        <v>0</v>
      </c>
      <c r="JC6" s="47">
        <v>16.399999999999999</v>
      </c>
      <c r="JD6" s="47">
        <v>9.6</v>
      </c>
      <c r="JE6" s="47">
        <v>13.3</v>
      </c>
      <c r="JF6" s="47">
        <v>15.175000000000001</v>
      </c>
      <c r="JG6" s="47">
        <v>0</v>
      </c>
      <c r="JH6" s="47"/>
      <c r="JI6" s="47"/>
      <c r="JJ6" s="47"/>
      <c r="JK6" s="47"/>
      <c r="JL6" s="47"/>
      <c r="JM6" s="13">
        <f>IF(SUM(IZ6,JE6)&gt;0,SUM(IZ6,JE6),"")</f>
        <v>17.600000000000001</v>
      </c>
      <c r="JN6" s="13">
        <f>IF(SUM(IX6:JA6)-JB6&gt;0,SUM(IX6:JA6)-JB6,"")</f>
        <v>47.769999999999996</v>
      </c>
      <c r="JO6" s="13">
        <f>IF(SUM(JC6:JF6)-JG6&gt;0,SUM(JC6:JF6)-JG6,"")</f>
        <v>54.474999999999994</v>
      </c>
      <c r="JP6" s="13">
        <f>IF(SUM(JN6:JO6)&gt;0,SUM(JN6:JO6),"")</f>
        <v>102.24499999999999</v>
      </c>
      <c r="JQ6" s="13" t="str">
        <f>IF(SUM(JH6:JK6)-JL6&gt;0,SUM(JH6:JK6)-JL6,"")</f>
        <v/>
      </c>
      <c r="JR6" s="13">
        <f>IF(SUM(JP6,JQ6)&gt;0,SUM(JP6,JQ6),"")</f>
        <v>102.24499999999999</v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43</v>
      </c>
      <c r="C7" s="5" t="s">
        <v>7</v>
      </c>
      <c r="D7" s="33">
        <v>1992</v>
      </c>
      <c r="E7" s="17">
        <f>SUM(J7:R7)</f>
        <v>259.54499999999996</v>
      </c>
      <c r="F7" s="4" t="str">
        <f>IF(OR(AND($AK7&gt;=$AL$16,NOT($AK7=""),$AJ7=""),AND($BG7&gt;=$BH$16,NOT($BG7=""),$BF7=""),AND($CC7&gt;=$CD$16,NOT($CC7=""),$CB7="")),"P","")</f>
        <v>P</v>
      </c>
      <c r="G7" s="4" t="str">
        <f>IF(OR(AND($AK7&gt;=$AL$17,NOT($AK7=""),$AJ7=""),AND($BG7&gt;=$BH$17,NOT($BG7=""),$BF7=""),AND($CC7&gt;=$CD$17,NOT($CC7=""),$CB7="")),"P","")</f>
        <v>P</v>
      </c>
      <c r="H7" s="4" t="str">
        <f>IF(OR(AND($AN7&gt;=$AL$18,NOT($AN7=""),$AJ7=""),AND($BJ7&gt;=$BH$18,NOT($BJ7=""),$BF7=""),AND($CF7&gt;=$CD$18,NOT($CF7=""),$CB7="")),"P","")</f>
        <v>P</v>
      </c>
      <c r="I7" t="str">
        <f>IF(AND(G7="P",OR(AND($AM7&gt;$AL$21,NOT($AM7=""),$AJ7=""),AND($AO7&gt;$AL$21,NOT($AO7=""),$AJ7=""),AND($BI7&gt;$BH$21,NOT($BI7=""),$BF7=""),AND($BK7&gt;$BH$21,NOT($BK7=""),$BF7=""),AND($CE7&gt;$CD$21,NOT($CE7=""),$CB7=""),AND($CG7&gt;$CD$21,NOT($CG7=""),$CB7=""))),"Merit",IF(AND(G7="P",OR(AND($AN7&gt;$AL$20,NOT($AN7=""),$AJ7=""),AND($BJ7&gt;$BH$20,NOT($BJ7=""),$BF7=""),AND($CF7&gt;$CD$20,NOT($CF7=""),$CB7=""))),"Funding",IF(AND(G7="P",OR(AND($AN7&gt;$AL$19,NOT($AN7=""),$AJ7=""),AND($BJ7&gt;$BH$19,NOT($BJ7=""),$BF7=""),AND($CF7&gt;$CD$19,NOT($CF7=""),$CB7=""))),"Worlds Team",IF(AND(F7="P",OR(AND($AN7&gt;$AL$18,NOT($AN7=""),$AJ7=""),AND($BJ7&gt;$BH$18,NOT($BJ7=""),$BF7=""),AND($CF7&gt;$CD$18,NOT($CF7=""),$CB7=""))),"National Team",""))))</f>
        <v>Funding</v>
      </c>
      <c r="J7" s="16">
        <f>MAX(AN7,BJ7,CF7)</f>
        <v>101.97</v>
      </c>
      <c r="K7" s="16" t="str">
        <f>IF(J7=CF7,$BM$1,IF(J7=BJ7,$AQ$1,IF(J7=AN7,$U$1,"")))</f>
        <v>2017 3rd Domestic Trial</v>
      </c>
      <c r="L7" s="16">
        <f>IF($J7=$AN7,MAX(BH7,CD7),IF($J7=$BJ7,MAX(AL7,CD7),MAX(AL7,BH7)))</f>
        <v>48.06</v>
      </c>
      <c r="M7" s="16" t="str">
        <f>IF(L7=CD7,$BM$1,IF(L7=BH7,$AQ$1,IF(L7=AL7,$U$1,"")))</f>
        <v>2018 Canada Cup</v>
      </c>
      <c r="N7" s="16">
        <f>IF($J7=$AN7,MAX(BI7,CE7),IF($J7=$BJ7,MAX(AM7,CE7),MAX(AM7,BI7)))</f>
        <v>53.55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54.384999999999998</v>
      </c>
      <c r="Q7" s="16" t="str">
        <f>IF(P7=CG7,$BM$1,IF(P7=BK7,$AQ$1,IF(P7=AO7,$U$1,"")))</f>
        <v>2018 Canada Cup</v>
      </c>
      <c r="R7" s="16">
        <f>IF(MAX(CI7:CK7)&gt;0,MAX(CI7:CK7),"")</f>
        <v>1.5799999999999983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World Cup ITA (Apr)</v>
      </c>
      <c r="U7" s="47">
        <v>17.7</v>
      </c>
      <c r="V7" s="47">
        <v>9.3000000000000007</v>
      </c>
      <c r="W7" s="47">
        <v>5.4</v>
      </c>
      <c r="X7" s="47">
        <v>15.625</v>
      </c>
      <c r="Y7" s="47">
        <v>0</v>
      </c>
      <c r="Z7" s="47">
        <v>15.4</v>
      </c>
      <c r="AA7" s="47">
        <v>9.3000000000000007</v>
      </c>
      <c r="AB7" s="47">
        <v>14.4</v>
      </c>
      <c r="AC7" s="47">
        <v>14.845000000000001</v>
      </c>
      <c r="AD7" s="47">
        <v>0</v>
      </c>
      <c r="AE7" s="47">
        <v>15.1</v>
      </c>
      <c r="AF7" s="47">
        <v>9.3000000000000007</v>
      </c>
      <c r="AG7" s="47">
        <v>15</v>
      </c>
      <c r="AH7" s="47">
        <v>14.73</v>
      </c>
      <c r="AI7" s="47">
        <v>0</v>
      </c>
      <c r="AJ7" s="93"/>
      <c r="AK7" s="13">
        <f>IF(SUM(W7,AB7)&gt;0,SUM(W7,AB7),"")</f>
        <v>19.8</v>
      </c>
      <c r="AL7" s="13">
        <f>IF(SUM(U7:X7)-Y7&gt;0,SUM(U7:X7)-Y7,"")</f>
        <v>48.024999999999999</v>
      </c>
      <c r="AM7" s="13">
        <f>IF(SUM(Z7:AC7)-AD7&gt;0,SUM(Z7:AC7)-AD7,"")</f>
        <v>53.945</v>
      </c>
      <c r="AN7" s="13">
        <f>IF(SUM(AL7:AM7)&gt;0,SUM(AL7:AM7),"")</f>
        <v>101.97</v>
      </c>
      <c r="AO7" s="13">
        <f>IF(SUM(AE7:AH7)-AI7&gt;0,SUM(AE7:AH7)-AI7,"")</f>
        <v>54.129999999999995</v>
      </c>
      <c r="AP7" s="13">
        <f>IF(SUM(AN7,AO7)&gt;0,SUM(AN7,AO7),"")</f>
        <v>156.1</v>
      </c>
      <c r="AQ7" s="88">
        <v>17.3</v>
      </c>
      <c r="AR7" s="88">
        <v>9.65</v>
      </c>
      <c r="AS7" s="88">
        <v>5.4</v>
      </c>
      <c r="AT7" s="88">
        <v>15.71</v>
      </c>
      <c r="AU7" s="88">
        <v>0</v>
      </c>
      <c r="AV7" s="88">
        <v>14.8</v>
      </c>
      <c r="AW7" s="88">
        <v>9.35</v>
      </c>
      <c r="AX7" s="88">
        <v>14.4</v>
      </c>
      <c r="AY7" s="88">
        <v>15</v>
      </c>
      <c r="AZ7" s="88">
        <v>0</v>
      </c>
      <c r="BA7" s="88">
        <v>15.4</v>
      </c>
      <c r="BB7" s="88">
        <v>9.4499999999999993</v>
      </c>
      <c r="BC7" s="88">
        <v>14.4</v>
      </c>
      <c r="BD7" s="88">
        <v>15.135</v>
      </c>
      <c r="BE7" s="88">
        <v>0</v>
      </c>
      <c r="BF7" s="94"/>
      <c r="BG7" s="16">
        <f>IF(SUM(AS7,AX7)&gt;0,SUM(AS7,AX7),"")</f>
        <v>19.8</v>
      </c>
      <c r="BH7" s="16">
        <f>IF(SUM(AQ7:AT7)-AU7&gt;0,SUM(AQ7:AT7)-AU7,"")</f>
        <v>48.06</v>
      </c>
      <c r="BI7" s="16">
        <f>IF(SUM(AV7:AY7)-AZ7&gt;0,SUM(AV7:AY7)-AZ7,"")</f>
        <v>53.55</v>
      </c>
      <c r="BJ7" s="16">
        <f>IF(SUM(BH7:BI7)&gt;0,SUM(BH7:BI7),"")</f>
        <v>101.61</v>
      </c>
      <c r="BK7" s="16">
        <f>IF(SUM(BA7:BD7)-BE7&gt;0,SUM(BA7:BD7)-BE7,"")</f>
        <v>54.384999999999998</v>
      </c>
      <c r="BL7" s="16">
        <f>IF(SUM(BJ7,BK7)&gt;0,SUM(BJ7,BK7),"")</f>
        <v>155.995</v>
      </c>
      <c r="BM7" s="47">
        <v>16.399999999999999</v>
      </c>
      <c r="BN7" s="47">
        <v>8.85</v>
      </c>
      <c r="BO7" s="47">
        <v>5.4</v>
      </c>
      <c r="BP7" s="47">
        <v>15.975</v>
      </c>
      <c r="BQ7" s="47">
        <v>0</v>
      </c>
      <c r="BR7" s="47">
        <v>14.9</v>
      </c>
      <c r="BS7" s="47">
        <v>8.6</v>
      </c>
      <c r="BT7" s="47">
        <v>14.4</v>
      </c>
      <c r="BU7" s="47">
        <v>15.074999999999999</v>
      </c>
      <c r="BV7" s="47">
        <v>0</v>
      </c>
      <c r="BW7" s="47">
        <v>15.2</v>
      </c>
      <c r="BX7" s="47">
        <v>8.9499999999999993</v>
      </c>
      <c r="BY7" s="47">
        <v>15</v>
      </c>
      <c r="BZ7" s="47">
        <v>15.13</v>
      </c>
      <c r="CA7" s="47">
        <v>0</v>
      </c>
      <c r="CB7" s="93"/>
      <c r="CC7" s="13">
        <f>IF(SUM(BO7,BT7)&gt;0,SUM(BO7,BT7),"")</f>
        <v>19.8</v>
      </c>
      <c r="CD7" s="13">
        <f>IF(SUM(BM7:BP7)-BQ7&gt;0,SUM(BM7:BP7)-BQ7,"")</f>
        <v>46.625</v>
      </c>
      <c r="CE7" s="13">
        <f>IF(SUM(BR7:BU7)-BV7&gt;0,SUM(BR7:BU7)-BV7,"")</f>
        <v>52.974999999999994</v>
      </c>
      <c r="CF7" s="13">
        <f>IF(SUM(CD7:CE7)&gt;0,SUM(CD7:CE7),"")</f>
        <v>99.6</v>
      </c>
      <c r="CG7" s="13">
        <f>IF(SUM(BW7:BZ7)-CA7&gt;0,SUM(BW7:BZ7)-CA7,"")</f>
        <v>54.28</v>
      </c>
      <c r="CH7" s="13">
        <f>IF(SUM(CF7,CG7)&gt;0,SUM(CF7,CG7),"")</f>
        <v>153.88</v>
      </c>
      <c r="CI7" s="30">
        <f>IF(MAX(DB7,DW7,ER7,FM7,GH7,HC7,HX7,IS7,JN7,KI7,LD7,LY7)-L7&gt;0.001,MAX(DB7,DW7,ER7,FM7,GH7,HC7,HX7,IS7,JN7,KI7,LD7,LY7)-L7,"")</f>
        <v>1.0149999999999935</v>
      </c>
      <c r="CJ7" s="30">
        <f>IF(MAX(DC7,DX7,ES7,FN7,GI7,HD7,HY7,IT7,JO7,KJ7,LE7,LZ7)-N7&gt;0.001,MAX(DC7,DX7,ES7,FN7,GI7,HD7,HY7,IT7,JO7,KJ7,LE7,LZ7)-N7,"")</f>
        <v>1.5799999999999983</v>
      </c>
      <c r="CK7" s="30">
        <f>IF(MAX(DE7,DZ7,EU7,FP7,GK7,HF7,IA7,IV7,JQ7,KL7,LG7,MB7)-P7&gt;0.001,MAX(DE7,DZ7,EU7,FP7,GK7,HF7,IA7,IV7,JQ7,KL7,LG7,MB7)-P7,"")</f>
        <v>1.0350000000000037</v>
      </c>
      <c r="CL7" s="47">
        <v>16.899999999999999</v>
      </c>
      <c r="CM7" s="47">
        <v>9.1</v>
      </c>
      <c r="CN7" s="47">
        <v>5.4</v>
      </c>
      <c r="CO7" s="47">
        <v>15.49</v>
      </c>
      <c r="CP7" s="47">
        <v>0</v>
      </c>
      <c r="CQ7" s="47">
        <v>14.9</v>
      </c>
      <c r="CR7" s="47">
        <v>9.4</v>
      </c>
      <c r="CS7" s="47">
        <v>14.4</v>
      </c>
      <c r="CT7" s="47">
        <v>14.885</v>
      </c>
      <c r="CU7" s="47">
        <v>0</v>
      </c>
      <c r="CV7" s="47">
        <v>15</v>
      </c>
      <c r="CW7" s="47">
        <v>9.0500000000000007</v>
      </c>
      <c r="CX7" s="47">
        <v>14.4</v>
      </c>
      <c r="CY7" s="47">
        <v>15.074999999999999</v>
      </c>
      <c r="CZ7" s="47">
        <v>0</v>
      </c>
      <c r="DA7" s="13">
        <f>IF(SUM(CN7,CS7)&gt;0,SUM(CN7,CS7),"")</f>
        <v>19.8</v>
      </c>
      <c r="DB7" s="13">
        <f>IF(SUM(CL7:CO7)-CP7&gt;0,SUM(CL7:CO7)-CP7,"")</f>
        <v>46.89</v>
      </c>
      <c r="DC7" s="13">
        <f>IF(SUM(CQ7:CT7)-CU7&gt;0,SUM(CQ7:CT7)-CU7,"")</f>
        <v>53.585000000000001</v>
      </c>
      <c r="DD7" s="13">
        <f>IF(SUM(DB7:DC7)&gt;0,SUM(DB7:DC7),"")</f>
        <v>100.47499999999999</v>
      </c>
      <c r="DE7" s="13">
        <f>IF(SUM(CV7:CY7)-CZ7&gt;0,SUM(CV7:CY7)-CZ7,"")</f>
        <v>53.525000000000006</v>
      </c>
      <c r="DF7" s="13">
        <f>IF(SUM(DD7,DE7)&gt;0,SUM(DD7,DE7),"")</f>
        <v>154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>
        <v>16.899999999999999</v>
      </c>
      <c r="EC7" s="47">
        <v>9.1</v>
      </c>
      <c r="ED7" s="47">
        <v>5.4</v>
      </c>
      <c r="EE7" s="47">
        <v>16.14</v>
      </c>
      <c r="EF7" s="47">
        <v>0</v>
      </c>
      <c r="EG7" s="47">
        <v>15.4</v>
      </c>
      <c r="EH7" s="47">
        <v>9.5</v>
      </c>
      <c r="EI7" s="47">
        <v>14.4</v>
      </c>
      <c r="EJ7" s="47">
        <v>15.365</v>
      </c>
      <c r="EK7" s="47">
        <v>0</v>
      </c>
      <c r="EL7" s="47"/>
      <c r="EM7" s="47"/>
      <c r="EN7" s="47"/>
      <c r="EO7" s="47"/>
      <c r="EP7" s="47"/>
      <c r="EQ7" s="13">
        <f>IF(SUM(ED7,EI7)&gt;0,SUM(ED7,EI7),"")</f>
        <v>19.8</v>
      </c>
      <c r="ER7" s="13">
        <f>IF(SUM(EB7:EE7)-EF7&gt;0,SUM(EB7:EE7)-EF7,"")</f>
        <v>47.54</v>
      </c>
      <c r="ES7" s="13">
        <f>IF(SUM(EG7:EJ7)-EK7&gt;0,SUM(EG7:EJ7)-EK7,"")</f>
        <v>54.664999999999999</v>
      </c>
      <c r="ET7" s="13">
        <f>IF(SUM(ER7:ES7)&gt;0,SUM(ER7:ES7),"")</f>
        <v>102.205</v>
      </c>
      <c r="EU7" s="13" t="str">
        <f>IF(SUM(EL7:EO7)-EP7&gt;0,SUM(EL7:EO7)-EP7,"")</f>
        <v/>
      </c>
      <c r="EV7" s="13">
        <f>IF(SUM(ET7,EU7)&gt;0,SUM(ET7,EU7),"")</f>
        <v>102.205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>
        <v>14.8</v>
      </c>
      <c r="FH7" s="48">
        <v>8.9499999999999993</v>
      </c>
      <c r="FI7" s="48">
        <v>14.2</v>
      </c>
      <c r="FJ7" s="48">
        <v>15.32</v>
      </c>
      <c r="FK7" s="48">
        <v>0</v>
      </c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>
        <f>IF(SUM(FG7:FJ7)-FK7&gt;0,SUM(FG7:FJ7)-FK7,"")</f>
        <v>53.27</v>
      </c>
      <c r="FQ7" s="16">
        <f>IF(SUM(FO7,FP7)&gt;0,SUM(FO7,FP7),"")</f>
        <v>53.27</v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>
        <v>55.42</v>
      </c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>
        <f>IF(SUM(GB7:GE7)-GF7&gt;0,SUM(GB7:GE7)-GF7,"")</f>
        <v>55.42</v>
      </c>
      <c r="GL7" s="13">
        <f>IF(SUM(GJ7,GK7)&gt;0,SUM(GJ7,GK7),"")</f>
        <v>55.42</v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>
        <v>17.3</v>
      </c>
      <c r="IY7" s="47">
        <v>9.85</v>
      </c>
      <c r="IZ7" s="47">
        <v>5.8</v>
      </c>
      <c r="JA7" s="47">
        <v>16.125</v>
      </c>
      <c r="JB7" s="47">
        <v>0</v>
      </c>
      <c r="JC7" s="47">
        <v>15.8</v>
      </c>
      <c r="JD7" s="47">
        <v>9.6</v>
      </c>
      <c r="JE7" s="47">
        <v>14.4</v>
      </c>
      <c r="JF7" s="47">
        <v>15.33</v>
      </c>
      <c r="JG7" s="47">
        <v>0</v>
      </c>
      <c r="JH7" s="47">
        <v>14.7</v>
      </c>
      <c r="JI7" s="47">
        <v>9.15</v>
      </c>
      <c r="JJ7" s="47">
        <v>14.2</v>
      </c>
      <c r="JK7" s="47">
        <v>15.015000000000001</v>
      </c>
      <c r="JL7" s="47">
        <v>0</v>
      </c>
      <c r="JM7" s="13">
        <f>IF(SUM(IZ7,JE7)&gt;0,SUM(IZ7,JE7),"")</f>
        <v>20.2</v>
      </c>
      <c r="JN7" s="13">
        <f>IF(SUM(IX7:JA7)-JB7&gt;0,SUM(IX7:JA7)-JB7,"")</f>
        <v>49.074999999999996</v>
      </c>
      <c r="JO7" s="13">
        <f>IF(SUM(JC7:JF7)-JG7&gt;0,SUM(JC7:JF7)-JG7,"")</f>
        <v>55.129999999999995</v>
      </c>
      <c r="JP7" s="13">
        <f>IF(SUM(JN7:JO7)&gt;0,SUM(JN7:JO7),"")</f>
        <v>104.20499999999998</v>
      </c>
      <c r="JQ7" s="13">
        <f>IF(SUM(JH7:JK7)-JL7&gt;0,SUM(JH7:JK7)-JL7,"")</f>
        <v>53.064999999999998</v>
      </c>
      <c r="JR7" s="13">
        <f>IF(SUM(JP7,JQ7)&gt;0,SUM(JP7,JQ7),"")</f>
        <v>157.26999999999998</v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9" t="s">
        <v>45</v>
      </c>
      <c r="C8" s="5" t="s">
        <v>3</v>
      </c>
      <c r="D8" s="33">
        <v>1998</v>
      </c>
      <c r="E8" s="17">
        <f>SUM(J8:R8)</f>
        <v>256.57499999999999</v>
      </c>
      <c r="F8" s="4" t="str">
        <f>IF(OR(AND($AK8&gt;=$AL$16,NOT($AK8=""),$AJ8=""),AND($BG8&gt;=$BH$16,NOT($BG8=""),$BF8=""),AND($CC8&gt;=$CD$16,NOT($CC8=""),$CB8="")),"P","")</f>
        <v>P</v>
      </c>
      <c r="G8" s="4" t="str">
        <f>IF(OR(AND($AK8&gt;=$AL$17,NOT($AK8=""),$AJ8=""),AND($BG8&gt;=$BH$17,NOT($BG8=""),$BF8=""),AND($CC8&gt;=$CD$17,NOT($CC8=""),$CB8="")),"P","")</f>
        <v>P</v>
      </c>
      <c r="H8" s="4" t="str">
        <f>IF(OR(AND($AN8&gt;=$AL$18,NOT($AN8=""),$AJ8=""),AND($BJ8&gt;=$BH$18,NOT($BJ8=""),$BF8=""),AND($CF8&gt;=$CD$18,NOT($CF8=""),$CB8="")),"P","")</f>
        <v>P</v>
      </c>
      <c r="I8" t="str">
        <f>IF(AND(G8="P",OR(AND($AM8&gt;$AL$21,NOT($AM8=""),$AJ8=""),AND($AO8&gt;$AL$21,NOT($AO8=""),$AJ8=""),AND($BI8&gt;$BH$21,NOT($BI8=""),$BF8=""),AND($BK8&gt;$BH$21,NOT($BK8=""),$BF8=""),AND($CE8&gt;$CD$21,NOT($CE8=""),$CB8=""),AND($CG8&gt;$CD$21,NOT($CG8=""),$CB8=""))),"Merit",IF(AND(G8="P",OR(AND($AN8&gt;$AL$20,NOT($AN8=""),$AJ8=""),AND($BJ8&gt;$BH$20,NOT($BJ8=""),$BF8=""),AND($CF8&gt;$CD$20,NOT($CF8=""),$CB8=""))),"Funding",IF(AND(G8="P",OR(AND($AN8&gt;$AL$19,NOT($AN8=""),$AJ8=""),AND($BJ8&gt;$BH$19,NOT($BJ8=""),$BF8=""),AND($CF8&gt;$CD$19,NOT($CF8=""),$CB8=""))),"Worlds Team",IF(AND(F8="P",OR(AND($AN8&gt;$AL$18,NOT($AN8=""),$AJ8=""),AND($BJ8&gt;$BH$18,NOT($BJ8=""),$BF8=""),AND($CF8&gt;$CD$18,NOT($CF8=""),$CB8=""))),"National Team",""))))</f>
        <v>Funding</v>
      </c>
      <c r="J8" s="16">
        <f>MAX(AN8,BJ8,CF8)</f>
        <v>101.21</v>
      </c>
      <c r="K8" s="16" t="str">
        <f>IF(J8=CF8,$BM$1,IF(J8=BJ8,$AQ$1,IF(J8=AN8,$U$1,"")))</f>
        <v>2017 3rd Domestic Trial</v>
      </c>
      <c r="L8" s="16">
        <f>IF($J8=$AN8,MAX(BH8,CD8),IF($J8=$BJ8,MAX(AL8,CD8),MAX(AL8,BH8)))</f>
        <v>47.984999999999999</v>
      </c>
      <c r="M8" s="16" t="str">
        <f>IF(L8=CD8,$BM$1,IF(L8=BH8,$AQ$1,IF(L8=AL8,$U$1,"")))</f>
        <v>2018 Canada Cup</v>
      </c>
      <c r="N8" s="16">
        <f>IF($J8=$AN8,MAX(BI8,CE8),IF($J8=$BJ8,MAX(AM8,CE8),MAX(AM8,BI8)))</f>
        <v>51.225000000000001</v>
      </c>
      <c r="O8" s="16" t="str">
        <f>IF(AND(N8=CE8,$K8&lt;&gt;$BM$1),$BM$1,IF(AND(N8=BI8,$K8&lt;&gt;$AQ$1),$AQ$1,IF(AND(N8=AM8,$K8&lt;&gt;$U$1),$U$1,"")))</f>
        <v>2018 Canada Cup</v>
      </c>
      <c r="P8" s="16">
        <f>MAX(AO8,BK8,CG8)</f>
        <v>53.835000000000001</v>
      </c>
      <c r="Q8" s="16" t="str">
        <f>IF(P8=CG8,$BM$1,IF(P8=BK8,$AQ$1,IF(P8=AO8,$U$1,"")))</f>
        <v>2017 3rd Domestic Trial</v>
      </c>
      <c r="R8" s="16">
        <f>IF(MAX(CI8:CK8)&gt;0,MAX(CI8:CK8),"")</f>
        <v>2.3200000000000003</v>
      </c>
      <c r="S8" s="31" t="str">
        <f>IF(R8="","",IF(R8=CI8,"(Vol 1)",IF(R8=CJ8,"(Vol 2)",IF(R8=CK8,"(Final)"))))</f>
        <v>(Vol 2)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World Cup JPN (Aug)</v>
      </c>
      <c r="U8" s="47">
        <v>16.7</v>
      </c>
      <c r="V8" s="47">
        <v>9.1</v>
      </c>
      <c r="W8" s="47">
        <v>5.8</v>
      </c>
      <c r="X8" s="47">
        <v>15.475</v>
      </c>
      <c r="Y8" s="47">
        <v>0</v>
      </c>
      <c r="Z8" s="47">
        <v>15.9</v>
      </c>
      <c r="AA8" s="47">
        <v>9.3000000000000007</v>
      </c>
      <c r="AB8" s="47">
        <v>13.8</v>
      </c>
      <c r="AC8" s="47">
        <v>15.135</v>
      </c>
      <c r="AD8" s="47">
        <v>0</v>
      </c>
      <c r="AE8" s="47">
        <v>16.100000000000001</v>
      </c>
      <c r="AF8" s="47">
        <v>9.1</v>
      </c>
      <c r="AG8" s="47">
        <v>13.8</v>
      </c>
      <c r="AH8" s="47">
        <v>14.835000000000001</v>
      </c>
      <c r="AI8" s="47">
        <v>0</v>
      </c>
      <c r="AJ8" s="93"/>
      <c r="AK8" s="13">
        <f>IF(SUM(W8,AB8)&gt;0,SUM(W8,AB8),"")</f>
        <v>19.600000000000001</v>
      </c>
      <c r="AL8" s="13">
        <f>IF(SUM(U8:X8)-Y8&gt;0,SUM(U8:X8)-Y8,"")</f>
        <v>47.074999999999996</v>
      </c>
      <c r="AM8" s="13">
        <f>IF(SUM(Z8:AC8)-AD8&gt;0,SUM(Z8:AC8)-AD8,"")</f>
        <v>54.134999999999998</v>
      </c>
      <c r="AN8" s="13">
        <f>IF(SUM(AL8:AM8)&gt;0,SUM(AL8:AM8),"")</f>
        <v>101.21</v>
      </c>
      <c r="AO8" s="13">
        <f>IF(SUM(AE8:AH8)-AI8&gt;0,SUM(AE8:AH8)-AI8,"")</f>
        <v>53.835000000000001</v>
      </c>
      <c r="AP8" s="13">
        <f>IF(SUM(AN8,AO8)&gt;0,SUM(AN8,AO8),"")</f>
        <v>155.04499999999999</v>
      </c>
      <c r="AQ8" s="88">
        <v>17.899999999999999</v>
      </c>
      <c r="AR8" s="88">
        <v>9.5500000000000007</v>
      </c>
      <c r="AS8" s="88">
        <v>4.9000000000000004</v>
      </c>
      <c r="AT8" s="88">
        <v>15.635</v>
      </c>
      <c r="AU8" s="88">
        <v>0</v>
      </c>
      <c r="AV8" s="88">
        <v>13.7</v>
      </c>
      <c r="AW8" s="88">
        <v>9</v>
      </c>
      <c r="AX8" s="88">
        <v>14</v>
      </c>
      <c r="AY8" s="88">
        <v>14.525</v>
      </c>
      <c r="AZ8" s="88">
        <v>0</v>
      </c>
      <c r="BA8" s="88">
        <v>14.4</v>
      </c>
      <c r="BB8" s="88">
        <v>9.1</v>
      </c>
      <c r="BC8" s="88">
        <v>13.8</v>
      </c>
      <c r="BD8" s="88">
        <v>14.515000000000001</v>
      </c>
      <c r="BE8" s="88">
        <v>0</v>
      </c>
      <c r="BF8" s="94"/>
      <c r="BG8" s="16">
        <f>IF(SUM(AS8,AX8)&gt;0,SUM(AS8,AX8),"")</f>
        <v>18.899999999999999</v>
      </c>
      <c r="BH8" s="16">
        <f>IF(SUM(AQ8:AT8)-AU8&gt;0,SUM(AQ8:AT8)-AU8,"")</f>
        <v>47.984999999999999</v>
      </c>
      <c r="BI8" s="16">
        <f>IF(SUM(AV8:AY8)-AZ8&gt;0,SUM(AV8:AY8)-AZ8,"")</f>
        <v>51.225000000000001</v>
      </c>
      <c r="BJ8" s="16">
        <f>IF(SUM(BH8:BI8)&gt;0,SUM(BH8:BI8),"")</f>
        <v>99.210000000000008</v>
      </c>
      <c r="BK8" s="16">
        <f>IF(SUM(BA8:BD8)-BE8&gt;0,SUM(BA8:BD8)-BE8,"")</f>
        <v>51.814999999999998</v>
      </c>
      <c r="BL8" s="16">
        <f>IF(SUM(BJ8,BK8)&gt;0,SUM(BJ8,BK8),"")</f>
        <v>151.02500000000001</v>
      </c>
      <c r="BM8" s="47">
        <v>17.8</v>
      </c>
      <c r="BN8" s="47">
        <v>9.6</v>
      </c>
      <c r="BO8" s="47">
        <v>4.7</v>
      </c>
      <c r="BP8" s="47">
        <v>15.69</v>
      </c>
      <c r="BQ8" s="47">
        <v>0</v>
      </c>
      <c r="BR8" s="47">
        <v>8.1</v>
      </c>
      <c r="BS8" s="47">
        <v>4.5</v>
      </c>
      <c r="BT8" s="47">
        <v>7.2</v>
      </c>
      <c r="BU8" s="47">
        <v>7.87</v>
      </c>
      <c r="BV8" s="47">
        <v>0</v>
      </c>
      <c r="BW8" s="47">
        <v>16</v>
      </c>
      <c r="BX8" s="47">
        <v>8.8000000000000007</v>
      </c>
      <c r="BY8" s="47">
        <v>13.8</v>
      </c>
      <c r="BZ8" s="47">
        <v>14.925000000000001</v>
      </c>
      <c r="CA8" s="47">
        <v>0</v>
      </c>
      <c r="CB8" s="93"/>
      <c r="CC8" s="13">
        <f>IF(SUM(BO8,BT8)&gt;0,SUM(BO8,BT8),"")</f>
        <v>11.9</v>
      </c>
      <c r="CD8" s="13">
        <f>IF(SUM(BM8:BP8)-BQ8&gt;0,SUM(BM8:BP8)-BQ8,"")</f>
        <v>47.79</v>
      </c>
      <c r="CE8" s="13">
        <f>IF(SUM(BR8:BU8)-BV8&gt;0,SUM(BR8:BU8)-BV8,"")</f>
        <v>27.67</v>
      </c>
      <c r="CF8" s="13">
        <f>IF(SUM(CD8:CE8)&gt;0,SUM(CD8:CE8),"")</f>
        <v>75.460000000000008</v>
      </c>
      <c r="CG8" s="13">
        <f>IF(SUM(BW8:BZ8)-CA8&gt;0,SUM(BW8:BZ8)-CA8,"")</f>
        <v>53.525000000000006</v>
      </c>
      <c r="CH8" s="13">
        <f>IF(SUM(CF8,CG8)&gt;0,SUM(CF8,CG8),"")</f>
        <v>128.98500000000001</v>
      </c>
      <c r="CI8" s="30" t="str">
        <f>IF(MAX(DB8,DW8,ER8,FM8,GH8,HC8,HX8,IS8,JN8,KI8,LD8,LY8)-L8&gt;0.001,MAX(DB8,DW8,ER8,FM8,GH8,HC8,HX8,IS8,JN8,KI8,LD8,LY8)-L8,"")</f>
        <v/>
      </c>
      <c r="CJ8" s="30">
        <f>IF(MAX(DC8,DX8,ES8,FN8,GI8,HD8,HY8,IT8,JO8,KJ8,LE8,LZ8)-N8&gt;0.001,MAX(DC8,DX8,ES8,FN8,GI8,HD8,HY8,IT8,JO8,KJ8,LE8,LZ8)-N8,"")</f>
        <v>2.3200000000000003</v>
      </c>
      <c r="CK8" s="30" t="str">
        <f>IF(MAX(DE8,DZ8,EU8,FP8,GK8,HF8,IA8,IV8,JQ8,KL8,LG8,MB8)-P8&gt;0.001,MAX(DE8,DZ8,EU8,FP8,GK8,HF8,IA8,IV8,JQ8,KL8,LG8,MB8)-P8,"")</f>
        <v/>
      </c>
      <c r="CL8" s="47">
        <v>14.2</v>
      </c>
      <c r="CM8" s="47">
        <v>9.4499999999999993</v>
      </c>
      <c r="CN8" s="47">
        <v>5.8</v>
      </c>
      <c r="CO8" s="47">
        <v>15.195</v>
      </c>
      <c r="CP8" s="47">
        <v>0</v>
      </c>
      <c r="CQ8" s="47">
        <v>14.2</v>
      </c>
      <c r="CR8" s="47">
        <v>8.8000000000000007</v>
      </c>
      <c r="CS8" s="47">
        <v>13.8</v>
      </c>
      <c r="CT8" s="47">
        <v>14.765000000000001</v>
      </c>
      <c r="CU8" s="47">
        <v>0</v>
      </c>
      <c r="CV8" s="47"/>
      <c r="CW8" s="47"/>
      <c r="CX8" s="47"/>
      <c r="CY8" s="47"/>
      <c r="CZ8" s="47"/>
      <c r="DA8" s="13">
        <f>IF(SUM(CN8,CS8)&gt;0,SUM(CN8,CS8),"")</f>
        <v>19.600000000000001</v>
      </c>
      <c r="DB8" s="13">
        <f>IF(SUM(CL8:CO8)-CP8&gt;0,SUM(CL8:CO8)-CP8,"")</f>
        <v>44.644999999999996</v>
      </c>
      <c r="DC8" s="13">
        <f>IF(SUM(CQ8:CT8)-CU8&gt;0,SUM(CQ8:CT8)-CU8,"")</f>
        <v>51.564999999999998</v>
      </c>
      <c r="DD8" s="13">
        <f>IF(SUM(DB8:DC8)&gt;0,SUM(DB8:DC8),"")</f>
        <v>96.21</v>
      </c>
      <c r="DE8" s="13" t="str">
        <f>IF(SUM(CV8:CY8)-CZ8&gt;0,SUM(CV8:CY8)-CZ8,"")</f>
        <v/>
      </c>
      <c r="DF8" s="13">
        <f>IF(SUM(DD8,DE8)&gt;0,SUM(DD8,DE8),"")</f>
        <v>96.21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>
        <v>17.899999999999999</v>
      </c>
      <c r="GN8" s="48">
        <v>9</v>
      </c>
      <c r="GO8" s="48">
        <v>0</v>
      </c>
      <c r="GP8" s="48">
        <v>16.125</v>
      </c>
      <c r="GQ8" s="48">
        <v>0</v>
      </c>
      <c r="GR8" s="48">
        <v>14.8</v>
      </c>
      <c r="GS8" s="48">
        <v>9.5</v>
      </c>
      <c r="GT8" s="48">
        <v>13.6</v>
      </c>
      <c r="GU8" s="48">
        <v>15.145</v>
      </c>
      <c r="GV8" s="48">
        <v>0</v>
      </c>
      <c r="GW8" s="48">
        <v>13.9</v>
      </c>
      <c r="GX8" s="48">
        <v>8.8000000000000007</v>
      </c>
      <c r="GY8" s="48">
        <v>13.6</v>
      </c>
      <c r="GZ8" s="48">
        <v>14.92</v>
      </c>
      <c r="HA8" s="48">
        <v>0</v>
      </c>
      <c r="HB8" s="16">
        <f>IF(SUM(GO8,GT8)&gt;0,SUM(GO8,GT8),"")</f>
        <v>13.6</v>
      </c>
      <c r="HC8" s="16">
        <f>IF(SUM(GM8:GP8)-GQ8&gt;0,SUM(GM8:GP8)-GQ8,"")</f>
        <v>43.024999999999999</v>
      </c>
      <c r="HD8" s="16">
        <f>IF(SUM(GR8:GU8)-GV8&gt;0,SUM(GR8:GU8)-GV8,"")</f>
        <v>53.045000000000002</v>
      </c>
      <c r="HE8" s="16">
        <f>IF(SUM(HC8:HD8)&gt;0,SUM(HC8:HD8),"")</f>
        <v>96.07</v>
      </c>
      <c r="HF8" s="16">
        <f>IF(SUM(GW8:GZ8)-HA8&gt;0,SUM(GW8:GZ8)-HA8,"")</f>
        <v>51.220000000000006</v>
      </c>
      <c r="HG8" s="16">
        <f>IF(SUM(HE8,HF8)&gt;0,SUM(HE8,HF8),"")</f>
        <v>147.29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>
        <v>16.399999999999999</v>
      </c>
      <c r="JT8" s="48">
        <v>8.9</v>
      </c>
      <c r="JU8" s="48">
        <v>6</v>
      </c>
      <c r="JV8" s="48">
        <v>15.984999999999999</v>
      </c>
      <c r="JW8" s="48">
        <v>0</v>
      </c>
      <c r="JX8" s="48">
        <v>14.5</v>
      </c>
      <c r="JY8" s="48">
        <v>9.35</v>
      </c>
      <c r="JZ8" s="48">
        <v>14</v>
      </c>
      <c r="KA8" s="48">
        <v>15.695</v>
      </c>
      <c r="KB8" s="48">
        <v>0</v>
      </c>
      <c r="KC8" s="48"/>
      <c r="KD8" s="48"/>
      <c r="KE8" s="48"/>
      <c r="KF8" s="48"/>
      <c r="KG8" s="48"/>
      <c r="KH8" s="16">
        <f>IF(SUM(JU8,JZ8)&gt;0,SUM(JU8,JZ8),"")</f>
        <v>20</v>
      </c>
      <c r="KI8" s="16">
        <f>IF(SUM(JS8:JV8)-JW8&gt;0,SUM(JS8:JV8)-JW8,"")</f>
        <v>47.284999999999997</v>
      </c>
      <c r="KJ8" s="16">
        <f>IF(SUM(JX8:KA8)-KB8&gt;0,SUM(JX8:KA8)-KB8,"")</f>
        <v>53.545000000000002</v>
      </c>
      <c r="KK8" s="16">
        <f>IF(SUM(KI8:KJ8)&gt;0,SUM(KI8:KJ8),"")</f>
        <v>100.83</v>
      </c>
      <c r="KL8" s="16" t="str">
        <f>IF(SUM(KC8:KF8)-KG8&gt;0,SUM(KC8:KF8)-KG8,"")</f>
        <v/>
      </c>
      <c r="KM8" s="16">
        <f>IF(SUM(KK8,KL8)&gt;0,SUM(KK8,KL8),"")</f>
        <v>100.83</v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44</v>
      </c>
      <c r="C9" s="5" t="s">
        <v>3</v>
      </c>
      <c r="D9" s="33">
        <v>1995</v>
      </c>
      <c r="E9" s="17">
        <f>SUM(J9:R9)</f>
        <v>253.5575</v>
      </c>
      <c r="F9" s="4" t="str">
        <f>IF(OR(AND($AK9&gt;=$AL$16,NOT($AK9=""),$AJ9=""),AND($BG9&gt;=$BH$16,NOT($BG9=""),$BF9=""),AND($CC9&gt;=$CD$16,NOT($CC9=""),$CB9="")),"P","")</f>
        <v>P</v>
      </c>
      <c r="G9" s="4" t="str">
        <f>IF(OR(AND($AK9&gt;=$AL$17,NOT($AK9=""),$AJ9=""),AND($BG9&gt;=$BH$17,NOT($BG9=""),$BF9=""),AND($CC9&gt;=$CD$17,NOT($CC9=""),$CB9="")),"P","")</f>
        <v>P</v>
      </c>
      <c r="H9" s="4" t="str">
        <f>IF(OR(AND($AN9&gt;=$AL$18,NOT($AN9=""),$AJ9=""),AND($BJ9&gt;=$BH$18,NOT($BJ9=""),$BF9=""),AND($CF9&gt;=$CD$18,NOT($CF9=""),$CB9="")),"P","")</f>
        <v>P</v>
      </c>
      <c r="I9" t="str">
        <f>IF(AND(G9="P",OR(AND($AM9&gt;$AL$21,NOT($AM9=""),$AJ9=""),AND($AO9&gt;$AL$21,NOT($AO9=""),$AJ9=""),AND($BI9&gt;$BH$21,NOT($BI9=""),$BF9=""),AND($BK9&gt;$BH$21,NOT($BK9=""),$BF9=""),AND($CE9&gt;$CD$21,NOT($CE9=""),$CB9=""),AND($CG9&gt;$CD$21,NOT($CG9=""),$CB9=""))),"Merit",IF(AND(G9="P",OR(AND($AN9&gt;$AL$20,NOT($AN9=""),$AJ9=""),AND($BJ9&gt;$BH$20,NOT($BJ9=""),$BF9=""),AND($CF9&gt;$CD$20,NOT($CF9=""),$CB9=""))),"Funding",IF(AND(G9="P",OR(AND($AN9&gt;$AL$19,NOT($AN9=""),$AJ9=""),AND($BJ9&gt;$BH$19,NOT($BJ9=""),$BF9=""),AND($CF9&gt;$CD$19,NOT($CF9=""),$CB9=""))),"Worlds Team",IF(AND(F9="P",OR(AND($AN9&gt;$AL$18,NOT($AN9=""),$AJ9=""),AND($BJ9&gt;$BH$18,NOT($BJ9=""),$BF9=""),AND($CF9&gt;$CD$18,NOT($CF9=""),$CB9=""))),"National Team",""))))</f>
        <v>Worlds Team</v>
      </c>
      <c r="J9" s="16">
        <f>MAX(AN9,BJ9,CF9)</f>
        <v>99.715000000000003</v>
      </c>
      <c r="K9" s="16" t="str">
        <f>IF(J9=CF9,$BM$1,IF(J9=BJ9,$AQ$1,IF(J9=AN9,$U$1,"")))</f>
        <v>2018 Nationals</v>
      </c>
      <c r="L9" s="16">
        <f>IF($J9=$AN9,MAX(BH9,CD9),IF($J9=$BJ9,MAX(AL9,CD9),MAX(AL9,BH9)))</f>
        <v>45.015000000000001</v>
      </c>
      <c r="M9" s="16" t="str">
        <f>IF(L9=CD9,$BM$1,IF(L9=BH9,$AQ$1,IF(L9=AL9,$U$1,"")))</f>
        <v>2018 Canada Cup</v>
      </c>
      <c r="N9" s="16">
        <f>IF($J9=$AN9,MAX(BI9,CE9),IF($J9=$BJ9,MAX(AM9,CE9),MAX(AM9,BI9)))</f>
        <v>53.157499999999999</v>
      </c>
      <c r="O9" s="16" t="str">
        <f>IF(AND(N9=CE9,$K9&lt;&gt;$BM$1),$BM$1,IF(AND(N9=BI9,$K9&lt;&gt;$AQ$1),$AQ$1,IF(AND(N9=AM9,$K9&lt;&gt;$U$1),$U$1,"")))</f>
        <v>2017 3rd Domestic Trial</v>
      </c>
      <c r="P9" s="16">
        <f>MAX(AO9,BK9,CG9)</f>
        <v>52.755000000000003</v>
      </c>
      <c r="Q9" s="16" t="str">
        <f>IF(P9=CG9,$BM$1,IF(P9=BK9,$AQ$1,IF(P9=AO9,$U$1,"")))</f>
        <v>2017 3rd Domestic Trial</v>
      </c>
      <c r="R9" s="16">
        <f>IF(MAX(CI9:CK9)&gt;0,MAX(CI9:CK9),"")</f>
        <v>2.914999999999992</v>
      </c>
      <c r="S9" s="31" t="str">
        <f>IF(R9="","",IF(R9=CI9,"(Vol 1)",IF(R9=CJ9,"(Vol 2)",IF(R9=CK9,"(Final)"))))</f>
        <v>(Vol 1)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2017 World Cup ESP (Oct)</v>
      </c>
      <c r="U9" s="81">
        <v>13.525</v>
      </c>
      <c r="V9" s="81">
        <v>14</v>
      </c>
      <c r="W9" s="81">
        <v>7.7</v>
      </c>
      <c r="X9" s="81">
        <v>1.3</v>
      </c>
      <c r="Y9" s="81">
        <v>0</v>
      </c>
      <c r="Z9" s="81">
        <v>53.157499999999999</v>
      </c>
      <c r="AA9" s="81">
        <v>0</v>
      </c>
      <c r="AB9" s="81">
        <v>0</v>
      </c>
      <c r="AC9" s="81">
        <v>0</v>
      </c>
      <c r="AD9" s="81">
        <v>0</v>
      </c>
      <c r="AE9" s="81">
        <v>52.755000000000003</v>
      </c>
      <c r="AF9" s="81">
        <v>0</v>
      </c>
      <c r="AG9" s="81">
        <v>0</v>
      </c>
      <c r="AH9" s="81">
        <v>0</v>
      </c>
      <c r="AI9" s="81">
        <v>0</v>
      </c>
      <c r="AJ9" s="93" t="s">
        <v>159</v>
      </c>
      <c r="AK9" s="13">
        <f>IF(SUM(W9,AB9)&gt;0,SUM(W9,AB9),"")</f>
        <v>7.7</v>
      </c>
      <c r="AL9" s="13">
        <f>IF(SUM(U9:X9)-Y9&gt;0,SUM(U9:X9)-Y9,"")</f>
        <v>36.524999999999999</v>
      </c>
      <c r="AM9" s="13">
        <f>IF(SUM(Z9:AC9)-AD9&gt;0,SUM(Z9:AC9)-AD9,"")</f>
        <v>53.157499999999999</v>
      </c>
      <c r="AN9" s="13">
        <f>IF(SUM(AL9:AM9)&gt;0,SUM(AL9:AM9),"")</f>
        <v>89.682500000000005</v>
      </c>
      <c r="AO9" s="13">
        <f>IF(SUM(AE9:AH9)-AI9&gt;0,SUM(AE9:AH9)-AI9,"")</f>
        <v>52.755000000000003</v>
      </c>
      <c r="AP9" s="13">
        <f>IF(SUM(AN9,AO9)&gt;0,SUM(AN9,AO9),"")</f>
        <v>142.4375</v>
      </c>
      <c r="AQ9" s="88">
        <v>15.3</v>
      </c>
      <c r="AR9" s="88">
        <v>9.4</v>
      </c>
      <c r="AS9" s="88">
        <v>4</v>
      </c>
      <c r="AT9" s="88">
        <v>16.315000000000001</v>
      </c>
      <c r="AU9" s="88">
        <v>0</v>
      </c>
      <c r="AV9" s="88">
        <v>13.8</v>
      </c>
      <c r="AW9" s="88">
        <v>9.1</v>
      </c>
      <c r="AX9" s="88">
        <v>11.9</v>
      </c>
      <c r="AY9" s="88">
        <v>15.275</v>
      </c>
      <c r="AZ9" s="88">
        <v>0</v>
      </c>
      <c r="BA9" s="88">
        <v>10.3</v>
      </c>
      <c r="BB9" s="88">
        <v>6.25</v>
      </c>
      <c r="BC9" s="88">
        <v>8.8000000000000007</v>
      </c>
      <c r="BD9" s="88">
        <v>10.994999999999999</v>
      </c>
      <c r="BE9" s="88">
        <v>0</v>
      </c>
      <c r="BF9" s="94"/>
      <c r="BG9" s="16">
        <f>IF(SUM(AS9,AX9)&gt;0,SUM(AS9,AX9),"")</f>
        <v>15.9</v>
      </c>
      <c r="BH9" s="16">
        <f>IF(SUM(AQ9:AT9)-AU9&gt;0,SUM(AQ9:AT9)-AU9,"")</f>
        <v>45.015000000000001</v>
      </c>
      <c r="BI9" s="16">
        <f>IF(SUM(AV9:AY9)-AZ9&gt;0,SUM(AV9:AY9)-AZ9,"")</f>
        <v>50.074999999999996</v>
      </c>
      <c r="BJ9" s="16">
        <f>IF(SUM(BH9:BI9)&gt;0,SUM(BH9:BI9),"")</f>
        <v>95.09</v>
      </c>
      <c r="BK9" s="16">
        <f>IF(SUM(BA9:BD9)-BE9&gt;0,SUM(BA9:BD9)-BE9,"")</f>
        <v>36.344999999999999</v>
      </c>
      <c r="BL9" s="16">
        <f>IF(SUM(BJ9,BK9)&gt;0,SUM(BJ9,BK9),"")</f>
        <v>131.435</v>
      </c>
      <c r="BM9" s="47">
        <v>16.899999999999999</v>
      </c>
      <c r="BN9" s="47">
        <v>9.5500000000000007</v>
      </c>
      <c r="BO9" s="47">
        <v>4.7</v>
      </c>
      <c r="BP9" s="47">
        <v>16.25</v>
      </c>
      <c r="BQ9" s="47">
        <v>0</v>
      </c>
      <c r="BR9" s="47">
        <v>15.3</v>
      </c>
      <c r="BS9" s="47">
        <v>8.9</v>
      </c>
      <c r="BT9" s="47">
        <v>12.7</v>
      </c>
      <c r="BU9" s="47">
        <v>15.414999999999999</v>
      </c>
      <c r="BV9" s="47">
        <v>0</v>
      </c>
      <c r="BW9" s="47">
        <v>14.7</v>
      </c>
      <c r="BX9" s="47">
        <v>9.1</v>
      </c>
      <c r="BY9" s="47">
        <v>12.6</v>
      </c>
      <c r="BZ9" s="47">
        <v>15.095000000000001</v>
      </c>
      <c r="CA9" s="47">
        <v>0</v>
      </c>
      <c r="CB9" s="93"/>
      <c r="CC9" s="13">
        <f>IF(SUM(BO9,BT9)&gt;0,SUM(BO9,BT9),"")</f>
        <v>17.399999999999999</v>
      </c>
      <c r="CD9" s="13">
        <f>IF(SUM(BM9:BP9)-BQ9&gt;0,SUM(BM9:BP9)-BQ9,"")</f>
        <v>47.4</v>
      </c>
      <c r="CE9" s="13">
        <f>IF(SUM(BR9:BU9)-BV9&gt;0,SUM(BR9:BU9)-BV9,"")</f>
        <v>52.315000000000005</v>
      </c>
      <c r="CF9" s="13">
        <f>IF(SUM(CD9:CE9)&gt;0,SUM(CD9:CE9),"")</f>
        <v>99.715000000000003</v>
      </c>
      <c r="CG9" s="13">
        <f>IF(SUM(BW9:BZ9)-CA9&gt;0,SUM(BW9:BZ9)-CA9,"")</f>
        <v>51.494999999999997</v>
      </c>
      <c r="CH9" s="13">
        <f>IF(SUM(CF9,CG9)&gt;0,SUM(CF9,CG9),"")</f>
        <v>151.21</v>
      </c>
      <c r="CI9" s="30">
        <f>IF(MAX(DB9,DW9,ER9,FM9,GH9,HC9,HX9,IS9,JN9,KI9,LD9,LY9)-L9&gt;0.001,MAX(DB9,DW9,ER9,FM9,GH9,HC9,HX9,IS9,JN9,KI9,LD9,LY9)-L9,"")</f>
        <v>2.914999999999992</v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>
        <v>16.899999999999999</v>
      </c>
      <c r="DH9" s="48">
        <v>9.4</v>
      </c>
      <c r="DI9" s="48">
        <v>4.8</v>
      </c>
      <c r="DJ9" s="48">
        <v>16.829999999999998</v>
      </c>
      <c r="DK9" s="48">
        <v>0</v>
      </c>
      <c r="DL9" s="48">
        <v>14.8</v>
      </c>
      <c r="DM9" s="48">
        <v>8.9</v>
      </c>
      <c r="DN9" s="48">
        <v>11.9</v>
      </c>
      <c r="DO9" s="48">
        <v>15.895</v>
      </c>
      <c r="DP9" s="48">
        <v>0</v>
      </c>
      <c r="DQ9" s="48"/>
      <c r="DR9" s="48"/>
      <c r="DS9" s="48"/>
      <c r="DT9" s="48"/>
      <c r="DU9" s="48"/>
      <c r="DV9" s="16">
        <f>IF(SUM(DI9,DN9)&gt;0,SUM(DI9,DN9),"")</f>
        <v>16.7</v>
      </c>
      <c r="DW9" s="16">
        <f>IF(SUM(DG9:DJ9)-DK9&gt;0,SUM(DG9:DJ9)-DK9,"")</f>
        <v>47.929999999999993</v>
      </c>
      <c r="DX9" s="16">
        <f>IF(SUM(DL9:DO9)-DP9&gt;0,SUM(DL9:DO9)-DP9,"")</f>
        <v>51.495000000000005</v>
      </c>
      <c r="DY9" s="16">
        <f>IF(SUM(DW9:DX9)&gt;0,SUM(DW9:DX9),"")</f>
        <v>99.424999999999997</v>
      </c>
      <c r="DZ9" s="16" t="str">
        <f>IF(SUM(DQ9:DT9)-DU9&gt;0,SUM(DQ9:DT9)-DU9,"")</f>
        <v/>
      </c>
      <c r="EA9" s="16">
        <f>IF(SUM(DY9,DZ9)&gt;0,SUM(DY9,DZ9),"")</f>
        <v>99.424999999999997</v>
      </c>
      <c r="EB9" s="47">
        <v>1.6</v>
      </c>
      <c r="EC9" s="47">
        <v>0.8</v>
      </c>
      <c r="ED9" s="47">
        <v>1.3</v>
      </c>
      <c r="EE9" s="47">
        <v>1.74</v>
      </c>
      <c r="EF9" s="47">
        <v>0</v>
      </c>
      <c r="EG9" s="47">
        <v>14.4</v>
      </c>
      <c r="EH9" s="47">
        <v>9</v>
      </c>
      <c r="EI9" s="47">
        <v>13.5</v>
      </c>
      <c r="EJ9" s="47">
        <v>15.555</v>
      </c>
      <c r="EK9" s="47">
        <v>0</v>
      </c>
      <c r="EL9" s="47"/>
      <c r="EM9" s="47"/>
      <c r="EN9" s="47"/>
      <c r="EO9" s="47"/>
      <c r="EP9" s="47"/>
      <c r="EQ9" s="13">
        <f>IF(SUM(ED9,EI9)&gt;0,SUM(ED9,EI9),"")</f>
        <v>14.8</v>
      </c>
      <c r="ER9" s="13">
        <f>IF(SUM(EB9:EE9)-EF9&gt;0,SUM(EB9:EE9)-EF9,"")</f>
        <v>5.44</v>
      </c>
      <c r="ES9" s="13">
        <f>IF(SUM(EG9:EJ9)-EK9&gt;0,SUM(EG9:EJ9)-EK9,"")</f>
        <v>52.454999999999998</v>
      </c>
      <c r="ET9" s="13">
        <f>IF(SUM(ER9:ES9)&gt;0,SUM(ER9:ES9),"")</f>
        <v>57.894999999999996</v>
      </c>
      <c r="EU9" s="13" t="str">
        <f>IF(SUM(EL9:EO9)-EP9&gt;0,SUM(EL9:EO9)-EP9,"")</f>
        <v/>
      </c>
      <c r="EV9" s="13">
        <f>IF(SUM(ET9,EU9)&gt;0,SUM(ET9,EU9),"")</f>
        <v>57.894999999999996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>
        <v>16.8</v>
      </c>
      <c r="IY9" s="47">
        <v>9.6999999999999993</v>
      </c>
      <c r="IZ9" s="47">
        <v>4.5</v>
      </c>
      <c r="JA9" s="47">
        <v>16.295000000000002</v>
      </c>
      <c r="JB9" s="47">
        <v>0</v>
      </c>
      <c r="JC9" s="47">
        <v>14.8</v>
      </c>
      <c r="JD9" s="47">
        <v>12.7</v>
      </c>
      <c r="JE9" s="47">
        <v>9.5500000000000007</v>
      </c>
      <c r="JF9" s="47">
        <v>15.404999999999999</v>
      </c>
      <c r="JG9" s="47">
        <v>0</v>
      </c>
      <c r="JH9" s="47"/>
      <c r="JI9" s="47"/>
      <c r="JJ9" s="47"/>
      <c r="JK9" s="47"/>
      <c r="JL9" s="47"/>
      <c r="JM9" s="13">
        <f>IF(SUM(IZ9,JE9)&gt;0,SUM(IZ9,JE9),"")</f>
        <v>14.05</v>
      </c>
      <c r="JN9" s="13">
        <f>IF(SUM(IX9:JA9)-JB9&gt;0,SUM(IX9:JA9)-JB9,"")</f>
        <v>47.295000000000002</v>
      </c>
      <c r="JO9" s="13">
        <f>IF(SUM(JC9:JF9)-JG9&gt;0,SUM(JC9:JF9)-JG9,"")</f>
        <v>52.454999999999998</v>
      </c>
      <c r="JP9" s="13">
        <f>IF(SUM(JN9:JO9)&gt;0,SUM(JN9:JO9),"")</f>
        <v>99.75</v>
      </c>
      <c r="JQ9" s="13" t="str">
        <f>IF(SUM(JH9:JK9)-JL9&gt;0,SUM(JH9:JK9)-JL9,"")</f>
        <v/>
      </c>
      <c r="JR9" s="13">
        <f>IF(SUM(JP9,JQ9)&gt;0,SUM(JP9,JQ9),"")</f>
        <v>99.75</v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7</v>
      </c>
      <c r="B10" s="9" t="s">
        <v>122</v>
      </c>
      <c r="C10" s="5" t="s">
        <v>3</v>
      </c>
      <c r="D10" s="33">
        <v>1998</v>
      </c>
      <c r="E10" s="17">
        <f>SUM(J10:R10)</f>
        <v>245.65</v>
      </c>
      <c r="F10" s="4" t="str">
        <f>IF(OR(AND($AK10&gt;=$AL$16,NOT($AK10=""),$AJ10=""),AND($BG10&gt;=$BH$16,NOT($BG10=""),$BF10=""),AND($CC10&gt;=$CD$16,NOT($CC10=""),$CB10="")),"P","")</f>
        <v>P</v>
      </c>
      <c r="G10" s="4" t="str">
        <f>IF(OR(AND($AK10&gt;=$AL$17,NOT($AK10=""),$AJ10=""),AND($BG10&gt;=$BH$17,NOT($BG10=""),$BF10=""),AND($CC10&gt;=$CD$17,NOT($CC10=""),$CB10="")),"P","")</f>
        <v>P</v>
      </c>
      <c r="H10" s="4" t="str">
        <f>IF(OR(AND($AN10&gt;=$AL$18,NOT($AN10=""),$AJ10=""),AND($BJ10&gt;=$BH$18,NOT($BJ10=""),$BF10=""),AND($CF10&gt;=$CD$18,NOT($CF10=""),$CB10="")),"P","")</f>
        <v>P</v>
      </c>
      <c r="I10" t="str">
        <f>IF(AND(G10="P",OR(AND($AM10&gt;$AL$21,NOT($AM10=""),$AJ10=""),AND($AO10&gt;$AL$21,NOT($AO10=""),$AJ10=""),AND($BI10&gt;$BH$21,NOT($BI10=""),$BF10=""),AND($BK10&gt;$BH$21,NOT($BK10=""),$BF10=""),AND($CE10&gt;$CD$21,NOT($CE10=""),$CB10=""),AND($CG10&gt;$CD$21,NOT($CG10=""),$CB10=""))),"Merit",IF(AND(G10="P",OR(AND($AN10&gt;$AL$20,NOT($AN10=""),$AJ10=""),AND($BJ10&gt;$BH$20,NOT($BJ10=""),$BF10=""),AND($CF10&gt;$CD$20,NOT($CF10=""),$CB10=""))),"Funding",IF(AND(G10="P",OR(AND($AN10&gt;$AL$19,NOT($AN10=""),$AJ10=""),AND($BJ10&gt;$BH$19,NOT($BJ10=""),$BF10=""),AND($CF10&gt;$CD$19,NOT($CF10=""),$CB10=""))),"Worlds Team",IF(AND(F10="P",OR(AND($AN10&gt;$AL$18,NOT($AN10=""),$AJ10=""),AND($BJ10&gt;$BH$18,NOT($BJ10=""),$BF10=""),AND($CF10&gt;$CD$18,NOT($CF10=""),$CB10=""))),"National Team",""))))</f>
        <v>Worlds Team</v>
      </c>
      <c r="J10" s="16">
        <f>MAX(AN10,BJ10,CF10)</f>
        <v>98.419999999999987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46.305</v>
      </c>
      <c r="M10" s="16" t="str">
        <f>IF(L10=CD10,$BM$1,IF(L10=BH10,$AQ$1,IF(L10=AL10,$U$1,"")))</f>
        <v>2018 Canada Cup</v>
      </c>
      <c r="N10" s="16">
        <f>IF($J10=$AN10,MAX(BI10,CE10),IF($J10=$BJ10,MAX(AM10,CE10),MAX(AM10,BI10)))</f>
        <v>48.71</v>
      </c>
      <c r="O10" s="16" t="str">
        <f>IF(AND(N10=CE10,$K10&lt;&gt;$BM$1),$BM$1,IF(AND(N10=BI10,$K10&lt;&gt;$AQ$1),$AQ$1,IF(AND(N10=AM10,$K10&lt;&gt;$U$1),$U$1,"")))</f>
        <v>2018 Canada Cup</v>
      </c>
      <c r="P10" s="16">
        <f>MAX(AO10,BK10,CG10)</f>
        <v>52.214999999999996</v>
      </c>
      <c r="Q10" s="16" t="str">
        <f>IF(P10=CG10,$BM$1,IF(P10=BK10,$AQ$1,IF(P10=AO10,$U$1,"")))</f>
        <v>2018 Canada Cup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>IF(SUM(W10,AB10)&gt;0,SUM(W10,AB10),"")</f>
        <v/>
      </c>
      <c r="AL10" s="13" t="str">
        <f>IF(SUM(U10:X10)-Y10&gt;0,SUM(U10:X10)-Y10,"")</f>
        <v/>
      </c>
      <c r="AM10" s="13" t="str">
        <f>IF(SUM(Z10:AC10)-AD10&gt;0,SUM(Z10:AC10)-AD10,"")</f>
        <v/>
      </c>
      <c r="AN10" s="13" t="str">
        <f>IF(SUM(AL10:AM10)&gt;0,SUM(AL10:AM10),"")</f>
        <v/>
      </c>
      <c r="AO10" s="13" t="str">
        <f>IF(SUM(AE10:AH10)-AI10&gt;0,SUM(AE10:AH10)-AI10,"")</f>
        <v/>
      </c>
      <c r="AP10" s="13" t="str">
        <f>IF(SUM(AN10,AO10)&gt;0,SUM(AN10,AO10),"")</f>
        <v/>
      </c>
      <c r="AQ10" s="88">
        <v>16.8</v>
      </c>
      <c r="AR10" s="88">
        <v>9.6</v>
      </c>
      <c r="AS10" s="88">
        <v>4.5999999999999996</v>
      </c>
      <c r="AT10" s="88">
        <v>15.305</v>
      </c>
      <c r="AU10" s="88">
        <v>0</v>
      </c>
      <c r="AV10" s="88">
        <v>13.6</v>
      </c>
      <c r="AW10" s="88">
        <v>8.5</v>
      </c>
      <c r="AX10" s="88">
        <v>12.4</v>
      </c>
      <c r="AY10" s="88">
        <v>14.21</v>
      </c>
      <c r="AZ10" s="88">
        <v>0</v>
      </c>
      <c r="BA10" s="88">
        <v>14.8</v>
      </c>
      <c r="BB10" s="88">
        <v>9.25</v>
      </c>
      <c r="BC10" s="88">
        <v>13.5</v>
      </c>
      <c r="BD10" s="88">
        <v>14.664999999999999</v>
      </c>
      <c r="BE10" s="88">
        <v>0</v>
      </c>
      <c r="BF10" s="94"/>
      <c r="BG10" s="16">
        <f>IF(SUM(AS10,AX10)&gt;0,SUM(AS10,AX10),"")</f>
        <v>17</v>
      </c>
      <c r="BH10" s="16">
        <f>IF(SUM(AQ10:AT10)-AU10&gt;0,SUM(AQ10:AT10)-AU10,"")</f>
        <v>46.305</v>
      </c>
      <c r="BI10" s="16">
        <f>IF(SUM(AV10:AY10)-AZ10&gt;0,SUM(AV10:AY10)-AZ10,"")</f>
        <v>48.71</v>
      </c>
      <c r="BJ10" s="16">
        <f>IF(SUM(BH10:BI10)&gt;0,SUM(BH10:BI10),"")</f>
        <v>95.015000000000001</v>
      </c>
      <c r="BK10" s="16">
        <f>IF(SUM(BA10:BD10)-BE10&gt;0,SUM(BA10:BD10)-BE10,"")</f>
        <v>52.214999999999996</v>
      </c>
      <c r="BL10" s="16">
        <f>IF(SUM(BJ10,BK10)&gt;0,SUM(BJ10,BK10),"")</f>
        <v>147.22999999999999</v>
      </c>
      <c r="BM10" s="47">
        <v>17.2</v>
      </c>
      <c r="BN10" s="47">
        <v>9.5</v>
      </c>
      <c r="BO10" s="47">
        <v>4.5999999999999996</v>
      </c>
      <c r="BP10" s="47">
        <v>15.52</v>
      </c>
      <c r="BQ10" s="47">
        <v>0</v>
      </c>
      <c r="BR10" s="47">
        <v>15.4</v>
      </c>
      <c r="BS10" s="47">
        <v>9.5</v>
      </c>
      <c r="BT10" s="47">
        <v>11.8</v>
      </c>
      <c r="BU10" s="47">
        <v>14.9</v>
      </c>
      <c r="BV10" s="47">
        <v>0</v>
      </c>
      <c r="BW10" s="47">
        <v>1.6</v>
      </c>
      <c r="BX10" s="47">
        <v>0.9</v>
      </c>
      <c r="BY10" s="47">
        <v>2</v>
      </c>
      <c r="BZ10" s="47">
        <v>1.635</v>
      </c>
      <c r="CA10" s="47">
        <v>0</v>
      </c>
      <c r="CB10" s="93"/>
      <c r="CC10" s="13">
        <f>IF(SUM(BO10,BT10)&gt;0,SUM(BO10,BT10),"")</f>
        <v>16.399999999999999</v>
      </c>
      <c r="CD10" s="13">
        <f>IF(SUM(BM10:BP10)-BQ10&gt;0,SUM(BM10:BP10)-BQ10,"")</f>
        <v>46.819999999999993</v>
      </c>
      <c r="CE10" s="13">
        <f>IF(SUM(BR10:BU10)-BV10&gt;0,SUM(BR10:BU10)-BV10,"")</f>
        <v>51.6</v>
      </c>
      <c r="CF10" s="13">
        <f>IF(SUM(CD10:CE10)&gt;0,SUM(CD10:CE10),"")</f>
        <v>98.419999999999987</v>
      </c>
      <c r="CG10" s="13">
        <f>IF(SUM(BW10:BZ10)-CA10&gt;0,SUM(BW10:BZ10)-CA10,"")</f>
        <v>6.1349999999999998</v>
      </c>
      <c r="CH10" s="13">
        <f>IF(SUM(CF10,CG10)&gt;0,SUM(CF10,CG10),"")</f>
        <v>104.55499999999999</v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123</v>
      </c>
      <c r="C11" s="5" t="s">
        <v>5</v>
      </c>
      <c r="D11" s="33">
        <v>1999</v>
      </c>
      <c r="E11" s="17">
        <f>SUM(J11:R11)</f>
        <v>238.78500000000003</v>
      </c>
      <c r="F11" s="4" t="str">
        <f>IF(OR(AND($AK11&gt;=$AL$16,NOT($AK11=""),$AJ11=""),AND($BG11&gt;=$BH$16,NOT($BG11=""),$BF11=""),AND($CC11&gt;=$CD$16,NOT($CC11=""),$CB11="")),"P","")</f>
        <v/>
      </c>
      <c r="G11" s="4" t="str">
        <f>IF(OR(AND($AK11&gt;=$AL$17,NOT($AK11=""),$AJ11=""),AND($BG11&gt;=$BH$17,NOT($BG11=""),$BF11=""),AND($CC11&gt;=$CD$17,NOT($CC11=""),$CB11="")),"P","")</f>
        <v/>
      </c>
      <c r="H11" s="4" t="str">
        <f>IF(OR(AND($AN11&gt;=$AL$18,NOT($AN11=""),$AJ11=""),AND($BJ11&gt;=$BH$18,NOT($BJ11=""),$BF11=""),AND($CF11&gt;=$CD$18,NOT($CF11=""),$CB11="")),"P","")</f>
        <v/>
      </c>
      <c r="I11" t="str">
        <f>IF(AND(G11="P",OR(AND($AM11&gt;$AL$21,NOT($AM11=""),$AJ11=""),AND($AO11&gt;$AL$21,NOT($AO11=""),$AJ11=""),AND($BI11&gt;$BH$21,NOT($BI11=""),$BF11=""),AND($BK11&gt;$BH$21,NOT($BK11=""),$BF11=""),AND($CE11&gt;$CD$21,NOT($CE11=""),$CB11=""),AND($CG11&gt;$CD$21,NOT($CG11=""),$CB11=""))),"Merit",IF(AND(G11="P",OR(AND($AN11&gt;$AL$20,NOT($AN11=""),$AJ11=""),AND($BJ11&gt;$BH$20,NOT($BJ11=""),$BF11=""),AND($CF11&gt;$CD$20,NOT($CF11=""),$CB11=""))),"Funding",IF(AND(G11="P",OR(AND($AN11&gt;$AL$19,NOT($AN11=""),$AJ11=""),AND($BJ11&gt;$BH$19,NOT($BJ11=""),$BF11=""),AND($CF11&gt;$CD$19,NOT($CF11=""),$CB11=""))),"Worlds Team",IF(AND(F11="P",OR(AND($AN11&gt;$AL$18,NOT($AN11=""),$AJ11=""),AND($BJ11&gt;$BH$18,NOT($BJ11=""),$BF11=""),AND($CF11&gt;$CD$18,NOT($CF11=""),$CB11=""))),"National Team",""))))</f>
        <v/>
      </c>
      <c r="J11" s="16">
        <f>MAX(AN11,BJ11,CF11)</f>
        <v>92.474999999999994</v>
      </c>
      <c r="K11" s="16" t="str">
        <f>IF(J11=CF11,$BM$1,IF(J11=BJ11,$AQ$1,IF(J11=AN11,$U$1,"")))</f>
        <v>2018 Canada Cup</v>
      </c>
      <c r="L11" s="16">
        <f>IF($J11=$AN11,MAX(BH11,CD11),IF($J11=$BJ11,MAX(AL11,CD11),MAX(AL11,BH11)))</f>
        <v>43.34</v>
      </c>
      <c r="M11" s="16" t="str">
        <f>IF(L11=CD11,$BM$1,IF(L11=BH11,$AQ$1,IF(L11=AL11,$U$1,"")))</f>
        <v>2018 Nationals</v>
      </c>
      <c r="N11" s="16">
        <f>IF($J11=$AN11,MAX(BI11,CE11),IF($J11=$BJ11,MAX(AM11,CE11),MAX(AM11,BI11)))</f>
        <v>48.174999999999997</v>
      </c>
      <c r="O11" s="16" t="str">
        <f>IF(AND(N11=CE11,$K11&lt;&gt;$BM$1),$BM$1,IF(AND(N11=BI11,$K11&lt;&gt;$AQ$1),$AQ$1,IF(AND(N11=AM11,$K11&lt;&gt;$U$1),$U$1,"")))</f>
        <v>2018 Nationals</v>
      </c>
      <c r="P11" s="16">
        <f>MAX(AO11,BK11,CG11)</f>
        <v>51.43</v>
      </c>
      <c r="Q11" s="16" t="str">
        <f>IF(P11=CG11,$BM$1,IF(P11=BK11,$AQ$1,IF(P11=AO11,$U$1,"")))</f>
        <v>2018 Nationals</v>
      </c>
      <c r="R11" s="16">
        <f>IF(MAX(CI11:CK11)&gt;0,MAX(CI11:CK11),"")</f>
        <v>3.3649999999999949</v>
      </c>
      <c r="S11" s="31" t="str">
        <f>IF(R11="","",IF(R11=CI11,"(Vol 1)",IF(R11=CJ11,"(Vol 2)",IF(R11=CK11,"(Final)"))))</f>
        <v>(Vol 1)</v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>2018 Pacific Rim (Apr)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88">
        <v>16.600000000000001</v>
      </c>
      <c r="AR11" s="88">
        <v>9.25</v>
      </c>
      <c r="AS11" s="88">
        <v>4.2</v>
      </c>
      <c r="AT11" s="88">
        <v>16.015000000000001</v>
      </c>
      <c r="AU11" s="88">
        <v>0</v>
      </c>
      <c r="AV11" s="88">
        <v>13.7</v>
      </c>
      <c r="AW11" s="88">
        <v>8.1</v>
      </c>
      <c r="AX11" s="88">
        <v>11</v>
      </c>
      <c r="AY11" s="88">
        <v>13.61</v>
      </c>
      <c r="AZ11" s="88">
        <v>0</v>
      </c>
      <c r="BA11" s="88">
        <v>15.2</v>
      </c>
      <c r="BB11" s="88">
        <v>8.6999999999999993</v>
      </c>
      <c r="BC11" s="88">
        <v>11.4</v>
      </c>
      <c r="BD11" s="88">
        <v>14.835000000000001</v>
      </c>
      <c r="BE11" s="88">
        <v>0</v>
      </c>
      <c r="BF11" s="94"/>
      <c r="BG11" s="16">
        <f>IF(SUM(AS11,AX11)&gt;0,SUM(AS11,AX11),"")</f>
        <v>15.2</v>
      </c>
      <c r="BH11" s="16">
        <f>IF(SUM(AQ11:AT11)-AU11&gt;0,SUM(AQ11:AT11)-AU11,"")</f>
        <v>46.064999999999998</v>
      </c>
      <c r="BI11" s="16">
        <f>IF(SUM(AV11:AY11)-AZ11&gt;0,SUM(AV11:AY11)-AZ11,"")</f>
        <v>46.41</v>
      </c>
      <c r="BJ11" s="16">
        <f>IF(SUM(BH11:BI11)&gt;0,SUM(BH11:BI11),"")</f>
        <v>92.474999999999994</v>
      </c>
      <c r="BK11" s="16">
        <f>IF(SUM(BA11:BD11)-BE11&gt;0,SUM(BA11:BD11)-BE11,"")</f>
        <v>50.134999999999998</v>
      </c>
      <c r="BL11" s="16">
        <f>IF(SUM(BJ11,BK11)&gt;0,SUM(BJ11,BK11),"")</f>
        <v>142.60999999999999</v>
      </c>
      <c r="BM11" s="47">
        <v>18.100000000000001</v>
      </c>
      <c r="BN11" s="47">
        <v>8.15</v>
      </c>
      <c r="BO11" s="47">
        <v>2.6</v>
      </c>
      <c r="BP11" s="47">
        <v>14.49</v>
      </c>
      <c r="BQ11" s="47">
        <v>0</v>
      </c>
      <c r="BR11" s="47">
        <v>13.7</v>
      </c>
      <c r="BS11" s="47">
        <v>9.0500000000000007</v>
      </c>
      <c r="BT11" s="47">
        <v>11.5</v>
      </c>
      <c r="BU11" s="47">
        <v>13.925000000000001</v>
      </c>
      <c r="BV11" s="47">
        <v>0</v>
      </c>
      <c r="BW11" s="47">
        <v>15.2</v>
      </c>
      <c r="BX11" s="47">
        <v>9.1</v>
      </c>
      <c r="BY11" s="47">
        <v>12.6</v>
      </c>
      <c r="BZ11" s="47">
        <v>14.53</v>
      </c>
      <c r="CA11" s="47">
        <v>0</v>
      </c>
      <c r="CB11" s="93"/>
      <c r="CC11" s="13">
        <f>IF(SUM(BO11,BT11)&gt;0,SUM(BO11,BT11),"")</f>
        <v>14.1</v>
      </c>
      <c r="CD11" s="13">
        <f>IF(SUM(BM11:BP11)-BQ11&gt;0,SUM(BM11:BP11)-BQ11,"")</f>
        <v>43.34</v>
      </c>
      <c r="CE11" s="13">
        <f>IF(SUM(BR11:BU11)-BV11&gt;0,SUM(BR11:BU11)-BV11,"")</f>
        <v>48.174999999999997</v>
      </c>
      <c r="CF11" s="13">
        <f>IF(SUM(CD11:CE11)&gt;0,SUM(CD11:CE11),"")</f>
        <v>91.515000000000001</v>
      </c>
      <c r="CG11" s="13">
        <f>IF(SUM(BW11:BZ11)-CA11&gt;0,SUM(BW11:BZ11)-CA11,"")</f>
        <v>51.43</v>
      </c>
      <c r="CH11" s="13">
        <f>IF(SUM(CF11,CG11)&gt;0,SUM(CF11,CG11),"")</f>
        <v>142.94499999999999</v>
      </c>
      <c r="CI11" s="30">
        <f>IF(MAX(DB11,DW11,ER11,FM11,GH11,HC11,HX11,IS11,JN11,KI11,LD11,LY11)-L11&gt;0.001,MAX(DB11,DW11,ER11,FM11,GH11,HC11,HX11,IS11,JN11,KI11,LD11,LY11)-L11,"")</f>
        <v>3.3649999999999949</v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>
        <v>17.100000000000001</v>
      </c>
      <c r="HI11" s="47">
        <v>9.4</v>
      </c>
      <c r="HJ11" s="47">
        <v>4.2</v>
      </c>
      <c r="HK11" s="47">
        <v>16.004999999999999</v>
      </c>
      <c r="HL11" s="47">
        <v>0</v>
      </c>
      <c r="HM11" s="47">
        <v>12.2</v>
      </c>
      <c r="HN11" s="47">
        <v>6.9</v>
      </c>
      <c r="HO11" s="47">
        <v>10.4</v>
      </c>
      <c r="HP11" s="47">
        <v>12.074999999999999</v>
      </c>
      <c r="HQ11" s="47">
        <v>0</v>
      </c>
      <c r="HR11" s="47"/>
      <c r="HS11" s="47"/>
      <c r="HT11" s="47"/>
      <c r="HU11" s="47"/>
      <c r="HV11" s="47"/>
      <c r="HW11" s="13">
        <f>IF(SUM(HJ11,HO11)&gt;0,SUM(HJ11,HO11),"")</f>
        <v>14.600000000000001</v>
      </c>
      <c r="HX11" s="13">
        <f>IF(SUM(HH11:HK11)-HL11&gt;0,SUM(HH11:HK11)-HL11,"")</f>
        <v>46.704999999999998</v>
      </c>
      <c r="HY11" s="13">
        <f>IF(SUM(HM11:HP11)-HQ11&gt;0,SUM(HM11:HP11)-HQ11,"")</f>
        <v>41.575000000000003</v>
      </c>
      <c r="HZ11" s="13">
        <f>IF(SUM(HX11:HY11)&gt;0,SUM(HX11:HY11),"")</f>
        <v>88.28</v>
      </c>
      <c r="IA11" s="13" t="str">
        <f>IF(SUM(HR11:HU11)-HV11&gt;0,SUM(HR11:HU11)-HV11,"")</f>
        <v/>
      </c>
      <c r="IB11" s="13">
        <f>IF(SUM(HZ11,IA11)&gt;0,SUM(HZ11,IA11),"")</f>
        <v>88.28</v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>
        <v>15.5</v>
      </c>
      <c r="IN11" s="48">
        <v>8.8000000000000007</v>
      </c>
      <c r="IO11" s="48">
        <v>12.2</v>
      </c>
      <c r="IP11" s="48">
        <v>14.765000000000001</v>
      </c>
      <c r="IQ11" s="48">
        <v>0</v>
      </c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>
        <f>IF(SUM(IM11:IP11)-IQ11&gt;0,SUM(IM11:IP11)-IQ11,"")</f>
        <v>51.265000000000001</v>
      </c>
      <c r="IW11" s="16">
        <f>IF(SUM(IU11,IV11)&gt;0,SUM(IU11,IV11),"")</f>
        <v>51.265000000000001</v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47</v>
      </c>
      <c r="C12" s="5" t="s">
        <v>12</v>
      </c>
      <c r="D12" s="33">
        <v>1998</v>
      </c>
      <c r="E12" s="17">
        <f>SUM(J12:R12)</f>
        <v>217.3125</v>
      </c>
      <c r="F12" s="4" t="str">
        <f>IF(OR(AND($AK12&gt;=$AL$16,NOT($AK12=""),$AJ12=""),AND($BG12&gt;=$BH$16,NOT($BG12=""),$BF12=""),AND($CC12&gt;=$CD$16,NOT($CC12=""),$CB12="")),"P","")</f>
        <v/>
      </c>
      <c r="G12" s="4" t="str">
        <f>IF(OR(AND($AK12&gt;=$AL$17,NOT($AK12=""),$AJ12=""),AND($BG12&gt;=$BH$17,NOT($BG12=""),$BF12=""),AND($CC12&gt;=$CD$17,NOT($CC12=""),$CB12="")),"P","")</f>
        <v/>
      </c>
      <c r="H12" s="4" t="str">
        <f>IF(OR(AND($AN12&gt;=$AL$18,NOT($AN12=""),$AJ12=""),AND($BJ12&gt;=$BH$18,NOT($BJ12=""),$BF12=""),AND($CF12&gt;=$CD$18,NOT($CF12=""),$CB12="")),"P","")</f>
        <v/>
      </c>
      <c r="I12" t="str">
        <f>IF(AND(G12="P",OR(AND($AM12&gt;$AL$21,NOT($AM12=""),$AJ12=""),AND($AO12&gt;$AL$21,NOT($AO12=""),$AJ12=""),AND($BI12&gt;$BH$21,NOT($BI12=""),$BF12=""),AND($BK12&gt;$BH$21,NOT($BK12=""),$BF12=""),AND($CE12&gt;$CD$21,NOT($CE12=""),$CB12=""),AND($CG12&gt;$CD$21,NOT($CG12=""),$CB12=""))),"Merit",IF(AND(G12="P",OR(AND($AN12&gt;$AL$20,NOT($AN12=""),$AJ12=""),AND($BJ12&gt;$BH$20,NOT($BJ12=""),$BF12=""),AND($CF12&gt;$CD$20,NOT($CF12=""),$CB12=""))),"Funding",IF(AND(G12="P",OR(AND($AN12&gt;$AL$19,NOT($AN12=""),$AJ12=""),AND($BJ12&gt;$BH$19,NOT($BJ12=""),$BF12=""),AND($CF12&gt;$CD$19,NOT($CF12=""),$CB12=""))),"Worlds Team",IF(AND(F12="P",OR(AND($AN12&gt;$AL$18,NOT($AN12=""),$AJ12=""),AND($BJ12&gt;$BH$18,NOT($BJ12=""),$BF12=""),AND($CF12&gt;$CD$18,NOT($CF12=""),$CB12=""))),"National Team",""))))</f>
        <v/>
      </c>
      <c r="J12" s="16">
        <f>MAX(AN12,BJ12,CF12)</f>
        <v>94.53</v>
      </c>
      <c r="K12" s="16" t="str">
        <f>IF(J12=CF12,$BM$1,IF(J12=BJ12,$AQ$1,IF(J12=AN12,$U$1,"")))</f>
        <v>2017 3rd Domestic Trial</v>
      </c>
      <c r="L12" s="16">
        <f>IF($J12=$AN12,MAX(BH12,CD12),IF($J12=$BJ12,MAX(AL12,CD12),MAX(AL12,BH12)))</f>
        <v>44.362500000000004</v>
      </c>
      <c r="M12" s="16" t="str">
        <f>IF(L12=CD12,$BM$1,IF(L12=BH12,$AQ$1,IF(L12=AL12,$U$1,"")))</f>
        <v>2018 Nationals</v>
      </c>
      <c r="N12" s="16">
        <f>IF($J12=$AN12,MAX(BI12,CE12),IF($J12=$BJ12,MAX(AM12,CE12),MAX(AM12,BI12)))</f>
        <v>27.795000000000002</v>
      </c>
      <c r="O12" s="16" t="str">
        <f>IF(AND(N12=CE12,$K12&lt;&gt;$BM$1),$BM$1,IF(AND(N12=BI12,$K12&lt;&gt;$AQ$1),$AQ$1,IF(AND(N12=AM12,$K12&lt;&gt;$U$1),$U$1,"")))</f>
        <v>2018 Nationals</v>
      </c>
      <c r="P12" s="16">
        <f>MAX(AO12,BK12,CG12)</f>
        <v>16.015000000000001</v>
      </c>
      <c r="Q12" s="16" t="str">
        <f>IF(P12=CG12,$BM$1,IF(P12=BK12,$AQ$1,IF(P12=AO12,$U$1,"")))</f>
        <v>2018 Nationals</v>
      </c>
      <c r="R12" s="16">
        <f>IF(MAX(CI12:CK12)&gt;0,MAX(CI12:CK12),"")</f>
        <v>34.61</v>
      </c>
      <c r="S12" s="31" t="str">
        <f>IF(R12="","",IF(R12=CI12,"(Vol 1)",IF(R12=CJ12,"(Vol 2)",IF(R12=CK12,"(Final)"))))</f>
        <v>(Final)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Pacific Rim Team Finals (Apr)</v>
      </c>
      <c r="U12" s="47">
        <v>15.9</v>
      </c>
      <c r="V12" s="47">
        <v>9.3000000000000007</v>
      </c>
      <c r="W12" s="47">
        <v>3.7</v>
      </c>
      <c r="X12" s="47">
        <v>15.595000000000001</v>
      </c>
      <c r="Y12" s="47">
        <v>0</v>
      </c>
      <c r="Z12" s="47">
        <v>15.1</v>
      </c>
      <c r="AA12" s="47">
        <v>9.3000000000000007</v>
      </c>
      <c r="AB12" s="47">
        <v>11</v>
      </c>
      <c r="AC12" s="47">
        <v>14.635</v>
      </c>
      <c r="AD12" s="47">
        <v>0</v>
      </c>
      <c r="AE12" s="47">
        <v>4.7</v>
      </c>
      <c r="AF12" s="47">
        <v>2.8</v>
      </c>
      <c r="AG12" s="47">
        <v>4.2</v>
      </c>
      <c r="AH12" s="47">
        <v>4.3150000000000004</v>
      </c>
      <c r="AI12" s="47">
        <v>0</v>
      </c>
      <c r="AJ12" s="93"/>
      <c r="AK12" s="13">
        <f>IF(SUM(W12,AB12)&gt;0,SUM(W12,AB12),"")</f>
        <v>14.7</v>
      </c>
      <c r="AL12" s="13">
        <f>IF(SUM(U12:X12)-Y12&gt;0,SUM(U12:X12)-Y12,"")</f>
        <v>44.495000000000005</v>
      </c>
      <c r="AM12" s="13">
        <f>IF(SUM(Z12:AC12)-AD12&gt;0,SUM(Z12:AC12)-AD12,"")</f>
        <v>50.034999999999997</v>
      </c>
      <c r="AN12" s="13">
        <f>IF(SUM(AL12:AM12)&gt;0,SUM(AL12:AM12),"")</f>
        <v>94.53</v>
      </c>
      <c r="AO12" s="13">
        <f>IF(SUM(AE12:AH12)-AI12&gt;0,SUM(AE12:AH12)-AI12,"")</f>
        <v>16.015000000000001</v>
      </c>
      <c r="AP12" s="13">
        <f>IF(SUM(AN12,AO12)&gt;0,SUM(AN12,AO12),"")</f>
        <v>110.545</v>
      </c>
      <c r="AQ12" s="88">
        <v>15.5</v>
      </c>
      <c r="AR12" s="88">
        <v>9</v>
      </c>
      <c r="AS12" s="88">
        <v>4.4000000000000004</v>
      </c>
      <c r="AT12" s="88">
        <v>15.33</v>
      </c>
      <c r="AU12" s="88">
        <v>0</v>
      </c>
      <c r="AV12" s="88">
        <v>1.6</v>
      </c>
      <c r="AW12" s="88">
        <v>1</v>
      </c>
      <c r="AX12" s="88">
        <v>1.5</v>
      </c>
      <c r="AY12" s="88">
        <v>1.4550000000000001</v>
      </c>
      <c r="AZ12" s="88">
        <v>0</v>
      </c>
      <c r="BA12" s="88"/>
      <c r="BB12" s="88"/>
      <c r="BC12" s="88"/>
      <c r="BD12" s="88"/>
      <c r="BE12" s="88"/>
      <c r="BF12" s="94"/>
      <c r="BG12" s="16">
        <f>IF(SUM(AS12,AX12)&gt;0,SUM(AS12,AX12),"")</f>
        <v>5.9</v>
      </c>
      <c r="BH12" s="16">
        <f>IF(SUM(AQ12:AT12)-AU12&gt;0,SUM(AQ12:AT12)-AU12,"")</f>
        <v>44.23</v>
      </c>
      <c r="BI12" s="16">
        <f>IF(SUM(AV12:AY12)-AZ12&gt;0,SUM(AV12:AY12)-AZ12,"")</f>
        <v>5.5549999999999997</v>
      </c>
      <c r="BJ12" s="16">
        <f>IF(SUM(BH12:BI12)&gt;0,SUM(BH12:BI12),"")</f>
        <v>49.784999999999997</v>
      </c>
      <c r="BK12" s="16" t="str">
        <f>IF(SUM(BA12:BD12)-BE12&gt;0,SUM(BA12:BD12)-BE12,"")</f>
        <v/>
      </c>
      <c r="BL12" s="16">
        <f>IF(SUM(BJ12,BK12)&gt;0,SUM(BJ12,BK12),"")</f>
        <v>49.784999999999997</v>
      </c>
      <c r="BM12" s="81">
        <v>15.7</v>
      </c>
      <c r="BN12" s="81">
        <v>9.15</v>
      </c>
      <c r="BO12" s="81">
        <v>4.0500000000000007</v>
      </c>
      <c r="BP12" s="81">
        <v>15.4625</v>
      </c>
      <c r="BQ12" s="81">
        <v>0</v>
      </c>
      <c r="BR12" s="81">
        <v>8.35</v>
      </c>
      <c r="BS12" s="81">
        <v>5.15</v>
      </c>
      <c r="BT12" s="81">
        <v>6.25</v>
      </c>
      <c r="BU12" s="81">
        <v>8.0449999999999999</v>
      </c>
      <c r="BV12" s="81">
        <v>0</v>
      </c>
      <c r="BW12" s="81">
        <v>4.7</v>
      </c>
      <c r="BX12" s="81">
        <v>2.8</v>
      </c>
      <c r="BY12" s="81">
        <v>4.2</v>
      </c>
      <c r="BZ12" s="81">
        <v>4.3150000000000004</v>
      </c>
      <c r="CA12" s="81">
        <v>0</v>
      </c>
      <c r="CB12" s="93" t="s">
        <v>159</v>
      </c>
      <c r="CC12" s="13">
        <f>IF(SUM(BO12,BT12)&gt;0,SUM(BO12,BT12),"")</f>
        <v>10.3</v>
      </c>
      <c r="CD12" s="13">
        <f>IF(SUM(BM12:BP12)-BQ12&gt;0,SUM(BM12:BP12)-BQ12,"")</f>
        <v>44.362500000000004</v>
      </c>
      <c r="CE12" s="13">
        <f>IF(SUM(BR12:BU12)-BV12&gt;0,SUM(BR12:BU12)-BV12,"")</f>
        <v>27.795000000000002</v>
      </c>
      <c r="CF12" s="13">
        <f>IF(SUM(CD12:CE12)&gt;0,SUM(CD12:CE12),"")</f>
        <v>72.157499999999999</v>
      </c>
      <c r="CG12" s="13">
        <f>IF(SUM(BW12:BZ12)-CA12&gt;0,SUM(BW12:BZ12)-CA12,"")</f>
        <v>16.015000000000001</v>
      </c>
      <c r="CH12" s="13">
        <f>IF(SUM(CF12,CG12)&gt;0,SUM(CF12,CG12),"")</f>
        <v>88.172499999999999</v>
      </c>
      <c r="CI12" s="30" t="str">
        <f>IF(MAX(DB12,DW12,ER12,FM12,GH12,HC12,HX12,IS12,JN12,KI12,LD12,LY12)-L12&gt;0.001,MAX(DB12,DW12,ER12,FM12,GH12,HC12,HX12,IS12,JN12,KI12,LD12,LY12)-L12,"")</f>
        <v/>
      </c>
      <c r="CJ12" s="30">
        <f>IF(MAX(DC12,DX12,ES12,FN12,GI12,HD12,HY12,IT12,JO12,KJ12,LE12,LZ12)-N12&gt;0.001,MAX(DC12,DX12,ES12,FN12,GI12,HD12,HY12,IT12,JO12,KJ12,LE12,LZ12)-N12,"")</f>
        <v>22.810000000000002</v>
      </c>
      <c r="CK12" s="30">
        <f>IF(MAX(DE12,DZ12,EU12,FP12,GK12,HF12,IA12,IV12,JQ12,KL12,LG12,MB12)-P12&gt;0.001,MAX(DE12,DZ12,EU12,FP12,GK12,HF12,IA12,IV12,JQ12,KL12,LG12,MB12)-P12,"")</f>
        <v>34.61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>
        <v>13.9</v>
      </c>
      <c r="HI12" s="47">
        <v>8.15</v>
      </c>
      <c r="HJ12" s="47">
        <v>3.2</v>
      </c>
      <c r="HK12" s="47">
        <v>14.045</v>
      </c>
      <c r="HL12" s="47">
        <v>0</v>
      </c>
      <c r="HM12" s="47">
        <v>15.5</v>
      </c>
      <c r="HN12" s="47">
        <v>9.3000000000000007</v>
      </c>
      <c r="HO12" s="47">
        <v>10.7</v>
      </c>
      <c r="HP12" s="47">
        <v>15.105</v>
      </c>
      <c r="HQ12" s="47">
        <v>0</v>
      </c>
      <c r="HR12" s="47">
        <v>13.8</v>
      </c>
      <c r="HS12" s="47">
        <v>8.6</v>
      </c>
      <c r="HT12" s="47">
        <v>10.7</v>
      </c>
      <c r="HU12" s="47">
        <v>14.79</v>
      </c>
      <c r="HV12" s="47">
        <v>0</v>
      </c>
      <c r="HW12" s="13">
        <f>IF(SUM(HJ12,HO12)&gt;0,SUM(HJ12,HO12),"")</f>
        <v>13.899999999999999</v>
      </c>
      <c r="HX12" s="13">
        <f>IF(SUM(HH12:HK12)-HL12&gt;0,SUM(HH12:HK12)-HL12,"")</f>
        <v>39.295000000000002</v>
      </c>
      <c r="HY12" s="13">
        <f>IF(SUM(HM12:HP12)-HQ12&gt;0,SUM(HM12:HP12)-HQ12,"")</f>
        <v>50.605000000000004</v>
      </c>
      <c r="HZ12" s="13">
        <f>IF(SUM(HX12:HY12)&gt;0,SUM(HX12:HY12),"")</f>
        <v>89.9</v>
      </c>
      <c r="IA12" s="13">
        <f>IF(SUM(HR12:HU12)-HV12&gt;0,SUM(HR12:HU12)-HV12,"")</f>
        <v>47.889999999999993</v>
      </c>
      <c r="IB12" s="13">
        <f>IF(SUM(HZ12,IA12)&gt;0,SUM(HZ12,IA12),"")</f>
        <v>137.79</v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>
        <v>16.100000000000001</v>
      </c>
      <c r="IN12" s="48">
        <v>9.1</v>
      </c>
      <c r="IO12" s="48">
        <v>10.5</v>
      </c>
      <c r="IP12" s="48">
        <v>14.925000000000001</v>
      </c>
      <c r="IQ12" s="48">
        <v>0</v>
      </c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>
        <f>IF(SUM(IM12:IP12)-IQ12&gt;0,SUM(IM12:IP12)-IQ12,"")</f>
        <v>50.625</v>
      </c>
      <c r="IW12" s="16">
        <f>IF(SUM(IU12,IV12)&gt;0,SUM(IU12,IV12),"")</f>
        <v>50.625</v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49</v>
      </c>
      <c r="C13" s="5" t="s">
        <v>12</v>
      </c>
      <c r="D13" s="33">
        <v>1995</v>
      </c>
      <c r="E13" s="17">
        <f>SUM(J13:R13)</f>
        <v>182.965</v>
      </c>
      <c r="F13" s="4" t="str">
        <f>IF(OR(AND($AK13&gt;=$AL$16,NOT($AK13=""),$AJ13=""),AND($BG13&gt;=$BH$16,NOT($BG13=""),$BF13=""),AND($CC13&gt;=$CD$16,NOT($CC13=""),$CB13="")),"P","")</f>
        <v/>
      </c>
      <c r="G13" s="4" t="str">
        <f>IF(OR(AND($AK13&gt;=$AL$17,NOT($AK13=""),$AJ13=""),AND($BG13&gt;=$BH$17,NOT($BG13=""),$BF13=""),AND($CC13&gt;=$CD$17,NOT($CC13=""),$CB13="")),"P","")</f>
        <v/>
      </c>
      <c r="H13" s="4" t="str">
        <f>IF(OR(AND($AN13&gt;=$AL$18,NOT($AN13=""),$AJ13=""),AND($BJ13&gt;=$BH$18,NOT($BJ13=""),$BF13=""),AND($CF13&gt;=$CD$18,NOT($CF13=""),$CB13="")),"P","")</f>
        <v/>
      </c>
      <c r="I13" t="str">
        <f>IF(AND(G13="P",OR(AND($AM13&gt;$AL$21,NOT($AM13=""),$AJ13=""),AND($AO13&gt;$AL$21,NOT($AO13=""),$AJ13=""),AND($BI13&gt;$BH$21,NOT($BI13=""),$BF13=""),AND($BK13&gt;$BH$21,NOT($BK13=""),$BF13=""),AND($CE13&gt;$CD$21,NOT($CE13=""),$CB13=""),AND($CG13&gt;$CD$21,NOT($CG13=""),$CB13=""))),"Merit",IF(AND(G13="P",OR(AND($AN13&gt;$AL$20,NOT($AN13=""),$AJ13=""),AND($BJ13&gt;$BH$20,NOT($BJ13=""),$BF13=""),AND($CF13&gt;$CD$20,NOT($CF13=""),$CB13=""))),"Funding",IF(AND(G13="P",OR(AND($AN13&gt;$AL$19,NOT($AN13=""),$AJ13=""),AND($BJ13&gt;$BH$19,NOT($BJ13=""),$BF13=""),AND($CF13&gt;$CD$19,NOT($CF13=""),$CB13=""))),"Worlds Team",IF(AND(F13="P",OR(AND($AN13&gt;$AL$18,NOT($AN13=""),$AJ13=""),AND($BJ13&gt;$BH$18,NOT($BJ13=""),$BF13=""),AND($CF13&gt;$CD$18,NOT($CF13=""),$CB13=""))),"National Team",""))))</f>
        <v/>
      </c>
      <c r="J13" s="16">
        <f>MAX(AN13,BJ13,CF13)</f>
        <v>87.36</v>
      </c>
      <c r="K13" s="16" t="str">
        <f>IF(J13=CF13,$BM$1,IF(J13=BJ13,$AQ$1,IF(J13=AN13,$U$1,"")))</f>
        <v>2018 Canada Cup</v>
      </c>
      <c r="L13" s="16">
        <f>IF($J13=$AN13,MAX(BH13,CD13),IF($J13=$BJ13,MAX(AL13,CD13),MAX(AL13,BH13)))</f>
        <v>43.325000000000003</v>
      </c>
      <c r="M13" s="16" t="str">
        <f>IF(L13=CD13,$BM$1,IF(L13=BH13,$AQ$1,IF(L13=AL13,$U$1,"")))</f>
        <v>2018 Nationals</v>
      </c>
      <c r="N13" s="16">
        <f>IF($J13=$AN13,MAX(BI13,CE13),IF($J13=$BJ13,MAX(AM13,CE13),MAX(AM13,BI13)))</f>
        <v>46.875</v>
      </c>
      <c r="O13" s="16" t="str">
        <f>IF(AND(N13=CE13,$K13&lt;&gt;$BM$1),$BM$1,IF(AND(N13=BI13,$K13&lt;&gt;$AQ$1),$AQ$1,IF(AND(N13=AM13,$K13&lt;&gt;$U$1),$U$1,"")))</f>
        <v>2017 3rd Domestic Trial</v>
      </c>
      <c r="P13" s="16">
        <f>MAX(AO13,BK13,CG13)</f>
        <v>5.4049999999999994</v>
      </c>
      <c r="Q13" s="16" t="str">
        <f>IF(P13=CG13,$BM$1,IF(P13=BK13,$AQ$1,IF(P13=AO13,$U$1,"")))</f>
        <v>2018 Canada Cup</v>
      </c>
      <c r="R13" s="16" t="str">
        <f>IF(MAX(CI13:CK13)&gt;0,MAX(CI13:CK13),"")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7">
        <v>1.4</v>
      </c>
      <c r="V13" s="47">
        <v>1</v>
      </c>
      <c r="W13" s="47">
        <v>2</v>
      </c>
      <c r="X13" s="47">
        <v>1.5449999999999999</v>
      </c>
      <c r="Y13" s="47">
        <v>0</v>
      </c>
      <c r="Z13" s="47">
        <v>13.1</v>
      </c>
      <c r="AA13" s="47">
        <v>9.1999999999999993</v>
      </c>
      <c r="AB13" s="47">
        <v>10.5</v>
      </c>
      <c r="AC13" s="47">
        <v>14.074999999999999</v>
      </c>
      <c r="AD13" s="47">
        <v>0</v>
      </c>
      <c r="AE13" s="47"/>
      <c r="AF13" s="47"/>
      <c r="AG13" s="47"/>
      <c r="AH13" s="47"/>
      <c r="AI13" s="47"/>
      <c r="AJ13" s="93"/>
      <c r="AK13" s="13">
        <f>IF(SUM(W13,AB13)&gt;0,SUM(W13,AB13),"")</f>
        <v>12.5</v>
      </c>
      <c r="AL13" s="13">
        <f>IF(SUM(U13:X13)-Y13&gt;0,SUM(U13:X13)-Y13,"")</f>
        <v>5.9450000000000003</v>
      </c>
      <c r="AM13" s="13">
        <f>IF(SUM(Z13:AC13)-AD13&gt;0,SUM(Z13:AC13)-AD13,"")</f>
        <v>46.875</v>
      </c>
      <c r="AN13" s="13">
        <f>IF(SUM(AL13:AM13)&gt;0,SUM(AL13:AM13),"")</f>
        <v>52.82</v>
      </c>
      <c r="AO13" s="13" t="str">
        <f>IF(SUM(AE13:AH13)-AI13&gt;0,SUM(AE13:AH13)-AI13,"")</f>
        <v/>
      </c>
      <c r="AP13" s="13">
        <f>IF(SUM(AN13,AO13)&gt;0,SUM(AN13,AO13),"")</f>
        <v>52.82</v>
      </c>
      <c r="AQ13" s="88">
        <v>15.7</v>
      </c>
      <c r="AR13" s="88">
        <v>9.15</v>
      </c>
      <c r="AS13" s="88">
        <v>4.2</v>
      </c>
      <c r="AT13" s="88">
        <v>14.855</v>
      </c>
      <c r="AU13" s="88">
        <v>0</v>
      </c>
      <c r="AV13" s="88">
        <v>12.1</v>
      </c>
      <c r="AW13" s="88">
        <v>8.1</v>
      </c>
      <c r="AX13" s="88">
        <v>10.199999999999999</v>
      </c>
      <c r="AY13" s="88">
        <v>13.055</v>
      </c>
      <c r="AZ13" s="88">
        <v>0</v>
      </c>
      <c r="BA13" s="88">
        <v>1.3</v>
      </c>
      <c r="BB13" s="88">
        <v>0.8</v>
      </c>
      <c r="BC13" s="88">
        <v>1.7</v>
      </c>
      <c r="BD13" s="88">
        <v>1.605</v>
      </c>
      <c r="BE13" s="88">
        <v>0</v>
      </c>
      <c r="BF13" s="94"/>
      <c r="BG13" s="16">
        <f>IF(SUM(AS13,AX13)&gt;0,SUM(AS13,AX13),"")</f>
        <v>14.399999999999999</v>
      </c>
      <c r="BH13" s="16">
        <f>IF(SUM(AQ13:AT13)-AU13&gt;0,SUM(AQ13:AT13)-AU13,"")</f>
        <v>43.905000000000001</v>
      </c>
      <c r="BI13" s="16">
        <f>IF(SUM(AV13:AY13)-AZ13&gt;0,SUM(AV13:AY13)-AZ13,"")</f>
        <v>43.454999999999998</v>
      </c>
      <c r="BJ13" s="16">
        <f>IF(SUM(BH13:BI13)&gt;0,SUM(BH13:BI13),"")</f>
        <v>87.36</v>
      </c>
      <c r="BK13" s="16">
        <f>IF(SUM(BA13:BD13)-BE13&gt;0,SUM(BA13:BD13)-BE13,"")</f>
        <v>5.4049999999999994</v>
      </c>
      <c r="BL13" s="16">
        <f>IF(SUM(BJ13,BK13)&gt;0,SUM(BJ13,BK13),"")</f>
        <v>92.765000000000001</v>
      </c>
      <c r="BM13" s="47">
        <v>15.7</v>
      </c>
      <c r="BN13" s="47">
        <v>8.75</v>
      </c>
      <c r="BO13" s="47">
        <v>3.7</v>
      </c>
      <c r="BP13" s="47">
        <v>15.175000000000001</v>
      </c>
      <c r="BQ13" s="47">
        <v>0</v>
      </c>
      <c r="BR13" s="47">
        <v>1.2</v>
      </c>
      <c r="BS13" s="47">
        <v>0.8</v>
      </c>
      <c r="BT13" s="47">
        <v>2</v>
      </c>
      <c r="BU13" s="47">
        <v>1.585</v>
      </c>
      <c r="BV13" s="47">
        <v>0</v>
      </c>
      <c r="BW13" s="47"/>
      <c r="BX13" s="47"/>
      <c r="BY13" s="47"/>
      <c r="BZ13" s="47"/>
      <c r="CA13" s="47"/>
      <c r="CB13" s="93"/>
      <c r="CC13" s="13">
        <f>IF(SUM(BO13,BT13)&gt;0,SUM(BO13,BT13),"")</f>
        <v>5.7</v>
      </c>
      <c r="CD13" s="13">
        <f>IF(SUM(BM13:BP13)-BQ13&gt;0,SUM(BM13:BP13)-BQ13,"")</f>
        <v>43.325000000000003</v>
      </c>
      <c r="CE13" s="13">
        <f>IF(SUM(BR13:BU13)-BV13&gt;0,SUM(BR13:BU13)-BV13,"")</f>
        <v>5.585</v>
      </c>
      <c r="CF13" s="13">
        <f>IF(SUM(CD13:CE13)&gt;0,SUM(CD13:CE13),"")</f>
        <v>48.910000000000004</v>
      </c>
      <c r="CG13" s="13" t="str">
        <f>IF(SUM(BW13:BZ13)-CA13&gt;0,SUM(BW13:BZ13)-CA13,"")</f>
        <v/>
      </c>
      <c r="CH13" s="13">
        <f>IF(SUM(CF13,CG13)&gt;0,SUM(CF13,CG13),"")</f>
        <v>48.910000000000004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6" spans="1:341" x14ac:dyDescent="0.2">
      <c r="B16" s="82" t="s">
        <v>120</v>
      </c>
      <c r="AK16" s="66"/>
      <c r="AL16" s="75">
        <v>17.2</v>
      </c>
      <c r="BG16" s="66"/>
      <c r="BH16" s="75">
        <v>16.7</v>
      </c>
      <c r="CC16" s="66"/>
      <c r="CD16" s="75">
        <v>16.7</v>
      </c>
      <c r="DA16" s="66"/>
      <c r="DB16" s="75">
        <v>17.2</v>
      </c>
      <c r="DV16" s="66"/>
      <c r="DW16" s="75">
        <v>17.2</v>
      </c>
      <c r="EQ16" s="66"/>
      <c r="ER16" s="75">
        <v>17.2</v>
      </c>
      <c r="FL16" s="66"/>
      <c r="FM16" s="75">
        <v>17.2</v>
      </c>
      <c r="GG16" s="66"/>
      <c r="GH16" s="75">
        <v>17.2</v>
      </c>
      <c r="HB16" s="66"/>
      <c r="HC16" s="75">
        <v>17.2</v>
      </c>
      <c r="HW16" s="66"/>
      <c r="HX16" s="75">
        <v>16.7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119</v>
      </c>
      <c r="C17" s="65"/>
      <c r="AK17" s="66"/>
      <c r="AL17" s="76">
        <v>17.2</v>
      </c>
      <c r="BG17" s="66"/>
      <c r="BH17" s="76">
        <v>17</v>
      </c>
      <c r="CC17" s="66"/>
      <c r="CD17" s="76">
        <v>17</v>
      </c>
      <c r="DA17" s="66"/>
      <c r="DB17" s="76">
        <v>17.2</v>
      </c>
      <c r="DV17" s="66"/>
      <c r="DW17" s="76">
        <v>17.2</v>
      </c>
      <c r="EQ17" s="66"/>
      <c r="ER17" s="76">
        <v>17.2</v>
      </c>
      <c r="FL17" s="66"/>
      <c r="FM17" s="76">
        <v>17.2</v>
      </c>
      <c r="GG17" s="66"/>
      <c r="GH17" s="76">
        <v>17.2</v>
      </c>
      <c r="HB17" s="66"/>
      <c r="HC17" s="76">
        <v>17.2</v>
      </c>
      <c r="HW17" s="66"/>
      <c r="HX17" s="76">
        <v>17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117</v>
      </c>
      <c r="C18" s="65"/>
      <c r="AK18" s="66"/>
      <c r="AL18" s="77">
        <v>98.3</v>
      </c>
      <c r="BG18" s="66"/>
      <c r="BH18" s="77">
        <v>96.3</v>
      </c>
      <c r="CC18" s="66"/>
      <c r="CD18" s="77">
        <v>96.3</v>
      </c>
      <c r="DA18" s="66"/>
      <c r="DB18" s="77">
        <v>98.3</v>
      </c>
      <c r="DV18" s="66"/>
      <c r="DW18" s="77">
        <v>98.3</v>
      </c>
      <c r="EQ18" s="66"/>
      <c r="ER18" s="77">
        <v>98.3</v>
      </c>
      <c r="FL18" s="66"/>
      <c r="FM18" s="77">
        <v>98.3</v>
      </c>
      <c r="GG18" s="66"/>
      <c r="GH18" s="77">
        <v>98.3</v>
      </c>
      <c r="HB18" s="66"/>
      <c r="HC18" s="77">
        <v>98.3</v>
      </c>
      <c r="HW18" s="66"/>
      <c r="HX18" s="77">
        <v>96.3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118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38</v>
      </c>
      <c r="C20" s="65"/>
      <c r="AK20" s="66"/>
      <c r="AL20" s="79">
        <v>101.1</v>
      </c>
      <c r="BG20" s="66"/>
      <c r="BH20" s="79">
        <v>101.2</v>
      </c>
      <c r="CC20" s="66"/>
      <c r="CD20" s="79">
        <v>101.2</v>
      </c>
      <c r="DA20" s="66"/>
      <c r="DB20" s="79">
        <v>101.1</v>
      </c>
      <c r="DV20" s="66"/>
      <c r="DW20" s="79">
        <v>101.1</v>
      </c>
      <c r="EQ20" s="66"/>
      <c r="ER20" s="79">
        <v>101.1</v>
      </c>
      <c r="FL20" s="66"/>
      <c r="FM20" s="79">
        <v>101.1</v>
      </c>
      <c r="GG20" s="66"/>
      <c r="GH20" s="79">
        <v>101.1</v>
      </c>
      <c r="HB20" s="66"/>
      <c r="HC20" s="79">
        <v>101.1</v>
      </c>
      <c r="HW20" s="66"/>
      <c r="HX20" s="79">
        <v>101.2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88</v>
      </c>
      <c r="C21" s="65"/>
      <c r="L21" s="2"/>
      <c r="AK21" s="66"/>
      <c r="AL21" s="80">
        <v>104.2</v>
      </c>
      <c r="BG21" s="66"/>
      <c r="BH21" s="80">
        <v>55.1</v>
      </c>
      <c r="CC21" s="66"/>
      <c r="CD21" s="80">
        <v>55.1</v>
      </c>
      <c r="DA21" s="66"/>
      <c r="DB21" s="80">
        <v>104.2</v>
      </c>
      <c r="DV21" s="66"/>
      <c r="DW21" s="80">
        <v>104.2</v>
      </c>
      <c r="EQ21" s="66"/>
      <c r="ER21" s="80">
        <v>104.2</v>
      </c>
      <c r="FL21" s="66"/>
      <c r="FM21" s="80">
        <v>104.2</v>
      </c>
      <c r="GG21" s="66"/>
      <c r="GH21" s="80">
        <v>104.2</v>
      </c>
      <c r="HB21" s="66"/>
      <c r="HC21" s="80">
        <v>104.2</v>
      </c>
      <c r="HW21" s="66"/>
      <c r="HX21" s="80">
        <v>55.1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160</v>
      </c>
      <c r="C22" s="65"/>
      <c r="AK22" s="64" t="s">
        <v>138</v>
      </c>
      <c r="BH22" s="64"/>
      <c r="DB22" s="64" t="s">
        <v>138</v>
      </c>
      <c r="DW22" s="64" t="s">
        <v>138</v>
      </c>
      <c r="ER22" s="64" t="s">
        <v>138</v>
      </c>
      <c r="FM22" s="64" t="s">
        <v>138</v>
      </c>
      <c r="GH22" s="64" t="s">
        <v>138</v>
      </c>
      <c r="HC22" s="64" t="s">
        <v>138</v>
      </c>
      <c r="HX22" s="64"/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3">
      <sortCondition descending="1" ref="F1:F13"/>
    </sortState>
  </autoFilter>
  <mergeCells count="81">
    <mergeCell ref="GR2:GV2"/>
    <mergeCell ref="FG2:FK2"/>
    <mergeCell ref="FR2:FV2"/>
    <mergeCell ref="FW2:GA2"/>
    <mergeCell ref="GB2:GF2"/>
    <mergeCell ref="GM2:GQ2"/>
    <mergeCell ref="LI2:LM2"/>
    <mergeCell ref="LN2:LR2"/>
    <mergeCell ref="LS2:LW2"/>
    <mergeCell ref="JX2:KB2"/>
    <mergeCell ref="KC2:KG2"/>
    <mergeCell ref="KN2:KR2"/>
    <mergeCell ref="KS2:KW2"/>
    <mergeCell ref="KX2:LB2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U2:Y2"/>
    <mergeCell ref="Z2:AD2"/>
    <mergeCell ref="U1:AP1"/>
    <mergeCell ref="AE2:AI2"/>
    <mergeCell ref="S1:S3"/>
    <mergeCell ref="T1:T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A1:A3"/>
    <mergeCell ref="B1:B3"/>
    <mergeCell ref="C1:C3"/>
    <mergeCell ref="E1:E3"/>
    <mergeCell ref="G1:G3"/>
    <mergeCell ref="F1:F3"/>
    <mergeCell ref="D1:D3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Q2:AU2"/>
    <mergeCell ref="BM2:BQ2"/>
    <mergeCell ref="BR2:BV2"/>
    <mergeCell ref="BW2:CA2"/>
    <mergeCell ref="AV2:AZ2"/>
    <mergeCell ref="BA2:BE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24</v>
      </c>
      <c r="M1" s="101" t="s">
        <v>86</v>
      </c>
      <c r="N1" s="101" t="s">
        <v>25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4" t="s">
        <v>121</v>
      </c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2" t="s">
        <v>139</v>
      </c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5" t="s">
        <v>27</v>
      </c>
      <c r="CJ1" s="105"/>
      <c r="CK1" s="105"/>
      <c r="CL1" s="102" t="s">
        <v>100</v>
      </c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4" t="s">
        <v>136</v>
      </c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2" t="s">
        <v>154</v>
      </c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2"/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</row>
    <row r="2" spans="1:34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32</v>
      </c>
      <c r="V2" s="98"/>
      <c r="W2" s="98"/>
      <c r="X2" s="98"/>
      <c r="Y2" s="98"/>
      <c r="Z2" s="98" t="s">
        <v>33</v>
      </c>
      <c r="AA2" s="98"/>
      <c r="AB2" s="98"/>
      <c r="AC2" s="98"/>
      <c r="AD2" s="98"/>
      <c r="AE2" s="98" t="s">
        <v>36</v>
      </c>
      <c r="AF2" s="98"/>
      <c r="AG2" s="98"/>
      <c r="AH2" s="98"/>
      <c r="AI2" s="98"/>
      <c r="AJ2" s="91"/>
      <c r="AK2" s="68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97" t="s">
        <v>32</v>
      </c>
      <c r="AR2" s="97"/>
      <c r="AS2" s="97"/>
      <c r="AT2" s="97"/>
      <c r="AU2" s="97"/>
      <c r="AV2" s="97" t="s">
        <v>33</v>
      </c>
      <c r="AW2" s="97"/>
      <c r="AX2" s="97"/>
      <c r="AY2" s="97"/>
      <c r="AZ2" s="97"/>
      <c r="BA2" s="97" t="s">
        <v>36</v>
      </c>
      <c r="BB2" s="97"/>
      <c r="BC2" s="97"/>
      <c r="BD2" s="97"/>
      <c r="BE2" s="97"/>
      <c r="BF2" s="92"/>
      <c r="BG2" s="67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8" t="s">
        <v>32</v>
      </c>
      <c r="BN2" s="98"/>
      <c r="BO2" s="98"/>
      <c r="BP2" s="98"/>
      <c r="BQ2" s="98"/>
      <c r="BR2" s="98" t="s">
        <v>33</v>
      </c>
      <c r="BS2" s="98"/>
      <c r="BT2" s="98"/>
      <c r="BU2" s="98"/>
      <c r="BV2" s="98"/>
      <c r="BW2" s="98" t="s">
        <v>36</v>
      </c>
      <c r="BX2" s="98"/>
      <c r="BY2" s="98"/>
      <c r="BZ2" s="98"/>
      <c r="CA2" s="98"/>
      <c r="CB2" s="91"/>
      <c r="CC2" s="22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8" t="s">
        <v>32</v>
      </c>
      <c r="CM2" s="98"/>
      <c r="CN2" s="98"/>
      <c r="CO2" s="98"/>
      <c r="CP2" s="98"/>
      <c r="CQ2" s="98" t="s">
        <v>33</v>
      </c>
      <c r="CR2" s="98"/>
      <c r="CS2" s="98"/>
      <c r="CT2" s="98"/>
      <c r="CU2" s="98"/>
      <c r="CV2" s="98" t="s">
        <v>36</v>
      </c>
      <c r="CW2" s="98"/>
      <c r="CX2" s="98"/>
      <c r="CY2" s="98"/>
      <c r="CZ2" s="98"/>
      <c r="DA2" s="22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97" t="s">
        <v>32</v>
      </c>
      <c r="DH2" s="97"/>
      <c r="DI2" s="97"/>
      <c r="DJ2" s="97"/>
      <c r="DK2" s="97"/>
      <c r="DL2" s="97" t="s">
        <v>33</v>
      </c>
      <c r="DM2" s="97"/>
      <c r="DN2" s="97"/>
      <c r="DO2" s="97"/>
      <c r="DP2" s="97"/>
      <c r="DQ2" s="97" t="s">
        <v>36</v>
      </c>
      <c r="DR2" s="97"/>
      <c r="DS2" s="97"/>
      <c r="DT2" s="97"/>
      <c r="DU2" s="97"/>
      <c r="DV2" s="24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8" t="s">
        <v>32</v>
      </c>
      <c r="EC2" s="98"/>
      <c r="ED2" s="98"/>
      <c r="EE2" s="98"/>
      <c r="EF2" s="98"/>
      <c r="EG2" s="98" t="s">
        <v>33</v>
      </c>
      <c r="EH2" s="98"/>
      <c r="EI2" s="98"/>
      <c r="EJ2" s="98"/>
      <c r="EK2" s="98"/>
      <c r="EL2" s="98" t="s">
        <v>36</v>
      </c>
      <c r="EM2" s="98"/>
      <c r="EN2" s="98"/>
      <c r="EO2" s="98"/>
      <c r="EP2" s="98"/>
      <c r="EQ2" s="25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97" t="s">
        <v>32</v>
      </c>
      <c r="EX2" s="97"/>
      <c r="EY2" s="97"/>
      <c r="EZ2" s="97"/>
      <c r="FA2" s="97"/>
      <c r="FB2" s="97" t="s">
        <v>33</v>
      </c>
      <c r="FC2" s="97"/>
      <c r="FD2" s="97"/>
      <c r="FE2" s="97"/>
      <c r="FF2" s="97"/>
      <c r="FG2" s="97" t="s">
        <v>36</v>
      </c>
      <c r="FH2" s="97"/>
      <c r="FI2" s="97"/>
      <c r="FJ2" s="97"/>
      <c r="FK2" s="97"/>
      <c r="FL2" s="24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8" t="s">
        <v>32</v>
      </c>
      <c r="FS2" s="98"/>
      <c r="FT2" s="98"/>
      <c r="FU2" s="98"/>
      <c r="FV2" s="98"/>
      <c r="FW2" s="98" t="s">
        <v>33</v>
      </c>
      <c r="FX2" s="98"/>
      <c r="FY2" s="98"/>
      <c r="FZ2" s="98"/>
      <c r="GA2" s="98"/>
      <c r="GB2" s="98" t="s">
        <v>36</v>
      </c>
      <c r="GC2" s="98"/>
      <c r="GD2" s="98"/>
      <c r="GE2" s="98"/>
      <c r="GF2" s="98"/>
      <c r="GG2" s="25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97" t="s">
        <v>32</v>
      </c>
      <c r="GN2" s="97"/>
      <c r="GO2" s="97"/>
      <c r="GP2" s="97"/>
      <c r="GQ2" s="97"/>
      <c r="GR2" s="97" t="s">
        <v>33</v>
      </c>
      <c r="GS2" s="97"/>
      <c r="GT2" s="97"/>
      <c r="GU2" s="97"/>
      <c r="GV2" s="97"/>
      <c r="GW2" s="97" t="s">
        <v>36</v>
      </c>
      <c r="GX2" s="97"/>
      <c r="GY2" s="97"/>
      <c r="GZ2" s="97"/>
      <c r="HA2" s="97"/>
      <c r="HB2" s="24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8" t="s">
        <v>32</v>
      </c>
      <c r="HI2" s="98"/>
      <c r="HJ2" s="98"/>
      <c r="HK2" s="98"/>
      <c r="HL2" s="98"/>
      <c r="HM2" s="98" t="s">
        <v>33</v>
      </c>
      <c r="HN2" s="98"/>
      <c r="HO2" s="98"/>
      <c r="HP2" s="98"/>
      <c r="HQ2" s="98"/>
      <c r="HR2" s="98" t="s">
        <v>36</v>
      </c>
      <c r="HS2" s="98"/>
      <c r="HT2" s="98"/>
      <c r="HU2" s="98"/>
      <c r="HV2" s="98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97" t="s">
        <v>32</v>
      </c>
      <c r="ID2" s="97"/>
      <c r="IE2" s="97"/>
      <c r="IF2" s="97"/>
      <c r="IG2" s="97"/>
      <c r="IH2" s="97" t="s">
        <v>33</v>
      </c>
      <c r="II2" s="97"/>
      <c r="IJ2" s="97"/>
      <c r="IK2" s="97"/>
      <c r="IL2" s="97"/>
      <c r="IM2" s="97" t="s">
        <v>36</v>
      </c>
      <c r="IN2" s="97"/>
      <c r="IO2" s="97"/>
      <c r="IP2" s="97"/>
      <c r="IQ2" s="97"/>
      <c r="IR2" s="24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8" t="s">
        <v>32</v>
      </c>
      <c r="IY2" s="98"/>
      <c r="IZ2" s="98"/>
      <c r="JA2" s="98"/>
      <c r="JB2" s="98"/>
      <c r="JC2" s="98" t="s">
        <v>33</v>
      </c>
      <c r="JD2" s="98"/>
      <c r="JE2" s="98"/>
      <c r="JF2" s="98"/>
      <c r="JG2" s="98"/>
      <c r="JH2" s="98" t="s">
        <v>36</v>
      </c>
      <c r="JI2" s="98"/>
      <c r="JJ2" s="98"/>
      <c r="JK2" s="98"/>
      <c r="JL2" s="98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97" t="s">
        <v>32</v>
      </c>
      <c r="JT2" s="97"/>
      <c r="JU2" s="97"/>
      <c r="JV2" s="97"/>
      <c r="JW2" s="97"/>
      <c r="JX2" s="97" t="s">
        <v>33</v>
      </c>
      <c r="JY2" s="97"/>
      <c r="JZ2" s="97"/>
      <c r="KA2" s="97"/>
      <c r="KB2" s="97"/>
      <c r="KC2" s="97" t="s">
        <v>36</v>
      </c>
      <c r="KD2" s="97"/>
      <c r="KE2" s="97"/>
      <c r="KF2" s="97"/>
      <c r="KG2" s="97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8" t="s">
        <v>32</v>
      </c>
      <c r="KO2" s="98"/>
      <c r="KP2" s="98"/>
      <c r="KQ2" s="98"/>
      <c r="KR2" s="98"/>
      <c r="KS2" s="98" t="s">
        <v>33</v>
      </c>
      <c r="KT2" s="98"/>
      <c r="KU2" s="98"/>
      <c r="KV2" s="98"/>
      <c r="KW2" s="98"/>
      <c r="KX2" s="98" t="s">
        <v>36</v>
      </c>
      <c r="KY2" s="98"/>
      <c r="KZ2" s="98"/>
      <c r="LA2" s="98"/>
      <c r="LB2" s="98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97" t="s">
        <v>32</v>
      </c>
      <c r="LJ2" s="97"/>
      <c r="LK2" s="97"/>
      <c r="LL2" s="97"/>
      <c r="LM2" s="97"/>
      <c r="LN2" s="97" t="s">
        <v>33</v>
      </c>
      <c r="LO2" s="97"/>
      <c r="LP2" s="97"/>
      <c r="LQ2" s="97"/>
      <c r="LR2" s="97"/>
      <c r="LS2" s="97" t="s">
        <v>36</v>
      </c>
      <c r="LT2" s="97"/>
      <c r="LU2" s="97"/>
      <c r="LV2" s="97"/>
      <c r="LW2" s="97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29</v>
      </c>
      <c r="W3" s="68" t="s">
        <v>20</v>
      </c>
      <c r="X3" s="68" t="s">
        <v>84</v>
      </c>
      <c r="Y3" s="68" t="s">
        <v>56</v>
      </c>
      <c r="Z3" s="68" t="s">
        <v>28</v>
      </c>
      <c r="AA3" s="68" t="s">
        <v>29</v>
      </c>
      <c r="AB3" s="68" t="s">
        <v>20</v>
      </c>
      <c r="AC3" s="68" t="s">
        <v>84</v>
      </c>
      <c r="AD3" s="68" t="s">
        <v>56</v>
      </c>
      <c r="AE3" s="68" t="s">
        <v>28</v>
      </c>
      <c r="AF3" s="68" t="s">
        <v>29</v>
      </c>
      <c r="AG3" s="68" t="s">
        <v>20</v>
      </c>
      <c r="AH3" s="68" t="s">
        <v>84</v>
      </c>
      <c r="AI3" s="68" t="s">
        <v>56</v>
      </c>
      <c r="AJ3" s="91" t="s">
        <v>158</v>
      </c>
      <c r="AK3" s="12"/>
      <c r="AL3" s="11"/>
      <c r="AM3" s="11"/>
      <c r="AN3" s="11"/>
      <c r="AO3" s="12"/>
      <c r="AP3" s="12"/>
      <c r="AQ3" s="67" t="s">
        <v>28</v>
      </c>
      <c r="AR3" s="67" t="s">
        <v>29</v>
      </c>
      <c r="AS3" s="67" t="s">
        <v>20</v>
      </c>
      <c r="AT3" s="67" t="s">
        <v>84</v>
      </c>
      <c r="AU3" s="67" t="s">
        <v>56</v>
      </c>
      <c r="AV3" s="67" t="s">
        <v>28</v>
      </c>
      <c r="AW3" s="67" t="s">
        <v>29</v>
      </c>
      <c r="AX3" s="67" t="s">
        <v>20</v>
      </c>
      <c r="AY3" s="67" t="s">
        <v>84</v>
      </c>
      <c r="AZ3" s="67" t="s">
        <v>56</v>
      </c>
      <c r="BA3" s="67" t="s">
        <v>28</v>
      </c>
      <c r="BB3" s="67" t="s">
        <v>29</v>
      </c>
      <c r="BC3" s="67" t="s">
        <v>20</v>
      </c>
      <c r="BD3" s="67" t="s">
        <v>84</v>
      </c>
      <c r="BE3" s="67" t="s">
        <v>56</v>
      </c>
      <c r="BF3" s="92" t="s">
        <v>158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84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84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84</v>
      </c>
      <c r="CA3" s="56" t="s">
        <v>56</v>
      </c>
      <c r="CB3" s="91" t="s">
        <v>158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28</v>
      </c>
      <c r="CM3" s="35" t="s">
        <v>29</v>
      </c>
      <c r="CN3" s="35" t="s">
        <v>20</v>
      </c>
      <c r="CO3" s="38" t="s">
        <v>84</v>
      </c>
      <c r="CP3" s="58" t="s">
        <v>56</v>
      </c>
      <c r="CQ3" s="35" t="s">
        <v>28</v>
      </c>
      <c r="CR3" s="35" t="s">
        <v>29</v>
      </c>
      <c r="CS3" s="35" t="s">
        <v>20</v>
      </c>
      <c r="CT3" s="38" t="s">
        <v>84</v>
      </c>
      <c r="CU3" s="58" t="s">
        <v>56</v>
      </c>
      <c r="CV3" s="35" t="s">
        <v>28</v>
      </c>
      <c r="CW3" s="35" t="s">
        <v>29</v>
      </c>
      <c r="CX3" s="35" t="s">
        <v>20</v>
      </c>
      <c r="CY3" s="38" t="s">
        <v>84</v>
      </c>
      <c r="CZ3" s="58" t="s">
        <v>56</v>
      </c>
      <c r="DA3" s="12"/>
      <c r="DB3" s="11"/>
      <c r="DC3" s="11"/>
      <c r="DD3" s="11"/>
      <c r="DE3" s="12"/>
      <c r="DF3" s="12"/>
      <c r="DG3" s="34" t="s">
        <v>28</v>
      </c>
      <c r="DH3" s="34" t="s">
        <v>29</v>
      </c>
      <c r="DI3" s="34" t="s">
        <v>20</v>
      </c>
      <c r="DJ3" s="39" t="s">
        <v>84</v>
      </c>
      <c r="DK3" s="60" t="s">
        <v>56</v>
      </c>
      <c r="DL3" s="34" t="s">
        <v>28</v>
      </c>
      <c r="DM3" s="34" t="s">
        <v>29</v>
      </c>
      <c r="DN3" s="34" t="s">
        <v>20</v>
      </c>
      <c r="DO3" s="39" t="s">
        <v>84</v>
      </c>
      <c r="DP3" s="60" t="s">
        <v>56</v>
      </c>
      <c r="DQ3" s="34" t="s">
        <v>28</v>
      </c>
      <c r="DR3" s="34" t="s">
        <v>29</v>
      </c>
      <c r="DS3" s="34" t="s">
        <v>20</v>
      </c>
      <c r="DT3" s="39" t="s">
        <v>84</v>
      </c>
      <c r="DU3" s="60" t="s">
        <v>56</v>
      </c>
      <c r="DV3" s="15"/>
      <c r="DW3" s="14"/>
      <c r="DX3" s="14"/>
      <c r="DY3" s="14"/>
      <c r="DZ3" s="15"/>
      <c r="EA3" s="15"/>
      <c r="EB3" s="35" t="s">
        <v>28</v>
      </c>
      <c r="EC3" s="35" t="s">
        <v>29</v>
      </c>
      <c r="ED3" s="35" t="s">
        <v>20</v>
      </c>
      <c r="EE3" s="40" t="s">
        <v>84</v>
      </c>
      <c r="EF3" s="59" t="s">
        <v>56</v>
      </c>
      <c r="EG3" s="35" t="s">
        <v>28</v>
      </c>
      <c r="EH3" s="35" t="s">
        <v>29</v>
      </c>
      <c r="EI3" s="35" t="s">
        <v>20</v>
      </c>
      <c r="EJ3" s="40" t="s">
        <v>84</v>
      </c>
      <c r="EK3" s="59" t="s">
        <v>56</v>
      </c>
      <c r="EL3" s="35" t="s">
        <v>28</v>
      </c>
      <c r="EM3" s="35" t="s">
        <v>29</v>
      </c>
      <c r="EN3" s="35" t="s">
        <v>20</v>
      </c>
      <c r="EO3" s="40" t="s">
        <v>84</v>
      </c>
      <c r="EP3" s="59" t="s">
        <v>56</v>
      </c>
      <c r="EQ3" s="12"/>
      <c r="ER3" s="11"/>
      <c r="ES3" s="11"/>
      <c r="ET3" s="11"/>
      <c r="EU3" s="12"/>
      <c r="EV3" s="12"/>
      <c r="EW3" s="34" t="s">
        <v>28</v>
      </c>
      <c r="EX3" s="34" t="s">
        <v>29</v>
      </c>
      <c r="EY3" s="34" t="s">
        <v>20</v>
      </c>
      <c r="EZ3" s="39" t="s">
        <v>84</v>
      </c>
      <c r="FA3" s="60" t="s">
        <v>56</v>
      </c>
      <c r="FB3" s="34" t="s">
        <v>28</v>
      </c>
      <c r="FC3" s="34" t="s">
        <v>29</v>
      </c>
      <c r="FD3" s="34" t="s">
        <v>20</v>
      </c>
      <c r="FE3" s="39" t="s">
        <v>84</v>
      </c>
      <c r="FF3" s="60" t="s">
        <v>56</v>
      </c>
      <c r="FG3" s="34" t="s">
        <v>28</v>
      </c>
      <c r="FH3" s="34" t="s">
        <v>29</v>
      </c>
      <c r="FI3" s="34" t="s">
        <v>20</v>
      </c>
      <c r="FJ3" s="39" t="s">
        <v>84</v>
      </c>
      <c r="FK3" s="60" t="s">
        <v>56</v>
      </c>
      <c r="FL3" s="15"/>
      <c r="FM3" s="14"/>
      <c r="FN3" s="14"/>
      <c r="FO3" s="14"/>
      <c r="FP3" s="15"/>
      <c r="FQ3" s="15"/>
      <c r="FR3" s="35" t="s">
        <v>28</v>
      </c>
      <c r="FS3" s="35" t="s">
        <v>29</v>
      </c>
      <c r="FT3" s="35" t="s">
        <v>20</v>
      </c>
      <c r="FU3" s="40" t="s">
        <v>84</v>
      </c>
      <c r="FV3" s="59" t="s">
        <v>56</v>
      </c>
      <c r="FW3" s="35" t="s">
        <v>28</v>
      </c>
      <c r="FX3" s="35" t="s">
        <v>29</v>
      </c>
      <c r="FY3" s="35" t="s">
        <v>20</v>
      </c>
      <c r="FZ3" s="40" t="s">
        <v>84</v>
      </c>
      <c r="GA3" s="59" t="s">
        <v>56</v>
      </c>
      <c r="GB3" s="35" t="s">
        <v>28</v>
      </c>
      <c r="GC3" s="35" t="s">
        <v>29</v>
      </c>
      <c r="GD3" s="35" t="s">
        <v>20</v>
      </c>
      <c r="GE3" s="40" t="s">
        <v>84</v>
      </c>
      <c r="GF3" s="59" t="s">
        <v>56</v>
      </c>
      <c r="GG3" s="12"/>
      <c r="GH3" s="11"/>
      <c r="GI3" s="11"/>
      <c r="GJ3" s="11"/>
      <c r="GK3" s="12"/>
      <c r="GL3" s="12"/>
      <c r="GM3" s="34" t="s">
        <v>28</v>
      </c>
      <c r="GN3" s="34" t="s">
        <v>29</v>
      </c>
      <c r="GO3" s="34" t="s">
        <v>20</v>
      </c>
      <c r="GP3" s="39" t="s">
        <v>84</v>
      </c>
      <c r="GQ3" s="60" t="s">
        <v>56</v>
      </c>
      <c r="GR3" s="34" t="s">
        <v>28</v>
      </c>
      <c r="GS3" s="34" t="s">
        <v>29</v>
      </c>
      <c r="GT3" s="34" t="s">
        <v>20</v>
      </c>
      <c r="GU3" s="39" t="s">
        <v>84</v>
      </c>
      <c r="GV3" s="60" t="s">
        <v>56</v>
      </c>
      <c r="GW3" s="34" t="s">
        <v>28</v>
      </c>
      <c r="GX3" s="34" t="s">
        <v>29</v>
      </c>
      <c r="GY3" s="34" t="s">
        <v>20</v>
      </c>
      <c r="GZ3" s="39" t="s">
        <v>84</v>
      </c>
      <c r="HA3" s="60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40" t="s">
        <v>84</v>
      </c>
      <c r="HL3" s="59" t="s">
        <v>56</v>
      </c>
      <c r="HM3" s="35" t="s">
        <v>28</v>
      </c>
      <c r="HN3" s="35" t="s">
        <v>29</v>
      </c>
      <c r="HO3" s="35" t="s">
        <v>20</v>
      </c>
      <c r="HP3" s="40" t="s">
        <v>84</v>
      </c>
      <c r="HQ3" s="59" t="s">
        <v>56</v>
      </c>
      <c r="HR3" s="35" t="s">
        <v>28</v>
      </c>
      <c r="HS3" s="35" t="s">
        <v>29</v>
      </c>
      <c r="HT3" s="35" t="s">
        <v>20</v>
      </c>
      <c r="HU3" s="40" t="s">
        <v>84</v>
      </c>
      <c r="HV3" s="59" t="s">
        <v>56</v>
      </c>
      <c r="HW3" s="12"/>
      <c r="HX3" s="11"/>
      <c r="HY3" s="11"/>
      <c r="HZ3" s="11"/>
      <c r="IA3" s="12"/>
      <c r="IB3" s="12"/>
      <c r="IC3" s="34" t="s">
        <v>28</v>
      </c>
      <c r="ID3" s="34" t="s">
        <v>29</v>
      </c>
      <c r="IE3" s="34" t="s">
        <v>20</v>
      </c>
      <c r="IF3" s="39" t="s">
        <v>84</v>
      </c>
      <c r="IG3" s="60" t="s">
        <v>56</v>
      </c>
      <c r="IH3" s="34" t="s">
        <v>28</v>
      </c>
      <c r="II3" s="34" t="s">
        <v>29</v>
      </c>
      <c r="IJ3" s="34" t="s">
        <v>20</v>
      </c>
      <c r="IK3" s="39" t="s">
        <v>84</v>
      </c>
      <c r="IL3" s="60" t="s">
        <v>56</v>
      </c>
      <c r="IM3" s="34" t="s">
        <v>28</v>
      </c>
      <c r="IN3" s="34" t="s">
        <v>29</v>
      </c>
      <c r="IO3" s="34" t="s">
        <v>20</v>
      </c>
      <c r="IP3" s="39" t="s">
        <v>84</v>
      </c>
      <c r="IQ3" s="60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40" t="s">
        <v>84</v>
      </c>
      <c r="JB3" s="59" t="s">
        <v>56</v>
      </c>
      <c r="JC3" s="35" t="s">
        <v>28</v>
      </c>
      <c r="JD3" s="35" t="s">
        <v>29</v>
      </c>
      <c r="JE3" s="35" t="s">
        <v>20</v>
      </c>
      <c r="JF3" s="40" t="s">
        <v>84</v>
      </c>
      <c r="JG3" s="59" t="s">
        <v>56</v>
      </c>
      <c r="JH3" s="35" t="s">
        <v>28</v>
      </c>
      <c r="JI3" s="35" t="s">
        <v>29</v>
      </c>
      <c r="JJ3" s="35" t="s">
        <v>20</v>
      </c>
      <c r="JK3" s="40" t="s">
        <v>84</v>
      </c>
      <c r="JL3" s="59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9" t="s">
        <v>84</v>
      </c>
      <c r="JW3" s="60" t="s">
        <v>56</v>
      </c>
      <c r="JX3" s="34" t="s">
        <v>28</v>
      </c>
      <c r="JY3" s="34" t="s">
        <v>29</v>
      </c>
      <c r="JZ3" s="34" t="s">
        <v>20</v>
      </c>
      <c r="KA3" s="39" t="s">
        <v>84</v>
      </c>
      <c r="KB3" s="60" t="s">
        <v>56</v>
      </c>
      <c r="KC3" s="34" t="s">
        <v>28</v>
      </c>
      <c r="KD3" s="34" t="s">
        <v>29</v>
      </c>
      <c r="KE3" s="34" t="s">
        <v>20</v>
      </c>
      <c r="KF3" s="39" t="s">
        <v>84</v>
      </c>
      <c r="KG3" s="60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40" t="s">
        <v>84</v>
      </c>
      <c r="KR3" s="59" t="s">
        <v>56</v>
      </c>
      <c r="KS3" s="35" t="s">
        <v>28</v>
      </c>
      <c r="KT3" s="35" t="s">
        <v>29</v>
      </c>
      <c r="KU3" s="35" t="s">
        <v>20</v>
      </c>
      <c r="KV3" s="40" t="s">
        <v>84</v>
      </c>
      <c r="KW3" s="59" t="s">
        <v>56</v>
      </c>
      <c r="KX3" s="35" t="s">
        <v>28</v>
      </c>
      <c r="KY3" s="35" t="s">
        <v>29</v>
      </c>
      <c r="KZ3" s="35" t="s">
        <v>20</v>
      </c>
      <c r="LA3" s="40" t="s">
        <v>84</v>
      </c>
      <c r="LB3" s="59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9" t="s">
        <v>84</v>
      </c>
      <c r="LM3" s="60" t="s">
        <v>56</v>
      </c>
      <c r="LN3" s="57" t="s">
        <v>28</v>
      </c>
      <c r="LO3" s="34" t="s">
        <v>29</v>
      </c>
      <c r="LP3" s="34" t="s">
        <v>20</v>
      </c>
      <c r="LQ3" s="39" t="s">
        <v>84</v>
      </c>
      <c r="LR3" s="60" t="s">
        <v>56</v>
      </c>
      <c r="LS3" s="34" t="s">
        <v>28</v>
      </c>
      <c r="LT3" s="34" t="s">
        <v>29</v>
      </c>
      <c r="LU3" s="34" t="s">
        <v>20</v>
      </c>
      <c r="LV3" s="39" t="s">
        <v>84</v>
      </c>
      <c r="LW3" s="60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98</v>
      </c>
      <c r="C4" s="5" t="s">
        <v>5</v>
      </c>
      <c r="D4" s="33" t="s">
        <v>162</v>
      </c>
      <c r="E4" s="17">
        <f>SUM(J4:R4)</f>
        <v>224.35500000000002</v>
      </c>
      <c r="F4" s="4" t="str">
        <f>IF(OR(AND($AK4&gt;=$AL$17,NOT($AK4=""),$AJ4=""),AND($BG4&gt;=$BH$17,NOT($BG4=""),$BF4=""),AND($CC4&gt;=$CD$17,NOT($CC4=""),$CB4="")),"P","")</f>
        <v>P</v>
      </c>
      <c r="G4" s="4" t="str">
        <f>IF(OR(AND($AK4&gt;=$AL$18,NOT($AK4=""),$AJ4=""),AND($BG4&gt;=$BH$18,NOT($BG4=""),$BF4=""),AND($CC4&gt;=$CD$18,NOT($CC4=""),$CB4="")),"P","")</f>
        <v>P</v>
      </c>
      <c r="H4" s="4" t="str">
        <f>IF(OR(AND($AN4&gt;=$AL$19,NOT($AN4=""),$AJ4=""),AND($BJ4&gt;=$BH$19,NOT($BJ4=""),$BF4=""),AND($CF4&gt;=$CD$19,NOT($CF4=""),$CB4="")),"P","")</f>
        <v>P</v>
      </c>
      <c r="I4" t="str">
        <f>IF(AND(G4="P",OR(AND($AM4&gt;$AL$22,NOT($AM4=""),$AJ4=""),AND($AO4&gt;$AL$22,NOT($AO4=""),$AJ4=""),AND($BI4&gt;$BH$22,NOT($BI4=""),$BF4=""),AND($BK4&gt;$BH$22,NOT($BK4=""),$BF4=""),AND($CE4&gt;$CD$22,NOT($CE4=""),$CB4=""),AND($CG4&gt;$CD$22,NOT($CG4=""),$CB4=""))),"Merit",IF(AND(G4="P",OR(AND($AN4&gt;$AL$21,NOT($AN4=""),$AJ4=""),AND($BJ4&gt;$BH$21,NOT($BJ4=""),$BF4=""),AND($CF4&gt;$CD$21,NOT($CF4=""),$CB4=""))),"Funding",IF(AND(G4="P",OR(AND($AN4&gt;$AL$20,NOT($AN4=""),$AJ4=""),AND($BJ4&gt;$BH$20,NOT($BJ4=""),$BF4=""),AND($CF4&gt;$CD$20,NOT($CF4=""),$CB4=""))),"Worlds Team",IF(AND(F4="P",OR(AND($AN4&gt;$AL$19,NOT($AN4=""),$AJ4=""),AND($BJ4&gt;$BH$19,NOT($BJ4=""),$BF4=""),AND($CF4&gt;$CD$19,NOT($CF4=""),$CB4=""))),"National Team",""))))</f>
        <v>Funding</v>
      </c>
      <c r="J4" s="16">
        <f>MAX(AN4,BJ4,CF4)</f>
        <v>90.8</v>
      </c>
      <c r="K4" s="16" t="str">
        <f>IF(J4=CF4,$BM$1,IF(J4=BJ4,$AQ$1,IF(J4=AN4,$U$1,"")))</f>
        <v>2017 3rd Domestic Trial</v>
      </c>
      <c r="L4" s="16">
        <f>IF($J4=$AN4,MAX(BH4,CD4),IF($J4=$BJ4,MAX(AL4,CD4),MAX(AL4,BH4)))</f>
        <v>40.71</v>
      </c>
      <c r="M4" s="16" t="str">
        <f>IF(AND(L4=CD4,$K4&lt;&gt;$BM$1),$BM$1,IF(AND(L4=BH4,$K4&lt;&gt;$AQ$1),$AQ$1,IF(AND(L4=AL4,$K4&lt;&gt;$U$1),$U$1,"")))</f>
        <v>2018 Nationals</v>
      </c>
      <c r="N4" s="16">
        <f>IF($J4=$AN4,MAX(BI4,CE4),IF($J4=$BJ4,MAX(AM4,CE4),MAX(AM4,BI4)))</f>
        <v>41.045000000000002</v>
      </c>
      <c r="O4" s="16" t="str">
        <f>IF(AND(N4=CE4,$K4&lt;&gt;$BM$1),$BM$1,IF(AND(N4=BI4,$K4&lt;&gt;$AQ$1),$AQ$1,IF(AND(N4=AM4,$K4&lt;&gt;$U$1),$U$1,"")))</f>
        <v>2018 Nationals</v>
      </c>
      <c r="P4" s="16">
        <f>MAX(AO4,BK4,CG4)</f>
        <v>51.8</v>
      </c>
      <c r="Q4" s="16" t="str">
        <f>IF(P4=CG4,$BM$1,IF(P4=BK4,$AQ$1,IF(P4=AO4,$U$1,"")))</f>
        <v>2017 3rd Domestic Trial</v>
      </c>
      <c r="R4" s="16" t="str">
        <f>IF(MAX(CI4:CK4)&gt;0,MAX(CI4:CK4),"")</f>
        <v/>
      </c>
      <c r="S4" s="31" t="str">
        <f>IF(R4="","",IF(R4=CI4,"(Vol 1)",IF(R4=CJ4,"(Vol 2)",IF(R4=CK4,"(Final)"))))</f>
        <v/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/>
      </c>
      <c r="U4" s="49">
        <v>9.1999999999999993</v>
      </c>
      <c r="V4" s="49">
        <v>9.4499999999999993</v>
      </c>
      <c r="W4" s="49">
        <v>4</v>
      </c>
      <c r="X4" s="49">
        <v>18.8</v>
      </c>
      <c r="Y4" s="49">
        <v>0</v>
      </c>
      <c r="Z4" s="49">
        <v>7.75</v>
      </c>
      <c r="AA4" s="49">
        <v>9.1999999999999993</v>
      </c>
      <c r="AB4" s="49">
        <v>15</v>
      </c>
      <c r="AC4" s="49">
        <v>17.399999999999999</v>
      </c>
      <c r="AD4" s="49">
        <v>0</v>
      </c>
      <c r="AE4" s="49">
        <v>8.35</v>
      </c>
      <c r="AF4" s="49">
        <v>9.25</v>
      </c>
      <c r="AG4" s="49">
        <v>15</v>
      </c>
      <c r="AH4" s="49">
        <v>19.2</v>
      </c>
      <c r="AI4" s="49">
        <v>0</v>
      </c>
      <c r="AJ4" s="93"/>
      <c r="AK4" s="13">
        <f>IF(SUM(W4,AB4)&gt;0,SUM(W4,AB4),"")</f>
        <v>19</v>
      </c>
      <c r="AL4" s="13">
        <f>IF(SUM(U4:X4)-Y4&gt;0,SUM(U4:X4)-Y4,"")</f>
        <v>41.45</v>
      </c>
      <c r="AM4" s="13">
        <f>IF(SUM(Z4:AC4)-AD4&gt;0,SUM(Z4:AC4)-AD4,"")</f>
        <v>49.349999999999994</v>
      </c>
      <c r="AN4" s="13">
        <f>IF(SUM(AL4:AM4)&gt;0,SUM(AL4:AM4),"")</f>
        <v>90.8</v>
      </c>
      <c r="AO4" s="13">
        <f>IF(SUM(AE4:AH4)-AI4&gt;0,SUM(AE4:AH4)-AI4,"")</f>
        <v>51.8</v>
      </c>
      <c r="AP4" s="13">
        <f>IF(SUM(AN4,AO4)&gt;0,SUM(AN4,AO4),"")</f>
        <v>142.6</v>
      </c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94"/>
      <c r="BG4" s="16" t="str">
        <f>IF(SUM(AS4,AX4)&gt;0,SUM(AS4,AX4),"")</f>
        <v/>
      </c>
      <c r="BH4" s="16" t="str">
        <f>IF(SUM(AQ4:AT4)-AU4&gt;0,SUM(AQ4:AT4)-AU4,"")</f>
        <v/>
      </c>
      <c r="BI4" s="16" t="str">
        <f>IF(SUM(AV4:AY4)-AZ4&gt;0,SUM(AV4:AY4)-AZ4,"")</f>
        <v/>
      </c>
      <c r="BJ4" s="16" t="str">
        <f>IF(SUM(BH4:BI4)&gt;0,SUM(BH4:BI4),"")</f>
        <v/>
      </c>
      <c r="BK4" s="16" t="str">
        <f>IF(SUM(BA4:BD4)-BE4&gt;0,SUM(BA4:BD4)-BE4,"")</f>
        <v/>
      </c>
      <c r="BL4" s="16" t="str">
        <f>IF(SUM(BJ4,BK4)&gt;0,SUM(BJ4,BK4),"")</f>
        <v/>
      </c>
      <c r="BM4" s="47">
        <v>9.25</v>
      </c>
      <c r="BN4" s="47">
        <v>9.6</v>
      </c>
      <c r="BO4" s="47">
        <v>4.2</v>
      </c>
      <c r="BP4" s="47">
        <v>17.66</v>
      </c>
      <c r="BQ4" s="47">
        <v>0</v>
      </c>
      <c r="BR4" s="47">
        <v>7.7249999999999996</v>
      </c>
      <c r="BS4" s="47">
        <v>8.3000000000000007</v>
      </c>
      <c r="BT4" s="47">
        <v>11.3</v>
      </c>
      <c r="BU4" s="47">
        <v>13.72</v>
      </c>
      <c r="BV4" s="47">
        <v>0</v>
      </c>
      <c r="BW4" s="47">
        <v>0.82499999999999996</v>
      </c>
      <c r="BX4" s="47">
        <v>0.95</v>
      </c>
      <c r="BY4" s="47">
        <v>1.74</v>
      </c>
      <c r="BZ4" s="47">
        <v>2</v>
      </c>
      <c r="CA4" s="47">
        <v>0</v>
      </c>
      <c r="CB4" s="93"/>
      <c r="CC4" s="13">
        <f>IF(SUM(BO4,BT4)&gt;0,SUM(BO4,BT4),"")</f>
        <v>15.5</v>
      </c>
      <c r="CD4" s="13">
        <f>IF(SUM(BM4:BP4)-BQ4&gt;0,SUM(BM4:BP4)-BQ4,"")</f>
        <v>40.71</v>
      </c>
      <c r="CE4" s="13">
        <f>IF(SUM(BR4:BU4)-BV4&gt;0,SUM(BR4:BU4)-BV4,"")</f>
        <v>41.045000000000002</v>
      </c>
      <c r="CF4" s="13">
        <f>IF(SUM(CD4:CE4)&gt;0,SUM(CD4:CE4),"")</f>
        <v>81.754999999999995</v>
      </c>
      <c r="CG4" s="13">
        <f>IF(SUM(BW4:BZ4)-CA4&gt;0,SUM(BW4:BZ4)-CA4,"")</f>
        <v>5.5149999999999997</v>
      </c>
      <c r="CH4" s="13">
        <f>IF(SUM(CF4,CG4)&gt;0,SUM(CF4,CG4),"")</f>
        <v>87.27</v>
      </c>
      <c r="CI4" s="30" t="str">
        <f>IF(MAX(DB4,DW4,ER4,FM4,GH4,HC4,HX4,IS4,JN4,KI4,LD4,LY4)-L4&gt;0.001,MAX(DB4,DW4,ER4,FM4,GH4,HC4,HX4,IS4,JN4,KI4,LD4,LY4)-L4,"")</f>
        <v/>
      </c>
      <c r="CJ4" s="30" t="str">
        <f>IF(MAX(DC4,DX4,ES4,FN4,GI4,HD4,HY4,IT4,JO4,KJ4,LE4,LZ4)-N4&gt;0.001,MAX(DC4,DX4,ES4,FN4,GI4,HD4,HY4,IT4,JO4,KJ4,LE4,LZ4)-N4,"")</f>
        <v/>
      </c>
      <c r="CK4" s="30" t="str">
        <f>IF(MAX(DE4,DZ4,EU4,FP4,GK4,HF4,IA4,IV4,JQ4,KL4,LG4,MB4)-P4&gt;0.001,MAX(DE4,DZ4,EU4,FP4,GK4,HF4,IA4,IV4,JQ4,KL4,LG4,MB4)-P4,"")</f>
        <v/>
      </c>
      <c r="CL4" s="47">
        <v>8.65</v>
      </c>
      <c r="CM4" s="47">
        <v>9.25</v>
      </c>
      <c r="CN4" s="47">
        <v>4</v>
      </c>
      <c r="CO4" s="47">
        <v>16.8</v>
      </c>
      <c r="CP4" s="47">
        <v>0</v>
      </c>
      <c r="CQ4" s="47">
        <v>5.25</v>
      </c>
      <c r="CR4" s="47">
        <v>6.15</v>
      </c>
      <c r="CS4" s="47">
        <v>10.3</v>
      </c>
      <c r="CT4" s="47">
        <v>11.6</v>
      </c>
      <c r="CU4" s="47"/>
      <c r="CV4" s="47"/>
      <c r="CW4" s="47"/>
      <c r="CX4" s="47"/>
      <c r="CY4" s="47"/>
      <c r="CZ4" s="47"/>
      <c r="DA4" s="13">
        <f>IF(SUM(CN4,CS4)&gt;0,SUM(CN4,CS4),"")</f>
        <v>14.3</v>
      </c>
      <c r="DB4" s="13">
        <f>IF(SUM(CL4:CO4)-CP4&gt;0,SUM(CL4:CO4)-CP4,"")</f>
        <v>38.700000000000003</v>
      </c>
      <c r="DC4" s="13">
        <f>IF(SUM(CQ4:CT4)-CU4&gt;0,SUM(CQ4:CT4)-CU4,"")</f>
        <v>33.300000000000004</v>
      </c>
      <c r="DD4" s="13">
        <f>IF(SUM(DB4:DC4)&gt;0,SUM(DB4:DC4),"")</f>
        <v>72</v>
      </c>
      <c r="DE4" s="13" t="str">
        <f>IF(SUM(CV4:CY4)-CZ4&gt;0,SUM(CV4:CY4)-CZ4,"")</f>
        <v/>
      </c>
      <c r="DF4" s="13">
        <f>IF(SUM(DD4,DE4)&gt;0,SUM(DD4,DE4),"")</f>
        <v>72</v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7" t="s">
        <v>141</v>
      </c>
      <c r="C5" s="8" t="s">
        <v>3</v>
      </c>
      <c r="D5" s="33" t="s">
        <v>163</v>
      </c>
      <c r="E5" s="17">
        <f>SUM(J5:R5)</f>
        <v>137.86000000000001</v>
      </c>
      <c r="F5" s="4" t="str">
        <f>IF(OR(AND($AK5&gt;=$AL$17,NOT($AK5=""),$AJ5=""),AND($BG5&gt;=$BH$17,NOT($BG5=""),$BF5=""),AND($CC5&gt;=$CD$17,NOT($CC5=""),$CB5="")),"P","")</f>
        <v>P</v>
      </c>
      <c r="G5" s="4" t="str">
        <f>IF(OR(AND($AK5&gt;=$AL$18,NOT($AK5=""),$AJ5=""),AND($BG5&gt;=$BH$18,NOT($BG5=""),$BF5=""),AND($CC5&gt;=$CD$18,NOT($CC5=""),$CB5="")),"P","")</f>
        <v>P</v>
      </c>
      <c r="H5" s="4" t="str">
        <f>IF(OR(AND($AN5&gt;=$AL$19,NOT($AN5=""),$AJ5=""),AND($BJ5&gt;=$BH$19,NOT($BJ5=""),$BF5=""),AND($CF5&gt;=$CD$19,NOT($CF5=""),$CB5="")),"P","")</f>
        <v>P</v>
      </c>
      <c r="I5" t="str">
        <f>IF(AND(G5="P",OR(AND($AM5&gt;$AL$22,NOT($AM5=""),$AJ5=""),AND($AO5&gt;$AL$22,NOT($AO5=""),$AJ5=""),AND($BI5&gt;$BH$22,NOT($BI5=""),$BF5=""),AND($BK5&gt;$BH$22,NOT($BK5=""),$BF5=""),AND($CE5&gt;$CD$22,NOT($CE5=""),$CB5=""),AND($CG5&gt;$CD$22,NOT($CG5=""),$CB5=""))),"Merit",IF(AND(G5="P",OR(AND($AN5&gt;$AL$21,NOT($AN5=""),$AJ5=""),AND($BJ5&gt;$BH$21,NOT($BJ5=""),$BF5=""),AND($CF5&gt;$CD$21,NOT($CF5=""),$CB5=""))),"Funding",IF(AND(G5="P",OR(AND($AN5&gt;$AL$20,NOT($AN5=""),$AJ5=""),AND($BJ5&gt;$BH$20,NOT($BJ5=""),$BF5=""),AND($CF5&gt;$CD$20,NOT($CF5=""),$CB5=""))),"Worlds Team",IF(AND(F5="P",OR(AND($AN5&gt;$AL$19,NOT($AN5=""),$AJ5=""),AND($BJ5&gt;$BH$19,NOT($BJ5=""),$BF5=""),AND($CF5&gt;$CD$19,NOT($CF5=""),$CB5=""))),"National Team",""))))</f>
        <v>Worlds Team</v>
      </c>
      <c r="J5" s="16">
        <f>MAX(AN5,BJ5,CF5)</f>
        <v>88.745000000000005</v>
      </c>
      <c r="K5" s="16" t="str">
        <f>IF(J5=CF5,$BM$1,IF(J5=BJ5,$AQ$1,IF(J5=AN5,$U$1,"")))</f>
        <v>2018 Nationals</v>
      </c>
      <c r="L5" s="16">
        <f>IF($J5=$AN5,MAX(BH5,CD5),IF($J5=$BJ5,MAX(AL5,CD5),MAX(AL5,BH5)))</f>
        <v>0</v>
      </c>
      <c r="M5" s="16" t="str">
        <f>IF(AND(L5=CD5,$K5&lt;&gt;$BM$1),$BM$1,IF(AND(L5=BH5,$K5&lt;&gt;$AQ$1),$AQ$1,IF(AND(L5=AL5,$K5&lt;&gt;$U$1),$U$1,"")))</f>
        <v/>
      </c>
      <c r="N5" s="16">
        <f>IF($J5=$AN5,MAX(BI5,CE5),IF($J5=$BJ5,MAX(AM5,CE5),MAX(AM5,BI5)))</f>
        <v>0</v>
      </c>
      <c r="O5" s="16" t="str">
        <f>IF(AND(N5=CE5,$K5&lt;&gt;$BM$1),$BM$1,IF(AND(N5=BI5,$K5&lt;&gt;$AQ$1),$AQ$1,IF(AND(N5=AM5,$K5&lt;&gt;$U$1),$U$1,"")))</f>
        <v/>
      </c>
      <c r="P5" s="16">
        <f>MAX(AO5,BK5,CG5)</f>
        <v>49.115000000000002</v>
      </c>
      <c r="Q5" s="16" t="str">
        <f>IF(P5=CG5,$BM$1,IF(P5=BK5,$AQ$1,IF(P5=AO5,$U$1,"")))</f>
        <v>2018 Nationals</v>
      </c>
      <c r="R5" s="16" t="str">
        <f>IF(MAX(CI5:CK5)&gt;0,MAX(CI5:CK5),"")</f>
        <v/>
      </c>
      <c r="S5" s="31" t="str">
        <f>IF(R5="","",IF(R5=CI5,"(Vol 1)",IF(R5=CJ5,"(Vol 2)",IF(R5=CK5,"(Final)"))))</f>
        <v/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>IF(SUM(W5,AB5)&gt;0,SUM(W5,AB5),"")</f>
        <v/>
      </c>
      <c r="AL5" s="13" t="str">
        <f>IF(SUM(U5:X5)-Y5&gt;0,SUM(U5:X5)-Y5,"")</f>
        <v/>
      </c>
      <c r="AM5" s="13" t="str">
        <f>IF(SUM(Z5:AC5)-AD5&gt;0,SUM(Z5:AC5)-AD5,"")</f>
        <v/>
      </c>
      <c r="AN5" s="13" t="str">
        <f>IF(SUM(AL5:AM5)&gt;0,SUM(AL5:AM5),"")</f>
        <v/>
      </c>
      <c r="AO5" s="13" t="str">
        <f>IF(SUM(AE5:AH5)-AI5&gt;0,SUM(AE5:AH5)-AI5,"")</f>
        <v/>
      </c>
      <c r="AP5" s="13" t="str">
        <f>IF(SUM(AN5,AO5)&gt;0,SUM(AN5,AO5),"")</f>
        <v/>
      </c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94"/>
      <c r="BG5" s="16" t="str">
        <f>IF(SUM(AS5,AX5)&gt;0,SUM(AS5,AX5),"")</f>
        <v/>
      </c>
      <c r="BH5" s="16" t="str">
        <f>IF(SUM(AQ5:AT5)-AU5&gt;0,SUM(AQ5:AT5)-AU5,"")</f>
        <v/>
      </c>
      <c r="BI5" s="16" t="str">
        <f>IF(SUM(AV5:AY5)-AZ5&gt;0,SUM(AV5:AY5)-AZ5,"")</f>
        <v/>
      </c>
      <c r="BJ5" s="16" t="str">
        <f>IF(SUM(BH5:BI5)&gt;0,SUM(BH5:BI5),"")</f>
        <v/>
      </c>
      <c r="BK5" s="16" t="str">
        <f>IF(SUM(BA5:BD5)-BE5&gt;0,SUM(BA5:BD5)-BE5,"")</f>
        <v/>
      </c>
      <c r="BL5" s="16" t="str">
        <f>IF(SUM(BJ5,BK5)&gt;0,SUM(BJ5,BK5),"")</f>
        <v/>
      </c>
      <c r="BM5" s="47">
        <v>9.0749999999999993</v>
      </c>
      <c r="BN5" s="47">
        <v>9.5500000000000007</v>
      </c>
      <c r="BO5" s="47">
        <v>5.8</v>
      </c>
      <c r="BP5" s="47">
        <v>18.899999999999999</v>
      </c>
      <c r="BQ5" s="47">
        <v>0</v>
      </c>
      <c r="BR5" s="47">
        <v>7.4</v>
      </c>
      <c r="BS5" s="47">
        <v>9.1999999999999993</v>
      </c>
      <c r="BT5" s="47">
        <v>15.2</v>
      </c>
      <c r="BU5" s="47">
        <v>13.62</v>
      </c>
      <c r="BV5" s="47">
        <v>0</v>
      </c>
      <c r="BW5" s="47">
        <v>7.4249999999999998</v>
      </c>
      <c r="BX5" s="47">
        <v>8.85</v>
      </c>
      <c r="BY5" s="47">
        <v>17.239999999999998</v>
      </c>
      <c r="BZ5" s="47">
        <v>15.6</v>
      </c>
      <c r="CA5" s="47">
        <v>0</v>
      </c>
      <c r="CB5" s="93"/>
      <c r="CC5" s="13">
        <f>IF(SUM(BO5,BT5)&gt;0,SUM(BO5,BT5),"")</f>
        <v>21</v>
      </c>
      <c r="CD5" s="13">
        <f>IF(SUM(BM5:BP5)-BQ5&gt;0,SUM(BM5:BP5)-BQ5,"")</f>
        <v>43.325000000000003</v>
      </c>
      <c r="CE5" s="13">
        <f>IF(SUM(BR5:BU5)-BV5&gt;0,SUM(BR5:BU5)-BV5,"")</f>
        <v>45.42</v>
      </c>
      <c r="CF5" s="13">
        <f>IF(SUM(CD5:CE5)&gt;0,SUM(CD5:CE5),"")</f>
        <v>88.745000000000005</v>
      </c>
      <c r="CG5" s="13">
        <f>IF(SUM(BW5:BZ5)-CA5&gt;0,SUM(BW5:BZ5)-CA5,"")</f>
        <v>49.115000000000002</v>
      </c>
      <c r="CH5" s="13">
        <f>IF(SUM(CF5,CG5)&gt;0,SUM(CF5,CG5),"")</f>
        <v>137.86000000000001</v>
      </c>
      <c r="CI5" s="30" t="str">
        <f>IF(MAX(DB5,DW5,ER5,FM5,GH5,HC5,HX5,IS5,JN5,KI5,LD5,LY5)-L5&gt;0.001,MAX(DB5,DW5,ER5,FM5,GH5,HC5,HX5,IS5,JN5,KI5,LD5,LY5)-L5,"")</f>
        <v/>
      </c>
      <c r="CJ5" s="30" t="str">
        <f>IF(MAX(DC5,DX5,ES5,FN5,GI5,HD5,HY5,IT5,JO5,KJ5,LE5,LZ5)-N5&gt;0.001,MAX(DC5,DX5,ES5,FN5,GI5,HD5,HY5,IT5,JO5,KJ5,LE5,LZ5)-N5,"")</f>
        <v/>
      </c>
      <c r="CK5" s="30" t="str">
        <f>IF(MAX(DE5,DZ5,EU5,FP5,GK5,HF5,IA5,IV5,JQ5,KL5,LG5,MB5)-P5&gt;0.001,MAX(DE5,DZ5,EU5,FP5,GK5,HF5,IA5,IV5,JQ5,KL5,LG5,MB5)-P5,"")</f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 t="str">
        <f>IF(AND(F6="P",H6="P"),SUMPRODUCT((F$4:F$14="P")*(H$4:H$14="P")*(E$4:E$14&gt;E6))+1,IF(H6="P",SUMPRODUCT((F$4:F$14="")*(H$4:H$14="P")*(E$4:E$14&gt;E6))+1+SUMPRODUCT((F$4:F$14="P")*(H$4:H$14="P")),""))</f>
        <v/>
      </c>
      <c r="B6" s="7" t="s">
        <v>134</v>
      </c>
      <c r="C6" s="8" t="s">
        <v>12</v>
      </c>
      <c r="D6" s="6" t="s">
        <v>164</v>
      </c>
      <c r="E6" s="17">
        <f>SUM(J6:R6)</f>
        <v>193.36500000000001</v>
      </c>
      <c r="F6" s="4" t="str">
        <f>IF(OR(AND($AK6&gt;=$AL$17,NOT($AK6=""),$AJ6=""),AND($BG6&gt;=$BH$17,NOT($BG6=""),$BF6=""),AND($CC6&gt;=$CD$17,NOT($CC6=""),$CB6="")),"P","")</f>
        <v/>
      </c>
      <c r="G6" s="4" t="str">
        <f>IF(OR(AND($AK6&gt;=$AL$18,NOT($AK6=""),$AJ6=""),AND($BG6&gt;=$BH$18,NOT($BG6=""),$BF6=""),AND($CC6&gt;=$CD$18,NOT($CC6=""),$CB6="")),"P","")</f>
        <v/>
      </c>
      <c r="H6" s="4" t="str">
        <f>IF(OR(AND($AN6&gt;=$AL$19,NOT($AN6=""),$AJ6=""),AND($BJ6&gt;=$BH$19,NOT($BJ6=""),$BF6=""),AND($CF6&gt;=$CD$19,NOT($CF6=""),$CB6="")),"P","")</f>
        <v/>
      </c>
      <c r="I6" t="str">
        <f>IF(AND(G6="P",OR(AND($AM6&gt;$AL$22,NOT($AM6=""),$AJ6=""),AND($AO6&gt;$AL$22,NOT($AO6=""),$AJ6=""),AND($BI6&gt;$BH$22,NOT($BI6=""),$BF6=""),AND($BK6&gt;$BH$22,NOT($BK6=""),$BF6=""),AND($CE6&gt;$CD$22,NOT($CE6=""),$CB6=""),AND($CG6&gt;$CD$22,NOT($CG6=""),$CB6=""))),"Merit",IF(AND(G6="P",OR(AND($AN6&gt;$AL$21,NOT($AN6=""),$AJ6=""),AND($BJ6&gt;$BH$21,NOT($BJ6=""),$BF6=""),AND($CF6&gt;$CD$21,NOT($CF6=""),$CB6=""))),"Funding",IF(AND(G6="P",OR(AND($AN6&gt;$AL$20,NOT($AN6=""),$AJ6=""),AND($BJ6&gt;$BH$20,NOT($BJ6=""),$BF6=""),AND($CF6&gt;$CD$20,NOT($CF6=""),$CB6=""))),"Worlds Team",IF(AND(F6="P",OR(AND($AN6&gt;$AL$19,NOT($AN6=""),$AJ6=""),AND($BJ6&gt;$BH$19,NOT($BJ6=""),$BF6=""),AND($CF6&gt;$CD$19,NOT($CF6=""),$CB6=""))),"National Team",""))))</f>
        <v/>
      </c>
      <c r="J6" s="16">
        <f>MAX(AN6,BJ6,CF6)</f>
        <v>84.625</v>
      </c>
      <c r="K6" s="16" t="str">
        <f>IF(J6=CF6,$BM$1,IF(J6=BJ6,$AQ$1,IF(J6=AN6,$U$1,"")))</f>
        <v>2018 Canada Cup</v>
      </c>
      <c r="L6" s="16">
        <f>IF($J6=$AN6,MAX(BH6,CD6),IF($J6=$BJ6,MAX(AL6,CD6),MAX(AL6,BH6)))</f>
        <v>30.235000000000003</v>
      </c>
      <c r="M6" s="16" t="str">
        <f>IF(AND(L6=CD6,$K6&lt;&gt;$BM$1),$BM$1,IF(AND(L6=BH6,$K6&lt;&gt;$AQ$1),$AQ$1,IF(AND(L6=AL6,$K6&lt;&gt;$U$1),$U$1,"")))</f>
        <v>2018 Nationals</v>
      </c>
      <c r="N6" s="16">
        <f>IF($J6=$AN6,MAX(BI6,CE6),IF($J6=$BJ6,MAX(AM6,CE6),MAX(AM6,BI6)))</f>
        <v>46.475000000000001</v>
      </c>
      <c r="O6" s="16" t="str">
        <f>IF(AND(N6=CE6,$K6&lt;&gt;$BM$1),$BM$1,IF(AND(N6=BI6,$K6&lt;&gt;$AQ$1),$AQ$1,IF(AND(N6=AM6,$K6&lt;&gt;$U$1),$U$1,"")))</f>
        <v>2018 Nationals</v>
      </c>
      <c r="P6" s="16">
        <f>MAX(AO6,BK6,CG6)</f>
        <v>32.03</v>
      </c>
      <c r="Q6" s="16" t="str">
        <f>IF(P6=CG6,$BM$1,IF(P6=BK6,$AQ$1,IF(P6=AO6,$U$1,"")))</f>
        <v>2018 Nationals</v>
      </c>
      <c r="R6" s="16" t="str">
        <f>IF(MAX(CI6:CK6)&gt;0,MAX(CI6:CK6),"")</f>
        <v/>
      </c>
      <c r="S6" s="31" t="str">
        <f>IF(R6="","",IF(R6=CI6,"(Vol 1)",IF(R6=CJ6,"(Vol 2)",IF(R6=CK6,"(Final)"))))</f>
        <v/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93"/>
      <c r="AK6" s="13" t="str">
        <f>IF(SUM(W6,AB6)&gt;0,SUM(W6,AB6),"")</f>
        <v/>
      </c>
      <c r="AL6" s="13" t="str">
        <f>IF(SUM(U6:X6)-Y6&gt;0,SUM(U6:X6)-Y6,"")</f>
        <v/>
      </c>
      <c r="AM6" s="13" t="str">
        <f>IF(SUM(Z6:AC6)-AD6&gt;0,SUM(Z6:AC6)-AD6,"")</f>
        <v/>
      </c>
      <c r="AN6" s="13" t="str">
        <f>IF(SUM(AL6:AM6)&gt;0,SUM(AL6:AM6),"")</f>
        <v/>
      </c>
      <c r="AO6" s="13" t="str">
        <f>IF(SUM(AE6:AH6)-AI6&gt;0,SUM(AE6:AH6)-AI6,"")</f>
        <v/>
      </c>
      <c r="AP6" s="13" t="str">
        <f>IF(SUM(AN6,AO6)&gt;0,SUM(AN6,AO6),"")</f>
        <v/>
      </c>
      <c r="AQ6" s="50">
        <v>8.125</v>
      </c>
      <c r="AR6" s="50">
        <v>8.3000000000000007</v>
      </c>
      <c r="AS6" s="50">
        <v>3.4</v>
      </c>
      <c r="AT6" s="50">
        <v>16.8</v>
      </c>
      <c r="AU6" s="50">
        <v>0</v>
      </c>
      <c r="AV6" s="50">
        <v>8.4</v>
      </c>
      <c r="AW6" s="50">
        <v>8.8000000000000007</v>
      </c>
      <c r="AX6" s="50">
        <v>13.4</v>
      </c>
      <c r="AY6" s="50">
        <v>17.8</v>
      </c>
      <c r="AZ6" s="50">
        <v>0.4</v>
      </c>
      <c r="BA6" s="50">
        <v>1.825</v>
      </c>
      <c r="BB6" s="50">
        <v>1.8</v>
      </c>
      <c r="BC6" s="50">
        <v>3.4</v>
      </c>
      <c r="BD6" s="50">
        <v>2.66</v>
      </c>
      <c r="BE6" s="50">
        <v>0</v>
      </c>
      <c r="BF6" s="94"/>
      <c r="BG6" s="16">
        <f>IF(SUM(AS6,AX6)&gt;0,SUM(AS6,AX6),"")</f>
        <v>16.8</v>
      </c>
      <c r="BH6" s="16">
        <f>IF(SUM(AQ6:AT6)-AU6&gt;0,SUM(AQ6:AT6)-AU6,"")</f>
        <v>36.625</v>
      </c>
      <c r="BI6" s="16">
        <f>IF(SUM(AV6:AY6)-AZ6&gt;0,SUM(AV6:AY6)-AZ6,"")</f>
        <v>48.000000000000007</v>
      </c>
      <c r="BJ6" s="16">
        <f>IF(SUM(BH6:BI6)&gt;0,SUM(BH6:BI6),"")</f>
        <v>84.625</v>
      </c>
      <c r="BK6" s="16">
        <f>IF(SUM(BA6:BD6)-BE6&gt;0,SUM(BA6:BD6)-BE6,"")</f>
        <v>9.6850000000000005</v>
      </c>
      <c r="BL6" s="16">
        <f>IF(SUM(BJ6,BK6)&gt;0,SUM(BJ6,BK6),"")</f>
        <v>94.31</v>
      </c>
      <c r="BM6" s="47">
        <v>7.5250000000000004</v>
      </c>
      <c r="BN6" s="47">
        <v>7.55</v>
      </c>
      <c r="BO6" s="47">
        <v>1.8</v>
      </c>
      <c r="BP6" s="47">
        <v>13.56</v>
      </c>
      <c r="BQ6" s="47">
        <v>0.2</v>
      </c>
      <c r="BR6" s="47">
        <v>7.9249999999999998</v>
      </c>
      <c r="BS6" s="47">
        <v>8.75</v>
      </c>
      <c r="BT6" s="47">
        <v>13.3</v>
      </c>
      <c r="BU6" s="47">
        <v>16.5</v>
      </c>
      <c r="BV6" s="47">
        <v>0</v>
      </c>
      <c r="BW6" s="47">
        <v>5.75</v>
      </c>
      <c r="BX6" s="47">
        <v>6.3</v>
      </c>
      <c r="BY6" s="47">
        <v>10.78</v>
      </c>
      <c r="BZ6" s="47">
        <v>9.1999999999999993</v>
      </c>
      <c r="CA6" s="47">
        <v>0</v>
      </c>
      <c r="CB6" s="93"/>
      <c r="CC6" s="13">
        <f>IF(SUM(BO6,BT6)&gt;0,SUM(BO6,BT6),"")</f>
        <v>15.100000000000001</v>
      </c>
      <c r="CD6" s="13">
        <f>IF(SUM(BM6:BP6)-BQ6&gt;0,SUM(BM6:BP6)-BQ6,"")</f>
        <v>30.235000000000003</v>
      </c>
      <c r="CE6" s="13">
        <f>IF(SUM(BR6:BU6)-BV6&gt;0,SUM(BR6:BU6)-BV6,"")</f>
        <v>46.475000000000001</v>
      </c>
      <c r="CF6" s="13">
        <f>IF(SUM(CD6:CE6)&gt;0,SUM(CD6:CE6),"")</f>
        <v>76.710000000000008</v>
      </c>
      <c r="CG6" s="13">
        <f>IF(SUM(BW6:BZ6)-CA6&gt;0,SUM(BW6:BZ6)-CA6,"")</f>
        <v>32.03</v>
      </c>
      <c r="CH6" s="13">
        <f>IF(SUM(CF6,CG6)&gt;0,SUM(CF6,CG6),"")</f>
        <v>108.74000000000001</v>
      </c>
      <c r="CI6" s="30" t="str">
        <f>IF(MAX(DB6,DW6,ER6,FM6,GH6,HC6,HX6,IS6,JN6,KI6,LD6,LY6)-L6&gt;0.001,MAX(DB6,DW6,ER6,FM6,GH6,HC6,HX6,IS6,JN6,KI6,LD6,LY6)-L6,"")</f>
        <v/>
      </c>
      <c r="CJ6" s="30" t="str">
        <f>IF(MAX(DC6,DX6,ES6,FN6,GI6,HD6,HY6,IT6,JO6,KJ6,LE6,LZ6)-N6&gt;0.001,MAX(DC6,DX6,ES6,FN6,GI6,HD6,HY6,IT6,JO6,KJ6,LE6,LZ6)-N6,"")</f>
        <v/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IF(AND(F7="P",H7="P"),SUMPRODUCT((F$4:F$14="P")*(H$4:H$14="P")*(E$4:E$14&gt;E7))+1,IF(H7="P",SUMPRODUCT((F$4:F$14="")*(H$4:H$14="P")*(E$4:E$14&gt;E7))+1+SUMPRODUCT((F$4:F$14="P")*(H$4:H$14="P")),""))</f>
        <v/>
      </c>
      <c r="B7" s="7" t="s">
        <v>142</v>
      </c>
      <c r="C7" s="8" t="s">
        <v>144</v>
      </c>
      <c r="D7" s="6">
        <v>2001</v>
      </c>
      <c r="E7" s="17">
        <f>SUM(J7:R7)</f>
        <v>175.93</v>
      </c>
      <c r="F7" s="4" t="str">
        <f>IF(OR(AND($AK7&gt;=$AL$17,NOT($AK7=""),$AJ7=""),AND($BG7&gt;=$BH$17,NOT($BG7=""),$BF7=""),AND($CC7&gt;=$CD$17,NOT($CC7=""),$CB7="")),"P","")</f>
        <v/>
      </c>
      <c r="G7" s="4" t="str">
        <f>IF(OR(AND($AK7&gt;=$AL$18,NOT($AK7=""),$AJ7=""),AND($BG7&gt;=$BH$18,NOT($BG7=""),$BF7=""),AND($CC7&gt;=$CD$18,NOT($CC7=""),$CB7="")),"P","")</f>
        <v/>
      </c>
      <c r="H7" s="4" t="str">
        <f>IF(OR(AND($AN7&gt;=$AL$19,NOT($AN7=""),$AJ7=""),AND($BJ7&gt;=$BH$19,NOT($BJ7=""),$BF7=""),AND($CF7&gt;=$CD$19,NOT($CF7=""),$CB7="")),"P","")</f>
        <v/>
      </c>
      <c r="I7" t="str">
        <f>IF(AND(G7="P",OR(AND($AM7&gt;$AL$22,NOT($AM7=""),$AJ7=""),AND($AO7&gt;$AL$22,NOT($AO7=""),$AJ7=""),AND($BI7&gt;$BH$22,NOT($BI7=""),$BF7=""),AND($BK7&gt;$BH$22,NOT($BK7=""),$BF7=""),AND($CE7&gt;$CD$22,NOT($CE7=""),$CB7=""),AND($CG7&gt;$CD$22,NOT($CG7=""),$CB7=""))),"Merit",IF(AND(G7="P",OR(AND($AN7&gt;$AL$21,NOT($AN7=""),$AJ7=""),AND($BJ7&gt;$BH$21,NOT($BJ7=""),$BF7=""),AND($CF7&gt;$CD$21,NOT($CF7=""),$CB7=""))),"Funding",IF(AND(G7="P",OR(AND($AN7&gt;$AL$20,NOT($AN7=""),$AJ7=""),AND($BJ7&gt;$BH$20,NOT($BJ7=""),$BF7=""),AND($CF7&gt;$CD$20,NOT($CF7=""),$CB7=""))),"Worlds Team",IF(AND(F7="P",OR(AND($AN7&gt;$AL$19,NOT($AN7=""),$AJ7=""),AND($BJ7&gt;$BH$19,NOT($BJ7=""),$BF7=""),AND($CF7&gt;$CD$19,NOT($CF7=""),$CB7=""))),"National Team",""))))</f>
        <v/>
      </c>
      <c r="J7" s="16">
        <f>MAX(AN7,BJ7,CF7)</f>
        <v>84.22999999999999</v>
      </c>
      <c r="K7" s="16" t="str">
        <f>IF(J7=CF7,$BM$1,IF(J7=BJ7,$AQ$1,IF(J7=AN7,$U$1,"")))</f>
        <v>2018 Nationals</v>
      </c>
      <c r="L7" s="16">
        <f>IF($J7=$AN7,MAX(BH7,CD7),IF($J7=$BJ7,MAX(AL7,CD7),MAX(AL7,BH7)))</f>
        <v>0</v>
      </c>
      <c r="M7" s="16" t="str">
        <f>IF(AND(L7=CD7,$K7&lt;&gt;$BM$1),$BM$1,IF(AND(L7=BH7,$K7&lt;&gt;$AQ$1),$AQ$1,IF(AND(L7=AL7,$K7&lt;&gt;$U$1),$U$1,"")))</f>
        <v/>
      </c>
      <c r="N7" s="16">
        <f>IF($J7=$AN7,MAX(BI7,CE7),IF($J7=$BJ7,MAX(AM7,CE7),MAX(AM7,BI7)))</f>
        <v>0</v>
      </c>
      <c r="O7" s="16" t="str">
        <f>IF(AND(N7=CE7,$K7&lt;&gt;$BM$1),$BM$1,IF(AND(N7=BI7,$K7&lt;&gt;$AQ$1),$AQ$1,IF(AND(N7=AM7,$K7&lt;&gt;$U$1),$U$1,"")))</f>
        <v/>
      </c>
      <c r="P7" s="16">
        <f>MAX(AO7,BK7,CG7)</f>
        <v>44.45</v>
      </c>
      <c r="Q7" s="16" t="str">
        <f>IF(P7=CG7,$BM$1,IF(P7=BK7,$AQ$1,IF(P7=AO7,$U$1,"")))</f>
        <v>2018 Nationals</v>
      </c>
      <c r="R7" s="16">
        <f>IF(MAX(CI7:CK7)&gt;0,MAX(CI7:CK7),"")</f>
        <v>47.25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Junior Pan Am Championships (June)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94"/>
      <c r="BG7" s="16" t="str">
        <f>IF(SUM(AS7,AX7)&gt;0,SUM(AS7,AX7),"")</f>
        <v/>
      </c>
      <c r="BH7" s="16" t="str">
        <f>IF(SUM(AQ7:AT7)-AU7&gt;0,SUM(AQ7:AT7)-AU7,"")</f>
        <v/>
      </c>
      <c r="BI7" s="16" t="str">
        <f>IF(SUM(AV7:AY7)-AZ7&gt;0,SUM(AV7:AY7)-AZ7,"")</f>
        <v/>
      </c>
      <c r="BJ7" s="16" t="str">
        <f>IF(SUM(BH7:BI7)&gt;0,SUM(BH7:BI7),"")</f>
        <v/>
      </c>
      <c r="BK7" s="16" t="str">
        <f>IF(SUM(BA7:BD7)-BE7&gt;0,SUM(BA7:BD7)-BE7,"")</f>
        <v/>
      </c>
      <c r="BL7" s="16" t="str">
        <f>IF(SUM(BJ7,BK7)&gt;0,SUM(BJ7,BK7),"")</f>
        <v/>
      </c>
      <c r="BM7" s="47">
        <v>7.95</v>
      </c>
      <c r="BN7" s="47">
        <v>9.1</v>
      </c>
      <c r="BO7" s="47">
        <v>4.0999999999999996</v>
      </c>
      <c r="BP7" s="47">
        <v>18.059999999999999</v>
      </c>
      <c r="BQ7" s="47">
        <v>0</v>
      </c>
      <c r="BR7" s="47">
        <v>6.85</v>
      </c>
      <c r="BS7" s="47">
        <v>8.9499999999999993</v>
      </c>
      <c r="BT7" s="47">
        <v>12</v>
      </c>
      <c r="BU7" s="47">
        <v>17.420000000000002</v>
      </c>
      <c r="BV7" s="47">
        <v>0.2</v>
      </c>
      <c r="BW7" s="47">
        <v>7.2</v>
      </c>
      <c r="BX7" s="47">
        <v>9.15</v>
      </c>
      <c r="BY7" s="47">
        <v>16.100000000000001</v>
      </c>
      <c r="BZ7" s="47">
        <v>12</v>
      </c>
      <c r="CA7" s="47">
        <v>0</v>
      </c>
      <c r="CB7" s="93"/>
      <c r="CC7" s="13">
        <f>IF(SUM(BO7,BT7)&gt;0,SUM(BO7,BT7),"")</f>
        <v>16.100000000000001</v>
      </c>
      <c r="CD7" s="13">
        <f>IF(SUM(BM7:BP7)-BQ7&gt;0,SUM(BM7:BP7)-BQ7,"")</f>
        <v>39.209999999999994</v>
      </c>
      <c r="CE7" s="13">
        <f>IF(SUM(BR7:BU7)-BV7&gt;0,SUM(BR7:BU7)-BV7,"")</f>
        <v>45.019999999999996</v>
      </c>
      <c r="CF7" s="13">
        <f>IF(SUM(CD7:CE7)&gt;0,SUM(CD7:CE7),"")</f>
        <v>84.22999999999999</v>
      </c>
      <c r="CG7" s="13">
        <f>IF(SUM(BW7:BZ7)-CA7&gt;0,SUM(BW7:BZ7)-CA7,"")</f>
        <v>44.45</v>
      </c>
      <c r="CH7" s="13">
        <f>IF(SUM(CF7,CG7)&gt;0,SUM(CF7,CG7),"")</f>
        <v>128.68</v>
      </c>
      <c r="CI7" s="30">
        <f>IF(MAX(DB7,DW7,ER7,FM7,GH7,HC7,HX7,IS7,JN7,KI7,LD7,LY7)-L7&gt;0.001,MAX(DB7,DW7,ER7,FM7,GH7,HC7,HX7,IS7,JN7,KI7,LD7,LY7)-L7,"")</f>
        <v>35.4</v>
      </c>
      <c r="CJ7" s="30">
        <f>IF(MAX(DC7,DX7,ES7,FN7,GI7,HD7,HY7,IT7,JO7,KJ7,LE7,LZ7)-N7&gt;0.001,MAX(DC7,DX7,ES7,FN7,GI7,HD7,HY7,IT7,JO7,KJ7,LE7,LZ7)-N7,"")</f>
        <v>47.25</v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>
        <v>8.1999999999999993</v>
      </c>
      <c r="DH7" s="48">
        <v>9.4499999999999993</v>
      </c>
      <c r="DI7" s="48">
        <v>0</v>
      </c>
      <c r="DJ7" s="48">
        <v>16.46</v>
      </c>
      <c r="DK7" s="48">
        <v>0</v>
      </c>
      <c r="DL7" s="48">
        <v>7.1</v>
      </c>
      <c r="DM7" s="48">
        <v>9.4499999999999993</v>
      </c>
      <c r="DN7" s="48">
        <v>12</v>
      </c>
      <c r="DO7" s="48">
        <v>15.06</v>
      </c>
      <c r="DP7" s="48">
        <v>0</v>
      </c>
      <c r="DQ7" s="48"/>
      <c r="DR7" s="48"/>
      <c r="DS7" s="48"/>
      <c r="DT7" s="48"/>
      <c r="DU7" s="48"/>
      <c r="DV7" s="16">
        <f>IF(SUM(DI7,DN7)&gt;0,SUM(DI7,DN7),"")</f>
        <v>12</v>
      </c>
      <c r="DW7" s="16">
        <f>IF(SUM(DG7:DJ7)-DK7&gt;0,SUM(DG7:DJ7)-DK7,"")</f>
        <v>34.11</v>
      </c>
      <c r="DX7" s="16">
        <f>IF(SUM(DL7:DO7)-DP7&gt;0,SUM(DL7:DO7)-DP7,"")</f>
        <v>43.61</v>
      </c>
      <c r="DY7" s="16">
        <f>IF(SUM(DW7:DX7)&gt;0,SUM(DW7:DX7),"")</f>
        <v>77.72</v>
      </c>
      <c r="DZ7" s="16" t="str">
        <f>IF(SUM(DQ7:DT7)-DU7&gt;0,SUM(DQ7:DT7)-DU7,"")</f>
        <v/>
      </c>
      <c r="EA7" s="16">
        <f>IF(SUM(DY7,DZ7)&gt;0,SUM(DY7,DZ7),"")</f>
        <v>77.72</v>
      </c>
      <c r="EB7" s="47">
        <v>7.85</v>
      </c>
      <c r="EC7" s="47">
        <v>9.35</v>
      </c>
      <c r="ED7" s="47">
        <v>0</v>
      </c>
      <c r="EE7" s="47">
        <v>18.600000000000001</v>
      </c>
      <c r="EF7" s="47">
        <v>0.4</v>
      </c>
      <c r="EG7" s="47">
        <v>7</v>
      </c>
      <c r="EH7" s="47">
        <v>9.25</v>
      </c>
      <c r="EI7" s="47">
        <v>12</v>
      </c>
      <c r="EJ7" s="47">
        <v>19</v>
      </c>
      <c r="EK7" s="47">
        <v>0</v>
      </c>
      <c r="EL7" s="47">
        <v>1.375</v>
      </c>
      <c r="EM7" s="47">
        <v>1.85</v>
      </c>
      <c r="EN7" s="47">
        <v>2.9</v>
      </c>
      <c r="EO7" s="47">
        <v>3.4</v>
      </c>
      <c r="EP7" s="47">
        <v>0</v>
      </c>
      <c r="EQ7" s="13">
        <f>IF(SUM(ED7,EI7)&gt;0,SUM(ED7,EI7),"")</f>
        <v>12</v>
      </c>
      <c r="ER7" s="13">
        <f>IF(SUM(EB7:EE7)-EF7&gt;0,SUM(EB7:EE7)-EF7,"")</f>
        <v>35.4</v>
      </c>
      <c r="ES7" s="13">
        <f>IF(SUM(EG7:EJ7)-EK7&gt;0,SUM(EG7:EJ7)-EK7,"")</f>
        <v>47.25</v>
      </c>
      <c r="ET7" s="13">
        <f>IF(SUM(ER7:ES7)&gt;0,SUM(ER7:ES7),"")</f>
        <v>82.65</v>
      </c>
      <c r="EU7" s="13">
        <f>IF(SUM(EL7:EO7)-EP7&gt;0,SUM(EL7:EO7)-EP7,"")</f>
        <v>9.5250000000000004</v>
      </c>
      <c r="EV7" s="13">
        <f>IF(SUM(ET7,EU7)&gt;0,SUM(ET7,EU7),"")</f>
        <v>92.175000000000011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146</v>
      </c>
      <c r="C8" s="5" t="s">
        <v>5</v>
      </c>
      <c r="D8" s="33" t="s">
        <v>165</v>
      </c>
      <c r="E8" s="17">
        <f>SUM(J8:R8)</f>
        <v>123.97</v>
      </c>
      <c r="F8" s="4" t="str">
        <f>IF(OR(AND($AK8&gt;=$AL$17,NOT($AK8=""),$AJ8=""),AND($BG8&gt;=$BH$17,NOT($BG8=""),$BF8=""),AND($CC8&gt;=$CD$17,NOT($CC8=""),$CB8="")),"P","")</f>
        <v/>
      </c>
      <c r="G8" s="4" t="str">
        <f>IF(OR(AND($AK8&gt;=$AL$18,NOT($AK8=""),$AJ8=""),AND($BG8&gt;=$BH$18,NOT($BG8=""),$BF8=""),AND($CC8&gt;=$CD$18,NOT($CC8=""),$CB8="")),"P","")</f>
        <v/>
      </c>
      <c r="H8" s="4" t="str">
        <f>IF(OR(AND($AN8&gt;=$AL$19,NOT($AN8=""),$AJ8=""),AND($BJ8&gt;=$BH$19,NOT($BJ8=""),$BF8=""),AND($CF8&gt;=$CD$19,NOT($CF8=""),$CB8="")),"P","")</f>
        <v/>
      </c>
      <c r="I8" t="str">
        <f>IF(AND(G8="P",OR(AND($AM8&gt;$AL$22,NOT($AM8=""),$AJ8=""),AND($AO8&gt;$AL$22,NOT($AO8=""),$AJ8=""),AND($BI8&gt;$BH$22,NOT($BI8=""),$BF8=""),AND($BK8&gt;$BH$22,NOT($BK8=""),$BF8=""),AND($CE8&gt;$CD$22,NOT($CE8=""),$CB8=""),AND($CG8&gt;$CD$22,NOT($CG8=""),$CB8=""))),"Merit",IF(AND(G8="P",OR(AND($AN8&gt;$AL$21,NOT($AN8=""),$AJ8=""),AND($BJ8&gt;$BH$21,NOT($BJ8=""),$BF8=""),AND($CF8&gt;$CD$21,NOT($CF8=""),$CB8=""))),"Funding",IF(AND(G8="P",OR(AND($AN8&gt;$AL$20,NOT($AN8=""),$AJ8=""),AND($BJ8&gt;$BH$20,NOT($BJ8=""),$BF8=""),AND($CF8&gt;$CD$20,NOT($CF8=""),$CB8=""))),"Worlds Team",IF(AND(F8="P",OR(AND($AN8&gt;$AL$19,NOT($AN8=""),$AJ8=""),AND($BJ8&gt;$BH$19,NOT($BJ8=""),$BF8=""),AND($CF8&gt;$CD$19,NOT($CF8=""),$CB8=""))),"National Team",""))))</f>
        <v/>
      </c>
      <c r="J8" s="16">
        <f>MAX(AN8,BJ8,CF8)</f>
        <v>79.28</v>
      </c>
      <c r="K8" s="16" t="str">
        <f>IF(J8=CF8,$BM$1,IF(J8=BJ8,$AQ$1,IF(J8=AN8,$U$1,"")))</f>
        <v>2018 Nationals</v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44.69</v>
      </c>
      <c r="Q8" s="16" t="str">
        <f>IF(P8=CG8,$BM$1,IF(P8=BK8,$AQ$1,IF(P8=AO8,$U$1,"")))</f>
        <v>2018 Nationals</v>
      </c>
      <c r="R8" s="16" t="str">
        <f>IF(MAX(CI8:CK8)&gt;0,MAX(CI8:CK8),"")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94"/>
      <c r="BG8" s="16" t="str">
        <f>IF(SUM(AS8,AX8)&gt;0,SUM(AS8,AX8),"")</f>
        <v/>
      </c>
      <c r="BH8" s="16" t="str">
        <f>IF(SUM(AQ8:AT8)-AU8&gt;0,SUM(AQ8:AT8)-AU8,"")</f>
        <v/>
      </c>
      <c r="BI8" s="16" t="str">
        <f>IF(SUM(AV8:AY8)-AZ8&gt;0,SUM(AV8:AY8)-AZ8,"")</f>
        <v/>
      </c>
      <c r="BJ8" s="16" t="str">
        <f>IF(SUM(BH8:BI8)&gt;0,SUM(BH8:BI8),"")</f>
        <v/>
      </c>
      <c r="BK8" s="16" t="str">
        <f>IF(SUM(BA8:BD8)-BE8&gt;0,SUM(BA8:BD8)-BE8,"")</f>
        <v/>
      </c>
      <c r="BL8" s="16" t="str">
        <f>IF(SUM(BJ8,BK8)&gt;0,SUM(BJ8,BK8),"")</f>
        <v/>
      </c>
      <c r="BM8" s="47">
        <v>7.55</v>
      </c>
      <c r="BN8" s="47">
        <v>9.1999999999999993</v>
      </c>
      <c r="BO8" s="47">
        <v>3</v>
      </c>
      <c r="BP8" s="47">
        <v>17.12</v>
      </c>
      <c r="BQ8" s="47">
        <v>0</v>
      </c>
      <c r="BR8" s="47">
        <v>6.95</v>
      </c>
      <c r="BS8" s="47">
        <v>8.5</v>
      </c>
      <c r="BT8" s="47">
        <v>10.6</v>
      </c>
      <c r="BU8" s="47">
        <v>16.36</v>
      </c>
      <c r="BV8" s="47">
        <v>0</v>
      </c>
      <c r="BW8" s="47">
        <v>7.55</v>
      </c>
      <c r="BX8" s="47">
        <v>9</v>
      </c>
      <c r="BY8" s="47">
        <v>16.14</v>
      </c>
      <c r="BZ8" s="47">
        <v>12</v>
      </c>
      <c r="CA8" s="47">
        <v>0</v>
      </c>
      <c r="CB8" s="93"/>
      <c r="CC8" s="13">
        <f>IF(SUM(BO8,BT8)&gt;0,SUM(BO8,BT8),"")</f>
        <v>13.6</v>
      </c>
      <c r="CD8" s="13">
        <f>IF(SUM(BM8:BP8)-BQ8&gt;0,SUM(BM8:BP8)-BQ8,"")</f>
        <v>36.870000000000005</v>
      </c>
      <c r="CE8" s="13">
        <f>IF(SUM(BR8:BU8)-BV8&gt;0,SUM(BR8:BU8)-BV8,"")</f>
        <v>42.41</v>
      </c>
      <c r="CF8" s="13">
        <f>IF(SUM(CD8:CE8)&gt;0,SUM(CD8:CE8),"")</f>
        <v>79.28</v>
      </c>
      <c r="CG8" s="13">
        <f>IF(SUM(BW8:BZ8)-CA8&gt;0,SUM(BW8:BZ8)-CA8,"")</f>
        <v>44.69</v>
      </c>
      <c r="CH8" s="13">
        <f>IF(SUM(CF8,CG8)&gt;0,SUM(CF8,CG8),"")</f>
        <v>123.97</v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147</v>
      </c>
      <c r="C9" s="5" t="s">
        <v>12</v>
      </c>
      <c r="D9" s="33" t="s">
        <v>166</v>
      </c>
      <c r="E9" s="17">
        <f>SUM(J9:R9)</f>
        <v>92.954999999999998</v>
      </c>
      <c r="F9" s="4" t="str">
        <f>IF(OR(AND($AK9&gt;=$AL$17,NOT($AK9=""),$AJ9=""),AND($BG9&gt;=$BH$17,NOT($BG9=""),$BF9=""),AND($CC9&gt;=$CD$17,NOT($CC9=""),$CB9="")),"P","")</f>
        <v/>
      </c>
      <c r="G9" s="4" t="str">
        <f>IF(OR(AND($AK9&gt;=$AL$18,NOT($AK9=""),$AJ9=""),AND($BG9&gt;=$BH$18,NOT($BG9=""),$BF9=""),AND($CC9&gt;=$CD$18,NOT($CC9=""),$CB9="")),"P","")</f>
        <v/>
      </c>
      <c r="H9" s="4" t="str">
        <f>IF(OR(AND($AN9&gt;=$AL$19,NOT($AN9=""),$AJ9=""),AND($BJ9&gt;=$BH$19,NOT($BJ9=""),$BF9=""),AND($CF9&gt;=$CD$19,NOT($CF9=""),$CB9="")),"P","")</f>
        <v/>
      </c>
      <c r="I9" t="str">
        <f>IF(AND(G9="P",OR(AND($AM9&gt;$AL$22,NOT($AM9=""),$AJ9=""),AND($AO9&gt;$AL$22,NOT($AO9=""),$AJ9=""),AND($BI9&gt;$BH$22,NOT($BI9=""),$BF9=""),AND($BK9&gt;$BH$22,NOT($BK9=""),$BF9=""),AND($CE9&gt;$CD$22,NOT($CE9=""),$CB9=""),AND($CG9&gt;$CD$22,NOT($CG9=""),$CB9=""))),"Merit",IF(AND(G9="P",OR(AND($AN9&gt;$AL$21,NOT($AN9=""),$AJ9=""),AND($BJ9&gt;$BH$21,NOT($BJ9=""),$BF9=""),AND($CF9&gt;$CD$21,NOT($CF9=""),$CB9=""))),"Funding",IF(AND(G9="P",OR(AND($AN9&gt;$AL$20,NOT($AN9=""),$AJ9=""),AND($BJ9&gt;$BH$20,NOT($BJ9=""),$BF9=""),AND($CF9&gt;$CD$20,NOT($CF9=""),$CB9=""))),"Worlds Team",IF(AND(F9="P",OR(AND($AN9&gt;$AL$19,NOT($AN9=""),$AJ9=""),AND($BJ9&gt;$BH$19,NOT($BJ9=""),$BF9=""),AND($CF9&gt;$CD$19,NOT($CF9=""),$CB9=""))),"National Team",""))))</f>
        <v/>
      </c>
      <c r="J9" s="16">
        <f>MAX(AN9,BJ9,CF9)</f>
        <v>53.284999999999997</v>
      </c>
      <c r="K9" s="16" t="str">
        <f>IF(J9=CF9,$BM$1,IF(J9=BJ9,$AQ$1,IF(J9=AN9,$U$1,"")))</f>
        <v>2018 Nationals</v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39.67</v>
      </c>
      <c r="Q9" s="16" t="str">
        <f>IF(P9=CG9,$BM$1,IF(P9=BK9,$AQ$1,IF(P9=AO9,$U$1,"")))</f>
        <v>2018 Nationals</v>
      </c>
      <c r="R9" s="16" t="str">
        <f>IF(MAX(CI9:CK9)&gt;0,MAX(CI9:CK9),"")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94"/>
      <c r="BG9" s="16" t="str">
        <f>IF(SUM(AS9,AX9)&gt;0,SUM(AS9,AX9),"")</f>
        <v/>
      </c>
      <c r="BH9" s="16" t="str">
        <f>IF(SUM(AQ9:AT9)-AU9&gt;0,SUM(AQ9:AT9)-AU9,"")</f>
        <v/>
      </c>
      <c r="BI9" s="16" t="str">
        <f>IF(SUM(AV9:AY9)-AZ9&gt;0,SUM(AV9:AY9)-AZ9,"")</f>
        <v/>
      </c>
      <c r="BJ9" s="16" t="str">
        <f>IF(SUM(BH9:BI9)&gt;0,SUM(BH9:BI9),"")</f>
        <v/>
      </c>
      <c r="BK9" s="16" t="str">
        <f>IF(SUM(BA9:BD9)-BE9&gt;0,SUM(BA9:BD9)-BE9,"")</f>
        <v/>
      </c>
      <c r="BL9" s="16" t="str">
        <f>IF(SUM(BJ9,BK9)&gt;0,SUM(BJ9,BK9),"")</f>
        <v/>
      </c>
      <c r="BM9" s="47">
        <v>5.8</v>
      </c>
      <c r="BN9" s="47">
        <v>9.32</v>
      </c>
      <c r="BO9" s="47">
        <v>1.2</v>
      </c>
      <c r="BP9" s="47">
        <v>6.7</v>
      </c>
      <c r="BQ9" s="47">
        <v>0</v>
      </c>
      <c r="BR9" s="47">
        <v>5.0750000000000002</v>
      </c>
      <c r="BS9" s="47">
        <v>5.95</v>
      </c>
      <c r="BT9" s="47">
        <v>7.9</v>
      </c>
      <c r="BU9" s="47">
        <v>11.34</v>
      </c>
      <c r="BV9" s="47">
        <v>0</v>
      </c>
      <c r="BW9" s="47">
        <v>7.75</v>
      </c>
      <c r="BX9" s="47">
        <v>9.1</v>
      </c>
      <c r="BY9" s="47">
        <v>14.62</v>
      </c>
      <c r="BZ9" s="47">
        <v>8.1999999999999993</v>
      </c>
      <c r="CA9" s="47">
        <v>0</v>
      </c>
      <c r="CB9" s="93"/>
      <c r="CC9" s="13">
        <f>IF(SUM(BO9,BT9)&gt;0,SUM(BO9,BT9),"")</f>
        <v>9.1</v>
      </c>
      <c r="CD9" s="13">
        <f>IF(SUM(BM9:BP9)-BQ9&gt;0,SUM(BM9:BP9)-BQ9,"")</f>
        <v>23.02</v>
      </c>
      <c r="CE9" s="13">
        <f>IF(SUM(BR9:BU9)-BV9&gt;0,SUM(BR9:BU9)-BV9,"")</f>
        <v>30.265000000000001</v>
      </c>
      <c r="CF9" s="13">
        <f>IF(SUM(CD9:CE9)&gt;0,SUM(CD9:CE9),"")</f>
        <v>53.284999999999997</v>
      </c>
      <c r="CG9" s="13">
        <f>IF(SUM(BW9:BZ9)-CA9&gt;0,SUM(BW9:BZ9)-CA9,"")</f>
        <v>39.67</v>
      </c>
      <c r="CH9" s="13">
        <f>IF(SUM(CF9,CG9)&gt;0,SUM(CF9,CG9),"")</f>
        <v>92.954999999999998</v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7" t="s">
        <v>96</v>
      </c>
      <c r="C10" s="8" t="s">
        <v>3</v>
      </c>
      <c r="D10" s="33" t="s">
        <v>167</v>
      </c>
      <c r="E10" s="17">
        <f>SUM(J10:R10)</f>
        <v>90.300000000000011</v>
      </c>
      <c r="F10" s="4" t="str">
        <f>IF(OR(AND($AK10&gt;=$AL$17,NOT($AK10=""),$AJ10=""),AND($BG10&gt;=$BH$17,NOT($BG10=""),$BF10=""),AND($CC10&gt;=$CD$17,NOT($CC10=""),$CB10="")),"P","")</f>
        <v/>
      </c>
      <c r="G10" s="4" t="str">
        <f>IF(OR(AND($AK10&gt;=$AL$18,NOT($AK10=""),$AJ10=""),AND($BG10&gt;=$BH$18,NOT($BG10=""),$BF10=""),AND($CC10&gt;=$CD$18,NOT($CC10=""),$CB10="")),"P","")</f>
        <v/>
      </c>
      <c r="H10" s="4" t="str">
        <f>IF(OR(AND($AN10&gt;=$AL$19,NOT($AN10=""),$AJ10=""),AND($BJ10&gt;=$BH$19,NOT($BJ10=""),$BF10=""),AND($CF10&gt;=$CD$19,NOT($CF10=""),$CB10="")),"P","")</f>
        <v/>
      </c>
      <c r="I10" t="str">
        <f>IF(AND(G10="P",OR(AND($AM10&gt;$AL$22,NOT($AM10=""),$AJ10=""),AND($AO10&gt;$AL$22,NOT($AO10=""),$AJ10=""),AND($BI10&gt;$BH$22,NOT($BI10=""),$BF10=""),AND($BK10&gt;$BH$22,NOT($BK10=""),$BF10=""),AND($CE10&gt;$CD$22,NOT($CE10=""),$CB10=""),AND($CG10&gt;$CD$22,NOT($CG10=""),$CB10=""))),"Merit",IF(AND(G10="P",OR(AND($AN10&gt;$AL$21,NOT($AN10=""),$AJ10=""),AND($BJ10&gt;$BH$21,NOT($BJ10=""),$BF10=""),AND($CF10&gt;$CD$21,NOT($CF10=""),$CB10=""))),"Funding",IF(AND(G10="P",OR(AND($AN10&gt;$AL$20,NOT($AN10=""),$AJ10=""),AND($BJ10&gt;$BH$20,NOT($BJ10=""),$BF10=""),AND($CF10&gt;$CD$20,NOT($CF10=""),$CB10=""))),"Worlds Team",IF(AND(F10="P",OR(AND($AN10&gt;$AL$19,NOT($AN10=""),$AJ10=""),AND($BJ10&gt;$BH$19,NOT($BJ10=""),$BF10=""),AND($CF10&gt;$CD$19,NOT($CF10=""),$CB10=""))),"National Team",""))))</f>
        <v/>
      </c>
      <c r="J10" s="16">
        <f>MAX(AN10,BJ10,CF10)</f>
        <v>80.800000000000011</v>
      </c>
      <c r="K10" s="16" t="str">
        <f>IF(J10=CF10,$BM$1,IF(J10=BJ10,$AQ$1,IF(J10=AN10,$U$1,"")))</f>
        <v>2017 3rd Domestic Trial</v>
      </c>
      <c r="L10" s="16">
        <f>IF($J10=$AN10,MAX(BH10,CD10),IF($J10=$BJ10,MAX(AL10,CD10),MAX(AL10,BH10)))</f>
        <v>0</v>
      </c>
      <c r="M10" s="16" t="str">
        <f>IF(AND(L10=CD10,$K10&lt;&gt;$BM$1),$BM$1,IF(AND(L10=BH10,$K10&lt;&gt;$AQ$1),$AQ$1,IF(AND(L10=AL10,$K10&lt;&gt;$U$1),$U$1,"")))</f>
        <v/>
      </c>
      <c r="N10" s="16">
        <f>IF($J10=$AN10,MAX(BI10,CE10),IF($J10=$BJ10,MAX(AM10,CE10),MAX(AM10,BI10)))</f>
        <v>0</v>
      </c>
      <c r="O10" s="16" t="str">
        <f>IF(AND(N10=CE10,$K10&lt;&gt;$BM$1),$BM$1,IF(AND(N10=BI10,$K10&lt;&gt;$AQ$1),$AQ$1,IF(AND(N10=AM10,$K10&lt;&gt;$U$1),$U$1,"")))</f>
        <v/>
      </c>
      <c r="P10" s="16">
        <f>MAX(AO10,BK10,CG10)</f>
        <v>9.5</v>
      </c>
      <c r="Q10" s="16" t="str">
        <f>IF(P10=CG10,$BM$1,IF(P10=BK10,$AQ$1,IF(P10=AO10,$U$1,"")))</f>
        <v>2017 3rd Domestic Trial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9">
        <v>8.4499999999999993</v>
      </c>
      <c r="V10" s="49">
        <v>9.3000000000000007</v>
      </c>
      <c r="W10" s="49">
        <v>5.2</v>
      </c>
      <c r="X10" s="49">
        <v>16.8</v>
      </c>
      <c r="Y10" s="49">
        <v>0</v>
      </c>
      <c r="Z10" s="49">
        <v>5.95</v>
      </c>
      <c r="AA10" s="49">
        <v>7.7</v>
      </c>
      <c r="AB10" s="49">
        <v>10.8</v>
      </c>
      <c r="AC10" s="49">
        <v>16.600000000000001</v>
      </c>
      <c r="AD10" s="49">
        <v>0</v>
      </c>
      <c r="AE10" s="49">
        <v>1.35</v>
      </c>
      <c r="AF10" s="49">
        <v>1.65</v>
      </c>
      <c r="AG10" s="49">
        <v>3.1</v>
      </c>
      <c r="AH10" s="49">
        <v>3.4</v>
      </c>
      <c r="AI10" s="49">
        <v>0</v>
      </c>
      <c r="AJ10" s="93"/>
      <c r="AK10" s="13">
        <f>IF(SUM(W10,AB10)&gt;0,SUM(W10,AB10),"")</f>
        <v>16</v>
      </c>
      <c r="AL10" s="13">
        <f>IF(SUM(U10:X10)-Y10&gt;0,SUM(U10:X10)-Y10,"")</f>
        <v>39.75</v>
      </c>
      <c r="AM10" s="13">
        <f>IF(SUM(Z10:AC10)-AD10&gt;0,SUM(Z10:AC10)-AD10,"")</f>
        <v>41.050000000000004</v>
      </c>
      <c r="AN10" s="13">
        <f>IF(SUM(AL10:AM10)&gt;0,SUM(AL10:AM10),"")</f>
        <v>80.800000000000011</v>
      </c>
      <c r="AO10" s="13">
        <f>IF(SUM(AE10:AH10)-AI10&gt;0,SUM(AE10:AH10)-AI10,"")</f>
        <v>9.5</v>
      </c>
      <c r="AP10" s="13">
        <f>IF(SUM(AN10,AO10)&gt;0,SUM(AN10,AO10),"")</f>
        <v>90.300000000000011</v>
      </c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94"/>
      <c r="BG10" s="16" t="str">
        <f>IF(SUM(AS10,AX10)&gt;0,SUM(AS10,AX10),"")</f>
        <v/>
      </c>
      <c r="BH10" s="16" t="str">
        <f>IF(SUM(AQ10:AT10)-AU10&gt;0,SUM(AQ10:AT10)-AU10,"")</f>
        <v/>
      </c>
      <c r="BI10" s="16" t="str">
        <f>IF(SUM(AV10:AY10)-AZ10&gt;0,SUM(AV10:AY10)-AZ10,"")</f>
        <v/>
      </c>
      <c r="BJ10" s="16" t="str">
        <f>IF(SUM(BH10:BI10)&gt;0,SUM(BH10:BI10),"")</f>
        <v/>
      </c>
      <c r="BK10" s="16" t="str">
        <f>IF(SUM(BA10:BD10)-BE10&gt;0,SUM(BA10:BD10)-BE10,"")</f>
        <v/>
      </c>
      <c r="BL10" s="16" t="str">
        <f>IF(SUM(BJ10,BK10)&gt;0,SUM(BJ10,BK10),"")</f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>IF(SUM(BO10,BT10)&gt;0,SUM(BO10,BT10),"")</f>
        <v/>
      </c>
      <c r="CD10" s="13" t="str">
        <f>IF(SUM(BM10:BP10)-BQ10&gt;0,SUM(BM10:BP10)-BQ10,"")</f>
        <v/>
      </c>
      <c r="CE10" s="13" t="str">
        <f>IF(SUM(BR10:BU10)-BV10&gt;0,SUM(BR10:BU10)-BV10,"")</f>
        <v/>
      </c>
      <c r="CF10" s="13" t="str">
        <f>IF(SUM(CD10:CE10)&gt;0,SUM(CD10:CE10),"")</f>
        <v/>
      </c>
      <c r="CG10" s="13" t="str">
        <f>IF(SUM(BW10:BZ10)-CA10&gt;0,SUM(BW10:BZ10)-CA10,"")</f>
        <v/>
      </c>
      <c r="CH10" s="13" t="str">
        <f>IF(SUM(CF10,CG10)&gt;0,SUM(CF10,CG10),"")</f>
        <v/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7" t="s">
        <v>145</v>
      </c>
      <c r="C11" s="8" t="s">
        <v>3</v>
      </c>
      <c r="D11" s="33" t="s">
        <v>168</v>
      </c>
      <c r="E11" s="17">
        <f>SUM(J11:R11)</f>
        <v>85.945000000000007</v>
      </c>
      <c r="F11" s="4" t="str">
        <f>IF(OR(AND($AK11&gt;=$AL$17,NOT($AK11=""),$AJ11=""),AND($BG11&gt;=$BH$17,NOT($BG11=""),$BF11=""),AND($CC11&gt;=$CD$17,NOT($CC11=""),$CB11="")),"P","")</f>
        <v/>
      </c>
      <c r="G11" s="4" t="str">
        <f>IF(OR(AND($AK11&gt;=$AL$18,NOT($AK11=""),$AJ11=""),AND($BG11&gt;=$BH$18,NOT($BG11=""),$BF11=""),AND($CC11&gt;=$CD$18,NOT($CC11=""),$CB11="")),"P","")</f>
        <v/>
      </c>
      <c r="H11" s="4" t="str">
        <f>IF(OR(AND($AN11&gt;=$AL$19,NOT($AN11=""),$AJ11=""),AND($BJ11&gt;=$BH$19,NOT($BJ11=""),$BF11=""),AND($CF11&gt;=$CD$19,NOT($CF11=""),$CB11="")),"P","")</f>
        <v/>
      </c>
      <c r="I11" t="str">
        <f>IF(AND(G11="P",OR(AND($AM11&gt;$AL$22,NOT($AM11=""),$AJ11=""),AND($AO11&gt;$AL$22,NOT($AO11=""),$AJ11=""),AND($BI11&gt;$BH$22,NOT($BI11=""),$BF11=""),AND($BK11&gt;$BH$22,NOT($BK11=""),$BF11=""),AND($CE11&gt;$CD$22,NOT($CE11=""),$CB11=""),AND($CG11&gt;$CD$22,NOT($CG11=""),$CB11=""))),"Merit",IF(AND(G11="P",OR(AND($AN11&gt;$AL$21,NOT($AN11=""),$AJ11=""),AND($BJ11&gt;$BH$21,NOT($BJ11=""),$BF11=""),AND($CF11&gt;$CD$21,NOT($CF11=""),$CB11=""))),"Funding",IF(AND(G11="P",OR(AND($AN11&gt;$AL$20,NOT($AN11=""),$AJ11=""),AND($BJ11&gt;$BH$20,NOT($BJ11=""),$BF11=""),AND($CF11&gt;$CD$20,NOT($CF11=""),$CB11=""))),"Worlds Team",IF(AND(F11="P",OR(AND($AN11&gt;$AL$19,NOT($AN11=""),$AJ11=""),AND($BJ11&gt;$BH$19,NOT($BJ11=""),$BF11=""),AND($CF11&gt;$CD$19,NOT($CF11=""),$CB11=""))),"National Team",""))))</f>
        <v/>
      </c>
      <c r="J11" s="16">
        <f>MAX(AN11,BJ11,CF11)</f>
        <v>80.795000000000002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0</v>
      </c>
      <c r="M11" s="16" t="str">
        <f>IF(AND(L11=CD11,$K11&lt;&gt;$BM$1),$BM$1,IF(AND(L11=BH11,$K11&lt;&gt;$AQ$1),$AQ$1,IF(AND(L11=AL11,$K11&lt;&gt;$U$1),$U$1,"")))</f>
        <v/>
      </c>
      <c r="N11" s="16">
        <f>IF($J11=$AN11,MAX(BI11,CE11),IF($J11=$BJ11,MAX(AM11,CE11),MAX(AM11,BI11)))</f>
        <v>0</v>
      </c>
      <c r="O11" s="16" t="str">
        <f>IF(AND(N11=CE11,$K11&lt;&gt;$BM$1),$BM$1,IF(AND(N11=BI11,$K11&lt;&gt;$AQ$1),$AQ$1,IF(AND(N11=AM11,$K11&lt;&gt;$U$1),$U$1,"")))</f>
        <v/>
      </c>
      <c r="P11" s="16">
        <f>MAX(AO11,BK11,CG11)</f>
        <v>5.15</v>
      </c>
      <c r="Q11" s="16" t="str">
        <f>IF(P11=CG11,$BM$1,IF(P11=BK11,$AQ$1,IF(P11=AO11,$U$1,"")))</f>
        <v>2018 Nationals</v>
      </c>
      <c r="R11" s="16" t="str">
        <f>IF(MAX(CI11:CK11)&gt;0,MAX(CI11:CK11),"")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94"/>
      <c r="BG11" s="16" t="str">
        <f>IF(SUM(AS11,AX11)&gt;0,SUM(AS11,AX11),"")</f>
        <v/>
      </c>
      <c r="BH11" s="16" t="str">
        <f>IF(SUM(AQ11:AT11)-AU11&gt;0,SUM(AQ11:AT11)-AU11,"")</f>
        <v/>
      </c>
      <c r="BI11" s="16" t="str">
        <f>IF(SUM(AV11:AY11)-AZ11&gt;0,SUM(AV11:AY11)-AZ11,"")</f>
        <v/>
      </c>
      <c r="BJ11" s="16" t="str">
        <f>IF(SUM(BH11:BI11)&gt;0,SUM(BH11:BI11),"")</f>
        <v/>
      </c>
      <c r="BK11" s="16" t="str">
        <f>IF(SUM(BA11:BD11)-BE11&gt;0,SUM(BA11:BD11)-BE11,"")</f>
        <v/>
      </c>
      <c r="BL11" s="16" t="str">
        <f>IF(SUM(BJ11,BK11)&gt;0,SUM(BJ11,BK11),"")</f>
        <v/>
      </c>
      <c r="BM11" s="47">
        <v>8.4</v>
      </c>
      <c r="BN11" s="47">
        <v>9.1</v>
      </c>
      <c r="BO11" s="47">
        <v>3.1</v>
      </c>
      <c r="BP11" s="47">
        <v>16.02</v>
      </c>
      <c r="BQ11" s="47">
        <v>0.2</v>
      </c>
      <c r="BR11" s="47">
        <v>7.5750000000000002</v>
      </c>
      <c r="BS11" s="47">
        <v>8.9</v>
      </c>
      <c r="BT11" s="47">
        <v>10.5</v>
      </c>
      <c r="BU11" s="47">
        <v>17.399999999999999</v>
      </c>
      <c r="BV11" s="47">
        <v>0</v>
      </c>
      <c r="BW11" s="47">
        <v>0.85</v>
      </c>
      <c r="BX11" s="47">
        <v>0.8</v>
      </c>
      <c r="BY11" s="47">
        <v>2</v>
      </c>
      <c r="BZ11" s="47">
        <v>1.5</v>
      </c>
      <c r="CA11" s="47">
        <v>0</v>
      </c>
      <c r="CB11" s="93"/>
      <c r="CC11" s="13">
        <f>IF(SUM(BO11,BT11)&gt;0,SUM(BO11,BT11),"")</f>
        <v>13.6</v>
      </c>
      <c r="CD11" s="13">
        <f>IF(SUM(BM11:BP11)-BQ11&gt;0,SUM(BM11:BP11)-BQ11,"")</f>
        <v>36.42</v>
      </c>
      <c r="CE11" s="13">
        <f>IF(SUM(BR11:BU11)-BV11&gt;0,SUM(BR11:BU11)-BV11,"")</f>
        <v>44.375</v>
      </c>
      <c r="CF11" s="13">
        <f>IF(SUM(CD11:CE11)&gt;0,SUM(CD11:CE11),"")</f>
        <v>80.795000000000002</v>
      </c>
      <c r="CG11" s="13">
        <f>IF(SUM(BW11:BZ11)-CA11&gt;0,SUM(BW11:BZ11)-CA11,"")</f>
        <v>5.15</v>
      </c>
      <c r="CH11" s="13">
        <f>IF(SUM(CF11,CG11)&gt;0,SUM(CF11,CG11),"")</f>
        <v>85.945000000000007</v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143</v>
      </c>
      <c r="C12" s="5" t="s">
        <v>3</v>
      </c>
      <c r="D12" s="33" t="s">
        <v>169</v>
      </c>
      <c r="E12" s="17">
        <f>SUM(J12:R12)</f>
        <v>81.405000000000001</v>
      </c>
      <c r="F12" s="4" t="str">
        <f>IF(OR(AND($AK12&gt;=$AL$17,NOT($AK12=""),$AJ12=""),AND($BG12&gt;=$BH$17,NOT($BG12=""),$BF12=""),AND($CC12&gt;=$CD$17,NOT($CC12=""),$CB12="")),"P","")</f>
        <v/>
      </c>
      <c r="G12" s="4" t="str">
        <f>IF(OR(AND($AK12&gt;=$AL$18,NOT($AK12=""),$AJ12=""),AND($BG12&gt;=$BH$18,NOT($BG12=""),$BF12=""),AND($CC12&gt;=$CD$18,NOT($CC12=""),$CB12="")),"P","")</f>
        <v/>
      </c>
      <c r="H12" s="4" t="str">
        <f>IF(OR(AND($AN12&gt;=$AL$19,NOT($AN12=""),$AJ12=""),AND($BJ12&gt;=$BH$19,NOT($BJ12=""),$BF12=""),AND($CF12&gt;=$CD$19,NOT($CF12=""),$CB12="")),"P","")</f>
        <v/>
      </c>
      <c r="I12" t="str">
        <f>IF(AND(G12="P",OR(AND($AM12&gt;$AL$22,NOT($AM12=""),$AJ12=""),AND($AO12&gt;$AL$22,NOT($AO12=""),$AJ12=""),AND($BI12&gt;$BH$22,NOT($BI12=""),$BF12=""),AND($BK12&gt;$BH$22,NOT($BK12=""),$BF12=""),AND($CE12&gt;$CD$22,NOT($CE12=""),$CB12=""),AND($CG12&gt;$CD$22,NOT($CG12=""),$CB12=""))),"Merit",IF(AND(G12="P",OR(AND($AN12&gt;$AL$21,NOT($AN12=""),$AJ12=""),AND($BJ12&gt;$BH$21,NOT($BJ12=""),$BF12=""),AND($CF12&gt;$CD$21,NOT($CF12=""),$CB12=""))),"Funding",IF(AND(G12="P",OR(AND($AN12&gt;$AL$20,NOT($AN12=""),$AJ12=""),AND($BJ12&gt;$BH$20,NOT($BJ12=""),$BF12=""),AND($CF12&gt;$CD$20,NOT($CF12=""),$CB12=""))),"Worlds Team",IF(AND(F12="P",OR(AND($AN12&gt;$AL$19,NOT($AN12=""),$AJ12=""),AND($BJ12&gt;$BH$19,NOT($BJ12=""),$BF12=""),AND($CF12&gt;$CD$19,NOT($CF12=""),$CB12=""))),"National Team",""))))</f>
        <v/>
      </c>
      <c r="J12" s="16">
        <f>MAX(AN12,BJ12,CF12)</f>
        <v>81.405000000000001</v>
      </c>
      <c r="K12" s="16" t="str">
        <f>IF(J12=CF12,$BM$1,IF(J12=BJ12,$AQ$1,IF(J12=AN12,$U$1,"")))</f>
        <v>2018 Nationals</v>
      </c>
      <c r="L12" s="16">
        <f>IF($J12=$AN12,MAX(BH12,CD12),IF($J12=$BJ12,MAX(AL12,CD12),MAX(AL12,BH12)))</f>
        <v>0</v>
      </c>
      <c r="M12" s="16" t="str">
        <f>IF(AND(L12=CD12,$K12&lt;&gt;$BM$1),$BM$1,IF(AND(L12=BH12,$K12&lt;&gt;$AQ$1),$AQ$1,IF(AND(L12=AL12,$K12&lt;&gt;$U$1),$U$1,"")))</f>
        <v/>
      </c>
      <c r="N12" s="16">
        <f>IF($J12=$AN12,MAX(BI12,CE12),IF($J12=$BJ12,MAX(AM12,CE12),MAX(AM12,BI12)))</f>
        <v>0</v>
      </c>
      <c r="O12" s="16" t="str">
        <f>IF(AND(N12=CE12,$K12&lt;&gt;$BM$1),$BM$1,IF(AND(N12=BI12,$K12&lt;&gt;$AQ$1),$AQ$1,IF(AND(N12=AM12,$K12&lt;&gt;$U$1),$U$1,"")))</f>
        <v/>
      </c>
      <c r="P12" s="16">
        <f>MAX(AO12,BK12,CG12)</f>
        <v>0</v>
      </c>
      <c r="Q12" s="16" t="str">
        <f>IF(P12=CG12,$BM$1,IF(P12=BK12,$AQ$1,IF(P12=AO12,$U$1,"")))</f>
        <v/>
      </c>
      <c r="R12" s="16" t="str">
        <f>IF(MAX(CI12:CK12)&gt;0,MAX(CI12:CK12),"")</f>
        <v/>
      </c>
      <c r="S12" s="31" t="str">
        <f>IF(R12="","",IF(R12=CI12,"(Vol 1)",IF(R12=CJ12,"(Vol 2)",IF(R12=CK12,"(Final)"))))</f>
        <v/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>IF(SUM(W12,AB12)&gt;0,SUM(W12,AB12),"")</f>
        <v/>
      </c>
      <c r="AL12" s="13" t="str">
        <f>IF(SUM(U12:X12)-Y12&gt;0,SUM(U12:X12)-Y12,"")</f>
        <v/>
      </c>
      <c r="AM12" s="13" t="str">
        <f>IF(SUM(Z12:AC12)-AD12&gt;0,SUM(Z12:AC12)-AD12,"")</f>
        <v/>
      </c>
      <c r="AN12" s="13" t="str">
        <f>IF(SUM(AL12:AM12)&gt;0,SUM(AL12:AM12),"")</f>
        <v/>
      </c>
      <c r="AO12" s="13" t="str">
        <f>IF(SUM(AE12:AH12)-AI12&gt;0,SUM(AE12:AH12)-AI12,"")</f>
        <v/>
      </c>
      <c r="AP12" s="13" t="str">
        <f>IF(SUM(AN12,AO12)&gt;0,SUM(AN12,AO12),"")</f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>IF(SUM(AS12,AX12)&gt;0,SUM(AS12,AX12),"")</f>
        <v/>
      </c>
      <c r="BH12" s="16" t="str">
        <f>IF(SUM(AQ12:AT12)-AU12&gt;0,SUM(AQ12:AT12)-AU12,"")</f>
        <v/>
      </c>
      <c r="BI12" s="16" t="str">
        <f>IF(SUM(AV12:AY12)-AZ12&gt;0,SUM(AV12:AY12)-AZ12,"")</f>
        <v/>
      </c>
      <c r="BJ12" s="16" t="str">
        <f>IF(SUM(BH12:BI12)&gt;0,SUM(BH12:BI12),"")</f>
        <v/>
      </c>
      <c r="BK12" s="16" t="str">
        <f>IF(SUM(BA12:BD12)-BE12&gt;0,SUM(BA12:BD12)-BE12,"")</f>
        <v/>
      </c>
      <c r="BL12" s="16" t="str">
        <f>IF(SUM(BJ12,BK12)&gt;0,SUM(BJ12,BK12),"")</f>
        <v/>
      </c>
      <c r="BM12" s="47">
        <v>8.7249999999999996</v>
      </c>
      <c r="BN12" s="47">
        <v>9.35</v>
      </c>
      <c r="BO12" s="47">
        <v>4.0999999999999996</v>
      </c>
      <c r="BP12" s="47">
        <v>15.58</v>
      </c>
      <c r="BQ12" s="47">
        <v>0</v>
      </c>
      <c r="BR12" s="47">
        <v>6.65</v>
      </c>
      <c r="BS12" s="47">
        <v>8.9</v>
      </c>
      <c r="BT12" s="47">
        <v>13.5</v>
      </c>
      <c r="BU12" s="47">
        <v>14.6</v>
      </c>
      <c r="BV12" s="47">
        <v>0</v>
      </c>
      <c r="BW12" s="47"/>
      <c r="BX12" s="47"/>
      <c r="BY12" s="47"/>
      <c r="BZ12" s="47"/>
      <c r="CA12" s="47"/>
      <c r="CB12" s="93"/>
      <c r="CC12" s="13">
        <f>IF(SUM(BO12,BT12)&gt;0,SUM(BO12,BT12),"")</f>
        <v>17.600000000000001</v>
      </c>
      <c r="CD12" s="13">
        <f>IF(SUM(BM12:BP12)-BQ12&gt;0,SUM(BM12:BP12)-BQ12,"")</f>
        <v>37.754999999999995</v>
      </c>
      <c r="CE12" s="13">
        <f>IF(SUM(BR12:BU12)-BV12&gt;0,SUM(BR12:BU12)-BV12,"")</f>
        <v>43.65</v>
      </c>
      <c r="CF12" s="13">
        <f>IF(SUM(CD12:CE12)&gt;0,SUM(CD12:CE12),"")</f>
        <v>81.405000000000001</v>
      </c>
      <c r="CG12" s="13" t="str">
        <f>IF(SUM(BW12:BZ12)-CA12&gt;0,SUM(BW12:BZ12)-CA12,"")</f>
        <v/>
      </c>
      <c r="CH12" s="13">
        <f>IF(SUM(CF12,CG12)&gt;0,SUM(CF12,CG12),"")</f>
        <v>81.405000000000001</v>
      </c>
      <c r="CI12" s="30" t="str">
        <f>IF(MAX(DB12,DW12,ER12,FM12,GH12,HC12,HX12,IS12,JN12,KI12,LD12,LY12)-L12&gt;0.001,MAX(DB12,DW12,ER12,FM12,GH12,HC12,HX12,IS12,JN12,KI12,LD12,LY12)-L12,"")</f>
        <v/>
      </c>
      <c r="CJ12" s="30" t="str">
        <f>IF(MAX(DC12,DX12,ES12,FN12,GI12,HD12,HY12,IT12,JO12,KJ12,LE12,LZ12)-N12&gt;0.001,MAX(DC12,DX12,ES12,FN12,GI12,HD12,HY12,IT12,JO12,KJ12,LE12,LZ12)-N12,"")</f>
        <v/>
      </c>
      <c r="CK12" s="30" t="str">
        <f>IF(MAX(DE12,DZ12,EU12,FP12,GK12,HF12,IA12,IV12,JQ12,KL12,LG12,MB12)-P12&gt;0.001,MAX(DE12,DZ12,EU12,FP12,GK12,HF12,IA12,IV12,JQ12,KL12,LG12,MB12)-P12,"")</f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137</v>
      </c>
      <c r="C13" s="5" t="s">
        <v>150</v>
      </c>
      <c r="D13" s="33" t="s">
        <v>170</v>
      </c>
      <c r="E13" s="17">
        <f>SUM(J13:R13)</f>
        <v>44.55</v>
      </c>
      <c r="F13" s="4" t="str">
        <f>IF(OR(AND($AK13&gt;=$AL$17,NOT($AK13=""),$AJ13=""),AND($BG13&gt;=$BH$17,NOT($BG13=""),$BF13=""),AND($CC13&gt;=$CD$17,NOT($CC13=""),$CB13="")),"P","")</f>
        <v/>
      </c>
      <c r="G13" s="4" t="str">
        <f>IF(OR(AND($AK13&gt;=$AL$18,NOT($AK13=""),$AJ13=""),AND($BG13&gt;=$BH$18,NOT($BG13=""),$BF13=""),AND($CC13&gt;=$CD$18,NOT($CC13=""),$CB13="")),"P","")</f>
        <v/>
      </c>
      <c r="H13" s="4" t="str">
        <f>IF(OR(AND($AN13&gt;=$AL$19,NOT($AN13=""),$AJ13=""),AND($BJ13&gt;=$BH$19,NOT($BJ13=""),$BF13=""),AND($CF13&gt;=$CD$19,NOT($CF13=""),$CB13="")),"P","")</f>
        <v/>
      </c>
      <c r="I13" t="str">
        <f>IF(AND(G13="P",OR(AND($AM13&gt;$AL$22,NOT($AM13=""),$AJ13=""),AND($AO13&gt;$AL$22,NOT($AO13=""),$AJ13=""),AND($BI13&gt;$BH$22,NOT($BI13=""),$BF13=""),AND($BK13&gt;$BH$22,NOT($BK13=""),$BF13=""),AND($CE13&gt;$CD$22,NOT($CE13=""),$CB13=""),AND($CG13&gt;$CD$22,NOT($CG13=""),$CB13=""))),"Merit",IF(AND(G13="P",OR(AND($AN13&gt;$AL$21,NOT($AN13=""),$AJ13=""),AND($BJ13&gt;$BH$21,NOT($BJ13=""),$BF13=""),AND($CF13&gt;$CD$21,NOT($CF13=""),$CB13=""))),"Funding",IF(AND(G13="P",OR(AND($AN13&gt;$AL$20,NOT($AN13=""),$AJ13=""),AND($BJ13&gt;$BH$20,NOT($BJ13=""),$BF13=""),AND($CF13&gt;$CD$20,NOT($CF13=""),$CB13=""))),"Worlds Team",IF(AND(F13="P",OR(AND($AN13&gt;$AL$19,NOT($AN13=""),$AJ13=""),AND($BJ13&gt;$BH$19,NOT($BJ13=""),$BF13=""),AND($CF13&gt;$CD$19,NOT($CF13=""),$CB13=""))),"National Team",""))))</f>
        <v/>
      </c>
      <c r="J13" s="16">
        <f>MAX(AN13,BJ13,CF13)</f>
        <v>0</v>
      </c>
      <c r="K13" s="16" t="str">
        <f>IF(J13=CF13,$BM$1,IF(J13=BJ13,$AQ$1,IF(J13=AN13,$U$1,"")))</f>
        <v/>
      </c>
      <c r="L13" s="16">
        <f>IF($J13=$AN13,MAX(BH13,CD13),IF($J13=$BJ13,MAX(AL13,CD13),MAX(AL13,BH13)))</f>
        <v>0</v>
      </c>
      <c r="M13" s="16" t="str">
        <f>IF(AND(L13=CD13,$K13&lt;&gt;$BM$1),$BM$1,IF(AND(L13=BH13,$K13&lt;&gt;$AQ$1),$AQ$1,IF(AND(L13=AL13,$K13&lt;&gt;$U$1),$U$1,"")))</f>
        <v/>
      </c>
      <c r="N13" s="16">
        <f>IF($J13=$AN13,MAX(BI13,CE13),IF($J13=$BJ13,MAX(AM13,CE13),MAX(AM13,BI13)))</f>
        <v>0</v>
      </c>
      <c r="O13" s="16" t="str">
        <f>IF(AND(N13=CE13,$K13&lt;&gt;$BM$1),$BM$1,IF(AND(N13=BI13,$K13&lt;&gt;$AQ$1),$AQ$1,IF(AND(N13=AM13,$K13&lt;&gt;$U$1),$U$1,"")))</f>
        <v/>
      </c>
      <c r="P13" s="16">
        <f>MAX(AO13,BK13,CG13)</f>
        <v>0</v>
      </c>
      <c r="Q13" s="16" t="str">
        <f>IF(P13=CG13,$BM$1,IF(P13=BK13,$AQ$1,IF(P13=AO13,$U$1,"")))</f>
        <v/>
      </c>
      <c r="R13" s="16">
        <f>IF(MAX(CI13:CK13)&gt;0,MAX(CI13:CK13),"")</f>
        <v>44.55</v>
      </c>
      <c r="S13" s="31" t="str">
        <f>IF(R13="","",IF(R13=CI13,"(Vol 1)",IF(R13=CJ13,"(Vol 2)",IF(R13=CK13,"(Final)"))))</f>
        <v>(Vol 2)</v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>2018 Pacific Rim (Apr)</v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>IF(SUM(AS13,AX13)&gt;0,SUM(AS13,AX13),"")</f>
        <v/>
      </c>
      <c r="BH13" s="16" t="str">
        <f>IF(SUM(AQ13:AT13)-AU13&gt;0,SUM(AQ13:AT13)-AU13,"")</f>
        <v/>
      </c>
      <c r="BI13" s="16" t="str">
        <f>IF(SUM(AV13:AY13)-AZ13&gt;0,SUM(AV13:AY13)-AZ13,"")</f>
        <v/>
      </c>
      <c r="BJ13" s="16" t="str">
        <f>IF(SUM(BH13:BI13)&gt;0,SUM(BH13:BI13),"")</f>
        <v/>
      </c>
      <c r="BK13" s="16" t="str">
        <f>IF(SUM(BA13:BD13)-BE13&gt;0,SUM(BA13:BD13)-BE13,"")</f>
        <v/>
      </c>
      <c r="BL13" s="16" t="str">
        <f>IF(SUM(BJ13,BK13)&gt;0,SUM(BJ13,BK13),"")</f>
        <v/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>IF(SUM(BO13,BT13)&gt;0,SUM(BO13,BT13),"")</f>
        <v/>
      </c>
      <c r="CD13" s="13" t="str">
        <f>IF(SUM(BM13:BP13)-BQ13&gt;0,SUM(BM13:BP13)-BQ13,"")</f>
        <v/>
      </c>
      <c r="CE13" s="13" t="str">
        <f>IF(SUM(BR13:BU13)-BV13&gt;0,SUM(BR13:BU13)-BV13,"")</f>
        <v/>
      </c>
      <c r="CF13" s="13" t="str">
        <f>IF(SUM(CD13:CE13)&gt;0,SUM(CD13:CE13),"")</f>
        <v/>
      </c>
      <c r="CG13" s="13" t="str">
        <f>IF(SUM(BW13:BZ13)-CA13&gt;0,SUM(BW13:BZ13)-CA13,"")</f>
        <v/>
      </c>
      <c r="CH13" s="13" t="str">
        <f>IF(SUM(CF13,CG13)&gt;0,SUM(CF13,CG13),"")</f>
        <v/>
      </c>
      <c r="CI13" s="30">
        <f>IF(MAX(DB13,DW13,ER13,FM13,GH13,HC13,HX13,IS13,JN13,KI13,LD13,LY13)-L13&gt;0.001,MAX(DB13,DW13,ER13,FM13,GH13,HC13,HX13,IS13,JN13,KI13,LD13,LY13)-L13,"")</f>
        <v>14.280000000000001</v>
      </c>
      <c r="CJ13" s="30">
        <f>IF(MAX(DC13,DX13,ES13,FN13,GI13,HD13,HY13,IT13,JO13,KJ13,LE13,LZ13)-N13&gt;0.001,MAX(DC13,DX13,ES13,FN13,GI13,HD13,HY13,IT13,JO13,KJ13,LE13,LZ13)-N13,"")</f>
        <v>44.55</v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>
        <v>3.45</v>
      </c>
      <c r="DH13" s="48">
        <v>3.85</v>
      </c>
      <c r="DI13" s="48">
        <v>0</v>
      </c>
      <c r="DJ13" s="48">
        <v>6.98</v>
      </c>
      <c r="DK13" s="48">
        <v>0</v>
      </c>
      <c r="DL13" s="48">
        <v>8.25</v>
      </c>
      <c r="DM13" s="48">
        <v>9.4</v>
      </c>
      <c r="DN13" s="48">
        <v>10.3</v>
      </c>
      <c r="DO13" s="48">
        <v>16.600000000000001</v>
      </c>
      <c r="DP13" s="48">
        <v>0</v>
      </c>
      <c r="DQ13" s="48"/>
      <c r="DR13" s="48"/>
      <c r="DS13" s="48"/>
      <c r="DT13" s="48"/>
      <c r="DU13" s="48"/>
      <c r="DV13" s="16">
        <f>IF(SUM(DI13,DN13)&gt;0,SUM(DI13,DN13),"")</f>
        <v>10.3</v>
      </c>
      <c r="DW13" s="16">
        <f>IF(SUM(DG13:DJ13)-DK13&gt;0,SUM(DG13:DJ13)-DK13,"")</f>
        <v>14.280000000000001</v>
      </c>
      <c r="DX13" s="16">
        <f>IF(SUM(DL13:DO13)-DP13&gt;0,SUM(DL13:DO13)-DP13,"")</f>
        <v>44.55</v>
      </c>
      <c r="DY13" s="16">
        <f>IF(SUM(DW13:DX13)&gt;0,SUM(DW13:DX13),"")</f>
        <v>58.83</v>
      </c>
      <c r="DZ13" s="16" t="str">
        <f>IF(SUM(DQ13:DT13)-DU13&gt;0,SUM(DQ13:DT13)-DU13,"")</f>
        <v/>
      </c>
      <c r="EA13" s="16">
        <f>IF(SUM(DY13,DZ13)&gt;0,SUM(DY13,DZ13),"")</f>
        <v>58.83</v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IF(AND(F14="P",H14="P"),SUMPRODUCT((F$4:F$14="P")*(H$4:H$14="P")*(E$4:E$14&gt;E14))+1,IF(H14="P",SUMPRODUCT((F$4:F$14="")*(H$4:H$14="P")*(E$4:E$14&gt;E14))+1+SUMPRODUCT((F$4:F$14="P")*(H$4:H$14="P")),""))</f>
        <v/>
      </c>
      <c r="B14" s="9" t="s">
        <v>155</v>
      </c>
      <c r="C14" s="5" t="s">
        <v>12</v>
      </c>
      <c r="D14" s="33" t="s">
        <v>171</v>
      </c>
      <c r="E14" s="17">
        <f>SUM(J14:R14)</f>
        <v>35.849999999999994</v>
      </c>
      <c r="F14" s="4" t="str">
        <f>IF(OR(AND($AK14&gt;=$AL$17,NOT($AK14=""),$AJ14=""),AND($BG14&gt;=$BH$17,NOT($BG14=""),$BF14=""),AND($CC14&gt;=$CD$17,NOT($CC14=""),$CB14="")),"P","")</f>
        <v/>
      </c>
      <c r="G14" s="4" t="str">
        <f>IF(OR(AND($AK14&gt;=$AL$18,NOT($AK14=""),$AJ14=""),AND($BG14&gt;=$BH$18,NOT($BG14=""),$BF14=""),AND($CC14&gt;=$CD$18,NOT($CC14=""),$CB14="")),"P","")</f>
        <v/>
      </c>
      <c r="H14" s="4" t="str">
        <f>IF(OR(AND($AN14&gt;=$AL$19,NOT($AN14=""),$AJ14=""),AND($BJ14&gt;=$BH$19,NOT($BJ14=""),$BF14=""),AND($CF14&gt;=$CD$19,NOT($CF14=""),$CB14="")),"P","")</f>
        <v/>
      </c>
      <c r="I14" t="str">
        <f>IF(AND(G14="P",OR(AND($AM14&gt;$AL$22,NOT($AM14=""),$AJ14=""),AND($AO14&gt;$AL$22,NOT($AO14=""),$AJ14=""),AND($BI14&gt;$BH$22,NOT($BI14=""),$BF14=""),AND($BK14&gt;$BH$22,NOT($BK14=""),$BF14=""),AND($CE14&gt;$CD$22,NOT($CE14=""),$CB14=""),AND($CG14&gt;$CD$22,NOT($CG14=""),$CB14=""))),"Merit",IF(AND(G14="P",OR(AND($AN14&gt;$AL$21,NOT($AN14=""),$AJ14=""),AND($BJ14&gt;$BH$21,NOT($BJ14=""),$BF14=""),AND($CF14&gt;$CD$21,NOT($CF14=""),$CB14=""))),"Funding",IF(AND(G14="P",OR(AND($AN14&gt;$AL$20,NOT($AN14=""),$AJ14=""),AND($BJ14&gt;$BH$20,NOT($BJ14=""),$BF14=""),AND($CF14&gt;$CD$20,NOT($CF14=""),$CB14=""))),"Worlds Team",IF(AND(F14="P",OR(AND($AN14&gt;$AL$19,NOT($AN14=""),$AJ14=""),AND($BJ14&gt;$BH$19,NOT($BJ14=""),$BF14=""),AND($CF14&gt;$CD$19,NOT($CF14=""),$CB14=""))),"National Team",""))))</f>
        <v/>
      </c>
      <c r="J14" s="16">
        <f>MAX(AN14,BJ14,CF14)</f>
        <v>0</v>
      </c>
      <c r="K14" s="16" t="str">
        <f>IF(J14=CF14,$BM$1,IF(J14=BJ14,$AQ$1,IF(J14=AN14,$U$1,"")))</f>
        <v/>
      </c>
      <c r="L14" s="16">
        <f>IF($J14=$AN14,MAX(BH14,CD14),IF($J14=$BJ14,MAX(AL14,CD14),MAX(AL14,BH14)))</f>
        <v>0</v>
      </c>
      <c r="M14" s="16" t="str">
        <f>IF(AND(L14=CD14,$K14&lt;&gt;$BM$1),$BM$1,IF(AND(L14=BH14,$K14&lt;&gt;$AQ$1),$AQ$1,IF(AND(L14=AL14,$K14&lt;&gt;$U$1),$U$1,"")))</f>
        <v/>
      </c>
      <c r="N14" s="16">
        <f>IF($J14=$AN14,MAX(BI14,CE14),IF($J14=$BJ14,MAX(AM14,CE14),MAX(AM14,BI14)))</f>
        <v>0</v>
      </c>
      <c r="O14" s="16" t="str">
        <f>IF(AND(N14=CE14,$K14&lt;&gt;$BM$1),$BM$1,IF(AND(N14=BI14,$K14&lt;&gt;$AQ$1),$AQ$1,IF(AND(N14=AM14,$K14&lt;&gt;$U$1),$U$1,"")))</f>
        <v/>
      </c>
      <c r="P14" s="16">
        <f>MAX(AO14,BK14,CG14)</f>
        <v>0</v>
      </c>
      <c r="Q14" s="16" t="str">
        <f>IF(P14=CG14,$BM$1,IF(P14=BK14,$AQ$1,IF(P14=AO14,$U$1,"")))</f>
        <v/>
      </c>
      <c r="R14" s="16">
        <f>IF(MAX(CI14:CK14)&gt;0,MAX(CI14:CK14),"")</f>
        <v>35.849999999999994</v>
      </c>
      <c r="S14" s="31" t="str">
        <f>IF(R14="","",IF(R14=CI14,"(Vol 1)",IF(R14=CJ14,"(Vol 2)",IF(R14=CK14,"(Final)"))))</f>
        <v>(Vol 2)</v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>2018 Junior Pan Am Championships (June)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>IF(SUM(W14,AB14)&gt;0,SUM(W14,AB14),"")</f>
        <v/>
      </c>
      <c r="AL14" s="13" t="str">
        <f>IF(SUM(U14:X14)-Y14&gt;0,SUM(U14:X14)-Y14,"")</f>
        <v/>
      </c>
      <c r="AM14" s="13" t="str">
        <f>IF(SUM(Z14:AC14)-AD14&gt;0,SUM(Z14:AC14)-AD14,"")</f>
        <v/>
      </c>
      <c r="AN14" s="13" t="str">
        <f>IF(SUM(AL14:AM14)&gt;0,SUM(AL14:AM14),"")</f>
        <v/>
      </c>
      <c r="AO14" s="13" t="str">
        <f>IF(SUM(AE14:AH14)-AI14&gt;0,SUM(AE14:AH14)-AI14,"")</f>
        <v/>
      </c>
      <c r="AP14" s="13" t="str">
        <f>IF(SUM(AN14,AO14)&gt;0,SUM(AN14,AO14),"")</f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>IF(SUM(AS14,AX14)&gt;0,SUM(AS14,AX14),"")</f>
        <v/>
      </c>
      <c r="BH14" s="16" t="str">
        <f>IF(SUM(AQ14:AT14)-AU14&gt;0,SUM(AQ14:AT14)-AU14,"")</f>
        <v/>
      </c>
      <c r="BI14" s="16" t="str">
        <f>IF(SUM(AV14:AY14)-AZ14&gt;0,SUM(AV14:AY14)-AZ14,"")</f>
        <v/>
      </c>
      <c r="BJ14" s="16" t="str">
        <f>IF(SUM(BH14:BI14)&gt;0,SUM(BH14:BI14),"")</f>
        <v/>
      </c>
      <c r="BK14" s="16" t="str">
        <f>IF(SUM(BA14:BD14)-BE14&gt;0,SUM(BA14:BD14)-BE14,"")</f>
        <v/>
      </c>
      <c r="BL14" s="16" t="str">
        <f>IF(SUM(BJ14,BK14)&gt;0,SUM(BJ14,BK14),"")</f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>IF(SUM(BO14,BT14)&gt;0,SUM(BO14,BT14),"")</f>
        <v/>
      </c>
      <c r="CD14" s="13" t="str">
        <f>IF(SUM(BM14:BP14)-BQ14&gt;0,SUM(BM14:BP14)-BQ14,"")</f>
        <v/>
      </c>
      <c r="CE14" s="13" t="str">
        <f>IF(SUM(BR14:BU14)-BV14&gt;0,SUM(BR14:BU14)-BV14,"")</f>
        <v/>
      </c>
      <c r="CF14" s="13" t="str">
        <f>IF(SUM(CD14:CE14)&gt;0,SUM(CD14:CE14),"")</f>
        <v/>
      </c>
      <c r="CG14" s="13" t="str">
        <f>IF(SUM(BW14:BZ14)-CA14&gt;0,SUM(BW14:BZ14)-CA14,"")</f>
        <v/>
      </c>
      <c r="CH14" s="13" t="str">
        <f>IF(SUM(CF14,CG14)&gt;0,SUM(CF14,CG14),"")</f>
        <v/>
      </c>
      <c r="CI14" s="30">
        <f>IF(MAX(DB14,DW14,ER14,FM14,GH14,HC14,HX14,IS14,JN14,KI14,LD14,LY14)-L14&gt;0.001,MAX(DB14,DW14,ER14,FM14,GH14,HC14,HX14,IS14,JN14,KI14,LD14,LY14)-L14,"")</f>
        <v>34.4</v>
      </c>
      <c r="CJ14" s="30">
        <f>IF(MAX(DC14,DX14,ES14,FN14,GI14,HD14,HY14,IT14,JO14,KJ14,LE14,LZ14)-N14&gt;0.001,MAX(DC14,DX14,ES14,FN14,GI14,HD14,HY14,IT14,JO14,KJ14,LE14,LZ14)-N14,"")</f>
        <v>35.849999999999994</v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>
        <v>8.1999999999999993</v>
      </c>
      <c r="EC14" s="47">
        <v>9.1999999999999993</v>
      </c>
      <c r="ED14" s="47">
        <v>0</v>
      </c>
      <c r="EE14" s="47">
        <v>17</v>
      </c>
      <c r="EF14" s="47">
        <v>0</v>
      </c>
      <c r="EG14" s="47">
        <v>6.35</v>
      </c>
      <c r="EH14" s="47">
        <v>7.6</v>
      </c>
      <c r="EI14" s="47">
        <v>8.6999999999999993</v>
      </c>
      <c r="EJ14" s="47">
        <v>13.2</v>
      </c>
      <c r="EK14" s="47">
        <v>0</v>
      </c>
      <c r="EL14" s="47"/>
      <c r="EM14" s="47"/>
      <c r="EN14" s="47"/>
      <c r="EO14" s="47"/>
      <c r="EP14" s="47"/>
      <c r="EQ14" s="13">
        <f>IF(SUM(ED14,EI14)&gt;0,SUM(ED14,EI14),"")</f>
        <v>8.6999999999999993</v>
      </c>
      <c r="ER14" s="13">
        <f>IF(SUM(EB14:EE14)-EF14&gt;0,SUM(EB14:EE14)-EF14,"")</f>
        <v>34.4</v>
      </c>
      <c r="ES14" s="13">
        <f>IF(SUM(EG14:EJ14)-EK14&gt;0,SUM(EG14:EJ14)-EK14,"")</f>
        <v>35.849999999999994</v>
      </c>
      <c r="ET14" s="13">
        <f>IF(SUM(ER14:ES14)&gt;0,SUM(ER14:ES14),"")</f>
        <v>70.25</v>
      </c>
      <c r="EU14" s="13" t="str">
        <f>IF(SUM(EL14:EO14)-EP14&gt;0,SUM(EL14:EO14)-EP14,"")</f>
        <v/>
      </c>
      <c r="EV14" s="13">
        <f>IF(SUM(ET14,EU14)&gt;0,SUM(ET14,EU14),"")</f>
        <v>70.25</v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D15" s="1"/>
      <c r="S15" s="32"/>
    </row>
    <row r="17" spans="1:337" x14ac:dyDescent="0.2">
      <c r="B17" s="82" t="s">
        <v>120</v>
      </c>
      <c r="AK17" s="66"/>
      <c r="AL17" s="75">
        <v>18</v>
      </c>
      <c r="BG17" s="66"/>
      <c r="BH17" s="75">
        <v>17.7</v>
      </c>
      <c r="CC17" s="66"/>
      <c r="CD17" s="75">
        <v>17.7</v>
      </c>
      <c r="DA17" s="66"/>
      <c r="DB17" s="75">
        <v>18</v>
      </c>
      <c r="DV17" s="66"/>
      <c r="DW17" s="75">
        <v>17.7</v>
      </c>
      <c r="EQ17" s="66"/>
      <c r="ER17" s="75">
        <v>17.7</v>
      </c>
      <c r="FL17" s="66"/>
      <c r="FM17" s="75">
        <v>17.7</v>
      </c>
      <c r="GG17" s="66"/>
      <c r="GH17" s="75">
        <v>17.7</v>
      </c>
      <c r="HB17" s="66"/>
      <c r="HC17" s="75">
        <v>17.7</v>
      </c>
      <c r="HW17" s="66"/>
      <c r="HX17" s="75">
        <v>17.7</v>
      </c>
      <c r="IR17" s="66"/>
      <c r="IS17" s="75">
        <v>17.7</v>
      </c>
      <c r="JM17" s="66"/>
      <c r="JN17" s="75">
        <v>17.7</v>
      </c>
      <c r="KH17" s="66"/>
      <c r="KI17" s="75">
        <v>17.7</v>
      </c>
      <c r="LC17" s="66"/>
      <c r="LD17" s="75">
        <v>17.7</v>
      </c>
      <c r="LX17" s="66"/>
      <c r="LY17" s="75">
        <v>17.7</v>
      </c>
    </row>
    <row r="18" spans="1:337" x14ac:dyDescent="0.2">
      <c r="A18" s="66"/>
      <c r="B18" s="83" t="s">
        <v>119</v>
      </c>
      <c r="C18" s="65"/>
      <c r="AK18" s="66"/>
      <c r="AL18" s="76">
        <v>18</v>
      </c>
      <c r="BG18" s="66"/>
      <c r="BH18" s="76">
        <v>18.2</v>
      </c>
      <c r="CC18" s="66"/>
      <c r="CD18" s="76">
        <v>18.2</v>
      </c>
      <c r="DA18" s="66"/>
      <c r="DB18" s="76">
        <v>18</v>
      </c>
      <c r="DV18" s="66"/>
      <c r="DW18" s="76">
        <v>18.2</v>
      </c>
      <c r="EQ18" s="66"/>
      <c r="ER18" s="76">
        <v>18.2</v>
      </c>
      <c r="FL18" s="66"/>
      <c r="FM18" s="76">
        <v>18.2</v>
      </c>
      <c r="GG18" s="66"/>
      <c r="GH18" s="76">
        <v>18.2</v>
      </c>
      <c r="HB18" s="66"/>
      <c r="HC18" s="76">
        <v>18.2</v>
      </c>
      <c r="HW18" s="66"/>
      <c r="HX18" s="76">
        <v>18.2</v>
      </c>
      <c r="IR18" s="66"/>
      <c r="IS18" s="76">
        <v>18.2</v>
      </c>
      <c r="JM18" s="66"/>
      <c r="JN18" s="76">
        <v>18.2</v>
      </c>
      <c r="KH18" s="66"/>
      <c r="KI18" s="76">
        <v>18.2</v>
      </c>
      <c r="LC18" s="66"/>
      <c r="LD18" s="76">
        <v>18.2</v>
      </c>
      <c r="LX18" s="66"/>
      <c r="LY18" s="76">
        <v>18.2</v>
      </c>
    </row>
    <row r="19" spans="1:337" x14ac:dyDescent="0.2">
      <c r="A19" s="66"/>
      <c r="B19" s="84" t="s">
        <v>117</v>
      </c>
      <c r="C19" s="65"/>
      <c r="AK19" s="66"/>
      <c r="AL19" s="77">
        <v>88.1</v>
      </c>
      <c r="BG19" s="66"/>
      <c r="BH19" s="77">
        <v>86.1</v>
      </c>
      <c r="CC19" s="66"/>
      <c r="CD19" s="77">
        <v>86.1</v>
      </c>
      <c r="DA19" s="66"/>
      <c r="DB19" s="77">
        <v>88.1</v>
      </c>
      <c r="DV19" s="66"/>
      <c r="DW19" s="77">
        <v>86.1</v>
      </c>
      <c r="EQ19" s="66"/>
      <c r="ER19" s="77">
        <v>86.1</v>
      </c>
      <c r="FL19" s="66"/>
      <c r="FM19" s="77">
        <v>86.1</v>
      </c>
      <c r="GG19" s="66"/>
      <c r="GH19" s="77">
        <v>86.1</v>
      </c>
      <c r="HB19" s="66"/>
      <c r="HC19" s="77">
        <v>86.1</v>
      </c>
      <c r="HW19" s="66"/>
      <c r="HX19" s="77">
        <v>86.1</v>
      </c>
      <c r="IR19" s="66"/>
      <c r="IS19" s="77">
        <v>86.1</v>
      </c>
      <c r="JM19" s="66"/>
      <c r="JN19" s="77">
        <v>86.1</v>
      </c>
      <c r="KH19" s="66"/>
      <c r="KI19" s="77">
        <v>86.1</v>
      </c>
      <c r="LC19" s="66"/>
      <c r="LD19" s="77">
        <v>86.1</v>
      </c>
      <c r="LX19" s="66"/>
      <c r="LY19" s="77">
        <v>86.1</v>
      </c>
    </row>
    <row r="20" spans="1:337" x14ac:dyDescent="0.2">
      <c r="A20" s="66"/>
      <c r="B20" s="85" t="s">
        <v>118</v>
      </c>
      <c r="C20" s="65"/>
      <c r="AK20" s="66"/>
      <c r="AL20" s="78">
        <v>88.1</v>
      </c>
      <c r="BG20" s="66"/>
      <c r="BH20" s="78">
        <v>88.1</v>
      </c>
      <c r="CC20" s="66"/>
      <c r="CD20" s="78">
        <v>88.1</v>
      </c>
      <c r="DA20" s="66"/>
      <c r="DB20" s="78">
        <v>88.1</v>
      </c>
      <c r="DV20" s="66"/>
      <c r="DW20" s="78">
        <v>88.1</v>
      </c>
      <c r="EQ20" s="66"/>
      <c r="ER20" s="78">
        <v>88.1</v>
      </c>
      <c r="FL20" s="66"/>
      <c r="FM20" s="78">
        <v>88.1</v>
      </c>
      <c r="GG20" s="66"/>
      <c r="GH20" s="78">
        <v>88.1</v>
      </c>
      <c r="HB20" s="66"/>
      <c r="HC20" s="78">
        <v>88.1</v>
      </c>
      <c r="HW20" s="66"/>
      <c r="HX20" s="78">
        <v>88.1</v>
      </c>
      <c r="IR20" s="66"/>
      <c r="IS20" s="78">
        <v>88.1</v>
      </c>
      <c r="JM20" s="66"/>
      <c r="JN20" s="78">
        <v>88.1</v>
      </c>
      <c r="KH20" s="66"/>
      <c r="KI20" s="78">
        <v>88.1</v>
      </c>
      <c r="LC20" s="66"/>
      <c r="LD20" s="78">
        <v>88.1</v>
      </c>
      <c r="LX20" s="66"/>
      <c r="LY20" s="78">
        <v>88.1</v>
      </c>
    </row>
    <row r="21" spans="1:337" x14ac:dyDescent="0.2">
      <c r="A21" s="66"/>
      <c r="B21" s="86" t="s">
        <v>38</v>
      </c>
      <c r="C21" s="65"/>
      <c r="AK21" s="66"/>
      <c r="AL21" s="79">
        <v>90.5</v>
      </c>
      <c r="BG21" s="66"/>
      <c r="BH21" s="79">
        <v>89.2</v>
      </c>
      <c r="CC21" s="66"/>
      <c r="CD21" s="79">
        <v>89.2</v>
      </c>
      <c r="DA21" s="66"/>
      <c r="DB21" s="79">
        <v>90.5</v>
      </c>
      <c r="DV21" s="66"/>
      <c r="DW21" s="79">
        <v>89.2</v>
      </c>
      <c r="EQ21" s="66"/>
      <c r="ER21" s="79">
        <v>89.2</v>
      </c>
      <c r="FL21" s="66"/>
      <c r="FM21" s="79">
        <v>89.2</v>
      </c>
      <c r="GG21" s="66"/>
      <c r="GH21" s="79">
        <v>89.2</v>
      </c>
      <c r="HB21" s="66"/>
      <c r="HC21" s="79">
        <v>89.2</v>
      </c>
      <c r="HW21" s="66"/>
      <c r="HX21" s="79">
        <v>89.2</v>
      </c>
      <c r="IR21" s="66"/>
      <c r="IS21" s="79">
        <v>89.2</v>
      </c>
      <c r="JM21" s="66"/>
      <c r="JN21" s="79">
        <v>89.2</v>
      </c>
      <c r="KH21" s="66"/>
      <c r="KI21" s="79">
        <v>89.2</v>
      </c>
      <c r="LC21" s="66"/>
      <c r="LD21" s="79">
        <v>89.2</v>
      </c>
      <c r="LX21" s="66"/>
      <c r="LY21" s="79">
        <v>89.2</v>
      </c>
    </row>
    <row r="22" spans="1:337" x14ac:dyDescent="0.2">
      <c r="A22" s="66"/>
      <c r="B22" s="87" t="s">
        <v>88</v>
      </c>
      <c r="C22" s="65"/>
      <c r="AK22" s="66"/>
      <c r="AL22" s="80">
        <v>93.2</v>
      </c>
      <c r="BG22" s="66"/>
      <c r="BH22" s="80">
        <v>91</v>
      </c>
      <c r="CC22" s="66"/>
      <c r="CD22" s="80">
        <v>91</v>
      </c>
      <c r="DA22" s="66"/>
      <c r="DB22" s="80">
        <v>93.2</v>
      </c>
      <c r="DV22" s="66"/>
      <c r="DW22" s="80">
        <v>91</v>
      </c>
      <c r="EQ22" s="66"/>
      <c r="ER22" s="80">
        <v>91</v>
      </c>
      <c r="FL22" s="66"/>
      <c r="FM22" s="80">
        <v>91</v>
      </c>
      <c r="GG22" s="66"/>
      <c r="GH22" s="80">
        <v>91</v>
      </c>
      <c r="HB22" s="66"/>
      <c r="HC22" s="80">
        <v>91</v>
      </c>
      <c r="HW22" s="66"/>
      <c r="HX22" s="80">
        <v>91</v>
      </c>
      <c r="IR22" s="66"/>
      <c r="IS22" s="80">
        <v>91</v>
      </c>
      <c r="JM22" s="66"/>
      <c r="JN22" s="80">
        <v>91</v>
      </c>
      <c r="KH22" s="66"/>
      <c r="KI22" s="80">
        <v>91</v>
      </c>
      <c r="LC22" s="66"/>
      <c r="LD22" s="80">
        <v>91</v>
      </c>
      <c r="LX22" s="66"/>
      <c r="LY22" s="80">
        <v>91</v>
      </c>
    </row>
    <row r="23" spans="1:337" x14ac:dyDescent="0.2">
      <c r="B23" s="95" t="s">
        <v>160</v>
      </c>
      <c r="C23" s="3"/>
      <c r="AL23" s="64" t="s">
        <v>138</v>
      </c>
      <c r="BH23" s="64"/>
      <c r="DB23" s="64" t="s">
        <v>138</v>
      </c>
    </row>
    <row r="24" spans="1:337" x14ac:dyDescent="0.2">
      <c r="A24" s="66"/>
      <c r="B24" s="66"/>
      <c r="C24" s="65"/>
    </row>
    <row r="25" spans="1:337" ht="17" x14ac:dyDescent="0.2">
      <c r="A25" s="66"/>
      <c r="B25" s="66"/>
      <c r="C25" s="65"/>
      <c r="R25" s="23"/>
      <c r="S25" s="23"/>
      <c r="T25" s="23"/>
    </row>
    <row r="26" spans="1:337" ht="17" x14ac:dyDescent="0.2">
      <c r="A26" s="66"/>
      <c r="B26" s="66"/>
      <c r="C26" s="65"/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4">
      <sortCondition descending="1" ref="F1:F8"/>
    </sortState>
  </autoFilter>
  <mergeCells count="81"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  <mergeCell ref="LI1:MC1"/>
    <mergeCell ref="LS2:LW2"/>
    <mergeCell ref="LN2:LR2"/>
    <mergeCell ref="LI2:LM2"/>
    <mergeCell ref="KX2:LB2"/>
    <mergeCell ref="HH1:IB1"/>
    <mergeCell ref="IC1:IW1"/>
    <mergeCell ref="IM2:IQ2"/>
    <mergeCell ref="IH2:IL2"/>
    <mergeCell ref="IC2:IG2"/>
    <mergeCell ref="HR2:HV2"/>
    <mergeCell ref="HM2:HQ2"/>
    <mergeCell ref="HH2:HL2"/>
    <mergeCell ref="FR1:GL1"/>
    <mergeCell ref="GM1:HG1"/>
    <mergeCell ref="GW2:HA2"/>
    <mergeCell ref="GR2:GV2"/>
    <mergeCell ref="GM2:GQ2"/>
    <mergeCell ref="GB2:GF2"/>
    <mergeCell ref="FW2:GA2"/>
    <mergeCell ref="FR2:FV2"/>
    <mergeCell ref="EB1:EV1"/>
    <mergeCell ref="EW1:FQ1"/>
    <mergeCell ref="FG2:FK2"/>
    <mergeCell ref="FB2:FF2"/>
    <mergeCell ref="EW2:FA2"/>
    <mergeCell ref="EL2:EP2"/>
    <mergeCell ref="EG2:EK2"/>
    <mergeCell ref="EB2:EF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</mergeCells>
  <conditionalFormatting sqref="A1:A1048576">
    <cfRule type="expression" dxfId="149" priority="64">
      <formula>AND(H1="P",G1="")</formula>
    </cfRule>
  </conditionalFormatting>
  <conditionalFormatting sqref="I1:I3 I15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4">
    <cfRule type="expression" dxfId="144" priority="15">
      <formula>IF($AJ4&lt;&gt;"",1,0)</formula>
    </cfRule>
  </conditionalFormatting>
  <conditionalFormatting sqref="AQ4:BL14">
    <cfRule type="expression" dxfId="143" priority="12">
      <formula>IF($BF4&lt;&gt;"",1,0)</formula>
    </cfRule>
  </conditionalFormatting>
  <conditionalFormatting sqref="BM4:CH14">
    <cfRule type="expression" dxfId="142" priority="11">
      <formula>IF($CB4&lt;&gt;"",1,0)</formula>
    </cfRule>
  </conditionalFormatting>
  <conditionalFormatting sqref="I4:I14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7" priority="1097" operator="between">
      <formula>DB$18</formula>
      <formula>100</formula>
    </cfRule>
    <cfRule type="cellIs" dxfId="136" priority="1098" operator="between">
      <formula>DB$17</formula>
      <formula>DB$18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5" priority="1099" operator="between">
      <formula>DB$22</formula>
      <formula>1000</formula>
    </cfRule>
    <cfRule type="cellIs" dxfId="134" priority="1100" operator="between">
      <formula>DB$21</formula>
      <formula>DB$22</formula>
    </cfRule>
    <cfRule type="cellIs" dxfId="133" priority="1101" operator="between">
      <formula>DB$20</formula>
      <formula>DB$21</formula>
    </cfRule>
    <cfRule type="cellIs" dxfId="132" priority="1102" operator="between">
      <formula>DB$19</formula>
      <formula>DB$20</formula>
    </cfRule>
  </conditionalFormatting>
  <conditionalFormatting sqref="AK1:AK1048576 BG1:BG1048576 CC1:CC1048576">
    <cfRule type="expression" dxfId="131" priority="5">
      <formula>IF(AND(AK1&gt;=AL$18,AK1&lt;1000,AJ1=""),1,0)</formula>
    </cfRule>
    <cfRule type="expression" dxfId="130" priority="6">
      <formula>IF(AND(AK1&gt;=AL$17,AK1&lt;AL$18,AJ1=""),1,0)</formula>
    </cfRule>
  </conditionalFormatting>
  <conditionalFormatting sqref="AN1:AN1048576 BJ1:BJ1048576 CF1:CF1048576">
    <cfRule type="expression" dxfId="129" priority="1">
      <formula>IF(AND(AN1&gt;=AL$22,AN1&lt;1000,AJ1=""),1,0)</formula>
    </cfRule>
    <cfRule type="expression" dxfId="128" priority="2">
      <formula>IF(AND(AN1&gt;=AL$21,AN1&lt;AL$22,AJ1=""),1,0)</formula>
    </cfRule>
    <cfRule type="expression" dxfId="127" priority="3">
      <formula>IF(AND(AN1&gt;=AL$20,AN1&lt;AL$21,AJ1=""),1,0)</formula>
    </cfRule>
    <cfRule type="expression" dxfId="126" priority="4">
      <formula>IF(AND(AN1&gt;=AL$19,AN1&lt;AL$20,AJ1=""),1,0)</formula>
    </cfRule>
  </conditionalFormatting>
  <conditionalFormatting sqref="K1:K1048576 M1:M1048576 O1:O1048576 Q1:Q1048576">
    <cfRule type="expression" dxfId="125" priority="792">
      <formula>IF(K1=$BM$1,1,0)</formula>
    </cfRule>
    <cfRule type="expression" dxfId="124" priority="793">
      <formula>IF(K1=$AQ$1,1,0)</formula>
    </cfRule>
    <cfRule type="expression" dxfId="123" priority="794">
      <formula>IF(K1=$U$1,1,0)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36.332031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24</v>
      </c>
      <c r="M1" s="101" t="s">
        <v>86</v>
      </c>
      <c r="N1" s="101" t="s">
        <v>25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4" t="s">
        <v>121</v>
      </c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2" t="s">
        <v>139</v>
      </c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5" t="s">
        <v>27</v>
      </c>
      <c r="CJ1" s="105"/>
      <c r="CK1" s="105"/>
      <c r="CL1" s="102" t="s">
        <v>99</v>
      </c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4" t="s">
        <v>100</v>
      </c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2" t="s">
        <v>113</v>
      </c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4" t="s">
        <v>136</v>
      </c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2" t="s">
        <v>135</v>
      </c>
      <c r="FS1" s="102"/>
      <c r="FT1" s="102"/>
      <c r="FU1" s="102"/>
      <c r="FV1" s="102"/>
      <c r="FW1" s="102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2"/>
      <c r="GI1" s="102"/>
      <c r="GJ1" s="102"/>
      <c r="GK1" s="102"/>
      <c r="GL1" s="102"/>
      <c r="GM1" s="104" t="s">
        <v>154</v>
      </c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2" t="s">
        <v>183</v>
      </c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2"/>
      <c r="HZ1" s="102"/>
      <c r="IA1" s="102"/>
      <c r="IB1" s="102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2"/>
      <c r="IY1" s="102"/>
      <c r="IZ1" s="102"/>
      <c r="JA1" s="102"/>
      <c r="JB1" s="102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4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2"/>
      <c r="KO1" s="102"/>
      <c r="KP1" s="102"/>
      <c r="KQ1" s="102"/>
      <c r="KR1" s="102"/>
      <c r="KS1" s="102"/>
      <c r="KT1" s="102"/>
      <c r="KU1" s="102"/>
      <c r="KV1" s="102"/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102"/>
      <c r="LH1" s="102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</row>
    <row r="2" spans="1:34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32</v>
      </c>
      <c r="V2" s="98"/>
      <c r="W2" s="98"/>
      <c r="X2" s="98"/>
      <c r="Y2" s="98"/>
      <c r="Z2" s="98" t="s">
        <v>33</v>
      </c>
      <c r="AA2" s="98"/>
      <c r="AB2" s="98"/>
      <c r="AC2" s="98"/>
      <c r="AD2" s="98"/>
      <c r="AE2" s="98" t="s">
        <v>36</v>
      </c>
      <c r="AF2" s="98"/>
      <c r="AG2" s="98"/>
      <c r="AH2" s="98"/>
      <c r="AI2" s="98"/>
      <c r="AJ2" s="91"/>
      <c r="AK2" s="22" t="s">
        <v>39</v>
      </c>
      <c r="AL2" s="11" t="s">
        <v>34</v>
      </c>
      <c r="AM2" s="11" t="s">
        <v>35</v>
      </c>
      <c r="AN2" s="11" t="s">
        <v>37</v>
      </c>
      <c r="AO2" s="11" t="s">
        <v>36</v>
      </c>
      <c r="AP2" s="11" t="s">
        <v>31</v>
      </c>
      <c r="AQ2" s="97" t="s">
        <v>32</v>
      </c>
      <c r="AR2" s="97"/>
      <c r="AS2" s="97"/>
      <c r="AT2" s="97"/>
      <c r="AU2" s="97"/>
      <c r="AV2" s="97" t="s">
        <v>33</v>
      </c>
      <c r="AW2" s="97"/>
      <c r="AX2" s="97"/>
      <c r="AY2" s="97"/>
      <c r="AZ2" s="97"/>
      <c r="BA2" s="97" t="s">
        <v>36</v>
      </c>
      <c r="BB2" s="97"/>
      <c r="BC2" s="97"/>
      <c r="BD2" s="97"/>
      <c r="BE2" s="97"/>
      <c r="BF2" s="92"/>
      <c r="BG2" s="21" t="s">
        <v>39</v>
      </c>
      <c r="BH2" s="14" t="s">
        <v>34</v>
      </c>
      <c r="BI2" s="14" t="s">
        <v>35</v>
      </c>
      <c r="BJ2" s="14" t="s">
        <v>37</v>
      </c>
      <c r="BK2" s="14" t="s">
        <v>36</v>
      </c>
      <c r="BL2" s="14" t="s">
        <v>31</v>
      </c>
      <c r="BM2" s="98" t="s">
        <v>32</v>
      </c>
      <c r="BN2" s="98"/>
      <c r="BO2" s="98"/>
      <c r="BP2" s="98"/>
      <c r="BQ2" s="98"/>
      <c r="BR2" s="98" t="s">
        <v>33</v>
      </c>
      <c r="BS2" s="98"/>
      <c r="BT2" s="98"/>
      <c r="BU2" s="98"/>
      <c r="BV2" s="98"/>
      <c r="BW2" s="98" t="s">
        <v>36</v>
      </c>
      <c r="BX2" s="98"/>
      <c r="BY2" s="98"/>
      <c r="BZ2" s="98"/>
      <c r="CA2" s="98"/>
      <c r="CB2" s="91"/>
      <c r="CC2" s="22" t="s">
        <v>39</v>
      </c>
      <c r="CD2" s="11" t="s">
        <v>34</v>
      </c>
      <c r="CE2" s="11" t="s">
        <v>35</v>
      </c>
      <c r="CF2" s="11" t="s">
        <v>37</v>
      </c>
      <c r="CG2" s="11" t="s">
        <v>36</v>
      </c>
      <c r="CH2" s="11" t="s">
        <v>31</v>
      </c>
      <c r="CI2" s="28" t="s">
        <v>34</v>
      </c>
      <c r="CJ2" s="28" t="s">
        <v>35</v>
      </c>
      <c r="CK2" s="28" t="s">
        <v>36</v>
      </c>
      <c r="CL2" s="98" t="s">
        <v>32</v>
      </c>
      <c r="CM2" s="98"/>
      <c r="CN2" s="98"/>
      <c r="CO2" s="98"/>
      <c r="CP2" s="98"/>
      <c r="CQ2" s="98" t="s">
        <v>33</v>
      </c>
      <c r="CR2" s="98"/>
      <c r="CS2" s="98"/>
      <c r="CT2" s="98"/>
      <c r="CU2" s="98"/>
      <c r="CV2" s="98" t="s">
        <v>36</v>
      </c>
      <c r="CW2" s="98"/>
      <c r="CX2" s="98"/>
      <c r="CY2" s="98"/>
      <c r="CZ2" s="98"/>
      <c r="DA2" s="68" t="s">
        <v>39</v>
      </c>
      <c r="DB2" s="11" t="s">
        <v>34</v>
      </c>
      <c r="DC2" s="11" t="s">
        <v>35</v>
      </c>
      <c r="DD2" s="11" t="s">
        <v>37</v>
      </c>
      <c r="DE2" s="11" t="s">
        <v>36</v>
      </c>
      <c r="DF2" s="11" t="s">
        <v>31</v>
      </c>
      <c r="DG2" s="97" t="s">
        <v>32</v>
      </c>
      <c r="DH2" s="97"/>
      <c r="DI2" s="97"/>
      <c r="DJ2" s="97"/>
      <c r="DK2" s="97"/>
      <c r="DL2" s="97" t="s">
        <v>33</v>
      </c>
      <c r="DM2" s="97"/>
      <c r="DN2" s="97"/>
      <c r="DO2" s="97"/>
      <c r="DP2" s="97"/>
      <c r="DQ2" s="97" t="s">
        <v>36</v>
      </c>
      <c r="DR2" s="97"/>
      <c r="DS2" s="97"/>
      <c r="DT2" s="97"/>
      <c r="DU2" s="97"/>
      <c r="DV2" s="67" t="s">
        <v>39</v>
      </c>
      <c r="DW2" s="14" t="s">
        <v>34</v>
      </c>
      <c r="DX2" s="14" t="s">
        <v>35</v>
      </c>
      <c r="DY2" s="14" t="s">
        <v>37</v>
      </c>
      <c r="DZ2" s="14" t="s">
        <v>36</v>
      </c>
      <c r="EA2" s="14" t="s">
        <v>31</v>
      </c>
      <c r="EB2" s="98" t="s">
        <v>32</v>
      </c>
      <c r="EC2" s="98"/>
      <c r="ED2" s="98"/>
      <c r="EE2" s="98"/>
      <c r="EF2" s="98"/>
      <c r="EG2" s="98" t="s">
        <v>33</v>
      </c>
      <c r="EH2" s="98"/>
      <c r="EI2" s="98"/>
      <c r="EJ2" s="98"/>
      <c r="EK2" s="98"/>
      <c r="EL2" s="98" t="s">
        <v>36</v>
      </c>
      <c r="EM2" s="98"/>
      <c r="EN2" s="98"/>
      <c r="EO2" s="98"/>
      <c r="EP2" s="98"/>
      <c r="EQ2" s="68" t="s">
        <v>39</v>
      </c>
      <c r="ER2" s="11" t="s">
        <v>34</v>
      </c>
      <c r="ES2" s="11" t="s">
        <v>35</v>
      </c>
      <c r="ET2" s="11" t="s">
        <v>37</v>
      </c>
      <c r="EU2" s="11" t="s">
        <v>36</v>
      </c>
      <c r="EV2" s="11" t="s">
        <v>31</v>
      </c>
      <c r="EW2" s="97" t="s">
        <v>32</v>
      </c>
      <c r="EX2" s="97"/>
      <c r="EY2" s="97"/>
      <c r="EZ2" s="97"/>
      <c r="FA2" s="97"/>
      <c r="FB2" s="97" t="s">
        <v>33</v>
      </c>
      <c r="FC2" s="97"/>
      <c r="FD2" s="97"/>
      <c r="FE2" s="97"/>
      <c r="FF2" s="97"/>
      <c r="FG2" s="97" t="s">
        <v>36</v>
      </c>
      <c r="FH2" s="97"/>
      <c r="FI2" s="97"/>
      <c r="FJ2" s="97"/>
      <c r="FK2" s="97"/>
      <c r="FL2" s="67" t="s">
        <v>39</v>
      </c>
      <c r="FM2" s="14" t="s">
        <v>34</v>
      </c>
      <c r="FN2" s="14" t="s">
        <v>35</v>
      </c>
      <c r="FO2" s="14" t="s">
        <v>37</v>
      </c>
      <c r="FP2" s="14" t="s">
        <v>36</v>
      </c>
      <c r="FQ2" s="14" t="s">
        <v>31</v>
      </c>
      <c r="FR2" s="98" t="s">
        <v>32</v>
      </c>
      <c r="FS2" s="98"/>
      <c r="FT2" s="98"/>
      <c r="FU2" s="98"/>
      <c r="FV2" s="98"/>
      <c r="FW2" s="98" t="s">
        <v>33</v>
      </c>
      <c r="FX2" s="98"/>
      <c r="FY2" s="98"/>
      <c r="FZ2" s="98"/>
      <c r="GA2" s="98"/>
      <c r="GB2" s="98" t="s">
        <v>36</v>
      </c>
      <c r="GC2" s="98"/>
      <c r="GD2" s="98"/>
      <c r="GE2" s="98"/>
      <c r="GF2" s="98"/>
      <c r="GG2" s="25" t="s">
        <v>39</v>
      </c>
      <c r="GH2" s="11" t="s">
        <v>34</v>
      </c>
      <c r="GI2" s="11" t="s">
        <v>35</v>
      </c>
      <c r="GJ2" s="11" t="s">
        <v>37</v>
      </c>
      <c r="GK2" s="11" t="s">
        <v>36</v>
      </c>
      <c r="GL2" s="11" t="s">
        <v>31</v>
      </c>
      <c r="GM2" s="97" t="s">
        <v>32</v>
      </c>
      <c r="GN2" s="97"/>
      <c r="GO2" s="97"/>
      <c r="GP2" s="97"/>
      <c r="GQ2" s="97"/>
      <c r="GR2" s="97" t="s">
        <v>33</v>
      </c>
      <c r="GS2" s="97"/>
      <c r="GT2" s="97"/>
      <c r="GU2" s="97"/>
      <c r="GV2" s="97"/>
      <c r="GW2" s="97" t="s">
        <v>36</v>
      </c>
      <c r="GX2" s="97"/>
      <c r="GY2" s="97"/>
      <c r="GZ2" s="97"/>
      <c r="HA2" s="97"/>
      <c r="HB2" s="24" t="s">
        <v>39</v>
      </c>
      <c r="HC2" s="14" t="s">
        <v>34</v>
      </c>
      <c r="HD2" s="14" t="s">
        <v>35</v>
      </c>
      <c r="HE2" s="14" t="s">
        <v>37</v>
      </c>
      <c r="HF2" s="14" t="s">
        <v>36</v>
      </c>
      <c r="HG2" s="14" t="s">
        <v>31</v>
      </c>
      <c r="HH2" s="98" t="s">
        <v>32</v>
      </c>
      <c r="HI2" s="98"/>
      <c r="HJ2" s="98"/>
      <c r="HK2" s="98"/>
      <c r="HL2" s="98"/>
      <c r="HM2" s="98" t="s">
        <v>33</v>
      </c>
      <c r="HN2" s="98"/>
      <c r="HO2" s="98"/>
      <c r="HP2" s="98"/>
      <c r="HQ2" s="98"/>
      <c r="HR2" s="98" t="s">
        <v>36</v>
      </c>
      <c r="HS2" s="98"/>
      <c r="HT2" s="98"/>
      <c r="HU2" s="98"/>
      <c r="HV2" s="98"/>
      <c r="HW2" s="25" t="s">
        <v>39</v>
      </c>
      <c r="HX2" s="11" t="s">
        <v>34</v>
      </c>
      <c r="HY2" s="11" t="s">
        <v>35</v>
      </c>
      <c r="HZ2" s="11" t="s">
        <v>37</v>
      </c>
      <c r="IA2" s="11" t="s">
        <v>36</v>
      </c>
      <c r="IB2" s="11" t="s">
        <v>31</v>
      </c>
      <c r="IC2" s="97" t="s">
        <v>32</v>
      </c>
      <c r="ID2" s="97"/>
      <c r="IE2" s="97"/>
      <c r="IF2" s="97"/>
      <c r="IG2" s="97"/>
      <c r="IH2" s="97" t="s">
        <v>33</v>
      </c>
      <c r="II2" s="97"/>
      <c r="IJ2" s="97"/>
      <c r="IK2" s="97"/>
      <c r="IL2" s="97"/>
      <c r="IM2" s="97" t="s">
        <v>36</v>
      </c>
      <c r="IN2" s="97"/>
      <c r="IO2" s="97"/>
      <c r="IP2" s="97"/>
      <c r="IQ2" s="97"/>
      <c r="IR2" s="24" t="s">
        <v>39</v>
      </c>
      <c r="IS2" s="14" t="s">
        <v>34</v>
      </c>
      <c r="IT2" s="14" t="s">
        <v>35</v>
      </c>
      <c r="IU2" s="14" t="s">
        <v>37</v>
      </c>
      <c r="IV2" s="14" t="s">
        <v>36</v>
      </c>
      <c r="IW2" s="14" t="s">
        <v>31</v>
      </c>
      <c r="IX2" s="98" t="s">
        <v>32</v>
      </c>
      <c r="IY2" s="98"/>
      <c r="IZ2" s="98"/>
      <c r="JA2" s="98"/>
      <c r="JB2" s="98"/>
      <c r="JC2" s="98" t="s">
        <v>33</v>
      </c>
      <c r="JD2" s="98"/>
      <c r="JE2" s="98"/>
      <c r="JF2" s="98"/>
      <c r="JG2" s="98"/>
      <c r="JH2" s="98" t="s">
        <v>36</v>
      </c>
      <c r="JI2" s="98"/>
      <c r="JJ2" s="98"/>
      <c r="JK2" s="98"/>
      <c r="JL2" s="98"/>
      <c r="JM2" s="25" t="s">
        <v>39</v>
      </c>
      <c r="JN2" s="11" t="s">
        <v>34</v>
      </c>
      <c r="JO2" s="11" t="s">
        <v>35</v>
      </c>
      <c r="JP2" s="11" t="s">
        <v>37</v>
      </c>
      <c r="JQ2" s="11" t="s">
        <v>36</v>
      </c>
      <c r="JR2" s="11" t="s">
        <v>31</v>
      </c>
      <c r="JS2" s="97" t="s">
        <v>32</v>
      </c>
      <c r="JT2" s="97"/>
      <c r="JU2" s="97"/>
      <c r="JV2" s="97"/>
      <c r="JW2" s="97"/>
      <c r="JX2" s="97" t="s">
        <v>33</v>
      </c>
      <c r="JY2" s="97"/>
      <c r="JZ2" s="97"/>
      <c r="KA2" s="97"/>
      <c r="KB2" s="97"/>
      <c r="KC2" s="97" t="s">
        <v>36</v>
      </c>
      <c r="KD2" s="97"/>
      <c r="KE2" s="97"/>
      <c r="KF2" s="97"/>
      <c r="KG2" s="97"/>
      <c r="KH2" s="24" t="s">
        <v>39</v>
      </c>
      <c r="KI2" s="14" t="s">
        <v>34</v>
      </c>
      <c r="KJ2" s="14" t="s">
        <v>35</v>
      </c>
      <c r="KK2" s="14" t="s">
        <v>37</v>
      </c>
      <c r="KL2" s="14" t="s">
        <v>36</v>
      </c>
      <c r="KM2" s="14" t="s">
        <v>31</v>
      </c>
      <c r="KN2" s="98" t="s">
        <v>32</v>
      </c>
      <c r="KO2" s="98"/>
      <c r="KP2" s="98"/>
      <c r="KQ2" s="98"/>
      <c r="KR2" s="98"/>
      <c r="KS2" s="98" t="s">
        <v>33</v>
      </c>
      <c r="KT2" s="98"/>
      <c r="KU2" s="98"/>
      <c r="KV2" s="98"/>
      <c r="KW2" s="98"/>
      <c r="KX2" s="98" t="s">
        <v>36</v>
      </c>
      <c r="KY2" s="98"/>
      <c r="KZ2" s="98"/>
      <c r="LA2" s="98"/>
      <c r="LB2" s="98"/>
      <c r="LC2" s="25" t="s">
        <v>39</v>
      </c>
      <c r="LD2" s="11" t="s">
        <v>34</v>
      </c>
      <c r="LE2" s="11" t="s">
        <v>35</v>
      </c>
      <c r="LF2" s="11" t="s">
        <v>37</v>
      </c>
      <c r="LG2" s="11" t="s">
        <v>36</v>
      </c>
      <c r="LH2" s="11" t="s">
        <v>31</v>
      </c>
      <c r="LI2" s="97" t="s">
        <v>32</v>
      </c>
      <c r="LJ2" s="97"/>
      <c r="LK2" s="97"/>
      <c r="LL2" s="97"/>
      <c r="LM2" s="97"/>
      <c r="LN2" s="97" t="s">
        <v>33</v>
      </c>
      <c r="LO2" s="97"/>
      <c r="LP2" s="97"/>
      <c r="LQ2" s="97"/>
      <c r="LR2" s="97"/>
      <c r="LS2" s="97" t="s">
        <v>36</v>
      </c>
      <c r="LT2" s="97"/>
      <c r="LU2" s="97"/>
      <c r="LV2" s="97"/>
      <c r="LW2" s="97"/>
      <c r="LX2" s="24" t="s">
        <v>39</v>
      </c>
      <c r="LY2" s="14" t="s">
        <v>34</v>
      </c>
      <c r="LZ2" s="14" t="s">
        <v>35</v>
      </c>
      <c r="MA2" s="14" t="s">
        <v>37</v>
      </c>
      <c r="MB2" s="14" t="s">
        <v>36</v>
      </c>
      <c r="MC2" s="14" t="s">
        <v>31</v>
      </c>
    </row>
    <row r="3" spans="1:34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35" t="s">
        <v>28</v>
      </c>
      <c r="V3" s="35" t="s">
        <v>29</v>
      </c>
      <c r="W3" s="35" t="s">
        <v>20</v>
      </c>
      <c r="X3" s="35" t="s">
        <v>84</v>
      </c>
      <c r="Y3" s="56" t="s">
        <v>56</v>
      </c>
      <c r="Z3" s="35" t="s">
        <v>28</v>
      </c>
      <c r="AA3" s="35" t="s">
        <v>29</v>
      </c>
      <c r="AB3" s="35" t="s">
        <v>20</v>
      </c>
      <c r="AC3" s="35" t="s">
        <v>84</v>
      </c>
      <c r="AD3" s="56" t="s">
        <v>56</v>
      </c>
      <c r="AE3" s="35" t="s">
        <v>28</v>
      </c>
      <c r="AF3" s="35" t="s">
        <v>29</v>
      </c>
      <c r="AG3" s="35" t="s">
        <v>20</v>
      </c>
      <c r="AH3" s="35" t="s">
        <v>84</v>
      </c>
      <c r="AI3" s="56" t="s">
        <v>56</v>
      </c>
      <c r="AJ3" s="91" t="s">
        <v>158</v>
      </c>
      <c r="AK3" s="12"/>
      <c r="AL3" s="11"/>
      <c r="AM3" s="11"/>
      <c r="AN3" s="11"/>
      <c r="AO3" s="12"/>
      <c r="AP3" s="12"/>
      <c r="AQ3" s="34" t="s">
        <v>28</v>
      </c>
      <c r="AR3" s="34" t="s">
        <v>29</v>
      </c>
      <c r="AS3" s="34" t="s">
        <v>20</v>
      </c>
      <c r="AT3" s="34" t="s">
        <v>84</v>
      </c>
      <c r="AU3" s="57" t="s">
        <v>56</v>
      </c>
      <c r="AV3" s="34" t="s">
        <v>28</v>
      </c>
      <c r="AW3" s="34" t="s">
        <v>29</v>
      </c>
      <c r="AX3" s="34" t="s">
        <v>20</v>
      </c>
      <c r="AY3" s="34" t="s">
        <v>84</v>
      </c>
      <c r="AZ3" s="57" t="s">
        <v>56</v>
      </c>
      <c r="BA3" s="34" t="s">
        <v>28</v>
      </c>
      <c r="BB3" s="34" t="s">
        <v>29</v>
      </c>
      <c r="BC3" s="34" t="s">
        <v>20</v>
      </c>
      <c r="BD3" s="34" t="s">
        <v>84</v>
      </c>
      <c r="BE3" s="57" t="s">
        <v>56</v>
      </c>
      <c r="BF3" s="92" t="s">
        <v>158</v>
      </c>
      <c r="BG3" s="15"/>
      <c r="BH3" s="14"/>
      <c r="BI3" s="14"/>
      <c r="BJ3" s="14"/>
      <c r="BK3" s="15"/>
      <c r="BL3" s="15"/>
      <c r="BM3" s="35" t="s">
        <v>28</v>
      </c>
      <c r="BN3" s="35" t="s">
        <v>29</v>
      </c>
      <c r="BO3" s="35" t="s">
        <v>20</v>
      </c>
      <c r="BP3" s="35" t="s">
        <v>84</v>
      </c>
      <c r="BQ3" s="56" t="s">
        <v>56</v>
      </c>
      <c r="BR3" s="35" t="s">
        <v>28</v>
      </c>
      <c r="BS3" s="35" t="s">
        <v>29</v>
      </c>
      <c r="BT3" s="35" t="s">
        <v>20</v>
      </c>
      <c r="BU3" s="35" t="s">
        <v>84</v>
      </c>
      <c r="BV3" s="56" t="s">
        <v>56</v>
      </c>
      <c r="BW3" s="35" t="s">
        <v>28</v>
      </c>
      <c r="BX3" s="35" t="s">
        <v>29</v>
      </c>
      <c r="BY3" s="35" t="s">
        <v>20</v>
      </c>
      <c r="BZ3" s="35" t="s">
        <v>84</v>
      </c>
      <c r="CA3" s="56" t="s">
        <v>56</v>
      </c>
      <c r="CB3" s="91" t="s">
        <v>158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28</v>
      </c>
      <c r="CM3" s="68" t="s">
        <v>29</v>
      </c>
      <c r="CN3" s="68" t="s">
        <v>20</v>
      </c>
      <c r="CO3" s="71" t="s">
        <v>84</v>
      </c>
      <c r="CP3" s="71" t="s">
        <v>56</v>
      </c>
      <c r="CQ3" s="68" t="s">
        <v>28</v>
      </c>
      <c r="CR3" s="68" t="s">
        <v>29</v>
      </c>
      <c r="CS3" s="68" t="s">
        <v>20</v>
      </c>
      <c r="CT3" s="71" t="s">
        <v>84</v>
      </c>
      <c r="CU3" s="71" t="s">
        <v>56</v>
      </c>
      <c r="CV3" s="68" t="s">
        <v>28</v>
      </c>
      <c r="CW3" s="68" t="s">
        <v>29</v>
      </c>
      <c r="CX3" s="68" t="s">
        <v>20</v>
      </c>
      <c r="CY3" s="71" t="s">
        <v>84</v>
      </c>
      <c r="CZ3" s="71" t="s">
        <v>56</v>
      </c>
      <c r="DA3" s="12"/>
      <c r="DB3" s="11"/>
      <c r="DC3" s="11"/>
      <c r="DD3" s="11"/>
      <c r="DE3" s="12"/>
      <c r="DF3" s="12"/>
      <c r="DG3" s="67" t="s">
        <v>28</v>
      </c>
      <c r="DH3" s="67" t="s">
        <v>29</v>
      </c>
      <c r="DI3" s="67" t="s">
        <v>20</v>
      </c>
      <c r="DJ3" s="67" t="s">
        <v>84</v>
      </c>
      <c r="DK3" s="67" t="s">
        <v>56</v>
      </c>
      <c r="DL3" s="67" t="s">
        <v>28</v>
      </c>
      <c r="DM3" s="67" t="s">
        <v>29</v>
      </c>
      <c r="DN3" s="67" t="s">
        <v>20</v>
      </c>
      <c r="DO3" s="67" t="s">
        <v>84</v>
      </c>
      <c r="DP3" s="67" t="s">
        <v>56</v>
      </c>
      <c r="DQ3" s="67" t="s">
        <v>28</v>
      </c>
      <c r="DR3" s="67" t="s">
        <v>29</v>
      </c>
      <c r="DS3" s="67" t="s">
        <v>20</v>
      </c>
      <c r="DT3" s="67" t="s">
        <v>84</v>
      </c>
      <c r="DU3" s="67" t="s">
        <v>56</v>
      </c>
      <c r="DV3" s="15"/>
      <c r="DW3" s="14"/>
      <c r="DX3" s="14"/>
      <c r="DY3" s="14"/>
      <c r="DZ3" s="15"/>
      <c r="EA3" s="15"/>
      <c r="EB3" s="68" t="s">
        <v>28</v>
      </c>
      <c r="EC3" s="68" t="s">
        <v>29</v>
      </c>
      <c r="ED3" s="68" t="s">
        <v>20</v>
      </c>
      <c r="EE3" s="71" t="s">
        <v>84</v>
      </c>
      <c r="EF3" s="71" t="s">
        <v>56</v>
      </c>
      <c r="EG3" s="68" t="s">
        <v>28</v>
      </c>
      <c r="EH3" s="68" t="s">
        <v>29</v>
      </c>
      <c r="EI3" s="68" t="s">
        <v>20</v>
      </c>
      <c r="EJ3" s="71" t="s">
        <v>84</v>
      </c>
      <c r="EK3" s="71" t="s">
        <v>56</v>
      </c>
      <c r="EL3" s="68" t="s">
        <v>28</v>
      </c>
      <c r="EM3" s="68" t="s">
        <v>29</v>
      </c>
      <c r="EN3" s="68" t="s">
        <v>20</v>
      </c>
      <c r="EO3" s="71" t="s">
        <v>84</v>
      </c>
      <c r="EP3" s="71" t="s">
        <v>56</v>
      </c>
      <c r="EQ3" s="12"/>
      <c r="ER3" s="11"/>
      <c r="ES3" s="11"/>
      <c r="ET3" s="11"/>
      <c r="EU3" s="12"/>
      <c r="EV3" s="12"/>
      <c r="EW3" s="67" t="s">
        <v>28</v>
      </c>
      <c r="EX3" s="67" t="s">
        <v>29</v>
      </c>
      <c r="EY3" s="67" t="s">
        <v>20</v>
      </c>
      <c r="EZ3" s="67" t="s">
        <v>84</v>
      </c>
      <c r="FA3" s="67" t="s">
        <v>56</v>
      </c>
      <c r="FB3" s="67" t="s">
        <v>28</v>
      </c>
      <c r="FC3" s="67" t="s">
        <v>29</v>
      </c>
      <c r="FD3" s="67" t="s">
        <v>20</v>
      </c>
      <c r="FE3" s="67" t="s">
        <v>84</v>
      </c>
      <c r="FF3" s="67" t="s">
        <v>56</v>
      </c>
      <c r="FG3" s="67" t="s">
        <v>28</v>
      </c>
      <c r="FH3" s="67" t="s">
        <v>29</v>
      </c>
      <c r="FI3" s="67" t="s">
        <v>20</v>
      </c>
      <c r="FJ3" s="67" t="s">
        <v>84</v>
      </c>
      <c r="FK3" s="67" t="s">
        <v>56</v>
      </c>
      <c r="FL3" s="15"/>
      <c r="FM3" s="14"/>
      <c r="FN3" s="14"/>
      <c r="FO3" s="14"/>
      <c r="FP3" s="15"/>
      <c r="FQ3" s="15"/>
      <c r="FR3" s="35" t="s">
        <v>28</v>
      </c>
      <c r="FS3" s="35" t="s">
        <v>29</v>
      </c>
      <c r="FT3" s="35" t="s">
        <v>20</v>
      </c>
      <c r="FU3" s="38" t="s">
        <v>84</v>
      </c>
      <c r="FV3" s="58" t="s">
        <v>56</v>
      </c>
      <c r="FW3" s="35" t="s">
        <v>28</v>
      </c>
      <c r="FX3" s="35" t="s">
        <v>29</v>
      </c>
      <c r="FY3" s="35" t="s">
        <v>20</v>
      </c>
      <c r="FZ3" s="38" t="s">
        <v>84</v>
      </c>
      <c r="GA3" s="58" t="s">
        <v>56</v>
      </c>
      <c r="GB3" s="35" t="s">
        <v>28</v>
      </c>
      <c r="GC3" s="35" t="s">
        <v>29</v>
      </c>
      <c r="GD3" s="35" t="s">
        <v>20</v>
      </c>
      <c r="GE3" s="38" t="s">
        <v>84</v>
      </c>
      <c r="GF3" s="58" t="s">
        <v>56</v>
      </c>
      <c r="GG3" s="12"/>
      <c r="GH3" s="11"/>
      <c r="GI3" s="11"/>
      <c r="GJ3" s="11"/>
      <c r="GK3" s="12"/>
      <c r="GL3" s="12"/>
      <c r="GM3" s="34" t="s">
        <v>28</v>
      </c>
      <c r="GN3" s="34" t="s">
        <v>29</v>
      </c>
      <c r="GO3" s="34" t="s">
        <v>20</v>
      </c>
      <c r="GP3" s="34" t="s">
        <v>84</v>
      </c>
      <c r="GQ3" s="57" t="s">
        <v>56</v>
      </c>
      <c r="GR3" s="34" t="s">
        <v>28</v>
      </c>
      <c r="GS3" s="34" t="s">
        <v>29</v>
      </c>
      <c r="GT3" s="34" t="s">
        <v>20</v>
      </c>
      <c r="GU3" s="34" t="s">
        <v>84</v>
      </c>
      <c r="GV3" s="57" t="s">
        <v>56</v>
      </c>
      <c r="GW3" s="34" t="s">
        <v>28</v>
      </c>
      <c r="GX3" s="34" t="s">
        <v>29</v>
      </c>
      <c r="GY3" s="34" t="s">
        <v>20</v>
      </c>
      <c r="GZ3" s="34" t="s">
        <v>84</v>
      </c>
      <c r="HA3" s="57" t="s">
        <v>56</v>
      </c>
      <c r="HB3" s="15"/>
      <c r="HC3" s="14"/>
      <c r="HD3" s="14"/>
      <c r="HE3" s="14"/>
      <c r="HF3" s="15"/>
      <c r="HG3" s="15"/>
      <c r="HH3" s="35" t="s">
        <v>28</v>
      </c>
      <c r="HI3" s="35" t="s">
        <v>29</v>
      </c>
      <c r="HJ3" s="35" t="s">
        <v>20</v>
      </c>
      <c r="HK3" s="38" t="s">
        <v>84</v>
      </c>
      <c r="HL3" s="58" t="s">
        <v>56</v>
      </c>
      <c r="HM3" s="35" t="s">
        <v>28</v>
      </c>
      <c r="HN3" s="35" t="s">
        <v>29</v>
      </c>
      <c r="HO3" s="35" t="s">
        <v>20</v>
      </c>
      <c r="HP3" s="38" t="s">
        <v>84</v>
      </c>
      <c r="HQ3" s="58" t="s">
        <v>56</v>
      </c>
      <c r="HR3" s="35" t="s">
        <v>28</v>
      </c>
      <c r="HS3" s="35" t="s">
        <v>29</v>
      </c>
      <c r="HT3" s="35" t="s">
        <v>20</v>
      </c>
      <c r="HU3" s="38" t="s">
        <v>84</v>
      </c>
      <c r="HV3" s="58" t="s">
        <v>56</v>
      </c>
      <c r="HW3" s="12"/>
      <c r="HX3" s="11"/>
      <c r="HY3" s="11"/>
      <c r="HZ3" s="11"/>
      <c r="IA3" s="12"/>
      <c r="IB3" s="12"/>
      <c r="IC3" s="34" t="s">
        <v>28</v>
      </c>
      <c r="ID3" s="34" t="s">
        <v>29</v>
      </c>
      <c r="IE3" s="34" t="s">
        <v>20</v>
      </c>
      <c r="IF3" s="34" t="s">
        <v>84</v>
      </c>
      <c r="IG3" s="57" t="s">
        <v>56</v>
      </c>
      <c r="IH3" s="34" t="s">
        <v>28</v>
      </c>
      <c r="II3" s="34" t="s">
        <v>29</v>
      </c>
      <c r="IJ3" s="34" t="s">
        <v>20</v>
      </c>
      <c r="IK3" s="34" t="s">
        <v>84</v>
      </c>
      <c r="IL3" s="57" t="s">
        <v>56</v>
      </c>
      <c r="IM3" s="34" t="s">
        <v>28</v>
      </c>
      <c r="IN3" s="34" t="s">
        <v>29</v>
      </c>
      <c r="IO3" s="34" t="s">
        <v>20</v>
      </c>
      <c r="IP3" s="34" t="s">
        <v>84</v>
      </c>
      <c r="IQ3" s="57" t="s">
        <v>56</v>
      </c>
      <c r="IR3" s="15"/>
      <c r="IS3" s="14"/>
      <c r="IT3" s="14"/>
      <c r="IU3" s="14"/>
      <c r="IV3" s="15"/>
      <c r="IW3" s="15"/>
      <c r="IX3" s="35" t="s">
        <v>28</v>
      </c>
      <c r="IY3" s="35" t="s">
        <v>29</v>
      </c>
      <c r="IZ3" s="35" t="s">
        <v>20</v>
      </c>
      <c r="JA3" s="38" t="s">
        <v>84</v>
      </c>
      <c r="JB3" s="58" t="s">
        <v>56</v>
      </c>
      <c r="JC3" s="35" t="s">
        <v>28</v>
      </c>
      <c r="JD3" s="35" t="s">
        <v>29</v>
      </c>
      <c r="JE3" s="35" t="s">
        <v>20</v>
      </c>
      <c r="JF3" s="38" t="s">
        <v>84</v>
      </c>
      <c r="JG3" s="58" t="s">
        <v>56</v>
      </c>
      <c r="JH3" s="35" t="s">
        <v>28</v>
      </c>
      <c r="JI3" s="35" t="s">
        <v>29</v>
      </c>
      <c r="JJ3" s="35" t="s">
        <v>20</v>
      </c>
      <c r="JK3" s="38" t="s">
        <v>84</v>
      </c>
      <c r="JL3" s="58" t="s">
        <v>56</v>
      </c>
      <c r="JM3" s="12"/>
      <c r="JN3" s="11"/>
      <c r="JO3" s="11"/>
      <c r="JP3" s="11"/>
      <c r="JQ3" s="12"/>
      <c r="JR3" s="12"/>
      <c r="JS3" s="34" t="s">
        <v>28</v>
      </c>
      <c r="JT3" s="34" t="s">
        <v>29</v>
      </c>
      <c r="JU3" s="34" t="s">
        <v>20</v>
      </c>
      <c r="JV3" s="34" t="s">
        <v>84</v>
      </c>
      <c r="JW3" s="57" t="s">
        <v>56</v>
      </c>
      <c r="JX3" s="34" t="s">
        <v>28</v>
      </c>
      <c r="JY3" s="34" t="s">
        <v>29</v>
      </c>
      <c r="JZ3" s="34" t="s">
        <v>20</v>
      </c>
      <c r="KA3" s="34" t="s">
        <v>84</v>
      </c>
      <c r="KB3" s="57" t="s">
        <v>56</v>
      </c>
      <c r="KC3" s="34" t="s">
        <v>28</v>
      </c>
      <c r="KD3" s="34" t="s">
        <v>29</v>
      </c>
      <c r="KE3" s="34" t="s">
        <v>20</v>
      </c>
      <c r="KF3" s="34" t="s">
        <v>84</v>
      </c>
      <c r="KG3" s="57" t="s">
        <v>56</v>
      </c>
      <c r="KH3" s="15"/>
      <c r="KI3" s="14"/>
      <c r="KJ3" s="14"/>
      <c r="KK3" s="14"/>
      <c r="KL3" s="15"/>
      <c r="KM3" s="15"/>
      <c r="KN3" s="35" t="s">
        <v>28</v>
      </c>
      <c r="KO3" s="35" t="s">
        <v>29</v>
      </c>
      <c r="KP3" s="35" t="s">
        <v>20</v>
      </c>
      <c r="KQ3" s="38" t="s">
        <v>84</v>
      </c>
      <c r="KR3" s="58" t="s">
        <v>56</v>
      </c>
      <c r="KS3" s="35" t="s">
        <v>28</v>
      </c>
      <c r="KT3" s="35" t="s">
        <v>29</v>
      </c>
      <c r="KU3" s="35" t="s">
        <v>20</v>
      </c>
      <c r="KV3" s="38" t="s">
        <v>84</v>
      </c>
      <c r="KW3" s="58" t="s">
        <v>56</v>
      </c>
      <c r="KX3" s="35" t="s">
        <v>28</v>
      </c>
      <c r="KY3" s="35" t="s">
        <v>29</v>
      </c>
      <c r="KZ3" s="35" t="s">
        <v>20</v>
      </c>
      <c r="LA3" s="38" t="s">
        <v>84</v>
      </c>
      <c r="LB3" s="58" t="s">
        <v>56</v>
      </c>
      <c r="LC3" s="12"/>
      <c r="LD3" s="11"/>
      <c r="LE3" s="11"/>
      <c r="LF3" s="11"/>
      <c r="LG3" s="12"/>
      <c r="LH3" s="12"/>
      <c r="LI3" s="34" t="s">
        <v>28</v>
      </c>
      <c r="LJ3" s="34" t="s">
        <v>29</v>
      </c>
      <c r="LK3" s="34" t="s">
        <v>20</v>
      </c>
      <c r="LL3" s="34" t="s">
        <v>84</v>
      </c>
      <c r="LM3" s="57" t="s">
        <v>56</v>
      </c>
      <c r="LN3" s="34" t="s">
        <v>28</v>
      </c>
      <c r="LO3" s="34" t="s">
        <v>29</v>
      </c>
      <c r="LP3" s="34" t="s">
        <v>20</v>
      </c>
      <c r="LQ3" s="34" t="s">
        <v>84</v>
      </c>
      <c r="LR3" s="57" t="s">
        <v>56</v>
      </c>
      <c r="LS3" s="34" t="s">
        <v>28</v>
      </c>
      <c r="LT3" s="34" t="s">
        <v>29</v>
      </c>
      <c r="LU3" s="34" t="s">
        <v>20</v>
      </c>
      <c r="LV3" s="34" t="s">
        <v>84</v>
      </c>
      <c r="LW3" s="57" t="s">
        <v>56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85</v>
      </c>
      <c r="C4" s="5" t="s">
        <v>12</v>
      </c>
      <c r="D4" s="33" t="s">
        <v>172</v>
      </c>
      <c r="E4" s="17">
        <f>SUM(J4:R4)</f>
        <v>220.97500000000002</v>
      </c>
      <c r="F4" s="4" t="str">
        <f>IF(OR(AND($AK4&gt;=$AL$12,NOT($AK4=""),$AJ4=""),AND($BG4&gt;=$BH$12,NOT($BG4=""),$BF4=""),AND($CC4&gt;=$CD$12,NOT($CC4=""),$CB4="")),"P","")</f>
        <v>P</v>
      </c>
      <c r="G4" s="4" t="str">
        <f>IF(OR(AND($AK4&gt;=$AL$13,NOT($AK4=""),$AJ4=""),AND($BG4&gt;=$BH$13,NOT($BG4=""),$BF4=""),AND($CC4&gt;=$CD$13,NOT($CC4=""),$CB4="")),"P","")</f>
        <v>P</v>
      </c>
      <c r="H4" s="4" t="str">
        <f>IF(OR(AND($AN4&gt;=$AL$14,NOT($AN4=""),$AJ4=""),AND($BJ4&gt;=$BH$14,NOT($BJ4=""),$BF4=""),AND($CF4&gt;=$CD$14,NOT($CF4=""),$CB4="")),"P","")</f>
        <v>P</v>
      </c>
      <c r="I4" t="str">
        <f>IF(AND(G4="P",OR(AND($AN4&gt;=$AL$17,NOT($AN4=""),$AJ4=""),AND($BJ4&gt;=$BH$17,NOT($BJ4=""),$BF4=""),AND($CF4&gt;=$CD$17,NOT($CF4=""),$CB4=""))),"Merit",IF(AND(G4="P",OR(AND($AN4&gt;=$AL$16,NOT($AN4=""),$AJ4=""),AND($BJ4&gt;=$BH$16,NOT($BJ4=""),$BF4=""),AND($CF4&gt;=$CD$16,NOT($CF4=""),$CB4=""))),"Funding",IF(AND(G4="P",OR(AND($AN4&gt;=$AL$15,NOT($AN4=""),$AJ4=""),AND($BJ4&gt;=$BH$15,NOT($BJ4=""),$BF4=""),AND($CF4&gt;=$CD$15,NOT($CF4=""),$CB4=""))),"Worlds Team",IF(AND(F4="P",OR(AND($AN4&gt;=$AL$14,NOT($AN4=""),$AJ4=""),AND($BJ4&gt;=$BH$14,NOT($BJ4=""),$BF4=""),AND($CF4&gt;=$CD$14,NOT($CF4=""),$CB4=""))),"National Team",""))))</f>
        <v>Merit</v>
      </c>
      <c r="J4" s="16">
        <f>MAX(AN4,BJ4,CF4)</f>
        <v>86.875</v>
      </c>
      <c r="K4" s="16" t="str">
        <f>IF(J4=CF4,$BM$1,IF(J4=BJ4,$AQ$1,IF(J4=AN4,$U$1,"")))</f>
        <v>2018 Canada Cup</v>
      </c>
      <c r="L4" s="16">
        <f>IF($J4=$AN4,MAX(BH4,CD4),IF($J4=$BJ4,MAX(AL4,CD4),MAX(AL4,BH4)))</f>
        <v>40</v>
      </c>
      <c r="M4" s="16" t="str">
        <f>IF(AND(L4=CD4,$K4&lt;&gt;$BM$1),$BM$1,IF(AND(L4=BH4,$K4&lt;&gt;$AQ$1),$AQ$1,IF(AND(L4=AL4,$K4&lt;&gt;$U$1),$U$1,"")))</f>
        <v>2017 3rd Domestic Trial</v>
      </c>
      <c r="N4" s="16">
        <f>IF($J4=$AN4,MAX(BI4,CE4),IF($J4=$BJ4,MAX(AM4,CE4),MAX(AM4,BI4)))</f>
        <v>45.449999999999996</v>
      </c>
      <c r="O4" s="16" t="str">
        <f>IF(AND(N4=CE4,$K4&lt;&gt;$BM$1),$BM$1,IF(AND(N4=BI4,$K4&lt;&gt;$AQ$1),$AQ$1,IF(AND(N4=AM4,$K4&lt;&gt;$U$1),$U$1,"")))</f>
        <v>2017 3rd Domestic Trial</v>
      </c>
      <c r="P4" s="16">
        <f>MAX(AO4,BK4,CG4)</f>
        <v>46.550000000000004</v>
      </c>
      <c r="Q4" s="16" t="str">
        <f>IF(P4=CG4,$BM$1,IF(P4=BK4,$AQ$1,IF(P4=AO4,$U$1,"")))</f>
        <v>2017 3rd Domestic Trial</v>
      </c>
      <c r="R4" s="16">
        <f>IF(MAX(CI4:CK4)&gt;0,MAX(CI4:CK4),"")</f>
        <v>2.1000000000000085</v>
      </c>
      <c r="S4" s="31" t="str">
        <f>IF(R4="","",IF(R4=CI4,"(Vol 1)",IF(R4=CJ4,"(Vol 2)",IF(R4=CK4,"(Final)"))))</f>
        <v>(Vol 2)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2017 World Championships (Nov)</v>
      </c>
      <c r="U4" s="47">
        <v>9.1999999999999993</v>
      </c>
      <c r="V4" s="47">
        <v>9</v>
      </c>
      <c r="W4" s="47">
        <v>3.4</v>
      </c>
      <c r="X4" s="47">
        <v>18.399999999999999</v>
      </c>
      <c r="Y4" s="47">
        <v>0</v>
      </c>
      <c r="Z4" s="47">
        <v>8.6</v>
      </c>
      <c r="AA4" s="47">
        <v>9.4499999999999993</v>
      </c>
      <c r="AB4" s="47">
        <v>11.8</v>
      </c>
      <c r="AC4" s="47">
        <v>15.6</v>
      </c>
      <c r="AD4" s="47">
        <v>0</v>
      </c>
      <c r="AE4" s="47">
        <v>8.65</v>
      </c>
      <c r="AF4" s="47">
        <v>9.3000000000000007</v>
      </c>
      <c r="AG4" s="47">
        <v>11.8</v>
      </c>
      <c r="AH4" s="47">
        <v>16.8</v>
      </c>
      <c r="AI4" s="47">
        <v>0</v>
      </c>
      <c r="AJ4" s="93"/>
      <c r="AK4" s="13">
        <f>IF(SUM(W4,AB4)&gt;0,SUM(W4,AB4),"")</f>
        <v>15.200000000000001</v>
      </c>
      <c r="AL4" s="13">
        <f>IF(SUM(U4:X4)-Y4&gt;0,SUM(U4:X4)-Y4,"")</f>
        <v>40</v>
      </c>
      <c r="AM4" s="13">
        <f>IF(SUM(Z4:AC4)-AD4&gt;0,SUM(Z4:AC4)-AD4,"")</f>
        <v>45.449999999999996</v>
      </c>
      <c r="AN4" s="13">
        <f>IF(SUM(AL4:AM4)&gt;0,SUM(AL4:AM4),"")</f>
        <v>85.449999999999989</v>
      </c>
      <c r="AO4" s="13">
        <f>IF(SUM(AE4:AH4)-AI4&gt;0,SUM(AE4:AH4)-AI4,"")</f>
        <v>46.550000000000004</v>
      </c>
      <c r="AP4" s="13">
        <f>IF(SUM(AN4,AO4)&gt;0,SUM(AN4,AO4),"")</f>
        <v>132</v>
      </c>
      <c r="AQ4" s="48">
        <v>9.35</v>
      </c>
      <c r="AR4" s="48">
        <v>9.6</v>
      </c>
      <c r="AS4" s="48">
        <v>3.4</v>
      </c>
      <c r="AT4" s="48">
        <v>17.2</v>
      </c>
      <c r="AU4" s="48">
        <v>0</v>
      </c>
      <c r="AV4" s="48">
        <v>8.4749999999999996</v>
      </c>
      <c r="AW4" s="48">
        <v>8.85</v>
      </c>
      <c r="AX4" s="48">
        <v>11.6</v>
      </c>
      <c r="AY4" s="48">
        <v>18.399999999999999</v>
      </c>
      <c r="AZ4" s="48">
        <v>0</v>
      </c>
      <c r="BA4" s="48">
        <v>8.5749999999999993</v>
      </c>
      <c r="BB4" s="48">
        <v>9.4</v>
      </c>
      <c r="BC4" s="48">
        <v>11.6</v>
      </c>
      <c r="BD4" s="48">
        <v>13.64</v>
      </c>
      <c r="BE4" s="48">
        <v>0</v>
      </c>
      <c r="BF4" s="94"/>
      <c r="BG4" s="16">
        <f>IF(SUM(AS4,AX4)&gt;0,SUM(AS4,AX4),"")</f>
        <v>15</v>
      </c>
      <c r="BH4" s="16">
        <f>IF(SUM(AQ4:AT4)-AU4&gt;0,SUM(AQ4:AT4)-AU4,"")</f>
        <v>39.549999999999997</v>
      </c>
      <c r="BI4" s="16">
        <f>IF(SUM(AV4:AY4)-AZ4&gt;0,SUM(AV4:AY4)-AZ4,"")</f>
        <v>47.324999999999996</v>
      </c>
      <c r="BJ4" s="16">
        <f>IF(SUM(BH4:BI4)&gt;0,SUM(BH4:BI4),"")</f>
        <v>86.875</v>
      </c>
      <c r="BK4" s="16">
        <f>IF(SUM(BA4:BD4)-BE4&gt;0,SUM(BA4:BD4)-BE4,"")</f>
        <v>43.215000000000003</v>
      </c>
      <c r="BL4" s="16">
        <f>IF(SUM(BJ4,BK4)&gt;0,SUM(BJ4,BK4),"")</f>
        <v>130.09</v>
      </c>
      <c r="BM4" s="47">
        <v>9.1999999999999993</v>
      </c>
      <c r="BN4" s="47">
        <v>9.5</v>
      </c>
      <c r="BO4" s="47">
        <v>3.4</v>
      </c>
      <c r="BP4" s="47">
        <v>16.22</v>
      </c>
      <c r="BQ4" s="47">
        <v>0</v>
      </c>
      <c r="BR4" s="47">
        <v>8.3000000000000007</v>
      </c>
      <c r="BS4" s="47">
        <v>9.35</v>
      </c>
      <c r="BT4" s="47">
        <v>11.6</v>
      </c>
      <c r="BU4" s="47">
        <v>12.6</v>
      </c>
      <c r="BV4" s="47">
        <v>0</v>
      </c>
      <c r="BW4" s="47">
        <v>8.65</v>
      </c>
      <c r="BX4" s="47">
        <v>9.4</v>
      </c>
      <c r="BY4" s="47">
        <v>11.6</v>
      </c>
      <c r="BZ4" s="47">
        <v>16.079999999999998</v>
      </c>
      <c r="CA4" s="47">
        <v>0</v>
      </c>
      <c r="CB4" s="93"/>
      <c r="CC4" s="13">
        <f>IF(SUM(BO4,BT4)&gt;0,SUM(BO4,BT4),"")</f>
        <v>15</v>
      </c>
      <c r="CD4" s="13">
        <f>IF(SUM(BM4:BP4)-BQ4&gt;0,SUM(BM4:BP4)-BQ4,"")</f>
        <v>38.319999999999993</v>
      </c>
      <c r="CE4" s="13">
        <f>IF(SUM(BR4:BU4)-BV4&gt;0,SUM(BR4:BU4)-BV4,"")</f>
        <v>41.85</v>
      </c>
      <c r="CF4" s="13">
        <f>IF(SUM(CD4:CE4)&gt;0,SUM(CD4:CE4),"")</f>
        <v>80.169999999999987</v>
      </c>
      <c r="CG4" s="13">
        <f>IF(SUM(BW4:BZ4)-CA4&gt;0,SUM(BW4:BZ4)-CA4,"")</f>
        <v>45.73</v>
      </c>
      <c r="CH4" s="13">
        <f>IF(SUM(CF4,CG4)&gt;0,SUM(CF4,CG4),"")</f>
        <v>125.89999999999998</v>
      </c>
      <c r="CI4" s="30">
        <f>IF(MAX(DB4,DW4,ER4,FM4,GH4,HC4,HX4,IS4,JN4,KI4,LD4,LY4)-L4&gt;0.001,MAX(DB4,DW4,ER4,FM4,GH4,HC4,HX4,IS4,JN4,KI4,LD4,LY4)-L4,"")</f>
        <v>1.0499999999999972</v>
      </c>
      <c r="CJ4" s="30">
        <f>IF(MAX(DC4,DX4,ES4,FN4,GI4,HD4,HY4,IT4,JO4,KJ4,LE4,LZ4)-N4&gt;0.001,MAX(DC4,DX4,ES4,FN4,GI4,HD4,HY4,IT4,JO4,KJ4,LE4,LZ4)-N4,"")</f>
        <v>2.1000000000000085</v>
      </c>
      <c r="CK4" s="30">
        <f>IF(MAX(DE4,DZ4,EU4,FP4,GK4,HF4,IA4,IV4,JQ4,KL4,LG4,MB4)-P4&gt;0.001,MAX(DE4,DZ4,EU4,FP4,GK4,HF4,IA4,IV4,JQ4,KL4,LG4,MB4)-P4,"")</f>
        <v>0.36500000000000199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>
        <v>9.1999999999999993</v>
      </c>
      <c r="DH4" s="48">
        <v>9.65</v>
      </c>
      <c r="DI4" s="48">
        <v>3.4</v>
      </c>
      <c r="DJ4" s="48">
        <v>18.8</v>
      </c>
      <c r="DK4" s="48">
        <v>0</v>
      </c>
      <c r="DL4" s="48">
        <v>8.35</v>
      </c>
      <c r="DM4" s="48">
        <v>9.1999999999999993</v>
      </c>
      <c r="DN4" s="48">
        <v>10.6</v>
      </c>
      <c r="DO4" s="48">
        <v>12.4</v>
      </c>
      <c r="DP4" s="48">
        <v>0</v>
      </c>
      <c r="DQ4" s="48"/>
      <c r="DR4" s="48"/>
      <c r="DS4" s="48"/>
      <c r="DT4" s="48"/>
      <c r="DU4" s="48"/>
      <c r="DV4" s="16">
        <f>IF(SUM(DI4,DN4)&gt;0,SUM(DI4,DN4),"")</f>
        <v>14</v>
      </c>
      <c r="DW4" s="16">
        <f>IF(SUM(DG4:DJ4)-DK4&gt;0,SUM(DG4:DJ4)-DK4,"")</f>
        <v>41.05</v>
      </c>
      <c r="DX4" s="16">
        <f>IF(SUM(DL4:DO4)-DP4&gt;0,SUM(DL4:DO4)-DP4,"")</f>
        <v>40.549999999999997</v>
      </c>
      <c r="DY4" s="16">
        <f>IF(SUM(DW4:DX4)&gt;0,SUM(DW4:DX4),"")</f>
        <v>81.599999999999994</v>
      </c>
      <c r="DZ4" s="16" t="str">
        <f>IF(SUM(DQ4:DT4)-DU4&gt;0,SUM(DQ4:DT4)-DU4,"")</f>
        <v/>
      </c>
      <c r="EA4" s="16">
        <f>IF(SUM(DY4,DZ4)&gt;0,SUM(DY4,DZ4),"")</f>
        <v>81.599999999999994</v>
      </c>
      <c r="EB4" s="47">
        <v>8.8000000000000007</v>
      </c>
      <c r="EC4" s="47">
        <v>9.5500000000000007</v>
      </c>
      <c r="ED4" s="47">
        <v>3.4</v>
      </c>
      <c r="EE4" s="47">
        <v>17</v>
      </c>
      <c r="EF4" s="47">
        <v>0</v>
      </c>
      <c r="EG4" s="47">
        <v>8.1</v>
      </c>
      <c r="EH4" s="47">
        <v>9.25</v>
      </c>
      <c r="EI4" s="47">
        <v>11.6</v>
      </c>
      <c r="EJ4" s="47">
        <v>18.600000000000001</v>
      </c>
      <c r="EK4" s="47">
        <v>0</v>
      </c>
      <c r="EL4" s="47">
        <v>8.1999999999999993</v>
      </c>
      <c r="EM4" s="47">
        <v>9.3000000000000007</v>
      </c>
      <c r="EN4" s="47">
        <v>11.6</v>
      </c>
      <c r="EO4" s="47">
        <v>17.8</v>
      </c>
      <c r="EP4" s="47">
        <v>0</v>
      </c>
      <c r="EQ4" s="13">
        <f>IF(SUM(ED4,EI4)&gt;0,SUM(ED4,EI4),"")</f>
        <v>15</v>
      </c>
      <c r="ER4" s="13">
        <f>IF(SUM(EB4:EE4)-EF4&gt;0,SUM(EB4:EE4)-EF4,"")</f>
        <v>38.75</v>
      </c>
      <c r="ES4" s="13">
        <f>IF(SUM(EG4:EJ4)-EK4&gt;0,SUM(EG4:EJ4)-EK4,"")</f>
        <v>47.550000000000004</v>
      </c>
      <c r="ET4" s="13">
        <f>IF(SUM(ER4:ES4)&gt;0,SUM(ER4:ES4),"")</f>
        <v>86.300000000000011</v>
      </c>
      <c r="EU4" s="13">
        <f>IF(SUM(EL4:EO4)-EP4&gt;0,SUM(EL4:EO4)-EP4,"")</f>
        <v>46.900000000000006</v>
      </c>
      <c r="EV4" s="13">
        <f>IF(SUM(ET4,EU4)&gt;0,SUM(ET4,EU4),"")</f>
        <v>133.20000000000002</v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>
        <v>9.1</v>
      </c>
      <c r="FS4" s="47">
        <v>9.5</v>
      </c>
      <c r="FT4" s="47">
        <v>3.4</v>
      </c>
      <c r="FU4" s="47">
        <v>18.64</v>
      </c>
      <c r="FV4" s="47">
        <v>0</v>
      </c>
      <c r="FW4" s="47">
        <v>8.1999999999999993</v>
      </c>
      <c r="FX4" s="47">
        <v>9.5</v>
      </c>
      <c r="FY4" s="47">
        <v>11.6</v>
      </c>
      <c r="FZ4" s="47">
        <v>17.059999999999999</v>
      </c>
      <c r="GA4" s="47">
        <v>0</v>
      </c>
      <c r="GB4" s="47">
        <v>8.4749999999999996</v>
      </c>
      <c r="GC4" s="47">
        <v>9.4</v>
      </c>
      <c r="GD4" s="47">
        <v>11.6</v>
      </c>
      <c r="GE4" s="47">
        <v>17.440000000000001</v>
      </c>
      <c r="GF4" s="47">
        <v>0</v>
      </c>
      <c r="GG4" s="13">
        <f>IF(SUM(FT4,FY4)&gt;0,SUM(FT4,FY4),"")</f>
        <v>15</v>
      </c>
      <c r="GH4" s="13">
        <f>IF(SUM(FR4:FU4)-FV4&gt;0,SUM(FR4:FU4)-FV4,"")</f>
        <v>40.64</v>
      </c>
      <c r="GI4" s="13">
        <f>IF(SUM(FW4:FZ4)-GA4&gt;0,SUM(FW4:FZ4)-GA4,"")</f>
        <v>46.36</v>
      </c>
      <c r="GJ4" s="13">
        <f>IF(SUM(GH4:GI4)&gt;0,SUM(GH4:GI4),"")</f>
        <v>87</v>
      </c>
      <c r="GK4" s="13">
        <f>IF(SUM(GB4:GE4)-GF4&gt;0,SUM(GB4:GE4)-GF4,"")</f>
        <v>46.915000000000006</v>
      </c>
      <c r="GL4" s="13">
        <f>IF(SUM(GJ4,GK4)&gt;0,SUM(GJ4,GK4),"")</f>
        <v>133.91500000000002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97</v>
      </c>
      <c r="C5" s="8" t="s">
        <v>3</v>
      </c>
      <c r="D5" s="6" t="s">
        <v>173</v>
      </c>
      <c r="E5" s="17">
        <f>SUM(J5:R5)</f>
        <v>180.85</v>
      </c>
      <c r="F5" s="4" t="str">
        <f>IF(OR(AND($AK5&gt;=$AL$12,NOT($AK5=""),$AJ5=""),AND($BG5&gt;=$BH$12,NOT($BG5=""),$BF5=""),AND($CC5&gt;=$CD$12,NOT($CC5=""),$CB5="")),"P","")</f>
        <v>P</v>
      </c>
      <c r="G5" s="4" t="str">
        <f>IF(OR(AND($AK5&gt;=$AL$13,NOT($AK5=""),$AJ5=""),AND($BG5&gt;=$BH$13,NOT($BG5=""),$BF5=""),AND($CC5&gt;=$CD$13,NOT($CC5=""),$CB5="")),"P","")</f>
        <v>P</v>
      </c>
      <c r="H5" s="4" t="str">
        <f>IF(OR(AND($AN5&gt;=$AL$14,NOT($AN5=""),$AJ5=""),AND($BJ5&gt;=$BH$14,NOT($BJ5=""),$BF5=""),AND($CF5&gt;=$CD$14,NOT($CF5=""),$CB5="")),"P","")</f>
        <v>P</v>
      </c>
      <c r="I5" t="str">
        <f>IF(AND(G5="P",OR(AND($AN5&gt;=$AL$17,NOT($AN5=""),$AJ5=""),AND($BJ5&gt;=$BH$17,NOT($BJ5=""),$BF5=""),AND($CF5&gt;=$CD$17,NOT($CF5=""),$CB5=""))),"Merit",IF(AND(G5="P",OR(AND($AN5&gt;=$AL$16,NOT($AN5=""),$AJ5=""),AND($BJ5&gt;=$BH$16,NOT($BJ5=""),$BF5=""),AND($CF5&gt;=$CD$16,NOT($CF5=""),$CB5=""))),"Funding",IF(AND(G5="P",OR(AND($AN5&gt;=$AL$15,NOT($AN5=""),$AJ5=""),AND($BJ5&gt;=$BH$15,NOT($BJ5=""),$BF5=""),AND($CF5&gt;=$CD$15,NOT($CF5=""),$CB5=""))),"Worlds Team",IF(AND(F5="P",OR(AND($AN5&gt;=$AL$14,NOT($AN5=""),$AJ5=""),AND($BJ5&gt;=$BH$14,NOT($BJ5=""),$BF5=""),AND($CF5&gt;=$CD$14,NOT($CF5=""),$CB5=""))),"National Team",""))))</f>
        <v>Funding</v>
      </c>
      <c r="J5" s="16">
        <f>MAX(AN5,BJ5,CF5)</f>
        <v>89.199999999999989</v>
      </c>
      <c r="K5" s="16" t="str">
        <f>IF(J5=CF5,$BM$1,IF(J5=BJ5,$AQ$1,IF(J5=AN5,$U$1,"")))</f>
        <v>2017 3rd Domestic Trial</v>
      </c>
      <c r="L5" s="16">
        <f>IF($J5=$AN5,MAX(BH5,CD5),IF($J5=$BJ5,MAX(AL5,CD5),MAX(AL5,BH5)))</f>
        <v>0</v>
      </c>
      <c r="M5" s="16" t="str">
        <f>IF(AND(L5=CD5,$K5&lt;&gt;$BM$1),$BM$1,IF(AND(L5=BH5,$K5&lt;&gt;$AQ$1),$AQ$1,IF(AND(L5=AL5,$K5&lt;&gt;$U$1),$U$1,"")))</f>
        <v/>
      </c>
      <c r="N5" s="16">
        <f>IF($J5=$AN5,MAX(BI5,CE5),IF($J5=$BJ5,MAX(AM5,CE5),MAX(AM5,BI5)))</f>
        <v>0</v>
      </c>
      <c r="O5" s="16" t="str">
        <f>IF(AND(N5=CE5,$K5&lt;&gt;$BM$1),$BM$1,IF(AND(N5=BI5,$K5&lt;&gt;$AQ$1),$AQ$1,IF(AND(N5=AM5,$K5&lt;&gt;$U$1),$U$1,"")))</f>
        <v/>
      </c>
      <c r="P5" s="16">
        <f>MAX(AO5,BK5,CG5)</f>
        <v>47.55</v>
      </c>
      <c r="Q5" s="16" t="str">
        <f>IF(P5=CG5,$BM$1,IF(P5=BK5,$AQ$1,IF(P5=AO5,$U$1,"")))</f>
        <v>2017 3rd Domestic Trial</v>
      </c>
      <c r="R5" s="16">
        <f>IF(MAX(CI5:CK5)&gt;0,MAX(CI5:CK5),"")</f>
        <v>44.099999999999994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2017 World Cup POR (Sept)</v>
      </c>
      <c r="U5" s="47">
        <v>8.4</v>
      </c>
      <c r="V5" s="47">
        <v>9.5</v>
      </c>
      <c r="W5" s="47">
        <v>3.9</v>
      </c>
      <c r="X5" s="47">
        <v>18.600000000000001</v>
      </c>
      <c r="Y5" s="47">
        <v>0</v>
      </c>
      <c r="Z5" s="47">
        <v>8.0500000000000007</v>
      </c>
      <c r="AA5" s="47">
        <v>9.35</v>
      </c>
      <c r="AB5" s="47">
        <v>12.4</v>
      </c>
      <c r="AC5" s="47">
        <v>19</v>
      </c>
      <c r="AD5" s="47">
        <v>0</v>
      </c>
      <c r="AE5" s="47">
        <v>7.7</v>
      </c>
      <c r="AF5" s="47">
        <v>9.4499999999999993</v>
      </c>
      <c r="AG5" s="47">
        <v>12.4</v>
      </c>
      <c r="AH5" s="47">
        <v>18</v>
      </c>
      <c r="AI5" s="47">
        <v>0</v>
      </c>
      <c r="AJ5" s="93"/>
      <c r="AK5" s="13">
        <f>IF(SUM(W5,AB5)&gt;0,SUM(W5,AB5),"")</f>
        <v>16.3</v>
      </c>
      <c r="AL5" s="13">
        <f>IF(SUM(U5:X5)-Y5&gt;0,SUM(U5:X5)-Y5,"")</f>
        <v>40.4</v>
      </c>
      <c r="AM5" s="13">
        <f>IF(SUM(Z5:AC5)-AD5&gt;0,SUM(Z5:AC5)-AD5,"")</f>
        <v>48.8</v>
      </c>
      <c r="AN5" s="13">
        <f>IF(SUM(AL5:AM5)&gt;0,SUM(AL5:AM5),"")</f>
        <v>89.199999999999989</v>
      </c>
      <c r="AO5" s="13">
        <f>IF(SUM(AE5:AH5)-AI5&gt;0,SUM(AE5:AH5)-AI5,"")</f>
        <v>47.55</v>
      </c>
      <c r="AP5" s="13">
        <f>IF(SUM(AN5,AO5)&gt;0,SUM(AN5,AO5),"")</f>
        <v>136.75</v>
      </c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94"/>
      <c r="BG5" s="16" t="str">
        <f>IF(SUM(AS5,AX5)&gt;0,SUM(AS5,AX5),"")</f>
        <v/>
      </c>
      <c r="BH5" s="16" t="str">
        <f>IF(SUM(AQ5:AT5)-AU5&gt;0,SUM(AQ5:AT5)-AU5,"")</f>
        <v/>
      </c>
      <c r="BI5" s="16" t="str">
        <f>IF(SUM(AV5:AY5)-AZ5&gt;0,SUM(AV5:AY5)-AZ5,"")</f>
        <v/>
      </c>
      <c r="BJ5" s="16" t="str">
        <f>IF(SUM(BH5:BI5)&gt;0,SUM(BH5:BI5),"")</f>
        <v/>
      </c>
      <c r="BK5" s="16" t="str">
        <f>IF(SUM(BA5:BD5)-BE5&gt;0,SUM(BA5:BD5)-BE5,"")</f>
        <v/>
      </c>
      <c r="BL5" s="16" t="str">
        <f>IF(SUM(BJ5,BK5)&gt;0,SUM(BJ5,BK5),"")</f>
        <v/>
      </c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93"/>
      <c r="CC5" s="13" t="str">
        <f>IF(SUM(BO5,BT5)&gt;0,SUM(BO5,BT5),"")</f>
        <v/>
      </c>
      <c r="CD5" s="13" t="str">
        <f>IF(SUM(BM5:BP5)-BQ5&gt;0,SUM(BM5:BP5)-BQ5,"")</f>
        <v/>
      </c>
      <c r="CE5" s="13" t="str">
        <f>IF(SUM(BR5:BU5)-BV5&gt;0,SUM(BR5:BU5)-BV5,"")</f>
        <v/>
      </c>
      <c r="CF5" s="13" t="str">
        <f>IF(SUM(CD5:CE5)&gt;0,SUM(CD5:CE5),"")</f>
        <v/>
      </c>
      <c r="CG5" s="13" t="str">
        <f>IF(SUM(BW5:BZ5)-CA5&gt;0,SUM(BW5:BZ5)-CA5,"")</f>
        <v/>
      </c>
      <c r="CH5" s="13" t="str">
        <f>IF(SUM(CF5,CG5)&gt;0,SUM(CF5,CG5),"")</f>
        <v/>
      </c>
      <c r="CI5" s="30">
        <f>IF(MAX(DB5,DW5,ER5,FM5,GH5,HC5,HX5,IS5,JN5,KI5,LD5,LY5)-L5&gt;0.001,MAX(DB5,DW5,ER5,FM5,GH5,HC5,HX5,IS5,JN5,KI5,LD5,LY5)-L5,"")</f>
        <v>39.61</v>
      </c>
      <c r="CJ5" s="30">
        <f>IF(MAX(DC5,DX5,ES5,FN5,GI5,HD5,HY5,IT5,JO5,KJ5,LE5,LZ5)-N5&gt;0.001,MAX(DC5,DX5,ES5,FN5,GI5,HD5,HY5,IT5,JO5,KJ5,LE5,LZ5)-N5,"")</f>
        <v>44.099999999999994</v>
      </c>
      <c r="CK5" s="30" t="str">
        <f>IF(MAX(DE5,DZ5,EU5,FP5,GK5,HF5,IA5,IV5,JQ5,KL5,LG5,MB5)-P5&gt;0.001,MAX(DE5,DZ5,EU5,FP5,GK5,HF5,IA5,IV5,JQ5,KL5,LG5,MB5)-P5,"")</f>
        <v/>
      </c>
      <c r="CL5" s="47">
        <v>8.75</v>
      </c>
      <c r="CM5" s="47">
        <v>9.1999999999999993</v>
      </c>
      <c r="CN5" s="47">
        <v>3.9</v>
      </c>
      <c r="CO5" s="47">
        <v>17.760000000000002</v>
      </c>
      <c r="CP5" s="47">
        <v>0</v>
      </c>
      <c r="CQ5" s="47">
        <v>8.5</v>
      </c>
      <c r="CR5" s="47">
        <v>9.4</v>
      </c>
      <c r="CS5" s="47">
        <v>12.4</v>
      </c>
      <c r="CT5" s="47">
        <v>13.8</v>
      </c>
      <c r="CU5" s="47">
        <v>0</v>
      </c>
      <c r="CV5" s="47"/>
      <c r="CW5" s="47"/>
      <c r="CX5" s="47"/>
      <c r="CY5" s="47"/>
      <c r="CZ5" s="47"/>
      <c r="DA5" s="13">
        <f>IF(SUM(CN5,CS5)&gt;0,SUM(CN5,CS5),"")</f>
        <v>16.3</v>
      </c>
      <c r="DB5" s="13">
        <f>IF(SUM(CL5:CO5)-CP5&gt;0,SUM(CL5:CO5)-CP5,"")</f>
        <v>39.61</v>
      </c>
      <c r="DC5" s="13">
        <f>IF(SUM(CQ5:CT5)-CU5&gt;0,SUM(CQ5:CT5)-CU5,"")</f>
        <v>44.099999999999994</v>
      </c>
      <c r="DD5" s="13">
        <f>IF(SUM(DB5:DC5)&gt;0,SUM(DB5:DC5),"")</f>
        <v>83.71</v>
      </c>
      <c r="DE5" s="13" t="str">
        <f>IF(SUM(CV5:CY5)-CZ5&gt;0,SUM(CV5:CY5)-CZ5,"")</f>
        <v/>
      </c>
      <c r="DF5" s="13">
        <f>IF(SUM(DD5,DE5)&gt;0,SUM(DD5,DE5),"")</f>
        <v>83.71</v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7" t="s">
        <v>148</v>
      </c>
      <c r="C6" s="8" t="s">
        <v>12</v>
      </c>
      <c r="D6" s="6" t="s">
        <v>174</v>
      </c>
      <c r="E6" s="17">
        <f>SUM(J6:R6)</f>
        <v>152.33999999999997</v>
      </c>
      <c r="F6" s="4" t="str">
        <f>IF(OR(AND($AK6&gt;=$AL$12,NOT($AK6=""),$AJ6=""),AND($BG6&gt;=$BH$12,NOT($BG6=""),$BF6=""),AND($CC6&gt;=$CD$12,NOT($CC6=""),$CB6="")),"P","")</f>
        <v>P</v>
      </c>
      <c r="G6" s="4" t="str">
        <f>IF(OR(AND($AK6&gt;=$AL$13,NOT($AK6=""),$AJ6=""),AND($BG6&gt;=$BH$13,NOT($BG6=""),$BF6=""),AND($CC6&gt;=$CD$13,NOT($CC6=""),$CB6="")),"P","")</f>
        <v>P</v>
      </c>
      <c r="H6" s="4" t="str">
        <f>IF(OR(AND($AN6&gt;=$AL$14,NOT($AN6=""),$AJ6=""),AND($BJ6&gt;=$BH$14,NOT($BJ6=""),$BF6=""),AND($CF6&gt;=$CD$14,NOT($CF6=""),$CB6="")),"P","")</f>
        <v>P</v>
      </c>
      <c r="I6" t="str">
        <f>IF(AND(G6="P",OR(AND($AN6&gt;=$AL$17,NOT($AN6=""),$AJ6=""),AND($BJ6&gt;=$BH$17,NOT($BJ6=""),$BF6=""),AND($CF6&gt;=$CD$17,NOT($CF6=""),$CB6=""))),"Merit",IF(AND(G6="P",OR(AND($AN6&gt;=$AL$16,NOT($AN6=""),$AJ6=""),AND($BJ6&gt;=$BH$16,NOT($BJ6=""),$BF6=""),AND($CF6&gt;=$CD$16,NOT($CF6=""),$CB6=""))),"Funding",IF(AND(G6="P",OR(AND($AN6&gt;=$AL$15,NOT($AN6=""),$AJ6=""),AND($BJ6&gt;=$BH$15,NOT($BJ6=""),$BF6=""),AND($CF6&gt;=$CD$15,NOT($CF6=""),$CB6=""))),"Worlds Team",IF(AND(F6="P",OR(AND($AN6&gt;=$AL$14,NOT($AN6=""),$AJ6=""),AND($BJ6&gt;=$BH$14,NOT($BJ6=""),$BF6=""),AND($CF6&gt;=$CD$14,NOT($CF6=""),$CB6=""))),"National Team",""))))</f>
        <v>Merit</v>
      </c>
      <c r="J6" s="16">
        <f>MAX(AN6,BJ6,CF6)</f>
        <v>88.35499999999999</v>
      </c>
      <c r="K6" s="16" t="str">
        <f>IF(J6=CF6,$BM$1,IF(J6=BJ6,$AQ$1,IF(J6=AN6,$U$1,"")))</f>
        <v>2018 Nationals</v>
      </c>
      <c r="L6" s="16">
        <f>IF($J6=$AN6,MAX(BH6,CD6),IF($J6=$BJ6,MAX(AL6,CD6),MAX(AL6,BH6)))</f>
        <v>0</v>
      </c>
      <c r="M6" s="16" t="str">
        <f>IF(AND(L6=CD6,$K6&lt;&gt;$BM$1),$BM$1,IF(AND(L6=BH6,$K6&lt;&gt;$AQ$1),$AQ$1,IF(AND(L6=AL6,$K6&lt;&gt;$U$1),$U$1,"")))</f>
        <v/>
      </c>
      <c r="N6" s="16">
        <f>IF($J6=$AN6,MAX(BI6,CE6),IF($J6=$BJ6,MAX(AM6,CE6),MAX(AM6,BI6)))</f>
        <v>0</v>
      </c>
      <c r="O6" s="16" t="str">
        <f>IF(AND(N6=CE6,$K6&lt;&gt;$BM$1),$BM$1,IF(AND(N6=BI6,$K6&lt;&gt;$AQ$1),$AQ$1,IF(AND(N6=AM6,$K6&lt;&gt;$U$1),$U$1,"")))</f>
        <v/>
      </c>
      <c r="P6" s="16">
        <f>MAX(AO6,BK6,CG6)</f>
        <v>19.184999999999999</v>
      </c>
      <c r="Q6" s="16" t="str">
        <f>IF(P6=CG6,$BM$1,IF(P6=BK6,$AQ$1,IF(P6=AO6,$U$1,"")))</f>
        <v>2018 Nationals</v>
      </c>
      <c r="R6" s="16">
        <f>IF(MAX(CI6:CK6)&gt;0,MAX(CI6:CK6),"")</f>
        <v>44.8</v>
      </c>
      <c r="S6" s="31" t="str">
        <f>IF(R6="","",IF(R6=CI6,"(Vol 1)",IF(R6=CJ6,"(Vol 2)",IF(R6=CK6,"(Final)"))))</f>
        <v>(Vol 2)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2018 World Cup JPN (Aug)</v>
      </c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93"/>
      <c r="AK6" s="13" t="str">
        <f>IF(SUM(W6,AB6)&gt;0,SUM(W6,AB6),"")</f>
        <v/>
      </c>
      <c r="AL6" s="13" t="str">
        <f>IF(SUM(U6:X6)-Y6&gt;0,SUM(U6:X6)-Y6,"")</f>
        <v/>
      </c>
      <c r="AM6" s="13" t="str">
        <f>IF(SUM(Z6:AC6)-AD6&gt;0,SUM(Z6:AC6)-AD6,"")</f>
        <v/>
      </c>
      <c r="AN6" s="13" t="str">
        <f>IF(SUM(AL6:AM6)&gt;0,SUM(AL6:AM6),"")</f>
        <v/>
      </c>
      <c r="AO6" s="13" t="str">
        <f>IF(SUM(AE6:AH6)-AI6&gt;0,SUM(AE6:AH6)-AI6,"")</f>
        <v/>
      </c>
      <c r="AP6" s="13" t="str">
        <f>IF(SUM(AN6,AO6)&gt;0,SUM(AN6,AO6),"")</f>
        <v/>
      </c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94"/>
      <c r="BG6" s="16" t="str">
        <f>IF(SUM(AS6,AX6)&gt;0,SUM(AS6,AX6),"")</f>
        <v/>
      </c>
      <c r="BH6" s="16" t="str">
        <f>IF(SUM(AQ6:AT6)-AU6&gt;0,SUM(AQ6:AT6)-AU6,"")</f>
        <v/>
      </c>
      <c r="BI6" s="16" t="str">
        <f>IF(SUM(AV6:AY6)-AZ6&gt;0,SUM(AV6:AY6)-AZ6,"")</f>
        <v/>
      </c>
      <c r="BJ6" s="16" t="str">
        <f>IF(SUM(BH6:BI6)&gt;0,SUM(BH6:BI6),"")</f>
        <v/>
      </c>
      <c r="BK6" s="16" t="str">
        <f>IF(SUM(BA6:BD6)-BE6&gt;0,SUM(BA6:BD6)-BE6,"")</f>
        <v/>
      </c>
      <c r="BL6" s="16" t="str">
        <f>IF(SUM(BJ6,BK6)&gt;0,SUM(BJ6,BK6),"")</f>
        <v/>
      </c>
      <c r="BM6" s="47">
        <v>9.0250000000000004</v>
      </c>
      <c r="BN6" s="47">
        <v>9.25</v>
      </c>
      <c r="BO6" s="47">
        <v>4.4000000000000004</v>
      </c>
      <c r="BP6" s="47">
        <v>18.940000000000001</v>
      </c>
      <c r="BQ6" s="47">
        <v>0</v>
      </c>
      <c r="BR6" s="47">
        <v>8.4499999999999993</v>
      </c>
      <c r="BS6" s="47">
        <v>9.25</v>
      </c>
      <c r="BT6" s="47">
        <v>11.1</v>
      </c>
      <c r="BU6" s="47">
        <v>17.940000000000001</v>
      </c>
      <c r="BV6" s="47">
        <v>0</v>
      </c>
      <c r="BW6" s="47">
        <v>3.2250000000000001</v>
      </c>
      <c r="BX6" s="47">
        <v>3.5</v>
      </c>
      <c r="BY6" s="47">
        <v>5.4</v>
      </c>
      <c r="BZ6" s="47">
        <v>7.06</v>
      </c>
      <c r="CA6" s="47">
        <v>0</v>
      </c>
      <c r="CB6" s="93"/>
      <c r="CC6" s="13">
        <f>IF(SUM(BO6,BT6)&gt;0,SUM(BO6,BT6),"")</f>
        <v>15.5</v>
      </c>
      <c r="CD6" s="13">
        <f>IF(SUM(BM6:BP6)-BQ6&gt;0,SUM(BM6:BP6)-BQ6,"")</f>
        <v>41.614999999999995</v>
      </c>
      <c r="CE6" s="13">
        <f>IF(SUM(BR6:BU6)-BV6&gt;0,SUM(BR6:BU6)-BV6,"")</f>
        <v>46.739999999999995</v>
      </c>
      <c r="CF6" s="13">
        <f>IF(SUM(CD6:CE6)&gt;0,SUM(CD6:CE6),"")</f>
        <v>88.35499999999999</v>
      </c>
      <c r="CG6" s="13">
        <f>IF(SUM(BW6:BZ6)-CA6&gt;0,SUM(BW6:BZ6)-CA6,"")</f>
        <v>19.184999999999999</v>
      </c>
      <c r="CH6" s="13">
        <f>IF(SUM(CF6,CG6)&gt;0,SUM(CF6,CG6),"")</f>
        <v>107.53999999999999</v>
      </c>
      <c r="CI6" s="30">
        <f>IF(MAX(DB6,DW6,ER6,FM6,GH6,HC6,HX6,IS6,JN6,KI6,LD6,LY6)-L6&gt;0.001,MAX(DB6,DW6,ER6,FM6,GH6,HC6,HX6,IS6,JN6,KI6,LD6,LY6)-L6,"")</f>
        <v>39.200000000000003</v>
      </c>
      <c r="CJ6" s="30">
        <f>IF(MAX(DC6,DX6,ES6,FN6,GI6,HD6,HY6,IT6,JO6,KJ6,LE6,LZ6)-N6&gt;0.001,MAX(DC6,DX6,ES6,FN6,GI6,HD6,HY6,IT6,JO6,KJ6,LE6,LZ6)-N6,"")</f>
        <v>44.8</v>
      </c>
      <c r="CK6" s="30">
        <f>IF(MAX(DE6,DZ6,EU6,FP6,GK6,HF6,IA6,IV6,JQ6,KL6,LG6,MB6)-P6&gt;0.001,MAX(DE6,DZ6,EU6,FP6,GK6,HF6,IA6,IV6,JQ6,KL6,LG6,MB6)-P6,"")</f>
        <v>27.065000000000001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>
        <v>8.6999999999999993</v>
      </c>
      <c r="HI6" s="47">
        <v>9.3000000000000007</v>
      </c>
      <c r="HJ6" s="47">
        <v>4.4000000000000004</v>
      </c>
      <c r="HK6" s="47">
        <v>16.8</v>
      </c>
      <c r="HL6" s="47">
        <v>0</v>
      </c>
      <c r="HM6" s="47">
        <v>8.1999999999999993</v>
      </c>
      <c r="HN6" s="47">
        <v>9.3000000000000007</v>
      </c>
      <c r="HO6" s="47">
        <v>11.1</v>
      </c>
      <c r="HP6" s="47">
        <v>16.2</v>
      </c>
      <c r="HQ6" s="47">
        <v>0</v>
      </c>
      <c r="HR6" s="47">
        <v>7.95</v>
      </c>
      <c r="HS6" s="47">
        <v>9.4</v>
      </c>
      <c r="HT6" s="47">
        <v>11.1</v>
      </c>
      <c r="HU6" s="47">
        <v>17.8</v>
      </c>
      <c r="HV6" s="47">
        <v>0</v>
      </c>
      <c r="HW6" s="13">
        <f>IF(SUM(HJ6,HO6)&gt;0,SUM(HJ6,HO6),"")</f>
        <v>15.5</v>
      </c>
      <c r="HX6" s="13">
        <f>IF(SUM(HH6:HK6)-HL6&gt;0,SUM(HH6:HK6)-HL6,"")</f>
        <v>39.200000000000003</v>
      </c>
      <c r="HY6" s="13">
        <f>IF(SUM(HM6:HP6)-HQ6&gt;0,SUM(HM6:HP6)-HQ6,"")</f>
        <v>44.8</v>
      </c>
      <c r="HZ6" s="13">
        <f>IF(SUM(HX6:HY6)&gt;0,SUM(HX6:HY6),"")</f>
        <v>84</v>
      </c>
      <c r="IA6" s="13">
        <f>IF(SUM(HR6:HU6)-HV6&gt;0,SUM(HR6:HU6)-HV6,"")</f>
        <v>46.25</v>
      </c>
      <c r="IB6" s="13">
        <f>IF(SUM(HZ6,IA6)&gt;0,SUM(HZ6,IA6),"")</f>
        <v>130.25</v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7" t="s">
        <v>133</v>
      </c>
      <c r="C7" s="8" t="s">
        <v>12</v>
      </c>
      <c r="D7" s="6" t="s">
        <v>175</v>
      </c>
      <c r="E7" s="17">
        <f>SUM(J7:R7)</f>
        <v>174.59</v>
      </c>
      <c r="F7" s="4" t="str">
        <f>IF(OR(AND($AK7&gt;=$AL$12,NOT($AK7=""),$AJ7=""),AND($BG7&gt;=$BH$12,NOT($BG7=""),$BF7=""),AND($CC7&gt;=$CD$12,NOT($CC7=""),$CB7="")),"P","")</f>
        <v/>
      </c>
      <c r="G7" s="4" t="str">
        <f>IF(OR(AND($AK7&gt;=$AL$13,NOT($AK7=""),$AJ7=""),AND($BG7&gt;=$BH$13,NOT($BG7=""),$BF7=""),AND($CC7&gt;=$CD$13,NOT($CC7=""),$CB7="")),"P","")</f>
        <v/>
      </c>
      <c r="H7" s="4" t="str">
        <f>IF(OR(AND($AN7&gt;=$AL$14,NOT($AN7=""),$AJ7=""),AND($BJ7&gt;=$BH$14,NOT($BJ7=""),$BF7=""),AND($CF7&gt;=$CD$14,NOT($CF7=""),$CB7="")),"P","")</f>
        <v/>
      </c>
      <c r="I7" t="str">
        <f>IF(AND(G7="P",OR(AND($AN7&gt;=$AL$17,NOT($AN7=""),$AJ7=""),AND($BJ7&gt;=$BH$17,NOT($BJ7=""),$BF7=""),AND($CF7&gt;=$CD$17,NOT($CF7=""),$CB7=""))),"Merit",IF(AND(G7="P",OR(AND($AN7&gt;=$AL$16,NOT($AN7=""),$AJ7=""),AND($BJ7&gt;=$BH$16,NOT($BJ7=""),$BF7=""),AND($CF7&gt;=$CD$16,NOT($CF7=""),$CB7=""))),"Funding",IF(AND(G7="P",OR(AND($AN7&gt;=$AL$15,NOT($AN7=""),$AJ7=""),AND($BJ7&gt;=$BH$15,NOT($BJ7=""),$BF7=""),AND($CF7&gt;=$CD$15,NOT($CF7=""),$CB7=""))),"Worlds Team",IF(AND(F7="P",OR(AND($AN7&gt;=$AL$14,NOT($AN7=""),$AJ7=""),AND($BJ7&gt;=$BH$14,NOT($BJ7=""),$BF7=""),AND($CF7&gt;=$CD$14,NOT($CF7=""),$CB7=""))),"National Team",""))))</f>
        <v/>
      </c>
      <c r="J7" s="16">
        <f>MAX(AN7,BJ7,CF7)</f>
        <v>71.58</v>
      </c>
      <c r="K7" s="16" t="str">
        <f>IF(J7=CF7,$BM$1,IF(J7=BJ7,$AQ$1,IF(J7=AN7,$U$1,"")))</f>
        <v>2018 Nationals</v>
      </c>
      <c r="L7" s="16">
        <f>IF($J7=$AN7,MAX(BH7,CD7),IF($J7=$BJ7,MAX(AL7,CD7),MAX(AL7,BH7)))</f>
        <v>39.974999999999994</v>
      </c>
      <c r="M7" s="16" t="str">
        <f>IF(AND(L7=CD7,$K7&lt;&gt;$BM$1),$BM$1,IF(AND(L7=BH7,$K7&lt;&gt;$AQ$1),$AQ$1,IF(AND(L7=AL7,$K7&lt;&gt;$U$1),$U$1,"")))</f>
        <v>2018 Canada Cup</v>
      </c>
      <c r="N7" s="16">
        <f>IF($J7=$AN7,MAX(BI7,CE7),IF($J7=$BJ7,MAX(AM7,CE7),MAX(AM7,BI7)))</f>
        <v>18.099999999999998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44.935000000000002</v>
      </c>
      <c r="Q7" s="16" t="str">
        <f>IF(P7=CG7,$BM$1,IF(P7=BK7,$AQ$1,IF(P7=AO7,$U$1,"")))</f>
        <v>2018 Canada Cup</v>
      </c>
      <c r="R7" s="16" t="str">
        <f>IF(MAX(CI7:CK7)&gt;0,MAX(CI7:CK7),"")</f>
        <v/>
      </c>
      <c r="S7" s="31" t="str">
        <f>IF(R7="","",IF(R7=CI7,"(Vol 1)",IF(R7=CJ7,"(Vol 2)",IF(R7=CK7,"(Final)"))))</f>
        <v/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48">
        <v>8.4749999999999996</v>
      </c>
      <c r="AR7" s="48">
        <v>9.1999999999999993</v>
      </c>
      <c r="AS7" s="48">
        <v>3.5</v>
      </c>
      <c r="AT7" s="48">
        <v>18.8</v>
      </c>
      <c r="AU7" s="48">
        <v>0</v>
      </c>
      <c r="AV7" s="48">
        <v>2.9</v>
      </c>
      <c r="AW7" s="48">
        <v>3.8</v>
      </c>
      <c r="AX7" s="48">
        <v>4.5999999999999996</v>
      </c>
      <c r="AY7" s="48">
        <v>6.8</v>
      </c>
      <c r="AZ7" s="48">
        <v>0</v>
      </c>
      <c r="BA7" s="48">
        <v>7.5750000000000002</v>
      </c>
      <c r="BB7" s="48">
        <v>8.9</v>
      </c>
      <c r="BC7" s="48">
        <v>10</v>
      </c>
      <c r="BD7" s="48">
        <v>18.46</v>
      </c>
      <c r="BE7" s="48">
        <v>0</v>
      </c>
      <c r="BF7" s="94"/>
      <c r="BG7" s="16">
        <f>IF(SUM(AS7,AX7)&gt;0,SUM(AS7,AX7),"")</f>
        <v>8.1</v>
      </c>
      <c r="BH7" s="16">
        <f>IF(SUM(AQ7:AT7)-AU7&gt;0,SUM(AQ7:AT7)-AU7,"")</f>
        <v>39.974999999999994</v>
      </c>
      <c r="BI7" s="16">
        <f>IF(SUM(AV7:AY7)-AZ7&gt;0,SUM(AV7:AY7)-AZ7,"")</f>
        <v>18.099999999999998</v>
      </c>
      <c r="BJ7" s="16">
        <f>IF(SUM(BH7:BI7)&gt;0,SUM(BH7:BI7),"")</f>
        <v>58.074999999999989</v>
      </c>
      <c r="BK7" s="16">
        <f>IF(SUM(BA7:BD7)-BE7&gt;0,SUM(BA7:BD7)-BE7,"")</f>
        <v>44.935000000000002</v>
      </c>
      <c r="BL7" s="16">
        <f>IF(SUM(BJ7,BK7)&gt;0,SUM(BJ7,BK7),"")</f>
        <v>103.00999999999999</v>
      </c>
      <c r="BM7" s="47">
        <v>8</v>
      </c>
      <c r="BN7" s="47">
        <v>7.25</v>
      </c>
      <c r="BO7" s="47">
        <v>2.4</v>
      </c>
      <c r="BP7" s="47">
        <v>13.36</v>
      </c>
      <c r="BQ7" s="47">
        <v>0</v>
      </c>
      <c r="BR7" s="47">
        <v>8</v>
      </c>
      <c r="BS7" s="47">
        <v>9.25</v>
      </c>
      <c r="BT7" s="47">
        <v>6.9</v>
      </c>
      <c r="BU7" s="47">
        <v>16.420000000000002</v>
      </c>
      <c r="BV7" s="47">
        <v>0</v>
      </c>
      <c r="BW7" s="47">
        <v>7.9</v>
      </c>
      <c r="BX7" s="47">
        <v>9.35</v>
      </c>
      <c r="BY7" s="47">
        <v>7.7</v>
      </c>
      <c r="BZ7" s="47">
        <v>16.079999999999998</v>
      </c>
      <c r="CA7" s="47">
        <v>0</v>
      </c>
      <c r="CB7" s="93"/>
      <c r="CC7" s="13">
        <f>IF(SUM(BO7,BT7)&gt;0,SUM(BO7,BT7),"")</f>
        <v>9.3000000000000007</v>
      </c>
      <c r="CD7" s="13">
        <f>IF(SUM(BM7:BP7)-BQ7&gt;0,SUM(BM7:BP7)-BQ7,"")</f>
        <v>31.009999999999998</v>
      </c>
      <c r="CE7" s="13">
        <f>IF(SUM(BR7:BU7)-BV7&gt;0,SUM(BR7:BU7)-BV7,"")</f>
        <v>40.57</v>
      </c>
      <c r="CF7" s="13">
        <f>IF(SUM(CD7:CE7)&gt;0,SUM(CD7:CE7),"")</f>
        <v>71.58</v>
      </c>
      <c r="CG7" s="13">
        <f>IF(SUM(BW7:BZ7)-CA7&gt;0,SUM(BW7:BZ7)-CA7,"")</f>
        <v>41.03</v>
      </c>
      <c r="CH7" s="13">
        <f>IF(SUM(CF7,CG7)&gt;0,SUM(CF7,CG7),"")</f>
        <v>112.61</v>
      </c>
      <c r="CI7" s="30" t="str">
        <f>IF(MAX(DB7,DW7,ER7,FM7,GH7,HC7,HX7,IS7,JN7,KI7,LD7,LY7)-L7&gt;0.001,MAX(DB7,DW7,ER7,FM7,GH7,HC7,HX7,IS7,JN7,KI7,LD7,LY7)-L7,"")</f>
        <v/>
      </c>
      <c r="CJ7" s="30" t="str">
        <f>IF(MAX(DC7,DX7,ES7,FN7,GI7,HD7,HY7,IT7,JO7,KJ7,LE7,LZ7)-N7&gt;0.001,MAX(DC7,DX7,ES7,FN7,GI7,HD7,HY7,IT7,JO7,KJ7,LE7,LZ7)-N7,"")</f>
        <v/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151</v>
      </c>
      <c r="C8" s="8" t="s">
        <v>12</v>
      </c>
      <c r="D8" s="6" t="s">
        <v>176</v>
      </c>
      <c r="E8" s="17">
        <f>SUM(J8:R8)</f>
        <v>44.019999999999996</v>
      </c>
      <c r="F8" s="4" t="str">
        <f>IF(OR(AND($AK8&gt;=$AL$12,NOT($AK8=""),$AJ8=""),AND($BG8&gt;=$BH$12,NOT($BG8=""),$BF8=""),AND($CC8&gt;=$CD$12,NOT($CC8=""),$CB8="")),"P","")</f>
        <v/>
      </c>
      <c r="G8" s="4" t="str">
        <f>IF(OR(AND($AK8&gt;=$AL$13,NOT($AK8=""),$AJ8=""),AND($BG8&gt;=$BH$13,NOT($BG8=""),$BF8=""),AND($CC8&gt;=$CD$13,NOT($CC8=""),$CB8="")),"P","")</f>
        <v/>
      </c>
      <c r="H8" s="4" t="str">
        <f>IF(OR(AND($AN8&gt;=$AL$14,NOT($AN8=""),$AJ8=""),AND($BJ8&gt;=$BH$14,NOT($BJ8=""),$BF8=""),AND($CF8&gt;=$CD$14,NOT($CF8=""),$CB8="")),"P","")</f>
        <v/>
      </c>
      <c r="I8" t="str">
        <f>IF(AND(G8="P",OR(AND($AN8&gt;=$AL$17,NOT($AN8=""),$AJ8=""),AND($BJ8&gt;=$BH$17,NOT($BJ8=""),$BF8=""),AND($CF8&gt;=$CD$17,NOT($CF8=""),$CB8=""))),"Merit",IF(AND(G8="P",OR(AND($AN8&gt;=$AL$16,NOT($AN8=""),$AJ8=""),AND($BJ8&gt;=$BH$16,NOT($BJ8=""),$BF8=""),AND($CF8&gt;=$CD$16,NOT($CF8=""),$CB8=""))),"Funding",IF(AND(G8="P",OR(AND($AN8&gt;=$AL$15,NOT($AN8=""),$AJ8=""),AND($BJ8&gt;=$BH$15,NOT($BJ8=""),$BF8=""),AND($CF8&gt;=$CD$15,NOT($CF8=""),$CB8=""))),"Worlds Team",IF(AND(F8="P",OR(AND($AN8&gt;=$AL$14,NOT($AN8=""),$AJ8=""),AND($BJ8&gt;=$BH$14,NOT($BJ8=""),$BF8=""),AND($CF8&gt;=$CD$14,NOT($CF8=""),$CB8=""))),"National Team",""))))</f>
        <v/>
      </c>
      <c r="J8" s="16">
        <f>MAX(AN8,BJ8,CF8)</f>
        <v>0</v>
      </c>
      <c r="K8" s="16" t="str">
        <f>IF(J8=CF8,$BM$1,IF(J8=BJ8,$AQ$1,IF(J8=AN8,$U$1,"")))</f>
        <v/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0</v>
      </c>
      <c r="Q8" s="16" t="str">
        <f>IF(P8=CG8,$BM$1,IF(P8=BK8,$AQ$1,IF(P8=AO8,$U$1,"")))</f>
        <v/>
      </c>
      <c r="R8" s="16">
        <f>IF(MAX(CI8:CK8)&gt;0,MAX(CI8:CK8),"")</f>
        <v>44.019999999999996</v>
      </c>
      <c r="S8" s="31" t="str">
        <f>IF(R8="","",IF(R8=CI8,"(Vol 1)",IF(R8=CJ8,"(Vol 2)",IF(R8=CK8,"(Final)"))))</f>
        <v>(Vol 2)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Pacific Rim (Apr)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>IF(SUM(AS8,AX8)&gt;0,SUM(AS8,AX8),"")</f>
        <v/>
      </c>
      <c r="BH8" s="16" t="str">
        <f>IF(SUM(AQ8:AT8)-AU8&gt;0,SUM(AQ8:AT8)-AU8,"")</f>
        <v/>
      </c>
      <c r="BI8" s="16" t="str">
        <f>IF(SUM(AV8:AY8)-AZ8&gt;0,SUM(AV8:AY8)-AZ8,"")</f>
        <v/>
      </c>
      <c r="BJ8" s="16" t="str">
        <f>IF(SUM(BH8:BI8)&gt;0,SUM(BH8:BI8),"")</f>
        <v/>
      </c>
      <c r="BK8" s="16" t="str">
        <f>IF(SUM(BA8:BD8)-BE8&gt;0,SUM(BA8:BD8)-BE8,"")</f>
        <v/>
      </c>
      <c r="BL8" s="16" t="str">
        <f>IF(SUM(BJ8,BK8)&gt;0,SUM(BJ8,BK8),"")</f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>IF(SUM(BO8,BT8)&gt;0,SUM(BO8,BT8),"")</f>
        <v/>
      </c>
      <c r="CD8" s="13" t="str">
        <f>IF(SUM(BM8:BP8)-BQ8&gt;0,SUM(BM8:BP8)-BQ8,"")</f>
        <v/>
      </c>
      <c r="CE8" s="13" t="str">
        <f>IF(SUM(BR8:BU8)-BV8&gt;0,SUM(BR8:BU8)-BV8,"")</f>
        <v/>
      </c>
      <c r="CF8" s="13" t="str">
        <f>IF(SUM(CD8:CE8)&gt;0,SUM(CD8:CE8),"")</f>
        <v/>
      </c>
      <c r="CG8" s="13" t="str">
        <f>IF(SUM(BW8:BZ8)-CA8&gt;0,SUM(BW8:BZ8)-CA8,"")</f>
        <v/>
      </c>
      <c r="CH8" s="13" t="str">
        <f>IF(SUM(CF8,CG8)&gt;0,SUM(CF8,CG8),"")</f>
        <v/>
      </c>
      <c r="CI8" s="30">
        <f>IF(MAX(DB8,DW8,ER8,FM8,GH8,HC8,HX8,IS8,JN8,KI8,LD8,LY8)-L8&gt;0.001,MAX(DB8,DW8,ER8,FM8,GH8,HC8,HX8,IS8,JN8,KI8,LD8,LY8)-L8,"")</f>
        <v>39.825000000000003</v>
      </c>
      <c r="CJ8" s="30">
        <f>IF(MAX(DC8,DX8,ES8,FN8,GI8,HD8,HY8,IT8,JO8,KJ8,LE8,LZ8)-N8&gt;0.001,MAX(DC8,DX8,ES8,FN8,GI8,HD8,HY8,IT8,JO8,KJ8,LE8,LZ8)-N8,"")</f>
        <v>44.019999999999996</v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>
        <v>8.3249999999999993</v>
      </c>
      <c r="EX8" s="48">
        <v>9.5</v>
      </c>
      <c r="EY8" s="48">
        <v>3.9</v>
      </c>
      <c r="EZ8" s="48">
        <v>18.100000000000001</v>
      </c>
      <c r="FA8" s="48">
        <v>0</v>
      </c>
      <c r="FB8" s="48">
        <v>7.8</v>
      </c>
      <c r="FC8" s="48">
        <v>9.1999999999999993</v>
      </c>
      <c r="FD8" s="48">
        <v>9.6999999999999993</v>
      </c>
      <c r="FE8" s="48">
        <v>17.32</v>
      </c>
      <c r="FF8" s="48">
        <v>0</v>
      </c>
      <c r="FG8" s="48"/>
      <c r="FH8" s="48"/>
      <c r="FI8" s="48"/>
      <c r="FJ8" s="48"/>
      <c r="FK8" s="48"/>
      <c r="FL8" s="16">
        <f>IF(SUM(EY8,FD8)&gt;0,SUM(EY8,FD8),"")</f>
        <v>13.6</v>
      </c>
      <c r="FM8" s="16">
        <f>IF(SUM(EW8:EZ8)-FA8&gt;0,SUM(EW8:EZ8)-FA8,"")</f>
        <v>39.825000000000003</v>
      </c>
      <c r="FN8" s="16">
        <f>IF(SUM(FB8:FE8)-FF8&gt;0,SUM(FB8:FE8)-FF8,"")</f>
        <v>44.019999999999996</v>
      </c>
      <c r="FO8" s="16">
        <f>IF(SUM(FM8:FN8)&gt;0,SUM(FM8:FN8),"")</f>
        <v>83.844999999999999</v>
      </c>
      <c r="FP8" s="16" t="str">
        <f>IF(SUM(FG8:FJ8)-FK8&gt;0,SUM(FG8:FJ8)-FK8,"")</f>
        <v/>
      </c>
      <c r="FQ8" s="16">
        <f>IF(SUM(FO8,FP8)&gt;0,SUM(FO8,FP8),"")</f>
        <v>83.844999999999999</v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157</v>
      </c>
      <c r="C9" s="8" t="s">
        <v>156</v>
      </c>
      <c r="D9" s="6">
        <v>2002</v>
      </c>
      <c r="E9" s="17">
        <f>SUM(J9:R9)</f>
        <v>39.950000000000003</v>
      </c>
      <c r="F9" s="4" t="str">
        <f>IF(OR(AND($AK9&gt;=$AL$12,NOT($AK9=""),$AJ9=""),AND($BG9&gt;=$BH$12,NOT($BG9=""),$BF9=""),AND($CC9&gt;=$CD$12,NOT($CC9=""),$CB9="")),"P","")</f>
        <v/>
      </c>
      <c r="G9" s="4" t="str">
        <f>IF(OR(AND($AK9&gt;=$AL$13,NOT($AK9=""),$AJ9=""),AND($BG9&gt;=$BH$13,NOT($BG9=""),$BF9=""),AND($CC9&gt;=$CD$13,NOT($CC9=""),$CB9="")),"P","")</f>
        <v/>
      </c>
      <c r="H9" s="4" t="str">
        <f>IF(OR(AND($AN9&gt;=$AL$14,NOT($AN9=""),$AJ9=""),AND($BJ9&gt;=$BH$14,NOT($BJ9=""),$BF9=""),AND($CF9&gt;=$CD$14,NOT($CF9=""),$CB9="")),"P","")</f>
        <v/>
      </c>
      <c r="I9" t="str">
        <f>IF(AND(G9="P",OR(AND($AN9&gt;=$AL$17,NOT($AN9=""),$AJ9=""),AND($BJ9&gt;=$BH$17,NOT($BJ9=""),$BF9=""),AND($CF9&gt;=$CD$17,NOT($CF9=""),$CB9=""))),"Merit",IF(AND(G9="P",OR(AND($AN9&gt;=$AL$16,NOT($AN9=""),$AJ9=""),AND($BJ9&gt;=$BH$16,NOT($BJ9=""),$BF9=""),AND($CF9&gt;=$CD$16,NOT($CF9=""),$CB9=""))),"Funding",IF(AND(G9="P",OR(AND($AN9&gt;=$AL$15,NOT($AN9=""),$AJ9=""),AND($BJ9&gt;=$BH$15,NOT($BJ9=""),$BF9=""),AND($CF9&gt;=$CD$15,NOT($CF9=""),$CB9=""))),"Worlds Team",IF(AND(F9="P",OR(AND($AN9&gt;=$AL$14,NOT($AN9=""),$AJ9=""),AND($BJ9&gt;=$BH$14,NOT($BJ9=""),$BF9=""),AND($CF9&gt;=$CD$14,NOT($CF9=""),$CB9=""))),"National Team",""))))</f>
        <v/>
      </c>
      <c r="J9" s="16">
        <f>MAX(AN9,BJ9,CF9)</f>
        <v>0</v>
      </c>
      <c r="K9" s="16" t="str">
        <f>IF(J9=CF9,$BM$1,IF(J9=BJ9,$AQ$1,IF(J9=AN9,$U$1,"")))</f>
        <v/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0</v>
      </c>
      <c r="Q9" s="16" t="str">
        <f>IF(P9=CG9,$BM$1,IF(P9=BK9,$AQ$1,IF(P9=AO9,$U$1,"")))</f>
        <v/>
      </c>
      <c r="R9" s="16">
        <f>IF(MAX(CI9:CK9)&gt;0,MAX(CI9:CK9),"")</f>
        <v>39.950000000000003</v>
      </c>
      <c r="S9" s="31" t="str">
        <f>IF(R9="","",IF(R9=CI9,"(Vol 1)",IF(R9=CJ9,"(Vol 2)",IF(R9=CK9,"(Final)"))))</f>
        <v>(Vol 2)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2018 Junior Pan Am Championships (June)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>IF(SUM(AS9,AX9)&gt;0,SUM(AS9,AX9),"")</f>
        <v/>
      </c>
      <c r="BH9" s="16" t="str">
        <f>IF(SUM(AQ9:AT9)-AU9&gt;0,SUM(AQ9:AT9)-AU9,"")</f>
        <v/>
      </c>
      <c r="BI9" s="16" t="str">
        <f>IF(SUM(AV9:AY9)-AZ9&gt;0,SUM(AV9:AY9)-AZ9,"")</f>
        <v/>
      </c>
      <c r="BJ9" s="16" t="str">
        <f>IF(SUM(BH9:BI9)&gt;0,SUM(BH9:BI9),"")</f>
        <v/>
      </c>
      <c r="BK9" s="16" t="str">
        <f>IF(SUM(BA9:BD9)-BE9&gt;0,SUM(BA9:BD9)-BE9,"")</f>
        <v/>
      </c>
      <c r="BL9" s="16" t="str">
        <f>IF(SUM(BJ9,BK9)&gt;0,SUM(BJ9,BK9),"")</f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>IF(SUM(BO9,BT9)&gt;0,SUM(BO9,BT9),"")</f>
        <v/>
      </c>
      <c r="CD9" s="13" t="str">
        <f>IF(SUM(BM9:BP9)-BQ9&gt;0,SUM(BM9:BP9)-BQ9,"")</f>
        <v/>
      </c>
      <c r="CE9" s="13" t="str">
        <f>IF(SUM(BR9:BU9)-BV9&gt;0,SUM(BR9:BU9)-BV9,"")</f>
        <v/>
      </c>
      <c r="CF9" s="13" t="str">
        <f>IF(SUM(CD9:CE9)&gt;0,SUM(CD9:CE9),"")</f>
        <v/>
      </c>
      <c r="CG9" s="13" t="str">
        <f>IF(SUM(BW9:BZ9)-CA9&gt;0,SUM(BW9:BZ9)-CA9,"")</f>
        <v/>
      </c>
      <c r="CH9" s="13" t="str">
        <f>IF(SUM(CF9,CG9)&gt;0,SUM(CF9,CG9),"")</f>
        <v/>
      </c>
      <c r="CI9" s="30">
        <f>IF(MAX(DB9,DW9,ER9,FM9,GH9,HC9,HX9,IS9,JN9,KI9,LD9,LY9)-L9&gt;0.001,MAX(DB9,DW9,ER9,FM9,GH9,HC9,HX9,IS9,JN9,KI9,LD9,LY9)-L9,"")</f>
        <v>31.024999999999999</v>
      </c>
      <c r="CJ9" s="30">
        <f>IF(MAX(DC9,DX9,ES9,FN9,GI9,HD9,HY9,IT9,JO9,KJ9,LE9,LZ9)-N9&gt;0.001,MAX(DC9,DX9,ES9,FN9,GI9,HD9,HY9,IT9,JO9,KJ9,LE9,LZ9)-N9,"")</f>
        <v>39.950000000000003</v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>
        <v>8.5250000000000004</v>
      </c>
      <c r="GN9" s="48">
        <v>9.5</v>
      </c>
      <c r="GO9" s="48">
        <v>0</v>
      </c>
      <c r="GP9" s="48">
        <v>17</v>
      </c>
      <c r="GQ9" s="48">
        <v>4</v>
      </c>
      <c r="GR9" s="48">
        <v>8.5500000000000007</v>
      </c>
      <c r="GS9" s="48">
        <v>9.6</v>
      </c>
      <c r="GT9" s="48">
        <v>4.5999999999999996</v>
      </c>
      <c r="GU9" s="48">
        <v>17.2</v>
      </c>
      <c r="GV9" s="48"/>
      <c r="GW9" s="48"/>
      <c r="GX9" s="48"/>
      <c r="GY9" s="48"/>
      <c r="GZ9" s="48"/>
      <c r="HA9" s="48"/>
      <c r="HB9" s="16">
        <f>IF(SUM(GO9,GT9)&gt;0,SUM(GO9,GT9),"")</f>
        <v>4.5999999999999996</v>
      </c>
      <c r="HC9" s="16">
        <f>IF(SUM(GM9:GP9)-GQ9&gt;0,SUM(GM9:GP9)-GQ9,"")</f>
        <v>31.024999999999999</v>
      </c>
      <c r="HD9" s="16">
        <f>IF(SUM(GR9:GU9)-GV9&gt;0,SUM(GR9:GU9)-GV9,"")</f>
        <v>39.950000000000003</v>
      </c>
      <c r="HE9" s="16">
        <f>IF(SUM(HC9:HD9)&gt;0,SUM(HC9:HD9),"")</f>
        <v>70.974999999999994</v>
      </c>
      <c r="HF9" s="16" t="str">
        <f>IF(SUM(GW9:GZ9)-HA9&gt;0,SUM(GW9:GZ9)-HA9,"")</f>
        <v/>
      </c>
      <c r="HG9" s="16">
        <f>IF(SUM(HE9,HF9)&gt;0,SUM(HE9,HF9),"")</f>
        <v>70.974999999999994</v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D10" s="1"/>
    </row>
    <row r="11" spans="1:341" x14ac:dyDescent="0.2">
      <c r="HB11" s="7"/>
      <c r="HC11" s="7"/>
    </row>
    <row r="12" spans="1:341" x14ac:dyDescent="0.2">
      <c r="B12" s="82" t="s">
        <v>120</v>
      </c>
      <c r="AK12" s="66"/>
      <c r="AL12" s="75">
        <v>14.3</v>
      </c>
      <c r="BG12" s="66"/>
      <c r="BH12" s="75">
        <v>13.6</v>
      </c>
      <c r="CC12" s="66"/>
      <c r="CD12" s="75">
        <v>13.6</v>
      </c>
      <c r="DA12" s="66"/>
      <c r="DB12" s="75">
        <v>14.3</v>
      </c>
      <c r="DV12" s="66"/>
      <c r="DW12" s="75">
        <v>14.3</v>
      </c>
      <c r="EQ12" s="66"/>
      <c r="ER12" s="75">
        <v>14.3</v>
      </c>
      <c r="FL12" s="66"/>
      <c r="FM12" s="75">
        <v>13.6</v>
      </c>
      <c r="GG12" s="66"/>
      <c r="GH12" s="75">
        <v>13.6</v>
      </c>
      <c r="HB12" s="66"/>
      <c r="HC12" s="75">
        <v>13.6</v>
      </c>
      <c r="HW12" s="66"/>
      <c r="HX12" s="75">
        <v>13.6</v>
      </c>
      <c r="IR12" s="66"/>
      <c r="IS12" s="75">
        <v>13.6</v>
      </c>
      <c r="JM12" s="66"/>
      <c r="JN12" s="75">
        <v>13.6</v>
      </c>
      <c r="KH12" s="66"/>
      <c r="KI12" s="75">
        <v>13.6</v>
      </c>
      <c r="LC12" s="66"/>
      <c r="LD12" s="75">
        <v>13.6</v>
      </c>
      <c r="LX12" s="66"/>
      <c r="LY12" s="75">
        <v>13.6</v>
      </c>
    </row>
    <row r="13" spans="1:341" x14ac:dyDescent="0.2">
      <c r="A13" s="66"/>
      <c r="B13" s="83" t="s">
        <v>119</v>
      </c>
      <c r="C13" s="65"/>
      <c r="AK13" s="66"/>
      <c r="AL13" s="76">
        <v>14.3</v>
      </c>
      <c r="BG13" s="66"/>
      <c r="BH13" s="76">
        <v>14</v>
      </c>
      <c r="CC13" s="66"/>
      <c r="CD13" s="76">
        <v>14</v>
      </c>
      <c r="DA13" s="66"/>
      <c r="DB13" s="76">
        <v>14.3</v>
      </c>
      <c r="DV13" s="66"/>
      <c r="DW13" s="76">
        <v>14.3</v>
      </c>
      <c r="EQ13" s="66"/>
      <c r="ER13" s="76">
        <v>14.3</v>
      </c>
      <c r="FL13" s="66"/>
      <c r="FM13" s="76">
        <v>14</v>
      </c>
      <c r="GG13" s="66"/>
      <c r="GH13" s="76">
        <v>14</v>
      </c>
      <c r="HB13" s="66"/>
      <c r="HC13" s="76">
        <v>14</v>
      </c>
      <c r="HW13" s="66"/>
      <c r="HX13" s="76">
        <v>14</v>
      </c>
      <c r="IR13" s="66"/>
      <c r="IS13" s="76">
        <v>14</v>
      </c>
      <c r="JM13" s="66"/>
      <c r="JN13" s="76">
        <v>14</v>
      </c>
      <c r="KH13" s="66"/>
      <c r="KI13" s="76">
        <v>14</v>
      </c>
      <c r="LC13" s="66"/>
      <c r="LD13" s="76">
        <v>14</v>
      </c>
      <c r="LX13" s="66"/>
      <c r="LY13" s="76">
        <v>14</v>
      </c>
    </row>
    <row r="14" spans="1:341" x14ac:dyDescent="0.2">
      <c r="A14" s="66"/>
      <c r="B14" s="84" t="s">
        <v>117</v>
      </c>
      <c r="C14" s="65"/>
      <c r="AK14" s="66"/>
      <c r="AL14" s="77">
        <v>84.4</v>
      </c>
      <c r="BG14" s="66"/>
      <c r="BH14" s="77">
        <v>81.2</v>
      </c>
      <c r="CC14" s="66"/>
      <c r="CD14" s="77">
        <v>81.2</v>
      </c>
      <c r="DA14" s="66"/>
      <c r="DB14" s="77">
        <v>84.4</v>
      </c>
      <c r="DV14" s="66"/>
      <c r="DW14" s="77">
        <v>84.4</v>
      </c>
      <c r="EQ14" s="66"/>
      <c r="ER14" s="77">
        <v>84.4</v>
      </c>
      <c r="FL14" s="66"/>
      <c r="FM14" s="77">
        <v>81.2</v>
      </c>
      <c r="GG14" s="66"/>
      <c r="GH14" s="77">
        <v>81.2</v>
      </c>
      <c r="HB14" s="66"/>
      <c r="HC14" s="77">
        <v>81.2</v>
      </c>
      <c r="HW14" s="66"/>
      <c r="HX14" s="77">
        <v>81.2</v>
      </c>
      <c r="IR14" s="66"/>
      <c r="IS14" s="77">
        <v>81.2</v>
      </c>
      <c r="JM14" s="66"/>
      <c r="JN14" s="77">
        <v>81.2</v>
      </c>
      <c r="KH14" s="66"/>
      <c r="KI14" s="77">
        <v>81.2</v>
      </c>
      <c r="LC14" s="66"/>
      <c r="LD14" s="77">
        <v>81.2</v>
      </c>
      <c r="LX14" s="66"/>
      <c r="LY14" s="77">
        <v>81.2</v>
      </c>
    </row>
    <row r="15" spans="1:341" x14ac:dyDescent="0.2">
      <c r="A15" s="66"/>
      <c r="B15" s="85" t="s">
        <v>118</v>
      </c>
      <c r="C15" s="65"/>
      <c r="AK15" s="66"/>
      <c r="AL15" s="78">
        <v>84.4</v>
      </c>
      <c r="BG15" s="66"/>
      <c r="BH15" s="78">
        <v>83.2</v>
      </c>
      <c r="CC15" s="66"/>
      <c r="CD15" s="78">
        <v>83.2</v>
      </c>
      <c r="DA15" s="66"/>
      <c r="DB15" s="78">
        <v>84.4</v>
      </c>
      <c r="DV15" s="66"/>
      <c r="DW15" s="78">
        <v>84.4</v>
      </c>
      <c r="EQ15" s="66"/>
      <c r="ER15" s="78">
        <v>84.4</v>
      </c>
      <c r="FL15" s="66"/>
      <c r="FM15" s="78">
        <v>83.2</v>
      </c>
      <c r="GG15" s="66"/>
      <c r="GH15" s="78">
        <v>83.2</v>
      </c>
      <c r="HB15" s="66"/>
      <c r="HC15" s="78">
        <v>83.2</v>
      </c>
      <c r="HW15" s="66"/>
      <c r="HX15" s="78">
        <v>83.2</v>
      </c>
      <c r="IR15" s="66"/>
      <c r="IS15" s="78">
        <v>83.2</v>
      </c>
      <c r="JM15" s="66"/>
      <c r="JN15" s="78">
        <v>83.2</v>
      </c>
      <c r="KH15" s="66"/>
      <c r="KI15" s="78">
        <v>83.2</v>
      </c>
      <c r="LC15" s="66"/>
      <c r="LD15" s="78">
        <v>83.2</v>
      </c>
      <c r="LX15" s="66"/>
      <c r="LY15" s="78">
        <v>83.2</v>
      </c>
    </row>
    <row r="16" spans="1:341" x14ac:dyDescent="0.2">
      <c r="A16" s="66"/>
      <c r="B16" s="86" t="s">
        <v>38</v>
      </c>
      <c r="C16" s="65"/>
      <c r="AK16" s="66"/>
      <c r="AL16" s="79">
        <v>86.6</v>
      </c>
      <c r="BG16" s="66"/>
      <c r="BH16" s="79">
        <v>85.1</v>
      </c>
      <c r="CC16" s="66"/>
      <c r="CD16" s="79">
        <v>85.1</v>
      </c>
      <c r="DA16" s="66"/>
      <c r="DB16" s="79">
        <v>86.6</v>
      </c>
      <c r="DV16" s="66"/>
      <c r="DW16" s="79">
        <v>86.6</v>
      </c>
      <c r="EQ16" s="66"/>
      <c r="ER16" s="79">
        <v>86.6</v>
      </c>
      <c r="FL16" s="66"/>
      <c r="FM16" s="79">
        <v>85.1</v>
      </c>
      <c r="GG16" s="66"/>
      <c r="GH16" s="79">
        <v>85.1</v>
      </c>
      <c r="HB16" s="66"/>
      <c r="HC16" s="79">
        <v>85.1</v>
      </c>
      <c r="HW16" s="66"/>
      <c r="HX16" s="79">
        <v>85.1</v>
      </c>
      <c r="IR16" s="66"/>
      <c r="IS16" s="79">
        <v>85.1</v>
      </c>
      <c r="JM16" s="66"/>
      <c r="JN16" s="79">
        <v>85.1</v>
      </c>
      <c r="KH16" s="66"/>
      <c r="KI16" s="79">
        <v>85.1</v>
      </c>
      <c r="LC16" s="66"/>
      <c r="LD16" s="79">
        <v>85.1</v>
      </c>
      <c r="LX16" s="66"/>
      <c r="LY16" s="79">
        <v>85.1</v>
      </c>
    </row>
    <row r="17" spans="1:337" x14ac:dyDescent="0.2">
      <c r="A17" s="66"/>
      <c r="B17" s="87" t="s">
        <v>88</v>
      </c>
      <c r="C17" s="65"/>
      <c r="AK17" s="66"/>
      <c r="AL17" s="80">
        <v>89.6</v>
      </c>
      <c r="BG17" s="66"/>
      <c r="BH17" s="80">
        <v>86.3</v>
      </c>
      <c r="CC17" s="66"/>
      <c r="CD17" s="80">
        <v>86.3</v>
      </c>
      <c r="DA17" s="66"/>
      <c r="DB17" s="80">
        <v>89.6</v>
      </c>
      <c r="DV17" s="66"/>
      <c r="DW17" s="80">
        <v>89.6</v>
      </c>
      <c r="EQ17" s="66"/>
      <c r="ER17" s="80">
        <v>89.6</v>
      </c>
      <c r="FL17" s="66"/>
      <c r="FM17" s="80">
        <v>86.3</v>
      </c>
      <c r="GG17" s="66"/>
      <c r="GH17" s="80">
        <v>86.3</v>
      </c>
      <c r="HB17" s="66"/>
      <c r="HC17" s="80">
        <v>86.3</v>
      </c>
      <c r="HW17" s="66"/>
      <c r="HX17" s="80">
        <v>86.3</v>
      </c>
      <c r="IR17" s="66"/>
      <c r="IS17" s="80">
        <v>86.3</v>
      </c>
      <c r="JM17" s="66"/>
      <c r="JN17" s="80">
        <v>86.3</v>
      </c>
      <c r="KH17" s="66"/>
      <c r="KI17" s="80">
        <v>86.3</v>
      </c>
      <c r="LC17" s="66"/>
      <c r="LD17" s="80">
        <v>86.3</v>
      </c>
      <c r="LX17" s="66"/>
      <c r="LY17" s="80">
        <v>86.3</v>
      </c>
    </row>
    <row r="18" spans="1:337" x14ac:dyDescent="0.2">
      <c r="B18" s="95" t="s">
        <v>160</v>
      </c>
      <c r="C18" s="3"/>
      <c r="AL18" s="64" t="s">
        <v>138</v>
      </c>
      <c r="BH18" s="64"/>
      <c r="DB18" s="64" t="s">
        <v>138</v>
      </c>
      <c r="DW18" s="64" t="s">
        <v>138</v>
      </c>
      <c r="ER18" s="64" t="s">
        <v>138</v>
      </c>
      <c r="FM18" s="64"/>
    </row>
    <row r="19" spans="1:337" x14ac:dyDescent="0.2">
      <c r="A19" s="66"/>
      <c r="B19" s="66"/>
      <c r="C19" s="65"/>
    </row>
    <row r="20" spans="1:337" ht="17" x14ac:dyDescent="0.2">
      <c r="A20" s="66"/>
      <c r="B20" s="66"/>
      <c r="C20" s="65"/>
      <c r="R20" s="23"/>
      <c r="S20" s="23"/>
      <c r="T20" s="23"/>
    </row>
    <row r="21" spans="1:337" ht="17" x14ac:dyDescent="0.2">
      <c r="A21" s="66"/>
      <c r="B21" s="66"/>
      <c r="C21" s="65"/>
      <c r="R21" s="23"/>
      <c r="S21" s="23"/>
      <c r="T21" s="23"/>
    </row>
    <row r="22" spans="1:337" ht="17" x14ac:dyDescent="0.2">
      <c r="R22" s="23"/>
      <c r="S22" s="23"/>
      <c r="T22" s="23"/>
    </row>
    <row r="23" spans="1:337" ht="17" x14ac:dyDescent="0.2">
      <c r="R23" s="23"/>
      <c r="S23" s="23"/>
      <c r="T23" s="23"/>
    </row>
    <row r="24" spans="1:337" ht="17" x14ac:dyDescent="0.2">
      <c r="R24" s="23"/>
      <c r="S24" s="23"/>
      <c r="T24" s="23"/>
    </row>
    <row r="25" spans="1:337" ht="17" x14ac:dyDescent="0.2">
      <c r="R25" s="23"/>
      <c r="S25" s="23"/>
      <c r="T25" s="23"/>
    </row>
    <row r="26" spans="1:337" ht="17" x14ac:dyDescent="0.2"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9">
      <sortCondition descending="1" ref="F1:F5"/>
    </sortState>
  </autoFilter>
  <mergeCells count="81">
    <mergeCell ref="IX1:JR1"/>
    <mergeCell ref="JS1:KM1"/>
    <mergeCell ref="IX2:JB2"/>
    <mergeCell ref="JC2:JG2"/>
    <mergeCell ref="JH2:JL2"/>
    <mergeCell ref="JS2:JW2"/>
    <mergeCell ref="JX2:KB2"/>
    <mergeCell ref="KC2:KG2"/>
    <mergeCell ref="LI1:MC1"/>
    <mergeCell ref="KN2:KR2"/>
    <mergeCell ref="KS2:KW2"/>
    <mergeCell ref="KX2:LB2"/>
    <mergeCell ref="LI2:LM2"/>
    <mergeCell ref="LN2:LR2"/>
    <mergeCell ref="LS2:LW2"/>
    <mergeCell ref="KN1:LH1"/>
    <mergeCell ref="HH1:IB1"/>
    <mergeCell ref="IC1:IW1"/>
    <mergeCell ref="HH2:HL2"/>
    <mergeCell ref="HM2:HQ2"/>
    <mergeCell ref="HR2:HV2"/>
    <mergeCell ref="IC2:IG2"/>
    <mergeCell ref="IH2:IL2"/>
    <mergeCell ref="IM2:IQ2"/>
    <mergeCell ref="FR1:GL1"/>
    <mergeCell ref="GM1:HG1"/>
    <mergeCell ref="FR2:FV2"/>
    <mergeCell ref="FW2:GA2"/>
    <mergeCell ref="GB2:GF2"/>
    <mergeCell ref="GM2:GQ2"/>
    <mergeCell ref="GR2:GV2"/>
    <mergeCell ref="GW2:HA2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E1:E3"/>
    <mergeCell ref="A1:A3"/>
    <mergeCell ref="B1:B3"/>
    <mergeCell ref="C1:C3"/>
    <mergeCell ref="D1:D3"/>
    <mergeCell ref="T1:T3"/>
    <mergeCell ref="U2:Y2"/>
    <mergeCell ref="M1:M3"/>
    <mergeCell ref="K1:K3"/>
    <mergeCell ref="O1:O3"/>
    <mergeCell ref="Q1:Q3"/>
    <mergeCell ref="S1:S3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DG1:EA1"/>
    <mergeCell ref="CV2:CZ2"/>
    <mergeCell ref="DG2:DK2"/>
    <mergeCell ref="DL2:DP2"/>
    <mergeCell ref="DQ2:DU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9">
    <cfRule type="expression" dxfId="117" priority="15">
      <formula>IF($AJ4&lt;&gt;"",1,0)</formula>
    </cfRule>
  </conditionalFormatting>
  <conditionalFormatting sqref="AQ4:BL9">
    <cfRule type="expression" dxfId="116" priority="12">
      <formula>IF($BF4&lt;&gt;"",1,0)</formula>
    </cfRule>
  </conditionalFormatting>
  <conditionalFormatting sqref="BM4:CH9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DB$13</formula>
      <formula>100</formula>
    </cfRule>
    <cfRule type="cellIs" dxfId="113" priority="2287" operator="between">
      <formula>DB$12</formula>
      <formula>DB$13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DB$17</formula>
      <formula>1000</formula>
    </cfRule>
    <cfRule type="cellIs" dxfId="111" priority="2059" operator="between">
      <formula>DB$16</formula>
      <formula>DB$17</formula>
    </cfRule>
    <cfRule type="cellIs" dxfId="110" priority="2060" operator="between">
      <formula>DB$15</formula>
      <formula>DB$16</formula>
    </cfRule>
    <cfRule type="cellIs" dxfId="109" priority="2061" operator="between">
      <formula>DB$14</formula>
      <formula>DB$15</formula>
    </cfRule>
  </conditionalFormatting>
  <conditionalFormatting sqref="AK1:AK1048576 BG1:BG1048576 CC1:CC1048576">
    <cfRule type="expression" dxfId="108" priority="5">
      <formula>IF(AND(AK1&gt;=AL$13,AK1&lt;1000,AJ1=""),1,0)</formula>
    </cfRule>
    <cfRule type="expression" dxfId="107" priority="6">
      <formula>IF(AND(AK1&gt;=AL$12,AK1&lt;AL$13,AJ1=""),1,0)</formula>
    </cfRule>
  </conditionalFormatting>
  <conditionalFormatting sqref="AN1:AN1048576 BJ1:BJ1048576 CF1:CF1048576">
    <cfRule type="expression" dxfId="106" priority="1">
      <formula>IF(AND(AN1&gt;=AL$17,AN1&lt;1000,AJ1=""),1,0)</formula>
    </cfRule>
    <cfRule type="expression" dxfId="105" priority="2">
      <formula>IF(AND(AN1&gt;=AL$16,AN1&lt;AL$17,AJ1=""),1,0)</formula>
    </cfRule>
    <cfRule type="expression" dxfId="104" priority="3">
      <formula>IF(AND(AN1&gt;=AL$15,AN1&lt;AL$16,AJ1=""),1,0)</formula>
    </cfRule>
    <cfRule type="expression" dxfId="103" priority="4">
      <formula>IF(AND(AN1&gt;=AL$14,AN1&lt;AL$15,AJ1=""),1,0)</formula>
    </cfRule>
  </conditionalFormatting>
  <conditionalFormatting sqref="K1:K1048576 M1:M1048576 O1:O1048576 Q1:Q1048576">
    <cfRule type="expression" dxfId="102" priority="352">
      <formula>IF(K1=$BM$1,1,0)</formula>
    </cfRule>
    <cfRule type="expression" dxfId="101" priority="353">
      <formula>IF(K1=$AQ$1,1,0)</formula>
    </cfRule>
    <cfRule type="expression" dxfId="100" priority="540">
      <formula>IF(K1=$U$1,1,0)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76</v>
      </c>
      <c r="M1" s="101" t="s">
        <v>86</v>
      </c>
      <c r="N1" s="101" t="s">
        <v>77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4" t="s">
        <v>121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2" t="s">
        <v>139</v>
      </c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5" t="s">
        <v>27</v>
      </c>
      <c r="CP1" s="105"/>
      <c r="CQ1" s="105"/>
      <c r="CR1" s="102" t="s">
        <v>99</v>
      </c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4" t="s">
        <v>113</v>
      </c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</row>
    <row r="2" spans="1:37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55</v>
      </c>
      <c r="V2" s="98"/>
      <c r="W2" s="98"/>
      <c r="X2" s="98"/>
      <c r="Y2" s="98" t="s">
        <v>58</v>
      </c>
      <c r="Z2" s="98"/>
      <c r="AA2" s="98"/>
      <c r="AB2" s="98"/>
      <c r="AC2" s="98" t="s">
        <v>59</v>
      </c>
      <c r="AD2" s="98"/>
      <c r="AE2" s="98"/>
      <c r="AF2" s="98"/>
      <c r="AG2" s="109" t="s">
        <v>60</v>
      </c>
      <c r="AH2" s="109"/>
      <c r="AI2" s="109"/>
      <c r="AJ2" s="109"/>
      <c r="AK2" s="91"/>
      <c r="AL2" s="68" t="s">
        <v>39</v>
      </c>
      <c r="AM2" s="68" t="s">
        <v>80</v>
      </c>
      <c r="AN2" s="11" t="s">
        <v>55</v>
      </c>
      <c r="AO2" s="11" t="s">
        <v>58</v>
      </c>
      <c r="AP2" s="11" t="s">
        <v>37</v>
      </c>
      <c r="AQ2" s="11" t="s">
        <v>36</v>
      </c>
      <c r="AR2" s="11" t="s">
        <v>31</v>
      </c>
      <c r="AS2" s="97" t="s">
        <v>55</v>
      </c>
      <c r="AT2" s="97"/>
      <c r="AU2" s="97"/>
      <c r="AV2" s="97"/>
      <c r="AW2" s="97" t="s">
        <v>58</v>
      </c>
      <c r="AX2" s="97"/>
      <c r="AY2" s="97"/>
      <c r="AZ2" s="97"/>
      <c r="BA2" s="97" t="s">
        <v>59</v>
      </c>
      <c r="BB2" s="97"/>
      <c r="BC2" s="97"/>
      <c r="BD2" s="97"/>
      <c r="BE2" s="108" t="s">
        <v>60</v>
      </c>
      <c r="BF2" s="108"/>
      <c r="BG2" s="108"/>
      <c r="BH2" s="108"/>
      <c r="BI2" s="92"/>
      <c r="BJ2" s="67" t="s">
        <v>39</v>
      </c>
      <c r="BK2" s="67" t="s">
        <v>80</v>
      </c>
      <c r="BL2" s="14" t="s">
        <v>55</v>
      </c>
      <c r="BM2" s="14" t="s">
        <v>58</v>
      </c>
      <c r="BN2" s="14" t="s">
        <v>37</v>
      </c>
      <c r="BO2" s="14" t="s">
        <v>36</v>
      </c>
      <c r="BP2" s="14" t="s">
        <v>31</v>
      </c>
      <c r="BQ2" s="98" t="s">
        <v>55</v>
      </c>
      <c r="BR2" s="98"/>
      <c r="BS2" s="98"/>
      <c r="BT2" s="98"/>
      <c r="BU2" s="98" t="s">
        <v>58</v>
      </c>
      <c r="BV2" s="98"/>
      <c r="BW2" s="98"/>
      <c r="BX2" s="98"/>
      <c r="BY2" s="98" t="s">
        <v>59</v>
      </c>
      <c r="BZ2" s="98"/>
      <c r="CA2" s="98"/>
      <c r="CB2" s="98"/>
      <c r="CC2" s="107" t="s">
        <v>60</v>
      </c>
      <c r="CD2" s="107"/>
      <c r="CE2" s="107"/>
      <c r="CF2" s="107"/>
      <c r="CG2" s="91"/>
      <c r="CH2" s="22" t="s">
        <v>39</v>
      </c>
      <c r="CI2" s="22" t="s">
        <v>80</v>
      </c>
      <c r="CJ2" s="11" t="s">
        <v>55</v>
      </c>
      <c r="CK2" s="11" t="s">
        <v>58</v>
      </c>
      <c r="CL2" s="11" t="s">
        <v>37</v>
      </c>
      <c r="CM2" s="11" t="s">
        <v>36</v>
      </c>
      <c r="CN2" s="11" t="s">
        <v>31</v>
      </c>
      <c r="CO2" s="28" t="s">
        <v>55</v>
      </c>
      <c r="CP2" s="28" t="s">
        <v>58</v>
      </c>
      <c r="CQ2" s="28" t="s">
        <v>36</v>
      </c>
      <c r="CR2" s="98" t="s">
        <v>55</v>
      </c>
      <c r="CS2" s="98"/>
      <c r="CT2" s="98"/>
      <c r="CU2" s="98"/>
      <c r="CV2" s="98" t="s">
        <v>58</v>
      </c>
      <c r="CW2" s="98"/>
      <c r="CX2" s="98"/>
      <c r="CY2" s="98"/>
      <c r="CZ2" s="98" t="s">
        <v>59</v>
      </c>
      <c r="DA2" s="98"/>
      <c r="DB2" s="98"/>
      <c r="DC2" s="98"/>
      <c r="DD2" s="106" t="s">
        <v>60</v>
      </c>
      <c r="DE2" s="106"/>
      <c r="DF2" s="106"/>
      <c r="DG2" s="106"/>
      <c r="DH2" s="68" t="s">
        <v>39</v>
      </c>
      <c r="DI2" s="68" t="s">
        <v>80</v>
      </c>
      <c r="DJ2" s="11" t="s">
        <v>55</v>
      </c>
      <c r="DK2" s="11" t="s">
        <v>58</v>
      </c>
      <c r="DL2" s="11" t="s">
        <v>37</v>
      </c>
      <c r="DM2" s="11" t="s">
        <v>36</v>
      </c>
      <c r="DN2" s="11" t="s">
        <v>31</v>
      </c>
      <c r="DO2" s="97" t="s">
        <v>55</v>
      </c>
      <c r="DP2" s="97"/>
      <c r="DQ2" s="97"/>
      <c r="DR2" s="97"/>
      <c r="DS2" s="97" t="s">
        <v>58</v>
      </c>
      <c r="DT2" s="97"/>
      <c r="DU2" s="97"/>
      <c r="DV2" s="97"/>
      <c r="DW2" s="97" t="s">
        <v>59</v>
      </c>
      <c r="DX2" s="97"/>
      <c r="DY2" s="97"/>
      <c r="DZ2" s="97"/>
      <c r="EA2" s="108" t="s">
        <v>60</v>
      </c>
      <c r="EB2" s="108"/>
      <c r="EC2" s="108"/>
      <c r="ED2" s="108"/>
      <c r="EE2" s="67" t="s">
        <v>39</v>
      </c>
      <c r="EF2" s="67" t="s">
        <v>80</v>
      </c>
      <c r="EG2" s="14" t="s">
        <v>55</v>
      </c>
      <c r="EH2" s="14" t="s">
        <v>58</v>
      </c>
      <c r="EI2" s="14" t="s">
        <v>37</v>
      </c>
      <c r="EJ2" s="14" t="s">
        <v>36</v>
      </c>
      <c r="EK2" s="14" t="s">
        <v>31</v>
      </c>
      <c r="EL2" s="98" t="s">
        <v>55</v>
      </c>
      <c r="EM2" s="98"/>
      <c r="EN2" s="98"/>
      <c r="EO2" s="98"/>
      <c r="EP2" s="98" t="s">
        <v>58</v>
      </c>
      <c r="EQ2" s="98"/>
      <c r="ER2" s="98"/>
      <c r="ES2" s="98"/>
      <c r="ET2" s="98" t="s">
        <v>59</v>
      </c>
      <c r="EU2" s="98"/>
      <c r="EV2" s="98"/>
      <c r="EW2" s="98"/>
      <c r="EX2" s="106" t="s">
        <v>60</v>
      </c>
      <c r="EY2" s="106"/>
      <c r="EZ2" s="106"/>
      <c r="FA2" s="106"/>
      <c r="FB2" s="68" t="s">
        <v>39</v>
      </c>
      <c r="FC2" s="68" t="s">
        <v>80</v>
      </c>
      <c r="FD2" s="11" t="s">
        <v>55</v>
      </c>
      <c r="FE2" s="11" t="s">
        <v>58</v>
      </c>
      <c r="FF2" s="11" t="s">
        <v>37</v>
      </c>
      <c r="FG2" s="11" t="s">
        <v>36</v>
      </c>
      <c r="FH2" s="11" t="s">
        <v>31</v>
      </c>
      <c r="FI2" s="97" t="s">
        <v>55</v>
      </c>
      <c r="FJ2" s="97"/>
      <c r="FK2" s="97"/>
      <c r="FL2" s="97"/>
      <c r="FM2" s="97" t="s">
        <v>58</v>
      </c>
      <c r="FN2" s="97"/>
      <c r="FO2" s="97"/>
      <c r="FP2" s="97"/>
      <c r="FQ2" s="97" t="s">
        <v>59</v>
      </c>
      <c r="FR2" s="97"/>
      <c r="FS2" s="97"/>
      <c r="FT2" s="97"/>
      <c r="FU2" s="108" t="s">
        <v>60</v>
      </c>
      <c r="FV2" s="108"/>
      <c r="FW2" s="108"/>
      <c r="FX2" s="108"/>
      <c r="FY2" s="24" t="s">
        <v>39</v>
      </c>
      <c r="FZ2" s="24" t="s">
        <v>80</v>
      </c>
      <c r="GA2" s="14" t="s">
        <v>55</v>
      </c>
      <c r="GB2" s="14" t="s">
        <v>58</v>
      </c>
      <c r="GC2" s="14" t="s">
        <v>37</v>
      </c>
      <c r="GD2" s="14" t="s">
        <v>36</v>
      </c>
      <c r="GE2" s="14" t="s">
        <v>31</v>
      </c>
      <c r="GF2" s="98" t="s">
        <v>55</v>
      </c>
      <c r="GG2" s="98"/>
      <c r="GH2" s="98"/>
      <c r="GI2" s="98"/>
      <c r="GJ2" s="98" t="s">
        <v>58</v>
      </c>
      <c r="GK2" s="98"/>
      <c r="GL2" s="98"/>
      <c r="GM2" s="98"/>
      <c r="GN2" s="98" t="s">
        <v>59</v>
      </c>
      <c r="GO2" s="98"/>
      <c r="GP2" s="98"/>
      <c r="GQ2" s="98"/>
      <c r="GR2" s="106" t="s">
        <v>60</v>
      </c>
      <c r="GS2" s="106"/>
      <c r="GT2" s="106"/>
      <c r="GU2" s="106"/>
      <c r="GV2" s="25" t="s">
        <v>39</v>
      </c>
      <c r="GW2" s="25" t="s">
        <v>80</v>
      </c>
      <c r="GX2" s="11" t="s">
        <v>55</v>
      </c>
      <c r="GY2" s="11" t="s">
        <v>58</v>
      </c>
      <c r="GZ2" s="11" t="s">
        <v>37</v>
      </c>
      <c r="HA2" s="11" t="s">
        <v>36</v>
      </c>
      <c r="HB2" s="11" t="s">
        <v>31</v>
      </c>
      <c r="HC2" s="97" t="s">
        <v>55</v>
      </c>
      <c r="HD2" s="97"/>
      <c r="HE2" s="97"/>
      <c r="HF2" s="97"/>
      <c r="HG2" s="97" t="s">
        <v>58</v>
      </c>
      <c r="HH2" s="97"/>
      <c r="HI2" s="97"/>
      <c r="HJ2" s="97"/>
      <c r="HK2" s="97" t="s">
        <v>59</v>
      </c>
      <c r="HL2" s="97"/>
      <c r="HM2" s="97"/>
      <c r="HN2" s="97"/>
      <c r="HO2" s="108" t="s">
        <v>60</v>
      </c>
      <c r="HP2" s="108"/>
      <c r="HQ2" s="108"/>
      <c r="HR2" s="108"/>
      <c r="HS2" s="24" t="s">
        <v>39</v>
      </c>
      <c r="HT2" s="24" t="s">
        <v>80</v>
      </c>
      <c r="HU2" s="14" t="s">
        <v>55</v>
      </c>
      <c r="HV2" s="14" t="s">
        <v>58</v>
      </c>
      <c r="HW2" s="14" t="s">
        <v>37</v>
      </c>
      <c r="HX2" s="14" t="s">
        <v>36</v>
      </c>
      <c r="HY2" s="14" t="s">
        <v>31</v>
      </c>
      <c r="HZ2" s="98" t="s">
        <v>55</v>
      </c>
      <c r="IA2" s="98"/>
      <c r="IB2" s="98"/>
      <c r="IC2" s="98"/>
      <c r="ID2" s="98" t="s">
        <v>58</v>
      </c>
      <c r="IE2" s="98"/>
      <c r="IF2" s="98"/>
      <c r="IG2" s="98"/>
      <c r="IH2" s="98" t="s">
        <v>59</v>
      </c>
      <c r="II2" s="98"/>
      <c r="IJ2" s="98"/>
      <c r="IK2" s="98"/>
      <c r="IL2" s="106" t="s">
        <v>60</v>
      </c>
      <c r="IM2" s="106"/>
      <c r="IN2" s="106"/>
      <c r="IO2" s="106"/>
      <c r="IP2" s="25" t="s">
        <v>39</v>
      </c>
      <c r="IQ2" s="25" t="s">
        <v>80</v>
      </c>
      <c r="IR2" s="11" t="s">
        <v>55</v>
      </c>
      <c r="IS2" s="11" t="s">
        <v>58</v>
      </c>
      <c r="IT2" s="11" t="s">
        <v>37</v>
      </c>
      <c r="IU2" s="11" t="s">
        <v>36</v>
      </c>
      <c r="IV2" s="11" t="s">
        <v>31</v>
      </c>
      <c r="IW2" s="97" t="s">
        <v>55</v>
      </c>
      <c r="IX2" s="97"/>
      <c r="IY2" s="97"/>
      <c r="IZ2" s="97"/>
      <c r="JA2" s="97" t="s">
        <v>58</v>
      </c>
      <c r="JB2" s="97"/>
      <c r="JC2" s="97"/>
      <c r="JD2" s="97"/>
      <c r="JE2" s="97" t="s">
        <v>59</v>
      </c>
      <c r="JF2" s="97"/>
      <c r="JG2" s="97"/>
      <c r="JH2" s="97"/>
      <c r="JI2" s="108" t="s">
        <v>60</v>
      </c>
      <c r="JJ2" s="108"/>
      <c r="JK2" s="108"/>
      <c r="JL2" s="108"/>
      <c r="JM2" s="24" t="s">
        <v>39</v>
      </c>
      <c r="JN2" s="24" t="s">
        <v>80</v>
      </c>
      <c r="JO2" s="14" t="s">
        <v>55</v>
      </c>
      <c r="JP2" s="14" t="s">
        <v>58</v>
      </c>
      <c r="JQ2" s="14" t="s">
        <v>37</v>
      </c>
      <c r="JR2" s="14" t="s">
        <v>36</v>
      </c>
      <c r="JS2" s="14" t="s">
        <v>31</v>
      </c>
      <c r="JT2" s="98" t="s">
        <v>55</v>
      </c>
      <c r="JU2" s="98"/>
      <c r="JV2" s="98"/>
      <c r="JW2" s="98"/>
      <c r="JX2" s="98" t="s">
        <v>58</v>
      </c>
      <c r="JY2" s="98"/>
      <c r="JZ2" s="98"/>
      <c r="KA2" s="98"/>
      <c r="KB2" s="98" t="s">
        <v>59</v>
      </c>
      <c r="KC2" s="98"/>
      <c r="KD2" s="98"/>
      <c r="KE2" s="98"/>
      <c r="KF2" s="106" t="s">
        <v>60</v>
      </c>
      <c r="KG2" s="106"/>
      <c r="KH2" s="106"/>
      <c r="KI2" s="106"/>
      <c r="KJ2" s="25" t="s">
        <v>39</v>
      </c>
      <c r="KK2" s="25" t="s">
        <v>80</v>
      </c>
      <c r="KL2" s="11" t="s">
        <v>55</v>
      </c>
      <c r="KM2" s="11" t="s">
        <v>58</v>
      </c>
      <c r="KN2" s="11" t="s">
        <v>37</v>
      </c>
      <c r="KO2" s="11" t="s">
        <v>36</v>
      </c>
      <c r="KP2" s="11" t="s">
        <v>31</v>
      </c>
      <c r="KQ2" s="97" t="s">
        <v>55</v>
      </c>
      <c r="KR2" s="97"/>
      <c r="KS2" s="97"/>
      <c r="KT2" s="97"/>
      <c r="KU2" s="97" t="s">
        <v>58</v>
      </c>
      <c r="KV2" s="97"/>
      <c r="KW2" s="97"/>
      <c r="KX2" s="97"/>
      <c r="KY2" s="97" t="s">
        <v>59</v>
      </c>
      <c r="KZ2" s="97"/>
      <c r="LA2" s="97"/>
      <c r="LB2" s="97"/>
      <c r="LC2" s="108" t="s">
        <v>60</v>
      </c>
      <c r="LD2" s="108"/>
      <c r="LE2" s="108"/>
      <c r="LF2" s="108"/>
      <c r="LG2" s="24" t="s">
        <v>39</v>
      </c>
      <c r="LH2" s="24" t="s">
        <v>80</v>
      </c>
      <c r="LI2" s="14" t="s">
        <v>55</v>
      </c>
      <c r="LJ2" s="14" t="s">
        <v>58</v>
      </c>
      <c r="LK2" s="14" t="s">
        <v>37</v>
      </c>
      <c r="LL2" s="14" t="s">
        <v>36</v>
      </c>
      <c r="LM2" s="14" t="s">
        <v>31</v>
      </c>
      <c r="LN2" s="98" t="s">
        <v>55</v>
      </c>
      <c r="LO2" s="98"/>
      <c r="LP2" s="98"/>
      <c r="LQ2" s="98"/>
      <c r="LR2" s="98" t="s">
        <v>58</v>
      </c>
      <c r="LS2" s="98"/>
      <c r="LT2" s="98"/>
      <c r="LU2" s="98"/>
      <c r="LV2" s="98" t="s">
        <v>59</v>
      </c>
      <c r="LW2" s="98"/>
      <c r="LX2" s="98"/>
      <c r="LY2" s="98"/>
      <c r="LZ2" s="106" t="s">
        <v>60</v>
      </c>
      <c r="MA2" s="106"/>
      <c r="MB2" s="106"/>
      <c r="MC2" s="106"/>
      <c r="MD2" s="25" t="s">
        <v>39</v>
      </c>
      <c r="ME2" s="25" t="s">
        <v>80</v>
      </c>
      <c r="MF2" s="11" t="s">
        <v>55</v>
      </c>
      <c r="MG2" s="11" t="s">
        <v>58</v>
      </c>
      <c r="MH2" s="11" t="s">
        <v>37</v>
      </c>
      <c r="MI2" s="11" t="s">
        <v>36</v>
      </c>
      <c r="MJ2" s="11" t="s">
        <v>31</v>
      </c>
      <c r="MK2" s="97" t="s">
        <v>55</v>
      </c>
      <c r="ML2" s="97"/>
      <c r="MM2" s="97"/>
      <c r="MN2" s="97"/>
      <c r="MO2" s="97" t="s">
        <v>58</v>
      </c>
      <c r="MP2" s="97"/>
      <c r="MQ2" s="97"/>
      <c r="MR2" s="97"/>
      <c r="MS2" s="97" t="s">
        <v>59</v>
      </c>
      <c r="MT2" s="97"/>
      <c r="MU2" s="97"/>
      <c r="MV2" s="97"/>
      <c r="MW2" s="108" t="s">
        <v>60</v>
      </c>
      <c r="MX2" s="108"/>
      <c r="MY2" s="108"/>
      <c r="MZ2" s="108"/>
      <c r="NA2" s="24" t="s">
        <v>39</v>
      </c>
      <c r="NB2" s="24" t="s">
        <v>80</v>
      </c>
      <c r="NC2" s="14" t="s">
        <v>55</v>
      </c>
      <c r="ND2" s="14" t="s">
        <v>58</v>
      </c>
      <c r="NE2" s="14" t="s">
        <v>37</v>
      </c>
      <c r="NF2" s="14" t="s">
        <v>36</v>
      </c>
      <c r="NG2" s="14" t="s">
        <v>31</v>
      </c>
    </row>
    <row r="3" spans="1:37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91" t="s">
        <v>158</v>
      </c>
      <c r="AL3" s="12"/>
      <c r="AM3" s="12"/>
      <c r="AN3" s="11"/>
      <c r="AO3" s="11"/>
      <c r="AP3" s="11"/>
      <c r="AQ3" s="12"/>
      <c r="AR3" s="12"/>
      <c r="AS3" s="67" t="s">
        <v>28</v>
      </c>
      <c r="AT3" s="67" t="s">
        <v>20</v>
      </c>
      <c r="AU3" s="67" t="s">
        <v>56</v>
      </c>
      <c r="AV3" s="67" t="s">
        <v>57</v>
      </c>
      <c r="AW3" s="67" t="s">
        <v>28</v>
      </c>
      <c r="AX3" s="67" t="s">
        <v>20</v>
      </c>
      <c r="AY3" s="67" t="s">
        <v>56</v>
      </c>
      <c r="AZ3" s="67" t="s">
        <v>57</v>
      </c>
      <c r="BA3" s="67" t="s">
        <v>28</v>
      </c>
      <c r="BB3" s="67" t="s">
        <v>20</v>
      </c>
      <c r="BC3" s="67" t="s">
        <v>56</v>
      </c>
      <c r="BD3" s="67" t="s">
        <v>57</v>
      </c>
      <c r="BE3" s="69" t="s">
        <v>28</v>
      </c>
      <c r="BF3" s="69" t="s">
        <v>20</v>
      </c>
      <c r="BG3" s="69" t="s">
        <v>56</v>
      </c>
      <c r="BH3" s="69" t="s">
        <v>57</v>
      </c>
      <c r="BI3" s="92" t="s">
        <v>158</v>
      </c>
      <c r="BJ3" s="15"/>
      <c r="BK3" s="15"/>
      <c r="BL3" s="14"/>
      <c r="BM3" s="14"/>
      <c r="BN3" s="14"/>
      <c r="BO3" s="15"/>
      <c r="BP3" s="15"/>
      <c r="BQ3" s="35" t="s">
        <v>28</v>
      </c>
      <c r="BR3" s="35" t="s">
        <v>20</v>
      </c>
      <c r="BS3" s="35" t="s">
        <v>56</v>
      </c>
      <c r="BT3" s="35" t="s">
        <v>57</v>
      </c>
      <c r="BU3" s="35" t="s">
        <v>28</v>
      </c>
      <c r="BV3" s="35" t="s">
        <v>20</v>
      </c>
      <c r="BW3" s="35" t="s">
        <v>56</v>
      </c>
      <c r="BX3" s="35" t="s">
        <v>57</v>
      </c>
      <c r="BY3" s="35" t="s">
        <v>28</v>
      </c>
      <c r="BZ3" s="35" t="s">
        <v>20</v>
      </c>
      <c r="CA3" s="35" t="s">
        <v>56</v>
      </c>
      <c r="CB3" s="35" t="s">
        <v>57</v>
      </c>
      <c r="CC3" s="38" t="s">
        <v>28</v>
      </c>
      <c r="CD3" s="38" t="s">
        <v>20</v>
      </c>
      <c r="CE3" s="38" t="s">
        <v>56</v>
      </c>
      <c r="CF3" s="38" t="s">
        <v>57</v>
      </c>
      <c r="CG3" s="91" t="s">
        <v>158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28</v>
      </c>
      <c r="CS3" s="68" t="s">
        <v>20</v>
      </c>
      <c r="CT3" s="68" t="s">
        <v>56</v>
      </c>
      <c r="CU3" s="68" t="s">
        <v>57</v>
      </c>
      <c r="CV3" s="68" t="s">
        <v>28</v>
      </c>
      <c r="CW3" s="68" t="s">
        <v>20</v>
      </c>
      <c r="CX3" s="68" t="s">
        <v>56</v>
      </c>
      <c r="CY3" s="68" t="s">
        <v>57</v>
      </c>
      <c r="CZ3" s="68" t="s">
        <v>28</v>
      </c>
      <c r="DA3" s="68" t="s">
        <v>20</v>
      </c>
      <c r="DB3" s="68" t="s">
        <v>56</v>
      </c>
      <c r="DC3" s="68" t="s">
        <v>57</v>
      </c>
      <c r="DD3" s="70" t="s">
        <v>28</v>
      </c>
      <c r="DE3" s="70" t="s">
        <v>20</v>
      </c>
      <c r="DF3" s="70" t="s">
        <v>56</v>
      </c>
      <c r="DG3" s="70" t="s">
        <v>57</v>
      </c>
      <c r="DH3" s="12"/>
      <c r="DI3" s="12"/>
      <c r="DJ3" s="11"/>
      <c r="DK3" s="11"/>
      <c r="DL3" s="11"/>
      <c r="DM3" s="12"/>
      <c r="DN3" s="12"/>
      <c r="DO3" s="67" t="s">
        <v>28</v>
      </c>
      <c r="DP3" s="67" t="s">
        <v>20</v>
      </c>
      <c r="DQ3" s="67" t="s">
        <v>56</v>
      </c>
      <c r="DR3" s="67" t="s">
        <v>57</v>
      </c>
      <c r="DS3" s="67" t="s">
        <v>28</v>
      </c>
      <c r="DT3" s="67" t="s">
        <v>20</v>
      </c>
      <c r="DU3" s="67" t="s">
        <v>56</v>
      </c>
      <c r="DV3" s="67" t="s">
        <v>57</v>
      </c>
      <c r="DW3" s="67" t="s">
        <v>28</v>
      </c>
      <c r="DX3" s="67" t="s">
        <v>20</v>
      </c>
      <c r="DY3" s="67" t="s">
        <v>56</v>
      </c>
      <c r="DZ3" s="67" t="s">
        <v>57</v>
      </c>
      <c r="EA3" s="69" t="s">
        <v>28</v>
      </c>
      <c r="EB3" s="69" t="s">
        <v>20</v>
      </c>
      <c r="EC3" s="69" t="s">
        <v>56</v>
      </c>
      <c r="ED3" s="69" t="s">
        <v>57</v>
      </c>
      <c r="EE3" s="15"/>
      <c r="EF3" s="15"/>
      <c r="EG3" s="14"/>
      <c r="EH3" s="14"/>
      <c r="EI3" s="14"/>
      <c r="EJ3" s="15"/>
      <c r="EK3" s="15"/>
      <c r="EL3" s="68" t="s">
        <v>28</v>
      </c>
      <c r="EM3" s="68" t="s">
        <v>20</v>
      </c>
      <c r="EN3" s="68" t="s">
        <v>56</v>
      </c>
      <c r="EO3" s="68" t="s">
        <v>57</v>
      </c>
      <c r="EP3" s="68" t="s">
        <v>28</v>
      </c>
      <c r="EQ3" s="68" t="s">
        <v>20</v>
      </c>
      <c r="ER3" s="68" t="s">
        <v>56</v>
      </c>
      <c r="ES3" s="68" t="s">
        <v>57</v>
      </c>
      <c r="ET3" s="68" t="s">
        <v>28</v>
      </c>
      <c r="EU3" s="68" t="s">
        <v>20</v>
      </c>
      <c r="EV3" s="68" t="s">
        <v>56</v>
      </c>
      <c r="EW3" s="68" t="s">
        <v>57</v>
      </c>
      <c r="EX3" s="70" t="s">
        <v>28</v>
      </c>
      <c r="EY3" s="70" t="s">
        <v>20</v>
      </c>
      <c r="EZ3" s="70" t="s">
        <v>56</v>
      </c>
      <c r="FA3" s="70" t="s">
        <v>57</v>
      </c>
      <c r="FB3" s="12"/>
      <c r="FC3" s="12"/>
      <c r="FD3" s="11"/>
      <c r="FE3" s="11"/>
      <c r="FF3" s="11"/>
      <c r="FG3" s="12"/>
      <c r="FH3" s="12"/>
      <c r="FI3" s="34" t="s">
        <v>28</v>
      </c>
      <c r="FJ3" s="34" t="s">
        <v>20</v>
      </c>
      <c r="FK3" s="34" t="s">
        <v>56</v>
      </c>
      <c r="FL3" s="34" t="s">
        <v>57</v>
      </c>
      <c r="FM3" s="34" t="s">
        <v>28</v>
      </c>
      <c r="FN3" s="34" t="s">
        <v>20</v>
      </c>
      <c r="FO3" s="34" t="s">
        <v>56</v>
      </c>
      <c r="FP3" s="34" t="s">
        <v>57</v>
      </c>
      <c r="FQ3" s="34" t="s">
        <v>28</v>
      </c>
      <c r="FR3" s="34" t="s">
        <v>20</v>
      </c>
      <c r="FS3" s="34" t="s">
        <v>56</v>
      </c>
      <c r="FT3" s="34" t="s">
        <v>57</v>
      </c>
      <c r="FU3" s="37" t="s">
        <v>28</v>
      </c>
      <c r="FV3" s="37" t="s">
        <v>20</v>
      </c>
      <c r="FW3" s="37" t="s">
        <v>56</v>
      </c>
      <c r="FX3" s="37" t="s">
        <v>57</v>
      </c>
      <c r="FY3" s="15"/>
      <c r="FZ3" s="15"/>
      <c r="GA3" s="14"/>
      <c r="GB3" s="14"/>
      <c r="GC3" s="14"/>
      <c r="GD3" s="15"/>
      <c r="GE3" s="15"/>
      <c r="GF3" s="35" t="s">
        <v>28</v>
      </c>
      <c r="GG3" s="35" t="s">
        <v>20</v>
      </c>
      <c r="GH3" s="35" t="s">
        <v>56</v>
      </c>
      <c r="GI3" s="35" t="s">
        <v>57</v>
      </c>
      <c r="GJ3" s="35" t="s">
        <v>28</v>
      </c>
      <c r="GK3" s="35" t="s">
        <v>20</v>
      </c>
      <c r="GL3" s="35" t="s">
        <v>56</v>
      </c>
      <c r="GM3" s="35" t="s">
        <v>57</v>
      </c>
      <c r="GN3" s="35" t="s">
        <v>28</v>
      </c>
      <c r="GO3" s="35" t="s">
        <v>20</v>
      </c>
      <c r="GP3" s="35" t="s">
        <v>56</v>
      </c>
      <c r="GQ3" s="35" t="s">
        <v>57</v>
      </c>
      <c r="GR3" s="36" t="s">
        <v>28</v>
      </c>
      <c r="GS3" s="36" t="s">
        <v>20</v>
      </c>
      <c r="GT3" s="36" t="s">
        <v>56</v>
      </c>
      <c r="GU3" s="36" t="s">
        <v>57</v>
      </c>
      <c r="GV3" s="12"/>
      <c r="GW3" s="12"/>
      <c r="GX3" s="11"/>
      <c r="GY3" s="11"/>
      <c r="GZ3" s="11"/>
      <c r="HA3" s="12"/>
      <c r="HB3" s="12"/>
      <c r="HC3" s="34" t="s">
        <v>28</v>
      </c>
      <c r="HD3" s="34" t="s">
        <v>20</v>
      </c>
      <c r="HE3" s="34" t="s">
        <v>56</v>
      </c>
      <c r="HF3" s="34" t="s">
        <v>57</v>
      </c>
      <c r="HG3" s="34" t="s">
        <v>28</v>
      </c>
      <c r="HH3" s="34" t="s">
        <v>20</v>
      </c>
      <c r="HI3" s="34" t="s">
        <v>56</v>
      </c>
      <c r="HJ3" s="34" t="s">
        <v>57</v>
      </c>
      <c r="HK3" s="34" t="s">
        <v>28</v>
      </c>
      <c r="HL3" s="34" t="s">
        <v>20</v>
      </c>
      <c r="HM3" s="34" t="s">
        <v>56</v>
      </c>
      <c r="HN3" s="34" t="s">
        <v>57</v>
      </c>
      <c r="HO3" s="37" t="s">
        <v>28</v>
      </c>
      <c r="HP3" s="37" t="s">
        <v>20</v>
      </c>
      <c r="HQ3" s="37" t="s">
        <v>56</v>
      </c>
      <c r="HR3" s="37" t="s">
        <v>57</v>
      </c>
      <c r="HS3" s="15"/>
      <c r="HT3" s="15"/>
      <c r="HU3" s="14"/>
      <c r="HV3" s="14"/>
      <c r="HW3" s="14"/>
      <c r="HX3" s="15"/>
      <c r="HY3" s="15"/>
      <c r="HZ3" s="35" t="s">
        <v>28</v>
      </c>
      <c r="IA3" s="35" t="s">
        <v>20</v>
      </c>
      <c r="IB3" s="35" t="s">
        <v>56</v>
      </c>
      <c r="IC3" s="35" t="s">
        <v>57</v>
      </c>
      <c r="ID3" s="35" t="s">
        <v>28</v>
      </c>
      <c r="IE3" s="35" t="s">
        <v>20</v>
      </c>
      <c r="IF3" s="35" t="s">
        <v>56</v>
      </c>
      <c r="IG3" s="35" t="s">
        <v>57</v>
      </c>
      <c r="IH3" s="35" t="s">
        <v>28</v>
      </c>
      <c r="II3" s="35" t="s">
        <v>20</v>
      </c>
      <c r="IJ3" s="35" t="s">
        <v>56</v>
      </c>
      <c r="IK3" s="35" t="s">
        <v>57</v>
      </c>
      <c r="IL3" s="36" t="s">
        <v>28</v>
      </c>
      <c r="IM3" s="36" t="s">
        <v>20</v>
      </c>
      <c r="IN3" s="36" t="s">
        <v>56</v>
      </c>
      <c r="IO3" s="36" t="s">
        <v>57</v>
      </c>
      <c r="IP3" s="12"/>
      <c r="IQ3" s="12"/>
      <c r="IR3" s="11"/>
      <c r="IS3" s="11"/>
      <c r="IT3" s="11"/>
      <c r="IU3" s="12"/>
      <c r="IV3" s="12"/>
      <c r="IW3" s="34" t="s">
        <v>28</v>
      </c>
      <c r="IX3" s="34" t="s">
        <v>20</v>
      </c>
      <c r="IY3" s="34" t="s">
        <v>56</v>
      </c>
      <c r="IZ3" s="34" t="s">
        <v>57</v>
      </c>
      <c r="JA3" s="34" t="s">
        <v>28</v>
      </c>
      <c r="JB3" s="34" t="s">
        <v>20</v>
      </c>
      <c r="JC3" s="34" t="s">
        <v>56</v>
      </c>
      <c r="JD3" s="34" t="s">
        <v>57</v>
      </c>
      <c r="JE3" s="34" t="s">
        <v>28</v>
      </c>
      <c r="JF3" s="34" t="s">
        <v>20</v>
      </c>
      <c r="JG3" s="34" t="s">
        <v>56</v>
      </c>
      <c r="JH3" s="34" t="s">
        <v>57</v>
      </c>
      <c r="JI3" s="37" t="s">
        <v>28</v>
      </c>
      <c r="JJ3" s="37" t="s">
        <v>20</v>
      </c>
      <c r="JK3" s="37" t="s">
        <v>56</v>
      </c>
      <c r="JL3" s="37" t="s">
        <v>57</v>
      </c>
      <c r="JM3" s="15"/>
      <c r="JN3" s="15"/>
      <c r="JO3" s="14"/>
      <c r="JP3" s="14"/>
      <c r="JQ3" s="14"/>
      <c r="JR3" s="15"/>
      <c r="JS3" s="15"/>
      <c r="JT3" s="35" t="s">
        <v>28</v>
      </c>
      <c r="JU3" s="35" t="s">
        <v>20</v>
      </c>
      <c r="JV3" s="35" t="s">
        <v>56</v>
      </c>
      <c r="JW3" s="35" t="s">
        <v>57</v>
      </c>
      <c r="JX3" s="35" t="s">
        <v>28</v>
      </c>
      <c r="JY3" s="35" t="s">
        <v>20</v>
      </c>
      <c r="JZ3" s="35" t="s">
        <v>56</v>
      </c>
      <c r="KA3" s="35" t="s">
        <v>57</v>
      </c>
      <c r="KB3" s="35" t="s">
        <v>28</v>
      </c>
      <c r="KC3" s="35" t="s">
        <v>20</v>
      </c>
      <c r="KD3" s="35" t="s">
        <v>56</v>
      </c>
      <c r="KE3" s="35" t="s">
        <v>57</v>
      </c>
      <c r="KF3" s="36" t="s">
        <v>28</v>
      </c>
      <c r="KG3" s="36" t="s">
        <v>20</v>
      </c>
      <c r="KH3" s="36" t="s">
        <v>56</v>
      </c>
      <c r="KI3" s="36" t="s">
        <v>57</v>
      </c>
      <c r="KJ3" s="12"/>
      <c r="KK3" s="12"/>
      <c r="KL3" s="11"/>
      <c r="KM3" s="11"/>
      <c r="KN3" s="11"/>
      <c r="KO3" s="12"/>
      <c r="KP3" s="12"/>
      <c r="KQ3" s="34" t="s">
        <v>28</v>
      </c>
      <c r="KR3" s="34" t="s">
        <v>20</v>
      </c>
      <c r="KS3" s="34" t="s">
        <v>56</v>
      </c>
      <c r="KT3" s="34" t="s">
        <v>57</v>
      </c>
      <c r="KU3" s="34" t="s">
        <v>28</v>
      </c>
      <c r="KV3" s="34" t="s">
        <v>20</v>
      </c>
      <c r="KW3" s="34" t="s">
        <v>56</v>
      </c>
      <c r="KX3" s="34" t="s">
        <v>57</v>
      </c>
      <c r="KY3" s="34" t="s">
        <v>28</v>
      </c>
      <c r="KZ3" s="34" t="s">
        <v>20</v>
      </c>
      <c r="LA3" s="34" t="s">
        <v>56</v>
      </c>
      <c r="LB3" s="34" t="s">
        <v>57</v>
      </c>
      <c r="LC3" s="37" t="s">
        <v>28</v>
      </c>
      <c r="LD3" s="37" t="s">
        <v>20</v>
      </c>
      <c r="LE3" s="37" t="s">
        <v>56</v>
      </c>
      <c r="LF3" s="37" t="s">
        <v>57</v>
      </c>
      <c r="LG3" s="15"/>
      <c r="LH3" s="15"/>
      <c r="LI3" s="14"/>
      <c r="LJ3" s="14"/>
      <c r="LK3" s="14"/>
      <c r="LL3" s="15"/>
      <c r="LM3" s="15"/>
      <c r="LN3" s="35" t="s">
        <v>28</v>
      </c>
      <c r="LO3" s="35" t="s">
        <v>20</v>
      </c>
      <c r="LP3" s="35" t="s">
        <v>56</v>
      </c>
      <c r="LQ3" s="35" t="s">
        <v>57</v>
      </c>
      <c r="LR3" s="35" t="s">
        <v>28</v>
      </c>
      <c r="LS3" s="35" t="s">
        <v>20</v>
      </c>
      <c r="LT3" s="35" t="s">
        <v>56</v>
      </c>
      <c r="LU3" s="35" t="s">
        <v>57</v>
      </c>
      <c r="LV3" s="35" t="s">
        <v>28</v>
      </c>
      <c r="LW3" s="35" t="s">
        <v>20</v>
      </c>
      <c r="LX3" s="35" t="s">
        <v>56</v>
      </c>
      <c r="LY3" s="35" t="s">
        <v>57</v>
      </c>
      <c r="LZ3" s="36" t="s">
        <v>28</v>
      </c>
      <c r="MA3" s="36" t="s">
        <v>20</v>
      </c>
      <c r="MB3" s="36" t="s">
        <v>56</v>
      </c>
      <c r="MC3" s="36" t="s">
        <v>57</v>
      </c>
      <c r="MD3" s="12"/>
      <c r="ME3" s="12"/>
      <c r="MF3" s="11"/>
      <c r="MG3" s="11"/>
      <c r="MH3" s="11"/>
      <c r="MI3" s="12"/>
      <c r="MJ3" s="12"/>
      <c r="MK3" s="34" t="s">
        <v>28</v>
      </c>
      <c r="ML3" s="34" t="s">
        <v>20</v>
      </c>
      <c r="MM3" s="34" t="s">
        <v>56</v>
      </c>
      <c r="MN3" s="34" t="s">
        <v>57</v>
      </c>
      <c r="MO3" s="34" t="s">
        <v>28</v>
      </c>
      <c r="MP3" s="34" t="s">
        <v>20</v>
      </c>
      <c r="MQ3" s="34" t="s">
        <v>56</v>
      </c>
      <c r="MR3" s="34" t="s">
        <v>57</v>
      </c>
      <c r="MS3" s="34" t="s">
        <v>28</v>
      </c>
      <c r="MT3" s="34" t="s">
        <v>20</v>
      </c>
      <c r="MU3" s="34" t="s">
        <v>56</v>
      </c>
      <c r="MV3" s="34" t="s">
        <v>57</v>
      </c>
      <c r="MW3" s="37" t="s">
        <v>28</v>
      </c>
      <c r="MX3" s="37" t="s">
        <v>20</v>
      </c>
      <c r="MY3" s="37" t="s">
        <v>56</v>
      </c>
      <c r="MZ3" s="37" t="s">
        <v>57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70</v>
      </c>
      <c r="C4" s="5" t="s">
        <v>3</v>
      </c>
      <c r="D4" s="33">
        <v>1992</v>
      </c>
      <c r="E4" s="17">
        <f>SUM(J4:R4)</f>
        <v>222.4</v>
      </c>
      <c r="F4" s="4" t="str">
        <f>IF(OR(AND($AL4&gt;=$AM$13,NOT($AL4=""),$AK4=""),AND($BJ4&gt;=$BK$13,NOT($BJ4=""),$BI4=""),AND($CH4&gt;=$CI$13,NOT($CH4=""),$CG4="")),"P","")</f>
        <v>P</v>
      </c>
      <c r="G4" s="4" t="str">
        <f>IF(OR(AND($AL4&gt;=$AM$14,NOT($AL4=""),$AK4=""),AND($BJ4&gt;=$BK$14,NOT($BJ4=""),$BI4=""),AND($CH4&gt;=$CI$14,NOT($CH4=""),$CG4="")),"P","")</f>
        <v>P</v>
      </c>
      <c r="H4" s="4" t="str">
        <f>IF(OR(AND($AP4&gt;=$AM$15,NOT($AP4=""),$AK4=""),AND($BN4&gt;=$BK$15,NOT($BN4=""),$BI4=""),AND($CL4&gt;=$CI$15,NOT($CL4=""),$CG4="")),"P","")</f>
        <v>P</v>
      </c>
      <c r="I4" t="str">
        <f>IF(AND(G4="P",OR(AND($AP4&gt;=$AM$18,NOT($AP4=""),$AK4=""),AND($BN4&gt;=$BK$18,NOT($BN4=""),$BI4=""),AND($CL4&gt;=$CI$18,NOT($CL4=""),$CG4=""))),"Merit",IF(AND(G4="P",OR(AND($AP4&gt;=$AM$17,NOT($AP4=""),$AK4=""),AND($BN4&gt;=$BK$17,NOT($BN4=""),$BI4=""),AND($CL4&gt;=$CI$17,NOT($CL4=""),$CG4=""))),"Funding",IF(AND(G4="P",OR(AND($AP4&gt;=$AM$16,NOT($AP4=""),$AK4=""),AND($BN4&gt;=$BK$16,NOT($BN4=""),$BI4=""),AND($CL4&gt;=$CI$16,NOT($CL4=""),$CG4=""))),"Worlds Team",IF(AND(F4="P",OR(AND($AP4&gt;=$AM$15,NOT($AP4=""),$AK4=""),AND($BN4&gt;=$BK$15,NOT($BN4=""),$BI4=""),AND($CL4&gt;=$CI$15,NOT($CL4=""),$CG4=""))),"National Team",""))))</f>
        <v>Merit</v>
      </c>
      <c r="J4" s="16">
        <f>MAX(AP4,BN4,CL4)</f>
        <v>73.800000000000011</v>
      </c>
      <c r="K4" s="16" t="str">
        <f>IF(J4=CL4,$BQ$1,IF(J4=BN4,$AS$1,IF(J4=AP4,$U$1,"")))</f>
        <v>2018 Nationals</v>
      </c>
      <c r="L4" s="16">
        <f>IF($J4=$AP4,MAX(BL4,CJ4),IF($J4=$BN4,MAX(AN4,CJ4),MAX(AN4,BL4)))</f>
        <v>35.5</v>
      </c>
      <c r="M4" s="16" t="str">
        <f>IF(AND(L4=CJ4,$K4&lt;&gt;$BQ$1),$BQ$1,IF(AND(L4=BL4,$K4&lt;&gt;$AS$1),$AS$1,IF(AND(L4=AN4,$K4&lt;&gt;$U$1),$U$1,"")))</f>
        <v>2017 3rd Domestic Trial</v>
      </c>
      <c r="N4" s="16">
        <f>IF($J4=$AP4,MAX(BM4,CK4),IF($J4=$BN4,MAX(AO4,CK4),MAX(AO4,BM4)))</f>
        <v>38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75.099999999999994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81">
        <v>27.5</v>
      </c>
      <c r="V4" s="81">
        <v>8</v>
      </c>
      <c r="W4" s="81">
        <v>0</v>
      </c>
      <c r="X4" s="81">
        <v>0</v>
      </c>
      <c r="Y4" s="81">
        <v>27.1</v>
      </c>
      <c r="Z4" s="81">
        <v>9.3000000000000007</v>
      </c>
      <c r="AA4" s="81">
        <v>0</v>
      </c>
      <c r="AB4" s="81">
        <v>0</v>
      </c>
      <c r="AC4" s="81">
        <v>27.4</v>
      </c>
      <c r="AD4" s="81">
        <v>8.1</v>
      </c>
      <c r="AE4" s="81">
        <v>0</v>
      </c>
      <c r="AF4" s="81">
        <v>0</v>
      </c>
      <c r="AG4" s="81">
        <v>27.3</v>
      </c>
      <c r="AH4" s="81">
        <v>7.7</v>
      </c>
      <c r="AI4" s="81">
        <v>0</v>
      </c>
      <c r="AJ4" s="81">
        <v>0</v>
      </c>
      <c r="AK4" s="93"/>
      <c r="AL4" s="13">
        <f>IF(SUM(V4,Z4)&gt;0,SUM(V4,Z4),"")</f>
        <v>17.3</v>
      </c>
      <c r="AM4" s="13">
        <f>IF(SUM(AD4,AH4)&gt;0,SUM(AD4,AH4),"")</f>
        <v>15.8</v>
      </c>
      <c r="AN4" s="13">
        <f>IF(SUM(U4:V4,X4)-W4&gt;0,SUM(U4:V4,X4)-W4,"")</f>
        <v>35.5</v>
      </c>
      <c r="AO4" s="13">
        <f>IF(SUM(Y4:Z4,AB4)-AA4&gt;0,SUM(Y4:Z4,AB4)-AA4,"")</f>
        <v>36.400000000000006</v>
      </c>
      <c r="AP4" s="13">
        <f>IF(SUM(AN4:AO4)&gt;0,SUM(AN4:AO4),"")</f>
        <v>71.900000000000006</v>
      </c>
      <c r="AQ4" s="13">
        <f>IF(SUM(AC4:AD4,AF4:AH4,AJ4)-SUM(AE4,AI4)&gt;0,SUM(AC4:AD4,AF4:AH4,AJ4)-SUM(AE4,AI4),"")</f>
        <v>70.5</v>
      </c>
      <c r="AR4" s="13">
        <f>IF(SUM(AP4,AQ4)&gt;0,SUM(AP4,AQ4),"")</f>
        <v>142.4</v>
      </c>
      <c r="AS4" s="48">
        <v>25.1</v>
      </c>
      <c r="AT4" s="48">
        <v>3.3</v>
      </c>
      <c r="AU4" s="48">
        <v>0</v>
      </c>
      <c r="AV4" s="48">
        <v>0</v>
      </c>
      <c r="AW4" s="48">
        <v>27.1</v>
      </c>
      <c r="AX4" s="48">
        <v>9.9</v>
      </c>
      <c r="AY4" s="48">
        <v>0</v>
      </c>
      <c r="AZ4" s="48">
        <v>1</v>
      </c>
      <c r="BA4" s="48">
        <v>28.5</v>
      </c>
      <c r="BB4" s="48">
        <v>8.1</v>
      </c>
      <c r="BC4" s="48">
        <v>0</v>
      </c>
      <c r="BD4" s="48">
        <v>0</v>
      </c>
      <c r="BE4" s="48">
        <v>27.3</v>
      </c>
      <c r="BF4" s="48">
        <v>10.4</v>
      </c>
      <c r="BG4" s="48">
        <v>0</v>
      </c>
      <c r="BH4" s="48">
        <v>0</v>
      </c>
      <c r="BI4" s="94"/>
      <c r="BJ4" s="16">
        <f>IF(SUM(AT4,AX4)&gt;0,SUM(AT4,AX4),"")</f>
        <v>13.2</v>
      </c>
      <c r="BK4" s="16">
        <f>IF(SUM(BB4,BF4)&gt;0,SUM(BB4,BF4),"")</f>
        <v>18.5</v>
      </c>
      <c r="BL4" s="16">
        <f>IF(SUM(AS4:AT4,AV4)-AU4&gt;0,SUM(AS4:AT4,AV4)-AU4,"")</f>
        <v>28.400000000000002</v>
      </c>
      <c r="BM4" s="16">
        <f>IF(SUM(AW4:AX4,AZ4)-AY4&gt;0,SUM(AW4:AX4,AZ4)-AY4,"")</f>
        <v>38</v>
      </c>
      <c r="BN4" s="16">
        <f>IF(SUM(BL4:BM4)&gt;0,SUM(BL4:BM4),"")</f>
        <v>66.400000000000006</v>
      </c>
      <c r="BO4" s="16">
        <f>IF(SUM(BA4:BB4,BD4:BF4,BH4)-SUM(BC4,BG4)&gt;0,SUM(BA4:BB4,BD4:BF4,BH4)-SUM(BC4,BG4),"")</f>
        <v>74.300000000000011</v>
      </c>
      <c r="BP4" s="16">
        <f>IF(SUM(BN4,BO4)&gt;0,SUM(BN4,BO4),"")</f>
        <v>140.70000000000002</v>
      </c>
      <c r="BQ4" s="47">
        <v>27.2</v>
      </c>
      <c r="BR4" s="47">
        <v>8.5</v>
      </c>
      <c r="BS4" s="47">
        <v>0</v>
      </c>
      <c r="BT4" s="47">
        <v>1</v>
      </c>
      <c r="BU4" s="47">
        <v>26.2</v>
      </c>
      <c r="BV4" s="47">
        <v>9.9</v>
      </c>
      <c r="BW4" s="47">
        <v>0</v>
      </c>
      <c r="BX4" s="47">
        <v>1</v>
      </c>
      <c r="BY4" s="47">
        <v>28</v>
      </c>
      <c r="BZ4" s="47">
        <v>8.8000000000000007</v>
      </c>
      <c r="CA4" s="47">
        <v>0</v>
      </c>
      <c r="CB4" s="47">
        <v>0</v>
      </c>
      <c r="CC4" s="47">
        <v>27.4</v>
      </c>
      <c r="CD4" s="47">
        <v>9.9</v>
      </c>
      <c r="CE4" s="47">
        <v>0</v>
      </c>
      <c r="CF4" s="47">
        <v>1</v>
      </c>
      <c r="CG4" s="93"/>
      <c r="CH4" s="13">
        <f>IF(SUM(BR4,BV4)&gt;0,SUM(BR4,BV4),"")</f>
        <v>18.399999999999999</v>
      </c>
      <c r="CI4" s="13">
        <f>IF(SUM(BZ4,CD4)&gt;0,SUM(BZ4,CD4),"")</f>
        <v>18.700000000000003</v>
      </c>
      <c r="CJ4" s="13">
        <f>IF(SUM(BQ4:BR4,BT4)-BS4&gt;0,SUM(BQ4:BR4,BT4)-BS4,"")</f>
        <v>36.700000000000003</v>
      </c>
      <c r="CK4" s="13">
        <f>IF(SUM(BU4:BV4,BX4)-BW4&gt;0,SUM(BU4:BV4,BX4)-BW4,"")</f>
        <v>37.1</v>
      </c>
      <c r="CL4" s="13">
        <f>IF(SUM(CJ4:CK4)&gt;0,SUM(CJ4:CK4),"")</f>
        <v>73.800000000000011</v>
      </c>
      <c r="CM4" s="13">
        <f>IF(SUM(BY4:BZ4,CB4:CD4,CF4)-SUM(CA4,CE4)&gt;0,SUM(BY4:BZ4,CB4:CD4,CF4)-SUM(CA4,CE4),"")</f>
        <v>75.099999999999994</v>
      </c>
      <c r="CN4" s="13">
        <f>IF(SUM(CL4,CM4)&gt;0,SUM(CL4,CM4),"")</f>
        <v>148.9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>
        <v>26.1</v>
      </c>
      <c r="CS4" s="47">
        <v>8</v>
      </c>
      <c r="CT4" s="47">
        <v>0</v>
      </c>
      <c r="CU4" s="47">
        <v>0</v>
      </c>
      <c r="CV4" s="47">
        <v>25.2</v>
      </c>
      <c r="CW4" s="47">
        <v>9.3000000000000007</v>
      </c>
      <c r="CX4" s="47">
        <v>0</v>
      </c>
      <c r="CY4" s="47">
        <v>0</v>
      </c>
      <c r="CZ4" s="47">
        <v>25.9</v>
      </c>
      <c r="DA4" s="47">
        <v>8.6999999999999993</v>
      </c>
      <c r="DB4" s="47">
        <v>0</v>
      </c>
      <c r="DC4" s="47">
        <v>0</v>
      </c>
      <c r="DD4" s="47">
        <v>25.7</v>
      </c>
      <c r="DE4" s="47">
        <v>9.3000000000000007</v>
      </c>
      <c r="DF4" s="47">
        <v>0</v>
      </c>
      <c r="DG4" s="47">
        <v>0</v>
      </c>
      <c r="DH4" s="13">
        <f>IF(SUM(CS4,CW4)&gt;0,SUM(CS4,CW4),"")</f>
        <v>17.3</v>
      </c>
      <c r="DI4" s="13">
        <f>IF(SUM(DA4,DE4)&gt;0,SUM(DA4,DE4),"")</f>
        <v>18</v>
      </c>
      <c r="DJ4" s="13">
        <f>IF(SUM(CR4:CS4,CU4)-CT4&gt;0,SUM(CR4:CS4,CU4)-CT4,"")</f>
        <v>34.1</v>
      </c>
      <c r="DK4" s="13">
        <f>IF(SUM(CV4:CW4,CY4)-CX4&gt;0,SUM(CV4:CW4,CY4)-CX4,"")</f>
        <v>34.5</v>
      </c>
      <c r="DL4" s="13">
        <f>IF(SUM(DJ4:DK4)&gt;0,SUM(DJ4:DK4),"")</f>
        <v>68.599999999999994</v>
      </c>
      <c r="DM4" s="13">
        <f>IF(SUM(CZ4:DA4,DC4:DE4,DG4)-SUM(DB4,DF4)&gt;0,SUM(CZ4:DA4,DC4:DE4,DG4)-SUM(DB4,DF4),"")</f>
        <v>69.599999999999994</v>
      </c>
      <c r="DN4" s="13">
        <f>IF(SUM(DL4,DM4)&gt;0,SUM(DL4,DM4),"")</f>
        <v>138.19999999999999</v>
      </c>
      <c r="DO4" s="48">
        <v>26.2</v>
      </c>
      <c r="DP4" s="48">
        <v>8</v>
      </c>
      <c r="DQ4" s="48">
        <v>0</v>
      </c>
      <c r="DR4" s="48">
        <v>0</v>
      </c>
      <c r="DS4" s="48">
        <v>24.8</v>
      </c>
      <c r="DT4" s="48">
        <v>9.9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>IF(SUM(DP4,DT4)&gt;0,SUM(DP4,DT4),"")</f>
        <v>17.899999999999999</v>
      </c>
      <c r="EF4" s="16" t="str">
        <f>IF(SUM(DX4,EB4)&gt;0,SUM(DX4,EB4),"")</f>
        <v/>
      </c>
      <c r="EG4" s="16">
        <f>IF(SUM(DO4:DP4,DR4)-DQ4&gt;0,SUM(DO4:DP4,DR4)-DQ4,"")</f>
        <v>34.200000000000003</v>
      </c>
      <c r="EH4" s="16">
        <f>IF(SUM(DS4:DT4,DV4)-DU4&gt;0,SUM(DS4:DT4,DV4)-DU4,"")</f>
        <v>34.700000000000003</v>
      </c>
      <c r="EI4" s="16">
        <f>IF(SUM(EG4:EH4)&gt;0,SUM(EG4:EH4),"")</f>
        <v>68.900000000000006</v>
      </c>
      <c r="EJ4" s="16" t="str">
        <f>IF(SUM(DW4:DX4,DZ4:EB4,ED4)-SUM(DY4,EC4)&gt;0,SUM(DW4:DX4,DZ4:EB4,ED4)-SUM(DY4,EC4),"")</f>
        <v/>
      </c>
      <c r="EK4" s="16">
        <f>IF(SUM(EI4,EJ4)&gt;0,SUM(EI4,EJ4),"")</f>
        <v>68.900000000000006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IF(AND(F5="P",H5="P"),SUMPRODUCT((F$4:F$10="P")*(H$4:H$10="P")*(E$4:E$10&gt;E5))+1,IF(H5="P",SUMPRODUCT((F$4:F$10="")*(H$4:H$10="P")*(E$4:E$10&gt;E5))+1+SUMPRODUCT((F$4:F$10="P")*(H$4:H$10="P")),""))</f>
        <v>2</v>
      </c>
      <c r="B5" s="9" t="s">
        <v>71</v>
      </c>
      <c r="C5" s="5" t="s">
        <v>5</v>
      </c>
      <c r="D5" s="33">
        <v>1998</v>
      </c>
      <c r="E5" s="17">
        <f>SUM(J5:R5)</f>
        <v>192.20000000000002</v>
      </c>
      <c r="F5" s="4" t="str">
        <f>IF(OR(AND($AL5&gt;=$AM$13,NOT($AL5=""),$AK5=""),AND($BJ5&gt;=$BK$13,NOT($BJ5=""),$BI5=""),AND($CH5&gt;=$CI$13,NOT($CH5=""),$CG5="")),"P","")</f>
        <v>P</v>
      </c>
      <c r="G5" s="4" t="str">
        <f>IF(OR(AND($AL5&gt;=$AM$14,NOT($AL5=""),$AK5=""),AND($BJ5&gt;=$BK$14,NOT($BJ5=""),$BI5=""),AND($CH5&gt;=$CI$14,NOT($CH5=""),$CG5="")),"P","")</f>
        <v>P</v>
      </c>
      <c r="H5" s="4" t="str">
        <f>IF(OR(AND($AP5&gt;=$AM$15,NOT($AP5=""),$AK5=""),AND($BN5&gt;=$BK$15,NOT($BN5=""),$BI5=""),AND($CL5&gt;=$CI$15,NOT($CL5=""),$CG5="")),"P","")</f>
        <v>P</v>
      </c>
      <c r="I5" t="str">
        <f>IF(AND(G5="P",OR(AND($AP5&gt;=$AM$18,NOT($AP5=""),$AK5=""),AND($BN5&gt;=$BK$18,NOT($BN5=""),$BI5=""),AND($CL5&gt;=$CI$18,NOT($CL5=""),$CG5=""))),"Merit",IF(AND(G5="P",OR(AND($AP5&gt;=$AM$17,NOT($AP5=""),$AK5=""),AND($BN5&gt;=$BK$17,NOT($BN5=""),$BI5=""),AND($CL5&gt;=$CI$17,NOT($CL5=""),$CG5=""))),"Funding",IF(AND(G5="P",OR(AND($AP5&gt;=$AM$16,NOT($AP5=""),$AK5=""),AND($BN5&gt;=$BK$16,NOT($BN5=""),$BI5=""),AND($CL5&gt;=$CI$16,NOT($CL5=""),$CG5=""))),"Worlds Team",IF(AND(F5="P",OR(AND($AP5&gt;=$AM$15,NOT($AP5=""),$AK5=""),AND($BN5&gt;=$BK$15,NOT($BN5=""),$BI5=""),AND($CL5&gt;=$CI$15,NOT($CL5=""),$CG5=""))),"National Team",""))))</f>
        <v>Worlds Team</v>
      </c>
      <c r="J5" s="16">
        <f>MAX(AP5,BN5,CL5)</f>
        <v>65.900000000000006</v>
      </c>
      <c r="K5" s="16" t="str">
        <f>IF(J5=CL5,$BQ$1,IF(J5=BN5,$AS$1,IF(J5=AP5,$U$1,"")))</f>
        <v>2018 Nationals</v>
      </c>
      <c r="L5" s="16">
        <f>IF($J5=$AP5,MAX(BL5,CJ5),IF($J5=$BN5,MAX(AN5,CJ5),MAX(AN5,BL5)))</f>
        <v>29.299999999999997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33.700000000000003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63.300000000000004</v>
      </c>
      <c r="Q5" s="16" t="str">
        <f>IF(P5=CM5,$BQ$1,IF(P5=BO5,$AS$1,IF(P5=AQ5,$U$1,"")))</f>
        <v>2018 Canada Cup</v>
      </c>
      <c r="R5" s="16" t="str">
        <f>IF(MAX(CO5:CQ5)&gt;0,MAX(CO5:CQ5),"")</f>
        <v/>
      </c>
      <c r="S5" s="31" t="str">
        <f>IF(R5="","",IF(R5=CO5,"(Pass 1)",IF(R5=CP5,"(Pass 2)",IF(R5=CQ5,"(Final)"))))</f>
        <v/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/>
      </c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93"/>
      <c r="AL5" s="13" t="str">
        <f>IF(SUM(V5,Z5)&gt;0,SUM(V5,Z5),"")</f>
        <v/>
      </c>
      <c r="AM5" s="13" t="str">
        <f>IF(SUM(AD5,AH5)&gt;0,SUM(AD5,AH5),"")</f>
        <v/>
      </c>
      <c r="AN5" s="13" t="str">
        <f>IF(SUM(U5:V5,X5)-W5&gt;0,SUM(U5:V5,X5)-W5,"")</f>
        <v/>
      </c>
      <c r="AO5" s="13" t="str">
        <f>IF(SUM(Y5:Z5,AB5)-AA5&gt;0,SUM(Y5:Z5,AB5)-AA5,"")</f>
        <v/>
      </c>
      <c r="AP5" s="13" t="str">
        <f>IF(SUM(AN5:AO5)&gt;0,SUM(AN5:AO5),"")</f>
        <v/>
      </c>
      <c r="AQ5" s="13" t="str">
        <f>IF(SUM(AC5:AD5,AF5:AH5,AJ5)-SUM(AE5,AI5)&gt;0,SUM(AC5:AD5,AF5:AH5,AJ5)-SUM(AE5,AI5),"")</f>
        <v/>
      </c>
      <c r="AR5" s="13" t="str">
        <f>IF(SUM(AP5,AQ5)&gt;0,SUM(AP5,AQ5),"")</f>
        <v/>
      </c>
      <c r="AS5" s="48">
        <v>24.2</v>
      </c>
      <c r="AT5" s="48">
        <v>4.7</v>
      </c>
      <c r="AU5" s="48">
        <v>0.6</v>
      </c>
      <c r="AV5" s="48">
        <v>1</v>
      </c>
      <c r="AW5" s="48">
        <v>26.8</v>
      </c>
      <c r="AX5" s="48">
        <v>6.9</v>
      </c>
      <c r="AY5" s="48">
        <v>0</v>
      </c>
      <c r="AZ5" s="48">
        <v>0</v>
      </c>
      <c r="BA5" s="48">
        <v>23.7</v>
      </c>
      <c r="BB5" s="48">
        <v>6.9</v>
      </c>
      <c r="BC5" s="48">
        <v>0</v>
      </c>
      <c r="BD5" s="48">
        <v>0</v>
      </c>
      <c r="BE5" s="48">
        <v>25.8</v>
      </c>
      <c r="BF5" s="48">
        <v>6.9</v>
      </c>
      <c r="BG5" s="48">
        <v>0</v>
      </c>
      <c r="BH5" s="48">
        <v>0</v>
      </c>
      <c r="BI5" s="94"/>
      <c r="BJ5" s="16">
        <f>IF(SUM(AT5,AX5)&gt;0,SUM(AT5,AX5),"")</f>
        <v>11.600000000000001</v>
      </c>
      <c r="BK5" s="16">
        <f>IF(SUM(BB5,BF5)&gt;0,SUM(BB5,BF5),"")</f>
        <v>13.8</v>
      </c>
      <c r="BL5" s="16">
        <f>IF(SUM(AS5:AT5,AV5)-AU5&gt;0,SUM(AS5:AT5,AV5)-AU5,"")</f>
        <v>29.299999999999997</v>
      </c>
      <c r="BM5" s="16">
        <f>IF(SUM(AW5:AX5,AZ5)-AY5&gt;0,SUM(AW5:AX5,AZ5)-AY5,"")</f>
        <v>33.700000000000003</v>
      </c>
      <c r="BN5" s="16">
        <f>IF(SUM(BL5:BM5)&gt;0,SUM(BL5:BM5),"")</f>
        <v>63</v>
      </c>
      <c r="BO5" s="16">
        <f>IF(SUM(BA5:BB5,BD5:BF5,BH5)-SUM(BC5,BG5)&gt;0,SUM(BA5:BB5,BD5:BF5,BH5)-SUM(BC5,BG5),"")</f>
        <v>63.300000000000004</v>
      </c>
      <c r="BP5" s="16">
        <f>IF(SUM(BN5,BO5)&gt;0,SUM(BN5,BO5),"")</f>
        <v>126.30000000000001</v>
      </c>
      <c r="BQ5" s="47">
        <v>25</v>
      </c>
      <c r="BR5" s="47">
        <v>6.9</v>
      </c>
      <c r="BS5" s="47">
        <v>0</v>
      </c>
      <c r="BT5" s="47">
        <v>1</v>
      </c>
      <c r="BU5" s="47">
        <v>26.4</v>
      </c>
      <c r="BV5" s="47">
        <v>6.9</v>
      </c>
      <c r="BW5" s="47">
        <v>0.3</v>
      </c>
      <c r="BX5" s="47">
        <v>0</v>
      </c>
      <c r="BY5" s="47">
        <v>25.9</v>
      </c>
      <c r="BZ5" s="47">
        <v>7.3</v>
      </c>
      <c r="CA5" s="47">
        <v>0</v>
      </c>
      <c r="CB5" s="47">
        <v>1</v>
      </c>
      <c r="CC5" s="47">
        <v>25.2</v>
      </c>
      <c r="CD5" s="47">
        <v>3.7</v>
      </c>
      <c r="CE5" s="47">
        <v>0</v>
      </c>
      <c r="CF5" s="47">
        <v>0</v>
      </c>
      <c r="CG5" s="93"/>
      <c r="CH5" s="13">
        <f>IF(SUM(BR5,BV5)&gt;0,SUM(BR5,BV5),"")</f>
        <v>13.8</v>
      </c>
      <c r="CI5" s="13">
        <f>IF(SUM(BZ5,CD5)&gt;0,SUM(BZ5,CD5),"")</f>
        <v>11</v>
      </c>
      <c r="CJ5" s="13">
        <f>IF(SUM(BQ5:BR5,BT5)-BS5&gt;0,SUM(BQ5:BR5,BT5)-BS5,"")</f>
        <v>32.9</v>
      </c>
      <c r="CK5" s="13">
        <f>IF(SUM(BU5:BV5,BX5)-BW5&gt;0,SUM(BU5:BV5,BX5)-BW5,"")</f>
        <v>33</v>
      </c>
      <c r="CL5" s="13">
        <f>IF(SUM(CJ5:CK5)&gt;0,SUM(CJ5:CK5),"")</f>
        <v>65.900000000000006</v>
      </c>
      <c r="CM5" s="13">
        <f>IF(SUM(BY5:BZ5,CB5:CD5,CF5)-SUM(CA5,CE5)&gt;0,SUM(BY5:BZ5,CB5:CD5,CF5)-SUM(CA5,CE5),"")</f>
        <v>63.099999999999994</v>
      </c>
      <c r="CN5" s="13">
        <f>IF(SUM(CL5,CM5)&gt;0,SUM(CL5,CM5),"")</f>
        <v>129</v>
      </c>
      <c r="CO5" s="30" t="str">
        <f>IF(MAX(DJ5,EG5,FD5,GA5,GX5,HU5,IR5,JO5,KL5,LI5,MF5,NC5)-L5&gt;0.001,MAX(DJ5,EG5,FD5,GA5,GX5,HU5,IR5,JO5,KL5,LI5,MF5,NC5)-L5,"")</f>
        <v/>
      </c>
      <c r="CP5" s="30" t="str">
        <f>IF(MAX(DK5,EH5,FE5,GB5,GY5,HV5,IS5,JP5,KM5,LJ5,MG5,ND5)-N5&gt;0.001,MAX(DK5,EH5,FE5,GB5,GY5,HV5,IS5,JP5,KM5,LJ5,MG5,ND5)-N5,"")</f>
        <v/>
      </c>
      <c r="CQ5" s="30" t="str">
        <f>IF(MAX(DM5,EJ5,FG5,GD5,HA5,HX5,IU5,JR5,KO5,LL5,MI5,NF5)-P5&gt;0.001,MAX(DM5,EJ5,FG5,GD5,HA5,HX5,IU5,JR5,KO5,LL5,MI5,NF5)-P5,"")</f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>IF(SUM(CS5,CW5)&gt;0,SUM(CS5,CW5),"")</f>
        <v/>
      </c>
      <c r="DI5" s="13" t="str">
        <f>IF(SUM(DA5,DE5)&gt;0,SUM(DA5,DE5),"")</f>
        <v/>
      </c>
      <c r="DJ5" s="13" t="str">
        <f>IF(SUM(CR5:CS5,CU5)-CT5&gt;0,SUM(CR5:CS5,CU5)-CT5,"")</f>
        <v/>
      </c>
      <c r="DK5" s="13" t="str">
        <f>IF(SUM(CV5:CW5,CY5)-CX5&gt;0,SUM(CV5:CW5,CY5)-CX5,"")</f>
        <v/>
      </c>
      <c r="DL5" s="13" t="str">
        <f>IF(SUM(DJ5:DK5)&gt;0,SUM(DJ5:DK5),"")</f>
        <v/>
      </c>
      <c r="DM5" s="13" t="str">
        <f>IF(SUM(CZ5:DA5,DC5:DE5,DG5)-SUM(DB5,DF5)&gt;0,SUM(CZ5:DA5,DC5:DE5,DG5)-SUM(DB5,DF5),"")</f>
        <v/>
      </c>
      <c r="DN5" s="13" t="str">
        <f>IF(SUM(DL5,DM5)&gt;0,SUM(DL5,DM5),"")</f>
        <v/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>IF(SUM(DP5,DT5)&gt;0,SUM(DP5,DT5),"")</f>
        <v/>
      </c>
      <c r="EF5" s="16" t="str">
        <f>IF(SUM(DX5,EB5)&gt;0,SUM(DX5,EB5),"")</f>
        <v/>
      </c>
      <c r="EG5" s="16" t="str">
        <f>IF(SUM(DO5:DP5,DR5)-DQ5&gt;0,SUM(DO5:DP5,DR5)-DQ5,"")</f>
        <v/>
      </c>
      <c r="EH5" s="16" t="str">
        <f>IF(SUM(DS5:DT5,DV5)-DU5&gt;0,SUM(DS5:DT5,DV5)-DU5,"")</f>
        <v/>
      </c>
      <c r="EI5" s="16" t="str">
        <f>IF(SUM(EG5:EH5)&gt;0,SUM(EG5:EH5),"")</f>
        <v/>
      </c>
      <c r="EJ5" s="16" t="str">
        <f>IF(SUM(DW5:DX5,DZ5:EB5,ED5)-SUM(DY5,EC5)&gt;0,SUM(DW5:DX5,DZ5:EB5,ED5)-SUM(DY5,EC5),"")</f>
        <v/>
      </c>
      <c r="EK5" s="16" t="str">
        <f>IF(SUM(EI5,EJ5)&gt;0,SUM(EI5,EJ5),"")</f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IF(AND(F6="P",H6="P"),SUMPRODUCT((F$4:F$10="P")*(H$4:H$10="P")*(E$4:E$10&gt;E6))+1,IF(H6="P",SUMPRODUCT((F$4:F$10="")*(H$4:H$10="P")*(E$4:E$10&gt;E6))+1+SUMPRODUCT((F$4:F$10="P")*(H$4:H$10="P")),""))</f>
        <v>3</v>
      </c>
      <c r="B6" s="7" t="s">
        <v>152</v>
      </c>
      <c r="C6" s="8" t="s">
        <v>3</v>
      </c>
      <c r="D6" s="33">
        <v>2000</v>
      </c>
      <c r="E6" s="17">
        <f>SUM(J6:R6)</f>
        <v>192</v>
      </c>
      <c r="F6" s="4" t="str">
        <f>IF(OR(AND($AL6&gt;=$AM$13,NOT($AL6=""),$AK6=""),AND($BJ6&gt;=$BK$13,NOT($BJ6=""),$BI6=""),AND($CH6&gt;=$CI$13,NOT($CH6=""),$CG6="")),"P","")</f>
        <v>P</v>
      </c>
      <c r="G6" s="4" t="str">
        <f>IF(OR(AND($AL6&gt;=$AM$14,NOT($AL6=""),$AK6=""),AND($BJ6&gt;=$BK$14,NOT($BJ6=""),$BI6=""),AND($CH6&gt;=$CI$14,NOT($CH6=""),$CG6="")),"P","")</f>
        <v>P</v>
      </c>
      <c r="H6" s="4" t="str">
        <f>IF(OR(AND($AP6&gt;=$AM$15,NOT($AP6=""),$AK6=""),AND($BN6&gt;=$BK$15,NOT($BN6=""),$BI6=""),AND($CL6&gt;=$CI$15,NOT($CL6=""),$CG6="")),"P","")</f>
        <v>P</v>
      </c>
      <c r="I6" t="str">
        <f>IF(AND(G6="P",OR(AND($AP6&gt;=$AM$18,NOT($AP6=""),$AK6=""),AND($BN6&gt;=$BK$18,NOT($BN6=""),$BI6=""),AND($CL6&gt;=$CI$18,NOT($CL6=""),$CG6=""))),"Merit",IF(AND(G6="P",OR(AND($AP6&gt;=$AM$17,NOT($AP6=""),$AK6=""),AND($BN6&gt;=$BK$17,NOT($BN6=""),$BI6=""),AND($CL6&gt;=$CI$17,NOT($CL6=""),$CG6=""))),"Funding",IF(AND(G6="P",OR(AND($AP6&gt;=$AM$16,NOT($AP6=""),$AK6=""),AND($BN6&gt;=$BK$16,NOT($BN6=""),$BI6=""),AND($CL6&gt;=$CI$16,NOT($CL6=""),$CG6=""))),"Worlds Team",IF(AND(F6="P",OR(AND($AP6&gt;=$AM$15,NOT($AP6=""),$AK6=""),AND($BN6&gt;=$BK$15,NOT($BN6=""),$BI6=""),AND($CL6&gt;=$CI$15,NOT($CL6=""),$CG6=""))),"National Team",""))))</f>
        <v>Worlds Team</v>
      </c>
      <c r="J6" s="16">
        <f>MAX(AP6,BN6,CL6)</f>
        <v>65.599999999999994</v>
      </c>
      <c r="K6" s="16" t="str">
        <f>IF(J6=CL6,$BQ$1,IF(J6=BN6,$AS$1,IF(J6=AP6,$U$1,"")))</f>
        <v>2018 Canada Cup</v>
      </c>
      <c r="L6" s="16">
        <f>IF($J6=$AP6,MAX(BL6,CJ6),IF($J6=$BN6,MAX(AN6,CJ6),MAX(AN6,BL6)))</f>
        <v>31</v>
      </c>
      <c r="M6" s="16" t="str">
        <f>IF(AND(L6=CJ6,$K6&lt;&gt;$BQ$1),$BQ$1,IF(AND(L6=BL6,$K6&lt;&gt;$AS$1),$AS$1,IF(AND(L6=AN6,$K6&lt;&gt;$U$1),$U$1,"")))</f>
        <v>2018 Nationals</v>
      </c>
      <c r="N6" s="16">
        <f>IF($J6=$AP6,MAX(BM6,CK6),IF($J6=$BN6,MAX(AO6,CK6),MAX(AO6,BM6)))</f>
        <v>28.4</v>
      </c>
      <c r="O6" s="16" t="str">
        <f>IF(AND(N6=CK6,$K6&lt;&gt;$BQ$1),$BQ$1,IF(AND(N6=BM6,$K6&lt;&gt;$AS$1),$AS$1,IF(AND(N6=AO6,$K6&lt;&gt;$U$1),$U$1,"")))</f>
        <v>2018 Nationals</v>
      </c>
      <c r="P6" s="16">
        <f>MAX(AQ6,BO6,CM6)</f>
        <v>67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93"/>
      <c r="AL6" s="13" t="str">
        <f>IF(SUM(V6,Z6)&gt;0,SUM(V6,Z6),"")</f>
        <v/>
      </c>
      <c r="AM6" s="13" t="str">
        <f>IF(SUM(AD6,AH6)&gt;0,SUM(AD6,AH6),"")</f>
        <v/>
      </c>
      <c r="AN6" s="13" t="str">
        <f>IF(SUM(U6:V6,X6)-W6&gt;0,SUM(U6:V6,X6)-W6,"")</f>
        <v/>
      </c>
      <c r="AO6" s="13" t="str">
        <f>IF(SUM(Y6:Z6,AB6)-AA6&gt;0,SUM(Y6:Z6,AB6)-AA6,"")</f>
        <v/>
      </c>
      <c r="AP6" s="13" t="str">
        <f>IF(SUM(AN6:AO6)&gt;0,SUM(AN6:AO6),"")</f>
        <v/>
      </c>
      <c r="AQ6" s="13" t="str">
        <f>IF(SUM(AC6:AD6,AF6:AH6,AJ6)-SUM(AE6,AI6)&gt;0,SUM(AC6:AD6,AF6:AH6,AJ6)-SUM(AE6,AI6),"")</f>
        <v/>
      </c>
      <c r="AR6" s="13" t="str">
        <f>IF(SUM(AP6,AQ6)&gt;0,SUM(AP6,AQ6),"")</f>
        <v/>
      </c>
      <c r="AS6" s="48">
        <v>24.9</v>
      </c>
      <c r="AT6" s="48">
        <v>5.6</v>
      </c>
      <c r="AU6" s="48">
        <v>0</v>
      </c>
      <c r="AV6" s="48">
        <v>0</v>
      </c>
      <c r="AW6" s="48">
        <v>26.8</v>
      </c>
      <c r="AX6" s="48">
        <v>7.3</v>
      </c>
      <c r="AY6" s="48">
        <v>0</v>
      </c>
      <c r="AZ6" s="48">
        <v>1</v>
      </c>
      <c r="BA6" s="48">
        <v>27.1</v>
      </c>
      <c r="BB6" s="48">
        <v>5.8</v>
      </c>
      <c r="BC6" s="48">
        <v>0</v>
      </c>
      <c r="BD6" s="48">
        <v>0</v>
      </c>
      <c r="BE6" s="48">
        <v>26.8</v>
      </c>
      <c r="BF6" s="48">
        <v>7.3</v>
      </c>
      <c r="BG6" s="48">
        <v>0</v>
      </c>
      <c r="BH6" s="48">
        <v>0</v>
      </c>
      <c r="BI6" s="94"/>
      <c r="BJ6" s="16">
        <f>IF(SUM(AT6,AX6)&gt;0,SUM(AT6,AX6),"")</f>
        <v>12.899999999999999</v>
      </c>
      <c r="BK6" s="16">
        <f>IF(SUM(BB6,BF6)&gt;0,SUM(BB6,BF6),"")</f>
        <v>13.1</v>
      </c>
      <c r="BL6" s="16">
        <f>IF(SUM(AS6:AT6,AV6)-AU6&gt;0,SUM(AS6:AT6,AV6)-AU6,"")</f>
        <v>30.5</v>
      </c>
      <c r="BM6" s="16">
        <f>IF(SUM(AW6:AX6,AZ6)-AY6&gt;0,SUM(AW6:AX6,AZ6)-AY6,"")</f>
        <v>35.1</v>
      </c>
      <c r="BN6" s="16">
        <f>IF(SUM(BL6:BM6)&gt;0,SUM(BL6:BM6),"")</f>
        <v>65.599999999999994</v>
      </c>
      <c r="BO6" s="16">
        <f>IF(SUM(BA6:BB6,BD6:BF6,BH6)-SUM(BC6,BG6)&gt;0,SUM(BA6:BB6,BD6:BF6,BH6)-SUM(BC6,BG6),"")</f>
        <v>67</v>
      </c>
      <c r="BP6" s="16">
        <f>IF(SUM(BN6,BO6)&gt;0,SUM(BN6,BO6),"")</f>
        <v>132.6</v>
      </c>
      <c r="BQ6" s="47">
        <v>25.2</v>
      </c>
      <c r="BR6" s="47">
        <v>5.8</v>
      </c>
      <c r="BS6" s="47">
        <v>0</v>
      </c>
      <c r="BT6" s="47">
        <v>0</v>
      </c>
      <c r="BU6" s="47">
        <v>24.7</v>
      </c>
      <c r="BV6" s="47">
        <v>3.7</v>
      </c>
      <c r="BW6" s="47">
        <v>0</v>
      </c>
      <c r="BX6" s="47">
        <v>0</v>
      </c>
      <c r="BY6" s="47"/>
      <c r="BZ6" s="47"/>
      <c r="CA6" s="47"/>
      <c r="CB6" s="47"/>
      <c r="CC6" s="47"/>
      <c r="CD6" s="47"/>
      <c r="CE6" s="47"/>
      <c r="CF6" s="47"/>
      <c r="CG6" s="93"/>
      <c r="CH6" s="13">
        <f>IF(SUM(BR6,BV6)&gt;0,SUM(BR6,BV6),"")</f>
        <v>9.5</v>
      </c>
      <c r="CI6" s="13" t="str">
        <f>IF(SUM(BZ6,CD6)&gt;0,SUM(BZ6,CD6),"")</f>
        <v/>
      </c>
      <c r="CJ6" s="13">
        <f>IF(SUM(BQ6:BR6,BT6)-BS6&gt;0,SUM(BQ6:BR6,BT6)-BS6,"")</f>
        <v>31</v>
      </c>
      <c r="CK6" s="13">
        <f>IF(SUM(BU6:BV6,BX6)-BW6&gt;0,SUM(BU6:BV6,BX6)-BW6,"")</f>
        <v>28.4</v>
      </c>
      <c r="CL6" s="13">
        <f>IF(SUM(CJ6:CK6)&gt;0,SUM(CJ6:CK6),"")</f>
        <v>59.4</v>
      </c>
      <c r="CM6" s="13" t="str">
        <f>IF(SUM(BY6:BZ6,CB6:CD6,CF6)-SUM(CA6,CE6)&gt;0,SUM(BY6:BZ6,CB6:CD6,CF6)-SUM(CA6,CE6),"")</f>
        <v/>
      </c>
      <c r="CN6" s="13">
        <f>IF(SUM(CL6,CM6)&gt;0,SUM(CL6,CM6),"")</f>
        <v>59.4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IF(AND(F7="P",H7="P"),SUMPRODUCT((F$4:F$10="P")*(H$4:H$10="P")*(E$4:E$10&gt;E7))+1,IF(H7="P",SUMPRODUCT((F$4:F$10="")*(H$4:H$10="P")*(E$4:E$10&gt;E7))+1+SUMPRODUCT((F$4:F$10="P")*(H$4:H$10="P")),""))</f>
        <v>4</v>
      </c>
      <c r="B7" s="7" t="s">
        <v>78</v>
      </c>
      <c r="C7" s="8" t="s">
        <v>3</v>
      </c>
      <c r="D7" s="6">
        <v>1995</v>
      </c>
      <c r="E7" s="17">
        <f>SUM(J7:R7)</f>
        <v>136.60000000000002</v>
      </c>
      <c r="F7" s="4" t="str">
        <f>IF(OR(AND($AL7&gt;=$AM$13,NOT($AL7=""),$AK7=""),AND($BJ7&gt;=$BK$13,NOT($BJ7=""),$BI7=""),AND($CH7&gt;=$CI$13,NOT($CH7=""),$CG7="")),"P","")</f>
        <v>P</v>
      </c>
      <c r="G7" s="4" t="str">
        <f>IF(OR(AND($AL7&gt;=$AM$14,NOT($AL7=""),$AK7=""),AND($BJ7&gt;=$BK$14,NOT($BJ7=""),$BI7=""),AND($CH7&gt;=$CI$14,NOT($CH7=""),$CG7="")),"P","")</f>
        <v>P</v>
      </c>
      <c r="H7" s="4" t="str">
        <f>IF(OR(AND($AP7&gt;=$AM$15,NOT($AP7=""),$AK7=""),AND($BN7&gt;=$BK$15,NOT($BN7=""),$BI7=""),AND($CL7&gt;=$CI$15,NOT($CL7=""),$CG7="")),"P","")</f>
        <v>P</v>
      </c>
      <c r="I7" t="str">
        <f>IF(AND(G7="P",OR(AND($AP7&gt;=$AM$18,NOT($AP7=""),$AK7=""),AND($BN7&gt;=$BK$18,NOT($BN7=""),$BI7=""),AND($CL7&gt;=$CI$18,NOT($CL7=""),$CG7=""))),"Merit",IF(AND(G7="P",OR(AND($AP7&gt;=$AM$17,NOT($AP7=""),$AK7=""),AND($BN7&gt;=$BK$17,NOT($BN7=""),$BI7=""),AND($CL7&gt;=$CI$17,NOT($CL7=""),$CG7=""))),"Funding",IF(AND(G7="P",OR(AND($AP7&gt;=$AM$16,NOT($AP7=""),$AK7=""),AND($BN7&gt;=$BK$16,NOT($BN7=""),$BI7=""),AND($CL7&gt;=$CI$16,NOT($CL7=""),$CG7=""))),"Worlds Team",IF(AND(F7="P",OR(AND($AP7&gt;=$AM$15,NOT($AP7=""),$AK7=""),AND($BN7&gt;=$BK$15,NOT($BN7=""),$BI7=""),AND($CL7&gt;=$CI$15,NOT($CL7=""),$CG7=""))),"National Team",""))))</f>
        <v>Worlds Team</v>
      </c>
      <c r="J7" s="16">
        <f>MAX(AP7,BN7,CL7)</f>
        <v>67.3</v>
      </c>
      <c r="K7" s="16" t="str">
        <f>IF(J7=CL7,$BQ$1,IF(J7=BN7,$AS$1,IF(J7=AP7,$U$1,"")))</f>
        <v>2018 Canada Cup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69.300000000000011</v>
      </c>
      <c r="Q7" s="16" t="str">
        <f>IF(P7=CM7,$BQ$1,IF(P7=BO7,$AS$1,IF(P7=AQ7,$U$1,"")))</f>
        <v>2018 Canada Cup</v>
      </c>
      <c r="R7" s="16" t="str">
        <f>IF(MAX(CO7:CQ7)&gt;0,MAX(CO7:CQ7),"")</f>
        <v/>
      </c>
      <c r="S7" s="31" t="str">
        <f>IF(R7="","",IF(R7=CO7,"(Pass 1)",IF(R7=CP7,"(Pass 2)",IF(R7=CQ7,"(Final)"))))</f>
        <v/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>
        <v>27.1</v>
      </c>
      <c r="AT7" s="48">
        <v>5.5</v>
      </c>
      <c r="AU7" s="48">
        <v>0</v>
      </c>
      <c r="AV7" s="48">
        <v>0</v>
      </c>
      <c r="AW7" s="48">
        <v>27.4</v>
      </c>
      <c r="AX7" s="48">
        <v>7.3</v>
      </c>
      <c r="AY7" s="48">
        <v>0</v>
      </c>
      <c r="AZ7" s="48">
        <v>0</v>
      </c>
      <c r="BA7" s="48">
        <v>27.3</v>
      </c>
      <c r="BB7" s="48">
        <v>6.9</v>
      </c>
      <c r="BC7" s="48">
        <v>0</v>
      </c>
      <c r="BD7" s="48">
        <v>0</v>
      </c>
      <c r="BE7" s="48">
        <v>28.2</v>
      </c>
      <c r="BF7" s="48">
        <v>6.9</v>
      </c>
      <c r="BG7" s="48">
        <v>0</v>
      </c>
      <c r="BH7" s="48">
        <v>0</v>
      </c>
      <c r="BI7" s="94"/>
      <c r="BJ7" s="16">
        <f>IF(SUM(AT7,AX7)&gt;0,SUM(AT7,AX7),"")</f>
        <v>12.8</v>
      </c>
      <c r="BK7" s="16">
        <f>IF(SUM(BB7,BF7)&gt;0,SUM(BB7,BF7),"")</f>
        <v>13.8</v>
      </c>
      <c r="BL7" s="16">
        <f>IF(SUM(AS7:AT7,AV7)-AU7&gt;0,SUM(AS7:AT7,AV7)-AU7,"")</f>
        <v>32.6</v>
      </c>
      <c r="BM7" s="16">
        <f>IF(SUM(AW7:AX7,AZ7)-AY7&gt;0,SUM(AW7:AX7,AZ7)-AY7,"")</f>
        <v>34.699999999999996</v>
      </c>
      <c r="BN7" s="16">
        <f>IF(SUM(BL7:BM7)&gt;0,SUM(BL7:BM7),"")</f>
        <v>67.3</v>
      </c>
      <c r="BO7" s="16">
        <f>IF(SUM(BA7:BB7,BD7:BF7,BH7)-SUM(BC7,BG7)&gt;0,SUM(BA7:BB7,BD7:BF7,BH7)-SUM(BC7,BG7),"")</f>
        <v>69.300000000000011</v>
      </c>
      <c r="BP7" s="16">
        <f>IF(SUM(BN7,BO7)&gt;0,SUM(BN7,BO7),"")</f>
        <v>136.60000000000002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 t="str">
        <f>IF(MAX(DJ7,EG7,FD7,GA7,GX7,HU7,IR7,JO7,KL7,LI7,MF7,NC7)-L7&gt;0.001,MAX(DJ7,EG7,FD7,GA7,GX7,HU7,IR7,JO7,KL7,LI7,MF7,NC7)-L7,"")</f>
        <v/>
      </c>
      <c r="CP7" s="30" t="str">
        <f>IF(MAX(DK7,EH7,FE7,GB7,GY7,HV7,IS7,JP7,KM7,LJ7,MG7,ND7)-N7&gt;0.001,MAX(DK7,EH7,FE7,GB7,GY7,HV7,IS7,JP7,KM7,LJ7,MG7,ND7)-N7,"")</f>
        <v/>
      </c>
      <c r="CQ7" s="30" t="str">
        <f>IF(MAX(DM7,EJ7,FG7,GD7,HA7,HX7,IU7,JR7,KO7,LL7,MI7,NF7)-P7&gt;0.001,MAX(DM7,EJ7,FG7,GD7,HA7,HX7,IU7,JR7,KO7,LL7,MI7,NF7)-P7,"")</f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>IF(SUM(CS7,CW7)&gt;0,SUM(CS7,CW7),"")</f>
        <v/>
      </c>
      <c r="DI7" s="13" t="str">
        <f>IF(SUM(DA7,DE7)&gt;0,SUM(DA7,DE7),"")</f>
        <v/>
      </c>
      <c r="DJ7" s="13" t="str">
        <f>IF(SUM(CR7:CS7,CU7)-CT7&gt;0,SUM(CR7:CS7,CU7)-CT7,"")</f>
        <v/>
      </c>
      <c r="DK7" s="13" t="str">
        <f>IF(SUM(CV7:CW7,CY7)-CX7&gt;0,SUM(CV7:CW7,CY7)-CX7,"")</f>
        <v/>
      </c>
      <c r="DL7" s="13" t="str">
        <f>IF(SUM(DJ7:DK7)&gt;0,SUM(DJ7:DK7),"")</f>
        <v/>
      </c>
      <c r="DM7" s="13" t="str">
        <f>IF(SUM(CZ7:DA7,DC7:DE7,DG7)-SUM(DB7,DF7)&gt;0,SUM(CZ7:DA7,DC7:DE7,DG7)-SUM(DB7,DF7),"")</f>
        <v/>
      </c>
      <c r="DN7" s="13" t="str">
        <f>IF(SUM(DL7,DM7)&gt;0,SUM(DL7,DM7),"")</f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>IF(SUM(DP7,DT7)&gt;0,SUM(DP7,DT7),"")</f>
        <v/>
      </c>
      <c r="EF7" s="16" t="str">
        <f>IF(SUM(DX7,EB7)&gt;0,SUM(DX7,EB7),"")</f>
        <v/>
      </c>
      <c r="EG7" s="16" t="str">
        <f>IF(SUM(DO7:DP7,DR7)-DQ7&gt;0,SUM(DO7:DP7,DR7)-DQ7,"")</f>
        <v/>
      </c>
      <c r="EH7" s="16" t="str">
        <f>IF(SUM(DS7:DT7,DV7)-DU7&gt;0,SUM(DS7:DT7,DV7)-DU7,"")</f>
        <v/>
      </c>
      <c r="EI7" s="16" t="str">
        <f>IF(SUM(EG7:EH7)&gt;0,SUM(EG7:EH7),"")</f>
        <v/>
      </c>
      <c r="EJ7" s="16" t="str">
        <f>IF(SUM(DW7:DX7,DZ7:EB7,ED7)-SUM(DY7,EC7)&gt;0,SUM(DW7:DX7,DZ7:EB7,ED7)-SUM(DY7,EC7),"")</f>
        <v/>
      </c>
      <c r="EK7" s="16" t="str">
        <f>IF(SUM(EI7,EJ7)&gt;0,SUM(EI7,EJ7),"")</f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 t="str">
        <f>IF(AND(F8="P",H8="P"),SUMPRODUCT((F$4:F$10="P")*(H$4:H$10="P")*(E$4:E$10&gt;E8))+1,IF(H8="P",SUMPRODUCT((F$4:F$10="")*(H$4:H$10="P")*(E$4:E$10&gt;E8))+1+SUMPRODUCT((F$4:F$10="P")*(H$4:H$10="P")),""))</f>
        <v/>
      </c>
      <c r="B8" s="9" t="s">
        <v>132</v>
      </c>
      <c r="C8" s="5" t="s">
        <v>3</v>
      </c>
      <c r="D8" s="33">
        <v>1996</v>
      </c>
      <c r="E8" s="17">
        <f>SUM(J8:R8)</f>
        <v>179.3</v>
      </c>
      <c r="F8" s="4" t="str">
        <f>IF(OR(AND($AL8&gt;=$AM$13,NOT($AL8=""),$AK8=""),AND($BJ8&gt;=$BK$13,NOT($BJ8=""),$BI8=""),AND($CH8&gt;=$CI$13,NOT($CH8=""),$CG8="")),"P","")</f>
        <v/>
      </c>
      <c r="G8" s="4" t="str">
        <f>IF(OR(AND($AL8&gt;=$AM$14,NOT($AL8=""),$AK8=""),AND($BJ8&gt;=$BK$14,NOT($BJ8=""),$BI8=""),AND($CH8&gt;=$CI$14,NOT($CH8=""),$CG8="")),"P","")</f>
        <v/>
      </c>
      <c r="H8" s="4" t="str">
        <f>IF(OR(AND($AP8&gt;=$AM$15,NOT($AP8=""),$AK8=""),AND($BN8&gt;=$BK$15,NOT($BN8=""),$BI8=""),AND($CL8&gt;=$CI$15,NOT($CL8=""),$CG8="")),"P","")</f>
        <v/>
      </c>
      <c r="I8" t="str">
        <f>IF(AND(G8="P",OR(AND($AP8&gt;=$AM$18,NOT($AP8=""),$AK8=""),AND($BN8&gt;=$BK$18,NOT($BN8=""),$BI8=""),AND($CL8&gt;=$CI$18,NOT($CL8=""),$CG8=""))),"Merit",IF(AND(G8="P",OR(AND($AP8&gt;=$AM$17,NOT($AP8=""),$AK8=""),AND($BN8&gt;=$BK$17,NOT($BN8=""),$BI8=""),AND($CL8&gt;=$CI$17,NOT($CL8=""),$CG8=""))),"Funding",IF(AND(G8="P",OR(AND($AP8&gt;=$AM$16,NOT($AP8=""),$AK8=""),AND($BN8&gt;=$BK$16,NOT($BN8=""),$BI8=""),AND($CL8&gt;=$CI$16,NOT($CL8=""),$CG8=""))),"Worlds Team",IF(AND(F8="P",OR(AND($AP8&gt;=$AM$15,NOT($AP8=""),$AK8=""),AND($BN8&gt;=$BK$15,NOT($BN8=""),$BI8=""),AND($CL8&gt;=$CI$15,NOT($CL8=""),$CG8=""))),"National Team",""))))</f>
        <v/>
      </c>
      <c r="J8" s="16">
        <f>MAX(AP8,BN8,CL8)</f>
        <v>59.400000000000006</v>
      </c>
      <c r="K8" s="16" t="str">
        <f>IF(J8=CL8,$BQ$1,IF(J8=BN8,$AS$1,IF(J8=AP8,$U$1,"")))</f>
        <v>2018 Nationals</v>
      </c>
      <c r="L8" s="16">
        <f>IF($J8=$AP8,MAX(BL8,CJ8),IF($J8=$BN8,MAX(AN8,CJ8),MAX(AN8,BL8)))</f>
        <v>27.3</v>
      </c>
      <c r="M8" s="16" t="str">
        <f>IF(AND(L8=CJ8,$K8&lt;&gt;$BQ$1),$BQ$1,IF(AND(L8=BL8,$K8&lt;&gt;$AS$1),$AS$1,IF(AND(L8=AN8,$K8&lt;&gt;$U$1),$U$1,"")))</f>
        <v>2018 Canada Cup</v>
      </c>
      <c r="N8" s="16">
        <f>IF($J8=$AP8,MAX(BM8,CK8),IF($J8=$BN8,MAX(AO8,CK8),MAX(AO8,BM8)))</f>
        <v>27.9</v>
      </c>
      <c r="O8" s="16" t="str">
        <f>IF(AND(N8=CK8,$K8&lt;&gt;$BQ$1),$BQ$1,IF(AND(N8=BM8,$K8&lt;&gt;$AS$1),$AS$1,IF(AND(N8=AO8,$K8&lt;&gt;$U$1),$U$1,"")))</f>
        <v>2018 Canada Cup</v>
      </c>
      <c r="P8" s="16">
        <f>MAX(AQ8,BO8,CM8)</f>
        <v>64.7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>
        <v>21.3</v>
      </c>
      <c r="AT8" s="48">
        <v>5</v>
      </c>
      <c r="AU8" s="48">
        <v>0</v>
      </c>
      <c r="AV8" s="48">
        <v>1</v>
      </c>
      <c r="AW8" s="48">
        <v>23.3</v>
      </c>
      <c r="AX8" s="48">
        <v>4.5999999999999996</v>
      </c>
      <c r="AY8" s="48">
        <v>0</v>
      </c>
      <c r="AZ8" s="48">
        <v>0</v>
      </c>
      <c r="BA8" s="48">
        <v>22.3</v>
      </c>
      <c r="BB8" s="48">
        <v>7</v>
      </c>
      <c r="BC8" s="48">
        <v>0</v>
      </c>
      <c r="BD8" s="48">
        <v>0</v>
      </c>
      <c r="BE8" s="48">
        <v>24.2</v>
      </c>
      <c r="BF8" s="48">
        <v>5.9</v>
      </c>
      <c r="BG8" s="48">
        <v>0</v>
      </c>
      <c r="BH8" s="48">
        <v>0</v>
      </c>
      <c r="BI8" s="94"/>
      <c r="BJ8" s="16">
        <f>IF(SUM(AT8,AX8)&gt;0,SUM(AT8,AX8),"")</f>
        <v>9.6</v>
      </c>
      <c r="BK8" s="16">
        <f>IF(SUM(BB8,BF8)&gt;0,SUM(BB8,BF8),"")</f>
        <v>12.9</v>
      </c>
      <c r="BL8" s="16">
        <f>IF(SUM(AS8:AT8,AV8)-AU8&gt;0,SUM(AS8:AT8,AV8)-AU8,"")</f>
        <v>27.3</v>
      </c>
      <c r="BM8" s="16">
        <f>IF(SUM(AW8:AX8,AZ8)-AY8&gt;0,SUM(AW8:AX8,AZ8)-AY8,"")</f>
        <v>27.9</v>
      </c>
      <c r="BN8" s="16">
        <f>IF(SUM(BL8:BM8)&gt;0,SUM(BL8:BM8),"")</f>
        <v>55.2</v>
      </c>
      <c r="BO8" s="16">
        <f>IF(SUM(BA8:BB8,BD8:BF8,BH8)-SUM(BC8,BG8)&gt;0,SUM(BA8:BB8,BD8:BF8,BH8)-SUM(BC8,BG8),"")</f>
        <v>59.4</v>
      </c>
      <c r="BP8" s="16">
        <f>IF(SUM(BN8,BO8)&gt;0,SUM(BN8,BO8),"")</f>
        <v>114.6</v>
      </c>
      <c r="BQ8" s="47">
        <v>22.9</v>
      </c>
      <c r="BR8" s="47">
        <v>4.8</v>
      </c>
      <c r="BS8" s="47">
        <v>0</v>
      </c>
      <c r="BT8" s="47">
        <v>1</v>
      </c>
      <c r="BU8" s="47">
        <v>24.8</v>
      </c>
      <c r="BV8" s="47">
        <v>5.9</v>
      </c>
      <c r="BW8" s="47">
        <v>0</v>
      </c>
      <c r="BX8" s="47">
        <v>0</v>
      </c>
      <c r="BY8" s="47">
        <v>25.2</v>
      </c>
      <c r="BZ8" s="47">
        <v>7</v>
      </c>
      <c r="CA8" s="47">
        <v>0</v>
      </c>
      <c r="CB8" s="47">
        <v>1</v>
      </c>
      <c r="CC8" s="47">
        <v>25.6</v>
      </c>
      <c r="CD8" s="47">
        <v>5.9</v>
      </c>
      <c r="CE8" s="47">
        <v>0</v>
      </c>
      <c r="CF8" s="47">
        <v>0</v>
      </c>
      <c r="CG8" s="93"/>
      <c r="CH8" s="13">
        <f>IF(SUM(BR8,BV8)&gt;0,SUM(BR8,BV8),"")</f>
        <v>10.7</v>
      </c>
      <c r="CI8" s="13">
        <f>IF(SUM(BZ8,CD8)&gt;0,SUM(BZ8,CD8),"")</f>
        <v>12.9</v>
      </c>
      <c r="CJ8" s="13">
        <f>IF(SUM(BQ8:BR8,BT8)-BS8&gt;0,SUM(BQ8:BR8,BT8)-BS8,"")</f>
        <v>28.7</v>
      </c>
      <c r="CK8" s="13">
        <f>IF(SUM(BU8:BV8,BX8)-BW8&gt;0,SUM(BU8:BV8,BX8)-BW8,"")</f>
        <v>30.700000000000003</v>
      </c>
      <c r="CL8" s="13">
        <f>IF(SUM(CJ8:CK8)&gt;0,SUM(CJ8:CK8),"")</f>
        <v>59.400000000000006</v>
      </c>
      <c r="CM8" s="13">
        <f>IF(SUM(BY8:BZ8,CB8:CD8,CF8)-SUM(CA8,CE8)&gt;0,SUM(BY8:BZ8,CB8:CD8,CF8)-SUM(CA8,CE8),"")</f>
        <v>64.7</v>
      </c>
      <c r="CN8" s="13">
        <f>IF(SUM(CL8,CM8)&gt;0,SUM(CL8,CM8),"")</f>
        <v>124.10000000000001</v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x14ac:dyDescent="0.2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7" t="s">
        <v>79</v>
      </c>
      <c r="C9" s="8" t="s">
        <v>5</v>
      </c>
      <c r="D9" s="33">
        <v>1997</v>
      </c>
      <c r="E9" s="17">
        <f>SUM(J9:R9)</f>
        <v>177.4</v>
      </c>
      <c r="F9" s="4" t="str">
        <f>IF(OR(AND($AL9&gt;=$AM$13,NOT($AL9=""),$AK9=""),AND($BJ9&gt;=$BK$13,NOT($BJ9=""),$BI9=""),AND($CH9&gt;=$CI$13,NOT($CH9=""),$CG9="")),"P","")</f>
        <v/>
      </c>
      <c r="G9" s="4" t="str">
        <f>IF(OR(AND($AL9&gt;=$AM$14,NOT($AL9=""),$AK9=""),AND($BJ9&gt;=$BK$14,NOT($BJ9=""),$BI9=""),AND($CH9&gt;=$CI$14,NOT($CH9=""),$CG9="")),"P","")</f>
        <v/>
      </c>
      <c r="H9" s="4" t="str">
        <f>IF(OR(AND($AP9&gt;=$AM$15,NOT($AP9=""),$AK9=""),AND($BN9&gt;=$BK$15,NOT($BN9=""),$BI9=""),AND($CL9&gt;=$CI$15,NOT($CL9=""),$CG9="")),"P","")</f>
        <v/>
      </c>
      <c r="I9" t="str">
        <f>IF(AND(G9="P",OR(AND($AP9&gt;=$AM$18,NOT($AP9=""),$AK9=""),AND($BN9&gt;=$BK$18,NOT($BN9=""),$BI9=""),AND($CL9&gt;=$CI$18,NOT($CL9=""),$CG9=""))),"Merit",IF(AND(G9="P",OR(AND($AP9&gt;=$AM$17,NOT($AP9=""),$AK9=""),AND($BN9&gt;=$BK$17,NOT($BN9=""),$BI9=""),AND($CL9&gt;=$CI$17,NOT($CL9=""),$CG9=""))),"Funding",IF(AND(G9="P",OR(AND($AP9&gt;=$AM$16,NOT($AP9=""),$AK9=""),AND($BN9&gt;=$BK$16,NOT($BN9=""),$BI9=""),AND($CL9&gt;=$CI$16,NOT($CL9=""),$CG9=""))),"Worlds Team",IF(AND(F9="P",OR(AND($AP9&gt;=$AM$15,NOT($AP9=""),$AK9=""),AND($BN9&gt;=$BK$15,NOT($BN9=""),$BI9=""),AND($CL9&gt;=$CI$15,NOT($CL9=""),$CG9=""))),"National Team",""))))</f>
        <v/>
      </c>
      <c r="J9" s="16">
        <f>MAX(AP9,BN9,CL9)</f>
        <v>61.5</v>
      </c>
      <c r="K9" s="16" t="str">
        <f>IF(J9=CL9,$BQ$1,IF(J9=BN9,$AS$1,IF(J9=AP9,$U$1,"")))</f>
        <v>2018 Nationals</v>
      </c>
      <c r="L9" s="16">
        <f>IF($J9=$AP9,MAX(BL9,CJ9),IF($J9=$BN9,MAX(AN9,CJ9),MAX(AN9,BL9)))</f>
        <v>31.4</v>
      </c>
      <c r="M9" s="16" t="str">
        <f>IF(AND(L9=CJ9,$K9&lt;&gt;$BQ$1),$BQ$1,IF(AND(L9=BL9,$K9&lt;&gt;$AS$1),$AS$1,IF(AND(L9=AN9,$K9&lt;&gt;$U$1),$U$1,"")))</f>
        <v>2018 Canada Cup</v>
      </c>
      <c r="N9" s="16">
        <f>IF($J9=$AP9,MAX(BM9,CK9),IF($J9=$BN9,MAX(AO9,CK9),MAX(AO9,BM9)))</f>
        <v>23.7</v>
      </c>
      <c r="O9" s="16" t="str">
        <f>IF(AND(N9=CK9,$K9&lt;&gt;$BQ$1),$BQ$1,IF(AND(N9=BM9,$K9&lt;&gt;$AS$1),$AS$1,IF(AND(N9=AO9,$K9&lt;&gt;$U$1),$U$1,"")))</f>
        <v>2018 Canada Cup</v>
      </c>
      <c r="P9" s="16">
        <f>MAX(AQ9,BO9,CM9)</f>
        <v>60.800000000000004</v>
      </c>
      <c r="Q9" s="16" t="str">
        <f>IF(P9=CM9,$BQ$1,IF(P9=BO9,$AS$1,IF(P9=AQ9,$U$1,"")))</f>
        <v>2018 Nationals</v>
      </c>
      <c r="R9" s="16" t="str">
        <f>IF(MAX(CO9:CQ9)&gt;0,MAX(CO9:CQ9),"")</f>
        <v/>
      </c>
      <c r="S9" s="31" t="str">
        <f>IF(R9="","",IF(R9=CO9,"(Pass 1)",IF(R9=CP9,"(Pass 2)",IF(R9=CQ9,"(Final)"))))</f>
        <v/>
      </c>
      <c r="T9" s="16" t="str">
        <f>IF(R9="","",IF(R9=CO9,IF(R9+L9=NC9,$MK$1,IF(R9+L9=MF9,$LN$1,IF(R9+L9=LI9,$KQ$1,IF(R9+L9=KL9,$JT$1,IF(R9+L9=JO9,$IW$1,IF(R9+L9=IR9,$HZ$1,IF(R9+L9=HU9,$HC$1,IF(R9+L9=GX9,$GF$1,IF(R9+L9=GA9,$FI$1,IF(R9+L9=FD9,$EL$1,IF(R9+L9=EG9,$DO$1,IF(R9+L9=DJ9,$CR$1)))))))))))),IF(R9=CP9,IF(R9+N9=ND9,$MK$1,IF(R9+N9=MG9,$LN$1,IF(R9+N9=LJ9,$KQ$1,IF(R9+N9=KM9,$JT$1,IF(R9+N9=JP9,$IW$1,IF(R9+N9=IS9,$HZ$1,IF(R9+N9=HV9,$HC$1,IF(R9+N9=GY9,$GF$1,IF(R9+N9=GB9,$FI$1,IF(R9+N9=FE9,$EL$1,IF(R9+N9=EH9,$DO$1,IF(R9+N9=DK9,$CR$1)))))))))))),IF(R9=CQ9,IF(R9+P9=NF9,$MK$1,IF(R9+P9=MI9,$LN$1,IF(R9+P9=LL9,$KQ$1,IF(R9+P9=KO9,$JT$1,IF(R9+P9=JR9,$IW$1,IF(R9+P9=IU9,$HZ$1,IF(R9+P9=HX9,$HC$1,IF(R9+P9=HA9,$GF$1,IF(R9+P9=GD9,$FI$1,IF(R9+P9=FG9,$EL$1,IF(R9+P9=EJ9,$DO$1,IF(R9+P9=DM9,$CR$1))))))))))))))))</f>
        <v/>
      </c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93"/>
      <c r="AL9" s="13" t="str">
        <f>IF(SUM(V9,Z9)&gt;0,SUM(V9,Z9),"")</f>
        <v/>
      </c>
      <c r="AM9" s="13" t="str">
        <f>IF(SUM(AD9,AH9)&gt;0,SUM(AD9,AH9),"")</f>
        <v/>
      </c>
      <c r="AN9" s="13" t="str">
        <f>IF(SUM(U9:V9,X9)-W9&gt;0,SUM(U9:V9,X9)-W9,"")</f>
        <v/>
      </c>
      <c r="AO9" s="13" t="str">
        <f>IF(SUM(Y9:Z9,AB9)-AA9&gt;0,SUM(Y9:Z9,AB9)-AA9,"")</f>
        <v/>
      </c>
      <c r="AP9" s="13" t="str">
        <f>IF(SUM(AN9:AO9)&gt;0,SUM(AN9:AO9),"")</f>
        <v/>
      </c>
      <c r="AQ9" s="13" t="str">
        <f>IF(SUM(AC9:AD9,AF9:AH9,AJ9)-SUM(AE9,AI9)&gt;0,SUM(AC9:AD9,AF9:AH9,AJ9)-SUM(AE9,AI9),"")</f>
        <v/>
      </c>
      <c r="AR9" s="13" t="str">
        <f>IF(SUM(AP9,AQ9)&gt;0,SUM(AP9,AQ9),"")</f>
        <v/>
      </c>
      <c r="AS9" s="48">
        <v>23.5</v>
      </c>
      <c r="AT9" s="48">
        <v>6.9</v>
      </c>
      <c r="AU9" s="48">
        <v>0</v>
      </c>
      <c r="AV9" s="48">
        <v>1</v>
      </c>
      <c r="AW9" s="48">
        <v>20.2</v>
      </c>
      <c r="AX9" s="48">
        <v>3.5</v>
      </c>
      <c r="AY9" s="48">
        <v>0</v>
      </c>
      <c r="AZ9" s="48">
        <v>0</v>
      </c>
      <c r="BA9" s="48">
        <v>20.5</v>
      </c>
      <c r="BB9" s="48">
        <v>6.9</v>
      </c>
      <c r="BC9" s="48">
        <v>0</v>
      </c>
      <c r="BD9" s="48">
        <v>0</v>
      </c>
      <c r="BE9" s="48">
        <v>24.4</v>
      </c>
      <c r="BF9" s="48">
        <v>6.1</v>
      </c>
      <c r="BG9" s="48">
        <v>0.3</v>
      </c>
      <c r="BH9" s="48">
        <v>0</v>
      </c>
      <c r="BI9" s="94"/>
      <c r="BJ9" s="16">
        <f>IF(SUM(AT9,AX9)&gt;0,SUM(AT9,AX9),"")</f>
        <v>10.4</v>
      </c>
      <c r="BK9" s="16">
        <f>IF(SUM(BB9,BF9)&gt;0,SUM(BB9,BF9),"")</f>
        <v>13</v>
      </c>
      <c r="BL9" s="16">
        <f>IF(SUM(AS9:AT9,AV9)-AU9&gt;0,SUM(AS9:AT9,AV9)-AU9,"")</f>
        <v>31.4</v>
      </c>
      <c r="BM9" s="16">
        <f>IF(SUM(AW9:AX9,AZ9)-AY9&gt;0,SUM(AW9:AX9,AZ9)-AY9,"")</f>
        <v>23.7</v>
      </c>
      <c r="BN9" s="16">
        <f>IF(SUM(BL9:BM9)&gt;0,SUM(BL9:BM9),"")</f>
        <v>55.099999999999994</v>
      </c>
      <c r="BO9" s="16">
        <f>IF(SUM(BA9:BB9,BD9:BF9,BH9)-SUM(BC9,BG9)&gt;0,SUM(BA9:BB9,BD9:BF9,BH9)-SUM(BC9,BG9),"")</f>
        <v>57.6</v>
      </c>
      <c r="BP9" s="16">
        <f>IF(SUM(BN9,BO9)&gt;0,SUM(BN9,BO9),"")</f>
        <v>112.69999999999999</v>
      </c>
      <c r="BQ9" s="47">
        <v>24.4</v>
      </c>
      <c r="BR9" s="47">
        <v>4.9000000000000004</v>
      </c>
      <c r="BS9" s="47">
        <v>0</v>
      </c>
      <c r="BT9" s="47">
        <v>0</v>
      </c>
      <c r="BU9" s="47">
        <v>26.1</v>
      </c>
      <c r="BV9" s="47">
        <v>6.1</v>
      </c>
      <c r="BW9" s="47">
        <v>0</v>
      </c>
      <c r="BX9" s="47">
        <v>0</v>
      </c>
      <c r="BY9" s="47">
        <v>24.8</v>
      </c>
      <c r="BZ9" s="47">
        <v>6.9</v>
      </c>
      <c r="CA9" s="47">
        <v>0</v>
      </c>
      <c r="CB9" s="47">
        <v>1</v>
      </c>
      <c r="CC9" s="47">
        <v>24.4</v>
      </c>
      <c r="CD9" s="47">
        <v>3.7</v>
      </c>
      <c r="CE9" s="47">
        <v>0</v>
      </c>
      <c r="CF9" s="47">
        <v>0</v>
      </c>
      <c r="CG9" s="93"/>
      <c r="CH9" s="13">
        <f>IF(SUM(BR9,BV9)&gt;0,SUM(BR9,BV9),"")</f>
        <v>11</v>
      </c>
      <c r="CI9" s="13">
        <f>IF(SUM(BZ9,CD9)&gt;0,SUM(BZ9,CD9),"")</f>
        <v>10.600000000000001</v>
      </c>
      <c r="CJ9" s="13">
        <f>IF(SUM(BQ9:BR9,BT9)-BS9&gt;0,SUM(BQ9:BR9,BT9)-BS9,"")</f>
        <v>29.299999999999997</v>
      </c>
      <c r="CK9" s="13">
        <f>IF(SUM(BU9:BV9,BX9)-BW9&gt;0,SUM(BU9:BV9,BX9)-BW9,"")</f>
        <v>32.200000000000003</v>
      </c>
      <c r="CL9" s="13">
        <f>IF(SUM(CJ9:CK9)&gt;0,SUM(CJ9:CK9),"")</f>
        <v>61.5</v>
      </c>
      <c r="CM9" s="13">
        <f>IF(SUM(BY9:BZ9,CB9:CD9,CF9)-SUM(CA9,CE9)&gt;0,SUM(BY9:BZ9,CB9:CD9,CF9)-SUM(CA9,CE9),"")</f>
        <v>60.800000000000004</v>
      </c>
      <c r="CN9" s="13">
        <f>IF(SUM(CL9,CM9)&gt;0,SUM(CL9,CM9),"")</f>
        <v>122.30000000000001</v>
      </c>
      <c r="CO9" s="30" t="str">
        <f>IF(MAX(DJ9,EG9,FD9,GA9,GX9,HU9,IR9,JO9,KL9,LI9,MF9,NC9)-L9&gt;0.001,MAX(DJ9,EG9,FD9,GA9,GX9,HU9,IR9,JO9,KL9,LI9,MF9,NC9)-L9,"")</f>
        <v/>
      </c>
      <c r="CP9" s="30" t="str">
        <f>IF(MAX(DK9,EH9,FE9,GB9,GY9,HV9,IS9,JP9,KM9,LJ9,MG9,ND9)-N9&gt;0.001,MAX(DK9,EH9,FE9,GB9,GY9,HV9,IS9,JP9,KM9,LJ9,MG9,ND9)-N9,"")</f>
        <v/>
      </c>
      <c r="CQ9" s="30" t="str">
        <f>IF(MAX(DM9,EJ9,FG9,GD9,HA9,HX9,IU9,JR9,KO9,LL9,MI9,NF9)-P9&gt;0.001,MAX(DM9,EJ9,FG9,GD9,HA9,HX9,IU9,JR9,KO9,LL9,MI9,NF9)-P9,"")</f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>IF(SUM(CS9,CW9)&gt;0,SUM(CS9,CW9),"")</f>
        <v/>
      </c>
      <c r="DI9" s="13" t="str">
        <f>IF(SUM(DA9,DE9)&gt;0,SUM(DA9,DE9),"")</f>
        <v/>
      </c>
      <c r="DJ9" s="13" t="str">
        <f>IF(SUM(CR9:CS9,CU9)-CT9&gt;0,SUM(CR9:CS9,CU9)-CT9,"")</f>
        <v/>
      </c>
      <c r="DK9" s="13" t="str">
        <f>IF(SUM(CV9:CW9,CY9)-CX9&gt;0,SUM(CV9:CW9,CY9)-CX9,"")</f>
        <v/>
      </c>
      <c r="DL9" s="13" t="str">
        <f>IF(SUM(DJ9:DK9)&gt;0,SUM(DJ9:DK9),"")</f>
        <v/>
      </c>
      <c r="DM9" s="13" t="str">
        <f>IF(SUM(CZ9:DA9,DC9:DE9,DG9)-SUM(DB9,DF9)&gt;0,SUM(CZ9:DA9,DC9:DE9,DG9)-SUM(DB9,DF9),"")</f>
        <v/>
      </c>
      <c r="DN9" s="13" t="str">
        <f>IF(SUM(DL9,DM9)&gt;0,SUM(DL9,DM9),"")</f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>IF(SUM(DP9,DT9)&gt;0,SUM(DP9,DT9),"")</f>
        <v/>
      </c>
      <c r="EF9" s="16" t="str">
        <f>IF(SUM(DX9,EB9)&gt;0,SUM(DX9,EB9),"")</f>
        <v/>
      </c>
      <c r="EG9" s="16" t="str">
        <f>IF(SUM(DO9:DP9,DR9)-DQ9&gt;0,SUM(DO9:DP9,DR9)-DQ9,"")</f>
        <v/>
      </c>
      <c r="EH9" s="16" t="str">
        <f>IF(SUM(DS9:DT9,DV9)-DU9&gt;0,SUM(DS9:DT9,DV9)-DU9,"")</f>
        <v/>
      </c>
      <c r="EI9" s="16" t="str">
        <f>IF(SUM(EG9:EH9)&gt;0,SUM(EG9:EH9),"")</f>
        <v/>
      </c>
      <c r="EJ9" s="16" t="str">
        <f>IF(SUM(DW9:DX9,DZ9:EB9,ED9)-SUM(DY9,EC9)&gt;0,SUM(DW9:DX9,DZ9:EB9,ED9)-SUM(DY9,EC9),"")</f>
        <v/>
      </c>
      <c r="EK9" s="16" t="str">
        <f>IF(SUM(EI9,EJ9)&gt;0,SUM(EI9,EJ9),"")</f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>IF(SUM(EM9,EQ9)&gt;0,SUM(EM9,EQ9),"")</f>
        <v/>
      </c>
      <c r="FC9" s="13" t="str">
        <f>IF(SUM(EU9,EY9)&gt;0,SUM(EU9,EY9),"")</f>
        <v/>
      </c>
      <c r="FD9" s="13" t="str">
        <f>IF(SUM(EL9:EM9,EO9)-EN9&gt;0,SUM(EL9:EM9,EO9)-EN9,"")</f>
        <v/>
      </c>
      <c r="FE9" s="13" t="str">
        <f>IF(SUM(EP9:EQ9,ES9)-ER9&gt;0,SUM(EP9:EQ9,ES9)-ER9,"")</f>
        <v/>
      </c>
      <c r="FF9" s="13" t="str">
        <f>IF(SUM(FD9:FE9)&gt;0,SUM(FD9:FE9),"")</f>
        <v/>
      </c>
      <c r="FG9" s="13" t="str">
        <f>IF(SUM(ET9:EU9,EW9:EY9,FA9)-SUM(EV9,EZ9)&gt;0,SUM(ET9:EU9,EW9:EY9,FA9)-SUM(EV9,EZ9),"")</f>
        <v/>
      </c>
      <c r="FH9" s="13" t="str">
        <f>IF(SUM(FF9,FG9)&gt;0,SUM(FF9,FG9),"")</f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>IF(SUM(FJ9,FN9)&gt;0,SUM(FJ9,FN9),"")</f>
        <v/>
      </c>
      <c r="FZ9" s="16" t="str">
        <f>IF(SUM(FR9,FV9)&gt;0,SUM(FR9,FV9),"")</f>
        <v/>
      </c>
      <c r="GA9" s="16" t="str">
        <f>IF(SUM(FI9:FJ9,FL9)-FK9&gt;0,SUM(FI9:FJ9,FL9)-FK9,"")</f>
        <v/>
      </c>
      <c r="GB9" s="16" t="str">
        <f>IF(SUM(FM9:FN9,FP9)-FO9&gt;0,SUM(FM9:FN9,FP9)-FO9,"")</f>
        <v/>
      </c>
      <c r="GC9" s="16" t="str">
        <f>IF(SUM(GA9:GB9)&gt;0,SUM(GA9:GB9),"")</f>
        <v/>
      </c>
      <c r="GD9" s="16" t="str">
        <f>IF(SUM(FQ9:FR9,FT9:FV9,FX9)-SUM(FS9,FW9)&gt;0,SUM(FQ9:FR9,FT9:FV9,FX9)-SUM(FS9,FW9),"")</f>
        <v/>
      </c>
      <c r="GE9" s="16" t="str">
        <f>IF(SUM(GC9,GD9)&gt;0,SUM(GC9,GD9),"")</f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>IF(SUM(GG9,GK9)&gt;0,SUM(GG9,GK9),"")</f>
        <v/>
      </c>
      <c r="GW9" s="13" t="str">
        <f>IF(SUM(GO9,GS9)&gt;0,SUM(GO9,GS9),"")</f>
        <v/>
      </c>
      <c r="GX9" s="13" t="str">
        <f>IF(SUM(GF9:GG9,GI9)-GH9&gt;0,SUM(GF9:GG9,GI9)-GH9,"")</f>
        <v/>
      </c>
      <c r="GY9" s="13" t="str">
        <f>IF(SUM(GJ9:GK9,GM9)-GL9&gt;0,SUM(GJ9:GK9,GM9)-GL9,"")</f>
        <v/>
      </c>
      <c r="GZ9" s="13" t="str">
        <f>IF(SUM(GX9:GY9)&gt;0,SUM(GX9:GY9),"")</f>
        <v/>
      </c>
      <c r="HA9" s="13" t="str">
        <f>IF(SUM(GN9:GO9,GQ9:GS9,GU9)-SUM(GP9,GT9)&gt;0,SUM(GN9:GO9,GQ9:GS9,GU9)-SUM(GP9,GT9),"")</f>
        <v/>
      </c>
      <c r="HB9" s="13" t="str">
        <f>IF(SUM(GZ9,HA9)&gt;0,SUM(GZ9,HA9),"")</f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>IF(SUM(HD9,HH9)&gt;0,SUM(HD9,HH9),"")</f>
        <v/>
      </c>
      <c r="HT9" s="16" t="str">
        <f>IF(SUM(HL9,HP9)&gt;0,SUM(HL9,HP9),"")</f>
        <v/>
      </c>
      <c r="HU9" s="16" t="str">
        <f>IF(SUM(HC9:HD9,HF9)-HE9&gt;0,SUM(HC9:HD9,HF9)-HE9,"")</f>
        <v/>
      </c>
      <c r="HV9" s="16" t="str">
        <f>IF(SUM(HG9:HH9,HJ9)-HI9&gt;0,SUM(HG9:HH9,HJ9)-HI9,"")</f>
        <v/>
      </c>
      <c r="HW9" s="16" t="str">
        <f>IF(SUM(HU9:HV9)&gt;0,SUM(HU9:HV9),"")</f>
        <v/>
      </c>
      <c r="HX9" s="16" t="str">
        <f>IF(SUM(HK9:HL9,HN9:HP9,HR9)-SUM(HM9,HQ9)&gt;0,SUM(HK9:HL9,HN9:HP9,HR9)-SUM(HM9,HQ9),"")</f>
        <v/>
      </c>
      <c r="HY9" s="16" t="str">
        <f>IF(SUM(HW9,HX9)&gt;0,SUM(HW9,HX9),"")</f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>IF(SUM(IA9,IE9)&gt;0,SUM(IA9,IE9),"")</f>
        <v/>
      </c>
      <c r="IQ9" s="13" t="str">
        <f>IF(SUM(II9,IM9)&gt;0,SUM(II9,IM9),"")</f>
        <v/>
      </c>
      <c r="IR9" s="13" t="str">
        <f>IF(SUM(HZ9:IA9,IC9)-IB9&gt;0,SUM(HZ9:IA9,IC9)-IB9,"")</f>
        <v/>
      </c>
      <c r="IS9" s="13" t="str">
        <f>IF(SUM(ID9:IE9,IG9)-IF9&gt;0,SUM(ID9:IE9,IG9)-IF9,"")</f>
        <v/>
      </c>
      <c r="IT9" s="13" t="str">
        <f>IF(SUM(IR9:IS9)&gt;0,SUM(IR9:IS9),"")</f>
        <v/>
      </c>
      <c r="IU9" s="13" t="str">
        <f>IF(SUM(IH9:II9,IK9:IM9,IO9)-SUM(IJ9,IN9)&gt;0,SUM(IH9:II9,IK9:IM9,IO9)-SUM(IJ9,IN9),"")</f>
        <v/>
      </c>
      <c r="IV9" s="13" t="str">
        <f>IF(SUM(IT9,IU9)&gt;0,SUM(IT9,IU9),"")</f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>IF(SUM(IX9,JB9)&gt;0,SUM(IX9,JB9),"")</f>
        <v/>
      </c>
      <c r="JN9" s="16" t="str">
        <f>IF(SUM(JF9,JJ9)&gt;0,SUM(JF9,JJ9),"")</f>
        <v/>
      </c>
      <c r="JO9" s="16" t="str">
        <f>IF(SUM(IW9:IX9,IZ9)-IY9&gt;0,SUM(IW9:IX9,IZ9)-IY9,"")</f>
        <v/>
      </c>
      <c r="JP9" s="16" t="str">
        <f>IF(SUM(JA9:JB9,JD9)-JC9&gt;0,SUM(JA9:JB9,JD9)-JC9,"")</f>
        <v/>
      </c>
      <c r="JQ9" s="16" t="str">
        <f>IF(SUM(JO9:JP9)&gt;0,SUM(JO9:JP9),"")</f>
        <v/>
      </c>
      <c r="JR9" s="16" t="str">
        <f>IF(SUM(JE9:JF9,JH9:JJ9,JL9)-SUM(JG9,JK9)&gt;0,SUM(JE9:JF9,JH9:JJ9,JL9)-SUM(JG9,JK9),"")</f>
        <v/>
      </c>
      <c r="JS9" s="16" t="str">
        <f>IF(SUM(JQ9,JR9)&gt;0,SUM(JQ9,JR9),"")</f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>IF(SUM(JU9,JY9)&gt;0,SUM(JU9,JY9),"")</f>
        <v/>
      </c>
      <c r="KK9" s="13" t="str">
        <f>IF(SUM(KC9,KG9)&gt;0,SUM(KC9,KG9),"")</f>
        <v/>
      </c>
      <c r="KL9" s="13" t="str">
        <f>IF(SUM(JT9:JU9,JW9)-JV9&gt;0,SUM(JT9:JU9,JW9)-JV9,"")</f>
        <v/>
      </c>
      <c r="KM9" s="13" t="str">
        <f>IF(SUM(JX9:JY9,KA9)-JZ9&gt;0,SUM(JX9:JY9,KA9)-JZ9,"")</f>
        <v/>
      </c>
      <c r="KN9" s="13" t="str">
        <f>IF(SUM(KL9:KM9)&gt;0,SUM(KL9:KM9),"")</f>
        <v/>
      </c>
      <c r="KO9" s="13" t="str">
        <f>IF(SUM(KB9:KC9,KE9:KG9,KI9)-SUM(KD9,KH9)&gt;0,SUM(KB9:KC9,KE9:KG9,KI9)-SUM(KD9,KH9),"")</f>
        <v/>
      </c>
      <c r="KP9" s="13" t="str">
        <f>IF(SUM(KN9,KO9)&gt;0,SUM(KN9,KO9),"")</f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>IF(SUM(KR9,KV9)&gt;0,SUM(KR9,KV9),"")</f>
        <v/>
      </c>
      <c r="LH9" s="16" t="str">
        <f>IF(SUM(KZ9,LD9)&gt;0,SUM(KZ9,LD9),"")</f>
        <v/>
      </c>
      <c r="LI9" s="16" t="str">
        <f>IF(SUM(KQ9:KR9,KT9)-KS9&gt;0,SUM(KQ9:KR9,KT9)-KS9,"")</f>
        <v/>
      </c>
      <c r="LJ9" s="16" t="str">
        <f>IF(SUM(KU9:KV9,KX9)-KW9&gt;0,SUM(KU9:KV9,KX9)-KW9,"")</f>
        <v/>
      </c>
      <c r="LK9" s="16" t="str">
        <f>IF(SUM(LI9:LJ9)&gt;0,SUM(LI9:LJ9),"")</f>
        <v/>
      </c>
      <c r="LL9" s="16" t="str">
        <f>IF(SUM(KY9:KZ9,LB9:LD9,LF9)-SUM(LA9,LE9)&gt;0,SUM(KY9:KZ9,LB9:LD9,LF9)-SUM(LA9,LE9),"")</f>
        <v/>
      </c>
      <c r="LM9" s="16" t="str">
        <f>IF(SUM(LK9,LL9)&gt;0,SUM(LK9,LL9),"")</f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>IF(SUM(LO9,LS9)&gt;0,SUM(LO9,LS9),"")</f>
        <v/>
      </c>
      <c r="ME9" s="13" t="str">
        <f>IF(SUM(LW9,MA9)&gt;0,SUM(LW9,MA9),"")</f>
        <v/>
      </c>
      <c r="MF9" s="13" t="str">
        <f>IF(SUM(LN9:LO9,LQ9)-LP9&gt;0,SUM(LN9:LO9,LQ9)-LP9,"")</f>
        <v/>
      </c>
      <c r="MG9" s="13" t="str">
        <f>IF(SUM(LR9:LS9,LU9)-LT9&gt;0,SUM(LR9:LS9,LU9)-LT9,"")</f>
        <v/>
      </c>
      <c r="MH9" s="13" t="str">
        <f>IF(SUM(MF9:MG9)&gt;0,SUM(MF9:MG9),"")</f>
        <v/>
      </c>
      <c r="MI9" s="13" t="str">
        <f>IF(SUM(LV9:LW9,LY9:MA9,MC9)-SUM(LX9,MB9)&gt;0,SUM(LV9:LW9,LY9:MA9,MC9)-SUM(LX9,MB9),"")</f>
        <v/>
      </c>
      <c r="MJ9" s="13" t="str">
        <f>IF(SUM(MH9,MI9)&gt;0,SUM(MH9,MI9),"")</f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>IF(SUM(ML9,MP9)&gt;0,SUM(ML9,MP9),"")</f>
        <v/>
      </c>
      <c r="NB9" s="16" t="str">
        <f>IF(SUM(MT9,MX9)&gt;0,SUM(MT9,MX9),"")</f>
        <v/>
      </c>
      <c r="NC9" s="16" t="str">
        <f>IF(SUM(MK9:ML9,MN9)-MM9&gt;0,SUM(MK9:ML9,MN9)-MM9,"")</f>
        <v/>
      </c>
      <c r="ND9" s="16" t="str">
        <f>IF(SUM(MO9:MP9,MR9)-MQ9&gt;0,SUM(MO9:MP9,MR9)-MQ9,"")</f>
        <v/>
      </c>
      <c r="NE9" s="16" t="str">
        <f>IF(SUM(NC9:ND9)&gt;0,SUM(NC9:ND9),"")</f>
        <v/>
      </c>
      <c r="NF9" s="16" t="str">
        <f>IF(SUM(MS9:MT9,MV9:MX9,MZ9)-SUM(MU9,MY9)&gt;0,SUM(MS9:MT9,MV9:MX9,MZ9)-SUM(MU9,MY9),"")</f>
        <v/>
      </c>
      <c r="NG9" s="16" t="str">
        <f>IF(SUM(NE9,NF9)&gt;0,SUM(NE9,NF9),"")</f>
        <v/>
      </c>
    </row>
    <row r="10" spans="1:371" x14ac:dyDescent="0.2">
      <c r="A10" s="6" t="str">
        <f>IF(AND(F10="P",H10="P"),SUMPRODUCT((F$4:F$10="P")*(H$4:H$10="P")*(E$4:E$10&gt;E10))+1,IF(H10="P",SUMPRODUCT((F$4:F$10="")*(H$4:H$10="P")*(E$4:E$10&gt;E10))+1+SUMPRODUCT((F$4:F$10="P")*(H$4:H$10="P")),""))</f>
        <v/>
      </c>
      <c r="B10" s="9" t="s">
        <v>75</v>
      </c>
      <c r="C10" s="5" t="s">
        <v>5</v>
      </c>
      <c r="D10" s="33">
        <v>1993</v>
      </c>
      <c r="E10" s="17">
        <f>SUM(J10:R10)</f>
        <v>40.799999999999997</v>
      </c>
      <c r="F10" s="4" t="str">
        <f>IF(OR(AND($AL10&gt;=$AM$13,NOT($AL10=""),$AK10=""),AND($BJ10&gt;=$BK$13,NOT($BJ10=""),$BI10=""),AND($CH10&gt;=$CI$13,NOT($CH10=""),$CG10="")),"P","")</f>
        <v/>
      </c>
      <c r="G10" s="4" t="str">
        <f>IF(OR(AND($AL10&gt;=$AM$14,NOT($AL10=""),$AK10=""),AND($BJ10&gt;=$BK$14,NOT($BJ10=""),$BI10=""),AND($CH10&gt;=$CI$14,NOT($CH10=""),$CG10="")),"P","")</f>
        <v/>
      </c>
      <c r="H10" s="4" t="str">
        <f>IF(OR(AND($AP10&gt;=$AM$15,NOT($AP10=""),$AK10=""),AND($BN10&gt;=$BK$15,NOT($BN10=""),$BI10=""),AND($CL10&gt;=$CI$15,NOT($CL10=""),$CG10="")),"P","")</f>
        <v/>
      </c>
      <c r="I10" t="str">
        <f>IF(AND(G10="P",OR(AND($AP10&gt;=$AM$18,NOT($AP10=""),$AK10=""),AND($BN10&gt;=$BK$18,NOT($BN10=""),$BI10=""),AND($CL10&gt;=$CI$18,NOT($CL10=""),$CG10=""))),"Merit",IF(AND(G10="P",OR(AND($AP10&gt;=$AM$17,NOT($AP10=""),$AK10=""),AND($BN10&gt;=$BK$17,NOT($BN10=""),$BI10=""),AND($CL10&gt;=$CI$17,NOT($CL10=""),$CG10=""))),"Funding",IF(AND(G10="P",OR(AND($AP10&gt;=$AM$16,NOT($AP10=""),$AK10=""),AND($BN10&gt;=$BK$16,NOT($BN10=""),$BI10=""),AND($CL10&gt;=$CI$16,NOT($CL10=""),$CG10=""))),"Worlds Team",IF(AND(F10="P",OR(AND($AP10&gt;=$AM$15,NOT($AP10=""),$AK10=""),AND($BN10&gt;=$BK$15,NOT($BN10=""),$BI10=""),AND($CL10&gt;=$CI$15,NOT($CL10=""),$CG10=""))),"National Team",""))))</f>
        <v/>
      </c>
      <c r="J10" s="16">
        <f>MAX(AP10,BN10,CL10)</f>
        <v>40.799999999999997</v>
      </c>
      <c r="K10" s="16" t="str">
        <f>IF(J10=CL10,$BQ$1,IF(J10=BN10,$AS$1,IF(J10=AP10,$U$1,"")))</f>
        <v>2017 3rd Domestic Trial</v>
      </c>
      <c r="L10" s="16">
        <f>IF($J10=$AP10,MAX(BL10,CJ10),IF($J10=$BN10,MAX(AN10,CJ10),MAX(AN10,BL10)))</f>
        <v>0</v>
      </c>
      <c r="M10" s="16" t="str">
        <f>IF(AND(L10=CJ10,$K10&lt;&gt;$BQ$1),$BQ$1,IF(AND(L10=BL10,$K10&lt;&gt;$AS$1),$AS$1,IF(AND(L10=AN10,$K10&lt;&gt;$U$1),$U$1,"")))</f>
        <v/>
      </c>
      <c r="N10" s="16">
        <f>IF($J10=$AP10,MAX(BM10,CK10),IF($J10=$BN10,MAX(AO10,CK10),MAX(AO10,BM10)))</f>
        <v>0</v>
      </c>
      <c r="O10" s="16" t="str">
        <f>IF(AND(N10=CK10,$K10&lt;&gt;$BQ$1),$BQ$1,IF(AND(N10=BM10,$K10&lt;&gt;$AS$1),$AS$1,IF(AND(N10=AO10,$K10&lt;&gt;$U$1),$U$1,"")))</f>
        <v/>
      </c>
      <c r="P10" s="16">
        <f>MAX(AQ10,BO10,CM10)</f>
        <v>0</v>
      </c>
      <c r="Q10" s="16" t="str">
        <f>IF(P10=CM10,$BQ$1,IF(P10=BO10,$AS$1,IF(P10=AQ10,$U$1,"")))</f>
        <v/>
      </c>
      <c r="R10" s="16" t="str">
        <f>IF(MAX(CO10:CQ10)&gt;0,MAX(CO10:CQ10),"")</f>
        <v/>
      </c>
      <c r="S10" s="31" t="str">
        <f>IF(R10="","",IF(R10=CO10,"(Pass 1)",IF(R10=CP10,"(Pass 2)",IF(R10=CQ10,"(Final)"))))</f>
        <v/>
      </c>
      <c r="T10" s="16" t="str">
        <f>IF(R10="","",IF(R10=CO10,IF(R10+L10=NC10,$MK$1,IF(R10+L10=MF10,$LN$1,IF(R10+L10=LI10,$KQ$1,IF(R10+L10=KL10,$JT$1,IF(R10+L10=JO10,$IW$1,IF(R10+L10=IR10,$HZ$1,IF(R10+L10=HU10,$HC$1,IF(R10+L10=GX10,$GF$1,IF(R10+L10=GA10,$FI$1,IF(R10+L10=FD10,$EL$1,IF(R10+L10=EG10,$DO$1,IF(R10+L10=DJ10,$CR$1)))))))))))),IF(R10=CP10,IF(R10+N10=ND10,$MK$1,IF(R10+N10=MG10,$LN$1,IF(R10+N10=LJ10,$KQ$1,IF(R10+N10=KM10,$JT$1,IF(R10+N10=JP10,$IW$1,IF(R10+N10=IS10,$HZ$1,IF(R10+N10=HV10,$HC$1,IF(R10+N10=GY10,$GF$1,IF(R10+N10=GB10,$FI$1,IF(R10+N10=FE10,$EL$1,IF(R10+N10=EH10,$DO$1,IF(R10+N10=DK10,$CR$1)))))))))))),IF(R10=CQ10,IF(R10+P10=NF10,$MK$1,IF(R10+P10=MI10,$LN$1,IF(R10+P10=LL10,$KQ$1,IF(R10+P10=KO10,$JT$1,IF(R10+P10=JR10,$IW$1,IF(R10+P10=IU10,$HZ$1,IF(R10+P10=HX10,$HC$1,IF(R10+P10=HA10,$GF$1,IF(R10+P10=GD10,$FI$1,IF(R10+P10=FG10,$EL$1,IF(R10+P10=EJ10,$DO$1,IF(R10+P10=DM10,$CR$1))))))))))))))))</f>
        <v/>
      </c>
      <c r="U10" s="81">
        <v>19.100000000000001</v>
      </c>
      <c r="V10" s="81">
        <v>3.2</v>
      </c>
      <c r="W10" s="81">
        <v>0</v>
      </c>
      <c r="X10" s="81">
        <v>0</v>
      </c>
      <c r="Y10" s="81">
        <v>25.9</v>
      </c>
      <c r="Z10" s="81">
        <v>1.6</v>
      </c>
      <c r="AA10" s="81">
        <v>9</v>
      </c>
      <c r="AB10" s="81">
        <v>0</v>
      </c>
      <c r="AC10" s="81"/>
      <c r="AD10" s="81"/>
      <c r="AE10" s="81"/>
      <c r="AF10" s="81"/>
      <c r="AG10" s="81"/>
      <c r="AH10" s="81"/>
      <c r="AI10" s="81"/>
      <c r="AJ10" s="81"/>
      <c r="AK10" s="93"/>
      <c r="AL10" s="13">
        <f>IF(SUM(V10,Z10)&gt;0,SUM(V10,Z10),"")</f>
        <v>4.8000000000000007</v>
      </c>
      <c r="AM10" s="13" t="str">
        <f>IF(SUM(AD10,AH10)&gt;0,SUM(AD10,AH10),"")</f>
        <v/>
      </c>
      <c r="AN10" s="13">
        <f>IF(SUM(U10:V10,X10)-W10&gt;0,SUM(U10:V10,X10)-W10,"")</f>
        <v>22.3</v>
      </c>
      <c r="AO10" s="13">
        <f>IF(SUM(Y10:Z10,AB10)-AA10&gt;0,SUM(Y10:Z10,AB10)-AA10,"")</f>
        <v>18.5</v>
      </c>
      <c r="AP10" s="13">
        <f>IF(SUM(AN10:AO10)&gt;0,SUM(AN10:AO10),"")</f>
        <v>40.799999999999997</v>
      </c>
      <c r="AQ10" s="13" t="str">
        <f>IF(SUM(AC10:AD10,AF10:AH10,AJ10)-SUM(AE10,AI10)&gt;0,SUM(AC10:AD10,AF10:AH10,AJ10)-SUM(AE10,AI10),"")</f>
        <v/>
      </c>
      <c r="AR10" s="13">
        <f>IF(SUM(AP10,AQ10)&gt;0,SUM(AP10,AQ10),"")</f>
        <v>40.799999999999997</v>
      </c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94"/>
      <c r="BJ10" s="16" t="str">
        <f>IF(SUM(AT10,AX10)&gt;0,SUM(AT10,AX10),"")</f>
        <v/>
      </c>
      <c r="BK10" s="16" t="str">
        <f>IF(SUM(BB10,BF10)&gt;0,SUM(BB10,BF10),"")</f>
        <v/>
      </c>
      <c r="BL10" s="16" t="str">
        <f>IF(SUM(AS10:AT10,AV10)-AU10&gt;0,SUM(AS10:AT10,AV10)-AU10,"")</f>
        <v/>
      </c>
      <c r="BM10" s="16" t="str">
        <f>IF(SUM(AW10:AX10,AZ10)-AY10&gt;0,SUM(AW10:AX10,AZ10)-AY10,"")</f>
        <v/>
      </c>
      <c r="BN10" s="16" t="str">
        <f>IF(SUM(BL10:BM10)&gt;0,SUM(BL10:BM10),"")</f>
        <v/>
      </c>
      <c r="BO10" s="16" t="str">
        <f>IF(SUM(BA10:BB10,BD10:BF10,BH10)-SUM(BC10,BG10)&gt;0,SUM(BA10:BB10,BD10:BF10,BH10)-SUM(BC10,BG10),"")</f>
        <v/>
      </c>
      <c r="BP10" s="16" t="str">
        <f>IF(SUM(BN10,BO10)&gt;0,SUM(BN10,BO10),"")</f>
        <v/>
      </c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93"/>
      <c r="CH10" s="13" t="str">
        <f>IF(SUM(BR10,BV10)&gt;0,SUM(BR10,BV10),"")</f>
        <v/>
      </c>
      <c r="CI10" s="13" t="str">
        <f>IF(SUM(BZ10,CD10)&gt;0,SUM(BZ10,CD10),"")</f>
        <v/>
      </c>
      <c r="CJ10" s="13" t="str">
        <f>IF(SUM(BQ10:BR10,BT10)-BS10&gt;0,SUM(BQ10:BR10,BT10)-BS10,"")</f>
        <v/>
      </c>
      <c r="CK10" s="13" t="str">
        <f>IF(SUM(BU10:BV10,BX10)-BW10&gt;0,SUM(BU10:BV10,BX10)-BW10,"")</f>
        <v/>
      </c>
      <c r="CL10" s="13" t="str">
        <f>IF(SUM(CJ10:CK10)&gt;0,SUM(CJ10:CK10),"")</f>
        <v/>
      </c>
      <c r="CM10" s="13" t="str">
        <f>IF(SUM(BY10:BZ10,CB10:CD10,CF10)-SUM(CA10,CE10)&gt;0,SUM(BY10:BZ10,CB10:CD10,CF10)-SUM(CA10,CE10),"")</f>
        <v/>
      </c>
      <c r="CN10" s="13" t="str">
        <f>IF(SUM(CL10,CM10)&gt;0,SUM(CL10,CM10),"")</f>
        <v/>
      </c>
      <c r="CO10" s="30" t="str">
        <f>IF(MAX(DJ10,EG10,FD10,GA10,GX10,HU10,IR10,JO10,KL10,LI10,MF10,NC10)-L10&gt;0.001,MAX(DJ10,EG10,FD10,GA10,GX10,HU10,IR10,JO10,KL10,LI10,MF10,NC10)-L10,"")</f>
        <v/>
      </c>
      <c r="CP10" s="30" t="str">
        <f>IF(MAX(DK10,EH10,FE10,GB10,GY10,HV10,IS10,JP10,KM10,LJ10,MG10,ND10)-N10&gt;0.001,MAX(DK10,EH10,FE10,GB10,GY10,HV10,IS10,JP10,KM10,LJ10,MG10,ND10)-N10,"")</f>
        <v/>
      </c>
      <c r="CQ10" s="30" t="str">
        <f>IF(MAX(DM10,EJ10,FG10,GD10,HA10,HX10,IU10,JR10,KO10,LL10,MI10,NF10)-P10&gt;0.001,MAX(DM10,EJ10,FG10,GD10,HA10,HX10,IU10,JR10,KO10,LL10,MI10,NF10)-P10,"")</f>
        <v/>
      </c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13" t="str">
        <f>IF(SUM(CS10,CW10)&gt;0,SUM(CS10,CW10),"")</f>
        <v/>
      </c>
      <c r="DI10" s="13" t="str">
        <f>IF(SUM(DA10,DE10)&gt;0,SUM(DA10,DE10),"")</f>
        <v/>
      </c>
      <c r="DJ10" s="13" t="str">
        <f>IF(SUM(CR10:CS10,CU10)-CT10&gt;0,SUM(CR10:CS10,CU10)-CT10,"")</f>
        <v/>
      </c>
      <c r="DK10" s="13" t="str">
        <f>IF(SUM(CV10:CW10,CY10)-CX10&gt;0,SUM(CV10:CW10,CY10)-CX10,"")</f>
        <v/>
      </c>
      <c r="DL10" s="13" t="str">
        <f>IF(SUM(DJ10:DK10)&gt;0,SUM(DJ10:DK10),"")</f>
        <v/>
      </c>
      <c r="DM10" s="13" t="str">
        <f>IF(SUM(CZ10:DA10,DC10:DE10,DG10)-SUM(DB10,DF10)&gt;0,SUM(CZ10:DA10,DC10:DE10,DG10)-SUM(DB10,DF10),"")</f>
        <v/>
      </c>
      <c r="DN10" s="13" t="str">
        <f>IF(SUM(DL10,DM10)&gt;0,SUM(DL10,DM10),"")</f>
        <v/>
      </c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48"/>
      <c r="EC10" s="48"/>
      <c r="ED10" s="48"/>
      <c r="EE10" s="16" t="str">
        <f>IF(SUM(DP10,DT10)&gt;0,SUM(DP10,DT10),"")</f>
        <v/>
      </c>
      <c r="EF10" s="16" t="str">
        <f>IF(SUM(DX10,EB10)&gt;0,SUM(DX10,EB10),"")</f>
        <v/>
      </c>
      <c r="EG10" s="16" t="str">
        <f>IF(SUM(DO10:DP10,DR10)-DQ10&gt;0,SUM(DO10:DP10,DR10)-DQ10,"")</f>
        <v/>
      </c>
      <c r="EH10" s="16" t="str">
        <f>IF(SUM(DS10:DT10,DV10)-DU10&gt;0,SUM(DS10:DT10,DV10)-DU10,"")</f>
        <v/>
      </c>
      <c r="EI10" s="16" t="str">
        <f>IF(SUM(EG10:EH10)&gt;0,SUM(EG10:EH10),"")</f>
        <v/>
      </c>
      <c r="EJ10" s="16" t="str">
        <f>IF(SUM(DW10:DX10,DZ10:EB10,ED10)-SUM(DY10,EC10)&gt;0,SUM(DW10:DX10,DZ10:EB10,ED10)-SUM(DY10,EC10),"")</f>
        <v/>
      </c>
      <c r="EK10" s="16" t="str">
        <f>IF(SUM(EI10,EJ10)&gt;0,SUM(EI10,EJ10),"")</f>
        <v/>
      </c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13" t="str">
        <f>IF(SUM(EM10,EQ10)&gt;0,SUM(EM10,EQ10),"")</f>
        <v/>
      </c>
      <c r="FC10" s="13" t="str">
        <f>IF(SUM(EU10,EY10)&gt;0,SUM(EU10,EY10),"")</f>
        <v/>
      </c>
      <c r="FD10" s="13" t="str">
        <f>IF(SUM(EL10:EM10,EO10)-EN10&gt;0,SUM(EL10:EM10,EO10)-EN10,"")</f>
        <v/>
      </c>
      <c r="FE10" s="13" t="str">
        <f>IF(SUM(EP10:EQ10,ES10)-ER10&gt;0,SUM(EP10:EQ10,ES10)-ER10,"")</f>
        <v/>
      </c>
      <c r="FF10" s="13" t="str">
        <f>IF(SUM(FD10:FE10)&gt;0,SUM(FD10:FE10),"")</f>
        <v/>
      </c>
      <c r="FG10" s="13" t="str">
        <f>IF(SUM(ET10:EU10,EW10:EY10,FA10)-SUM(EV10,EZ10)&gt;0,SUM(ET10:EU10,EW10:EY10,FA10)-SUM(EV10,EZ10),"")</f>
        <v/>
      </c>
      <c r="FH10" s="13" t="str">
        <f>IF(SUM(FF10,FG10)&gt;0,SUM(FF10,FG10),"")</f>
        <v/>
      </c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48"/>
      <c r="FW10" s="48"/>
      <c r="FX10" s="48"/>
      <c r="FY10" s="16" t="str">
        <f>IF(SUM(FJ10,FN10)&gt;0,SUM(FJ10,FN10),"")</f>
        <v/>
      </c>
      <c r="FZ10" s="16" t="str">
        <f>IF(SUM(FR10,FV10)&gt;0,SUM(FR10,FV10),"")</f>
        <v/>
      </c>
      <c r="GA10" s="16" t="str">
        <f>IF(SUM(FI10:FJ10,FL10)-FK10&gt;0,SUM(FI10:FJ10,FL10)-FK10,"")</f>
        <v/>
      </c>
      <c r="GB10" s="16" t="str">
        <f>IF(SUM(FM10:FN10,FP10)-FO10&gt;0,SUM(FM10:FN10,FP10)-FO10,"")</f>
        <v/>
      </c>
      <c r="GC10" s="16" t="str">
        <f>IF(SUM(GA10:GB10)&gt;0,SUM(GA10:GB10),"")</f>
        <v/>
      </c>
      <c r="GD10" s="16" t="str">
        <f>IF(SUM(FQ10:FR10,FT10:FV10,FX10)-SUM(FS10,FW10)&gt;0,SUM(FQ10:FR10,FT10:FV10,FX10)-SUM(FS10,FW10),"")</f>
        <v/>
      </c>
      <c r="GE10" s="16" t="str">
        <f>IF(SUM(GC10,GD10)&gt;0,SUM(GC10,GD10),"")</f>
        <v/>
      </c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47"/>
      <c r="GT10" s="47"/>
      <c r="GU10" s="47"/>
      <c r="GV10" s="13" t="str">
        <f>IF(SUM(GG10,GK10)&gt;0,SUM(GG10,GK10),"")</f>
        <v/>
      </c>
      <c r="GW10" s="13" t="str">
        <f>IF(SUM(GO10,GS10)&gt;0,SUM(GO10,GS10),"")</f>
        <v/>
      </c>
      <c r="GX10" s="13" t="str">
        <f>IF(SUM(GF10:GG10,GI10)-GH10&gt;0,SUM(GF10:GG10,GI10)-GH10,"")</f>
        <v/>
      </c>
      <c r="GY10" s="13" t="str">
        <f>IF(SUM(GJ10:GK10,GM10)-GL10&gt;0,SUM(GJ10:GK10,GM10)-GL10,"")</f>
        <v/>
      </c>
      <c r="GZ10" s="13" t="str">
        <f>IF(SUM(GX10:GY10)&gt;0,SUM(GX10:GY10),"")</f>
        <v/>
      </c>
      <c r="HA10" s="13" t="str">
        <f>IF(SUM(GN10:GO10,GQ10:GS10,GU10)-SUM(GP10,GT10)&gt;0,SUM(GN10:GO10,GQ10:GS10,GU10)-SUM(GP10,GT10),"")</f>
        <v/>
      </c>
      <c r="HB10" s="13" t="str">
        <f>IF(SUM(GZ10,HA10)&gt;0,SUM(GZ10,HA10),"")</f>
        <v/>
      </c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48"/>
      <c r="HQ10" s="48"/>
      <c r="HR10" s="48"/>
      <c r="HS10" s="16" t="str">
        <f>IF(SUM(HD10,HH10)&gt;0,SUM(HD10,HH10),"")</f>
        <v/>
      </c>
      <c r="HT10" s="16" t="str">
        <f>IF(SUM(HL10,HP10)&gt;0,SUM(HL10,HP10),"")</f>
        <v/>
      </c>
      <c r="HU10" s="16" t="str">
        <f>IF(SUM(HC10:HD10,HF10)-HE10&gt;0,SUM(HC10:HD10,HF10)-HE10,"")</f>
        <v/>
      </c>
      <c r="HV10" s="16" t="str">
        <f>IF(SUM(HG10:HH10,HJ10)-HI10&gt;0,SUM(HG10:HH10,HJ10)-HI10,"")</f>
        <v/>
      </c>
      <c r="HW10" s="16" t="str">
        <f>IF(SUM(HU10:HV10)&gt;0,SUM(HU10:HV10),"")</f>
        <v/>
      </c>
      <c r="HX10" s="16" t="str">
        <f>IF(SUM(HK10:HL10,HN10:HP10,HR10)-SUM(HM10,HQ10)&gt;0,SUM(HK10:HL10,HN10:HP10,HR10)-SUM(HM10,HQ10),"")</f>
        <v/>
      </c>
      <c r="HY10" s="16" t="str">
        <f>IF(SUM(HW10,HX10)&gt;0,SUM(HW10,HX10),"")</f>
        <v/>
      </c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47"/>
      <c r="IN10" s="47"/>
      <c r="IO10" s="47"/>
      <c r="IP10" s="13" t="str">
        <f>IF(SUM(IA10,IE10)&gt;0,SUM(IA10,IE10),"")</f>
        <v/>
      </c>
      <c r="IQ10" s="13" t="str">
        <f>IF(SUM(II10,IM10)&gt;0,SUM(II10,IM10),"")</f>
        <v/>
      </c>
      <c r="IR10" s="13" t="str">
        <f>IF(SUM(HZ10:IA10,IC10)-IB10&gt;0,SUM(HZ10:IA10,IC10)-IB10,"")</f>
        <v/>
      </c>
      <c r="IS10" s="13" t="str">
        <f>IF(SUM(ID10:IE10,IG10)-IF10&gt;0,SUM(ID10:IE10,IG10)-IF10,"")</f>
        <v/>
      </c>
      <c r="IT10" s="13" t="str">
        <f>IF(SUM(IR10:IS10)&gt;0,SUM(IR10:IS10),"")</f>
        <v/>
      </c>
      <c r="IU10" s="13" t="str">
        <f>IF(SUM(IH10:II10,IK10:IM10,IO10)-SUM(IJ10,IN10)&gt;0,SUM(IH10:II10,IK10:IM10,IO10)-SUM(IJ10,IN10),"")</f>
        <v/>
      </c>
      <c r="IV10" s="13" t="str">
        <f>IF(SUM(IT10,IU10)&gt;0,SUM(IT10,IU10),"")</f>
        <v/>
      </c>
      <c r="IW10" s="48"/>
      <c r="IX10" s="48"/>
      <c r="IY10" s="48"/>
      <c r="IZ10" s="48"/>
      <c r="JA10" s="48"/>
      <c r="JB10" s="48"/>
      <c r="JC10" s="48"/>
      <c r="JD10" s="48"/>
      <c r="JE10" s="48"/>
      <c r="JF10" s="48"/>
      <c r="JG10" s="48"/>
      <c r="JH10" s="48"/>
      <c r="JI10" s="48"/>
      <c r="JJ10" s="48"/>
      <c r="JK10" s="48"/>
      <c r="JL10" s="48"/>
      <c r="JM10" s="16" t="str">
        <f>IF(SUM(IX10,JB10)&gt;0,SUM(IX10,JB10),"")</f>
        <v/>
      </c>
      <c r="JN10" s="16" t="str">
        <f>IF(SUM(JF10,JJ10)&gt;0,SUM(JF10,JJ10),"")</f>
        <v/>
      </c>
      <c r="JO10" s="16" t="str">
        <f>IF(SUM(IW10:IX10,IZ10)-IY10&gt;0,SUM(IW10:IX10,IZ10)-IY10,"")</f>
        <v/>
      </c>
      <c r="JP10" s="16" t="str">
        <f>IF(SUM(JA10:JB10,JD10)-JC10&gt;0,SUM(JA10:JB10,JD10)-JC10,"")</f>
        <v/>
      </c>
      <c r="JQ10" s="16" t="str">
        <f>IF(SUM(JO10:JP10)&gt;0,SUM(JO10:JP10),"")</f>
        <v/>
      </c>
      <c r="JR10" s="16" t="str">
        <f>IF(SUM(JE10:JF10,JH10:JJ10,JL10)-SUM(JG10,JK10)&gt;0,SUM(JE10:JF10,JH10:JJ10,JL10)-SUM(JG10,JK10),"")</f>
        <v/>
      </c>
      <c r="JS10" s="16" t="str">
        <f>IF(SUM(JQ10,JR10)&gt;0,SUM(JQ10,JR10),"")</f>
        <v/>
      </c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47"/>
      <c r="KH10" s="47"/>
      <c r="KI10" s="47"/>
      <c r="KJ10" s="13" t="str">
        <f>IF(SUM(JU10,JY10)&gt;0,SUM(JU10,JY10),"")</f>
        <v/>
      </c>
      <c r="KK10" s="13" t="str">
        <f>IF(SUM(KC10,KG10)&gt;0,SUM(KC10,KG10),"")</f>
        <v/>
      </c>
      <c r="KL10" s="13" t="str">
        <f>IF(SUM(JT10:JU10,JW10)-JV10&gt;0,SUM(JT10:JU10,JW10)-JV10,"")</f>
        <v/>
      </c>
      <c r="KM10" s="13" t="str">
        <f>IF(SUM(JX10:JY10,KA10)-JZ10&gt;0,SUM(JX10:JY10,KA10)-JZ10,"")</f>
        <v/>
      </c>
      <c r="KN10" s="13" t="str">
        <f>IF(SUM(KL10:KM10)&gt;0,SUM(KL10:KM10),"")</f>
        <v/>
      </c>
      <c r="KO10" s="13" t="str">
        <f>IF(SUM(KB10:KC10,KE10:KG10,KI10)-SUM(KD10,KH10)&gt;0,SUM(KB10:KC10,KE10:KG10,KI10)-SUM(KD10,KH10),"")</f>
        <v/>
      </c>
      <c r="KP10" s="13" t="str">
        <f>IF(SUM(KN10,KO10)&gt;0,SUM(KN10,KO10),"")</f>
        <v/>
      </c>
      <c r="KQ10" s="48"/>
      <c r="KR10" s="48"/>
      <c r="KS10" s="48"/>
      <c r="KT10" s="48"/>
      <c r="KU10" s="48"/>
      <c r="KV10" s="48"/>
      <c r="KW10" s="48"/>
      <c r="KX10" s="48"/>
      <c r="KY10" s="48"/>
      <c r="KZ10" s="48"/>
      <c r="LA10" s="48"/>
      <c r="LB10" s="48"/>
      <c r="LC10" s="48"/>
      <c r="LD10" s="48"/>
      <c r="LE10" s="48"/>
      <c r="LF10" s="48"/>
      <c r="LG10" s="16" t="str">
        <f>IF(SUM(KR10,KV10)&gt;0,SUM(KR10,KV10),"")</f>
        <v/>
      </c>
      <c r="LH10" s="16" t="str">
        <f>IF(SUM(KZ10,LD10)&gt;0,SUM(KZ10,LD10),"")</f>
        <v/>
      </c>
      <c r="LI10" s="16" t="str">
        <f>IF(SUM(KQ10:KR10,KT10)-KS10&gt;0,SUM(KQ10:KR10,KT10)-KS10,"")</f>
        <v/>
      </c>
      <c r="LJ10" s="16" t="str">
        <f>IF(SUM(KU10:KV10,KX10)-KW10&gt;0,SUM(KU10:KV10,KX10)-KW10,"")</f>
        <v/>
      </c>
      <c r="LK10" s="16" t="str">
        <f>IF(SUM(LI10:LJ10)&gt;0,SUM(LI10:LJ10),"")</f>
        <v/>
      </c>
      <c r="LL10" s="16" t="str">
        <f>IF(SUM(KY10:KZ10,LB10:LD10,LF10)-SUM(LA10,LE10)&gt;0,SUM(KY10:KZ10,LB10:LD10,LF10)-SUM(LA10,LE10),"")</f>
        <v/>
      </c>
      <c r="LM10" s="16" t="str">
        <f>IF(SUM(LK10,LL10)&gt;0,SUM(LK10,LL10),"")</f>
        <v/>
      </c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47"/>
      <c r="MB10" s="47"/>
      <c r="MC10" s="47"/>
      <c r="MD10" s="13" t="str">
        <f>IF(SUM(LO10,LS10)&gt;0,SUM(LO10,LS10),"")</f>
        <v/>
      </c>
      <c r="ME10" s="13" t="str">
        <f>IF(SUM(LW10,MA10)&gt;0,SUM(LW10,MA10),"")</f>
        <v/>
      </c>
      <c r="MF10" s="13" t="str">
        <f>IF(SUM(LN10:LO10,LQ10)-LP10&gt;0,SUM(LN10:LO10,LQ10)-LP10,"")</f>
        <v/>
      </c>
      <c r="MG10" s="13" t="str">
        <f>IF(SUM(LR10:LS10,LU10)-LT10&gt;0,SUM(LR10:LS10,LU10)-LT10,"")</f>
        <v/>
      </c>
      <c r="MH10" s="13" t="str">
        <f>IF(SUM(MF10:MG10)&gt;0,SUM(MF10:MG10),"")</f>
        <v/>
      </c>
      <c r="MI10" s="13" t="str">
        <f>IF(SUM(LV10:LW10,LY10:MA10,MC10)-SUM(LX10,MB10)&gt;0,SUM(LV10:LW10,LY10:MA10,MC10)-SUM(LX10,MB10),"")</f>
        <v/>
      </c>
      <c r="MJ10" s="13" t="str">
        <f>IF(SUM(MH10,MI10)&gt;0,SUM(MH10,MI10),"")</f>
        <v/>
      </c>
      <c r="MK10" s="48"/>
      <c r="ML10" s="48"/>
      <c r="MM10" s="48"/>
      <c r="MN10" s="48"/>
      <c r="MO10" s="48"/>
      <c r="MP10" s="48"/>
      <c r="MQ10" s="48"/>
      <c r="MR10" s="48"/>
      <c r="MS10" s="48"/>
      <c r="MT10" s="48"/>
      <c r="MU10" s="48"/>
      <c r="MV10" s="48"/>
      <c r="MW10" s="48"/>
      <c r="MX10" s="48"/>
      <c r="MY10" s="48"/>
      <c r="MZ10" s="48"/>
      <c r="NA10" s="16" t="str">
        <f>IF(SUM(ML10,MP10)&gt;0,SUM(ML10,MP10),"")</f>
        <v/>
      </c>
      <c r="NB10" s="16" t="str">
        <f>IF(SUM(MT10,MX10)&gt;0,SUM(MT10,MX10),"")</f>
        <v/>
      </c>
      <c r="NC10" s="16" t="str">
        <f>IF(SUM(MK10:ML10,MN10)-MM10&gt;0,SUM(MK10:ML10,MN10)-MM10,"")</f>
        <v/>
      </c>
      <c r="ND10" s="16" t="str">
        <f>IF(SUM(MO10:MP10,MR10)-MQ10&gt;0,SUM(MO10:MP10,MR10)-MQ10,"")</f>
        <v/>
      </c>
      <c r="NE10" s="16" t="str">
        <f>IF(SUM(NC10:ND10)&gt;0,SUM(NC10:ND10),"")</f>
        <v/>
      </c>
      <c r="NF10" s="16" t="str">
        <f>IF(SUM(MS10:MT10,MV10:MX10,MZ10)-SUM(MU10,MY10)&gt;0,SUM(MS10:MT10,MV10:MX10,MZ10)-SUM(MU10,MY10),"")</f>
        <v/>
      </c>
      <c r="NG10" s="16" t="str">
        <f>IF(SUM(NE10,NF10)&gt;0,SUM(NE10,NF10),"")</f>
        <v/>
      </c>
    </row>
    <row r="11" spans="1:371" x14ac:dyDescent="0.2">
      <c r="D11" s="1"/>
    </row>
    <row r="13" spans="1:371" x14ac:dyDescent="0.2">
      <c r="B13" s="82" t="s">
        <v>120</v>
      </c>
      <c r="AL13" s="66"/>
      <c r="AM13" s="75">
        <v>13.7</v>
      </c>
      <c r="BJ13" s="66"/>
      <c r="BK13" s="75">
        <v>11.8</v>
      </c>
      <c r="CH13" s="66"/>
      <c r="CI13" s="75">
        <v>11.8</v>
      </c>
      <c r="DH13" s="66"/>
      <c r="DI13" s="75">
        <v>13.7</v>
      </c>
      <c r="EE13" s="66"/>
      <c r="EF13" s="75">
        <v>13.7</v>
      </c>
      <c r="FB13" s="66"/>
      <c r="FC13" s="75">
        <v>11.8</v>
      </c>
      <c r="FY13" s="66"/>
      <c r="FZ13" s="75">
        <v>11.8</v>
      </c>
      <c r="GV13" s="66"/>
      <c r="GW13" s="75">
        <v>11.8</v>
      </c>
      <c r="HS13" s="66"/>
      <c r="HT13" s="75">
        <v>11.8</v>
      </c>
      <c r="IP13" s="66"/>
      <c r="IQ13" s="75">
        <v>11.8</v>
      </c>
      <c r="JM13" s="66"/>
      <c r="JN13" s="75">
        <v>11.8</v>
      </c>
      <c r="KJ13" s="66"/>
      <c r="KK13" s="75">
        <v>11.8</v>
      </c>
      <c r="LG13" s="66"/>
      <c r="LH13" s="75">
        <v>11.8</v>
      </c>
      <c r="MD13" s="66"/>
      <c r="ME13" s="75">
        <v>11.8</v>
      </c>
      <c r="NA13" s="66"/>
      <c r="NB13" s="75">
        <v>11.8</v>
      </c>
    </row>
    <row r="14" spans="1:371" x14ac:dyDescent="0.2">
      <c r="A14" s="66"/>
      <c r="B14" s="83" t="s">
        <v>119</v>
      </c>
      <c r="C14" s="65"/>
      <c r="AL14" s="66"/>
      <c r="AM14" s="76">
        <v>13.7</v>
      </c>
      <c r="BJ14" s="66"/>
      <c r="BK14" s="76">
        <v>11.8</v>
      </c>
      <c r="CH14" s="66"/>
      <c r="CI14" s="76">
        <v>11.8</v>
      </c>
      <c r="DH14" s="66"/>
      <c r="DI14" s="76">
        <v>13.7</v>
      </c>
      <c r="EE14" s="66"/>
      <c r="EF14" s="76">
        <v>13.7</v>
      </c>
      <c r="FB14" s="66"/>
      <c r="FC14" s="76">
        <v>11.8</v>
      </c>
      <c r="FY14" s="66"/>
      <c r="FZ14" s="76">
        <v>11.8</v>
      </c>
      <c r="GV14" s="66"/>
      <c r="GW14" s="76">
        <v>11.8</v>
      </c>
      <c r="HS14" s="66"/>
      <c r="HT14" s="76">
        <v>11.8</v>
      </c>
      <c r="IP14" s="66"/>
      <c r="IQ14" s="76">
        <v>11.8</v>
      </c>
      <c r="JM14" s="66"/>
      <c r="JN14" s="76">
        <v>11.8</v>
      </c>
      <c r="KJ14" s="66"/>
      <c r="KK14" s="76">
        <v>11.8</v>
      </c>
      <c r="LG14" s="66"/>
      <c r="LH14" s="76">
        <v>11.8</v>
      </c>
      <c r="MD14" s="66"/>
      <c r="ME14" s="76">
        <v>11.8</v>
      </c>
      <c r="NA14" s="66"/>
      <c r="NB14" s="76">
        <v>11.8</v>
      </c>
    </row>
    <row r="15" spans="1:371" x14ac:dyDescent="0.2">
      <c r="A15" s="66"/>
      <c r="B15" s="84" t="s">
        <v>117</v>
      </c>
      <c r="C15" s="65"/>
      <c r="AL15" s="66"/>
      <c r="AM15" s="77">
        <v>64.7</v>
      </c>
      <c r="BJ15" s="66"/>
      <c r="BK15" s="77">
        <v>62.8</v>
      </c>
      <c r="CH15" s="66"/>
      <c r="CI15" s="77">
        <v>62.8</v>
      </c>
      <c r="DH15" s="66"/>
      <c r="DI15" s="77">
        <v>64.7</v>
      </c>
      <c r="EE15" s="66"/>
      <c r="EF15" s="77">
        <v>64.7</v>
      </c>
      <c r="FB15" s="66"/>
      <c r="FC15" s="77">
        <v>62.8</v>
      </c>
      <c r="FY15" s="66"/>
      <c r="FZ15" s="77">
        <v>62.8</v>
      </c>
      <c r="GV15" s="66"/>
      <c r="GW15" s="77">
        <v>62.8</v>
      </c>
      <c r="HS15" s="66"/>
      <c r="HT15" s="77">
        <v>62.8</v>
      </c>
      <c r="IP15" s="66"/>
      <c r="IQ15" s="77">
        <v>62.8</v>
      </c>
      <c r="JM15" s="66"/>
      <c r="JN15" s="77">
        <v>62.8</v>
      </c>
      <c r="KJ15" s="66"/>
      <c r="KK15" s="77">
        <v>62.8</v>
      </c>
      <c r="LG15" s="66"/>
      <c r="LH15" s="77">
        <v>62.8</v>
      </c>
      <c r="MD15" s="66"/>
      <c r="ME15" s="77">
        <v>62.8</v>
      </c>
      <c r="NA15" s="66"/>
      <c r="NB15" s="77">
        <v>62.8</v>
      </c>
    </row>
    <row r="16" spans="1:371" x14ac:dyDescent="0.2">
      <c r="A16" s="66"/>
      <c r="B16" s="85" t="s">
        <v>118</v>
      </c>
      <c r="C16" s="65"/>
      <c r="AL16" s="66"/>
      <c r="AM16" s="78">
        <v>64.7</v>
      </c>
      <c r="BJ16" s="66"/>
      <c r="BK16" s="78">
        <v>64.599999999999994</v>
      </c>
      <c r="CH16" s="66"/>
      <c r="CI16" s="78">
        <v>64.599999999999994</v>
      </c>
      <c r="DH16" s="66"/>
      <c r="DI16" s="78">
        <v>64.7</v>
      </c>
      <c r="EE16" s="66"/>
      <c r="EF16" s="78">
        <v>64.7</v>
      </c>
      <c r="FB16" s="66"/>
      <c r="FC16" s="78">
        <v>64.599999999999994</v>
      </c>
      <c r="FY16" s="66"/>
      <c r="FZ16" s="78">
        <v>64.599999999999994</v>
      </c>
      <c r="GV16" s="66"/>
      <c r="GW16" s="78">
        <v>64.599999999999994</v>
      </c>
      <c r="HS16" s="66"/>
      <c r="HT16" s="78">
        <v>64.599999999999994</v>
      </c>
      <c r="IP16" s="66"/>
      <c r="IQ16" s="78">
        <v>64.599999999999994</v>
      </c>
      <c r="JM16" s="66"/>
      <c r="JN16" s="78">
        <v>64.599999999999994</v>
      </c>
      <c r="KJ16" s="66"/>
      <c r="KK16" s="78">
        <v>64.599999999999994</v>
      </c>
      <c r="LG16" s="66"/>
      <c r="LH16" s="78">
        <v>64.599999999999994</v>
      </c>
      <c r="MD16" s="66"/>
      <c r="ME16" s="78">
        <v>64.599999999999994</v>
      </c>
      <c r="NA16" s="66"/>
      <c r="NB16" s="78">
        <v>64.599999999999994</v>
      </c>
    </row>
    <row r="17" spans="1:366" x14ac:dyDescent="0.2">
      <c r="A17" s="66"/>
      <c r="B17" s="86" t="s">
        <v>38</v>
      </c>
      <c r="C17" s="65"/>
      <c r="AL17" s="66"/>
      <c r="AM17" s="79">
        <v>67.2</v>
      </c>
      <c r="BJ17" s="66"/>
      <c r="BK17" s="79">
        <v>68.2</v>
      </c>
      <c r="CH17" s="66"/>
      <c r="CI17" s="79">
        <v>68.2</v>
      </c>
      <c r="DH17" s="66"/>
      <c r="DI17" s="79">
        <v>67.2</v>
      </c>
      <c r="EE17" s="66"/>
      <c r="EF17" s="79">
        <v>67.2</v>
      </c>
      <c r="FB17" s="66"/>
      <c r="FC17" s="79">
        <v>68.2</v>
      </c>
      <c r="FY17" s="66"/>
      <c r="FZ17" s="79">
        <v>68.2</v>
      </c>
      <c r="GV17" s="66"/>
      <c r="GW17" s="79">
        <v>68.2</v>
      </c>
      <c r="HS17" s="66"/>
      <c r="HT17" s="79">
        <v>68.2</v>
      </c>
      <c r="IP17" s="66"/>
      <c r="IQ17" s="79">
        <v>68.2</v>
      </c>
      <c r="JM17" s="66"/>
      <c r="JN17" s="79">
        <v>68.2</v>
      </c>
      <c r="KJ17" s="66"/>
      <c r="KK17" s="79">
        <v>68.2</v>
      </c>
      <c r="LG17" s="66"/>
      <c r="LH17" s="79">
        <v>68.2</v>
      </c>
      <c r="MD17" s="66"/>
      <c r="ME17" s="79">
        <v>68.2</v>
      </c>
      <c r="NA17" s="66"/>
      <c r="NB17" s="79">
        <v>68.2</v>
      </c>
    </row>
    <row r="18" spans="1:366" x14ac:dyDescent="0.2">
      <c r="A18" s="66"/>
      <c r="B18" s="87" t="s">
        <v>88</v>
      </c>
      <c r="C18" s="65"/>
      <c r="AL18" s="66"/>
      <c r="AM18" s="80">
        <v>71.900000000000006</v>
      </c>
      <c r="BJ18" s="66"/>
      <c r="BK18" s="80">
        <v>72.400000000000006</v>
      </c>
      <c r="CH18" s="66"/>
      <c r="CI18" s="80">
        <v>72.400000000000006</v>
      </c>
      <c r="DH18" s="66"/>
      <c r="DI18" s="80">
        <v>71.900000000000006</v>
      </c>
      <c r="EE18" s="66"/>
      <c r="EF18" s="80">
        <v>71.900000000000006</v>
      </c>
      <c r="FB18" s="66"/>
      <c r="FC18" s="80">
        <v>72.400000000000006</v>
      </c>
      <c r="FY18" s="66"/>
      <c r="FZ18" s="80">
        <v>72.400000000000006</v>
      </c>
      <c r="GV18" s="66"/>
      <c r="GW18" s="80">
        <v>72.400000000000006</v>
      </c>
      <c r="HS18" s="66"/>
      <c r="HT18" s="80">
        <v>72.400000000000006</v>
      </c>
      <c r="IP18" s="66"/>
      <c r="IQ18" s="80">
        <v>72.400000000000006</v>
      </c>
      <c r="JM18" s="66"/>
      <c r="JN18" s="80">
        <v>72.400000000000006</v>
      </c>
      <c r="KJ18" s="66"/>
      <c r="KK18" s="80">
        <v>72.400000000000006</v>
      </c>
      <c r="LG18" s="66"/>
      <c r="LH18" s="80">
        <v>72.400000000000006</v>
      </c>
      <c r="MD18" s="66"/>
      <c r="ME18" s="80">
        <v>72.400000000000006</v>
      </c>
      <c r="NA18" s="66"/>
      <c r="NB18" s="80">
        <v>72.400000000000006</v>
      </c>
    </row>
    <row r="19" spans="1:366" x14ac:dyDescent="0.2">
      <c r="B19" s="95" t="s">
        <v>160</v>
      </c>
      <c r="C19" s="3"/>
      <c r="AM19" s="64" t="s">
        <v>138</v>
      </c>
      <c r="BK19" s="64"/>
      <c r="DI19" s="64" t="s">
        <v>138</v>
      </c>
      <c r="EF19" s="64" t="s">
        <v>138</v>
      </c>
      <c r="FC19" s="64"/>
    </row>
    <row r="20" spans="1:366" x14ac:dyDescent="0.2">
      <c r="A20" s="66"/>
      <c r="B20" s="66"/>
      <c r="C20" s="65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A22" s="66"/>
      <c r="B22" s="66"/>
      <c r="C22" s="65"/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10">
      <sortCondition descending="1" ref="F1:F8"/>
    </sortState>
  </autoFilter>
  <mergeCells count="96"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BE2:BH2"/>
    <mergeCell ref="U2:X2"/>
    <mergeCell ref="Y2:AB2"/>
    <mergeCell ref="AG2:AJ2"/>
    <mergeCell ref="AS2:AV2"/>
    <mergeCell ref="AW2:AZ2"/>
    <mergeCell ref="AC2:AF2"/>
    <mergeCell ref="BA2:B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DO1:EK1"/>
    <mergeCell ref="DO2:DR2"/>
    <mergeCell ref="DS2:DV2"/>
    <mergeCell ref="DW2:DZ2"/>
    <mergeCell ref="EA2:ED2"/>
    <mergeCell ref="BY2:CB2"/>
    <mergeCell ref="CC2:CF2"/>
    <mergeCell ref="CO1:CQ1"/>
    <mergeCell ref="BQ1:CN1"/>
    <mergeCell ref="BQ2:BT2"/>
    <mergeCell ref="BU2:BX2"/>
    <mergeCell ref="CR1:DN1"/>
    <mergeCell ref="CR2:CU2"/>
    <mergeCell ref="CV2:CY2"/>
    <mergeCell ref="CZ2:DC2"/>
    <mergeCell ref="DD2:DG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10">
    <cfRule type="expression" dxfId="94" priority="12">
      <formula>IF($AK4&lt;&gt;"",1,0)</formula>
    </cfRule>
  </conditionalFormatting>
  <conditionalFormatting sqref="AS4:BP10">
    <cfRule type="expression" dxfId="93" priority="9">
      <formula>IF($BI4&lt;&gt;"",1,0)</formula>
    </cfRule>
  </conditionalFormatting>
  <conditionalFormatting sqref="BQ4:CN10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4949" operator="between">
      <formula>DI$14</formula>
      <formula>100</formula>
    </cfRule>
    <cfRule type="cellIs" dxfId="87" priority="4950" operator="between">
      <formula>DI$13</formula>
      <formula>DI$14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5021" operator="between">
      <formula>DI$18</formula>
      <formula>1000</formula>
    </cfRule>
    <cfRule type="cellIs" dxfId="85" priority="5022" operator="between">
      <formula>DI$17</formula>
      <formula>DI$18</formula>
    </cfRule>
    <cfRule type="cellIs" dxfId="84" priority="5023" operator="between">
      <formula>DI$16</formula>
      <formula>DI$17</formula>
    </cfRule>
    <cfRule type="cellIs" dxfId="83" priority="5024" operator="between">
      <formula>DI$15</formula>
      <formula>DI$16</formula>
    </cfRule>
  </conditionalFormatting>
  <conditionalFormatting sqref="AL1:AL1048576 BJ1:BJ1048576 CH1:CH1048576">
    <cfRule type="expression" dxfId="82" priority="5165">
      <formula>IF(AND(AL1&gt;=AM$14,AL1&lt;1000,AK1=""),1,0)</formula>
    </cfRule>
    <cfRule type="expression" dxfId="81" priority="5166">
      <formula>IF(AND(AL1&gt;=AM$13,AL1&lt;AM$14,AK1=""),1,0)</formula>
    </cfRule>
  </conditionalFormatting>
  <conditionalFormatting sqref="AP1:AP1048576 BN1:BN1048576 CL1:CL1048576">
    <cfRule type="expression" dxfId="80" priority="5183">
      <formula>IF(AND(AP1&gt;=AM$18,AP1&lt;1000,AK1=""),1,0)</formula>
    </cfRule>
    <cfRule type="expression" dxfId="79" priority="5184">
      <formula>IF(AND(AP1&gt;=AM$17,AP1&lt;AM$18,AK1=""),1,0)</formula>
    </cfRule>
    <cfRule type="expression" dxfId="78" priority="5185">
      <formula>IF(AND(AP1&gt;=AM$16,AP1&lt;AM$17,AK1=""),1,0)</formula>
    </cfRule>
    <cfRule type="expression" dxfId="77" priority="5186">
      <formula>IF(AND(AP1&gt;=AM$15,AP1&lt;AM$16,AK1=""),1,0)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76</v>
      </c>
      <c r="M1" s="101" t="s">
        <v>86</v>
      </c>
      <c r="N1" s="101" t="s">
        <v>77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4" t="s">
        <v>121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2" t="s">
        <v>139</v>
      </c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5" t="s">
        <v>27</v>
      </c>
      <c r="CP1" s="105"/>
      <c r="CQ1" s="105"/>
      <c r="CR1" s="102" t="s">
        <v>99</v>
      </c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4" t="s">
        <v>113</v>
      </c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2"/>
      <c r="GG1" s="102"/>
      <c r="GH1" s="102"/>
      <c r="GI1" s="102"/>
      <c r="GJ1" s="102"/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102"/>
      <c r="HA1" s="102"/>
      <c r="HB1" s="102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102"/>
      <c r="IK1" s="102"/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102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2"/>
      <c r="KH1" s="102"/>
      <c r="KI1" s="102"/>
      <c r="KJ1" s="102"/>
      <c r="KK1" s="102"/>
      <c r="KL1" s="102"/>
      <c r="KM1" s="102"/>
      <c r="KN1" s="102"/>
      <c r="KO1" s="102"/>
      <c r="KP1" s="102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</row>
    <row r="2" spans="1:371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55</v>
      </c>
      <c r="V2" s="98"/>
      <c r="W2" s="98"/>
      <c r="X2" s="98"/>
      <c r="Y2" s="98" t="s">
        <v>58</v>
      </c>
      <c r="Z2" s="98"/>
      <c r="AA2" s="98"/>
      <c r="AB2" s="98"/>
      <c r="AC2" s="98" t="s">
        <v>59</v>
      </c>
      <c r="AD2" s="98"/>
      <c r="AE2" s="98"/>
      <c r="AF2" s="98"/>
      <c r="AG2" s="109" t="s">
        <v>60</v>
      </c>
      <c r="AH2" s="109"/>
      <c r="AI2" s="109"/>
      <c r="AJ2" s="109"/>
      <c r="AK2" s="91"/>
      <c r="AL2" s="68" t="s">
        <v>39</v>
      </c>
      <c r="AM2" s="68" t="s">
        <v>80</v>
      </c>
      <c r="AN2" s="11" t="s">
        <v>55</v>
      </c>
      <c r="AO2" s="11" t="s">
        <v>58</v>
      </c>
      <c r="AP2" s="11" t="s">
        <v>37</v>
      </c>
      <c r="AQ2" s="11" t="s">
        <v>36</v>
      </c>
      <c r="AR2" s="11" t="s">
        <v>31</v>
      </c>
      <c r="AS2" s="97" t="s">
        <v>55</v>
      </c>
      <c r="AT2" s="97"/>
      <c r="AU2" s="97"/>
      <c r="AV2" s="97"/>
      <c r="AW2" s="97" t="s">
        <v>58</v>
      </c>
      <c r="AX2" s="97"/>
      <c r="AY2" s="97"/>
      <c r="AZ2" s="97"/>
      <c r="BA2" s="97" t="s">
        <v>59</v>
      </c>
      <c r="BB2" s="97"/>
      <c r="BC2" s="97"/>
      <c r="BD2" s="97"/>
      <c r="BE2" s="108" t="s">
        <v>60</v>
      </c>
      <c r="BF2" s="108"/>
      <c r="BG2" s="108"/>
      <c r="BH2" s="108"/>
      <c r="BI2" s="92"/>
      <c r="BJ2" s="67" t="s">
        <v>39</v>
      </c>
      <c r="BK2" s="67" t="s">
        <v>80</v>
      </c>
      <c r="BL2" s="14" t="s">
        <v>55</v>
      </c>
      <c r="BM2" s="14" t="s">
        <v>58</v>
      </c>
      <c r="BN2" s="14" t="s">
        <v>37</v>
      </c>
      <c r="BO2" s="14" t="s">
        <v>36</v>
      </c>
      <c r="BP2" s="14" t="s">
        <v>31</v>
      </c>
      <c r="BQ2" s="98" t="s">
        <v>55</v>
      </c>
      <c r="BR2" s="98"/>
      <c r="BS2" s="98"/>
      <c r="BT2" s="98"/>
      <c r="BU2" s="98" t="s">
        <v>58</v>
      </c>
      <c r="BV2" s="98"/>
      <c r="BW2" s="98"/>
      <c r="BX2" s="98"/>
      <c r="BY2" s="98" t="s">
        <v>59</v>
      </c>
      <c r="BZ2" s="98"/>
      <c r="CA2" s="98"/>
      <c r="CB2" s="98"/>
      <c r="CC2" s="107" t="s">
        <v>60</v>
      </c>
      <c r="CD2" s="107"/>
      <c r="CE2" s="107"/>
      <c r="CF2" s="107"/>
      <c r="CG2" s="91"/>
      <c r="CH2" s="22" t="s">
        <v>39</v>
      </c>
      <c r="CI2" s="22" t="s">
        <v>80</v>
      </c>
      <c r="CJ2" s="11" t="s">
        <v>55</v>
      </c>
      <c r="CK2" s="11" t="s">
        <v>58</v>
      </c>
      <c r="CL2" s="11" t="s">
        <v>37</v>
      </c>
      <c r="CM2" s="11" t="s">
        <v>36</v>
      </c>
      <c r="CN2" s="11" t="s">
        <v>31</v>
      </c>
      <c r="CO2" s="28" t="s">
        <v>55</v>
      </c>
      <c r="CP2" s="28" t="s">
        <v>58</v>
      </c>
      <c r="CQ2" s="28" t="s">
        <v>36</v>
      </c>
      <c r="CR2" s="98" t="s">
        <v>55</v>
      </c>
      <c r="CS2" s="98"/>
      <c r="CT2" s="98"/>
      <c r="CU2" s="98"/>
      <c r="CV2" s="98" t="s">
        <v>58</v>
      </c>
      <c r="CW2" s="98"/>
      <c r="CX2" s="98"/>
      <c r="CY2" s="98"/>
      <c r="CZ2" s="98" t="s">
        <v>59</v>
      </c>
      <c r="DA2" s="98"/>
      <c r="DB2" s="98"/>
      <c r="DC2" s="98"/>
      <c r="DD2" s="106" t="s">
        <v>60</v>
      </c>
      <c r="DE2" s="106"/>
      <c r="DF2" s="106"/>
      <c r="DG2" s="106"/>
      <c r="DH2" s="68" t="s">
        <v>39</v>
      </c>
      <c r="DI2" s="68" t="s">
        <v>80</v>
      </c>
      <c r="DJ2" s="11" t="s">
        <v>55</v>
      </c>
      <c r="DK2" s="11" t="s">
        <v>58</v>
      </c>
      <c r="DL2" s="11" t="s">
        <v>37</v>
      </c>
      <c r="DM2" s="11" t="s">
        <v>36</v>
      </c>
      <c r="DN2" s="11" t="s">
        <v>31</v>
      </c>
      <c r="DO2" s="97" t="s">
        <v>55</v>
      </c>
      <c r="DP2" s="97"/>
      <c r="DQ2" s="97"/>
      <c r="DR2" s="97"/>
      <c r="DS2" s="97" t="s">
        <v>58</v>
      </c>
      <c r="DT2" s="97"/>
      <c r="DU2" s="97"/>
      <c r="DV2" s="97"/>
      <c r="DW2" s="97" t="s">
        <v>59</v>
      </c>
      <c r="DX2" s="97"/>
      <c r="DY2" s="97"/>
      <c r="DZ2" s="97"/>
      <c r="EA2" s="108" t="s">
        <v>60</v>
      </c>
      <c r="EB2" s="108"/>
      <c r="EC2" s="108"/>
      <c r="ED2" s="108"/>
      <c r="EE2" s="67" t="s">
        <v>39</v>
      </c>
      <c r="EF2" s="67" t="s">
        <v>80</v>
      </c>
      <c r="EG2" s="14" t="s">
        <v>55</v>
      </c>
      <c r="EH2" s="14" t="s">
        <v>58</v>
      </c>
      <c r="EI2" s="14" t="s">
        <v>37</v>
      </c>
      <c r="EJ2" s="14" t="s">
        <v>36</v>
      </c>
      <c r="EK2" s="14" t="s">
        <v>31</v>
      </c>
      <c r="EL2" s="98" t="s">
        <v>55</v>
      </c>
      <c r="EM2" s="98"/>
      <c r="EN2" s="98"/>
      <c r="EO2" s="98"/>
      <c r="EP2" s="98" t="s">
        <v>58</v>
      </c>
      <c r="EQ2" s="98"/>
      <c r="ER2" s="98"/>
      <c r="ES2" s="98"/>
      <c r="ET2" s="98" t="s">
        <v>59</v>
      </c>
      <c r="EU2" s="98"/>
      <c r="EV2" s="98"/>
      <c r="EW2" s="98"/>
      <c r="EX2" s="106" t="s">
        <v>60</v>
      </c>
      <c r="EY2" s="106"/>
      <c r="EZ2" s="106"/>
      <c r="FA2" s="106"/>
      <c r="FB2" s="68" t="s">
        <v>39</v>
      </c>
      <c r="FC2" s="68" t="s">
        <v>80</v>
      </c>
      <c r="FD2" s="11" t="s">
        <v>55</v>
      </c>
      <c r="FE2" s="11" t="s">
        <v>58</v>
      </c>
      <c r="FF2" s="11" t="s">
        <v>37</v>
      </c>
      <c r="FG2" s="11" t="s">
        <v>36</v>
      </c>
      <c r="FH2" s="11" t="s">
        <v>31</v>
      </c>
      <c r="FI2" s="97" t="s">
        <v>55</v>
      </c>
      <c r="FJ2" s="97"/>
      <c r="FK2" s="97"/>
      <c r="FL2" s="97"/>
      <c r="FM2" s="97" t="s">
        <v>58</v>
      </c>
      <c r="FN2" s="97"/>
      <c r="FO2" s="97"/>
      <c r="FP2" s="97"/>
      <c r="FQ2" s="97" t="s">
        <v>59</v>
      </c>
      <c r="FR2" s="97"/>
      <c r="FS2" s="97"/>
      <c r="FT2" s="97"/>
      <c r="FU2" s="108" t="s">
        <v>60</v>
      </c>
      <c r="FV2" s="108"/>
      <c r="FW2" s="108"/>
      <c r="FX2" s="108"/>
      <c r="FY2" s="24" t="s">
        <v>39</v>
      </c>
      <c r="FZ2" s="24" t="s">
        <v>80</v>
      </c>
      <c r="GA2" s="14" t="s">
        <v>55</v>
      </c>
      <c r="GB2" s="14" t="s">
        <v>58</v>
      </c>
      <c r="GC2" s="14" t="s">
        <v>37</v>
      </c>
      <c r="GD2" s="14" t="s">
        <v>36</v>
      </c>
      <c r="GE2" s="14" t="s">
        <v>31</v>
      </c>
      <c r="GF2" s="98" t="s">
        <v>55</v>
      </c>
      <c r="GG2" s="98"/>
      <c r="GH2" s="98"/>
      <c r="GI2" s="98"/>
      <c r="GJ2" s="98" t="s">
        <v>58</v>
      </c>
      <c r="GK2" s="98"/>
      <c r="GL2" s="98"/>
      <c r="GM2" s="98"/>
      <c r="GN2" s="98" t="s">
        <v>59</v>
      </c>
      <c r="GO2" s="98"/>
      <c r="GP2" s="98"/>
      <c r="GQ2" s="98"/>
      <c r="GR2" s="106" t="s">
        <v>60</v>
      </c>
      <c r="GS2" s="106"/>
      <c r="GT2" s="106"/>
      <c r="GU2" s="106"/>
      <c r="GV2" s="25" t="s">
        <v>39</v>
      </c>
      <c r="GW2" s="25" t="s">
        <v>80</v>
      </c>
      <c r="GX2" s="11" t="s">
        <v>55</v>
      </c>
      <c r="GY2" s="11" t="s">
        <v>58</v>
      </c>
      <c r="GZ2" s="11" t="s">
        <v>37</v>
      </c>
      <c r="HA2" s="11" t="s">
        <v>36</v>
      </c>
      <c r="HB2" s="11" t="s">
        <v>31</v>
      </c>
      <c r="HC2" s="97" t="s">
        <v>55</v>
      </c>
      <c r="HD2" s="97"/>
      <c r="HE2" s="97"/>
      <c r="HF2" s="97"/>
      <c r="HG2" s="97" t="s">
        <v>58</v>
      </c>
      <c r="HH2" s="97"/>
      <c r="HI2" s="97"/>
      <c r="HJ2" s="97"/>
      <c r="HK2" s="97" t="s">
        <v>59</v>
      </c>
      <c r="HL2" s="97"/>
      <c r="HM2" s="97"/>
      <c r="HN2" s="97"/>
      <c r="HO2" s="108" t="s">
        <v>60</v>
      </c>
      <c r="HP2" s="108"/>
      <c r="HQ2" s="108"/>
      <c r="HR2" s="108"/>
      <c r="HS2" s="24" t="s">
        <v>39</v>
      </c>
      <c r="HT2" s="24" t="s">
        <v>80</v>
      </c>
      <c r="HU2" s="14" t="s">
        <v>55</v>
      </c>
      <c r="HV2" s="14" t="s">
        <v>58</v>
      </c>
      <c r="HW2" s="14" t="s">
        <v>37</v>
      </c>
      <c r="HX2" s="14" t="s">
        <v>36</v>
      </c>
      <c r="HY2" s="14" t="s">
        <v>31</v>
      </c>
      <c r="HZ2" s="98" t="s">
        <v>55</v>
      </c>
      <c r="IA2" s="98"/>
      <c r="IB2" s="98"/>
      <c r="IC2" s="98"/>
      <c r="ID2" s="98" t="s">
        <v>58</v>
      </c>
      <c r="IE2" s="98"/>
      <c r="IF2" s="98"/>
      <c r="IG2" s="98"/>
      <c r="IH2" s="98" t="s">
        <v>59</v>
      </c>
      <c r="II2" s="98"/>
      <c r="IJ2" s="98"/>
      <c r="IK2" s="98"/>
      <c r="IL2" s="106" t="s">
        <v>60</v>
      </c>
      <c r="IM2" s="106"/>
      <c r="IN2" s="106"/>
      <c r="IO2" s="106"/>
      <c r="IP2" s="25" t="s">
        <v>39</v>
      </c>
      <c r="IQ2" s="25" t="s">
        <v>80</v>
      </c>
      <c r="IR2" s="11" t="s">
        <v>55</v>
      </c>
      <c r="IS2" s="11" t="s">
        <v>58</v>
      </c>
      <c r="IT2" s="11" t="s">
        <v>37</v>
      </c>
      <c r="IU2" s="11" t="s">
        <v>36</v>
      </c>
      <c r="IV2" s="11" t="s">
        <v>31</v>
      </c>
      <c r="IW2" s="97" t="s">
        <v>55</v>
      </c>
      <c r="IX2" s="97"/>
      <c r="IY2" s="97"/>
      <c r="IZ2" s="97"/>
      <c r="JA2" s="97" t="s">
        <v>58</v>
      </c>
      <c r="JB2" s="97"/>
      <c r="JC2" s="97"/>
      <c r="JD2" s="97"/>
      <c r="JE2" s="97" t="s">
        <v>59</v>
      </c>
      <c r="JF2" s="97"/>
      <c r="JG2" s="97"/>
      <c r="JH2" s="97"/>
      <c r="JI2" s="108" t="s">
        <v>60</v>
      </c>
      <c r="JJ2" s="108"/>
      <c r="JK2" s="108"/>
      <c r="JL2" s="108"/>
      <c r="JM2" s="24" t="s">
        <v>39</v>
      </c>
      <c r="JN2" s="24" t="s">
        <v>80</v>
      </c>
      <c r="JO2" s="14" t="s">
        <v>55</v>
      </c>
      <c r="JP2" s="14" t="s">
        <v>58</v>
      </c>
      <c r="JQ2" s="14" t="s">
        <v>37</v>
      </c>
      <c r="JR2" s="14" t="s">
        <v>36</v>
      </c>
      <c r="JS2" s="14" t="s">
        <v>31</v>
      </c>
      <c r="JT2" s="98" t="s">
        <v>55</v>
      </c>
      <c r="JU2" s="98"/>
      <c r="JV2" s="98"/>
      <c r="JW2" s="98"/>
      <c r="JX2" s="98" t="s">
        <v>58</v>
      </c>
      <c r="JY2" s="98"/>
      <c r="JZ2" s="98"/>
      <c r="KA2" s="98"/>
      <c r="KB2" s="98" t="s">
        <v>59</v>
      </c>
      <c r="KC2" s="98"/>
      <c r="KD2" s="98"/>
      <c r="KE2" s="98"/>
      <c r="KF2" s="106" t="s">
        <v>60</v>
      </c>
      <c r="KG2" s="106"/>
      <c r="KH2" s="106"/>
      <c r="KI2" s="106"/>
      <c r="KJ2" s="25" t="s">
        <v>39</v>
      </c>
      <c r="KK2" s="25" t="s">
        <v>80</v>
      </c>
      <c r="KL2" s="11" t="s">
        <v>55</v>
      </c>
      <c r="KM2" s="11" t="s">
        <v>58</v>
      </c>
      <c r="KN2" s="11" t="s">
        <v>37</v>
      </c>
      <c r="KO2" s="11" t="s">
        <v>36</v>
      </c>
      <c r="KP2" s="11" t="s">
        <v>31</v>
      </c>
      <c r="KQ2" s="97" t="s">
        <v>55</v>
      </c>
      <c r="KR2" s="97"/>
      <c r="KS2" s="97"/>
      <c r="KT2" s="97"/>
      <c r="KU2" s="97" t="s">
        <v>58</v>
      </c>
      <c r="KV2" s="97"/>
      <c r="KW2" s="97"/>
      <c r="KX2" s="97"/>
      <c r="KY2" s="97" t="s">
        <v>59</v>
      </c>
      <c r="KZ2" s="97"/>
      <c r="LA2" s="97"/>
      <c r="LB2" s="97"/>
      <c r="LC2" s="108" t="s">
        <v>60</v>
      </c>
      <c r="LD2" s="108"/>
      <c r="LE2" s="108"/>
      <c r="LF2" s="108"/>
      <c r="LG2" s="24" t="s">
        <v>39</v>
      </c>
      <c r="LH2" s="24" t="s">
        <v>80</v>
      </c>
      <c r="LI2" s="14" t="s">
        <v>55</v>
      </c>
      <c r="LJ2" s="14" t="s">
        <v>58</v>
      </c>
      <c r="LK2" s="14" t="s">
        <v>37</v>
      </c>
      <c r="LL2" s="14" t="s">
        <v>36</v>
      </c>
      <c r="LM2" s="14" t="s">
        <v>31</v>
      </c>
      <c r="LN2" s="98" t="s">
        <v>55</v>
      </c>
      <c r="LO2" s="98"/>
      <c r="LP2" s="98"/>
      <c r="LQ2" s="98"/>
      <c r="LR2" s="98" t="s">
        <v>58</v>
      </c>
      <c r="LS2" s="98"/>
      <c r="LT2" s="98"/>
      <c r="LU2" s="98"/>
      <c r="LV2" s="98" t="s">
        <v>59</v>
      </c>
      <c r="LW2" s="98"/>
      <c r="LX2" s="98"/>
      <c r="LY2" s="98"/>
      <c r="LZ2" s="106" t="s">
        <v>60</v>
      </c>
      <c r="MA2" s="106"/>
      <c r="MB2" s="106"/>
      <c r="MC2" s="106"/>
      <c r="MD2" s="25" t="s">
        <v>39</v>
      </c>
      <c r="ME2" s="25" t="s">
        <v>80</v>
      </c>
      <c r="MF2" s="11" t="s">
        <v>55</v>
      </c>
      <c r="MG2" s="11" t="s">
        <v>58</v>
      </c>
      <c r="MH2" s="11" t="s">
        <v>37</v>
      </c>
      <c r="MI2" s="11" t="s">
        <v>36</v>
      </c>
      <c r="MJ2" s="11" t="s">
        <v>31</v>
      </c>
      <c r="MK2" s="97" t="s">
        <v>55</v>
      </c>
      <c r="ML2" s="97"/>
      <c r="MM2" s="97"/>
      <c r="MN2" s="97"/>
      <c r="MO2" s="97" t="s">
        <v>58</v>
      </c>
      <c r="MP2" s="97"/>
      <c r="MQ2" s="97"/>
      <c r="MR2" s="97"/>
      <c r="MS2" s="97" t="s">
        <v>59</v>
      </c>
      <c r="MT2" s="97"/>
      <c r="MU2" s="97"/>
      <c r="MV2" s="97"/>
      <c r="MW2" s="108" t="s">
        <v>60</v>
      </c>
      <c r="MX2" s="108"/>
      <c r="MY2" s="108"/>
      <c r="MZ2" s="108"/>
      <c r="NA2" s="24" t="s">
        <v>39</v>
      </c>
      <c r="NB2" s="24" t="s">
        <v>80</v>
      </c>
      <c r="NC2" s="14" t="s">
        <v>55</v>
      </c>
      <c r="ND2" s="14" t="s">
        <v>58</v>
      </c>
      <c r="NE2" s="14" t="s">
        <v>37</v>
      </c>
      <c r="NF2" s="14" t="s">
        <v>36</v>
      </c>
      <c r="NG2" s="14" t="s">
        <v>31</v>
      </c>
    </row>
    <row r="3" spans="1:371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91" t="s">
        <v>158</v>
      </c>
      <c r="AL3" s="12"/>
      <c r="AM3" s="12"/>
      <c r="AN3" s="11"/>
      <c r="AO3" s="11"/>
      <c r="AP3" s="11"/>
      <c r="AQ3" s="12"/>
      <c r="AR3" s="12"/>
      <c r="AS3" s="67" t="s">
        <v>28</v>
      </c>
      <c r="AT3" s="67" t="s">
        <v>20</v>
      </c>
      <c r="AU3" s="67" t="s">
        <v>56</v>
      </c>
      <c r="AV3" s="67" t="s">
        <v>57</v>
      </c>
      <c r="AW3" s="67" t="s">
        <v>28</v>
      </c>
      <c r="AX3" s="67" t="s">
        <v>20</v>
      </c>
      <c r="AY3" s="67" t="s">
        <v>56</v>
      </c>
      <c r="AZ3" s="67" t="s">
        <v>57</v>
      </c>
      <c r="BA3" s="67" t="s">
        <v>28</v>
      </c>
      <c r="BB3" s="67" t="s">
        <v>20</v>
      </c>
      <c r="BC3" s="67" t="s">
        <v>56</v>
      </c>
      <c r="BD3" s="67" t="s">
        <v>57</v>
      </c>
      <c r="BE3" s="69" t="s">
        <v>28</v>
      </c>
      <c r="BF3" s="69" t="s">
        <v>20</v>
      </c>
      <c r="BG3" s="69" t="s">
        <v>56</v>
      </c>
      <c r="BH3" s="69" t="s">
        <v>57</v>
      </c>
      <c r="BI3" s="92" t="s">
        <v>158</v>
      </c>
      <c r="BJ3" s="15"/>
      <c r="BK3" s="15"/>
      <c r="BL3" s="14"/>
      <c r="BM3" s="14"/>
      <c r="BN3" s="14"/>
      <c r="BO3" s="15"/>
      <c r="BP3" s="15"/>
      <c r="BQ3" s="35" t="s">
        <v>28</v>
      </c>
      <c r="BR3" s="35" t="s">
        <v>20</v>
      </c>
      <c r="BS3" s="35" t="s">
        <v>56</v>
      </c>
      <c r="BT3" s="35" t="s">
        <v>57</v>
      </c>
      <c r="BU3" s="35" t="s">
        <v>28</v>
      </c>
      <c r="BV3" s="35" t="s">
        <v>20</v>
      </c>
      <c r="BW3" s="35" t="s">
        <v>56</v>
      </c>
      <c r="BX3" s="35" t="s">
        <v>57</v>
      </c>
      <c r="BY3" s="35" t="s">
        <v>28</v>
      </c>
      <c r="BZ3" s="35" t="s">
        <v>20</v>
      </c>
      <c r="CA3" s="35" t="s">
        <v>56</v>
      </c>
      <c r="CB3" s="35" t="s">
        <v>57</v>
      </c>
      <c r="CC3" s="38" t="s">
        <v>28</v>
      </c>
      <c r="CD3" s="38" t="s">
        <v>20</v>
      </c>
      <c r="CE3" s="38" t="s">
        <v>56</v>
      </c>
      <c r="CF3" s="38" t="s">
        <v>57</v>
      </c>
      <c r="CG3" s="91" t="s">
        <v>158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28</v>
      </c>
      <c r="CS3" s="68" t="s">
        <v>20</v>
      </c>
      <c r="CT3" s="68" t="s">
        <v>56</v>
      </c>
      <c r="CU3" s="68" t="s">
        <v>57</v>
      </c>
      <c r="CV3" s="68" t="s">
        <v>28</v>
      </c>
      <c r="CW3" s="68" t="s">
        <v>20</v>
      </c>
      <c r="CX3" s="68" t="s">
        <v>56</v>
      </c>
      <c r="CY3" s="68" t="s">
        <v>57</v>
      </c>
      <c r="CZ3" s="68" t="s">
        <v>28</v>
      </c>
      <c r="DA3" s="68" t="s">
        <v>20</v>
      </c>
      <c r="DB3" s="68" t="s">
        <v>56</v>
      </c>
      <c r="DC3" s="68" t="s">
        <v>57</v>
      </c>
      <c r="DD3" s="70" t="s">
        <v>28</v>
      </c>
      <c r="DE3" s="70" t="s">
        <v>20</v>
      </c>
      <c r="DF3" s="70" t="s">
        <v>56</v>
      </c>
      <c r="DG3" s="70" t="s">
        <v>57</v>
      </c>
      <c r="DH3" s="12"/>
      <c r="DI3" s="12"/>
      <c r="DJ3" s="11"/>
      <c r="DK3" s="11"/>
      <c r="DL3" s="11"/>
      <c r="DM3" s="12"/>
      <c r="DN3" s="12"/>
      <c r="DO3" s="67" t="s">
        <v>28</v>
      </c>
      <c r="DP3" s="67" t="s">
        <v>20</v>
      </c>
      <c r="DQ3" s="67" t="s">
        <v>56</v>
      </c>
      <c r="DR3" s="67" t="s">
        <v>57</v>
      </c>
      <c r="DS3" s="67" t="s">
        <v>28</v>
      </c>
      <c r="DT3" s="67" t="s">
        <v>20</v>
      </c>
      <c r="DU3" s="67" t="s">
        <v>56</v>
      </c>
      <c r="DV3" s="67" t="s">
        <v>57</v>
      </c>
      <c r="DW3" s="67" t="s">
        <v>28</v>
      </c>
      <c r="DX3" s="67" t="s">
        <v>20</v>
      </c>
      <c r="DY3" s="67" t="s">
        <v>56</v>
      </c>
      <c r="DZ3" s="67" t="s">
        <v>57</v>
      </c>
      <c r="EA3" s="69" t="s">
        <v>28</v>
      </c>
      <c r="EB3" s="69" t="s">
        <v>20</v>
      </c>
      <c r="EC3" s="69" t="s">
        <v>56</v>
      </c>
      <c r="ED3" s="69" t="s">
        <v>57</v>
      </c>
      <c r="EE3" s="15"/>
      <c r="EF3" s="15"/>
      <c r="EG3" s="14"/>
      <c r="EH3" s="14"/>
      <c r="EI3" s="14"/>
      <c r="EJ3" s="15"/>
      <c r="EK3" s="15"/>
      <c r="EL3" s="68" t="s">
        <v>28</v>
      </c>
      <c r="EM3" s="68" t="s">
        <v>20</v>
      </c>
      <c r="EN3" s="68" t="s">
        <v>56</v>
      </c>
      <c r="EO3" s="68" t="s">
        <v>57</v>
      </c>
      <c r="EP3" s="68" t="s">
        <v>28</v>
      </c>
      <c r="EQ3" s="68" t="s">
        <v>20</v>
      </c>
      <c r="ER3" s="68" t="s">
        <v>56</v>
      </c>
      <c r="ES3" s="68" t="s">
        <v>57</v>
      </c>
      <c r="ET3" s="68" t="s">
        <v>28</v>
      </c>
      <c r="EU3" s="68" t="s">
        <v>20</v>
      </c>
      <c r="EV3" s="68" t="s">
        <v>56</v>
      </c>
      <c r="EW3" s="68" t="s">
        <v>57</v>
      </c>
      <c r="EX3" s="70" t="s">
        <v>28</v>
      </c>
      <c r="EY3" s="70" t="s">
        <v>20</v>
      </c>
      <c r="EZ3" s="70" t="s">
        <v>56</v>
      </c>
      <c r="FA3" s="70" t="s">
        <v>57</v>
      </c>
      <c r="FB3" s="12"/>
      <c r="FC3" s="12"/>
      <c r="FD3" s="11"/>
      <c r="FE3" s="11"/>
      <c r="FF3" s="11"/>
      <c r="FG3" s="12"/>
      <c r="FH3" s="12"/>
      <c r="FI3" s="34" t="s">
        <v>28</v>
      </c>
      <c r="FJ3" s="34" t="s">
        <v>20</v>
      </c>
      <c r="FK3" s="34" t="s">
        <v>56</v>
      </c>
      <c r="FL3" s="34" t="s">
        <v>57</v>
      </c>
      <c r="FM3" s="34" t="s">
        <v>28</v>
      </c>
      <c r="FN3" s="34" t="s">
        <v>20</v>
      </c>
      <c r="FO3" s="34" t="s">
        <v>56</v>
      </c>
      <c r="FP3" s="34" t="s">
        <v>57</v>
      </c>
      <c r="FQ3" s="34" t="s">
        <v>28</v>
      </c>
      <c r="FR3" s="34" t="s">
        <v>20</v>
      </c>
      <c r="FS3" s="34" t="s">
        <v>56</v>
      </c>
      <c r="FT3" s="34" t="s">
        <v>57</v>
      </c>
      <c r="FU3" s="37" t="s">
        <v>28</v>
      </c>
      <c r="FV3" s="37" t="s">
        <v>20</v>
      </c>
      <c r="FW3" s="37" t="s">
        <v>56</v>
      </c>
      <c r="FX3" s="37" t="s">
        <v>57</v>
      </c>
      <c r="FY3" s="15"/>
      <c r="FZ3" s="15"/>
      <c r="GA3" s="14"/>
      <c r="GB3" s="14"/>
      <c r="GC3" s="14"/>
      <c r="GD3" s="15"/>
      <c r="GE3" s="15"/>
      <c r="GF3" s="35" t="s">
        <v>28</v>
      </c>
      <c r="GG3" s="35" t="s">
        <v>20</v>
      </c>
      <c r="GH3" s="35" t="s">
        <v>56</v>
      </c>
      <c r="GI3" s="35" t="s">
        <v>57</v>
      </c>
      <c r="GJ3" s="35" t="s">
        <v>28</v>
      </c>
      <c r="GK3" s="35" t="s">
        <v>20</v>
      </c>
      <c r="GL3" s="35" t="s">
        <v>56</v>
      </c>
      <c r="GM3" s="35" t="s">
        <v>57</v>
      </c>
      <c r="GN3" s="35" t="s">
        <v>28</v>
      </c>
      <c r="GO3" s="35" t="s">
        <v>20</v>
      </c>
      <c r="GP3" s="35" t="s">
        <v>56</v>
      </c>
      <c r="GQ3" s="35" t="s">
        <v>57</v>
      </c>
      <c r="GR3" s="36" t="s">
        <v>28</v>
      </c>
      <c r="GS3" s="36" t="s">
        <v>20</v>
      </c>
      <c r="GT3" s="36" t="s">
        <v>56</v>
      </c>
      <c r="GU3" s="36" t="s">
        <v>57</v>
      </c>
      <c r="GV3" s="12"/>
      <c r="GW3" s="12"/>
      <c r="GX3" s="11"/>
      <c r="GY3" s="11"/>
      <c r="GZ3" s="11"/>
      <c r="HA3" s="12"/>
      <c r="HB3" s="12"/>
      <c r="HC3" s="34" t="s">
        <v>28</v>
      </c>
      <c r="HD3" s="34" t="s">
        <v>20</v>
      </c>
      <c r="HE3" s="34" t="s">
        <v>56</v>
      </c>
      <c r="HF3" s="34" t="s">
        <v>57</v>
      </c>
      <c r="HG3" s="34" t="s">
        <v>28</v>
      </c>
      <c r="HH3" s="34" t="s">
        <v>20</v>
      </c>
      <c r="HI3" s="34" t="s">
        <v>56</v>
      </c>
      <c r="HJ3" s="34" t="s">
        <v>57</v>
      </c>
      <c r="HK3" s="34" t="s">
        <v>28</v>
      </c>
      <c r="HL3" s="34" t="s">
        <v>20</v>
      </c>
      <c r="HM3" s="34" t="s">
        <v>56</v>
      </c>
      <c r="HN3" s="34" t="s">
        <v>57</v>
      </c>
      <c r="HO3" s="37" t="s">
        <v>28</v>
      </c>
      <c r="HP3" s="37" t="s">
        <v>20</v>
      </c>
      <c r="HQ3" s="37" t="s">
        <v>56</v>
      </c>
      <c r="HR3" s="37" t="s">
        <v>57</v>
      </c>
      <c r="HS3" s="15"/>
      <c r="HT3" s="15"/>
      <c r="HU3" s="14"/>
      <c r="HV3" s="14"/>
      <c r="HW3" s="14"/>
      <c r="HX3" s="15"/>
      <c r="HY3" s="15"/>
      <c r="HZ3" s="35" t="s">
        <v>28</v>
      </c>
      <c r="IA3" s="35" t="s">
        <v>20</v>
      </c>
      <c r="IB3" s="35" t="s">
        <v>56</v>
      </c>
      <c r="IC3" s="35" t="s">
        <v>57</v>
      </c>
      <c r="ID3" s="35" t="s">
        <v>28</v>
      </c>
      <c r="IE3" s="35" t="s">
        <v>20</v>
      </c>
      <c r="IF3" s="35" t="s">
        <v>56</v>
      </c>
      <c r="IG3" s="35" t="s">
        <v>57</v>
      </c>
      <c r="IH3" s="35" t="s">
        <v>28</v>
      </c>
      <c r="II3" s="35" t="s">
        <v>20</v>
      </c>
      <c r="IJ3" s="35" t="s">
        <v>56</v>
      </c>
      <c r="IK3" s="35" t="s">
        <v>57</v>
      </c>
      <c r="IL3" s="36" t="s">
        <v>28</v>
      </c>
      <c r="IM3" s="36" t="s">
        <v>20</v>
      </c>
      <c r="IN3" s="36" t="s">
        <v>56</v>
      </c>
      <c r="IO3" s="36" t="s">
        <v>57</v>
      </c>
      <c r="IP3" s="12"/>
      <c r="IQ3" s="12"/>
      <c r="IR3" s="11"/>
      <c r="IS3" s="11"/>
      <c r="IT3" s="11"/>
      <c r="IU3" s="12"/>
      <c r="IV3" s="12"/>
      <c r="IW3" s="34" t="s">
        <v>28</v>
      </c>
      <c r="IX3" s="34" t="s">
        <v>20</v>
      </c>
      <c r="IY3" s="34" t="s">
        <v>56</v>
      </c>
      <c r="IZ3" s="34" t="s">
        <v>57</v>
      </c>
      <c r="JA3" s="34" t="s">
        <v>28</v>
      </c>
      <c r="JB3" s="34" t="s">
        <v>20</v>
      </c>
      <c r="JC3" s="34" t="s">
        <v>56</v>
      </c>
      <c r="JD3" s="34" t="s">
        <v>57</v>
      </c>
      <c r="JE3" s="34" t="s">
        <v>28</v>
      </c>
      <c r="JF3" s="34" t="s">
        <v>20</v>
      </c>
      <c r="JG3" s="34" t="s">
        <v>56</v>
      </c>
      <c r="JH3" s="34" t="s">
        <v>57</v>
      </c>
      <c r="JI3" s="37" t="s">
        <v>28</v>
      </c>
      <c r="JJ3" s="37" t="s">
        <v>20</v>
      </c>
      <c r="JK3" s="37" t="s">
        <v>56</v>
      </c>
      <c r="JL3" s="37" t="s">
        <v>57</v>
      </c>
      <c r="JM3" s="15"/>
      <c r="JN3" s="15"/>
      <c r="JO3" s="14"/>
      <c r="JP3" s="14"/>
      <c r="JQ3" s="14"/>
      <c r="JR3" s="15"/>
      <c r="JS3" s="15"/>
      <c r="JT3" s="35" t="s">
        <v>28</v>
      </c>
      <c r="JU3" s="35" t="s">
        <v>20</v>
      </c>
      <c r="JV3" s="35" t="s">
        <v>56</v>
      </c>
      <c r="JW3" s="35" t="s">
        <v>57</v>
      </c>
      <c r="JX3" s="35" t="s">
        <v>28</v>
      </c>
      <c r="JY3" s="35" t="s">
        <v>20</v>
      </c>
      <c r="JZ3" s="35" t="s">
        <v>56</v>
      </c>
      <c r="KA3" s="35" t="s">
        <v>57</v>
      </c>
      <c r="KB3" s="35" t="s">
        <v>28</v>
      </c>
      <c r="KC3" s="35" t="s">
        <v>20</v>
      </c>
      <c r="KD3" s="35" t="s">
        <v>56</v>
      </c>
      <c r="KE3" s="35" t="s">
        <v>57</v>
      </c>
      <c r="KF3" s="36" t="s">
        <v>28</v>
      </c>
      <c r="KG3" s="36" t="s">
        <v>20</v>
      </c>
      <c r="KH3" s="36" t="s">
        <v>56</v>
      </c>
      <c r="KI3" s="36" t="s">
        <v>57</v>
      </c>
      <c r="KJ3" s="12"/>
      <c r="KK3" s="12"/>
      <c r="KL3" s="11"/>
      <c r="KM3" s="11"/>
      <c r="KN3" s="11"/>
      <c r="KO3" s="12"/>
      <c r="KP3" s="12"/>
      <c r="KQ3" s="34" t="s">
        <v>28</v>
      </c>
      <c r="KR3" s="34" t="s">
        <v>20</v>
      </c>
      <c r="KS3" s="34" t="s">
        <v>56</v>
      </c>
      <c r="KT3" s="34" t="s">
        <v>57</v>
      </c>
      <c r="KU3" s="34" t="s">
        <v>28</v>
      </c>
      <c r="KV3" s="34" t="s">
        <v>20</v>
      </c>
      <c r="KW3" s="34" t="s">
        <v>56</v>
      </c>
      <c r="KX3" s="34" t="s">
        <v>57</v>
      </c>
      <c r="KY3" s="34" t="s">
        <v>28</v>
      </c>
      <c r="KZ3" s="34" t="s">
        <v>20</v>
      </c>
      <c r="LA3" s="34" t="s">
        <v>56</v>
      </c>
      <c r="LB3" s="34" t="s">
        <v>57</v>
      </c>
      <c r="LC3" s="37" t="s">
        <v>28</v>
      </c>
      <c r="LD3" s="37" t="s">
        <v>20</v>
      </c>
      <c r="LE3" s="37" t="s">
        <v>56</v>
      </c>
      <c r="LF3" s="37" t="s">
        <v>57</v>
      </c>
      <c r="LG3" s="15"/>
      <c r="LH3" s="15"/>
      <c r="LI3" s="14"/>
      <c r="LJ3" s="14"/>
      <c r="LK3" s="14"/>
      <c r="LL3" s="15"/>
      <c r="LM3" s="15"/>
      <c r="LN3" s="35" t="s">
        <v>28</v>
      </c>
      <c r="LO3" s="35" t="s">
        <v>20</v>
      </c>
      <c r="LP3" s="35" t="s">
        <v>56</v>
      </c>
      <c r="LQ3" s="35" t="s">
        <v>57</v>
      </c>
      <c r="LR3" s="35" t="s">
        <v>28</v>
      </c>
      <c r="LS3" s="35" t="s">
        <v>20</v>
      </c>
      <c r="LT3" s="35" t="s">
        <v>56</v>
      </c>
      <c r="LU3" s="35" t="s">
        <v>57</v>
      </c>
      <c r="LV3" s="35" t="s">
        <v>28</v>
      </c>
      <c r="LW3" s="35" t="s">
        <v>20</v>
      </c>
      <c r="LX3" s="35" t="s">
        <v>56</v>
      </c>
      <c r="LY3" s="35" t="s">
        <v>57</v>
      </c>
      <c r="LZ3" s="36" t="s">
        <v>28</v>
      </c>
      <c r="MA3" s="36" t="s">
        <v>20</v>
      </c>
      <c r="MB3" s="36" t="s">
        <v>56</v>
      </c>
      <c r="MC3" s="36" t="s">
        <v>57</v>
      </c>
      <c r="MD3" s="12"/>
      <c r="ME3" s="12"/>
      <c r="MF3" s="11"/>
      <c r="MG3" s="11"/>
      <c r="MH3" s="11"/>
      <c r="MI3" s="12"/>
      <c r="MJ3" s="12"/>
      <c r="MK3" s="34" t="s">
        <v>28</v>
      </c>
      <c r="ML3" s="34" t="s">
        <v>20</v>
      </c>
      <c r="MM3" s="34" t="s">
        <v>56</v>
      </c>
      <c r="MN3" s="34" t="s">
        <v>57</v>
      </c>
      <c r="MO3" s="34" t="s">
        <v>28</v>
      </c>
      <c r="MP3" s="34" t="s">
        <v>20</v>
      </c>
      <c r="MQ3" s="34" t="s">
        <v>56</v>
      </c>
      <c r="MR3" s="34" t="s">
        <v>57</v>
      </c>
      <c r="MS3" s="34" t="s">
        <v>28</v>
      </c>
      <c r="MT3" s="34" t="s">
        <v>20</v>
      </c>
      <c r="MU3" s="34" t="s">
        <v>56</v>
      </c>
      <c r="MV3" s="34" t="s">
        <v>57</v>
      </c>
      <c r="MW3" s="37" t="s">
        <v>28</v>
      </c>
      <c r="MX3" s="37" t="s">
        <v>20</v>
      </c>
      <c r="MY3" s="37" t="s">
        <v>56</v>
      </c>
      <c r="MZ3" s="37" t="s">
        <v>57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131</v>
      </c>
      <c r="C4" s="8" t="s">
        <v>3</v>
      </c>
      <c r="D4" s="33">
        <v>2000</v>
      </c>
      <c r="E4" s="17">
        <f>SUM(J4:R4)</f>
        <v>190.2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28.5</v>
      </c>
      <c r="M4" s="16" t="str">
        <f>IF(AND(L4=CJ4,$K4&lt;&gt;$BQ$1),$BQ$1,IF(AND(L4=BL4,$K4&lt;&gt;$AS$1),$AS$1,IF(AND(L4=AN4,$K4&lt;&gt;$U$1),$U$1,"")))</f>
        <v>2018 Canada Cup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93"/>
      <c r="AL4" s="13" t="str">
        <f>IF(SUM(V4,Z4)&gt;0,SUM(V4,Z4),"")</f>
        <v/>
      </c>
      <c r="AM4" s="13" t="str">
        <f>IF(SUM(AD4,AH4)&gt;0,SUM(AD4,AH4),"")</f>
        <v/>
      </c>
      <c r="AN4" s="13" t="str">
        <f>IF(SUM(U4:V4,X4)-W4&gt;0,SUM(U4:V4,X4)-W4,"")</f>
        <v/>
      </c>
      <c r="AO4" s="13" t="str">
        <f>IF(SUM(Y4:Z4,AB4)-AA4&gt;0,SUM(Y4:Z4,AB4)-AA4,"")</f>
        <v/>
      </c>
      <c r="AP4" s="13" t="str">
        <f>IF(SUM(AN4:AO4)&gt;0,SUM(AN4:AO4),"")</f>
        <v/>
      </c>
      <c r="AQ4" s="13" t="str">
        <f>IF(SUM(AC4:AD4,AF4:AH4,AJ4)-SUM(AE4,AI4)&gt;0,SUM(AC4:AD4,AF4:AH4,AJ4)-SUM(AE4,AI4),"")</f>
        <v/>
      </c>
      <c r="AR4" s="13" t="str">
        <f>IF(SUM(AP4,AQ4)&gt;0,SUM(AP4,AQ4),"")</f>
        <v/>
      </c>
      <c r="AS4" s="48">
        <v>21.4</v>
      </c>
      <c r="AT4" s="48">
        <v>6.1</v>
      </c>
      <c r="AU4" s="48">
        <v>0</v>
      </c>
      <c r="AV4" s="48">
        <v>1</v>
      </c>
      <c r="AW4" s="48">
        <v>28</v>
      </c>
      <c r="AX4" s="48">
        <v>4.5</v>
      </c>
      <c r="AY4" s="48">
        <v>0</v>
      </c>
      <c r="AZ4" s="48">
        <v>0</v>
      </c>
      <c r="BA4" s="48">
        <v>25</v>
      </c>
      <c r="BB4" s="48">
        <v>3.5</v>
      </c>
      <c r="BC4" s="48">
        <v>0</v>
      </c>
      <c r="BD4" s="48">
        <v>0</v>
      </c>
      <c r="BE4" s="48">
        <v>27.8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10.6</v>
      </c>
      <c r="BK4" s="16">
        <f>IF(SUM(BB4,BF4)&gt;0,SUM(BB4,BF4),"")</f>
        <v>8</v>
      </c>
      <c r="BL4" s="16">
        <f>IF(SUM(AS4:AT4,AV4)-AU4&gt;0,SUM(AS4:AT4,AV4)-AU4,"")</f>
        <v>28.5</v>
      </c>
      <c r="BM4" s="16">
        <f>IF(SUM(AW4:AX4,AZ4)-AY4&gt;0,SUM(AW4:AX4,AZ4)-AY4,"")</f>
        <v>32.5</v>
      </c>
      <c r="BN4" s="16">
        <f>IF(SUM(BL4:BM4)&gt;0,SUM(BL4:BM4),"")</f>
        <v>61</v>
      </c>
      <c r="BO4" s="16">
        <f>IF(SUM(BA4:BB4,BD4:BF4,BH4)-SUM(BC4,BG4)&gt;0,SUM(BA4:BB4,BD4:BF4,BH4)-SUM(BC4,BG4),"")</f>
        <v>60.8</v>
      </c>
      <c r="BP4" s="16">
        <f>IF(SUM(BN4,BO4)&gt;0,SUM(BN4,BO4),"")</f>
        <v>121.8</v>
      </c>
      <c r="BQ4" s="47">
        <v>28.8</v>
      </c>
      <c r="BR4" s="47">
        <v>3.6</v>
      </c>
      <c r="BS4" s="47">
        <v>0</v>
      </c>
      <c r="BT4" s="47">
        <v>0</v>
      </c>
      <c r="BU4" s="47">
        <v>27.8</v>
      </c>
      <c r="BV4" s="47">
        <v>4.5</v>
      </c>
      <c r="BW4" s="47">
        <v>0</v>
      </c>
      <c r="BX4" s="47">
        <v>0</v>
      </c>
      <c r="BY4" s="47">
        <v>28.2</v>
      </c>
      <c r="BZ4" s="47">
        <v>3.6</v>
      </c>
      <c r="CA4" s="47">
        <v>0</v>
      </c>
      <c r="CB4" s="47">
        <v>0</v>
      </c>
      <c r="CC4" s="47">
        <v>28.2</v>
      </c>
      <c r="CD4" s="47">
        <v>4.5</v>
      </c>
      <c r="CE4" s="47">
        <v>0</v>
      </c>
      <c r="CF4" s="47">
        <v>0</v>
      </c>
      <c r="CG4" s="93"/>
      <c r="CH4" s="13">
        <f>IF(SUM(BR4,BV4)&gt;0,SUM(BR4,BV4),"")</f>
        <v>8.1</v>
      </c>
      <c r="CI4" s="13">
        <f>IF(SUM(BZ4,CD4)&gt;0,SUM(BZ4,CD4),"")</f>
        <v>8.1</v>
      </c>
      <c r="CJ4" s="13">
        <f>IF(SUM(BQ4:BR4,BT4)-BS4&gt;0,SUM(BQ4:BR4,BT4)-BS4,"")</f>
        <v>32.4</v>
      </c>
      <c r="CK4" s="13">
        <f>IF(SUM(BU4:BV4,BX4)-BW4&gt;0,SUM(BU4:BV4,BX4)-BW4,"")</f>
        <v>32.299999999999997</v>
      </c>
      <c r="CL4" s="13">
        <f>IF(SUM(CJ4:CK4)&gt;0,SUM(CJ4:CK4),"")</f>
        <v>64.699999999999989</v>
      </c>
      <c r="CM4" s="13">
        <f>IF(SUM(BY4:BZ4,CB4:CD4,CF4)-SUM(CA4,CE4)&gt;0,SUM(BY4:BZ4,CB4:CD4,CF4)-SUM(CA4,CE4),"")</f>
        <v>64.5</v>
      </c>
      <c r="CN4" s="13">
        <f>IF(SUM(CL4,CM4)&gt;0,SUM(CL4,CM4),"")</f>
        <v>129.19999999999999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16" t="str">
        <f>IF(SUM(DP4,DT4)&gt;0,SUM(DP4,DT4),"")</f>
        <v/>
      </c>
      <c r="EF4" s="16" t="str">
        <f>IF(SUM(DX4,EB4)&gt;0,SUM(DX4,EB4),"")</f>
        <v/>
      </c>
      <c r="EG4" s="16" t="str">
        <f>IF(SUM(DO4:DP4,DR4)-DQ4&gt;0,SUM(DO4:DP4,DR4)-DQ4,"")</f>
        <v/>
      </c>
      <c r="EH4" s="16" t="str">
        <f>IF(SUM(DS4:DT4,DV4)-DU4&gt;0,SUM(DS4:DT4,DV4)-DU4,"")</f>
        <v/>
      </c>
      <c r="EI4" s="16" t="str">
        <f>IF(SUM(EG4:EH4)&gt;0,SUM(EG4:EH4),"")</f>
        <v/>
      </c>
      <c r="EJ4" s="16" t="str">
        <f>IF(SUM(DW4:DX4,DZ4:EB4,ED4)-SUM(DY4,EC4)&gt;0,SUM(DW4:DX4,DZ4:EB4,ED4)-SUM(DY4,EC4),"")</f>
        <v/>
      </c>
      <c r="EK4" s="16" t="str">
        <f>IF(SUM(EI4,EJ4)&gt;0,SUM(EI4,EJ4),"")</f>
        <v/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83</v>
      </c>
      <c r="C5" s="5" t="s">
        <v>3</v>
      </c>
      <c r="D5" s="33">
        <v>191</v>
      </c>
      <c r="E5" s="17">
        <f>SUM(J5:R5)</f>
        <v>182.79999999999998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27.3</v>
      </c>
      <c r="O5" s="16" t="str">
        <f>IF(AND(N5=CK5,$K5&lt;&gt;$BQ$1),$BQ$1,IF(AND(N5=BM5,$K5&lt;&gt;$AS$1),$AS$1,IF(AND(N5=AO5,$K5&lt;&gt;$U$1),$U$1,"")))</f>
        <v>2017 3rd Domestic Trial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>
        <f>IF(MAX(CO5:CQ5)&gt;0,MAX(CO5:CQ5),"")</f>
        <v>1.8999999999999986</v>
      </c>
      <c r="S5" s="31" t="str">
        <f>IF(R5="","",IF(R5=CO5,"(Pass 1)",IF(R5=CP5,"(Pass 2)",IF(R5=CQ5,"(Final)"))))</f>
        <v>(Pass 2)</v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>2017 World Cup POR (Sept)</v>
      </c>
      <c r="U5" s="51">
        <v>24.6</v>
      </c>
      <c r="V5" s="51">
        <v>5.0999999999999996</v>
      </c>
      <c r="W5" s="51">
        <v>0</v>
      </c>
      <c r="X5" s="51">
        <v>1</v>
      </c>
      <c r="Y5" s="51">
        <v>23.3</v>
      </c>
      <c r="Z5" s="51">
        <v>4.3</v>
      </c>
      <c r="AA5" s="51">
        <v>0.3</v>
      </c>
      <c r="AB5" s="51">
        <v>0</v>
      </c>
      <c r="AC5" s="51">
        <v>25.2</v>
      </c>
      <c r="AD5" s="51">
        <v>6.1</v>
      </c>
      <c r="AE5" s="51">
        <v>0</v>
      </c>
      <c r="AF5" s="51">
        <v>0</v>
      </c>
      <c r="AG5" s="51">
        <v>24.7</v>
      </c>
      <c r="AH5" s="51">
        <v>1.9</v>
      </c>
      <c r="AI5" s="51">
        <v>0</v>
      </c>
      <c r="AJ5" s="51">
        <v>0</v>
      </c>
      <c r="AK5" s="93"/>
      <c r="AL5" s="13">
        <f>IF(SUM(V5,Z5)&gt;0,SUM(V5,Z5),"")</f>
        <v>9.3999999999999986</v>
      </c>
      <c r="AM5" s="13">
        <f>IF(SUM(AD5,AH5)&gt;0,SUM(AD5,AH5),"")</f>
        <v>8</v>
      </c>
      <c r="AN5" s="13">
        <f>IF(SUM(U5:V5,X5)-W5&gt;0,SUM(U5:V5,X5)-W5,"")</f>
        <v>30.700000000000003</v>
      </c>
      <c r="AO5" s="13">
        <f>IF(SUM(Y5:Z5,AB5)-AA5&gt;0,SUM(Y5:Z5,AB5)-AA5,"")</f>
        <v>27.3</v>
      </c>
      <c r="AP5" s="13">
        <f>IF(SUM(AN5:AO5)&gt;0,SUM(AN5:AO5),"")</f>
        <v>58</v>
      </c>
      <c r="AQ5" s="13">
        <f>IF(SUM(AC5:AD5,AF5:AH5,AJ5)-SUM(AE5,AI5)&gt;0,SUM(AC5:AD5,AF5:AH5,AJ5)-SUM(AE5,AI5),"")</f>
        <v>57.9</v>
      </c>
      <c r="AR5" s="13">
        <f>IF(SUM(AP5,AQ5)&gt;0,SUM(AP5,AQ5),"")</f>
        <v>115.9</v>
      </c>
      <c r="AS5" s="48">
        <v>24.5</v>
      </c>
      <c r="AT5" s="48">
        <v>6.3</v>
      </c>
      <c r="AU5" s="48">
        <v>0</v>
      </c>
      <c r="AV5" s="48">
        <v>1</v>
      </c>
      <c r="AW5" s="48">
        <v>22.5</v>
      </c>
      <c r="AX5" s="48">
        <v>4.3</v>
      </c>
      <c r="AY5" s="48">
        <v>0.3</v>
      </c>
      <c r="AZ5" s="48">
        <v>0</v>
      </c>
      <c r="BA5" s="48">
        <v>25.5</v>
      </c>
      <c r="BB5" s="48">
        <v>6.5</v>
      </c>
      <c r="BC5" s="48">
        <v>0</v>
      </c>
      <c r="BD5" s="48">
        <v>0</v>
      </c>
      <c r="BE5" s="48">
        <v>22.8</v>
      </c>
      <c r="BF5" s="48">
        <v>4.3</v>
      </c>
      <c r="BG5" s="48">
        <v>0</v>
      </c>
      <c r="BH5" s="48">
        <v>0</v>
      </c>
      <c r="BI5" s="94"/>
      <c r="BJ5" s="16">
        <f>IF(SUM(AT5,AX5)&gt;0,SUM(AT5,AX5),"")</f>
        <v>10.6</v>
      </c>
      <c r="BK5" s="16">
        <f>IF(SUM(BB5,BF5)&gt;0,SUM(BB5,BF5),"")</f>
        <v>10.8</v>
      </c>
      <c r="BL5" s="16">
        <f>IF(SUM(AS5:AT5,AV5)-AU5&gt;0,SUM(AS5:AT5,AV5)-AU5,"")</f>
        <v>31.8</v>
      </c>
      <c r="BM5" s="16">
        <f>IF(SUM(AW5:AX5,AZ5)-AY5&gt;0,SUM(AW5:AX5,AZ5)-AY5,"")</f>
        <v>26.5</v>
      </c>
      <c r="BN5" s="16">
        <f>IF(SUM(BL5:BM5)&gt;0,SUM(BL5:BM5),"")</f>
        <v>58.3</v>
      </c>
      <c r="BO5" s="16">
        <f>IF(SUM(BA5:BB5,BD5:BF5,BH5)-SUM(BC5,BG5)&gt;0,SUM(BA5:BB5,BD5:BF5,BH5)-SUM(BC5,BG5),"")</f>
        <v>59.099999999999994</v>
      </c>
      <c r="BP5" s="16">
        <f>IF(SUM(BN5,BO5)&gt;0,SUM(BN5,BO5),"")</f>
        <v>117.39999999999999</v>
      </c>
      <c r="BQ5" s="47">
        <v>25.6</v>
      </c>
      <c r="BR5" s="47">
        <v>6.5</v>
      </c>
      <c r="BS5" s="47">
        <v>0</v>
      </c>
      <c r="BT5" s="47">
        <v>1</v>
      </c>
      <c r="BU5" s="47">
        <v>25.3</v>
      </c>
      <c r="BV5" s="47">
        <v>4.3</v>
      </c>
      <c r="BW5" s="47">
        <v>0</v>
      </c>
      <c r="BX5" s="47">
        <v>0</v>
      </c>
      <c r="BY5" s="47">
        <v>23.7</v>
      </c>
      <c r="BZ5" s="47">
        <v>3.3</v>
      </c>
      <c r="CA5" s="47">
        <v>0</v>
      </c>
      <c r="CB5" s="47">
        <v>1</v>
      </c>
      <c r="CC5" s="47">
        <v>25.6</v>
      </c>
      <c r="CD5" s="47">
        <v>1.5</v>
      </c>
      <c r="CE5" s="47">
        <v>0</v>
      </c>
      <c r="CF5" s="47">
        <v>0</v>
      </c>
      <c r="CG5" s="93"/>
      <c r="CH5" s="13">
        <f>IF(SUM(BR5,BV5)&gt;0,SUM(BR5,BV5),"")</f>
        <v>10.8</v>
      </c>
      <c r="CI5" s="13">
        <f>IF(SUM(BZ5,CD5)&gt;0,SUM(BZ5,CD5),"")</f>
        <v>4.8</v>
      </c>
      <c r="CJ5" s="13">
        <f>IF(SUM(BQ5:BR5,BT5)-BS5&gt;0,SUM(BQ5:BR5,BT5)-BS5,"")</f>
        <v>33.1</v>
      </c>
      <c r="CK5" s="13">
        <f>IF(SUM(BU5:BV5,BX5)-BW5&gt;0,SUM(BU5:BV5,BX5)-BW5,"")</f>
        <v>29.6</v>
      </c>
      <c r="CL5" s="13">
        <f>IF(SUM(CJ5:CK5)&gt;0,SUM(CJ5:CK5),"")</f>
        <v>62.7</v>
      </c>
      <c r="CM5" s="13">
        <f>IF(SUM(BY5:BZ5,CB5:CD5,CF5)-SUM(CA5,CE5)&gt;0,SUM(BY5:BZ5,CB5:CD5,CF5)-SUM(CA5,CE5),"")</f>
        <v>55.1</v>
      </c>
      <c r="CN5" s="13">
        <f>IF(SUM(CL5,CM5)&gt;0,SUM(CL5,CM5),"")</f>
        <v>117.80000000000001</v>
      </c>
      <c r="CO5" s="30" t="str">
        <f>IF(MAX(DJ5,EG5,FD5,GA5,GX5,HU5,IR5,JO5,KL5,LI5,MF5,NC5)-L5&gt;0.001,MAX(DJ5,EG5,FD5,GA5,GX5,HU5,IR5,JO5,KL5,LI5,MF5,NC5)-L5,"")</f>
        <v/>
      </c>
      <c r="CP5" s="30">
        <f>IF(MAX(DK5,EH5,FE5,GB5,GY5,HV5,IS5,JP5,KM5,LJ5,MG5,ND5)-N5&gt;0.001,MAX(DK5,EH5,FE5,GB5,GY5,HV5,IS5,JP5,KM5,LJ5,MG5,ND5)-N5,"")</f>
        <v>1.8999999999999986</v>
      </c>
      <c r="CQ5" s="30" t="str">
        <f>IF(MAX(DM5,EJ5,FG5,GD5,HA5,HX5,IU5,JR5,KO5,LL5,MI5,NF5)-P5&gt;0.001,MAX(DM5,EJ5,FG5,GD5,HA5,HX5,IU5,JR5,KO5,LL5,MI5,NF5)-P5,"")</f>
        <v/>
      </c>
      <c r="CR5" s="47">
        <v>23.4</v>
      </c>
      <c r="CS5" s="47">
        <v>6.5</v>
      </c>
      <c r="CT5" s="47">
        <v>0</v>
      </c>
      <c r="CU5" s="47">
        <v>0</v>
      </c>
      <c r="CV5" s="47">
        <v>24.9</v>
      </c>
      <c r="CW5" s="47">
        <v>4.3</v>
      </c>
      <c r="CX5" s="47">
        <v>0</v>
      </c>
      <c r="CY5" s="47">
        <v>0</v>
      </c>
      <c r="CZ5" s="47"/>
      <c r="DA5" s="47"/>
      <c r="DB5" s="47"/>
      <c r="DC5" s="47"/>
      <c r="DD5" s="47"/>
      <c r="DE5" s="47"/>
      <c r="DF5" s="47"/>
      <c r="DG5" s="47"/>
      <c r="DH5" s="13">
        <f>IF(SUM(CS5,CW5)&gt;0,SUM(CS5,CW5),"")</f>
        <v>10.8</v>
      </c>
      <c r="DI5" s="13" t="str">
        <f>IF(SUM(DA5,DE5)&gt;0,SUM(DA5,DE5),"")</f>
        <v/>
      </c>
      <c r="DJ5" s="13">
        <f>IF(SUM(CR5:CS5,CU5)-CT5&gt;0,SUM(CR5:CS5,CU5)-CT5,"")</f>
        <v>29.9</v>
      </c>
      <c r="DK5" s="13">
        <f>IF(SUM(CV5:CW5,CY5)-CX5&gt;0,SUM(CV5:CW5,CY5)-CX5,"")</f>
        <v>29.2</v>
      </c>
      <c r="DL5" s="13">
        <f>IF(SUM(DJ5:DK5)&gt;0,SUM(DJ5:DK5),"")</f>
        <v>59.099999999999994</v>
      </c>
      <c r="DM5" s="13" t="str">
        <f>IF(SUM(CZ5:DA5,DC5:DE5,DG5)-SUM(DB5,DF5)&gt;0,SUM(CZ5:DA5,DC5:DE5,DG5)-SUM(DB5,DF5),"")</f>
        <v/>
      </c>
      <c r="DN5" s="13">
        <f>IF(SUM(DL5,DM5)&gt;0,SUM(DL5,DM5),"")</f>
        <v>59.099999999999994</v>
      </c>
      <c r="DO5" s="48"/>
      <c r="DP5" s="48"/>
      <c r="DQ5" s="48"/>
      <c r="DR5" s="48"/>
      <c r="DS5" s="48"/>
      <c r="DT5" s="48"/>
      <c r="DU5" s="48"/>
      <c r="DV5" s="48"/>
      <c r="DW5" s="48"/>
      <c r="DX5" s="48"/>
      <c r="DY5" s="48"/>
      <c r="DZ5" s="48"/>
      <c r="EA5" s="48"/>
      <c r="EB5" s="48"/>
      <c r="EC5" s="48"/>
      <c r="ED5" s="48"/>
      <c r="EE5" s="16" t="str">
        <f>IF(SUM(DP5,DT5)&gt;0,SUM(DP5,DT5),"")</f>
        <v/>
      </c>
      <c r="EF5" s="16" t="str">
        <f>IF(SUM(DX5,EB5)&gt;0,SUM(DX5,EB5),"")</f>
        <v/>
      </c>
      <c r="EG5" s="16" t="str">
        <f>IF(SUM(DO5:DP5,DR5)-DQ5&gt;0,SUM(DO5:DP5,DR5)-DQ5,"")</f>
        <v/>
      </c>
      <c r="EH5" s="16" t="str">
        <f>IF(SUM(DS5:DT5,DV5)-DU5&gt;0,SUM(DS5:DT5,DV5)-DU5,"")</f>
        <v/>
      </c>
      <c r="EI5" s="16" t="str">
        <f>IF(SUM(EG5:EH5)&gt;0,SUM(EG5:EH5),"")</f>
        <v/>
      </c>
      <c r="EJ5" s="16" t="str">
        <f>IF(SUM(DW5:DX5,DZ5:EB5,ED5)-SUM(DY5,EC5)&gt;0,SUM(DW5:DX5,DZ5:EB5,ED5)-SUM(DY5,EC5),"")</f>
        <v/>
      </c>
      <c r="EK5" s="16" t="str">
        <f>IF(SUM(EI5,EJ5)&gt;0,SUM(EI5,EJ5),"")</f>
        <v/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82</v>
      </c>
      <c r="C6" s="8" t="s">
        <v>12</v>
      </c>
      <c r="D6" s="33">
        <v>1995</v>
      </c>
      <c r="E6" s="17">
        <f>SUM(J6:R6)</f>
        <v>185.3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29.900000000000002</v>
      </c>
      <c r="O6" s="16" t="str">
        <f>IF(AND(N6=CK6,$K6&lt;&gt;$BQ$1),$BQ$1,IF(AND(N6=BM6,$K6&lt;&gt;$AS$1),$AS$1,IF(AND(N6=AO6,$K6&lt;&gt;$U$1),$U$1,"")))</f>
        <v>2017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17</v>
      </c>
      <c r="V6" s="51">
        <v>2.6</v>
      </c>
      <c r="W6" s="51">
        <v>0</v>
      </c>
      <c r="X6" s="51">
        <v>0</v>
      </c>
      <c r="Y6" s="51">
        <v>25.6</v>
      </c>
      <c r="Z6" s="51">
        <v>4.3</v>
      </c>
      <c r="AA6" s="51">
        <v>0</v>
      </c>
      <c r="AB6" s="51">
        <v>0</v>
      </c>
      <c r="AC6" s="51"/>
      <c r="AD6" s="51"/>
      <c r="AE6" s="51"/>
      <c r="AF6" s="51"/>
      <c r="AG6" s="51"/>
      <c r="AH6" s="51"/>
      <c r="AI6" s="51"/>
      <c r="AJ6" s="51"/>
      <c r="AK6" s="93"/>
      <c r="AL6" s="13">
        <f>IF(SUM(V6,Z6)&gt;0,SUM(V6,Z6),"")</f>
        <v>6.9</v>
      </c>
      <c r="AM6" s="13" t="str">
        <f>IF(SUM(AD6,AH6)&gt;0,SUM(AD6,AH6),"")</f>
        <v/>
      </c>
      <c r="AN6" s="13">
        <f>IF(SUM(U6:V6,X6)-W6&gt;0,SUM(U6:V6,X6)-W6,"")</f>
        <v>19.600000000000001</v>
      </c>
      <c r="AO6" s="13">
        <f>IF(SUM(Y6:Z6,AB6)-AA6&gt;0,SUM(Y6:Z6,AB6)-AA6,"")</f>
        <v>29.900000000000002</v>
      </c>
      <c r="AP6" s="13">
        <f>IF(SUM(AN6:AO6)&gt;0,SUM(AN6:AO6),"")</f>
        <v>49.5</v>
      </c>
      <c r="AQ6" s="13" t="str">
        <f>IF(SUM(AC6:AD6,AF6:AH6,AJ6)-SUM(AE6,AI6)&gt;0,SUM(AC6:AD6,AF6:AH6,AJ6)-SUM(AE6,AI6),"")</f>
        <v/>
      </c>
      <c r="AR6" s="13">
        <f>IF(SUM(AP6,AQ6)&gt;0,SUM(AP6,AQ6),"")</f>
        <v>49.5</v>
      </c>
      <c r="AS6" s="48">
        <v>28.8</v>
      </c>
      <c r="AT6" s="48">
        <v>3.6</v>
      </c>
      <c r="AU6" s="48">
        <v>0</v>
      </c>
      <c r="AV6" s="48">
        <v>0</v>
      </c>
      <c r="AW6" s="48">
        <v>26.4</v>
      </c>
      <c r="AX6" s="48">
        <v>1.9</v>
      </c>
      <c r="AY6" s="48">
        <v>3</v>
      </c>
      <c r="AZ6" s="48">
        <v>0</v>
      </c>
      <c r="BA6" s="48">
        <v>28</v>
      </c>
      <c r="BB6" s="48">
        <v>3.6</v>
      </c>
      <c r="BC6" s="48">
        <v>0</v>
      </c>
      <c r="BD6" s="48">
        <v>0</v>
      </c>
      <c r="BE6" s="48">
        <v>26.6</v>
      </c>
      <c r="BF6" s="48">
        <v>3.6</v>
      </c>
      <c r="BG6" s="48">
        <v>0</v>
      </c>
      <c r="BH6" s="48">
        <v>0</v>
      </c>
      <c r="BI6" s="94"/>
      <c r="BJ6" s="16">
        <f>IF(SUM(AT6,AX6)&gt;0,SUM(AT6,AX6),"")</f>
        <v>5.5</v>
      </c>
      <c r="BK6" s="16">
        <f>IF(SUM(BB6,BF6)&gt;0,SUM(BB6,BF6),"")</f>
        <v>7.2</v>
      </c>
      <c r="BL6" s="16">
        <f>IF(SUM(AS6:AT6,AV6)-AU6&gt;0,SUM(AS6:AT6,AV6)-AU6,"")</f>
        <v>32.4</v>
      </c>
      <c r="BM6" s="16">
        <f>IF(SUM(AW6:AX6,AZ6)-AY6&gt;0,SUM(AW6:AX6,AZ6)-AY6,"")</f>
        <v>25.299999999999997</v>
      </c>
      <c r="BN6" s="16">
        <f>IF(SUM(BL6:BM6)&gt;0,SUM(BL6:BM6),"")</f>
        <v>57.699999999999996</v>
      </c>
      <c r="BO6" s="16">
        <f>IF(SUM(BA6:BB6,BD6:BF6,BH6)-SUM(BC6,BG6)&gt;0,SUM(BA6:BB6,BD6:BF6,BH6)-SUM(BC6,BG6),"")</f>
        <v>61.800000000000004</v>
      </c>
      <c r="BP6" s="16">
        <f>IF(SUM(BN6,BO6)&gt;0,SUM(BN6,BO6),"")</f>
        <v>119.5</v>
      </c>
      <c r="BQ6" s="47">
        <v>27.8</v>
      </c>
      <c r="BR6" s="47">
        <v>3.6</v>
      </c>
      <c r="BS6" s="47">
        <v>0</v>
      </c>
      <c r="BT6" s="47">
        <v>0</v>
      </c>
      <c r="BU6" s="47">
        <v>25.8</v>
      </c>
      <c r="BV6" s="47">
        <v>4.3</v>
      </c>
      <c r="BW6" s="47">
        <v>0.3</v>
      </c>
      <c r="BX6" s="47">
        <v>0</v>
      </c>
      <c r="BY6" s="47"/>
      <c r="BZ6" s="47"/>
      <c r="CA6" s="47"/>
      <c r="CB6" s="47"/>
      <c r="CC6" s="47"/>
      <c r="CD6" s="47"/>
      <c r="CE6" s="47"/>
      <c r="CF6" s="47"/>
      <c r="CG6" s="93"/>
      <c r="CH6" s="13">
        <f>IF(SUM(BR6,BV6)&gt;0,SUM(BR6,BV6),"")</f>
        <v>7.9</v>
      </c>
      <c r="CI6" s="13" t="str">
        <f>IF(SUM(BZ6,CD6)&gt;0,SUM(BZ6,CD6),"")</f>
        <v/>
      </c>
      <c r="CJ6" s="13">
        <f>IF(SUM(BQ6:BR6,BT6)-BS6&gt;0,SUM(BQ6:BR6,BT6)-BS6,"")</f>
        <v>31.400000000000002</v>
      </c>
      <c r="CK6" s="13">
        <f>IF(SUM(BU6:BV6,BX6)-BW6&gt;0,SUM(BU6:BV6,BX6)-BW6,"")</f>
        <v>29.8</v>
      </c>
      <c r="CL6" s="13">
        <f>IF(SUM(CJ6:CK6)&gt;0,SUM(CJ6:CK6),"")</f>
        <v>61.2</v>
      </c>
      <c r="CM6" s="13" t="str">
        <f>IF(SUM(BY6:BZ6,CB6:CD6,CF6)-SUM(CA6,CE6)&gt;0,SUM(BY6:BZ6,CB6:CD6,CF6)-SUM(CA6,CE6),"")</f>
        <v/>
      </c>
      <c r="CN6" s="13">
        <f>IF(SUM(CL6,CM6)&gt;0,SUM(CL6,CM6),"")</f>
        <v>61.2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81</v>
      </c>
      <c r="C7" s="5" t="s">
        <v>3</v>
      </c>
      <c r="D7" s="33">
        <v>1991</v>
      </c>
      <c r="E7" s="17">
        <f>SUM(J7:R7)</f>
        <v>158.5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>
        <f>IF(MAX(CO7:CQ7)&gt;0,MAX(CO7:CQ7),"")</f>
        <v>30.6</v>
      </c>
      <c r="S7" s="31" t="str">
        <f>IF(R7="","",IF(R7=CO7,"(Pass 1)",IF(R7=CP7,"(Pass 2)",IF(R7=CQ7,"(Final)"))))</f>
        <v>(Pass 1)</v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>2017 World Cup POR (Sept)</v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48"/>
      <c r="BG7" s="48"/>
      <c r="BH7" s="48"/>
      <c r="BI7" s="94"/>
      <c r="BJ7" s="16" t="str">
        <f>IF(SUM(AT7,AX7)&gt;0,SUM(AT7,AX7),"")</f>
        <v/>
      </c>
      <c r="BK7" s="16" t="str">
        <f>IF(SUM(BB7,BF7)&gt;0,SUM(BB7,BF7),"")</f>
        <v/>
      </c>
      <c r="BL7" s="16" t="str">
        <f>IF(SUM(AS7:AT7,AV7)-AU7&gt;0,SUM(AS7:AT7,AV7)-AU7,"")</f>
        <v/>
      </c>
      <c r="BM7" s="16" t="str">
        <f>IF(SUM(AW7:AX7,AZ7)-AY7&gt;0,SUM(AW7:AX7,AZ7)-AY7,"")</f>
        <v/>
      </c>
      <c r="BN7" s="16" t="str">
        <f>IF(SUM(BL7:BM7)&gt;0,SUM(BL7:BM7),"")</f>
        <v/>
      </c>
      <c r="BO7" s="16" t="str">
        <f>IF(SUM(BA7:BB7,BD7:BF7,BH7)-SUM(BC7,BG7)&gt;0,SUM(BA7:BB7,BD7:BF7,BH7)-SUM(BC7,BG7),"")</f>
        <v/>
      </c>
      <c r="BP7" s="16" t="str">
        <f>IF(SUM(BN7,BO7)&gt;0,SUM(BN7,BO7),"")</f>
        <v/>
      </c>
      <c r="BQ7" s="47">
        <v>27.8</v>
      </c>
      <c r="BR7" s="47">
        <v>3.6</v>
      </c>
      <c r="BS7" s="47">
        <v>0</v>
      </c>
      <c r="BT7" s="47">
        <v>0</v>
      </c>
      <c r="BU7" s="47">
        <v>27.2</v>
      </c>
      <c r="BV7" s="47">
        <v>4.3</v>
      </c>
      <c r="BW7" s="47">
        <v>0</v>
      </c>
      <c r="BX7" s="47">
        <v>0</v>
      </c>
      <c r="BY7" s="47">
        <v>28.6</v>
      </c>
      <c r="BZ7" s="47">
        <v>4</v>
      </c>
      <c r="CA7" s="47">
        <v>0</v>
      </c>
      <c r="CB7" s="47">
        <v>0</v>
      </c>
      <c r="CC7" s="47">
        <v>28.4</v>
      </c>
      <c r="CD7" s="47">
        <v>4</v>
      </c>
      <c r="CE7" s="47">
        <v>0</v>
      </c>
      <c r="CF7" s="47">
        <v>0</v>
      </c>
      <c r="CG7" s="93"/>
      <c r="CH7" s="13">
        <f>IF(SUM(BR7,BV7)&gt;0,SUM(BR7,BV7),"")</f>
        <v>7.9</v>
      </c>
      <c r="CI7" s="13">
        <f>IF(SUM(BZ7,CD7)&gt;0,SUM(BZ7,CD7),"")</f>
        <v>8</v>
      </c>
      <c r="CJ7" s="13">
        <f>IF(SUM(BQ7:BR7,BT7)-BS7&gt;0,SUM(BQ7:BR7,BT7)-BS7,"")</f>
        <v>31.400000000000002</v>
      </c>
      <c r="CK7" s="13">
        <f>IF(SUM(BU7:BV7,BX7)-BW7&gt;0,SUM(BU7:BV7,BX7)-BW7,"")</f>
        <v>31.5</v>
      </c>
      <c r="CL7" s="13">
        <f>IF(SUM(CJ7:CK7)&gt;0,SUM(CJ7:CK7),"")</f>
        <v>62.900000000000006</v>
      </c>
      <c r="CM7" s="13">
        <f>IF(SUM(BY7:BZ7,CB7:CD7,CF7)-SUM(CA7,CE7)&gt;0,SUM(BY7:BZ7,CB7:CD7,CF7)-SUM(CA7,CE7),"")</f>
        <v>65</v>
      </c>
      <c r="CN7" s="13">
        <f>IF(SUM(CL7,CM7)&gt;0,SUM(CL7,CM7),"")</f>
        <v>127.9</v>
      </c>
      <c r="CO7" s="30">
        <f>IF(MAX(DJ7,EG7,FD7,GA7,GX7,HU7,IR7,JO7,KL7,LI7,MF7,NC7)-L7&gt;0.001,MAX(DJ7,EG7,FD7,GA7,GX7,HU7,IR7,JO7,KL7,LI7,MF7,NC7)-L7,"")</f>
        <v>30.6</v>
      </c>
      <c r="CP7" s="30">
        <f>IF(MAX(DK7,EH7,FE7,GB7,GY7,HV7,IS7,JP7,KM7,LJ7,MG7,ND7)-N7&gt;0.001,MAX(DK7,EH7,FE7,GB7,GY7,HV7,IS7,JP7,KM7,LJ7,MG7,ND7)-N7,"")</f>
        <v>30.5</v>
      </c>
      <c r="CQ7" s="30" t="str">
        <f>IF(MAX(DM7,EJ7,FG7,GD7,HA7,HX7,IU7,JR7,KO7,LL7,MI7,NF7)-P7&gt;0.001,MAX(DM7,EJ7,FG7,GD7,HA7,HX7,IU7,JR7,KO7,LL7,MI7,NF7)-P7,"")</f>
        <v/>
      </c>
      <c r="CR7" s="47">
        <v>24.1</v>
      </c>
      <c r="CS7" s="47">
        <v>6.5</v>
      </c>
      <c r="CT7" s="47">
        <v>0</v>
      </c>
      <c r="CU7" s="47">
        <v>0</v>
      </c>
      <c r="CV7" s="47">
        <v>25.8</v>
      </c>
      <c r="CW7" s="47">
        <v>4.7</v>
      </c>
      <c r="CX7" s="47">
        <v>0</v>
      </c>
      <c r="CY7" s="47">
        <v>0</v>
      </c>
      <c r="CZ7" s="47">
        <v>26</v>
      </c>
      <c r="DA7" s="47">
        <v>6.7</v>
      </c>
      <c r="DB7" s="47">
        <v>0</v>
      </c>
      <c r="DC7" s="47">
        <v>0</v>
      </c>
      <c r="DD7" s="47">
        <v>23.9</v>
      </c>
      <c r="DE7" s="47">
        <v>6.9</v>
      </c>
      <c r="DF7" s="47">
        <v>0</v>
      </c>
      <c r="DG7" s="47">
        <v>0</v>
      </c>
      <c r="DH7" s="13">
        <f>IF(SUM(CS7,CW7)&gt;0,SUM(CS7,CW7),"")</f>
        <v>11.2</v>
      </c>
      <c r="DI7" s="13">
        <f>IF(SUM(DA7,DE7)&gt;0,SUM(DA7,DE7),"")</f>
        <v>13.600000000000001</v>
      </c>
      <c r="DJ7" s="13">
        <f>IF(SUM(CR7:CS7,CU7)-CT7&gt;0,SUM(CR7:CS7,CU7)-CT7,"")</f>
        <v>30.6</v>
      </c>
      <c r="DK7" s="13">
        <f>IF(SUM(CV7:CW7,CY7)-CX7&gt;0,SUM(CV7:CW7,CY7)-CX7,"")</f>
        <v>30.5</v>
      </c>
      <c r="DL7" s="13">
        <f>IF(SUM(DJ7:DK7)&gt;0,SUM(DJ7:DK7),"")</f>
        <v>61.1</v>
      </c>
      <c r="DM7" s="13">
        <f>IF(SUM(CZ7:DA7,DC7:DE7,DG7)-SUM(DB7,DF7)&gt;0,SUM(CZ7:DA7,DC7:DE7,DG7)-SUM(DB7,DF7),"")</f>
        <v>63.5</v>
      </c>
      <c r="DN7" s="13">
        <f>IF(SUM(DL7,DM7)&gt;0,SUM(DL7,DM7),"")</f>
        <v>124.6</v>
      </c>
      <c r="DO7" s="48">
        <v>23.7</v>
      </c>
      <c r="DP7" s="48">
        <v>6.5</v>
      </c>
      <c r="DQ7" s="48">
        <v>0</v>
      </c>
      <c r="DR7" s="48">
        <v>0</v>
      </c>
      <c r="DS7" s="48">
        <v>24.6</v>
      </c>
      <c r="DT7" s="48">
        <v>4.5999999999999996</v>
      </c>
      <c r="DU7" s="48">
        <v>0</v>
      </c>
      <c r="DV7" s="48">
        <v>0</v>
      </c>
      <c r="DW7" s="48"/>
      <c r="DX7" s="48"/>
      <c r="DY7" s="48"/>
      <c r="DZ7" s="48"/>
      <c r="EA7" s="48"/>
      <c r="EB7" s="48"/>
      <c r="EC7" s="48"/>
      <c r="ED7" s="48"/>
      <c r="EE7" s="16">
        <f>IF(SUM(DP7,DT7)&gt;0,SUM(DP7,DT7),"")</f>
        <v>11.1</v>
      </c>
      <c r="EF7" s="16" t="str">
        <f>IF(SUM(DX7,EB7)&gt;0,SUM(DX7,EB7),"")</f>
        <v/>
      </c>
      <c r="EG7" s="16">
        <f>IF(SUM(DO7:DP7,DR7)-DQ7&gt;0,SUM(DO7:DP7,DR7)-DQ7,"")</f>
        <v>30.2</v>
      </c>
      <c r="EH7" s="16">
        <f>IF(SUM(DS7:DT7,DV7)-DU7&gt;0,SUM(DS7:DT7,DV7)-DU7,"")</f>
        <v>29.200000000000003</v>
      </c>
      <c r="EI7" s="16">
        <f>IF(SUM(EG7:EH7)&gt;0,SUM(EG7:EH7),"")</f>
        <v>59.400000000000006</v>
      </c>
      <c r="EJ7" s="16" t="str">
        <f>IF(SUM(DW7:DX7,DZ7:EB7,ED7)-SUM(DY7,EC7)&gt;0,SUM(DW7:DX7,DZ7:EB7,ED7)-SUM(DY7,EC7),"")</f>
        <v/>
      </c>
      <c r="EK7" s="16">
        <f>IF(SUM(EI7,EJ7)&gt;0,SUM(EI7,EJ7),"")</f>
        <v>59.400000000000006</v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153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94"/>
      <c r="BJ8" s="16" t="str">
        <f>IF(SUM(AT8,AX8)&gt;0,SUM(AT8,AX8),"")</f>
        <v/>
      </c>
      <c r="BK8" s="16" t="str">
        <f>IF(SUM(BB8,BF8)&gt;0,SUM(BB8,BF8),"")</f>
        <v/>
      </c>
      <c r="BL8" s="16" t="str">
        <f>IF(SUM(AS8:AT8,AV8)-AU8&gt;0,SUM(AS8:AT8,AV8)-AU8,"")</f>
        <v/>
      </c>
      <c r="BM8" s="16" t="str">
        <f>IF(SUM(AW8:AX8,AZ8)-AY8&gt;0,SUM(AW8:AX8,AZ8)-AY8,"")</f>
        <v/>
      </c>
      <c r="BN8" s="16" t="str">
        <f>IF(SUM(BL8:BM8)&gt;0,SUM(BL8:BM8),"")</f>
        <v/>
      </c>
      <c r="BO8" s="16" t="str">
        <f>IF(SUM(BA8:BB8,BD8:BF8,BH8)-SUM(BC8,BG8)&gt;0,SUM(BA8:BB8,BD8:BF8,BH8)-SUM(BC8,BG8),"")</f>
        <v/>
      </c>
      <c r="BP8" s="16" t="str">
        <f>IF(SUM(BN8,BO8)&gt;0,SUM(BN8,BO8),"")</f>
        <v/>
      </c>
      <c r="BQ8" s="47">
        <v>27.1</v>
      </c>
      <c r="BR8" s="47">
        <v>3.6</v>
      </c>
      <c r="BS8" s="47">
        <v>0</v>
      </c>
      <c r="BT8" s="47">
        <v>0</v>
      </c>
      <c r="BU8" s="47">
        <v>26</v>
      </c>
      <c r="BV8" s="47">
        <v>4.3</v>
      </c>
      <c r="BW8" s="47">
        <v>0</v>
      </c>
      <c r="BX8" s="47">
        <v>0</v>
      </c>
      <c r="BY8" s="47">
        <v>26.9</v>
      </c>
      <c r="BZ8" s="47">
        <v>3.6</v>
      </c>
      <c r="CA8" s="47">
        <v>0</v>
      </c>
      <c r="CB8" s="47">
        <v>0</v>
      </c>
      <c r="CC8" s="47">
        <v>26.8</v>
      </c>
      <c r="CD8" s="47">
        <v>3.6</v>
      </c>
      <c r="CE8" s="47">
        <v>0</v>
      </c>
      <c r="CF8" s="47">
        <v>0</v>
      </c>
      <c r="CG8" s="93"/>
      <c r="CH8" s="13">
        <f>IF(SUM(BR8,BV8)&gt;0,SUM(BR8,BV8),"")</f>
        <v>7.9</v>
      </c>
      <c r="CI8" s="13">
        <f>IF(SUM(BZ8,CD8)&gt;0,SUM(BZ8,CD8),"")</f>
        <v>7.2</v>
      </c>
      <c r="CJ8" s="13">
        <f>IF(SUM(BQ8:BR8,BT8)-BS8&gt;0,SUM(BQ8:BR8,BT8)-BS8,"")</f>
        <v>30.700000000000003</v>
      </c>
      <c r="CK8" s="13">
        <f>IF(SUM(BU8:BV8,BX8)-BW8&gt;0,SUM(BU8:BV8,BX8)-BW8,"")</f>
        <v>30.3</v>
      </c>
      <c r="CL8" s="13">
        <f>IF(SUM(CJ8:CK8)&gt;0,SUM(CJ8:CK8),"")</f>
        <v>61</v>
      </c>
      <c r="CM8" s="13">
        <f>IF(SUM(BY8:BZ8,CB8:CD8,CF8)-SUM(CA8,CE8)&gt;0,SUM(BY8:BZ8,CB8:CD8,CF8)-SUM(CA8,CE8),"")</f>
        <v>60.9</v>
      </c>
      <c r="CN8" s="13">
        <f>IF(SUM(CL8,CM8)&gt;0,SUM(CL8,CM8),"")</f>
        <v>121.9</v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120</v>
      </c>
      <c r="R11" s="23"/>
      <c r="S11" s="23"/>
      <c r="T11" s="23"/>
      <c r="AL11" s="66"/>
      <c r="AM11" s="75">
        <v>9.6</v>
      </c>
      <c r="BJ11" s="66"/>
      <c r="BK11" s="75">
        <v>8.1</v>
      </c>
      <c r="CH11" s="66"/>
      <c r="CI11" s="75">
        <v>8.1</v>
      </c>
      <c r="DH11" s="66"/>
      <c r="DI11" s="75">
        <v>9.6</v>
      </c>
      <c r="EE11" s="66"/>
      <c r="EF11" s="75">
        <v>9.6</v>
      </c>
      <c r="FB11" s="66"/>
      <c r="FC11" s="75">
        <v>9.6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119</v>
      </c>
      <c r="C12" s="65"/>
      <c r="R12" s="23"/>
      <c r="S12" s="23"/>
      <c r="T12" s="23"/>
      <c r="AL12" s="66"/>
      <c r="AM12" s="76">
        <v>9.6</v>
      </c>
      <c r="BJ12" s="66"/>
      <c r="BK12" s="76">
        <v>8.1</v>
      </c>
      <c r="CH12" s="66"/>
      <c r="CI12" s="76">
        <v>8.1</v>
      </c>
      <c r="DH12" s="66"/>
      <c r="DI12" s="76">
        <v>9.6</v>
      </c>
      <c r="EE12" s="66"/>
      <c r="EF12" s="76">
        <v>9.6</v>
      </c>
      <c r="FB12" s="66"/>
      <c r="FC12" s="76">
        <v>9.6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117</v>
      </c>
      <c r="C13" s="65"/>
      <c r="R13" s="23"/>
      <c r="S13" s="23"/>
      <c r="T13" s="23"/>
      <c r="AL13" s="66"/>
      <c r="AM13" s="77">
        <v>61.6</v>
      </c>
      <c r="BJ13" s="66"/>
      <c r="BK13" s="77">
        <v>60</v>
      </c>
      <c r="CH13" s="66"/>
      <c r="CI13" s="77">
        <v>60</v>
      </c>
      <c r="DH13" s="66"/>
      <c r="DI13" s="77">
        <v>61.6</v>
      </c>
      <c r="EE13" s="66"/>
      <c r="EF13" s="77">
        <v>61.6</v>
      </c>
      <c r="FB13" s="66"/>
      <c r="FC13" s="77">
        <v>61.6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118</v>
      </c>
      <c r="C14" s="65"/>
      <c r="R14" s="23"/>
      <c r="S14" s="23"/>
      <c r="T14" s="23"/>
      <c r="AL14" s="66"/>
      <c r="AM14" s="78">
        <v>61.6</v>
      </c>
      <c r="BJ14" s="66"/>
      <c r="BK14" s="78">
        <v>61.5</v>
      </c>
      <c r="CH14" s="66"/>
      <c r="CI14" s="78">
        <v>61.5</v>
      </c>
      <c r="DH14" s="66"/>
      <c r="DI14" s="78">
        <v>61.6</v>
      </c>
      <c r="EE14" s="66"/>
      <c r="EF14" s="78">
        <v>61.6</v>
      </c>
      <c r="FB14" s="66"/>
      <c r="FC14" s="78">
        <v>61.6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38</v>
      </c>
      <c r="C15" s="65"/>
      <c r="R15" s="23"/>
      <c r="S15" s="23"/>
      <c r="T15" s="23"/>
      <c r="AL15" s="66"/>
      <c r="AM15" s="79">
        <v>66.5</v>
      </c>
      <c r="BJ15" s="66"/>
      <c r="BK15" s="79">
        <v>64.099999999999994</v>
      </c>
      <c r="CH15" s="66"/>
      <c r="CI15" s="79">
        <v>64.099999999999994</v>
      </c>
      <c r="DH15" s="66"/>
      <c r="DI15" s="79">
        <v>66.5</v>
      </c>
      <c r="EE15" s="66"/>
      <c r="EF15" s="79">
        <v>66.5</v>
      </c>
      <c r="FB15" s="66"/>
      <c r="FC15" s="79">
        <v>66.5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88</v>
      </c>
      <c r="C16" s="65"/>
      <c r="R16" s="23"/>
      <c r="S16" s="23"/>
      <c r="T16" s="23"/>
      <c r="AL16" s="66"/>
      <c r="AM16" s="80">
        <v>68.099999999999994</v>
      </c>
      <c r="BJ16" s="66"/>
      <c r="BK16" s="80">
        <v>66.8</v>
      </c>
      <c r="CH16" s="66"/>
      <c r="CI16" s="80">
        <v>66.8</v>
      </c>
      <c r="DH16" s="66"/>
      <c r="DI16" s="80">
        <v>68.099999999999994</v>
      </c>
      <c r="EE16" s="66"/>
      <c r="EF16" s="80">
        <v>68.099999999999994</v>
      </c>
      <c r="FB16" s="66"/>
      <c r="FC16" s="80">
        <v>68.099999999999994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160</v>
      </c>
      <c r="C17" s="3"/>
      <c r="AM17" s="64" t="s">
        <v>138</v>
      </c>
      <c r="BK17" s="64"/>
      <c r="DI17" s="64" t="s">
        <v>138</v>
      </c>
      <c r="EF17" s="64" t="s">
        <v>138</v>
      </c>
      <c r="FC17" s="64"/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8">
      <sortCondition descending="1" ref="F1:F7"/>
    </sortState>
  </autoFilter>
  <mergeCells count="96"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  <mergeCell ref="MS2:MV2"/>
    <mergeCell ref="MW2:MZ2"/>
    <mergeCell ref="LN2:LQ2"/>
    <mergeCell ref="LR2:LU2"/>
    <mergeCell ref="LV2:LY2"/>
    <mergeCell ref="LZ2:MC2"/>
    <mergeCell ref="MK2:MN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HO2:HR2"/>
    <mergeCell ref="EX2:FA2"/>
    <mergeCell ref="FI2:FL2"/>
    <mergeCell ref="FM2:FP2"/>
    <mergeCell ref="FQ2:FT2"/>
    <mergeCell ref="FU2:FX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CC2:CF2"/>
    <mergeCell ref="BY2:CB2"/>
    <mergeCell ref="Y2:AB2"/>
    <mergeCell ref="AC2:AF2"/>
    <mergeCell ref="AG2:AJ2"/>
    <mergeCell ref="AS2:AV2"/>
    <mergeCell ref="AW2:AZ2"/>
    <mergeCell ref="DO1:EK1"/>
    <mergeCell ref="DO2:DR2"/>
    <mergeCell ref="DS2:DV2"/>
    <mergeCell ref="DW2:DZ2"/>
    <mergeCell ref="EA2:ED2"/>
    <mergeCell ref="H1:H3"/>
    <mergeCell ref="I1:I3"/>
    <mergeCell ref="J1:J3"/>
    <mergeCell ref="L1:L3"/>
    <mergeCell ref="BE2:BH2"/>
    <mergeCell ref="U1:AR1"/>
    <mergeCell ref="AS1:BP1"/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53</v>
      </c>
      <c r="M1" s="101" t="s">
        <v>86</v>
      </c>
      <c r="N1" s="101" t="s">
        <v>54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4" t="s">
        <v>121</v>
      </c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2" t="s">
        <v>139</v>
      </c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5" t="s">
        <v>27</v>
      </c>
      <c r="DK1" s="105"/>
      <c r="DL1" s="105"/>
      <c r="DM1" s="110" t="s">
        <v>105</v>
      </c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1" t="s">
        <v>113</v>
      </c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1"/>
      <c r="FS1" s="111"/>
      <c r="FT1" s="111"/>
      <c r="FU1" s="110" t="s">
        <v>116</v>
      </c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1"/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1"/>
      <c r="IA1" s="111"/>
      <c r="IB1" s="111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1"/>
      <c r="KI1" s="111"/>
      <c r="KJ1" s="111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1"/>
      <c r="MQ1" s="111"/>
      <c r="MR1" s="111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0"/>
      <c r="NU1" s="110"/>
      <c r="NV1" s="110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1"/>
      <c r="OY1" s="111"/>
      <c r="OZ1" s="111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  <c r="RF1" s="111"/>
      <c r="RG1" s="111"/>
      <c r="RH1" s="111"/>
    </row>
    <row r="2" spans="1:476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55</v>
      </c>
      <c r="V2" s="98"/>
      <c r="W2" s="98"/>
      <c r="X2" s="98"/>
      <c r="Y2" s="98" t="s">
        <v>58</v>
      </c>
      <c r="Z2" s="98"/>
      <c r="AA2" s="98"/>
      <c r="AB2" s="98"/>
      <c r="AC2" s="98" t="s">
        <v>59</v>
      </c>
      <c r="AD2" s="98"/>
      <c r="AE2" s="98"/>
      <c r="AF2" s="98"/>
      <c r="AG2" s="109" t="s">
        <v>60</v>
      </c>
      <c r="AH2" s="109"/>
      <c r="AI2" s="109"/>
      <c r="AJ2" s="109"/>
      <c r="AK2" s="109" t="s">
        <v>61</v>
      </c>
      <c r="AL2" s="109"/>
      <c r="AM2" s="109"/>
      <c r="AN2" s="109"/>
      <c r="AO2" s="109" t="s">
        <v>62</v>
      </c>
      <c r="AP2" s="109"/>
      <c r="AQ2" s="109"/>
      <c r="AR2" s="109"/>
      <c r="AS2" s="91"/>
      <c r="AT2" s="68" t="s">
        <v>39</v>
      </c>
      <c r="AU2" s="11" t="s">
        <v>68</v>
      </c>
      <c r="AV2" s="11" t="s">
        <v>69</v>
      </c>
      <c r="AW2" s="11" t="s">
        <v>37</v>
      </c>
      <c r="AX2" s="11" t="s">
        <v>36</v>
      </c>
      <c r="AY2" s="11" t="s">
        <v>31</v>
      </c>
      <c r="AZ2" s="97" t="s">
        <v>55</v>
      </c>
      <c r="BA2" s="97"/>
      <c r="BB2" s="97"/>
      <c r="BC2" s="97"/>
      <c r="BD2" s="97" t="s">
        <v>58</v>
      </c>
      <c r="BE2" s="97"/>
      <c r="BF2" s="97"/>
      <c r="BG2" s="97"/>
      <c r="BH2" s="97" t="s">
        <v>59</v>
      </c>
      <c r="BI2" s="97"/>
      <c r="BJ2" s="97"/>
      <c r="BK2" s="97"/>
      <c r="BL2" s="112" t="s">
        <v>60</v>
      </c>
      <c r="BM2" s="112"/>
      <c r="BN2" s="112"/>
      <c r="BO2" s="112"/>
      <c r="BP2" s="112" t="s">
        <v>61</v>
      </c>
      <c r="BQ2" s="112"/>
      <c r="BR2" s="112"/>
      <c r="BS2" s="112"/>
      <c r="BT2" s="112" t="s">
        <v>62</v>
      </c>
      <c r="BU2" s="112"/>
      <c r="BV2" s="112"/>
      <c r="BW2" s="112"/>
      <c r="BX2" s="92"/>
      <c r="BY2" s="67" t="s">
        <v>39</v>
      </c>
      <c r="BZ2" s="14" t="s">
        <v>68</v>
      </c>
      <c r="CA2" s="14" t="s">
        <v>69</v>
      </c>
      <c r="CB2" s="14" t="s">
        <v>37</v>
      </c>
      <c r="CC2" s="14" t="s">
        <v>36</v>
      </c>
      <c r="CD2" s="14" t="s">
        <v>31</v>
      </c>
      <c r="CE2" s="98" t="s">
        <v>55</v>
      </c>
      <c r="CF2" s="98"/>
      <c r="CG2" s="98"/>
      <c r="CH2" s="98"/>
      <c r="CI2" s="98" t="s">
        <v>58</v>
      </c>
      <c r="CJ2" s="98"/>
      <c r="CK2" s="98"/>
      <c r="CL2" s="98"/>
      <c r="CM2" s="98" t="s">
        <v>59</v>
      </c>
      <c r="CN2" s="98"/>
      <c r="CO2" s="98"/>
      <c r="CP2" s="98"/>
      <c r="CQ2" s="109" t="s">
        <v>60</v>
      </c>
      <c r="CR2" s="109"/>
      <c r="CS2" s="109"/>
      <c r="CT2" s="109"/>
      <c r="CU2" s="109" t="s">
        <v>61</v>
      </c>
      <c r="CV2" s="109"/>
      <c r="CW2" s="109"/>
      <c r="CX2" s="109"/>
      <c r="CY2" s="109" t="s">
        <v>62</v>
      </c>
      <c r="CZ2" s="109"/>
      <c r="DA2" s="109"/>
      <c r="DB2" s="109"/>
      <c r="DC2" s="91"/>
      <c r="DD2" s="18" t="s">
        <v>39</v>
      </c>
      <c r="DE2" s="11" t="s">
        <v>68</v>
      </c>
      <c r="DF2" s="11" t="s">
        <v>69</v>
      </c>
      <c r="DG2" s="11" t="s">
        <v>37</v>
      </c>
      <c r="DH2" s="11" t="s">
        <v>36</v>
      </c>
      <c r="DI2" s="11" t="s">
        <v>31</v>
      </c>
      <c r="DJ2" s="28" t="s">
        <v>68</v>
      </c>
      <c r="DK2" s="28" t="s">
        <v>69</v>
      </c>
      <c r="DL2" s="28" t="s">
        <v>36</v>
      </c>
      <c r="DM2" s="98" t="s">
        <v>55</v>
      </c>
      <c r="DN2" s="98"/>
      <c r="DO2" s="98"/>
      <c r="DP2" s="98"/>
      <c r="DQ2" s="98" t="s">
        <v>58</v>
      </c>
      <c r="DR2" s="98"/>
      <c r="DS2" s="98"/>
      <c r="DT2" s="98"/>
      <c r="DU2" s="98" t="s">
        <v>59</v>
      </c>
      <c r="DV2" s="98"/>
      <c r="DW2" s="98"/>
      <c r="DX2" s="98"/>
      <c r="DY2" s="109" t="s">
        <v>60</v>
      </c>
      <c r="DZ2" s="109"/>
      <c r="EA2" s="109"/>
      <c r="EB2" s="109"/>
      <c r="EC2" s="109" t="s">
        <v>61</v>
      </c>
      <c r="ED2" s="109"/>
      <c r="EE2" s="109"/>
      <c r="EF2" s="109"/>
      <c r="EG2" s="109" t="s">
        <v>62</v>
      </c>
      <c r="EH2" s="109"/>
      <c r="EI2" s="109"/>
      <c r="EJ2" s="109"/>
      <c r="EK2" s="68" t="s">
        <v>39</v>
      </c>
      <c r="EL2" s="11" t="s">
        <v>68</v>
      </c>
      <c r="EM2" s="11" t="s">
        <v>69</v>
      </c>
      <c r="EN2" s="11" t="s">
        <v>37</v>
      </c>
      <c r="EO2" s="11" t="s">
        <v>36</v>
      </c>
      <c r="EP2" s="11" t="s">
        <v>31</v>
      </c>
      <c r="EQ2" s="112" t="s">
        <v>55</v>
      </c>
      <c r="ER2" s="112"/>
      <c r="ES2" s="112"/>
      <c r="ET2" s="112"/>
      <c r="EU2" s="112" t="s">
        <v>58</v>
      </c>
      <c r="EV2" s="112"/>
      <c r="EW2" s="112"/>
      <c r="EX2" s="112"/>
      <c r="EY2" s="112" t="s">
        <v>59</v>
      </c>
      <c r="EZ2" s="112"/>
      <c r="FA2" s="112"/>
      <c r="FB2" s="112"/>
      <c r="FC2" s="112" t="s">
        <v>60</v>
      </c>
      <c r="FD2" s="112"/>
      <c r="FE2" s="112"/>
      <c r="FF2" s="112"/>
      <c r="FG2" s="112" t="s">
        <v>61</v>
      </c>
      <c r="FH2" s="112"/>
      <c r="FI2" s="112"/>
      <c r="FJ2" s="112"/>
      <c r="FK2" s="112" t="s">
        <v>62</v>
      </c>
      <c r="FL2" s="112"/>
      <c r="FM2" s="112"/>
      <c r="FN2" s="112"/>
      <c r="FO2" s="72" t="s">
        <v>39</v>
      </c>
      <c r="FP2" s="19" t="s">
        <v>68</v>
      </c>
      <c r="FQ2" s="19" t="s">
        <v>69</v>
      </c>
      <c r="FR2" s="19" t="s">
        <v>37</v>
      </c>
      <c r="FS2" s="19" t="s">
        <v>36</v>
      </c>
      <c r="FT2" s="19" t="s">
        <v>31</v>
      </c>
      <c r="FU2" s="109" t="s">
        <v>55</v>
      </c>
      <c r="FV2" s="109"/>
      <c r="FW2" s="109"/>
      <c r="FX2" s="109"/>
      <c r="FY2" s="109" t="s">
        <v>58</v>
      </c>
      <c r="FZ2" s="109"/>
      <c r="GA2" s="109"/>
      <c r="GB2" s="109"/>
      <c r="GC2" s="109" t="s">
        <v>59</v>
      </c>
      <c r="GD2" s="109"/>
      <c r="GE2" s="109"/>
      <c r="GF2" s="109"/>
      <c r="GG2" s="109" t="s">
        <v>60</v>
      </c>
      <c r="GH2" s="109"/>
      <c r="GI2" s="109"/>
      <c r="GJ2" s="109"/>
      <c r="GK2" s="109" t="s">
        <v>61</v>
      </c>
      <c r="GL2" s="109"/>
      <c r="GM2" s="109"/>
      <c r="GN2" s="109"/>
      <c r="GO2" s="109" t="s">
        <v>62</v>
      </c>
      <c r="GP2" s="109"/>
      <c r="GQ2" s="109"/>
      <c r="GR2" s="109"/>
      <c r="GS2" s="71" t="s">
        <v>39</v>
      </c>
      <c r="GT2" s="20" t="s">
        <v>68</v>
      </c>
      <c r="GU2" s="20" t="s">
        <v>69</v>
      </c>
      <c r="GV2" s="20" t="s">
        <v>37</v>
      </c>
      <c r="GW2" s="20" t="s">
        <v>36</v>
      </c>
      <c r="GX2" s="20" t="s">
        <v>31</v>
      </c>
      <c r="GY2" s="112" t="s">
        <v>55</v>
      </c>
      <c r="GZ2" s="112"/>
      <c r="HA2" s="112"/>
      <c r="HB2" s="112"/>
      <c r="HC2" s="112" t="s">
        <v>58</v>
      </c>
      <c r="HD2" s="112"/>
      <c r="HE2" s="112"/>
      <c r="HF2" s="112"/>
      <c r="HG2" s="112" t="s">
        <v>59</v>
      </c>
      <c r="HH2" s="112"/>
      <c r="HI2" s="112"/>
      <c r="HJ2" s="112"/>
      <c r="HK2" s="112" t="s">
        <v>60</v>
      </c>
      <c r="HL2" s="112"/>
      <c r="HM2" s="112"/>
      <c r="HN2" s="112"/>
      <c r="HO2" s="112" t="s">
        <v>61</v>
      </c>
      <c r="HP2" s="112"/>
      <c r="HQ2" s="112"/>
      <c r="HR2" s="112"/>
      <c r="HS2" s="112" t="s">
        <v>62</v>
      </c>
      <c r="HT2" s="112"/>
      <c r="HU2" s="112"/>
      <c r="HV2" s="112"/>
      <c r="HW2" s="72" t="s">
        <v>39</v>
      </c>
      <c r="HX2" s="19" t="s">
        <v>68</v>
      </c>
      <c r="HY2" s="19" t="s">
        <v>69</v>
      </c>
      <c r="HZ2" s="19" t="s">
        <v>37</v>
      </c>
      <c r="IA2" s="19" t="s">
        <v>36</v>
      </c>
      <c r="IB2" s="19" t="s">
        <v>31</v>
      </c>
      <c r="IC2" s="109" t="s">
        <v>55</v>
      </c>
      <c r="ID2" s="109"/>
      <c r="IE2" s="109"/>
      <c r="IF2" s="109"/>
      <c r="IG2" s="109" t="s">
        <v>58</v>
      </c>
      <c r="IH2" s="109"/>
      <c r="II2" s="109"/>
      <c r="IJ2" s="109"/>
      <c r="IK2" s="109" t="s">
        <v>59</v>
      </c>
      <c r="IL2" s="109"/>
      <c r="IM2" s="109"/>
      <c r="IN2" s="109"/>
      <c r="IO2" s="109" t="s">
        <v>60</v>
      </c>
      <c r="IP2" s="109"/>
      <c r="IQ2" s="109"/>
      <c r="IR2" s="109"/>
      <c r="IS2" s="109" t="s">
        <v>61</v>
      </c>
      <c r="IT2" s="109"/>
      <c r="IU2" s="109"/>
      <c r="IV2" s="109"/>
      <c r="IW2" s="109" t="s">
        <v>62</v>
      </c>
      <c r="IX2" s="109"/>
      <c r="IY2" s="109"/>
      <c r="IZ2" s="109"/>
      <c r="JA2" s="27" t="s">
        <v>39</v>
      </c>
      <c r="JB2" s="20" t="s">
        <v>68</v>
      </c>
      <c r="JC2" s="20" t="s">
        <v>69</v>
      </c>
      <c r="JD2" s="20" t="s">
        <v>37</v>
      </c>
      <c r="JE2" s="20" t="s">
        <v>36</v>
      </c>
      <c r="JF2" s="20" t="s">
        <v>31</v>
      </c>
      <c r="JG2" s="112" t="s">
        <v>55</v>
      </c>
      <c r="JH2" s="112"/>
      <c r="JI2" s="112"/>
      <c r="JJ2" s="112"/>
      <c r="JK2" s="112" t="s">
        <v>58</v>
      </c>
      <c r="JL2" s="112"/>
      <c r="JM2" s="112"/>
      <c r="JN2" s="112"/>
      <c r="JO2" s="112" t="s">
        <v>59</v>
      </c>
      <c r="JP2" s="112"/>
      <c r="JQ2" s="112"/>
      <c r="JR2" s="112"/>
      <c r="JS2" s="112" t="s">
        <v>60</v>
      </c>
      <c r="JT2" s="112"/>
      <c r="JU2" s="112"/>
      <c r="JV2" s="112"/>
      <c r="JW2" s="112" t="s">
        <v>61</v>
      </c>
      <c r="JX2" s="112"/>
      <c r="JY2" s="112"/>
      <c r="JZ2" s="112"/>
      <c r="KA2" s="112" t="s">
        <v>62</v>
      </c>
      <c r="KB2" s="112"/>
      <c r="KC2" s="112"/>
      <c r="KD2" s="112"/>
      <c r="KE2" s="26" t="s">
        <v>39</v>
      </c>
      <c r="KF2" s="19" t="s">
        <v>68</v>
      </c>
      <c r="KG2" s="19" t="s">
        <v>69</v>
      </c>
      <c r="KH2" s="19" t="s">
        <v>37</v>
      </c>
      <c r="KI2" s="19" t="s">
        <v>36</v>
      </c>
      <c r="KJ2" s="19" t="s">
        <v>31</v>
      </c>
      <c r="KK2" s="109" t="s">
        <v>55</v>
      </c>
      <c r="KL2" s="109"/>
      <c r="KM2" s="109"/>
      <c r="KN2" s="109"/>
      <c r="KO2" s="109" t="s">
        <v>58</v>
      </c>
      <c r="KP2" s="109"/>
      <c r="KQ2" s="109"/>
      <c r="KR2" s="109"/>
      <c r="KS2" s="109" t="s">
        <v>59</v>
      </c>
      <c r="KT2" s="109"/>
      <c r="KU2" s="109"/>
      <c r="KV2" s="109"/>
      <c r="KW2" s="109" t="s">
        <v>60</v>
      </c>
      <c r="KX2" s="109"/>
      <c r="KY2" s="109"/>
      <c r="KZ2" s="109"/>
      <c r="LA2" s="109" t="s">
        <v>61</v>
      </c>
      <c r="LB2" s="109"/>
      <c r="LC2" s="109"/>
      <c r="LD2" s="109"/>
      <c r="LE2" s="109" t="s">
        <v>62</v>
      </c>
      <c r="LF2" s="109"/>
      <c r="LG2" s="109"/>
      <c r="LH2" s="109"/>
      <c r="LI2" s="27" t="s">
        <v>39</v>
      </c>
      <c r="LJ2" s="20" t="s">
        <v>68</v>
      </c>
      <c r="LK2" s="20" t="s">
        <v>69</v>
      </c>
      <c r="LL2" s="20" t="s">
        <v>37</v>
      </c>
      <c r="LM2" s="20" t="s">
        <v>36</v>
      </c>
      <c r="LN2" s="20" t="s">
        <v>31</v>
      </c>
      <c r="LO2" s="112" t="s">
        <v>55</v>
      </c>
      <c r="LP2" s="112"/>
      <c r="LQ2" s="112"/>
      <c r="LR2" s="112"/>
      <c r="LS2" s="112" t="s">
        <v>58</v>
      </c>
      <c r="LT2" s="112"/>
      <c r="LU2" s="112"/>
      <c r="LV2" s="112"/>
      <c r="LW2" s="112" t="s">
        <v>59</v>
      </c>
      <c r="LX2" s="112"/>
      <c r="LY2" s="112"/>
      <c r="LZ2" s="112"/>
      <c r="MA2" s="112" t="s">
        <v>60</v>
      </c>
      <c r="MB2" s="112"/>
      <c r="MC2" s="112"/>
      <c r="MD2" s="112"/>
      <c r="ME2" s="112" t="s">
        <v>61</v>
      </c>
      <c r="MF2" s="112"/>
      <c r="MG2" s="112"/>
      <c r="MH2" s="112"/>
      <c r="MI2" s="112" t="s">
        <v>62</v>
      </c>
      <c r="MJ2" s="112"/>
      <c r="MK2" s="112"/>
      <c r="ML2" s="112"/>
      <c r="MM2" s="26" t="s">
        <v>39</v>
      </c>
      <c r="MN2" s="19" t="s">
        <v>68</v>
      </c>
      <c r="MO2" s="19" t="s">
        <v>69</v>
      </c>
      <c r="MP2" s="19" t="s">
        <v>37</v>
      </c>
      <c r="MQ2" s="19" t="s">
        <v>36</v>
      </c>
      <c r="MR2" s="19" t="s">
        <v>31</v>
      </c>
      <c r="MS2" s="109" t="s">
        <v>55</v>
      </c>
      <c r="MT2" s="109"/>
      <c r="MU2" s="109"/>
      <c r="MV2" s="109"/>
      <c r="MW2" s="109" t="s">
        <v>58</v>
      </c>
      <c r="MX2" s="109"/>
      <c r="MY2" s="109"/>
      <c r="MZ2" s="109"/>
      <c r="NA2" s="109" t="s">
        <v>59</v>
      </c>
      <c r="NB2" s="109"/>
      <c r="NC2" s="109"/>
      <c r="ND2" s="109"/>
      <c r="NE2" s="109" t="s">
        <v>60</v>
      </c>
      <c r="NF2" s="109"/>
      <c r="NG2" s="109"/>
      <c r="NH2" s="109"/>
      <c r="NI2" s="109" t="s">
        <v>61</v>
      </c>
      <c r="NJ2" s="109"/>
      <c r="NK2" s="109"/>
      <c r="NL2" s="109"/>
      <c r="NM2" s="109" t="s">
        <v>62</v>
      </c>
      <c r="NN2" s="109"/>
      <c r="NO2" s="109"/>
      <c r="NP2" s="109"/>
      <c r="NQ2" s="27" t="s">
        <v>39</v>
      </c>
      <c r="NR2" s="20" t="s">
        <v>68</v>
      </c>
      <c r="NS2" s="20" t="s">
        <v>69</v>
      </c>
      <c r="NT2" s="20" t="s">
        <v>37</v>
      </c>
      <c r="NU2" s="20" t="s">
        <v>36</v>
      </c>
      <c r="NV2" s="20" t="s">
        <v>31</v>
      </c>
      <c r="NW2" s="112" t="s">
        <v>55</v>
      </c>
      <c r="NX2" s="112"/>
      <c r="NY2" s="112"/>
      <c r="NZ2" s="112"/>
      <c r="OA2" s="112" t="s">
        <v>58</v>
      </c>
      <c r="OB2" s="112"/>
      <c r="OC2" s="112"/>
      <c r="OD2" s="112"/>
      <c r="OE2" s="112" t="s">
        <v>59</v>
      </c>
      <c r="OF2" s="112"/>
      <c r="OG2" s="112"/>
      <c r="OH2" s="112"/>
      <c r="OI2" s="112" t="s">
        <v>60</v>
      </c>
      <c r="OJ2" s="112"/>
      <c r="OK2" s="112"/>
      <c r="OL2" s="112"/>
      <c r="OM2" s="112" t="s">
        <v>61</v>
      </c>
      <c r="ON2" s="112"/>
      <c r="OO2" s="112"/>
      <c r="OP2" s="112"/>
      <c r="OQ2" s="112" t="s">
        <v>62</v>
      </c>
      <c r="OR2" s="112"/>
      <c r="OS2" s="112"/>
      <c r="OT2" s="112"/>
      <c r="OU2" s="26" t="s">
        <v>39</v>
      </c>
      <c r="OV2" s="19" t="s">
        <v>68</v>
      </c>
      <c r="OW2" s="19" t="s">
        <v>69</v>
      </c>
      <c r="OX2" s="19" t="s">
        <v>37</v>
      </c>
      <c r="OY2" s="19" t="s">
        <v>36</v>
      </c>
      <c r="OZ2" s="19" t="s">
        <v>31</v>
      </c>
      <c r="PA2" s="109" t="s">
        <v>55</v>
      </c>
      <c r="PB2" s="109"/>
      <c r="PC2" s="109"/>
      <c r="PD2" s="109"/>
      <c r="PE2" s="109" t="s">
        <v>58</v>
      </c>
      <c r="PF2" s="109"/>
      <c r="PG2" s="109"/>
      <c r="PH2" s="109"/>
      <c r="PI2" s="109" t="s">
        <v>59</v>
      </c>
      <c r="PJ2" s="109"/>
      <c r="PK2" s="109"/>
      <c r="PL2" s="109"/>
      <c r="PM2" s="109" t="s">
        <v>60</v>
      </c>
      <c r="PN2" s="109"/>
      <c r="PO2" s="109"/>
      <c r="PP2" s="109"/>
      <c r="PQ2" s="109" t="s">
        <v>61</v>
      </c>
      <c r="PR2" s="109"/>
      <c r="PS2" s="109"/>
      <c r="PT2" s="109"/>
      <c r="PU2" s="109" t="s">
        <v>62</v>
      </c>
      <c r="PV2" s="109"/>
      <c r="PW2" s="109"/>
      <c r="PX2" s="109"/>
      <c r="PY2" s="27" t="s">
        <v>39</v>
      </c>
      <c r="PZ2" s="20" t="s">
        <v>68</v>
      </c>
      <c r="QA2" s="20" t="s">
        <v>69</v>
      </c>
      <c r="QB2" s="20" t="s">
        <v>37</v>
      </c>
      <c r="QC2" s="20" t="s">
        <v>36</v>
      </c>
      <c r="QD2" s="20" t="s">
        <v>31</v>
      </c>
      <c r="QE2" s="112" t="s">
        <v>55</v>
      </c>
      <c r="QF2" s="112"/>
      <c r="QG2" s="112"/>
      <c r="QH2" s="112"/>
      <c r="QI2" s="112" t="s">
        <v>58</v>
      </c>
      <c r="QJ2" s="112"/>
      <c r="QK2" s="112"/>
      <c r="QL2" s="112"/>
      <c r="QM2" s="112" t="s">
        <v>59</v>
      </c>
      <c r="QN2" s="112"/>
      <c r="QO2" s="112"/>
      <c r="QP2" s="112"/>
      <c r="QQ2" s="112" t="s">
        <v>60</v>
      </c>
      <c r="QR2" s="112"/>
      <c r="QS2" s="112"/>
      <c r="QT2" s="112"/>
      <c r="QU2" s="112" t="s">
        <v>61</v>
      </c>
      <c r="QV2" s="112"/>
      <c r="QW2" s="112"/>
      <c r="QX2" s="112"/>
      <c r="QY2" s="112" t="s">
        <v>62</v>
      </c>
      <c r="QZ2" s="112"/>
      <c r="RA2" s="112"/>
      <c r="RB2" s="112"/>
      <c r="RC2" s="26" t="s">
        <v>39</v>
      </c>
      <c r="RD2" s="19" t="s">
        <v>68</v>
      </c>
      <c r="RE2" s="19" t="s">
        <v>69</v>
      </c>
      <c r="RF2" s="19" t="s">
        <v>37</v>
      </c>
      <c r="RG2" s="19" t="s">
        <v>36</v>
      </c>
      <c r="RH2" s="19" t="s">
        <v>31</v>
      </c>
    </row>
    <row r="3" spans="1:476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71" t="s">
        <v>28</v>
      </c>
      <c r="AL3" s="71" t="s">
        <v>20</v>
      </c>
      <c r="AM3" s="71" t="s">
        <v>56</v>
      </c>
      <c r="AN3" s="71" t="s">
        <v>57</v>
      </c>
      <c r="AO3" s="71" t="s">
        <v>28</v>
      </c>
      <c r="AP3" s="71" t="s">
        <v>20</v>
      </c>
      <c r="AQ3" s="71" t="s">
        <v>56</v>
      </c>
      <c r="AR3" s="71" t="s">
        <v>57</v>
      </c>
      <c r="AS3" s="91" t="s">
        <v>158</v>
      </c>
      <c r="AT3" s="12"/>
      <c r="AU3" s="11"/>
      <c r="AV3" s="11"/>
      <c r="AW3" s="11"/>
      <c r="AX3" s="12"/>
      <c r="AY3" s="12"/>
      <c r="AZ3" s="67" t="s">
        <v>28</v>
      </c>
      <c r="BA3" s="67" t="s">
        <v>20</v>
      </c>
      <c r="BB3" s="67" t="s">
        <v>56</v>
      </c>
      <c r="BC3" s="67" t="s">
        <v>57</v>
      </c>
      <c r="BD3" s="67" t="s">
        <v>28</v>
      </c>
      <c r="BE3" s="67" t="s">
        <v>20</v>
      </c>
      <c r="BF3" s="67" t="s">
        <v>56</v>
      </c>
      <c r="BG3" s="67" t="s">
        <v>57</v>
      </c>
      <c r="BH3" s="67" t="s">
        <v>28</v>
      </c>
      <c r="BI3" s="67" t="s">
        <v>20</v>
      </c>
      <c r="BJ3" s="67" t="s">
        <v>56</v>
      </c>
      <c r="BK3" s="67" t="s">
        <v>57</v>
      </c>
      <c r="BL3" s="72" t="s">
        <v>28</v>
      </c>
      <c r="BM3" s="72" t="s">
        <v>20</v>
      </c>
      <c r="BN3" s="72" t="s">
        <v>56</v>
      </c>
      <c r="BO3" s="72" t="s">
        <v>57</v>
      </c>
      <c r="BP3" s="72" t="s">
        <v>28</v>
      </c>
      <c r="BQ3" s="72" t="s">
        <v>20</v>
      </c>
      <c r="BR3" s="72" t="s">
        <v>56</v>
      </c>
      <c r="BS3" s="72" t="s">
        <v>57</v>
      </c>
      <c r="BT3" s="72" t="s">
        <v>28</v>
      </c>
      <c r="BU3" s="72" t="s">
        <v>20</v>
      </c>
      <c r="BV3" s="72" t="s">
        <v>56</v>
      </c>
      <c r="BW3" s="72" t="s">
        <v>57</v>
      </c>
      <c r="BX3" s="92" t="s">
        <v>158</v>
      </c>
      <c r="BY3" s="15"/>
      <c r="BZ3" s="14"/>
      <c r="CA3" s="14"/>
      <c r="CB3" s="14"/>
      <c r="CC3" s="15"/>
      <c r="CD3" s="15"/>
      <c r="CE3" s="35" t="s">
        <v>28</v>
      </c>
      <c r="CF3" s="35" t="s">
        <v>20</v>
      </c>
      <c r="CG3" s="35" t="s">
        <v>56</v>
      </c>
      <c r="CH3" s="35" t="s">
        <v>57</v>
      </c>
      <c r="CI3" s="35" t="s">
        <v>28</v>
      </c>
      <c r="CJ3" s="35" t="s">
        <v>20</v>
      </c>
      <c r="CK3" s="35" t="s">
        <v>56</v>
      </c>
      <c r="CL3" s="35" t="s">
        <v>57</v>
      </c>
      <c r="CM3" s="35" t="s">
        <v>28</v>
      </c>
      <c r="CN3" s="35" t="s">
        <v>20</v>
      </c>
      <c r="CO3" s="35" t="s">
        <v>56</v>
      </c>
      <c r="CP3" s="35" t="s">
        <v>57</v>
      </c>
      <c r="CQ3" s="40" t="s">
        <v>28</v>
      </c>
      <c r="CR3" s="40" t="s">
        <v>20</v>
      </c>
      <c r="CS3" s="40" t="s">
        <v>56</v>
      </c>
      <c r="CT3" s="40" t="s">
        <v>57</v>
      </c>
      <c r="CU3" s="40" t="s">
        <v>28</v>
      </c>
      <c r="CV3" s="40" t="s">
        <v>20</v>
      </c>
      <c r="CW3" s="40" t="s">
        <v>56</v>
      </c>
      <c r="CX3" s="40" t="s">
        <v>57</v>
      </c>
      <c r="CY3" s="40" t="s">
        <v>28</v>
      </c>
      <c r="CZ3" s="40" t="s">
        <v>20</v>
      </c>
      <c r="DA3" s="40" t="s">
        <v>56</v>
      </c>
      <c r="DB3" s="40" t="s">
        <v>57</v>
      </c>
      <c r="DC3" s="91" t="s">
        <v>158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28</v>
      </c>
      <c r="DN3" s="68" t="s">
        <v>20</v>
      </c>
      <c r="DO3" s="68" t="s">
        <v>56</v>
      </c>
      <c r="DP3" s="68" t="s">
        <v>57</v>
      </c>
      <c r="DQ3" s="68" t="s">
        <v>28</v>
      </c>
      <c r="DR3" s="68" t="s">
        <v>20</v>
      </c>
      <c r="DS3" s="68" t="s">
        <v>56</v>
      </c>
      <c r="DT3" s="68" t="s">
        <v>57</v>
      </c>
      <c r="DU3" s="68" t="s">
        <v>28</v>
      </c>
      <c r="DV3" s="68" t="s">
        <v>20</v>
      </c>
      <c r="DW3" s="68" t="s">
        <v>56</v>
      </c>
      <c r="DX3" s="68" t="s">
        <v>57</v>
      </c>
      <c r="DY3" s="71" t="s">
        <v>28</v>
      </c>
      <c r="DZ3" s="71" t="s">
        <v>20</v>
      </c>
      <c r="EA3" s="71" t="s">
        <v>56</v>
      </c>
      <c r="EB3" s="71" t="s">
        <v>57</v>
      </c>
      <c r="EC3" s="71" t="s">
        <v>28</v>
      </c>
      <c r="ED3" s="71" t="s">
        <v>20</v>
      </c>
      <c r="EE3" s="71" t="s">
        <v>56</v>
      </c>
      <c r="EF3" s="71" t="s">
        <v>57</v>
      </c>
      <c r="EG3" s="71" t="s">
        <v>28</v>
      </c>
      <c r="EH3" s="71" t="s">
        <v>20</v>
      </c>
      <c r="EI3" s="71" t="s">
        <v>56</v>
      </c>
      <c r="EJ3" s="71" t="s">
        <v>57</v>
      </c>
      <c r="EK3" s="12"/>
      <c r="EL3" s="11"/>
      <c r="EM3" s="11"/>
      <c r="EN3" s="11"/>
      <c r="EO3" s="12"/>
      <c r="EP3" s="12"/>
      <c r="EQ3" s="72" t="s">
        <v>28</v>
      </c>
      <c r="ER3" s="72" t="s">
        <v>20</v>
      </c>
      <c r="ES3" s="72" t="s">
        <v>56</v>
      </c>
      <c r="ET3" s="72" t="s">
        <v>57</v>
      </c>
      <c r="EU3" s="72" t="s">
        <v>28</v>
      </c>
      <c r="EV3" s="72" t="s">
        <v>20</v>
      </c>
      <c r="EW3" s="72" t="s">
        <v>56</v>
      </c>
      <c r="EX3" s="72" t="s">
        <v>57</v>
      </c>
      <c r="EY3" s="72" t="s">
        <v>28</v>
      </c>
      <c r="EZ3" s="72" t="s">
        <v>20</v>
      </c>
      <c r="FA3" s="72" t="s">
        <v>56</v>
      </c>
      <c r="FB3" s="72" t="s">
        <v>57</v>
      </c>
      <c r="FC3" s="72" t="s">
        <v>28</v>
      </c>
      <c r="FD3" s="72" t="s">
        <v>20</v>
      </c>
      <c r="FE3" s="72" t="s">
        <v>56</v>
      </c>
      <c r="FF3" s="72" t="s">
        <v>57</v>
      </c>
      <c r="FG3" s="72" t="s">
        <v>28</v>
      </c>
      <c r="FH3" s="72" t="s">
        <v>20</v>
      </c>
      <c r="FI3" s="72" t="s">
        <v>56</v>
      </c>
      <c r="FJ3" s="72" t="s">
        <v>57</v>
      </c>
      <c r="FK3" s="72" t="s">
        <v>28</v>
      </c>
      <c r="FL3" s="72" t="s">
        <v>20</v>
      </c>
      <c r="FM3" s="72" t="s">
        <v>56</v>
      </c>
      <c r="FN3" s="72" t="s">
        <v>57</v>
      </c>
      <c r="FO3" s="19"/>
      <c r="FP3" s="19"/>
      <c r="FQ3" s="19"/>
      <c r="FR3" s="19"/>
      <c r="FS3" s="19"/>
      <c r="FT3" s="19"/>
      <c r="FU3" s="71" t="s">
        <v>28</v>
      </c>
      <c r="FV3" s="71" t="s">
        <v>20</v>
      </c>
      <c r="FW3" s="71" t="s">
        <v>56</v>
      </c>
      <c r="FX3" s="71" t="s">
        <v>57</v>
      </c>
      <c r="FY3" s="71" t="s">
        <v>28</v>
      </c>
      <c r="FZ3" s="71" t="s">
        <v>20</v>
      </c>
      <c r="GA3" s="71" t="s">
        <v>56</v>
      </c>
      <c r="GB3" s="71" t="s">
        <v>57</v>
      </c>
      <c r="GC3" s="71" t="s">
        <v>28</v>
      </c>
      <c r="GD3" s="71" t="s">
        <v>20</v>
      </c>
      <c r="GE3" s="71" t="s">
        <v>56</v>
      </c>
      <c r="GF3" s="71" t="s">
        <v>57</v>
      </c>
      <c r="GG3" s="71" t="s">
        <v>28</v>
      </c>
      <c r="GH3" s="71" t="s">
        <v>20</v>
      </c>
      <c r="GI3" s="71" t="s">
        <v>56</v>
      </c>
      <c r="GJ3" s="71" t="s">
        <v>57</v>
      </c>
      <c r="GK3" s="71" t="s">
        <v>28</v>
      </c>
      <c r="GL3" s="71" t="s">
        <v>20</v>
      </c>
      <c r="GM3" s="71" t="s">
        <v>56</v>
      </c>
      <c r="GN3" s="71" t="s">
        <v>57</v>
      </c>
      <c r="GO3" s="71" t="s">
        <v>28</v>
      </c>
      <c r="GP3" s="71" t="s">
        <v>20</v>
      </c>
      <c r="GQ3" s="71" t="s">
        <v>56</v>
      </c>
      <c r="GR3" s="71" t="s">
        <v>57</v>
      </c>
      <c r="GS3" s="20"/>
      <c r="GT3" s="20"/>
      <c r="GU3" s="20"/>
      <c r="GV3" s="20"/>
      <c r="GW3" s="20"/>
      <c r="GX3" s="20"/>
      <c r="GY3" s="72" t="s">
        <v>28</v>
      </c>
      <c r="GZ3" s="72" t="s">
        <v>20</v>
      </c>
      <c r="HA3" s="72" t="s">
        <v>56</v>
      </c>
      <c r="HB3" s="72" t="s">
        <v>57</v>
      </c>
      <c r="HC3" s="72" t="s">
        <v>28</v>
      </c>
      <c r="HD3" s="72" t="s">
        <v>20</v>
      </c>
      <c r="HE3" s="72" t="s">
        <v>56</v>
      </c>
      <c r="HF3" s="72" t="s">
        <v>57</v>
      </c>
      <c r="HG3" s="72" t="s">
        <v>28</v>
      </c>
      <c r="HH3" s="72" t="s">
        <v>20</v>
      </c>
      <c r="HI3" s="72" t="s">
        <v>56</v>
      </c>
      <c r="HJ3" s="72" t="s">
        <v>57</v>
      </c>
      <c r="HK3" s="72" t="s">
        <v>28</v>
      </c>
      <c r="HL3" s="72" t="s">
        <v>20</v>
      </c>
      <c r="HM3" s="72" t="s">
        <v>56</v>
      </c>
      <c r="HN3" s="72" t="s">
        <v>57</v>
      </c>
      <c r="HO3" s="72" t="s">
        <v>28</v>
      </c>
      <c r="HP3" s="72" t="s">
        <v>20</v>
      </c>
      <c r="HQ3" s="72" t="s">
        <v>56</v>
      </c>
      <c r="HR3" s="72" t="s">
        <v>57</v>
      </c>
      <c r="HS3" s="72" t="s">
        <v>28</v>
      </c>
      <c r="HT3" s="72" t="s">
        <v>20</v>
      </c>
      <c r="HU3" s="72" t="s">
        <v>56</v>
      </c>
      <c r="HV3" s="72" t="s">
        <v>57</v>
      </c>
      <c r="HW3" s="19"/>
      <c r="HX3" s="19"/>
      <c r="HY3" s="19"/>
      <c r="HZ3" s="19"/>
      <c r="IA3" s="19"/>
      <c r="IB3" s="19"/>
      <c r="IC3" s="40" t="s">
        <v>28</v>
      </c>
      <c r="ID3" s="40" t="s">
        <v>20</v>
      </c>
      <c r="IE3" s="40" t="s">
        <v>56</v>
      </c>
      <c r="IF3" s="40" t="s">
        <v>57</v>
      </c>
      <c r="IG3" s="40" t="s">
        <v>28</v>
      </c>
      <c r="IH3" s="40" t="s">
        <v>20</v>
      </c>
      <c r="II3" s="40" t="s">
        <v>56</v>
      </c>
      <c r="IJ3" s="40" t="s">
        <v>57</v>
      </c>
      <c r="IK3" s="40" t="s">
        <v>28</v>
      </c>
      <c r="IL3" s="40" t="s">
        <v>20</v>
      </c>
      <c r="IM3" s="40" t="s">
        <v>56</v>
      </c>
      <c r="IN3" s="40" t="s">
        <v>57</v>
      </c>
      <c r="IO3" s="40" t="s">
        <v>28</v>
      </c>
      <c r="IP3" s="40" t="s">
        <v>20</v>
      </c>
      <c r="IQ3" s="40" t="s">
        <v>56</v>
      </c>
      <c r="IR3" s="40" t="s">
        <v>57</v>
      </c>
      <c r="IS3" s="40" t="s">
        <v>28</v>
      </c>
      <c r="IT3" s="40" t="s">
        <v>20</v>
      </c>
      <c r="IU3" s="40" t="s">
        <v>56</v>
      </c>
      <c r="IV3" s="40" t="s">
        <v>57</v>
      </c>
      <c r="IW3" s="40" t="s">
        <v>28</v>
      </c>
      <c r="IX3" s="40" t="s">
        <v>20</v>
      </c>
      <c r="IY3" s="40" t="s">
        <v>56</v>
      </c>
      <c r="IZ3" s="40" t="s">
        <v>57</v>
      </c>
      <c r="JA3" s="20"/>
      <c r="JB3" s="20"/>
      <c r="JC3" s="20"/>
      <c r="JD3" s="20"/>
      <c r="JE3" s="20"/>
      <c r="JF3" s="20"/>
      <c r="JG3" s="39" t="s">
        <v>28</v>
      </c>
      <c r="JH3" s="39" t="s">
        <v>20</v>
      </c>
      <c r="JI3" s="39" t="s">
        <v>56</v>
      </c>
      <c r="JJ3" s="39" t="s">
        <v>57</v>
      </c>
      <c r="JK3" s="39" t="s">
        <v>28</v>
      </c>
      <c r="JL3" s="39" t="s">
        <v>20</v>
      </c>
      <c r="JM3" s="39" t="s">
        <v>56</v>
      </c>
      <c r="JN3" s="39" t="s">
        <v>57</v>
      </c>
      <c r="JO3" s="39" t="s">
        <v>28</v>
      </c>
      <c r="JP3" s="39" t="s">
        <v>20</v>
      </c>
      <c r="JQ3" s="39" t="s">
        <v>56</v>
      </c>
      <c r="JR3" s="39" t="s">
        <v>57</v>
      </c>
      <c r="JS3" s="39" t="s">
        <v>28</v>
      </c>
      <c r="JT3" s="39" t="s">
        <v>20</v>
      </c>
      <c r="JU3" s="39" t="s">
        <v>56</v>
      </c>
      <c r="JV3" s="39" t="s">
        <v>57</v>
      </c>
      <c r="JW3" s="39" t="s">
        <v>28</v>
      </c>
      <c r="JX3" s="39" t="s">
        <v>20</v>
      </c>
      <c r="JY3" s="39" t="s">
        <v>56</v>
      </c>
      <c r="JZ3" s="39" t="s">
        <v>57</v>
      </c>
      <c r="KA3" s="39" t="s">
        <v>28</v>
      </c>
      <c r="KB3" s="39" t="s">
        <v>20</v>
      </c>
      <c r="KC3" s="39" t="s">
        <v>56</v>
      </c>
      <c r="KD3" s="39" t="s">
        <v>57</v>
      </c>
      <c r="KE3" s="19"/>
      <c r="KF3" s="19"/>
      <c r="KG3" s="19"/>
      <c r="KH3" s="19"/>
      <c r="KI3" s="19"/>
      <c r="KJ3" s="19"/>
      <c r="KK3" s="40" t="s">
        <v>28</v>
      </c>
      <c r="KL3" s="40" t="s">
        <v>20</v>
      </c>
      <c r="KM3" s="40" t="s">
        <v>56</v>
      </c>
      <c r="KN3" s="40" t="s">
        <v>57</v>
      </c>
      <c r="KO3" s="40" t="s">
        <v>28</v>
      </c>
      <c r="KP3" s="40" t="s">
        <v>20</v>
      </c>
      <c r="KQ3" s="40" t="s">
        <v>56</v>
      </c>
      <c r="KR3" s="40" t="s">
        <v>57</v>
      </c>
      <c r="KS3" s="40" t="s">
        <v>28</v>
      </c>
      <c r="KT3" s="40" t="s">
        <v>20</v>
      </c>
      <c r="KU3" s="40" t="s">
        <v>56</v>
      </c>
      <c r="KV3" s="40" t="s">
        <v>57</v>
      </c>
      <c r="KW3" s="40" t="s">
        <v>28</v>
      </c>
      <c r="KX3" s="40" t="s">
        <v>20</v>
      </c>
      <c r="KY3" s="40" t="s">
        <v>56</v>
      </c>
      <c r="KZ3" s="40" t="s">
        <v>57</v>
      </c>
      <c r="LA3" s="40" t="s">
        <v>28</v>
      </c>
      <c r="LB3" s="40" t="s">
        <v>20</v>
      </c>
      <c r="LC3" s="40" t="s">
        <v>56</v>
      </c>
      <c r="LD3" s="40" t="s">
        <v>57</v>
      </c>
      <c r="LE3" s="40" t="s">
        <v>28</v>
      </c>
      <c r="LF3" s="40" t="s">
        <v>20</v>
      </c>
      <c r="LG3" s="40" t="s">
        <v>56</v>
      </c>
      <c r="LH3" s="40" t="s">
        <v>57</v>
      </c>
      <c r="LI3" s="20"/>
      <c r="LJ3" s="20"/>
      <c r="LK3" s="20"/>
      <c r="LL3" s="20"/>
      <c r="LM3" s="20"/>
      <c r="LN3" s="20"/>
      <c r="LO3" s="39" t="s">
        <v>28</v>
      </c>
      <c r="LP3" s="39" t="s">
        <v>20</v>
      </c>
      <c r="LQ3" s="39" t="s">
        <v>56</v>
      </c>
      <c r="LR3" s="39" t="s">
        <v>57</v>
      </c>
      <c r="LS3" s="39" t="s">
        <v>28</v>
      </c>
      <c r="LT3" s="39" t="s">
        <v>20</v>
      </c>
      <c r="LU3" s="39" t="s">
        <v>56</v>
      </c>
      <c r="LV3" s="39" t="s">
        <v>57</v>
      </c>
      <c r="LW3" s="39" t="s">
        <v>28</v>
      </c>
      <c r="LX3" s="39" t="s">
        <v>20</v>
      </c>
      <c r="LY3" s="39" t="s">
        <v>56</v>
      </c>
      <c r="LZ3" s="39" t="s">
        <v>57</v>
      </c>
      <c r="MA3" s="39" t="s">
        <v>28</v>
      </c>
      <c r="MB3" s="39" t="s">
        <v>20</v>
      </c>
      <c r="MC3" s="39" t="s">
        <v>56</v>
      </c>
      <c r="MD3" s="39" t="s">
        <v>57</v>
      </c>
      <c r="ME3" s="39" t="s">
        <v>28</v>
      </c>
      <c r="MF3" s="39" t="s">
        <v>20</v>
      </c>
      <c r="MG3" s="39" t="s">
        <v>56</v>
      </c>
      <c r="MH3" s="39" t="s">
        <v>57</v>
      </c>
      <c r="MI3" s="39" t="s">
        <v>28</v>
      </c>
      <c r="MJ3" s="39" t="s">
        <v>20</v>
      </c>
      <c r="MK3" s="39" t="s">
        <v>56</v>
      </c>
      <c r="ML3" s="39" t="s">
        <v>57</v>
      </c>
      <c r="MM3" s="19"/>
      <c r="MN3" s="19"/>
      <c r="MO3" s="19"/>
      <c r="MP3" s="19"/>
      <c r="MQ3" s="19"/>
      <c r="MR3" s="19"/>
      <c r="MS3" s="40" t="s">
        <v>28</v>
      </c>
      <c r="MT3" s="40" t="s">
        <v>20</v>
      </c>
      <c r="MU3" s="40" t="s">
        <v>56</v>
      </c>
      <c r="MV3" s="40" t="s">
        <v>57</v>
      </c>
      <c r="MW3" s="40" t="s">
        <v>28</v>
      </c>
      <c r="MX3" s="40" t="s">
        <v>20</v>
      </c>
      <c r="MY3" s="40" t="s">
        <v>56</v>
      </c>
      <c r="MZ3" s="40" t="s">
        <v>57</v>
      </c>
      <c r="NA3" s="40" t="s">
        <v>28</v>
      </c>
      <c r="NB3" s="40" t="s">
        <v>20</v>
      </c>
      <c r="NC3" s="40" t="s">
        <v>56</v>
      </c>
      <c r="ND3" s="40" t="s">
        <v>57</v>
      </c>
      <c r="NE3" s="40" t="s">
        <v>28</v>
      </c>
      <c r="NF3" s="40" t="s">
        <v>20</v>
      </c>
      <c r="NG3" s="40" t="s">
        <v>56</v>
      </c>
      <c r="NH3" s="40" t="s">
        <v>57</v>
      </c>
      <c r="NI3" s="40" t="s">
        <v>28</v>
      </c>
      <c r="NJ3" s="40" t="s">
        <v>20</v>
      </c>
      <c r="NK3" s="40" t="s">
        <v>56</v>
      </c>
      <c r="NL3" s="40" t="s">
        <v>57</v>
      </c>
      <c r="NM3" s="40" t="s">
        <v>28</v>
      </c>
      <c r="NN3" s="40" t="s">
        <v>20</v>
      </c>
      <c r="NO3" s="40" t="s">
        <v>56</v>
      </c>
      <c r="NP3" s="40" t="s">
        <v>57</v>
      </c>
      <c r="NQ3" s="20"/>
      <c r="NR3" s="20"/>
      <c r="NS3" s="20"/>
      <c r="NT3" s="20"/>
      <c r="NU3" s="20"/>
      <c r="NV3" s="20"/>
      <c r="NW3" s="39" t="s">
        <v>28</v>
      </c>
      <c r="NX3" s="39" t="s">
        <v>20</v>
      </c>
      <c r="NY3" s="39" t="s">
        <v>56</v>
      </c>
      <c r="NZ3" s="39" t="s">
        <v>57</v>
      </c>
      <c r="OA3" s="39" t="s">
        <v>28</v>
      </c>
      <c r="OB3" s="39" t="s">
        <v>20</v>
      </c>
      <c r="OC3" s="39" t="s">
        <v>56</v>
      </c>
      <c r="OD3" s="39" t="s">
        <v>57</v>
      </c>
      <c r="OE3" s="39" t="s">
        <v>28</v>
      </c>
      <c r="OF3" s="39" t="s">
        <v>20</v>
      </c>
      <c r="OG3" s="39" t="s">
        <v>56</v>
      </c>
      <c r="OH3" s="39" t="s">
        <v>57</v>
      </c>
      <c r="OI3" s="39" t="s">
        <v>28</v>
      </c>
      <c r="OJ3" s="39" t="s">
        <v>20</v>
      </c>
      <c r="OK3" s="39" t="s">
        <v>56</v>
      </c>
      <c r="OL3" s="39" t="s">
        <v>57</v>
      </c>
      <c r="OM3" s="39" t="s">
        <v>28</v>
      </c>
      <c r="ON3" s="39" t="s">
        <v>20</v>
      </c>
      <c r="OO3" s="39" t="s">
        <v>56</v>
      </c>
      <c r="OP3" s="39" t="s">
        <v>57</v>
      </c>
      <c r="OQ3" s="39" t="s">
        <v>28</v>
      </c>
      <c r="OR3" s="39" t="s">
        <v>20</v>
      </c>
      <c r="OS3" s="39" t="s">
        <v>56</v>
      </c>
      <c r="OT3" s="39" t="s">
        <v>57</v>
      </c>
      <c r="OU3" s="19"/>
      <c r="OV3" s="19"/>
      <c r="OW3" s="19"/>
      <c r="OX3" s="19"/>
      <c r="OY3" s="19"/>
      <c r="OZ3" s="19"/>
      <c r="PA3" s="40" t="s">
        <v>28</v>
      </c>
      <c r="PB3" s="40" t="s">
        <v>20</v>
      </c>
      <c r="PC3" s="40" t="s">
        <v>56</v>
      </c>
      <c r="PD3" s="40" t="s">
        <v>57</v>
      </c>
      <c r="PE3" s="40" t="s">
        <v>28</v>
      </c>
      <c r="PF3" s="40" t="s">
        <v>20</v>
      </c>
      <c r="PG3" s="40" t="s">
        <v>56</v>
      </c>
      <c r="PH3" s="40" t="s">
        <v>57</v>
      </c>
      <c r="PI3" s="40" t="s">
        <v>28</v>
      </c>
      <c r="PJ3" s="40" t="s">
        <v>20</v>
      </c>
      <c r="PK3" s="40" t="s">
        <v>56</v>
      </c>
      <c r="PL3" s="40" t="s">
        <v>57</v>
      </c>
      <c r="PM3" s="40" t="s">
        <v>28</v>
      </c>
      <c r="PN3" s="40" t="s">
        <v>20</v>
      </c>
      <c r="PO3" s="40" t="s">
        <v>56</v>
      </c>
      <c r="PP3" s="40" t="s">
        <v>57</v>
      </c>
      <c r="PQ3" s="40" t="s">
        <v>28</v>
      </c>
      <c r="PR3" s="40" t="s">
        <v>20</v>
      </c>
      <c r="PS3" s="40" t="s">
        <v>56</v>
      </c>
      <c r="PT3" s="40" t="s">
        <v>57</v>
      </c>
      <c r="PU3" s="40" t="s">
        <v>28</v>
      </c>
      <c r="PV3" s="40" t="s">
        <v>20</v>
      </c>
      <c r="PW3" s="40" t="s">
        <v>56</v>
      </c>
      <c r="PX3" s="40" t="s">
        <v>57</v>
      </c>
      <c r="PY3" s="20"/>
      <c r="PZ3" s="20"/>
      <c r="QA3" s="20"/>
      <c r="QB3" s="20"/>
      <c r="QC3" s="20"/>
      <c r="QD3" s="20"/>
      <c r="QE3" s="39" t="s">
        <v>28</v>
      </c>
      <c r="QF3" s="39" t="s">
        <v>20</v>
      </c>
      <c r="QG3" s="39" t="s">
        <v>56</v>
      </c>
      <c r="QH3" s="39" t="s">
        <v>57</v>
      </c>
      <c r="QI3" s="39" t="s">
        <v>28</v>
      </c>
      <c r="QJ3" s="39" t="s">
        <v>20</v>
      </c>
      <c r="QK3" s="39" t="s">
        <v>56</v>
      </c>
      <c r="QL3" s="39" t="s">
        <v>57</v>
      </c>
      <c r="QM3" s="39" t="s">
        <v>28</v>
      </c>
      <c r="QN3" s="39" t="s">
        <v>20</v>
      </c>
      <c r="QO3" s="39" t="s">
        <v>56</v>
      </c>
      <c r="QP3" s="39" t="s">
        <v>57</v>
      </c>
      <c r="QQ3" s="39" t="s">
        <v>28</v>
      </c>
      <c r="QR3" s="39" t="s">
        <v>20</v>
      </c>
      <c r="QS3" s="39" t="s">
        <v>56</v>
      </c>
      <c r="QT3" s="39" t="s">
        <v>57</v>
      </c>
      <c r="QU3" s="39" t="s">
        <v>28</v>
      </c>
      <c r="QV3" s="39" t="s">
        <v>20</v>
      </c>
      <c r="QW3" s="39" t="s">
        <v>56</v>
      </c>
      <c r="QX3" s="39" t="s">
        <v>57</v>
      </c>
      <c r="QY3" s="39" t="s">
        <v>28</v>
      </c>
      <c r="QZ3" s="39" t="s">
        <v>20</v>
      </c>
      <c r="RA3" s="39" t="s">
        <v>56</v>
      </c>
      <c r="RB3" s="39" t="s">
        <v>57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9" t="s">
        <v>70</v>
      </c>
      <c r="C4" s="5" t="s">
        <v>3</v>
      </c>
      <c r="D4" s="6">
        <v>1992</v>
      </c>
      <c r="E4" s="17">
        <f>SUM(J4:R4)</f>
        <v>365.70000000000005</v>
      </c>
      <c r="F4" s="4" t="str">
        <f>IF(OR(AND($AT4&gt;=$AU$16,NOT($AT4=""),$AS4=""),AND($BY4&gt;=$BZ$16,NOT($BY4=""),$BX4=""),AND($DD4&gt;=$DE$16,NOT($DD4=""),$DC4="")),"P","")</f>
        <v>P</v>
      </c>
      <c r="G4" s="4" t="str">
        <f>IF(OR(AND($AT4&gt;=$AU$17,NOT($AT4=""),$AS4=""),AND($BY4&gt;=$BZ$17,NOT($BY4=""),$BX4=""),AND($DD4&gt;=$DE$17,NOT($DD4=""),$DC4="")),"P","")</f>
        <v>P</v>
      </c>
      <c r="H4" s="4" t="str">
        <f>IF(OR(AND($AW4&gt;=$AU$18,NOT($AW4=""),$AS4=""),AND($CB4&gt;=$BZ$18,NOT($CB4=""),$BX4=""),AND($DG4&gt;=$DE$18,NOT($DG4=""),$DC4="")),"P","")</f>
        <v>P</v>
      </c>
      <c r="I4" t="str">
        <f>IF(AND(G4="P",OR(AND($AW4&gt;=$AU$21,NOT($AW4=""),$AS4=""),AND($CB4&gt;=$BZ$21,NOT($CB4=""),$BX4=""),AND($DG4&gt;=$DE$21,NOT($DG4=""),$DC4=""))),"Merit",IF(AND(G4="P",OR(AND($AW4&gt;=$AU$20,NOT($AW4=""),$AS4=""),AND($CB4&gt;=$BZ$20,NOT($CB4=""),$BX4=""),AND($DG4&gt;=$DE$20,NOT($DG4=""),$DC4=""))),"Funding",IF(AND(G4="P",OR(AND($AW4&gt;=$AU$19,NOT($AW4=""),$AS4=""),AND($CB4&gt;=$BZ$19,NOT($CB4=""),$BX4=""),AND($DG4&gt;=$DE$19,NOT($DG4=""),$DC4=""))),"Worlds Team",IF(AND(F4="P",OR(AND($AW4&gt;=$AU$18,NOT($AW4=""),$AS4=""),AND($CB4&gt;=$BZ$18,NOT($CB4=""),$BX4=""),AND($DG4&gt;=$DE$18,NOT($DG4=""),$DC4=""))),"National Team",""))))</f>
        <v>Funding</v>
      </c>
      <c r="J4" s="16">
        <f>MAX(AW4,CB4,DG4)</f>
        <v>146</v>
      </c>
      <c r="K4" s="16" t="str">
        <f>IF(J4=DG4,$CE$1,IF(J4=CB4,$AZ$1,IF(J4=AW4,$U$1,"")))</f>
        <v>2017 3rd Domestic Trial</v>
      </c>
      <c r="L4" s="16">
        <f>IF($J4=$AW4,MAX(BZ4,DE4),IF($J4=$CB4,MAX(AU4,DE4),MAX(AU4,BZ4)))</f>
        <v>72.699999999999989</v>
      </c>
      <c r="M4" s="16" t="str">
        <f>IF(AND(L4=DE4,$K4&lt;&gt;$CE$1),$CE$1,IF(AND(L4=BZ4,$K4&lt;&gt;$AZ$1),$AZ$1,IF(AND(L4=AU4,$K4&lt;&gt;$U$1),$U$1,"")))</f>
        <v>2018 Nationals</v>
      </c>
      <c r="N4" s="16">
        <f>IF($J4=$AW4,MAX(CA4,DF4),IF($J4=$CB4,MAX(AV4,DF4),MAX(AV4,CA4)))</f>
        <v>73.600000000000009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73.400000000000006</v>
      </c>
      <c r="Q4" s="16" t="str">
        <f>IF(P4=DH4,$CE$1,IF(P4=CC4,$AZ$1,IF(P4=AX4,$U$1,"")))</f>
        <v>2018 Nationals</v>
      </c>
      <c r="R4" s="16" t="str">
        <f>IF(MAX(DJ4:DL4)&gt;0,MAX(DJ4:DL4),"")</f>
        <v/>
      </c>
      <c r="S4" s="31" t="str">
        <f>IF(R4="","",IF(R4=DJ4,"(Pass 1-2)",IF(R4=DK4,"(Pass 3-4)",IF(R4=DL4,"(Final)"))))</f>
        <v/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/>
      </c>
      <c r="U4" s="81">
        <v>28.1</v>
      </c>
      <c r="V4" s="81">
        <v>8.1</v>
      </c>
      <c r="W4" s="81">
        <v>0.3</v>
      </c>
      <c r="X4" s="81">
        <v>0</v>
      </c>
      <c r="Y4" s="81">
        <v>28.4</v>
      </c>
      <c r="Z4" s="81">
        <v>8</v>
      </c>
      <c r="AA4" s="81">
        <v>0</v>
      </c>
      <c r="AB4" s="81">
        <v>0</v>
      </c>
      <c r="AC4" s="81">
        <v>28.3</v>
      </c>
      <c r="AD4" s="81">
        <v>9.1999999999999993</v>
      </c>
      <c r="AE4" s="81">
        <v>0.3</v>
      </c>
      <c r="AF4" s="81">
        <v>0</v>
      </c>
      <c r="AG4" s="81">
        <v>28.1</v>
      </c>
      <c r="AH4" s="81">
        <v>8.4</v>
      </c>
      <c r="AI4" s="81">
        <v>0</v>
      </c>
      <c r="AJ4" s="81">
        <v>0</v>
      </c>
      <c r="AK4" s="81">
        <v>28.2</v>
      </c>
      <c r="AL4" s="81">
        <v>8</v>
      </c>
      <c r="AM4" s="81">
        <v>0.9</v>
      </c>
      <c r="AN4" s="81">
        <v>0</v>
      </c>
      <c r="AO4" s="81">
        <v>28.5</v>
      </c>
      <c r="AP4" s="81">
        <v>8.4</v>
      </c>
      <c r="AQ4" s="81">
        <v>0.9</v>
      </c>
      <c r="AR4" s="81">
        <v>0</v>
      </c>
      <c r="AS4" s="93"/>
      <c r="AT4" s="13">
        <f>IF(SUM(V4,Z4,AD4,AH4)&gt;0,SUM(V4,Z4,AD4,AH4),"")</f>
        <v>33.700000000000003</v>
      </c>
      <c r="AU4" s="13">
        <f>IF(SUM(U4:V4,X4:Z4,AB4)-SUM(W4,AA4)&gt;0,SUM(U4:V4,X4:Z4,AB4)-SUM(W4,AA4),"")</f>
        <v>72.3</v>
      </c>
      <c r="AV4" s="13">
        <f>IF(SUM(AC4:AD4,AF4:AH4,AJ4)-SUM(AE4,AI4)&gt;0,SUM(AC4:AD4,AF4:AH4,AJ4)-SUM(AE4,AI4),"")</f>
        <v>73.7</v>
      </c>
      <c r="AW4" s="13">
        <f>IF(SUM(U4:V4,X4:Z4,AB4:AD4,AF4:AH4,AJ4)-SUM(W4,AA4,AE4,AI4)&gt;0,SUM(U4:V4,X4:Z4,AB4:AD4,AF4:AH4,AJ4)-SUM(W4,AA4,AE4,AI4),"")</f>
        <v>146</v>
      </c>
      <c r="AX4" s="13">
        <f>IF(SUM(AK4:AL4,AN4:AP4,AR4)-SUM(AM4,AQ4)&gt;0,SUM(AK4:AL4,AN4:AP4,AR4)-SUM(AM4,AQ4),"")</f>
        <v>71.300000000000011</v>
      </c>
      <c r="AY4" s="13">
        <f>IF(SUM(AW4,AX4)&gt;0,SUM(AW4,AX4),"")</f>
        <v>217.3</v>
      </c>
      <c r="AZ4" s="48">
        <v>28.2</v>
      </c>
      <c r="BA4" s="48">
        <v>8</v>
      </c>
      <c r="BB4" s="48">
        <v>0.9</v>
      </c>
      <c r="BC4" s="48">
        <v>0</v>
      </c>
      <c r="BD4" s="48">
        <v>28.5</v>
      </c>
      <c r="BE4" s="48">
        <v>8</v>
      </c>
      <c r="BF4" s="48">
        <v>0.9</v>
      </c>
      <c r="BG4" s="48">
        <v>0</v>
      </c>
      <c r="BH4" s="48">
        <v>28.2</v>
      </c>
      <c r="BI4" s="48">
        <v>9.3000000000000007</v>
      </c>
      <c r="BJ4" s="48">
        <v>0</v>
      </c>
      <c r="BK4" s="48">
        <v>0</v>
      </c>
      <c r="BL4" s="48">
        <v>27.7</v>
      </c>
      <c r="BM4" s="48">
        <v>8.4</v>
      </c>
      <c r="BN4" s="48">
        <v>0</v>
      </c>
      <c r="BO4" s="48">
        <v>0</v>
      </c>
      <c r="BP4" s="48">
        <v>27.6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</v>
      </c>
      <c r="BW4" s="48">
        <v>0</v>
      </c>
      <c r="BX4" s="94"/>
      <c r="BY4" s="16">
        <f>IF(SUM(BA4,BE4,BI4,BM4)&gt;0,SUM(BA4,BE4,BI4,BM4),"")</f>
        <v>33.700000000000003</v>
      </c>
      <c r="BZ4" s="16">
        <f>IF(SUM(AZ4:BA4,BC4:BE4,BG4)-SUM(BB4,BF4)&gt;0,SUM(AZ4:BA4,BC4:BE4,BG4)-SUM(BB4,BF4),"")</f>
        <v>70.900000000000006</v>
      </c>
      <c r="CA4" s="16">
        <f>IF(SUM(BH4:BI4,BK4:BM4,BO4)-SUM(BJ4,BN4)&gt;0,SUM(BH4:BI4,BK4:BM4,BO4)-SUM(BJ4,BN4),"")</f>
        <v>73.600000000000009</v>
      </c>
      <c r="CB4" s="16">
        <f>IF(SUM(AZ4:BA4,BC4:BE4,BG4:BI4,BK4:BM4,BO4)-SUM(BB4,BF4,BJ4,BN4)&gt;0,SUM(AZ4:BA4,BC4:BE4,BG4:BI4,BK4:BM4,BO4)-SUM(BB4,BF4,BJ4,BN4),"")</f>
        <v>144.5</v>
      </c>
      <c r="CC4" s="16">
        <f>IF(SUM(BP4:BQ4,BS4:BU4,BW4)-SUM(BR4,BV4)&gt;0,SUM(BP4:BQ4,BS4:BU4,BW4)-SUM(BR4,BV4),"")</f>
        <v>73.100000000000009</v>
      </c>
      <c r="CD4" s="16">
        <f>IF(SUM(CB4,CC4)&gt;0,SUM(CB4,CC4),"")</f>
        <v>217.60000000000002</v>
      </c>
      <c r="CE4" s="47">
        <v>28.4</v>
      </c>
      <c r="CF4" s="47">
        <v>8</v>
      </c>
      <c r="CG4" s="47">
        <v>0.9</v>
      </c>
      <c r="CH4" s="47">
        <v>0</v>
      </c>
      <c r="CI4" s="47">
        <v>28.2</v>
      </c>
      <c r="CJ4" s="47">
        <v>9.3000000000000007</v>
      </c>
      <c r="CK4" s="47">
        <v>0.3</v>
      </c>
      <c r="CL4" s="47">
        <v>0</v>
      </c>
      <c r="CM4" s="47">
        <v>28.3</v>
      </c>
      <c r="CN4" s="47">
        <v>8</v>
      </c>
      <c r="CO4" s="47">
        <v>0.9</v>
      </c>
      <c r="CP4" s="47">
        <v>0</v>
      </c>
      <c r="CQ4" s="47">
        <v>28.5</v>
      </c>
      <c r="CR4" s="47">
        <v>8.4</v>
      </c>
      <c r="CS4" s="47">
        <v>0</v>
      </c>
      <c r="CT4" s="47">
        <v>0</v>
      </c>
      <c r="CU4" s="47">
        <v>28.2</v>
      </c>
      <c r="CV4" s="47">
        <v>9.3000000000000007</v>
      </c>
      <c r="CW4" s="47">
        <v>0.9</v>
      </c>
      <c r="CX4" s="47">
        <v>0</v>
      </c>
      <c r="CY4" s="47">
        <v>27.9</v>
      </c>
      <c r="CZ4" s="47">
        <v>9.1999999999999993</v>
      </c>
      <c r="DA4" s="47">
        <v>0.3</v>
      </c>
      <c r="DB4" s="47">
        <v>0</v>
      </c>
      <c r="DC4" s="93"/>
      <c r="DD4" s="13">
        <f>IF(SUM(CF4,CJ4,CN4,CR4)&gt;0,SUM(CF4,CJ4,CN4,CR4),"")</f>
        <v>33.700000000000003</v>
      </c>
      <c r="DE4" s="13">
        <f>IF(SUM(CE4:CF4,CH4:CJ4,CL4)-SUM(CG4,CK4)&gt;0,SUM(CE4:CF4,CH4:CJ4,CL4)-SUM(CG4,CK4),"")</f>
        <v>72.699999999999989</v>
      </c>
      <c r="DF4" s="13">
        <f>IF(SUM(CM4:CN4,CP4:CR4,CT4)-SUM(CO4,CS4)&gt;0,SUM(CM4:CN4,CP4:CR4,CT4)-SUM(CO4,CS4),"")</f>
        <v>72.3</v>
      </c>
      <c r="DG4" s="13">
        <f>IF(SUM(CE4:CF4,CH4:CJ4,CL4:CN4,CP4:CR4,CT4)-SUM(CG4,CK4,CO4,CS4)&gt;0,SUM(CE4:CF4,CH4:CJ4,CL4:CN4,CP4:CR4,CT4)-SUM(CG4,CK4,CO4,CS4),"")</f>
        <v>145</v>
      </c>
      <c r="DH4" s="13">
        <f>IF(SUM(CU4:CV4,CX4:CZ4,DB4)-SUM(CW4,DA4)&gt;0,SUM(CU4:CV4,CX4:CZ4,DB4)-SUM(CW4,DA4),"")</f>
        <v>73.400000000000006</v>
      </c>
      <c r="DI4" s="13">
        <f>IF(SUM(DG4,DH4)&gt;0,SUM(DG4,DH4),"")</f>
        <v>218.4</v>
      </c>
      <c r="DJ4" s="30" t="str">
        <f>IF(MAX(EL4,FP4,GT4,HX4,JB4,KF4,LJ4,MN4,NR4,OV4,PZ4,RD4)-L4&gt;0.001,MAX(EL4,FP4,GT4,HX4,JB4,KF4,LJ4,MN4,NR4,OV4,PZ4,RD4)-L4,"")</f>
        <v/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>IF(SUM(DN4,DR4,DV4,DZ4)&gt;0,SUM(DN4,DR4,DV4,DZ4),"")</f>
        <v/>
      </c>
      <c r="EL4" s="13" t="str">
        <f>IF(SUM(DM4:DN4,DP4:DR4,DT4)-SUM(DO4,DS4)&gt;0,SUM(DM4:DN4,DP4:DR4,DT4)-SUM(DO4,DS4),"")</f>
        <v/>
      </c>
      <c r="EM4" s="13" t="str">
        <f>IF(SUM(DU4:DV4,DX4:DZ4,EB4)-SUM(DW4,EA4)&gt;0,SUM(DU4:DV4,DX4:DZ4,EB4)-SUM(DW4,EA4),"")</f>
        <v/>
      </c>
      <c r="EN4" s="13" t="str">
        <f>IF(SUM(DM4:DN4,DP4:DR4,DT4:DV4,DX4:DZ4,EB4)-SUM(DO4,DS4,DW4,EA4)&gt;0,SUM(DM4:DN4,DP4:DR4,DT4:DV4,DX4:DZ4,EB4)-SUM(DO4,DS4,DW4,EA4),"")</f>
        <v/>
      </c>
      <c r="EO4" s="13" t="str">
        <f>IF(SUM(EC4:ED4,EF4:EH4,EJ4)-SUM(EE4,EI4)&gt;0,SUM(EC4:ED4,EF4:EH4,EJ4)-SUM(EE4,EI4),"")</f>
        <v/>
      </c>
      <c r="EP4" s="13" t="str">
        <f>IF(SUM(EN4,EO4)&gt;0,SUM(EN4,EO4),"")</f>
        <v/>
      </c>
      <c r="EQ4" s="53">
        <v>26.3</v>
      </c>
      <c r="ER4" s="53">
        <v>8.9</v>
      </c>
      <c r="ES4" s="53">
        <v>0.9</v>
      </c>
      <c r="ET4" s="53">
        <v>0</v>
      </c>
      <c r="EU4" s="53">
        <v>26.8</v>
      </c>
      <c r="EV4" s="53">
        <v>10</v>
      </c>
      <c r="EW4" s="53">
        <v>0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>IF(SUM(ER4,EV4,EZ4,FD4)&gt;0,SUM(ER4,EV4,EZ4,FD4),"")</f>
        <v>18.899999999999999</v>
      </c>
      <c r="FP4" s="16">
        <f>IF(SUM(EQ4:ER4,ET4:EV4,EX4)-SUM(ES4,EW4)&gt;0,SUM(EQ4:ER4,ET4:EV4,EX4)-SUM(ES4,EW4),"")</f>
        <v>71.099999999999994</v>
      </c>
      <c r="FQ4" s="16" t="str">
        <f>IF(SUM(EY4:EZ4,FB4:FD4,FF4)-SUM(FA4,FE4)&gt;0,SUM(EY4:EZ4,FB4:FD4,FF4)-SUM(FA4,FE4),"")</f>
        <v/>
      </c>
      <c r="FR4" s="16">
        <f>IF(SUM(EQ4:ER4,ET4:EV4,EX4:EZ4,FB4:FD4,FF4)-SUM(ES4,EW4,FA4,FE4)&gt;0,SUM(EQ4:ER4,ET4:EV4,EX4:EZ4,FB4:FD4,FF4)-SUM(ES4,EW4,FA4,FE4),"")</f>
        <v>71.099999999999994</v>
      </c>
      <c r="FS4" s="16" t="str">
        <f>IF(SUM(FG4:FH4,FJ4:FL4,FN4)-SUM(FI4,FM4)&gt;0,SUM(FG4:FH4,FJ4:FL4,FN4)-SUM(FI4,FM4),"")</f>
        <v/>
      </c>
      <c r="FT4" s="16">
        <f>IF(SUM(FR4,FS4)&gt;0,SUM(FR4,FS4),"")</f>
        <v>71.099999999999994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 t="str">
        <f>IF(SUM(GK4:GL4,GN4:GP4,GR4)-SUM(GM4,GQ4)&gt;0,SUM(GK4:GL4,GN4:GP4,GR4)-SUM(GM4,GQ4),"")</f>
        <v/>
      </c>
      <c r="GX4" s="13" t="str">
        <f>IF(SUM(GV4,GW4)&gt;0,SUM(GV4,GW4),"")</f>
        <v/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>IF(SUM(GZ4,HD4,HH4,HL4)&gt;0,SUM(GZ4,HD4,HH4,HL4),"")</f>
        <v/>
      </c>
      <c r="HX4" s="16" t="str">
        <f>IF(SUM(GY4:GZ4,HB4:HD4,HF4)-SUM(HA4,HE4)&gt;0,SUM(GY4:GZ4,HB4:HD4,HF4)-SUM(HA4,HE4),"")</f>
        <v/>
      </c>
      <c r="HY4" s="16" t="str">
        <f>IF(SUM(HG4:HH4,HJ4:HL4,HN4)-SUM(HI4,HM4)&gt;0,SUM(HG4:HH4,HJ4:HL4,HN4)-SUM(HI4,HM4),"")</f>
        <v/>
      </c>
      <c r="HZ4" s="16" t="str">
        <f>IF(SUM(GY4:GZ4,HB4:HD4,HF4:HH4,HJ4:HL4,HN4)-SUM(HA4,HE4,HI4,HM4)&gt;0,SUM(GY4:GZ4,HB4:HD4,HF4:HH4,HJ4:HL4,HN4)-SUM(HA4,HE4,HI4,HM4),"")</f>
        <v/>
      </c>
      <c r="IA4" s="16" t="str">
        <f>IF(SUM(HO4:HP4,HR4:HT4,HV4)-SUM(HQ4,HU4)&gt;0,SUM(HO4:HP4,HR4:HT4,HV4)-SUM(HQ4,HU4),"")</f>
        <v/>
      </c>
      <c r="IB4" s="16" t="str">
        <f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13</v>
      </c>
      <c r="C5" s="5" t="s">
        <v>5</v>
      </c>
      <c r="D5" s="6">
        <v>1994</v>
      </c>
      <c r="E5" s="17">
        <f>SUM(J5:R5)</f>
        <v>347.69999999999993</v>
      </c>
      <c r="F5" s="4" t="str">
        <f>IF(OR(AND($AT5&gt;=$AU$16,NOT($AT5=""),$AS5=""),AND($BY5&gt;=$BZ$16,NOT($BY5=""),$BX5=""),AND($DD5&gt;=$DE$16,NOT($DD5=""),$DC5="")),"P","")</f>
        <v>P</v>
      </c>
      <c r="G5" s="4" t="str">
        <f>IF(OR(AND($AT5&gt;=$AU$17,NOT($AT5=""),$AS5=""),AND($BY5&gt;=$BZ$17,NOT($BY5=""),$BX5=""),AND($DD5&gt;=$DE$17,NOT($DD5=""),$DC5="")),"P","")</f>
        <v>P</v>
      </c>
      <c r="H5" s="4" t="str">
        <f>IF(OR(AND($AW5&gt;=$AU$18,NOT($AW5=""),$AS5=""),AND($CB5&gt;=$BZ$18,NOT($CB5=""),$BX5=""),AND($DG5&gt;=$DE$18,NOT($DG5=""),$DC5="")),"P","")</f>
        <v>P</v>
      </c>
      <c r="I5" t="str">
        <f>IF(AND(G5="P",OR(AND($AW5&gt;=$AU$21,NOT($AW5=""),$AS5=""),AND($CB5&gt;=$BZ$21,NOT($CB5=""),$BX5=""),AND($DG5&gt;=$DE$21,NOT($DG5=""),$DC5=""))),"Merit",IF(AND(G5="P",OR(AND($AW5&gt;=$AU$20,NOT($AW5=""),$AS5=""),AND($CB5&gt;=$BZ$20,NOT($CB5=""),$BX5=""),AND($DG5&gt;=$DE$20,NOT($DG5=""),$DC5=""))),"Funding",IF(AND(G5="P",OR(AND($AW5&gt;=$AU$19,NOT($AW5=""),$AS5=""),AND($CB5&gt;=$BZ$19,NOT($CB5=""),$BX5=""),AND($DG5&gt;=$DE$19,NOT($DG5=""),$DC5=""))),"Worlds Team",IF(AND(F5="P",OR(AND($AW5&gt;=$AU$18,NOT($AW5=""),$AS5=""),AND($CB5&gt;=$BZ$18,NOT($CB5=""),$BX5=""),AND($DG5&gt;=$DE$18,NOT($DG5=""),$DC5=""))),"National Team",""))))</f>
        <v>Worlds Team</v>
      </c>
      <c r="J5" s="16">
        <f>MAX(AW5,CB5,DG5)</f>
        <v>140.59999999999997</v>
      </c>
      <c r="K5" s="16" t="str">
        <f>IF(J5=DG5,$CE$1,IF(J5=CB5,$AZ$1,IF(J5=AW5,$U$1,"")))</f>
        <v>2018 Canada Cup</v>
      </c>
      <c r="L5" s="16">
        <f>IF($J5=$AW5,MAX(BZ5,DE5),IF($J5=$CB5,MAX(AU5,DE5),MAX(AU5,BZ5)))</f>
        <v>67.5</v>
      </c>
      <c r="M5" s="16" t="str">
        <f>IF(AND(L5=DE5,$K5&lt;&gt;$CE$1),$CE$1,IF(AND(L5=BZ5,$K5&lt;&gt;$AZ$1),$AZ$1,IF(AND(L5=AU5,$K5&lt;&gt;$U$1),$U$1,"")))</f>
        <v>2017 3rd Domestic Trial</v>
      </c>
      <c r="N5" s="16">
        <f>IF($J5=$AW5,MAX(CA5,DF5),IF($J5=$CB5,MAX(AV5,DF5),MAX(AV5,CA5)))</f>
        <v>71.599999999999994</v>
      </c>
      <c r="O5" s="16" t="str">
        <f>IF(AND(N5=DF5,$K5&lt;&gt;$CE$1),$CE$1,IF(AND(N5=CA5,$K5&lt;&gt;$AZ$1),$AZ$1,IF(AND(N5=AV5,$K5&lt;&gt;$U$1),$U$1,"")))</f>
        <v>2017 3rd Domestic Trial</v>
      </c>
      <c r="P5" s="16">
        <f>MAX(AX5,CC5,DH5)</f>
        <v>67</v>
      </c>
      <c r="Q5" s="16" t="str">
        <f>IF(P5=DH5,$CE$1,IF(P5=CC5,$AZ$1,IF(P5=AX5,$U$1,"")))</f>
        <v>2018 Canada Cup</v>
      </c>
      <c r="R5" s="16">
        <f>IF(MAX(DJ5:DL5)&gt;0,MAX(DJ5:DL5),"")</f>
        <v>1</v>
      </c>
      <c r="S5" s="31" t="str">
        <f>IF(R5="","",IF(R5=DJ5,"(Pass 1-2)",IF(R5=DK5,"(Pass 3-4)",IF(R5=DL5,"(Final)"))))</f>
        <v>(Pass 1-2)</v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>Ciudad de Valladolid (Oct)</v>
      </c>
      <c r="U5" s="81">
        <v>26.6</v>
      </c>
      <c r="V5" s="81">
        <v>7.3</v>
      </c>
      <c r="W5" s="81">
        <v>0.3</v>
      </c>
      <c r="X5" s="81">
        <v>0</v>
      </c>
      <c r="Y5" s="81">
        <v>27.6</v>
      </c>
      <c r="Z5" s="81">
        <v>7.2</v>
      </c>
      <c r="AA5" s="81">
        <v>0.9</v>
      </c>
      <c r="AB5" s="81">
        <v>0</v>
      </c>
      <c r="AC5" s="81">
        <v>28.4</v>
      </c>
      <c r="AD5" s="81">
        <v>7.6</v>
      </c>
      <c r="AE5" s="81">
        <v>0</v>
      </c>
      <c r="AF5" s="81">
        <v>0</v>
      </c>
      <c r="AG5" s="81">
        <v>28</v>
      </c>
      <c r="AH5" s="81">
        <v>7.6</v>
      </c>
      <c r="AI5" s="81">
        <v>0</v>
      </c>
      <c r="AJ5" s="81">
        <v>0</v>
      </c>
      <c r="AK5" s="81">
        <v>28.4</v>
      </c>
      <c r="AL5" s="81">
        <v>4.5</v>
      </c>
      <c r="AM5" s="81">
        <v>3.9</v>
      </c>
      <c r="AN5" s="81">
        <v>0</v>
      </c>
      <c r="AO5" s="81">
        <v>27.6</v>
      </c>
      <c r="AP5" s="81">
        <v>6.8</v>
      </c>
      <c r="AQ5" s="81">
        <v>0</v>
      </c>
      <c r="AR5" s="81">
        <v>0</v>
      </c>
      <c r="AS5" s="93"/>
      <c r="AT5" s="13">
        <f>IF(SUM(V5,Z5,AD5,AH5)&gt;0,SUM(V5,Z5,AD5,AH5),"")</f>
        <v>29.700000000000003</v>
      </c>
      <c r="AU5" s="13">
        <f>IF(SUM(U5:V5,X5:Z5,AB5)-SUM(W5,AA5)&gt;0,SUM(U5:V5,X5:Z5,AB5)-SUM(W5,AA5),"")</f>
        <v>67.5</v>
      </c>
      <c r="AV5" s="13">
        <f>IF(SUM(AC5:AD5,AF5:AH5,AJ5)-SUM(AE5,AI5)&gt;0,SUM(AC5:AD5,AF5:AH5,AJ5)-SUM(AE5,AI5),"")</f>
        <v>71.599999999999994</v>
      </c>
      <c r="AW5" s="13">
        <f>IF(SUM(U5:V5,X5:Z5,AB5:AD5,AF5:AH5,AJ5)-SUM(W5,AA5,AE5,AI5)&gt;0,SUM(U5:V5,X5:Z5,AB5:AD5,AF5:AH5,AJ5)-SUM(W5,AA5,AE5,AI5),"")</f>
        <v>139.1</v>
      </c>
      <c r="AX5" s="13">
        <f>IF(SUM(AK5:AL5,AN5:AP5,AR5)-SUM(AM5,AQ5)&gt;0,SUM(AK5:AL5,AN5:AP5,AR5)-SUM(AM5,AQ5),"")</f>
        <v>63.4</v>
      </c>
      <c r="AY5" s="13">
        <f>IF(SUM(AW5,AX5)&gt;0,SUM(AW5,AX5),"")</f>
        <v>202.5</v>
      </c>
      <c r="AZ5" s="48">
        <v>28.1</v>
      </c>
      <c r="BA5" s="48">
        <v>7.3</v>
      </c>
      <c r="BB5" s="48">
        <v>0</v>
      </c>
      <c r="BC5" s="48">
        <v>0</v>
      </c>
      <c r="BD5" s="48">
        <v>27.3</v>
      </c>
      <c r="BE5" s="48">
        <v>7.6</v>
      </c>
      <c r="BF5" s="48">
        <v>0.3</v>
      </c>
      <c r="BG5" s="48">
        <v>0</v>
      </c>
      <c r="BH5" s="48">
        <v>28.3</v>
      </c>
      <c r="BI5" s="48">
        <v>7.6</v>
      </c>
      <c r="BJ5" s="48">
        <v>0.3</v>
      </c>
      <c r="BK5" s="48">
        <v>0</v>
      </c>
      <c r="BL5" s="48">
        <v>27.7</v>
      </c>
      <c r="BM5" s="48">
        <v>7.6</v>
      </c>
      <c r="BN5" s="48">
        <v>0.3</v>
      </c>
      <c r="BO5" s="48">
        <v>0</v>
      </c>
      <c r="BP5" s="48">
        <v>28.2</v>
      </c>
      <c r="BQ5" s="48">
        <v>7.2</v>
      </c>
      <c r="BR5" s="48">
        <v>1.2</v>
      </c>
      <c r="BS5" s="48">
        <v>0</v>
      </c>
      <c r="BT5" s="48">
        <v>28</v>
      </c>
      <c r="BU5" s="48">
        <v>6</v>
      </c>
      <c r="BV5" s="48">
        <v>1.2</v>
      </c>
      <c r="BW5" s="48">
        <v>0</v>
      </c>
      <c r="BX5" s="94"/>
      <c r="BY5" s="16">
        <f>IF(SUM(BA5,BE5,BI5,BM5)&gt;0,SUM(BA5,BE5,BI5,BM5),"")</f>
        <v>30.1</v>
      </c>
      <c r="BZ5" s="16">
        <f>IF(SUM(AZ5:BA5,BC5:BE5,BG5)-SUM(BB5,BF5)&gt;0,SUM(AZ5:BA5,BC5:BE5,BG5)-SUM(BB5,BF5),"")</f>
        <v>70</v>
      </c>
      <c r="CA5" s="16">
        <f>IF(SUM(BH5:BI5,BK5:BM5,BO5)-SUM(BJ5,BN5)&gt;0,SUM(BH5:BI5,BK5:BM5,BO5)-SUM(BJ5,BN5),"")</f>
        <v>70.599999999999994</v>
      </c>
      <c r="CB5" s="16">
        <f>IF(SUM(AZ5:BA5,BC5:BE5,BG5:BI5,BK5:BM5,BO5)-SUM(BB5,BF5,BJ5,BN5)&gt;0,SUM(AZ5:BA5,BC5:BE5,BG5:BI5,BK5:BM5,BO5)-SUM(BB5,BF5,BJ5,BN5),"")</f>
        <v>140.59999999999997</v>
      </c>
      <c r="CC5" s="16">
        <f>IF(SUM(BP5:BQ5,BS5:BU5,BW5)-SUM(BR5,BV5)&gt;0,SUM(BP5:BQ5,BS5:BU5,BW5)-SUM(BR5,BV5),"")</f>
        <v>67</v>
      </c>
      <c r="CD5" s="16">
        <f>IF(SUM(CB5,CC5)&gt;0,SUM(CB5,CC5),"")</f>
        <v>207.59999999999997</v>
      </c>
      <c r="CE5" s="47">
        <v>28.1</v>
      </c>
      <c r="CF5" s="47">
        <v>7.3</v>
      </c>
      <c r="CG5" s="47">
        <v>0</v>
      </c>
      <c r="CH5" s="47">
        <v>0</v>
      </c>
      <c r="CI5" s="47">
        <v>20</v>
      </c>
      <c r="CJ5" s="47">
        <v>3.6</v>
      </c>
      <c r="CK5" s="47">
        <v>0</v>
      </c>
      <c r="CL5" s="47">
        <v>0</v>
      </c>
      <c r="CM5" s="47">
        <v>28.4</v>
      </c>
      <c r="CN5" s="47">
        <v>7.6</v>
      </c>
      <c r="CO5" s="47">
        <v>0</v>
      </c>
      <c r="CP5" s="47">
        <v>0</v>
      </c>
      <c r="CQ5" s="47">
        <v>27.5</v>
      </c>
      <c r="CR5" s="47">
        <v>6.8</v>
      </c>
      <c r="CS5" s="47">
        <v>0.9</v>
      </c>
      <c r="CT5" s="47">
        <v>0</v>
      </c>
      <c r="CU5" s="47">
        <v>0</v>
      </c>
      <c r="CV5" s="47">
        <v>0</v>
      </c>
      <c r="CW5" s="47">
        <v>0</v>
      </c>
      <c r="CX5" s="47">
        <v>0</v>
      </c>
      <c r="CY5" s="47">
        <v>28.8</v>
      </c>
      <c r="CZ5" s="47">
        <v>7.6</v>
      </c>
      <c r="DA5" s="47">
        <v>0</v>
      </c>
      <c r="DB5" s="47">
        <v>0</v>
      </c>
      <c r="DC5" s="93"/>
      <c r="DD5" s="13">
        <f>IF(SUM(CF5,CJ5,CN5,CR5)&gt;0,SUM(CF5,CJ5,CN5,CR5),"")</f>
        <v>25.3</v>
      </c>
      <c r="DE5" s="13">
        <f>IF(SUM(CE5:CF5,CH5:CJ5,CL5)-SUM(CG5,CK5)&gt;0,SUM(CE5:CF5,CH5:CJ5,CL5)-SUM(CG5,CK5),"")</f>
        <v>59</v>
      </c>
      <c r="DF5" s="13">
        <f>IF(SUM(CM5:CN5,CP5:CR5,CT5)-SUM(CO5,CS5)&gt;0,SUM(CM5:CN5,CP5:CR5,CT5)-SUM(CO5,CS5),"")</f>
        <v>69.399999999999991</v>
      </c>
      <c r="DG5" s="13">
        <f>IF(SUM(CE5:CF5,CH5:CJ5,CL5:CN5,CP5:CR5,CT5)-SUM(CG5,CK5,CO5,CS5)&gt;0,SUM(CE5:CF5,CH5:CJ5,CL5:CN5,CP5:CR5,CT5)-SUM(CG5,CK5,CO5,CS5),"")</f>
        <v>128.4</v>
      </c>
      <c r="DH5" s="13">
        <f>IF(SUM(CU5:CV5,CX5:CZ5,DB5)-SUM(CW5,DA5)&gt;0,SUM(CU5:CV5,CX5:CZ5,DB5)-SUM(CW5,DA5),"")</f>
        <v>36.4</v>
      </c>
      <c r="DI5" s="13">
        <f>IF(SUM(DG5,DH5)&gt;0,SUM(DG5,DH5),"")</f>
        <v>164.8</v>
      </c>
      <c r="DJ5" s="30">
        <f>IF(MAX(EL5,FP5,GT5,HX5,JB5,KF5,LJ5,MN5,NR5,OV5,PZ5,RD5)-L5&gt;0.001,MAX(EL5,FP5,GT5,HX5,JB5,KF5,LJ5,MN5,NR5,OV5,PZ5,RD5)-L5,"")</f>
        <v>1</v>
      </c>
      <c r="DK5" s="30" t="str">
        <f>IF(MAX(EM5,FQ5,GU5,HY5,JC5,KG5,LK5,MO5,NS5,OW5,QA5,RE5)-N5&gt;0.001,MAX(EM5,FQ5,GU5,HY5,JC5,KG5,LK5,MO5,NS5,OW5,QA5,RE5)-N5,"")</f>
        <v/>
      </c>
      <c r="DL5" s="30" t="str">
        <f>IF(MAX(EO5,FS5,GW5,IA5,JE5,KI5,LM5,MQ5,OY5,QC5,RG5)-P5&gt;0.001,MAX(EO5,FS5,GW5,IA5,JE5,KI5,LM5,MQ5,OY5,QC5,RG5)-P5,"")</f>
        <v/>
      </c>
      <c r="DM5" s="54">
        <v>27.3</v>
      </c>
      <c r="DN5" s="54">
        <v>6</v>
      </c>
      <c r="DO5" s="54">
        <v>0</v>
      </c>
      <c r="DP5" s="54">
        <v>0</v>
      </c>
      <c r="DQ5" s="54">
        <v>27.6</v>
      </c>
      <c r="DR5" s="54">
        <v>7.6</v>
      </c>
      <c r="DS5" s="54">
        <v>0</v>
      </c>
      <c r="DT5" s="54">
        <v>0</v>
      </c>
      <c r="DU5" s="54"/>
      <c r="DV5" s="54"/>
      <c r="DW5" s="54"/>
      <c r="DX5" s="54"/>
      <c r="DY5" s="54"/>
      <c r="DZ5" s="54"/>
      <c r="EA5" s="54"/>
      <c r="EB5" s="54"/>
      <c r="EC5" s="54">
        <v>28</v>
      </c>
      <c r="ED5" s="54">
        <v>7.2</v>
      </c>
      <c r="EE5" s="54">
        <v>0.9</v>
      </c>
      <c r="EF5" s="54">
        <v>0</v>
      </c>
      <c r="EG5" s="54">
        <v>27.6</v>
      </c>
      <c r="EH5" s="54">
        <v>3.7</v>
      </c>
      <c r="EI5" s="54">
        <v>0</v>
      </c>
      <c r="EJ5" s="54">
        <v>0</v>
      </c>
      <c r="EK5" s="13">
        <f>IF(SUM(DN5,DR5,DV5,DZ5)&gt;0,SUM(DN5,DR5,DV5,DZ5),"")</f>
        <v>13.6</v>
      </c>
      <c r="EL5" s="13">
        <f>IF(SUM(DM5:DN5,DP5:DR5,DT5)-SUM(DO5,DS5)&gt;0,SUM(DM5:DN5,DP5:DR5,DT5)-SUM(DO5,DS5),"")</f>
        <v>68.5</v>
      </c>
      <c r="EM5" s="13" t="str">
        <f>IF(SUM(DU5:DV5,DX5:DZ5,EB5)-SUM(DW5,EA5)&gt;0,SUM(DU5:DV5,DX5:DZ5,EB5)-SUM(DW5,EA5),"")</f>
        <v/>
      </c>
      <c r="EN5" s="13">
        <f>IF(SUM(DM5:DN5,DP5:DR5,DT5:DV5,DX5:DZ5,EB5)-SUM(DO5,DS5,DW5,EA5)&gt;0,SUM(DM5:DN5,DP5:DR5,DT5:DV5,DX5:DZ5,EB5)-SUM(DO5,DS5,DW5,EA5),"")</f>
        <v>68.5</v>
      </c>
      <c r="EO5" s="13">
        <f>IF(SUM(EC5:ED5,EF5:EH5,EJ5)-SUM(EE5,EI5)&gt;0,SUM(EC5:ED5,EF5:EH5,EJ5)-SUM(EE5,EI5),"")</f>
        <v>65.599999999999994</v>
      </c>
      <c r="EP5" s="13">
        <f>IF(SUM(EN5,EO5)&gt;0,SUM(EN5,EO5),"")</f>
        <v>134.1</v>
      </c>
      <c r="EQ5" s="53">
        <v>27.6</v>
      </c>
      <c r="ER5" s="53">
        <v>7.6</v>
      </c>
      <c r="ES5" s="53">
        <v>0.3</v>
      </c>
      <c r="ET5" s="53">
        <v>0</v>
      </c>
      <c r="EU5" s="53">
        <v>26.8</v>
      </c>
      <c r="EV5" s="53">
        <v>6.8</v>
      </c>
      <c r="EW5" s="53">
        <v>0.9</v>
      </c>
      <c r="EX5" s="53">
        <v>0</v>
      </c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>
        <f>IF(SUM(ER5,EV5,EZ5,FD5)&gt;0,SUM(ER5,EV5,EZ5,FD5),"")</f>
        <v>14.399999999999999</v>
      </c>
      <c r="FP5" s="16">
        <f>IF(SUM(EQ5:ER5,ET5:EV5,EX5)-SUM(ES5,EW5)&gt;0,SUM(EQ5:ER5,ET5:EV5,EX5)-SUM(ES5,EW5),"")</f>
        <v>67.599999999999994</v>
      </c>
      <c r="FQ5" s="16" t="str">
        <f>IF(SUM(EY5:EZ5,FB5:FD5,FF5)-SUM(FA5,FE5)&gt;0,SUM(EY5:EZ5,FB5:FD5,FF5)-SUM(FA5,FE5),"")</f>
        <v/>
      </c>
      <c r="FR5" s="16">
        <f>IF(SUM(EQ5:ER5,ET5:EV5,EX5:EZ5,FB5:FD5,FF5)-SUM(ES5,EW5,FA5,FE5)&gt;0,SUM(EQ5:ER5,ET5:EV5,EX5:EZ5,FB5:FD5,FF5)-SUM(ES5,EW5,FA5,FE5),"")</f>
        <v>67.599999999999994</v>
      </c>
      <c r="FS5" s="16" t="str">
        <f>IF(SUM(FG5:FH5,FJ5:FL5,FN5)-SUM(FI5,FM5)&gt;0,SUM(FG5:FH5,FJ5:FL5,FN5)-SUM(FI5,FM5),"")</f>
        <v/>
      </c>
      <c r="FT5" s="16">
        <f>IF(SUM(FR5,FS5)&gt;0,SUM(FR5,FS5),"")</f>
        <v>67.599999999999994</v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>IF(SUM(FV5,FZ5,GD5,GH5)&gt;0,SUM(FV5,FZ5,GD5,GH5),"")</f>
        <v/>
      </c>
      <c r="GT5" s="13" t="str">
        <f>IF(SUM(FU5:FV5,FX5:FZ5,GB5)-SUM(FW5,GA5)&gt;0,SUM(FU5:FV5,FX5:FZ5,GB5)-SUM(FW5,GA5),"")</f>
        <v/>
      </c>
      <c r="GU5" s="13" t="str">
        <f>IF(SUM(GC5:GD5,GF5:GH5,GJ5)-SUM(GE5,GI5)&gt;0,SUM(GC5:GD5,GF5:GH5,GJ5)-SUM(GE5,GI5),"")</f>
        <v/>
      </c>
      <c r="GV5" s="13" t="str">
        <f>IF(SUM(FU5:FV5,FX5:FZ5,GB5:GD5,GF5:GH5,GJ5)-SUM(FW5,GA5,GE5,GI5)&gt;0,SUM(FU5:FV5,FX5:FZ5,GB5:GD5,GF5:GH5,GJ5)-SUM(FW5,GA5,GE5,GI5),"")</f>
        <v/>
      </c>
      <c r="GW5" s="13" t="str">
        <f>IF(SUM(GK5:GL5,GN5:GP5,GR5)-SUM(GM5,GQ5)&gt;0,SUM(GK5:GL5,GN5:GP5,GR5)-SUM(GM5,GQ5),"")</f>
        <v/>
      </c>
      <c r="GX5" s="13" t="str">
        <f>IF(SUM(GV5,GW5)&gt;0,SUM(GV5,GW5),"")</f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>IF(SUM(GZ5,HD5,HH5,HL5)&gt;0,SUM(GZ5,HD5,HH5,HL5),"")</f>
        <v/>
      </c>
      <c r="HX5" s="16" t="str">
        <f>IF(SUM(GY5:GZ5,HB5:HD5,HF5)-SUM(HA5,HE5)&gt;0,SUM(GY5:GZ5,HB5:HD5,HF5)-SUM(HA5,HE5),"")</f>
        <v/>
      </c>
      <c r="HY5" s="16" t="str">
        <f>IF(SUM(HG5:HH5,HJ5:HL5,HN5)-SUM(HI5,HM5)&gt;0,SUM(HG5:HH5,HJ5:HL5,HN5)-SUM(HI5,HM5),"")</f>
        <v/>
      </c>
      <c r="HZ5" s="16" t="str">
        <f>IF(SUM(GY5:GZ5,HB5:HD5,HF5:HH5,HJ5:HL5,HN5)-SUM(HA5,HE5,HI5,HM5)&gt;0,SUM(GY5:GZ5,HB5:HD5,HF5:HH5,HJ5:HL5,HN5)-SUM(HA5,HE5,HI5,HM5),"")</f>
        <v/>
      </c>
      <c r="IA5" s="16" t="str">
        <f>IF(SUM(HO5:HP5,HR5:HT5,HV5)-SUM(HQ5,HU5)&gt;0,SUM(HO5:HP5,HR5:HT5,HV5)-SUM(HQ5,HU5),"")</f>
        <v/>
      </c>
      <c r="IB5" s="16" t="str">
        <f>IF(SUM(HZ5,IA5)&gt;0,SUM(HZ5,IA5),"")</f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 t="str">
        <f>IF(SUM(IS5:IT5,IV5:IX5,IZ5)-SUM(IU5,IY5)&gt;0,SUM(IS5:IT5,IV5:IX5,IZ5)-SUM(IU5,IY5),"")</f>
        <v/>
      </c>
      <c r="JF5" s="13" t="str">
        <f>IF(SUM(JD5,JE5)&gt;0,SUM(JD5,JE5),"")</f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75</v>
      </c>
      <c r="C6" s="5" t="s">
        <v>5</v>
      </c>
      <c r="D6" s="6">
        <v>1993</v>
      </c>
      <c r="E6" s="17">
        <f>SUM(J6:R6)</f>
        <v>345.3</v>
      </c>
      <c r="F6" s="4" t="str">
        <f>IF(OR(AND($AT6&gt;=$AU$16,NOT($AT6=""),$AS6=""),AND($BY6&gt;=$BZ$16,NOT($BY6=""),$BX6=""),AND($DD6&gt;=$DE$16,NOT($DD6=""),$DC6="")),"P","")</f>
        <v>P</v>
      </c>
      <c r="G6" s="4" t="str">
        <f>IF(OR(AND($AT6&gt;=$AU$17,NOT($AT6=""),$AS6=""),AND($BY6&gt;=$BZ$17,NOT($BY6=""),$BX6=""),AND($DD6&gt;=$DE$17,NOT($DD6=""),$DC6="")),"P","")</f>
        <v>P</v>
      </c>
      <c r="H6" s="4" t="str">
        <f>IF(OR(AND($AW6&gt;=$AU$18,NOT($AW6=""),$AS6=""),AND($CB6&gt;=$BZ$18,NOT($CB6=""),$BX6=""),AND($DG6&gt;=$DE$18,NOT($DG6=""),$DC6="")),"P","")</f>
        <v>P</v>
      </c>
      <c r="I6" t="str">
        <f>IF(AND(G6="P",OR(AND($AW6&gt;=$AU$21,NOT($AW6=""),$AS6=""),AND($CB6&gt;=$BZ$21,NOT($CB6=""),$BX6=""),AND($DG6&gt;=$DE$21,NOT($DG6=""),$DC6=""))),"Merit",IF(AND(G6="P",OR(AND($AW6&gt;=$AU$20,NOT($AW6=""),$AS6=""),AND($CB6&gt;=$BZ$20,NOT($CB6=""),$BX6=""),AND($DG6&gt;=$DE$20,NOT($DG6=""),$DC6=""))),"Funding",IF(AND(G6="P",OR(AND($AW6&gt;=$AU$19,NOT($AW6=""),$AS6=""),AND($CB6&gt;=$BZ$19,NOT($CB6=""),$BX6=""),AND($DG6&gt;=$DE$19,NOT($DG6=""),$DC6=""))),"Worlds Team",IF(AND(F6="P",OR(AND($AW6&gt;=$AU$18,NOT($AW6=""),$AS6=""),AND($CB6&gt;=$BZ$18,NOT($CB6=""),$BX6=""),AND($DG6&gt;=$DE$18,NOT($DG6=""),$DC6=""))),"National Team",""))))</f>
        <v>Worlds Team</v>
      </c>
      <c r="J6" s="16">
        <f>MAX(AW6,CB6,DG6)</f>
        <v>138.30000000000001</v>
      </c>
      <c r="K6" s="16" t="str">
        <f>IF(J6=DG6,$CE$1,IF(J6=CB6,$AZ$1,IF(J6=AW6,$U$1,"")))</f>
        <v>2018 Nationals</v>
      </c>
      <c r="L6" s="16">
        <f>IF($J6=$AW6,MAX(BZ6,DE6),IF($J6=$CB6,MAX(AU6,DE6),MAX(AU6,BZ6)))</f>
        <v>68.2</v>
      </c>
      <c r="M6" s="16" t="str">
        <f>IF(AND(L6=DE6,$K6&lt;&gt;$CE$1),$CE$1,IF(AND(L6=BZ6,$K6&lt;&gt;$AZ$1),$AZ$1,IF(AND(L6=AU6,$K6&lt;&gt;$U$1),$U$1,"")))</f>
        <v>2017 3rd Domestic Trial</v>
      </c>
      <c r="N6" s="16">
        <f>IF($J6=$AW6,MAX(CA6,DF6),IF($J6=$CB6,MAX(AV6,DF6),MAX(AV6,CA6)))</f>
        <v>68.5</v>
      </c>
      <c r="O6" s="16" t="str">
        <f>IF(AND(N6=DF6,$K6&lt;&gt;$CE$1),$CE$1,IF(AND(N6=CA6,$K6&lt;&gt;$AZ$1),$AZ$1,IF(AND(N6=AV6,$K6&lt;&gt;$U$1),$U$1,"")))</f>
        <v>2018 Canada Cup</v>
      </c>
      <c r="P6" s="16">
        <f>MAX(AX6,CC6,DH6)</f>
        <v>70.300000000000011</v>
      </c>
      <c r="Q6" s="16" t="str">
        <f>IF(P6=DH6,$CE$1,IF(P6=CC6,$AZ$1,IF(P6=AX6,$U$1,"")))</f>
        <v>2017 3rd Domestic Trial</v>
      </c>
      <c r="R6" s="16" t="str">
        <f>IF(MAX(DJ6:DL6)&gt;0,MAX(DJ6:DL6),"")</f>
        <v/>
      </c>
      <c r="S6" s="31" t="str">
        <f>IF(R6="","",IF(R6=DJ6,"(Pass 1-2)",IF(R6=DK6,"(Pass 3-4)",IF(R6=DL6,"(Final)"))))</f>
        <v/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/>
      </c>
      <c r="U6" s="81">
        <v>28.1</v>
      </c>
      <c r="V6" s="81">
        <v>7.2</v>
      </c>
      <c r="W6" s="81">
        <v>1.2</v>
      </c>
      <c r="X6" s="81">
        <v>0</v>
      </c>
      <c r="Y6" s="81">
        <v>27.2</v>
      </c>
      <c r="Z6" s="81">
        <v>7.2</v>
      </c>
      <c r="AA6" s="81">
        <v>0.3</v>
      </c>
      <c r="AB6" s="81">
        <v>0</v>
      </c>
      <c r="AC6" s="81">
        <v>28.2</v>
      </c>
      <c r="AD6" s="81">
        <v>7.6</v>
      </c>
      <c r="AE6" s="81">
        <v>0</v>
      </c>
      <c r="AF6" s="81">
        <v>0</v>
      </c>
      <c r="AG6" s="81">
        <v>24.8</v>
      </c>
      <c r="AH6" s="81">
        <v>7.2</v>
      </c>
      <c r="AI6" s="81">
        <v>1.2</v>
      </c>
      <c r="AJ6" s="81">
        <v>0</v>
      </c>
      <c r="AK6" s="81">
        <v>28.1</v>
      </c>
      <c r="AL6" s="81">
        <v>7.2</v>
      </c>
      <c r="AM6" s="81">
        <v>0.3</v>
      </c>
      <c r="AN6" s="81">
        <v>0</v>
      </c>
      <c r="AO6" s="81">
        <v>28.1</v>
      </c>
      <c r="AP6" s="81">
        <v>7.2</v>
      </c>
      <c r="AQ6" s="81">
        <v>0</v>
      </c>
      <c r="AR6" s="81">
        <v>0</v>
      </c>
      <c r="AS6" s="93"/>
      <c r="AT6" s="13">
        <f>IF(SUM(V6,Z6,AD6,AH6)&gt;0,SUM(V6,Z6,AD6,AH6),"")</f>
        <v>29.2</v>
      </c>
      <c r="AU6" s="13">
        <f>IF(SUM(U6:V6,X6:Z6,AB6)-SUM(W6,AA6)&gt;0,SUM(U6:V6,X6:Z6,AB6)-SUM(W6,AA6),"")</f>
        <v>68.2</v>
      </c>
      <c r="AV6" s="13">
        <f>IF(SUM(AC6:AD6,AF6:AH6,AJ6)-SUM(AE6,AI6)&gt;0,SUM(AC6:AD6,AF6:AH6,AJ6)-SUM(AE6,AI6),"")</f>
        <v>66.599999999999994</v>
      </c>
      <c r="AW6" s="13">
        <f>IF(SUM(U6:V6,X6:Z6,AB6:AD6,AF6:AH6,AJ6)-SUM(W6,AA6,AE6,AI6)&gt;0,SUM(U6:V6,X6:Z6,AB6:AD6,AF6:AH6,AJ6)-SUM(W6,AA6,AE6,AI6),"")</f>
        <v>134.80000000000001</v>
      </c>
      <c r="AX6" s="13">
        <f>IF(SUM(AK6:AL6,AN6:AP6,AR6)-SUM(AM6,AQ6)&gt;0,SUM(AK6:AL6,AN6:AP6,AR6)-SUM(AM6,AQ6),"")</f>
        <v>70.300000000000011</v>
      </c>
      <c r="AY6" s="13">
        <f>IF(SUM(AW6,AX6)&gt;0,SUM(AW6,AX6),"")</f>
        <v>205.10000000000002</v>
      </c>
      <c r="AZ6" s="48">
        <v>28.2</v>
      </c>
      <c r="BA6" s="48">
        <v>8.4</v>
      </c>
      <c r="BB6" s="48">
        <v>1.2</v>
      </c>
      <c r="BC6" s="48">
        <v>0</v>
      </c>
      <c r="BD6" s="48">
        <v>27.1</v>
      </c>
      <c r="BE6" s="48">
        <v>6.8</v>
      </c>
      <c r="BF6" s="48">
        <v>1.5</v>
      </c>
      <c r="BG6" s="48">
        <v>0</v>
      </c>
      <c r="BH6" s="48">
        <v>28.4</v>
      </c>
      <c r="BI6" s="48">
        <v>7.2</v>
      </c>
      <c r="BJ6" s="48">
        <v>0.9</v>
      </c>
      <c r="BK6" s="48">
        <v>0</v>
      </c>
      <c r="BL6" s="48">
        <v>28.6</v>
      </c>
      <c r="BM6" s="48">
        <v>5.2</v>
      </c>
      <c r="BN6" s="48">
        <v>0</v>
      </c>
      <c r="BO6" s="48">
        <v>0</v>
      </c>
      <c r="BP6" s="48">
        <v>25.2</v>
      </c>
      <c r="BQ6" s="48">
        <v>7.2</v>
      </c>
      <c r="BR6" s="48">
        <v>1.5</v>
      </c>
      <c r="BS6" s="48">
        <v>0</v>
      </c>
      <c r="BT6" s="48">
        <v>26.8</v>
      </c>
      <c r="BU6" s="48">
        <v>6.4</v>
      </c>
      <c r="BV6" s="48">
        <v>0.9</v>
      </c>
      <c r="BW6" s="48">
        <v>0</v>
      </c>
      <c r="BX6" s="94"/>
      <c r="BY6" s="16">
        <f>IF(SUM(BA6,BE6,BI6,BM6)&gt;0,SUM(BA6,BE6,BI6,BM6),"")</f>
        <v>27.599999999999998</v>
      </c>
      <c r="BZ6" s="16">
        <f>IF(SUM(AZ6:BA6,BC6:BE6,BG6)-SUM(BB6,BF6)&gt;0,SUM(AZ6:BA6,BC6:BE6,BG6)-SUM(BB6,BF6),"")</f>
        <v>67.8</v>
      </c>
      <c r="CA6" s="16">
        <f>IF(SUM(BH6:BI6,BK6:BM6,BO6)-SUM(BJ6,BN6)&gt;0,SUM(BH6:BI6,BK6:BM6,BO6)-SUM(BJ6,BN6),"")</f>
        <v>68.5</v>
      </c>
      <c r="CB6" s="16">
        <f>IF(SUM(AZ6:BA6,BC6:BE6,BG6:BI6,BK6:BM6,BO6)-SUM(BB6,BF6,BJ6,BN6)&gt;0,SUM(AZ6:BA6,BC6:BE6,BG6:BI6,BK6:BM6,BO6)-SUM(BB6,BF6,BJ6,BN6),"")</f>
        <v>136.30000000000001</v>
      </c>
      <c r="CC6" s="16">
        <f>IF(SUM(BP6:BQ6,BS6:BU6,BW6)-SUM(BR6,BV6)&gt;0,SUM(BP6:BQ6,BS6:BU6,BW6)-SUM(BR6,BV6),"")</f>
        <v>63.20000000000001</v>
      </c>
      <c r="CD6" s="16">
        <f>IF(SUM(CB6,CC6)&gt;0,SUM(CB6,CC6),"")</f>
        <v>199.50000000000003</v>
      </c>
      <c r="CE6" s="47">
        <v>28.7</v>
      </c>
      <c r="CF6" s="47">
        <v>7.6</v>
      </c>
      <c r="CG6" s="47">
        <v>0.9</v>
      </c>
      <c r="CH6" s="47">
        <v>0</v>
      </c>
      <c r="CI6" s="47">
        <v>27.4</v>
      </c>
      <c r="CJ6" s="47">
        <v>7.6</v>
      </c>
      <c r="CK6" s="47">
        <v>0.9</v>
      </c>
      <c r="CL6" s="47">
        <v>0</v>
      </c>
      <c r="CM6" s="47">
        <v>27.6</v>
      </c>
      <c r="CN6" s="47">
        <v>7.2</v>
      </c>
      <c r="CO6" s="47">
        <v>0.9</v>
      </c>
      <c r="CP6" s="47">
        <v>0</v>
      </c>
      <c r="CQ6" s="47">
        <v>28.4</v>
      </c>
      <c r="CR6" s="47">
        <v>6.8</v>
      </c>
      <c r="CS6" s="47">
        <v>0.3</v>
      </c>
      <c r="CT6" s="47">
        <v>0</v>
      </c>
      <c r="CU6" s="47">
        <v>28.8</v>
      </c>
      <c r="CV6" s="47">
        <v>7.6</v>
      </c>
      <c r="CW6" s="47">
        <v>0.9</v>
      </c>
      <c r="CX6" s="47">
        <v>0</v>
      </c>
      <c r="CY6" s="47">
        <v>28.3</v>
      </c>
      <c r="CZ6" s="47">
        <v>7.2</v>
      </c>
      <c r="DA6" s="47">
        <v>1.2</v>
      </c>
      <c r="DB6" s="47">
        <v>0</v>
      </c>
      <c r="DC6" s="93"/>
      <c r="DD6" s="13">
        <f>IF(SUM(CF6,CJ6,CN6,CR6)&gt;0,SUM(CF6,CJ6,CN6,CR6),"")</f>
        <v>29.2</v>
      </c>
      <c r="DE6" s="13">
        <f>IF(SUM(CE6:CF6,CH6:CJ6,CL6)-SUM(CG6,CK6)&gt;0,SUM(CE6:CF6,CH6:CJ6,CL6)-SUM(CG6,CK6),"")</f>
        <v>69.5</v>
      </c>
      <c r="DF6" s="13">
        <f>IF(SUM(CM6:CN6,CP6:CR6,CT6)-SUM(CO6,CS6)&gt;0,SUM(CM6:CN6,CP6:CR6,CT6)-SUM(CO6,CS6),"")</f>
        <v>68.8</v>
      </c>
      <c r="DG6" s="13">
        <f>IF(SUM(CE6:CF6,CH6:CJ6,CL6:CN6,CP6:CR6,CT6)-SUM(CG6,CK6,CO6,CS6)&gt;0,SUM(CE6:CF6,CH6:CJ6,CL6:CN6,CP6:CR6,CT6)-SUM(CG6,CK6,CO6,CS6),"")</f>
        <v>138.30000000000001</v>
      </c>
      <c r="DH6" s="13">
        <f>IF(SUM(CU6:CV6,CX6:CZ6,DB6)-SUM(CW6,DA6)&gt;0,SUM(CU6:CV6,CX6:CZ6,DB6)-SUM(CW6,DA6),"")</f>
        <v>69.800000000000011</v>
      </c>
      <c r="DI6" s="13">
        <f>IF(SUM(DG6,DH6)&gt;0,SUM(DG6,DH6),"")</f>
        <v>208.10000000000002</v>
      </c>
      <c r="DJ6" s="30" t="str">
        <f>IF(MAX(EL6,FP6,GT6,HX6,JB6,KF6,LJ6,MN6,NR6,OV6,PZ6,RD6)-L6&gt;0.001,MAX(EL6,FP6,GT6,HX6,JB6,KF6,LJ6,MN6,NR6,OV6,PZ6,RD6)-L6,"")</f>
        <v/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>
        <v>27.7</v>
      </c>
      <c r="DN6" s="54">
        <v>7.2</v>
      </c>
      <c r="DO6" s="54">
        <v>1.2</v>
      </c>
      <c r="DP6" s="54">
        <v>0</v>
      </c>
      <c r="DQ6" s="54">
        <v>27.4</v>
      </c>
      <c r="DR6" s="54">
        <v>6.4</v>
      </c>
      <c r="DS6" s="54">
        <v>1.2</v>
      </c>
      <c r="DT6" s="54">
        <v>0</v>
      </c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>
        <f>IF(SUM(DN6,DR6,DV6,DZ6)&gt;0,SUM(DN6,DR6,DV6,DZ6),"")</f>
        <v>13.600000000000001</v>
      </c>
      <c r="EL6" s="13">
        <f>IF(SUM(DM6:DN6,DP6:DR6,DT6)-SUM(DO6,DS6)&gt;0,SUM(DM6:DN6,DP6:DR6,DT6)-SUM(DO6,DS6),"")</f>
        <v>66.3</v>
      </c>
      <c r="EM6" s="13" t="str">
        <f>IF(SUM(DU6:DV6,DX6:DZ6,EB6)-SUM(DW6,EA6)&gt;0,SUM(DU6:DV6,DX6:DZ6,EB6)-SUM(DW6,EA6),"")</f>
        <v/>
      </c>
      <c r="EN6" s="13">
        <f>IF(SUM(DM6:DN6,DP6:DR6,DT6:DV6,DX6:DZ6,EB6)-SUM(DO6,DS6,DW6,EA6)&gt;0,SUM(DM6:DN6,DP6:DR6,DT6:DV6,DX6:DZ6,EB6)-SUM(DO6,DS6,DW6,EA6),"")</f>
        <v>66.3</v>
      </c>
      <c r="EO6" s="13" t="str">
        <f>IF(SUM(EC6:ED6,EF6:EH6,EJ6)-SUM(EE6,EI6)&gt;0,SUM(EC6:ED6,EF6:EH6,EJ6)-SUM(EE6,EI6),"")</f>
        <v/>
      </c>
      <c r="EP6" s="13">
        <f>IF(SUM(EN6,EO6)&gt;0,SUM(EN6,EO6),"")</f>
        <v>66.3</v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>IF(SUM(ER6,EV6,EZ6,FD6)&gt;0,SUM(ER6,EV6,EZ6,FD6),"")</f>
        <v/>
      </c>
      <c r="FP6" s="16" t="str">
        <f>IF(SUM(EQ6:ER6,ET6:EV6,EX6)-SUM(ES6,EW6)&gt;0,SUM(EQ6:ER6,ET6:EV6,EX6)-SUM(ES6,EW6),"")</f>
        <v/>
      </c>
      <c r="FQ6" s="16" t="str">
        <f>IF(SUM(EY6:EZ6,FB6:FD6,FF6)-SUM(FA6,FE6)&gt;0,SUM(EY6:EZ6,FB6:FD6,FF6)-SUM(FA6,FE6),"")</f>
        <v/>
      </c>
      <c r="FR6" s="16" t="str">
        <f>IF(SUM(EQ6:ER6,ET6:EV6,EX6:EZ6,FB6:FD6,FF6)-SUM(ES6,EW6,FA6,FE6)&gt;0,SUM(EQ6:ER6,ET6:EV6,EX6:EZ6,FB6:FD6,FF6)-SUM(ES6,EW6,FA6,FE6),"")</f>
        <v/>
      </c>
      <c r="FS6" s="16" t="str">
        <f>IF(SUM(FG6:FH6,FJ6:FL6,FN6)-SUM(FI6,FM6)&gt;0,SUM(FG6:FH6,FJ6:FL6,FN6)-SUM(FI6,FM6),"")</f>
        <v/>
      </c>
      <c r="FT6" s="16" t="str">
        <f>IF(SUM(FR6,FS6)&gt;0,SUM(FR6,FS6),"")</f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>IF(SUM(FV6,FZ6,GD6,GH6)&gt;0,SUM(FV6,FZ6,GD6,GH6),"")</f>
        <v/>
      </c>
      <c r="GT6" s="13" t="str">
        <f>IF(SUM(FU6:FV6,FX6:FZ6,GB6)-SUM(FW6,GA6)&gt;0,SUM(FU6:FV6,FX6:FZ6,GB6)-SUM(FW6,GA6),"")</f>
        <v/>
      </c>
      <c r="GU6" s="13" t="str">
        <f>IF(SUM(GC6:GD6,GF6:GH6,GJ6)-SUM(GE6,GI6)&gt;0,SUM(GC6:GD6,GF6:GH6,GJ6)-SUM(GE6,GI6),"")</f>
        <v/>
      </c>
      <c r="GV6" s="13" t="str">
        <f>IF(SUM(FU6:FV6,FX6:FZ6,GB6:GD6,GF6:GH6,GJ6)-SUM(FW6,GA6,GE6,GI6)&gt;0,SUM(FU6:FV6,FX6:FZ6,GB6:GD6,GF6:GH6,GJ6)-SUM(FW6,GA6,GE6,GI6),"")</f>
        <v/>
      </c>
      <c r="GW6" s="13" t="str">
        <f>IF(SUM(GK6:GL6,GN6:GP6,GR6)-SUM(GM6,GQ6)&gt;0,SUM(GK6:GL6,GN6:GP6,GR6)-SUM(GM6,GQ6),"")</f>
        <v/>
      </c>
      <c r="GX6" s="13" t="str">
        <f>IF(SUM(GV6,GW6)&gt;0,SUM(GV6,GW6),"")</f>
        <v/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>IF(SUM(GZ6,HD6,HH6,HL6)&gt;0,SUM(GZ6,HD6,HH6,HL6),"")</f>
        <v/>
      </c>
      <c r="HX6" s="16" t="str">
        <f>IF(SUM(GY6:GZ6,HB6:HD6,HF6)-SUM(HA6,HE6)&gt;0,SUM(GY6:GZ6,HB6:HD6,HF6)-SUM(HA6,HE6),"")</f>
        <v/>
      </c>
      <c r="HY6" s="16" t="str">
        <f>IF(SUM(HG6:HH6,HJ6:HL6,HN6)-SUM(HI6,HM6)&gt;0,SUM(HG6:HH6,HJ6:HL6,HN6)-SUM(HI6,HM6),"")</f>
        <v/>
      </c>
      <c r="HZ6" s="16" t="str">
        <f>IF(SUM(GY6:GZ6,HB6:HD6,HF6:HH6,HJ6:HL6,HN6)-SUM(HA6,HE6,HI6,HM6)&gt;0,SUM(GY6:GZ6,HB6:HD6,HF6:HH6,HJ6:HL6,HN6)-SUM(HA6,HE6,HI6,HM6),"")</f>
        <v/>
      </c>
      <c r="IA6" s="16" t="str">
        <f>IF(SUM(HO6:HP6,HR6:HT6,HV6)-SUM(HQ6,HU6)&gt;0,SUM(HO6:HP6,HR6:HT6,HV6)-SUM(HQ6,HU6),"")</f>
        <v/>
      </c>
      <c r="IB6" s="16" t="str">
        <f>IF(SUM(HZ6,IA6)&gt;0,SUM(HZ6,IA6),"")</f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 t="str">
        <f>IF(SUM(IS6:IT6,IV6:IX6,IZ6)-SUM(IU6,IY6)&gt;0,SUM(IS6:IT6,IV6:IX6,IZ6)-SUM(IU6,IY6),"")</f>
        <v/>
      </c>
      <c r="JF6" s="13" t="str">
        <f>IF(SUM(JD6,JE6)&gt;0,SUM(JD6,JE6),"")</f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74</v>
      </c>
      <c r="C7" s="5" t="s">
        <v>7</v>
      </c>
      <c r="D7" s="6">
        <v>1993</v>
      </c>
      <c r="E7" s="17">
        <f>SUM(J7:R7)</f>
        <v>339.7</v>
      </c>
      <c r="F7" s="4" t="str">
        <f>IF(OR(AND($AT7&gt;=$AU$16,NOT($AT7=""),$AS7=""),AND($BY7&gt;=$BZ$16,NOT($BY7=""),$BX7=""),AND($DD7&gt;=$DE$16,NOT($DD7=""),$DC7="")),"P","")</f>
        <v>P</v>
      </c>
      <c r="G7" s="4" t="str">
        <f>IF(OR(AND($AT7&gt;=$AU$17,NOT($AT7=""),$AS7=""),AND($BY7&gt;=$BZ$17,NOT($BY7=""),$BX7=""),AND($DD7&gt;=$DE$17,NOT($DD7=""),$DC7="")),"P","")</f>
        <v>P</v>
      </c>
      <c r="H7" s="4" t="str">
        <f>IF(OR(AND($AW7&gt;=$AU$18,NOT($AW7=""),$AS7=""),AND($CB7&gt;=$BZ$18,NOT($CB7=""),$BX7=""),AND($DG7&gt;=$DE$18,NOT($DG7=""),$DC7="")),"P","")</f>
        <v>P</v>
      </c>
      <c r="I7" t="str">
        <f>IF(AND(G7="P",OR(AND($AW7&gt;=$AU$21,NOT($AW7=""),$AS7=""),AND($CB7&gt;=$BZ$21,NOT($CB7=""),$BX7=""),AND($DG7&gt;=$DE$21,NOT($DG7=""),$DC7=""))),"Merit",IF(AND(G7="P",OR(AND($AW7&gt;=$AU$20,NOT($AW7=""),$AS7=""),AND($CB7&gt;=$BZ$20,NOT($CB7=""),$BX7=""),AND($DG7&gt;=$DE$20,NOT($DG7=""),$DC7=""))),"Funding",IF(AND(G7="P",OR(AND($AW7&gt;=$AU$19,NOT($AW7=""),$AS7=""),AND($CB7&gt;=$BZ$19,NOT($CB7=""),$BX7=""),AND($DG7&gt;=$DE$19,NOT($DG7=""),$DC7=""))),"Worlds Team",IF(AND(F7="P",OR(AND($AW7&gt;=$AU$18,NOT($AW7=""),$AS7=""),AND($CB7&gt;=$BZ$18,NOT($CB7=""),$BX7=""),AND($DG7&gt;=$DE$18,NOT($DG7=""),$DC7=""))),"National Team",""))))</f>
        <v>National Team</v>
      </c>
      <c r="J7" s="16">
        <f>MAX(AW7,CB7,DG7)</f>
        <v>136.49999999999997</v>
      </c>
      <c r="K7" s="16" t="str">
        <f>IF(J7=DG7,$CE$1,IF(J7=CB7,$AZ$1,IF(J7=AW7,$U$1,"")))</f>
        <v>2018 Nationals</v>
      </c>
      <c r="L7" s="16">
        <f>IF($J7=$AW7,MAX(BZ7,DE7),IF($J7=$CB7,MAX(AU7,DE7),MAX(AU7,BZ7)))</f>
        <v>64.300000000000011</v>
      </c>
      <c r="M7" s="16" t="str">
        <f>IF(AND(L7=DE7,$K7&lt;&gt;$CE$1),$CE$1,IF(AND(L7=BZ7,$K7&lt;&gt;$AZ$1),$AZ$1,IF(AND(L7=AU7,$K7&lt;&gt;$U$1),$U$1,"")))</f>
        <v>2018 Canada Cup</v>
      </c>
      <c r="N7" s="16">
        <f>IF($J7=$AW7,MAX(CA7,DF7),IF($J7=$CB7,MAX(AV7,DF7),MAX(AV7,CA7)))</f>
        <v>69.2</v>
      </c>
      <c r="O7" s="16" t="str">
        <f>IF(AND(N7=DF7,$K7&lt;&gt;$CE$1),$CE$1,IF(AND(N7=CA7,$K7&lt;&gt;$AZ$1),$AZ$1,IF(AND(N7=AV7,$K7&lt;&gt;$U$1),$U$1,"")))</f>
        <v>2018 Canada Cup</v>
      </c>
      <c r="P7" s="16">
        <f>MAX(AX7,CC7,DH7)</f>
        <v>69.7</v>
      </c>
      <c r="Q7" s="16" t="str">
        <f>IF(P7=DH7,$CE$1,IF(P7=CC7,$AZ$1,IF(P7=AX7,$U$1,"")))</f>
        <v>2018 Canada Cup</v>
      </c>
      <c r="R7" s="16" t="str">
        <f>IF(MAX(DJ7:DL7)&gt;0,MAX(DJ7:DL7),"")</f>
        <v/>
      </c>
      <c r="S7" s="31" t="str">
        <f>IF(R7="","",IF(R7=DJ7,"(Pass 1-2)",IF(R7=DK7,"(Pass 3-4)",IF(R7=DL7,"(Final)"))))</f>
        <v/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/>
      </c>
      <c r="U7" s="81">
        <v>27.8</v>
      </c>
      <c r="V7" s="81">
        <v>7.6</v>
      </c>
      <c r="W7" s="81">
        <v>0.9</v>
      </c>
      <c r="X7" s="81">
        <v>0</v>
      </c>
      <c r="Y7" s="81">
        <v>20.100000000000001</v>
      </c>
      <c r="Z7" s="81">
        <v>4</v>
      </c>
      <c r="AA7" s="81">
        <v>0</v>
      </c>
      <c r="AB7" s="81">
        <v>0</v>
      </c>
      <c r="AC7" s="81">
        <v>27.9</v>
      </c>
      <c r="AD7" s="81">
        <v>6.4</v>
      </c>
      <c r="AE7" s="81">
        <v>0.9</v>
      </c>
      <c r="AF7" s="81">
        <v>0</v>
      </c>
      <c r="AG7" s="81">
        <v>27.4</v>
      </c>
      <c r="AH7" s="81">
        <v>6</v>
      </c>
      <c r="AI7" s="81">
        <v>0.9</v>
      </c>
      <c r="AJ7" s="81">
        <v>0</v>
      </c>
      <c r="AK7" s="81">
        <v>28</v>
      </c>
      <c r="AL7" s="81">
        <v>7.6</v>
      </c>
      <c r="AM7" s="81">
        <v>0.9</v>
      </c>
      <c r="AN7" s="81">
        <v>0</v>
      </c>
      <c r="AO7" s="81">
        <v>27.8</v>
      </c>
      <c r="AP7" s="81">
        <v>6.4</v>
      </c>
      <c r="AQ7" s="81">
        <v>0</v>
      </c>
      <c r="AR7" s="81">
        <v>0</v>
      </c>
      <c r="AS7" s="93"/>
      <c r="AT7" s="13">
        <f>IF(SUM(V7,Z7,AD7,AH7)&gt;0,SUM(V7,Z7,AD7,AH7),"")</f>
        <v>24</v>
      </c>
      <c r="AU7" s="13">
        <f>IF(SUM(U7:V7,X7:Z7,AB7)-SUM(W7,AA7)&gt;0,SUM(U7:V7,X7:Z7,AB7)-SUM(W7,AA7),"")</f>
        <v>58.6</v>
      </c>
      <c r="AV7" s="13">
        <f>IF(SUM(AC7:AD7,AF7:AH7,AJ7)-SUM(AE7,AI7)&gt;0,SUM(AC7:AD7,AF7:AH7,AJ7)-SUM(AE7,AI7),"")</f>
        <v>65.899999999999991</v>
      </c>
      <c r="AW7" s="13">
        <f>IF(SUM(U7:V7,X7:Z7,AB7:AD7,AF7:AH7,AJ7)-SUM(W7,AA7,AE7,AI7)&gt;0,SUM(U7:V7,X7:Z7,AB7:AD7,AF7:AH7,AJ7)-SUM(W7,AA7,AE7,AI7),"")</f>
        <v>124.50000000000001</v>
      </c>
      <c r="AX7" s="13">
        <f>IF(SUM(AK7:AL7,AN7:AP7,AR7)-SUM(AM7,AQ7)&gt;0,SUM(AK7:AL7,AN7:AP7,AR7)-SUM(AM7,AQ7),"")</f>
        <v>68.900000000000006</v>
      </c>
      <c r="AY7" s="13">
        <f>IF(SUM(AW7,AX7)&gt;0,SUM(AW7,AX7),"")</f>
        <v>193.40000000000003</v>
      </c>
      <c r="AZ7" s="48">
        <v>27.4</v>
      </c>
      <c r="BA7" s="48">
        <v>7.2</v>
      </c>
      <c r="BB7" s="48">
        <v>0.9</v>
      </c>
      <c r="BC7" s="48">
        <v>0</v>
      </c>
      <c r="BD7" s="48">
        <v>24.6</v>
      </c>
      <c r="BE7" s="48">
        <v>7.2</v>
      </c>
      <c r="BF7" s="48">
        <v>1.2</v>
      </c>
      <c r="BG7" s="48">
        <v>0</v>
      </c>
      <c r="BH7" s="48">
        <v>27.6</v>
      </c>
      <c r="BI7" s="48">
        <v>7.6</v>
      </c>
      <c r="BJ7" s="48">
        <v>0.3</v>
      </c>
      <c r="BK7" s="48">
        <v>0</v>
      </c>
      <c r="BL7" s="48">
        <v>27</v>
      </c>
      <c r="BM7" s="48">
        <v>7.6</v>
      </c>
      <c r="BN7" s="48">
        <v>0.3</v>
      </c>
      <c r="BO7" s="48">
        <v>0</v>
      </c>
      <c r="BP7" s="48">
        <v>28.7</v>
      </c>
      <c r="BQ7" s="48">
        <v>6.4</v>
      </c>
      <c r="BR7" s="48">
        <v>0</v>
      </c>
      <c r="BS7" s="48">
        <v>0</v>
      </c>
      <c r="BT7" s="48">
        <v>27.8</v>
      </c>
      <c r="BU7" s="48">
        <v>6.8</v>
      </c>
      <c r="BV7" s="48">
        <v>0</v>
      </c>
      <c r="BW7" s="48">
        <v>0</v>
      </c>
      <c r="BX7" s="94"/>
      <c r="BY7" s="16">
        <f>IF(SUM(BA7,BE7,BI7,BM7)&gt;0,SUM(BA7,BE7,BI7,BM7),"")</f>
        <v>29.6</v>
      </c>
      <c r="BZ7" s="16">
        <f>IF(SUM(AZ7:BA7,BC7:BE7,BG7)-SUM(BB7,BF7)&gt;0,SUM(AZ7:BA7,BC7:BE7,BG7)-SUM(BB7,BF7),"")</f>
        <v>64.300000000000011</v>
      </c>
      <c r="CA7" s="16">
        <f>IF(SUM(BH7:BI7,BK7:BM7,BO7)-SUM(BJ7,BN7)&gt;0,SUM(BH7:BI7,BK7:BM7,BO7)-SUM(BJ7,BN7),"")</f>
        <v>69.2</v>
      </c>
      <c r="CB7" s="16">
        <f>IF(SUM(AZ7:BA7,BC7:BE7,BG7:BI7,BK7:BM7,BO7)-SUM(BB7,BF7,BJ7,BN7)&gt;0,SUM(AZ7:BA7,BC7:BE7,BG7:BI7,BK7:BM7,BO7)-SUM(BB7,BF7,BJ7,BN7),"")</f>
        <v>133.5</v>
      </c>
      <c r="CC7" s="16">
        <f>IF(SUM(BP7:BQ7,BS7:BU7,BW7)-SUM(BR7,BV7)&gt;0,SUM(BP7:BQ7,BS7:BU7,BW7)-SUM(BR7,BV7),"")</f>
        <v>69.7</v>
      </c>
      <c r="CD7" s="16">
        <f>IF(SUM(CB7,CC7)&gt;0,SUM(CB7,CC7),"")</f>
        <v>203.2</v>
      </c>
      <c r="CE7" s="47">
        <v>27.7</v>
      </c>
      <c r="CF7" s="47">
        <v>6</v>
      </c>
      <c r="CG7" s="47">
        <v>0</v>
      </c>
      <c r="CH7" s="47">
        <v>0</v>
      </c>
      <c r="CI7" s="47">
        <v>28.1</v>
      </c>
      <c r="CJ7" s="47">
        <v>6.4</v>
      </c>
      <c r="CK7" s="47">
        <v>0.9</v>
      </c>
      <c r="CL7" s="47">
        <v>0</v>
      </c>
      <c r="CM7" s="47">
        <v>27.7</v>
      </c>
      <c r="CN7" s="47">
        <v>6.8</v>
      </c>
      <c r="CO7" s="47">
        <v>0.9</v>
      </c>
      <c r="CP7" s="47">
        <v>0</v>
      </c>
      <c r="CQ7" s="47">
        <v>28</v>
      </c>
      <c r="CR7" s="47">
        <v>7.6</v>
      </c>
      <c r="CS7" s="47">
        <v>0</v>
      </c>
      <c r="CT7" s="47">
        <v>0</v>
      </c>
      <c r="CU7" s="47">
        <v>20</v>
      </c>
      <c r="CV7" s="47">
        <v>4</v>
      </c>
      <c r="CW7" s="47">
        <v>0</v>
      </c>
      <c r="CX7" s="47">
        <v>0</v>
      </c>
      <c r="CY7" s="47">
        <v>26.7</v>
      </c>
      <c r="CZ7" s="47">
        <v>6.8</v>
      </c>
      <c r="DA7" s="47">
        <v>1.8</v>
      </c>
      <c r="DB7" s="47">
        <v>0</v>
      </c>
      <c r="DC7" s="93"/>
      <c r="DD7" s="13">
        <f>IF(SUM(CF7,CJ7,CN7,CR7)&gt;0,SUM(CF7,CJ7,CN7,CR7),"")</f>
        <v>26.799999999999997</v>
      </c>
      <c r="DE7" s="13">
        <f>IF(SUM(CE7:CF7,CH7:CJ7,CL7)-SUM(CG7,CK7)&gt;0,SUM(CE7:CF7,CH7:CJ7,CL7)-SUM(CG7,CK7),"")</f>
        <v>67.3</v>
      </c>
      <c r="DF7" s="13">
        <f>IF(SUM(CM7:CN7,CP7:CR7,CT7)-SUM(CO7,CS7)&gt;0,SUM(CM7:CN7,CP7:CR7,CT7)-SUM(CO7,CS7),"")</f>
        <v>69.199999999999989</v>
      </c>
      <c r="DG7" s="13">
        <f>IF(SUM(CE7:CF7,CH7:CJ7,CL7:CN7,CP7:CR7,CT7)-SUM(CG7,CK7,CO7,CS7)&gt;0,SUM(CE7:CF7,CH7:CJ7,CL7:CN7,CP7:CR7,CT7)-SUM(CG7,CK7,CO7,CS7),"")</f>
        <v>136.49999999999997</v>
      </c>
      <c r="DH7" s="13">
        <f>IF(SUM(CU7:CV7,CX7:CZ7,DB7)-SUM(CW7,DA7)&gt;0,SUM(CU7:CV7,CX7:CZ7,DB7)-SUM(CW7,DA7),"")</f>
        <v>55.7</v>
      </c>
      <c r="DI7" s="13">
        <f>IF(SUM(DG7,DH7)&gt;0,SUM(DG7,DH7),"")</f>
        <v>192.2</v>
      </c>
      <c r="DJ7" s="30" t="str">
        <f>IF(MAX(EL7,FP7,GT7,HX7,JB7,KF7,LJ7,MN7,NR7,OV7,PZ7,RD7)-L7&gt;0.001,MAX(EL7,FP7,GT7,HX7,JB7,KF7,LJ7,MN7,NR7,OV7,PZ7,RD7)-L7,"")</f>
        <v/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>
        <v>27.3</v>
      </c>
      <c r="DN7" s="54">
        <v>7.6</v>
      </c>
      <c r="DO7" s="54">
        <v>0.9</v>
      </c>
      <c r="DP7" s="54">
        <v>0</v>
      </c>
      <c r="DQ7" s="54">
        <v>0</v>
      </c>
      <c r="DR7" s="54">
        <v>0</v>
      </c>
      <c r="DS7" s="54">
        <v>0</v>
      </c>
      <c r="DT7" s="54">
        <v>0</v>
      </c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>
        <f>IF(SUM(DN7,DR7,DV7,DZ7)&gt;0,SUM(DN7,DR7,DV7,DZ7),"")</f>
        <v>7.6</v>
      </c>
      <c r="EL7" s="13">
        <f>IF(SUM(DM7:DN7,DP7:DR7,DT7)-SUM(DO7,DS7)&gt;0,SUM(DM7:DN7,DP7:DR7,DT7)-SUM(DO7,DS7),"")</f>
        <v>34</v>
      </c>
      <c r="EM7" s="13" t="str">
        <f>IF(SUM(DU7:DV7,DX7:DZ7,EB7)-SUM(DW7,EA7)&gt;0,SUM(DU7:DV7,DX7:DZ7,EB7)-SUM(DW7,EA7),"")</f>
        <v/>
      </c>
      <c r="EN7" s="13">
        <f>IF(SUM(DM7:DN7,DP7:DR7,DT7:DV7,DX7:DZ7,EB7)-SUM(DO7,DS7,DW7,EA7)&gt;0,SUM(DM7:DN7,DP7:DR7,DT7:DV7,DX7:DZ7,EB7)-SUM(DO7,DS7,DW7,EA7),"")</f>
        <v>34</v>
      </c>
      <c r="EO7" s="13" t="str">
        <f>IF(SUM(EC7:ED7,EF7:EH7,EJ7)-SUM(EE7,EI7)&gt;0,SUM(EC7:ED7,EF7:EH7,EJ7)-SUM(EE7,EI7),"")</f>
        <v/>
      </c>
      <c r="EP7" s="13">
        <f>IF(SUM(EN7,EO7)&gt;0,SUM(EN7,EO7),"")</f>
        <v>34</v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 t="str">
        <f>IF(SUM(FG7:FH7,FJ7:FL7,FN7)-SUM(FI7,FM7)&gt;0,SUM(FG7:FH7,FJ7:FL7,FN7)-SUM(FI7,FM7),"")</f>
        <v/>
      </c>
      <c r="FT7" s="16" t="str">
        <f>IF(SUM(FR7,FS7)&gt;0,SUM(FR7,FS7),"")</f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>IF(SUM(FV7,FZ7,GD7,GH7)&gt;0,SUM(FV7,FZ7,GD7,GH7),"")</f>
        <v/>
      </c>
      <c r="GT7" s="13" t="str">
        <f>IF(SUM(FU7:FV7,FX7:FZ7,GB7)-SUM(FW7,GA7)&gt;0,SUM(FU7:FV7,FX7:FZ7,GB7)-SUM(FW7,GA7),"")</f>
        <v/>
      </c>
      <c r="GU7" s="13" t="str">
        <f>IF(SUM(GC7:GD7,GF7:GH7,GJ7)-SUM(GE7,GI7)&gt;0,SUM(GC7:GD7,GF7:GH7,GJ7)-SUM(GE7,GI7),"")</f>
        <v/>
      </c>
      <c r="GV7" s="13" t="str">
        <f>IF(SUM(FU7:FV7,FX7:FZ7,GB7:GD7,GF7:GH7,GJ7)-SUM(FW7,GA7,GE7,GI7)&gt;0,SUM(FU7:FV7,FX7:FZ7,GB7:GD7,GF7:GH7,GJ7)-SUM(FW7,GA7,GE7,GI7),"")</f>
        <v/>
      </c>
      <c r="GW7" s="13" t="str">
        <f>IF(SUM(GK7:GL7,GN7:GP7,GR7)-SUM(GM7,GQ7)&gt;0,SUM(GK7:GL7,GN7:GP7,GR7)-SUM(GM7,GQ7),"")</f>
        <v/>
      </c>
      <c r="GX7" s="13" t="str">
        <f>IF(SUM(GV7,GW7)&gt;0,SUM(GV7,GW7),"")</f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>IF(SUM(GZ7,HD7,HH7,HL7)&gt;0,SUM(GZ7,HD7,HH7,HL7),"")</f>
        <v/>
      </c>
      <c r="HX7" s="16" t="str">
        <f>IF(SUM(GY7:GZ7,HB7:HD7,HF7)-SUM(HA7,HE7)&gt;0,SUM(GY7:GZ7,HB7:HD7,HF7)-SUM(HA7,HE7),"")</f>
        <v/>
      </c>
      <c r="HY7" s="16" t="str">
        <f>IF(SUM(HG7:HH7,HJ7:HL7,HN7)-SUM(HI7,HM7)&gt;0,SUM(HG7:HH7,HJ7:HL7,HN7)-SUM(HI7,HM7),"")</f>
        <v/>
      </c>
      <c r="HZ7" s="16" t="str">
        <f>IF(SUM(GY7:GZ7,HB7:HD7,HF7:HH7,HJ7:HL7,HN7)-SUM(HA7,HE7,HI7,HM7)&gt;0,SUM(GY7:GZ7,HB7:HD7,HF7:HH7,HJ7:HL7,HN7)-SUM(HA7,HE7,HI7,HM7),"")</f>
        <v/>
      </c>
      <c r="IA7" s="16" t="str">
        <f>IF(SUM(HO7:HP7,HR7:HT7,HV7)-SUM(HQ7,HU7)&gt;0,SUM(HO7:HP7,HR7:HT7,HV7)-SUM(HQ7,HU7),"")</f>
        <v/>
      </c>
      <c r="IB7" s="16" t="str">
        <f>IF(SUM(HZ7,IA7)&gt;0,SUM(HZ7,IA7),"")</f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>IF(SUM(ID7,IH7,IL7,IP7)&gt;0,SUM(ID7,IH7,IL7,IP7),"")</f>
        <v/>
      </c>
      <c r="JB7" s="13" t="str">
        <f>IF(SUM(IC7:ID7,IF7:IH7,IJ7)-SUM(IE7,II7)&gt;0,SUM(IC7:ID7,IF7:IH7,IJ7)-SUM(IE7,II7),"")</f>
        <v/>
      </c>
      <c r="JC7" s="13" t="str">
        <f>IF(SUM(IK7:IL7,IN7:IP7,IR7)-SUM(IM7,IQ7)&gt;0,SUM(IK7:IL7,IN7:IP7,IR7)-SUM(IM7,IQ7),"")</f>
        <v/>
      </c>
      <c r="JD7" s="13" t="str">
        <f>IF(SUM(IC7:ID7,IF7:IH7,IJ7:IL7,IN7:IP7,IR7)-SUM(IE7,II7,IM7,IQ7)&gt;0,SUM(IC7:ID7,IF7:IH7,IJ7:IL7,IN7:IP7,IR7)-SUM(IE7,II7,IM7,IQ7),"")</f>
        <v/>
      </c>
      <c r="JE7" s="13" t="str">
        <f>IF(SUM(IS7:IT7,IV7:IX7,IZ7)-SUM(IU7,IY7)&gt;0,SUM(IS7:IT7,IV7:IX7,IZ7)-SUM(IU7,IY7),"")</f>
        <v/>
      </c>
      <c r="JF7" s="13" t="str">
        <f>IF(SUM(JD7,JE7)&gt;0,SUM(JD7,JE7),"")</f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 t="str">
        <f>IF(SUM(JW7:JX7,JZ7:KB7,KD7)-SUM(JY7,KC7)&gt;0,SUM(JW7:JX7,JZ7:KB7,KD7)-SUM(JY7,KC7),"")</f>
        <v/>
      </c>
      <c r="KJ7" s="16" t="str">
        <f>IF(SUM(KH7,KI7)&gt;0,SUM(KH7,KI7),"")</f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 t="str">
        <f>IF(AND(F8="P",H8="P"),SUMPRODUCT((F$4:F$13="P")*(H$4:H$13="P")*(E$4:E$13&gt;E8))+1,IF(H8="P",SUMPRODUCT((F$4:F$13="")*(H$4:H$13="P")*(E$4:E$13&gt;E8))+1+SUMPRODUCT((F$4:F$13="P")*(H$4:H$13="P")),""))</f>
        <v/>
      </c>
      <c r="B8" s="9" t="s">
        <v>17</v>
      </c>
      <c r="C8" s="5" t="s">
        <v>7</v>
      </c>
      <c r="D8" s="6">
        <v>1996</v>
      </c>
      <c r="E8" s="17">
        <f>SUM(J8:R8)</f>
        <v>334.4</v>
      </c>
      <c r="F8" s="4" t="str">
        <f>IF(OR(AND($AT8&gt;=$AU$16,NOT($AT8=""),$AS8=""),AND($BY8&gt;=$BZ$16,NOT($BY8=""),$BX8=""),AND($DD8&gt;=$DE$16,NOT($DD8=""),$DC8="")),"P","")</f>
        <v>P</v>
      </c>
      <c r="G8" s="4" t="str">
        <f>IF(OR(AND($AT8&gt;=$AU$17,NOT($AT8=""),$AS8=""),AND($BY8&gt;=$BZ$17,NOT($BY8=""),$BX8=""),AND($DD8&gt;=$DE$17,NOT($DD8=""),$DC8="")),"P","")</f>
        <v>P</v>
      </c>
      <c r="H8" s="4" t="str">
        <f>IF(OR(AND($AW8&gt;=$AU$18,NOT($AW8=""),$AS8=""),AND($CB8&gt;=$BZ$18,NOT($CB8=""),$BX8=""),AND($DG8&gt;=$DE$18,NOT($DG8=""),$DC8="")),"P","")</f>
        <v/>
      </c>
      <c r="I8" t="str">
        <f>IF(AND(G8="P",OR(AND($AW8&gt;=$AU$21,NOT($AW8=""),$AS8=""),AND($CB8&gt;=$BZ$21,NOT($CB8=""),$BX8=""),AND($DG8&gt;=$DE$21,NOT($DG8=""),$DC8=""))),"Merit",IF(AND(G8="P",OR(AND($AW8&gt;=$AU$20,NOT($AW8=""),$AS8=""),AND($CB8&gt;=$BZ$20,NOT($CB8=""),$BX8=""),AND($DG8&gt;=$DE$20,NOT($DG8=""),$DC8=""))),"Funding",IF(AND(G8="P",OR(AND($AW8&gt;=$AU$19,NOT($AW8=""),$AS8=""),AND($CB8&gt;=$BZ$19,NOT($CB8=""),$BX8=""),AND($DG8&gt;=$DE$19,NOT($DG8=""),$DC8=""))),"Worlds Team",IF(AND(F8="P",OR(AND($AW8&gt;=$AU$18,NOT($AW8=""),$AS8=""),AND($CB8&gt;=$BZ$18,NOT($CB8=""),$BX8=""),AND($DG8&gt;=$DE$18,NOT($DG8=""),$DC8=""))),"National Team",""))))</f>
        <v/>
      </c>
      <c r="J8" s="16">
        <f>MAX(AW8,CB8,DG8)</f>
        <v>135.29999999999995</v>
      </c>
      <c r="K8" s="16" t="str">
        <f>IF(J8=DG8,$CE$1,IF(J8=CB8,$AZ$1,IF(J8=AW8,$U$1,"")))</f>
        <v>2018 Nationals</v>
      </c>
      <c r="L8" s="16">
        <f>IF($J8=$AW8,MAX(BZ8,DE8),IF($J8=$CB8,MAX(AU8,DE8),MAX(AU8,BZ8)))</f>
        <v>70.099999999999994</v>
      </c>
      <c r="M8" s="16" t="str">
        <f>IF(AND(L8=DE8,$K8&lt;&gt;$CE$1),$CE$1,IF(AND(L8=BZ8,$K8&lt;&gt;$AZ$1),$AZ$1,IF(AND(L8=AU8,$K8&lt;&gt;$U$1),$U$1,"")))</f>
        <v>2017 3rd Domestic Trial</v>
      </c>
      <c r="N8" s="16">
        <f>IF($J8=$AW8,MAX(CA8,DF8),IF($J8=$CB8,MAX(AV8,DF8),MAX(AV8,CA8)))</f>
        <v>58.6</v>
      </c>
      <c r="O8" s="16" t="str">
        <f>IF(AND(N8=DF8,$K8&lt;&gt;$CE$1),$CE$1,IF(AND(N8=CA8,$K8&lt;&gt;$AZ$1),$AZ$1,IF(AND(N8=AV8,$K8&lt;&gt;$U$1),$U$1,"")))</f>
        <v>2018 Canada Cup</v>
      </c>
      <c r="P8" s="16">
        <f>MAX(AX8,CC8,DH8)</f>
        <v>70.400000000000006</v>
      </c>
      <c r="Q8" s="16" t="str">
        <f>IF(P8=DH8,$CE$1,IF(P8=CC8,$AZ$1,IF(P8=AX8,$U$1,"")))</f>
        <v>2018 Nationals</v>
      </c>
      <c r="R8" s="16" t="str">
        <f>IF(MAX(DJ8:DL8)&gt;0,MAX(DJ8:DL8),"")</f>
        <v/>
      </c>
      <c r="S8" s="31" t="str">
        <f>IF(R8="","",IF(R8=DJ8,"(Pass 1-2)",IF(R8=DK8,"(Pass 3-4)",IF(R8=DL8,"(Final)"))))</f>
        <v/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/>
      </c>
      <c r="U8" s="81">
        <v>28.3</v>
      </c>
      <c r="V8" s="81">
        <v>6.8</v>
      </c>
      <c r="W8" s="81">
        <v>0.9</v>
      </c>
      <c r="X8" s="81">
        <v>0</v>
      </c>
      <c r="Y8" s="81">
        <v>28.1</v>
      </c>
      <c r="Z8" s="81">
        <v>8.1</v>
      </c>
      <c r="AA8" s="81">
        <v>0.3</v>
      </c>
      <c r="AB8" s="81">
        <v>0</v>
      </c>
      <c r="AC8" s="81">
        <v>27.3</v>
      </c>
      <c r="AD8" s="81">
        <v>6.8</v>
      </c>
      <c r="AE8" s="81">
        <v>0.9</v>
      </c>
      <c r="AF8" s="81">
        <v>0</v>
      </c>
      <c r="AG8" s="81">
        <v>20</v>
      </c>
      <c r="AH8" s="81">
        <v>3.6</v>
      </c>
      <c r="AI8" s="81">
        <v>0</v>
      </c>
      <c r="AJ8" s="81">
        <v>0</v>
      </c>
      <c r="AK8" s="81">
        <v>28.6</v>
      </c>
      <c r="AL8" s="81">
        <v>6.8</v>
      </c>
      <c r="AM8" s="81">
        <v>0.9</v>
      </c>
      <c r="AN8" s="81">
        <v>0</v>
      </c>
      <c r="AO8" s="81">
        <v>28.8</v>
      </c>
      <c r="AP8" s="81">
        <v>6.4</v>
      </c>
      <c r="AQ8" s="81">
        <v>0</v>
      </c>
      <c r="AR8" s="81">
        <v>0</v>
      </c>
      <c r="AS8" s="93"/>
      <c r="AT8" s="13">
        <f>IF(SUM(V8,Z8,AD8,AH8)&gt;0,SUM(V8,Z8,AD8,AH8),"")</f>
        <v>25.3</v>
      </c>
      <c r="AU8" s="13">
        <f>IF(SUM(U8:V8,X8:Z8,AB8)-SUM(W8,AA8)&gt;0,SUM(U8:V8,X8:Z8,AB8)-SUM(W8,AA8),"")</f>
        <v>70.099999999999994</v>
      </c>
      <c r="AV8" s="13">
        <f>IF(SUM(AC8:AD8,AF8:AH8,AJ8)-SUM(AE8,AI8)&gt;0,SUM(AC8:AD8,AF8:AH8,AJ8)-SUM(AE8,AI8),"")</f>
        <v>56.800000000000004</v>
      </c>
      <c r="AW8" s="13">
        <f>IF(SUM(U8:V8,X8:Z8,AB8:AD8,AF8:AH8,AJ8)-SUM(W8,AA8,AE8,AI8)&gt;0,SUM(U8:V8,X8:Z8,AB8:AD8,AF8:AH8,AJ8)-SUM(W8,AA8,AE8,AI8),"")</f>
        <v>126.9</v>
      </c>
      <c r="AX8" s="13">
        <f>IF(SUM(AK8:AL8,AN8:AP8,AR8)-SUM(AM8,AQ8)&gt;0,SUM(AK8:AL8,AN8:AP8,AR8)-SUM(AM8,AQ8),"")</f>
        <v>69.7</v>
      </c>
      <c r="AY8" s="13">
        <f>IF(SUM(AW8,AX8)&gt;0,SUM(AW8,AX8),"")</f>
        <v>196.60000000000002</v>
      </c>
      <c r="AZ8" s="48">
        <v>27.7</v>
      </c>
      <c r="BA8" s="48">
        <v>6.8</v>
      </c>
      <c r="BB8" s="48">
        <v>0.9</v>
      </c>
      <c r="BC8" s="48">
        <v>0</v>
      </c>
      <c r="BD8" s="48">
        <v>26.2</v>
      </c>
      <c r="BE8" s="48">
        <v>7.7</v>
      </c>
      <c r="BF8" s="48">
        <v>1.5</v>
      </c>
      <c r="BG8" s="48">
        <v>0</v>
      </c>
      <c r="BH8" s="48">
        <v>28.7</v>
      </c>
      <c r="BI8" s="48">
        <v>7.2</v>
      </c>
      <c r="BJ8" s="48">
        <v>0.9</v>
      </c>
      <c r="BK8" s="48">
        <v>0</v>
      </c>
      <c r="BL8" s="48">
        <v>20</v>
      </c>
      <c r="BM8" s="48">
        <v>3.6</v>
      </c>
      <c r="BN8" s="48">
        <v>0</v>
      </c>
      <c r="BO8" s="48">
        <v>0</v>
      </c>
      <c r="BP8" s="48">
        <v>28.6</v>
      </c>
      <c r="BQ8" s="48">
        <v>7.2</v>
      </c>
      <c r="BR8" s="48">
        <v>0.9</v>
      </c>
      <c r="BS8" s="48">
        <v>0</v>
      </c>
      <c r="BT8" s="48">
        <v>19.8</v>
      </c>
      <c r="BU8" s="48">
        <v>3.2</v>
      </c>
      <c r="BV8" s="48">
        <v>0</v>
      </c>
      <c r="BW8" s="48">
        <v>0</v>
      </c>
      <c r="BX8" s="94"/>
      <c r="BY8" s="16">
        <f>IF(SUM(BA8,BE8,BI8,BM8)&gt;0,SUM(BA8,BE8,BI8,BM8),"")</f>
        <v>25.3</v>
      </c>
      <c r="BZ8" s="16">
        <f>IF(SUM(AZ8:BA8,BC8:BE8,BG8)-SUM(BB8,BF8)&gt;0,SUM(AZ8:BA8,BC8:BE8,BG8)-SUM(BB8,BF8),"")</f>
        <v>66</v>
      </c>
      <c r="CA8" s="16">
        <f>IF(SUM(BH8:BI8,BK8:BM8,BO8)-SUM(BJ8,BN8)&gt;0,SUM(BH8:BI8,BK8:BM8,BO8)-SUM(BJ8,BN8),"")</f>
        <v>58.6</v>
      </c>
      <c r="CB8" s="16">
        <f>IF(SUM(AZ8:BA8,BC8:BE8,BG8:BI8,BK8:BM8,BO8)-SUM(BB8,BF8,BJ8,BN8)&gt;0,SUM(AZ8:BA8,BC8:BE8,BG8:BI8,BK8:BM8,BO8)-SUM(BB8,BF8,BJ8,BN8),"")</f>
        <v>124.60000000000001</v>
      </c>
      <c r="CC8" s="16">
        <f>IF(SUM(BP8:BQ8,BS8:BU8,BW8)-SUM(BR8,BV8)&gt;0,SUM(BP8:BQ8,BS8:BU8,BW8)-SUM(BR8,BV8),"")</f>
        <v>57.900000000000013</v>
      </c>
      <c r="CD8" s="16">
        <f>IF(SUM(CB8,CC8)&gt;0,SUM(CB8,CC8),"")</f>
        <v>182.50000000000003</v>
      </c>
      <c r="CE8" s="47">
        <v>25.5</v>
      </c>
      <c r="CF8" s="47">
        <v>6.8</v>
      </c>
      <c r="CG8" s="47">
        <v>1.2</v>
      </c>
      <c r="CH8" s="47">
        <v>0</v>
      </c>
      <c r="CI8" s="47">
        <v>27.8</v>
      </c>
      <c r="CJ8" s="47">
        <v>7.3</v>
      </c>
      <c r="CK8" s="47">
        <v>0.3</v>
      </c>
      <c r="CL8" s="47">
        <v>0</v>
      </c>
      <c r="CM8" s="47">
        <v>28.2</v>
      </c>
      <c r="CN8" s="47">
        <v>7.6</v>
      </c>
      <c r="CO8" s="47">
        <v>0.9</v>
      </c>
      <c r="CP8" s="47">
        <v>0</v>
      </c>
      <c r="CQ8" s="47">
        <v>28.2</v>
      </c>
      <c r="CR8" s="47">
        <v>7.2</v>
      </c>
      <c r="CS8" s="47">
        <v>0.9</v>
      </c>
      <c r="CT8" s="47">
        <v>0</v>
      </c>
      <c r="CU8" s="47">
        <v>28.5</v>
      </c>
      <c r="CV8" s="47">
        <v>7.6</v>
      </c>
      <c r="CW8" s="47">
        <v>0.9</v>
      </c>
      <c r="CX8" s="47">
        <v>0</v>
      </c>
      <c r="CY8" s="47">
        <v>28.9</v>
      </c>
      <c r="CZ8" s="47">
        <v>7.2</v>
      </c>
      <c r="DA8" s="47">
        <v>0.9</v>
      </c>
      <c r="DB8" s="47">
        <v>0</v>
      </c>
      <c r="DC8" s="93"/>
      <c r="DD8" s="13">
        <f>IF(SUM(CF8,CJ8,CN8,CR8)&gt;0,SUM(CF8,CJ8,CN8,CR8),"")</f>
        <v>28.9</v>
      </c>
      <c r="DE8" s="13">
        <f>IF(SUM(CE8:CF8,CH8:CJ8,CL8)-SUM(CG8,CK8)&gt;0,SUM(CE8:CF8,CH8:CJ8,CL8)-SUM(CG8,CK8),"")</f>
        <v>65.899999999999991</v>
      </c>
      <c r="DF8" s="13">
        <f>IF(SUM(CM8:CN8,CP8:CR8,CT8)-SUM(CO8,CS8)&gt;0,SUM(CM8:CN8,CP8:CR8,CT8)-SUM(CO8,CS8),"")</f>
        <v>69.400000000000006</v>
      </c>
      <c r="DG8" s="13">
        <f>IF(SUM(CE8:CF8,CH8:CJ8,CL8:CN8,CP8:CR8,CT8)-SUM(CG8,CK8,CO8,CS8)&gt;0,SUM(CE8:CF8,CH8:CJ8,CL8:CN8,CP8:CR8,CT8)-SUM(CG8,CK8,CO8,CS8),"")</f>
        <v>135.29999999999995</v>
      </c>
      <c r="DH8" s="13">
        <f>IF(SUM(CU8:CV8,CX8:CZ8,DB8)-SUM(CW8,DA8)&gt;0,SUM(CU8:CV8,CX8:CZ8,DB8)-SUM(CW8,DA8),"")</f>
        <v>70.400000000000006</v>
      </c>
      <c r="DI8" s="13">
        <f>IF(SUM(DG8,DH8)&gt;0,SUM(DG8,DH8),"")</f>
        <v>205.69999999999996</v>
      </c>
      <c r="DJ8" s="30" t="str">
        <f>IF(MAX(EL8,FP8,GT8,HX8,JB8,KF8,LJ8,MN8,NR8,OV8,PZ8,RD8)-L8&gt;0.001,MAX(EL8,FP8,GT8,HX8,JB8,KF8,LJ8,MN8,NR8,OV8,PZ8,RD8)-L8,"")</f>
        <v/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>
        <v>28.1</v>
      </c>
      <c r="DN8" s="54">
        <v>6.8</v>
      </c>
      <c r="DO8" s="54">
        <v>0.9</v>
      </c>
      <c r="DP8" s="54">
        <v>0</v>
      </c>
      <c r="DQ8" s="54">
        <v>27.4</v>
      </c>
      <c r="DR8" s="54">
        <v>8.1</v>
      </c>
      <c r="DS8" s="54">
        <v>0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27.9</v>
      </c>
      <c r="ED8" s="54">
        <v>6.8</v>
      </c>
      <c r="EE8" s="54">
        <v>0.3</v>
      </c>
      <c r="EF8" s="54">
        <v>0</v>
      </c>
      <c r="EG8" s="54">
        <v>27.8</v>
      </c>
      <c r="EH8" s="54">
        <v>8.1</v>
      </c>
      <c r="EI8" s="54">
        <v>0.3</v>
      </c>
      <c r="EJ8" s="54">
        <v>0</v>
      </c>
      <c r="EK8" s="13">
        <f>IF(SUM(DN8,DR8,DV8,DZ8)&gt;0,SUM(DN8,DR8,DV8,DZ8),"")</f>
        <v>14.899999999999999</v>
      </c>
      <c r="EL8" s="13">
        <f>IF(SUM(DM8:DN8,DP8:DR8,DT8)-SUM(DO8,DS8)&gt;0,SUM(DM8:DN8,DP8:DR8,DT8)-SUM(DO8,DS8),"")</f>
        <v>69.499999999999986</v>
      </c>
      <c r="EM8" s="13" t="str">
        <f>IF(SUM(DU8:DV8,DX8:DZ8,EB8)-SUM(DW8,EA8)&gt;0,SUM(DU8:DV8,DX8:DZ8,EB8)-SUM(DW8,EA8),"")</f>
        <v/>
      </c>
      <c r="EN8" s="13">
        <f>IF(SUM(DM8:DN8,DP8:DR8,DT8:DV8,DX8:DZ8,EB8)-SUM(DO8,DS8,DW8,EA8)&gt;0,SUM(DM8:DN8,DP8:DR8,DT8:DV8,DX8:DZ8,EB8)-SUM(DO8,DS8,DW8,EA8),"")</f>
        <v>69.499999999999986</v>
      </c>
      <c r="EO8" s="13">
        <f>IF(SUM(EC8:ED8,EF8:EH8,EJ8)-SUM(EE8,EI8)&gt;0,SUM(EC8:ED8,EF8:EH8,EJ8)-SUM(EE8,EI8),"")</f>
        <v>70</v>
      </c>
      <c r="EP8" s="13">
        <f>IF(SUM(EN8,EO8)&gt;0,SUM(EN8,EO8),"")</f>
        <v>139.5</v>
      </c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 t="str">
        <f>IF(SUM(ER8,EV8,EZ8,FD8)&gt;0,SUM(ER8,EV8,EZ8,FD8),"")</f>
        <v/>
      </c>
      <c r="FP8" s="16" t="str">
        <f>IF(SUM(EQ8:ER8,ET8:EV8,EX8)-SUM(ES8,EW8)&gt;0,SUM(EQ8:ER8,ET8:EV8,EX8)-SUM(ES8,EW8),"")</f>
        <v/>
      </c>
      <c r="FQ8" s="16" t="str">
        <f>IF(SUM(EY8:EZ8,FB8:FD8,FF8)-SUM(FA8,FE8)&gt;0,SUM(EY8:EZ8,FB8:FD8,FF8)-SUM(FA8,FE8),"")</f>
        <v/>
      </c>
      <c r="FR8" s="16" t="str">
        <f>IF(SUM(EQ8:ER8,ET8:EV8,EX8:EZ8,FB8:FD8,FF8)-SUM(ES8,EW8,FA8,FE8)&gt;0,SUM(EQ8:ER8,ET8:EV8,EX8:EZ8,FB8:FD8,FF8)-SUM(ES8,EW8,FA8,FE8),"")</f>
        <v/>
      </c>
      <c r="FS8" s="16" t="str">
        <f>IF(SUM(FG8:FH8,FJ8:FL8,FN8)-SUM(FI8,FM8)&gt;0,SUM(FG8:FH8,FJ8:FL8,FN8)-SUM(FI8,FM8),"")</f>
        <v/>
      </c>
      <c r="FT8" s="16" t="str">
        <f>IF(SUM(FR8,FS8)&gt;0,SUM(FR8,FS8),"")</f>
        <v/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>IF(SUM(FV8,FZ8,GD8,GH8)&gt;0,SUM(FV8,FZ8,GD8,GH8),"")</f>
        <v/>
      </c>
      <c r="GT8" s="13" t="str">
        <f>IF(SUM(FU8:FV8,FX8:FZ8,GB8)-SUM(FW8,GA8)&gt;0,SUM(FU8:FV8,FX8:FZ8,GB8)-SUM(FW8,GA8),"")</f>
        <v/>
      </c>
      <c r="GU8" s="13" t="str">
        <f>IF(SUM(GC8:GD8,GF8:GH8,GJ8)-SUM(GE8,GI8)&gt;0,SUM(GC8:GD8,GF8:GH8,GJ8)-SUM(GE8,GI8),"")</f>
        <v/>
      </c>
      <c r="GV8" s="13" t="str">
        <f>IF(SUM(FU8:FV8,FX8:FZ8,GB8:GD8,GF8:GH8,GJ8)-SUM(FW8,GA8,GE8,GI8)&gt;0,SUM(FU8:FV8,FX8:FZ8,GB8:GD8,GF8:GH8,GJ8)-SUM(FW8,GA8,GE8,GI8),"")</f>
        <v/>
      </c>
      <c r="GW8" s="13" t="str">
        <f>IF(SUM(GK8:GL8,GN8:GP8,GR8)-SUM(GM8,GQ8)&gt;0,SUM(GK8:GL8,GN8:GP8,GR8)-SUM(GM8,GQ8),"")</f>
        <v/>
      </c>
      <c r="GX8" s="13" t="str">
        <f>IF(SUM(GV8,GW8)&gt;0,SUM(GV8,GW8),"")</f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>IF(SUM(GZ8,HD8,HH8,HL8)&gt;0,SUM(GZ8,HD8,HH8,HL8),"")</f>
        <v/>
      </c>
      <c r="HX8" s="16" t="str">
        <f>IF(SUM(GY8:GZ8,HB8:HD8,HF8)-SUM(HA8,HE8)&gt;0,SUM(GY8:GZ8,HB8:HD8,HF8)-SUM(HA8,HE8),"")</f>
        <v/>
      </c>
      <c r="HY8" s="16" t="str">
        <f>IF(SUM(HG8:HH8,HJ8:HL8,HN8)-SUM(HI8,HM8)&gt;0,SUM(HG8:HH8,HJ8:HL8,HN8)-SUM(HI8,HM8),"")</f>
        <v/>
      </c>
      <c r="HZ8" s="16" t="str">
        <f>IF(SUM(GY8:GZ8,HB8:HD8,HF8:HH8,HJ8:HL8,HN8)-SUM(HA8,HE8,HI8,HM8)&gt;0,SUM(GY8:GZ8,HB8:HD8,HF8:HH8,HJ8:HL8,HN8)-SUM(HA8,HE8,HI8,HM8),"")</f>
        <v/>
      </c>
      <c r="IA8" s="16" t="str">
        <f>IF(SUM(HO8:HP8,HR8:HT8,HV8)-SUM(HQ8,HU8)&gt;0,SUM(HO8:HP8,HR8:HT8,HV8)-SUM(HQ8,HU8),"")</f>
        <v/>
      </c>
      <c r="IB8" s="16" t="str">
        <f>IF(SUM(HZ8,IA8)&gt;0,SUM(HZ8,IA8),"")</f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>IF(SUM(ID8,IH8,IL8,IP8)&gt;0,SUM(ID8,IH8,IL8,IP8),"")</f>
        <v/>
      </c>
      <c r="JB8" s="13" t="str">
        <f>IF(SUM(IC8:ID8,IF8:IH8,IJ8)-SUM(IE8,II8)&gt;0,SUM(IC8:ID8,IF8:IH8,IJ8)-SUM(IE8,II8),"")</f>
        <v/>
      </c>
      <c r="JC8" s="13" t="str">
        <f>IF(SUM(IK8:IL8,IN8:IP8,IR8)-SUM(IM8,IQ8)&gt;0,SUM(IK8:IL8,IN8:IP8,IR8)-SUM(IM8,IQ8),"")</f>
        <v/>
      </c>
      <c r="JD8" s="13" t="str">
        <f>IF(SUM(IC8:ID8,IF8:IH8,IJ8:IL8,IN8:IP8,IR8)-SUM(IE8,II8,IM8,IQ8)&gt;0,SUM(IC8:ID8,IF8:IH8,IJ8:IL8,IN8:IP8,IR8)-SUM(IE8,II8,IM8,IQ8),"")</f>
        <v/>
      </c>
      <c r="JE8" s="13" t="str">
        <f>IF(SUM(IS8:IT8,IV8:IX8,IZ8)-SUM(IU8,IY8)&gt;0,SUM(IS8:IT8,IV8:IX8,IZ8)-SUM(IU8,IY8),"")</f>
        <v/>
      </c>
      <c r="JF8" s="13" t="str">
        <f>IF(SUM(JD8,JE8)&gt;0,SUM(JD8,JE8),"")</f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 t="str">
        <f>IF(SUM(JW8:JX8,JZ8:KB8,KD8)-SUM(JY8,KC8)&gt;0,SUM(JW8:JX8,JZ8:KB8,KD8)-SUM(JY8,KC8),"")</f>
        <v/>
      </c>
      <c r="KJ8" s="16" t="str">
        <f>IF(SUM(KH8,KI8)&gt;0,SUM(KH8,KI8),"")</f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IF(AND(F9="P",H9="P"),SUMPRODUCT((F$4:F$13="P")*(H$4:H$13="P")*(E$4:E$13&gt;E9))+1,IF(H9="P",SUMPRODUCT((F$4:F$13="")*(H$4:H$13="P")*(E$4:E$13&gt;E9))+1+SUMPRODUCT((F$4:F$13="P")*(H$4:H$13="P")),""))</f>
        <v>5</v>
      </c>
      <c r="B9" s="9" t="s">
        <v>71</v>
      </c>
      <c r="C9" s="5" t="s">
        <v>5</v>
      </c>
      <c r="D9" s="6">
        <v>1998</v>
      </c>
      <c r="E9" s="17">
        <f>SUM(J9:R9)</f>
        <v>313.70000000000005</v>
      </c>
      <c r="F9" s="4" t="str">
        <f>IF(OR(AND($AT9&gt;=$AU$16,NOT($AT9=""),$AS9=""),AND($BY9&gt;=$BZ$16,NOT($BY9=""),$BX9=""),AND($DD9&gt;=$DE$16,NOT($DD9=""),$DC9="")),"P","")</f>
        <v>P</v>
      </c>
      <c r="G9" s="4" t="str">
        <f>IF(OR(AND($AT9&gt;=$AU$17,NOT($AT9=""),$AS9=""),AND($BY9&gt;=$BZ$17,NOT($BY9=""),$BX9=""),AND($DD9&gt;=$DE$17,NOT($DD9=""),$DC9="")),"P","")</f>
        <v>P</v>
      </c>
      <c r="H9" s="4" t="str">
        <f>IF(OR(AND($AW9&gt;=$AU$18,NOT($AW9=""),$AS9=""),AND($CB9&gt;=$BZ$18,NOT($CB9=""),$BX9=""),AND($DG9&gt;=$DE$18,NOT($DG9=""),$DC9="")),"P","")</f>
        <v>P</v>
      </c>
      <c r="I9" t="str">
        <f>IF(AND(G9="P",OR(AND($AW9&gt;=$AU$21,NOT($AW9=""),$AS9=""),AND($CB9&gt;=$BZ$21,NOT($CB9=""),$BX9=""),AND($DG9&gt;=$DE$21,NOT($DG9=""),$DC9=""))),"Merit",IF(AND(G9="P",OR(AND($AW9&gt;=$AU$20,NOT($AW9=""),$AS9=""),AND($CB9&gt;=$BZ$20,NOT($CB9=""),$BX9=""),AND($DG9&gt;=$DE$20,NOT($DG9=""),$DC9=""))),"Funding",IF(AND(G9="P",OR(AND($AW9&gt;=$AU$19,NOT($AW9=""),$AS9=""),AND($CB9&gt;=$BZ$19,NOT($CB9=""),$BX9=""),AND($DG9&gt;=$DE$19,NOT($DG9=""),$DC9=""))),"Worlds Team",IF(AND(F9="P",OR(AND($AW9&gt;=$AU$18,NOT($AW9=""),$AS9=""),AND($CB9&gt;=$BZ$18,NOT($CB9=""),$BX9=""),AND($DG9&gt;=$DE$18,NOT($DG9=""),$DC9=""))),"National Team",""))))</f>
        <v>National Team</v>
      </c>
      <c r="J9" s="16">
        <f>MAX(AW9,CB9,DG9)</f>
        <v>137</v>
      </c>
      <c r="K9" s="16" t="str">
        <f>IF(J9=DG9,$CE$1,IF(J9=CB9,$AZ$1,IF(J9=AW9,$U$1,"")))</f>
        <v>2018 Canada Cup</v>
      </c>
      <c r="L9" s="16">
        <f>IF($J9=$AW9,MAX(BZ9,DE9),IF($J9=$CB9,MAX(AU9,DE9),MAX(AU9,BZ9)))</f>
        <v>70.400000000000006</v>
      </c>
      <c r="M9" s="16" t="str">
        <f>IF(AND(L9=DE9,$K9&lt;&gt;$CE$1),$CE$1,IF(AND(L9=BZ9,$K9&lt;&gt;$AZ$1),$AZ$1,IF(AND(L9=AU9,$K9&lt;&gt;$U$1),$U$1,"")))</f>
        <v>2018 Nationals</v>
      </c>
      <c r="N9" s="16">
        <f>IF($J9=$AW9,MAX(CA9,DF9),IF($J9=$CB9,MAX(AV9,DF9),MAX(AV9,CA9)))</f>
        <v>34.9</v>
      </c>
      <c r="O9" s="16" t="str">
        <f>IF(AND(N9=DF9,$K9&lt;&gt;$CE$1),$CE$1,IF(AND(N9=CA9,$K9&lt;&gt;$AZ$1),$AZ$1,IF(AND(N9=AV9,$K9&lt;&gt;$U$1),$U$1,"")))</f>
        <v>2018 Nationals</v>
      </c>
      <c r="P9" s="16">
        <f>MAX(AX9,CC9,DH9)</f>
        <v>71.400000000000006</v>
      </c>
      <c r="Q9" s="16" t="str">
        <f>IF(P9=DH9,$CE$1,IF(P9=CC9,$AZ$1,IF(P9=AX9,$U$1,"")))</f>
        <v>2018 Nationals</v>
      </c>
      <c r="R9" s="16" t="str">
        <f>IF(MAX(DJ9:DL9)&gt;0,MAX(DJ9:DL9),"")</f>
        <v/>
      </c>
      <c r="S9" s="31" t="str">
        <f>IF(R9="","",IF(R9=DJ9,"(Pass 1-2)",IF(R9=DK9,"(Pass 3-4)",IF(R9=DL9,"(Final)"))))</f>
        <v/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/>
      </c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93"/>
      <c r="AT9" s="13" t="str">
        <f>IF(SUM(V9,Z9,AD9,AH9)&gt;0,SUM(V9,Z9,AD9,AH9),"")</f>
        <v/>
      </c>
      <c r="AU9" s="13" t="str">
        <f>IF(SUM(U9:V9,X9:Z9,AB9)-SUM(W9,AA9)&gt;0,SUM(U9:V9,X9:Z9,AB9)-SUM(W9,AA9),"")</f>
        <v/>
      </c>
      <c r="AV9" s="13" t="str">
        <f>IF(SUM(AC9:AD9,AF9:AH9,AJ9)-SUM(AE9,AI9)&gt;0,SUM(AC9:AD9,AF9:AH9,AJ9)-SUM(AE9,AI9),"")</f>
        <v/>
      </c>
      <c r="AW9" s="13" t="str">
        <f>IF(SUM(U9:V9,X9:Z9,AB9:AD9,AF9:AH9,AJ9)-SUM(W9,AA9,AE9,AI9)&gt;0,SUM(U9:V9,X9:Z9,AB9:AD9,AF9:AH9,AJ9)-SUM(W9,AA9,AE9,AI9),"")</f>
        <v/>
      </c>
      <c r="AX9" s="13" t="str">
        <f>IF(SUM(AK9:AL9,AN9:AP9,AR9)-SUM(AM9,AQ9)&gt;0,SUM(AK9:AL9,AN9:AP9,AR9)-SUM(AM9,AQ9),"")</f>
        <v/>
      </c>
      <c r="AY9" s="13" t="str">
        <f>IF(SUM(AW9,AX9)&gt;0,SUM(AW9,AX9),"")</f>
        <v/>
      </c>
      <c r="AZ9" s="48">
        <v>27.5</v>
      </c>
      <c r="BA9" s="48">
        <v>8.4</v>
      </c>
      <c r="BB9" s="48">
        <v>0.9</v>
      </c>
      <c r="BC9" s="48">
        <v>0</v>
      </c>
      <c r="BD9" s="48">
        <v>27.4</v>
      </c>
      <c r="BE9" s="48">
        <v>8.1</v>
      </c>
      <c r="BF9" s="48">
        <v>1.2</v>
      </c>
      <c r="BG9" s="48">
        <v>0</v>
      </c>
      <c r="BH9" s="48">
        <v>27</v>
      </c>
      <c r="BI9" s="48">
        <v>8.4</v>
      </c>
      <c r="BJ9" s="48">
        <v>1.2</v>
      </c>
      <c r="BK9" s="48">
        <v>0</v>
      </c>
      <c r="BL9" s="48">
        <v>26.7</v>
      </c>
      <c r="BM9" s="48">
        <v>6.8</v>
      </c>
      <c r="BN9" s="48">
        <v>0</v>
      </c>
      <c r="BO9" s="48">
        <v>0</v>
      </c>
      <c r="BP9" s="48">
        <v>27.5</v>
      </c>
      <c r="BQ9" s="48">
        <v>8.1</v>
      </c>
      <c r="BR9" s="48">
        <v>0.9</v>
      </c>
      <c r="BS9" s="48">
        <v>0</v>
      </c>
      <c r="BT9" s="48">
        <v>27.7</v>
      </c>
      <c r="BU9" s="48">
        <v>8.4</v>
      </c>
      <c r="BV9" s="48">
        <v>0.3</v>
      </c>
      <c r="BW9" s="48">
        <v>0</v>
      </c>
      <c r="BX9" s="94"/>
      <c r="BY9" s="16">
        <f>IF(SUM(BA9,BE9,BI9,BM9)&gt;0,SUM(BA9,BE9,BI9,BM9),"")</f>
        <v>31.7</v>
      </c>
      <c r="BZ9" s="16">
        <f>IF(SUM(AZ9:BA9,BC9:BE9,BG9)-SUM(BB9,BF9)&gt;0,SUM(AZ9:BA9,BC9:BE9,BG9)-SUM(BB9,BF9),"")</f>
        <v>69.3</v>
      </c>
      <c r="CA9" s="16">
        <f>IF(SUM(BH9:BI9,BK9:BM9,BO9)-SUM(BJ9,BN9)&gt;0,SUM(BH9:BI9,BK9:BM9,BO9)-SUM(BJ9,BN9),"")</f>
        <v>67.699999999999989</v>
      </c>
      <c r="CB9" s="16">
        <f>IF(SUM(AZ9:BA9,BC9:BE9,BG9:BI9,BK9:BM9,BO9)-SUM(BB9,BF9,BJ9,BN9)&gt;0,SUM(AZ9:BA9,BC9:BE9,BG9:BI9,BK9:BM9,BO9)-SUM(BB9,BF9,BJ9,BN9),"")</f>
        <v>137</v>
      </c>
      <c r="CC9" s="16">
        <f>IF(SUM(BP9:BQ9,BS9:BU9,BW9)-SUM(BR9,BV9)&gt;0,SUM(BP9:BQ9,BS9:BU9,BW9)-SUM(BR9,BV9),"")</f>
        <v>70.5</v>
      </c>
      <c r="CD9" s="16">
        <f>IF(SUM(CB9,CC9)&gt;0,SUM(CB9,CC9),"")</f>
        <v>207.5</v>
      </c>
      <c r="CE9" s="47">
        <v>27.8</v>
      </c>
      <c r="CF9" s="47">
        <v>8.4</v>
      </c>
      <c r="CG9" s="47">
        <v>0.3</v>
      </c>
      <c r="CH9" s="47">
        <v>0</v>
      </c>
      <c r="CI9" s="47">
        <v>26.7</v>
      </c>
      <c r="CJ9" s="47">
        <v>8.1</v>
      </c>
      <c r="CK9" s="47">
        <v>0.3</v>
      </c>
      <c r="CL9" s="47">
        <v>0</v>
      </c>
      <c r="CM9" s="47">
        <v>0</v>
      </c>
      <c r="CN9" s="47">
        <v>0</v>
      </c>
      <c r="CO9" s="47">
        <v>0</v>
      </c>
      <c r="CP9" s="47">
        <v>0</v>
      </c>
      <c r="CQ9" s="47">
        <v>28.1</v>
      </c>
      <c r="CR9" s="47">
        <v>6.8</v>
      </c>
      <c r="CS9" s="47">
        <v>0</v>
      </c>
      <c r="CT9" s="47">
        <v>0</v>
      </c>
      <c r="CU9" s="47">
        <v>27.9</v>
      </c>
      <c r="CV9" s="47">
        <v>8.1</v>
      </c>
      <c r="CW9" s="47">
        <v>0</v>
      </c>
      <c r="CX9" s="47">
        <v>0</v>
      </c>
      <c r="CY9" s="47">
        <v>28.5</v>
      </c>
      <c r="CZ9" s="47">
        <v>8.4</v>
      </c>
      <c r="DA9" s="47">
        <v>1.5</v>
      </c>
      <c r="DB9" s="47">
        <v>0</v>
      </c>
      <c r="DC9" s="93"/>
      <c r="DD9" s="13">
        <f>IF(SUM(CF9,CJ9,CN9,CR9)&gt;0,SUM(CF9,CJ9,CN9,CR9),"")</f>
        <v>23.3</v>
      </c>
      <c r="DE9" s="13">
        <f>IF(SUM(CE9:CF9,CH9:CJ9,CL9)-SUM(CG9,CK9)&gt;0,SUM(CE9:CF9,CH9:CJ9,CL9)-SUM(CG9,CK9),"")</f>
        <v>70.400000000000006</v>
      </c>
      <c r="DF9" s="13">
        <f>IF(SUM(CM9:CN9,CP9:CR9,CT9)-SUM(CO9,CS9)&gt;0,SUM(CM9:CN9,CP9:CR9,CT9)-SUM(CO9,CS9),"")</f>
        <v>34.9</v>
      </c>
      <c r="DG9" s="13">
        <f>IF(SUM(CE9:CF9,CH9:CJ9,CL9:CN9,CP9:CR9,CT9)-SUM(CG9,CK9,CO9,CS9)&gt;0,SUM(CE9:CF9,CH9:CJ9,CL9:CN9,CP9:CR9,CT9)-SUM(CG9,CK9,CO9,CS9),"")</f>
        <v>105.3</v>
      </c>
      <c r="DH9" s="13">
        <f>IF(SUM(CU9:CV9,CX9:CZ9,DB9)-SUM(CW9,DA9)&gt;0,SUM(CU9:CV9,CX9:CZ9,DB9)-SUM(CW9,DA9),"")</f>
        <v>71.400000000000006</v>
      </c>
      <c r="DI9" s="13">
        <f>IF(SUM(DG9,DH9)&gt;0,SUM(DG9,DH9),"")</f>
        <v>176.7</v>
      </c>
      <c r="DJ9" s="30" t="str">
        <f>IF(MAX(EL9,FP9,GT9,HX9,JB9,KF9,LJ9,MN9,NR9,OV9,PZ9,RD9)-L9&gt;0.001,MAX(EL9,FP9,GT9,HX9,JB9,KF9,LJ9,MN9,NR9,OV9,PZ9,RD9)-L9,"")</f>
        <v/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>IF(SUM(DN9,DR9,DV9,DZ9)&gt;0,SUM(DN9,DR9,DV9,DZ9),"")</f>
        <v/>
      </c>
      <c r="EL9" s="13" t="str">
        <f>IF(SUM(DM9:DN9,DP9:DR9,DT9)-SUM(DO9,DS9)&gt;0,SUM(DM9:DN9,DP9:DR9,DT9)-SUM(DO9,DS9),"")</f>
        <v/>
      </c>
      <c r="EM9" s="13" t="str">
        <f>IF(SUM(DU9:DV9,DX9:DZ9,EB9)-SUM(DW9,EA9)&gt;0,SUM(DU9:DV9,DX9:DZ9,EB9)-SUM(DW9,EA9),"")</f>
        <v/>
      </c>
      <c r="EN9" s="13" t="str">
        <f>IF(SUM(DM9:DN9,DP9:DR9,DT9:DV9,DX9:DZ9,EB9)-SUM(DO9,DS9,DW9,EA9)&gt;0,SUM(DM9:DN9,DP9:DR9,DT9:DV9,DX9:DZ9,EB9)-SUM(DO9,DS9,DW9,EA9),"")</f>
        <v/>
      </c>
      <c r="EO9" s="13" t="str">
        <f>IF(SUM(EC9:ED9,EF9:EH9,EJ9)-SUM(EE9,EI9)&gt;0,SUM(EC9:ED9,EF9:EH9,EJ9)-SUM(EE9,EI9),"")</f>
        <v/>
      </c>
      <c r="EP9" s="13" t="str">
        <f>IF(SUM(EN9,EO9)&gt;0,SUM(EN9,EO9),"")</f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 t="str">
        <f>IF(SUM(FG9:FH9,FJ9:FL9,FN9)-SUM(FI9,FM9)&gt;0,SUM(FG9:FH9,FJ9:FL9,FN9)-SUM(FI9,FM9),"")</f>
        <v/>
      </c>
      <c r="FT9" s="16" t="str">
        <f>IF(SUM(FR9,FS9)&gt;0,SUM(FR9,FS9),"")</f>
        <v/>
      </c>
      <c r="FU9" s="54">
        <v>27.6</v>
      </c>
      <c r="FV9" s="54">
        <v>8.1</v>
      </c>
      <c r="FW9" s="54">
        <v>2.4</v>
      </c>
      <c r="FX9" s="54">
        <v>0</v>
      </c>
      <c r="FY9" s="54">
        <v>20</v>
      </c>
      <c r="FZ9" s="54">
        <v>4</v>
      </c>
      <c r="GA9" s="54">
        <v>0</v>
      </c>
      <c r="GB9" s="54">
        <v>0</v>
      </c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>
        <f>IF(SUM(FV9,FZ9,GD9,GH9)&gt;0,SUM(FV9,FZ9,GD9,GH9),"")</f>
        <v>12.1</v>
      </c>
      <c r="GT9" s="13">
        <f>IF(SUM(FU9:FV9,FX9:FZ9,GB9)-SUM(FW9,GA9)&gt;0,SUM(FU9:FV9,FX9:FZ9,GB9)-SUM(FW9,GA9),"")</f>
        <v>57.300000000000004</v>
      </c>
      <c r="GU9" s="13" t="str">
        <f>IF(SUM(GC9:GD9,GF9:GH9,GJ9)-SUM(GE9,GI9)&gt;0,SUM(GC9:GD9,GF9:GH9,GJ9)-SUM(GE9,GI9),"")</f>
        <v/>
      </c>
      <c r="GV9" s="13">
        <f>IF(SUM(FU9:FV9,FX9:FZ9,GB9:GD9,GF9:GH9,GJ9)-SUM(FW9,GA9,GE9,GI9)&gt;0,SUM(FU9:FV9,FX9:FZ9,GB9:GD9,GF9:GH9,GJ9)-SUM(FW9,GA9,GE9,GI9),"")</f>
        <v>57.300000000000004</v>
      </c>
      <c r="GW9" s="13" t="str">
        <f>IF(SUM(GK9:GL9,GN9:GP9,GR9)-SUM(GM9,GQ9)&gt;0,SUM(GK9:GL9,GN9:GP9,GR9)-SUM(GM9,GQ9),"")</f>
        <v/>
      </c>
      <c r="GX9" s="13">
        <f>IF(SUM(GV9,GW9)&gt;0,SUM(GV9,GW9),"")</f>
        <v>57.300000000000004</v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>IF(SUM(GZ9,HD9,HH9,HL9)&gt;0,SUM(GZ9,HD9,HH9,HL9),"")</f>
        <v/>
      </c>
      <c r="HX9" s="16" t="str">
        <f>IF(SUM(GY9:GZ9,HB9:HD9,HF9)-SUM(HA9,HE9)&gt;0,SUM(GY9:GZ9,HB9:HD9,HF9)-SUM(HA9,HE9),"")</f>
        <v/>
      </c>
      <c r="HY9" s="16" t="str">
        <f>IF(SUM(HG9:HH9,HJ9:HL9,HN9)-SUM(HI9,HM9)&gt;0,SUM(HG9:HH9,HJ9:HL9,HN9)-SUM(HI9,HM9),"")</f>
        <v/>
      </c>
      <c r="HZ9" s="16" t="str">
        <f>IF(SUM(GY9:GZ9,HB9:HD9,HF9:HH9,HJ9:HL9,HN9)-SUM(HA9,HE9,HI9,HM9)&gt;0,SUM(GY9:GZ9,HB9:HD9,HF9:HH9,HJ9:HL9,HN9)-SUM(HA9,HE9,HI9,HM9),"")</f>
        <v/>
      </c>
      <c r="IA9" s="16" t="str">
        <f>IF(SUM(HO9:HP9,HR9:HT9,HV9)-SUM(HQ9,HU9)&gt;0,SUM(HO9:HP9,HR9:HT9,HV9)-SUM(HQ9,HU9),"")</f>
        <v/>
      </c>
      <c r="IB9" s="16" t="str">
        <f>IF(SUM(HZ9,IA9)&gt;0,SUM(HZ9,IA9),"")</f>
        <v/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>IF(SUM(ID9,IH9,IL9,IP9)&gt;0,SUM(ID9,IH9,IL9,IP9),"")</f>
        <v/>
      </c>
      <c r="JB9" s="13" t="str">
        <f>IF(SUM(IC9:ID9,IF9:IH9,IJ9)-SUM(IE9,II9)&gt;0,SUM(IC9:ID9,IF9:IH9,IJ9)-SUM(IE9,II9),"")</f>
        <v/>
      </c>
      <c r="JC9" s="13" t="str">
        <f>IF(SUM(IK9:IL9,IN9:IP9,IR9)-SUM(IM9,IQ9)&gt;0,SUM(IK9:IL9,IN9:IP9,IR9)-SUM(IM9,IQ9),"")</f>
        <v/>
      </c>
      <c r="JD9" s="13" t="str">
        <f>IF(SUM(IC9:ID9,IF9:IH9,IJ9:IL9,IN9:IP9,IR9)-SUM(IE9,II9,IM9,IQ9)&gt;0,SUM(IC9:ID9,IF9:IH9,IJ9:IL9,IN9:IP9,IR9)-SUM(IE9,II9,IM9,IQ9),"")</f>
        <v/>
      </c>
      <c r="JE9" s="13" t="str">
        <f>IF(SUM(IS9:IT9,IV9:IX9,IZ9)-SUM(IU9,IY9)&gt;0,SUM(IS9:IT9,IV9:IX9,IZ9)-SUM(IU9,IY9),"")</f>
        <v/>
      </c>
      <c r="JF9" s="13" t="str">
        <f>IF(SUM(JD9,JE9)&gt;0,SUM(JD9,JE9),"")</f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 t="str">
        <f>IF(SUM(JW9:JX9,JZ9:KB9,KD9)-SUM(JY9,KC9)&gt;0,SUM(JW9:JX9,JZ9:KB9,KD9)-SUM(JY9,KC9),"")</f>
        <v/>
      </c>
      <c r="KJ9" s="16" t="str">
        <f>IF(SUM(KH9,KI9)&gt;0,SUM(KH9,KI9),"")</f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6</v>
      </c>
      <c r="B10" s="9" t="s">
        <v>127</v>
      </c>
      <c r="C10" s="5" t="s">
        <v>5</v>
      </c>
      <c r="D10" s="6">
        <v>1999</v>
      </c>
      <c r="E10" s="17">
        <f>SUM(J10:R10)</f>
        <v>333.40000000000003</v>
      </c>
      <c r="F10" s="4" t="str">
        <f>IF(OR(AND($AT10&gt;=$AU$16,NOT($AT10=""),$AS10=""),AND($BY10&gt;=$BZ$16,NOT($BY10=""),$BX10=""),AND($DD10&gt;=$DE$16,NOT($DD10=""),$DC10="")),"P","")</f>
        <v/>
      </c>
      <c r="G10" s="4" t="str">
        <f>IF(OR(AND($AT10&gt;=$AU$17,NOT($AT10=""),$AS10=""),AND($BY10&gt;=$BZ$17,NOT($BY10=""),$BX10=""),AND($DD10&gt;=$DE$17,NOT($DD10=""),$DC10="")),"P","")</f>
        <v/>
      </c>
      <c r="H10" s="4" t="str">
        <f>IF(OR(AND($AW10&gt;=$AU$18,NOT($AW10=""),$AS10=""),AND($CB10&gt;=$BZ$18,NOT($CB10=""),$BX10=""),AND($DG10&gt;=$DE$18,NOT($DG10=""),$DC10="")),"P","")</f>
        <v>P</v>
      </c>
      <c r="I10" t="str">
        <f>IF(AND(G10="P",OR(AND($AW10&gt;=$AU$21,NOT($AW10=""),$AS10=""),AND($CB10&gt;=$BZ$21,NOT($CB10=""),$BX10=""),AND($DG10&gt;=$DE$21,NOT($DG10=""),$DC10=""))),"Merit",IF(AND(G10="P",OR(AND($AW10&gt;=$AU$20,NOT($AW10=""),$AS10=""),AND($CB10&gt;=$BZ$20,NOT($CB10=""),$BX10=""),AND($DG10&gt;=$DE$20,NOT($DG10=""),$DC10=""))),"Funding",IF(AND(G10="P",OR(AND($AW10&gt;=$AU$19,NOT($AW10=""),$AS10=""),AND($CB10&gt;=$BZ$19,NOT($CB10=""),$BX10=""),AND($DG10&gt;=$DE$19,NOT($DG10=""),$DC10=""))),"Worlds Team",IF(AND(F10="P",OR(AND($AW10&gt;=$AU$18,NOT($AW10=""),$AS10=""),AND($CB10&gt;=$BZ$18,NOT($CB10=""),$BX10=""),AND($DG10&gt;=$DE$18,NOT($DG10=""),$DC10=""))),"National Team",""))))</f>
        <v/>
      </c>
      <c r="J10" s="16">
        <f>MAX(AW10,CB10,DG10)</f>
        <v>136.90000000000003</v>
      </c>
      <c r="K10" s="16" t="str">
        <f>IF(J10=DG10,$CE$1,IF(J10=CB10,$AZ$1,IF(J10=AW10,$U$1,"")))</f>
        <v>2018 Canada Cup</v>
      </c>
      <c r="L10" s="16">
        <f>IF($J10=$AW10,MAX(BZ10,DE10),IF($J10=$CB10,MAX(AU10,DE10),MAX(AU10,BZ10)))</f>
        <v>69.2</v>
      </c>
      <c r="M10" s="16" t="str">
        <f>IF(AND(L10=DE10,$K10&lt;&gt;$CE$1),$CE$1,IF(AND(L10=BZ10,$K10&lt;&gt;$AZ$1),$AZ$1,IF(AND(L10=AU10,$K10&lt;&gt;$U$1),$U$1,"")))</f>
        <v>2018 Nationals</v>
      </c>
      <c r="N10" s="16">
        <f>IF($J10=$AW10,MAX(CA10,DF10),IF($J10=$CB10,MAX(AV10,DF10),MAX(AV10,CA10)))</f>
        <v>57.5</v>
      </c>
      <c r="O10" s="16" t="str">
        <f>IF(AND(N10=DF10,$K10&lt;&gt;$CE$1),$CE$1,IF(AND(N10=CA10,$K10&lt;&gt;$AZ$1),$AZ$1,IF(AND(N10=AV10,$K10&lt;&gt;$U$1),$U$1,"")))</f>
        <v>2018 Nationals</v>
      </c>
      <c r="P10" s="16">
        <f>MAX(AX10,CC10,DH10)</f>
        <v>69.8</v>
      </c>
      <c r="Q10" s="16" t="str">
        <f>IF(P10=DH10,$CE$1,IF(P10=CC10,$AZ$1,IF(P10=AX10,$U$1,"")))</f>
        <v>2018 Canada Cup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93"/>
      <c r="AT10" s="13" t="str">
        <f>IF(SUM(V10,Z10,AD10,AH10)&gt;0,SUM(V10,Z10,AD10,AH10),"")</f>
        <v/>
      </c>
      <c r="AU10" s="13" t="str">
        <f>IF(SUM(U10:V10,X10:Z10,AB10)-SUM(W10,AA10)&gt;0,SUM(U10:V10,X10:Z10,AB10)-SUM(W10,AA10),"")</f>
        <v/>
      </c>
      <c r="AV10" s="13" t="str">
        <f>IF(SUM(AC10:AD10,AF10:AH10,AJ10)-SUM(AE10,AI10)&gt;0,SUM(AC10:AD10,AF10:AH10,AJ10)-SUM(AE10,AI10),"")</f>
        <v/>
      </c>
      <c r="AW10" s="13" t="str">
        <f>IF(SUM(U10:V10,X10:Z10,AB10:AD10,AF10:AH10,AJ10)-SUM(W10,AA10,AE10,AI10)&gt;0,SUM(U10:V10,X10:Z10,AB10:AD10,AF10:AH10,AJ10)-SUM(W10,AA10,AE10,AI10),"")</f>
        <v/>
      </c>
      <c r="AX10" s="13" t="str">
        <f>IF(SUM(AK10:AL10,AN10:AP10,AR10)-SUM(AM10,AQ10)&gt;0,SUM(AK10:AL10,AN10:AP10,AR10)-SUM(AM10,AQ10),"")</f>
        <v/>
      </c>
      <c r="AY10" s="13" t="str">
        <f>IF(SUM(AW10,AX10)&gt;0,SUM(AW10,AX10),"")</f>
        <v/>
      </c>
      <c r="AZ10" s="48">
        <v>27.9</v>
      </c>
      <c r="BA10" s="48">
        <v>7.2</v>
      </c>
      <c r="BB10" s="48">
        <v>0.3</v>
      </c>
      <c r="BC10" s="48">
        <v>0</v>
      </c>
      <c r="BD10" s="48">
        <v>27.9</v>
      </c>
      <c r="BE10" s="48">
        <v>6.4</v>
      </c>
      <c r="BF10" s="48">
        <v>0</v>
      </c>
      <c r="BG10" s="48">
        <v>0</v>
      </c>
      <c r="BH10" s="48">
        <v>27.4</v>
      </c>
      <c r="BI10" s="48">
        <v>6.8</v>
      </c>
      <c r="BJ10" s="48">
        <v>0.9</v>
      </c>
      <c r="BK10" s="48">
        <v>0</v>
      </c>
      <c r="BL10" s="48">
        <v>27.7</v>
      </c>
      <c r="BM10" s="48">
        <v>6.8</v>
      </c>
      <c r="BN10" s="48">
        <v>0</v>
      </c>
      <c r="BO10" s="48">
        <v>0</v>
      </c>
      <c r="BP10" s="48">
        <v>28.2</v>
      </c>
      <c r="BQ10" s="48">
        <v>7.2</v>
      </c>
      <c r="BR10" s="48">
        <v>0.3</v>
      </c>
      <c r="BS10" s="48">
        <v>0</v>
      </c>
      <c r="BT10" s="48">
        <v>27.5</v>
      </c>
      <c r="BU10" s="48">
        <v>7.2</v>
      </c>
      <c r="BV10" s="48">
        <v>0</v>
      </c>
      <c r="BW10" s="48">
        <v>0</v>
      </c>
      <c r="BX10" s="94"/>
      <c r="BY10" s="16">
        <f>IF(SUM(BA10,BE10,BI10,BM10)&gt;0,SUM(BA10,BE10,BI10,BM10),"")</f>
        <v>27.200000000000003</v>
      </c>
      <c r="BZ10" s="16">
        <f>IF(SUM(AZ10:BA10,BC10:BE10,BG10)-SUM(BB10,BF10)&gt;0,SUM(AZ10:BA10,BC10:BE10,BG10)-SUM(BB10,BF10),"")</f>
        <v>69.100000000000009</v>
      </c>
      <c r="CA10" s="16">
        <f>IF(SUM(BH10:BI10,BK10:BM10,BO10)-SUM(BJ10,BN10)&gt;0,SUM(BH10:BI10,BK10:BM10,BO10)-SUM(BJ10,BN10),"")</f>
        <v>67.799999999999983</v>
      </c>
      <c r="CB10" s="16">
        <f>IF(SUM(AZ10:BA10,BC10:BE10,BG10:BI10,BK10:BM10,BO10)-SUM(BB10,BF10,BJ10,BN10)&gt;0,SUM(AZ10:BA10,BC10:BE10,BG10:BI10,BK10:BM10,BO10)-SUM(BB10,BF10,BJ10,BN10),"")</f>
        <v>136.90000000000003</v>
      </c>
      <c r="CC10" s="16">
        <f>IF(SUM(BP10:BQ10,BS10:BU10,BW10)-SUM(BR10,BV10)&gt;0,SUM(BP10:BQ10,BS10:BU10,BW10)-SUM(BR10,BV10),"")</f>
        <v>69.8</v>
      </c>
      <c r="CD10" s="16">
        <f>IF(SUM(CB10,CC10)&gt;0,SUM(CB10,CC10),"")</f>
        <v>206.70000000000005</v>
      </c>
      <c r="CE10" s="47">
        <v>28.3</v>
      </c>
      <c r="CF10" s="47">
        <v>7.2</v>
      </c>
      <c r="CG10" s="47">
        <v>0</v>
      </c>
      <c r="CH10" s="47">
        <v>0</v>
      </c>
      <c r="CI10" s="47">
        <v>28.5</v>
      </c>
      <c r="CJ10" s="47">
        <v>5.2</v>
      </c>
      <c r="CK10" s="47">
        <v>0</v>
      </c>
      <c r="CL10" s="47">
        <v>0</v>
      </c>
      <c r="CM10" s="47">
        <v>27.5</v>
      </c>
      <c r="CN10" s="47">
        <v>7.2</v>
      </c>
      <c r="CO10" s="47">
        <v>0</v>
      </c>
      <c r="CP10" s="47">
        <v>0</v>
      </c>
      <c r="CQ10" s="47">
        <v>20.399999999999999</v>
      </c>
      <c r="CR10" s="47">
        <v>2.4</v>
      </c>
      <c r="CS10" s="47">
        <v>0</v>
      </c>
      <c r="CT10" s="47">
        <v>0</v>
      </c>
      <c r="CU10" s="47">
        <v>28.1</v>
      </c>
      <c r="CV10" s="47">
        <v>7.2</v>
      </c>
      <c r="CW10" s="47">
        <v>0.9</v>
      </c>
      <c r="CX10" s="47">
        <v>0</v>
      </c>
      <c r="CY10" s="47">
        <v>27.4</v>
      </c>
      <c r="CZ10" s="47">
        <v>7.2</v>
      </c>
      <c r="DA10" s="47">
        <v>0.9</v>
      </c>
      <c r="DB10" s="47">
        <v>0</v>
      </c>
      <c r="DC10" s="93"/>
      <c r="DD10" s="13">
        <f>IF(SUM(CF10,CJ10,CN10,CR10)&gt;0,SUM(CF10,CJ10,CN10,CR10),"")</f>
        <v>22</v>
      </c>
      <c r="DE10" s="13">
        <f>IF(SUM(CE10:CF10,CH10:CJ10,CL10)-SUM(CG10,CK10)&gt;0,SUM(CE10:CF10,CH10:CJ10,CL10)-SUM(CG10,CK10),"")</f>
        <v>69.2</v>
      </c>
      <c r="DF10" s="13">
        <f>IF(SUM(CM10:CN10,CP10:CR10,CT10)-SUM(CO10,CS10)&gt;0,SUM(CM10:CN10,CP10:CR10,CT10)-SUM(CO10,CS10),"")</f>
        <v>57.5</v>
      </c>
      <c r="DG10" s="13">
        <f>IF(SUM(CE10:CF10,CH10:CJ10,CL10:CN10,CP10:CR10,CT10)-SUM(CG10,CK10,CO10,CS10)&gt;0,SUM(CE10:CF10,CH10:CJ10,CL10:CN10,CP10:CR10,CT10)-SUM(CG10,CK10,CO10,CS10),"")</f>
        <v>126.70000000000002</v>
      </c>
      <c r="DH10" s="13">
        <f>IF(SUM(CU10:CV10,CX10:CZ10,DB10)-SUM(CW10,DA10)&gt;0,SUM(CU10:CV10,CX10:CZ10,DB10)-SUM(CW10,DA10),"")</f>
        <v>68.100000000000009</v>
      </c>
      <c r="DI10" s="13">
        <f>IF(SUM(DG10,DH10)&gt;0,SUM(DG10,DH10),"")</f>
        <v>194.8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>IF(SUM(ID10,IH10,IL10,IP10)&gt;0,SUM(ID10,IH10,IL10,IP10),"")</f>
        <v/>
      </c>
      <c r="JB10" s="13" t="str">
        <f>IF(SUM(IC10:ID10,IF10:IH10,IJ10)-SUM(IE10,II10)&gt;0,SUM(IC10:ID10,IF10:IH10,IJ10)-SUM(IE10,II10),"")</f>
        <v/>
      </c>
      <c r="JC10" s="13" t="str">
        <f>IF(SUM(IK10:IL10,IN10:IP10,IR10)-SUM(IM10,IQ10)&gt;0,SUM(IK10:IL10,IN10:IP10,IR10)-SUM(IM10,IQ10),"")</f>
        <v/>
      </c>
      <c r="JD10" s="13" t="str">
        <f>IF(SUM(IC10:ID10,IF10:IH10,IJ10:IL10,IN10:IP10,IR10)-SUM(IE10,II10,IM10,IQ10)&gt;0,SUM(IC10:ID10,IF10:IH10,IJ10:IL10,IN10:IP10,IR10)-SUM(IE10,II10,IM10,IQ10),"")</f>
        <v/>
      </c>
      <c r="JE10" s="13" t="str">
        <f>IF(SUM(IS10:IT10,IV10:IX10,IZ10)-SUM(IU10,IY10)&gt;0,SUM(IS10:IT10,IV10:IX10,IZ10)-SUM(IU10,IY10),"")</f>
        <v/>
      </c>
      <c r="JF10" s="13" t="str">
        <f>IF(SUM(JD10,JE10)&gt;0,SUM(JD10,JE10),"")</f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130</v>
      </c>
      <c r="C11" s="5" t="s">
        <v>3</v>
      </c>
      <c r="D11" s="6">
        <v>1999</v>
      </c>
      <c r="E11" s="17">
        <f>SUM(J11:R11)</f>
        <v>322.49999999999994</v>
      </c>
      <c r="F11" s="4" t="str">
        <f>IF(OR(AND($AT11&gt;=$AU$16,NOT($AT11=""),$AS11=""),AND($BY11&gt;=$BZ$16,NOT($BY11=""),$BX11=""),AND($DD11&gt;=$DE$16,NOT($DD11=""),$DC11="")),"P","")</f>
        <v/>
      </c>
      <c r="G11" s="4" t="str">
        <f>IF(OR(AND($AT11&gt;=$AU$17,NOT($AT11=""),$AS11=""),AND($BY11&gt;=$BZ$17,NOT($BY11=""),$BX11=""),AND($DD11&gt;=$DE$17,NOT($DD11=""),$DC11="")),"P","")</f>
        <v/>
      </c>
      <c r="H11" s="4" t="str">
        <f>IF(OR(AND($AW11&gt;=$AU$18,NOT($AW11=""),$AS11=""),AND($CB11&gt;=$BZ$18,NOT($CB11=""),$BX11=""),AND($DG11&gt;=$DE$18,NOT($DG11=""),$DC11="")),"P","")</f>
        <v/>
      </c>
      <c r="I11" t="str">
        <f>IF(AND(G11="P",OR(AND($AW11&gt;=$AU$21,NOT($AW11=""),$AS11=""),AND($CB11&gt;=$BZ$21,NOT($CB11=""),$BX11=""),AND($DG11&gt;=$DE$21,NOT($DG11=""),$DC11=""))),"Merit",IF(AND(G11="P",OR(AND($AW11&gt;=$AU$20,NOT($AW11=""),$AS11=""),AND($CB11&gt;=$BZ$20,NOT($CB11=""),$BX11=""),AND($DG11&gt;=$DE$20,NOT($DG11=""),$DC11=""))),"Funding",IF(AND(G11="P",OR(AND($AW11&gt;=$AU$19,NOT($AW11=""),$AS11=""),AND($CB11&gt;=$BZ$19,NOT($CB11=""),$BX11=""),AND($DG11&gt;=$DE$19,NOT($DG11=""),$DC11=""))),"Worlds Team",IF(AND(F11="P",OR(AND($AW11&gt;=$AU$18,NOT($AW11=""),$AS11=""),AND($CB11&gt;=$BZ$18,NOT($CB11=""),$BX11=""),AND($DG11&gt;=$DE$18,NOT($DG11=""),$DC11=""))),"National Team",""))))</f>
        <v/>
      </c>
      <c r="J11" s="16">
        <f>MAX(AW11,CB11,DG11)</f>
        <v>128.69999999999999</v>
      </c>
      <c r="K11" s="16" t="str">
        <f>IF(J11=DG11,$CE$1,IF(J11=CB11,$AZ$1,IF(J11=AW11,$U$1,"")))</f>
        <v>2018 Nationals</v>
      </c>
      <c r="L11" s="16">
        <f>IF($J11=$AW11,MAX(BZ11,DE11),IF($J11=$CB11,MAX(AU11,DE11),MAX(AU11,BZ11)))</f>
        <v>63.6</v>
      </c>
      <c r="M11" s="16" t="str">
        <f>IF(AND(L11=DE11,$K11&lt;&gt;$CE$1),$CE$1,IF(AND(L11=BZ11,$K11&lt;&gt;$AZ$1),$AZ$1,IF(AND(L11=AU11,$K11&lt;&gt;$U$1),$U$1,"")))</f>
        <v>2018 Canada Cup</v>
      </c>
      <c r="N11" s="16">
        <f>IF($J11=$AW11,MAX(CA11,DF11),IF($J11=$CB11,MAX(AV11,DF11),MAX(AV11,CA11)))</f>
        <v>64</v>
      </c>
      <c r="O11" s="16" t="str">
        <f>IF(AND(N11=DF11,$K11&lt;&gt;$CE$1),$CE$1,IF(AND(N11=CA11,$K11&lt;&gt;$AZ$1),$AZ$1,IF(AND(N11=AV11,$K11&lt;&gt;$U$1),$U$1,"")))</f>
        <v>2018 Canada Cup</v>
      </c>
      <c r="P11" s="16">
        <f>MAX(AX11,CC11,DH11)</f>
        <v>66.2</v>
      </c>
      <c r="Q11" s="16" t="str">
        <f>IF(P11=DH11,$CE$1,IF(P11=CC11,$AZ$1,IF(P11=AX11,$U$1,"")))</f>
        <v>2018 Nationals</v>
      </c>
      <c r="R11" s="16" t="str">
        <f>IF(MAX(DJ11:DL11)&gt;0,MAX(DJ11:DL11),"")</f>
        <v/>
      </c>
      <c r="S11" s="31" t="str">
        <f>IF(R11="","",IF(R11=DJ11,"(Pass 1-2)",IF(R11=DK11,"(Pass 3-4)",IF(R11=DL11,"(Final)"))))</f>
        <v/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/>
      </c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93"/>
      <c r="AT11" s="13" t="str">
        <f>IF(SUM(V11,Z11,AD11,AH11)&gt;0,SUM(V11,Z11,AD11,AH11),"")</f>
        <v/>
      </c>
      <c r="AU11" s="13" t="str">
        <f>IF(SUM(U11:V11,X11:Z11,AB11)-SUM(W11,AA11)&gt;0,SUM(U11:V11,X11:Z11,AB11)-SUM(W11,AA11),"")</f>
        <v/>
      </c>
      <c r="AV11" s="13" t="str">
        <f>IF(SUM(AC11:AD11,AF11:AH11,AJ11)-SUM(AE11,AI11)&gt;0,SUM(AC11:AD11,AF11:AH11,AJ11)-SUM(AE11,AI11),"")</f>
        <v/>
      </c>
      <c r="AW11" s="13" t="str">
        <f>IF(SUM(U11:V11,X11:Z11,AB11:AD11,AF11:AH11,AJ11)-SUM(W11,AA11,AE11,AI11)&gt;0,SUM(U11:V11,X11:Z11,AB11:AD11,AF11:AH11,AJ11)-SUM(W11,AA11,AE11,AI11),"")</f>
        <v/>
      </c>
      <c r="AX11" s="13" t="str">
        <f>IF(SUM(AK11:AL11,AN11:AP11,AR11)-SUM(AM11,AQ11)&gt;0,SUM(AK11:AL11,AN11:AP11,AR11)-SUM(AM11,AQ11),"")</f>
        <v/>
      </c>
      <c r="AY11" s="13" t="str">
        <f>IF(SUM(AW11,AX11)&gt;0,SUM(AW11,AX11),"")</f>
        <v/>
      </c>
      <c r="AZ11" s="48">
        <v>27.7</v>
      </c>
      <c r="BA11" s="48">
        <v>6</v>
      </c>
      <c r="BB11" s="48">
        <v>1.5</v>
      </c>
      <c r="BC11" s="48">
        <v>0</v>
      </c>
      <c r="BD11" s="48">
        <v>27.5</v>
      </c>
      <c r="BE11" s="48">
        <v>4.8</v>
      </c>
      <c r="BF11" s="48">
        <v>0.9</v>
      </c>
      <c r="BG11" s="48">
        <v>0</v>
      </c>
      <c r="BH11" s="48">
        <v>26.9</v>
      </c>
      <c r="BI11" s="48">
        <v>6</v>
      </c>
      <c r="BJ11" s="48">
        <v>0.3</v>
      </c>
      <c r="BK11" s="48">
        <v>0</v>
      </c>
      <c r="BL11" s="48">
        <v>26.9</v>
      </c>
      <c r="BM11" s="48">
        <v>6</v>
      </c>
      <c r="BN11" s="48">
        <v>1.5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94"/>
      <c r="BY11" s="16">
        <f>IF(SUM(BA11,BE11,BI11,BM11)&gt;0,SUM(BA11,BE11,BI11,BM11),"")</f>
        <v>22.8</v>
      </c>
      <c r="BZ11" s="16">
        <f>IF(SUM(AZ11:BA11,BC11:BE11,BG11)-SUM(BB11,BF11)&gt;0,SUM(AZ11:BA11,BC11:BE11,BG11)-SUM(BB11,BF11),"")</f>
        <v>63.6</v>
      </c>
      <c r="CA11" s="16">
        <f>IF(SUM(BH11:BI11,BK11:BM11,BO11)-SUM(BJ11,BN11)&gt;0,SUM(BH11:BI11,BK11:BM11,BO11)-SUM(BJ11,BN11),"")</f>
        <v>64</v>
      </c>
      <c r="CB11" s="16">
        <f>IF(SUM(AZ11:BA11,BC11:BE11,BG11:BI11,BK11:BM11,BO11)-SUM(BB11,BF11,BJ11,BN11)&gt;0,SUM(AZ11:BA11,BC11:BE11,BG11:BI11,BK11:BM11,BO11)-SUM(BB11,BF11,BJ11,BN11),"")</f>
        <v>127.60000000000001</v>
      </c>
      <c r="CC11" s="16" t="str">
        <f>IF(SUM(BP11:BQ11,BS11:BU11,BW11)-SUM(BR11,BV11)&gt;0,SUM(BP11:BQ11,BS11:BU11,BW11)-SUM(BR11,BV11),"")</f>
        <v/>
      </c>
      <c r="CD11" s="16">
        <f>IF(SUM(CB11,CC11)&gt;0,SUM(CB11,CC11),"")</f>
        <v>127.60000000000001</v>
      </c>
      <c r="CE11" s="47">
        <v>27.7</v>
      </c>
      <c r="CF11" s="47">
        <v>6</v>
      </c>
      <c r="CG11" s="47">
        <v>0.9</v>
      </c>
      <c r="CH11" s="47">
        <v>0</v>
      </c>
      <c r="CI11" s="47">
        <v>27.7</v>
      </c>
      <c r="CJ11" s="47">
        <v>5.6</v>
      </c>
      <c r="CK11" s="47">
        <v>0</v>
      </c>
      <c r="CL11" s="47">
        <v>0</v>
      </c>
      <c r="CM11" s="47">
        <v>27.1</v>
      </c>
      <c r="CN11" s="47">
        <v>5.2</v>
      </c>
      <c r="CO11" s="47">
        <v>1.2</v>
      </c>
      <c r="CP11" s="47">
        <v>0</v>
      </c>
      <c r="CQ11" s="47">
        <v>27.4</v>
      </c>
      <c r="CR11" s="47">
        <v>5.6</v>
      </c>
      <c r="CS11" s="47">
        <v>1.5</v>
      </c>
      <c r="CT11" s="47">
        <v>0</v>
      </c>
      <c r="CU11" s="47">
        <v>28.2</v>
      </c>
      <c r="CV11" s="47">
        <v>5.6</v>
      </c>
      <c r="CW11" s="47">
        <v>1.2</v>
      </c>
      <c r="CX11" s="47">
        <v>0</v>
      </c>
      <c r="CY11" s="47">
        <v>28.9</v>
      </c>
      <c r="CZ11" s="47">
        <v>5.6</v>
      </c>
      <c r="DA11" s="47">
        <v>0.9</v>
      </c>
      <c r="DB11" s="47">
        <v>0</v>
      </c>
      <c r="DC11" s="93"/>
      <c r="DD11" s="13">
        <f>IF(SUM(CF11,CJ11,CN11,CR11)&gt;0,SUM(CF11,CJ11,CN11,CR11),"")</f>
        <v>22.4</v>
      </c>
      <c r="DE11" s="13">
        <f>IF(SUM(CE11:CF11,CH11:CJ11,CL11)-SUM(CG11,CK11)&gt;0,SUM(CE11:CF11,CH11:CJ11,CL11)-SUM(CG11,CK11),"")</f>
        <v>66.099999999999994</v>
      </c>
      <c r="DF11" s="13">
        <f>IF(SUM(CM11:CN11,CP11:CR11,CT11)-SUM(CO11,CS11)&gt;0,SUM(CM11:CN11,CP11:CR11,CT11)-SUM(CO11,CS11),"")</f>
        <v>62.599999999999994</v>
      </c>
      <c r="DG11" s="13">
        <f>IF(SUM(CE11:CF11,CH11:CJ11,CL11:CN11,CP11:CR11,CT11)-SUM(CG11,CK11,CO11,CS11)&gt;0,SUM(CE11:CF11,CH11:CJ11,CL11:CN11,CP11:CR11,CT11)-SUM(CG11,CK11,CO11,CS11),"")</f>
        <v>128.69999999999999</v>
      </c>
      <c r="DH11" s="13">
        <f>IF(SUM(CU11:CV11,CX11:CZ11,DB11)-SUM(CW11,DA11)&gt;0,SUM(CU11:CV11,CX11:CZ11,DB11)-SUM(CW11,DA11),"")</f>
        <v>66.2</v>
      </c>
      <c r="DI11" s="13">
        <f>IF(SUM(DG11,DH11)&gt;0,SUM(DG11,DH11),"")</f>
        <v>194.89999999999998</v>
      </c>
      <c r="DJ11" s="30" t="str">
        <f>IF(MAX(EL11,FP11,GT11,HX11,JB11,KF11,LJ11,MN11,NR11,OV11,PZ11,RD11)-L11&gt;0.001,MAX(EL11,FP11,GT11,HX11,JB11,KF11,LJ11,MN11,NR11,OV11,PZ11,RD11)-L11,"")</f>
        <v/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>IF(SUM(DN11,DR11,DV11,DZ11)&gt;0,SUM(DN11,DR11,DV11,DZ11),"")</f>
        <v/>
      </c>
      <c r="EL11" s="13" t="str">
        <f>IF(SUM(DM11:DN11,DP11:DR11,DT11)-SUM(DO11,DS11)&gt;0,SUM(DM11:DN11,DP11:DR11,DT11)-SUM(DO11,DS11),"")</f>
        <v/>
      </c>
      <c r="EM11" s="13" t="str">
        <f>IF(SUM(DU11:DV11,DX11:DZ11,EB11)-SUM(DW11,EA11)&gt;0,SUM(DU11:DV11,DX11:DZ11,EB11)-SUM(DW11,EA11),"")</f>
        <v/>
      </c>
      <c r="EN11" s="13" t="str">
        <f>IF(SUM(DM11:DN11,DP11:DR11,DT11:DV11,DX11:DZ11,EB11)-SUM(DO11,DS11,DW11,EA11)&gt;0,SUM(DM11:DN11,DP11:DR11,DT11:DV11,DX11:DZ11,EB11)-SUM(DO11,DS11,DW11,EA11),"")</f>
        <v/>
      </c>
      <c r="EO11" s="13" t="str">
        <f>IF(SUM(EC11:ED11,EF11:EH11,EJ11)-SUM(EE11,EI11)&gt;0,SUM(EC11:ED11,EF11:EH11,EJ11)-SUM(EE11,EI11),"")</f>
        <v/>
      </c>
      <c r="EP11" s="13" t="str">
        <f>IF(SUM(EN11,EO11)&gt;0,SUM(EN11,EO11),"")</f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72</v>
      </c>
      <c r="C12" s="5" t="s">
        <v>5</v>
      </c>
      <c r="D12" s="6">
        <v>1996</v>
      </c>
      <c r="E12" s="17">
        <f>SUM(J12:R12)</f>
        <v>317.60000000000002</v>
      </c>
      <c r="F12" s="4" t="str">
        <f>IF(OR(AND($AT12&gt;=$AU$16,NOT($AT12=""),$AS12=""),AND($BY12&gt;=$BZ$16,NOT($BY12=""),$BX12=""),AND($DD12&gt;=$DE$16,NOT($DD12=""),$DC12="")),"P","")</f>
        <v/>
      </c>
      <c r="G12" s="4" t="str">
        <f>IF(OR(AND($AT12&gt;=$AU$17,NOT($AT12=""),$AS12=""),AND($BY12&gt;=$BZ$17,NOT($BY12=""),$BX12=""),AND($DD12&gt;=$DE$17,NOT($DD12=""),$DC12="")),"P","")</f>
        <v/>
      </c>
      <c r="H12" s="4" t="str">
        <f>IF(OR(AND($AW12&gt;=$AU$18,NOT($AW12=""),$AS12=""),AND($CB12&gt;=$BZ$18,NOT($CB12=""),$BX12=""),AND($DG12&gt;=$DE$18,NOT($DG12=""),$DC12="")),"P","")</f>
        <v/>
      </c>
      <c r="I12" t="str">
        <f>IF(AND(G12="P",OR(AND($AW12&gt;=$AU$21,NOT($AW12=""),$AS12=""),AND($CB12&gt;=$BZ$21,NOT($CB12=""),$BX12=""),AND($DG12&gt;=$DE$21,NOT($DG12=""),$DC12=""))),"Merit",IF(AND(G12="P",OR(AND($AW12&gt;=$AU$20,NOT($AW12=""),$AS12=""),AND($CB12&gt;=$BZ$20,NOT($CB12=""),$BX12=""),AND($DG12&gt;=$DE$20,NOT($DG12=""),$DC12=""))),"Funding",IF(AND(G12="P",OR(AND($AW12&gt;=$AU$19,NOT($AW12=""),$AS12=""),AND($CB12&gt;=$BZ$19,NOT($CB12=""),$BX12=""),AND($DG12&gt;=$DE$19,NOT($DG12=""),$DC12=""))),"Worlds Team",IF(AND(F12="P",OR(AND($AW12&gt;=$AU$18,NOT($AW12=""),$AS12=""),AND($CB12&gt;=$BZ$18,NOT($CB12=""),$BX12=""),AND($DG12&gt;=$DE$18,NOT($DG12=""),$DC12=""))),"National Team",""))))</f>
        <v/>
      </c>
      <c r="J12" s="16">
        <f>MAX(AW12,CB12,DG12)</f>
        <v>128.9</v>
      </c>
      <c r="K12" s="16" t="str">
        <f>IF(J12=DG12,$CE$1,IF(J12=CB12,$AZ$1,IF(J12=AW12,$U$1,"")))</f>
        <v>2018 Nationals</v>
      </c>
      <c r="L12" s="16">
        <f>IF($J12=$AW12,MAX(BZ12,DE12),IF($J12=$CB12,MAX(AU12,DE12),MAX(AU12,BZ12)))</f>
        <v>63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62.2</v>
      </c>
      <c r="O12" s="16" t="str">
        <f>IF(AND(N12=DF12,$K12&lt;&gt;$CE$1),$CE$1,IF(AND(N12=CA12,$K12&lt;&gt;$AZ$1),$AZ$1,IF(AND(N12=AV12,$K12&lt;&gt;$U$1),$U$1,"")))</f>
        <v>2018 Canada Cup</v>
      </c>
      <c r="P12" s="16">
        <f>MAX(AX12,CC12,DH12)</f>
        <v>63.5</v>
      </c>
      <c r="Q12" s="16" t="str">
        <f>IF(P12=DH12,$CE$1,IF(P12=CC12,$AZ$1,IF(P12=AX12,$U$1,"")))</f>
        <v>2018 Canada Cup</v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93"/>
      <c r="AT12" s="13" t="str">
        <f>IF(SUM(V12,Z12,AD12,AH12)&gt;0,SUM(V12,Z12,AD12,AH12),"")</f>
        <v/>
      </c>
      <c r="AU12" s="13" t="str">
        <f>IF(SUM(U12:V12,X12:Z12,AB12)-SUM(W12,AA12)&gt;0,SUM(U12:V12,X12:Z12,AB12)-SUM(W12,AA12),"")</f>
        <v/>
      </c>
      <c r="AV12" s="13" t="str">
        <f>IF(SUM(AC12:AD12,AF12:AH12,AJ12)-SUM(AE12,AI12)&gt;0,SUM(AC12:AD12,AF12:AH12,AJ12)-SUM(AE12,AI12),"")</f>
        <v/>
      </c>
      <c r="AW12" s="13" t="str">
        <f>IF(SUM(U12:V12,X12:Z12,AB12:AD12,AF12:AH12,AJ12)-SUM(W12,AA12,AE12,AI12)&gt;0,SUM(U12:V12,X12:Z12,AB12:AD12,AF12:AH12,AJ12)-SUM(W12,AA12,AE12,AI12),"")</f>
        <v/>
      </c>
      <c r="AX12" s="13" t="str">
        <f>IF(SUM(AK12:AL12,AN12:AP12,AR12)-SUM(AM12,AQ12)&gt;0,SUM(AK12:AL12,AN12:AP12,AR12)-SUM(AM12,AQ12),"")</f>
        <v/>
      </c>
      <c r="AY12" s="13" t="str">
        <f>IF(SUM(AW12,AX12)&gt;0,SUM(AW12,AX12),"")</f>
        <v/>
      </c>
      <c r="AZ12" s="48">
        <v>26.9</v>
      </c>
      <c r="BA12" s="48">
        <v>5.6</v>
      </c>
      <c r="BB12" s="48">
        <v>0.9</v>
      </c>
      <c r="BC12" s="48">
        <v>0</v>
      </c>
      <c r="BD12" s="48">
        <v>26.7</v>
      </c>
      <c r="BE12" s="48">
        <v>5.6</v>
      </c>
      <c r="BF12" s="48">
        <v>0.9</v>
      </c>
      <c r="BG12" s="48">
        <v>0</v>
      </c>
      <c r="BH12" s="48">
        <v>26.4</v>
      </c>
      <c r="BI12" s="48">
        <v>5.2</v>
      </c>
      <c r="BJ12" s="48">
        <v>1.2</v>
      </c>
      <c r="BK12" s="48">
        <v>0</v>
      </c>
      <c r="BL12" s="48">
        <v>26.9</v>
      </c>
      <c r="BM12" s="48">
        <v>5.2</v>
      </c>
      <c r="BN12" s="48">
        <v>0.3</v>
      </c>
      <c r="BO12" s="48">
        <v>0</v>
      </c>
      <c r="BP12" s="48">
        <v>27.2</v>
      </c>
      <c r="BQ12" s="48">
        <v>5.6</v>
      </c>
      <c r="BR12" s="48">
        <v>0.3</v>
      </c>
      <c r="BS12" s="48">
        <v>0</v>
      </c>
      <c r="BT12" s="48">
        <v>26.6</v>
      </c>
      <c r="BU12" s="48">
        <v>5.6</v>
      </c>
      <c r="BV12" s="48">
        <v>1.2</v>
      </c>
      <c r="BW12" s="48">
        <v>0</v>
      </c>
      <c r="BX12" s="94"/>
      <c r="BY12" s="16">
        <f>IF(SUM(BA12,BE12,BI12,BM12)&gt;0,SUM(BA12,BE12,BI12,BM12),"")</f>
        <v>21.599999999999998</v>
      </c>
      <c r="BZ12" s="16">
        <f>IF(SUM(AZ12:BA12,BC12:BE12,BG12)-SUM(BB12,BF12)&gt;0,SUM(AZ12:BA12,BC12:BE12,BG12)-SUM(BB12,BF12),"")</f>
        <v>63</v>
      </c>
      <c r="CA12" s="16">
        <f>IF(SUM(BH12:BI12,BK12:BM12,BO12)-SUM(BJ12,BN12)&gt;0,SUM(BH12:BI12,BK12:BM12,BO12)-SUM(BJ12,BN12),"")</f>
        <v>62.2</v>
      </c>
      <c r="CB12" s="16">
        <f>IF(SUM(AZ12:BA12,BC12:BE12,BG12:BI12,BK12:BM12,BO12)-SUM(BB12,BF12,BJ12,BN12)&gt;0,SUM(AZ12:BA12,BC12:BE12,BG12:BI12,BK12:BM12,BO12)-SUM(BB12,BF12,BJ12,BN12),"")</f>
        <v>125.19999999999997</v>
      </c>
      <c r="CC12" s="16">
        <f>IF(SUM(BP12:BQ12,BS12:BU12,BW12)-SUM(BR12,BV12)&gt;0,SUM(BP12:BQ12,BS12:BU12,BW12)-SUM(BR12,BV12),"")</f>
        <v>63.5</v>
      </c>
      <c r="CD12" s="16">
        <f>IF(SUM(CB12,CC12)&gt;0,SUM(CB12,CC12),"")</f>
        <v>188.7</v>
      </c>
      <c r="CE12" s="47">
        <v>27.6</v>
      </c>
      <c r="CF12" s="47">
        <v>5.6</v>
      </c>
      <c r="CG12" s="47">
        <v>0.3</v>
      </c>
      <c r="CH12" s="47">
        <v>0</v>
      </c>
      <c r="CI12" s="47">
        <v>27.6</v>
      </c>
      <c r="CJ12" s="47">
        <v>5.6</v>
      </c>
      <c r="CK12" s="47">
        <v>0.3</v>
      </c>
      <c r="CL12" s="47">
        <v>0</v>
      </c>
      <c r="CM12" s="47">
        <v>27.7</v>
      </c>
      <c r="CN12" s="47">
        <v>5.2</v>
      </c>
      <c r="CO12" s="47">
        <v>0</v>
      </c>
      <c r="CP12" s="47">
        <v>0</v>
      </c>
      <c r="CQ12" s="47">
        <v>26.5</v>
      </c>
      <c r="CR12" s="47">
        <v>5.2</v>
      </c>
      <c r="CS12" s="47">
        <v>1.5</v>
      </c>
      <c r="CT12" s="47">
        <v>0</v>
      </c>
      <c r="CU12" s="47">
        <v>27.6</v>
      </c>
      <c r="CV12" s="47">
        <v>5.6</v>
      </c>
      <c r="CW12" s="47">
        <v>0.9</v>
      </c>
      <c r="CX12" s="47">
        <v>0</v>
      </c>
      <c r="CY12" s="47">
        <v>27.8</v>
      </c>
      <c r="CZ12" s="47">
        <v>2.4</v>
      </c>
      <c r="DA12" s="47">
        <v>0.9</v>
      </c>
      <c r="DB12" s="47">
        <v>0</v>
      </c>
      <c r="DC12" s="93"/>
      <c r="DD12" s="13">
        <f>IF(SUM(CF12,CJ12,CN12,CR12)&gt;0,SUM(CF12,CJ12,CN12,CR12),"")</f>
        <v>21.599999999999998</v>
      </c>
      <c r="DE12" s="13">
        <f>IF(SUM(CE12:CF12,CH12:CJ12,CL12)-SUM(CG12,CK12)&gt;0,SUM(CE12:CF12,CH12:CJ12,CL12)-SUM(CG12,CK12),"")</f>
        <v>65.800000000000011</v>
      </c>
      <c r="DF12" s="13">
        <f>IF(SUM(CM12:CN12,CP12:CR12,CT12)-SUM(CO12,CS12)&gt;0,SUM(CM12:CN12,CP12:CR12,CT12)-SUM(CO12,CS12),"")</f>
        <v>63.099999999999994</v>
      </c>
      <c r="DG12" s="13">
        <f>IF(SUM(CE12:CF12,CH12:CJ12,CL12:CN12,CP12:CR12,CT12)-SUM(CG12,CK12,CO12,CS12)&gt;0,SUM(CE12:CF12,CH12:CJ12,CL12:CN12,CP12:CR12,CT12)-SUM(CG12,CK12,CO12,CS12),"")</f>
        <v>128.9</v>
      </c>
      <c r="DH12" s="13">
        <f>IF(SUM(CU12:CV12,CX12:CZ12,DB12)-SUM(CW12,DA12)&gt;0,SUM(CU12:CV12,CX12:CZ12,DB12)-SUM(CW12,DA12),"")</f>
        <v>61.6</v>
      </c>
      <c r="DI12" s="13">
        <f>IF(SUM(DG12,DH12)&gt;0,SUM(DG12,DH12),"")</f>
        <v>190.5</v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73</v>
      </c>
      <c r="C13" s="5" t="s">
        <v>12</v>
      </c>
      <c r="D13" s="6">
        <v>1998</v>
      </c>
      <c r="E13" s="17">
        <f>SUM(J13:R13)</f>
        <v>316.2</v>
      </c>
      <c r="F13" s="4" t="str">
        <f>IF(OR(AND($AT13&gt;=$AU$16,NOT($AT13=""),$AS13=""),AND($BY13&gt;=$BZ$16,NOT($BY13=""),$BX13=""),AND($DD13&gt;=$DE$16,NOT($DD13=""),$DC13="")),"P","")</f>
        <v/>
      </c>
      <c r="G13" s="4" t="str">
        <f>IF(OR(AND($AT13&gt;=$AU$17,NOT($AT13=""),$AS13=""),AND($BY13&gt;=$BZ$17,NOT($BY13=""),$BX13=""),AND($DD13&gt;=$DE$17,NOT($DD13=""),$DC13="")),"P","")</f>
        <v/>
      </c>
      <c r="H13" s="4" t="str">
        <f>IF(OR(AND($AW13&gt;=$AU$18,NOT($AW13=""),$AS13=""),AND($CB13&gt;=$BZ$18,NOT($CB13=""),$BX13=""),AND($DG13&gt;=$DE$18,NOT($DG13=""),$DC13="")),"P","")</f>
        <v/>
      </c>
      <c r="I13" t="str">
        <f>IF(AND(G13="P",OR(AND($AW13&gt;=$AU$21,NOT($AW13=""),$AS13=""),AND($CB13&gt;=$BZ$21,NOT($CB13=""),$BX13=""),AND($DG13&gt;=$DE$21,NOT($DG13=""),$DC13=""))),"Merit",IF(AND(G13="P",OR(AND($AW13&gt;=$AU$20,NOT($AW13=""),$AS13=""),AND($CB13&gt;=$BZ$20,NOT($CB13=""),$BX13=""),AND($DG13&gt;=$DE$20,NOT($DG13=""),$DC13=""))),"Funding",IF(AND(G13="P",OR(AND($AW13&gt;=$AU$19,NOT($AW13=""),$AS13=""),AND($CB13&gt;=$BZ$19,NOT($CB13=""),$BX13=""),AND($DG13&gt;=$DE$19,NOT($DG13=""),$DC13=""))),"Worlds Team",IF(AND(F13="P",OR(AND($AW13&gt;=$AU$18,NOT($AW13=""),$AS13=""),AND($CB13&gt;=$BZ$18,NOT($CB13=""),$BX13=""),AND($DG13&gt;=$DE$18,NOT($DG13=""),$DC13=""))),"National Team",""))))</f>
        <v/>
      </c>
      <c r="J13" s="16">
        <f>MAX(AW13,CB13,DG13)</f>
        <v>127.00000000000001</v>
      </c>
      <c r="K13" s="16" t="str">
        <f>IF(J13=DG13,$CE$1,IF(J13=CB13,$AZ$1,IF(J13=AW13,$U$1,"")))</f>
        <v>2018 Canada Cup</v>
      </c>
      <c r="L13" s="16">
        <f>IF($J13=$AW13,MAX(BZ13,DE13),IF($J13=$CB13,MAX(AU13,DE13),MAX(AU13,BZ13)))</f>
        <v>66.5</v>
      </c>
      <c r="M13" s="16" t="str">
        <f>IF(AND(L13=DE13,$K13&lt;&gt;$CE$1),$CE$1,IF(AND(L13=BZ13,$K13&lt;&gt;$AZ$1),$AZ$1,IF(AND(L13=AU13,$K13&lt;&gt;$U$1),$U$1,"")))</f>
        <v>2018 Nationals</v>
      </c>
      <c r="N13" s="16">
        <f>IF($J13=$AW13,MAX(CA13,DF13),IF($J13=$CB13,MAX(AV13,DF13),MAX(AV13,CA13)))</f>
        <v>56.7</v>
      </c>
      <c r="O13" s="16" t="str">
        <f>IF(AND(N13=DF13,$K13&lt;&gt;$CE$1),$CE$1,IF(AND(N13=CA13,$K13&lt;&gt;$AZ$1),$AZ$1,IF(AND(N13=AV13,$K13&lt;&gt;$U$1),$U$1,"")))</f>
        <v>2018 Nationals</v>
      </c>
      <c r="P13" s="16">
        <f>MAX(AX13,CC13,DH13)</f>
        <v>66</v>
      </c>
      <c r="Q13" s="16" t="str">
        <f>IF(P13=DH13,$CE$1,IF(P13=CC13,$AZ$1,IF(P13=AX13,$U$1,"")))</f>
        <v>2018 Canada Cup</v>
      </c>
      <c r="R13" s="16" t="str">
        <f>IF(MAX(DJ13:DL13)&gt;0,MAX(DJ13:DL13),"")</f>
        <v/>
      </c>
      <c r="S13" s="31" t="str">
        <f>IF(R13="","",IF(R13=DJ13,"(Pass 1-2)",IF(R13=DK13,"(Pass 3-4)",IF(R13=DL13,"(Final)"))))</f>
        <v/>
      </c>
      <c r="T13" s="16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93"/>
      <c r="AT13" s="13" t="str">
        <f>IF(SUM(V13,Z13,AD13,AH13)&gt;0,SUM(V13,Z13,AD13,AH13),"")</f>
        <v/>
      </c>
      <c r="AU13" s="13" t="str">
        <f>IF(SUM(U13:V13,X13:Z13,AB13)-SUM(W13,AA13)&gt;0,SUM(U13:V13,X13:Z13,AB13)-SUM(W13,AA13),"")</f>
        <v/>
      </c>
      <c r="AV13" s="13" t="str">
        <f>IF(SUM(AC13:AD13,AF13:AH13,AJ13)-SUM(AE13,AI13)&gt;0,SUM(AC13:AD13,AF13:AH13,AJ13)-SUM(AE13,AI13),"")</f>
        <v/>
      </c>
      <c r="AW13" s="13" t="str">
        <f>IF(SUM(U13:V13,X13:Z13,AB13:AD13,AF13:AH13,AJ13)-SUM(W13,AA13,AE13,AI13)&gt;0,SUM(U13:V13,X13:Z13,AB13:AD13,AF13:AH13,AJ13)-SUM(W13,AA13,AE13,AI13),"")</f>
        <v/>
      </c>
      <c r="AX13" s="13" t="str">
        <f>IF(SUM(AK13:AL13,AN13:AP13,AR13)-SUM(AM13,AQ13)&gt;0,SUM(AK13:AL13,AN13:AP13,AR13)-SUM(AM13,AQ13),"")</f>
        <v/>
      </c>
      <c r="AY13" s="13" t="str">
        <f>IF(SUM(AW13,AX13)&gt;0,SUM(AW13,AX13),"")</f>
        <v/>
      </c>
      <c r="AZ13" s="48">
        <v>27.7</v>
      </c>
      <c r="BA13" s="48">
        <v>5.2</v>
      </c>
      <c r="BB13" s="48">
        <v>0.3</v>
      </c>
      <c r="BC13" s="48">
        <v>0</v>
      </c>
      <c r="BD13" s="48">
        <v>27.8</v>
      </c>
      <c r="BE13" s="48">
        <v>6</v>
      </c>
      <c r="BF13" s="48">
        <v>0</v>
      </c>
      <c r="BG13" s="48">
        <v>0</v>
      </c>
      <c r="BH13" s="48">
        <v>27.4</v>
      </c>
      <c r="BI13" s="48">
        <v>4.4000000000000004</v>
      </c>
      <c r="BJ13" s="48">
        <v>0</v>
      </c>
      <c r="BK13" s="48">
        <v>0</v>
      </c>
      <c r="BL13" s="48">
        <v>28.7</v>
      </c>
      <c r="BM13" s="48">
        <v>3.1</v>
      </c>
      <c r="BN13" s="48">
        <v>3</v>
      </c>
      <c r="BO13" s="48">
        <v>0</v>
      </c>
      <c r="BP13" s="48">
        <v>27.9</v>
      </c>
      <c r="BQ13" s="48">
        <v>5.2</v>
      </c>
      <c r="BR13" s="48">
        <v>0</v>
      </c>
      <c r="BS13" s="48">
        <v>0</v>
      </c>
      <c r="BT13" s="48">
        <v>27.8</v>
      </c>
      <c r="BU13" s="48">
        <v>6</v>
      </c>
      <c r="BV13" s="48">
        <v>0.9</v>
      </c>
      <c r="BW13" s="48">
        <v>0</v>
      </c>
      <c r="BX13" s="94"/>
      <c r="BY13" s="16">
        <f>IF(SUM(BA13,BE13,BI13,BM13)&gt;0,SUM(BA13,BE13,BI13,BM13),"")</f>
        <v>18.7</v>
      </c>
      <c r="BZ13" s="16">
        <f>IF(SUM(AZ13:BA13,BC13:BE13,BG13)-SUM(BB13,BF13)&gt;0,SUM(AZ13:BA13,BC13:BE13,BG13)-SUM(BB13,BF13),"")</f>
        <v>66.400000000000006</v>
      </c>
      <c r="CA13" s="16">
        <f>IF(SUM(BH13:BI13,BK13:BM13,BO13)-SUM(BJ13,BN13)&gt;0,SUM(BH13:BI13,BK13:BM13,BO13)-SUM(BJ13,BN13),"")</f>
        <v>60.6</v>
      </c>
      <c r="CB13" s="16">
        <f>IF(SUM(AZ13:BA13,BC13:BE13,BG13:BI13,BK13:BM13,BO13)-SUM(BB13,BF13,BJ13,BN13)&gt;0,SUM(AZ13:BA13,BC13:BE13,BG13:BI13,BK13:BM13,BO13)-SUM(BB13,BF13,BJ13,BN13),"")</f>
        <v>127.00000000000001</v>
      </c>
      <c r="CC13" s="16">
        <f>IF(SUM(BP13:BQ13,BS13:BU13,BW13)-SUM(BR13,BV13)&gt;0,SUM(BP13:BQ13,BS13:BU13,BW13)-SUM(BR13,BV13),"")</f>
        <v>66</v>
      </c>
      <c r="CD13" s="16">
        <f>IF(SUM(CB13,CC13)&gt;0,SUM(CB13,CC13),"")</f>
        <v>193</v>
      </c>
      <c r="CE13" s="47">
        <v>27.8</v>
      </c>
      <c r="CF13" s="47">
        <v>6</v>
      </c>
      <c r="CG13" s="47">
        <v>0</v>
      </c>
      <c r="CH13" s="47">
        <v>0</v>
      </c>
      <c r="CI13" s="47">
        <v>27.6</v>
      </c>
      <c r="CJ13" s="47">
        <v>6</v>
      </c>
      <c r="CK13" s="47">
        <v>0.9</v>
      </c>
      <c r="CL13" s="47">
        <v>0</v>
      </c>
      <c r="CM13" s="47">
        <v>27.5</v>
      </c>
      <c r="CN13" s="47">
        <v>5.2</v>
      </c>
      <c r="CO13" s="47">
        <v>1.2</v>
      </c>
      <c r="CP13" s="47">
        <v>0</v>
      </c>
      <c r="CQ13" s="47">
        <v>27.6</v>
      </c>
      <c r="CR13" s="47">
        <v>0.6</v>
      </c>
      <c r="CS13" s="47">
        <v>3</v>
      </c>
      <c r="CT13" s="47">
        <v>0</v>
      </c>
      <c r="CU13" s="47">
        <v>28</v>
      </c>
      <c r="CV13" s="47">
        <v>6</v>
      </c>
      <c r="CW13" s="47">
        <v>0.9</v>
      </c>
      <c r="CX13" s="47">
        <v>0</v>
      </c>
      <c r="CY13" s="47">
        <v>0</v>
      </c>
      <c r="CZ13" s="47">
        <v>0</v>
      </c>
      <c r="DA13" s="47">
        <v>0</v>
      </c>
      <c r="DB13" s="47">
        <v>0</v>
      </c>
      <c r="DC13" s="93"/>
      <c r="DD13" s="13">
        <f>IF(SUM(CF13,CJ13,CN13,CR13)&gt;0,SUM(CF13,CJ13,CN13,CR13),"")</f>
        <v>17.8</v>
      </c>
      <c r="DE13" s="13">
        <f>IF(SUM(CE13:CF13,CH13:CJ13,CL13)-SUM(CG13,CK13)&gt;0,SUM(CE13:CF13,CH13:CJ13,CL13)-SUM(CG13,CK13),"")</f>
        <v>66.5</v>
      </c>
      <c r="DF13" s="13">
        <f>IF(SUM(CM13:CN13,CP13:CR13,CT13)-SUM(CO13,CS13)&gt;0,SUM(CM13:CN13,CP13:CR13,CT13)-SUM(CO13,CS13),"")</f>
        <v>56.7</v>
      </c>
      <c r="DG13" s="13">
        <f>IF(SUM(CE13:CF13,CH13:CJ13,CL13:CN13,CP13:CR13,CT13)-SUM(CG13,CK13,CO13,CS13)&gt;0,SUM(CE13:CF13,CH13:CJ13,CL13:CN13,CP13:CR13,CT13)-SUM(CG13,CK13,CO13,CS13),"")</f>
        <v>123.20000000000002</v>
      </c>
      <c r="DH13" s="13">
        <f>IF(SUM(CU13:CV13,CX13:CZ13,DB13)-SUM(CW13,DA13)&gt;0,SUM(CU13:CV13,CX13:CZ13,DB13)-SUM(CW13,DA13),"")</f>
        <v>33.1</v>
      </c>
      <c r="DI13" s="13">
        <f>IF(SUM(DG13,DH13)&gt;0,SUM(DG13,DH13),"")</f>
        <v>156.30000000000001</v>
      </c>
      <c r="DJ13" s="30" t="str">
        <f>IF(MAX(EL13,FP13,GT13,HX13,JB13,KF13,LJ13,MN13,NR13,OV13,PZ13,RD13)-L13&gt;0.001,MAX(EL13,FP13,GT13,HX13,JB13,KF13,LJ13,MN13,NR13,OV13,PZ13,RD13)-L13,"")</f>
        <v/>
      </c>
      <c r="DK13" s="30" t="str">
        <f>IF(MAX(EM13,FQ13,GU13,HY13,JC13,KG13,LK13,MO13,NS13,OW13,QA13,RE13)-N13&gt;0.001,MAX(EM13,FQ13,GU13,HY13,JC13,KG13,LK13,MO13,NS13,OW13,QA13,RE13)-N13,"")</f>
        <v/>
      </c>
      <c r="DL13" s="30" t="str">
        <f>IF(MAX(EO13,FS13,GW13,IA13,JE13,KI13,LM13,MQ13,OY13,QC13,RG13)-P13&gt;0.001,MAX(EO13,FS13,GW13,IA13,JE13,KI13,LM13,MQ13,OY13,QC13,RG13)-P13,"")</f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>IF(SUM(DN13,DR13,DV13,DZ13)&gt;0,SUM(DN13,DR13,DV13,DZ13),"")</f>
        <v/>
      </c>
      <c r="EL13" s="13" t="str">
        <f>IF(SUM(DM13:DN13,DP13:DR13,DT13)-SUM(DO13,DS13)&gt;0,SUM(DM13:DN13,DP13:DR13,DT13)-SUM(DO13,DS13),"")</f>
        <v/>
      </c>
      <c r="EM13" s="13" t="str">
        <f>IF(SUM(DU13:DV13,DX13:DZ13,EB13)-SUM(DW13,EA13)&gt;0,SUM(DU13:DV13,DX13:DZ13,EB13)-SUM(DW13,EA13),"")</f>
        <v/>
      </c>
      <c r="EN13" s="13" t="str">
        <f>IF(SUM(DM13:DN13,DP13:DR13,DT13:DV13,DX13:DZ13,EB13)-SUM(DO13,DS13,DW13,EA13)&gt;0,SUM(DM13:DN13,DP13:DR13,DT13:DV13,DX13:DZ13,EB13)-SUM(DO13,DS13,DW13,EA13),"")</f>
        <v/>
      </c>
      <c r="EO13" s="13" t="str">
        <f>IF(SUM(EC13:ED13,EF13:EH13,EJ13)-SUM(EE13,EI13)&gt;0,SUM(EC13:ED13,EF13:EH13,EJ13)-SUM(EE13,EI13),"")</f>
        <v/>
      </c>
      <c r="EP13" s="13" t="str">
        <f>IF(SUM(EN13,EO13)&gt;0,SUM(EN13,EO13),"")</f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>IF(SUM(ER13,EV13,EZ13,FD13)&gt;0,SUM(ER13,EV13,EZ13,FD13),"")</f>
        <v/>
      </c>
      <c r="FP13" s="16" t="str">
        <f>IF(SUM(EQ13:ER13,ET13:EV13,EX13)-SUM(ES13,EW13)&gt;0,SUM(EQ13:ER13,ET13:EV13,EX13)-SUM(ES13,EW13),"")</f>
        <v/>
      </c>
      <c r="FQ13" s="16" t="str">
        <f>IF(SUM(EY13:EZ13,FB13:FD13,FF13)-SUM(FA13,FE13)&gt;0,SUM(EY13:EZ13,FB13:FD13,FF13)-SUM(FA13,FE13),"")</f>
        <v/>
      </c>
      <c r="FR13" s="16" t="str">
        <f>IF(SUM(EQ13:ER13,ET13:EV13,EX13:EZ13,FB13:FD13,FF13)-SUM(ES13,EW13,FA13,FE13)&gt;0,SUM(EQ13:ER13,ET13:EV13,EX13:EZ13,FB13:FD13,FF13)-SUM(ES13,EW13,FA13,FE13),"")</f>
        <v/>
      </c>
      <c r="FS13" s="16" t="str">
        <f>IF(SUM(FG13:FH13,FJ13:FL13,FN13)-SUM(FI13,FM13)&gt;0,SUM(FG13:FH13,FJ13:FL13,FN13)-SUM(FI13,FM13),"")</f>
        <v/>
      </c>
      <c r="FT13" s="16" t="str">
        <f>IF(SUM(FR13,FS13)&gt;0,SUM(FR13,FS13),"")</f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>IF(SUM(FV13,FZ13,GD13,GH13)&gt;0,SUM(FV13,FZ13,GD13,GH13),"")</f>
        <v/>
      </c>
      <c r="GT13" s="13" t="str">
        <f>IF(SUM(FU13:FV13,FX13:FZ13,GB13)-SUM(FW13,GA13)&gt;0,SUM(FU13:FV13,FX13:FZ13,GB13)-SUM(FW13,GA13),"")</f>
        <v/>
      </c>
      <c r="GU13" s="13" t="str">
        <f>IF(SUM(GC13:GD13,GF13:GH13,GJ13)-SUM(GE13,GI13)&gt;0,SUM(GC13:GD13,GF13:GH13,GJ13)-SUM(GE13,GI13),"")</f>
        <v/>
      </c>
      <c r="GV13" s="13" t="str">
        <f>IF(SUM(FU13:FV13,FX13:FZ13,GB13:GD13,GF13:GH13,GJ13)-SUM(FW13,GA13,GE13,GI13)&gt;0,SUM(FU13:FV13,FX13:FZ13,GB13:GD13,GF13:GH13,GJ13)-SUM(FW13,GA13,GE13,GI13),"")</f>
        <v/>
      </c>
      <c r="GW13" s="13" t="str">
        <f>IF(SUM(GK13:GL13,GN13:GP13,GR13)-SUM(GM13,GQ13)&gt;0,SUM(GK13:GL13,GN13:GP13,GR13)-SUM(GM13,GQ13),"")</f>
        <v/>
      </c>
      <c r="GX13" s="13" t="str">
        <f>IF(SUM(GV13,GW13)&gt;0,SUM(GV13,GW13),"")</f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>IF(SUM(GZ13,HD13,HH13,HL13)&gt;0,SUM(GZ13,HD13,HH13,HL13),"")</f>
        <v/>
      </c>
      <c r="HX13" s="16" t="str">
        <f>IF(SUM(GY13:GZ13,HB13:HD13,HF13)-SUM(HA13,HE13)&gt;0,SUM(GY13:GZ13,HB13:HD13,HF13)-SUM(HA13,HE13),"")</f>
        <v/>
      </c>
      <c r="HY13" s="16" t="str">
        <f>IF(SUM(HG13:HH13,HJ13:HL13,HN13)-SUM(HI13,HM13)&gt;0,SUM(HG13:HH13,HJ13:HL13,HN13)-SUM(HI13,HM13),"")</f>
        <v/>
      </c>
      <c r="HZ13" s="16" t="str">
        <f>IF(SUM(GY13:GZ13,HB13:HD13,HF13:HH13,HJ13:HL13,HN13)-SUM(HA13,HE13,HI13,HM13)&gt;0,SUM(GY13:GZ13,HB13:HD13,HF13:HH13,HJ13:HL13,HN13)-SUM(HA13,HE13,HI13,HM13),"")</f>
        <v/>
      </c>
      <c r="IA13" s="16" t="str">
        <f>IF(SUM(HO13:HP13,HR13:HT13,HV13)-SUM(HQ13,HU13)&gt;0,SUM(HO13:HP13,HR13:HT13,HV13)-SUM(HQ13,HU13),"")</f>
        <v/>
      </c>
      <c r="IB13" s="16" t="str">
        <f>IF(SUM(HZ13,IA13)&gt;0,SUM(HZ13,IA13),"")</f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>IF(SUM(ID13,IH13,IL13,IP13)&gt;0,SUM(ID13,IH13,IL13,IP13),"")</f>
        <v/>
      </c>
      <c r="JB13" s="13" t="str">
        <f>IF(SUM(IC13:ID13,IF13:IH13,IJ13)-SUM(IE13,II13)&gt;0,SUM(IC13:ID13,IF13:IH13,IJ13)-SUM(IE13,II13),"")</f>
        <v/>
      </c>
      <c r="JC13" s="13" t="str">
        <f>IF(SUM(IK13:IL13,IN13:IP13,IR13)-SUM(IM13,IQ13)&gt;0,SUM(IK13:IL13,IN13:IP13,IR13)-SUM(IM13,IQ13),"")</f>
        <v/>
      </c>
      <c r="JD13" s="13" t="str">
        <f>IF(SUM(IC13:ID13,IF13:IH13,IJ13:IL13,IN13:IP13,IR13)-SUM(IE13,II13,IM13,IQ13)&gt;0,SUM(IC13:ID13,IF13:IH13,IJ13:IL13,IN13:IP13,IR13)-SUM(IE13,II13,IM13,IQ13),"")</f>
        <v/>
      </c>
      <c r="JE13" s="13" t="str">
        <f>IF(SUM(IS13:IT13,IV13:IX13,IZ13)-SUM(IU13,IY13)&gt;0,SUM(IS13:IT13,IV13:IX13,IZ13)-SUM(IU13,IY13),"")</f>
        <v/>
      </c>
      <c r="JF13" s="13" t="str">
        <f>IF(SUM(JD13,JE13)&gt;0,SUM(JD13,JE13),"")</f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>IF(SUM(JH13,JL13,JP13,JT13)&gt;0,SUM(JH13,JL13,JP13,JT13),"")</f>
        <v/>
      </c>
      <c r="KF13" s="16" t="str">
        <f>IF(SUM(JG13:JH13,JJ13:JL13,JN13)-SUM(JI13,JM13)&gt;0,SUM(JG13:JH13,JJ13:JL13,JN13)-SUM(JI13,JM13),"")</f>
        <v/>
      </c>
      <c r="KG13" s="16" t="str">
        <f>IF(SUM(JO13:JP13,JR13:JT13,JV13)-SUM(JQ13,JU13)&gt;0,SUM(JO13:JP13,JR13:JT13,JV13)-SUM(JQ13,JU13),"")</f>
        <v/>
      </c>
      <c r="KH13" s="16" t="str">
        <f>IF(SUM(JG13:JH13,JJ13:JL13,JN13:JP13,JR13:JT13,JV13)-SUM(JI13,JM13,JQ13,JU13)&gt;0,SUM(JG13:JH13,JJ13:JL13,JN13:JP13,JR13:JT13,JV13)-SUM(JI13,JM13,JQ13,JU13),"")</f>
        <v/>
      </c>
      <c r="KI13" s="16" t="str">
        <f>IF(SUM(JW13:JX13,JZ13:KB13,KD13)-SUM(JY13,KC13)&gt;0,SUM(JW13:JX13,JZ13:KB13,KD13)-SUM(JY13,KC13),"")</f>
        <v/>
      </c>
      <c r="KJ13" s="16" t="str">
        <f>IF(SUM(KH13,KI13)&gt;0,SUM(KH13,KI13),"")</f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>IF(SUM(KL13,KP13,KT13,KX13)&gt;0,SUM(KL13,KP13,KT13,KX13),"")</f>
        <v/>
      </c>
      <c r="LJ13" s="13" t="str">
        <f>IF(SUM(KK13:KL13,KN13:KP13,KR13)-SUM(KM13,KQ13)&gt;0,SUM(KK13:KL13,KN13:KP13,KR13)-SUM(KM13,KQ13),"")</f>
        <v/>
      </c>
      <c r="LK13" s="13" t="str">
        <f>IF(SUM(KS13:KT13,KV13:KX13,KZ13)-SUM(KU13,KY13)&gt;0,SUM(KS13:KT13,KV13:KX13,KZ13)-SUM(KU13,KY13),"")</f>
        <v/>
      </c>
      <c r="LL13" s="13" t="str">
        <f>IF(SUM(KK13:KL13,KN13:KP13,KR13:KT13,KV13:KX13,KZ13)-SUM(KM13,KQ13,KU13,KY13)&gt;0,SUM(KK13:KL13,KN13:KP13,KR13:KT13,KV13:KX13,KZ13)-SUM(KM13,KQ13,KU13,KY13),"")</f>
        <v/>
      </c>
      <c r="LM13" s="13" t="str">
        <f>IF(SUM(LA13:LB13,LD13:LF13,LH13)-SUM(LC13,LG13)&gt;0,SUM(LA13:LB13,LD13:LF13,LH13)-SUM(LC13,LG13),"")</f>
        <v/>
      </c>
      <c r="LN13" s="13" t="str">
        <f>IF(SUM(LL13,LM13)&gt;0,SUM(LL13,LM13),"")</f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>IF(SUM(LP13,LT13,LX13,MB13)&gt;0,SUM(LP13,LT13,LX13,MB13),"")</f>
        <v/>
      </c>
      <c r="MN13" s="16" t="str">
        <f>IF(SUM(LO13:LP13,LR13:LT13,LV13)-SUM(LQ13,LU13)&gt;0,SUM(LO13:LP13,LR13:LT13,LV13)-SUM(LQ13,LU13),"")</f>
        <v/>
      </c>
      <c r="MO13" s="16" t="str">
        <f>IF(SUM(LW13:LX13,LZ13:MB13,MD13)-SUM(LY13,MC13)&gt;0,SUM(LW13:LX13,LZ13:MB13,MD13)-SUM(LY13,MC13),"")</f>
        <v/>
      </c>
      <c r="MP13" s="16" t="str">
        <f>IF(SUM(LO13:LP13,LR13:LT13,LV13:LX13,LZ13:MB13,MD13)-SUM(LQ13,LU13,LY13,MC13)&gt;0,SUM(LO13:LP13,LR13:LT13,LV13:LX13,LZ13:MB13,MD13)-SUM(LQ13,LU13,LY13,MC13),"")</f>
        <v/>
      </c>
      <c r="MQ13" s="16" t="str">
        <f>IF(SUM(ME13:MF13,MH13:MJ13,ML13)-SUM(MG13,MK13)&gt;0,SUM(ME13:MF13,MH13:MJ13,ML13)-SUM(MG13,MK13),"")</f>
        <v/>
      </c>
      <c r="MR13" s="16" t="str">
        <f>IF(SUM(MP13,MQ13)&gt;0,SUM(MP13,MQ13),"")</f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>IF(SUM(MT13,MX13,NB13,NF13)&gt;0,SUM(MT13,MX13,NB13,NF13),"")</f>
        <v/>
      </c>
      <c r="NR13" s="13" t="str">
        <f>IF(SUM(MS13:MT13,MV13:MX13,MZ13)-SUM(MU13,MY13)&gt;0,SUM(MS13:MT13,MV13:MX13,MZ13)-SUM(MU13,MY13),"")</f>
        <v/>
      </c>
      <c r="NS13" s="13" t="str">
        <f>IF(SUM(NA13:NB13,ND13:NF13,NH13)-SUM(NC13,NG13)&gt;0,SUM(NA13:NB13,ND13:NF13,NH13)-SUM(NC13,NG13),"")</f>
        <v/>
      </c>
      <c r="NT13" s="13" t="str">
        <f>IF(SUM(MS13:MT13,MV13:MX13,MZ13:NB13,ND13:NF13,NH13)-SUM(MU13,MY13,NC13,NG13)&gt;0,SUM(MS13:MT13,MV13:MX13,MZ13:NB13,ND13:NF13,NH13)-SUM(MU13,MY13,NC13,NG13),"")</f>
        <v/>
      </c>
      <c r="NU13" s="13" t="str">
        <f>IF(SUM(NI13:NJ13,NL13:NN13,NP13)-SUM(NK13,NO13)&gt;0,SUM(NI13:NJ13,NL13:NN13,NP13)-SUM(NK13,NO13),"")</f>
        <v/>
      </c>
      <c r="NV13" s="13" t="str">
        <f>IF(SUM(NT13,NU13)&gt;0,SUM(NT13,NU13),"")</f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>IF(SUM(NX13,OB13,OF13,OJ13)&gt;0,SUM(NX13,OB13,OF13,OJ13),"")</f>
        <v/>
      </c>
      <c r="OV13" s="16" t="str">
        <f>IF(SUM(NW13:NX13,NZ13:OB13,OD13)-SUM(NY13,OC13)&gt;0,SUM(NW13:NX13,NZ13:OB13,OD13)-SUM(NY13,OC13),"")</f>
        <v/>
      </c>
      <c r="OW13" s="16" t="str">
        <f>IF(SUM(OE13:OF13,OH13:OJ13,OL13)-SUM(OG13,OK13)&gt;0,SUM(OE13:OF13,OH13:OJ13,OL13)-SUM(OG13,OK13),"")</f>
        <v/>
      </c>
      <c r="OX13" s="16" t="str">
        <f>IF(SUM(NW13:NX13,NZ13:OB13,OD13:OF13,OH13:OJ13,OL13)-SUM(NY13,OC13,OG13,OK13)&gt;0,SUM(NW13:NX13,NZ13:OB13,OD13:OF13,OH13:OJ13,OL13)-SUM(NY13,OC13,OG13,OK13),"")</f>
        <v/>
      </c>
      <c r="OY13" s="16" t="str">
        <f>IF(SUM(OM13:ON13,OP13:OR13,OT13)-SUM(OO13,OS13)&gt;0,SUM(OM13:ON13,OP13:OR13,OT13)-SUM(OO13,OS13),"")</f>
        <v/>
      </c>
      <c r="OZ13" s="16" t="str">
        <f>IF(SUM(OX13,OY13)&gt;0,SUM(OX13,OY13),"")</f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>IF(SUM(PB13,PF13,PJ13,PN13)&gt;0,SUM(PB13,PF13,PJ13,PN13),"")</f>
        <v/>
      </c>
      <c r="PZ13" s="13" t="str">
        <f>IF(SUM(PA13:PB13,PD13:PF13,PH13)-SUM(PC13,PG13)&gt;0,SUM(PA13:PB13,PD13:PF13,PH13)-SUM(PC13,PG13),"")</f>
        <v/>
      </c>
      <c r="QA13" s="13" t="str">
        <f>IF(SUM(PI13:PJ13,PL13:PN13,PP13)-SUM(PK13,PO13)&gt;0,SUM(PI13:PJ13,PL13:PN13,PP13)-SUM(PK13,PO13),"")</f>
        <v/>
      </c>
      <c r="QB13" s="13" t="str">
        <f>IF(SUM(PA13:PB13,PD13:PF13,PH13:PJ13,PL13:PN13,PP13)-SUM(PC13,PG13,PK13,PO13)&gt;0,SUM(PA13:PB13,PD13:PF13,PH13:PJ13,PL13:PN13,PP13)-SUM(PC13,PG13,PK13,PO13),"")</f>
        <v/>
      </c>
      <c r="QC13" s="13" t="str">
        <f>IF(SUM(PQ13:PR13,PT13:PV13,PX13)-SUM(PS13,PW13)&gt;0,SUM(PQ13:PR13,PT13:PV13,PX13)-SUM(PS13,PW13),"")</f>
        <v/>
      </c>
      <c r="QD13" s="13" t="str">
        <f>IF(SUM(QB13,QC13)&gt;0,SUM(QB13,QC13),"")</f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>IF(SUM(QF13,QJ13,QN13,QR13)&gt;0,SUM(QF13,QJ13,QN13,QR13),"")</f>
        <v/>
      </c>
      <c r="RD13" s="16" t="str">
        <f>IF(SUM(QE13:QF13,QH13:QJ13,QL13)-SUM(QG13,QK13)&gt;0,SUM(QE13:QF13,QH13:QJ13,QL13)-SUM(QG13,QK13),"")</f>
        <v/>
      </c>
      <c r="RE13" s="16" t="str">
        <f>IF(SUM(QM13:QN13,QP13:QR13,QT13)-SUM(QO13,QS13)&gt;0,SUM(QM13:QN13,QP13:QR13,QT13)-SUM(QO13,QS13),"")</f>
        <v/>
      </c>
      <c r="RF13" s="16" t="str">
        <f>IF(SUM(QE13:QF13,QH13:QJ13,QL13:QN13,QP13:QR13,QT13)-SUM(QG13,QK13,QO13,QS13)&gt;0,SUM(QE13:QF13,QH13:QJ13,QL13:QN13,QP13:QR13,QT13)-SUM(QG13,QK13,QO13,QS13),"")</f>
        <v/>
      </c>
      <c r="RG13" s="16" t="str">
        <f>IF(SUM(QU13:QV13,QX13:QZ13,RB13)-SUM(QW13,RA13)&gt;0,SUM(QU13:QV13,QX13:QZ13,RB13)-SUM(QW13,RA13),"")</f>
        <v/>
      </c>
      <c r="RH13" s="16" t="str">
        <f>IF(SUM(RF13,RG13)&gt;0,SUM(RF13,RG13),"")</f>
        <v/>
      </c>
    </row>
    <row r="16" spans="1:476" x14ac:dyDescent="0.2">
      <c r="B16" s="82" t="s">
        <v>120</v>
      </c>
      <c r="AT16" s="66"/>
      <c r="AU16" s="75">
        <v>29.2</v>
      </c>
      <c r="BY16" s="66"/>
      <c r="BZ16" s="75">
        <v>28.8</v>
      </c>
      <c r="DD16" s="66"/>
      <c r="DE16" s="75">
        <v>28.8</v>
      </c>
      <c r="EK16" s="66"/>
      <c r="EL16" s="75">
        <v>29.2</v>
      </c>
      <c r="FO16" s="66"/>
      <c r="FP16" s="75">
        <v>29.2</v>
      </c>
      <c r="GS16" s="66"/>
      <c r="GT16" s="75">
        <v>29.2</v>
      </c>
      <c r="HW16" s="66"/>
      <c r="HX16" s="75">
        <v>28.8</v>
      </c>
      <c r="JA16" s="66"/>
      <c r="JB16" s="75">
        <v>28.8</v>
      </c>
      <c r="KE16" s="66"/>
      <c r="KF16" s="75">
        <v>28.8</v>
      </c>
      <c r="LI16" s="66"/>
      <c r="LJ16" s="75">
        <v>28.8</v>
      </c>
      <c r="MM16" s="66"/>
      <c r="MN16" s="75">
        <v>28.8</v>
      </c>
      <c r="NQ16" s="66"/>
      <c r="NR16" s="75">
        <v>28.8</v>
      </c>
      <c r="OU16" s="66"/>
      <c r="OV16" s="75">
        <v>28.8</v>
      </c>
      <c r="PY16" s="66"/>
      <c r="PZ16" s="75">
        <v>28.8</v>
      </c>
      <c r="RC16" s="66"/>
      <c r="RD16" s="75">
        <v>28.8</v>
      </c>
    </row>
    <row r="17" spans="1:472" x14ac:dyDescent="0.2">
      <c r="A17" s="66"/>
      <c r="B17" s="83" t="s">
        <v>119</v>
      </c>
      <c r="C17" s="65"/>
      <c r="AT17" s="66"/>
      <c r="AU17" s="76">
        <v>29.2</v>
      </c>
      <c r="BY17" s="66"/>
      <c r="BZ17" s="76">
        <v>28.8</v>
      </c>
      <c r="DD17" s="66"/>
      <c r="DE17" s="76">
        <v>28.8</v>
      </c>
      <c r="EK17" s="66"/>
      <c r="EL17" s="76">
        <v>29.2</v>
      </c>
      <c r="FO17" s="66"/>
      <c r="FP17" s="76">
        <v>29.2</v>
      </c>
      <c r="GS17" s="66"/>
      <c r="GT17" s="76">
        <v>29.2</v>
      </c>
      <c r="HW17" s="66"/>
      <c r="HX17" s="76">
        <v>28.8</v>
      </c>
      <c r="JA17" s="66"/>
      <c r="JB17" s="76">
        <v>28.8</v>
      </c>
      <c r="KE17" s="66"/>
      <c r="KF17" s="76">
        <v>28.8</v>
      </c>
      <c r="LI17" s="66"/>
      <c r="LJ17" s="76">
        <v>28.8</v>
      </c>
      <c r="MM17" s="66"/>
      <c r="MN17" s="76">
        <v>28.8</v>
      </c>
      <c r="NQ17" s="66"/>
      <c r="NR17" s="76">
        <v>28.8</v>
      </c>
      <c r="OU17" s="66"/>
      <c r="OV17" s="76">
        <v>28.8</v>
      </c>
      <c r="PY17" s="66"/>
      <c r="PZ17" s="76">
        <v>28.8</v>
      </c>
      <c r="RC17" s="66"/>
      <c r="RD17" s="76">
        <v>28.8</v>
      </c>
    </row>
    <row r="18" spans="1:472" x14ac:dyDescent="0.2">
      <c r="A18" s="66"/>
      <c r="B18" s="84" t="s">
        <v>117</v>
      </c>
      <c r="C18" s="65"/>
      <c r="AT18" s="66"/>
      <c r="AU18" s="77">
        <v>137.80000000000001</v>
      </c>
      <c r="BY18" s="66"/>
      <c r="BZ18" s="77">
        <v>136</v>
      </c>
      <c r="DD18" s="66"/>
      <c r="DE18" s="77">
        <v>136</v>
      </c>
      <c r="EK18" s="66"/>
      <c r="EL18" s="77">
        <v>137.80000000000001</v>
      </c>
      <c r="FO18" s="66"/>
      <c r="FP18" s="77">
        <v>137.80000000000001</v>
      </c>
      <c r="GS18" s="66"/>
      <c r="GT18" s="77">
        <v>137.80000000000001</v>
      </c>
      <c r="HW18" s="66"/>
      <c r="HX18" s="77">
        <v>136</v>
      </c>
      <c r="JA18" s="66"/>
      <c r="JB18" s="77">
        <v>136</v>
      </c>
      <c r="KE18" s="66"/>
      <c r="KF18" s="77">
        <v>136</v>
      </c>
      <c r="LI18" s="66"/>
      <c r="LJ18" s="77">
        <v>136</v>
      </c>
      <c r="MM18" s="66"/>
      <c r="MN18" s="77">
        <v>136</v>
      </c>
      <c r="NQ18" s="66"/>
      <c r="NR18" s="77">
        <v>136</v>
      </c>
      <c r="OU18" s="66"/>
      <c r="OV18" s="77">
        <v>136</v>
      </c>
      <c r="PY18" s="66"/>
      <c r="PZ18" s="77">
        <v>136</v>
      </c>
      <c r="RC18" s="66"/>
      <c r="RD18" s="77">
        <v>136</v>
      </c>
    </row>
    <row r="19" spans="1:472" x14ac:dyDescent="0.2">
      <c r="A19" s="66"/>
      <c r="B19" s="85" t="s">
        <v>118</v>
      </c>
      <c r="C19" s="65"/>
      <c r="AT19" s="66"/>
      <c r="AU19" s="78">
        <v>137.80000000000001</v>
      </c>
      <c r="BY19" s="66"/>
      <c r="BZ19" s="78">
        <v>138</v>
      </c>
      <c r="DD19" s="66"/>
      <c r="DE19" s="78">
        <v>138</v>
      </c>
      <c r="EK19" s="66"/>
      <c r="EL19" s="78">
        <v>137.80000000000001</v>
      </c>
      <c r="FO19" s="66"/>
      <c r="FP19" s="78">
        <v>137.80000000000001</v>
      </c>
      <c r="GS19" s="66"/>
      <c r="GT19" s="78">
        <v>137.80000000000001</v>
      </c>
      <c r="HW19" s="66"/>
      <c r="HX19" s="78">
        <v>138</v>
      </c>
      <c r="JA19" s="66"/>
      <c r="JB19" s="78">
        <v>138</v>
      </c>
      <c r="KE19" s="66"/>
      <c r="KF19" s="78">
        <v>138</v>
      </c>
      <c r="LI19" s="66"/>
      <c r="LJ19" s="78">
        <v>138</v>
      </c>
      <c r="MM19" s="66"/>
      <c r="MN19" s="78">
        <v>138</v>
      </c>
      <c r="NQ19" s="66"/>
      <c r="NR19" s="78">
        <v>138</v>
      </c>
      <c r="OU19" s="66"/>
      <c r="OV19" s="78">
        <v>138</v>
      </c>
      <c r="PY19" s="66"/>
      <c r="PZ19" s="78">
        <v>138</v>
      </c>
      <c r="RC19" s="66"/>
      <c r="RD19" s="78">
        <v>138</v>
      </c>
    </row>
    <row r="20" spans="1:472" x14ac:dyDescent="0.2">
      <c r="A20" s="66"/>
      <c r="B20" s="86" t="s">
        <v>38</v>
      </c>
      <c r="C20" s="65"/>
      <c r="AT20" s="66"/>
      <c r="AU20" s="79">
        <v>144.5</v>
      </c>
      <c r="BY20" s="66"/>
      <c r="BZ20" s="79">
        <v>143</v>
      </c>
      <c r="DD20" s="66"/>
      <c r="DE20" s="79">
        <v>143</v>
      </c>
      <c r="EK20" s="66"/>
      <c r="EL20" s="79">
        <v>144.5</v>
      </c>
      <c r="FO20" s="66"/>
      <c r="FP20" s="79">
        <v>144.5</v>
      </c>
      <c r="GS20" s="66"/>
      <c r="GT20" s="79">
        <v>144.5</v>
      </c>
      <c r="HW20" s="66"/>
      <c r="HX20" s="79">
        <v>143</v>
      </c>
      <c r="JA20" s="66"/>
      <c r="JB20" s="79">
        <v>143</v>
      </c>
      <c r="KE20" s="66"/>
      <c r="KF20" s="79">
        <v>143</v>
      </c>
      <c r="LI20" s="66"/>
      <c r="LJ20" s="79">
        <v>143</v>
      </c>
      <c r="MM20" s="66"/>
      <c r="MN20" s="79">
        <v>143</v>
      </c>
      <c r="NQ20" s="66"/>
      <c r="NR20" s="79">
        <v>143</v>
      </c>
      <c r="OU20" s="66"/>
      <c r="OV20" s="79">
        <v>143</v>
      </c>
      <c r="PY20" s="66"/>
      <c r="PZ20" s="79">
        <v>143</v>
      </c>
      <c r="RC20" s="66"/>
      <c r="RD20" s="79">
        <v>143</v>
      </c>
    </row>
    <row r="21" spans="1:472" x14ac:dyDescent="0.2">
      <c r="A21" s="66"/>
      <c r="B21" s="87" t="s">
        <v>88</v>
      </c>
      <c r="C21" s="65"/>
      <c r="AT21" s="66"/>
      <c r="AU21" s="80">
        <v>149.9</v>
      </c>
      <c r="BY21" s="66"/>
      <c r="BZ21" s="80">
        <v>146</v>
      </c>
      <c r="DD21" s="66"/>
      <c r="DE21" s="80">
        <v>146</v>
      </c>
      <c r="EK21" s="66"/>
      <c r="EL21" s="80">
        <v>149.9</v>
      </c>
      <c r="FO21" s="66"/>
      <c r="FP21" s="80">
        <v>149.9</v>
      </c>
      <c r="GS21" s="66"/>
      <c r="GT21" s="80">
        <v>149.9</v>
      </c>
      <c r="HW21" s="66"/>
      <c r="HX21" s="80">
        <v>146</v>
      </c>
      <c r="JA21" s="66"/>
      <c r="JB21" s="80">
        <v>146</v>
      </c>
      <c r="KE21" s="66"/>
      <c r="KF21" s="80">
        <v>146</v>
      </c>
      <c r="LI21" s="66"/>
      <c r="LJ21" s="80">
        <v>146</v>
      </c>
      <c r="MM21" s="66"/>
      <c r="MN21" s="80">
        <v>146</v>
      </c>
      <c r="NQ21" s="66"/>
      <c r="NR21" s="80">
        <v>146</v>
      </c>
      <c r="OU21" s="66"/>
      <c r="OV21" s="80">
        <v>146</v>
      </c>
      <c r="PY21" s="66"/>
      <c r="PZ21" s="80">
        <v>146</v>
      </c>
      <c r="RC21" s="66"/>
      <c r="RD21" s="80">
        <v>146</v>
      </c>
    </row>
    <row r="22" spans="1:472" x14ac:dyDescent="0.2">
      <c r="B22" s="95" t="s">
        <v>160</v>
      </c>
      <c r="C22" s="3"/>
      <c r="AU22" s="64" t="s">
        <v>138</v>
      </c>
      <c r="BZ22" s="64"/>
      <c r="DD22" s="7"/>
      <c r="DG22" s="7"/>
      <c r="EK22" s="7"/>
      <c r="EL22" s="64" t="s">
        <v>138</v>
      </c>
      <c r="EN22" s="7"/>
      <c r="FP22" s="64" t="s">
        <v>138</v>
      </c>
      <c r="GT22" s="64" t="s">
        <v>138</v>
      </c>
      <c r="HX22" s="64"/>
      <c r="OU22" s="7"/>
      <c r="OX22" s="7"/>
    </row>
    <row r="23" spans="1:472" x14ac:dyDescent="0.2">
      <c r="A23" s="66"/>
      <c r="B23" s="66"/>
      <c r="C23" s="65"/>
    </row>
    <row r="24" spans="1:472" x14ac:dyDescent="0.2">
      <c r="A24" s="66"/>
      <c r="B24" s="66"/>
      <c r="C24" s="65"/>
    </row>
    <row r="25" spans="1:472" x14ac:dyDescent="0.2">
      <c r="A25" s="66"/>
      <c r="B25" s="66"/>
      <c r="C25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3">
      <sortCondition descending="1" ref="F1:F13"/>
    </sortState>
  </autoFilter>
  <mergeCells count="126">
    <mergeCell ref="F1:F3"/>
    <mergeCell ref="M1:M3"/>
    <mergeCell ref="K1:K3"/>
    <mergeCell ref="O1:O3"/>
    <mergeCell ref="Q1:Q3"/>
    <mergeCell ref="H1:H3"/>
    <mergeCell ref="D1:D3"/>
    <mergeCell ref="S1:S3"/>
    <mergeCell ref="T1:T3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3">
    <cfRule type="expression" dxfId="44" priority="8">
      <formula>IF($BX4&lt;&gt;"",1,0)</formula>
    </cfRule>
  </conditionalFormatting>
  <conditionalFormatting sqref="CE4:DI13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EL$17</formula>
      <formula>100</formula>
    </cfRule>
    <cfRule type="cellIs" dxfId="38" priority="3912" operator="between">
      <formula>EL$16</formula>
      <formula>EL$17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EL$21</formula>
      <formula>1000</formula>
    </cfRule>
    <cfRule type="cellIs" dxfId="36" priority="3984" operator="between">
      <formula>EL$20</formula>
      <formula>EL$21</formula>
    </cfRule>
    <cfRule type="cellIs" dxfId="35" priority="3985" operator="between">
      <formula>EL$19</formula>
      <formula>EL$20</formula>
    </cfRule>
    <cfRule type="cellIs" dxfId="34" priority="3986" operator="between">
      <formula>EL$18</formula>
      <formula>EL$19</formula>
    </cfRule>
  </conditionalFormatting>
  <conditionalFormatting sqref="AT1:AT1048576 BY1:BY1048576 DD1:DD1048576">
    <cfRule type="expression" dxfId="33" priority="4164">
      <formula>IF(AND(AT1&gt;=AU$17,AT1&lt;1000,AS1=""),1,0)</formula>
    </cfRule>
    <cfRule type="expression" dxfId="32" priority="4165">
      <formula>IF(AND(AT1&gt;=AU$16,AT1&lt;AU$17,AS1=""),1,0)</formula>
    </cfRule>
  </conditionalFormatting>
  <conditionalFormatting sqref="AW1:AW1048576 CB1:CB1048576 DG1:DG1048576">
    <cfRule type="expression" dxfId="31" priority="4182">
      <formula>IF(AND(AW1&gt;=AU$21,AW1&lt;1000,AS1=""),1,0)</formula>
    </cfRule>
    <cfRule type="expression" dxfId="30" priority="4183">
      <formula>IF(AND(AW1&gt;=AU$20,AW1&lt;AU$21,AS1=""),1,0)</formula>
    </cfRule>
    <cfRule type="expression" dxfId="29" priority="4184">
      <formula>IF(AND(AW1&gt;=AU$19,AW1&lt;AU$20,AS1=""),1,0)</formula>
    </cfRule>
    <cfRule type="expression" dxfId="28" priority="4185">
      <formula>IF(AND(AW1&gt;=AU$18,AW1&lt;AU$19,AS1=""),1,0)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99" t="s">
        <v>1</v>
      </c>
      <c r="B1" s="99" t="s">
        <v>50</v>
      </c>
      <c r="C1" s="99" t="s">
        <v>0</v>
      </c>
      <c r="D1" s="99" t="s">
        <v>161</v>
      </c>
      <c r="E1" s="99" t="s">
        <v>2</v>
      </c>
      <c r="F1" s="100" t="s">
        <v>120</v>
      </c>
      <c r="G1" s="100" t="s">
        <v>119</v>
      </c>
      <c r="H1" s="99" t="s">
        <v>21</v>
      </c>
      <c r="I1" s="99" t="s">
        <v>22</v>
      </c>
      <c r="J1" s="101" t="s">
        <v>23</v>
      </c>
      <c r="K1" s="101" t="s">
        <v>86</v>
      </c>
      <c r="L1" s="101" t="s">
        <v>53</v>
      </c>
      <c r="M1" s="101" t="s">
        <v>86</v>
      </c>
      <c r="N1" s="101" t="s">
        <v>54</v>
      </c>
      <c r="O1" s="101" t="s">
        <v>86</v>
      </c>
      <c r="P1" s="101" t="s">
        <v>26</v>
      </c>
      <c r="Q1" s="101" t="s">
        <v>86</v>
      </c>
      <c r="R1" s="103" t="s">
        <v>27</v>
      </c>
      <c r="S1" s="101" t="s">
        <v>87</v>
      </c>
      <c r="T1" s="101" t="s">
        <v>86</v>
      </c>
      <c r="U1" s="102" t="s">
        <v>89</v>
      </c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4" t="s">
        <v>121</v>
      </c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2" t="s">
        <v>139</v>
      </c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5" t="s">
        <v>27</v>
      </c>
      <c r="DK1" s="105"/>
      <c r="DL1" s="105"/>
      <c r="DM1" s="110" t="s">
        <v>105</v>
      </c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1" t="s">
        <v>113</v>
      </c>
      <c r="ER1" s="111"/>
      <c r="ES1" s="111"/>
      <c r="ET1" s="111"/>
      <c r="EU1" s="111"/>
      <c r="EV1" s="111"/>
      <c r="EW1" s="111"/>
      <c r="EX1" s="111"/>
      <c r="EY1" s="111"/>
      <c r="EZ1" s="111"/>
      <c r="FA1" s="111"/>
      <c r="FB1" s="111"/>
      <c r="FC1" s="111"/>
      <c r="FD1" s="111"/>
      <c r="FE1" s="111"/>
      <c r="FF1" s="111"/>
      <c r="FG1" s="111"/>
      <c r="FH1" s="111"/>
      <c r="FI1" s="111"/>
      <c r="FJ1" s="111"/>
      <c r="FK1" s="111"/>
      <c r="FL1" s="111"/>
      <c r="FM1" s="111"/>
      <c r="FN1" s="111"/>
      <c r="FO1" s="111"/>
      <c r="FP1" s="111"/>
      <c r="FQ1" s="111"/>
      <c r="FR1" s="111"/>
      <c r="FS1" s="111"/>
      <c r="FT1" s="111"/>
      <c r="FU1" s="110" t="s">
        <v>115</v>
      </c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1" t="s">
        <v>116</v>
      </c>
      <c r="GZ1" s="111"/>
      <c r="HA1" s="111"/>
      <c r="HB1" s="111"/>
      <c r="HC1" s="111"/>
      <c r="HD1" s="111"/>
      <c r="HE1" s="111"/>
      <c r="HF1" s="111"/>
      <c r="HG1" s="111"/>
      <c r="HH1" s="111"/>
      <c r="HI1" s="111"/>
      <c r="HJ1" s="111"/>
      <c r="HK1" s="111"/>
      <c r="HL1" s="111"/>
      <c r="HM1" s="111"/>
      <c r="HN1" s="111"/>
      <c r="HO1" s="111"/>
      <c r="HP1" s="111"/>
      <c r="HQ1" s="111"/>
      <c r="HR1" s="111"/>
      <c r="HS1" s="111"/>
      <c r="HT1" s="111"/>
      <c r="HU1" s="111"/>
      <c r="HV1" s="111"/>
      <c r="HW1" s="111"/>
      <c r="HX1" s="111"/>
      <c r="HY1" s="111"/>
      <c r="HZ1" s="111"/>
      <c r="IA1" s="111"/>
      <c r="IB1" s="111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1"/>
      <c r="JH1" s="111"/>
      <c r="JI1" s="111"/>
      <c r="JJ1" s="111"/>
      <c r="JK1" s="111"/>
      <c r="JL1" s="111"/>
      <c r="JM1" s="111"/>
      <c r="JN1" s="111"/>
      <c r="JO1" s="111"/>
      <c r="JP1" s="111"/>
      <c r="JQ1" s="111"/>
      <c r="JR1" s="111"/>
      <c r="JS1" s="111"/>
      <c r="JT1" s="111"/>
      <c r="JU1" s="111"/>
      <c r="JV1" s="111"/>
      <c r="JW1" s="111"/>
      <c r="JX1" s="111"/>
      <c r="JY1" s="111"/>
      <c r="JZ1" s="111"/>
      <c r="KA1" s="111"/>
      <c r="KB1" s="111"/>
      <c r="KC1" s="111"/>
      <c r="KD1" s="111"/>
      <c r="KE1" s="111"/>
      <c r="KF1" s="111"/>
      <c r="KG1" s="111"/>
      <c r="KH1" s="111"/>
      <c r="KI1" s="111"/>
      <c r="KJ1" s="111"/>
      <c r="KK1" s="110"/>
      <c r="KL1" s="110"/>
      <c r="KM1" s="110"/>
      <c r="KN1" s="110"/>
      <c r="KO1" s="110"/>
      <c r="KP1" s="110"/>
      <c r="KQ1" s="110"/>
      <c r="KR1" s="110"/>
      <c r="KS1" s="110"/>
      <c r="KT1" s="110"/>
      <c r="KU1" s="110"/>
      <c r="KV1" s="110"/>
      <c r="KW1" s="110"/>
      <c r="KX1" s="110"/>
      <c r="KY1" s="110"/>
      <c r="KZ1" s="110"/>
      <c r="LA1" s="110"/>
      <c r="LB1" s="110"/>
      <c r="LC1" s="110"/>
      <c r="LD1" s="110"/>
      <c r="LE1" s="110"/>
      <c r="LF1" s="110"/>
      <c r="LG1" s="110"/>
      <c r="LH1" s="110"/>
      <c r="LI1" s="110"/>
      <c r="LJ1" s="110"/>
      <c r="LK1" s="110"/>
      <c r="LL1" s="110"/>
      <c r="LM1" s="110"/>
      <c r="LN1" s="110"/>
      <c r="LO1" s="111"/>
      <c r="LP1" s="111"/>
      <c r="LQ1" s="111"/>
      <c r="LR1" s="111"/>
      <c r="LS1" s="111"/>
      <c r="LT1" s="111"/>
      <c r="LU1" s="111"/>
      <c r="LV1" s="111"/>
      <c r="LW1" s="111"/>
      <c r="LX1" s="111"/>
      <c r="LY1" s="111"/>
      <c r="LZ1" s="111"/>
      <c r="MA1" s="111"/>
      <c r="MB1" s="111"/>
      <c r="MC1" s="111"/>
      <c r="MD1" s="111"/>
      <c r="ME1" s="111"/>
      <c r="MF1" s="111"/>
      <c r="MG1" s="111"/>
      <c r="MH1" s="111"/>
      <c r="MI1" s="111"/>
      <c r="MJ1" s="111"/>
      <c r="MK1" s="111"/>
      <c r="ML1" s="111"/>
      <c r="MM1" s="111"/>
      <c r="MN1" s="111"/>
      <c r="MO1" s="111"/>
      <c r="MP1" s="111"/>
      <c r="MQ1" s="111"/>
      <c r="MR1" s="111"/>
      <c r="MS1" s="110"/>
      <c r="MT1" s="110"/>
      <c r="MU1" s="110"/>
      <c r="MV1" s="110"/>
      <c r="MW1" s="110"/>
      <c r="MX1" s="110"/>
      <c r="MY1" s="110"/>
      <c r="MZ1" s="110"/>
      <c r="NA1" s="110"/>
      <c r="NB1" s="110"/>
      <c r="NC1" s="110"/>
      <c r="ND1" s="110"/>
      <c r="NE1" s="110"/>
      <c r="NF1" s="110"/>
      <c r="NG1" s="110"/>
      <c r="NH1" s="110"/>
      <c r="NI1" s="110"/>
      <c r="NJ1" s="110"/>
      <c r="NK1" s="110"/>
      <c r="NL1" s="110"/>
      <c r="NM1" s="110"/>
      <c r="NN1" s="110"/>
      <c r="NO1" s="110"/>
      <c r="NP1" s="110"/>
      <c r="NQ1" s="110"/>
      <c r="NR1" s="110"/>
      <c r="NS1" s="110"/>
      <c r="NT1" s="110"/>
      <c r="NU1" s="110"/>
      <c r="NV1" s="110"/>
      <c r="NW1" s="111"/>
      <c r="NX1" s="111"/>
      <c r="NY1" s="111"/>
      <c r="NZ1" s="111"/>
      <c r="OA1" s="111"/>
      <c r="OB1" s="111"/>
      <c r="OC1" s="111"/>
      <c r="OD1" s="111"/>
      <c r="OE1" s="111"/>
      <c r="OF1" s="111"/>
      <c r="OG1" s="111"/>
      <c r="OH1" s="111"/>
      <c r="OI1" s="111"/>
      <c r="OJ1" s="111"/>
      <c r="OK1" s="111"/>
      <c r="OL1" s="111"/>
      <c r="OM1" s="111"/>
      <c r="ON1" s="111"/>
      <c r="OO1" s="111"/>
      <c r="OP1" s="111"/>
      <c r="OQ1" s="111"/>
      <c r="OR1" s="111"/>
      <c r="OS1" s="111"/>
      <c r="OT1" s="111"/>
      <c r="OU1" s="111"/>
      <c r="OV1" s="111"/>
      <c r="OW1" s="111"/>
      <c r="OX1" s="111"/>
      <c r="OY1" s="111"/>
      <c r="OZ1" s="111"/>
      <c r="PA1" s="110"/>
      <c r="PB1" s="110"/>
      <c r="PC1" s="110"/>
      <c r="PD1" s="110"/>
      <c r="PE1" s="110"/>
      <c r="PF1" s="110"/>
      <c r="PG1" s="110"/>
      <c r="PH1" s="110"/>
      <c r="PI1" s="110"/>
      <c r="PJ1" s="110"/>
      <c r="PK1" s="110"/>
      <c r="PL1" s="110"/>
      <c r="PM1" s="110"/>
      <c r="PN1" s="110"/>
      <c r="PO1" s="110"/>
      <c r="PP1" s="110"/>
      <c r="PQ1" s="110"/>
      <c r="PR1" s="110"/>
      <c r="PS1" s="110"/>
      <c r="PT1" s="110"/>
      <c r="PU1" s="110"/>
      <c r="PV1" s="110"/>
      <c r="PW1" s="110"/>
      <c r="PX1" s="110"/>
      <c r="PY1" s="110"/>
      <c r="PZ1" s="110"/>
      <c r="QA1" s="110"/>
      <c r="QB1" s="110"/>
      <c r="QC1" s="110"/>
      <c r="QD1" s="110"/>
      <c r="QE1" s="111"/>
      <c r="QF1" s="111"/>
      <c r="QG1" s="111"/>
      <c r="QH1" s="111"/>
      <c r="QI1" s="111"/>
      <c r="QJ1" s="111"/>
      <c r="QK1" s="111"/>
      <c r="QL1" s="111"/>
      <c r="QM1" s="111"/>
      <c r="QN1" s="111"/>
      <c r="QO1" s="111"/>
      <c r="QP1" s="111"/>
      <c r="QQ1" s="111"/>
      <c r="QR1" s="111"/>
      <c r="QS1" s="111"/>
      <c r="QT1" s="111"/>
      <c r="QU1" s="111"/>
      <c r="QV1" s="111"/>
      <c r="QW1" s="111"/>
      <c r="QX1" s="111"/>
      <c r="QY1" s="111"/>
      <c r="QZ1" s="111"/>
      <c r="RA1" s="111"/>
      <c r="RB1" s="111"/>
      <c r="RC1" s="111"/>
      <c r="RD1" s="111"/>
      <c r="RE1" s="111"/>
      <c r="RF1" s="111"/>
      <c r="RG1" s="111"/>
      <c r="RH1" s="111"/>
    </row>
    <row r="2" spans="1:476" x14ac:dyDescent="0.2">
      <c r="A2" s="99"/>
      <c r="B2" s="99"/>
      <c r="C2" s="99"/>
      <c r="D2" s="99"/>
      <c r="E2" s="99"/>
      <c r="F2" s="100"/>
      <c r="G2" s="100"/>
      <c r="H2" s="99"/>
      <c r="I2" s="99"/>
      <c r="J2" s="101"/>
      <c r="K2" s="101"/>
      <c r="L2" s="101"/>
      <c r="M2" s="101"/>
      <c r="N2" s="101"/>
      <c r="O2" s="101"/>
      <c r="P2" s="101"/>
      <c r="Q2" s="101"/>
      <c r="R2" s="103"/>
      <c r="S2" s="101"/>
      <c r="T2" s="101"/>
      <c r="U2" s="98" t="s">
        <v>55</v>
      </c>
      <c r="V2" s="98"/>
      <c r="W2" s="98"/>
      <c r="X2" s="98"/>
      <c r="Y2" s="98" t="s">
        <v>58</v>
      </c>
      <c r="Z2" s="98"/>
      <c r="AA2" s="98"/>
      <c r="AB2" s="98"/>
      <c r="AC2" s="98" t="s">
        <v>59</v>
      </c>
      <c r="AD2" s="98"/>
      <c r="AE2" s="98"/>
      <c r="AF2" s="98"/>
      <c r="AG2" s="109" t="s">
        <v>60</v>
      </c>
      <c r="AH2" s="109"/>
      <c r="AI2" s="109"/>
      <c r="AJ2" s="109"/>
      <c r="AK2" s="109" t="s">
        <v>61</v>
      </c>
      <c r="AL2" s="109"/>
      <c r="AM2" s="109"/>
      <c r="AN2" s="109"/>
      <c r="AO2" s="109" t="s">
        <v>62</v>
      </c>
      <c r="AP2" s="109"/>
      <c r="AQ2" s="109"/>
      <c r="AR2" s="109"/>
      <c r="AS2" s="91"/>
      <c r="AT2" s="68" t="s">
        <v>39</v>
      </c>
      <c r="AU2" s="11" t="s">
        <v>68</v>
      </c>
      <c r="AV2" s="11" t="s">
        <v>69</v>
      </c>
      <c r="AW2" s="11" t="s">
        <v>37</v>
      </c>
      <c r="AX2" s="11" t="s">
        <v>36</v>
      </c>
      <c r="AY2" s="11" t="s">
        <v>31</v>
      </c>
      <c r="AZ2" s="97" t="s">
        <v>55</v>
      </c>
      <c r="BA2" s="97"/>
      <c r="BB2" s="97"/>
      <c r="BC2" s="97"/>
      <c r="BD2" s="97" t="s">
        <v>58</v>
      </c>
      <c r="BE2" s="97"/>
      <c r="BF2" s="97"/>
      <c r="BG2" s="97"/>
      <c r="BH2" s="97" t="s">
        <v>59</v>
      </c>
      <c r="BI2" s="97"/>
      <c r="BJ2" s="97"/>
      <c r="BK2" s="97"/>
      <c r="BL2" s="112" t="s">
        <v>60</v>
      </c>
      <c r="BM2" s="112"/>
      <c r="BN2" s="112"/>
      <c r="BO2" s="112"/>
      <c r="BP2" s="112" t="s">
        <v>61</v>
      </c>
      <c r="BQ2" s="112"/>
      <c r="BR2" s="112"/>
      <c r="BS2" s="112"/>
      <c r="BT2" s="112" t="s">
        <v>62</v>
      </c>
      <c r="BU2" s="112"/>
      <c r="BV2" s="112"/>
      <c r="BW2" s="112"/>
      <c r="BX2" s="92"/>
      <c r="BY2" s="67" t="s">
        <v>39</v>
      </c>
      <c r="BZ2" s="14" t="s">
        <v>68</v>
      </c>
      <c r="CA2" s="14" t="s">
        <v>69</v>
      </c>
      <c r="CB2" s="14" t="s">
        <v>37</v>
      </c>
      <c r="CC2" s="14" t="s">
        <v>36</v>
      </c>
      <c r="CD2" s="14" t="s">
        <v>31</v>
      </c>
      <c r="CE2" s="98" t="s">
        <v>55</v>
      </c>
      <c r="CF2" s="98"/>
      <c r="CG2" s="98"/>
      <c r="CH2" s="98"/>
      <c r="CI2" s="98" t="s">
        <v>58</v>
      </c>
      <c r="CJ2" s="98"/>
      <c r="CK2" s="98"/>
      <c r="CL2" s="98"/>
      <c r="CM2" s="98" t="s">
        <v>59</v>
      </c>
      <c r="CN2" s="98"/>
      <c r="CO2" s="98"/>
      <c r="CP2" s="98"/>
      <c r="CQ2" s="109" t="s">
        <v>60</v>
      </c>
      <c r="CR2" s="109"/>
      <c r="CS2" s="109"/>
      <c r="CT2" s="109"/>
      <c r="CU2" s="109" t="s">
        <v>61</v>
      </c>
      <c r="CV2" s="109"/>
      <c r="CW2" s="109"/>
      <c r="CX2" s="109"/>
      <c r="CY2" s="109" t="s">
        <v>62</v>
      </c>
      <c r="CZ2" s="109"/>
      <c r="DA2" s="109"/>
      <c r="DB2" s="109"/>
      <c r="DC2" s="91"/>
      <c r="DD2" s="18" t="s">
        <v>39</v>
      </c>
      <c r="DE2" s="11" t="s">
        <v>68</v>
      </c>
      <c r="DF2" s="11" t="s">
        <v>69</v>
      </c>
      <c r="DG2" s="11" t="s">
        <v>37</v>
      </c>
      <c r="DH2" s="11" t="s">
        <v>36</v>
      </c>
      <c r="DI2" s="11" t="s">
        <v>31</v>
      </c>
      <c r="DJ2" s="28" t="s">
        <v>68</v>
      </c>
      <c r="DK2" s="28" t="s">
        <v>69</v>
      </c>
      <c r="DL2" s="28" t="s">
        <v>36</v>
      </c>
      <c r="DM2" s="98" t="s">
        <v>55</v>
      </c>
      <c r="DN2" s="98"/>
      <c r="DO2" s="98"/>
      <c r="DP2" s="98"/>
      <c r="DQ2" s="98" t="s">
        <v>58</v>
      </c>
      <c r="DR2" s="98"/>
      <c r="DS2" s="98"/>
      <c r="DT2" s="98"/>
      <c r="DU2" s="98" t="s">
        <v>59</v>
      </c>
      <c r="DV2" s="98"/>
      <c r="DW2" s="98"/>
      <c r="DX2" s="98"/>
      <c r="DY2" s="109" t="s">
        <v>60</v>
      </c>
      <c r="DZ2" s="109"/>
      <c r="EA2" s="109"/>
      <c r="EB2" s="109"/>
      <c r="EC2" s="109" t="s">
        <v>61</v>
      </c>
      <c r="ED2" s="109"/>
      <c r="EE2" s="109"/>
      <c r="EF2" s="109"/>
      <c r="EG2" s="109" t="s">
        <v>62</v>
      </c>
      <c r="EH2" s="109"/>
      <c r="EI2" s="109"/>
      <c r="EJ2" s="109"/>
      <c r="EK2" s="68" t="s">
        <v>39</v>
      </c>
      <c r="EL2" s="11" t="s">
        <v>68</v>
      </c>
      <c r="EM2" s="11" t="s">
        <v>69</v>
      </c>
      <c r="EN2" s="11" t="s">
        <v>37</v>
      </c>
      <c r="EO2" s="11" t="s">
        <v>36</v>
      </c>
      <c r="EP2" s="11" t="s">
        <v>31</v>
      </c>
      <c r="EQ2" s="112" t="s">
        <v>55</v>
      </c>
      <c r="ER2" s="112"/>
      <c r="ES2" s="112"/>
      <c r="ET2" s="112"/>
      <c r="EU2" s="112" t="s">
        <v>58</v>
      </c>
      <c r="EV2" s="112"/>
      <c r="EW2" s="112"/>
      <c r="EX2" s="112"/>
      <c r="EY2" s="112" t="s">
        <v>59</v>
      </c>
      <c r="EZ2" s="112"/>
      <c r="FA2" s="112"/>
      <c r="FB2" s="112"/>
      <c r="FC2" s="112" t="s">
        <v>60</v>
      </c>
      <c r="FD2" s="112"/>
      <c r="FE2" s="112"/>
      <c r="FF2" s="112"/>
      <c r="FG2" s="112" t="s">
        <v>61</v>
      </c>
      <c r="FH2" s="112"/>
      <c r="FI2" s="112"/>
      <c r="FJ2" s="112"/>
      <c r="FK2" s="112" t="s">
        <v>62</v>
      </c>
      <c r="FL2" s="112"/>
      <c r="FM2" s="112"/>
      <c r="FN2" s="112"/>
      <c r="FO2" s="72" t="s">
        <v>39</v>
      </c>
      <c r="FP2" s="19" t="s">
        <v>68</v>
      </c>
      <c r="FQ2" s="19" t="s">
        <v>69</v>
      </c>
      <c r="FR2" s="19" t="s">
        <v>37</v>
      </c>
      <c r="FS2" s="19" t="s">
        <v>36</v>
      </c>
      <c r="FT2" s="19" t="s">
        <v>31</v>
      </c>
      <c r="FU2" s="109" t="s">
        <v>55</v>
      </c>
      <c r="FV2" s="109"/>
      <c r="FW2" s="109"/>
      <c r="FX2" s="109"/>
      <c r="FY2" s="109" t="s">
        <v>58</v>
      </c>
      <c r="FZ2" s="109"/>
      <c r="GA2" s="109"/>
      <c r="GB2" s="109"/>
      <c r="GC2" s="109" t="s">
        <v>59</v>
      </c>
      <c r="GD2" s="109"/>
      <c r="GE2" s="109"/>
      <c r="GF2" s="109"/>
      <c r="GG2" s="109" t="s">
        <v>60</v>
      </c>
      <c r="GH2" s="109"/>
      <c r="GI2" s="109"/>
      <c r="GJ2" s="109"/>
      <c r="GK2" s="109" t="s">
        <v>61</v>
      </c>
      <c r="GL2" s="109"/>
      <c r="GM2" s="109"/>
      <c r="GN2" s="109"/>
      <c r="GO2" s="109" t="s">
        <v>62</v>
      </c>
      <c r="GP2" s="109"/>
      <c r="GQ2" s="109"/>
      <c r="GR2" s="109"/>
      <c r="GS2" s="71" t="s">
        <v>39</v>
      </c>
      <c r="GT2" s="20" t="s">
        <v>68</v>
      </c>
      <c r="GU2" s="20" t="s">
        <v>69</v>
      </c>
      <c r="GV2" s="20" t="s">
        <v>37</v>
      </c>
      <c r="GW2" s="20" t="s">
        <v>36</v>
      </c>
      <c r="GX2" s="20" t="s">
        <v>31</v>
      </c>
      <c r="GY2" s="112" t="s">
        <v>55</v>
      </c>
      <c r="GZ2" s="112"/>
      <c r="HA2" s="112"/>
      <c r="HB2" s="112"/>
      <c r="HC2" s="112" t="s">
        <v>58</v>
      </c>
      <c r="HD2" s="112"/>
      <c r="HE2" s="112"/>
      <c r="HF2" s="112"/>
      <c r="HG2" s="112" t="s">
        <v>59</v>
      </c>
      <c r="HH2" s="112"/>
      <c r="HI2" s="112"/>
      <c r="HJ2" s="112"/>
      <c r="HK2" s="112" t="s">
        <v>60</v>
      </c>
      <c r="HL2" s="112"/>
      <c r="HM2" s="112"/>
      <c r="HN2" s="112"/>
      <c r="HO2" s="112" t="s">
        <v>61</v>
      </c>
      <c r="HP2" s="112"/>
      <c r="HQ2" s="112"/>
      <c r="HR2" s="112"/>
      <c r="HS2" s="112" t="s">
        <v>62</v>
      </c>
      <c r="HT2" s="112"/>
      <c r="HU2" s="112"/>
      <c r="HV2" s="112"/>
      <c r="HW2" s="72" t="s">
        <v>39</v>
      </c>
      <c r="HX2" s="19" t="s">
        <v>68</v>
      </c>
      <c r="HY2" s="19" t="s">
        <v>69</v>
      </c>
      <c r="HZ2" s="19" t="s">
        <v>37</v>
      </c>
      <c r="IA2" s="19" t="s">
        <v>36</v>
      </c>
      <c r="IB2" s="19" t="s">
        <v>31</v>
      </c>
      <c r="IC2" s="109" t="s">
        <v>55</v>
      </c>
      <c r="ID2" s="109"/>
      <c r="IE2" s="109"/>
      <c r="IF2" s="109"/>
      <c r="IG2" s="109" t="s">
        <v>58</v>
      </c>
      <c r="IH2" s="109"/>
      <c r="II2" s="109"/>
      <c r="IJ2" s="109"/>
      <c r="IK2" s="109" t="s">
        <v>59</v>
      </c>
      <c r="IL2" s="109"/>
      <c r="IM2" s="109"/>
      <c r="IN2" s="109"/>
      <c r="IO2" s="109" t="s">
        <v>60</v>
      </c>
      <c r="IP2" s="109"/>
      <c r="IQ2" s="109"/>
      <c r="IR2" s="109"/>
      <c r="IS2" s="109" t="s">
        <v>61</v>
      </c>
      <c r="IT2" s="109"/>
      <c r="IU2" s="109"/>
      <c r="IV2" s="109"/>
      <c r="IW2" s="109" t="s">
        <v>62</v>
      </c>
      <c r="IX2" s="109"/>
      <c r="IY2" s="109"/>
      <c r="IZ2" s="109"/>
      <c r="JA2" s="71" t="s">
        <v>39</v>
      </c>
      <c r="JB2" s="20" t="s">
        <v>68</v>
      </c>
      <c r="JC2" s="20" t="s">
        <v>69</v>
      </c>
      <c r="JD2" s="20" t="s">
        <v>37</v>
      </c>
      <c r="JE2" s="20" t="s">
        <v>36</v>
      </c>
      <c r="JF2" s="20" t="s">
        <v>31</v>
      </c>
      <c r="JG2" s="112" t="s">
        <v>55</v>
      </c>
      <c r="JH2" s="112"/>
      <c r="JI2" s="112"/>
      <c r="JJ2" s="112"/>
      <c r="JK2" s="112" t="s">
        <v>58</v>
      </c>
      <c r="JL2" s="112"/>
      <c r="JM2" s="112"/>
      <c r="JN2" s="112"/>
      <c r="JO2" s="112" t="s">
        <v>59</v>
      </c>
      <c r="JP2" s="112"/>
      <c r="JQ2" s="112"/>
      <c r="JR2" s="112"/>
      <c r="JS2" s="112" t="s">
        <v>60</v>
      </c>
      <c r="JT2" s="112"/>
      <c r="JU2" s="112"/>
      <c r="JV2" s="112"/>
      <c r="JW2" s="112" t="s">
        <v>61</v>
      </c>
      <c r="JX2" s="112"/>
      <c r="JY2" s="112"/>
      <c r="JZ2" s="112"/>
      <c r="KA2" s="112" t="s">
        <v>62</v>
      </c>
      <c r="KB2" s="112"/>
      <c r="KC2" s="112"/>
      <c r="KD2" s="112"/>
      <c r="KE2" s="26" t="s">
        <v>39</v>
      </c>
      <c r="KF2" s="19" t="s">
        <v>68</v>
      </c>
      <c r="KG2" s="19" t="s">
        <v>69</v>
      </c>
      <c r="KH2" s="19" t="s">
        <v>37</v>
      </c>
      <c r="KI2" s="19" t="s">
        <v>36</v>
      </c>
      <c r="KJ2" s="19" t="s">
        <v>31</v>
      </c>
      <c r="KK2" s="109" t="s">
        <v>55</v>
      </c>
      <c r="KL2" s="109"/>
      <c r="KM2" s="109"/>
      <c r="KN2" s="109"/>
      <c r="KO2" s="109" t="s">
        <v>58</v>
      </c>
      <c r="KP2" s="109"/>
      <c r="KQ2" s="109"/>
      <c r="KR2" s="109"/>
      <c r="KS2" s="109" t="s">
        <v>59</v>
      </c>
      <c r="KT2" s="109"/>
      <c r="KU2" s="109"/>
      <c r="KV2" s="109"/>
      <c r="KW2" s="109" t="s">
        <v>60</v>
      </c>
      <c r="KX2" s="109"/>
      <c r="KY2" s="109"/>
      <c r="KZ2" s="109"/>
      <c r="LA2" s="109" t="s">
        <v>61</v>
      </c>
      <c r="LB2" s="109"/>
      <c r="LC2" s="109"/>
      <c r="LD2" s="109"/>
      <c r="LE2" s="109" t="s">
        <v>62</v>
      </c>
      <c r="LF2" s="109"/>
      <c r="LG2" s="109"/>
      <c r="LH2" s="109"/>
      <c r="LI2" s="27" t="s">
        <v>39</v>
      </c>
      <c r="LJ2" s="20" t="s">
        <v>68</v>
      </c>
      <c r="LK2" s="20" t="s">
        <v>69</v>
      </c>
      <c r="LL2" s="20" t="s">
        <v>37</v>
      </c>
      <c r="LM2" s="20" t="s">
        <v>36</v>
      </c>
      <c r="LN2" s="20" t="s">
        <v>31</v>
      </c>
      <c r="LO2" s="112" t="s">
        <v>55</v>
      </c>
      <c r="LP2" s="112"/>
      <c r="LQ2" s="112"/>
      <c r="LR2" s="112"/>
      <c r="LS2" s="112" t="s">
        <v>58</v>
      </c>
      <c r="LT2" s="112"/>
      <c r="LU2" s="112"/>
      <c r="LV2" s="112"/>
      <c r="LW2" s="112" t="s">
        <v>59</v>
      </c>
      <c r="LX2" s="112"/>
      <c r="LY2" s="112"/>
      <c r="LZ2" s="112"/>
      <c r="MA2" s="112" t="s">
        <v>60</v>
      </c>
      <c r="MB2" s="112"/>
      <c r="MC2" s="112"/>
      <c r="MD2" s="112"/>
      <c r="ME2" s="112" t="s">
        <v>61</v>
      </c>
      <c r="MF2" s="112"/>
      <c r="MG2" s="112"/>
      <c r="MH2" s="112"/>
      <c r="MI2" s="112" t="s">
        <v>62</v>
      </c>
      <c r="MJ2" s="112"/>
      <c r="MK2" s="112"/>
      <c r="ML2" s="112"/>
      <c r="MM2" s="26" t="s">
        <v>39</v>
      </c>
      <c r="MN2" s="19" t="s">
        <v>68</v>
      </c>
      <c r="MO2" s="19" t="s">
        <v>69</v>
      </c>
      <c r="MP2" s="19" t="s">
        <v>37</v>
      </c>
      <c r="MQ2" s="19" t="s">
        <v>36</v>
      </c>
      <c r="MR2" s="19" t="s">
        <v>31</v>
      </c>
      <c r="MS2" s="109" t="s">
        <v>55</v>
      </c>
      <c r="MT2" s="109"/>
      <c r="MU2" s="109"/>
      <c r="MV2" s="109"/>
      <c r="MW2" s="109" t="s">
        <v>58</v>
      </c>
      <c r="MX2" s="109"/>
      <c r="MY2" s="109"/>
      <c r="MZ2" s="109"/>
      <c r="NA2" s="109" t="s">
        <v>59</v>
      </c>
      <c r="NB2" s="109"/>
      <c r="NC2" s="109"/>
      <c r="ND2" s="109"/>
      <c r="NE2" s="109" t="s">
        <v>60</v>
      </c>
      <c r="NF2" s="109"/>
      <c r="NG2" s="109"/>
      <c r="NH2" s="109"/>
      <c r="NI2" s="109" t="s">
        <v>61</v>
      </c>
      <c r="NJ2" s="109"/>
      <c r="NK2" s="109"/>
      <c r="NL2" s="109"/>
      <c r="NM2" s="109" t="s">
        <v>62</v>
      </c>
      <c r="NN2" s="109"/>
      <c r="NO2" s="109"/>
      <c r="NP2" s="109"/>
      <c r="NQ2" s="27" t="s">
        <v>39</v>
      </c>
      <c r="NR2" s="20" t="s">
        <v>68</v>
      </c>
      <c r="NS2" s="20" t="s">
        <v>69</v>
      </c>
      <c r="NT2" s="20" t="s">
        <v>37</v>
      </c>
      <c r="NU2" s="20" t="s">
        <v>36</v>
      </c>
      <c r="NV2" s="20" t="s">
        <v>31</v>
      </c>
      <c r="NW2" s="112" t="s">
        <v>55</v>
      </c>
      <c r="NX2" s="112"/>
      <c r="NY2" s="112"/>
      <c r="NZ2" s="112"/>
      <c r="OA2" s="112" t="s">
        <v>58</v>
      </c>
      <c r="OB2" s="112"/>
      <c r="OC2" s="112"/>
      <c r="OD2" s="112"/>
      <c r="OE2" s="112" t="s">
        <v>59</v>
      </c>
      <c r="OF2" s="112"/>
      <c r="OG2" s="112"/>
      <c r="OH2" s="112"/>
      <c r="OI2" s="112" t="s">
        <v>60</v>
      </c>
      <c r="OJ2" s="112"/>
      <c r="OK2" s="112"/>
      <c r="OL2" s="112"/>
      <c r="OM2" s="112" t="s">
        <v>61</v>
      </c>
      <c r="ON2" s="112"/>
      <c r="OO2" s="112"/>
      <c r="OP2" s="112"/>
      <c r="OQ2" s="112" t="s">
        <v>62</v>
      </c>
      <c r="OR2" s="112"/>
      <c r="OS2" s="112"/>
      <c r="OT2" s="112"/>
      <c r="OU2" s="26" t="s">
        <v>39</v>
      </c>
      <c r="OV2" s="19" t="s">
        <v>68</v>
      </c>
      <c r="OW2" s="19" t="s">
        <v>69</v>
      </c>
      <c r="OX2" s="19" t="s">
        <v>37</v>
      </c>
      <c r="OY2" s="19" t="s">
        <v>36</v>
      </c>
      <c r="OZ2" s="19" t="s">
        <v>31</v>
      </c>
      <c r="PA2" s="109" t="s">
        <v>55</v>
      </c>
      <c r="PB2" s="109"/>
      <c r="PC2" s="109"/>
      <c r="PD2" s="109"/>
      <c r="PE2" s="109" t="s">
        <v>58</v>
      </c>
      <c r="PF2" s="109"/>
      <c r="PG2" s="109"/>
      <c r="PH2" s="109"/>
      <c r="PI2" s="109" t="s">
        <v>59</v>
      </c>
      <c r="PJ2" s="109"/>
      <c r="PK2" s="109"/>
      <c r="PL2" s="109"/>
      <c r="PM2" s="109" t="s">
        <v>60</v>
      </c>
      <c r="PN2" s="109"/>
      <c r="PO2" s="109"/>
      <c r="PP2" s="109"/>
      <c r="PQ2" s="109" t="s">
        <v>61</v>
      </c>
      <c r="PR2" s="109"/>
      <c r="PS2" s="109"/>
      <c r="PT2" s="109"/>
      <c r="PU2" s="109" t="s">
        <v>62</v>
      </c>
      <c r="PV2" s="109"/>
      <c r="PW2" s="109"/>
      <c r="PX2" s="109"/>
      <c r="PY2" s="27" t="s">
        <v>39</v>
      </c>
      <c r="PZ2" s="20" t="s">
        <v>68</v>
      </c>
      <c r="QA2" s="20" t="s">
        <v>69</v>
      </c>
      <c r="QB2" s="20" t="s">
        <v>37</v>
      </c>
      <c r="QC2" s="20" t="s">
        <v>36</v>
      </c>
      <c r="QD2" s="20" t="s">
        <v>31</v>
      </c>
      <c r="QE2" s="112" t="s">
        <v>55</v>
      </c>
      <c r="QF2" s="112"/>
      <c r="QG2" s="112"/>
      <c r="QH2" s="112"/>
      <c r="QI2" s="112" t="s">
        <v>58</v>
      </c>
      <c r="QJ2" s="112"/>
      <c r="QK2" s="112"/>
      <c r="QL2" s="112"/>
      <c r="QM2" s="112" t="s">
        <v>59</v>
      </c>
      <c r="QN2" s="112"/>
      <c r="QO2" s="112"/>
      <c r="QP2" s="112"/>
      <c r="QQ2" s="112" t="s">
        <v>60</v>
      </c>
      <c r="QR2" s="112"/>
      <c r="QS2" s="112"/>
      <c r="QT2" s="112"/>
      <c r="QU2" s="112" t="s">
        <v>61</v>
      </c>
      <c r="QV2" s="112"/>
      <c r="QW2" s="112"/>
      <c r="QX2" s="112"/>
      <c r="QY2" s="112" t="s">
        <v>62</v>
      </c>
      <c r="QZ2" s="112"/>
      <c r="RA2" s="112"/>
      <c r="RB2" s="112"/>
      <c r="RC2" s="26" t="s">
        <v>39</v>
      </c>
      <c r="RD2" s="19" t="s">
        <v>68</v>
      </c>
      <c r="RE2" s="19" t="s">
        <v>69</v>
      </c>
      <c r="RF2" s="19" t="s">
        <v>37</v>
      </c>
      <c r="RG2" s="19" t="s">
        <v>36</v>
      </c>
      <c r="RH2" s="19" t="s">
        <v>31</v>
      </c>
    </row>
    <row r="3" spans="1:476" x14ac:dyDescent="0.2">
      <c r="A3" s="99"/>
      <c r="B3" s="99"/>
      <c r="C3" s="99"/>
      <c r="D3" s="99"/>
      <c r="E3" s="99"/>
      <c r="F3" s="100"/>
      <c r="G3" s="100"/>
      <c r="H3" s="99"/>
      <c r="I3" s="99"/>
      <c r="J3" s="101"/>
      <c r="K3" s="101"/>
      <c r="L3" s="101"/>
      <c r="M3" s="101"/>
      <c r="N3" s="101"/>
      <c r="O3" s="101"/>
      <c r="P3" s="101"/>
      <c r="Q3" s="101"/>
      <c r="R3" s="103"/>
      <c r="S3" s="101"/>
      <c r="T3" s="101"/>
      <c r="U3" s="68" t="s">
        <v>28</v>
      </c>
      <c r="V3" s="68" t="s">
        <v>20</v>
      </c>
      <c r="W3" s="68" t="s">
        <v>56</v>
      </c>
      <c r="X3" s="68" t="s">
        <v>57</v>
      </c>
      <c r="Y3" s="68" t="s">
        <v>28</v>
      </c>
      <c r="Z3" s="68" t="s">
        <v>20</v>
      </c>
      <c r="AA3" s="68" t="s">
        <v>56</v>
      </c>
      <c r="AB3" s="68" t="s">
        <v>57</v>
      </c>
      <c r="AC3" s="68" t="s">
        <v>28</v>
      </c>
      <c r="AD3" s="68" t="s">
        <v>20</v>
      </c>
      <c r="AE3" s="68" t="s">
        <v>56</v>
      </c>
      <c r="AF3" s="68" t="s">
        <v>57</v>
      </c>
      <c r="AG3" s="71" t="s">
        <v>28</v>
      </c>
      <c r="AH3" s="71" t="s">
        <v>20</v>
      </c>
      <c r="AI3" s="71" t="s">
        <v>56</v>
      </c>
      <c r="AJ3" s="71" t="s">
        <v>57</v>
      </c>
      <c r="AK3" s="71" t="s">
        <v>28</v>
      </c>
      <c r="AL3" s="71" t="s">
        <v>20</v>
      </c>
      <c r="AM3" s="71" t="s">
        <v>56</v>
      </c>
      <c r="AN3" s="71" t="s">
        <v>57</v>
      </c>
      <c r="AO3" s="71" t="s">
        <v>28</v>
      </c>
      <c r="AP3" s="71" t="s">
        <v>20</v>
      </c>
      <c r="AQ3" s="71" t="s">
        <v>56</v>
      </c>
      <c r="AR3" s="71" t="s">
        <v>57</v>
      </c>
      <c r="AS3" s="91" t="s">
        <v>158</v>
      </c>
      <c r="AT3" s="12"/>
      <c r="AU3" s="11"/>
      <c r="AV3" s="11"/>
      <c r="AW3" s="11"/>
      <c r="AX3" s="12"/>
      <c r="AY3" s="12"/>
      <c r="AZ3" s="67" t="s">
        <v>28</v>
      </c>
      <c r="BA3" s="67" t="s">
        <v>20</v>
      </c>
      <c r="BB3" s="67" t="s">
        <v>56</v>
      </c>
      <c r="BC3" s="67" t="s">
        <v>57</v>
      </c>
      <c r="BD3" s="67" t="s">
        <v>28</v>
      </c>
      <c r="BE3" s="67" t="s">
        <v>20</v>
      </c>
      <c r="BF3" s="67" t="s">
        <v>56</v>
      </c>
      <c r="BG3" s="67" t="s">
        <v>57</v>
      </c>
      <c r="BH3" s="67" t="s">
        <v>28</v>
      </c>
      <c r="BI3" s="67" t="s">
        <v>20</v>
      </c>
      <c r="BJ3" s="67" t="s">
        <v>56</v>
      </c>
      <c r="BK3" s="67" t="s">
        <v>57</v>
      </c>
      <c r="BL3" s="72" t="s">
        <v>28</v>
      </c>
      <c r="BM3" s="72" t="s">
        <v>20</v>
      </c>
      <c r="BN3" s="72" t="s">
        <v>56</v>
      </c>
      <c r="BO3" s="72" t="s">
        <v>57</v>
      </c>
      <c r="BP3" s="72" t="s">
        <v>28</v>
      </c>
      <c r="BQ3" s="72" t="s">
        <v>20</v>
      </c>
      <c r="BR3" s="72" t="s">
        <v>56</v>
      </c>
      <c r="BS3" s="72" t="s">
        <v>57</v>
      </c>
      <c r="BT3" s="72" t="s">
        <v>28</v>
      </c>
      <c r="BU3" s="72" t="s">
        <v>20</v>
      </c>
      <c r="BV3" s="72" t="s">
        <v>56</v>
      </c>
      <c r="BW3" s="72" t="s">
        <v>57</v>
      </c>
      <c r="BX3" s="92" t="s">
        <v>158</v>
      </c>
      <c r="BY3" s="15"/>
      <c r="BZ3" s="14"/>
      <c r="CA3" s="14"/>
      <c r="CB3" s="14"/>
      <c r="CC3" s="15"/>
      <c r="CD3" s="15"/>
      <c r="CE3" s="35" t="s">
        <v>28</v>
      </c>
      <c r="CF3" s="35" t="s">
        <v>20</v>
      </c>
      <c r="CG3" s="35" t="s">
        <v>56</v>
      </c>
      <c r="CH3" s="35" t="s">
        <v>57</v>
      </c>
      <c r="CI3" s="35" t="s">
        <v>28</v>
      </c>
      <c r="CJ3" s="35" t="s">
        <v>20</v>
      </c>
      <c r="CK3" s="35" t="s">
        <v>56</v>
      </c>
      <c r="CL3" s="35" t="s">
        <v>57</v>
      </c>
      <c r="CM3" s="35" t="s">
        <v>28</v>
      </c>
      <c r="CN3" s="35" t="s">
        <v>20</v>
      </c>
      <c r="CO3" s="35" t="s">
        <v>56</v>
      </c>
      <c r="CP3" s="35" t="s">
        <v>57</v>
      </c>
      <c r="CQ3" s="40" t="s">
        <v>28</v>
      </c>
      <c r="CR3" s="40" t="s">
        <v>20</v>
      </c>
      <c r="CS3" s="40" t="s">
        <v>56</v>
      </c>
      <c r="CT3" s="40" t="s">
        <v>57</v>
      </c>
      <c r="CU3" s="40" t="s">
        <v>28</v>
      </c>
      <c r="CV3" s="40" t="s">
        <v>20</v>
      </c>
      <c r="CW3" s="40" t="s">
        <v>56</v>
      </c>
      <c r="CX3" s="40" t="s">
        <v>57</v>
      </c>
      <c r="CY3" s="40" t="s">
        <v>28</v>
      </c>
      <c r="CZ3" s="40" t="s">
        <v>20</v>
      </c>
      <c r="DA3" s="40" t="s">
        <v>56</v>
      </c>
      <c r="DB3" s="40" t="s">
        <v>57</v>
      </c>
      <c r="DC3" s="91" t="s">
        <v>158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28</v>
      </c>
      <c r="DN3" s="68" t="s">
        <v>20</v>
      </c>
      <c r="DO3" s="68" t="s">
        <v>56</v>
      </c>
      <c r="DP3" s="68" t="s">
        <v>57</v>
      </c>
      <c r="DQ3" s="68" t="s">
        <v>28</v>
      </c>
      <c r="DR3" s="68" t="s">
        <v>20</v>
      </c>
      <c r="DS3" s="68" t="s">
        <v>56</v>
      </c>
      <c r="DT3" s="68" t="s">
        <v>57</v>
      </c>
      <c r="DU3" s="68" t="s">
        <v>28</v>
      </c>
      <c r="DV3" s="68" t="s">
        <v>20</v>
      </c>
      <c r="DW3" s="68" t="s">
        <v>56</v>
      </c>
      <c r="DX3" s="68" t="s">
        <v>57</v>
      </c>
      <c r="DY3" s="71" t="s">
        <v>28</v>
      </c>
      <c r="DZ3" s="71" t="s">
        <v>20</v>
      </c>
      <c r="EA3" s="71" t="s">
        <v>56</v>
      </c>
      <c r="EB3" s="71" t="s">
        <v>57</v>
      </c>
      <c r="EC3" s="71" t="s">
        <v>28</v>
      </c>
      <c r="ED3" s="71" t="s">
        <v>20</v>
      </c>
      <c r="EE3" s="71" t="s">
        <v>56</v>
      </c>
      <c r="EF3" s="71" t="s">
        <v>57</v>
      </c>
      <c r="EG3" s="71" t="s">
        <v>28</v>
      </c>
      <c r="EH3" s="71" t="s">
        <v>20</v>
      </c>
      <c r="EI3" s="71" t="s">
        <v>56</v>
      </c>
      <c r="EJ3" s="71" t="s">
        <v>57</v>
      </c>
      <c r="EK3" s="12"/>
      <c r="EL3" s="11"/>
      <c r="EM3" s="11"/>
      <c r="EN3" s="11"/>
      <c r="EO3" s="12"/>
      <c r="EP3" s="12"/>
      <c r="EQ3" s="72" t="s">
        <v>28</v>
      </c>
      <c r="ER3" s="72" t="s">
        <v>20</v>
      </c>
      <c r="ES3" s="72" t="s">
        <v>56</v>
      </c>
      <c r="ET3" s="72" t="s">
        <v>57</v>
      </c>
      <c r="EU3" s="72" t="s">
        <v>28</v>
      </c>
      <c r="EV3" s="72" t="s">
        <v>20</v>
      </c>
      <c r="EW3" s="72" t="s">
        <v>56</v>
      </c>
      <c r="EX3" s="72" t="s">
        <v>57</v>
      </c>
      <c r="EY3" s="72" t="s">
        <v>28</v>
      </c>
      <c r="EZ3" s="72" t="s">
        <v>20</v>
      </c>
      <c r="FA3" s="72" t="s">
        <v>56</v>
      </c>
      <c r="FB3" s="72" t="s">
        <v>57</v>
      </c>
      <c r="FC3" s="72" t="s">
        <v>28</v>
      </c>
      <c r="FD3" s="72" t="s">
        <v>20</v>
      </c>
      <c r="FE3" s="72" t="s">
        <v>56</v>
      </c>
      <c r="FF3" s="72" t="s">
        <v>57</v>
      </c>
      <c r="FG3" s="72" t="s">
        <v>28</v>
      </c>
      <c r="FH3" s="72" t="s">
        <v>20</v>
      </c>
      <c r="FI3" s="72" t="s">
        <v>56</v>
      </c>
      <c r="FJ3" s="72" t="s">
        <v>57</v>
      </c>
      <c r="FK3" s="72" t="s">
        <v>28</v>
      </c>
      <c r="FL3" s="72" t="s">
        <v>20</v>
      </c>
      <c r="FM3" s="72" t="s">
        <v>56</v>
      </c>
      <c r="FN3" s="72" t="s">
        <v>57</v>
      </c>
      <c r="FO3" s="19"/>
      <c r="FP3" s="19"/>
      <c r="FQ3" s="19"/>
      <c r="FR3" s="19"/>
      <c r="FS3" s="19"/>
      <c r="FT3" s="19"/>
      <c r="FU3" s="71" t="s">
        <v>28</v>
      </c>
      <c r="FV3" s="71" t="s">
        <v>20</v>
      </c>
      <c r="FW3" s="71" t="s">
        <v>56</v>
      </c>
      <c r="FX3" s="71" t="s">
        <v>57</v>
      </c>
      <c r="FY3" s="71" t="s">
        <v>28</v>
      </c>
      <c r="FZ3" s="71" t="s">
        <v>20</v>
      </c>
      <c r="GA3" s="71" t="s">
        <v>56</v>
      </c>
      <c r="GB3" s="71" t="s">
        <v>57</v>
      </c>
      <c r="GC3" s="71" t="s">
        <v>28</v>
      </c>
      <c r="GD3" s="71" t="s">
        <v>20</v>
      </c>
      <c r="GE3" s="71" t="s">
        <v>56</v>
      </c>
      <c r="GF3" s="71" t="s">
        <v>57</v>
      </c>
      <c r="GG3" s="71" t="s">
        <v>28</v>
      </c>
      <c r="GH3" s="71" t="s">
        <v>20</v>
      </c>
      <c r="GI3" s="71" t="s">
        <v>56</v>
      </c>
      <c r="GJ3" s="71" t="s">
        <v>57</v>
      </c>
      <c r="GK3" s="71" t="s">
        <v>28</v>
      </c>
      <c r="GL3" s="71" t="s">
        <v>20</v>
      </c>
      <c r="GM3" s="71" t="s">
        <v>56</v>
      </c>
      <c r="GN3" s="71" t="s">
        <v>57</v>
      </c>
      <c r="GO3" s="71" t="s">
        <v>28</v>
      </c>
      <c r="GP3" s="71" t="s">
        <v>20</v>
      </c>
      <c r="GQ3" s="71" t="s">
        <v>56</v>
      </c>
      <c r="GR3" s="71" t="s">
        <v>57</v>
      </c>
      <c r="GS3" s="20"/>
      <c r="GT3" s="20"/>
      <c r="GU3" s="20"/>
      <c r="GV3" s="20"/>
      <c r="GW3" s="20"/>
      <c r="GX3" s="20"/>
      <c r="GY3" s="72" t="s">
        <v>28</v>
      </c>
      <c r="GZ3" s="72" t="s">
        <v>20</v>
      </c>
      <c r="HA3" s="72" t="s">
        <v>56</v>
      </c>
      <c r="HB3" s="72" t="s">
        <v>57</v>
      </c>
      <c r="HC3" s="72" t="s">
        <v>28</v>
      </c>
      <c r="HD3" s="72" t="s">
        <v>20</v>
      </c>
      <c r="HE3" s="72" t="s">
        <v>56</v>
      </c>
      <c r="HF3" s="72" t="s">
        <v>57</v>
      </c>
      <c r="HG3" s="72" t="s">
        <v>28</v>
      </c>
      <c r="HH3" s="72" t="s">
        <v>20</v>
      </c>
      <c r="HI3" s="72" t="s">
        <v>56</v>
      </c>
      <c r="HJ3" s="72" t="s">
        <v>57</v>
      </c>
      <c r="HK3" s="72" t="s">
        <v>28</v>
      </c>
      <c r="HL3" s="72" t="s">
        <v>20</v>
      </c>
      <c r="HM3" s="72" t="s">
        <v>56</v>
      </c>
      <c r="HN3" s="72" t="s">
        <v>57</v>
      </c>
      <c r="HO3" s="72" t="s">
        <v>28</v>
      </c>
      <c r="HP3" s="72" t="s">
        <v>20</v>
      </c>
      <c r="HQ3" s="72" t="s">
        <v>56</v>
      </c>
      <c r="HR3" s="72" t="s">
        <v>57</v>
      </c>
      <c r="HS3" s="72" t="s">
        <v>28</v>
      </c>
      <c r="HT3" s="72" t="s">
        <v>20</v>
      </c>
      <c r="HU3" s="72" t="s">
        <v>56</v>
      </c>
      <c r="HV3" s="72" t="s">
        <v>57</v>
      </c>
      <c r="HW3" s="19"/>
      <c r="HX3" s="19"/>
      <c r="HY3" s="19"/>
      <c r="HZ3" s="19"/>
      <c r="IA3" s="19"/>
      <c r="IB3" s="19"/>
      <c r="IC3" s="71" t="s">
        <v>28</v>
      </c>
      <c r="ID3" s="71" t="s">
        <v>20</v>
      </c>
      <c r="IE3" s="71" t="s">
        <v>56</v>
      </c>
      <c r="IF3" s="71" t="s">
        <v>57</v>
      </c>
      <c r="IG3" s="71" t="s">
        <v>28</v>
      </c>
      <c r="IH3" s="71" t="s">
        <v>20</v>
      </c>
      <c r="II3" s="71" t="s">
        <v>56</v>
      </c>
      <c r="IJ3" s="71" t="s">
        <v>57</v>
      </c>
      <c r="IK3" s="71" t="s">
        <v>28</v>
      </c>
      <c r="IL3" s="71" t="s">
        <v>20</v>
      </c>
      <c r="IM3" s="71" t="s">
        <v>56</v>
      </c>
      <c r="IN3" s="71" t="s">
        <v>57</v>
      </c>
      <c r="IO3" s="71" t="s">
        <v>28</v>
      </c>
      <c r="IP3" s="71" t="s">
        <v>20</v>
      </c>
      <c r="IQ3" s="71" t="s">
        <v>56</v>
      </c>
      <c r="IR3" s="71" t="s">
        <v>57</v>
      </c>
      <c r="IS3" s="71" t="s">
        <v>28</v>
      </c>
      <c r="IT3" s="71" t="s">
        <v>20</v>
      </c>
      <c r="IU3" s="71" t="s">
        <v>56</v>
      </c>
      <c r="IV3" s="71" t="s">
        <v>57</v>
      </c>
      <c r="IW3" s="71" t="s">
        <v>28</v>
      </c>
      <c r="IX3" s="71" t="s">
        <v>20</v>
      </c>
      <c r="IY3" s="71" t="s">
        <v>56</v>
      </c>
      <c r="IZ3" s="71" t="s">
        <v>57</v>
      </c>
      <c r="JA3" s="20"/>
      <c r="JB3" s="20"/>
      <c r="JC3" s="20"/>
      <c r="JD3" s="20"/>
      <c r="JE3" s="20"/>
      <c r="JF3" s="20"/>
      <c r="JG3" s="39" t="s">
        <v>28</v>
      </c>
      <c r="JH3" s="39" t="s">
        <v>20</v>
      </c>
      <c r="JI3" s="39" t="s">
        <v>56</v>
      </c>
      <c r="JJ3" s="39" t="s">
        <v>57</v>
      </c>
      <c r="JK3" s="39" t="s">
        <v>28</v>
      </c>
      <c r="JL3" s="39" t="s">
        <v>20</v>
      </c>
      <c r="JM3" s="39" t="s">
        <v>56</v>
      </c>
      <c r="JN3" s="39" t="s">
        <v>57</v>
      </c>
      <c r="JO3" s="39" t="s">
        <v>28</v>
      </c>
      <c r="JP3" s="39" t="s">
        <v>20</v>
      </c>
      <c r="JQ3" s="39" t="s">
        <v>56</v>
      </c>
      <c r="JR3" s="39" t="s">
        <v>57</v>
      </c>
      <c r="JS3" s="39" t="s">
        <v>28</v>
      </c>
      <c r="JT3" s="39" t="s">
        <v>20</v>
      </c>
      <c r="JU3" s="39" t="s">
        <v>56</v>
      </c>
      <c r="JV3" s="39" t="s">
        <v>57</v>
      </c>
      <c r="JW3" s="39" t="s">
        <v>28</v>
      </c>
      <c r="JX3" s="39" t="s">
        <v>20</v>
      </c>
      <c r="JY3" s="39" t="s">
        <v>56</v>
      </c>
      <c r="JZ3" s="39" t="s">
        <v>57</v>
      </c>
      <c r="KA3" s="39" t="s">
        <v>28</v>
      </c>
      <c r="KB3" s="39" t="s">
        <v>20</v>
      </c>
      <c r="KC3" s="39" t="s">
        <v>56</v>
      </c>
      <c r="KD3" s="39" t="s">
        <v>57</v>
      </c>
      <c r="KE3" s="19"/>
      <c r="KF3" s="19"/>
      <c r="KG3" s="19"/>
      <c r="KH3" s="19"/>
      <c r="KI3" s="19"/>
      <c r="KJ3" s="19"/>
      <c r="KK3" s="40" t="s">
        <v>28</v>
      </c>
      <c r="KL3" s="40" t="s">
        <v>20</v>
      </c>
      <c r="KM3" s="40" t="s">
        <v>56</v>
      </c>
      <c r="KN3" s="40" t="s">
        <v>57</v>
      </c>
      <c r="KO3" s="40" t="s">
        <v>28</v>
      </c>
      <c r="KP3" s="40" t="s">
        <v>20</v>
      </c>
      <c r="KQ3" s="40" t="s">
        <v>56</v>
      </c>
      <c r="KR3" s="40" t="s">
        <v>57</v>
      </c>
      <c r="KS3" s="40" t="s">
        <v>28</v>
      </c>
      <c r="KT3" s="40" t="s">
        <v>20</v>
      </c>
      <c r="KU3" s="40" t="s">
        <v>56</v>
      </c>
      <c r="KV3" s="40" t="s">
        <v>57</v>
      </c>
      <c r="KW3" s="40" t="s">
        <v>28</v>
      </c>
      <c r="KX3" s="40" t="s">
        <v>20</v>
      </c>
      <c r="KY3" s="40" t="s">
        <v>56</v>
      </c>
      <c r="KZ3" s="40" t="s">
        <v>57</v>
      </c>
      <c r="LA3" s="40" t="s">
        <v>28</v>
      </c>
      <c r="LB3" s="40" t="s">
        <v>20</v>
      </c>
      <c r="LC3" s="40" t="s">
        <v>56</v>
      </c>
      <c r="LD3" s="40" t="s">
        <v>57</v>
      </c>
      <c r="LE3" s="40" t="s">
        <v>28</v>
      </c>
      <c r="LF3" s="40" t="s">
        <v>20</v>
      </c>
      <c r="LG3" s="40" t="s">
        <v>56</v>
      </c>
      <c r="LH3" s="40" t="s">
        <v>57</v>
      </c>
      <c r="LI3" s="20"/>
      <c r="LJ3" s="20"/>
      <c r="LK3" s="20"/>
      <c r="LL3" s="20"/>
      <c r="LM3" s="20"/>
      <c r="LN3" s="20"/>
      <c r="LO3" s="39" t="s">
        <v>28</v>
      </c>
      <c r="LP3" s="39" t="s">
        <v>20</v>
      </c>
      <c r="LQ3" s="39" t="s">
        <v>56</v>
      </c>
      <c r="LR3" s="39" t="s">
        <v>57</v>
      </c>
      <c r="LS3" s="39" t="s">
        <v>28</v>
      </c>
      <c r="LT3" s="39" t="s">
        <v>20</v>
      </c>
      <c r="LU3" s="39" t="s">
        <v>56</v>
      </c>
      <c r="LV3" s="39" t="s">
        <v>57</v>
      </c>
      <c r="LW3" s="39" t="s">
        <v>28</v>
      </c>
      <c r="LX3" s="39" t="s">
        <v>20</v>
      </c>
      <c r="LY3" s="39" t="s">
        <v>56</v>
      </c>
      <c r="LZ3" s="39" t="s">
        <v>57</v>
      </c>
      <c r="MA3" s="39" t="s">
        <v>28</v>
      </c>
      <c r="MB3" s="39" t="s">
        <v>20</v>
      </c>
      <c r="MC3" s="39" t="s">
        <v>56</v>
      </c>
      <c r="MD3" s="39" t="s">
        <v>57</v>
      </c>
      <c r="ME3" s="39" t="s">
        <v>28</v>
      </c>
      <c r="MF3" s="39" t="s">
        <v>20</v>
      </c>
      <c r="MG3" s="39" t="s">
        <v>56</v>
      </c>
      <c r="MH3" s="39" t="s">
        <v>57</v>
      </c>
      <c r="MI3" s="39" t="s">
        <v>28</v>
      </c>
      <c r="MJ3" s="39" t="s">
        <v>20</v>
      </c>
      <c r="MK3" s="39" t="s">
        <v>56</v>
      </c>
      <c r="ML3" s="39" t="s">
        <v>57</v>
      </c>
      <c r="MM3" s="19"/>
      <c r="MN3" s="19"/>
      <c r="MO3" s="19"/>
      <c r="MP3" s="19"/>
      <c r="MQ3" s="19"/>
      <c r="MR3" s="19"/>
      <c r="MS3" s="40" t="s">
        <v>28</v>
      </c>
      <c r="MT3" s="40" t="s">
        <v>20</v>
      </c>
      <c r="MU3" s="40" t="s">
        <v>56</v>
      </c>
      <c r="MV3" s="40" t="s">
        <v>57</v>
      </c>
      <c r="MW3" s="40" t="s">
        <v>28</v>
      </c>
      <c r="MX3" s="40" t="s">
        <v>20</v>
      </c>
      <c r="MY3" s="40" t="s">
        <v>56</v>
      </c>
      <c r="MZ3" s="40" t="s">
        <v>57</v>
      </c>
      <c r="NA3" s="40" t="s">
        <v>28</v>
      </c>
      <c r="NB3" s="40" t="s">
        <v>20</v>
      </c>
      <c r="NC3" s="40" t="s">
        <v>56</v>
      </c>
      <c r="ND3" s="40" t="s">
        <v>57</v>
      </c>
      <c r="NE3" s="40" t="s">
        <v>28</v>
      </c>
      <c r="NF3" s="40" t="s">
        <v>20</v>
      </c>
      <c r="NG3" s="40" t="s">
        <v>56</v>
      </c>
      <c r="NH3" s="40" t="s">
        <v>57</v>
      </c>
      <c r="NI3" s="40" t="s">
        <v>28</v>
      </c>
      <c r="NJ3" s="40" t="s">
        <v>20</v>
      </c>
      <c r="NK3" s="40" t="s">
        <v>56</v>
      </c>
      <c r="NL3" s="40" t="s">
        <v>57</v>
      </c>
      <c r="NM3" s="40" t="s">
        <v>28</v>
      </c>
      <c r="NN3" s="40" t="s">
        <v>20</v>
      </c>
      <c r="NO3" s="40" t="s">
        <v>56</v>
      </c>
      <c r="NP3" s="40" t="s">
        <v>57</v>
      </c>
      <c r="NQ3" s="20"/>
      <c r="NR3" s="20"/>
      <c r="NS3" s="20"/>
      <c r="NT3" s="20"/>
      <c r="NU3" s="20"/>
      <c r="NV3" s="20"/>
      <c r="NW3" s="39" t="s">
        <v>28</v>
      </c>
      <c r="NX3" s="39" t="s">
        <v>20</v>
      </c>
      <c r="NY3" s="39" t="s">
        <v>56</v>
      </c>
      <c r="NZ3" s="39" t="s">
        <v>57</v>
      </c>
      <c r="OA3" s="39" t="s">
        <v>28</v>
      </c>
      <c r="OB3" s="39" t="s">
        <v>20</v>
      </c>
      <c r="OC3" s="39" t="s">
        <v>56</v>
      </c>
      <c r="OD3" s="39" t="s">
        <v>57</v>
      </c>
      <c r="OE3" s="39" t="s">
        <v>28</v>
      </c>
      <c r="OF3" s="39" t="s">
        <v>20</v>
      </c>
      <c r="OG3" s="39" t="s">
        <v>56</v>
      </c>
      <c r="OH3" s="39" t="s">
        <v>57</v>
      </c>
      <c r="OI3" s="39" t="s">
        <v>28</v>
      </c>
      <c r="OJ3" s="39" t="s">
        <v>20</v>
      </c>
      <c r="OK3" s="39" t="s">
        <v>56</v>
      </c>
      <c r="OL3" s="39" t="s">
        <v>57</v>
      </c>
      <c r="OM3" s="39" t="s">
        <v>28</v>
      </c>
      <c r="ON3" s="39" t="s">
        <v>20</v>
      </c>
      <c r="OO3" s="39" t="s">
        <v>56</v>
      </c>
      <c r="OP3" s="39" t="s">
        <v>57</v>
      </c>
      <c r="OQ3" s="39" t="s">
        <v>28</v>
      </c>
      <c r="OR3" s="39" t="s">
        <v>20</v>
      </c>
      <c r="OS3" s="39" t="s">
        <v>56</v>
      </c>
      <c r="OT3" s="39" t="s">
        <v>57</v>
      </c>
      <c r="OU3" s="19"/>
      <c r="OV3" s="19"/>
      <c r="OW3" s="19"/>
      <c r="OX3" s="19"/>
      <c r="OY3" s="19"/>
      <c r="OZ3" s="19"/>
      <c r="PA3" s="40" t="s">
        <v>28</v>
      </c>
      <c r="PB3" s="40" t="s">
        <v>20</v>
      </c>
      <c r="PC3" s="40" t="s">
        <v>56</v>
      </c>
      <c r="PD3" s="40" t="s">
        <v>57</v>
      </c>
      <c r="PE3" s="40" t="s">
        <v>28</v>
      </c>
      <c r="PF3" s="40" t="s">
        <v>20</v>
      </c>
      <c r="PG3" s="40" t="s">
        <v>56</v>
      </c>
      <c r="PH3" s="40" t="s">
        <v>57</v>
      </c>
      <c r="PI3" s="40" t="s">
        <v>28</v>
      </c>
      <c r="PJ3" s="40" t="s">
        <v>20</v>
      </c>
      <c r="PK3" s="40" t="s">
        <v>56</v>
      </c>
      <c r="PL3" s="40" t="s">
        <v>57</v>
      </c>
      <c r="PM3" s="40" t="s">
        <v>28</v>
      </c>
      <c r="PN3" s="40" t="s">
        <v>20</v>
      </c>
      <c r="PO3" s="40" t="s">
        <v>56</v>
      </c>
      <c r="PP3" s="40" t="s">
        <v>57</v>
      </c>
      <c r="PQ3" s="40" t="s">
        <v>28</v>
      </c>
      <c r="PR3" s="40" t="s">
        <v>20</v>
      </c>
      <c r="PS3" s="40" t="s">
        <v>56</v>
      </c>
      <c r="PT3" s="40" t="s">
        <v>57</v>
      </c>
      <c r="PU3" s="40" t="s">
        <v>28</v>
      </c>
      <c r="PV3" s="40" t="s">
        <v>20</v>
      </c>
      <c r="PW3" s="40" t="s">
        <v>56</v>
      </c>
      <c r="PX3" s="40" t="s">
        <v>57</v>
      </c>
      <c r="PY3" s="20"/>
      <c r="PZ3" s="20"/>
      <c r="QA3" s="20"/>
      <c r="QB3" s="20"/>
      <c r="QC3" s="20"/>
      <c r="QD3" s="20"/>
      <c r="QE3" s="39" t="s">
        <v>28</v>
      </c>
      <c r="QF3" s="39" t="s">
        <v>20</v>
      </c>
      <c r="QG3" s="39" t="s">
        <v>56</v>
      </c>
      <c r="QH3" s="39" t="s">
        <v>57</v>
      </c>
      <c r="QI3" s="39" t="s">
        <v>28</v>
      </c>
      <c r="QJ3" s="39" t="s">
        <v>20</v>
      </c>
      <c r="QK3" s="39" t="s">
        <v>56</v>
      </c>
      <c r="QL3" s="39" t="s">
        <v>57</v>
      </c>
      <c r="QM3" s="39" t="s">
        <v>28</v>
      </c>
      <c r="QN3" s="39" t="s">
        <v>20</v>
      </c>
      <c r="QO3" s="39" t="s">
        <v>56</v>
      </c>
      <c r="QP3" s="39" t="s">
        <v>57</v>
      </c>
      <c r="QQ3" s="39" t="s">
        <v>28</v>
      </c>
      <c r="QR3" s="39" t="s">
        <v>20</v>
      </c>
      <c r="QS3" s="39" t="s">
        <v>56</v>
      </c>
      <c r="QT3" s="39" t="s">
        <v>57</v>
      </c>
      <c r="QU3" s="39" t="s">
        <v>28</v>
      </c>
      <c r="QV3" s="39" t="s">
        <v>20</v>
      </c>
      <c r="QW3" s="39" t="s">
        <v>56</v>
      </c>
      <c r="QX3" s="39" t="s">
        <v>57</v>
      </c>
      <c r="QY3" s="39" t="s">
        <v>28</v>
      </c>
      <c r="QZ3" s="39" t="s">
        <v>20</v>
      </c>
      <c r="RA3" s="39" t="s">
        <v>56</v>
      </c>
      <c r="RB3" s="39" t="s">
        <v>57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IF(AND(F4="P",H4="P"),SUMPRODUCT((F$4:F$15="P")*(H$4:H$15="P")*(E$4:E$15&gt;E4))+1,IF(H4="P",SUMPRODUCT((F$4:F$15="")*(H$4:H$15="P")*(E$4:E$15&gt;E4))+1+SUMPRODUCT((F$4:F$15="P")*(H$4:H$15="P")),""))</f>
        <v>1</v>
      </c>
      <c r="B4" s="9" t="s">
        <v>64</v>
      </c>
      <c r="C4" s="5" t="s">
        <v>3</v>
      </c>
      <c r="D4" s="33">
        <v>1994</v>
      </c>
      <c r="E4" s="17">
        <f>SUM(J4:R4)</f>
        <v>342.35</v>
      </c>
      <c r="F4" s="4" t="str">
        <f>IF(OR(AND($AT4&gt;=$AU$18,NOT($AT4=""),$AS4=""),AND($BY4&gt;=$BZ$18,NOT($BY4=""),$BX4=""),AND($DD4&gt;=$DE$18,NOT($DD4=""),$DC4="")),"P","")</f>
        <v>P</v>
      </c>
      <c r="G4" s="4" t="str">
        <f>IF(OR(AND($AT4&gt;=$AU$19,NOT($AT4=""),$AS4=""),AND($BY4&gt;=$BZ$19,NOT($BY4=""),$BX4=""),AND($DD4&gt;=$DE$19,NOT($DD4=""),$DC4="")),"P","")</f>
        <v>P</v>
      </c>
      <c r="H4" s="4" t="str">
        <f>IF(OR(AND($AW4&gt;=$AU$20,NOT($AW4=""),$AS4=""),AND($CB4&gt;=$BZ$20,NOT($CB4=""),$BX4=""),AND($DG4&gt;=$DE$20,NOT($DG4=""),$DC4="")),"P","")</f>
        <v>P</v>
      </c>
      <c r="I4" t="str">
        <f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Merit</v>
      </c>
      <c r="J4" s="16">
        <f>MAX(AW4,CB4,DG4)</f>
        <v>137.6</v>
      </c>
      <c r="K4" s="16" t="str">
        <f>IF(J4=DG4,$CE$1,IF(J4=CB4,$AZ$1,IF(J4=AW4,$U$1,"")))</f>
        <v>2018 Nationals</v>
      </c>
      <c r="L4" s="16">
        <f>IF($J4=$AW4,MAX(BZ4,DE4),IF($J4=$CB4,MAX(AU4,DE4),MAX(AU4,BZ4)))</f>
        <v>67.499999999999986</v>
      </c>
      <c r="M4" s="16" t="str">
        <f>IF(AND(L4=DE4,$K4&lt;&gt;$CE$1),$CE$1,IF(AND(L4=BZ4,$K4&lt;&gt;$AZ$1),$AZ$1,IF(AND(L4=AU4,$K4&lt;&gt;$U$1),$U$1,"")))</f>
        <v>2017 3rd Domestic Trial</v>
      </c>
      <c r="N4" s="16">
        <f>IF($J4=$AW4,MAX(CA4,DF4),IF($J4=$CB4,MAX(AV4,DF4),MAX(AV4,CA4)))</f>
        <v>66.850000000000009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69.8</v>
      </c>
      <c r="Q4" s="16" t="str">
        <f>IF(P4=DH4,$CE$1,IF(P4=CC4,$AZ$1,IF(P4=AX4,$U$1,"")))</f>
        <v>2018 Nationals</v>
      </c>
      <c r="R4" s="16">
        <f>IF(MAX(DJ4:DL4)&gt;0,MAX(DJ4:DL4),"")</f>
        <v>0.60000000000000853</v>
      </c>
      <c r="S4" s="31" t="str">
        <f>IF(R4="","",IF(R4=DJ4,"(Pass 1-2)",IF(R4=DK4,"(Pass 3-4)",IF(R4=DL4,"(Final)"))))</f>
        <v>(Pass 1-2)</v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2017 World Championships (Nov)</v>
      </c>
      <c r="U4" s="81">
        <v>27.4</v>
      </c>
      <c r="V4" s="81">
        <v>6</v>
      </c>
      <c r="W4" s="81">
        <v>0.3</v>
      </c>
      <c r="X4" s="81">
        <v>0.3</v>
      </c>
      <c r="Y4" s="81">
        <v>27.9</v>
      </c>
      <c r="Z4" s="81">
        <v>6.8</v>
      </c>
      <c r="AA4" s="81">
        <v>0.9</v>
      </c>
      <c r="AB4" s="81">
        <v>0.3</v>
      </c>
      <c r="AC4" s="81">
        <v>26.8</v>
      </c>
      <c r="AD4" s="81">
        <v>6.8</v>
      </c>
      <c r="AE4" s="81">
        <v>0</v>
      </c>
      <c r="AF4" s="81">
        <v>0.5</v>
      </c>
      <c r="AG4" s="81">
        <v>27.5</v>
      </c>
      <c r="AH4" s="81">
        <v>4.4000000000000004</v>
      </c>
      <c r="AI4" s="81">
        <v>0.9</v>
      </c>
      <c r="AJ4" s="81">
        <v>0</v>
      </c>
      <c r="AK4" s="81">
        <v>27.8</v>
      </c>
      <c r="AL4" s="81">
        <v>6.4</v>
      </c>
      <c r="AM4" s="81">
        <v>0.9</v>
      </c>
      <c r="AN4" s="81">
        <v>0.3</v>
      </c>
      <c r="AO4" s="81">
        <v>28.6</v>
      </c>
      <c r="AP4" s="81">
        <v>6</v>
      </c>
      <c r="AQ4" s="81">
        <v>0</v>
      </c>
      <c r="AR4" s="81">
        <v>0</v>
      </c>
      <c r="AS4" s="93"/>
      <c r="AT4" s="13">
        <f>IF(SUM(V4,Z4,AD4,AH4)&gt;0,SUM(V4,Z4,AD4,AH4),"")</f>
        <v>24</v>
      </c>
      <c r="AU4" s="13">
        <f>IF(SUM(U4:V4,X4:Z4,AB4)-SUM(W4,AA4)&gt;0,SUM(U4:V4,X4:Z4,AB4)-SUM(W4,AA4),"")</f>
        <v>67.499999999999986</v>
      </c>
      <c r="AV4" s="13">
        <f>IF(SUM(AC4:AD4,AF4:AH4,AJ4)-SUM(AE4,AI4)&gt;0,SUM(AC4:AD4,AF4:AH4,AJ4)-SUM(AE4,AI4),"")</f>
        <v>65.099999999999994</v>
      </c>
      <c r="AW4" s="13">
        <f>IF(SUM(U4:V4,X4:Z4,AB4:AD4,AF4:AH4,AJ4)-SUM(W4,AA4,AE4,AI4)&gt;0,SUM(U4:V4,X4:Z4,AB4:AD4,AF4:AH4,AJ4)-SUM(W4,AA4,AE4,AI4),"")</f>
        <v>132.6</v>
      </c>
      <c r="AX4" s="13">
        <f>IF(SUM(AK4:AL4,AN4:AP4,AR4)-SUM(AM4,AQ4)&gt;0,SUM(AK4:AL4,AN4:AP4,AR4)-SUM(AM4,AQ4),"")</f>
        <v>68.199999999999989</v>
      </c>
      <c r="AY4" s="13">
        <f>IF(SUM(AW4,AX4)&gt;0,SUM(AW4,AX4),"")</f>
        <v>200.79999999999998</v>
      </c>
      <c r="AZ4" s="88">
        <v>28</v>
      </c>
      <c r="BA4" s="88">
        <v>6</v>
      </c>
      <c r="BB4" s="88">
        <v>0.6</v>
      </c>
      <c r="BC4" s="88">
        <v>0.3</v>
      </c>
      <c r="BD4" s="88">
        <v>13.95</v>
      </c>
      <c r="BE4" s="88">
        <v>3.4</v>
      </c>
      <c r="BF4" s="88">
        <v>0.45</v>
      </c>
      <c r="BG4" s="88">
        <v>0.15</v>
      </c>
      <c r="BH4" s="88">
        <v>27.75</v>
      </c>
      <c r="BI4" s="88">
        <v>6.8</v>
      </c>
      <c r="BJ4" s="88">
        <v>0</v>
      </c>
      <c r="BK4" s="88">
        <v>0.5</v>
      </c>
      <c r="BL4" s="88">
        <v>26.4</v>
      </c>
      <c r="BM4" s="88">
        <v>5.6</v>
      </c>
      <c r="BN4" s="88">
        <v>0.6</v>
      </c>
      <c r="BO4" s="88">
        <v>0.4</v>
      </c>
      <c r="BP4" s="88">
        <v>13.9</v>
      </c>
      <c r="BQ4" s="88">
        <v>3.2</v>
      </c>
      <c r="BR4" s="88">
        <v>0.45</v>
      </c>
      <c r="BS4" s="88">
        <v>0.15</v>
      </c>
      <c r="BT4" s="88">
        <v>14.3</v>
      </c>
      <c r="BU4" s="88">
        <v>3</v>
      </c>
      <c r="BV4" s="88">
        <v>0</v>
      </c>
      <c r="BW4" s="88">
        <v>0</v>
      </c>
      <c r="BX4" s="94" t="s">
        <v>159</v>
      </c>
      <c r="BY4" s="16">
        <f>IF(SUM(BA4,BE4,BI4,BM4)&gt;0,SUM(BA4,BE4,BI4,BM4),"")</f>
        <v>21.799999999999997</v>
      </c>
      <c r="BZ4" s="16">
        <f>IF(SUM(AZ4:BA4,BC4:BE4,BG4)-SUM(BB4,BF4)&gt;0,SUM(AZ4:BA4,BC4:BE4,BG4)-SUM(BB4,BF4),"")</f>
        <v>50.75</v>
      </c>
      <c r="CA4" s="16">
        <f>IF(SUM(BH4:BI4,BK4:BM4,BO4)-SUM(BJ4,BN4)&gt;0,SUM(BH4:BI4,BK4:BM4,BO4)-SUM(BJ4,BN4),"")</f>
        <v>66.850000000000009</v>
      </c>
      <c r="CB4" s="16">
        <f>IF(SUM(AZ4:BA4,BC4:BE4,BG4:BI4,BK4:BM4,BO4)-SUM(BB4,BF4,BJ4,BN4)&gt;0,SUM(AZ4:BA4,BC4:BE4,BG4:BI4,BK4:BM4,BO4)-SUM(BB4,BF4,BJ4,BN4),"")</f>
        <v>117.6</v>
      </c>
      <c r="CC4" s="16">
        <f>IF(SUM(BP4:BQ4,BS4:BU4,BW4)-SUM(BR4,BV4)&gt;0,SUM(BP4:BQ4,BS4:BU4,BW4)-SUM(BR4,BV4),"")</f>
        <v>34.099999999999994</v>
      </c>
      <c r="CD4" s="16">
        <f>IF(SUM(CB4,CC4)&gt;0,SUM(CB4,CC4),"")</f>
        <v>151.69999999999999</v>
      </c>
      <c r="CE4" s="81">
        <v>28.2</v>
      </c>
      <c r="CF4" s="81">
        <v>6.8</v>
      </c>
      <c r="CG4" s="81">
        <v>0.9</v>
      </c>
      <c r="CH4" s="81">
        <v>0.3</v>
      </c>
      <c r="CI4" s="81">
        <v>28.2</v>
      </c>
      <c r="CJ4" s="81">
        <v>6.4</v>
      </c>
      <c r="CK4" s="81">
        <v>0.9</v>
      </c>
      <c r="CL4" s="81">
        <v>0.3</v>
      </c>
      <c r="CM4" s="81">
        <v>27.9</v>
      </c>
      <c r="CN4" s="81">
        <v>6.8</v>
      </c>
      <c r="CO4" s="81">
        <v>0.9</v>
      </c>
      <c r="CP4" s="81">
        <v>0.5</v>
      </c>
      <c r="CQ4" s="81">
        <v>28.5</v>
      </c>
      <c r="CR4" s="81">
        <v>6.8</v>
      </c>
      <c r="CS4" s="81">
        <v>0.9</v>
      </c>
      <c r="CT4" s="81">
        <v>0.5</v>
      </c>
      <c r="CU4" s="81">
        <v>28.5</v>
      </c>
      <c r="CV4" s="81">
        <v>6.8</v>
      </c>
      <c r="CW4" s="81">
        <v>0.9</v>
      </c>
      <c r="CX4" s="81">
        <v>0.3</v>
      </c>
      <c r="CY4" s="81">
        <v>28.7</v>
      </c>
      <c r="CZ4" s="81">
        <v>6.4</v>
      </c>
      <c r="DA4" s="81">
        <v>0</v>
      </c>
      <c r="DB4" s="81">
        <v>0</v>
      </c>
      <c r="DC4" s="93"/>
      <c r="DD4" s="13">
        <f>IF(SUM(CF4,CJ4,CN4,CR4)&gt;0,SUM(CF4,CJ4,CN4,CR4),"")</f>
        <v>26.8</v>
      </c>
      <c r="DE4" s="13">
        <f>IF(SUM(CE4:CF4,CH4:CJ4,CL4)-SUM(CG4,CK4)&gt;0,SUM(CE4:CF4,CH4:CJ4,CL4)-SUM(CG4,CK4),"")</f>
        <v>68.400000000000006</v>
      </c>
      <c r="DF4" s="13">
        <f>IF(SUM(CM4:CN4,CP4:CR4,CT4)-SUM(CO4,CS4)&gt;0,SUM(CM4:CN4,CP4:CR4,CT4)-SUM(CO4,CS4),"")</f>
        <v>69.2</v>
      </c>
      <c r="DG4" s="13">
        <f>IF(SUM(CE4:CF4,CH4:CJ4,CL4:CN4,CP4:CR4,CT4)-SUM(CG4,CK4,CO4,CS4)&gt;0,SUM(CE4:CF4,CH4:CJ4,CL4:CN4,CP4:CR4,CT4)-SUM(CG4,CK4,CO4,CS4),"")</f>
        <v>137.6</v>
      </c>
      <c r="DH4" s="13">
        <f>IF(SUM(CU4:CV4,CX4:CZ4,DB4)-SUM(CW4,DA4)&gt;0,SUM(CU4:CV4,CX4:CZ4,DB4)-SUM(CW4,DA4),"")</f>
        <v>69.8</v>
      </c>
      <c r="DI4" s="13">
        <f>IF(SUM(DG4,DH4)&gt;0,SUM(DG4,DH4),"")</f>
        <v>207.39999999999998</v>
      </c>
      <c r="DJ4" s="30">
        <f>IF(MAX(EL4,FP4,GT4,HX4,JB4,KF4,LJ4,MN4,NR4,OV4,PZ4,RD4)-L4&gt;0.001,MAX(EL4,FP4,GT4,HX4,JB4,KF4,LJ4,MN4,NR4,OV4,PZ4,RD4)-L4,"")</f>
        <v>0.60000000000000853</v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>
        <v>28.2</v>
      </c>
      <c r="DN4" s="54">
        <v>6.8</v>
      </c>
      <c r="DO4" s="54">
        <v>0.9</v>
      </c>
      <c r="DP4" s="54">
        <v>0</v>
      </c>
      <c r="DQ4" s="54">
        <v>27.9</v>
      </c>
      <c r="DR4" s="54">
        <v>6.4</v>
      </c>
      <c r="DS4" s="54">
        <v>0.9</v>
      </c>
      <c r="DT4" s="54">
        <v>0</v>
      </c>
      <c r="DU4" s="54"/>
      <c r="DV4" s="54"/>
      <c r="DW4" s="54"/>
      <c r="DX4" s="54"/>
      <c r="DY4" s="54"/>
      <c r="DZ4" s="54"/>
      <c r="EA4" s="54"/>
      <c r="EB4" s="54"/>
      <c r="EC4" s="54">
        <v>27.6</v>
      </c>
      <c r="ED4" s="54">
        <v>6.8</v>
      </c>
      <c r="EE4" s="54">
        <v>0</v>
      </c>
      <c r="EF4" s="54">
        <v>0</v>
      </c>
      <c r="EG4" s="54">
        <v>27.9</v>
      </c>
      <c r="EH4" s="54">
        <v>6.8</v>
      </c>
      <c r="EI4" s="54">
        <v>1.2</v>
      </c>
      <c r="EJ4" s="54">
        <v>0</v>
      </c>
      <c r="EK4" s="13">
        <f>IF(SUM(DN4,DR4,DV4,DZ4)&gt;0,SUM(DN4,DR4,DV4,DZ4),"")</f>
        <v>13.2</v>
      </c>
      <c r="EL4" s="13">
        <f>IF(SUM(DM4:DN4,DP4:DR4,DT4)-SUM(DO4,DS4)&gt;0,SUM(DM4:DN4,DP4:DR4,DT4)-SUM(DO4,DS4),"")</f>
        <v>67.5</v>
      </c>
      <c r="EM4" s="13" t="str">
        <f>IF(SUM(DU4:DV4,DX4:DZ4,EB4)-SUM(DW4,EA4)&gt;0,SUM(DU4:DV4,DX4:DZ4,EB4)-SUM(DW4,EA4),"")</f>
        <v/>
      </c>
      <c r="EN4" s="13">
        <f>IF(SUM(DM4:DN4,DP4:DR4,DT4:DV4,DX4:DZ4,EB4)-SUM(DO4,DS4,DW4,EA4)&gt;0,SUM(DM4:DN4,DP4:DR4,DT4:DV4,DX4:DZ4,EB4)-SUM(DO4,DS4,DW4,EA4),"")</f>
        <v>67.5</v>
      </c>
      <c r="EO4" s="13">
        <f>IF(SUM(EC4:ED4,EF4:EH4,EJ4)-SUM(EE4,EI4)&gt;0,SUM(EC4:ED4,EF4:EH4,EJ4)-SUM(EE4,EI4),"")</f>
        <v>67.899999999999991</v>
      </c>
      <c r="EP4" s="13">
        <f>IF(SUM(EN4,EO4)&gt;0,SUM(EN4,EO4),"")</f>
        <v>135.39999999999998</v>
      </c>
      <c r="EQ4" s="53">
        <v>27.9</v>
      </c>
      <c r="ER4" s="53">
        <v>6.8</v>
      </c>
      <c r="ES4" s="53">
        <v>0</v>
      </c>
      <c r="ET4" s="53">
        <v>0</v>
      </c>
      <c r="EU4" s="53">
        <v>27.9</v>
      </c>
      <c r="EV4" s="53">
        <v>6.4</v>
      </c>
      <c r="EW4" s="53">
        <v>0.9</v>
      </c>
      <c r="EX4" s="53">
        <v>0</v>
      </c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>
        <f>IF(SUM(ER4,EV4,EZ4,FD4)&gt;0,SUM(ER4,EV4,EZ4,FD4),"")</f>
        <v>13.2</v>
      </c>
      <c r="FP4" s="16">
        <f>IF(SUM(EQ4:ER4,ET4:EV4,EX4)-SUM(ES4,EW4)&gt;0,SUM(EQ4:ER4,ET4:EV4,EX4)-SUM(ES4,EW4),"")</f>
        <v>68.099999999999994</v>
      </c>
      <c r="FQ4" s="16" t="str">
        <f>IF(SUM(EY4:EZ4,FB4:FD4,FF4)-SUM(FA4,FE4)&gt;0,SUM(EY4:EZ4,FB4:FD4,FF4)-SUM(FA4,FE4),"")</f>
        <v/>
      </c>
      <c r="FR4" s="16">
        <f>IF(SUM(EQ4:ER4,ET4:EV4,EX4:EZ4,FB4:FD4,FF4)-SUM(ES4,EW4,FA4,FE4)&gt;0,SUM(EQ4:ER4,ET4:EV4,EX4:EZ4,FB4:FD4,FF4)-SUM(ES4,EW4,FA4,FE4),"")</f>
        <v>68.099999999999994</v>
      </c>
      <c r="FS4" s="16" t="str">
        <f>IF(SUM(FG4:FH4,FJ4:FL4,FN4)-SUM(FI4,FM4)&gt;0,SUM(FG4:FH4,FJ4:FL4,FN4)-SUM(FI4,FM4),"")</f>
        <v/>
      </c>
      <c r="FT4" s="16">
        <f>IF(SUM(FR4,FS4)&gt;0,SUM(FR4,FS4),"")</f>
        <v>68.099999999999994</v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>
        <v>33.9</v>
      </c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>
        <f>IF(SUM(GK4:GL4,GN4:GP4,GR4)-SUM(GM4,GQ4)&gt;0,SUM(GK4:GL4,GN4:GP4,GR4)-SUM(GM4,GQ4),"")</f>
        <v>33.9</v>
      </c>
      <c r="GX4" s="13">
        <f>IF(SUM(GV4,GW4)&gt;0,SUM(GV4,GW4),"")</f>
        <v>33.9</v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>IF(SUM(GZ4,HD4,HH4,HL4)&gt;0,SUM(GZ4,HD4,HH4,HL4),"")</f>
        <v/>
      </c>
      <c r="HX4" s="16" t="str">
        <f>IF(SUM(GY4:GZ4,HB4:HD4,HF4)-SUM(HA4,HE4)&gt;0,SUM(GY4:GZ4,HB4:HD4,HF4)-SUM(HA4,HE4),"")</f>
        <v/>
      </c>
      <c r="HY4" s="16" t="str">
        <f>IF(SUM(HG4:HH4,HJ4:HL4,HN4)-SUM(HI4,HM4)&gt;0,SUM(HG4:HH4,HJ4:HL4,HN4)-SUM(HI4,HM4),"")</f>
        <v/>
      </c>
      <c r="HZ4" s="16" t="str">
        <f>IF(SUM(GY4:GZ4,HB4:HD4,HF4:HH4,HJ4:HL4,HN4)-SUM(HA4,HE4,HI4,HM4)&gt;0,SUM(GY4:GZ4,HB4:HD4,HF4:HH4,HJ4:HL4,HN4)-SUM(HA4,HE4,HI4,HM4),"")</f>
        <v/>
      </c>
      <c r="IA4" s="16" t="str">
        <f>IF(SUM(HO4:HP4,HR4:HT4,HV4)-SUM(HQ4,HU4)&gt;0,SUM(HO4:HP4,HR4:HT4,HV4)-SUM(HQ4,HU4),"")</f>
        <v/>
      </c>
      <c r="IB4" s="16" t="str">
        <f>IF(SUM(HZ4,IA4)&gt;0,SUM(HZ4,IA4),"")</f>
        <v/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IF(AND(F5="P",H5="P"),SUMPRODUCT((F$4:F$15="P")*(H$4:H$15="P")*(E$4:E$15&gt;E5))+1,IF(H5="P",SUMPRODUCT((F$4:F$15="")*(H$4:H$15="P")*(E$4:E$15&gt;E5))+1+SUMPRODUCT((F$4:F$15="P")*(H$4:H$15="P")),""))</f>
        <v>2</v>
      </c>
      <c r="B5" s="9" t="s">
        <v>123</v>
      </c>
      <c r="C5" s="5" t="s">
        <v>5</v>
      </c>
      <c r="D5" s="33">
        <v>1999</v>
      </c>
      <c r="E5" s="17">
        <f>SUM(J5:R5)</f>
        <v>337.79999999999995</v>
      </c>
      <c r="F5" s="4" t="str">
        <f>IF(OR(AND($AT5&gt;=$AU$18,NOT($AT5=""),$AS5=""),AND($BY5&gt;=$BZ$18,NOT($BY5=""),$BX5=""),AND($DD5&gt;=$DE$18,NOT($DD5=""),$DC5="")),"P","")</f>
        <v>P</v>
      </c>
      <c r="G5" s="4" t="str">
        <f>IF(OR(AND($AT5&gt;=$AU$19,NOT($AT5=""),$AS5=""),AND($BY5&gt;=$BZ$19,NOT($BY5=""),$BX5=""),AND($DD5&gt;=$DE$19,NOT($DD5=""),$DC5="")),"P","")</f>
        <v>P</v>
      </c>
      <c r="H5" s="4" t="str">
        <f>IF(OR(AND($AW5&gt;=$AU$20,NOT($AW5=""),$AS5=""),AND($CB5&gt;=$BZ$20,NOT($CB5=""),$BX5=""),AND($DG5&gt;=$DE$20,NOT($DG5=""),$DC5="")),"P","")</f>
        <v>P</v>
      </c>
      <c r="I5" t="str">
        <f>IF(AND(G5="P",OR(AND($AW5&gt;=$AU$23,NOT($AW5=""),$AS5=""),AND($CB5&gt;=$BZ$23,NOT($CB5=""),$BX5=""),AND($DG5&gt;=$DE$23,NOT($DG5=""),$DC5=""))),"Merit",IF(AND(G5="P",OR(AND($AW5&gt;=$AU$22,NOT($AW5=""),$AS5=""),AND($CB5&gt;=$BZ$22,NOT($CB5=""),$BX5=""),AND($DG5&gt;=$DE$22,NOT($DG5=""),$DC5=""))),"Funding",IF(AND(G5="P",OR(AND($AW5&gt;=$AU$21,NOT($AW5=""),$AS5=""),AND($CB5&gt;=$BZ$21,NOT($CB5=""),$BX5=""),AND($DG5&gt;=$DE$21,NOT($DG5=""),$DC5=""))),"Worlds Team",IF(AND(F5="P",OR(AND($AW5&gt;=$AU$20,NOT($AW5=""),$AS5=""),AND($CB5&gt;=$BZ$20,NOT($CB5=""),$BX5=""),AND($DG5&gt;=$DE$20,NOT($DG5=""),$DC5=""))),"National Team",""))))</f>
        <v>Merit</v>
      </c>
      <c r="J5" s="16">
        <f>MAX(AW5,CB5,DG5)</f>
        <v>137</v>
      </c>
      <c r="K5" s="16" t="str">
        <f>IF(J5=DG5,$CE$1,IF(J5=CB5,$AZ$1,IF(J5=AW5,$U$1,"")))</f>
        <v>2018 Nationals</v>
      </c>
      <c r="L5" s="16">
        <f>IF($J5=$AW5,MAX(BZ5,DE5),IF($J5=$CB5,MAX(AU5,DE5),MAX(AU5,BZ5)))</f>
        <v>66.599999999999994</v>
      </c>
      <c r="M5" s="16" t="str">
        <f>IF(AND(L5=DE5,$K5&lt;&gt;$CE$1),$CE$1,IF(AND(L5=BZ5,$K5&lt;&gt;$AZ$1),$AZ$1,IF(AND(L5=AU5,$K5&lt;&gt;$U$1),$U$1,"")))</f>
        <v>2018 Canada Cup</v>
      </c>
      <c r="N5" s="16">
        <f>IF($J5=$AW5,MAX(CA5,DF5),IF($J5=$CB5,MAX(AV5,DF5),MAX(AV5,CA5)))</f>
        <v>66.900000000000006</v>
      </c>
      <c r="O5" s="16" t="str">
        <f>IF(AND(N5=DF5,$K5&lt;&gt;$CE$1),$CE$1,IF(AND(N5=CA5,$K5&lt;&gt;$AZ$1),$AZ$1,IF(AND(N5=AV5,$K5&lt;&gt;$U$1),$U$1,"")))</f>
        <v>2018 Canada Cup</v>
      </c>
      <c r="P5" s="16">
        <f>MAX(AX5,CC5,DH5)</f>
        <v>67.299999999999983</v>
      </c>
      <c r="Q5" s="16" t="str">
        <f>IF(P5=DH5,$CE$1,IF(P5=CC5,$AZ$1,IF(P5=AX5,$U$1,"")))</f>
        <v>2018 Nationals</v>
      </c>
      <c r="R5" s="16" t="str">
        <f>IF(MAX(DJ5:DL5)&gt;0,MAX(DJ5:DL5),"")</f>
        <v/>
      </c>
      <c r="S5" s="31" t="str">
        <f>IF(R5="","",IF(R5=DJ5,"(Pass 1-2)",IF(R5=DK5,"(Pass 3-4)",IF(R5=DL5,"(Final)"))))</f>
        <v/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/>
      </c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93"/>
      <c r="AT5" s="13" t="str">
        <f>IF(SUM(V5,Z5,AD5,AH5)&gt;0,SUM(V5,Z5,AD5,AH5),"")</f>
        <v/>
      </c>
      <c r="AU5" s="13" t="str">
        <f>IF(SUM(U5:V5,X5:Z5,AB5)-SUM(W5,AA5)&gt;0,SUM(U5:V5,X5:Z5,AB5)-SUM(W5,AA5),"")</f>
        <v/>
      </c>
      <c r="AV5" s="13" t="str">
        <f>IF(SUM(AC5:AD5,AF5:AH5,AJ5)-SUM(AE5,AI5)&gt;0,SUM(AC5:AD5,AF5:AH5,AJ5)-SUM(AE5,AI5),"")</f>
        <v/>
      </c>
      <c r="AW5" s="13" t="str">
        <f>IF(SUM(U5:V5,X5:Z5,AB5:AD5,AF5:AH5,AJ5)-SUM(W5,AA5,AE5,AI5)&gt;0,SUM(U5:V5,X5:Z5,AB5:AD5,AF5:AH5,AJ5)-SUM(W5,AA5,AE5,AI5),"")</f>
        <v/>
      </c>
      <c r="AX5" s="13" t="str">
        <f>IF(SUM(AK5:AL5,AN5:AP5,AR5)-SUM(AM5,AQ5)&gt;0,SUM(AK5:AL5,AN5:AP5,AR5)-SUM(AM5,AQ5),"")</f>
        <v/>
      </c>
      <c r="AY5" s="13" t="str">
        <f>IF(SUM(AW5,AX5)&gt;0,SUM(AW5,AX5),"")</f>
        <v/>
      </c>
      <c r="AZ5" s="88">
        <v>28.3</v>
      </c>
      <c r="BA5" s="88">
        <v>5.6</v>
      </c>
      <c r="BB5" s="88">
        <v>0</v>
      </c>
      <c r="BC5" s="88">
        <v>0</v>
      </c>
      <c r="BD5" s="88">
        <v>28</v>
      </c>
      <c r="BE5" s="88">
        <v>5.6</v>
      </c>
      <c r="BF5" s="88">
        <v>0.9</v>
      </c>
      <c r="BG5" s="88">
        <v>0</v>
      </c>
      <c r="BH5" s="88">
        <v>28.6</v>
      </c>
      <c r="BI5" s="88">
        <v>5.2</v>
      </c>
      <c r="BJ5" s="88">
        <v>0.3</v>
      </c>
      <c r="BK5" s="88">
        <v>0</v>
      </c>
      <c r="BL5" s="88">
        <v>28.2</v>
      </c>
      <c r="BM5" s="88">
        <v>5.2</v>
      </c>
      <c r="BN5" s="88">
        <v>0</v>
      </c>
      <c r="BO5" s="88">
        <v>0</v>
      </c>
      <c r="BP5" s="88">
        <v>28.3</v>
      </c>
      <c r="BQ5" s="88">
        <v>5.6</v>
      </c>
      <c r="BR5" s="88">
        <v>0</v>
      </c>
      <c r="BS5" s="88">
        <v>0</v>
      </c>
      <c r="BT5" s="88">
        <v>27</v>
      </c>
      <c r="BU5" s="88">
        <v>5.6</v>
      </c>
      <c r="BV5" s="88">
        <v>0.9</v>
      </c>
      <c r="BW5" s="88">
        <v>0</v>
      </c>
      <c r="BX5" s="94"/>
      <c r="BY5" s="16">
        <f>IF(SUM(BA5,BE5,BI5,BM5)&gt;0,SUM(BA5,BE5,BI5,BM5),"")</f>
        <v>21.599999999999998</v>
      </c>
      <c r="BZ5" s="16">
        <f>IF(SUM(AZ5:BA5,BC5:BE5,BG5)-SUM(BB5,BF5)&gt;0,SUM(AZ5:BA5,BC5:BE5,BG5)-SUM(BB5,BF5),"")</f>
        <v>66.599999999999994</v>
      </c>
      <c r="CA5" s="16">
        <f>IF(SUM(BH5:BI5,BK5:BM5,BO5)-SUM(BJ5,BN5)&gt;0,SUM(BH5:BI5,BK5:BM5,BO5)-SUM(BJ5,BN5),"")</f>
        <v>66.900000000000006</v>
      </c>
      <c r="CB5" s="16">
        <f>IF(SUM(AZ5:BA5,BC5:BE5,BG5:BI5,BK5:BM5,BO5)-SUM(BB5,BF5,BJ5,BN5)&gt;0,SUM(AZ5:BA5,BC5:BE5,BG5:BI5,BK5:BM5,BO5)-SUM(BB5,BF5,BJ5,BN5),"")</f>
        <v>133.5</v>
      </c>
      <c r="CC5" s="16">
        <f>IF(SUM(BP5:BQ5,BS5:BU5,BW5)-SUM(BR5,BV5)&gt;0,SUM(BP5:BQ5,BS5:BU5,BW5)-SUM(BR5,BV5),"")</f>
        <v>65.599999999999994</v>
      </c>
      <c r="CD5" s="16">
        <f>IF(SUM(CB5,CC5)&gt;0,SUM(CB5,CC5),"")</f>
        <v>199.1</v>
      </c>
      <c r="CE5" s="81">
        <v>28.5</v>
      </c>
      <c r="CF5" s="81">
        <v>5.6</v>
      </c>
      <c r="CG5" s="81">
        <v>0</v>
      </c>
      <c r="CH5" s="81">
        <v>0</v>
      </c>
      <c r="CI5" s="81">
        <v>28.4</v>
      </c>
      <c r="CJ5" s="81">
        <v>5.6</v>
      </c>
      <c r="CK5" s="81">
        <v>0</v>
      </c>
      <c r="CL5" s="81">
        <v>0</v>
      </c>
      <c r="CM5" s="81">
        <v>28.7</v>
      </c>
      <c r="CN5" s="81">
        <v>5.2</v>
      </c>
      <c r="CO5" s="81">
        <v>0</v>
      </c>
      <c r="CP5" s="81">
        <v>0.5</v>
      </c>
      <c r="CQ5" s="81">
        <v>28.9</v>
      </c>
      <c r="CR5" s="81">
        <v>5.6</v>
      </c>
      <c r="CS5" s="81">
        <v>0</v>
      </c>
      <c r="CT5" s="81">
        <v>0</v>
      </c>
      <c r="CU5" s="81">
        <v>28.7</v>
      </c>
      <c r="CV5" s="81">
        <v>5.6</v>
      </c>
      <c r="CW5" s="81">
        <v>0</v>
      </c>
      <c r="CX5" s="81">
        <v>0</v>
      </c>
      <c r="CY5" s="81">
        <v>28.3</v>
      </c>
      <c r="CZ5" s="81">
        <v>5.6</v>
      </c>
      <c r="DA5" s="81">
        <v>0.9</v>
      </c>
      <c r="DB5" s="81">
        <v>0</v>
      </c>
      <c r="DC5" s="93"/>
      <c r="DD5" s="13">
        <f>IF(SUM(CF5,CJ5,CN5,CR5)&gt;0,SUM(CF5,CJ5,CN5,CR5),"")</f>
        <v>22</v>
      </c>
      <c r="DE5" s="13">
        <f>IF(SUM(CE5:CF5,CH5:CJ5,CL5)-SUM(CG5,CK5)&gt;0,SUM(CE5:CF5,CH5:CJ5,CL5)-SUM(CG5,CK5),"")</f>
        <v>68.099999999999994</v>
      </c>
      <c r="DF5" s="13">
        <f>IF(SUM(CM5:CN5,CP5:CR5,CT5)-SUM(CO5,CS5)&gt;0,SUM(CM5:CN5,CP5:CR5,CT5)-SUM(CO5,CS5),"")</f>
        <v>68.899999999999991</v>
      </c>
      <c r="DG5" s="13">
        <f>IF(SUM(CE5:CF5,CH5:CJ5,CL5:CN5,CP5:CR5,CT5)-SUM(CG5,CK5,CO5,CS5)&gt;0,SUM(CE5:CF5,CH5:CJ5,CL5:CN5,CP5:CR5,CT5)-SUM(CG5,CK5,CO5,CS5),"")</f>
        <v>137</v>
      </c>
      <c r="DH5" s="13">
        <f>IF(SUM(CU5:CV5,CX5:CZ5,DB5)-SUM(CW5,DA5)&gt;0,SUM(CU5:CV5,CX5:CZ5,DB5)-SUM(CW5,DA5),"")</f>
        <v>67.299999999999983</v>
      </c>
      <c r="DI5" s="13">
        <f>IF(SUM(DG5,DH5)&gt;0,SUM(DG5,DH5),"")</f>
        <v>204.29999999999998</v>
      </c>
      <c r="DJ5" s="30" t="str">
        <f>IF(MAX(EL5,FP5,GT5,HX5,JB5,KF5,LJ5,MN5,NR5,OV5,PZ5,RD5)-L5&gt;0.001,MAX(EL5,FP5,GT5,HX5,JB5,KF5,LJ5,MN5,NR5,OV5,PZ5,RD5)-L5,"")</f>
        <v/>
      </c>
      <c r="DK5" s="30" t="str">
        <f>IF(MAX(EM5,FQ5,GU5,HY5,JC5,KG5,LK5,MO5,NS5,OW5,QA5,RE5)-N5&gt;0.001,MAX(EM5,FQ5,GU5,HY5,JC5,KG5,LK5,MO5,NS5,OW5,QA5,RE5)-N5,"")</f>
        <v/>
      </c>
      <c r="DL5" s="30" t="str">
        <f>IF(MAX(EO5,FS5,GW5,IA5,JE5,KI5,LM5,MQ5,OY5,QC5,RG5)-P5&gt;0.001,MAX(EO5,FS5,GW5,IA5,JE5,KI5,LM5,MQ5,OY5,QC5,RG5)-P5,"")</f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>IF(SUM(DN5,DR5,DV5,DZ5)&gt;0,SUM(DN5,DR5,DV5,DZ5),"")</f>
        <v/>
      </c>
      <c r="EL5" s="13" t="str">
        <f>IF(SUM(DM5:DN5,DP5:DR5,DT5)-SUM(DO5,DS5)&gt;0,SUM(DM5:DN5,DP5:DR5,DT5)-SUM(DO5,DS5),"")</f>
        <v/>
      </c>
      <c r="EM5" s="13" t="str">
        <f>IF(SUM(DU5:DV5,DX5:DZ5,EB5)-SUM(DW5,EA5)&gt;0,SUM(DU5:DV5,DX5:DZ5,EB5)-SUM(DW5,EA5),"")</f>
        <v/>
      </c>
      <c r="EN5" s="13" t="str">
        <f>IF(SUM(DM5:DN5,DP5:DR5,DT5:DV5,DX5:DZ5,EB5)-SUM(DO5,DS5,DW5,EA5)&gt;0,SUM(DM5:DN5,DP5:DR5,DT5:DV5,DX5:DZ5,EB5)-SUM(DO5,DS5,DW5,EA5),"")</f>
        <v/>
      </c>
      <c r="EO5" s="13" t="str">
        <f>IF(SUM(EC5:ED5,EF5:EH5,EJ5)-SUM(EE5,EI5)&gt;0,SUM(EC5:ED5,EF5:EH5,EJ5)-SUM(EE5,EI5),"")</f>
        <v/>
      </c>
      <c r="EP5" s="13" t="str">
        <f>IF(SUM(EN5,EO5)&gt;0,SUM(EN5,EO5),"")</f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>IF(SUM(ER5,EV5,EZ5,FD5)&gt;0,SUM(ER5,EV5,EZ5,FD5),"")</f>
        <v/>
      </c>
      <c r="FP5" s="16" t="str">
        <f>IF(SUM(EQ5:ER5,ET5:EV5,EX5)-SUM(ES5,EW5)&gt;0,SUM(EQ5:ER5,ET5:EV5,EX5)-SUM(ES5,EW5),"")</f>
        <v/>
      </c>
      <c r="FQ5" s="16" t="str">
        <f>IF(SUM(EY5:EZ5,FB5:FD5,FF5)-SUM(FA5,FE5)&gt;0,SUM(EY5:EZ5,FB5:FD5,FF5)-SUM(FA5,FE5),"")</f>
        <v/>
      </c>
      <c r="FR5" s="16" t="str">
        <f>IF(SUM(EQ5:ER5,ET5:EV5,EX5:EZ5,FB5:FD5,FF5)-SUM(ES5,EW5,FA5,FE5)&gt;0,SUM(EQ5:ER5,ET5:EV5,EX5:EZ5,FB5:FD5,FF5)-SUM(ES5,EW5,FA5,FE5),"")</f>
        <v/>
      </c>
      <c r="FS5" s="16" t="str">
        <f>IF(SUM(FG5:FH5,FJ5:FL5,FN5)-SUM(FI5,FM5)&gt;0,SUM(FG5:FH5,FJ5:FL5,FN5)-SUM(FI5,FM5),"")</f>
        <v/>
      </c>
      <c r="FT5" s="16" t="str">
        <f>IF(SUM(FR5,FS5)&gt;0,SUM(FR5,FS5),"")</f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>IF(SUM(FV5,FZ5,GD5,GH5)&gt;0,SUM(FV5,FZ5,GD5,GH5),"")</f>
        <v/>
      </c>
      <c r="GT5" s="13" t="str">
        <f>IF(SUM(FU5:FV5,FX5:FZ5,GB5)-SUM(FW5,GA5)&gt;0,SUM(FU5:FV5,FX5:FZ5,GB5)-SUM(FW5,GA5),"")</f>
        <v/>
      </c>
      <c r="GU5" s="13" t="str">
        <f>IF(SUM(GC5:GD5,GF5:GH5,GJ5)-SUM(GE5,GI5)&gt;0,SUM(GC5:GD5,GF5:GH5,GJ5)-SUM(GE5,GI5),"")</f>
        <v/>
      </c>
      <c r="GV5" s="13" t="str">
        <f>IF(SUM(FU5:FV5,FX5:FZ5,GB5:GD5,GF5:GH5,GJ5)-SUM(FW5,GA5,GE5,GI5)&gt;0,SUM(FU5:FV5,FX5:FZ5,GB5:GD5,GF5:GH5,GJ5)-SUM(FW5,GA5,GE5,GI5),"")</f>
        <v/>
      </c>
      <c r="GW5" s="13" t="str">
        <f>IF(SUM(GK5:GL5,GN5:GP5,GR5)-SUM(GM5,GQ5)&gt;0,SUM(GK5:GL5,GN5:GP5,GR5)-SUM(GM5,GQ5),"")</f>
        <v/>
      </c>
      <c r="GX5" s="13" t="str">
        <f>IF(SUM(GV5,GW5)&gt;0,SUM(GV5,GW5),"")</f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>IF(SUM(GZ5,HD5,HH5,HL5)&gt;0,SUM(GZ5,HD5,HH5,HL5),"")</f>
        <v/>
      </c>
      <c r="HX5" s="16" t="str">
        <f>IF(SUM(GY5:GZ5,HB5:HD5,HF5)-SUM(HA5,HE5)&gt;0,SUM(GY5:GZ5,HB5:HD5,HF5)-SUM(HA5,HE5),"")</f>
        <v/>
      </c>
      <c r="HY5" s="16" t="str">
        <f>IF(SUM(HG5:HH5,HJ5:HL5,HN5)-SUM(HI5,HM5)&gt;0,SUM(HG5:HH5,HJ5:HL5,HN5)-SUM(HI5,HM5),"")</f>
        <v/>
      </c>
      <c r="HZ5" s="16" t="str">
        <f>IF(SUM(GY5:GZ5,HB5:HD5,HF5:HH5,HJ5:HL5,HN5)-SUM(HA5,HE5,HI5,HM5)&gt;0,SUM(GY5:GZ5,HB5:HD5,HF5:HH5,HJ5:HL5,HN5)-SUM(HA5,HE5,HI5,HM5),"")</f>
        <v/>
      </c>
      <c r="IA5" s="16" t="str">
        <f>IF(SUM(HO5:HP5,HR5:HT5,HV5)-SUM(HQ5,HU5)&gt;0,SUM(HO5:HP5,HR5:HT5,HV5)-SUM(HQ5,HU5),"")</f>
        <v/>
      </c>
      <c r="IB5" s="16" t="str">
        <f>IF(SUM(HZ5,IA5)&gt;0,SUM(HZ5,IA5),"")</f>
        <v/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 t="str">
        <f>IF(SUM(IS5:IT5,IV5:IX5,IZ5)-SUM(IU5,IY5)&gt;0,SUM(IS5:IT5,IV5:IX5,IZ5)-SUM(IU5,IY5),"")</f>
        <v/>
      </c>
      <c r="JF5" s="13" t="str">
        <f>IF(SUM(JD5,JE5)&gt;0,SUM(JD5,JE5),"")</f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IF(AND(F6="P",H6="P"),SUMPRODUCT((F$4:F$15="P")*(H$4:H$15="P")*(E$4:E$15&gt;E6))+1,IF(H6="P",SUMPRODUCT((F$4:F$15="")*(H$4:H$15="P")*(E$4:E$15&gt;E6))+1+SUMPRODUCT((F$4:F$15="P")*(H$4:H$15="P")),""))</f>
        <v>3</v>
      </c>
      <c r="B6" s="7" t="s">
        <v>93</v>
      </c>
      <c r="C6" s="8" t="s">
        <v>94</v>
      </c>
      <c r="D6" s="33">
        <v>1998</v>
      </c>
      <c r="E6" s="17">
        <f>SUM(J6:R6)</f>
        <v>335.8</v>
      </c>
      <c r="F6" s="4" t="str">
        <f>IF(OR(AND($AT6&gt;=$AU$18,NOT($AT6=""),$AS6=""),AND($BY6&gt;=$BZ$18,NOT($BY6=""),$BX6=""),AND($DD6&gt;=$DE$18,NOT($DD6=""),$DC6="")),"P","")</f>
        <v>P</v>
      </c>
      <c r="G6" s="4" t="str">
        <f>IF(OR(AND($AT6&gt;=$AU$19,NOT($AT6=""),$AS6=""),AND($BY6&gt;=$BZ$19,NOT($BY6=""),$BX6=""),AND($DD6&gt;=$DE$19,NOT($DD6=""),$DC6="")),"P","")</f>
        <v>P</v>
      </c>
      <c r="H6" s="4" t="str">
        <f>IF(OR(AND($AW6&gt;=$AU$20,NOT($AW6=""),$AS6=""),AND($CB6&gt;=$BZ$20,NOT($CB6=""),$BX6=""),AND($DG6&gt;=$DE$20,NOT($DG6=""),$DC6="")),"P","")</f>
        <v>P</v>
      </c>
      <c r="I6" t="str">
        <f>IF(AND(G6="P",OR(AND($AW6&gt;=$AU$23,NOT($AW6=""),$AS6=""),AND($CB6&gt;=$BZ$23,NOT($CB6=""),$BX6=""),AND($DG6&gt;=$DE$23,NOT($DG6=""),$DC6=""))),"Merit",IF(AND(G6="P",OR(AND($AW6&gt;=$AU$22,NOT($AW6=""),$AS6=""),AND($CB6&gt;=$BZ$22,NOT($CB6=""),$BX6=""),AND($DG6&gt;=$DE$22,NOT($DG6=""),$DC6=""))),"Funding",IF(AND(G6="P",OR(AND($AW6&gt;=$AU$21,NOT($AW6=""),$AS6=""),AND($CB6&gt;=$BZ$21,NOT($CB6=""),$BX6=""),AND($DG6&gt;=$DE$21,NOT($DG6=""),$DC6=""))),"Worlds Team",IF(AND(F6="P",OR(AND($AW6&gt;=$AU$20,NOT($AW6=""),$AS6=""),AND($CB6&gt;=$BZ$20,NOT($CB6=""),$BX6=""),AND($DG6&gt;=$DE$20,NOT($DG6=""),$DC6=""))),"National Team",""))))</f>
        <v>Worlds Team</v>
      </c>
      <c r="J6" s="16">
        <f>MAX(AW6,CB6,DG6)</f>
        <v>132.80000000000001</v>
      </c>
      <c r="K6" s="16" t="str">
        <f>IF(J6=DG6,$CE$1,IF(J6=CB6,$AZ$1,IF(J6=AW6,$U$1,"")))</f>
        <v>2018 Canada Cup</v>
      </c>
      <c r="L6" s="16">
        <f>IF($J6=$AW6,MAX(BZ6,DE6),IF($J6=$CB6,MAX(AU6,DE6),MAX(AU6,BZ6)))</f>
        <v>68</v>
      </c>
      <c r="M6" s="16" t="str">
        <f>IF(AND(L6=DE6,$K6&lt;&gt;$CE$1),$CE$1,IF(AND(L6=BZ6,$K6&lt;&gt;$AZ$1),$AZ$1,IF(AND(L6=AU6,$K6&lt;&gt;$U$1),$U$1,"")))</f>
        <v>2018 Nationals</v>
      </c>
      <c r="N6" s="16">
        <f>IF($J6=$AW6,MAX(CA6,DF6),IF($J6=$CB6,MAX(AV6,DF6),MAX(AV6,CA6)))</f>
        <v>65.3</v>
      </c>
      <c r="O6" s="16" t="str">
        <f>IF(AND(N6=DF6,$K6&lt;&gt;$CE$1),$CE$1,IF(AND(N6=CA6,$K6&lt;&gt;$AZ$1),$AZ$1,IF(AND(N6=AV6,$K6&lt;&gt;$U$1),$U$1,"")))</f>
        <v>2017 3rd Domestic Trial</v>
      </c>
      <c r="P6" s="16">
        <f>MAX(AX6,CC6,DH6)</f>
        <v>69.7</v>
      </c>
      <c r="Q6" s="16" t="str">
        <f>IF(P6=DH6,$CE$1,IF(P6=CC6,$AZ$1,IF(P6=AX6,$U$1,"")))</f>
        <v>2018 Nationals</v>
      </c>
      <c r="R6" s="16" t="str">
        <f>IF(MAX(DJ6:DL6)&gt;0,MAX(DJ6:DL6),"")</f>
        <v/>
      </c>
      <c r="S6" s="31" t="str">
        <f>IF(R6="","",IF(R6=DJ6,"(Pass 1-2)",IF(R6=DK6,"(Pass 3-4)",IF(R6=DL6,"(Final)"))))</f>
        <v/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/>
      </c>
      <c r="U6" s="81">
        <v>28</v>
      </c>
      <c r="V6" s="81">
        <v>5.6</v>
      </c>
      <c r="W6" s="81">
        <v>0.3</v>
      </c>
      <c r="X6" s="81">
        <v>0</v>
      </c>
      <c r="Y6" s="81">
        <v>27.6</v>
      </c>
      <c r="Z6" s="81">
        <v>6</v>
      </c>
      <c r="AA6" s="81">
        <v>0</v>
      </c>
      <c r="AB6" s="81">
        <v>0.3</v>
      </c>
      <c r="AC6" s="81">
        <v>27.8</v>
      </c>
      <c r="AD6" s="81">
        <v>5.2</v>
      </c>
      <c r="AE6" s="81">
        <v>0.3</v>
      </c>
      <c r="AF6" s="81">
        <v>0</v>
      </c>
      <c r="AG6" s="81">
        <v>27.4</v>
      </c>
      <c r="AH6" s="81">
        <v>5.2</v>
      </c>
      <c r="AI6" s="81">
        <v>0</v>
      </c>
      <c r="AJ6" s="81">
        <v>0</v>
      </c>
      <c r="AK6" s="81">
        <v>20.100000000000001</v>
      </c>
      <c r="AL6" s="81">
        <v>2.8</v>
      </c>
      <c r="AM6" s="81">
        <v>0</v>
      </c>
      <c r="AN6" s="81">
        <v>0</v>
      </c>
      <c r="AO6" s="81">
        <v>27.4</v>
      </c>
      <c r="AP6" s="81">
        <v>5.2</v>
      </c>
      <c r="AQ6" s="81">
        <v>0.3</v>
      </c>
      <c r="AR6" s="81">
        <v>0</v>
      </c>
      <c r="AS6" s="93"/>
      <c r="AT6" s="13">
        <f>IF(SUM(V6,Z6,AD6,AH6)&gt;0,SUM(V6,Z6,AD6,AH6),"")</f>
        <v>22</v>
      </c>
      <c r="AU6" s="13">
        <f>IF(SUM(U6:V6,X6:Z6,AB6)-SUM(W6,AA6)&gt;0,SUM(U6:V6,X6:Z6,AB6)-SUM(W6,AA6),"")</f>
        <v>67.2</v>
      </c>
      <c r="AV6" s="13">
        <f>IF(SUM(AC6:AD6,AF6:AH6,AJ6)-SUM(AE6,AI6)&gt;0,SUM(AC6:AD6,AF6:AH6,AJ6)-SUM(AE6,AI6),"")</f>
        <v>65.3</v>
      </c>
      <c r="AW6" s="13">
        <f>IF(SUM(U6:V6,X6:Z6,AB6:AD6,AF6:AH6,AJ6)-SUM(W6,AA6,AE6,AI6)&gt;0,SUM(U6:V6,X6:Z6,AB6:AD6,AF6:AH6,AJ6)-SUM(W6,AA6,AE6,AI6),"")</f>
        <v>132.5</v>
      </c>
      <c r="AX6" s="13">
        <f>IF(SUM(AK6:AL6,AN6:AP6,AR6)-SUM(AM6,AQ6)&gt;0,SUM(AK6:AL6,AN6:AP6,AR6)-SUM(AM6,AQ6),"")</f>
        <v>55.2</v>
      </c>
      <c r="AY6" s="13">
        <f>IF(SUM(AW6,AX6)&gt;0,SUM(AW6,AX6),"")</f>
        <v>187.7</v>
      </c>
      <c r="AZ6" s="88">
        <v>27.9</v>
      </c>
      <c r="BA6" s="88">
        <v>6.4</v>
      </c>
      <c r="BB6" s="88">
        <v>0.3</v>
      </c>
      <c r="BC6" s="88">
        <v>0</v>
      </c>
      <c r="BD6" s="88">
        <v>27.7</v>
      </c>
      <c r="BE6" s="88">
        <v>6.8</v>
      </c>
      <c r="BF6" s="88">
        <v>0</v>
      </c>
      <c r="BG6" s="88">
        <v>0.3</v>
      </c>
      <c r="BH6" s="88">
        <v>27.8</v>
      </c>
      <c r="BI6" s="88">
        <v>3.8</v>
      </c>
      <c r="BJ6" s="88">
        <v>0.3</v>
      </c>
      <c r="BK6" s="88">
        <v>0.5</v>
      </c>
      <c r="BL6" s="88">
        <v>26.8</v>
      </c>
      <c r="BM6" s="88">
        <v>6</v>
      </c>
      <c r="BN6" s="88">
        <v>0.9</v>
      </c>
      <c r="BO6" s="88">
        <v>0.3</v>
      </c>
      <c r="BP6" s="88">
        <v>27.7</v>
      </c>
      <c r="BQ6" s="88">
        <v>6.4</v>
      </c>
      <c r="BR6" s="88">
        <v>0.3</v>
      </c>
      <c r="BS6" s="88">
        <v>0</v>
      </c>
      <c r="BT6" s="88">
        <v>25.2</v>
      </c>
      <c r="BU6" s="88">
        <v>6.8</v>
      </c>
      <c r="BV6" s="88">
        <v>0.3</v>
      </c>
      <c r="BW6" s="88">
        <v>0.3</v>
      </c>
      <c r="BX6" s="94"/>
      <c r="BY6" s="16">
        <f>IF(SUM(BA6,BE6,BI6,BM6)&gt;0,SUM(BA6,BE6,BI6,BM6),"")</f>
        <v>23</v>
      </c>
      <c r="BZ6" s="16">
        <f>IF(SUM(AZ6:BA6,BC6:BE6,BG6)-SUM(BB6,BF6)&gt;0,SUM(AZ6:BA6,BC6:BE6,BG6)-SUM(BB6,BF6),"")</f>
        <v>68.8</v>
      </c>
      <c r="CA6" s="16">
        <f>IF(SUM(BH6:BI6,BK6:BM6,BO6)-SUM(BJ6,BN6)&gt;0,SUM(BH6:BI6,BK6:BM6,BO6)-SUM(BJ6,BN6),"")</f>
        <v>64</v>
      </c>
      <c r="CB6" s="16">
        <f>IF(SUM(AZ6:BA6,BC6:BE6,BG6:BI6,BK6:BM6,BO6)-SUM(BB6,BF6,BJ6,BN6)&gt;0,SUM(AZ6:BA6,BC6:BE6,BG6:BI6,BK6:BM6,BO6)-SUM(BB6,BF6,BJ6,BN6),"")</f>
        <v>132.80000000000001</v>
      </c>
      <c r="CC6" s="16">
        <f>IF(SUM(BP6:BQ6,BS6:BU6,BW6)-SUM(BR6,BV6)&gt;0,SUM(BP6:BQ6,BS6:BU6,BW6)-SUM(BR6,BV6),"")</f>
        <v>65.8</v>
      </c>
      <c r="CD6" s="16">
        <f>IF(SUM(CB6,CC6)&gt;0,SUM(CB6,CC6),"")</f>
        <v>198.60000000000002</v>
      </c>
      <c r="CE6" s="81">
        <v>27.7</v>
      </c>
      <c r="CF6" s="81">
        <v>6.4</v>
      </c>
      <c r="CG6" s="81">
        <v>1.2</v>
      </c>
      <c r="CH6" s="81">
        <v>0</v>
      </c>
      <c r="CI6" s="81">
        <v>28</v>
      </c>
      <c r="CJ6" s="81">
        <v>6.8</v>
      </c>
      <c r="CK6" s="81">
        <v>0</v>
      </c>
      <c r="CL6" s="81">
        <v>0.3</v>
      </c>
      <c r="CM6" s="81">
        <v>28.3</v>
      </c>
      <c r="CN6" s="81">
        <v>5.2</v>
      </c>
      <c r="CO6" s="81">
        <v>0.9</v>
      </c>
      <c r="CP6" s="81">
        <v>0.5</v>
      </c>
      <c r="CQ6" s="81">
        <v>26.9</v>
      </c>
      <c r="CR6" s="81">
        <v>2.4</v>
      </c>
      <c r="CS6" s="81">
        <v>0</v>
      </c>
      <c r="CT6" s="81">
        <v>0</v>
      </c>
      <c r="CU6" s="81">
        <v>28.2</v>
      </c>
      <c r="CV6" s="81">
        <v>6.4</v>
      </c>
      <c r="CW6" s="81">
        <v>0.3</v>
      </c>
      <c r="CX6" s="81">
        <v>0</v>
      </c>
      <c r="CY6" s="81">
        <v>28.3</v>
      </c>
      <c r="CZ6" s="81">
        <v>6.8</v>
      </c>
      <c r="DA6" s="81">
        <v>0</v>
      </c>
      <c r="DB6" s="81">
        <v>0.3</v>
      </c>
      <c r="DC6" s="93"/>
      <c r="DD6" s="13">
        <f>IF(SUM(CF6,CJ6,CN6,CR6)&gt;0,SUM(CF6,CJ6,CN6,CR6),"")</f>
        <v>20.799999999999997</v>
      </c>
      <c r="DE6" s="13">
        <f>IF(SUM(CE6:CF6,CH6:CJ6,CL6)-SUM(CG6,CK6)&gt;0,SUM(CE6:CF6,CH6:CJ6,CL6)-SUM(CG6,CK6),"")</f>
        <v>68</v>
      </c>
      <c r="DF6" s="13">
        <f>IF(SUM(CM6:CN6,CP6:CR6,CT6)-SUM(CO6,CS6)&gt;0,SUM(CM6:CN6,CP6:CR6,CT6)-SUM(CO6,CS6),"")</f>
        <v>62.4</v>
      </c>
      <c r="DG6" s="13">
        <f>IF(SUM(CE6:CF6,CH6:CJ6,CL6:CN6,CP6:CR6,CT6)-SUM(CG6,CK6,CO6,CS6)&gt;0,SUM(CE6:CF6,CH6:CJ6,CL6:CN6,CP6:CR6,CT6)-SUM(CG6,CK6,CO6,CS6),"")</f>
        <v>130.4</v>
      </c>
      <c r="DH6" s="13">
        <f>IF(SUM(CU6:CV6,CX6:CZ6,DB6)-SUM(CW6,DA6)&gt;0,SUM(CU6:CV6,CX6:CZ6,DB6)-SUM(CW6,DA6),"")</f>
        <v>69.7</v>
      </c>
      <c r="DI6" s="13">
        <f>IF(SUM(DG6,DH6)&gt;0,SUM(DG6,DH6),"")</f>
        <v>200.10000000000002</v>
      </c>
      <c r="DJ6" s="30" t="str">
        <f>IF(MAX(EL6,FP6,GT6,HX6,JB6,KF6,LJ6,MN6,NR6,OV6,PZ6,RD6)-L6&gt;0.001,MAX(EL6,FP6,GT6,HX6,JB6,KF6,LJ6,MN6,NR6,OV6,PZ6,RD6)-L6,"")</f>
        <v/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>
        <v>27.7</v>
      </c>
      <c r="DN6" s="54">
        <v>5.6</v>
      </c>
      <c r="DO6" s="54">
        <v>1.2</v>
      </c>
      <c r="DP6" s="54">
        <v>0</v>
      </c>
      <c r="DQ6" s="54">
        <v>27.5</v>
      </c>
      <c r="DR6" s="54">
        <v>6</v>
      </c>
      <c r="DS6" s="54">
        <v>0.3</v>
      </c>
      <c r="DT6" s="54">
        <v>0</v>
      </c>
      <c r="DU6" s="54"/>
      <c r="DV6" s="54"/>
      <c r="DW6" s="54"/>
      <c r="DX6" s="54"/>
      <c r="DY6" s="54"/>
      <c r="DZ6" s="54"/>
      <c r="EA6" s="54"/>
      <c r="EB6" s="54"/>
      <c r="EC6" s="54">
        <v>0</v>
      </c>
      <c r="ED6" s="54">
        <v>0</v>
      </c>
      <c r="EE6" s="54">
        <v>0</v>
      </c>
      <c r="EF6" s="54">
        <v>0</v>
      </c>
      <c r="EG6" s="54">
        <v>27.6</v>
      </c>
      <c r="EH6" s="54">
        <v>5.2</v>
      </c>
      <c r="EI6" s="54">
        <v>0.3</v>
      </c>
      <c r="EJ6" s="54">
        <v>0</v>
      </c>
      <c r="EK6" s="13">
        <f>IF(SUM(DN6,DR6,DV6,DZ6)&gt;0,SUM(DN6,DR6,DV6,DZ6),"")</f>
        <v>11.6</v>
      </c>
      <c r="EL6" s="13">
        <f>IF(SUM(DM6:DN6,DP6:DR6,DT6)-SUM(DO6,DS6)&gt;0,SUM(DM6:DN6,DP6:DR6,DT6)-SUM(DO6,DS6),"")</f>
        <v>65.3</v>
      </c>
      <c r="EM6" s="13" t="str">
        <f>IF(SUM(DU6:DV6,DX6:DZ6,EB6)-SUM(DW6,EA6)&gt;0,SUM(DU6:DV6,DX6:DZ6,EB6)-SUM(DW6,EA6),"")</f>
        <v/>
      </c>
      <c r="EN6" s="13">
        <f>IF(SUM(DM6:DN6,DP6:DR6,DT6:DV6,DX6:DZ6,EB6)-SUM(DO6,DS6,DW6,EA6)&gt;0,SUM(DM6:DN6,DP6:DR6,DT6:DV6,DX6:DZ6,EB6)-SUM(DO6,DS6,DW6,EA6),"")</f>
        <v>65.3</v>
      </c>
      <c r="EO6" s="13">
        <f>IF(SUM(EC6:ED6,EF6:EH6,EJ6)-SUM(EE6,EI6)&gt;0,SUM(EC6:ED6,EF6:EH6,EJ6)-SUM(EE6,EI6),"")</f>
        <v>32.500000000000007</v>
      </c>
      <c r="EP6" s="13">
        <f>IF(SUM(EN6,EO6)&gt;0,SUM(EN6,EO6),"")</f>
        <v>97.800000000000011</v>
      </c>
      <c r="EQ6" s="53">
        <v>27.8</v>
      </c>
      <c r="ER6" s="53">
        <v>6.4</v>
      </c>
      <c r="ES6" s="53">
        <v>0</v>
      </c>
      <c r="ET6" s="53">
        <v>0</v>
      </c>
      <c r="EU6" s="53">
        <v>25.1</v>
      </c>
      <c r="EV6" s="53">
        <v>6</v>
      </c>
      <c r="EW6" s="53">
        <v>0.3</v>
      </c>
      <c r="EX6" s="53">
        <v>0</v>
      </c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>
        <f>IF(SUM(ER6,EV6,EZ6,FD6)&gt;0,SUM(ER6,EV6,EZ6,FD6),"")</f>
        <v>12.4</v>
      </c>
      <c r="FP6" s="16">
        <f>IF(SUM(EQ6:ER6,ET6:EV6,EX6)-SUM(ES6,EW6)&gt;0,SUM(EQ6:ER6,ET6:EV6,EX6)-SUM(ES6,EW6),"")</f>
        <v>65.000000000000014</v>
      </c>
      <c r="FQ6" s="16" t="str">
        <f>IF(SUM(EY6:EZ6,FB6:FD6,FF6)-SUM(FA6,FE6)&gt;0,SUM(EY6:EZ6,FB6:FD6,FF6)-SUM(FA6,FE6),"")</f>
        <v/>
      </c>
      <c r="FR6" s="16">
        <f>IF(SUM(EQ6:ER6,ET6:EV6,EX6:EZ6,FB6:FD6,FF6)-SUM(ES6,EW6,FA6,FE6)&gt;0,SUM(EQ6:ER6,ET6:EV6,EX6:EZ6,FB6:FD6,FF6)-SUM(ES6,EW6,FA6,FE6),"")</f>
        <v>65.000000000000014</v>
      </c>
      <c r="FS6" s="16" t="str">
        <f>IF(SUM(FG6:FH6,FJ6:FL6,FN6)-SUM(FI6,FM6)&gt;0,SUM(FG6:FH6,FJ6:FL6,FN6)-SUM(FI6,FM6),"")</f>
        <v/>
      </c>
      <c r="FT6" s="16">
        <f>IF(SUM(FR6,FS6)&gt;0,SUM(FR6,FS6),"")</f>
        <v>65.000000000000014</v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>
        <v>33.4</v>
      </c>
      <c r="GL6" s="54"/>
      <c r="GM6" s="54"/>
      <c r="GN6" s="54"/>
      <c r="GO6" s="54"/>
      <c r="GP6" s="54"/>
      <c r="GQ6" s="54"/>
      <c r="GR6" s="54"/>
      <c r="GS6" s="13" t="str">
        <f>IF(SUM(FV6,FZ6,GD6,GH6)&gt;0,SUM(FV6,FZ6,GD6,GH6),"")</f>
        <v/>
      </c>
      <c r="GT6" s="13" t="str">
        <f>IF(SUM(FU6:FV6,FX6:FZ6,GB6)-SUM(FW6,GA6)&gt;0,SUM(FU6:FV6,FX6:FZ6,GB6)-SUM(FW6,GA6),"")</f>
        <v/>
      </c>
      <c r="GU6" s="13" t="str">
        <f>IF(SUM(GC6:GD6,GF6:GH6,GJ6)-SUM(GE6,GI6)&gt;0,SUM(GC6:GD6,GF6:GH6,GJ6)-SUM(GE6,GI6),"")</f>
        <v/>
      </c>
      <c r="GV6" s="13" t="str">
        <f>IF(SUM(FU6:FV6,FX6:FZ6,GB6:GD6,GF6:GH6,GJ6)-SUM(FW6,GA6,GE6,GI6)&gt;0,SUM(FU6:FV6,FX6:FZ6,GB6:GD6,GF6:GH6,GJ6)-SUM(FW6,GA6,GE6,GI6),"")</f>
        <v/>
      </c>
      <c r="GW6" s="13">
        <f>IF(SUM(GK6:GL6,GN6:GP6,GR6)-SUM(GM6,GQ6)&gt;0,SUM(GK6:GL6,GN6:GP6,GR6)-SUM(GM6,GQ6),"")</f>
        <v>33.4</v>
      </c>
      <c r="GX6" s="13">
        <f>IF(SUM(GV6,GW6)&gt;0,SUM(GV6,GW6),"")</f>
        <v>33.4</v>
      </c>
      <c r="GY6" s="53"/>
      <c r="GZ6" s="53"/>
      <c r="HA6" s="53"/>
      <c r="HB6" s="53"/>
      <c r="HC6" s="53"/>
      <c r="HD6" s="53"/>
      <c r="HE6" s="53"/>
      <c r="HF6" s="53"/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>IF(SUM(GZ6,HD6,HH6,HL6)&gt;0,SUM(GZ6,HD6,HH6,HL6),"")</f>
        <v/>
      </c>
      <c r="HX6" s="16" t="str">
        <f>IF(SUM(GY6:GZ6,HB6:HD6,HF6)-SUM(HA6,HE6)&gt;0,SUM(GY6:GZ6,HB6:HD6,HF6)-SUM(HA6,HE6),"")</f>
        <v/>
      </c>
      <c r="HY6" s="16" t="str">
        <f>IF(SUM(HG6:HH6,HJ6:HL6,HN6)-SUM(HI6,HM6)&gt;0,SUM(HG6:HH6,HJ6:HL6,HN6)-SUM(HI6,HM6),"")</f>
        <v/>
      </c>
      <c r="HZ6" s="16" t="str">
        <f>IF(SUM(GY6:GZ6,HB6:HD6,HF6:HH6,HJ6:HL6,HN6)-SUM(HA6,HE6,HI6,HM6)&gt;0,SUM(GY6:GZ6,HB6:HD6,HF6:HH6,HJ6:HL6,HN6)-SUM(HA6,HE6,HI6,HM6),"")</f>
        <v/>
      </c>
      <c r="IA6" s="16" t="str">
        <f>IF(SUM(HO6:HP6,HR6:HT6,HV6)-SUM(HQ6,HU6)&gt;0,SUM(HO6:HP6,HR6:HT6,HV6)-SUM(HQ6,HU6),"")</f>
        <v/>
      </c>
      <c r="IB6" s="16" t="str">
        <f>IF(SUM(HZ6,IA6)&gt;0,SUM(HZ6,IA6),"")</f>
        <v/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 t="str">
        <f>IF(SUM(IS6:IT6,IV6:IX6,IZ6)-SUM(IU6,IY6)&gt;0,SUM(IS6:IT6,IV6:IX6,IZ6)-SUM(IU6,IY6),"")</f>
        <v/>
      </c>
      <c r="JF6" s="13" t="str">
        <f>IF(SUM(JD6,JE6)&gt;0,SUM(JD6,JE6),"")</f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IF(AND(F7="P",H7="P"),SUMPRODUCT((F$4:F$15="P")*(H$4:H$15="P")*(E$4:E$15&gt;E7))+1,IF(H7="P",SUMPRODUCT((F$4:F$15="")*(H$4:H$15="P")*(E$4:E$15&gt;E7))+1+SUMPRODUCT((F$4:F$15="P")*(H$4:H$15="P")),""))</f>
        <v>4</v>
      </c>
      <c r="B7" s="9" t="s">
        <v>47</v>
      </c>
      <c r="C7" s="5" t="s">
        <v>12</v>
      </c>
      <c r="D7" s="33">
        <v>1998</v>
      </c>
      <c r="E7" s="17">
        <f>SUM(J7:R7)</f>
        <v>335.05</v>
      </c>
      <c r="F7" s="4" t="str">
        <f>IF(OR(AND($AT7&gt;=$AU$18,NOT($AT7=""),$AS7=""),AND($BY7&gt;=$BZ$18,NOT($BY7=""),$BX7=""),AND($DD7&gt;=$DE$18,NOT($DD7=""),$DC7="")),"P","")</f>
        <v>P</v>
      </c>
      <c r="G7" s="4" t="str">
        <f>IF(OR(AND($AT7&gt;=$AU$19,NOT($AT7=""),$AS7=""),AND($BY7&gt;=$BZ$19,NOT($BY7=""),$BX7=""),AND($DD7&gt;=$DE$19,NOT($DD7=""),$DC7="")),"P","")</f>
        <v>P</v>
      </c>
      <c r="H7" s="4" t="str">
        <f>IF(OR(AND($AW7&gt;=$AU$20,NOT($AW7=""),$AS7=""),AND($CB7&gt;=$BZ$20,NOT($CB7=""),$BX7=""),AND($DG7&gt;=$DE$20,NOT($DG7=""),$DC7="")),"P","")</f>
        <v>P</v>
      </c>
      <c r="I7" t="str">
        <f>IF(AND(G7="P",OR(AND($AW7&gt;=$AU$23,NOT($AW7=""),$AS7=""),AND($CB7&gt;=$BZ$23,NOT($CB7=""),$BX7=""),AND($DG7&gt;=$DE$23,NOT($DG7=""),$DC7=""))),"Merit",IF(AND(G7="P",OR(AND($AW7&gt;=$AU$22,NOT($AW7=""),$AS7=""),AND($CB7&gt;=$BZ$22,NOT($CB7=""),$BX7=""),AND($DG7&gt;=$DE$22,NOT($DG7=""),$DC7=""))),"Funding",IF(AND(G7="P",OR(AND($AW7&gt;=$AU$21,NOT($AW7=""),$AS7=""),AND($CB7&gt;=$BZ$21,NOT($CB7=""),$BX7=""),AND($DG7&gt;=$DE$21,NOT($DG7=""),$DC7=""))),"Worlds Team",IF(AND(F7="P",OR(AND($AW7&gt;=$AU$20,NOT($AW7=""),$AS7=""),AND($CB7&gt;=$BZ$20,NOT($CB7=""),$BX7=""),AND($DG7&gt;=$DE$20,NOT($DG7=""),$DC7=""))),"National Team",""))))</f>
        <v>Funding</v>
      </c>
      <c r="J7" s="16">
        <f>MAX(AW7,CB7,DG7)</f>
        <v>134.6</v>
      </c>
      <c r="K7" s="16" t="str">
        <f>IF(J7=DG7,$CE$1,IF(J7=CB7,$AZ$1,IF(J7=AW7,$U$1,"")))</f>
        <v>2018 Canada Cup</v>
      </c>
      <c r="L7" s="16">
        <f>IF($J7=$AW7,MAX(BZ7,DE7),IF($J7=$CB7,MAX(AU7,DE7),MAX(AU7,BZ7)))</f>
        <v>67.45</v>
      </c>
      <c r="M7" s="16" t="str">
        <f>IF(AND(L7=DE7,$K7&lt;&gt;$CE$1),$CE$1,IF(AND(L7=BZ7,$K7&lt;&gt;$AZ$1),$AZ$1,IF(AND(L7=AU7,$K7&lt;&gt;$U$1),$U$1,"")))</f>
        <v>2018 Nationals</v>
      </c>
      <c r="N7" s="16">
        <f>IF($J7=$AW7,MAX(CA7,DF7),IF($J7=$CB7,MAX(AV7,DF7),MAX(AV7,CA7)))</f>
        <v>65</v>
      </c>
      <c r="O7" s="16" t="str">
        <f>IF(AND(N7=DF7,$K7&lt;&gt;$CE$1),$CE$1,IF(AND(N7=CA7,$K7&lt;&gt;$AZ$1),$AZ$1,IF(AND(N7=AV7,$K7&lt;&gt;$U$1),$U$1,"")))</f>
        <v>2018 Nationals</v>
      </c>
      <c r="P7" s="16">
        <f>MAX(AX7,CC7,DH7)</f>
        <v>67.999999999999986</v>
      </c>
      <c r="Q7" s="16" t="str">
        <f>IF(P7=DH7,$CE$1,IF(P7=CC7,$AZ$1,IF(P7=AX7,$U$1,"")))</f>
        <v>2018 Canada Cup</v>
      </c>
      <c r="R7" s="16" t="str">
        <f>IF(MAX(DJ7:DL7)&gt;0,MAX(DJ7:DL7),"")</f>
        <v/>
      </c>
      <c r="S7" s="31" t="str">
        <f>IF(R7="","",IF(R7=DJ7,"(Pass 1-2)",IF(R7=DK7,"(Pass 3-4)",IF(R7=DL7,"(Final)"))))</f>
        <v/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/>
      </c>
      <c r="U7" s="81">
        <v>28.1</v>
      </c>
      <c r="V7" s="81">
        <v>5.6</v>
      </c>
      <c r="W7" s="81">
        <v>0</v>
      </c>
      <c r="X7" s="81">
        <v>0</v>
      </c>
      <c r="Y7" s="81">
        <v>28.4</v>
      </c>
      <c r="Z7" s="81">
        <v>5.6</v>
      </c>
      <c r="AA7" s="81">
        <v>0.9</v>
      </c>
      <c r="AB7" s="81">
        <v>0</v>
      </c>
      <c r="AC7" s="81">
        <v>27.5</v>
      </c>
      <c r="AD7" s="81">
        <v>4.4000000000000004</v>
      </c>
      <c r="AE7" s="81">
        <v>0.9</v>
      </c>
      <c r="AF7" s="81">
        <v>0</v>
      </c>
      <c r="AG7" s="81">
        <v>28.2</v>
      </c>
      <c r="AH7" s="81">
        <v>5.2</v>
      </c>
      <c r="AI7" s="81">
        <v>0.9</v>
      </c>
      <c r="AJ7" s="81">
        <v>0</v>
      </c>
      <c r="AK7" s="81">
        <v>0</v>
      </c>
      <c r="AL7" s="81">
        <v>0</v>
      </c>
      <c r="AM7" s="81">
        <v>0</v>
      </c>
      <c r="AN7" s="81">
        <v>0</v>
      </c>
      <c r="AO7" s="81">
        <v>27.7</v>
      </c>
      <c r="AP7" s="81">
        <v>6</v>
      </c>
      <c r="AQ7" s="81">
        <v>0</v>
      </c>
      <c r="AR7" s="81">
        <v>0</v>
      </c>
      <c r="AS7" s="93"/>
      <c r="AT7" s="13">
        <f>IF(SUM(V7,Z7,AD7,AH7)&gt;0,SUM(V7,Z7,AD7,AH7),"")</f>
        <v>20.8</v>
      </c>
      <c r="AU7" s="13">
        <f>IF(SUM(U7:V7,X7:Z7,AB7)-SUM(W7,AA7)&gt;0,SUM(U7:V7,X7:Z7,AB7)-SUM(W7,AA7),"")</f>
        <v>66.8</v>
      </c>
      <c r="AV7" s="13">
        <f>IF(SUM(AC7:AD7,AF7:AH7,AJ7)-SUM(AE7,AI7)&gt;0,SUM(AC7:AD7,AF7:AH7,AJ7)-SUM(AE7,AI7),"")</f>
        <v>63.5</v>
      </c>
      <c r="AW7" s="13">
        <f>IF(SUM(U7:V7,X7:Z7,AB7:AD7,AF7:AH7,AJ7)-SUM(W7,AA7,AE7,AI7)&gt;0,SUM(U7:V7,X7:Z7,AB7:AD7,AF7:AH7,AJ7)-SUM(W7,AA7,AE7,AI7),"")</f>
        <v>130.30000000000001</v>
      </c>
      <c r="AX7" s="13">
        <f>IF(SUM(AK7:AL7,AN7:AP7,AR7)-SUM(AM7,AQ7)&gt;0,SUM(AK7:AL7,AN7:AP7,AR7)-SUM(AM7,AQ7),"")</f>
        <v>33.700000000000003</v>
      </c>
      <c r="AY7" s="13">
        <f>IF(SUM(AW7,AX7)&gt;0,SUM(AW7,AX7),"")</f>
        <v>164</v>
      </c>
      <c r="AZ7" s="88">
        <v>28</v>
      </c>
      <c r="BA7" s="88">
        <v>6</v>
      </c>
      <c r="BB7" s="88">
        <v>0</v>
      </c>
      <c r="BC7" s="88">
        <v>0</v>
      </c>
      <c r="BD7" s="88">
        <v>27.8</v>
      </c>
      <c r="BE7" s="88">
        <v>6</v>
      </c>
      <c r="BF7" s="88">
        <v>0</v>
      </c>
      <c r="BG7" s="88">
        <v>0.3</v>
      </c>
      <c r="BH7" s="88">
        <v>28</v>
      </c>
      <c r="BI7" s="88">
        <v>5.2</v>
      </c>
      <c r="BJ7" s="88">
        <v>0.9</v>
      </c>
      <c r="BK7" s="88">
        <v>0.5</v>
      </c>
      <c r="BL7" s="88">
        <v>28.1</v>
      </c>
      <c r="BM7" s="88">
        <v>5.6</v>
      </c>
      <c r="BN7" s="88">
        <v>0</v>
      </c>
      <c r="BO7" s="88">
        <v>0</v>
      </c>
      <c r="BP7" s="88">
        <v>28.2</v>
      </c>
      <c r="BQ7" s="88">
        <v>6</v>
      </c>
      <c r="BR7" s="88">
        <v>0</v>
      </c>
      <c r="BS7" s="88">
        <v>0</v>
      </c>
      <c r="BT7" s="88">
        <v>28.4</v>
      </c>
      <c r="BU7" s="88">
        <v>6</v>
      </c>
      <c r="BV7" s="88">
        <v>0.9</v>
      </c>
      <c r="BW7" s="88">
        <v>0.3</v>
      </c>
      <c r="BX7" s="94"/>
      <c r="BY7" s="16">
        <f>IF(SUM(BA7,BE7,BI7,BM7)&gt;0,SUM(BA7,BE7,BI7,BM7),"")</f>
        <v>22.799999999999997</v>
      </c>
      <c r="BZ7" s="16">
        <f>IF(SUM(AZ7:BA7,BC7:BE7,BG7)-SUM(BB7,BF7)&gt;0,SUM(AZ7:BA7,BC7:BE7,BG7)-SUM(BB7,BF7),"")</f>
        <v>68.099999999999994</v>
      </c>
      <c r="CA7" s="16">
        <f>IF(SUM(BH7:BI7,BK7:BM7,BO7)-SUM(BJ7,BN7)&gt;0,SUM(BH7:BI7,BK7:BM7,BO7)-SUM(BJ7,BN7),"")</f>
        <v>66.5</v>
      </c>
      <c r="CB7" s="16">
        <f>IF(SUM(AZ7:BA7,BC7:BE7,BG7:BI7,BK7:BM7,BO7)-SUM(BB7,BF7,BJ7,BN7)&gt;0,SUM(AZ7:BA7,BC7:BE7,BG7:BI7,BK7:BM7,BO7)-SUM(BB7,BF7,BJ7,BN7),"")</f>
        <v>134.6</v>
      </c>
      <c r="CC7" s="16">
        <f>IF(SUM(BP7:BQ7,BS7:BU7,BW7)-SUM(BR7,BV7)&gt;0,SUM(BP7:BQ7,BS7:BU7,BW7)-SUM(BR7,BV7),"")</f>
        <v>67.999999999999986</v>
      </c>
      <c r="CD7" s="16">
        <f>IF(SUM(CB7,CC7)&gt;0,SUM(CB7,CC7),"")</f>
        <v>202.59999999999997</v>
      </c>
      <c r="CE7" s="81">
        <v>28.05</v>
      </c>
      <c r="CF7" s="81">
        <v>5.8</v>
      </c>
      <c r="CG7" s="81">
        <v>0</v>
      </c>
      <c r="CH7" s="81">
        <v>0</v>
      </c>
      <c r="CI7" s="81">
        <v>28.1</v>
      </c>
      <c r="CJ7" s="81">
        <v>5.8</v>
      </c>
      <c r="CK7" s="81">
        <v>0.45</v>
      </c>
      <c r="CL7" s="81">
        <v>0.15</v>
      </c>
      <c r="CM7" s="81">
        <v>27.75</v>
      </c>
      <c r="CN7" s="81">
        <v>4.8000000000000007</v>
      </c>
      <c r="CO7" s="81">
        <v>0.9</v>
      </c>
      <c r="CP7" s="81">
        <v>0.25</v>
      </c>
      <c r="CQ7" s="81">
        <v>28.15</v>
      </c>
      <c r="CR7" s="81">
        <v>5.4</v>
      </c>
      <c r="CS7" s="81">
        <v>0.45</v>
      </c>
      <c r="CT7" s="81">
        <v>0</v>
      </c>
      <c r="CU7" s="81">
        <v>14.1</v>
      </c>
      <c r="CV7" s="81">
        <v>3</v>
      </c>
      <c r="CW7" s="81">
        <v>0</v>
      </c>
      <c r="CX7" s="81">
        <v>0</v>
      </c>
      <c r="CY7" s="81">
        <v>28.049999999999997</v>
      </c>
      <c r="CZ7" s="81">
        <v>6</v>
      </c>
      <c r="DA7" s="81">
        <v>0.45</v>
      </c>
      <c r="DB7" s="81">
        <v>0.15</v>
      </c>
      <c r="DC7" s="93" t="s">
        <v>159</v>
      </c>
      <c r="DD7" s="13">
        <f>IF(SUM(CF7,CJ7,CN7,CR7)&gt;0,SUM(CF7,CJ7,CN7,CR7),"")</f>
        <v>21.799999999999997</v>
      </c>
      <c r="DE7" s="13">
        <f>IF(SUM(CE7:CF7,CH7:CJ7,CL7)-SUM(CG7,CK7)&gt;0,SUM(CE7:CF7,CH7:CJ7,CL7)-SUM(CG7,CK7),"")</f>
        <v>67.45</v>
      </c>
      <c r="DF7" s="13">
        <f>IF(SUM(CM7:CN7,CP7:CR7,CT7)-SUM(CO7,CS7)&gt;0,SUM(CM7:CN7,CP7:CR7,CT7)-SUM(CO7,CS7),"")</f>
        <v>65</v>
      </c>
      <c r="DG7" s="13">
        <f>IF(SUM(CE7:CF7,CH7:CJ7,CL7:CN7,CP7:CR7,CT7)-SUM(CG7,CK7,CO7,CS7)&gt;0,SUM(CE7:CF7,CH7:CJ7,CL7:CN7,CP7:CR7,CT7)-SUM(CG7,CK7,CO7,CS7),"")</f>
        <v>132.44999999999999</v>
      </c>
      <c r="DH7" s="13">
        <f>IF(SUM(CU7:CV7,CX7:CZ7,DB7)-SUM(CW7,DA7)&gt;0,SUM(CU7:CV7,CX7:CZ7,DB7)-SUM(CW7,DA7),"")</f>
        <v>50.849999999999994</v>
      </c>
      <c r="DI7" s="13">
        <f>IF(SUM(DG7,DH7)&gt;0,SUM(DG7,DH7),"")</f>
        <v>183.29999999999998</v>
      </c>
      <c r="DJ7" s="30" t="str">
        <f>IF(MAX(EL7,FP7,GT7,HX7,JB7,KF7,LJ7,MN7,NR7,OV7,PZ7,RD7)-L7&gt;0.001,MAX(EL7,FP7,GT7,HX7,JB7,KF7,LJ7,MN7,NR7,OV7,PZ7,RD7)-L7,"")</f>
        <v/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>IF(SUM(DN7,DR7,DV7,DZ7)&gt;0,SUM(DN7,DR7,DV7,DZ7),"")</f>
        <v/>
      </c>
      <c r="EL7" s="13" t="str">
        <f>IF(SUM(DM7:DN7,DP7:DR7,DT7)-SUM(DO7,DS7)&gt;0,SUM(DM7:DN7,DP7:DR7,DT7)-SUM(DO7,DS7),"")</f>
        <v/>
      </c>
      <c r="EM7" s="13" t="str">
        <f>IF(SUM(DU7:DV7,DX7:DZ7,EB7)-SUM(DW7,EA7)&gt;0,SUM(DU7:DV7,DX7:DZ7,EB7)-SUM(DW7,EA7),"")</f>
        <v/>
      </c>
      <c r="EN7" s="13" t="str">
        <f>IF(SUM(DM7:DN7,DP7:DR7,DT7:DV7,DX7:DZ7,EB7)-SUM(DO7,DS7,DW7,EA7)&gt;0,SUM(DM7:DN7,DP7:DR7,DT7:DV7,DX7:DZ7,EB7)-SUM(DO7,DS7,DW7,EA7),"")</f>
        <v/>
      </c>
      <c r="EO7" s="13" t="str">
        <f>IF(SUM(EC7:ED7,EF7:EH7,EJ7)-SUM(EE7,EI7)&gt;0,SUM(EC7:ED7,EF7:EH7,EJ7)-SUM(EE7,EI7),"")</f>
        <v/>
      </c>
      <c r="EP7" s="13" t="str">
        <f>IF(SUM(EN7,EO7)&gt;0,SUM(EN7,EO7),"")</f>
        <v/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/>
      <c r="FH7" s="53"/>
      <c r="FI7" s="53"/>
      <c r="FJ7" s="53"/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 t="str">
        <f>IF(SUM(FG7:FH7,FJ7:FL7,FN7)-SUM(FI7,FM7)&gt;0,SUM(FG7:FH7,FJ7:FL7,FN7)-SUM(FI7,FM7),"")</f>
        <v/>
      </c>
      <c r="FT7" s="16" t="str">
        <f>IF(SUM(FR7,FS7)&gt;0,SUM(FR7,FS7),"")</f>
        <v/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>IF(SUM(FV7,FZ7,GD7,GH7)&gt;0,SUM(FV7,FZ7,GD7,GH7),"")</f>
        <v/>
      </c>
      <c r="GT7" s="13" t="str">
        <f>IF(SUM(FU7:FV7,FX7:FZ7,GB7)-SUM(FW7,GA7)&gt;0,SUM(FU7:FV7,FX7:FZ7,GB7)-SUM(FW7,GA7),"")</f>
        <v/>
      </c>
      <c r="GU7" s="13" t="str">
        <f>IF(SUM(GC7:GD7,GF7:GH7,GJ7)-SUM(GE7,GI7)&gt;0,SUM(GC7:GD7,GF7:GH7,GJ7)-SUM(GE7,GI7),"")</f>
        <v/>
      </c>
      <c r="GV7" s="13" t="str">
        <f>IF(SUM(FU7:FV7,FX7:FZ7,GB7:GD7,GF7:GH7,GJ7)-SUM(FW7,GA7,GE7,GI7)&gt;0,SUM(FU7:FV7,FX7:FZ7,GB7:GD7,GF7:GH7,GJ7)-SUM(FW7,GA7,GE7,GI7),"")</f>
        <v/>
      </c>
      <c r="GW7" s="13" t="str">
        <f>IF(SUM(GK7:GL7,GN7:GP7,GR7)-SUM(GM7,GQ7)&gt;0,SUM(GK7:GL7,GN7:GP7,GR7)-SUM(GM7,GQ7),"")</f>
        <v/>
      </c>
      <c r="GX7" s="13" t="str">
        <f>IF(SUM(GV7,GW7)&gt;0,SUM(GV7,GW7),"")</f>
        <v/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>IF(SUM(GZ7,HD7,HH7,HL7)&gt;0,SUM(GZ7,HD7,HH7,HL7),"")</f>
        <v/>
      </c>
      <c r="HX7" s="16" t="str">
        <f>IF(SUM(GY7:GZ7,HB7:HD7,HF7)-SUM(HA7,HE7)&gt;0,SUM(GY7:GZ7,HB7:HD7,HF7)-SUM(HA7,HE7),"")</f>
        <v/>
      </c>
      <c r="HY7" s="16" t="str">
        <f>IF(SUM(HG7:HH7,HJ7:HL7,HN7)-SUM(HI7,HM7)&gt;0,SUM(HG7:HH7,HJ7:HL7,HN7)-SUM(HI7,HM7),"")</f>
        <v/>
      </c>
      <c r="HZ7" s="16" t="str">
        <f>IF(SUM(GY7:GZ7,HB7:HD7,HF7:HH7,HJ7:HL7,HN7)-SUM(HA7,HE7,HI7,HM7)&gt;0,SUM(GY7:GZ7,HB7:HD7,HF7:HH7,HJ7:HL7,HN7)-SUM(HA7,HE7,HI7,HM7),"")</f>
        <v/>
      </c>
      <c r="IA7" s="16" t="str">
        <f>IF(SUM(HO7:HP7,HR7:HT7,HV7)-SUM(HQ7,HU7)&gt;0,SUM(HO7:HP7,HR7:HT7,HV7)-SUM(HQ7,HU7),"")</f>
        <v/>
      </c>
      <c r="IB7" s="16" t="str">
        <f>IF(SUM(HZ7,IA7)&gt;0,SUM(HZ7,IA7),"")</f>
        <v/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>IF(SUM(ID7,IH7,IL7,IP7)&gt;0,SUM(ID7,IH7,IL7,IP7),"")</f>
        <v/>
      </c>
      <c r="JB7" s="13" t="str">
        <f>IF(SUM(IC7:ID7,IF7:IH7,IJ7)-SUM(IE7,II7)&gt;0,SUM(IC7:ID7,IF7:IH7,IJ7)-SUM(IE7,II7),"")</f>
        <v/>
      </c>
      <c r="JC7" s="13" t="str">
        <f>IF(SUM(IK7:IL7,IN7:IP7,IR7)-SUM(IM7,IQ7)&gt;0,SUM(IK7:IL7,IN7:IP7,IR7)-SUM(IM7,IQ7),"")</f>
        <v/>
      </c>
      <c r="JD7" s="13" t="str">
        <f>IF(SUM(IC7:ID7,IF7:IH7,IJ7:IL7,IN7:IP7,IR7)-SUM(IE7,II7,IM7,IQ7)&gt;0,SUM(IC7:ID7,IF7:IH7,IJ7:IL7,IN7:IP7,IR7)-SUM(IE7,II7,IM7,IQ7),"")</f>
        <v/>
      </c>
      <c r="JE7" s="13" t="str">
        <f>IF(SUM(IS7:IT7,IV7:IX7,IZ7)-SUM(IU7,IY7)&gt;0,SUM(IS7:IT7,IV7:IX7,IZ7)-SUM(IU7,IY7),"")</f>
        <v/>
      </c>
      <c r="JF7" s="13" t="str">
        <f>IF(SUM(JD7,JE7)&gt;0,SUM(JD7,JE7),"")</f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 t="str">
        <f>IF(SUM(JW7:JX7,JZ7:KB7,KD7)-SUM(JY7,KC7)&gt;0,SUM(JW7:JX7,JZ7:KB7,KD7)-SUM(JY7,KC7),"")</f>
        <v/>
      </c>
      <c r="KJ7" s="16" t="str">
        <f>IF(SUM(KH7,KI7)&gt;0,SUM(KH7,KI7),"")</f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>
        <f>IF(AND(F8="P",H8="P"),SUMPRODUCT((F$4:F$15="P")*(H$4:H$15="P")*(E$4:E$15&gt;E8))+1,IF(H8="P",SUMPRODUCT((F$4:F$15="")*(H$4:H$15="P")*(E$4:E$15&gt;E8))+1+SUMPRODUCT((F$4:F$15="P")*(H$4:H$15="P")),""))</f>
        <v>5</v>
      </c>
      <c r="B8" s="9" t="s">
        <v>128</v>
      </c>
      <c r="C8" s="5" t="s">
        <v>5</v>
      </c>
      <c r="D8" s="33">
        <v>2000</v>
      </c>
      <c r="E8" s="17">
        <f>SUM(J8:R8)</f>
        <v>334.79999999999995</v>
      </c>
      <c r="F8" s="4" t="str">
        <f>IF(OR(AND($AT8&gt;=$AU$18,NOT($AT8=""),$AS8=""),AND($BY8&gt;=$BZ$18,NOT($BY8=""),$BX8=""),AND($DD8&gt;=$DE$18,NOT($DD8=""),$DC8="")),"P","")</f>
        <v>P</v>
      </c>
      <c r="G8" s="4" t="str">
        <f>IF(OR(AND($AT8&gt;=$AU$19,NOT($AT8=""),$AS8=""),AND($BY8&gt;=$BZ$19,NOT($BY8=""),$BX8=""),AND($DD8&gt;=$DE$19,NOT($DD8=""),$DC8="")),"P","")</f>
        <v>P</v>
      </c>
      <c r="H8" s="4" t="str">
        <f>IF(OR(AND($AW8&gt;=$AU$20,NOT($AW8=""),$AS8=""),AND($CB8&gt;=$BZ$20,NOT($CB8=""),$BX8=""),AND($DG8&gt;=$DE$20,NOT($DG8=""),$DC8="")),"P","")</f>
        <v>P</v>
      </c>
      <c r="I8" t="str">
        <f>IF(AND(G8="P",OR(AND($AW8&gt;=$AU$23,NOT($AW8=""),$AS8=""),AND($CB8&gt;=$BZ$23,NOT($CB8=""),$BX8=""),AND($DG8&gt;=$DE$23,NOT($DG8=""),$DC8=""))),"Merit",IF(AND(G8="P",OR(AND($AW8&gt;=$AU$22,NOT($AW8=""),$AS8=""),AND($CB8&gt;=$BZ$22,NOT($CB8=""),$BX8=""),AND($DG8&gt;=$DE$22,NOT($DG8=""),$DC8=""))),"Funding",IF(AND(G8="P",OR(AND($AW8&gt;=$AU$21,NOT($AW8=""),$AS8=""),AND($CB8&gt;=$BZ$21,NOT($CB8=""),$BX8=""),AND($DG8&gt;=$DE$21,NOT($DG8=""),$DC8=""))),"Worlds Team",IF(AND(F8="P",OR(AND($AW8&gt;=$AU$20,NOT($AW8=""),$AS8=""),AND($CB8&gt;=$BZ$20,NOT($CB8=""),$BX8=""),AND($DG8&gt;=$DE$20,NOT($DG8=""),$DC8=""))),"National Team",""))))</f>
        <v>Funding</v>
      </c>
      <c r="J8" s="16">
        <f>MAX(AW8,CB8,DG8)</f>
        <v>134.69999999999996</v>
      </c>
      <c r="K8" s="16" t="str">
        <f>IF(J8=DG8,$CE$1,IF(J8=CB8,$AZ$1,IF(J8=AW8,$U$1,"")))</f>
        <v>2018 Nationals</v>
      </c>
      <c r="L8" s="16">
        <f>IF($J8=$AW8,MAX(BZ8,DE8),IF($J8=$CB8,MAX(AU8,DE8),MAX(AU8,BZ8)))</f>
        <v>65</v>
      </c>
      <c r="M8" s="16" t="str">
        <f>IF(AND(L8=DE8,$K8&lt;&gt;$CE$1),$CE$1,IF(AND(L8=BZ8,$K8&lt;&gt;$AZ$1),$AZ$1,IF(AND(L8=AU8,$K8&lt;&gt;$U$1),$U$1,"")))</f>
        <v>2018 Canada Cup</v>
      </c>
      <c r="N8" s="16">
        <f>IF($J8=$AW8,MAX(CA8,DF8),IF($J8=$CB8,MAX(AV8,DF8),MAX(AV8,CA8)))</f>
        <v>66.8</v>
      </c>
      <c r="O8" s="16" t="str">
        <f>IF(AND(N8=DF8,$K8&lt;&gt;$CE$1),$CE$1,IF(AND(N8=CA8,$K8&lt;&gt;$AZ$1),$AZ$1,IF(AND(N8=AV8,$K8&lt;&gt;$U$1),$U$1,"")))</f>
        <v>2018 Canada Cup</v>
      </c>
      <c r="P8" s="16">
        <f>MAX(AX8,CC8,DH8)</f>
        <v>68.3</v>
      </c>
      <c r="Q8" s="16" t="str">
        <f>IF(P8=DH8,$CE$1,IF(P8=CC8,$AZ$1,IF(P8=AX8,$U$1,"")))</f>
        <v>2018 Nationals</v>
      </c>
      <c r="R8" s="16" t="str">
        <f>IF(MAX(DJ8:DL8)&gt;0,MAX(DJ8:DL8),"")</f>
        <v/>
      </c>
      <c r="S8" s="31" t="str">
        <f>IF(R8="","",IF(R8=DJ8,"(Pass 1-2)",IF(R8=DK8,"(Pass 3-4)",IF(R8=DL8,"(Final)"))))</f>
        <v/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/>
      </c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93"/>
      <c r="AT8" s="13" t="str">
        <f>IF(SUM(V8,Z8,AD8,AH8)&gt;0,SUM(V8,Z8,AD8,AH8),"")</f>
        <v/>
      </c>
      <c r="AU8" s="13" t="str">
        <f>IF(SUM(U8:V8,X8:Z8,AB8)-SUM(W8,AA8)&gt;0,SUM(U8:V8,X8:Z8,AB8)-SUM(W8,AA8),"")</f>
        <v/>
      </c>
      <c r="AV8" s="13" t="str">
        <f>IF(SUM(AC8:AD8,AF8:AH8,AJ8)-SUM(AE8,AI8)&gt;0,SUM(AC8:AD8,AF8:AH8,AJ8)-SUM(AE8,AI8),"")</f>
        <v/>
      </c>
      <c r="AW8" s="13" t="str">
        <f>IF(SUM(U8:V8,X8:Z8,AB8:AD8,AF8:AH8,AJ8)-SUM(W8,AA8,AE8,AI8)&gt;0,SUM(U8:V8,X8:Z8,AB8:AD8,AF8:AH8,AJ8)-SUM(W8,AA8,AE8,AI8),"")</f>
        <v/>
      </c>
      <c r="AX8" s="13" t="str">
        <f>IF(SUM(AK8:AL8,AN8:AP8,AR8)-SUM(AM8,AQ8)&gt;0,SUM(AK8:AL8,AN8:AP8,AR8)-SUM(AM8,AQ8),"")</f>
        <v/>
      </c>
      <c r="AY8" s="13" t="str">
        <f>IF(SUM(AW8,AX8)&gt;0,SUM(AW8,AX8),"")</f>
        <v/>
      </c>
      <c r="AZ8" s="88">
        <v>27.3</v>
      </c>
      <c r="BA8" s="88">
        <v>5.2</v>
      </c>
      <c r="BB8" s="88">
        <v>1.2</v>
      </c>
      <c r="BC8" s="88">
        <v>0</v>
      </c>
      <c r="BD8" s="88">
        <v>28.1</v>
      </c>
      <c r="BE8" s="88">
        <v>5.6</v>
      </c>
      <c r="BF8" s="88">
        <v>0</v>
      </c>
      <c r="BG8" s="88">
        <v>0</v>
      </c>
      <c r="BH8" s="88">
        <v>27.4</v>
      </c>
      <c r="BI8" s="88">
        <v>5.6</v>
      </c>
      <c r="BJ8" s="88">
        <v>0</v>
      </c>
      <c r="BK8" s="88">
        <v>0</v>
      </c>
      <c r="BL8" s="88">
        <v>28.6</v>
      </c>
      <c r="BM8" s="88">
        <v>5.2</v>
      </c>
      <c r="BN8" s="88">
        <v>0</v>
      </c>
      <c r="BO8" s="88">
        <v>0</v>
      </c>
      <c r="BP8" s="88">
        <v>27.8</v>
      </c>
      <c r="BQ8" s="88">
        <v>4.8</v>
      </c>
      <c r="BR8" s="88">
        <v>0</v>
      </c>
      <c r="BS8" s="88">
        <v>0</v>
      </c>
      <c r="BT8" s="88">
        <v>27.8</v>
      </c>
      <c r="BU8" s="88">
        <v>6</v>
      </c>
      <c r="BV8" s="88">
        <v>0</v>
      </c>
      <c r="BW8" s="88">
        <v>0</v>
      </c>
      <c r="BX8" s="94"/>
      <c r="BY8" s="16">
        <f>IF(SUM(BA8,BE8,BI8,BM8)&gt;0,SUM(BA8,BE8,BI8,BM8),"")</f>
        <v>21.599999999999998</v>
      </c>
      <c r="BZ8" s="16">
        <f>IF(SUM(AZ8:BA8,BC8:BE8,BG8)-SUM(BB8,BF8)&gt;0,SUM(AZ8:BA8,BC8:BE8,BG8)-SUM(BB8,BF8),"")</f>
        <v>65</v>
      </c>
      <c r="CA8" s="16">
        <f>IF(SUM(BH8:BI8,BK8:BM8,BO8)-SUM(BJ8,BN8)&gt;0,SUM(BH8:BI8,BK8:BM8,BO8)-SUM(BJ8,BN8),"")</f>
        <v>66.8</v>
      </c>
      <c r="CB8" s="16">
        <f>IF(SUM(AZ8:BA8,BC8:BE8,BG8:BI8,BK8:BM8,BO8)-SUM(BB8,BF8,BJ8,BN8)&gt;0,SUM(AZ8:BA8,BC8:BE8,BG8:BI8,BK8:BM8,BO8)-SUM(BB8,BF8,BJ8,BN8),"")</f>
        <v>131.79999999999998</v>
      </c>
      <c r="CC8" s="16">
        <f>IF(SUM(BP8:BQ8,BS8:BU8,BW8)-SUM(BR8,BV8)&gt;0,SUM(BP8:BQ8,BS8:BU8,BW8)-SUM(BR8,BV8),"")</f>
        <v>66.400000000000006</v>
      </c>
      <c r="CD8" s="16">
        <f>IF(SUM(CB8,CC8)&gt;0,SUM(CB8,CC8),"")</f>
        <v>198.2</v>
      </c>
      <c r="CE8" s="81">
        <v>28.2</v>
      </c>
      <c r="CF8" s="81">
        <v>6</v>
      </c>
      <c r="CG8" s="81">
        <v>0</v>
      </c>
      <c r="CH8" s="81">
        <v>0</v>
      </c>
      <c r="CI8" s="81">
        <v>28.5</v>
      </c>
      <c r="CJ8" s="81">
        <v>5.6</v>
      </c>
      <c r="CK8" s="81">
        <v>0.9</v>
      </c>
      <c r="CL8" s="81">
        <v>0</v>
      </c>
      <c r="CM8" s="81">
        <v>27.8</v>
      </c>
      <c r="CN8" s="81">
        <v>5.6</v>
      </c>
      <c r="CO8" s="81">
        <v>0</v>
      </c>
      <c r="CP8" s="81">
        <v>0</v>
      </c>
      <c r="CQ8" s="81">
        <v>28.7</v>
      </c>
      <c r="CR8" s="81">
        <v>5.2</v>
      </c>
      <c r="CS8" s="81">
        <v>0</v>
      </c>
      <c r="CT8" s="81">
        <v>0</v>
      </c>
      <c r="CU8" s="81">
        <v>28.7</v>
      </c>
      <c r="CV8" s="81">
        <v>6</v>
      </c>
      <c r="CW8" s="81">
        <v>0</v>
      </c>
      <c r="CX8" s="81">
        <v>0</v>
      </c>
      <c r="CY8" s="81">
        <v>28.9</v>
      </c>
      <c r="CZ8" s="81">
        <v>5.6</v>
      </c>
      <c r="DA8" s="81">
        <v>0.9</v>
      </c>
      <c r="DB8" s="81">
        <v>0</v>
      </c>
      <c r="DC8" s="93"/>
      <c r="DD8" s="13">
        <f>IF(SUM(CF8,CJ8,CN8,CR8)&gt;0,SUM(CF8,CJ8,CN8,CR8),"")</f>
        <v>22.4</v>
      </c>
      <c r="DE8" s="13">
        <f>IF(SUM(CE8:CF8,CH8:CJ8,CL8)-SUM(CG8,CK8)&gt;0,SUM(CE8:CF8,CH8:CJ8,CL8)-SUM(CG8,CK8),"")</f>
        <v>67.399999999999991</v>
      </c>
      <c r="DF8" s="13">
        <f>IF(SUM(CM8:CN8,CP8:CR8,CT8)-SUM(CO8,CS8)&gt;0,SUM(CM8:CN8,CP8:CR8,CT8)-SUM(CO8,CS8),"")</f>
        <v>67.3</v>
      </c>
      <c r="DG8" s="13">
        <f>IF(SUM(CE8:CF8,CH8:CJ8,CL8:CN8,CP8:CR8,CT8)-SUM(CG8,CK8,CO8,CS8)&gt;0,SUM(CE8:CF8,CH8:CJ8,CL8:CN8,CP8:CR8,CT8)-SUM(CG8,CK8,CO8,CS8),"")</f>
        <v>134.69999999999996</v>
      </c>
      <c r="DH8" s="13">
        <f>IF(SUM(CU8:CV8,CX8:CZ8,DB8)-SUM(CW8,DA8)&gt;0,SUM(CU8:CV8,CX8:CZ8,DB8)-SUM(CW8,DA8),"")</f>
        <v>68.3</v>
      </c>
      <c r="DI8" s="13">
        <f>IF(SUM(DG8,DH8)&gt;0,SUM(DG8,DH8),"")</f>
        <v>202.99999999999994</v>
      </c>
      <c r="DJ8" s="30" t="str">
        <f>IF(MAX(EL8,FP8,GT8,HX8,JB8,KF8,LJ8,MN8,NR8,OV8,PZ8,RD8)-L8&gt;0.001,MAX(EL8,FP8,GT8,HX8,JB8,KF8,LJ8,MN8,NR8,OV8,PZ8,RD8)-L8,"")</f>
        <v/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 t="str">
        <f>IF(SUM(DN8,DR8,DV8,DZ8)&gt;0,SUM(DN8,DR8,DV8,DZ8),"")</f>
        <v/>
      </c>
      <c r="EL8" s="13" t="str">
        <f>IF(SUM(DM8:DN8,DP8:DR8,DT8)-SUM(DO8,DS8)&gt;0,SUM(DM8:DN8,DP8:DR8,DT8)-SUM(DO8,DS8),"")</f>
        <v/>
      </c>
      <c r="EM8" s="13" t="str">
        <f>IF(SUM(DU8:DV8,DX8:DZ8,EB8)-SUM(DW8,EA8)&gt;0,SUM(DU8:DV8,DX8:DZ8,EB8)-SUM(DW8,EA8),"")</f>
        <v/>
      </c>
      <c r="EN8" s="13" t="str">
        <f>IF(SUM(DM8:DN8,DP8:DR8,DT8:DV8,DX8:DZ8,EB8)-SUM(DO8,DS8,DW8,EA8)&gt;0,SUM(DM8:DN8,DP8:DR8,DT8:DV8,DX8:DZ8,EB8)-SUM(DO8,DS8,DW8,EA8),"")</f>
        <v/>
      </c>
      <c r="EO8" s="13" t="str">
        <f>IF(SUM(EC8:ED8,EF8:EH8,EJ8)-SUM(EE8,EI8)&gt;0,SUM(EC8:ED8,EF8:EH8,EJ8)-SUM(EE8,EI8),"")</f>
        <v/>
      </c>
      <c r="EP8" s="13" t="str">
        <f>IF(SUM(EN8,EO8)&gt;0,SUM(EN8,EO8),"")</f>
        <v/>
      </c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 t="str">
        <f>IF(SUM(ER8,EV8,EZ8,FD8)&gt;0,SUM(ER8,EV8,EZ8,FD8),"")</f>
        <v/>
      </c>
      <c r="FP8" s="16" t="str">
        <f>IF(SUM(EQ8:ER8,ET8:EV8,EX8)-SUM(ES8,EW8)&gt;0,SUM(EQ8:ER8,ET8:EV8,EX8)-SUM(ES8,EW8),"")</f>
        <v/>
      </c>
      <c r="FQ8" s="16" t="str">
        <f>IF(SUM(EY8:EZ8,FB8:FD8,FF8)-SUM(FA8,FE8)&gt;0,SUM(EY8:EZ8,FB8:FD8,FF8)-SUM(FA8,FE8),"")</f>
        <v/>
      </c>
      <c r="FR8" s="16" t="str">
        <f>IF(SUM(EQ8:ER8,ET8:EV8,EX8:EZ8,FB8:FD8,FF8)-SUM(ES8,EW8,FA8,FE8)&gt;0,SUM(EQ8:ER8,ET8:EV8,EX8:EZ8,FB8:FD8,FF8)-SUM(ES8,EW8,FA8,FE8),"")</f>
        <v/>
      </c>
      <c r="FS8" s="16" t="str">
        <f>IF(SUM(FG8:FH8,FJ8:FL8,FN8)-SUM(FI8,FM8)&gt;0,SUM(FG8:FH8,FJ8:FL8,FN8)-SUM(FI8,FM8),"")</f>
        <v/>
      </c>
      <c r="FT8" s="16" t="str">
        <f>IF(SUM(FR8,FS8)&gt;0,SUM(FR8,FS8),"")</f>
        <v/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>IF(SUM(FV8,FZ8,GD8,GH8)&gt;0,SUM(FV8,FZ8,GD8,GH8),"")</f>
        <v/>
      </c>
      <c r="GT8" s="13" t="str">
        <f>IF(SUM(FU8:FV8,FX8:FZ8,GB8)-SUM(FW8,GA8)&gt;0,SUM(FU8:FV8,FX8:FZ8,GB8)-SUM(FW8,GA8),"")</f>
        <v/>
      </c>
      <c r="GU8" s="13" t="str">
        <f>IF(SUM(GC8:GD8,GF8:GH8,GJ8)-SUM(GE8,GI8)&gt;0,SUM(GC8:GD8,GF8:GH8,GJ8)-SUM(GE8,GI8),"")</f>
        <v/>
      </c>
      <c r="GV8" s="13" t="str">
        <f>IF(SUM(FU8:FV8,FX8:FZ8,GB8:GD8,GF8:GH8,GJ8)-SUM(FW8,GA8,GE8,GI8)&gt;0,SUM(FU8:FV8,FX8:FZ8,GB8:GD8,GF8:GH8,GJ8)-SUM(FW8,GA8,GE8,GI8),"")</f>
        <v/>
      </c>
      <c r="GW8" s="13" t="str">
        <f>IF(SUM(GK8:GL8,GN8:GP8,GR8)-SUM(GM8,GQ8)&gt;0,SUM(GK8:GL8,GN8:GP8,GR8)-SUM(GM8,GQ8),"")</f>
        <v/>
      </c>
      <c r="GX8" s="13" t="str">
        <f>IF(SUM(GV8,GW8)&gt;0,SUM(GV8,GW8),"")</f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>IF(SUM(GZ8,HD8,HH8,HL8)&gt;0,SUM(GZ8,HD8,HH8,HL8),"")</f>
        <v/>
      </c>
      <c r="HX8" s="16" t="str">
        <f>IF(SUM(GY8:GZ8,HB8:HD8,HF8)-SUM(HA8,HE8)&gt;0,SUM(GY8:GZ8,HB8:HD8,HF8)-SUM(HA8,HE8),"")</f>
        <v/>
      </c>
      <c r="HY8" s="16" t="str">
        <f>IF(SUM(HG8:HH8,HJ8:HL8,HN8)-SUM(HI8,HM8)&gt;0,SUM(HG8:HH8,HJ8:HL8,HN8)-SUM(HI8,HM8),"")</f>
        <v/>
      </c>
      <c r="HZ8" s="16" t="str">
        <f>IF(SUM(GY8:GZ8,HB8:HD8,HF8:HH8,HJ8:HL8,HN8)-SUM(HA8,HE8,HI8,HM8)&gt;0,SUM(GY8:GZ8,HB8:HD8,HF8:HH8,HJ8:HL8,HN8)-SUM(HA8,HE8,HI8,HM8),"")</f>
        <v/>
      </c>
      <c r="IA8" s="16" t="str">
        <f>IF(SUM(HO8:HP8,HR8:HT8,HV8)-SUM(HQ8,HU8)&gt;0,SUM(HO8:HP8,HR8:HT8,HV8)-SUM(HQ8,HU8),"")</f>
        <v/>
      </c>
      <c r="IB8" s="16" t="str">
        <f>IF(SUM(HZ8,IA8)&gt;0,SUM(HZ8,IA8),"")</f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>IF(SUM(ID8,IH8,IL8,IP8)&gt;0,SUM(ID8,IH8,IL8,IP8),"")</f>
        <v/>
      </c>
      <c r="JB8" s="13" t="str">
        <f>IF(SUM(IC8:ID8,IF8:IH8,IJ8)-SUM(IE8,II8)&gt;0,SUM(IC8:ID8,IF8:IH8,IJ8)-SUM(IE8,II8),"")</f>
        <v/>
      </c>
      <c r="JC8" s="13" t="str">
        <f>IF(SUM(IK8:IL8,IN8:IP8,IR8)-SUM(IM8,IQ8)&gt;0,SUM(IK8:IL8,IN8:IP8,IR8)-SUM(IM8,IQ8),"")</f>
        <v/>
      </c>
      <c r="JD8" s="13" t="str">
        <f>IF(SUM(IC8:ID8,IF8:IH8,IJ8:IL8,IN8:IP8,IR8)-SUM(IE8,II8,IM8,IQ8)&gt;0,SUM(IC8:ID8,IF8:IH8,IJ8:IL8,IN8:IP8,IR8)-SUM(IE8,II8,IM8,IQ8),"")</f>
        <v/>
      </c>
      <c r="JE8" s="13" t="str">
        <f>IF(SUM(IS8:IT8,IV8:IX8,IZ8)-SUM(IU8,IY8)&gt;0,SUM(IS8:IT8,IV8:IX8,IZ8)-SUM(IU8,IY8),"")</f>
        <v/>
      </c>
      <c r="JF8" s="13" t="str">
        <f>IF(SUM(JD8,JE8)&gt;0,SUM(JD8,JE8),"")</f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 t="str">
        <f>IF(SUM(JW8:JX8,JZ8:KB8,KD8)-SUM(JY8,KC8)&gt;0,SUM(JW8:JX8,JZ8:KB8,KD8)-SUM(JY8,KC8),"")</f>
        <v/>
      </c>
      <c r="KJ8" s="16" t="str">
        <f>IF(SUM(KH8,KI8)&gt;0,SUM(KH8,KI8),"")</f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IF(AND(F9="P",H9="P"),SUMPRODUCT((F$4:F$15="P")*(H$4:H$15="P")*(E$4:E$15&gt;E9))+1,IF(H9="P",SUMPRODUCT((F$4:F$15="")*(H$4:H$15="P")*(E$4:E$15&gt;E9))+1+SUMPRODUCT((F$4:F$15="P")*(H$4:H$15="P")),""))</f>
        <v>6</v>
      </c>
      <c r="B9" s="9" t="s">
        <v>95</v>
      </c>
      <c r="C9" s="5" t="s">
        <v>94</v>
      </c>
      <c r="D9" s="33">
        <v>1999</v>
      </c>
      <c r="E9" s="17">
        <f>SUM(J9:R9)</f>
        <v>325.60000000000002</v>
      </c>
      <c r="F9" s="4" t="str">
        <f>IF(OR(AND($AT9&gt;=$AU$18,NOT($AT9=""),$AS9=""),AND($BY9&gt;=$BZ$18,NOT($BY9=""),$BX9=""),AND($DD9&gt;=$DE$18,NOT($DD9=""),$DC9="")),"P","")</f>
        <v>P</v>
      </c>
      <c r="G9" s="4" t="str">
        <f>IF(OR(AND($AT9&gt;=$AU$19,NOT($AT9=""),$AS9=""),AND($BY9&gt;=$BZ$19,NOT($BY9=""),$BX9=""),AND($DD9&gt;=$DE$19,NOT($DD9=""),$DC9="")),"P","")</f>
        <v>P</v>
      </c>
      <c r="H9" s="4" t="str">
        <f>IF(OR(AND($AW9&gt;=$AU$20,NOT($AW9=""),$AS9=""),AND($CB9&gt;=$BZ$20,NOT($CB9=""),$BX9=""),AND($DG9&gt;=$DE$20,NOT($DG9=""),$DC9="")),"P","")</f>
        <v>P</v>
      </c>
      <c r="I9" t="str">
        <f>IF(AND(G9="P",OR(AND($AW9&gt;=$AU$23,NOT($AW9=""),$AS9=""),AND($CB9&gt;=$BZ$23,NOT($CB9=""),$BX9=""),AND($DG9&gt;=$DE$23,NOT($DG9=""),$DC9=""))),"Merit",IF(AND(G9="P",OR(AND($AW9&gt;=$AU$22,NOT($AW9=""),$AS9=""),AND($CB9&gt;=$BZ$22,NOT($CB9=""),$BX9=""),AND($DG9&gt;=$DE$22,NOT($DG9=""),$DC9=""))),"Funding",IF(AND(G9="P",OR(AND($AW9&gt;=$AU$21,NOT($AW9=""),$AS9=""),AND($CB9&gt;=$BZ$21,NOT($CB9=""),$BX9=""),AND($DG9&gt;=$DE$21,NOT($DG9=""),$DC9=""))),"Worlds Team",IF(AND(F9="P",OR(AND($AW9&gt;=$AU$20,NOT($AW9=""),$AS9=""),AND($CB9&gt;=$BZ$20,NOT($CB9=""),$BX9=""),AND($DG9&gt;=$DE$20,NOT($DG9=""),$DC9=""))),"National Team",""))))</f>
        <v>National Team</v>
      </c>
      <c r="J9" s="16">
        <f>MAX(AW9,CB9,DG9)</f>
        <v>131.1</v>
      </c>
      <c r="K9" s="16" t="str">
        <f>IF(J9=DG9,$CE$1,IF(J9=CB9,$AZ$1,IF(J9=AW9,$U$1,"")))</f>
        <v>2018 Nationals</v>
      </c>
      <c r="L9" s="16">
        <f>IF($J9=$AW9,MAX(BZ9,DE9),IF($J9=$CB9,MAX(AU9,DE9),MAX(AU9,BZ9)))</f>
        <v>66.2</v>
      </c>
      <c r="M9" s="16" t="str">
        <f>IF(AND(L9=DE9,$K9&lt;&gt;$CE$1),$CE$1,IF(AND(L9=BZ9,$K9&lt;&gt;$AZ$1),$AZ$1,IF(AND(L9=AU9,$K9&lt;&gt;$U$1),$U$1,"")))</f>
        <v>2017 3rd Domestic Trial</v>
      </c>
      <c r="N9" s="16">
        <f>IF($J9=$AW9,MAX(CA9,DF9),IF($J9=$CB9,MAX(AV9,DF9),MAX(AV9,CA9)))</f>
        <v>60.5</v>
      </c>
      <c r="O9" s="16" t="str">
        <f>IF(AND(N9=DF9,$K9&lt;&gt;$CE$1),$CE$1,IF(AND(N9=CA9,$K9&lt;&gt;$AZ$1),$AZ$1,IF(AND(N9=AV9,$K9&lt;&gt;$U$1),$U$1,"")))</f>
        <v>2017 3rd Domestic Trial</v>
      </c>
      <c r="P9" s="16">
        <f>MAX(AX9,CC9,DH9)</f>
        <v>67.8</v>
      </c>
      <c r="Q9" s="16" t="str">
        <f>IF(P9=DH9,$CE$1,IF(P9=CC9,$AZ$1,IF(P9=AX9,$U$1,"")))</f>
        <v>2018 Nationals</v>
      </c>
      <c r="R9" s="16" t="str">
        <f>IF(MAX(DJ9:DL9)&gt;0,MAX(DJ9:DL9),"")</f>
        <v/>
      </c>
      <c r="S9" s="31" t="str">
        <f>IF(R9="","",IF(R9=DJ9,"(Pass 1-2)",IF(R9=DK9,"(Pass 3-4)",IF(R9=DL9,"(Final)"))))</f>
        <v/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/>
      </c>
      <c r="U9" s="81">
        <v>28.2</v>
      </c>
      <c r="V9" s="81">
        <v>5.6</v>
      </c>
      <c r="W9" s="81">
        <v>0</v>
      </c>
      <c r="X9" s="81">
        <v>0</v>
      </c>
      <c r="Y9" s="81">
        <v>26.7</v>
      </c>
      <c r="Z9" s="81">
        <v>6</v>
      </c>
      <c r="AA9" s="81">
        <v>0.3</v>
      </c>
      <c r="AB9" s="81">
        <v>0</v>
      </c>
      <c r="AC9" s="81">
        <v>27.2</v>
      </c>
      <c r="AD9" s="81">
        <v>5.2</v>
      </c>
      <c r="AE9" s="81">
        <v>0</v>
      </c>
      <c r="AF9" s="81">
        <v>0</v>
      </c>
      <c r="AG9" s="81">
        <v>24.4</v>
      </c>
      <c r="AH9" s="81">
        <v>5.2</v>
      </c>
      <c r="AI9" s="81">
        <v>1.5</v>
      </c>
      <c r="AJ9" s="81">
        <v>0</v>
      </c>
      <c r="AK9" s="81">
        <v>28.5</v>
      </c>
      <c r="AL9" s="81">
        <v>5.6</v>
      </c>
      <c r="AM9" s="81">
        <v>0</v>
      </c>
      <c r="AN9" s="81">
        <v>0</v>
      </c>
      <c r="AO9" s="81">
        <v>27.4</v>
      </c>
      <c r="AP9" s="81">
        <v>5.2</v>
      </c>
      <c r="AQ9" s="81">
        <v>0</v>
      </c>
      <c r="AR9" s="81">
        <v>0</v>
      </c>
      <c r="AS9" s="93"/>
      <c r="AT9" s="13">
        <f>IF(SUM(V9,Z9,AD9,AH9)&gt;0,SUM(V9,Z9,AD9,AH9),"")</f>
        <v>22</v>
      </c>
      <c r="AU9" s="13">
        <f>IF(SUM(U9:V9,X9:Z9,AB9)-SUM(W9,AA9)&gt;0,SUM(U9:V9,X9:Z9,AB9)-SUM(W9,AA9),"")</f>
        <v>66.2</v>
      </c>
      <c r="AV9" s="13">
        <f>IF(SUM(AC9:AD9,AF9:AH9,AJ9)-SUM(AE9,AI9)&gt;0,SUM(AC9:AD9,AF9:AH9,AJ9)-SUM(AE9,AI9),"")</f>
        <v>60.5</v>
      </c>
      <c r="AW9" s="13">
        <f>IF(SUM(U9:V9,X9:Z9,AB9:AD9,AF9:AH9,AJ9)-SUM(W9,AA9,AE9,AI9)&gt;0,SUM(U9:V9,X9:Z9,AB9:AD9,AF9:AH9,AJ9)-SUM(W9,AA9,AE9,AI9),"")</f>
        <v>126.7</v>
      </c>
      <c r="AX9" s="13">
        <f>IF(SUM(AK9:AL9,AN9:AP9,AR9)-SUM(AM9,AQ9)&gt;0,SUM(AK9:AL9,AN9:AP9,AR9)-SUM(AM9,AQ9),"")</f>
        <v>66.7</v>
      </c>
      <c r="AY9" s="13">
        <f>IF(SUM(AW9,AX9)&gt;0,SUM(AW9,AX9),"")</f>
        <v>193.4</v>
      </c>
      <c r="AZ9" s="74">
        <v>27.6</v>
      </c>
      <c r="BA9" s="74">
        <v>6.4</v>
      </c>
      <c r="BB9" s="74">
        <v>1.2</v>
      </c>
      <c r="BC9" s="74">
        <v>0</v>
      </c>
      <c r="BD9" s="74">
        <v>26.3</v>
      </c>
      <c r="BE9" s="74">
        <v>5.2</v>
      </c>
      <c r="BF9" s="74">
        <v>0.3</v>
      </c>
      <c r="BG9" s="74">
        <v>0.5</v>
      </c>
      <c r="BH9" s="74">
        <v>20.3</v>
      </c>
      <c r="BI9" s="74">
        <v>2.4</v>
      </c>
      <c r="BJ9" s="74">
        <v>0</v>
      </c>
      <c r="BK9" s="74">
        <v>0</v>
      </c>
      <c r="BL9" s="74">
        <v>26.5</v>
      </c>
      <c r="BM9" s="74">
        <v>5.2</v>
      </c>
      <c r="BN9" s="74">
        <v>0.3</v>
      </c>
      <c r="BO9" s="74">
        <v>0</v>
      </c>
      <c r="BP9" s="74">
        <v>28.1</v>
      </c>
      <c r="BQ9" s="74">
        <v>6.4</v>
      </c>
      <c r="BR9" s="74">
        <v>0</v>
      </c>
      <c r="BS9" s="74">
        <v>0</v>
      </c>
      <c r="BT9" s="74">
        <v>27</v>
      </c>
      <c r="BU9" s="74">
        <v>4.4000000000000004</v>
      </c>
      <c r="BV9" s="74">
        <v>0.3</v>
      </c>
      <c r="BW9" s="74">
        <v>0</v>
      </c>
      <c r="BX9" s="94"/>
      <c r="BY9" s="16">
        <f>IF(SUM(BA9,BE9,BI9,BM9)&gt;0,SUM(BA9,BE9,BI9,BM9),"")</f>
        <v>19.200000000000003</v>
      </c>
      <c r="BZ9" s="16">
        <f>IF(SUM(AZ9:BA9,BC9:BE9,BG9)-SUM(BB9,BF9)&gt;0,SUM(AZ9:BA9,BC9:BE9,BG9)-SUM(BB9,BF9),"")</f>
        <v>64.5</v>
      </c>
      <c r="CA9" s="16">
        <f>IF(SUM(BH9:BI9,BK9:BM9,BO9)-SUM(BJ9,BN9)&gt;0,SUM(BH9:BI9,BK9:BM9,BO9)-SUM(BJ9,BN9),"")</f>
        <v>54.100000000000009</v>
      </c>
      <c r="CB9" s="16">
        <f>IF(SUM(AZ9:BA9,BC9:BE9,BG9:BI9,BK9:BM9,BO9)-SUM(BB9,BF9,BJ9,BN9)&gt;0,SUM(AZ9:BA9,BC9:BE9,BG9:BI9,BK9:BM9,BO9)-SUM(BB9,BF9,BJ9,BN9),"")</f>
        <v>118.60000000000001</v>
      </c>
      <c r="CC9" s="16">
        <f>IF(SUM(BP9:BQ9,BS9:BU9,BW9)-SUM(BR9,BV9)&gt;0,SUM(BP9:BQ9,BS9:BU9,BW9)-SUM(BR9,BV9),"")</f>
        <v>65.600000000000009</v>
      </c>
      <c r="CD9" s="16">
        <f>IF(SUM(CB9,CC9)&gt;0,SUM(CB9,CC9),"")</f>
        <v>184.20000000000002</v>
      </c>
      <c r="CE9" s="55">
        <v>28.2</v>
      </c>
      <c r="CF9" s="55">
        <v>5.6</v>
      </c>
      <c r="CG9" s="55">
        <v>0</v>
      </c>
      <c r="CH9" s="55">
        <v>0</v>
      </c>
      <c r="CI9" s="55">
        <v>27.5</v>
      </c>
      <c r="CJ9" s="55">
        <v>5.2</v>
      </c>
      <c r="CK9" s="55">
        <v>0.3</v>
      </c>
      <c r="CL9" s="55">
        <v>0.5</v>
      </c>
      <c r="CM9" s="55">
        <v>25.6</v>
      </c>
      <c r="CN9" s="55">
        <v>6</v>
      </c>
      <c r="CO9" s="55">
        <v>0.3</v>
      </c>
      <c r="CP9" s="55">
        <v>0</v>
      </c>
      <c r="CQ9" s="55">
        <v>27.9</v>
      </c>
      <c r="CR9" s="55">
        <v>5.2</v>
      </c>
      <c r="CS9" s="55">
        <v>0</v>
      </c>
      <c r="CT9" s="55">
        <v>0</v>
      </c>
      <c r="CU9" s="55">
        <v>28.4</v>
      </c>
      <c r="CV9" s="55">
        <v>5.6</v>
      </c>
      <c r="CW9" s="55">
        <v>0</v>
      </c>
      <c r="CX9" s="55">
        <v>0</v>
      </c>
      <c r="CY9" s="55">
        <v>28.1</v>
      </c>
      <c r="CZ9" s="55">
        <v>6</v>
      </c>
      <c r="DA9" s="55">
        <v>0.3</v>
      </c>
      <c r="DB9" s="55">
        <v>0</v>
      </c>
      <c r="DC9" s="93"/>
      <c r="DD9" s="13">
        <f>IF(SUM(CF9,CJ9,CN9,CR9)&gt;0,SUM(CF9,CJ9,CN9,CR9),"")</f>
        <v>22</v>
      </c>
      <c r="DE9" s="13">
        <f>IF(SUM(CE9:CF9,CH9:CJ9,CL9)-SUM(CG9,CK9)&gt;0,SUM(CE9:CF9,CH9:CJ9,CL9)-SUM(CG9,CK9),"")</f>
        <v>66.7</v>
      </c>
      <c r="DF9" s="13">
        <f>IF(SUM(CM9:CN9,CP9:CR9,CT9)-SUM(CO9,CS9)&gt;0,SUM(CM9:CN9,CP9:CR9,CT9)-SUM(CO9,CS9),"")</f>
        <v>64.400000000000006</v>
      </c>
      <c r="DG9" s="13">
        <f>IF(SUM(CE9:CF9,CH9:CJ9,CL9:CN9,CP9:CR9,CT9)-SUM(CG9,CK9,CO9,CS9)&gt;0,SUM(CE9:CF9,CH9:CJ9,CL9:CN9,CP9:CR9,CT9)-SUM(CG9,CK9,CO9,CS9),"")</f>
        <v>131.1</v>
      </c>
      <c r="DH9" s="13">
        <f>IF(SUM(CU9:CV9,CX9:CZ9,DB9)-SUM(CW9,DA9)&gt;0,SUM(CU9:CV9,CX9:CZ9,DB9)-SUM(CW9,DA9),"")</f>
        <v>67.8</v>
      </c>
      <c r="DI9" s="13">
        <f>IF(SUM(DG9,DH9)&gt;0,SUM(DG9,DH9),"")</f>
        <v>198.89999999999998</v>
      </c>
      <c r="DJ9" s="30" t="str">
        <f>IF(MAX(EL9,FP9,GT9,HX9,JB9,KF9,LJ9,MN9,NR9,OV9,PZ9,RD9)-L9&gt;0.001,MAX(EL9,FP9,GT9,HX9,JB9,KF9,LJ9,MN9,NR9,OV9,PZ9,RD9)-L9,"")</f>
        <v/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>IF(SUM(DN9,DR9,DV9,DZ9)&gt;0,SUM(DN9,DR9,DV9,DZ9),"")</f>
        <v/>
      </c>
      <c r="EL9" s="13" t="str">
        <f>IF(SUM(DM9:DN9,DP9:DR9,DT9)-SUM(DO9,DS9)&gt;0,SUM(DM9:DN9,DP9:DR9,DT9)-SUM(DO9,DS9),"")</f>
        <v/>
      </c>
      <c r="EM9" s="13" t="str">
        <f>IF(SUM(DU9:DV9,DX9:DZ9,EB9)-SUM(DW9,EA9)&gt;0,SUM(DU9:DV9,DX9:DZ9,EB9)-SUM(DW9,EA9),"")</f>
        <v/>
      </c>
      <c r="EN9" s="13" t="str">
        <f>IF(SUM(DM9:DN9,DP9:DR9,DT9:DV9,DX9:DZ9,EB9)-SUM(DO9,DS9,DW9,EA9)&gt;0,SUM(DM9:DN9,DP9:DR9,DT9:DV9,DX9:DZ9,EB9)-SUM(DO9,DS9,DW9,EA9),"")</f>
        <v/>
      </c>
      <c r="EO9" s="13" t="str">
        <f>IF(SUM(EC9:ED9,EF9:EH9,EJ9)-SUM(EE9,EI9)&gt;0,SUM(EC9:ED9,EF9:EH9,EJ9)-SUM(EE9,EI9),"")</f>
        <v/>
      </c>
      <c r="EP9" s="13" t="str">
        <f>IF(SUM(EN9,EO9)&gt;0,SUM(EN9,EO9),"")</f>
        <v/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 t="str">
        <f>IF(SUM(FG9:FH9,FJ9:FL9,FN9)-SUM(FI9,FM9)&gt;0,SUM(FG9:FH9,FJ9:FL9,FN9)-SUM(FI9,FM9),"")</f>
        <v/>
      </c>
      <c r="FT9" s="16" t="str">
        <f>IF(SUM(FR9,FS9)&gt;0,SUM(FR9,FS9),"")</f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>IF(SUM(FV9,FZ9,GD9,GH9)&gt;0,SUM(FV9,FZ9,GD9,GH9),"")</f>
        <v/>
      </c>
      <c r="GT9" s="13" t="str">
        <f>IF(SUM(FU9:FV9,FX9:FZ9,GB9)-SUM(FW9,GA9)&gt;0,SUM(FU9:FV9,FX9:FZ9,GB9)-SUM(FW9,GA9),"")</f>
        <v/>
      </c>
      <c r="GU9" s="13" t="str">
        <f>IF(SUM(GC9:GD9,GF9:GH9,GJ9)-SUM(GE9,GI9)&gt;0,SUM(GC9:GD9,GF9:GH9,GJ9)-SUM(GE9,GI9),"")</f>
        <v/>
      </c>
      <c r="GV9" s="13" t="str">
        <f>IF(SUM(FU9:FV9,FX9:FZ9,GB9:GD9,GF9:GH9,GJ9)-SUM(FW9,GA9,GE9,GI9)&gt;0,SUM(FU9:FV9,FX9:FZ9,GB9:GD9,GF9:GH9,GJ9)-SUM(FW9,GA9,GE9,GI9),"")</f>
        <v/>
      </c>
      <c r="GW9" s="13" t="str">
        <f>IF(SUM(GK9:GL9,GN9:GP9,GR9)-SUM(GM9,GQ9)&gt;0,SUM(GK9:GL9,GN9:GP9,GR9)-SUM(GM9,GQ9),"")</f>
        <v/>
      </c>
      <c r="GX9" s="13" t="str">
        <f>IF(SUM(GV9,GW9)&gt;0,SUM(GV9,GW9),"")</f>
        <v/>
      </c>
      <c r="GY9" s="53">
        <v>27.9</v>
      </c>
      <c r="GZ9" s="53">
        <v>4.8</v>
      </c>
      <c r="HA9" s="53">
        <v>0.8</v>
      </c>
      <c r="HB9" s="53">
        <v>0</v>
      </c>
      <c r="HC9" s="53">
        <v>28.3</v>
      </c>
      <c r="HD9" s="53">
        <v>6</v>
      </c>
      <c r="HE9" s="53">
        <v>0.3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>
        <v>28.1</v>
      </c>
      <c r="HP9" s="53">
        <v>5.2</v>
      </c>
      <c r="HQ9" s="53">
        <v>0.3</v>
      </c>
      <c r="HR9" s="53">
        <v>0</v>
      </c>
      <c r="HS9" s="53">
        <v>19.8</v>
      </c>
      <c r="HT9" s="53">
        <v>2.8</v>
      </c>
      <c r="HU9" s="53">
        <v>0</v>
      </c>
      <c r="HV9" s="53">
        <v>0</v>
      </c>
      <c r="HW9" s="16">
        <f>IF(SUM(GZ9,HD9,HH9,HL9)&gt;0,SUM(GZ9,HD9,HH9,HL9),"")</f>
        <v>10.8</v>
      </c>
      <c r="HX9" s="16">
        <f>IF(SUM(GY9:GZ9,HB9:HD9,HF9)-SUM(HA9,HE9)&gt;0,SUM(GY9:GZ9,HB9:HD9,HF9)-SUM(HA9,HE9),"")</f>
        <v>65.900000000000006</v>
      </c>
      <c r="HY9" s="16" t="str">
        <f>IF(SUM(HG9:HH9,HJ9:HL9,HN9)-SUM(HI9,HM9)&gt;0,SUM(HG9:HH9,HJ9:HL9,HN9)-SUM(HI9,HM9),"")</f>
        <v/>
      </c>
      <c r="HZ9" s="16">
        <f>IF(SUM(GY9:GZ9,HB9:HD9,HF9:HH9,HJ9:HL9,HN9)-SUM(HA9,HE9,HI9,HM9)&gt;0,SUM(GY9:GZ9,HB9:HD9,HF9:HH9,HJ9:HL9,HN9)-SUM(HA9,HE9,HI9,HM9),"")</f>
        <v>65.900000000000006</v>
      </c>
      <c r="IA9" s="16">
        <f>IF(SUM(HO9:HP9,HR9:HT9,HV9)-SUM(HQ9,HU9)&gt;0,SUM(HO9:HP9,HR9:HT9,HV9)-SUM(HQ9,HU9),"")</f>
        <v>55.600000000000009</v>
      </c>
      <c r="IB9" s="16">
        <f>IF(SUM(HZ9,IA9)&gt;0,SUM(HZ9,IA9),"")</f>
        <v>121.50000000000001</v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>IF(SUM(ID9,IH9,IL9,IP9)&gt;0,SUM(ID9,IH9,IL9,IP9),"")</f>
        <v/>
      </c>
      <c r="JB9" s="13" t="str">
        <f>IF(SUM(IC9:ID9,IF9:IH9,IJ9)-SUM(IE9,II9)&gt;0,SUM(IC9:ID9,IF9:IH9,IJ9)-SUM(IE9,II9),"")</f>
        <v/>
      </c>
      <c r="JC9" s="13" t="str">
        <f>IF(SUM(IK9:IL9,IN9:IP9,IR9)-SUM(IM9,IQ9)&gt;0,SUM(IK9:IL9,IN9:IP9,IR9)-SUM(IM9,IQ9),"")</f>
        <v/>
      </c>
      <c r="JD9" s="13" t="str">
        <f>IF(SUM(IC9:ID9,IF9:IH9,IJ9:IL9,IN9:IP9,IR9)-SUM(IE9,II9,IM9,IQ9)&gt;0,SUM(IC9:ID9,IF9:IH9,IJ9:IL9,IN9:IP9,IR9)-SUM(IE9,II9,IM9,IQ9),"")</f>
        <v/>
      </c>
      <c r="JE9" s="13" t="str">
        <f>IF(SUM(IS9:IT9,IV9:IX9,IZ9)-SUM(IU9,IY9)&gt;0,SUM(IS9:IT9,IV9:IX9,IZ9)-SUM(IU9,IY9),"")</f>
        <v/>
      </c>
      <c r="JF9" s="13" t="str">
        <f>IF(SUM(JD9,JE9)&gt;0,SUM(JD9,JE9),"")</f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 t="str">
        <f>IF(SUM(JW9:JX9,JZ9:KB9,KD9)-SUM(JY9,KC9)&gt;0,SUM(JW9:JX9,JZ9:KB9,KD9)-SUM(JY9,KC9),"")</f>
        <v/>
      </c>
      <c r="KJ9" s="16" t="str">
        <f>IF(SUM(KH9,KI9)&gt;0,SUM(KH9,KI9),"")</f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 t="str">
        <f>IF(AND(F10="P",H10="P"),SUMPRODUCT((F$4:F$15="P")*(H$4:H$15="P")*(E$4:E$15&gt;E10))+1,IF(H10="P",SUMPRODUCT((F$4:F$15="")*(H$4:H$15="P")*(E$4:E$15&gt;E10))+1+SUMPRODUCT((F$4:F$15="P")*(H$4:H$15="P")),""))</f>
        <v/>
      </c>
      <c r="B10" s="9" t="s">
        <v>129</v>
      </c>
      <c r="C10" s="5" t="s">
        <v>7</v>
      </c>
      <c r="D10" s="33">
        <v>1991</v>
      </c>
      <c r="E10" s="17">
        <f>SUM(J10:R10)</f>
        <v>298.70000000000005</v>
      </c>
      <c r="F10" s="4" t="str">
        <f>IF(OR(AND($AT10&gt;=$AU$18,NOT($AT10=""),$AS10=""),AND($BY10&gt;=$BZ$18,NOT($BY10=""),$BX10=""),AND($DD10&gt;=$DE$18,NOT($DD10=""),$DC10="")),"P","")</f>
        <v>P</v>
      </c>
      <c r="G10" s="4" t="str">
        <f>IF(OR(AND($AT10&gt;=$AU$19,NOT($AT10=""),$AS10=""),AND($BY10&gt;=$BZ$19,NOT($BY10=""),$BX10=""),AND($DD10&gt;=$DE$19,NOT($DD10=""),$DC10="")),"P","")</f>
        <v>P</v>
      </c>
      <c r="H10" s="4" t="str">
        <f>IF(OR(AND($AW10&gt;=$AU$20,NOT($AW10=""),$AS10=""),AND($CB10&gt;=$BZ$20,NOT($CB10=""),$BX10=""),AND($DG10&gt;=$DE$20,NOT($DG10=""),$DC10="")),"P","")</f>
        <v/>
      </c>
      <c r="I10" t="str">
        <f>IF(AND(G10="P",OR(AND($AW10&gt;=$AU$23,NOT($AW10=""),$AS10=""),AND($CB10&gt;=$BZ$23,NOT($CB10=""),$BX10=""),AND($DG10&gt;=$DE$23,NOT($DG10=""),$DC10=""))),"Merit",IF(AND(G10="P",OR(AND($AW10&gt;=$AU$22,NOT($AW10=""),$AS10=""),AND($CB10&gt;=$BZ$22,NOT($CB10=""),$BX10=""),AND($DG10&gt;=$DE$22,NOT($DG10=""),$DC10=""))),"Funding",IF(AND(G10="P",OR(AND($AW10&gt;=$AU$21,NOT($AW10=""),$AS10=""),AND($CB10&gt;=$BZ$21,NOT($CB10=""),$BX10=""),AND($DG10&gt;=$DE$21,NOT($DG10=""),$DC10=""))),"Worlds Team",IF(AND(F10="P",OR(AND($AW10&gt;=$AU$20,NOT($AW10=""),$AS10=""),AND($CB10&gt;=$BZ$20,NOT($CB10=""),$BX10=""),AND($DG10&gt;=$DE$20,NOT($DG10=""),$DC10=""))),"National Team",""))))</f>
        <v/>
      </c>
      <c r="J10" s="16">
        <f>MAX(AW10,CB10,DG10)</f>
        <v>128.4</v>
      </c>
      <c r="K10" s="16" t="str">
        <f>IF(J10=DG10,$CE$1,IF(J10=CB10,$AZ$1,IF(J10=AW10,$U$1,"")))</f>
        <v>2018 Canada Cup</v>
      </c>
      <c r="L10" s="16">
        <f>IF($J10=$AW10,MAX(BZ10,DE10),IF($J10=$CB10,MAX(AU10,DE10),MAX(AU10,BZ10)))</f>
        <v>54.4</v>
      </c>
      <c r="M10" s="16" t="str">
        <f>IF(AND(L10=DE10,$K10&lt;&gt;$CE$1),$CE$1,IF(AND(L10=BZ10,$K10&lt;&gt;$AZ$1),$AZ$1,IF(AND(L10=AU10,$K10&lt;&gt;$U$1),$U$1,"")))</f>
        <v>2018 Nationals</v>
      </c>
      <c r="N10" s="16">
        <f>IF($J10=$AW10,MAX(CA10,DF10),IF($J10=$CB10,MAX(AV10,DF10),MAX(AV10,CA10)))</f>
        <v>52.4</v>
      </c>
      <c r="O10" s="16" t="str">
        <f>IF(AND(N10=DF10,$K10&lt;&gt;$CE$1),$CE$1,IF(AND(N10=CA10,$K10&lt;&gt;$AZ$1),$AZ$1,IF(AND(N10=AV10,$K10&lt;&gt;$U$1),$U$1,"")))</f>
        <v>2018 Nationals</v>
      </c>
      <c r="P10" s="16">
        <f>MAX(AX10,CC10,DH10)</f>
        <v>63.5</v>
      </c>
      <c r="Q10" s="16" t="str">
        <f>IF(P10=DH10,$CE$1,IF(P10=CC10,$AZ$1,IF(P10=AX10,$U$1,"")))</f>
        <v>2018 Nationals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93"/>
      <c r="AT10" s="13" t="str">
        <f>IF(SUM(V10,Z10,AD10,AH10)&gt;0,SUM(V10,Z10,AD10,AH10),"")</f>
        <v/>
      </c>
      <c r="AU10" s="13" t="str">
        <f>IF(SUM(U10:V10,X10:Z10,AB10)-SUM(W10,AA10)&gt;0,SUM(U10:V10,X10:Z10,AB10)-SUM(W10,AA10),"")</f>
        <v/>
      </c>
      <c r="AV10" s="13" t="str">
        <f>IF(SUM(AC10:AD10,AF10:AH10,AJ10)-SUM(AE10,AI10)&gt;0,SUM(AC10:AD10,AF10:AH10,AJ10)-SUM(AE10,AI10),"")</f>
        <v/>
      </c>
      <c r="AW10" s="13" t="str">
        <f>IF(SUM(U10:V10,X10:Z10,AB10:AD10,AF10:AH10,AJ10)-SUM(W10,AA10,AE10,AI10)&gt;0,SUM(U10:V10,X10:Z10,AB10:AD10,AF10:AH10,AJ10)-SUM(W10,AA10,AE10,AI10),"")</f>
        <v/>
      </c>
      <c r="AX10" s="13" t="str">
        <f>IF(SUM(AK10:AL10,AN10:AP10,AR10)-SUM(AM10,AQ10)&gt;0,SUM(AK10:AL10,AN10:AP10,AR10)-SUM(AM10,AQ10),"")</f>
        <v/>
      </c>
      <c r="AY10" s="13" t="str">
        <f>IF(SUM(AW10,AX10)&gt;0,SUM(AW10,AX10),"")</f>
        <v/>
      </c>
      <c r="AZ10" s="88">
        <v>26.7</v>
      </c>
      <c r="BA10" s="88">
        <v>6</v>
      </c>
      <c r="BB10" s="88">
        <v>0.3</v>
      </c>
      <c r="BC10" s="88">
        <v>0</v>
      </c>
      <c r="BD10" s="88">
        <v>27.1</v>
      </c>
      <c r="BE10" s="88">
        <v>5.6</v>
      </c>
      <c r="BF10" s="88">
        <v>0</v>
      </c>
      <c r="BG10" s="88">
        <v>0</v>
      </c>
      <c r="BH10" s="88">
        <v>27.1</v>
      </c>
      <c r="BI10" s="88">
        <v>5.2</v>
      </c>
      <c r="BJ10" s="88">
        <v>0.9</v>
      </c>
      <c r="BK10" s="88">
        <v>0</v>
      </c>
      <c r="BL10" s="88">
        <v>27</v>
      </c>
      <c r="BM10" s="88">
        <v>5.2</v>
      </c>
      <c r="BN10" s="88">
        <v>0.3</v>
      </c>
      <c r="BO10" s="88">
        <v>0</v>
      </c>
      <c r="BP10" s="88">
        <v>27.2</v>
      </c>
      <c r="BQ10" s="88">
        <v>6</v>
      </c>
      <c r="BR10" s="88">
        <v>0</v>
      </c>
      <c r="BS10" s="88">
        <v>0</v>
      </c>
      <c r="BT10" s="88">
        <v>19.600000000000001</v>
      </c>
      <c r="BU10" s="88">
        <v>0</v>
      </c>
      <c r="BV10" s="88">
        <v>0</v>
      </c>
      <c r="BW10" s="88">
        <v>0</v>
      </c>
      <c r="BX10" s="94"/>
      <c r="BY10" s="16">
        <f>IF(SUM(BA10,BE10,BI10,BM10)&gt;0,SUM(BA10,BE10,BI10,BM10),"")</f>
        <v>22</v>
      </c>
      <c r="BZ10" s="16">
        <f>IF(SUM(AZ10:BA10,BC10:BE10,BG10)-SUM(BB10,BF10)&gt;0,SUM(AZ10:BA10,BC10:BE10,BG10)-SUM(BB10,BF10),"")</f>
        <v>65.100000000000009</v>
      </c>
      <c r="CA10" s="16">
        <f>IF(SUM(BH10:BI10,BK10:BM10,BO10)-SUM(BJ10,BN10)&gt;0,SUM(BH10:BI10,BK10:BM10,BO10)-SUM(BJ10,BN10),"")</f>
        <v>63.3</v>
      </c>
      <c r="CB10" s="16">
        <f>IF(SUM(AZ10:BA10,BC10:BE10,BG10:BI10,BK10:BM10,BO10)-SUM(BB10,BF10,BJ10,BN10)&gt;0,SUM(AZ10:BA10,BC10:BE10,BG10:BI10,BK10:BM10,BO10)-SUM(BB10,BF10,BJ10,BN10),"")</f>
        <v>128.4</v>
      </c>
      <c r="CC10" s="16">
        <f>IF(SUM(BP10:BQ10,BS10:BU10,BW10)-SUM(BR10,BV10)&gt;0,SUM(BP10:BQ10,BS10:BU10,BW10)-SUM(BR10,BV10),"")</f>
        <v>52.800000000000004</v>
      </c>
      <c r="CD10" s="16">
        <f>IF(SUM(CB10,CC10)&gt;0,SUM(CB10,CC10),"")</f>
        <v>181.20000000000002</v>
      </c>
      <c r="CE10" s="81">
        <v>27</v>
      </c>
      <c r="CF10" s="81">
        <v>6</v>
      </c>
      <c r="CG10" s="81">
        <v>0.9</v>
      </c>
      <c r="CH10" s="81">
        <v>0</v>
      </c>
      <c r="CI10" s="81">
        <v>19.5</v>
      </c>
      <c r="CJ10" s="81">
        <v>2.8</v>
      </c>
      <c r="CK10" s="81">
        <v>0</v>
      </c>
      <c r="CL10" s="81">
        <v>0</v>
      </c>
      <c r="CM10" s="81">
        <v>19.600000000000001</v>
      </c>
      <c r="CN10" s="81">
        <v>2.4</v>
      </c>
      <c r="CO10" s="81">
        <v>0</v>
      </c>
      <c r="CP10" s="81">
        <v>0</v>
      </c>
      <c r="CQ10" s="81">
        <v>26.9</v>
      </c>
      <c r="CR10" s="81">
        <v>4.4000000000000004</v>
      </c>
      <c r="CS10" s="81">
        <v>0.9</v>
      </c>
      <c r="CT10" s="81">
        <v>0</v>
      </c>
      <c r="CU10" s="81">
        <v>27.2</v>
      </c>
      <c r="CV10" s="81">
        <v>6</v>
      </c>
      <c r="CW10" s="81">
        <v>0.3</v>
      </c>
      <c r="CX10" s="81">
        <v>0</v>
      </c>
      <c r="CY10" s="81">
        <v>27.8</v>
      </c>
      <c r="CZ10" s="81">
        <v>2.8</v>
      </c>
      <c r="DA10" s="81">
        <v>0</v>
      </c>
      <c r="DB10" s="81">
        <v>0</v>
      </c>
      <c r="DC10" s="93"/>
      <c r="DD10" s="13">
        <f>IF(SUM(CF10,CJ10,CN10,CR10)&gt;0,SUM(CF10,CJ10,CN10,CR10),"")</f>
        <v>15.600000000000001</v>
      </c>
      <c r="DE10" s="13">
        <f>IF(SUM(CE10:CF10,CH10:CJ10,CL10)-SUM(CG10,CK10)&gt;0,SUM(CE10:CF10,CH10:CJ10,CL10)-SUM(CG10,CK10),"")</f>
        <v>54.4</v>
      </c>
      <c r="DF10" s="13">
        <f>IF(SUM(CM10:CN10,CP10:CR10,CT10)-SUM(CO10,CS10)&gt;0,SUM(CM10:CN10,CP10:CR10,CT10)-SUM(CO10,CS10),"")</f>
        <v>52.4</v>
      </c>
      <c r="DG10" s="13">
        <f>IF(SUM(CE10:CF10,CH10:CJ10,CL10:CN10,CP10:CR10,CT10)-SUM(CG10,CK10,CO10,CS10)&gt;0,SUM(CE10:CF10,CH10:CJ10,CL10:CN10,CP10:CR10,CT10)-SUM(CG10,CK10,CO10,CS10),"")</f>
        <v>106.80000000000003</v>
      </c>
      <c r="DH10" s="13">
        <f>IF(SUM(CU10:CV10,CX10:CZ10,DB10)-SUM(CW10,DA10)&gt;0,SUM(CU10:CV10,CX10:CZ10,DB10)-SUM(CW10,DA10),"")</f>
        <v>63.5</v>
      </c>
      <c r="DI10" s="13">
        <f>IF(SUM(DG10,DH10)&gt;0,SUM(DG10,DH10),"")</f>
        <v>170.3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>IF(SUM(ID10,IH10,IL10,IP10)&gt;0,SUM(ID10,IH10,IL10,IP10),"")</f>
        <v/>
      </c>
      <c r="JB10" s="13" t="str">
        <f>IF(SUM(IC10:ID10,IF10:IH10,IJ10)-SUM(IE10,II10)&gt;0,SUM(IC10:ID10,IF10:IH10,IJ10)-SUM(IE10,II10),"")</f>
        <v/>
      </c>
      <c r="JC10" s="13" t="str">
        <f>IF(SUM(IK10:IL10,IN10:IP10,IR10)-SUM(IM10,IQ10)&gt;0,SUM(IK10:IL10,IN10:IP10,IR10)-SUM(IM10,IQ10),"")</f>
        <v/>
      </c>
      <c r="JD10" s="13" t="str">
        <f>IF(SUM(IC10:ID10,IF10:IH10,IJ10:IL10,IN10:IP10,IR10)-SUM(IE10,II10,IM10,IQ10)&gt;0,SUM(IC10:ID10,IF10:IH10,IJ10:IL10,IN10:IP10,IR10)-SUM(IE10,II10,IM10,IQ10),"")</f>
        <v/>
      </c>
      <c r="JE10" s="13" t="str">
        <f>IF(SUM(IS10:IT10,IV10:IX10,IZ10)-SUM(IU10,IY10)&gt;0,SUM(IS10:IT10,IV10:IX10,IZ10)-SUM(IU10,IY10),"")</f>
        <v/>
      </c>
      <c r="JF10" s="13" t="str">
        <f>IF(SUM(JD10,JE10)&gt;0,SUM(JD10,JE10),"")</f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 t="str">
        <f>IF(AND(F11="P",H11="P"),SUMPRODUCT((F$4:F$15="P")*(H$4:H$15="P")*(E$4:E$15&gt;E11))+1,IF(H11="P",SUMPRODUCT((F$4:F$15="")*(H$4:H$15="P")*(E$4:E$15&gt;E11))+1+SUMPRODUCT((F$4:F$15="P")*(H$4:H$15="P")),""))</f>
        <v/>
      </c>
      <c r="B11" s="9" t="s">
        <v>63</v>
      </c>
      <c r="C11" s="5" t="s">
        <v>7</v>
      </c>
      <c r="D11" s="33">
        <v>1996</v>
      </c>
      <c r="E11" s="17">
        <f>SUM(J11:R11)</f>
        <v>338.22499999999997</v>
      </c>
      <c r="F11" s="4" t="str">
        <f>IF(OR(AND($AT11&gt;=$AU$18,NOT($AT11=""),$AS11=""),AND($BY11&gt;=$BZ$18,NOT($BY11=""),$BX11=""),AND($DD11&gt;=$DE$18,NOT($DD11=""),$DC11="")),"P","")</f>
        <v/>
      </c>
      <c r="G11" s="4" t="str">
        <f>IF(OR(AND($AT11&gt;=$AU$19,NOT($AT11=""),$AS11=""),AND($BY11&gt;=$BZ$19,NOT($BY11=""),$BX11=""),AND($DD11&gt;=$DE$19,NOT($DD11=""),$DC11="")),"P","")</f>
        <v/>
      </c>
      <c r="H11" s="4" t="str">
        <f>IF(OR(AND($AW11&gt;=$AU$20,NOT($AW11=""),$AS11=""),AND($CB11&gt;=$BZ$20,NOT($CB11=""),$BX11=""),AND($DG11&gt;=$DE$20,NOT($DG11=""),$DC11="")),"P","")</f>
        <v/>
      </c>
      <c r="I11" t="str">
        <f>IF(AND(G11="P",OR(AND($AW11&gt;=$AU$23,NOT($AW11=""),$AS11=""),AND($CB11&gt;=$BZ$23,NOT($CB11=""),$BX11=""),AND($DG11&gt;=$DE$23,NOT($DG11=""),$DC11=""))),"Merit",IF(AND(G11="P",OR(AND($AW11&gt;=$AU$22,NOT($AW11=""),$AS11=""),AND($CB11&gt;=$BZ$22,NOT($CB11=""),$BX11=""),AND($DG11&gt;=$DE$22,NOT($DG11=""),$DC11=""))),"Funding",IF(AND(G11="P",OR(AND($AW11&gt;=$AU$21,NOT($AW11=""),$AS11=""),AND($CB11&gt;=$BZ$21,NOT($CB11=""),$BX11=""),AND($DG11&gt;=$DE$21,NOT($DG11=""),$DC11=""))),"Worlds Team",IF(AND(F11="P",OR(AND($AW11&gt;=$AU$20,NOT($AW11=""),$AS11=""),AND($CB11&gt;=$BZ$20,NOT($CB11=""),$BX11=""),AND($DG11&gt;=$DE$20,NOT($DG11=""),$DC11=""))),"National Team",""))))</f>
        <v/>
      </c>
      <c r="J11" s="16">
        <f>MAX(AW11,CB11,DG11)</f>
        <v>131.75</v>
      </c>
      <c r="K11" s="16" t="str">
        <f>IF(J11=DG11,$CE$1,IF(J11=CB11,$AZ$1,IF(J11=AW11,$U$1,"")))</f>
        <v>2017 3rd Domestic Trial</v>
      </c>
      <c r="L11" s="16">
        <f>IF($J11=$AW11,MAX(BZ11,DE11),IF($J11=$CB11,MAX(AU11,DE11),MAX(AU11,BZ11)))</f>
        <v>61.225000000000001</v>
      </c>
      <c r="M11" s="16" t="str">
        <f>IF(AND(L11=DE11,$K11&lt;&gt;$CE$1),$CE$1,IF(AND(L11=BZ11,$K11&lt;&gt;$AZ$1),$AZ$1,IF(AND(L11=AU11,$K11&lt;&gt;$U$1),$U$1,"")))</f>
        <v>2018 Nationals</v>
      </c>
      <c r="N11" s="16">
        <f>IF($J11=$AW11,MAX(CA11,DF11),IF($J11=$CB11,MAX(AV11,DF11),MAX(AV11,CA11)))</f>
        <v>67.850000000000009</v>
      </c>
      <c r="O11" s="16" t="str">
        <f>IF(AND(N11=DF11,$K11&lt;&gt;$CE$1),$CE$1,IF(AND(N11=CA11,$K11&lt;&gt;$AZ$1),$AZ$1,IF(AND(N11=AV11,$K11&lt;&gt;$U$1),$U$1,"")))</f>
        <v>2018 Nationals</v>
      </c>
      <c r="P11" s="16">
        <f>MAX(AX11,CC11,DH11)</f>
        <v>71.325000000000003</v>
      </c>
      <c r="Q11" s="16" t="str">
        <f>IF(P11=DH11,$CE$1,IF(P11=CC11,$AZ$1,IF(P11=AX11,$U$1,"")))</f>
        <v>2018 Nationals</v>
      </c>
      <c r="R11" s="16">
        <f>IF(MAX(DJ11:DL11)&gt;0,MAX(DJ11:DL11),"")</f>
        <v>6.0749999999999957</v>
      </c>
      <c r="S11" s="31" t="str">
        <f>IF(R11="","",IF(R11=DJ11,"(Pass 1-2)",IF(R11=DK11,"(Pass 3-4)",IF(R11=DL11,"(Final)"))))</f>
        <v>(Pass 1-2)</v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>Ciudad de Valladolid (Oct)</v>
      </c>
      <c r="U11" s="81">
        <v>31.774999999999999</v>
      </c>
      <c r="V11" s="81">
        <v>0</v>
      </c>
      <c r="W11" s="81">
        <v>0</v>
      </c>
      <c r="X11" s="81">
        <v>0</v>
      </c>
      <c r="Y11" s="81">
        <v>31.774999999999999</v>
      </c>
      <c r="Z11" s="81">
        <v>0</v>
      </c>
      <c r="AA11" s="81">
        <v>0</v>
      </c>
      <c r="AB11" s="81">
        <v>0</v>
      </c>
      <c r="AC11" s="81">
        <v>34.1</v>
      </c>
      <c r="AD11" s="81">
        <v>0</v>
      </c>
      <c r="AE11" s="81">
        <v>0</v>
      </c>
      <c r="AF11" s="81">
        <v>0</v>
      </c>
      <c r="AG11" s="81">
        <v>34.1</v>
      </c>
      <c r="AH11" s="81">
        <v>0</v>
      </c>
      <c r="AI11" s="81">
        <v>0</v>
      </c>
      <c r="AJ11" s="81">
        <v>0</v>
      </c>
      <c r="AK11" s="81">
        <v>35.524999999999999</v>
      </c>
      <c r="AL11" s="81">
        <v>0</v>
      </c>
      <c r="AM11" s="81">
        <v>0</v>
      </c>
      <c r="AN11" s="81">
        <v>0</v>
      </c>
      <c r="AO11" s="81">
        <v>35.524999999999999</v>
      </c>
      <c r="AP11" s="81">
        <v>0</v>
      </c>
      <c r="AQ11" s="81">
        <v>0</v>
      </c>
      <c r="AR11" s="81">
        <v>0</v>
      </c>
      <c r="AS11" s="93" t="s">
        <v>159</v>
      </c>
      <c r="AT11" s="13" t="str">
        <f>IF(SUM(V11,Z11,AD11,AH11)&gt;0,SUM(V11,Z11,AD11,AH11),"")</f>
        <v/>
      </c>
      <c r="AU11" s="13">
        <f>IF(SUM(U11:V11,X11:Z11,AB11)-SUM(W11,AA11)&gt;0,SUM(U11:V11,X11:Z11,AB11)-SUM(W11,AA11),"")</f>
        <v>63.55</v>
      </c>
      <c r="AV11" s="13">
        <f>IF(SUM(AC11:AD11,AF11:AH11,AJ11)-SUM(AE11,AI11)&gt;0,SUM(AC11:AD11,AF11:AH11,AJ11)-SUM(AE11,AI11),"")</f>
        <v>68.2</v>
      </c>
      <c r="AW11" s="13">
        <f>IF(SUM(U11:V11,X11:Z11,AB11:AD11,AF11:AH11,AJ11)-SUM(W11,AA11,AE11,AI11)&gt;0,SUM(U11:V11,X11:Z11,AB11:AD11,AF11:AH11,AJ11)-SUM(W11,AA11,AE11,AI11),"")</f>
        <v>131.75</v>
      </c>
      <c r="AX11" s="13">
        <f>IF(SUM(AK11:AL11,AN11:AP11,AR11)-SUM(AM11,AQ11)&gt;0,SUM(AK11:AL11,AN11:AP11,AR11)-SUM(AM11,AQ11),"")</f>
        <v>71.05</v>
      </c>
      <c r="AY11" s="13">
        <f>IF(SUM(AW11,AX11)&gt;0,SUM(AW11,AX11),"")</f>
        <v>202.8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159</v>
      </c>
      <c r="BY11" s="16">
        <f>IF(SUM(BA11,BE11,BI11,BM11)&gt;0,SUM(BA11,BE11,BI11,BM11),"")</f>
        <v>11.2</v>
      </c>
      <c r="BZ11" s="16">
        <f>IF(SUM(AZ11:BA11,BC11:BE11,BG11)-SUM(BB11,BF11)&gt;0,SUM(AZ11:BA11,BC11:BE11,BG11)-SUM(BB11,BF11),"")</f>
        <v>61.225000000000001</v>
      </c>
      <c r="CA11" s="16">
        <f>IF(SUM(BH11:BI11,BK11:BM11,BO11)-SUM(BJ11,BN11)&gt;0,SUM(BH11:BI11,BK11:BM11,BO11)-SUM(BJ11,BN11),"")</f>
        <v>67.850000000000009</v>
      </c>
      <c r="CB11" s="16">
        <f>IF(SUM(AZ11:BA11,BC11:BE11,BG11:BI11,BK11:BM11,BO11)-SUM(BB11,BF11,BJ11,BN11)&gt;0,SUM(AZ11:BA11,BC11:BE11,BG11:BI11,BK11:BM11,BO11)-SUM(BB11,BF11,BJ11,BN11),"")</f>
        <v>129.07499999999999</v>
      </c>
      <c r="CC11" s="16">
        <f>IF(SUM(BP11:BQ11,BS11:BU11,BW11)-SUM(BR11,BV11)&gt;0,SUM(BP11:BQ11,BS11:BU11,BW11)-SUM(BR11,BV11),"")</f>
        <v>71.325000000000003</v>
      </c>
      <c r="CD11" s="16">
        <f>IF(SUM(CB11,CC11)&gt;0,SUM(CB11,CC11),"")</f>
        <v>200.39999999999998</v>
      </c>
      <c r="CE11" s="55">
        <f>AZ11</f>
        <v>30.037500000000001</v>
      </c>
      <c r="CF11" s="55">
        <f>BA11</f>
        <v>3.4</v>
      </c>
      <c r="CG11" s="55">
        <f>BB11</f>
        <v>0</v>
      </c>
      <c r="CH11" s="55">
        <f>BC11</f>
        <v>0.15</v>
      </c>
      <c r="CI11" s="55">
        <f>BD11</f>
        <v>25.787500000000001</v>
      </c>
      <c r="CJ11" s="55">
        <f>BE11</f>
        <v>1.6</v>
      </c>
      <c r="CK11" s="55">
        <f>BF11</f>
        <v>0</v>
      </c>
      <c r="CL11" s="55">
        <f>BG11</f>
        <v>0.25</v>
      </c>
      <c r="CM11" s="55">
        <f>BH11</f>
        <v>31.3</v>
      </c>
      <c r="CN11" s="55">
        <f>BI11</f>
        <v>3</v>
      </c>
      <c r="CO11" s="55">
        <f>BJ11</f>
        <v>0.45</v>
      </c>
      <c r="CP11" s="55">
        <f>BK11</f>
        <v>0.25</v>
      </c>
      <c r="CQ11" s="55">
        <f>BL11</f>
        <v>30.85</v>
      </c>
      <c r="CR11" s="55">
        <f>BM11</f>
        <v>3.2</v>
      </c>
      <c r="CS11" s="55">
        <f>BN11</f>
        <v>0.45</v>
      </c>
      <c r="CT11" s="55">
        <f>BO11</f>
        <v>0.15</v>
      </c>
      <c r="CU11" s="55">
        <f>BP11</f>
        <v>32.012500000000003</v>
      </c>
      <c r="CV11" s="55">
        <f>BQ11</f>
        <v>3.4</v>
      </c>
      <c r="CW11" s="55">
        <f>BR11</f>
        <v>0</v>
      </c>
      <c r="CX11" s="55">
        <f>BS11</f>
        <v>0.25</v>
      </c>
      <c r="CY11" s="55">
        <f>BT11</f>
        <v>31.912500000000001</v>
      </c>
      <c r="CZ11" s="55">
        <f>BU11</f>
        <v>3.6</v>
      </c>
      <c r="DA11" s="55">
        <f>BV11</f>
        <v>0</v>
      </c>
      <c r="DB11" s="55">
        <f>BW11</f>
        <v>0.15</v>
      </c>
      <c r="DC11" s="93" t="s">
        <v>159</v>
      </c>
      <c r="DD11" s="13">
        <f>IF(SUM(CF11,CJ11,CN11,CR11)&gt;0,SUM(CF11,CJ11,CN11,CR11),"")</f>
        <v>11.2</v>
      </c>
      <c r="DE11" s="13">
        <f>IF(SUM(CE11:CF11,CH11:CJ11,CL11)-SUM(CG11,CK11)&gt;0,SUM(CE11:CF11,CH11:CJ11,CL11)-SUM(CG11,CK11),"")</f>
        <v>61.225000000000001</v>
      </c>
      <c r="DF11" s="13">
        <f>IF(SUM(CM11:CN11,CP11:CR11,CT11)-SUM(CO11,CS11)&gt;0,SUM(CM11:CN11,CP11:CR11,CT11)-SUM(CO11,CS11),"")</f>
        <v>67.850000000000009</v>
      </c>
      <c r="DG11" s="13">
        <f>IF(SUM(CE11:CF11,CH11:CJ11,CL11:CN11,CP11:CR11,CT11)-SUM(CG11,CK11,CO11,CS11)&gt;0,SUM(CE11:CF11,CH11:CJ11,CL11:CN11,CP11:CR11,CT11)-SUM(CG11,CK11,CO11,CS11),"")</f>
        <v>129.07499999999999</v>
      </c>
      <c r="DH11" s="13">
        <f>IF(SUM(CU11:CV11,CX11:CZ11,DB11)-SUM(CW11,DA11)&gt;0,SUM(CU11:CV11,CX11:CZ11,DB11)-SUM(CW11,DA11),"")</f>
        <v>71.325000000000003</v>
      </c>
      <c r="DI11" s="13">
        <f>IF(SUM(DG11,DH11)&gt;0,SUM(DG11,DH11),"")</f>
        <v>200.39999999999998</v>
      </c>
      <c r="DJ11" s="30">
        <f>IF(MAX(EL11,FP11,GT11,HX11,JB11,KF11,LJ11,MN11,NR11,OV11,PZ11,RD11)-L11&gt;0.001,MAX(EL11,FP11,GT11,HX11,JB11,KF11,LJ11,MN11,NR11,OV11,PZ11,RD11)-L11,"")</f>
        <v>6.0749999999999957</v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>
        <v>27.6</v>
      </c>
      <c r="DN11" s="54">
        <v>6.8</v>
      </c>
      <c r="DO11" s="54">
        <v>1.2</v>
      </c>
      <c r="DP11" s="54">
        <v>0</v>
      </c>
      <c r="DQ11" s="54">
        <v>28.5</v>
      </c>
      <c r="DR11" s="54">
        <v>5.6</v>
      </c>
      <c r="DS11" s="54">
        <v>0</v>
      </c>
      <c r="DT11" s="54">
        <v>0</v>
      </c>
      <c r="DU11" s="54"/>
      <c r="DV11" s="54"/>
      <c r="DW11" s="54"/>
      <c r="DX11" s="54"/>
      <c r="DY11" s="54"/>
      <c r="DZ11" s="54"/>
      <c r="EA11" s="54"/>
      <c r="EB11" s="54"/>
      <c r="EC11" s="54">
        <v>28.7</v>
      </c>
      <c r="ED11" s="54">
        <v>5.2</v>
      </c>
      <c r="EE11" s="54">
        <v>0</v>
      </c>
      <c r="EF11" s="54">
        <v>0</v>
      </c>
      <c r="EG11" s="54">
        <v>27.6</v>
      </c>
      <c r="EH11" s="54">
        <v>6.4</v>
      </c>
      <c r="EI11" s="54">
        <v>0</v>
      </c>
      <c r="EJ11" s="54">
        <v>0</v>
      </c>
      <c r="EK11" s="13">
        <f>IF(SUM(DN11,DR11,DV11,DZ11)&gt;0,SUM(DN11,DR11,DV11,DZ11),"")</f>
        <v>12.399999999999999</v>
      </c>
      <c r="EL11" s="13">
        <f>IF(SUM(DM11:DN11,DP11:DR11,DT11)-SUM(DO11,DS11)&gt;0,SUM(DM11:DN11,DP11:DR11,DT11)-SUM(DO11,DS11),"")</f>
        <v>67.3</v>
      </c>
      <c r="EM11" s="13" t="str">
        <f>IF(SUM(DU11:DV11,DX11:DZ11,EB11)-SUM(DW11,EA11)&gt;0,SUM(DU11:DV11,DX11:DZ11,EB11)-SUM(DW11,EA11),"")</f>
        <v/>
      </c>
      <c r="EN11" s="13">
        <f>IF(SUM(DM11:DN11,DP11:DR11,DT11:DV11,DX11:DZ11,EB11)-SUM(DO11,DS11,DW11,EA11)&gt;0,SUM(DM11:DN11,DP11:DR11,DT11:DV11,DX11:DZ11,EB11)-SUM(DO11,DS11,DW11,EA11),"")</f>
        <v>67.3</v>
      </c>
      <c r="EO11" s="13">
        <f>IF(SUM(EC11:ED11,EF11:EH11,EJ11)-SUM(EE11,EI11)&gt;0,SUM(EC11:ED11,EF11:EH11,EJ11)-SUM(EE11,EI11),"")</f>
        <v>67.900000000000006</v>
      </c>
      <c r="EP11" s="13">
        <f>IF(SUM(EN11,EO11)&gt;0,SUM(EN11,EO11),"")</f>
        <v>135.19999999999999</v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IF(AND(F12="P",H12="P"),SUMPRODUCT((F$4:F$15="P")*(H$4:H$15="P")*(E$4:E$15&gt;E12))+1,IF(H12="P",SUMPRODUCT((F$4:F$15="")*(H$4:H$15="P")*(E$4:E$15&gt;E12))+1+SUMPRODUCT((F$4:F$15="P")*(H$4:H$15="P")),""))</f>
        <v/>
      </c>
      <c r="B12" s="9" t="s">
        <v>67</v>
      </c>
      <c r="C12" s="5" t="s">
        <v>5</v>
      </c>
      <c r="D12" s="33">
        <v>1993</v>
      </c>
      <c r="E12" s="17">
        <f>SUM(J12:R12)</f>
        <v>236.5</v>
      </c>
      <c r="F12" s="4" t="str">
        <f>IF(OR(AND($AT12&gt;=$AU$18,NOT($AT12=""),$AS12=""),AND($BY12&gt;=$BZ$18,NOT($BY12=""),$BX12=""),AND($DD12&gt;=$DE$18,NOT($DD12=""),$DC12="")),"P","")</f>
        <v/>
      </c>
      <c r="G12" s="4" t="str">
        <f>IF(OR(AND($AT12&gt;=$AU$19,NOT($AT12=""),$AS12=""),AND($BY12&gt;=$BZ$19,NOT($BY12=""),$BX12=""),AND($DD12&gt;=$DE$19,NOT($DD12=""),$DC12="")),"P","")</f>
        <v/>
      </c>
      <c r="H12" s="4" t="str">
        <f>IF(OR(AND($AW12&gt;=$AU$20,NOT($AW12=""),$AS12=""),AND($CB12&gt;=$BZ$20,NOT($CB12=""),$BX12=""),AND($DG12&gt;=$DE$20,NOT($DG12=""),$DC12="")),"P","")</f>
        <v/>
      </c>
      <c r="I12" t="str">
        <f>IF(AND(G12="P",OR(AND($AW12&gt;=$AU$23,NOT($AW12=""),$AS12=""),AND($CB12&gt;=$BZ$23,NOT($CB12=""),$BX12=""),AND($DG12&gt;=$DE$23,NOT($DG12=""),$DC12=""))),"Merit",IF(AND(G12="P",OR(AND($AW12&gt;=$AU$22,NOT($AW12=""),$AS12=""),AND($CB12&gt;=$BZ$22,NOT($CB12=""),$BX12=""),AND($DG12&gt;=$DE$22,NOT($DG12=""),$DC12=""))),"Funding",IF(AND(G12="P",OR(AND($AW12&gt;=$AU$21,NOT($AW12=""),$AS12=""),AND($CB12&gt;=$BZ$21,NOT($CB12=""),$BX12=""),AND($DG12&gt;=$DE$21,NOT($DG12=""),$DC12=""))),"Worlds Team",IF(AND(F12="P",OR(AND($AW12&gt;=$AU$20,NOT($AW12=""),$AS12=""),AND($CB12&gt;=$BZ$20,NOT($CB12=""),$BX12=""),AND($DG12&gt;=$DE$20,NOT($DG12=""),$DC12=""))),"National Team",""))))</f>
        <v/>
      </c>
      <c r="J12" s="16">
        <f>MAX(AW12,CB12,DG12)</f>
        <v>116.9</v>
      </c>
      <c r="K12" s="16" t="str">
        <f>IF(J12=DG12,$CE$1,IF(J12=CB12,$AZ$1,IF(J12=AW12,$U$1,"")))</f>
        <v>2017 3rd Domestic Trial</v>
      </c>
      <c r="L12" s="16">
        <f>IF($J12=$AW12,MAX(BZ12,DE12),IF($J12=$CB12,MAX(AU12,DE12),MAX(AU12,BZ12)))</f>
        <v>44.199999999999996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53.1</v>
      </c>
      <c r="O12" s="16" t="str">
        <f>IF(AND(N12=DF12,$K12&lt;&gt;$CE$1),$CE$1,IF(AND(N12=CA12,$K12&lt;&gt;$AZ$1),$AZ$1,IF(AND(N12=AV12,$K12&lt;&gt;$U$1),$U$1,"")))</f>
        <v>2018 Nationals</v>
      </c>
      <c r="P12" s="16">
        <f>MAX(AX12,CC12,DH12)</f>
        <v>22.299999999999997</v>
      </c>
      <c r="Q12" s="16" t="str">
        <f>IF(P12=DH12,$CE$1,IF(P12=CC12,$AZ$1,IF(P12=AX12,$U$1,"")))</f>
        <v>2017 3rd Domestic Trial</v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>
        <v>26.4</v>
      </c>
      <c r="V12" s="81">
        <v>5.2</v>
      </c>
      <c r="W12" s="81">
        <v>0.3</v>
      </c>
      <c r="X12" s="81">
        <v>0.3</v>
      </c>
      <c r="Y12" s="81">
        <v>26.3</v>
      </c>
      <c r="Z12" s="81">
        <v>5.2</v>
      </c>
      <c r="AA12" s="81">
        <v>0.3</v>
      </c>
      <c r="AB12" s="81">
        <v>0</v>
      </c>
      <c r="AC12" s="81">
        <v>26.5</v>
      </c>
      <c r="AD12" s="81">
        <v>6</v>
      </c>
      <c r="AE12" s="81">
        <v>0.9</v>
      </c>
      <c r="AF12" s="81">
        <v>0</v>
      </c>
      <c r="AG12" s="81">
        <v>19.7</v>
      </c>
      <c r="AH12" s="81">
        <v>2.8</v>
      </c>
      <c r="AI12" s="81">
        <v>0</v>
      </c>
      <c r="AJ12" s="81">
        <v>0</v>
      </c>
      <c r="AK12" s="81">
        <v>19.899999999999999</v>
      </c>
      <c r="AL12" s="81">
        <v>2.4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>IF(SUM(V12,Z12,AD12,AH12)&gt;0,SUM(V12,Z12,AD12,AH12),"")</f>
        <v>19.2</v>
      </c>
      <c r="AU12" s="13">
        <f>IF(SUM(U12:V12,X12:Z12,AB12)-SUM(W12,AA12)&gt;0,SUM(U12:V12,X12:Z12,AB12)-SUM(W12,AA12),"")</f>
        <v>62.800000000000004</v>
      </c>
      <c r="AV12" s="13">
        <f>IF(SUM(AC12:AD12,AF12:AH12,AJ12)-SUM(AE12,AI12)&gt;0,SUM(AC12:AD12,AF12:AH12,AJ12)-SUM(AE12,AI12),"")</f>
        <v>54.1</v>
      </c>
      <c r="AW12" s="13">
        <f>IF(SUM(U12:V12,X12:Z12,AB12:AD12,AF12:AH12,AJ12)-SUM(W12,AA12,AE12,AI12)&gt;0,SUM(U12:V12,X12:Z12,AB12:AD12,AF12:AH12,AJ12)-SUM(W12,AA12,AE12,AI12),"")</f>
        <v>116.9</v>
      </c>
      <c r="AX12" s="13">
        <f>IF(SUM(AK12:AL12,AN12:AP12,AR12)-SUM(AM12,AQ12)&gt;0,SUM(AK12:AL12,AN12:AP12,AR12)-SUM(AM12,AQ12),"")</f>
        <v>22.299999999999997</v>
      </c>
      <c r="AY12" s="13">
        <f>IF(SUM(AW12,AX12)&gt;0,SUM(AW12,AX12),"")</f>
        <v>139.19999999999999</v>
      </c>
      <c r="AZ12" s="88">
        <v>19.5</v>
      </c>
      <c r="BA12" s="88">
        <v>2.4</v>
      </c>
      <c r="BB12" s="88">
        <v>0</v>
      </c>
      <c r="BC12" s="88">
        <v>0</v>
      </c>
      <c r="BD12" s="88">
        <v>19.5</v>
      </c>
      <c r="BE12" s="88">
        <v>2.8</v>
      </c>
      <c r="BF12" s="88">
        <v>0</v>
      </c>
      <c r="BG12" s="88">
        <v>0</v>
      </c>
      <c r="BH12" s="88">
        <v>0</v>
      </c>
      <c r="BI12" s="88">
        <v>0</v>
      </c>
      <c r="BJ12" s="88">
        <v>0</v>
      </c>
      <c r="BK12" s="88">
        <v>0</v>
      </c>
      <c r="BL12" s="88">
        <v>19.5</v>
      </c>
      <c r="BM12" s="88">
        <v>2.8</v>
      </c>
      <c r="BN12" s="88">
        <v>0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>IF(SUM(BA12,BE12,BI12,BM12)&gt;0,SUM(BA12,BE12,BI12,BM12),"")</f>
        <v>7.9999999999999991</v>
      </c>
      <c r="BZ12" s="16">
        <f>IF(SUM(AZ12:BA12,BC12:BE12,BG12)-SUM(BB12,BF12)&gt;0,SUM(AZ12:BA12,BC12:BE12,BG12)-SUM(BB12,BF12),"")</f>
        <v>44.199999999999996</v>
      </c>
      <c r="CA12" s="16">
        <f>IF(SUM(BH12:BI12,BK12:BM12,BO12)-SUM(BJ12,BN12)&gt;0,SUM(BH12:BI12,BK12:BM12,BO12)-SUM(BJ12,BN12),"")</f>
        <v>22.3</v>
      </c>
      <c r="CB12" s="16">
        <f>IF(SUM(AZ12:BA12,BC12:BE12,BG12:BI12,BK12:BM12,BO12)-SUM(BB12,BF12,BJ12,BN12)&gt;0,SUM(AZ12:BA12,BC12:BE12,BG12:BI12,BK12:BM12,BO12)-SUM(BB12,BF12,BJ12,BN12),"")</f>
        <v>66.5</v>
      </c>
      <c r="CC12" s="16" t="str">
        <f>IF(SUM(BP12:BQ12,BS12:BU12,BW12)-SUM(BR12,BV12)&gt;0,SUM(BP12:BQ12,BS12:BU12,BW12)-SUM(BR12,BV12),"")</f>
        <v/>
      </c>
      <c r="CD12" s="16">
        <f>IF(SUM(CB12,CC12)&gt;0,SUM(CB12,CC12),"")</f>
        <v>66.5</v>
      </c>
      <c r="CE12" s="81">
        <v>19.7</v>
      </c>
      <c r="CF12" s="81">
        <v>2.8</v>
      </c>
      <c r="CG12" s="81">
        <v>0</v>
      </c>
      <c r="CH12" s="81">
        <v>0</v>
      </c>
      <c r="CI12" s="81">
        <v>0</v>
      </c>
      <c r="CJ12" s="81">
        <v>0</v>
      </c>
      <c r="CK12" s="81">
        <v>0</v>
      </c>
      <c r="CL12" s="81">
        <v>0</v>
      </c>
      <c r="CM12" s="81">
        <v>19.7</v>
      </c>
      <c r="CN12" s="81">
        <v>2</v>
      </c>
      <c r="CO12" s="81">
        <v>0</v>
      </c>
      <c r="CP12" s="81">
        <v>0</v>
      </c>
      <c r="CQ12" s="81">
        <v>27.5</v>
      </c>
      <c r="CR12" s="81">
        <v>4.8</v>
      </c>
      <c r="CS12" s="81">
        <v>0.9</v>
      </c>
      <c r="CT12" s="81">
        <v>0</v>
      </c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>IF(SUM(CF12,CJ12,CN12,CR12)&gt;0,SUM(CF12,CJ12,CN12,CR12),"")</f>
        <v>9.6</v>
      </c>
      <c r="DE12" s="13">
        <f>IF(SUM(CE12:CF12,CH12:CJ12,CL12)-SUM(CG12,CK12)&gt;0,SUM(CE12:CF12,CH12:CJ12,CL12)-SUM(CG12,CK12),"")</f>
        <v>22.5</v>
      </c>
      <c r="DF12" s="13">
        <f>IF(SUM(CM12:CN12,CP12:CR12,CT12)-SUM(CO12,CS12)&gt;0,SUM(CM12:CN12,CP12:CR12,CT12)-SUM(CO12,CS12),"")</f>
        <v>53.1</v>
      </c>
      <c r="DG12" s="13">
        <f>IF(SUM(CE12:CF12,CH12:CJ12,CL12:CN12,CP12:CR12,CT12)-SUM(CG12,CK12,CO12,CS12)&gt;0,SUM(CE12:CF12,CH12:CJ12,CL12:CN12,CP12:CR12,CT12)-SUM(CG12,CK12,CO12,CS12),"")</f>
        <v>75.599999999999994</v>
      </c>
      <c r="DH12" s="13" t="str">
        <f>IF(SUM(CU12:CV12,CX12:CZ12,DB12)-SUM(CW12,DA12)&gt;0,SUM(CU12:CV12,CX12:CZ12,DB12)-SUM(CW12,DA12),"")</f>
        <v/>
      </c>
      <c r="DI12" s="13">
        <f>IF(SUM(DG12,DH12)&gt;0,SUM(DG12,DH12),"")</f>
        <v>75.599999999999994</v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x14ac:dyDescent="0.2">
      <c r="A13" s="6" t="str">
        <f>IF(AND(F13="P",H13="P"),SUMPRODUCT((F$4:F$15="P")*(H$4:H$15="P")*(E$4:E$15&gt;E13))+1,IF(H13="P",SUMPRODUCT((F$4:F$15="")*(H$4:H$15="P")*(E$4:E$15&gt;E13))+1+SUMPRODUCT((F$4:F$15="P")*(H$4:H$15="P")),""))</f>
        <v/>
      </c>
      <c r="B13" s="9" t="s">
        <v>48</v>
      </c>
      <c r="C13" s="5" t="s">
        <v>12</v>
      </c>
      <c r="D13" s="33">
        <v>1995</v>
      </c>
      <c r="E13" s="17">
        <f>SUM(J13:R13)</f>
        <v>226.09999999999997</v>
      </c>
      <c r="F13" s="4" t="str">
        <f>IF(OR(AND($AT13&gt;=$AU$18,NOT($AT13=""),$AS13=""),AND($BY13&gt;=$BZ$18,NOT($BY13=""),$BX13=""),AND($DD13&gt;=$DE$18,NOT($DD13=""),$DC13="")),"P","")</f>
        <v/>
      </c>
      <c r="G13" s="4" t="str">
        <f>IF(OR(AND($AT13&gt;=$AU$19,NOT($AT13=""),$AS13=""),AND($BY13&gt;=$BZ$19,NOT($BY13=""),$BX13=""),AND($DD13&gt;=$DE$19,NOT($DD13=""),$DC13="")),"P","")</f>
        <v/>
      </c>
      <c r="H13" s="4" t="str">
        <f>IF(OR(AND($AW13&gt;=$AU$20,NOT($AW13=""),$AS13=""),AND($CB13&gt;=$BZ$20,NOT($CB13=""),$BX13=""),AND($DG13&gt;=$DE$20,NOT($DG13=""),$DC13="")),"P","")</f>
        <v/>
      </c>
      <c r="I13" t="str">
        <f>IF(AND(G13="P",OR(AND($AW13&gt;=$AU$23,NOT($AW13=""),$AS13=""),AND($CB13&gt;=$BZ$23,NOT($CB13=""),$BX13=""),AND($DG13&gt;=$DE$23,NOT($DG13=""),$DC13=""))),"Merit",IF(AND(G13="P",OR(AND($AW13&gt;=$AU$22,NOT($AW13=""),$AS13=""),AND($CB13&gt;=$BZ$22,NOT($CB13=""),$BX13=""),AND($DG13&gt;=$DE$22,NOT($DG13=""),$DC13=""))),"Funding",IF(AND(G13="P",OR(AND($AW13&gt;=$AU$21,NOT($AW13=""),$AS13=""),AND($CB13&gt;=$BZ$21,NOT($CB13=""),$BX13=""),AND($DG13&gt;=$DE$21,NOT($DG13=""),$DC13=""))),"Worlds Team",IF(AND(F13="P",OR(AND($AW13&gt;=$AU$20,NOT($AW13=""),$AS13=""),AND($CB13&gt;=$BZ$20,NOT($CB13=""),$BX13=""),AND($DG13&gt;=$DE$20,NOT($DG13=""),$DC13=""))),"National Team",""))))</f>
        <v/>
      </c>
      <c r="J13" s="16">
        <f>MAX(AW13,CB13,DG13)</f>
        <v>125.89999999999999</v>
      </c>
      <c r="K13" s="16" t="str">
        <f>IF(J13=DG13,$CE$1,IF(J13=CB13,$AZ$1,IF(J13=AW13,$U$1,"")))</f>
        <v>2017 3rd Domestic Trial</v>
      </c>
      <c r="L13" s="16">
        <f>IF($J13=$AW13,MAX(BZ13,DE13),IF($J13=$CB13,MAX(AU13,DE13),MAX(AU13,BZ13)))</f>
        <v>0</v>
      </c>
      <c r="M13" s="16" t="str">
        <f>IF(AND(L13=DE13,$K13&lt;&gt;$CE$1),$CE$1,IF(AND(L13=BZ13,$K13&lt;&gt;$AZ$1),$AZ$1,IF(AND(L13=AU13,$K13&lt;&gt;$U$1),$U$1,"")))</f>
        <v/>
      </c>
      <c r="N13" s="16">
        <f>IF($J13=$AW13,MAX(CA13,DF13),IF($J13=$CB13,MAX(AV13,DF13),MAX(AV13,CA13)))</f>
        <v>0</v>
      </c>
      <c r="O13" s="16" t="str">
        <f>IF(AND(N13=DF13,$K13&lt;&gt;$CE$1),$CE$1,IF(AND(N13=CA13,$K13&lt;&gt;$AZ$1),$AZ$1,IF(AND(N13=AV13,$K13&lt;&gt;$U$1),$U$1,"")))</f>
        <v/>
      </c>
      <c r="P13" s="16">
        <f>MAX(AX13,CC13,DH13)</f>
        <v>34.5</v>
      </c>
      <c r="Q13" s="16" t="str">
        <f>IF(P13=DH13,$CE$1,IF(P13=CC13,$AZ$1,IF(P13=AX13,$U$1,"")))</f>
        <v>2017 3rd Domestic Trial</v>
      </c>
      <c r="R13" s="16">
        <f>IF(MAX(DJ13:DL13)&gt;0,MAX(DJ13:DL13),"")</f>
        <v>65.699999999999989</v>
      </c>
      <c r="S13" s="31" t="str">
        <f>IF(R13="","",IF(R13=DJ13,"(Pass 1-2)",IF(R13=DK13,"(Pass 3-4)",IF(R13=DL13,"(Final)"))))</f>
        <v>(Pass 1-2)</v>
      </c>
      <c r="T13" s="16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>2017 World Championships (Nov)</v>
      </c>
      <c r="U13" s="81">
        <v>27.9</v>
      </c>
      <c r="V13" s="81">
        <v>6</v>
      </c>
      <c r="W13" s="81">
        <v>0.9</v>
      </c>
      <c r="X13" s="81">
        <v>0</v>
      </c>
      <c r="Y13" s="81">
        <v>27.6</v>
      </c>
      <c r="Z13" s="81">
        <v>4.8</v>
      </c>
      <c r="AA13" s="81">
        <v>0.3</v>
      </c>
      <c r="AB13" s="81">
        <v>0</v>
      </c>
      <c r="AC13" s="81">
        <v>22.7</v>
      </c>
      <c r="AD13" s="81">
        <v>3.2</v>
      </c>
      <c r="AE13" s="81">
        <v>0</v>
      </c>
      <c r="AF13" s="81">
        <v>0.5</v>
      </c>
      <c r="AG13" s="81">
        <v>28.3</v>
      </c>
      <c r="AH13" s="81">
        <v>5.6</v>
      </c>
      <c r="AI13" s="81">
        <v>0</v>
      </c>
      <c r="AJ13" s="81">
        <v>0.5</v>
      </c>
      <c r="AK13" s="81">
        <v>28</v>
      </c>
      <c r="AL13" s="81">
        <v>6</v>
      </c>
      <c r="AM13" s="81">
        <v>0</v>
      </c>
      <c r="AN13" s="81">
        <v>0.5</v>
      </c>
      <c r="AO13" s="81">
        <v>0</v>
      </c>
      <c r="AP13" s="81">
        <v>0</v>
      </c>
      <c r="AQ13" s="81">
        <v>0</v>
      </c>
      <c r="AR13" s="81">
        <v>0</v>
      </c>
      <c r="AS13" s="93"/>
      <c r="AT13" s="13">
        <f>IF(SUM(V13,Z13,AD13,AH13)&gt;0,SUM(V13,Z13,AD13,AH13),"")</f>
        <v>19.600000000000001</v>
      </c>
      <c r="AU13" s="13">
        <f>IF(SUM(U13:V13,X13:Z13,AB13)-SUM(W13,AA13)&gt;0,SUM(U13:V13,X13:Z13,AB13)-SUM(W13,AA13),"")</f>
        <v>65.099999999999994</v>
      </c>
      <c r="AV13" s="13">
        <f>IF(SUM(AC13:AD13,AF13:AH13,AJ13)-SUM(AE13,AI13)&gt;0,SUM(AC13:AD13,AF13:AH13,AJ13)-SUM(AE13,AI13),"")</f>
        <v>60.800000000000004</v>
      </c>
      <c r="AW13" s="13">
        <f>IF(SUM(U13:V13,X13:Z13,AB13:AD13,AF13:AH13,AJ13)-SUM(W13,AA13,AE13,AI13)&gt;0,SUM(U13:V13,X13:Z13,AB13:AD13,AF13:AH13,AJ13)-SUM(W13,AA13,AE13,AI13),"")</f>
        <v>125.89999999999999</v>
      </c>
      <c r="AX13" s="13">
        <f>IF(SUM(AK13:AL13,AN13:AP13,AR13)-SUM(AM13,AQ13)&gt;0,SUM(AK13:AL13,AN13:AP13,AR13)-SUM(AM13,AQ13),"")</f>
        <v>34.5</v>
      </c>
      <c r="AY13" s="13">
        <f>IF(SUM(AW13,AX13)&gt;0,SUM(AW13,AX13),"")</f>
        <v>160.39999999999998</v>
      </c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94"/>
      <c r="BY13" s="16" t="str">
        <f>IF(SUM(BA13,BE13,BI13,BM13)&gt;0,SUM(BA13,BE13,BI13,BM13),"")</f>
        <v/>
      </c>
      <c r="BZ13" s="16" t="str">
        <f>IF(SUM(AZ13:BA13,BC13:BE13,BG13)-SUM(BB13,BF13)&gt;0,SUM(AZ13:BA13,BC13:BE13,BG13)-SUM(BB13,BF13),"")</f>
        <v/>
      </c>
      <c r="CA13" s="16" t="str">
        <f>IF(SUM(BH13:BI13,BK13:BM13,BO13)-SUM(BJ13,BN13)&gt;0,SUM(BH13:BI13,BK13:BM13,BO13)-SUM(BJ13,BN13),"")</f>
        <v/>
      </c>
      <c r="CB13" s="16" t="str">
        <f>IF(SUM(AZ13:BA13,BC13:BE13,BG13:BI13,BK13:BM13,BO13)-SUM(BB13,BF13,BJ13,BN13)&gt;0,SUM(AZ13:BA13,BC13:BE13,BG13:BI13,BK13:BM13,BO13)-SUM(BB13,BF13,BJ13,BN13),"")</f>
        <v/>
      </c>
      <c r="CC13" s="16" t="str">
        <f>IF(SUM(BP13:BQ13,BS13:BU13,BW13)-SUM(BR13,BV13)&gt;0,SUM(BP13:BQ13,BS13:BU13,BW13)-SUM(BR13,BV13),"")</f>
        <v/>
      </c>
      <c r="CD13" s="16" t="str">
        <f>IF(SUM(CB13,CC13)&gt;0,SUM(CB13,CC13),"")</f>
        <v/>
      </c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  <c r="CY13" s="81"/>
      <c r="CZ13" s="81"/>
      <c r="DA13" s="81"/>
      <c r="DB13" s="81"/>
      <c r="DC13" s="93"/>
      <c r="DD13" s="13" t="str">
        <f>IF(SUM(CF13,CJ13,CN13,CR13)&gt;0,SUM(CF13,CJ13,CN13,CR13),"")</f>
        <v/>
      </c>
      <c r="DE13" s="13" t="str">
        <f>IF(SUM(CE13:CF13,CH13:CJ13,CL13)-SUM(CG13,CK13)&gt;0,SUM(CE13:CF13,CH13:CJ13,CL13)-SUM(CG13,CK13),"")</f>
        <v/>
      </c>
      <c r="DF13" s="13" t="str">
        <f>IF(SUM(CM13:CN13,CP13:CR13,CT13)-SUM(CO13,CS13)&gt;0,SUM(CM13:CN13,CP13:CR13,CT13)-SUM(CO13,CS13),"")</f>
        <v/>
      </c>
      <c r="DG13" s="13" t="str">
        <f>IF(SUM(CE13:CF13,CH13:CJ13,CL13:CN13,CP13:CR13,CT13)-SUM(CG13,CK13,CO13,CS13)&gt;0,SUM(CE13:CF13,CH13:CJ13,CL13:CN13,CP13:CR13,CT13)-SUM(CG13,CK13,CO13,CS13),"")</f>
        <v/>
      </c>
      <c r="DH13" s="13" t="str">
        <f>IF(SUM(CU13:CV13,CX13:CZ13,DB13)-SUM(CW13,DA13)&gt;0,SUM(CU13:CV13,CX13:CZ13,DB13)-SUM(CW13,DA13),"")</f>
        <v/>
      </c>
      <c r="DI13" s="13" t="str">
        <f>IF(SUM(DG13,DH13)&gt;0,SUM(DG13,DH13),"")</f>
        <v/>
      </c>
      <c r="DJ13" s="30">
        <f>IF(MAX(EL13,FP13,GT13,HX13,JB13,KF13,LJ13,MN13,NR13,OV13,PZ13,RD13)-L13&gt;0.001,MAX(EL13,FP13,GT13,HX13,JB13,KF13,LJ13,MN13,NR13,OV13,PZ13,RD13)-L13,"")</f>
        <v>65.699999999999989</v>
      </c>
      <c r="DK13" s="30" t="str">
        <f>IF(MAX(EM13,FQ13,GU13,HY13,JC13,KG13,LK13,MO13,NS13,OW13,QA13,RE13)-N13&gt;0.001,MAX(EM13,FQ13,GU13,HY13,JC13,KG13,LK13,MO13,NS13,OW13,QA13,RE13)-N13,"")</f>
        <v/>
      </c>
      <c r="DL13" s="30" t="str">
        <f>IF(MAX(EO13,FS13,GW13,IA13,JE13,KI13,LM13,MQ13,OY13,QC13,RG13)-P13&gt;0.001,MAX(EO13,FS13,GW13,IA13,JE13,KI13,LM13,MQ13,OY13,QC13,RG13)-P13,"")</f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>IF(SUM(DN13,DR13,DV13,DZ13)&gt;0,SUM(DN13,DR13,DV13,DZ13),"")</f>
        <v/>
      </c>
      <c r="EL13" s="13" t="str">
        <f>IF(SUM(DM13:DN13,DP13:DR13,DT13)-SUM(DO13,DS13)&gt;0,SUM(DM13:DN13,DP13:DR13,DT13)-SUM(DO13,DS13),"")</f>
        <v/>
      </c>
      <c r="EM13" s="13" t="str">
        <f>IF(SUM(DU13:DV13,DX13:DZ13,EB13)-SUM(DW13,EA13)&gt;0,SUM(DU13:DV13,DX13:DZ13,EB13)-SUM(DW13,EA13),"")</f>
        <v/>
      </c>
      <c r="EN13" s="13" t="str">
        <f>IF(SUM(DM13:DN13,DP13:DR13,DT13:DV13,DX13:DZ13,EB13)-SUM(DO13,DS13,DW13,EA13)&gt;0,SUM(DM13:DN13,DP13:DR13,DT13:DV13,DX13:DZ13,EB13)-SUM(DO13,DS13,DW13,EA13),"")</f>
        <v/>
      </c>
      <c r="EO13" s="13" t="str">
        <f>IF(SUM(EC13:ED13,EF13:EH13,EJ13)-SUM(EE13,EI13)&gt;0,SUM(EC13:ED13,EF13:EH13,EJ13)-SUM(EE13,EI13),"")</f>
        <v/>
      </c>
      <c r="EP13" s="13" t="str">
        <f>IF(SUM(EN13,EO13)&gt;0,SUM(EN13,EO13),"")</f>
        <v/>
      </c>
      <c r="EQ13" s="53">
        <v>27.3</v>
      </c>
      <c r="ER13" s="53">
        <v>6</v>
      </c>
      <c r="ES13" s="53">
        <v>1.2</v>
      </c>
      <c r="ET13" s="53">
        <v>0</v>
      </c>
      <c r="EU13" s="53">
        <v>27.9</v>
      </c>
      <c r="EV13" s="53">
        <v>6</v>
      </c>
      <c r="EW13" s="53">
        <v>0.3</v>
      </c>
      <c r="EX13" s="53">
        <v>0</v>
      </c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>
        <f>IF(SUM(ER13,EV13,EZ13,FD13)&gt;0,SUM(ER13,EV13,EZ13,FD13),"")</f>
        <v>12</v>
      </c>
      <c r="FP13" s="16">
        <f>IF(SUM(EQ13:ER13,ET13:EV13,EX13)-SUM(ES13,EW13)&gt;0,SUM(EQ13:ER13,ET13:EV13,EX13)-SUM(ES13,EW13),"")</f>
        <v>65.699999999999989</v>
      </c>
      <c r="FQ13" s="16" t="str">
        <f>IF(SUM(EY13:EZ13,FB13:FD13,FF13)-SUM(FA13,FE13)&gt;0,SUM(EY13:EZ13,FB13:FD13,FF13)-SUM(FA13,FE13),"")</f>
        <v/>
      </c>
      <c r="FR13" s="16">
        <f>IF(SUM(EQ13:ER13,ET13:EV13,EX13:EZ13,FB13:FD13,FF13)-SUM(ES13,EW13,FA13,FE13)&gt;0,SUM(EQ13:ER13,ET13:EV13,EX13:EZ13,FB13:FD13,FF13)-SUM(ES13,EW13,FA13,FE13),"")</f>
        <v>65.699999999999989</v>
      </c>
      <c r="FS13" s="16" t="str">
        <f>IF(SUM(FG13:FH13,FJ13:FL13,FN13)-SUM(FI13,FM13)&gt;0,SUM(FG13:FH13,FJ13:FL13,FN13)-SUM(FI13,FM13),"")</f>
        <v/>
      </c>
      <c r="FT13" s="16">
        <f>IF(SUM(FR13,FS13)&gt;0,SUM(FR13,FS13),"")</f>
        <v>65.699999999999989</v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>
        <v>31.6</v>
      </c>
      <c r="GL13" s="54"/>
      <c r="GM13" s="54"/>
      <c r="GN13" s="54"/>
      <c r="GO13" s="54"/>
      <c r="GP13" s="54"/>
      <c r="GQ13" s="54"/>
      <c r="GR13" s="54"/>
      <c r="GS13" s="13" t="str">
        <f>IF(SUM(FV13,FZ13,GD13,GH13)&gt;0,SUM(FV13,FZ13,GD13,GH13),"")</f>
        <v/>
      </c>
      <c r="GT13" s="13" t="str">
        <f>IF(SUM(FU13:FV13,FX13:FZ13,GB13)-SUM(FW13,GA13)&gt;0,SUM(FU13:FV13,FX13:FZ13,GB13)-SUM(FW13,GA13),"")</f>
        <v/>
      </c>
      <c r="GU13" s="13" t="str">
        <f>IF(SUM(GC13:GD13,GF13:GH13,GJ13)-SUM(GE13,GI13)&gt;0,SUM(GC13:GD13,GF13:GH13,GJ13)-SUM(GE13,GI13),"")</f>
        <v/>
      </c>
      <c r="GV13" s="13" t="str">
        <f>IF(SUM(FU13:FV13,FX13:FZ13,GB13:GD13,GF13:GH13,GJ13)-SUM(FW13,GA13,GE13,GI13)&gt;0,SUM(FU13:FV13,FX13:FZ13,GB13:GD13,GF13:GH13,GJ13)-SUM(FW13,GA13,GE13,GI13),"")</f>
        <v/>
      </c>
      <c r="GW13" s="13">
        <f>IF(SUM(GK13:GL13,GN13:GP13,GR13)-SUM(GM13,GQ13)&gt;0,SUM(GK13:GL13,GN13:GP13,GR13)-SUM(GM13,GQ13),"")</f>
        <v>31.6</v>
      </c>
      <c r="GX13" s="13">
        <f>IF(SUM(GV13,GW13)&gt;0,SUM(GV13,GW13),"")</f>
        <v>31.6</v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>IF(SUM(GZ13,HD13,HH13,HL13)&gt;0,SUM(GZ13,HD13,HH13,HL13),"")</f>
        <v/>
      </c>
      <c r="HX13" s="16" t="str">
        <f>IF(SUM(GY13:GZ13,HB13:HD13,HF13)-SUM(HA13,HE13)&gt;0,SUM(GY13:GZ13,HB13:HD13,HF13)-SUM(HA13,HE13),"")</f>
        <v/>
      </c>
      <c r="HY13" s="16" t="str">
        <f>IF(SUM(HG13:HH13,HJ13:HL13,HN13)-SUM(HI13,HM13)&gt;0,SUM(HG13:HH13,HJ13:HL13,HN13)-SUM(HI13,HM13),"")</f>
        <v/>
      </c>
      <c r="HZ13" s="16" t="str">
        <f>IF(SUM(GY13:GZ13,HB13:HD13,HF13:HH13,HJ13:HL13,HN13)-SUM(HA13,HE13,HI13,HM13)&gt;0,SUM(GY13:GZ13,HB13:HD13,HF13:HH13,HJ13:HL13,HN13)-SUM(HA13,HE13,HI13,HM13),"")</f>
        <v/>
      </c>
      <c r="IA13" s="16" t="str">
        <f>IF(SUM(HO13:HP13,HR13:HT13,HV13)-SUM(HQ13,HU13)&gt;0,SUM(HO13:HP13,HR13:HT13,HV13)-SUM(HQ13,HU13),"")</f>
        <v/>
      </c>
      <c r="IB13" s="16" t="str">
        <f>IF(SUM(HZ13,IA13)&gt;0,SUM(HZ13,IA13),"")</f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>IF(SUM(ID13,IH13,IL13,IP13)&gt;0,SUM(ID13,IH13,IL13,IP13),"")</f>
        <v/>
      </c>
      <c r="JB13" s="13" t="str">
        <f>IF(SUM(IC13:ID13,IF13:IH13,IJ13)-SUM(IE13,II13)&gt;0,SUM(IC13:ID13,IF13:IH13,IJ13)-SUM(IE13,II13),"")</f>
        <v/>
      </c>
      <c r="JC13" s="13" t="str">
        <f>IF(SUM(IK13:IL13,IN13:IP13,IR13)-SUM(IM13,IQ13)&gt;0,SUM(IK13:IL13,IN13:IP13,IR13)-SUM(IM13,IQ13),"")</f>
        <v/>
      </c>
      <c r="JD13" s="13" t="str">
        <f>IF(SUM(IC13:ID13,IF13:IH13,IJ13:IL13,IN13:IP13,IR13)-SUM(IE13,II13,IM13,IQ13)&gt;0,SUM(IC13:ID13,IF13:IH13,IJ13:IL13,IN13:IP13,IR13)-SUM(IE13,II13,IM13,IQ13),"")</f>
        <v/>
      </c>
      <c r="JE13" s="13" t="str">
        <f>IF(SUM(IS13:IT13,IV13:IX13,IZ13)-SUM(IU13,IY13)&gt;0,SUM(IS13:IT13,IV13:IX13,IZ13)-SUM(IU13,IY13),"")</f>
        <v/>
      </c>
      <c r="JF13" s="13" t="str">
        <f>IF(SUM(JD13,JE13)&gt;0,SUM(JD13,JE13),"")</f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>IF(SUM(JH13,JL13,JP13,JT13)&gt;0,SUM(JH13,JL13,JP13,JT13),"")</f>
        <v/>
      </c>
      <c r="KF13" s="16" t="str">
        <f>IF(SUM(JG13:JH13,JJ13:JL13,JN13)-SUM(JI13,JM13)&gt;0,SUM(JG13:JH13,JJ13:JL13,JN13)-SUM(JI13,JM13),"")</f>
        <v/>
      </c>
      <c r="KG13" s="16" t="str">
        <f>IF(SUM(JO13:JP13,JR13:JT13,JV13)-SUM(JQ13,JU13)&gt;0,SUM(JO13:JP13,JR13:JT13,JV13)-SUM(JQ13,JU13),"")</f>
        <v/>
      </c>
      <c r="KH13" s="16" t="str">
        <f>IF(SUM(JG13:JH13,JJ13:JL13,JN13:JP13,JR13:JT13,JV13)-SUM(JI13,JM13,JQ13,JU13)&gt;0,SUM(JG13:JH13,JJ13:JL13,JN13:JP13,JR13:JT13,JV13)-SUM(JI13,JM13,JQ13,JU13),"")</f>
        <v/>
      </c>
      <c r="KI13" s="16" t="str">
        <f>IF(SUM(JW13:JX13,JZ13:KB13,KD13)-SUM(JY13,KC13)&gt;0,SUM(JW13:JX13,JZ13:KB13,KD13)-SUM(JY13,KC13),"")</f>
        <v/>
      </c>
      <c r="KJ13" s="16" t="str">
        <f>IF(SUM(KH13,KI13)&gt;0,SUM(KH13,KI13),"")</f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>IF(SUM(KL13,KP13,KT13,KX13)&gt;0,SUM(KL13,KP13,KT13,KX13),"")</f>
        <v/>
      </c>
      <c r="LJ13" s="13" t="str">
        <f>IF(SUM(KK13:KL13,KN13:KP13,KR13)-SUM(KM13,KQ13)&gt;0,SUM(KK13:KL13,KN13:KP13,KR13)-SUM(KM13,KQ13),"")</f>
        <v/>
      </c>
      <c r="LK13" s="13" t="str">
        <f>IF(SUM(KS13:KT13,KV13:KX13,KZ13)-SUM(KU13,KY13)&gt;0,SUM(KS13:KT13,KV13:KX13,KZ13)-SUM(KU13,KY13),"")</f>
        <v/>
      </c>
      <c r="LL13" s="13" t="str">
        <f>IF(SUM(KK13:KL13,KN13:KP13,KR13:KT13,KV13:KX13,KZ13)-SUM(KM13,KQ13,KU13,KY13)&gt;0,SUM(KK13:KL13,KN13:KP13,KR13:KT13,KV13:KX13,KZ13)-SUM(KM13,KQ13,KU13,KY13),"")</f>
        <v/>
      </c>
      <c r="LM13" s="13" t="str">
        <f>IF(SUM(LA13:LB13,LD13:LF13,LH13)-SUM(LC13,LG13)&gt;0,SUM(LA13:LB13,LD13:LF13,LH13)-SUM(LC13,LG13),"")</f>
        <v/>
      </c>
      <c r="LN13" s="13" t="str">
        <f>IF(SUM(LL13,LM13)&gt;0,SUM(LL13,LM13),"")</f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>IF(SUM(LP13,LT13,LX13,MB13)&gt;0,SUM(LP13,LT13,LX13,MB13),"")</f>
        <v/>
      </c>
      <c r="MN13" s="16" t="str">
        <f>IF(SUM(LO13:LP13,LR13:LT13,LV13)-SUM(LQ13,LU13)&gt;0,SUM(LO13:LP13,LR13:LT13,LV13)-SUM(LQ13,LU13),"")</f>
        <v/>
      </c>
      <c r="MO13" s="16" t="str">
        <f>IF(SUM(LW13:LX13,LZ13:MB13,MD13)-SUM(LY13,MC13)&gt;0,SUM(LW13:LX13,LZ13:MB13,MD13)-SUM(LY13,MC13),"")</f>
        <v/>
      </c>
      <c r="MP13" s="16" t="str">
        <f>IF(SUM(LO13:LP13,LR13:LT13,LV13:LX13,LZ13:MB13,MD13)-SUM(LQ13,LU13,LY13,MC13)&gt;0,SUM(LO13:LP13,LR13:LT13,LV13:LX13,LZ13:MB13,MD13)-SUM(LQ13,LU13,LY13,MC13),"")</f>
        <v/>
      </c>
      <c r="MQ13" s="16" t="str">
        <f>IF(SUM(ME13:MF13,MH13:MJ13,ML13)-SUM(MG13,MK13)&gt;0,SUM(ME13:MF13,MH13:MJ13,ML13)-SUM(MG13,MK13),"")</f>
        <v/>
      </c>
      <c r="MR13" s="16" t="str">
        <f>IF(SUM(MP13,MQ13)&gt;0,SUM(MP13,MQ13),"")</f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>IF(SUM(MT13,MX13,NB13,NF13)&gt;0,SUM(MT13,MX13,NB13,NF13),"")</f>
        <v/>
      </c>
      <c r="NR13" s="13" t="str">
        <f>IF(SUM(MS13:MT13,MV13:MX13,MZ13)-SUM(MU13,MY13)&gt;0,SUM(MS13:MT13,MV13:MX13,MZ13)-SUM(MU13,MY13),"")</f>
        <v/>
      </c>
      <c r="NS13" s="13" t="str">
        <f>IF(SUM(NA13:NB13,ND13:NF13,NH13)-SUM(NC13,NG13)&gt;0,SUM(NA13:NB13,ND13:NF13,NH13)-SUM(NC13,NG13),"")</f>
        <v/>
      </c>
      <c r="NT13" s="13" t="str">
        <f>IF(SUM(MS13:MT13,MV13:MX13,MZ13:NB13,ND13:NF13,NH13)-SUM(MU13,MY13,NC13,NG13)&gt;0,SUM(MS13:MT13,MV13:MX13,MZ13:NB13,ND13:NF13,NH13)-SUM(MU13,MY13,NC13,NG13),"")</f>
        <v/>
      </c>
      <c r="NU13" s="13" t="str">
        <f>IF(SUM(NI13:NJ13,NL13:NN13,NP13)-SUM(NK13,NO13)&gt;0,SUM(NI13:NJ13,NL13:NN13,NP13)-SUM(NK13,NO13),"")</f>
        <v/>
      </c>
      <c r="NV13" s="13" t="str">
        <f>IF(SUM(NT13,NU13)&gt;0,SUM(NT13,NU13),"")</f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>IF(SUM(NX13,OB13,OF13,OJ13)&gt;0,SUM(NX13,OB13,OF13,OJ13),"")</f>
        <v/>
      </c>
      <c r="OV13" s="16" t="str">
        <f>IF(SUM(NW13:NX13,NZ13:OB13,OD13)-SUM(NY13,OC13)&gt;0,SUM(NW13:NX13,NZ13:OB13,OD13)-SUM(NY13,OC13),"")</f>
        <v/>
      </c>
      <c r="OW13" s="16" t="str">
        <f>IF(SUM(OE13:OF13,OH13:OJ13,OL13)-SUM(OG13,OK13)&gt;0,SUM(OE13:OF13,OH13:OJ13,OL13)-SUM(OG13,OK13),"")</f>
        <v/>
      </c>
      <c r="OX13" s="16" t="str">
        <f>IF(SUM(NW13:NX13,NZ13:OB13,OD13:OF13,OH13:OJ13,OL13)-SUM(NY13,OC13,OG13,OK13)&gt;0,SUM(NW13:NX13,NZ13:OB13,OD13:OF13,OH13:OJ13,OL13)-SUM(NY13,OC13,OG13,OK13),"")</f>
        <v/>
      </c>
      <c r="OY13" s="16" t="str">
        <f>IF(SUM(OM13:ON13,OP13:OR13,OT13)-SUM(OO13,OS13)&gt;0,SUM(OM13:ON13,OP13:OR13,OT13)-SUM(OO13,OS13),"")</f>
        <v/>
      </c>
      <c r="OZ13" s="16" t="str">
        <f>IF(SUM(OX13,OY13)&gt;0,SUM(OX13,OY13),"")</f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>IF(SUM(PB13,PF13,PJ13,PN13)&gt;0,SUM(PB13,PF13,PJ13,PN13),"")</f>
        <v/>
      </c>
      <c r="PZ13" s="13" t="str">
        <f>IF(SUM(PA13:PB13,PD13:PF13,PH13)-SUM(PC13,PG13)&gt;0,SUM(PA13:PB13,PD13:PF13,PH13)-SUM(PC13,PG13),"")</f>
        <v/>
      </c>
      <c r="QA13" s="13" t="str">
        <f>IF(SUM(PI13:PJ13,PL13:PN13,PP13)-SUM(PK13,PO13)&gt;0,SUM(PI13:PJ13,PL13:PN13,PP13)-SUM(PK13,PO13),"")</f>
        <v/>
      </c>
      <c r="QB13" s="13" t="str">
        <f>IF(SUM(PA13:PB13,PD13:PF13,PH13:PJ13,PL13:PN13,PP13)-SUM(PC13,PG13,PK13,PO13)&gt;0,SUM(PA13:PB13,PD13:PF13,PH13:PJ13,PL13:PN13,PP13)-SUM(PC13,PG13,PK13,PO13),"")</f>
        <v/>
      </c>
      <c r="QC13" s="13" t="str">
        <f>IF(SUM(PQ13:PR13,PT13:PV13,PX13)-SUM(PS13,PW13)&gt;0,SUM(PQ13:PR13,PT13:PV13,PX13)-SUM(PS13,PW13),"")</f>
        <v/>
      </c>
      <c r="QD13" s="13" t="str">
        <f>IF(SUM(QB13,QC13)&gt;0,SUM(QB13,QC13),"")</f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>IF(SUM(QF13,QJ13,QN13,QR13)&gt;0,SUM(QF13,QJ13,QN13,QR13),"")</f>
        <v/>
      </c>
      <c r="RD13" s="16" t="str">
        <f>IF(SUM(QE13:QF13,QH13:QJ13,QL13)-SUM(QG13,QK13)&gt;0,SUM(QE13:QF13,QH13:QJ13,QL13)-SUM(QG13,QK13),"")</f>
        <v/>
      </c>
      <c r="RE13" s="16" t="str">
        <f>IF(SUM(QM13:QN13,QP13:QR13,QT13)-SUM(QO13,QS13)&gt;0,SUM(QM13:QN13,QP13:QR13,QT13)-SUM(QO13,QS13),"")</f>
        <v/>
      </c>
      <c r="RF13" s="16" t="str">
        <f>IF(SUM(QE13:QF13,QH13:QJ13,QL13:QN13,QP13:QR13,QT13)-SUM(QG13,QK13,QO13,QS13)&gt;0,SUM(QE13:QF13,QH13:QJ13,QL13:QN13,QP13:QR13,QT13)-SUM(QG13,QK13,QO13,QS13),"")</f>
        <v/>
      </c>
      <c r="RG13" s="16" t="str">
        <f>IF(SUM(QU13:QV13,QX13:QZ13,RB13)-SUM(QW13,RA13)&gt;0,SUM(QU13:QV13,QX13:QZ13,RB13)-SUM(QW13,RA13),"")</f>
        <v/>
      </c>
      <c r="RH13" s="16" t="str">
        <f>IF(SUM(RF13,RG13)&gt;0,SUM(RF13,RG13),"")</f>
        <v/>
      </c>
    </row>
    <row r="14" spans="1:476" x14ac:dyDescent="0.2">
      <c r="A14" s="6" t="str">
        <f>IF(AND(F14="P",H14="P"),SUMPRODUCT((F$4:F$15="P")*(H$4:H$15="P")*(E$4:E$15&gt;E14))+1,IF(H14="P",SUMPRODUCT((F$4:F$15="")*(H$4:H$15="P")*(E$4:E$15&gt;E14))+1+SUMPRODUCT((F$4:F$15="P")*(H$4:H$15="P")),""))</f>
        <v/>
      </c>
      <c r="B14" s="9" t="s">
        <v>66</v>
      </c>
      <c r="C14" s="5" t="s">
        <v>5</v>
      </c>
      <c r="D14" s="33">
        <v>1996</v>
      </c>
      <c r="E14" s="17">
        <f>SUM(J14:R14)</f>
        <v>121.6</v>
      </c>
      <c r="F14" s="4" t="str">
        <f>IF(OR(AND($AT14&gt;=$AU$18,NOT($AT14=""),$AS14=""),AND($BY14&gt;=$BZ$18,NOT($BY14=""),$BX14=""),AND($DD14&gt;=$DE$18,NOT($DD14=""),$DC14="")),"P","")</f>
        <v/>
      </c>
      <c r="G14" s="4" t="str">
        <f>IF(OR(AND($AT14&gt;=$AU$19,NOT($AT14=""),$AS14=""),AND($BY14&gt;=$BZ$19,NOT($BY14=""),$BX14=""),AND($DD14&gt;=$DE$19,NOT($DD14=""),$DC14="")),"P","")</f>
        <v/>
      </c>
      <c r="H14" s="4" t="str">
        <f>IF(OR(AND($AW14&gt;=$AU$20,NOT($AW14=""),$AS14=""),AND($CB14&gt;=$BZ$20,NOT($CB14=""),$BX14=""),AND($DG14&gt;=$DE$20,NOT($DG14=""),$DC14="")),"P","")</f>
        <v/>
      </c>
      <c r="I14" t="str">
        <f>IF(AND(G14="P",OR(AND($AW14&gt;=$AU$23,NOT($AW14=""),$AS14=""),AND($CB14&gt;=$BZ$23,NOT($CB14=""),$BX14=""),AND($DG14&gt;=$DE$23,NOT($DG14=""),$DC14=""))),"Merit",IF(AND(G14="P",OR(AND($AW14&gt;=$AU$22,NOT($AW14=""),$AS14=""),AND($CB14&gt;=$BZ$22,NOT($CB14=""),$BX14=""),AND($DG14&gt;=$DE$22,NOT($DG14=""),$DC14=""))),"Funding",IF(AND(G14="P",OR(AND($AW14&gt;=$AU$21,NOT($AW14=""),$AS14=""),AND($CB14&gt;=$BZ$21,NOT($CB14=""),$BX14=""),AND($DG14&gt;=$DE$21,NOT($DG14=""),$DC14=""))),"Worlds Team",IF(AND(F14="P",OR(AND($AW14&gt;=$AU$20,NOT($AW14=""),$AS14=""),AND($CB14&gt;=$BZ$20,NOT($CB14=""),$BX14=""),AND($DG14&gt;=$DE$20,NOT($DG14=""),$DC14=""))),"National Team",""))))</f>
        <v/>
      </c>
      <c r="J14" s="16">
        <f>MAX(AW14,CB14,DG14)</f>
        <v>107.875</v>
      </c>
      <c r="K14" s="16" t="str">
        <f>IF(J14=DG14,$CE$1,IF(J14=CB14,$AZ$1,IF(J14=AW14,$U$1,"")))</f>
        <v>2017 3rd Domestic Trial</v>
      </c>
      <c r="L14" s="16">
        <f>IF($J14=$AW14,MAX(BZ14,DE14),IF($J14=$CB14,MAX(AU14,DE14),MAX(AU14,BZ14)))</f>
        <v>0</v>
      </c>
      <c r="M14" s="16" t="str">
        <f>IF(AND(L14=DE14,$K14&lt;&gt;$CE$1),$CE$1,IF(AND(L14=BZ14,$K14&lt;&gt;$AZ$1),$AZ$1,IF(AND(L14=AU14,$K14&lt;&gt;$U$1),$U$1,"")))</f>
        <v/>
      </c>
      <c r="N14" s="16">
        <f>IF($J14=$AW14,MAX(CA14,DF14),IF($J14=$CB14,MAX(AV14,DF14),MAX(AV14,CA14)))</f>
        <v>0</v>
      </c>
      <c r="O14" s="16" t="str">
        <f>IF(AND(N14=DF14,$K14&lt;&gt;$CE$1),$CE$1,IF(AND(N14=CA14,$K14&lt;&gt;$AZ$1),$AZ$1,IF(AND(N14=AV14,$K14&lt;&gt;$U$1),$U$1,"")))</f>
        <v/>
      </c>
      <c r="P14" s="16">
        <f>MAX(AX14,CC14,DH14)</f>
        <v>13.725</v>
      </c>
      <c r="Q14" s="16" t="str">
        <f>IF(P14=DH14,$CE$1,IF(P14=CC14,$AZ$1,IF(P14=AX14,$U$1,"")))</f>
        <v>2017 3rd Domestic Trial</v>
      </c>
      <c r="R14" s="16" t="str">
        <f>IF(MAX(DJ14:DL14)&gt;0,MAX(DJ14:DL14),"")</f>
        <v/>
      </c>
      <c r="S14" s="31" t="str">
        <f>IF(R14="","",IF(R14=DJ14,"(Pass 1-2)",IF(R14=DK14,"(Pass 3-4)",IF(R14=DL14,"(Final)"))))</f>
        <v/>
      </c>
      <c r="T14" s="16" t="str">
        <f>IF(R14="","",IF(R14=DJ14,IF(R14+L14=RD14,$QE$1,IF(R14+L14=PZ14,$PA$1,IF(R14+L14=OV14,$NW$1,IF(R14+L14=NR14,$MS$1,IF(R14+L14=MN14,$LO$1,IF(R14+L14=LJ14,$KK$1,IF(R14+L14=KF14,$JG$1,IF(R14+L14=JB14,$IC$1,IF(R14+L14=HX14,$GY$1,IF(R14+L14=GT14,$FU$1,IF(R14+L14=FP14,$EQ$1,IF(R14+L14=EL14,$DM$1)))))))))))),IF(R14=DK14,IF(R14+N14=RE14,$QE$1,IF(R14+N14=QA14,$PA$1,IF(R14+N14=OW14,$NW$1,IF(R14+N14=NS14,$MS$1,IF(R14+N14=MO14,$LO$1,IF(R14+N14=LK14,$KK$1,IF(R14+N14=KG14,$JG$1,IF(R14+N14=JC14,$IC$1,IF(R14+N14=HY14,$GY$1,IF(R14+N14=GU14,$FU$1,IF(R14+N14=FQ14,$EQ$1,IF(R14+N14=EM14,$DM$1)))))))))))),IF(R14=DL14,IF(R14+P14=RG14,$QE$1,IF(R14+P14=QC14,$PA$1,IF(R14+P14=OY14,$NW$1,IF(R14+P14=NU14,$MS$1,IF(R14+P14=MQ14,$LO$1,IF(R14+P14=LM14,$KK$1,IF(R14+P14=KI14,$JG$1,IF(R14+P14=JE14,$IC$1,IF(R14+P14=IA14,$GY$1,IF(R14+P14=GW14,$FU$1,IF(R14+P14=FS14,$EQ$1,IF(R14+P14=EO14,$DM$1))))))))))))))))</f>
        <v/>
      </c>
      <c r="U14" s="55">
        <v>34.174999999999997</v>
      </c>
      <c r="V14" s="55">
        <v>0</v>
      </c>
      <c r="W14" s="55">
        <v>0</v>
      </c>
      <c r="X14" s="55">
        <v>0</v>
      </c>
      <c r="Y14" s="55">
        <v>34.174999999999997</v>
      </c>
      <c r="Z14" s="55">
        <v>0</v>
      </c>
      <c r="AA14" s="55">
        <v>0</v>
      </c>
      <c r="AB14" s="55">
        <v>0</v>
      </c>
      <c r="AC14" s="55">
        <v>19.762499999999999</v>
      </c>
      <c r="AD14" s="55">
        <v>0</v>
      </c>
      <c r="AE14" s="55">
        <v>0</v>
      </c>
      <c r="AF14" s="55">
        <v>0</v>
      </c>
      <c r="AG14" s="55">
        <v>19.762499999999999</v>
      </c>
      <c r="AH14" s="55">
        <v>0</v>
      </c>
      <c r="AI14" s="55">
        <v>0</v>
      </c>
      <c r="AJ14" s="55">
        <v>0</v>
      </c>
      <c r="AK14" s="55">
        <v>6.8624999999999998</v>
      </c>
      <c r="AL14" s="55">
        <v>0</v>
      </c>
      <c r="AM14" s="55">
        <v>0</v>
      </c>
      <c r="AN14" s="55">
        <v>0</v>
      </c>
      <c r="AO14" s="55">
        <v>6.8624999999999998</v>
      </c>
      <c r="AP14" s="55">
        <v>0</v>
      </c>
      <c r="AQ14" s="55">
        <v>0</v>
      </c>
      <c r="AR14" s="55">
        <v>0</v>
      </c>
      <c r="AS14" s="93" t="s">
        <v>159</v>
      </c>
      <c r="AT14" s="13" t="str">
        <f>IF(SUM(V14,Z14,AD14,AH14)&gt;0,SUM(V14,Z14,AD14,AH14),"")</f>
        <v/>
      </c>
      <c r="AU14" s="13">
        <f>IF(SUM(U14:V14,X14:Z14,AB14)-SUM(W14,AA14)&gt;0,SUM(U14:V14,X14:Z14,AB14)-SUM(W14,AA14),"")</f>
        <v>68.349999999999994</v>
      </c>
      <c r="AV14" s="13">
        <f>IF(SUM(AC14:AD14,AF14:AH14,AJ14)-SUM(AE14,AI14)&gt;0,SUM(AC14:AD14,AF14:AH14,AJ14)-SUM(AE14,AI14),"")</f>
        <v>39.524999999999999</v>
      </c>
      <c r="AW14" s="13">
        <f>IF(SUM(U14:V14,X14:Z14,AB14:AD14,AF14:AH14,AJ14)-SUM(W14,AA14,AE14,AI14)&gt;0,SUM(U14:V14,X14:Z14,AB14:AD14,AF14:AH14,AJ14)-SUM(W14,AA14,AE14,AI14),"")</f>
        <v>107.875</v>
      </c>
      <c r="AX14" s="13">
        <f>IF(SUM(AK14:AL14,AN14:AP14,AR14)-SUM(AM14,AQ14)&gt;0,SUM(AK14:AL14,AN14:AP14,AR14)-SUM(AM14,AQ14),"")</f>
        <v>13.725</v>
      </c>
      <c r="AY14" s="13">
        <f>IF(SUM(AW14,AX14)&gt;0,SUM(AW14,AX14),"")</f>
        <v>121.6</v>
      </c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94"/>
      <c r="BY14" s="16" t="str">
        <f>IF(SUM(BA14,BE14,BI14,BM14)&gt;0,SUM(BA14,BE14,BI14,BM14),"")</f>
        <v/>
      </c>
      <c r="BZ14" s="16" t="str">
        <f>IF(SUM(AZ14:BA14,BC14:BE14,BG14)-SUM(BB14,BF14)&gt;0,SUM(AZ14:BA14,BC14:BE14,BG14)-SUM(BB14,BF14),"")</f>
        <v/>
      </c>
      <c r="CA14" s="16" t="str">
        <f>IF(SUM(BH14:BI14,BK14:BM14,BO14)-SUM(BJ14,BN14)&gt;0,SUM(BH14:BI14,BK14:BM14,BO14)-SUM(BJ14,BN14),"")</f>
        <v/>
      </c>
      <c r="CB14" s="16" t="str">
        <f>IF(SUM(AZ14:BA14,BC14:BE14,BG14:BI14,BK14:BM14,BO14)-SUM(BB14,BF14,BJ14,BN14)&gt;0,SUM(AZ14:BA14,BC14:BE14,BG14:BI14,BK14:BM14,BO14)-SUM(BB14,BF14,BJ14,BN14),"")</f>
        <v/>
      </c>
      <c r="CC14" s="16" t="str">
        <f>IF(SUM(BP14:BQ14,BS14:BU14,BW14)-SUM(BR14,BV14)&gt;0,SUM(BP14:BQ14,BS14:BU14,BW14)-SUM(BR14,BV14),"")</f>
        <v/>
      </c>
      <c r="CD14" s="16" t="str">
        <f>IF(SUM(CB14,CC14)&gt;0,SUM(CB14,CC14),"")</f>
        <v/>
      </c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  <c r="CY14" s="81"/>
      <c r="CZ14" s="81"/>
      <c r="DA14" s="81"/>
      <c r="DB14" s="81"/>
      <c r="DC14" s="93"/>
      <c r="DD14" s="13" t="str">
        <f>IF(SUM(CF14,CJ14,CN14,CR14)&gt;0,SUM(CF14,CJ14,CN14,CR14),"")</f>
        <v/>
      </c>
      <c r="DE14" s="13" t="str">
        <f>IF(SUM(CE14:CF14,CH14:CJ14,CL14)-SUM(CG14,CK14)&gt;0,SUM(CE14:CF14,CH14:CJ14,CL14)-SUM(CG14,CK14),"")</f>
        <v/>
      </c>
      <c r="DF14" s="13" t="str">
        <f>IF(SUM(CM14:CN14,CP14:CR14,CT14)-SUM(CO14,CS14)&gt;0,SUM(CM14:CN14,CP14:CR14,CT14)-SUM(CO14,CS14),"")</f>
        <v/>
      </c>
      <c r="DG14" s="13" t="str">
        <f>IF(SUM(CE14:CF14,CH14:CJ14,CL14:CN14,CP14:CR14,CT14)-SUM(CG14,CK14,CO14,CS14)&gt;0,SUM(CE14:CF14,CH14:CJ14,CL14:CN14,CP14:CR14,CT14)-SUM(CG14,CK14,CO14,CS14),"")</f>
        <v/>
      </c>
      <c r="DH14" s="13" t="str">
        <f>IF(SUM(CU14:CV14,CX14:CZ14,DB14)-SUM(CW14,DA14)&gt;0,SUM(CU14:CV14,CX14:CZ14,DB14)-SUM(CW14,DA14),"")</f>
        <v/>
      </c>
      <c r="DI14" s="13" t="str">
        <f>IF(SUM(DG14,DH14)&gt;0,SUM(DG14,DH14),"")</f>
        <v/>
      </c>
      <c r="DJ14" s="30" t="str">
        <f>IF(MAX(EL14,FP14,GT14,HX14,JB14,KF14,LJ14,MN14,NR14,OV14,PZ14,RD14)-L14&gt;0.001,MAX(EL14,FP14,GT14,HX14,JB14,KF14,LJ14,MN14,NR14,OV14,PZ14,RD14)-L14,"")</f>
        <v/>
      </c>
      <c r="DK14" s="30" t="str">
        <f>IF(MAX(EM14,FQ14,GU14,HY14,JC14,KG14,LK14,MO14,NS14,OW14,QA14,RE14)-N14&gt;0.001,MAX(EM14,FQ14,GU14,HY14,JC14,KG14,LK14,MO14,NS14,OW14,QA14,RE14)-N14,"")</f>
        <v/>
      </c>
      <c r="DL14" s="30" t="str">
        <f>IF(MAX(EO14,FS14,GW14,IA14,JE14,KI14,LM14,MQ14,OY14,QC14,RG14)-P14&gt;0.001,MAX(EO14,FS14,GW14,IA14,JE14,KI14,LM14,MQ14,OY14,QC14,RG14)-P14,"")</f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>IF(SUM(DN14,DR14,DV14,DZ14)&gt;0,SUM(DN14,DR14,DV14,DZ14),"")</f>
        <v/>
      </c>
      <c r="EL14" s="13" t="str">
        <f>IF(SUM(DM14:DN14,DP14:DR14,DT14)-SUM(DO14,DS14)&gt;0,SUM(DM14:DN14,DP14:DR14,DT14)-SUM(DO14,DS14),"")</f>
        <v/>
      </c>
      <c r="EM14" s="13" t="str">
        <f>IF(SUM(DU14:DV14,DX14:DZ14,EB14)-SUM(DW14,EA14)&gt;0,SUM(DU14:DV14,DX14:DZ14,EB14)-SUM(DW14,EA14),"")</f>
        <v/>
      </c>
      <c r="EN14" s="13" t="str">
        <f>IF(SUM(DM14:DN14,DP14:DR14,DT14:DV14,DX14:DZ14,EB14)-SUM(DO14,DS14,DW14,EA14)&gt;0,SUM(DM14:DN14,DP14:DR14,DT14:DV14,DX14:DZ14,EB14)-SUM(DO14,DS14,DW14,EA14),"")</f>
        <v/>
      </c>
      <c r="EO14" s="13" t="str">
        <f>IF(SUM(EC14:ED14,EF14:EH14,EJ14)-SUM(EE14,EI14)&gt;0,SUM(EC14:ED14,EF14:EH14,EJ14)-SUM(EE14,EI14),"")</f>
        <v/>
      </c>
      <c r="EP14" s="13" t="str">
        <f>IF(SUM(EN14,EO14)&gt;0,SUM(EN14,EO14),"")</f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>IF(SUM(ER14,EV14,EZ14,FD14)&gt;0,SUM(ER14,EV14,EZ14,FD14),"")</f>
        <v/>
      </c>
      <c r="FP14" s="16" t="str">
        <f>IF(SUM(EQ14:ER14,ET14:EV14,EX14)-SUM(ES14,EW14)&gt;0,SUM(EQ14:ER14,ET14:EV14,EX14)-SUM(ES14,EW14),"")</f>
        <v/>
      </c>
      <c r="FQ14" s="16" t="str">
        <f>IF(SUM(EY14:EZ14,FB14:FD14,FF14)-SUM(FA14,FE14)&gt;0,SUM(EY14:EZ14,FB14:FD14,FF14)-SUM(FA14,FE14),"")</f>
        <v/>
      </c>
      <c r="FR14" s="16" t="str">
        <f>IF(SUM(EQ14:ER14,ET14:EV14,EX14:EZ14,FB14:FD14,FF14)-SUM(ES14,EW14,FA14,FE14)&gt;0,SUM(EQ14:ER14,ET14:EV14,EX14:EZ14,FB14:FD14,FF14)-SUM(ES14,EW14,FA14,FE14),"")</f>
        <v/>
      </c>
      <c r="FS14" s="16" t="str">
        <f>IF(SUM(FG14:FH14,FJ14:FL14,FN14)-SUM(FI14,FM14)&gt;0,SUM(FG14:FH14,FJ14:FL14,FN14)-SUM(FI14,FM14),"")</f>
        <v/>
      </c>
      <c r="FT14" s="16" t="str">
        <f>IF(SUM(FR14,FS14)&gt;0,SUM(FR14,FS14),"")</f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>IF(SUM(FV14,FZ14,GD14,GH14)&gt;0,SUM(FV14,FZ14,GD14,GH14),"")</f>
        <v/>
      </c>
      <c r="GT14" s="13" t="str">
        <f>IF(SUM(FU14:FV14,FX14:FZ14,GB14)-SUM(FW14,GA14)&gt;0,SUM(FU14:FV14,FX14:FZ14,GB14)-SUM(FW14,GA14),"")</f>
        <v/>
      </c>
      <c r="GU14" s="13" t="str">
        <f>IF(SUM(GC14:GD14,GF14:GH14,GJ14)-SUM(GE14,GI14)&gt;0,SUM(GC14:GD14,GF14:GH14,GJ14)-SUM(GE14,GI14),"")</f>
        <v/>
      </c>
      <c r="GV14" s="13" t="str">
        <f>IF(SUM(FU14:FV14,FX14:FZ14,GB14:GD14,GF14:GH14,GJ14)-SUM(FW14,GA14,GE14,GI14)&gt;0,SUM(FU14:FV14,FX14:FZ14,GB14:GD14,GF14:GH14,GJ14)-SUM(FW14,GA14,GE14,GI14),"")</f>
        <v/>
      </c>
      <c r="GW14" s="13" t="str">
        <f>IF(SUM(GK14:GL14,GN14:GP14,GR14)-SUM(GM14,GQ14)&gt;0,SUM(GK14:GL14,GN14:GP14,GR14)-SUM(GM14,GQ14),"")</f>
        <v/>
      </c>
      <c r="GX14" s="13" t="str">
        <f>IF(SUM(GV14,GW14)&gt;0,SUM(GV14,GW14),"")</f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>IF(SUM(GZ14,HD14,HH14,HL14)&gt;0,SUM(GZ14,HD14,HH14,HL14),"")</f>
        <v/>
      </c>
      <c r="HX14" s="16" t="str">
        <f>IF(SUM(GY14:GZ14,HB14:HD14,HF14)-SUM(HA14,HE14)&gt;0,SUM(GY14:GZ14,HB14:HD14,HF14)-SUM(HA14,HE14),"")</f>
        <v/>
      </c>
      <c r="HY14" s="16" t="str">
        <f>IF(SUM(HG14:HH14,HJ14:HL14,HN14)-SUM(HI14,HM14)&gt;0,SUM(HG14:HH14,HJ14:HL14,HN14)-SUM(HI14,HM14),"")</f>
        <v/>
      </c>
      <c r="HZ14" s="16" t="str">
        <f>IF(SUM(GY14:GZ14,HB14:HD14,HF14:HH14,HJ14:HL14,HN14)-SUM(HA14,HE14,HI14,HM14)&gt;0,SUM(GY14:GZ14,HB14:HD14,HF14:HH14,HJ14:HL14,HN14)-SUM(HA14,HE14,HI14,HM14),"")</f>
        <v/>
      </c>
      <c r="IA14" s="16" t="str">
        <f>IF(SUM(HO14:HP14,HR14:HT14,HV14)-SUM(HQ14,HU14)&gt;0,SUM(HO14:HP14,HR14:HT14,HV14)-SUM(HQ14,HU14),"")</f>
        <v/>
      </c>
      <c r="IB14" s="16" t="str">
        <f>IF(SUM(HZ14,IA14)&gt;0,SUM(HZ14,IA14),"")</f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>IF(SUM(ID14,IH14,IL14,IP14)&gt;0,SUM(ID14,IH14,IL14,IP14),"")</f>
        <v/>
      </c>
      <c r="JB14" s="13" t="str">
        <f>IF(SUM(IC14:ID14,IF14:IH14,IJ14)-SUM(IE14,II14)&gt;0,SUM(IC14:ID14,IF14:IH14,IJ14)-SUM(IE14,II14),"")</f>
        <v/>
      </c>
      <c r="JC14" s="13" t="str">
        <f>IF(SUM(IK14:IL14,IN14:IP14,IR14)-SUM(IM14,IQ14)&gt;0,SUM(IK14:IL14,IN14:IP14,IR14)-SUM(IM14,IQ14),"")</f>
        <v/>
      </c>
      <c r="JD14" s="13" t="str">
        <f>IF(SUM(IC14:ID14,IF14:IH14,IJ14:IL14,IN14:IP14,IR14)-SUM(IE14,II14,IM14,IQ14)&gt;0,SUM(IC14:ID14,IF14:IH14,IJ14:IL14,IN14:IP14,IR14)-SUM(IE14,II14,IM14,IQ14),"")</f>
        <v/>
      </c>
      <c r="JE14" s="13" t="str">
        <f>IF(SUM(IS14:IT14,IV14:IX14,IZ14)-SUM(IU14,IY14)&gt;0,SUM(IS14:IT14,IV14:IX14,IZ14)-SUM(IU14,IY14),"")</f>
        <v/>
      </c>
      <c r="JF14" s="13" t="str">
        <f>IF(SUM(JD14,JE14)&gt;0,SUM(JD14,JE14),"")</f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>IF(SUM(JH14,JL14,JP14,JT14)&gt;0,SUM(JH14,JL14,JP14,JT14),"")</f>
        <v/>
      </c>
      <c r="KF14" s="16" t="str">
        <f>IF(SUM(JG14:JH14,JJ14:JL14,JN14)-SUM(JI14,JM14)&gt;0,SUM(JG14:JH14,JJ14:JL14,JN14)-SUM(JI14,JM14),"")</f>
        <v/>
      </c>
      <c r="KG14" s="16" t="str">
        <f>IF(SUM(JO14:JP14,JR14:JT14,JV14)-SUM(JQ14,JU14)&gt;0,SUM(JO14:JP14,JR14:JT14,JV14)-SUM(JQ14,JU14),"")</f>
        <v/>
      </c>
      <c r="KH14" s="16" t="str">
        <f>IF(SUM(JG14:JH14,JJ14:JL14,JN14:JP14,JR14:JT14,JV14)-SUM(JI14,JM14,JQ14,JU14)&gt;0,SUM(JG14:JH14,JJ14:JL14,JN14:JP14,JR14:JT14,JV14)-SUM(JI14,JM14,JQ14,JU14),"")</f>
        <v/>
      </c>
      <c r="KI14" s="16" t="str">
        <f>IF(SUM(JW14:JX14,JZ14:KB14,KD14)-SUM(JY14,KC14)&gt;0,SUM(JW14:JX14,JZ14:KB14,KD14)-SUM(JY14,KC14),"")</f>
        <v/>
      </c>
      <c r="KJ14" s="16" t="str">
        <f>IF(SUM(KH14,KI14)&gt;0,SUM(KH14,KI14),"")</f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>IF(SUM(KL14,KP14,KT14,KX14)&gt;0,SUM(KL14,KP14,KT14,KX14),"")</f>
        <v/>
      </c>
      <c r="LJ14" s="13" t="str">
        <f>IF(SUM(KK14:KL14,KN14:KP14,KR14)-SUM(KM14,KQ14)&gt;0,SUM(KK14:KL14,KN14:KP14,KR14)-SUM(KM14,KQ14),"")</f>
        <v/>
      </c>
      <c r="LK14" s="13" t="str">
        <f>IF(SUM(KS14:KT14,KV14:KX14,KZ14)-SUM(KU14,KY14)&gt;0,SUM(KS14:KT14,KV14:KX14,KZ14)-SUM(KU14,KY14),"")</f>
        <v/>
      </c>
      <c r="LL14" s="13" t="str">
        <f>IF(SUM(KK14:KL14,KN14:KP14,KR14:KT14,KV14:KX14,KZ14)-SUM(KM14,KQ14,KU14,KY14)&gt;0,SUM(KK14:KL14,KN14:KP14,KR14:KT14,KV14:KX14,KZ14)-SUM(KM14,KQ14,KU14,KY14),"")</f>
        <v/>
      </c>
      <c r="LM14" s="13" t="str">
        <f>IF(SUM(LA14:LB14,LD14:LF14,LH14)-SUM(LC14,LG14)&gt;0,SUM(LA14:LB14,LD14:LF14,LH14)-SUM(LC14,LG14),"")</f>
        <v/>
      </c>
      <c r="LN14" s="13" t="str">
        <f>IF(SUM(LL14,LM14)&gt;0,SUM(LL14,LM14),"")</f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>IF(SUM(LP14,LT14,LX14,MB14)&gt;0,SUM(LP14,LT14,LX14,MB14),"")</f>
        <v/>
      </c>
      <c r="MN14" s="16" t="str">
        <f>IF(SUM(LO14:LP14,LR14:LT14,LV14)-SUM(LQ14,LU14)&gt;0,SUM(LO14:LP14,LR14:LT14,LV14)-SUM(LQ14,LU14),"")</f>
        <v/>
      </c>
      <c r="MO14" s="16" t="str">
        <f>IF(SUM(LW14:LX14,LZ14:MB14,MD14)-SUM(LY14,MC14)&gt;0,SUM(LW14:LX14,LZ14:MB14,MD14)-SUM(LY14,MC14),"")</f>
        <v/>
      </c>
      <c r="MP14" s="16" t="str">
        <f>IF(SUM(LO14:LP14,LR14:LT14,LV14:LX14,LZ14:MB14,MD14)-SUM(LQ14,LU14,LY14,MC14)&gt;0,SUM(LO14:LP14,LR14:LT14,LV14:LX14,LZ14:MB14,MD14)-SUM(LQ14,LU14,LY14,MC14),"")</f>
        <v/>
      </c>
      <c r="MQ14" s="16" t="str">
        <f>IF(SUM(ME14:MF14,MH14:MJ14,ML14)-SUM(MG14,MK14)&gt;0,SUM(ME14:MF14,MH14:MJ14,ML14)-SUM(MG14,MK14),"")</f>
        <v/>
      </c>
      <c r="MR14" s="16" t="str">
        <f>IF(SUM(MP14,MQ14)&gt;0,SUM(MP14,MQ14),"")</f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>IF(SUM(MT14,MX14,NB14,NF14)&gt;0,SUM(MT14,MX14,NB14,NF14),"")</f>
        <v/>
      </c>
      <c r="NR14" s="13" t="str">
        <f>IF(SUM(MS14:MT14,MV14:MX14,MZ14)-SUM(MU14,MY14)&gt;0,SUM(MS14:MT14,MV14:MX14,MZ14)-SUM(MU14,MY14),"")</f>
        <v/>
      </c>
      <c r="NS14" s="13" t="str">
        <f>IF(SUM(NA14:NB14,ND14:NF14,NH14)-SUM(NC14,NG14)&gt;0,SUM(NA14:NB14,ND14:NF14,NH14)-SUM(NC14,NG14),"")</f>
        <v/>
      </c>
      <c r="NT14" s="13" t="str">
        <f>IF(SUM(MS14:MT14,MV14:MX14,MZ14:NB14,ND14:NF14,NH14)-SUM(MU14,MY14,NC14,NG14)&gt;0,SUM(MS14:MT14,MV14:MX14,MZ14:NB14,ND14:NF14,NH14)-SUM(MU14,MY14,NC14,NG14),"")</f>
        <v/>
      </c>
      <c r="NU14" s="13" t="str">
        <f>IF(SUM(NI14:NJ14,NL14:NN14,NP14)-SUM(NK14,NO14)&gt;0,SUM(NI14:NJ14,NL14:NN14,NP14)-SUM(NK14,NO14),"")</f>
        <v/>
      </c>
      <c r="NV14" s="13" t="str">
        <f>IF(SUM(NT14,NU14)&gt;0,SUM(NT14,NU14),"")</f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>IF(SUM(NX14,OB14,OF14,OJ14)&gt;0,SUM(NX14,OB14,OF14,OJ14),"")</f>
        <v/>
      </c>
      <c r="OV14" s="16" t="str">
        <f>IF(SUM(NW14:NX14,NZ14:OB14,OD14)-SUM(NY14,OC14)&gt;0,SUM(NW14:NX14,NZ14:OB14,OD14)-SUM(NY14,OC14),"")</f>
        <v/>
      </c>
      <c r="OW14" s="16" t="str">
        <f>IF(SUM(OE14:OF14,OH14:OJ14,OL14)-SUM(OG14,OK14)&gt;0,SUM(OE14:OF14,OH14:OJ14,OL14)-SUM(OG14,OK14),"")</f>
        <v/>
      </c>
      <c r="OX14" s="16" t="str">
        <f>IF(SUM(NW14:NX14,NZ14:OB14,OD14:OF14,OH14:OJ14,OL14)-SUM(NY14,OC14,OG14,OK14)&gt;0,SUM(NW14:NX14,NZ14:OB14,OD14:OF14,OH14:OJ14,OL14)-SUM(NY14,OC14,OG14,OK14),"")</f>
        <v/>
      </c>
      <c r="OY14" s="16" t="str">
        <f>IF(SUM(OM14:ON14,OP14:OR14,OT14)-SUM(OO14,OS14)&gt;0,SUM(OM14:ON14,OP14:OR14,OT14)-SUM(OO14,OS14),"")</f>
        <v/>
      </c>
      <c r="OZ14" s="16" t="str">
        <f>IF(SUM(OX14,OY14)&gt;0,SUM(OX14,OY14),"")</f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>IF(SUM(PB14,PF14,PJ14,PN14)&gt;0,SUM(PB14,PF14,PJ14,PN14),"")</f>
        <v/>
      </c>
      <c r="PZ14" s="13" t="str">
        <f>IF(SUM(PA14:PB14,PD14:PF14,PH14)-SUM(PC14,PG14)&gt;0,SUM(PA14:PB14,PD14:PF14,PH14)-SUM(PC14,PG14),"")</f>
        <v/>
      </c>
      <c r="QA14" s="13" t="str">
        <f>IF(SUM(PI14:PJ14,PL14:PN14,PP14)-SUM(PK14,PO14)&gt;0,SUM(PI14:PJ14,PL14:PN14,PP14)-SUM(PK14,PO14),"")</f>
        <v/>
      </c>
      <c r="QB14" s="13" t="str">
        <f>IF(SUM(PA14:PB14,PD14:PF14,PH14:PJ14,PL14:PN14,PP14)-SUM(PC14,PG14,PK14,PO14)&gt;0,SUM(PA14:PB14,PD14:PF14,PH14:PJ14,PL14:PN14,PP14)-SUM(PC14,PG14,PK14,PO14),"")</f>
        <v/>
      </c>
      <c r="QC14" s="13" t="str">
        <f>IF(SUM(PQ14:PR14,PT14:PV14,PX14)-SUM(PS14,PW14)&gt;0,SUM(PQ14:PR14,PT14:PV14,PX14)-SUM(PS14,PW14),"")</f>
        <v/>
      </c>
      <c r="QD14" s="13" t="str">
        <f>IF(SUM(QB14,QC14)&gt;0,SUM(QB14,QC14),"")</f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>IF(SUM(QF14,QJ14,QN14,QR14)&gt;0,SUM(QF14,QJ14,QN14,QR14),"")</f>
        <v/>
      </c>
      <c r="RD14" s="16" t="str">
        <f>IF(SUM(QE14:QF14,QH14:QJ14,QL14)-SUM(QG14,QK14)&gt;0,SUM(QE14:QF14,QH14:QJ14,QL14)-SUM(QG14,QK14),"")</f>
        <v/>
      </c>
      <c r="RE14" s="16" t="str">
        <f>IF(SUM(QM14:QN14,QP14:QR14,QT14)-SUM(QO14,QS14)&gt;0,SUM(QM14:QN14,QP14:QR14,QT14)-SUM(QO14,QS14),"")</f>
        <v/>
      </c>
      <c r="RF14" s="16" t="str">
        <f>IF(SUM(QE14:QF14,QH14:QJ14,QL14:QN14,QP14:QR14,QT14)-SUM(QG14,QK14,QO14,QS14)&gt;0,SUM(QE14:QF14,QH14:QJ14,QL14:QN14,QP14:QR14,QT14)-SUM(QG14,QK14,QO14,QS14),"")</f>
        <v/>
      </c>
      <c r="RG14" s="16" t="str">
        <f>IF(SUM(QU14:QV14,QX14:QZ14,RB14)-SUM(QW14,RA14)&gt;0,SUM(QU14:QV14,QX14:QZ14,RB14)-SUM(QW14,RA14),"")</f>
        <v/>
      </c>
      <c r="RH14" s="16" t="str">
        <f>IF(SUM(RF14,RG14)&gt;0,SUM(RF14,RG14),"")</f>
        <v/>
      </c>
    </row>
    <row r="15" spans="1:476" x14ac:dyDescent="0.2">
      <c r="A15" s="6" t="str">
        <f>IF(AND(F15="P",H15="P"),SUMPRODUCT((F$4:F$15="P")*(H$4:H$15="P")*(E$4:E$15&gt;E15))+1,IF(H15="P",SUMPRODUCT((F$4:F$15="")*(H$4:H$15="P")*(E$4:E$15&gt;E15))+1+SUMPRODUCT((F$4:F$15="P")*(H$4:H$15="P")),""))</f>
        <v/>
      </c>
      <c r="B15" s="9" t="s">
        <v>65</v>
      </c>
      <c r="C15" s="5" t="s">
        <v>3</v>
      </c>
      <c r="D15" s="33">
        <v>1996</v>
      </c>
      <c r="E15" s="17">
        <f>SUM(J15:R15)</f>
        <v>62.95</v>
      </c>
      <c r="F15" s="4" t="str">
        <f>IF(OR(AND($AT15&gt;=$AU$18,NOT($AT15=""),$AS15=""),AND($BY15&gt;=$BZ$18,NOT($BY15=""),$BX15=""),AND($DD15&gt;=$DE$18,NOT($DD15=""),$DC15="")),"P","")</f>
        <v/>
      </c>
      <c r="G15" s="4" t="str">
        <f>IF(OR(AND($AT15&gt;=$AU$19,NOT($AT15=""),$AS15=""),AND($BY15&gt;=$BZ$19,NOT($BY15=""),$BX15=""),AND($DD15&gt;=$DE$19,NOT($DD15=""),$DC15="")),"P","")</f>
        <v/>
      </c>
      <c r="H15" s="4" t="str">
        <f>IF(OR(AND($AW15&gt;=$AU$20,NOT($AW15=""),$AS15=""),AND($CB15&gt;=$BZ$20,NOT($CB15=""),$BX15=""),AND($DG15&gt;=$DE$20,NOT($DG15=""),$DC15="")),"P","")</f>
        <v/>
      </c>
      <c r="I15" t="str">
        <f>IF(AND(G15="P",OR(AND($AW15&gt;=$AU$23,NOT($AW15=""),$AS15=""),AND($CB15&gt;=$BZ$23,NOT($CB15=""),$BX15=""),AND($DG15&gt;=$DE$23,NOT($DG15=""),$DC15=""))),"Merit",IF(AND(G15="P",OR(AND($AW15&gt;=$AU$22,NOT($AW15=""),$AS15=""),AND($CB15&gt;=$BZ$22,NOT($CB15=""),$BX15=""),AND($DG15&gt;=$DE$22,NOT($DG15=""),$DC15=""))),"Funding",IF(AND(G15="P",OR(AND($AW15&gt;=$AU$21,NOT($AW15=""),$AS15=""),AND($CB15&gt;=$BZ$21,NOT($CB15=""),$BX15=""),AND($DG15&gt;=$DE$21,NOT($DG15=""),$DC15=""))),"Worlds Team",IF(AND(F15="P",OR(AND($AW15&gt;=$AU$20,NOT($AW15=""),$AS15=""),AND($CB15&gt;=$BZ$20,NOT($CB15=""),$BX15=""),AND($DG15&gt;=$DE$20,NOT($DG15=""),$DC15=""))),"National Team",""))))</f>
        <v/>
      </c>
      <c r="J15" s="16">
        <f>MAX(AW15,CB15,DG15)</f>
        <v>46.875</v>
      </c>
      <c r="K15" s="16" t="str">
        <f>IF(J15=DG15,$CE$1,IF(J15=CB15,$AZ$1,IF(J15=AW15,$U$1,"")))</f>
        <v>2017 3rd Domestic Trial</v>
      </c>
      <c r="L15" s="16">
        <f>IF($J15=$AW15,MAX(BZ15,DE15),IF($J15=$CB15,MAX(AU15,DE15),MAX(AU15,BZ15)))</f>
        <v>0</v>
      </c>
      <c r="M15" s="16" t="str">
        <f>IF(AND(L15=DE15,$K15&lt;&gt;$CE$1),$CE$1,IF(AND(L15=BZ15,$K15&lt;&gt;$AZ$1),$AZ$1,IF(AND(L15=AU15,$K15&lt;&gt;$U$1),$U$1,"")))</f>
        <v/>
      </c>
      <c r="N15" s="16">
        <f>IF($J15=$AW15,MAX(CA15,DF15),IF($J15=$CB15,MAX(AV15,DF15),MAX(AV15,CA15)))</f>
        <v>0</v>
      </c>
      <c r="O15" s="16" t="str">
        <f>IF(AND(N15=DF15,$K15&lt;&gt;$CE$1),$CE$1,IF(AND(N15=CA15,$K15&lt;&gt;$AZ$1),$AZ$1,IF(AND(N15=AV15,$K15&lt;&gt;$U$1),$U$1,"")))</f>
        <v/>
      </c>
      <c r="P15" s="16">
        <f>MAX(AX15,CC15,DH15)</f>
        <v>16.074999999999999</v>
      </c>
      <c r="Q15" s="16" t="str">
        <f>IF(P15=DH15,$CE$1,IF(P15=CC15,$AZ$1,IF(P15=AX15,$U$1,"")))</f>
        <v>2017 3rd Domestic Trial</v>
      </c>
      <c r="R15" s="16" t="str">
        <f>IF(MAX(DJ15:DL15)&gt;0,MAX(DJ15:DL15),"")</f>
        <v/>
      </c>
      <c r="S15" s="31" t="str">
        <f>IF(R15="","",IF(R15=DJ15,"(Pass 1-2)",IF(R15=DK15,"(Pass 3-4)",IF(R15=DL15,"(Final)"))))</f>
        <v/>
      </c>
      <c r="T15" s="16" t="str">
        <f>IF(R15="","",IF(R15=DJ15,IF(R15+L15=RD15,$QE$1,IF(R15+L15=PZ15,$PA$1,IF(R15+L15=OV15,$NW$1,IF(R15+L15=NR15,$MS$1,IF(R15+L15=MN15,$LO$1,IF(R15+L15=LJ15,$KK$1,IF(R15+L15=KF15,$JG$1,IF(R15+L15=JB15,$IC$1,IF(R15+L15=HX15,$GY$1,IF(R15+L15=GT15,$FU$1,IF(R15+L15=FP15,$EQ$1,IF(R15+L15=EL15,$DM$1)))))))))))),IF(R15=DK15,IF(R15+N15=RE15,$QE$1,IF(R15+N15=QA15,$PA$1,IF(R15+N15=OW15,$NW$1,IF(R15+N15=NS15,$MS$1,IF(R15+N15=MO15,$LO$1,IF(R15+N15=LK15,$KK$1,IF(R15+N15=KG15,$JG$1,IF(R15+N15=JC15,$IC$1,IF(R15+N15=HY15,$GY$1,IF(R15+N15=GU15,$FU$1,IF(R15+N15=FQ15,$EQ$1,IF(R15+N15=EM15,$DM$1)))))))))))),IF(R15=DL15,IF(R15+P15=RG15,$QE$1,IF(R15+P15=QC15,$PA$1,IF(R15+P15=OY15,$NW$1,IF(R15+P15=NU15,$MS$1,IF(R15+P15=MQ15,$LO$1,IF(R15+P15=LM15,$KK$1,IF(R15+P15=KI15,$JG$1,IF(R15+P15=JE15,$IC$1,IF(R15+P15=IA15,$GY$1,IF(R15+P15=GW15,$FU$1,IF(R15+P15=FS15,$EQ$1,IF(R15+P15=EO15,$DM$1))))))))))))))))</f>
        <v/>
      </c>
      <c r="U15" s="55">
        <v>20</v>
      </c>
      <c r="V15" s="55">
        <v>2.4</v>
      </c>
      <c r="W15" s="55">
        <v>0</v>
      </c>
      <c r="X15" s="55">
        <v>0</v>
      </c>
      <c r="Y15" s="55">
        <v>8.4</v>
      </c>
      <c r="Z15" s="55">
        <v>0</v>
      </c>
      <c r="AA15" s="55">
        <v>0</v>
      </c>
      <c r="AB15" s="55">
        <v>0</v>
      </c>
      <c r="AC15" s="55">
        <v>7.7249999999999996</v>
      </c>
      <c r="AD15" s="55">
        <v>0</v>
      </c>
      <c r="AE15" s="55">
        <v>0</v>
      </c>
      <c r="AF15" s="55">
        <v>0</v>
      </c>
      <c r="AG15" s="55">
        <v>8.35</v>
      </c>
      <c r="AH15" s="55">
        <v>0</v>
      </c>
      <c r="AI15" s="55">
        <v>0</v>
      </c>
      <c r="AJ15" s="55">
        <v>0</v>
      </c>
      <c r="AK15" s="55">
        <v>7.7249999999999996</v>
      </c>
      <c r="AL15" s="55">
        <v>0</v>
      </c>
      <c r="AM15" s="55">
        <v>0</v>
      </c>
      <c r="AN15" s="55">
        <v>0</v>
      </c>
      <c r="AO15" s="55">
        <v>8.35</v>
      </c>
      <c r="AP15" s="55">
        <v>0</v>
      </c>
      <c r="AQ15" s="55">
        <v>0</v>
      </c>
      <c r="AR15" s="55">
        <v>0</v>
      </c>
      <c r="AS15" s="93" t="s">
        <v>159</v>
      </c>
      <c r="AT15" s="13">
        <f>IF(SUM(V15,Z15,AD15,AH15)&gt;0,SUM(V15,Z15,AD15,AH15),"")</f>
        <v>2.4</v>
      </c>
      <c r="AU15" s="13">
        <f>IF(SUM(U15:V15,X15:Z15,AB15)-SUM(W15,AA15)&gt;0,SUM(U15:V15,X15:Z15,AB15)-SUM(W15,AA15),"")</f>
        <v>30.799999999999997</v>
      </c>
      <c r="AV15" s="13">
        <f>IF(SUM(AC15:AD15,AF15:AH15,AJ15)-SUM(AE15,AI15)&gt;0,SUM(AC15:AD15,AF15:AH15,AJ15)-SUM(AE15,AI15),"")</f>
        <v>16.074999999999999</v>
      </c>
      <c r="AW15" s="13">
        <f>IF(SUM(U15:V15,X15:Z15,AB15:AD15,AF15:AH15,AJ15)-SUM(W15,AA15,AE15,AI15)&gt;0,SUM(U15:V15,X15:Z15,AB15:AD15,AF15:AH15,AJ15)-SUM(W15,AA15,AE15,AI15),"")</f>
        <v>46.875</v>
      </c>
      <c r="AX15" s="13">
        <f>IF(SUM(AK15:AL15,AN15:AP15,AR15)-SUM(AM15,AQ15)&gt;0,SUM(AK15:AL15,AN15:AP15,AR15)-SUM(AM15,AQ15),"")</f>
        <v>16.074999999999999</v>
      </c>
      <c r="AY15" s="13">
        <f>IF(SUM(AW15,AX15)&gt;0,SUM(AW15,AX15),"")</f>
        <v>62.95</v>
      </c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94"/>
      <c r="BY15" s="16" t="str">
        <f>IF(SUM(BA15,BE15,BI15,BM15)&gt;0,SUM(BA15,BE15,BI15,BM15),"")</f>
        <v/>
      </c>
      <c r="BZ15" s="16" t="str">
        <f>IF(SUM(AZ15:BA15,BC15:BE15,BG15)-SUM(BB15,BF15)&gt;0,SUM(AZ15:BA15,BC15:BE15,BG15)-SUM(BB15,BF15),"")</f>
        <v/>
      </c>
      <c r="CA15" s="16" t="str">
        <f>IF(SUM(BH15:BI15,BK15:BM15,BO15)-SUM(BJ15,BN15)&gt;0,SUM(BH15:BI15,BK15:BM15,BO15)-SUM(BJ15,BN15),"")</f>
        <v/>
      </c>
      <c r="CB15" s="16" t="str">
        <f>IF(SUM(AZ15:BA15,BC15:BE15,BG15:BI15,BK15:BM15,BO15)-SUM(BB15,BF15,BJ15,BN15)&gt;0,SUM(AZ15:BA15,BC15:BE15,BG15:BI15,BK15:BM15,BO15)-SUM(BB15,BF15,BJ15,BN15),"")</f>
        <v/>
      </c>
      <c r="CC15" s="16" t="str">
        <f>IF(SUM(BP15:BQ15,BS15:BU15,BW15)-SUM(BR15,BV15)&gt;0,SUM(BP15:BQ15,BS15:BU15,BW15)-SUM(BR15,BV15),"")</f>
        <v/>
      </c>
      <c r="CD15" s="16" t="str">
        <f>IF(SUM(CB15,CC15)&gt;0,SUM(CB15,CC15),"")</f>
        <v/>
      </c>
      <c r="CE15" s="81"/>
      <c r="CF15" s="81"/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93"/>
      <c r="DD15" s="13" t="str">
        <f>IF(SUM(CF15,CJ15,CN15,CR15)&gt;0,SUM(CF15,CJ15,CN15,CR15),"")</f>
        <v/>
      </c>
      <c r="DE15" s="13" t="str">
        <f>IF(SUM(CE15:CF15,CH15:CJ15,CL15)-SUM(CG15,CK15)&gt;0,SUM(CE15:CF15,CH15:CJ15,CL15)-SUM(CG15,CK15),"")</f>
        <v/>
      </c>
      <c r="DF15" s="13" t="str">
        <f>IF(SUM(CM15:CN15,CP15:CR15,CT15)-SUM(CO15,CS15)&gt;0,SUM(CM15:CN15,CP15:CR15,CT15)-SUM(CO15,CS15),"")</f>
        <v/>
      </c>
      <c r="DG15" s="13" t="str">
        <f>IF(SUM(CE15:CF15,CH15:CJ15,CL15:CN15,CP15:CR15,CT15)-SUM(CG15,CK15,CO15,CS15)&gt;0,SUM(CE15:CF15,CH15:CJ15,CL15:CN15,CP15:CR15,CT15)-SUM(CG15,CK15,CO15,CS15),"")</f>
        <v/>
      </c>
      <c r="DH15" s="13" t="str">
        <f>IF(SUM(CU15:CV15,CX15:CZ15,DB15)-SUM(CW15,DA15)&gt;0,SUM(CU15:CV15,CX15:CZ15,DB15)-SUM(CW15,DA15),"")</f>
        <v/>
      </c>
      <c r="DI15" s="13" t="str">
        <f>IF(SUM(DG15,DH15)&gt;0,SUM(DG15,DH15),"")</f>
        <v/>
      </c>
      <c r="DJ15" s="30" t="str">
        <f>IF(MAX(EL15,FP15,GT15,HX15,JB15,KF15,LJ15,MN15,NR15,OV15,PZ15,RD15)-L15&gt;0.001,MAX(EL15,FP15,GT15,HX15,JB15,KF15,LJ15,MN15,NR15,OV15,PZ15,RD15)-L15,"")</f>
        <v/>
      </c>
      <c r="DK15" s="30" t="str">
        <f>IF(MAX(EM15,FQ15,GU15,HY15,JC15,KG15,LK15,MO15,NS15,OW15,QA15,RE15)-N15&gt;0.001,MAX(EM15,FQ15,GU15,HY15,JC15,KG15,LK15,MO15,NS15,OW15,QA15,RE15)-N15,"")</f>
        <v/>
      </c>
      <c r="DL15" s="30" t="str">
        <f>IF(MAX(EO15,FS15,GW15,IA15,JE15,KI15,LM15,MQ15,OY15,QC15,RG15)-P15&gt;0.001,MAX(EO15,FS15,GW15,IA15,JE15,KI15,LM15,MQ15,OY15,QC15,RG15)-P15,"")</f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>IF(SUM(DN15,DR15,DV15,DZ15)&gt;0,SUM(DN15,DR15,DV15,DZ15),"")</f>
        <v/>
      </c>
      <c r="EL15" s="13" t="str">
        <f>IF(SUM(DM15:DN15,DP15:DR15,DT15)-SUM(DO15,DS15)&gt;0,SUM(DM15:DN15,DP15:DR15,DT15)-SUM(DO15,DS15),"")</f>
        <v/>
      </c>
      <c r="EM15" s="13" t="str">
        <f>IF(SUM(DU15:DV15,DX15:DZ15,EB15)-SUM(DW15,EA15)&gt;0,SUM(DU15:DV15,DX15:DZ15,EB15)-SUM(DW15,EA15),"")</f>
        <v/>
      </c>
      <c r="EN15" s="13" t="str">
        <f>IF(SUM(DM15:DN15,DP15:DR15,DT15:DV15,DX15:DZ15,EB15)-SUM(DO15,DS15,DW15,EA15)&gt;0,SUM(DM15:DN15,DP15:DR15,DT15:DV15,DX15:DZ15,EB15)-SUM(DO15,DS15,DW15,EA15),"")</f>
        <v/>
      </c>
      <c r="EO15" s="13" t="str">
        <f>IF(SUM(EC15:ED15,EF15:EH15,EJ15)-SUM(EE15,EI15)&gt;0,SUM(EC15:ED15,EF15:EH15,EJ15)-SUM(EE15,EI15),"")</f>
        <v/>
      </c>
      <c r="EP15" s="13" t="str">
        <f>IF(SUM(EN15,EO15)&gt;0,SUM(EN15,EO15),"")</f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>IF(SUM(ER15,EV15,EZ15,FD15)&gt;0,SUM(ER15,EV15,EZ15,FD15),"")</f>
        <v/>
      </c>
      <c r="FP15" s="16" t="str">
        <f>IF(SUM(EQ15:ER15,ET15:EV15,EX15)-SUM(ES15,EW15)&gt;0,SUM(EQ15:ER15,ET15:EV15,EX15)-SUM(ES15,EW15),"")</f>
        <v/>
      </c>
      <c r="FQ15" s="16" t="str">
        <f>IF(SUM(EY15:EZ15,FB15:FD15,FF15)-SUM(FA15,FE15)&gt;0,SUM(EY15:EZ15,FB15:FD15,FF15)-SUM(FA15,FE15),"")</f>
        <v/>
      </c>
      <c r="FR15" s="16" t="str">
        <f>IF(SUM(EQ15:ER15,ET15:EV15,EX15:EZ15,FB15:FD15,FF15)-SUM(ES15,EW15,FA15,FE15)&gt;0,SUM(EQ15:ER15,ET15:EV15,EX15:EZ15,FB15:FD15,FF15)-SUM(ES15,EW15,FA15,FE15),"")</f>
        <v/>
      </c>
      <c r="FS15" s="16" t="str">
        <f>IF(SUM(FG15:FH15,FJ15:FL15,FN15)-SUM(FI15,FM15)&gt;0,SUM(FG15:FH15,FJ15:FL15,FN15)-SUM(FI15,FM15),"")</f>
        <v/>
      </c>
      <c r="FT15" s="16" t="str">
        <f>IF(SUM(FR15,FS15)&gt;0,SUM(FR15,FS15),"")</f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>IF(SUM(FV15,FZ15,GD15,GH15)&gt;0,SUM(FV15,FZ15,GD15,GH15),"")</f>
        <v/>
      </c>
      <c r="GT15" s="13" t="str">
        <f>IF(SUM(FU15:FV15,FX15:FZ15,GB15)-SUM(FW15,GA15)&gt;0,SUM(FU15:FV15,FX15:FZ15,GB15)-SUM(FW15,GA15),"")</f>
        <v/>
      </c>
      <c r="GU15" s="13" t="str">
        <f>IF(SUM(GC15:GD15,GF15:GH15,GJ15)-SUM(GE15,GI15)&gt;0,SUM(GC15:GD15,GF15:GH15,GJ15)-SUM(GE15,GI15),"")</f>
        <v/>
      </c>
      <c r="GV15" s="13" t="str">
        <f>IF(SUM(FU15:FV15,FX15:FZ15,GB15:GD15,GF15:GH15,GJ15)-SUM(FW15,GA15,GE15,GI15)&gt;0,SUM(FU15:FV15,FX15:FZ15,GB15:GD15,GF15:GH15,GJ15)-SUM(FW15,GA15,GE15,GI15),"")</f>
        <v/>
      </c>
      <c r="GW15" s="13" t="str">
        <f>IF(SUM(GK15:GL15,GN15:GP15,GR15)-SUM(GM15,GQ15)&gt;0,SUM(GK15:GL15,GN15:GP15,GR15)-SUM(GM15,GQ15),"")</f>
        <v/>
      </c>
      <c r="GX15" s="13" t="str">
        <f>IF(SUM(GV15,GW15)&gt;0,SUM(GV15,GW15),"")</f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>IF(SUM(GZ15,HD15,HH15,HL15)&gt;0,SUM(GZ15,HD15,HH15,HL15),"")</f>
        <v/>
      </c>
      <c r="HX15" s="16" t="str">
        <f>IF(SUM(GY15:GZ15,HB15:HD15,HF15)-SUM(HA15,HE15)&gt;0,SUM(GY15:GZ15,HB15:HD15,HF15)-SUM(HA15,HE15),"")</f>
        <v/>
      </c>
      <c r="HY15" s="16" t="str">
        <f>IF(SUM(HG15:HH15,HJ15:HL15,HN15)-SUM(HI15,HM15)&gt;0,SUM(HG15:HH15,HJ15:HL15,HN15)-SUM(HI15,HM15),"")</f>
        <v/>
      </c>
      <c r="HZ15" s="16" t="str">
        <f>IF(SUM(GY15:GZ15,HB15:HD15,HF15:HH15,HJ15:HL15,HN15)-SUM(HA15,HE15,HI15,HM15)&gt;0,SUM(GY15:GZ15,HB15:HD15,HF15:HH15,HJ15:HL15,HN15)-SUM(HA15,HE15,HI15,HM15),"")</f>
        <v/>
      </c>
      <c r="IA15" s="16" t="str">
        <f>IF(SUM(HO15:HP15,HR15:HT15,HV15)-SUM(HQ15,HU15)&gt;0,SUM(HO15:HP15,HR15:HT15,HV15)-SUM(HQ15,HU15),"")</f>
        <v/>
      </c>
      <c r="IB15" s="16" t="str">
        <f>IF(SUM(HZ15,IA15)&gt;0,SUM(HZ15,IA15),"")</f>
        <v/>
      </c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13" t="str">
        <f>IF(SUM(ID15,IH15,IL15,IP15)&gt;0,SUM(ID15,IH15,IL15,IP15),"")</f>
        <v/>
      </c>
      <c r="JB15" s="13" t="str">
        <f>IF(SUM(IC15:ID15,IF15:IH15,IJ15)-SUM(IE15,II15)&gt;0,SUM(IC15:ID15,IF15:IH15,IJ15)-SUM(IE15,II15),"")</f>
        <v/>
      </c>
      <c r="JC15" s="13" t="str">
        <f>IF(SUM(IK15:IL15,IN15:IP15,IR15)-SUM(IM15,IQ15)&gt;0,SUM(IK15:IL15,IN15:IP15,IR15)-SUM(IM15,IQ15),"")</f>
        <v/>
      </c>
      <c r="JD15" s="13" t="str">
        <f>IF(SUM(IC15:ID15,IF15:IH15,IJ15:IL15,IN15:IP15,IR15)-SUM(IE15,II15,IM15,IQ15)&gt;0,SUM(IC15:ID15,IF15:IH15,IJ15:IL15,IN15:IP15,IR15)-SUM(IE15,II15,IM15,IQ15),"")</f>
        <v/>
      </c>
      <c r="JE15" s="13" t="str">
        <f>IF(SUM(IS15:IT15,IV15:IX15,IZ15)-SUM(IU15,IY15)&gt;0,SUM(IS15:IT15,IV15:IX15,IZ15)-SUM(IU15,IY15),"")</f>
        <v/>
      </c>
      <c r="JF15" s="13" t="str">
        <f>IF(SUM(JD15,JE15)&gt;0,SUM(JD15,JE15),"")</f>
        <v/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>IF(SUM(JH15,JL15,JP15,JT15)&gt;0,SUM(JH15,JL15,JP15,JT15),"")</f>
        <v/>
      </c>
      <c r="KF15" s="16" t="str">
        <f>IF(SUM(JG15:JH15,JJ15:JL15,JN15)-SUM(JI15,JM15)&gt;0,SUM(JG15:JH15,JJ15:JL15,JN15)-SUM(JI15,JM15),"")</f>
        <v/>
      </c>
      <c r="KG15" s="16" t="str">
        <f>IF(SUM(JO15:JP15,JR15:JT15,JV15)-SUM(JQ15,JU15)&gt;0,SUM(JO15:JP15,JR15:JT15,JV15)-SUM(JQ15,JU15),"")</f>
        <v/>
      </c>
      <c r="KH15" s="16" t="str">
        <f>IF(SUM(JG15:JH15,JJ15:JL15,JN15:JP15,JR15:JT15,JV15)-SUM(JI15,JM15,JQ15,JU15)&gt;0,SUM(JG15:JH15,JJ15:JL15,JN15:JP15,JR15:JT15,JV15)-SUM(JI15,JM15,JQ15,JU15),"")</f>
        <v/>
      </c>
      <c r="KI15" s="16" t="str">
        <f>IF(SUM(JW15:JX15,JZ15:KB15,KD15)-SUM(JY15,KC15)&gt;0,SUM(JW15:JX15,JZ15:KB15,KD15)-SUM(JY15,KC15),"")</f>
        <v/>
      </c>
      <c r="KJ15" s="16" t="str">
        <f>IF(SUM(KH15,KI15)&gt;0,SUM(KH15,KI15),"")</f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>IF(SUM(KL15,KP15,KT15,KX15)&gt;0,SUM(KL15,KP15,KT15,KX15),"")</f>
        <v/>
      </c>
      <c r="LJ15" s="13" t="str">
        <f>IF(SUM(KK15:KL15,KN15:KP15,KR15)-SUM(KM15,KQ15)&gt;0,SUM(KK15:KL15,KN15:KP15,KR15)-SUM(KM15,KQ15),"")</f>
        <v/>
      </c>
      <c r="LK15" s="13" t="str">
        <f>IF(SUM(KS15:KT15,KV15:KX15,KZ15)-SUM(KU15,KY15)&gt;0,SUM(KS15:KT15,KV15:KX15,KZ15)-SUM(KU15,KY15),"")</f>
        <v/>
      </c>
      <c r="LL15" s="13" t="str">
        <f>IF(SUM(KK15:KL15,KN15:KP15,KR15:KT15,KV15:KX15,KZ15)-SUM(KM15,KQ15,KU15,KY15)&gt;0,SUM(KK15:KL15,KN15:KP15,KR15:KT15,KV15:KX15,KZ15)-SUM(KM15,KQ15,KU15,KY15),"")</f>
        <v/>
      </c>
      <c r="LM15" s="13" t="str">
        <f>IF(SUM(LA15:LB15,LD15:LF15,LH15)-SUM(LC15,LG15)&gt;0,SUM(LA15:LB15,LD15:LF15,LH15)-SUM(LC15,LG15),"")</f>
        <v/>
      </c>
      <c r="LN15" s="13" t="str">
        <f>IF(SUM(LL15,LM15)&gt;0,SUM(LL15,LM15),"")</f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>IF(SUM(LP15,LT15,LX15,MB15)&gt;0,SUM(LP15,LT15,LX15,MB15),"")</f>
        <v/>
      </c>
      <c r="MN15" s="16" t="str">
        <f>IF(SUM(LO15:LP15,LR15:LT15,LV15)-SUM(LQ15,LU15)&gt;0,SUM(LO15:LP15,LR15:LT15,LV15)-SUM(LQ15,LU15),"")</f>
        <v/>
      </c>
      <c r="MO15" s="16" t="str">
        <f>IF(SUM(LW15:LX15,LZ15:MB15,MD15)-SUM(LY15,MC15)&gt;0,SUM(LW15:LX15,LZ15:MB15,MD15)-SUM(LY15,MC15),"")</f>
        <v/>
      </c>
      <c r="MP15" s="16" t="str">
        <f>IF(SUM(LO15:LP15,LR15:LT15,LV15:LX15,LZ15:MB15,MD15)-SUM(LQ15,LU15,LY15,MC15)&gt;0,SUM(LO15:LP15,LR15:LT15,LV15:LX15,LZ15:MB15,MD15)-SUM(LQ15,LU15,LY15,MC15),"")</f>
        <v/>
      </c>
      <c r="MQ15" s="16" t="str">
        <f>IF(SUM(ME15:MF15,MH15:MJ15,ML15)-SUM(MG15,MK15)&gt;0,SUM(ME15:MF15,MH15:MJ15,ML15)-SUM(MG15,MK15),"")</f>
        <v/>
      </c>
      <c r="MR15" s="16" t="str">
        <f>IF(SUM(MP15,MQ15)&gt;0,SUM(MP15,MQ15),"")</f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>IF(SUM(MT15,MX15,NB15,NF15)&gt;0,SUM(MT15,MX15,NB15,NF15),"")</f>
        <v/>
      </c>
      <c r="NR15" s="13" t="str">
        <f>IF(SUM(MS15:MT15,MV15:MX15,MZ15)-SUM(MU15,MY15)&gt;0,SUM(MS15:MT15,MV15:MX15,MZ15)-SUM(MU15,MY15),"")</f>
        <v/>
      </c>
      <c r="NS15" s="13" t="str">
        <f>IF(SUM(NA15:NB15,ND15:NF15,NH15)-SUM(NC15,NG15)&gt;0,SUM(NA15:NB15,ND15:NF15,NH15)-SUM(NC15,NG15),"")</f>
        <v/>
      </c>
      <c r="NT15" s="13" t="str">
        <f>IF(SUM(MS15:MT15,MV15:MX15,MZ15:NB15,ND15:NF15,NH15)-SUM(MU15,MY15,NC15,NG15)&gt;0,SUM(MS15:MT15,MV15:MX15,MZ15:NB15,ND15:NF15,NH15)-SUM(MU15,MY15,NC15,NG15),"")</f>
        <v/>
      </c>
      <c r="NU15" s="13" t="str">
        <f>IF(SUM(NI15:NJ15,NL15:NN15,NP15)-SUM(NK15,NO15)&gt;0,SUM(NI15:NJ15,NL15:NN15,NP15)-SUM(NK15,NO15),"")</f>
        <v/>
      </c>
      <c r="NV15" s="13" t="str">
        <f>IF(SUM(NT15,NU15)&gt;0,SUM(NT15,NU15),"")</f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>IF(SUM(NX15,OB15,OF15,OJ15)&gt;0,SUM(NX15,OB15,OF15,OJ15),"")</f>
        <v/>
      </c>
      <c r="OV15" s="16" t="str">
        <f>IF(SUM(NW15:NX15,NZ15:OB15,OD15)-SUM(NY15,OC15)&gt;0,SUM(NW15:NX15,NZ15:OB15,OD15)-SUM(NY15,OC15),"")</f>
        <v/>
      </c>
      <c r="OW15" s="16" t="str">
        <f>IF(SUM(OE15:OF15,OH15:OJ15,OL15)-SUM(OG15,OK15)&gt;0,SUM(OE15:OF15,OH15:OJ15,OL15)-SUM(OG15,OK15),"")</f>
        <v/>
      </c>
      <c r="OX15" s="16" t="str">
        <f>IF(SUM(NW15:NX15,NZ15:OB15,OD15:OF15,OH15:OJ15,OL15)-SUM(NY15,OC15,OG15,OK15)&gt;0,SUM(NW15:NX15,NZ15:OB15,OD15:OF15,OH15:OJ15,OL15)-SUM(NY15,OC15,OG15,OK15),"")</f>
        <v/>
      </c>
      <c r="OY15" s="16" t="str">
        <f>IF(SUM(OM15:ON15,OP15:OR15,OT15)-SUM(OO15,OS15)&gt;0,SUM(OM15:ON15,OP15:OR15,OT15)-SUM(OO15,OS15),"")</f>
        <v/>
      </c>
      <c r="OZ15" s="16" t="str">
        <f>IF(SUM(OX15,OY15)&gt;0,SUM(OX15,OY15),"")</f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>IF(SUM(PB15,PF15,PJ15,PN15)&gt;0,SUM(PB15,PF15,PJ15,PN15),"")</f>
        <v/>
      </c>
      <c r="PZ15" s="13" t="str">
        <f>IF(SUM(PA15:PB15,PD15:PF15,PH15)-SUM(PC15,PG15)&gt;0,SUM(PA15:PB15,PD15:PF15,PH15)-SUM(PC15,PG15),"")</f>
        <v/>
      </c>
      <c r="QA15" s="13" t="str">
        <f>IF(SUM(PI15:PJ15,PL15:PN15,PP15)-SUM(PK15,PO15)&gt;0,SUM(PI15:PJ15,PL15:PN15,PP15)-SUM(PK15,PO15),"")</f>
        <v/>
      </c>
      <c r="QB15" s="13" t="str">
        <f>IF(SUM(PA15:PB15,PD15:PF15,PH15:PJ15,PL15:PN15,PP15)-SUM(PC15,PG15,PK15,PO15)&gt;0,SUM(PA15:PB15,PD15:PF15,PH15:PJ15,PL15:PN15,PP15)-SUM(PC15,PG15,PK15,PO15),"")</f>
        <v/>
      </c>
      <c r="QC15" s="13" t="str">
        <f>IF(SUM(PQ15:PR15,PT15:PV15,PX15)-SUM(PS15,PW15)&gt;0,SUM(PQ15:PR15,PT15:PV15,PX15)-SUM(PS15,PW15),"")</f>
        <v/>
      </c>
      <c r="QD15" s="13" t="str">
        <f>IF(SUM(QB15,QC15)&gt;0,SUM(QB15,QC15),"")</f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>IF(SUM(QF15,QJ15,QN15,QR15)&gt;0,SUM(QF15,QJ15,QN15,QR15),"")</f>
        <v/>
      </c>
      <c r="RD15" s="16" t="str">
        <f>IF(SUM(QE15:QF15,QH15:QJ15,QL15)-SUM(QG15,QK15)&gt;0,SUM(QE15:QF15,QH15:QJ15,QL15)-SUM(QG15,QK15),"")</f>
        <v/>
      </c>
      <c r="RE15" s="16" t="str">
        <f>IF(SUM(QM15:QN15,QP15:QR15,QT15)-SUM(QO15,QS15)&gt;0,SUM(QM15:QN15,QP15:QR15,QT15)-SUM(QO15,QS15),"")</f>
        <v/>
      </c>
      <c r="RF15" s="16" t="str">
        <f>IF(SUM(QE15:QF15,QH15:QJ15,QL15:QN15,QP15:QR15,QT15)-SUM(QG15,QK15,QO15,QS15)&gt;0,SUM(QE15:QF15,QH15:QJ15,QL15:QN15,QP15:QR15,QT15)-SUM(QG15,QK15,QO15,QS15),"")</f>
        <v/>
      </c>
      <c r="RG15" s="16" t="str">
        <f>IF(SUM(QU15:QV15,QX15:QZ15,RB15)-SUM(QW15,RA15)&gt;0,SUM(QU15:QV15,QX15:QZ15,RB15)-SUM(QW15,RA15),"")</f>
        <v/>
      </c>
      <c r="RH15" s="16" t="str">
        <f>IF(SUM(RF15,RG15)&gt;0,SUM(RF15,RG15),"")</f>
        <v/>
      </c>
    </row>
    <row r="16" spans="1:476" s="43" customFormat="1" x14ac:dyDescent="0.2">
      <c r="AS16"/>
      <c r="BX16"/>
      <c r="DC16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5" t="str">
        <f>IF(SUM(GZ16,HD16,HH16,HL16)&gt;0,SUM(GZ16,HD16,HH16,HL16),"")</f>
        <v/>
      </c>
      <c r="HX16" s="45" t="str">
        <f>IF(SUM(GY16:GZ16,HB16:HD16,HF16)-SUM(HA16,HE16)&gt;0,SUM(GY16:GZ16,HB16:HD16,HF16)-SUM(HA16,HE16),"")</f>
        <v/>
      </c>
      <c r="HY16" s="45" t="str">
        <f>IF(SUM(HG16:HH16,HJ16:HL16,HN16)-SUM(HI16,HM16)&gt;0,SUM(HG16:HH16,HJ16:HL16,HN16)-SUM(HI16,HM16),"")</f>
        <v/>
      </c>
      <c r="HZ16" s="45" t="str">
        <f>IF(SUM(GY16:GZ16,HB16:HD16,HF16:HH16,HJ16:HL16,HN16)-SUM(HA16,HE16,HI16,HM16)&gt;0,SUM(GY16:GZ16,HB16:HD16,HF16:HH16,HJ16:HL16,HN16)-SUM(HA16,HE16,HI16,HM16),"")</f>
        <v/>
      </c>
      <c r="IA16" s="45" t="str">
        <f>IF(SUM(HO16:HP16,HR16:HT16,HV16)-SUM(HQ16,HU16)&gt;0,SUM(HO16:HP16,HR16:HT16,HV16)-SUM(HQ16,HU16),"")</f>
        <v/>
      </c>
      <c r="IB16" s="45" t="str">
        <f>IF(SUM(HZ16,IA16)&gt;0,SUM(HZ16,IA16),"")</f>
        <v/>
      </c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  <c r="IZ16" s="46"/>
      <c r="JA16" s="45" t="str">
        <f>IF(SUM(ID16,IH16,IL16,IP16)&gt;0,SUM(ID16,IH16,IL16,IP16),"")</f>
        <v/>
      </c>
      <c r="JB16" s="45" t="str">
        <f>IF(SUM(IC16:ID16,IF16:IH16,IJ16)-SUM(IE16,II16)&gt;0,SUM(IC16:ID16,IF16:IH16,IJ16)-SUM(IE16,II16),"")</f>
        <v/>
      </c>
      <c r="JC16" s="45" t="str">
        <f>IF(SUM(IK16:IL16,IN16:IP16,IR16)-SUM(IM16,IQ16)&gt;0,SUM(IK16:IL16,IN16:IP16,IR16)-SUM(IM16,IQ16),"")</f>
        <v/>
      </c>
      <c r="JD16" s="45" t="str">
        <f>IF(SUM(IC16:ID16,IF16:IH16,IJ16:IL16,IN16:IP16,IR16)-SUM(IE16,II16,IM16,IQ16)&gt;0,SUM(IC16:ID16,IF16:IH16,IJ16:IL16,IN16:IP16,IR16)-SUM(IE16,II16,IM16,IQ16),"")</f>
        <v/>
      </c>
      <c r="JE16" s="45" t="str">
        <f>IF(SUM(IS16:IT16,IV16:IX16,IZ16)-SUM(IU16,IY16)&gt;0,SUM(IS16:IT16,IV16:IX16,IZ16)-SUM(IU16,IY16),"")</f>
        <v/>
      </c>
      <c r="JF16" s="45" t="str">
        <f>IF(SUM(JD16,JE16)&gt;0,SUM(JD16,JE16),"")</f>
        <v/>
      </c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4"/>
      <c r="KC16" s="44"/>
      <c r="KD16" s="44"/>
      <c r="KE16" s="45" t="str">
        <f>IF(SUM(JH16,JL16,JP16,JT16)&gt;0,SUM(JH16,JL16,JP16,JT16),"")</f>
        <v/>
      </c>
      <c r="KF16" s="45" t="str">
        <f>IF(SUM(JG16:JH16,JJ16:JL16,JN16)-SUM(JI16,JM16)&gt;0,SUM(JG16:JH16,JJ16:JL16,JN16)-SUM(JI16,JM16),"")</f>
        <v/>
      </c>
      <c r="KG16" s="45" t="str">
        <f>IF(SUM(JO16:JP16,JR16:JT16,JV16)-SUM(JQ16,JU16)&gt;0,SUM(JO16:JP16,JR16:JT16,JV16)-SUM(JQ16,JU16),"")</f>
        <v/>
      </c>
      <c r="KH16" s="45" t="str">
        <f>IF(SUM(JG16:JH16,JJ16:JL16,JN16:JP16,JR16:JT16,JV16)-SUM(JI16,JM16,JQ16,JU16)&gt;0,SUM(JG16:JH16,JJ16:JL16,JN16:JP16,JR16:JT16,JV16)-SUM(JI16,JM16,JQ16,JU16),"")</f>
        <v/>
      </c>
      <c r="KI16" s="45" t="str">
        <f>IF(SUM(JW16:JX16,JZ16:KB16,KD16)-SUM(JY16,KC16)&gt;0,SUM(JW16:JX16,JZ16:KB16,KD16)-SUM(JY16,KC16),"")</f>
        <v/>
      </c>
      <c r="KJ16" s="45" t="str">
        <f>IF(SUM(KH16,KI16)&gt;0,SUM(KH16,KI16),"")</f>
        <v/>
      </c>
      <c r="KK16" s="46"/>
      <c r="KL16" s="46"/>
      <c r="KM16" s="46"/>
      <c r="KN16" s="46"/>
      <c r="KO16" s="46"/>
      <c r="KP16" s="46"/>
      <c r="KQ16" s="46"/>
      <c r="KR16" s="46"/>
      <c r="KS16" s="46"/>
      <c r="KT16" s="46"/>
      <c r="KU16" s="46"/>
      <c r="KV16" s="46"/>
      <c r="KW16" s="46"/>
      <c r="KX16" s="46"/>
      <c r="KY16" s="46"/>
      <c r="KZ16" s="46"/>
      <c r="LA16" s="46"/>
      <c r="LB16" s="46"/>
      <c r="LC16" s="46"/>
      <c r="LD16" s="46"/>
      <c r="LE16" s="46"/>
      <c r="LF16" s="46"/>
      <c r="LG16" s="46"/>
      <c r="LH16" s="46"/>
      <c r="LI16" s="45" t="str">
        <f>IF(SUM(KL16,KP16,KT16,KX16)&gt;0,SUM(KL16,KP16,KT16,KX16),"")</f>
        <v/>
      </c>
      <c r="LJ16" s="45" t="str">
        <f>IF(SUM(KK16:KL16,KN16:KP16,KR16)-SUM(KM16,KQ16)&gt;0,SUM(KK16:KL16,KN16:KP16,KR16)-SUM(KM16,KQ16),"")</f>
        <v/>
      </c>
      <c r="LK16" s="45" t="str">
        <f>IF(SUM(KS16:KT16,KV16:KX16,KZ16)-SUM(KU16,KY16)&gt;0,SUM(KS16:KT16,KV16:KX16,KZ16)-SUM(KU16,KY16),"")</f>
        <v/>
      </c>
      <c r="LL16" s="45" t="str">
        <f>IF(SUM(KK16:KL16,KN16:KP16,KR16:KT16,KV16:KX16,KZ16)-SUM(KM16,KQ16,KU16,KY16)&gt;0,SUM(KK16:KL16,KN16:KP16,KR16:KT16,KV16:KX16,KZ16)-SUM(KM16,KQ16,KU16,KY16),"")</f>
        <v/>
      </c>
      <c r="LM16" s="45" t="str">
        <f>IF(SUM(LA16:LB16,LD16:LF16,LH16)-SUM(LC16,LG16)&gt;0,SUM(LA16:LB16,LD16:LF16,LH16)-SUM(LC16,LG16),"")</f>
        <v/>
      </c>
      <c r="LN16" s="45" t="str">
        <f>IF(SUM(LL16,LM16)&gt;0,SUM(LL16,LM16),"")</f>
        <v/>
      </c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4"/>
      <c r="MK16" s="44"/>
      <c r="ML16" s="44"/>
      <c r="MM16" s="45" t="str">
        <f>IF(SUM(LP16,LT16,LX16,MB16)&gt;0,SUM(LP16,LT16,LX16,MB16),"")</f>
        <v/>
      </c>
      <c r="MN16" s="45" t="str">
        <f>IF(SUM(LO16:LP16,LR16:LT16,LV16)-SUM(LQ16,LU16)&gt;0,SUM(LO16:LP16,LR16:LT16,LV16)-SUM(LQ16,LU16),"")</f>
        <v/>
      </c>
      <c r="MO16" s="45" t="str">
        <f>IF(SUM(LW16:LX16,LZ16:MB16,MD16)-SUM(LY16,MC16)&gt;0,SUM(LW16:LX16,LZ16:MB16,MD16)-SUM(LY16,MC16),"")</f>
        <v/>
      </c>
      <c r="MP16" s="45" t="str">
        <f>IF(SUM(LO16:LP16,LR16:LT16,LV16:LX16,LZ16:MB16,MD16)-SUM(LQ16,LU16,LY16,MC16)&gt;0,SUM(LO16:LP16,LR16:LT16,LV16:LX16,LZ16:MB16,MD16)-SUM(LQ16,LU16,LY16,MC16),"")</f>
        <v/>
      </c>
      <c r="MQ16" s="45" t="str">
        <f>IF(SUM(ME16:MF16,MH16:MJ16,ML16)-SUM(MG16,MK16)&gt;0,SUM(ME16:MF16,MH16:MJ16,ML16)-SUM(MG16,MK16),"")</f>
        <v/>
      </c>
      <c r="MR16" s="45" t="str">
        <f>IF(SUM(MP16,MQ16)&gt;0,SUM(MP16,MQ16),"")</f>
        <v/>
      </c>
      <c r="MS16" s="46"/>
      <c r="MT16" s="46"/>
      <c r="MU16" s="46"/>
      <c r="MV16" s="46"/>
      <c r="MW16" s="46"/>
      <c r="MX16" s="46"/>
      <c r="MY16" s="46"/>
      <c r="MZ16" s="46"/>
      <c r="NA16" s="46"/>
      <c r="NB16" s="46"/>
      <c r="NC16" s="46"/>
      <c r="ND16" s="46"/>
      <c r="NE16" s="46"/>
      <c r="NF16" s="46"/>
      <c r="NG16" s="46"/>
      <c r="NH16" s="46"/>
      <c r="NI16" s="46"/>
      <c r="NJ16" s="46"/>
      <c r="NK16" s="46"/>
      <c r="NL16" s="46"/>
      <c r="NM16" s="46"/>
      <c r="NN16" s="46"/>
      <c r="NO16" s="46"/>
      <c r="NP16" s="46"/>
      <c r="NQ16" s="45" t="str">
        <f>IF(SUM(MT16,MX16,NB16,NF16)&gt;0,SUM(MT16,MX16,NB16,NF16),"")</f>
        <v/>
      </c>
      <c r="NR16" s="45" t="str">
        <f>IF(SUM(MS16:MT16,MV16:MX16,MZ16)-SUM(MU16,MY16)&gt;0,SUM(MS16:MT16,MV16:MX16,MZ16)-SUM(MU16,MY16),"")</f>
        <v/>
      </c>
      <c r="NS16" s="45" t="str">
        <f>IF(SUM(NA16:NB16,ND16:NF16,NH16)-SUM(NC16,NG16)&gt;0,SUM(NA16:NB16,ND16:NF16,NH16)-SUM(NC16,NG16),"")</f>
        <v/>
      </c>
      <c r="NT16" s="45" t="str">
        <f>IF(SUM(MS16:MT16,MV16:MX16,MZ16:NB16,ND16:NF16,NH16)-SUM(MU16,MY16,NC16,NG16)&gt;0,SUM(MS16:MT16,MV16:MX16,MZ16:NB16,ND16:NF16,NH16)-SUM(MU16,MY16,NC16,NG16),"")</f>
        <v/>
      </c>
      <c r="NU16" s="45" t="str">
        <f>IF(SUM(NI16:NJ16,NL16:NN16,NP16)-SUM(NK16,NO16)&gt;0,SUM(NI16:NJ16,NL16:NN16,NP16)-SUM(NK16,NO16),"")</f>
        <v/>
      </c>
      <c r="NV16" s="45" t="str">
        <f>IF(SUM(NT16,NU16)&gt;0,SUM(NT16,NU16),"")</f>
        <v/>
      </c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4"/>
      <c r="OS16" s="44"/>
      <c r="OT16" s="44"/>
      <c r="OU16" s="45" t="str">
        <f>IF(SUM(NX16,OB16,OF16,OJ16)&gt;0,SUM(NX16,OB16,OF16,OJ16),"")</f>
        <v/>
      </c>
      <c r="OV16" s="45" t="str">
        <f>IF(SUM(NW16:NX16,NZ16:OB16,OD16)-SUM(NY16,OC16)&gt;0,SUM(NW16:NX16,NZ16:OB16,OD16)-SUM(NY16,OC16),"")</f>
        <v/>
      </c>
      <c r="OW16" s="45" t="str">
        <f>IF(SUM(OE16:OF16,OH16:OJ16,OL16)-SUM(OG16,OK16)&gt;0,SUM(OE16:OF16,OH16:OJ16,OL16)-SUM(OG16,OK16),"")</f>
        <v/>
      </c>
      <c r="OX16" s="45" t="str">
        <f>IF(SUM(NW16:NX16,NZ16:OB16,OD16:OF16,OH16:OJ16,OL16)-SUM(NY16,OC16,OG16,OK16)&gt;0,SUM(NW16:NX16,NZ16:OB16,OD16:OF16,OH16:OJ16,OL16)-SUM(NY16,OC16,OG16,OK16),"")</f>
        <v/>
      </c>
      <c r="OY16" s="45" t="str">
        <f>IF(SUM(OM16:ON16,OP16:OR16,OT16)-SUM(OO16,OS16)&gt;0,SUM(OM16:ON16,OP16:OR16,OT16)-SUM(OO16,OS16),"")</f>
        <v/>
      </c>
      <c r="OZ16" s="45" t="str">
        <f>IF(SUM(OX16,OY16)&gt;0,SUM(OX16,OY16),"")</f>
        <v/>
      </c>
      <c r="PA16" s="46"/>
      <c r="PB16" s="46"/>
      <c r="PC16" s="46"/>
      <c r="PD16" s="46"/>
      <c r="PE16" s="46"/>
      <c r="PF16" s="46"/>
      <c r="PG16" s="46"/>
      <c r="PH16" s="46"/>
      <c r="PI16" s="46"/>
      <c r="PJ16" s="46"/>
      <c r="PK16" s="46"/>
      <c r="PL16" s="46"/>
      <c r="PM16" s="46"/>
      <c r="PN16" s="46"/>
      <c r="PO16" s="46"/>
      <c r="PP16" s="46"/>
      <c r="PQ16" s="46"/>
      <c r="PR16" s="46"/>
      <c r="PS16" s="46"/>
      <c r="PT16" s="46"/>
      <c r="PU16" s="46"/>
      <c r="PV16" s="46"/>
      <c r="PW16" s="46"/>
      <c r="PX16" s="46"/>
      <c r="PY16" s="45" t="str">
        <f>IF(SUM(PB16,PF16,PJ16,PN16)&gt;0,SUM(PB16,PF16,PJ16,PN16),"")</f>
        <v/>
      </c>
      <c r="PZ16" s="45" t="str">
        <f>IF(SUM(PA16:PB16,PD16:PF16,PH16)-SUM(PC16,PG16)&gt;0,SUM(PA16:PB16,PD16:PF16,PH16)-SUM(PC16,PG16),"")</f>
        <v/>
      </c>
      <c r="QA16" s="45" t="str">
        <f>IF(SUM(PI16:PJ16,PL16:PN16,PP16)-SUM(PK16,PO16)&gt;0,SUM(PI16:PJ16,PL16:PN16,PP16)-SUM(PK16,PO16),"")</f>
        <v/>
      </c>
      <c r="QB16" s="45" t="str">
        <f>IF(SUM(PA16:PB16,PD16:PF16,PH16:PJ16,PL16:PN16,PP16)-SUM(PC16,PG16,PK16,PO16)&gt;0,SUM(PA16:PB16,PD16:PF16,PH16:PJ16,PL16:PN16,PP16)-SUM(PC16,PG16,PK16,PO16),"")</f>
        <v/>
      </c>
      <c r="QC16" s="45" t="str">
        <f>IF(SUM(PQ16:PR16,PT16:PV16,PX16)-SUM(PS16,PW16)&gt;0,SUM(PQ16:PR16,PT16:PV16,PX16)-SUM(PS16,PW16),"")</f>
        <v/>
      </c>
      <c r="QD16" s="45" t="str">
        <f>IF(SUM(QB16,QC16)&gt;0,SUM(QB16,QC16),"")</f>
        <v/>
      </c>
      <c r="QE16" s="44"/>
      <c r="QF16" s="44"/>
      <c r="QG16" s="44"/>
      <c r="QH16" s="44"/>
      <c r="QI16" s="44"/>
      <c r="QJ16" s="44"/>
      <c r="QK16" s="44"/>
      <c r="QL16" s="44"/>
      <c r="QM16" s="44"/>
      <c r="QN16" s="44"/>
      <c r="QO16" s="44"/>
      <c r="QP16" s="44"/>
      <c r="QQ16" s="44"/>
      <c r="QR16" s="44"/>
      <c r="QS16" s="44"/>
      <c r="QT16" s="44"/>
      <c r="QU16" s="44"/>
      <c r="QV16" s="44"/>
      <c r="QW16" s="44"/>
      <c r="QX16" s="44"/>
      <c r="QY16" s="44"/>
      <c r="QZ16" s="44"/>
      <c r="RA16" s="44"/>
      <c r="RB16" s="44"/>
      <c r="RC16" s="45" t="str">
        <f>IF(SUM(QF16,QJ16,QN16,QR16)&gt;0,SUM(QF16,QJ16,QN16,QR16),"")</f>
        <v/>
      </c>
      <c r="RD16" s="45" t="str">
        <f>IF(SUM(QE16:QF16,QH16:QJ16,QL16)-SUM(QG16,QK16)&gt;0,SUM(QE16:QF16,QH16:QJ16,QL16)-SUM(QG16,QK16),"")</f>
        <v/>
      </c>
      <c r="RE16" s="45" t="str">
        <f>IF(SUM(QM16:QN16,QP16:QR16,QT16)-SUM(QO16,QS16)&gt;0,SUM(QM16:QN16,QP16:QR16,QT16)-SUM(QO16,QS16),"")</f>
        <v/>
      </c>
      <c r="RF16" s="45" t="str">
        <f>IF(SUM(QE16:QF16,QH16:QJ16,QL16:QN16,QP16:QR16,QT16)-SUM(QG16,QK16,QO16,QS16)&gt;0,SUM(QE16:QF16,QH16:QJ16,QL16:QN16,QP16:QR16,QT16)-SUM(QG16,QK16,QO16,QS16),"")</f>
        <v/>
      </c>
      <c r="RG16" s="45" t="str">
        <f>IF(SUM(QU16:QV16,QX16:QZ16,RB16)-SUM(QW16,RA16)&gt;0,SUM(QU16:QV16,QX16:QZ16,RB16)-SUM(QW16,RA16),"")</f>
        <v/>
      </c>
      <c r="RH16" s="45" t="str">
        <f>IF(SUM(RF16,RG16)&gt;0,SUM(RF16,RG16),"")</f>
        <v/>
      </c>
    </row>
    <row r="18" spans="1:474" x14ac:dyDescent="0.2">
      <c r="B18" s="82" t="s">
        <v>120</v>
      </c>
      <c r="AT18" s="66"/>
      <c r="AU18" s="75">
        <v>22</v>
      </c>
      <c r="AW18" s="66"/>
      <c r="BY18" s="66"/>
      <c r="BZ18" s="75">
        <v>22</v>
      </c>
      <c r="CB18" s="66"/>
      <c r="DD18" s="66"/>
      <c r="DE18" s="75">
        <v>22</v>
      </c>
      <c r="DG18" s="66"/>
      <c r="EK18" s="66"/>
      <c r="EL18" s="75">
        <v>22</v>
      </c>
      <c r="EN18" s="66"/>
      <c r="FO18" s="66"/>
      <c r="FP18" s="75">
        <v>22</v>
      </c>
      <c r="FR18" s="66"/>
      <c r="GS18" s="66"/>
      <c r="GT18" s="75">
        <v>22</v>
      </c>
      <c r="GV18" s="66"/>
      <c r="HW18" s="66"/>
      <c r="HX18" s="75">
        <v>22</v>
      </c>
      <c r="HZ18" s="66"/>
      <c r="JA18" s="66"/>
      <c r="JB18" s="75">
        <v>22</v>
      </c>
      <c r="JD18" s="66"/>
      <c r="KE18" s="66"/>
      <c r="KF18" s="75">
        <v>22</v>
      </c>
      <c r="KH18" s="66"/>
      <c r="LI18" s="66"/>
      <c r="LJ18" s="75">
        <v>22</v>
      </c>
      <c r="LL18" s="66"/>
      <c r="MM18" s="66"/>
      <c r="MN18" s="75">
        <v>22</v>
      </c>
      <c r="MP18" s="66"/>
      <c r="NQ18" s="66"/>
      <c r="NR18" s="75">
        <v>22</v>
      </c>
      <c r="NT18" s="66"/>
      <c r="OU18" s="66"/>
      <c r="OV18" s="75">
        <v>22</v>
      </c>
      <c r="OX18" s="66"/>
      <c r="PY18" s="66"/>
      <c r="PZ18" s="75">
        <v>22</v>
      </c>
      <c r="QB18" s="66"/>
      <c r="RC18" s="66"/>
      <c r="RD18" s="75">
        <v>22</v>
      </c>
      <c r="RF18" s="66"/>
    </row>
    <row r="19" spans="1:474" x14ac:dyDescent="0.2">
      <c r="A19" s="66"/>
      <c r="B19" s="83" t="s">
        <v>119</v>
      </c>
      <c r="C19" s="65"/>
      <c r="AT19" s="66"/>
      <c r="AU19" s="76">
        <v>22</v>
      </c>
      <c r="AW19" s="66"/>
      <c r="BY19" s="66"/>
      <c r="BZ19" s="76">
        <v>22</v>
      </c>
      <c r="CB19" s="66"/>
      <c r="DD19" s="66"/>
      <c r="DE19" s="76">
        <v>22</v>
      </c>
      <c r="DG19" s="66"/>
      <c r="EK19" s="66"/>
      <c r="EL19" s="76">
        <v>22</v>
      </c>
      <c r="EN19" s="66"/>
      <c r="FO19" s="66"/>
      <c r="FP19" s="76">
        <v>22</v>
      </c>
      <c r="FR19" s="66"/>
      <c r="GS19" s="66"/>
      <c r="GT19" s="76">
        <v>22</v>
      </c>
      <c r="GV19" s="66"/>
      <c r="HW19" s="66"/>
      <c r="HX19" s="76">
        <v>22</v>
      </c>
      <c r="HZ19" s="66"/>
      <c r="JA19" s="66"/>
      <c r="JB19" s="76">
        <v>22</v>
      </c>
      <c r="JD19" s="66"/>
      <c r="KE19" s="66"/>
      <c r="KF19" s="76">
        <v>22</v>
      </c>
      <c r="KH19" s="66"/>
      <c r="LI19" s="66"/>
      <c r="LJ19" s="76">
        <v>22</v>
      </c>
      <c r="LL19" s="66"/>
      <c r="MM19" s="66"/>
      <c r="MN19" s="76">
        <v>22</v>
      </c>
      <c r="MP19" s="66"/>
      <c r="NQ19" s="66"/>
      <c r="NR19" s="76">
        <v>22</v>
      </c>
      <c r="NT19" s="66"/>
      <c r="OU19" s="66"/>
      <c r="OV19" s="76">
        <v>22</v>
      </c>
      <c r="OX19" s="66"/>
      <c r="PY19" s="66"/>
      <c r="PZ19" s="76">
        <v>22</v>
      </c>
      <c r="QB19" s="66"/>
      <c r="RC19" s="66"/>
      <c r="RD19" s="76">
        <v>22</v>
      </c>
      <c r="RF19" s="66"/>
    </row>
    <row r="20" spans="1:474" x14ac:dyDescent="0.2">
      <c r="A20" s="66"/>
      <c r="B20" s="84" t="s">
        <v>117</v>
      </c>
      <c r="C20" s="65"/>
      <c r="AT20" s="66"/>
      <c r="AU20" s="77">
        <v>130.6</v>
      </c>
      <c r="AW20" s="66"/>
      <c r="BY20" s="66"/>
      <c r="BZ20" s="77">
        <v>130.5</v>
      </c>
      <c r="CB20" s="66"/>
      <c r="DD20" s="66"/>
      <c r="DE20" s="77">
        <v>130.5</v>
      </c>
      <c r="DG20" s="66"/>
      <c r="EK20" s="66"/>
      <c r="EL20" s="77">
        <v>130.6</v>
      </c>
      <c r="EN20" s="66"/>
      <c r="FO20" s="66"/>
      <c r="FP20" s="77">
        <v>130.6</v>
      </c>
      <c r="FR20" s="66"/>
      <c r="GS20" s="66"/>
      <c r="GT20" s="77">
        <v>130.6</v>
      </c>
      <c r="GV20" s="66"/>
      <c r="HW20" s="66"/>
      <c r="HX20" s="77">
        <v>130.6</v>
      </c>
      <c r="HZ20" s="66"/>
      <c r="JA20" s="66"/>
      <c r="JB20" s="77">
        <v>130.5</v>
      </c>
      <c r="JD20" s="66"/>
      <c r="KE20" s="66"/>
      <c r="KF20" s="77">
        <v>130.5</v>
      </c>
      <c r="KH20" s="66"/>
      <c r="LI20" s="66"/>
      <c r="LJ20" s="77">
        <v>130.5</v>
      </c>
      <c r="LL20" s="66"/>
      <c r="MM20" s="66"/>
      <c r="MN20" s="77">
        <v>130.5</v>
      </c>
      <c r="MP20" s="66"/>
      <c r="NQ20" s="66"/>
      <c r="NR20" s="77">
        <v>130.5</v>
      </c>
      <c r="NT20" s="66"/>
      <c r="OU20" s="66"/>
      <c r="OV20" s="77">
        <v>130.5</v>
      </c>
      <c r="OX20" s="66"/>
      <c r="PY20" s="66"/>
      <c r="PZ20" s="77">
        <v>130.5</v>
      </c>
      <c r="QB20" s="66"/>
      <c r="RC20" s="66"/>
      <c r="RD20" s="77">
        <v>130.5</v>
      </c>
      <c r="RF20" s="66"/>
    </row>
    <row r="21" spans="1:474" x14ac:dyDescent="0.2">
      <c r="A21" s="66"/>
      <c r="B21" s="85" t="s">
        <v>118</v>
      </c>
      <c r="C21" s="65"/>
      <c r="AT21" s="66"/>
      <c r="AU21" s="78">
        <v>130.6</v>
      </c>
      <c r="AW21" s="66"/>
      <c r="BY21" s="66"/>
      <c r="BZ21" s="78">
        <v>132</v>
      </c>
      <c r="CB21" s="66"/>
      <c r="DD21" s="66"/>
      <c r="DE21" s="78">
        <v>132</v>
      </c>
      <c r="DG21" s="66"/>
      <c r="EK21" s="66"/>
      <c r="EL21" s="78">
        <v>130.6</v>
      </c>
      <c r="EN21" s="66"/>
      <c r="FO21" s="66"/>
      <c r="FP21" s="78">
        <v>130.6</v>
      </c>
      <c r="FR21" s="66"/>
      <c r="GS21" s="66"/>
      <c r="GT21" s="78">
        <v>130.6</v>
      </c>
      <c r="GV21" s="66"/>
      <c r="HW21" s="66"/>
      <c r="HX21" s="78">
        <v>130.6</v>
      </c>
      <c r="HZ21" s="66"/>
      <c r="JA21" s="66"/>
      <c r="JB21" s="78">
        <v>132</v>
      </c>
      <c r="JD21" s="66"/>
      <c r="KE21" s="66"/>
      <c r="KF21" s="78">
        <v>132</v>
      </c>
      <c r="KH21" s="66"/>
      <c r="LI21" s="66"/>
      <c r="LJ21" s="78">
        <v>132</v>
      </c>
      <c r="LL21" s="66"/>
      <c r="MM21" s="66"/>
      <c r="MN21" s="78">
        <v>132</v>
      </c>
      <c r="MP21" s="66"/>
      <c r="NQ21" s="66"/>
      <c r="NR21" s="78">
        <v>132</v>
      </c>
      <c r="NT21" s="66"/>
      <c r="OU21" s="66"/>
      <c r="OV21" s="78">
        <v>132</v>
      </c>
      <c r="OX21" s="66"/>
      <c r="PY21" s="66"/>
      <c r="PZ21" s="78">
        <v>132</v>
      </c>
      <c r="QB21" s="66"/>
      <c r="RC21" s="66"/>
      <c r="RD21" s="78">
        <v>132</v>
      </c>
      <c r="RF21" s="66"/>
    </row>
    <row r="22" spans="1:474" x14ac:dyDescent="0.2">
      <c r="A22" s="66"/>
      <c r="B22" s="86" t="s">
        <v>38</v>
      </c>
      <c r="C22" s="65"/>
      <c r="AT22" s="66"/>
      <c r="AU22" s="79">
        <v>134.1</v>
      </c>
      <c r="AW22" s="66"/>
      <c r="BY22" s="66"/>
      <c r="BZ22" s="79">
        <v>134</v>
      </c>
      <c r="CB22" s="66"/>
      <c r="DD22" s="66"/>
      <c r="DE22" s="79">
        <v>134</v>
      </c>
      <c r="DG22" s="66"/>
      <c r="EK22" s="66"/>
      <c r="EL22" s="79">
        <v>134.1</v>
      </c>
      <c r="EN22" s="66"/>
      <c r="FO22" s="66"/>
      <c r="FP22" s="79">
        <v>134.1</v>
      </c>
      <c r="FR22" s="66"/>
      <c r="GS22" s="66"/>
      <c r="GT22" s="79">
        <v>134.1</v>
      </c>
      <c r="GV22" s="66"/>
      <c r="HW22" s="66"/>
      <c r="HX22" s="79">
        <v>134.1</v>
      </c>
      <c r="HZ22" s="66"/>
      <c r="JA22" s="66"/>
      <c r="JB22" s="79">
        <v>134</v>
      </c>
      <c r="JD22" s="66"/>
      <c r="KE22" s="66"/>
      <c r="KF22" s="79">
        <v>134</v>
      </c>
      <c r="KH22" s="66"/>
      <c r="LI22" s="66"/>
      <c r="LJ22" s="79">
        <v>134</v>
      </c>
      <c r="LL22" s="66"/>
      <c r="MM22" s="66"/>
      <c r="MN22" s="79">
        <v>134</v>
      </c>
      <c r="MP22" s="66"/>
      <c r="NQ22" s="66"/>
      <c r="NR22" s="79">
        <v>134</v>
      </c>
      <c r="NT22" s="66"/>
      <c r="OU22" s="66"/>
      <c r="OV22" s="79">
        <v>134</v>
      </c>
      <c r="OX22" s="66"/>
      <c r="PY22" s="66"/>
      <c r="PZ22" s="79">
        <v>134</v>
      </c>
      <c r="QB22" s="66"/>
      <c r="RC22" s="66"/>
      <c r="RD22" s="79">
        <v>134</v>
      </c>
      <c r="RF22" s="66"/>
    </row>
    <row r="23" spans="1:474" x14ac:dyDescent="0.2">
      <c r="A23" s="66"/>
      <c r="B23" s="87" t="s">
        <v>88</v>
      </c>
      <c r="C23" s="65"/>
      <c r="AT23" s="66"/>
      <c r="AU23" s="80">
        <v>137.80000000000001</v>
      </c>
      <c r="AW23" s="66"/>
      <c r="BY23" s="66"/>
      <c r="BZ23" s="80">
        <v>137</v>
      </c>
      <c r="CB23" s="66"/>
      <c r="DD23" s="66"/>
      <c r="DE23" s="80">
        <v>137</v>
      </c>
      <c r="DG23" s="66"/>
      <c r="EK23" s="66"/>
      <c r="EL23" s="80">
        <v>137.80000000000001</v>
      </c>
      <c r="EN23" s="66"/>
      <c r="FO23" s="66"/>
      <c r="FP23" s="80">
        <v>137.80000000000001</v>
      </c>
      <c r="FR23" s="66"/>
      <c r="GS23" s="66"/>
      <c r="GT23" s="80">
        <v>137.80000000000001</v>
      </c>
      <c r="GV23" s="66"/>
      <c r="HW23" s="66"/>
      <c r="HX23" s="80">
        <v>137.80000000000001</v>
      </c>
      <c r="HZ23" s="66"/>
      <c r="JA23" s="66"/>
      <c r="JB23" s="80">
        <v>137</v>
      </c>
      <c r="JD23" s="66"/>
      <c r="KE23" s="66"/>
      <c r="KF23" s="80">
        <v>137</v>
      </c>
      <c r="KH23" s="66"/>
      <c r="LI23" s="66"/>
      <c r="LJ23" s="80">
        <v>137</v>
      </c>
      <c r="LL23" s="66"/>
      <c r="MM23" s="66"/>
      <c r="MN23" s="80">
        <v>137</v>
      </c>
      <c r="MP23" s="66"/>
      <c r="NQ23" s="66"/>
      <c r="NR23" s="80">
        <v>137</v>
      </c>
      <c r="NT23" s="66"/>
      <c r="OU23" s="66"/>
      <c r="OV23" s="80">
        <v>137</v>
      </c>
      <c r="OX23" s="66"/>
      <c r="PY23" s="66"/>
      <c r="PZ23" s="80">
        <v>137</v>
      </c>
      <c r="QB23" s="66"/>
      <c r="RC23" s="66"/>
      <c r="RD23" s="80">
        <v>137</v>
      </c>
      <c r="RF23" s="66"/>
    </row>
    <row r="24" spans="1:474" x14ac:dyDescent="0.2">
      <c r="A24" s="7"/>
      <c r="B24" s="95" t="s">
        <v>160</v>
      </c>
      <c r="C24" s="65"/>
      <c r="AU24" s="64" t="s">
        <v>138</v>
      </c>
      <c r="BY24" s="7"/>
      <c r="BZ24" s="64"/>
      <c r="CB24" s="7"/>
      <c r="EL24" s="64" t="s">
        <v>138</v>
      </c>
      <c r="FP24" s="64" t="s">
        <v>138</v>
      </c>
      <c r="GT24" s="64" t="s">
        <v>138</v>
      </c>
      <c r="HW24" s="7"/>
      <c r="HX24" s="64" t="s">
        <v>138</v>
      </c>
      <c r="HZ24" s="7"/>
      <c r="JB24" s="64"/>
    </row>
    <row r="25" spans="1:474" x14ac:dyDescent="0.2">
      <c r="A25" s="66"/>
      <c r="B25" s="66"/>
      <c r="C25" s="65"/>
    </row>
    <row r="26" spans="1:474" x14ac:dyDescent="0.2">
      <c r="A26" s="66"/>
      <c r="B26" s="66"/>
      <c r="C26" s="65"/>
    </row>
    <row r="27" spans="1:474" x14ac:dyDescent="0.2">
      <c r="A27" s="66"/>
      <c r="B27" s="66"/>
      <c r="C27" s="65"/>
    </row>
    <row r="30" spans="1:474" x14ac:dyDescent="0.2">
      <c r="DJ30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6">
      <sortCondition descending="1" ref="F1:F14"/>
    </sortState>
  </autoFilter>
  <mergeCells count="126"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</mergeCells>
  <conditionalFormatting sqref="A1:A1048576">
    <cfRule type="expression" dxfId="26" priority="116">
      <formula>AND(H1="P",F1="")</formula>
    </cfRule>
  </conditionalFormatting>
  <conditionalFormatting sqref="I1:I3 I16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5">
    <cfRule type="expression" dxfId="21" priority="14">
      <formula>IF($BX4&lt;&gt;"",1,0)</formula>
    </cfRule>
  </conditionalFormatting>
  <conditionalFormatting sqref="CE4:DI15">
    <cfRule type="expression" dxfId="20" priority="12">
      <formula>IF($DC4&lt;&gt;"",1,0)</formula>
    </cfRule>
  </conditionalFormatting>
  <conditionalFormatting sqref="U4:AY15">
    <cfRule type="expression" dxfId="19" priority="11">
      <formula>IF($AS4&lt;&gt;"",1,0)</formula>
    </cfRule>
  </conditionalFormatting>
  <conditionalFormatting sqref="I4:I15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4" priority="2338" operator="between">
      <formula>EL$19</formula>
      <formula>100</formula>
    </cfRule>
    <cfRule type="cellIs" dxfId="13" priority="2339" operator="between">
      <formula>EL$18</formula>
      <formula>EL$19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12" priority="2428" operator="between">
      <formula>EL$23</formula>
      <formula>1000</formula>
    </cfRule>
    <cfRule type="cellIs" dxfId="11" priority="2429" operator="between">
      <formula>EL$22</formula>
      <formula>EL$23</formula>
    </cfRule>
    <cfRule type="cellIs" dxfId="10" priority="2430" operator="between">
      <formula>EL$21</formula>
      <formula>EL$22</formula>
    </cfRule>
    <cfRule type="cellIs" dxfId="9" priority="2431" operator="between">
      <formula>EL$20</formula>
      <formula>EL$21</formula>
    </cfRule>
  </conditionalFormatting>
  <conditionalFormatting sqref="AT1:AT1048576 BY1:BY1048576 DD1:DD1048576">
    <cfRule type="expression" dxfId="8" priority="5">
      <formula>IF(AND(AT1&gt;=AU$19,AT1&lt;1000,AS1=""),1,0)</formula>
    </cfRule>
    <cfRule type="expression" dxfId="7" priority="6">
      <formula>IF(AND(AT1&gt;=AU$18,AT1&lt;AU$19,AS1=""),1,0)</formula>
    </cfRule>
  </conditionalFormatting>
  <conditionalFormatting sqref="AW1:AW1048576 CB1:CB1048576 DG1:DG1048576">
    <cfRule type="expression" dxfId="6" priority="1">
      <formula>IF(AND(AW1&gt;=AU$23,AW1&lt;1000,AS1=""),1,0)</formula>
    </cfRule>
    <cfRule type="expression" dxfId="5" priority="2">
      <formula>IF(AND(AW1&gt;=AU$22,AW1&lt;AU$23,AS1=""),1,0)</formula>
    </cfRule>
    <cfRule type="expression" dxfId="4" priority="3">
      <formula>IF(AND(AW1&gt;=AU$21,AW1&lt;AU$22,AS1=""),1,0)</formula>
    </cfRule>
    <cfRule type="expression" dxfId="3" priority="4">
      <formula>IF(AND(AW1&gt;=AU$20,AW1&lt;AU$21,AS1=""),1,0)</formula>
    </cfRule>
  </conditionalFormatting>
  <conditionalFormatting sqref="K1:K1048576 M1:M1048576 O1:O1048576 Q1:Q1048576">
    <cfRule type="expression" dxfId="2" priority="1442">
      <formula>IF(K1=$CE$1,1,0)</formula>
    </cfRule>
    <cfRule type="expression" dxfId="1" priority="1443">
      <formula>IF(K1=$AZ$1,1,0)</formula>
    </cfRule>
    <cfRule type="expression" dxfId="0" priority="1444">
      <formula>IF(K1=$U$1,1,0)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2018-08-20T16:09:02Z</dcterms:modified>
</cp:coreProperties>
</file>