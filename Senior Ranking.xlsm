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692CC3D-0DCA-C343-A238-156D331484C2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'SYN-M'!$A$1:$NQ$10</definedName>
    <definedName name="_xlnm._FilterDatabase" localSheetId="4" hidden="1">'SYN-W'!$A$1:$NQ$9</definedName>
    <definedName name="_xlnm._FilterDatabase" localSheetId="1" hidden="1">'TRA-M'!$A$1:$OQ$22</definedName>
    <definedName name="_xlnm._FilterDatabase" localSheetId="2" hidden="1">'TRA-W'!$A$1:$OQ$16</definedName>
    <definedName name="_xlnm._FilterDatabase" localSheetId="5" hidden="1">'TUM-M'!$A$1:$MT$7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B15" i="12" l="1"/>
  <c r="LA15" i="12"/>
  <c r="KZ15" i="12"/>
  <c r="LC15" i="12" s="1"/>
  <c r="KY15" i="12"/>
  <c r="LB12" i="12"/>
  <c r="LA12" i="12"/>
  <c r="KZ12" i="12"/>
  <c r="KY12" i="12"/>
  <c r="LB11" i="12"/>
  <c r="LA11" i="12"/>
  <c r="KZ11" i="12"/>
  <c r="LC11" i="12" s="1"/>
  <c r="KY11" i="12"/>
  <c r="LB16" i="12"/>
  <c r="LA16" i="12"/>
  <c r="KZ16" i="12"/>
  <c r="KY16" i="12"/>
  <c r="LB10" i="12"/>
  <c r="LA10" i="12"/>
  <c r="KZ10" i="12"/>
  <c r="LC10" i="12" s="1"/>
  <c r="KY10" i="12"/>
  <c r="LB9" i="12"/>
  <c r="LA9" i="12"/>
  <c r="KZ9" i="12"/>
  <c r="KY9" i="12"/>
  <c r="LB14" i="12"/>
  <c r="LA14" i="12"/>
  <c r="KZ14" i="12"/>
  <c r="KY14" i="12"/>
  <c r="LB13" i="12"/>
  <c r="LA13" i="12"/>
  <c r="KZ13" i="12"/>
  <c r="LC13" i="12" s="1"/>
  <c r="KY13" i="12"/>
  <c r="LB7" i="12"/>
  <c r="LA7" i="12"/>
  <c r="KZ7" i="12"/>
  <c r="LC7" i="12" s="1"/>
  <c r="KY7" i="12"/>
  <c r="LB6" i="12"/>
  <c r="LA6" i="12"/>
  <c r="KZ6" i="12"/>
  <c r="LC6" i="12" s="1"/>
  <c r="KY6" i="12"/>
  <c r="LB5" i="12"/>
  <c r="LA5" i="12"/>
  <c r="KZ5" i="12"/>
  <c r="KY5" i="12"/>
  <c r="LB4" i="12"/>
  <c r="LA4" i="12"/>
  <c r="KZ4" i="12"/>
  <c r="LC4" i="12" s="1"/>
  <c r="KY4" i="12"/>
  <c r="LB8" i="12"/>
  <c r="LA8" i="12"/>
  <c r="KZ8" i="12"/>
  <c r="KY8" i="12"/>
  <c r="KG15" i="12"/>
  <c r="KF15" i="12"/>
  <c r="KE15" i="12"/>
  <c r="KD15" i="12"/>
  <c r="KG12" i="12"/>
  <c r="KF12" i="12"/>
  <c r="KE12" i="12"/>
  <c r="KH12" i="12" s="1"/>
  <c r="KD12" i="12"/>
  <c r="KG11" i="12"/>
  <c r="KF11" i="12"/>
  <c r="KE11" i="12"/>
  <c r="KD11" i="12"/>
  <c r="KG16" i="12"/>
  <c r="KF16" i="12"/>
  <c r="KE16" i="12"/>
  <c r="KD16" i="12"/>
  <c r="KG10" i="12"/>
  <c r="KF10" i="12"/>
  <c r="KE10" i="12"/>
  <c r="KD10" i="12"/>
  <c r="KG9" i="12"/>
  <c r="KF9" i="12"/>
  <c r="KE9" i="12"/>
  <c r="KD9" i="12"/>
  <c r="KG14" i="12"/>
  <c r="KF14" i="12"/>
  <c r="KE14" i="12"/>
  <c r="KD14" i="12"/>
  <c r="KG13" i="12"/>
  <c r="KF13" i="12"/>
  <c r="KE13" i="12"/>
  <c r="KD13" i="12"/>
  <c r="KG7" i="12"/>
  <c r="KF7" i="12"/>
  <c r="KE7" i="12"/>
  <c r="KD7" i="12"/>
  <c r="KG6" i="12"/>
  <c r="KF6" i="12"/>
  <c r="KE6" i="12"/>
  <c r="KH6" i="12" s="1"/>
  <c r="KD6" i="12"/>
  <c r="KG5" i="12"/>
  <c r="KF5" i="12"/>
  <c r="KE5" i="12"/>
  <c r="KD5" i="12"/>
  <c r="KG4" i="12"/>
  <c r="KF4" i="12"/>
  <c r="KE4" i="12"/>
  <c r="KH4" i="12" s="1"/>
  <c r="KD4" i="12"/>
  <c r="KG8" i="12"/>
  <c r="KF8" i="12"/>
  <c r="KE8" i="12"/>
  <c r="KD8" i="12"/>
  <c r="JL15" i="12"/>
  <c r="JK15" i="12"/>
  <c r="JJ15" i="12"/>
  <c r="JI15" i="12"/>
  <c r="JL12" i="12"/>
  <c r="JM12" i="12" s="1"/>
  <c r="JK12" i="12"/>
  <c r="JJ12" i="12"/>
  <c r="JI12" i="12"/>
  <c r="JL11" i="12"/>
  <c r="JK11" i="12"/>
  <c r="JJ11" i="12"/>
  <c r="JI11" i="12"/>
  <c r="JM16" i="12"/>
  <c r="JL16" i="12"/>
  <c r="JK16" i="12"/>
  <c r="JJ16" i="12"/>
  <c r="JI16" i="12"/>
  <c r="JL10" i="12"/>
  <c r="JK10" i="12"/>
  <c r="JJ10" i="12"/>
  <c r="JM10" i="12" s="1"/>
  <c r="JI10" i="12"/>
  <c r="JL9" i="12"/>
  <c r="JK9" i="12"/>
  <c r="JJ9" i="12"/>
  <c r="JI9" i="12"/>
  <c r="JL14" i="12"/>
  <c r="JK14" i="12"/>
  <c r="JJ14" i="12"/>
  <c r="JI14" i="12"/>
  <c r="JL13" i="12"/>
  <c r="JK13" i="12"/>
  <c r="JJ13" i="12"/>
  <c r="JM13" i="12" s="1"/>
  <c r="JI13" i="12"/>
  <c r="JL7" i="12"/>
  <c r="JK7" i="12"/>
  <c r="JJ7" i="12"/>
  <c r="JM7" i="12" s="1"/>
  <c r="JI7" i="12"/>
  <c r="JL6" i="12"/>
  <c r="JK6" i="12"/>
  <c r="JJ6" i="12"/>
  <c r="JI6" i="12"/>
  <c r="JL5" i="12"/>
  <c r="JK5" i="12"/>
  <c r="JJ5" i="12"/>
  <c r="JI5" i="12"/>
  <c r="JM4" i="12"/>
  <c r="JL4" i="12"/>
  <c r="JK4" i="12"/>
  <c r="JJ4" i="12"/>
  <c r="JI4" i="12"/>
  <c r="JL8" i="12"/>
  <c r="JK8" i="12"/>
  <c r="JJ8" i="12"/>
  <c r="JI8" i="12"/>
  <c r="IQ15" i="12"/>
  <c r="IP15" i="12"/>
  <c r="IO15" i="12"/>
  <c r="IR15" i="12" s="1"/>
  <c r="IN15" i="12"/>
  <c r="IQ12" i="12"/>
  <c r="IP12" i="12"/>
  <c r="IO12" i="12"/>
  <c r="IN12" i="12"/>
  <c r="IQ11" i="12"/>
  <c r="IP11" i="12"/>
  <c r="IO11" i="12"/>
  <c r="IR11" i="12" s="1"/>
  <c r="IN11" i="12"/>
  <c r="IQ16" i="12"/>
  <c r="IR16" i="12" s="1"/>
  <c r="IP16" i="12"/>
  <c r="IO16" i="12"/>
  <c r="IN16" i="12"/>
  <c r="IQ10" i="12"/>
  <c r="IP10" i="12"/>
  <c r="IO10" i="12"/>
  <c r="IN10" i="12"/>
  <c r="IQ9" i="12"/>
  <c r="IP9" i="12"/>
  <c r="IO9" i="12"/>
  <c r="IN9" i="12"/>
  <c r="IQ14" i="12"/>
  <c r="IP14" i="12"/>
  <c r="IO14" i="12"/>
  <c r="IN14" i="12"/>
  <c r="IQ13" i="12"/>
  <c r="IP13" i="12"/>
  <c r="IO13" i="12"/>
  <c r="IN13" i="12"/>
  <c r="IQ7" i="12"/>
  <c r="IP7" i="12"/>
  <c r="IO7" i="12"/>
  <c r="IN7" i="12"/>
  <c r="IQ6" i="12"/>
  <c r="IP6" i="12"/>
  <c r="IO6" i="12"/>
  <c r="IN6" i="12"/>
  <c r="IQ5" i="12"/>
  <c r="IP5" i="12"/>
  <c r="IO5" i="12"/>
  <c r="IN5" i="12"/>
  <c r="IQ4" i="12"/>
  <c r="IR4" i="12" s="1"/>
  <c r="IP4" i="12"/>
  <c r="IO4" i="12"/>
  <c r="IN4" i="12"/>
  <c r="IQ8" i="12"/>
  <c r="IP8" i="12"/>
  <c r="IO8" i="12"/>
  <c r="IR8" i="12" s="1"/>
  <c r="IN8" i="12"/>
  <c r="HV15" i="12"/>
  <c r="HU15" i="12"/>
  <c r="HT15" i="12"/>
  <c r="HS15" i="12"/>
  <c r="HV12" i="12"/>
  <c r="HU12" i="12"/>
  <c r="HT12" i="12"/>
  <c r="HW12" i="12" s="1"/>
  <c r="HS12" i="12"/>
  <c r="HV11" i="12"/>
  <c r="HW11" i="12" s="1"/>
  <c r="HU11" i="12"/>
  <c r="HT11" i="12"/>
  <c r="HS11" i="12"/>
  <c r="HV16" i="12"/>
  <c r="HU16" i="12"/>
  <c r="HT16" i="12"/>
  <c r="HW16" i="12" s="1"/>
  <c r="HS16" i="12"/>
  <c r="HV10" i="12"/>
  <c r="HU10" i="12"/>
  <c r="HT10" i="12"/>
  <c r="HS10" i="12"/>
  <c r="HV9" i="12"/>
  <c r="HU9" i="12"/>
  <c r="HT9" i="12"/>
  <c r="HW9" i="12" s="1"/>
  <c r="HS9" i="12"/>
  <c r="HV14" i="12"/>
  <c r="HW14" i="12" s="1"/>
  <c r="HU14" i="12"/>
  <c r="HT14" i="12"/>
  <c r="HS14" i="12"/>
  <c r="HV13" i="12"/>
  <c r="HU13" i="12"/>
  <c r="HT13" i="12"/>
  <c r="HS13" i="12"/>
  <c r="HV7" i="12"/>
  <c r="HU7" i="12"/>
  <c r="HT7" i="12"/>
  <c r="HS7" i="12"/>
  <c r="HV6" i="12"/>
  <c r="HU6" i="12"/>
  <c r="HT6" i="12"/>
  <c r="HS6" i="12"/>
  <c r="HV5" i="12"/>
  <c r="HU5" i="12"/>
  <c r="HT5" i="12"/>
  <c r="HS5" i="12"/>
  <c r="HV4" i="12"/>
  <c r="HU4" i="12"/>
  <c r="HT4" i="12"/>
  <c r="HW4" i="12" s="1"/>
  <c r="HS4" i="12"/>
  <c r="HV8" i="12"/>
  <c r="HU8" i="12"/>
  <c r="HT8" i="12"/>
  <c r="HW8" i="12" s="1"/>
  <c r="HS8" i="12"/>
  <c r="HA15" i="12"/>
  <c r="GZ15" i="12"/>
  <c r="GY15" i="12"/>
  <c r="HB15" i="12" s="1"/>
  <c r="GX15" i="12"/>
  <c r="HA12" i="12"/>
  <c r="GZ12" i="12"/>
  <c r="GY12" i="12"/>
  <c r="GX12" i="12"/>
  <c r="HA11" i="12"/>
  <c r="GZ11" i="12"/>
  <c r="GY11" i="12"/>
  <c r="HB11" i="12" s="1"/>
  <c r="GX11" i="12"/>
  <c r="HA16" i="12"/>
  <c r="GZ16" i="12"/>
  <c r="GY16" i="12"/>
  <c r="HB16" i="12" s="1"/>
  <c r="GX16" i="12"/>
  <c r="HA10" i="12"/>
  <c r="GZ10" i="12"/>
  <c r="GY10" i="12"/>
  <c r="GX10" i="12"/>
  <c r="HA9" i="12"/>
  <c r="GZ9" i="12"/>
  <c r="GY9" i="12"/>
  <c r="HB9" i="12" s="1"/>
  <c r="GX9" i="12"/>
  <c r="HA14" i="12"/>
  <c r="GZ14" i="12"/>
  <c r="GY14" i="12"/>
  <c r="GX14" i="12"/>
  <c r="HA13" i="12"/>
  <c r="GZ13" i="12"/>
  <c r="GY13" i="12"/>
  <c r="HB13" i="12" s="1"/>
  <c r="GX13" i="12"/>
  <c r="HA7" i="12"/>
  <c r="GZ7" i="12"/>
  <c r="GY7" i="12"/>
  <c r="GX7" i="12"/>
  <c r="HA6" i="12"/>
  <c r="GZ6" i="12"/>
  <c r="GY6" i="12"/>
  <c r="GX6" i="12"/>
  <c r="HA5" i="12"/>
  <c r="GZ5" i="12"/>
  <c r="GY5" i="12"/>
  <c r="GX5" i="12"/>
  <c r="HA4" i="12"/>
  <c r="GZ4" i="12"/>
  <c r="GY4" i="12"/>
  <c r="HB4" i="12" s="1"/>
  <c r="GX4" i="12"/>
  <c r="HA8" i="12"/>
  <c r="GZ8" i="12"/>
  <c r="GY8" i="12"/>
  <c r="GX8" i="12"/>
  <c r="GF15" i="12"/>
  <c r="GE15" i="12"/>
  <c r="GD15" i="12"/>
  <c r="GG15" i="12" s="1"/>
  <c r="GC15" i="12"/>
  <c r="GF12" i="12"/>
  <c r="GE12" i="12"/>
  <c r="GD12" i="12"/>
  <c r="GC12" i="12"/>
  <c r="GF11" i="12"/>
  <c r="GE11" i="12"/>
  <c r="GD11" i="12"/>
  <c r="GG11" i="12" s="1"/>
  <c r="GC11" i="12"/>
  <c r="GF16" i="12"/>
  <c r="GE16" i="12"/>
  <c r="GD16" i="12"/>
  <c r="GG16" i="12" s="1"/>
  <c r="GC16" i="12"/>
  <c r="GF10" i="12"/>
  <c r="GE10" i="12"/>
  <c r="GD10" i="12"/>
  <c r="GC10" i="12"/>
  <c r="GF9" i="12"/>
  <c r="GE9" i="12"/>
  <c r="GD9" i="12"/>
  <c r="GC9" i="12"/>
  <c r="GF14" i="12"/>
  <c r="GE14" i="12"/>
  <c r="GD14" i="12"/>
  <c r="GC14" i="12"/>
  <c r="GF13" i="12"/>
  <c r="GE13" i="12"/>
  <c r="GD13" i="12"/>
  <c r="GG13" i="12" s="1"/>
  <c r="GC13" i="12"/>
  <c r="GF7" i="12"/>
  <c r="GE7" i="12"/>
  <c r="GD7" i="12"/>
  <c r="GC7" i="12"/>
  <c r="GF6" i="12"/>
  <c r="GE6" i="12"/>
  <c r="GD6" i="12"/>
  <c r="GC6" i="12"/>
  <c r="GF5" i="12"/>
  <c r="GE5" i="12"/>
  <c r="GD5" i="12"/>
  <c r="GC5" i="12"/>
  <c r="GF4" i="12"/>
  <c r="GE4" i="12"/>
  <c r="GD4" i="12"/>
  <c r="GG4" i="12" s="1"/>
  <c r="GC4" i="12"/>
  <c r="GF8" i="12"/>
  <c r="GE8" i="12"/>
  <c r="GD8" i="12"/>
  <c r="GG8" i="12" s="1"/>
  <c r="GC8" i="12"/>
  <c r="FK15" i="12"/>
  <c r="FJ15" i="12"/>
  <c r="FI15" i="12"/>
  <c r="FL15" i="12" s="1"/>
  <c r="FH15" i="12"/>
  <c r="FK12" i="12"/>
  <c r="FJ12" i="12"/>
  <c r="FI12" i="12"/>
  <c r="FH12" i="12"/>
  <c r="FK11" i="12"/>
  <c r="FJ11" i="12"/>
  <c r="FI11" i="12"/>
  <c r="FL11" i="12" s="1"/>
  <c r="FH11" i="12"/>
  <c r="FK16" i="12"/>
  <c r="FJ16" i="12"/>
  <c r="FI16" i="12"/>
  <c r="FL16" i="12" s="1"/>
  <c r="FH16" i="12"/>
  <c r="FK10" i="12"/>
  <c r="FJ10" i="12"/>
  <c r="FI10" i="12"/>
  <c r="FH10" i="12"/>
  <c r="FK9" i="12"/>
  <c r="FJ9" i="12"/>
  <c r="FI9" i="12"/>
  <c r="FH9" i="12"/>
  <c r="FK14" i="12"/>
  <c r="FJ14" i="12"/>
  <c r="FI14" i="12"/>
  <c r="FH14" i="12"/>
  <c r="FK13" i="12"/>
  <c r="FJ13" i="12"/>
  <c r="FI13" i="12"/>
  <c r="FH13" i="12"/>
  <c r="FK7" i="12"/>
  <c r="FJ7" i="12"/>
  <c r="FI7" i="12"/>
  <c r="FH7" i="12"/>
  <c r="FK6" i="12"/>
  <c r="FL6" i="12" s="1"/>
  <c r="FJ6" i="12"/>
  <c r="FI6" i="12"/>
  <c r="FH6" i="12"/>
  <c r="FK5" i="12"/>
  <c r="FJ5" i="12"/>
  <c r="FI5" i="12"/>
  <c r="FH5" i="12"/>
  <c r="FK4" i="12"/>
  <c r="FL4" i="12" s="1"/>
  <c r="FJ4" i="12"/>
  <c r="FI4" i="12"/>
  <c r="FH4" i="12"/>
  <c r="FK8" i="12"/>
  <c r="FJ8" i="12"/>
  <c r="FI8" i="12"/>
  <c r="FH8" i="12"/>
  <c r="EP15" i="12"/>
  <c r="EO15" i="12"/>
  <c r="EN15" i="12"/>
  <c r="EM15" i="12"/>
  <c r="EP12" i="12"/>
  <c r="EO12" i="12"/>
  <c r="EN12" i="12"/>
  <c r="EM12" i="12"/>
  <c r="EP11" i="12"/>
  <c r="EO11" i="12"/>
  <c r="EN11" i="12"/>
  <c r="EM11" i="12"/>
  <c r="EP16" i="12"/>
  <c r="EO16" i="12"/>
  <c r="EN16" i="12"/>
  <c r="EM16" i="12"/>
  <c r="EP10" i="12"/>
  <c r="EO10" i="12"/>
  <c r="EN10" i="12"/>
  <c r="EM10" i="12"/>
  <c r="EP9" i="12"/>
  <c r="EO9" i="12"/>
  <c r="EN9" i="12"/>
  <c r="EM9" i="12"/>
  <c r="EP14" i="12"/>
  <c r="EO14" i="12"/>
  <c r="EN14" i="12"/>
  <c r="EM14" i="12"/>
  <c r="EP13" i="12"/>
  <c r="EO13" i="12"/>
  <c r="EN13" i="12"/>
  <c r="EM13" i="12"/>
  <c r="EP7" i="12"/>
  <c r="EO7" i="12"/>
  <c r="EN7" i="12"/>
  <c r="EM7" i="12"/>
  <c r="EP6" i="12"/>
  <c r="EQ6" i="12" s="1"/>
  <c r="EO6" i="12"/>
  <c r="EN6" i="12"/>
  <c r="EM6" i="12"/>
  <c r="EP5" i="12"/>
  <c r="EO5" i="12"/>
  <c r="EN5" i="12"/>
  <c r="EM5" i="12"/>
  <c r="EQ4" i="12"/>
  <c r="EP4" i="12"/>
  <c r="EO4" i="12"/>
  <c r="EN4" i="12"/>
  <c r="EM4" i="12"/>
  <c r="EP8" i="12"/>
  <c r="EO8" i="12"/>
  <c r="EN8" i="12"/>
  <c r="EQ8" i="12" s="1"/>
  <c r="EM8" i="12"/>
  <c r="DU15" i="12"/>
  <c r="DT15" i="12"/>
  <c r="DS15" i="12"/>
  <c r="DR15" i="12"/>
  <c r="DU12" i="12"/>
  <c r="DT12" i="12"/>
  <c r="DS12" i="12"/>
  <c r="DR12" i="12"/>
  <c r="DU11" i="12"/>
  <c r="DT11" i="12"/>
  <c r="DS11" i="12"/>
  <c r="DR11" i="12"/>
  <c r="DU16" i="12"/>
  <c r="DT16" i="12"/>
  <c r="DS16" i="12"/>
  <c r="DV16" i="12" s="1"/>
  <c r="DR16" i="12"/>
  <c r="DU10" i="12"/>
  <c r="DT10" i="12"/>
  <c r="DS10" i="12"/>
  <c r="DR10" i="12"/>
  <c r="DU9" i="12"/>
  <c r="DT9" i="12"/>
  <c r="DS9" i="12"/>
  <c r="DV9" i="12" s="1"/>
  <c r="DR9" i="12"/>
  <c r="DU14" i="12"/>
  <c r="DT14" i="12"/>
  <c r="DS14" i="12"/>
  <c r="DR14" i="12"/>
  <c r="DU13" i="12"/>
  <c r="DT13" i="12"/>
  <c r="DS13" i="12"/>
  <c r="DV13" i="12" s="1"/>
  <c r="DR13" i="12"/>
  <c r="DU7" i="12"/>
  <c r="DT7" i="12"/>
  <c r="DS7" i="12"/>
  <c r="DR7" i="12"/>
  <c r="DU6" i="12"/>
  <c r="DT6" i="12"/>
  <c r="DS6" i="12"/>
  <c r="DV6" i="12" s="1"/>
  <c r="DR6" i="12"/>
  <c r="DU5" i="12"/>
  <c r="DT5" i="12"/>
  <c r="DS5" i="12"/>
  <c r="DR5" i="12"/>
  <c r="DU4" i="12"/>
  <c r="DT4" i="12"/>
  <c r="DS4" i="12"/>
  <c r="DV4" i="12" s="1"/>
  <c r="DR4" i="12"/>
  <c r="DU8" i="12"/>
  <c r="DT8" i="12"/>
  <c r="DS8" i="12"/>
  <c r="DR8" i="12"/>
  <c r="CZ15" i="12"/>
  <c r="CY15" i="12"/>
  <c r="CX15" i="12"/>
  <c r="DA15" i="12" s="1"/>
  <c r="CW15" i="12"/>
  <c r="CZ12" i="12"/>
  <c r="CY12" i="12"/>
  <c r="CX12" i="12"/>
  <c r="CW12" i="12"/>
  <c r="CZ11" i="12"/>
  <c r="CY11" i="12"/>
  <c r="CX11" i="12"/>
  <c r="DA11" i="12" s="1"/>
  <c r="CW11" i="12"/>
  <c r="CZ16" i="12"/>
  <c r="CY16" i="12"/>
  <c r="CX16" i="12"/>
  <c r="DA16" i="12" s="1"/>
  <c r="CW16" i="12"/>
  <c r="CZ10" i="12"/>
  <c r="CY10" i="12"/>
  <c r="CX10" i="12"/>
  <c r="CW10" i="12"/>
  <c r="CZ9" i="12"/>
  <c r="CY9" i="12"/>
  <c r="CX9" i="12"/>
  <c r="DA9" i="12" s="1"/>
  <c r="CW9" i="12"/>
  <c r="CZ14" i="12"/>
  <c r="CY14" i="12"/>
  <c r="CX14" i="12"/>
  <c r="CW14" i="12"/>
  <c r="CZ13" i="12"/>
  <c r="CY13" i="12"/>
  <c r="CX13" i="12"/>
  <c r="DA13" i="12" s="1"/>
  <c r="CW13" i="12"/>
  <c r="CZ7" i="12"/>
  <c r="CY7" i="12"/>
  <c r="CX7" i="12"/>
  <c r="CW7" i="12"/>
  <c r="CZ6" i="12"/>
  <c r="CY6" i="12"/>
  <c r="CX6" i="12"/>
  <c r="CW6" i="12"/>
  <c r="CZ5" i="12"/>
  <c r="CY5" i="12"/>
  <c r="CX5" i="12"/>
  <c r="CW5" i="12"/>
  <c r="CZ4" i="12"/>
  <c r="CY4" i="12"/>
  <c r="CX4" i="12"/>
  <c r="DA4" i="12" s="1"/>
  <c r="CW4" i="12"/>
  <c r="CZ8" i="12"/>
  <c r="CY8" i="12"/>
  <c r="CX8" i="12"/>
  <c r="CW8" i="12"/>
  <c r="LB23" i="6"/>
  <c r="LA23" i="6"/>
  <c r="KZ23" i="6"/>
  <c r="LC23" i="6" s="1"/>
  <c r="KY23" i="6"/>
  <c r="LB22" i="6"/>
  <c r="LA22" i="6"/>
  <c r="KZ22" i="6"/>
  <c r="KY22" i="6"/>
  <c r="LB21" i="6"/>
  <c r="LA21" i="6"/>
  <c r="KZ21" i="6"/>
  <c r="LC21" i="6" s="1"/>
  <c r="KY21" i="6"/>
  <c r="LB20" i="6"/>
  <c r="LA20" i="6"/>
  <c r="KZ20" i="6"/>
  <c r="LC20" i="6" s="1"/>
  <c r="KY20" i="6"/>
  <c r="LB18" i="6"/>
  <c r="LA18" i="6"/>
  <c r="KZ18" i="6"/>
  <c r="LC18" i="6" s="1"/>
  <c r="KY18" i="6"/>
  <c r="LB19" i="6"/>
  <c r="LA19" i="6"/>
  <c r="KZ19" i="6"/>
  <c r="LC19" i="6" s="1"/>
  <c r="KY19" i="6"/>
  <c r="LB15" i="6"/>
  <c r="LA15" i="6"/>
  <c r="KZ15" i="6"/>
  <c r="KY15" i="6"/>
  <c r="LB14" i="6"/>
  <c r="LA14" i="6"/>
  <c r="KZ14" i="6"/>
  <c r="LC14" i="6" s="1"/>
  <c r="KY14" i="6"/>
  <c r="LB16" i="6"/>
  <c r="LA16" i="6"/>
  <c r="KZ16" i="6"/>
  <c r="LC16" i="6" s="1"/>
  <c r="KY16" i="6"/>
  <c r="LB13" i="6"/>
  <c r="LA13" i="6"/>
  <c r="KZ13" i="6"/>
  <c r="KY13" i="6"/>
  <c r="LB12" i="6"/>
  <c r="LA12" i="6"/>
  <c r="KZ12" i="6"/>
  <c r="LC12" i="6" s="1"/>
  <c r="KY12" i="6"/>
  <c r="LB17" i="6"/>
  <c r="LA17" i="6"/>
  <c r="KZ17" i="6"/>
  <c r="KY17" i="6"/>
  <c r="LB8" i="6"/>
  <c r="LA8" i="6"/>
  <c r="KZ8" i="6"/>
  <c r="LC8" i="6" s="1"/>
  <c r="KY8" i="6"/>
  <c r="LC11" i="6"/>
  <c r="LB11" i="6"/>
  <c r="LA11" i="6"/>
  <c r="KZ11" i="6"/>
  <c r="KY11" i="6"/>
  <c r="LB7" i="6"/>
  <c r="LC7" i="6" s="1"/>
  <c r="LA7" i="6"/>
  <c r="KZ7" i="6"/>
  <c r="KY7" i="6"/>
  <c r="LB6" i="6"/>
  <c r="LA6" i="6"/>
  <c r="KZ6" i="6"/>
  <c r="LC6" i="6" s="1"/>
  <c r="KY6" i="6"/>
  <c r="LB10" i="6"/>
  <c r="LA10" i="6"/>
  <c r="KZ10" i="6"/>
  <c r="KY10" i="6"/>
  <c r="LB4" i="6"/>
  <c r="LA4" i="6"/>
  <c r="KZ4" i="6"/>
  <c r="KY4" i="6"/>
  <c r="LB5" i="6"/>
  <c r="LA5" i="6"/>
  <c r="KZ5" i="6"/>
  <c r="KY5" i="6"/>
  <c r="LB9" i="6"/>
  <c r="LA9" i="6"/>
  <c r="KZ9" i="6"/>
  <c r="LC9" i="6" s="1"/>
  <c r="KY9" i="6"/>
  <c r="KG23" i="6"/>
  <c r="KF23" i="6"/>
  <c r="KE23" i="6"/>
  <c r="KD23" i="6"/>
  <c r="KG22" i="6"/>
  <c r="KF22" i="6"/>
  <c r="KE22" i="6"/>
  <c r="KD22" i="6"/>
  <c r="KG21" i="6"/>
  <c r="KF21" i="6"/>
  <c r="KE21" i="6"/>
  <c r="KD21" i="6"/>
  <c r="KG20" i="6"/>
  <c r="KF20" i="6"/>
  <c r="KE20" i="6"/>
  <c r="KD20" i="6"/>
  <c r="KG18" i="6"/>
  <c r="KF18" i="6"/>
  <c r="KE18" i="6"/>
  <c r="KD18" i="6"/>
  <c r="KG19" i="6"/>
  <c r="KF19" i="6"/>
  <c r="KE19" i="6"/>
  <c r="KD19" i="6"/>
  <c r="KG15" i="6"/>
  <c r="KF15" i="6"/>
  <c r="KE15" i="6"/>
  <c r="KD15" i="6"/>
  <c r="KG14" i="6"/>
  <c r="KF14" i="6"/>
  <c r="KE14" i="6"/>
  <c r="KD14" i="6"/>
  <c r="KG16" i="6"/>
  <c r="KF16" i="6"/>
  <c r="KE16" i="6"/>
  <c r="KH16" i="6" s="1"/>
  <c r="KD16" i="6"/>
  <c r="KG13" i="6"/>
  <c r="KF13" i="6"/>
  <c r="KE13" i="6"/>
  <c r="KD13" i="6"/>
  <c r="KG12" i="6"/>
  <c r="KF12" i="6"/>
  <c r="KE12" i="6"/>
  <c r="KH12" i="6" s="1"/>
  <c r="KD12" i="6"/>
  <c r="KH17" i="6"/>
  <c r="KG17" i="6"/>
  <c r="KF17" i="6"/>
  <c r="KE17" i="6"/>
  <c r="KD17" i="6"/>
  <c r="KG8" i="6"/>
  <c r="KF8" i="6"/>
  <c r="KE8" i="6"/>
  <c r="KD8" i="6"/>
  <c r="KG11" i="6"/>
  <c r="KF11" i="6"/>
  <c r="KE11" i="6"/>
  <c r="KD11" i="6"/>
  <c r="KG7" i="6"/>
  <c r="KF7" i="6"/>
  <c r="KE7" i="6"/>
  <c r="KD7" i="6"/>
  <c r="KG6" i="6"/>
  <c r="KF6" i="6"/>
  <c r="KE6" i="6"/>
  <c r="KH6" i="6" s="1"/>
  <c r="KD6" i="6"/>
  <c r="KG10" i="6"/>
  <c r="KF10" i="6"/>
  <c r="KE10" i="6"/>
  <c r="KD10" i="6"/>
  <c r="KG4" i="6"/>
  <c r="KF4" i="6"/>
  <c r="KE4" i="6"/>
  <c r="KD4" i="6"/>
  <c r="KG5" i="6"/>
  <c r="KF5" i="6"/>
  <c r="KE5" i="6"/>
  <c r="KD5" i="6"/>
  <c r="KG9" i="6"/>
  <c r="KF9" i="6"/>
  <c r="KE9" i="6"/>
  <c r="KH9" i="6" s="1"/>
  <c r="KD9" i="6"/>
  <c r="JL23" i="6"/>
  <c r="JK23" i="6"/>
  <c r="JJ23" i="6"/>
  <c r="JI23" i="6"/>
  <c r="JL22" i="6"/>
  <c r="JK22" i="6"/>
  <c r="JJ22" i="6"/>
  <c r="JI22" i="6"/>
  <c r="JL21" i="6"/>
  <c r="JK21" i="6"/>
  <c r="JJ21" i="6"/>
  <c r="JI21" i="6"/>
  <c r="JL20" i="6"/>
  <c r="JK20" i="6"/>
  <c r="JJ20" i="6"/>
  <c r="JM20" i="6" s="1"/>
  <c r="JI20" i="6"/>
  <c r="JL18" i="6"/>
  <c r="JK18" i="6"/>
  <c r="JJ18" i="6"/>
  <c r="JI18" i="6"/>
  <c r="JL19" i="6"/>
  <c r="JK19" i="6"/>
  <c r="JJ19" i="6"/>
  <c r="JM19" i="6" s="1"/>
  <c r="JI19" i="6"/>
  <c r="JL15" i="6"/>
  <c r="JM15" i="6" s="1"/>
  <c r="JK15" i="6"/>
  <c r="JJ15" i="6"/>
  <c r="JI15" i="6"/>
  <c r="JL14" i="6"/>
  <c r="JK14" i="6"/>
  <c r="JJ14" i="6"/>
  <c r="JM14" i="6" s="1"/>
  <c r="JI14" i="6"/>
  <c r="JL16" i="6"/>
  <c r="JK16" i="6"/>
  <c r="JJ16" i="6"/>
  <c r="JI16" i="6"/>
  <c r="JL13" i="6"/>
  <c r="JK13" i="6"/>
  <c r="JJ13" i="6"/>
  <c r="JM13" i="6" s="1"/>
  <c r="JI13" i="6"/>
  <c r="JL12" i="6"/>
  <c r="JM12" i="6" s="1"/>
  <c r="JK12" i="6"/>
  <c r="JJ12" i="6"/>
  <c r="JI12" i="6"/>
  <c r="JL17" i="6"/>
  <c r="JK17" i="6"/>
  <c r="JJ17" i="6"/>
  <c r="JM17" i="6" s="1"/>
  <c r="JI17" i="6"/>
  <c r="JL8" i="6"/>
  <c r="JK8" i="6"/>
  <c r="JJ8" i="6"/>
  <c r="JI8" i="6"/>
  <c r="JL11" i="6"/>
  <c r="JK11" i="6"/>
  <c r="JJ11" i="6"/>
  <c r="JM11" i="6" s="1"/>
  <c r="JI11" i="6"/>
  <c r="JL7" i="6"/>
  <c r="JK7" i="6"/>
  <c r="JJ7" i="6"/>
  <c r="JI7" i="6"/>
  <c r="JL6" i="6"/>
  <c r="JK6" i="6"/>
  <c r="JJ6" i="6"/>
  <c r="JM6" i="6" s="1"/>
  <c r="JI6" i="6"/>
  <c r="JL10" i="6"/>
  <c r="JK10" i="6"/>
  <c r="JJ10" i="6"/>
  <c r="JI10" i="6"/>
  <c r="JL4" i="6"/>
  <c r="JK4" i="6"/>
  <c r="JJ4" i="6"/>
  <c r="JM4" i="6" s="1"/>
  <c r="JI4" i="6"/>
  <c r="JL5" i="6"/>
  <c r="JK5" i="6"/>
  <c r="JJ5" i="6"/>
  <c r="JI5" i="6"/>
  <c r="JL9" i="6"/>
  <c r="JK9" i="6"/>
  <c r="JJ9" i="6"/>
  <c r="JM9" i="6" s="1"/>
  <c r="JI9" i="6"/>
  <c r="IQ23" i="6"/>
  <c r="IP23" i="6"/>
  <c r="IO23" i="6"/>
  <c r="IN23" i="6"/>
  <c r="IQ22" i="6"/>
  <c r="IP22" i="6"/>
  <c r="IO22" i="6"/>
  <c r="IN22" i="6"/>
  <c r="IQ21" i="6"/>
  <c r="IP21" i="6"/>
  <c r="IO21" i="6"/>
  <c r="IN21" i="6"/>
  <c r="IR20" i="6"/>
  <c r="IQ20" i="6"/>
  <c r="IP20" i="6"/>
  <c r="IO20" i="6"/>
  <c r="IN20" i="6"/>
  <c r="IQ18" i="6"/>
  <c r="IP18" i="6"/>
  <c r="IO18" i="6"/>
  <c r="IN18" i="6"/>
  <c r="IQ19" i="6"/>
  <c r="IP19" i="6"/>
  <c r="IO19" i="6"/>
  <c r="IR19" i="6" s="1"/>
  <c r="IN19" i="6"/>
  <c r="IQ15" i="6"/>
  <c r="IP15" i="6"/>
  <c r="IO15" i="6"/>
  <c r="IN15" i="6"/>
  <c r="IQ14" i="6"/>
  <c r="IP14" i="6"/>
  <c r="IO14" i="6"/>
  <c r="IR14" i="6" s="1"/>
  <c r="IN14" i="6"/>
  <c r="IQ16" i="6"/>
  <c r="IP16" i="6"/>
  <c r="IO16" i="6"/>
  <c r="IN16" i="6"/>
  <c r="IQ13" i="6"/>
  <c r="IP13" i="6"/>
  <c r="IO13" i="6"/>
  <c r="IN13" i="6"/>
  <c r="IQ12" i="6"/>
  <c r="IP12" i="6"/>
  <c r="IO12" i="6"/>
  <c r="IN12" i="6"/>
  <c r="IQ17" i="6"/>
  <c r="IP17" i="6"/>
  <c r="IO17" i="6"/>
  <c r="IR17" i="6" s="1"/>
  <c r="IN17" i="6"/>
  <c r="IQ8" i="6"/>
  <c r="IP8" i="6"/>
  <c r="IO8" i="6"/>
  <c r="IN8" i="6"/>
  <c r="IQ11" i="6"/>
  <c r="IP11" i="6"/>
  <c r="IO11" i="6"/>
  <c r="IN11" i="6"/>
  <c r="IQ7" i="6"/>
  <c r="IP7" i="6"/>
  <c r="IO7" i="6"/>
  <c r="IN7" i="6"/>
  <c r="IQ6" i="6"/>
  <c r="IP6" i="6"/>
  <c r="IO6" i="6"/>
  <c r="IN6" i="6"/>
  <c r="IQ10" i="6"/>
  <c r="IP10" i="6"/>
  <c r="IO10" i="6"/>
  <c r="IN10" i="6"/>
  <c r="IQ4" i="6"/>
  <c r="IP4" i="6"/>
  <c r="IO4" i="6"/>
  <c r="IN4" i="6"/>
  <c r="IQ5" i="6"/>
  <c r="IP5" i="6"/>
  <c r="IO5" i="6"/>
  <c r="IR5" i="6" s="1"/>
  <c r="IN5" i="6"/>
  <c r="IQ9" i="6"/>
  <c r="IP9" i="6"/>
  <c r="IO9" i="6"/>
  <c r="IN9" i="6"/>
  <c r="HV23" i="6"/>
  <c r="HU23" i="6"/>
  <c r="HT23" i="6"/>
  <c r="HW23" i="6" s="1"/>
  <c r="HS23" i="6"/>
  <c r="HV22" i="6"/>
  <c r="HU22" i="6"/>
  <c r="HT22" i="6"/>
  <c r="HS22" i="6"/>
  <c r="HV21" i="6"/>
  <c r="HU21" i="6"/>
  <c r="HT21" i="6"/>
  <c r="HW21" i="6" s="1"/>
  <c r="HS21" i="6"/>
  <c r="HW20" i="6"/>
  <c r="HV20" i="6"/>
  <c r="HU20" i="6"/>
  <c r="HT20" i="6"/>
  <c r="HS20" i="6"/>
  <c r="HV18" i="6"/>
  <c r="HU18" i="6"/>
  <c r="HT18" i="6"/>
  <c r="HS18" i="6"/>
  <c r="HV19" i="6"/>
  <c r="HU19" i="6"/>
  <c r="HT19" i="6"/>
  <c r="HS19" i="6"/>
  <c r="HV15" i="6"/>
  <c r="HW15" i="6" s="1"/>
  <c r="HU15" i="6"/>
  <c r="HT15" i="6"/>
  <c r="HS15" i="6"/>
  <c r="HV14" i="6"/>
  <c r="HU14" i="6"/>
  <c r="HT14" i="6"/>
  <c r="HW14" i="6" s="1"/>
  <c r="HS14" i="6"/>
  <c r="HV16" i="6"/>
  <c r="HU16" i="6"/>
  <c r="HT16" i="6"/>
  <c r="HS16" i="6"/>
  <c r="HV13" i="6"/>
  <c r="HU13" i="6"/>
  <c r="HT13" i="6"/>
  <c r="HS13" i="6"/>
  <c r="HV12" i="6"/>
  <c r="HU12" i="6"/>
  <c r="HT12" i="6"/>
  <c r="HS12" i="6"/>
  <c r="HV17" i="6"/>
  <c r="HU17" i="6"/>
  <c r="HT17" i="6"/>
  <c r="HW17" i="6" s="1"/>
  <c r="HS17" i="6"/>
  <c r="HV8" i="6"/>
  <c r="HU8" i="6"/>
  <c r="HT8" i="6"/>
  <c r="HS8" i="6"/>
  <c r="HV11" i="6"/>
  <c r="HU11" i="6"/>
  <c r="HT11" i="6"/>
  <c r="HS11" i="6"/>
  <c r="HV7" i="6"/>
  <c r="HW7" i="6" s="1"/>
  <c r="HU7" i="6"/>
  <c r="HT7" i="6"/>
  <c r="HS7" i="6"/>
  <c r="HV6" i="6"/>
  <c r="HU6" i="6"/>
  <c r="HT6" i="6"/>
  <c r="HS6" i="6"/>
  <c r="HV10" i="6"/>
  <c r="HU10" i="6"/>
  <c r="HT10" i="6"/>
  <c r="HS10" i="6"/>
  <c r="HV4" i="6"/>
  <c r="HU4" i="6"/>
  <c r="HT4" i="6"/>
  <c r="HS4" i="6"/>
  <c r="HV5" i="6"/>
  <c r="HU5" i="6"/>
  <c r="HT5" i="6"/>
  <c r="HS5" i="6"/>
  <c r="HV9" i="6"/>
  <c r="HU9" i="6"/>
  <c r="HT9" i="6"/>
  <c r="HW9" i="6" s="1"/>
  <c r="HS9" i="6"/>
  <c r="HA23" i="6"/>
  <c r="GZ23" i="6"/>
  <c r="GY23" i="6"/>
  <c r="GX23" i="6"/>
  <c r="HA22" i="6"/>
  <c r="GZ22" i="6"/>
  <c r="GY22" i="6"/>
  <c r="GX22" i="6"/>
  <c r="HA21" i="6"/>
  <c r="GZ21" i="6"/>
  <c r="GY21" i="6"/>
  <c r="GX21" i="6"/>
  <c r="HA20" i="6"/>
  <c r="GZ20" i="6"/>
  <c r="GY20" i="6"/>
  <c r="HB20" i="6" s="1"/>
  <c r="GX20" i="6"/>
  <c r="HA18" i="6"/>
  <c r="GZ18" i="6"/>
  <c r="GY18" i="6"/>
  <c r="GX18" i="6"/>
  <c r="HA19" i="6"/>
  <c r="GZ19" i="6"/>
  <c r="GY19" i="6"/>
  <c r="HB19" i="6" s="1"/>
  <c r="GX19" i="6"/>
  <c r="HA15" i="6"/>
  <c r="GZ15" i="6"/>
  <c r="GY15" i="6"/>
  <c r="GX15" i="6"/>
  <c r="HA14" i="6"/>
  <c r="GZ14" i="6"/>
  <c r="GY14" i="6"/>
  <c r="HB14" i="6" s="1"/>
  <c r="GX14" i="6"/>
  <c r="HA16" i="6"/>
  <c r="GZ16" i="6"/>
  <c r="GY16" i="6"/>
  <c r="GX16" i="6"/>
  <c r="HA13" i="6"/>
  <c r="GZ13" i="6"/>
  <c r="GY13" i="6"/>
  <c r="GX13" i="6"/>
  <c r="HA12" i="6"/>
  <c r="GZ12" i="6"/>
  <c r="GY12" i="6"/>
  <c r="GX12" i="6"/>
  <c r="HA17" i="6"/>
  <c r="GZ17" i="6"/>
  <c r="GY17" i="6"/>
  <c r="HB17" i="6" s="1"/>
  <c r="GX17" i="6"/>
  <c r="HA8" i="6"/>
  <c r="GZ8" i="6"/>
  <c r="GY8" i="6"/>
  <c r="GX8" i="6"/>
  <c r="HA11" i="6"/>
  <c r="GZ11" i="6"/>
  <c r="GY11" i="6"/>
  <c r="HB11" i="6" s="1"/>
  <c r="GX11" i="6"/>
  <c r="HA7" i="6"/>
  <c r="GZ7" i="6"/>
  <c r="GY7" i="6"/>
  <c r="GX7" i="6"/>
  <c r="HA6" i="6"/>
  <c r="GZ6" i="6"/>
  <c r="GY6" i="6"/>
  <c r="HB6" i="6" s="1"/>
  <c r="GX6" i="6"/>
  <c r="HA10" i="6"/>
  <c r="GZ10" i="6"/>
  <c r="GY10" i="6"/>
  <c r="GX10" i="6"/>
  <c r="HA4" i="6"/>
  <c r="GZ4" i="6"/>
  <c r="GY4" i="6"/>
  <c r="GX4" i="6"/>
  <c r="HA5" i="6"/>
  <c r="GZ5" i="6"/>
  <c r="GY5" i="6"/>
  <c r="GX5" i="6"/>
  <c r="HA9" i="6"/>
  <c r="GZ9" i="6"/>
  <c r="GY9" i="6"/>
  <c r="HB9" i="6" s="1"/>
  <c r="GX9" i="6"/>
  <c r="GF23" i="6"/>
  <c r="GE23" i="6"/>
  <c r="GD23" i="6"/>
  <c r="GC23" i="6"/>
  <c r="GF22" i="6"/>
  <c r="GE22" i="6"/>
  <c r="GD22" i="6"/>
  <c r="GC22" i="6"/>
  <c r="GF21" i="6"/>
  <c r="GE21" i="6"/>
  <c r="GD21" i="6"/>
  <c r="GC21" i="6"/>
  <c r="GF20" i="6"/>
  <c r="GE20" i="6"/>
  <c r="GD20" i="6"/>
  <c r="GG20" i="6" s="1"/>
  <c r="GC20" i="6"/>
  <c r="GF18" i="6"/>
  <c r="GE18" i="6"/>
  <c r="GD18" i="6"/>
  <c r="GC18" i="6"/>
  <c r="GF19" i="6"/>
  <c r="GE19" i="6"/>
  <c r="GD19" i="6"/>
  <c r="GG19" i="6" s="1"/>
  <c r="GC19" i="6"/>
  <c r="GF15" i="6"/>
  <c r="GG15" i="6" s="1"/>
  <c r="GE15" i="6"/>
  <c r="GD15" i="6"/>
  <c r="GC15" i="6"/>
  <c r="GF14" i="6"/>
  <c r="GE14" i="6"/>
  <c r="GD14" i="6"/>
  <c r="GG14" i="6" s="1"/>
  <c r="GC14" i="6"/>
  <c r="GF16" i="6"/>
  <c r="GE16" i="6"/>
  <c r="GD16" i="6"/>
  <c r="GC16" i="6"/>
  <c r="GF13" i="6"/>
  <c r="GE13" i="6"/>
  <c r="GD13" i="6"/>
  <c r="GC13" i="6"/>
  <c r="GF12" i="6"/>
  <c r="GE12" i="6"/>
  <c r="GD12" i="6"/>
  <c r="GC12" i="6"/>
  <c r="GF17" i="6"/>
  <c r="GE17" i="6"/>
  <c r="GD17" i="6"/>
  <c r="GG17" i="6" s="1"/>
  <c r="GC17" i="6"/>
  <c r="GF8" i="6"/>
  <c r="GE8" i="6"/>
  <c r="GD8" i="6"/>
  <c r="GC8" i="6"/>
  <c r="GF11" i="6"/>
  <c r="GE11" i="6"/>
  <c r="GD11" i="6"/>
  <c r="GC11" i="6"/>
  <c r="GF7" i="6"/>
  <c r="GG7" i="6" s="1"/>
  <c r="GE7" i="6"/>
  <c r="GD7" i="6"/>
  <c r="GC7" i="6"/>
  <c r="GF6" i="6"/>
  <c r="GE6" i="6"/>
  <c r="GD6" i="6"/>
  <c r="GC6" i="6"/>
  <c r="GF10" i="6"/>
  <c r="GE10" i="6"/>
  <c r="GD10" i="6"/>
  <c r="GC10" i="6"/>
  <c r="GF4" i="6"/>
  <c r="GE4" i="6"/>
  <c r="GD4" i="6"/>
  <c r="GC4" i="6"/>
  <c r="GF5" i="6"/>
  <c r="GG5" i="6" s="1"/>
  <c r="GE5" i="6"/>
  <c r="GD5" i="6"/>
  <c r="GC5" i="6"/>
  <c r="GG9" i="6"/>
  <c r="GF9" i="6"/>
  <c r="GE9" i="6"/>
  <c r="GD9" i="6"/>
  <c r="GC9" i="6"/>
  <c r="FK23" i="6"/>
  <c r="FJ23" i="6"/>
  <c r="FI23" i="6"/>
  <c r="FH23" i="6"/>
  <c r="FK22" i="6"/>
  <c r="FJ22" i="6"/>
  <c r="FI22" i="6"/>
  <c r="FH22" i="6"/>
  <c r="FK21" i="6"/>
  <c r="FJ21" i="6"/>
  <c r="FI21" i="6"/>
  <c r="FH21" i="6"/>
  <c r="FK20" i="6"/>
  <c r="FJ20" i="6"/>
  <c r="FI20" i="6"/>
  <c r="FL20" i="6" s="1"/>
  <c r="FH20" i="6"/>
  <c r="FK18" i="6"/>
  <c r="FJ18" i="6"/>
  <c r="FI18" i="6"/>
  <c r="FL18" i="6" s="1"/>
  <c r="FH18" i="6"/>
  <c r="FK19" i="6"/>
  <c r="FJ19" i="6"/>
  <c r="FI19" i="6"/>
  <c r="FL19" i="6" s="1"/>
  <c r="FH19" i="6"/>
  <c r="FK15" i="6"/>
  <c r="FJ15" i="6"/>
  <c r="FI15" i="6"/>
  <c r="FH15" i="6"/>
  <c r="FK14" i="6"/>
  <c r="FJ14" i="6"/>
  <c r="FI14" i="6"/>
  <c r="FL14" i="6" s="1"/>
  <c r="FH14" i="6"/>
  <c r="FK16" i="6"/>
  <c r="FJ16" i="6"/>
  <c r="FI16" i="6"/>
  <c r="FL16" i="6" s="1"/>
  <c r="FH16" i="6"/>
  <c r="FK13" i="6"/>
  <c r="FJ13" i="6"/>
  <c r="FI13" i="6"/>
  <c r="FH13" i="6"/>
  <c r="FK12" i="6"/>
  <c r="FJ12" i="6"/>
  <c r="FI12" i="6"/>
  <c r="FL12" i="6" s="1"/>
  <c r="FH12" i="6"/>
  <c r="FK17" i="6"/>
  <c r="FJ17" i="6"/>
  <c r="FI17" i="6"/>
  <c r="FL17" i="6" s="1"/>
  <c r="FH17" i="6"/>
  <c r="FK8" i="6"/>
  <c r="FJ8" i="6"/>
  <c r="FI8" i="6"/>
  <c r="FL8" i="6" s="1"/>
  <c r="FH8" i="6"/>
  <c r="FK11" i="6"/>
  <c r="FJ11" i="6"/>
  <c r="FI11" i="6"/>
  <c r="FL11" i="6" s="1"/>
  <c r="FH11" i="6"/>
  <c r="FK7" i="6"/>
  <c r="FJ7" i="6"/>
  <c r="FI7" i="6"/>
  <c r="FH7" i="6"/>
  <c r="FK6" i="6"/>
  <c r="FJ6" i="6"/>
  <c r="FI6" i="6"/>
  <c r="FL6" i="6" s="1"/>
  <c r="FH6" i="6"/>
  <c r="FK10" i="6"/>
  <c r="FJ10" i="6"/>
  <c r="FI10" i="6"/>
  <c r="FL10" i="6" s="1"/>
  <c r="FH10" i="6"/>
  <c r="FK4" i="6"/>
  <c r="FJ4" i="6"/>
  <c r="FI4" i="6"/>
  <c r="FH4" i="6"/>
  <c r="FK5" i="6"/>
  <c r="FJ5" i="6"/>
  <c r="FI5" i="6"/>
  <c r="FL5" i="6" s="1"/>
  <c r="FH5" i="6"/>
  <c r="FK9" i="6"/>
  <c r="FJ9" i="6"/>
  <c r="FI9" i="6"/>
  <c r="FL9" i="6" s="1"/>
  <c r="FH9" i="6"/>
  <c r="EP23" i="6"/>
  <c r="EO23" i="6"/>
  <c r="EN23" i="6"/>
  <c r="EM23" i="6"/>
  <c r="EP22" i="6"/>
  <c r="EO22" i="6"/>
  <c r="EN22" i="6"/>
  <c r="EM22" i="6"/>
  <c r="EP21" i="6"/>
  <c r="EO21" i="6"/>
  <c r="EN21" i="6"/>
  <c r="EM21" i="6"/>
  <c r="EP20" i="6"/>
  <c r="EO20" i="6"/>
  <c r="EN20" i="6"/>
  <c r="EM20" i="6"/>
  <c r="EP18" i="6"/>
  <c r="EO18" i="6"/>
  <c r="EN18" i="6"/>
  <c r="EM18" i="6"/>
  <c r="EP19" i="6"/>
  <c r="EO19" i="6"/>
  <c r="EN19" i="6"/>
  <c r="EM19" i="6"/>
  <c r="EP15" i="6"/>
  <c r="EO15" i="6"/>
  <c r="EN15" i="6"/>
  <c r="EM15" i="6"/>
  <c r="EP14" i="6"/>
  <c r="EO14" i="6"/>
  <c r="EN14" i="6"/>
  <c r="EM14" i="6"/>
  <c r="EP16" i="6"/>
  <c r="EO16" i="6"/>
  <c r="EN16" i="6"/>
  <c r="EM16" i="6"/>
  <c r="EP13" i="6"/>
  <c r="EO13" i="6"/>
  <c r="EN13" i="6"/>
  <c r="EM13" i="6"/>
  <c r="EP12" i="6"/>
  <c r="EO12" i="6"/>
  <c r="EN12" i="6"/>
  <c r="EM12" i="6"/>
  <c r="EP17" i="6"/>
  <c r="EO17" i="6"/>
  <c r="EN17" i="6"/>
  <c r="EQ17" i="6" s="1"/>
  <c r="EM17" i="6"/>
  <c r="EP8" i="6"/>
  <c r="EO8" i="6"/>
  <c r="EN8" i="6"/>
  <c r="EQ8" i="6" s="1"/>
  <c r="EM8" i="6"/>
  <c r="EP11" i="6"/>
  <c r="EO11" i="6"/>
  <c r="EN11" i="6"/>
  <c r="EQ11" i="6" s="1"/>
  <c r="EM11" i="6"/>
  <c r="EP7" i="6"/>
  <c r="EO7" i="6"/>
  <c r="EN7" i="6"/>
  <c r="EM7" i="6"/>
  <c r="EP6" i="6"/>
  <c r="EO6" i="6"/>
  <c r="EN6" i="6"/>
  <c r="EQ6" i="6" s="1"/>
  <c r="EM6" i="6"/>
  <c r="EP10" i="6"/>
  <c r="EO10" i="6"/>
  <c r="EN10" i="6"/>
  <c r="EQ10" i="6" s="1"/>
  <c r="EM10" i="6"/>
  <c r="EP4" i="6"/>
  <c r="EO4" i="6"/>
  <c r="EN4" i="6"/>
  <c r="EM4" i="6"/>
  <c r="EP5" i="6"/>
  <c r="EO5" i="6"/>
  <c r="EN5" i="6"/>
  <c r="EQ5" i="6" s="1"/>
  <c r="EM5" i="6"/>
  <c r="EP9" i="6"/>
  <c r="EO9" i="6"/>
  <c r="EN9" i="6"/>
  <c r="EQ9" i="6" s="1"/>
  <c r="EM9" i="6"/>
  <c r="DU23" i="6"/>
  <c r="DT23" i="6"/>
  <c r="DS23" i="6"/>
  <c r="DV23" i="6" s="1"/>
  <c r="DR23" i="6"/>
  <c r="DU22" i="6"/>
  <c r="DT22" i="6"/>
  <c r="DS22" i="6"/>
  <c r="DV22" i="6" s="1"/>
  <c r="DR22" i="6"/>
  <c r="DU21" i="6"/>
  <c r="DT21" i="6"/>
  <c r="DS21" i="6"/>
  <c r="DR21" i="6"/>
  <c r="DU20" i="6"/>
  <c r="DT20" i="6"/>
  <c r="DS20" i="6"/>
  <c r="DV20" i="6" s="1"/>
  <c r="DR20" i="6"/>
  <c r="DU18" i="6"/>
  <c r="DT18" i="6"/>
  <c r="DS18" i="6"/>
  <c r="DR18" i="6"/>
  <c r="DU19" i="6"/>
  <c r="DT19" i="6"/>
  <c r="DS19" i="6"/>
  <c r="DR19" i="6"/>
  <c r="DU15" i="6"/>
  <c r="DT15" i="6"/>
  <c r="DS15" i="6"/>
  <c r="DR15" i="6"/>
  <c r="DU14" i="6"/>
  <c r="DT14" i="6"/>
  <c r="DS14" i="6"/>
  <c r="DV14" i="6" s="1"/>
  <c r="DR14" i="6"/>
  <c r="DU16" i="6"/>
  <c r="DT16" i="6"/>
  <c r="DS16" i="6"/>
  <c r="DR16" i="6"/>
  <c r="DU13" i="6"/>
  <c r="DT13" i="6"/>
  <c r="DS13" i="6"/>
  <c r="DR13" i="6"/>
  <c r="DU12" i="6"/>
  <c r="DT12" i="6"/>
  <c r="DS12" i="6"/>
  <c r="DR12" i="6"/>
  <c r="DU17" i="6"/>
  <c r="DT17" i="6"/>
  <c r="DS17" i="6"/>
  <c r="DV17" i="6" s="1"/>
  <c r="DR17" i="6"/>
  <c r="DU8" i="6"/>
  <c r="DT8" i="6"/>
  <c r="DS8" i="6"/>
  <c r="DV8" i="6" s="1"/>
  <c r="DR8" i="6"/>
  <c r="DU11" i="6"/>
  <c r="DT11" i="6"/>
  <c r="DS11" i="6"/>
  <c r="DV11" i="6" s="1"/>
  <c r="DR11" i="6"/>
  <c r="DU7" i="6"/>
  <c r="DT7" i="6"/>
  <c r="DS7" i="6"/>
  <c r="DR7" i="6"/>
  <c r="DU6" i="6"/>
  <c r="DT6" i="6"/>
  <c r="DS6" i="6"/>
  <c r="DV6" i="6" s="1"/>
  <c r="DR6" i="6"/>
  <c r="DU10" i="6"/>
  <c r="DT10" i="6"/>
  <c r="DS10" i="6"/>
  <c r="DV10" i="6" s="1"/>
  <c r="DR10" i="6"/>
  <c r="DU4" i="6"/>
  <c r="DT4" i="6"/>
  <c r="DS4" i="6"/>
  <c r="DR4" i="6"/>
  <c r="DU5" i="6"/>
  <c r="DT5" i="6"/>
  <c r="DS5" i="6"/>
  <c r="DR5" i="6"/>
  <c r="DU9" i="6"/>
  <c r="DT9" i="6"/>
  <c r="DS9" i="6"/>
  <c r="DR9" i="6"/>
  <c r="CZ23" i="6"/>
  <c r="CY23" i="6"/>
  <c r="CX23" i="6"/>
  <c r="CW23" i="6"/>
  <c r="CZ22" i="6"/>
  <c r="CY22" i="6"/>
  <c r="CX22" i="6"/>
  <c r="CW22" i="6"/>
  <c r="CZ21" i="6"/>
  <c r="CY21" i="6"/>
  <c r="CX21" i="6"/>
  <c r="CW21" i="6"/>
  <c r="CZ20" i="6"/>
  <c r="DA20" i="6" s="1"/>
  <c r="CY20" i="6"/>
  <c r="CX20" i="6"/>
  <c r="CW20" i="6"/>
  <c r="CZ18" i="6"/>
  <c r="CY18" i="6"/>
  <c r="CX18" i="6"/>
  <c r="CW18" i="6"/>
  <c r="CZ19" i="6"/>
  <c r="CY19" i="6"/>
  <c r="CX19" i="6"/>
  <c r="CW19" i="6"/>
  <c r="CZ15" i="6"/>
  <c r="DA15" i="6" s="1"/>
  <c r="CY15" i="6"/>
  <c r="CX15" i="6"/>
  <c r="CW15" i="6"/>
  <c r="CZ14" i="6"/>
  <c r="CY14" i="6"/>
  <c r="CX14" i="6"/>
  <c r="CW14" i="6"/>
  <c r="CZ16" i="6"/>
  <c r="CY16" i="6"/>
  <c r="CX16" i="6"/>
  <c r="CW16" i="6"/>
  <c r="CZ13" i="6"/>
  <c r="CY13" i="6"/>
  <c r="CX13" i="6"/>
  <c r="CW13" i="6"/>
  <c r="CZ12" i="6"/>
  <c r="CY12" i="6"/>
  <c r="CX12" i="6"/>
  <c r="CW12" i="6"/>
  <c r="CZ17" i="6"/>
  <c r="CY17" i="6"/>
  <c r="CX17" i="6"/>
  <c r="CW17" i="6"/>
  <c r="CZ8" i="6"/>
  <c r="CY8" i="6"/>
  <c r="CX8" i="6"/>
  <c r="CW8" i="6"/>
  <c r="CZ11" i="6"/>
  <c r="CY11" i="6"/>
  <c r="CX11" i="6"/>
  <c r="CW11" i="6"/>
  <c r="CZ7" i="6"/>
  <c r="CY7" i="6"/>
  <c r="CX7" i="6"/>
  <c r="CW7" i="6"/>
  <c r="CZ6" i="6"/>
  <c r="CY6" i="6"/>
  <c r="CX6" i="6"/>
  <c r="CW6" i="6"/>
  <c r="CZ10" i="6"/>
  <c r="CY10" i="6"/>
  <c r="CX10" i="6"/>
  <c r="CW10" i="6"/>
  <c r="CZ4" i="6"/>
  <c r="DA4" i="6" s="1"/>
  <c r="CY4" i="6"/>
  <c r="CX4" i="6"/>
  <c r="CW4" i="6"/>
  <c r="CZ5" i="6"/>
  <c r="DA5" i="6" s="1"/>
  <c r="CY5" i="6"/>
  <c r="CX5" i="6"/>
  <c r="CW5" i="6"/>
  <c r="CZ9" i="6"/>
  <c r="DA9" i="6" s="1"/>
  <c r="CY9" i="6"/>
  <c r="CX9" i="6"/>
  <c r="CW9" i="6"/>
  <c r="LB7" i="8"/>
  <c r="LA7" i="8"/>
  <c r="KZ7" i="8"/>
  <c r="KY7" i="8"/>
  <c r="LB6" i="8"/>
  <c r="LA6" i="8"/>
  <c r="KZ6" i="8"/>
  <c r="LC6" i="8" s="1"/>
  <c r="KY6" i="8"/>
  <c r="LB5" i="8"/>
  <c r="LA5" i="8"/>
  <c r="KZ5" i="8"/>
  <c r="KY5" i="8"/>
  <c r="LB4" i="8"/>
  <c r="LA4" i="8"/>
  <c r="KZ4" i="8"/>
  <c r="LC4" i="8" s="1"/>
  <c r="KY4" i="8"/>
  <c r="KG7" i="8"/>
  <c r="KF7" i="8"/>
  <c r="KE7" i="8"/>
  <c r="KD7" i="8"/>
  <c r="KG6" i="8"/>
  <c r="KF6" i="8"/>
  <c r="KE6" i="8"/>
  <c r="KH6" i="8" s="1"/>
  <c r="KD6" i="8"/>
  <c r="KG5" i="8"/>
  <c r="KF5" i="8"/>
  <c r="KE5" i="8"/>
  <c r="KH5" i="8" s="1"/>
  <c r="KD5" i="8"/>
  <c r="KG4" i="8"/>
  <c r="KF4" i="8"/>
  <c r="KE4" i="8"/>
  <c r="KH4" i="8" s="1"/>
  <c r="KD4" i="8"/>
  <c r="JL7" i="8"/>
  <c r="JK7" i="8"/>
  <c r="JJ7" i="8"/>
  <c r="JM7" i="8" s="1"/>
  <c r="JI7" i="8"/>
  <c r="JL6" i="8"/>
  <c r="JK6" i="8"/>
  <c r="JJ6" i="8"/>
  <c r="JI6" i="8"/>
  <c r="JL5" i="8"/>
  <c r="JK5" i="8"/>
  <c r="JJ5" i="8"/>
  <c r="JM5" i="8" s="1"/>
  <c r="JI5" i="8"/>
  <c r="JL4" i="8"/>
  <c r="JK4" i="8"/>
  <c r="JJ4" i="8"/>
  <c r="JM4" i="8" s="1"/>
  <c r="JI4" i="8"/>
  <c r="IQ7" i="8"/>
  <c r="IP7" i="8"/>
  <c r="IO7" i="8"/>
  <c r="IN7" i="8"/>
  <c r="IQ6" i="8"/>
  <c r="IP6" i="8"/>
  <c r="IO6" i="8"/>
  <c r="IN6" i="8"/>
  <c r="IQ5" i="8"/>
  <c r="IP5" i="8"/>
  <c r="IO5" i="8"/>
  <c r="IN5" i="8"/>
  <c r="IQ4" i="8"/>
  <c r="IP4" i="8"/>
  <c r="IO4" i="8"/>
  <c r="IN4" i="8"/>
  <c r="HV7" i="8"/>
  <c r="HU7" i="8"/>
  <c r="HT7" i="8"/>
  <c r="HS7" i="8"/>
  <c r="HV6" i="8"/>
  <c r="HU6" i="8"/>
  <c r="HT6" i="8"/>
  <c r="HS6" i="8"/>
  <c r="HV5" i="8"/>
  <c r="HU5" i="8"/>
  <c r="HT5" i="8"/>
  <c r="HS5" i="8"/>
  <c r="HV4" i="8"/>
  <c r="HU4" i="8"/>
  <c r="HT4" i="8"/>
  <c r="HS4" i="8"/>
  <c r="HA7" i="8"/>
  <c r="GZ7" i="8"/>
  <c r="GY7" i="8"/>
  <c r="GX7" i="8"/>
  <c r="HA6" i="8"/>
  <c r="GZ6" i="8"/>
  <c r="GY6" i="8"/>
  <c r="GX6" i="8"/>
  <c r="HA5" i="8"/>
  <c r="GZ5" i="8"/>
  <c r="GY5" i="8"/>
  <c r="GX5" i="8"/>
  <c r="HA4" i="8"/>
  <c r="GZ4" i="8"/>
  <c r="GY4" i="8"/>
  <c r="GX4" i="8"/>
  <c r="GF7" i="8"/>
  <c r="GE7" i="8"/>
  <c r="GD7" i="8"/>
  <c r="GC7" i="8"/>
  <c r="GF6" i="8"/>
  <c r="GE6" i="8"/>
  <c r="GD6" i="8"/>
  <c r="GC6" i="8"/>
  <c r="GF5" i="8"/>
  <c r="GE5" i="8"/>
  <c r="GD5" i="8"/>
  <c r="GC5" i="8"/>
  <c r="GF4" i="8"/>
  <c r="GE4" i="8"/>
  <c r="GD4" i="8"/>
  <c r="GC4" i="8"/>
  <c r="FK7" i="8"/>
  <c r="FJ7" i="8"/>
  <c r="FI7" i="8"/>
  <c r="FH7" i="8"/>
  <c r="FK6" i="8"/>
  <c r="FJ6" i="8"/>
  <c r="FI6" i="8"/>
  <c r="FH6" i="8"/>
  <c r="FK5" i="8"/>
  <c r="FL5" i="8" s="1"/>
  <c r="FJ5" i="8"/>
  <c r="FI5" i="8"/>
  <c r="FH5" i="8"/>
  <c r="FL4" i="8"/>
  <c r="FK4" i="8"/>
  <c r="FJ4" i="8"/>
  <c r="FI4" i="8"/>
  <c r="FH4" i="8"/>
  <c r="EP7" i="8"/>
  <c r="EO7" i="8"/>
  <c r="EN7" i="8"/>
  <c r="EM7" i="8"/>
  <c r="EP6" i="8"/>
  <c r="EO6" i="8"/>
  <c r="EN6" i="8"/>
  <c r="EM6" i="8"/>
  <c r="EP5" i="8"/>
  <c r="EO5" i="8"/>
  <c r="EN5" i="8"/>
  <c r="EM5" i="8"/>
  <c r="EP4" i="8"/>
  <c r="EO4" i="8"/>
  <c r="EN4" i="8"/>
  <c r="EQ4" i="8" s="1"/>
  <c r="EM4" i="8"/>
  <c r="DU7" i="8"/>
  <c r="DT7" i="8"/>
  <c r="DS7" i="8"/>
  <c r="DV7" i="8" s="1"/>
  <c r="DR7" i="8"/>
  <c r="DU6" i="8"/>
  <c r="DT6" i="8"/>
  <c r="DS6" i="8"/>
  <c r="DR6" i="8"/>
  <c r="DU5" i="8"/>
  <c r="DT5" i="8"/>
  <c r="DS5" i="8"/>
  <c r="DV5" i="8" s="1"/>
  <c r="DR5" i="8"/>
  <c r="DV4" i="8"/>
  <c r="DU4" i="8"/>
  <c r="DT4" i="8"/>
  <c r="DS4" i="8"/>
  <c r="DR4" i="8"/>
  <c r="CZ7" i="8"/>
  <c r="CY7" i="8"/>
  <c r="CX7" i="8"/>
  <c r="CW7" i="8"/>
  <c r="CZ6" i="8"/>
  <c r="CY6" i="8"/>
  <c r="CX6" i="8"/>
  <c r="CW6" i="8"/>
  <c r="CZ5" i="8"/>
  <c r="CY5" i="8"/>
  <c r="CX5" i="8"/>
  <c r="CW5" i="8"/>
  <c r="CZ4" i="8"/>
  <c r="CY4" i="8"/>
  <c r="CX4" i="8"/>
  <c r="DA4" i="8" s="1"/>
  <c r="CW4" i="8"/>
  <c r="LB7" i="7"/>
  <c r="LA7" i="7"/>
  <c r="KZ7" i="7"/>
  <c r="LC7" i="7" s="1"/>
  <c r="KY7" i="7"/>
  <c r="LB6" i="7"/>
  <c r="LA6" i="7"/>
  <c r="KZ6" i="7"/>
  <c r="LC6" i="7" s="1"/>
  <c r="KY6" i="7"/>
  <c r="LB8" i="7"/>
  <c r="LA8" i="7"/>
  <c r="KZ8" i="7"/>
  <c r="LC8" i="7" s="1"/>
  <c r="KY8" i="7"/>
  <c r="LB5" i="7"/>
  <c r="LA5" i="7"/>
  <c r="KZ5" i="7"/>
  <c r="LC5" i="7" s="1"/>
  <c r="KY5" i="7"/>
  <c r="LB4" i="7"/>
  <c r="LA4" i="7"/>
  <c r="KZ4" i="7"/>
  <c r="KY4" i="7"/>
  <c r="KG7" i="7"/>
  <c r="KF7" i="7"/>
  <c r="KE7" i="7"/>
  <c r="KH7" i="7" s="1"/>
  <c r="KD7" i="7"/>
  <c r="KG6" i="7"/>
  <c r="KF6" i="7"/>
  <c r="KE6" i="7"/>
  <c r="KD6" i="7"/>
  <c r="KG8" i="7"/>
  <c r="KF8" i="7"/>
  <c r="KE8" i="7"/>
  <c r="KH8" i="7" s="1"/>
  <c r="KD8" i="7"/>
  <c r="KG5" i="7"/>
  <c r="KF5" i="7"/>
  <c r="KE5" i="7"/>
  <c r="KH5" i="7" s="1"/>
  <c r="KD5" i="7"/>
  <c r="KG4" i="7"/>
  <c r="KF4" i="7"/>
  <c r="KE4" i="7"/>
  <c r="KH4" i="7" s="1"/>
  <c r="KD4" i="7"/>
  <c r="JL7" i="7"/>
  <c r="JK7" i="7"/>
  <c r="JJ7" i="7"/>
  <c r="JM7" i="7" s="1"/>
  <c r="JI7" i="7"/>
  <c r="JL6" i="7"/>
  <c r="JK6" i="7"/>
  <c r="JJ6" i="7"/>
  <c r="JM6" i="7" s="1"/>
  <c r="JI6" i="7"/>
  <c r="JL8" i="7"/>
  <c r="JK8" i="7"/>
  <c r="JJ8" i="7"/>
  <c r="JI8" i="7"/>
  <c r="JL5" i="7"/>
  <c r="JK5" i="7"/>
  <c r="JJ5" i="7"/>
  <c r="JI5" i="7"/>
  <c r="JL4" i="7"/>
  <c r="JK4" i="7"/>
  <c r="JJ4" i="7"/>
  <c r="JM4" i="7" s="1"/>
  <c r="JI4" i="7"/>
  <c r="IQ7" i="7"/>
  <c r="IP7" i="7"/>
  <c r="IO7" i="7"/>
  <c r="IN7" i="7"/>
  <c r="IQ6" i="7"/>
  <c r="IP6" i="7"/>
  <c r="IO6" i="7"/>
  <c r="IR6" i="7" s="1"/>
  <c r="IN6" i="7"/>
  <c r="IQ8" i="7"/>
  <c r="IP8" i="7"/>
  <c r="IO8" i="7"/>
  <c r="IR8" i="7" s="1"/>
  <c r="IN8" i="7"/>
  <c r="IQ5" i="7"/>
  <c r="IP5" i="7"/>
  <c r="IO5" i="7"/>
  <c r="IR5" i="7" s="1"/>
  <c r="IN5" i="7"/>
  <c r="IQ4" i="7"/>
  <c r="IP4" i="7"/>
  <c r="IO4" i="7"/>
  <c r="IR4" i="7" s="1"/>
  <c r="IN4" i="7"/>
  <c r="HV7" i="7"/>
  <c r="HU7" i="7"/>
  <c r="HT7" i="7"/>
  <c r="HW7" i="7" s="1"/>
  <c r="HS7" i="7"/>
  <c r="HV6" i="7"/>
  <c r="HU6" i="7"/>
  <c r="HT6" i="7"/>
  <c r="HW6" i="7" s="1"/>
  <c r="HS6" i="7"/>
  <c r="HV8" i="7"/>
  <c r="HU8" i="7"/>
  <c r="HT8" i="7"/>
  <c r="HW8" i="7" s="1"/>
  <c r="HS8" i="7"/>
  <c r="HV5" i="7"/>
  <c r="HU5" i="7"/>
  <c r="HT5" i="7"/>
  <c r="HW5" i="7" s="1"/>
  <c r="HS5" i="7"/>
  <c r="HV4" i="7"/>
  <c r="HU4" i="7"/>
  <c r="HT4" i="7"/>
  <c r="HW4" i="7" s="1"/>
  <c r="HS4" i="7"/>
  <c r="HA7" i="7"/>
  <c r="GY7" i="7"/>
  <c r="GX7" i="7"/>
  <c r="HA6" i="7"/>
  <c r="GY6" i="7"/>
  <c r="HB6" i="7" s="1"/>
  <c r="GX6" i="7"/>
  <c r="HA8" i="7"/>
  <c r="GY8" i="7"/>
  <c r="GX8" i="7"/>
  <c r="HA5" i="7"/>
  <c r="GY5" i="7"/>
  <c r="HB5" i="7" s="1"/>
  <c r="GX5" i="7"/>
  <c r="HA4" i="7"/>
  <c r="GZ4" i="7"/>
  <c r="GY4" i="7"/>
  <c r="HB4" i="7" s="1"/>
  <c r="GX4" i="7"/>
  <c r="GF7" i="7"/>
  <c r="GE7" i="7"/>
  <c r="GD7" i="7"/>
  <c r="GG7" i="7" s="1"/>
  <c r="GC7" i="7"/>
  <c r="GF6" i="7"/>
  <c r="GE6" i="7"/>
  <c r="GD6" i="7"/>
  <c r="GC6" i="7"/>
  <c r="GF8" i="7"/>
  <c r="GE8" i="7"/>
  <c r="GD8" i="7"/>
  <c r="GG8" i="7" s="1"/>
  <c r="GC8" i="7"/>
  <c r="GG5" i="7"/>
  <c r="GF5" i="7"/>
  <c r="GE5" i="7"/>
  <c r="GD5" i="7"/>
  <c r="GC5" i="7"/>
  <c r="GF4" i="7"/>
  <c r="GE4" i="7"/>
  <c r="GD4" i="7"/>
  <c r="GC4" i="7"/>
  <c r="FK7" i="7"/>
  <c r="FJ7" i="7"/>
  <c r="FI7" i="7"/>
  <c r="FL7" i="7" s="1"/>
  <c r="FH7" i="7"/>
  <c r="FK6" i="7"/>
  <c r="FL6" i="7" s="1"/>
  <c r="FJ6" i="7"/>
  <c r="FI6" i="7"/>
  <c r="FH6" i="7"/>
  <c r="FK8" i="7"/>
  <c r="FJ8" i="7"/>
  <c r="FI8" i="7"/>
  <c r="FL8" i="7" s="1"/>
  <c r="FH8" i="7"/>
  <c r="FK5" i="7"/>
  <c r="FJ5" i="7"/>
  <c r="FI5" i="7"/>
  <c r="FH5" i="7"/>
  <c r="FK4" i="7"/>
  <c r="FJ4" i="7"/>
  <c r="FI4" i="7"/>
  <c r="FH4" i="7"/>
  <c r="EP7" i="7"/>
  <c r="EO7" i="7"/>
  <c r="EN7" i="7"/>
  <c r="EQ7" i="7" s="1"/>
  <c r="EM7" i="7"/>
  <c r="EP6" i="7"/>
  <c r="EO6" i="7"/>
  <c r="EN6" i="7"/>
  <c r="EM6" i="7"/>
  <c r="EP8" i="7"/>
  <c r="EO8" i="7"/>
  <c r="EN8" i="7"/>
  <c r="EM8" i="7"/>
  <c r="EP5" i="7"/>
  <c r="EO5" i="7"/>
  <c r="EN5" i="7"/>
  <c r="EM5" i="7"/>
  <c r="EP4" i="7"/>
  <c r="EO4" i="7"/>
  <c r="EN4" i="7"/>
  <c r="EM4" i="7"/>
  <c r="DU7" i="7"/>
  <c r="DT7" i="7"/>
  <c r="DS7" i="7"/>
  <c r="DR7" i="7"/>
  <c r="DU6" i="7"/>
  <c r="DT6" i="7"/>
  <c r="DS6" i="7"/>
  <c r="DR6" i="7"/>
  <c r="DU8" i="7"/>
  <c r="DT8" i="7"/>
  <c r="DS8" i="7"/>
  <c r="DR8" i="7"/>
  <c r="DU5" i="7"/>
  <c r="DT5" i="7"/>
  <c r="DS5" i="7"/>
  <c r="DR5" i="7"/>
  <c r="DU4" i="7"/>
  <c r="DT4" i="7"/>
  <c r="DS4" i="7"/>
  <c r="DR4" i="7"/>
  <c r="CZ7" i="7"/>
  <c r="CY7" i="7"/>
  <c r="CX7" i="7"/>
  <c r="CW7" i="7"/>
  <c r="CZ6" i="7"/>
  <c r="DA6" i="7" s="1"/>
  <c r="CY6" i="7"/>
  <c r="CX6" i="7"/>
  <c r="CW6" i="7"/>
  <c r="CZ8" i="7"/>
  <c r="CY8" i="7"/>
  <c r="CX8" i="7"/>
  <c r="CW8" i="7"/>
  <c r="CZ5" i="7"/>
  <c r="DA5" i="7" s="1"/>
  <c r="CY5" i="7"/>
  <c r="CX5" i="7"/>
  <c r="CW5" i="7"/>
  <c r="CZ4" i="7"/>
  <c r="CY4" i="7"/>
  <c r="CX4" i="7"/>
  <c r="CW4" i="7"/>
  <c r="LW9" i="14"/>
  <c r="LV9" i="14"/>
  <c r="LT9" i="14"/>
  <c r="LS9" i="14"/>
  <c r="LR9" i="14"/>
  <c r="LW8" i="14"/>
  <c r="LV8" i="14"/>
  <c r="LT8" i="14"/>
  <c r="LS8" i="14"/>
  <c r="LR8" i="14"/>
  <c r="LW7" i="14"/>
  <c r="LV7" i="14"/>
  <c r="LT7" i="14"/>
  <c r="LS7" i="14"/>
  <c r="LR7" i="14"/>
  <c r="LW6" i="14"/>
  <c r="LV6" i="14"/>
  <c r="LT6" i="14"/>
  <c r="LS6" i="14"/>
  <c r="LR6" i="14"/>
  <c r="LW5" i="14"/>
  <c r="LV5" i="14"/>
  <c r="LT5" i="14"/>
  <c r="LS5" i="14"/>
  <c r="LR5" i="14"/>
  <c r="LW4" i="14"/>
  <c r="LV4" i="14"/>
  <c r="LT4" i="14"/>
  <c r="LS4" i="14"/>
  <c r="LR4" i="14"/>
  <c r="LA9" i="14"/>
  <c r="KZ9" i="14"/>
  <c r="KX9" i="14"/>
  <c r="KW9" i="14"/>
  <c r="KV9" i="14"/>
  <c r="LA8" i="14"/>
  <c r="KZ8" i="14"/>
  <c r="KX8" i="14"/>
  <c r="KW8" i="14"/>
  <c r="KY8" i="14" s="1"/>
  <c r="KV8" i="14"/>
  <c r="LA7" i="14"/>
  <c r="KZ7" i="14"/>
  <c r="KX7" i="14"/>
  <c r="KW7" i="14"/>
  <c r="KV7" i="14"/>
  <c r="LA6" i="14"/>
  <c r="KZ6" i="14"/>
  <c r="KX6" i="14"/>
  <c r="KW6" i="14"/>
  <c r="KV6" i="14"/>
  <c r="LA5" i="14"/>
  <c r="KZ5" i="14"/>
  <c r="KX5" i="14"/>
  <c r="KW5" i="14"/>
  <c r="KV5" i="14"/>
  <c r="LA4" i="14"/>
  <c r="KZ4" i="14"/>
  <c r="KX4" i="14"/>
  <c r="KW4" i="14"/>
  <c r="KV4" i="14"/>
  <c r="KE9" i="14"/>
  <c r="KD9" i="14"/>
  <c r="KB9" i="14"/>
  <c r="KA9" i="14"/>
  <c r="JZ9" i="14"/>
  <c r="KE8" i="14"/>
  <c r="KD8" i="14"/>
  <c r="KB8" i="14"/>
  <c r="KA8" i="14"/>
  <c r="JZ8" i="14"/>
  <c r="KE7" i="14"/>
  <c r="KD7" i="14"/>
  <c r="KB7" i="14"/>
  <c r="KA7" i="14"/>
  <c r="JZ7" i="14"/>
  <c r="KE6" i="14"/>
  <c r="KD6" i="14"/>
  <c r="KB6" i="14"/>
  <c r="KA6" i="14"/>
  <c r="JZ6" i="14"/>
  <c r="KE5" i="14"/>
  <c r="KD5" i="14"/>
  <c r="KB5" i="14"/>
  <c r="KA5" i="14"/>
  <c r="JZ5" i="14"/>
  <c r="KE4" i="14"/>
  <c r="KD4" i="14"/>
  <c r="KB4" i="14"/>
  <c r="KA4" i="14"/>
  <c r="JZ4" i="14"/>
  <c r="JI9" i="14"/>
  <c r="JH9" i="14"/>
  <c r="JF9" i="14"/>
  <c r="JE9" i="14"/>
  <c r="JD9" i="14"/>
  <c r="JI8" i="14"/>
  <c r="JH8" i="14"/>
  <c r="JF8" i="14"/>
  <c r="JE8" i="14"/>
  <c r="JD8" i="14"/>
  <c r="JI7" i="14"/>
  <c r="JH7" i="14"/>
  <c r="JF7" i="14"/>
  <c r="JE7" i="14"/>
  <c r="JD7" i="14"/>
  <c r="JI6" i="14"/>
  <c r="JH6" i="14"/>
  <c r="JF6" i="14"/>
  <c r="JE6" i="14"/>
  <c r="JD6" i="14"/>
  <c r="JI5" i="14"/>
  <c r="JH5" i="14"/>
  <c r="JF5" i="14"/>
  <c r="JE5" i="14"/>
  <c r="JD5" i="14"/>
  <c r="JI4" i="14"/>
  <c r="JH4" i="14"/>
  <c r="JF4" i="14"/>
  <c r="JE4" i="14"/>
  <c r="JD4" i="14"/>
  <c r="IM9" i="14"/>
  <c r="IL9" i="14"/>
  <c r="IJ9" i="14"/>
  <c r="II9" i="14"/>
  <c r="IH9" i="14"/>
  <c r="IM8" i="14"/>
  <c r="IL8" i="14"/>
  <c r="IJ8" i="14"/>
  <c r="II8" i="14"/>
  <c r="IH8" i="14"/>
  <c r="IM7" i="14"/>
  <c r="IL7" i="14"/>
  <c r="IJ7" i="14"/>
  <c r="II7" i="14"/>
  <c r="IH7" i="14"/>
  <c r="IM6" i="14"/>
  <c r="IL6" i="14"/>
  <c r="IJ6" i="14"/>
  <c r="II6" i="14"/>
  <c r="IH6" i="14"/>
  <c r="IM5" i="14"/>
  <c r="IL5" i="14"/>
  <c r="IJ5" i="14"/>
  <c r="II5" i="14"/>
  <c r="IH5" i="14"/>
  <c r="IM4" i="14"/>
  <c r="IL4" i="14"/>
  <c r="IJ4" i="14"/>
  <c r="II4" i="14"/>
  <c r="IH4" i="14"/>
  <c r="HQ9" i="14"/>
  <c r="HP9" i="14"/>
  <c r="HN9" i="14"/>
  <c r="HM9" i="14"/>
  <c r="HL9" i="14"/>
  <c r="HQ8" i="14"/>
  <c r="HP8" i="14"/>
  <c r="HN8" i="14"/>
  <c r="HM8" i="14"/>
  <c r="HL8" i="14"/>
  <c r="HQ7" i="14"/>
  <c r="HP7" i="14"/>
  <c r="HN7" i="14"/>
  <c r="HM7" i="14"/>
  <c r="HL7" i="14"/>
  <c r="HQ6" i="14"/>
  <c r="HP6" i="14"/>
  <c r="HN6" i="14"/>
  <c r="HM6" i="14"/>
  <c r="HL6" i="14"/>
  <c r="HQ5" i="14"/>
  <c r="HP5" i="14"/>
  <c r="HN5" i="14"/>
  <c r="HM5" i="14"/>
  <c r="HL5" i="14"/>
  <c r="HQ4" i="14"/>
  <c r="HP4" i="14"/>
  <c r="HN4" i="14"/>
  <c r="HM4" i="14"/>
  <c r="HL4" i="14"/>
  <c r="GU9" i="14"/>
  <c r="GT9" i="14"/>
  <c r="GR9" i="14"/>
  <c r="GQ9" i="14"/>
  <c r="GP9" i="14"/>
  <c r="GU8" i="14"/>
  <c r="GT8" i="14"/>
  <c r="GR8" i="14"/>
  <c r="GQ8" i="14"/>
  <c r="GP8" i="14"/>
  <c r="GU7" i="14"/>
  <c r="GT7" i="14"/>
  <c r="GR7" i="14"/>
  <c r="GQ7" i="14"/>
  <c r="GP7" i="14"/>
  <c r="GU6" i="14"/>
  <c r="GT6" i="14"/>
  <c r="GR6" i="14"/>
  <c r="GQ6" i="14"/>
  <c r="GP6" i="14"/>
  <c r="GU5" i="14"/>
  <c r="GT5" i="14"/>
  <c r="GR5" i="14"/>
  <c r="GQ5" i="14"/>
  <c r="GP5" i="14"/>
  <c r="GU4" i="14"/>
  <c r="GT4" i="14"/>
  <c r="GR4" i="14"/>
  <c r="GQ4" i="14"/>
  <c r="GP4" i="14"/>
  <c r="FY9" i="14"/>
  <c r="FX9" i="14"/>
  <c r="FV9" i="14"/>
  <c r="FU9" i="14"/>
  <c r="FT9" i="14"/>
  <c r="FY8" i="14"/>
  <c r="FX8" i="14"/>
  <c r="FV8" i="14"/>
  <c r="FU8" i="14"/>
  <c r="FT8" i="14"/>
  <c r="FY7" i="14"/>
  <c r="FX7" i="14"/>
  <c r="FV7" i="14"/>
  <c r="FU7" i="14"/>
  <c r="FT7" i="14"/>
  <c r="FY6" i="14"/>
  <c r="FX6" i="14"/>
  <c r="FV6" i="14"/>
  <c r="FU6" i="14"/>
  <c r="FT6" i="14"/>
  <c r="FY5" i="14"/>
  <c r="FX5" i="14"/>
  <c r="FV5" i="14"/>
  <c r="FU5" i="14"/>
  <c r="FT5" i="14"/>
  <c r="FY4" i="14"/>
  <c r="FX4" i="14"/>
  <c r="FV4" i="14"/>
  <c r="FU4" i="14"/>
  <c r="FT4" i="14"/>
  <c r="FC9" i="14"/>
  <c r="FB9" i="14"/>
  <c r="EZ9" i="14"/>
  <c r="EY9" i="14"/>
  <c r="EX9" i="14"/>
  <c r="FC8" i="14"/>
  <c r="FB8" i="14"/>
  <c r="EZ8" i="14"/>
  <c r="EY8" i="14"/>
  <c r="EX8" i="14"/>
  <c r="FC7" i="14"/>
  <c r="FB7" i="14"/>
  <c r="EZ7" i="14"/>
  <c r="EY7" i="14"/>
  <c r="EX7" i="14"/>
  <c r="FC6" i="14"/>
  <c r="FB6" i="14"/>
  <c r="EZ6" i="14"/>
  <c r="EY6" i="14"/>
  <c r="EX6" i="14"/>
  <c r="FC5" i="14"/>
  <c r="FB5" i="14"/>
  <c r="EZ5" i="14"/>
  <c r="EY5" i="14"/>
  <c r="EX5" i="14"/>
  <c r="FC4" i="14"/>
  <c r="FB4" i="14"/>
  <c r="EZ4" i="14"/>
  <c r="EY4" i="14"/>
  <c r="EX4" i="14"/>
  <c r="EG9" i="14"/>
  <c r="EF9" i="14"/>
  <c r="ED9" i="14"/>
  <c r="EC9" i="14"/>
  <c r="EB9" i="14"/>
  <c r="EG8" i="14"/>
  <c r="EF8" i="14"/>
  <c r="ED8" i="14"/>
  <c r="EC8" i="14"/>
  <c r="EB8" i="14"/>
  <c r="EG7" i="14"/>
  <c r="EF7" i="14"/>
  <c r="ED7" i="14"/>
  <c r="EC7" i="14"/>
  <c r="EB7" i="14"/>
  <c r="EG6" i="14"/>
  <c r="EF6" i="14"/>
  <c r="ED6" i="14"/>
  <c r="EC6" i="14"/>
  <c r="EB6" i="14"/>
  <c r="EG5" i="14"/>
  <c r="EF5" i="14"/>
  <c r="ED5" i="14"/>
  <c r="EC5" i="14"/>
  <c r="EB5" i="14"/>
  <c r="EG4" i="14"/>
  <c r="EF4" i="14"/>
  <c r="ED4" i="14"/>
  <c r="EC4" i="14"/>
  <c r="EB4" i="14"/>
  <c r="DK9" i="14"/>
  <c r="DJ9" i="14"/>
  <c r="DH9" i="14"/>
  <c r="DG9" i="14"/>
  <c r="DF9" i="14"/>
  <c r="DK8" i="14"/>
  <c r="DJ8" i="14"/>
  <c r="DH8" i="14"/>
  <c r="DG8" i="14"/>
  <c r="DF8" i="14"/>
  <c r="DK7" i="14"/>
  <c r="DJ7" i="14"/>
  <c r="DH7" i="14"/>
  <c r="DG7" i="14"/>
  <c r="DF7" i="14"/>
  <c r="DK6" i="14"/>
  <c r="DJ6" i="14"/>
  <c r="DH6" i="14"/>
  <c r="DG6" i="14"/>
  <c r="DF6" i="14"/>
  <c r="DK5" i="14"/>
  <c r="DJ5" i="14"/>
  <c r="DH5" i="14"/>
  <c r="DG5" i="14"/>
  <c r="DF5" i="14"/>
  <c r="DK4" i="14"/>
  <c r="DJ4" i="14"/>
  <c r="DH4" i="14"/>
  <c r="DG4" i="14"/>
  <c r="DF4" i="14"/>
  <c r="LW10" i="9"/>
  <c r="LV10" i="9"/>
  <c r="LT10" i="9"/>
  <c r="LS10" i="9"/>
  <c r="LU10" i="9" s="1"/>
  <c r="LR10" i="9"/>
  <c r="LW9" i="9"/>
  <c r="LV9" i="9"/>
  <c r="LT9" i="9"/>
  <c r="LS9" i="9"/>
  <c r="LU9" i="9" s="1"/>
  <c r="LX9" i="9" s="1"/>
  <c r="LR9" i="9"/>
  <c r="LW8" i="9"/>
  <c r="LV8" i="9"/>
  <c r="LT8" i="9"/>
  <c r="LS8" i="9"/>
  <c r="LR8" i="9"/>
  <c r="LW7" i="9"/>
  <c r="LV7" i="9"/>
  <c r="LT7" i="9"/>
  <c r="LS7" i="9"/>
  <c r="LU7" i="9" s="1"/>
  <c r="LR7" i="9"/>
  <c r="LW6" i="9"/>
  <c r="LV6" i="9"/>
  <c r="LT6" i="9"/>
  <c r="LS6" i="9"/>
  <c r="LU6" i="9" s="1"/>
  <c r="LX6" i="9" s="1"/>
  <c r="LR6" i="9"/>
  <c r="LW5" i="9"/>
  <c r="LV5" i="9"/>
  <c r="LT5" i="9"/>
  <c r="LS5" i="9"/>
  <c r="LU5" i="9" s="1"/>
  <c r="LX5" i="9" s="1"/>
  <c r="LR5" i="9"/>
  <c r="LW4" i="9"/>
  <c r="LV4" i="9"/>
  <c r="LT4" i="9"/>
  <c r="LS4" i="9"/>
  <c r="LR4" i="9"/>
  <c r="LA10" i="9"/>
  <c r="KZ10" i="9"/>
  <c r="KX10" i="9"/>
  <c r="KW10" i="9"/>
  <c r="KV10" i="9"/>
  <c r="LA9" i="9"/>
  <c r="KZ9" i="9"/>
  <c r="KX9" i="9"/>
  <c r="KW9" i="9"/>
  <c r="KV9" i="9"/>
  <c r="LA8" i="9"/>
  <c r="KZ8" i="9"/>
  <c r="KX8" i="9"/>
  <c r="KW8" i="9"/>
  <c r="KV8" i="9"/>
  <c r="LA7" i="9"/>
  <c r="KZ7" i="9"/>
  <c r="KX7" i="9"/>
  <c r="KW7" i="9"/>
  <c r="KV7" i="9"/>
  <c r="LA6" i="9"/>
  <c r="KZ6" i="9"/>
  <c r="KX6" i="9"/>
  <c r="KW6" i="9"/>
  <c r="KY6" i="9" s="1"/>
  <c r="KV6" i="9"/>
  <c r="LA5" i="9"/>
  <c r="KZ5" i="9"/>
  <c r="KX5" i="9"/>
  <c r="KW5" i="9"/>
  <c r="KV5" i="9"/>
  <c r="LA4" i="9"/>
  <c r="KZ4" i="9"/>
  <c r="KX4" i="9"/>
  <c r="KW4" i="9"/>
  <c r="KV4" i="9"/>
  <c r="KE10" i="9"/>
  <c r="KD10" i="9"/>
  <c r="KB10" i="9"/>
  <c r="KA10" i="9"/>
  <c r="JZ10" i="9"/>
  <c r="KE9" i="9"/>
  <c r="KD9" i="9"/>
  <c r="KB9" i="9"/>
  <c r="KA9" i="9"/>
  <c r="JZ9" i="9"/>
  <c r="KE8" i="9"/>
  <c r="KD8" i="9"/>
  <c r="KB8" i="9"/>
  <c r="KA8" i="9"/>
  <c r="JZ8" i="9"/>
  <c r="KE7" i="9"/>
  <c r="KD7" i="9"/>
  <c r="KB7" i="9"/>
  <c r="KA7" i="9"/>
  <c r="JZ7" i="9"/>
  <c r="KE6" i="9"/>
  <c r="KD6" i="9"/>
  <c r="KB6" i="9"/>
  <c r="KA6" i="9"/>
  <c r="JZ6" i="9"/>
  <c r="KE5" i="9"/>
  <c r="KD5" i="9"/>
  <c r="KB5" i="9"/>
  <c r="KA5" i="9"/>
  <c r="JZ5" i="9"/>
  <c r="KE4" i="9"/>
  <c r="KD4" i="9"/>
  <c r="KB4" i="9"/>
  <c r="KA4" i="9"/>
  <c r="JZ4" i="9"/>
  <c r="JI10" i="9"/>
  <c r="JH10" i="9"/>
  <c r="JF10" i="9"/>
  <c r="JE10" i="9"/>
  <c r="JG10" i="9" s="1"/>
  <c r="JD10" i="9"/>
  <c r="JI9" i="9"/>
  <c r="JH9" i="9"/>
  <c r="JF9" i="9"/>
  <c r="JE9" i="9"/>
  <c r="JD9" i="9"/>
  <c r="JI8" i="9"/>
  <c r="JH8" i="9"/>
  <c r="JF8" i="9"/>
  <c r="JE8" i="9"/>
  <c r="JG8" i="9" s="1"/>
  <c r="JD8" i="9"/>
  <c r="JI7" i="9"/>
  <c r="JH7" i="9"/>
  <c r="JF7" i="9"/>
  <c r="JE7" i="9"/>
  <c r="JD7" i="9"/>
  <c r="JI6" i="9"/>
  <c r="JH6" i="9"/>
  <c r="JF6" i="9"/>
  <c r="JE6" i="9"/>
  <c r="JD6" i="9"/>
  <c r="JI5" i="9"/>
  <c r="JH5" i="9"/>
  <c r="JF5" i="9"/>
  <c r="JE5" i="9"/>
  <c r="JD5" i="9"/>
  <c r="JI4" i="9"/>
  <c r="JH4" i="9"/>
  <c r="JF4" i="9"/>
  <c r="JE4" i="9"/>
  <c r="JG4" i="9" s="1"/>
  <c r="JD4" i="9"/>
  <c r="IM10" i="9"/>
  <c r="IL10" i="9"/>
  <c r="IJ10" i="9"/>
  <c r="II10" i="9"/>
  <c r="IH10" i="9"/>
  <c r="IM9" i="9"/>
  <c r="IL9" i="9"/>
  <c r="IJ9" i="9"/>
  <c r="II9" i="9"/>
  <c r="IH9" i="9"/>
  <c r="IM8" i="9"/>
  <c r="IL8" i="9"/>
  <c r="IJ8" i="9"/>
  <c r="II8" i="9"/>
  <c r="IH8" i="9"/>
  <c r="IM7" i="9"/>
  <c r="IL7" i="9"/>
  <c r="IJ7" i="9"/>
  <c r="II7" i="9"/>
  <c r="IK7" i="9" s="1"/>
  <c r="IH7" i="9"/>
  <c r="IM6" i="9"/>
  <c r="IL6" i="9"/>
  <c r="IJ6" i="9"/>
  <c r="IK6" i="9" s="1"/>
  <c r="II6" i="9"/>
  <c r="IH6" i="9"/>
  <c r="IM5" i="9"/>
  <c r="IL5" i="9"/>
  <c r="IJ5" i="9"/>
  <c r="II5" i="9"/>
  <c r="IH5" i="9"/>
  <c r="IM4" i="9"/>
  <c r="IL4" i="9"/>
  <c r="IJ4" i="9"/>
  <c r="II4" i="9"/>
  <c r="IH4" i="9"/>
  <c r="HQ10" i="9"/>
  <c r="HP10" i="9"/>
  <c r="HN10" i="9"/>
  <c r="HM10" i="9"/>
  <c r="HO10" i="9" s="1"/>
  <c r="HL10" i="9"/>
  <c r="HQ9" i="9"/>
  <c r="HP9" i="9"/>
  <c r="HN9" i="9"/>
  <c r="HM9" i="9"/>
  <c r="HO9" i="9" s="1"/>
  <c r="HR9" i="9" s="1"/>
  <c r="HL9" i="9"/>
  <c r="HQ8" i="9"/>
  <c r="HP8" i="9"/>
  <c r="HN8" i="9"/>
  <c r="HM8" i="9"/>
  <c r="HL8" i="9"/>
  <c r="HQ7" i="9"/>
  <c r="HP7" i="9"/>
  <c r="HN7" i="9"/>
  <c r="HM7" i="9"/>
  <c r="HL7" i="9"/>
  <c r="HQ6" i="9"/>
  <c r="HP6" i="9"/>
  <c r="HN6" i="9"/>
  <c r="HM6" i="9"/>
  <c r="HL6" i="9"/>
  <c r="HQ5" i="9"/>
  <c r="HP5" i="9"/>
  <c r="HO5" i="9"/>
  <c r="HN5" i="9"/>
  <c r="HM5" i="9"/>
  <c r="HL5" i="9"/>
  <c r="HQ4" i="9"/>
  <c r="HP4" i="9"/>
  <c r="HN4" i="9"/>
  <c r="HM4" i="9"/>
  <c r="HL4" i="9"/>
  <c r="GU10" i="9"/>
  <c r="GT10" i="9"/>
  <c r="GR10" i="9"/>
  <c r="GQ10" i="9"/>
  <c r="GP10" i="9"/>
  <c r="GU9" i="9"/>
  <c r="GT9" i="9"/>
  <c r="GR9" i="9"/>
  <c r="GQ9" i="9"/>
  <c r="GP9" i="9"/>
  <c r="GU8" i="9"/>
  <c r="GT8" i="9"/>
  <c r="GR8" i="9"/>
  <c r="GQ8" i="9"/>
  <c r="GS8" i="9" s="1"/>
  <c r="GV8" i="9" s="1"/>
  <c r="GP8" i="9"/>
  <c r="GU7" i="9"/>
  <c r="GT7" i="9"/>
  <c r="GR7" i="9"/>
  <c r="GQ7" i="9"/>
  <c r="GP7" i="9"/>
  <c r="GU6" i="9"/>
  <c r="GT6" i="9"/>
  <c r="GR6" i="9"/>
  <c r="GQ6" i="9"/>
  <c r="GS6" i="9" s="1"/>
  <c r="GP6" i="9"/>
  <c r="GU5" i="9"/>
  <c r="GT5" i="9"/>
  <c r="GR5" i="9"/>
  <c r="GQ5" i="9"/>
  <c r="GS5" i="9" s="1"/>
  <c r="GP5" i="9"/>
  <c r="GU4" i="9"/>
  <c r="GT4" i="9"/>
  <c r="GR4" i="9"/>
  <c r="GQ4" i="9"/>
  <c r="GP4" i="9"/>
  <c r="FY10" i="9"/>
  <c r="FX10" i="9"/>
  <c r="FV10" i="9"/>
  <c r="FU10" i="9"/>
  <c r="FT10" i="9"/>
  <c r="FY9" i="9"/>
  <c r="FX9" i="9"/>
  <c r="FV9" i="9"/>
  <c r="FU9" i="9"/>
  <c r="FT9" i="9"/>
  <c r="FY8" i="9"/>
  <c r="FX8" i="9"/>
  <c r="FV8" i="9"/>
  <c r="FU8" i="9"/>
  <c r="FT8" i="9"/>
  <c r="FY7" i="9"/>
  <c r="FX7" i="9"/>
  <c r="FV7" i="9"/>
  <c r="FU7" i="9"/>
  <c r="FW7" i="9" s="1"/>
  <c r="FZ7" i="9" s="1"/>
  <c r="FT7" i="9"/>
  <c r="FY6" i="9"/>
  <c r="FX6" i="9"/>
  <c r="FV6" i="9"/>
  <c r="FU6" i="9"/>
  <c r="FT6" i="9"/>
  <c r="FY5" i="9"/>
  <c r="FX5" i="9"/>
  <c r="FV5" i="9"/>
  <c r="FU5" i="9"/>
  <c r="FT5" i="9"/>
  <c r="FY4" i="9"/>
  <c r="FX4" i="9"/>
  <c r="FV4" i="9"/>
  <c r="FU4" i="9"/>
  <c r="FT4" i="9"/>
  <c r="FC10" i="9"/>
  <c r="FB10" i="9"/>
  <c r="EZ10" i="9"/>
  <c r="EY10" i="9"/>
  <c r="EX10" i="9"/>
  <c r="FC9" i="9"/>
  <c r="FB9" i="9"/>
  <c r="EZ9" i="9"/>
  <c r="EY9" i="9"/>
  <c r="EX9" i="9"/>
  <c r="FC8" i="9"/>
  <c r="FB8" i="9"/>
  <c r="EZ8" i="9"/>
  <c r="EY8" i="9"/>
  <c r="EX8" i="9"/>
  <c r="FC7" i="9"/>
  <c r="FB7" i="9"/>
  <c r="EZ7" i="9"/>
  <c r="EY7" i="9"/>
  <c r="EX7" i="9"/>
  <c r="FC6" i="9"/>
  <c r="FB6" i="9"/>
  <c r="EZ6" i="9"/>
  <c r="EY6" i="9"/>
  <c r="FA6" i="9" s="1"/>
  <c r="FD6" i="9" s="1"/>
  <c r="EX6" i="9"/>
  <c r="FC5" i="9"/>
  <c r="FB5" i="9"/>
  <c r="EZ5" i="9"/>
  <c r="EY5" i="9"/>
  <c r="EX5" i="9"/>
  <c r="FC4" i="9"/>
  <c r="FB4" i="9"/>
  <c r="EZ4" i="9"/>
  <c r="EY4" i="9"/>
  <c r="EX4" i="9"/>
  <c r="EG10" i="9"/>
  <c r="EF10" i="9"/>
  <c r="ED10" i="9"/>
  <c r="EC10" i="9"/>
  <c r="EE10" i="9" s="1"/>
  <c r="EH10" i="9" s="1"/>
  <c r="EB10" i="9"/>
  <c r="EG9" i="9"/>
  <c r="EF9" i="9"/>
  <c r="ED9" i="9"/>
  <c r="EC9" i="9"/>
  <c r="EB9" i="9"/>
  <c r="EG8" i="9"/>
  <c r="EF8" i="9"/>
  <c r="ED8" i="9"/>
  <c r="EC8" i="9"/>
  <c r="EB8" i="9"/>
  <c r="EG7" i="9"/>
  <c r="EF7" i="9"/>
  <c r="ED7" i="9"/>
  <c r="EC7" i="9"/>
  <c r="EB7" i="9"/>
  <c r="EG6" i="9"/>
  <c r="EF6" i="9"/>
  <c r="ED6" i="9"/>
  <c r="EC6" i="9"/>
  <c r="EE6" i="9" s="1"/>
  <c r="EB6" i="9"/>
  <c r="EG5" i="9"/>
  <c r="EF5" i="9"/>
  <c r="ED5" i="9"/>
  <c r="EC5" i="9"/>
  <c r="EB5" i="9"/>
  <c r="EG4" i="9"/>
  <c r="EF4" i="9"/>
  <c r="ED4" i="9"/>
  <c r="EC4" i="9"/>
  <c r="EB4" i="9"/>
  <c r="DK10" i="9"/>
  <c r="DJ10" i="9"/>
  <c r="DH10" i="9"/>
  <c r="DG10" i="9"/>
  <c r="DI10" i="9" s="1"/>
  <c r="DF10" i="9"/>
  <c r="DK9" i="9"/>
  <c r="DJ9" i="9"/>
  <c r="DH9" i="9"/>
  <c r="DG9" i="9"/>
  <c r="DF9" i="9"/>
  <c r="DK8" i="9"/>
  <c r="DJ8" i="9"/>
  <c r="DH8" i="9"/>
  <c r="DG8" i="9"/>
  <c r="DF8" i="9"/>
  <c r="DK7" i="9"/>
  <c r="DJ7" i="9"/>
  <c r="DH7" i="9"/>
  <c r="DG7" i="9"/>
  <c r="DF7" i="9"/>
  <c r="DK6" i="9"/>
  <c r="DJ6" i="9"/>
  <c r="DH6" i="9"/>
  <c r="DG6" i="9"/>
  <c r="DF6" i="9"/>
  <c r="DK5" i="9"/>
  <c r="DJ5" i="9"/>
  <c r="DH5" i="9"/>
  <c r="DI5" i="9" s="1"/>
  <c r="DG5" i="9"/>
  <c r="DF5" i="9"/>
  <c r="DK4" i="9"/>
  <c r="DJ4" i="9"/>
  <c r="DH4" i="9"/>
  <c r="DG4" i="9"/>
  <c r="DF4" i="9"/>
  <c r="MR17" i="13"/>
  <c r="MQ17" i="13"/>
  <c r="MO17" i="13"/>
  <c r="MN17" i="13"/>
  <c r="MP17" i="13" s="1"/>
  <c r="MS17" i="13" s="1"/>
  <c r="MM17" i="13"/>
  <c r="MR16" i="13"/>
  <c r="MQ16" i="13"/>
  <c r="MO16" i="13"/>
  <c r="MN16" i="13"/>
  <c r="MP16" i="13" s="1"/>
  <c r="MM16" i="13"/>
  <c r="MR15" i="13"/>
  <c r="MQ15" i="13"/>
  <c r="MO15" i="13"/>
  <c r="MN15" i="13"/>
  <c r="MP15" i="13" s="1"/>
  <c r="MS15" i="13" s="1"/>
  <c r="MM15" i="13"/>
  <c r="MR14" i="13"/>
  <c r="MQ14" i="13"/>
  <c r="MO14" i="13"/>
  <c r="MN14" i="13"/>
  <c r="MP14" i="13" s="1"/>
  <c r="MS14" i="13" s="1"/>
  <c r="MM14" i="13"/>
  <c r="MR13" i="13"/>
  <c r="MQ13" i="13"/>
  <c r="MO13" i="13"/>
  <c r="MN13" i="13"/>
  <c r="MM13" i="13"/>
  <c r="MR12" i="13"/>
  <c r="MQ12" i="13"/>
  <c r="MO12" i="13"/>
  <c r="MN12" i="13"/>
  <c r="MM12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8" i="13"/>
  <c r="MQ8" i="13"/>
  <c r="MO8" i="13"/>
  <c r="MN8" i="13"/>
  <c r="MM8" i="13"/>
  <c r="MR7" i="13"/>
  <c r="MQ7" i="13"/>
  <c r="MO7" i="13"/>
  <c r="MN7" i="13"/>
  <c r="MM7" i="13"/>
  <c r="MR6" i="13"/>
  <c r="MQ6" i="13"/>
  <c r="MO6" i="13"/>
  <c r="MN6" i="13"/>
  <c r="MP6" i="13" s="1"/>
  <c r="MS6" i="13" s="1"/>
  <c r="MM6" i="13"/>
  <c r="MR5" i="13"/>
  <c r="MQ5" i="13"/>
  <c r="MO5" i="13"/>
  <c r="MP5" i="13" s="1"/>
  <c r="MN5" i="13"/>
  <c r="MM5" i="13"/>
  <c r="MR4" i="13"/>
  <c r="MQ4" i="13"/>
  <c r="MO4" i="13"/>
  <c r="MN4" i="13"/>
  <c r="MM4" i="13"/>
  <c r="LV17" i="13"/>
  <c r="LU17" i="13"/>
  <c r="LS17" i="13"/>
  <c r="LR17" i="13"/>
  <c r="LQ17" i="13"/>
  <c r="LV16" i="13"/>
  <c r="LU16" i="13"/>
  <c r="LS16" i="13"/>
  <c r="LR16" i="13"/>
  <c r="LQ16" i="13"/>
  <c r="LV15" i="13"/>
  <c r="LU15" i="13"/>
  <c r="LS15" i="13"/>
  <c r="LR15" i="13"/>
  <c r="LQ15" i="13"/>
  <c r="LV14" i="13"/>
  <c r="LU14" i="13"/>
  <c r="LS14" i="13"/>
  <c r="LR14" i="13"/>
  <c r="LT14" i="13" s="1"/>
  <c r="LQ14" i="13"/>
  <c r="LV13" i="13"/>
  <c r="LU13" i="13"/>
  <c r="LS13" i="13"/>
  <c r="LR13" i="13"/>
  <c r="LT13" i="13" s="1"/>
  <c r="LW13" i="13" s="1"/>
  <c r="LQ13" i="13"/>
  <c r="LV12" i="13"/>
  <c r="LU12" i="13"/>
  <c r="LS12" i="13"/>
  <c r="LR12" i="13"/>
  <c r="LQ12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8" i="13"/>
  <c r="LU8" i="13"/>
  <c r="LS8" i="13"/>
  <c r="LR8" i="13"/>
  <c r="LQ8" i="13"/>
  <c r="LV7" i="13"/>
  <c r="LU7" i="13"/>
  <c r="LS7" i="13"/>
  <c r="LR7" i="13"/>
  <c r="LQ7" i="13"/>
  <c r="LV6" i="13"/>
  <c r="LU6" i="13"/>
  <c r="LS6" i="13"/>
  <c r="LR6" i="13"/>
  <c r="LT6" i="13" s="1"/>
  <c r="LQ6" i="13"/>
  <c r="LV5" i="13"/>
  <c r="LU5" i="13"/>
  <c r="LS5" i="13"/>
  <c r="LR5" i="13"/>
  <c r="LQ5" i="13"/>
  <c r="LV4" i="13"/>
  <c r="LU4" i="13"/>
  <c r="LS4" i="13"/>
  <c r="LR4" i="13"/>
  <c r="LQ4" i="13"/>
  <c r="KZ17" i="13"/>
  <c r="KY17" i="13"/>
  <c r="KW17" i="13"/>
  <c r="KV17" i="13"/>
  <c r="KX17" i="13" s="1"/>
  <c r="LA17" i="13" s="1"/>
  <c r="KU17" i="13"/>
  <c r="KZ16" i="13"/>
  <c r="KY16" i="13"/>
  <c r="KW16" i="13"/>
  <c r="KV16" i="13"/>
  <c r="KU16" i="13"/>
  <c r="KZ15" i="13"/>
  <c r="KY15" i="13"/>
  <c r="KW15" i="13"/>
  <c r="KV15" i="13"/>
  <c r="KU15" i="13"/>
  <c r="KZ14" i="13"/>
  <c r="KY14" i="13"/>
  <c r="KW14" i="13"/>
  <c r="KV14" i="13"/>
  <c r="KU14" i="13"/>
  <c r="KZ13" i="13"/>
  <c r="KY13" i="13"/>
  <c r="KW13" i="13"/>
  <c r="KV13" i="13"/>
  <c r="KU13" i="13"/>
  <c r="KZ12" i="13"/>
  <c r="KY12" i="13"/>
  <c r="KW12" i="13"/>
  <c r="KV12" i="13"/>
  <c r="KU12" i="13"/>
  <c r="KZ11" i="13"/>
  <c r="KY11" i="13"/>
  <c r="KW11" i="13"/>
  <c r="KV11" i="13"/>
  <c r="KU11" i="13"/>
  <c r="KZ10" i="13"/>
  <c r="KY10" i="13"/>
  <c r="KW10" i="13"/>
  <c r="KV10" i="13"/>
  <c r="KX10" i="13" s="1"/>
  <c r="LA10" i="13" s="1"/>
  <c r="KU10" i="13"/>
  <c r="KZ9" i="13"/>
  <c r="KY9" i="13"/>
  <c r="KW9" i="13"/>
  <c r="KV9" i="13"/>
  <c r="KX9" i="13" s="1"/>
  <c r="LA9" i="13" s="1"/>
  <c r="KU9" i="13"/>
  <c r="KZ8" i="13"/>
  <c r="KY8" i="13"/>
  <c r="KW8" i="13"/>
  <c r="KV8" i="13"/>
  <c r="KU8" i="13"/>
  <c r="KZ7" i="13"/>
  <c r="KY7" i="13"/>
  <c r="KW7" i="13"/>
  <c r="KV7" i="13"/>
  <c r="KU7" i="13"/>
  <c r="KZ6" i="13"/>
  <c r="KY6" i="13"/>
  <c r="KW6" i="13"/>
  <c r="KV6" i="13"/>
  <c r="KU6" i="13"/>
  <c r="KZ5" i="13"/>
  <c r="KY5" i="13"/>
  <c r="KW5" i="13"/>
  <c r="KV5" i="13"/>
  <c r="KU5" i="13"/>
  <c r="KZ4" i="13"/>
  <c r="KY4" i="13"/>
  <c r="KW4" i="13"/>
  <c r="KV4" i="13"/>
  <c r="KU4" i="13"/>
  <c r="KD17" i="13"/>
  <c r="KC17" i="13"/>
  <c r="KA17" i="13"/>
  <c r="JZ17" i="13"/>
  <c r="JY17" i="13"/>
  <c r="KD16" i="13"/>
  <c r="KC16" i="13"/>
  <c r="KA16" i="13"/>
  <c r="JZ16" i="13"/>
  <c r="JY16" i="13"/>
  <c r="KD15" i="13"/>
  <c r="KC15" i="13"/>
  <c r="KA15" i="13"/>
  <c r="JZ15" i="13"/>
  <c r="JY15" i="13"/>
  <c r="KD14" i="13"/>
  <c r="KC14" i="13"/>
  <c r="KA14" i="13"/>
  <c r="JZ14" i="13"/>
  <c r="JY14" i="13"/>
  <c r="KD13" i="13"/>
  <c r="KC13" i="13"/>
  <c r="KA13" i="13"/>
  <c r="JZ13" i="13"/>
  <c r="JY13" i="13"/>
  <c r="KD12" i="13"/>
  <c r="KC12" i="13"/>
  <c r="KA12" i="13"/>
  <c r="JZ12" i="13"/>
  <c r="JY12" i="13"/>
  <c r="KD11" i="13"/>
  <c r="KC11" i="13"/>
  <c r="KA11" i="13"/>
  <c r="JZ11" i="13"/>
  <c r="JY11" i="13"/>
  <c r="KD10" i="13"/>
  <c r="KC10" i="13"/>
  <c r="KA10" i="13"/>
  <c r="JZ10" i="13"/>
  <c r="KB10" i="13" s="1"/>
  <c r="JY10" i="13"/>
  <c r="KD9" i="13"/>
  <c r="KC9" i="13"/>
  <c r="KA9" i="13"/>
  <c r="JZ9" i="13"/>
  <c r="JY9" i="13"/>
  <c r="KD8" i="13"/>
  <c r="KC8" i="13"/>
  <c r="KA8" i="13"/>
  <c r="JZ8" i="13"/>
  <c r="JY8" i="13"/>
  <c r="KD7" i="13"/>
  <c r="KC7" i="13"/>
  <c r="KA7" i="13"/>
  <c r="JZ7" i="13"/>
  <c r="JY7" i="13"/>
  <c r="KD6" i="13"/>
  <c r="KC6" i="13"/>
  <c r="KA6" i="13"/>
  <c r="KB6" i="13" s="1"/>
  <c r="KE6" i="13" s="1"/>
  <c r="JZ6" i="13"/>
  <c r="JY6" i="13"/>
  <c r="KD5" i="13"/>
  <c r="KC5" i="13"/>
  <c r="KA5" i="13"/>
  <c r="KB5" i="13" s="1"/>
  <c r="KE5" i="13" s="1"/>
  <c r="JZ5" i="13"/>
  <c r="JY5" i="13"/>
  <c r="KD4" i="13"/>
  <c r="KC4" i="13"/>
  <c r="KA4" i="13"/>
  <c r="JZ4" i="13"/>
  <c r="JY4" i="13"/>
  <c r="JH17" i="13"/>
  <c r="JG17" i="13"/>
  <c r="JE17" i="13"/>
  <c r="JD17" i="13"/>
  <c r="JF17" i="13" s="1"/>
  <c r="JC17" i="13"/>
  <c r="JH16" i="13"/>
  <c r="JG16" i="13"/>
  <c r="JE16" i="13"/>
  <c r="JD16" i="13"/>
  <c r="JC16" i="13"/>
  <c r="JH15" i="13"/>
  <c r="JG15" i="13"/>
  <c r="JE15" i="13"/>
  <c r="JD15" i="13"/>
  <c r="JF15" i="13" s="1"/>
  <c r="JI15" i="13" s="1"/>
  <c r="JC15" i="13"/>
  <c r="JH14" i="13"/>
  <c r="JG14" i="13"/>
  <c r="JE14" i="13"/>
  <c r="JD14" i="13"/>
  <c r="JF14" i="13" s="1"/>
  <c r="JI14" i="13" s="1"/>
  <c r="JC14" i="13"/>
  <c r="JH13" i="13"/>
  <c r="JG13" i="13"/>
  <c r="JE13" i="13"/>
  <c r="JD13" i="13"/>
  <c r="JC13" i="13"/>
  <c r="JH12" i="13"/>
  <c r="JG12" i="13"/>
  <c r="JE12" i="13"/>
  <c r="JD12" i="13"/>
  <c r="JC12" i="13"/>
  <c r="JH11" i="13"/>
  <c r="JG11" i="13"/>
  <c r="JE11" i="13"/>
  <c r="JD11" i="13"/>
  <c r="JC11" i="13"/>
  <c r="JH10" i="13"/>
  <c r="JG10" i="13"/>
  <c r="JE10" i="13"/>
  <c r="JD10" i="13"/>
  <c r="JC10" i="13"/>
  <c r="JH9" i="13"/>
  <c r="JG9" i="13"/>
  <c r="JE9" i="13"/>
  <c r="JD9" i="13"/>
  <c r="JF9" i="13" s="1"/>
  <c r="JI9" i="13" s="1"/>
  <c r="JC9" i="13"/>
  <c r="JH8" i="13"/>
  <c r="JG8" i="13"/>
  <c r="JE8" i="13"/>
  <c r="JD8" i="13"/>
  <c r="JC8" i="13"/>
  <c r="JH7" i="13"/>
  <c r="JG7" i="13"/>
  <c r="JE7" i="13"/>
  <c r="JD7" i="13"/>
  <c r="JF7" i="13" s="1"/>
  <c r="JC7" i="13"/>
  <c r="JH6" i="13"/>
  <c r="JG6" i="13"/>
  <c r="JE6" i="13"/>
  <c r="JD6" i="13"/>
  <c r="JF6" i="13" s="1"/>
  <c r="JI6" i="13" s="1"/>
  <c r="JC6" i="13"/>
  <c r="JH5" i="13"/>
  <c r="JG5" i="13"/>
  <c r="JE5" i="13"/>
  <c r="JD5" i="13"/>
  <c r="JC5" i="13"/>
  <c r="JH4" i="13"/>
  <c r="JG4" i="13"/>
  <c r="JE4" i="13"/>
  <c r="JD4" i="13"/>
  <c r="JC4" i="13"/>
  <c r="IL17" i="13"/>
  <c r="IK17" i="13"/>
  <c r="II17" i="13"/>
  <c r="IH17" i="13"/>
  <c r="IG17" i="13"/>
  <c r="IL16" i="13"/>
  <c r="IK16" i="13"/>
  <c r="II16" i="13"/>
  <c r="IH16" i="13"/>
  <c r="IG16" i="13"/>
  <c r="IL15" i="13"/>
  <c r="IK15" i="13"/>
  <c r="II15" i="13"/>
  <c r="IH15" i="13"/>
  <c r="IG15" i="13"/>
  <c r="IL14" i="13"/>
  <c r="IK14" i="13"/>
  <c r="II14" i="13"/>
  <c r="IH14" i="13"/>
  <c r="IJ14" i="13" s="1"/>
  <c r="IG14" i="13"/>
  <c r="IL13" i="13"/>
  <c r="IK13" i="13"/>
  <c r="II13" i="13"/>
  <c r="IH13" i="13"/>
  <c r="IG13" i="13"/>
  <c r="IL12" i="13"/>
  <c r="IK12" i="13"/>
  <c r="II12" i="13"/>
  <c r="IH12" i="13"/>
  <c r="IG12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G9" i="13"/>
  <c r="IL8" i="13"/>
  <c r="IK8" i="13"/>
  <c r="II8" i="13"/>
  <c r="IH8" i="13"/>
  <c r="IG8" i="13"/>
  <c r="IL7" i="13"/>
  <c r="IK7" i="13"/>
  <c r="II7" i="13"/>
  <c r="IH7" i="13"/>
  <c r="IG7" i="13"/>
  <c r="IL6" i="13"/>
  <c r="IK6" i="13"/>
  <c r="II6" i="13"/>
  <c r="IH6" i="13"/>
  <c r="IJ6" i="13" s="1"/>
  <c r="IG6" i="13"/>
  <c r="IL5" i="13"/>
  <c r="IK5" i="13"/>
  <c r="II5" i="13"/>
  <c r="IH5" i="13"/>
  <c r="IG5" i="13"/>
  <c r="IL4" i="13"/>
  <c r="IK4" i="13"/>
  <c r="II4" i="13"/>
  <c r="IH4" i="13"/>
  <c r="IG4" i="13"/>
  <c r="HP17" i="13"/>
  <c r="HO17" i="13"/>
  <c r="HM17" i="13"/>
  <c r="HL17" i="13"/>
  <c r="HN17" i="13" s="1"/>
  <c r="HK17" i="13"/>
  <c r="HP16" i="13"/>
  <c r="HO16" i="13"/>
  <c r="HM16" i="13"/>
  <c r="HL16" i="13"/>
  <c r="HK16" i="13"/>
  <c r="HP15" i="13"/>
  <c r="HO15" i="13"/>
  <c r="HM15" i="13"/>
  <c r="HL15" i="13"/>
  <c r="HK15" i="13"/>
  <c r="HP14" i="13"/>
  <c r="HO14" i="13"/>
  <c r="HM14" i="13"/>
  <c r="HL14" i="13"/>
  <c r="HK14" i="13"/>
  <c r="HP13" i="13"/>
  <c r="HO13" i="13"/>
  <c r="HM13" i="13"/>
  <c r="HL13" i="13"/>
  <c r="HK13" i="13"/>
  <c r="HP12" i="13"/>
  <c r="HO12" i="13"/>
  <c r="HM12" i="13"/>
  <c r="HL12" i="13"/>
  <c r="HK12" i="13"/>
  <c r="HP11" i="13"/>
  <c r="HO11" i="13"/>
  <c r="HM11" i="13"/>
  <c r="HL11" i="13"/>
  <c r="HK11" i="13"/>
  <c r="HP10" i="13"/>
  <c r="HO10" i="13"/>
  <c r="HM10" i="13"/>
  <c r="HL10" i="13"/>
  <c r="HN10" i="13" s="1"/>
  <c r="HQ10" i="13" s="1"/>
  <c r="HK10" i="13"/>
  <c r="HP9" i="13"/>
  <c r="HO9" i="13"/>
  <c r="HM9" i="13"/>
  <c r="HL9" i="13"/>
  <c r="HK9" i="13"/>
  <c r="HP8" i="13"/>
  <c r="HO8" i="13"/>
  <c r="HM8" i="13"/>
  <c r="HL8" i="13"/>
  <c r="HK8" i="13"/>
  <c r="HP7" i="13"/>
  <c r="HO7" i="13"/>
  <c r="HM7" i="13"/>
  <c r="HL7" i="13"/>
  <c r="HK7" i="13"/>
  <c r="HP6" i="13"/>
  <c r="HO6" i="13"/>
  <c r="HM6" i="13"/>
  <c r="HL6" i="13"/>
  <c r="HK6" i="13"/>
  <c r="HP5" i="13"/>
  <c r="HO5" i="13"/>
  <c r="HM5" i="13"/>
  <c r="HN5" i="13" s="1"/>
  <c r="HL5" i="13"/>
  <c r="HK5" i="13"/>
  <c r="HP4" i="13"/>
  <c r="HO4" i="13"/>
  <c r="HM4" i="13"/>
  <c r="HL4" i="13"/>
  <c r="HK4" i="13"/>
  <c r="GT17" i="13"/>
  <c r="GS17" i="13"/>
  <c r="GQ17" i="13"/>
  <c r="GP17" i="13"/>
  <c r="GO17" i="13"/>
  <c r="GT16" i="13"/>
  <c r="GS16" i="13"/>
  <c r="GQ16" i="13"/>
  <c r="GP16" i="13"/>
  <c r="GO16" i="13"/>
  <c r="GT15" i="13"/>
  <c r="GS15" i="13"/>
  <c r="GQ15" i="13"/>
  <c r="GP15" i="13"/>
  <c r="GR15" i="13" s="1"/>
  <c r="GO15" i="13"/>
  <c r="GT14" i="13"/>
  <c r="GS14" i="13"/>
  <c r="GQ14" i="13"/>
  <c r="GP14" i="13"/>
  <c r="GO14" i="13"/>
  <c r="GT13" i="13"/>
  <c r="GS13" i="13"/>
  <c r="GQ13" i="13"/>
  <c r="GP13" i="13"/>
  <c r="GO13" i="13"/>
  <c r="GT12" i="13"/>
  <c r="GS12" i="13"/>
  <c r="GQ12" i="13"/>
  <c r="GP12" i="13"/>
  <c r="GO12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R9" i="13" s="1"/>
  <c r="GO9" i="13"/>
  <c r="GT8" i="13"/>
  <c r="GS8" i="13"/>
  <c r="GQ8" i="13"/>
  <c r="GP8" i="13"/>
  <c r="GO8" i="13"/>
  <c r="GT7" i="13"/>
  <c r="GS7" i="13"/>
  <c r="GQ7" i="13"/>
  <c r="GP7" i="13"/>
  <c r="GR7" i="13" s="1"/>
  <c r="GU7" i="13" s="1"/>
  <c r="GO7" i="13"/>
  <c r="GT6" i="13"/>
  <c r="GS6" i="13"/>
  <c r="GQ6" i="13"/>
  <c r="GR6" i="13" s="1"/>
  <c r="GU6" i="13" s="1"/>
  <c r="GP6" i="13"/>
  <c r="GO6" i="13"/>
  <c r="GT5" i="13"/>
  <c r="GS5" i="13"/>
  <c r="GQ5" i="13"/>
  <c r="GR5" i="13" s="1"/>
  <c r="GU5" i="13" s="1"/>
  <c r="GP5" i="13"/>
  <c r="GO5" i="13"/>
  <c r="GT4" i="13"/>
  <c r="GS4" i="13"/>
  <c r="GQ4" i="13"/>
  <c r="GP4" i="13"/>
  <c r="GO4" i="13"/>
  <c r="FX17" i="13"/>
  <c r="FW17" i="13"/>
  <c r="FU17" i="13"/>
  <c r="FT17" i="13"/>
  <c r="FS17" i="13"/>
  <c r="FX16" i="13"/>
  <c r="FW16" i="13"/>
  <c r="FU16" i="13"/>
  <c r="FT16" i="13"/>
  <c r="FS16" i="13"/>
  <c r="FX15" i="13"/>
  <c r="FW15" i="13"/>
  <c r="FU15" i="13"/>
  <c r="FT15" i="13"/>
  <c r="FV15" i="13" s="1"/>
  <c r="FS15" i="13"/>
  <c r="FX14" i="13"/>
  <c r="FW14" i="13"/>
  <c r="FU14" i="13"/>
  <c r="FT14" i="13"/>
  <c r="FV14" i="13" s="1"/>
  <c r="FY14" i="13" s="1"/>
  <c r="FS14" i="13"/>
  <c r="FX13" i="13"/>
  <c r="FW13" i="13"/>
  <c r="FU13" i="13"/>
  <c r="FT13" i="13"/>
  <c r="FS13" i="13"/>
  <c r="FX12" i="13"/>
  <c r="FW12" i="13"/>
  <c r="FU12" i="13"/>
  <c r="FT12" i="13"/>
  <c r="FS12" i="13"/>
  <c r="FX11" i="13"/>
  <c r="FW11" i="13"/>
  <c r="FU11" i="13"/>
  <c r="FT11" i="13"/>
  <c r="FS11" i="13"/>
  <c r="FX10" i="13"/>
  <c r="FW10" i="13"/>
  <c r="FU10" i="13"/>
  <c r="FT10" i="13"/>
  <c r="FS10" i="13"/>
  <c r="FX9" i="13"/>
  <c r="FW9" i="13"/>
  <c r="FU9" i="13"/>
  <c r="FT9" i="13"/>
  <c r="FS9" i="13"/>
  <c r="FX8" i="13"/>
  <c r="FW8" i="13"/>
  <c r="FU8" i="13"/>
  <c r="FT8" i="13"/>
  <c r="FS8" i="13"/>
  <c r="FX7" i="13"/>
  <c r="FW7" i="13"/>
  <c r="FU7" i="13"/>
  <c r="FT7" i="13"/>
  <c r="FV7" i="13" s="1"/>
  <c r="FY7" i="13" s="1"/>
  <c r="FS7" i="13"/>
  <c r="FX6" i="13"/>
  <c r="FW6" i="13"/>
  <c r="FU6" i="13"/>
  <c r="FT6" i="13"/>
  <c r="FV6" i="13" s="1"/>
  <c r="FY6" i="13" s="1"/>
  <c r="FS6" i="13"/>
  <c r="FX5" i="13"/>
  <c r="FW5" i="13"/>
  <c r="FU5" i="13"/>
  <c r="FT5" i="13"/>
  <c r="FS5" i="13"/>
  <c r="FX4" i="13"/>
  <c r="FW4" i="13"/>
  <c r="FU4" i="13"/>
  <c r="FT4" i="13"/>
  <c r="FS4" i="13"/>
  <c r="FB17" i="13"/>
  <c r="FA17" i="13"/>
  <c r="EY17" i="13"/>
  <c r="EX17" i="13"/>
  <c r="EW17" i="13"/>
  <c r="FB16" i="13"/>
  <c r="FA16" i="13"/>
  <c r="EY16" i="13"/>
  <c r="EX16" i="13"/>
  <c r="EW16" i="13"/>
  <c r="FB15" i="13"/>
  <c r="FA15" i="13"/>
  <c r="EY15" i="13"/>
  <c r="EX15" i="13"/>
  <c r="EW15" i="13"/>
  <c r="FB14" i="13"/>
  <c r="FA14" i="13"/>
  <c r="EY14" i="13"/>
  <c r="EX14" i="13"/>
  <c r="EZ14" i="13" s="1"/>
  <c r="EW14" i="13"/>
  <c r="FB13" i="13"/>
  <c r="FA13" i="13"/>
  <c r="EY13" i="13"/>
  <c r="EX13" i="13"/>
  <c r="EW13" i="13"/>
  <c r="FB12" i="13"/>
  <c r="FA12" i="13"/>
  <c r="EY12" i="13"/>
  <c r="EX12" i="13"/>
  <c r="EW12" i="13"/>
  <c r="FB11" i="13"/>
  <c r="FA11" i="13"/>
  <c r="EY11" i="13"/>
  <c r="EX11" i="13"/>
  <c r="EW11" i="13"/>
  <c r="FB10" i="13"/>
  <c r="FA10" i="13"/>
  <c r="EY10" i="13"/>
  <c r="EX10" i="13"/>
  <c r="EZ10" i="13" s="1"/>
  <c r="EW10" i="13"/>
  <c r="FB9" i="13"/>
  <c r="FA9" i="13"/>
  <c r="EY9" i="13"/>
  <c r="EX9" i="13"/>
  <c r="EW9" i="13"/>
  <c r="FB8" i="13"/>
  <c r="FA8" i="13"/>
  <c r="EY8" i="13"/>
  <c r="EX8" i="13"/>
  <c r="EW8" i="13"/>
  <c r="FB7" i="13"/>
  <c r="FA7" i="13"/>
  <c r="EY7" i="13"/>
  <c r="EX7" i="13"/>
  <c r="EW7" i="13"/>
  <c r="FB6" i="13"/>
  <c r="FA6" i="13"/>
  <c r="EY6" i="13"/>
  <c r="EX6" i="13"/>
  <c r="EZ6" i="13" s="1"/>
  <c r="EW6" i="13"/>
  <c r="FB5" i="13"/>
  <c r="FA5" i="13"/>
  <c r="EY5" i="13"/>
  <c r="EX5" i="13"/>
  <c r="EW5" i="13"/>
  <c r="FB4" i="13"/>
  <c r="FA4" i="13"/>
  <c r="EY4" i="13"/>
  <c r="EX4" i="13"/>
  <c r="EZ4" i="13" s="1"/>
  <c r="EW4" i="13"/>
  <c r="EF17" i="13"/>
  <c r="EE17" i="13"/>
  <c r="EC17" i="13"/>
  <c r="EB17" i="13"/>
  <c r="EA17" i="13"/>
  <c r="EF16" i="13"/>
  <c r="EE16" i="13"/>
  <c r="EC16" i="13"/>
  <c r="EB16" i="13"/>
  <c r="EA16" i="13"/>
  <c r="EF15" i="13"/>
  <c r="EE15" i="13"/>
  <c r="EC15" i="13"/>
  <c r="EB15" i="13"/>
  <c r="EA15" i="13"/>
  <c r="EF14" i="13"/>
  <c r="EE14" i="13"/>
  <c r="EC14" i="13"/>
  <c r="ED14" i="13" s="1"/>
  <c r="EB14" i="13"/>
  <c r="EA14" i="13"/>
  <c r="EF13" i="13"/>
  <c r="EE13" i="13"/>
  <c r="EC13" i="13"/>
  <c r="EB13" i="13"/>
  <c r="EA13" i="13"/>
  <c r="EF12" i="13"/>
  <c r="EE12" i="13"/>
  <c r="EC12" i="13"/>
  <c r="EB12" i="13"/>
  <c r="EA12" i="13"/>
  <c r="EF11" i="13"/>
  <c r="EE11" i="13"/>
  <c r="EC11" i="13"/>
  <c r="EB11" i="13"/>
  <c r="ED11" i="13" s="1"/>
  <c r="EA11" i="13"/>
  <c r="EF10" i="13"/>
  <c r="EE10" i="13"/>
  <c r="EC10" i="13"/>
  <c r="EB10" i="13"/>
  <c r="EA10" i="13"/>
  <c r="EF9" i="13"/>
  <c r="EE9" i="13"/>
  <c r="EC9" i="13"/>
  <c r="EB9" i="13"/>
  <c r="ED9" i="13" s="1"/>
  <c r="EA9" i="13"/>
  <c r="EF8" i="13"/>
  <c r="EE8" i="13"/>
  <c r="EC8" i="13"/>
  <c r="EB8" i="13"/>
  <c r="EA8" i="13"/>
  <c r="EF7" i="13"/>
  <c r="EE7" i="13"/>
  <c r="EC7" i="13"/>
  <c r="EB7" i="13"/>
  <c r="EA7" i="13"/>
  <c r="EF6" i="13"/>
  <c r="EE6" i="13"/>
  <c r="EC6" i="13"/>
  <c r="EB6" i="13"/>
  <c r="EA6" i="13"/>
  <c r="EF5" i="13"/>
  <c r="EE5" i="13"/>
  <c r="EC5" i="13"/>
  <c r="EB5" i="13"/>
  <c r="EA5" i="13"/>
  <c r="EF4" i="13"/>
  <c r="EE4" i="13"/>
  <c r="EC4" i="13"/>
  <c r="EB4" i="13"/>
  <c r="ED4" i="13" s="1"/>
  <c r="EA4" i="13"/>
  <c r="MR26" i="4"/>
  <c r="MQ26" i="4"/>
  <c r="MO26" i="4"/>
  <c r="MN26" i="4"/>
  <c r="MP26" i="4" s="1"/>
  <c r="MS26" i="4" s="1"/>
  <c r="MM26" i="4"/>
  <c r="MR25" i="4"/>
  <c r="MQ25" i="4"/>
  <c r="MO25" i="4"/>
  <c r="MN25" i="4"/>
  <c r="MP25" i="4" s="1"/>
  <c r="MS25" i="4" s="1"/>
  <c r="MM25" i="4"/>
  <c r="MR24" i="4"/>
  <c r="MQ24" i="4"/>
  <c r="MO24" i="4"/>
  <c r="MN24" i="4"/>
  <c r="MP24" i="4" s="1"/>
  <c r="MM24" i="4"/>
  <c r="MR23" i="4"/>
  <c r="MQ23" i="4"/>
  <c r="MO23" i="4"/>
  <c r="MN23" i="4"/>
  <c r="MP23" i="4" s="1"/>
  <c r="MS23" i="4" s="1"/>
  <c r="MM23" i="4"/>
  <c r="MR22" i="4"/>
  <c r="MQ22" i="4"/>
  <c r="MO22" i="4"/>
  <c r="MN22" i="4"/>
  <c r="MP22" i="4" s="1"/>
  <c r="MS22" i="4" s="1"/>
  <c r="MM22" i="4"/>
  <c r="MR21" i="4"/>
  <c r="MQ21" i="4"/>
  <c r="MO21" i="4"/>
  <c r="MN21" i="4"/>
  <c r="MM21" i="4"/>
  <c r="MR20" i="4"/>
  <c r="MQ20" i="4"/>
  <c r="MO20" i="4"/>
  <c r="MN20" i="4"/>
  <c r="MM20" i="4"/>
  <c r="MR19" i="4"/>
  <c r="MQ19" i="4"/>
  <c r="MO19" i="4"/>
  <c r="MN19" i="4"/>
  <c r="MP19" i="4" s="1"/>
  <c r="MM19" i="4"/>
  <c r="MR18" i="4"/>
  <c r="MQ18" i="4"/>
  <c r="MO18" i="4"/>
  <c r="MN18" i="4"/>
  <c r="MP18" i="4" s="1"/>
  <c r="MM18" i="4"/>
  <c r="MR17" i="4"/>
  <c r="MQ17" i="4"/>
  <c r="MO17" i="4"/>
  <c r="MN17" i="4"/>
  <c r="MP17" i="4" s="1"/>
  <c r="MS17" i="4" s="1"/>
  <c r="MM17" i="4"/>
  <c r="MR15" i="4"/>
  <c r="MQ15" i="4"/>
  <c r="MO15" i="4"/>
  <c r="MN15" i="4"/>
  <c r="MM15" i="4"/>
  <c r="MR16" i="4"/>
  <c r="MQ16" i="4"/>
  <c r="MO16" i="4"/>
  <c r="MN16" i="4"/>
  <c r="MP16" i="4" s="1"/>
  <c r="MS16" i="4" s="1"/>
  <c r="MM16" i="4"/>
  <c r="MR14" i="4"/>
  <c r="MQ14" i="4"/>
  <c r="MO14" i="4"/>
  <c r="MN14" i="4"/>
  <c r="MP14" i="4" s="1"/>
  <c r="MS14" i="4" s="1"/>
  <c r="MM14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M11" i="4"/>
  <c r="MR10" i="4"/>
  <c r="MQ10" i="4"/>
  <c r="MO10" i="4"/>
  <c r="MN10" i="4"/>
  <c r="MP10" i="4" s="1"/>
  <c r="MS10" i="4" s="1"/>
  <c r="MM10" i="4"/>
  <c r="MR9" i="4"/>
  <c r="MQ9" i="4"/>
  <c r="MO9" i="4"/>
  <c r="MN9" i="4"/>
  <c r="MP9" i="4" s="1"/>
  <c r="MS9" i="4" s="1"/>
  <c r="MM9" i="4"/>
  <c r="MR8" i="4"/>
  <c r="MQ8" i="4"/>
  <c r="MO8" i="4"/>
  <c r="MN8" i="4"/>
  <c r="MM8" i="4"/>
  <c r="MR7" i="4"/>
  <c r="MQ7" i="4"/>
  <c r="MO7" i="4"/>
  <c r="MN7" i="4"/>
  <c r="MP7" i="4" s="1"/>
  <c r="MS7" i="4" s="1"/>
  <c r="MM7" i="4"/>
  <c r="MR5" i="4"/>
  <c r="MQ5" i="4"/>
  <c r="MO5" i="4"/>
  <c r="MN5" i="4"/>
  <c r="MP5" i="4" s="1"/>
  <c r="MS5" i="4" s="1"/>
  <c r="MM5" i="4"/>
  <c r="MR6" i="4"/>
  <c r="MQ6" i="4"/>
  <c r="MP6" i="4"/>
  <c r="MO6" i="4"/>
  <c r="MN6" i="4"/>
  <c r="MM6" i="4"/>
  <c r="MR4" i="4"/>
  <c r="MQ4" i="4"/>
  <c r="MO4" i="4"/>
  <c r="MN4" i="4"/>
  <c r="MM4" i="4"/>
  <c r="LV26" i="4"/>
  <c r="LU26" i="4"/>
  <c r="LS26" i="4"/>
  <c r="LR26" i="4"/>
  <c r="LT26" i="4" s="1"/>
  <c r="LW26" i="4" s="1"/>
  <c r="LQ26" i="4"/>
  <c r="LV25" i="4"/>
  <c r="LU25" i="4"/>
  <c r="LS25" i="4"/>
  <c r="LT25" i="4" s="1"/>
  <c r="LR25" i="4"/>
  <c r="LQ25" i="4"/>
  <c r="LV24" i="4"/>
  <c r="LU24" i="4"/>
  <c r="LS24" i="4"/>
  <c r="LR24" i="4"/>
  <c r="LQ24" i="4"/>
  <c r="LV23" i="4"/>
  <c r="LU23" i="4"/>
  <c r="LS23" i="4"/>
  <c r="LR23" i="4"/>
  <c r="LQ23" i="4"/>
  <c r="LV22" i="4"/>
  <c r="LU22" i="4"/>
  <c r="LT22" i="4"/>
  <c r="LS22" i="4"/>
  <c r="LR22" i="4"/>
  <c r="LQ22" i="4"/>
  <c r="LV21" i="4"/>
  <c r="LU21" i="4"/>
  <c r="LS21" i="4"/>
  <c r="LR21" i="4"/>
  <c r="LT21" i="4" s="1"/>
  <c r="LW21" i="4" s="1"/>
  <c r="LQ21" i="4"/>
  <c r="LV20" i="4"/>
  <c r="LU20" i="4"/>
  <c r="LS20" i="4"/>
  <c r="LR20" i="4"/>
  <c r="LT20" i="4" s="1"/>
  <c r="LW20" i="4" s="1"/>
  <c r="LQ20" i="4"/>
  <c r="LV19" i="4"/>
  <c r="LU19" i="4"/>
  <c r="LS19" i="4"/>
  <c r="LR19" i="4"/>
  <c r="LQ19" i="4"/>
  <c r="LV18" i="4"/>
  <c r="LU18" i="4"/>
  <c r="LS18" i="4"/>
  <c r="LR18" i="4"/>
  <c r="LQ18" i="4"/>
  <c r="LV17" i="4"/>
  <c r="LU17" i="4"/>
  <c r="LS17" i="4"/>
  <c r="LR17" i="4"/>
  <c r="LQ17" i="4"/>
  <c r="LV15" i="4"/>
  <c r="LU15" i="4"/>
  <c r="LS15" i="4"/>
  <c r="LR15" i="4"/>
  <c r="LT15" i="4" s="1"/>
  <c r="LW15" i="4" s="1"/>
  <c r="LQ15" i="4"/>
  <c r="LV16" i="4"/>
  <c r="LU16" i="4"/>
  <c r="LS16" i="4"/>
  <c r="LR16" i="4"/>
  <c r="LT16" i="4" s="1"/>
  <c r="LW16" i="4" s="1"/>
  <c r="LQ16" i="4"/>
  <c r="LV14" i="4"/>
  <c r="LU14" i="4"/>
  <c r="LS14" i="4"/>
  <c r="LR14" i="4"/>
  <c r="LQ14" i="4"/>
  <c r="LV13" i="4"/>
  <c r="LU13" i="4"/>
  <c r="LS13" i="4"/>
  <c r="LR13" i="4"/>
  <c r="LT13" i="4" s="1"/>
  <c r="LW13" i="4" s="1"/>
  <c r="LQ13" i="4"/>
  <c r="LV12" i="4"/>
  <c r="LU12" i="4"/>
  <c r="LS12" i="4"/>
  <c r="LR12" i="4"/>
  <c r="LQ12" i="4"/>
  <c r="LV11" i="4"/>
  <c r="LU11" i="4"/>
  <c r="LS11" i="4"/>
  <c r="LR11" i="4"/>
  <c r="LQ11" i="4"/>
  <c r="LV10" i="4"/>
  <c r="LU10" i="4"/>
  <c r="LS10" i="4"/>
  <c r="LR10" i="4"/>
  <c r="LT10" i="4" s="1"/>
  <c r="LW10" i="4" s="1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5" i="4"/>
  <c r="LU5" i="4"/>
  <c r="LS5" i="4"/>
  <c r="LR5" i="4"/>
  <c r="LT5" i="4" s="1"/>
  <c r="LQ5" i="4"/>
  <c r="LV6" i="4"/>
  <c r="LU6" i="4"/>
  <c r="LS6" i="4"/>
  <c r="LR6" i="4"/>
  <c r="LT6" i="4" s="1"/>
  <c r="LW6" i="4" s="1"/>
  <c r="LQ6" i="4"/>
  <c r="LV4" i="4"/>
  <c r="LU4" i="4"/>
  <c r="LS4" i="4"/>
  <c r="LR4" i="4"/>
  <c r="LT4" i="4" s="1"/>
  <c r="LW4" i="4" s="1"/>
  <c r="LQ4" i="4"/>
  <c r="KZ26" i="4"/>
  <c r="KY26" i="4"/>
  <c r="KW26" i="4"/>
  <c r="KV26" i="4"/>
  <c r="KX26" i="4" s="1"/>
  <c r="LA26" i="4" s="1"/>
  <c r="KU26" i="4"/>
  <c r="KZ25" i="4"/>
  <c r="KY25" i="4"/>
  <c r="KW25" i="4"/>
  <c r="KV25" i="4"/>
  <c r="KU25" i="4"/>
  <c r="KZ24" i="4"/>
  <c r="KY24" i="4"/>
  <c r="KW24" i="4"/>
  <c r="KV24" i="4"/>
  <c r="KU24" i="4"/>
  <c r="KZ23" i="4"/>
  <c r="KY23" i="4"/>
  <c r="KW23" i="4"/>
  <c r="KV23" i="4"/>
  <c r="KU23" i="4"/>
  <c r="KZ22" i="4"/>
  <c r="KY22" i="4"/>
  <c r="KW22" i="4"/>
  <c r="KV22" i="4"/>
  <c r="KX22" i="4" s="1"/>
  <c r="KU22" i="4"/>
  <c r="KZ21" i="4"/>
  <c r="KY21" i="4"/>
  <c r="KW21" i="4"/>
  <c r="KV21" i="4"/>
  <c r="KX21" i="4" s="1"/>
  <c r="LA21" i="4" s="1"/>
  <c r="KU21" i="4"/>
  <c r="KZ20" i="4"/>
  <c r="KY20" i="4"/>
  <c r="KW20" i="4"/>
  <c r="KV20" i="4"/>
  <c r="KU20" i="4"/>
  <c r="KZ19" i="4"/>
  <c r="KY19" i="4"/>
  <c r="KW19" i="4"/>
  <c r="KV19" i="4"/>
  <c r="KU19" i="4"/>
  <c r="KZ18" i="4"/>
  <c r="KY18" i="4"/>
  <c r="KW18" i="4"/>
  <c r="KV18" i="4"/>
  <c r="KX18" i="4" s="1"/>
  <c r="LA18" i="4" s="1"/>
  <c r="KU18" i="4"/>
  <c r="KZ17" i="4"/>
  <c r="KY17" i="4"/>
  <c r="KW17" i="4"/>
  <c r="KV17" i="4"/>
  <c r="KU17" i="4"/>
  <c r="KZ15" i="4"/>
  <c r="KY15" i="4"/>
  <c r="KW15" i="4"/>
  <c r="KV15" i="4"/>
  <c r="KU15" i="4"/>
  <c r="KZ16" i="4"/>
  <c r="KY16" i="4"/>
  <c r="KW16" i="4"/>
  <c r="KV16" i="4"/>
  <c r="KU16" i="4"/>
  <c r="KZ14" i="4"/>
  <c r="KY14" i="4"/>
  <c r="KW14" i="4"/>
  <c r="KV14" i="4"/>
  <c r="KU14" i="4"/>
  <c r="KZ13" i="4"/>
  <c r="KY13" i="4"/>
  <c r="KW13" i="4"/>
  <c r="KX13" i="4" s="1"/>
  <c r="KV13" i="4"/>
  <c r="KU13" i="4"/>
  <c r="KZ12" i="4"/>
  <c r="KY12" i="4"/>
  <c r="KW12" i="4"/>
  <c r="KX12" i="4" s="1"/>
  <c r="LA12" i="4" s="1"/>
  <c r="KV12" i="4"/>
  <c r="KU12" i="4"/>
  <c r="KZ11" i="4"/>
  <c r="KY11" i="4"/>
  <c r="KW11" i="4"/>
  <c r="KV11" i="4"/>
  <c r="KU11" i="4"/>
  <c r="KZ10" i="4"/>
  <c r="KY10" i="4"/>
  <c r="KW10" i="4"/>
  <c r="KV10" i="4"/>
  <c r="KU10" i="4"/>
  <c r="KZ9" i="4"/>
  <c r="KY9" i="4"/>
  <c r="KW9" i="4"/>
  <c r="KV9" i="4"/>
  <c r="KX9" i="4" s="1"/>
  <c r="LA9" i="4" s="1"/>
  <c r="KU9" i="4"/>
  <c r="KZ8" i="4"/>
  <c r="KY8" i="4"/>
  <c r="KW8" i="4"/>
  <c r="KV8" i="4"/>
  <c r="KX8" i="4" s="1"/>
  <c r="LA8" i="4" s="1"/>
  <c r="KU8" i="4"/>
  <c r="KZ7" i="4"/>
  <c r="KY7" i="4"/>
  <c r="KW7" i="4"/>
  <c r="KV7" i="4"/>
  <c r="KX7" i="4" s="1"/>
  <c r="KU7" i="4"/>
  <c r="KZ5" i="4"/>
  <c r="KY5" i="4"/>
  <c r="KW5" i="4"/>
  <c r="KV5" i="4"/>
  <c r="KU5" i="4"/>
  <c r="KZ6" i="4"/>
  <c r="KY6" i="4"/>
  <c r="KW6" i="4"/>
  <c r="KV6" i="4"/>
  <c r="KX6" i="4" s="1"/>
  <c r="LA6" i="4" s="1"/>
  <c r="KU6" i="4"/>
  <c r="KZ4" i="4"/>
  <c r="KY4" i="4"/>
  <c r="KW4" i="4"/>
  <c r="KV4" i="4"/>
  <c r="KU4" i="4"/>
  <c r="KD26" i="4"/>
  <c r="KC26" i="4"/>
  <c r="KA26" i="4"/>
  <c r="JZ26" i="4"/>
  <c r="JY26" i="4"/>
  <c r="KD25" i="4"/>
  <c r="KC25" i="4"/>
  <c r="KA25" i="4"/>
  <c r="JZ25" i="4"/>
  <c r="JY25" i="4"/>
  <c r="KD24" i="4"/>
  <c r="KC24" i="4"/>
  <c r="KA24" i="4"/>
  <c r="JZ24" i="4"/>
  <c r="JY24" i="4"/>
  <c r="KD23" i="4"/>
  <c r="KC23" i="4"/>
  <c r="KA23" i="4"/>
  <c r="JZ23" i="4"/>
  <c r="JY23" i="4"/>
  <c r="KD22" i="4"/>
  <c r="KC22" i="4"/>
  <c r="KA22" i="4"/>
  <c r="JZ22" i="4"/>
  <c r="KB22" i="4" s="1"/>
  <c r="JY22" i="4"/>
  <c r="KD21" i="4"/>
  <c r="KC21" i="4"/>
  <c r="KA21" i="4"/>
  <c r="JZ21" i="4"/>
  <c r="JY21" i="4"/>
  <c r="KD20" i="4"/>
  <c r="KC20" i="4"/>
  <c r="KA20" i="4"/>
  <c r="JZ20" i="4"/>
  <c r="KB20" i="4" s="1"/>
  <c r="KE20" i="4" s="1"/>
  <c r="JY20" i="4"/>
  <c r="KD19" i="4"/>
  <c r="KC19" i="4"/>
  <c r="KA19" i="4"/>
  <c r="JZ19" i="4"/>
  <c r="KB19" i="4" s="1"/>
  <c r="KE19" i="4" s="1"/>
  <c r="JY19" i="4"/>
  <c r="KD18" i="4"/>
  <c r="KC18" i="4"/>
  <c r="KA18" i="4"/>
  <c r="JZ18" i="4"/>
  <c r="KB18" i="4" s="1"/>
  <c r="KE18" i="4" s="1"/>
  <c r="JY18" i="4"/>
  <c r="KD17" i="4"/>
  <c r="KC17" i="4"/>
  <c r="KA17" i="4"/>
  <c r="JZ17" i="4"/>
  <c r="JY17" i="4"/>
  <c r="KD15" i="4"/>
  <c r="KC15" i="4"/>
  <c r="KA15" i="4"/>
  <c r="JZ15" i="4"/>
  <c r="JY15" i="4"/>
  <c r="KD16" i="4"/>
  <c r="KC16" i="4"/>
  <c r="KA16" i="4"/>
  <c r="JZ16" i="4"/>
  <c r="JY16" i="4"/>
  <c r="KD14" i="4"/>
  <c r="KC14" i="4"/>
  <c r="KA14" i="4"/>
  <c r="KB14" i="4" s="1"/>
  <c r="KE14" i="4" s="1"/>
  <c r="JZ14" i="4"/>
  <c r="JY14" i="4"/>
  <c r="KD13" i="4"/>
  <c r="KC13" i="4"/>
  <c r="KA13" i="4"/>
  <c r="KB13" i="4" s="1"/>
  <c r="KE13" i="4" s="1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KB9" i="4" s="1"/>
  <c r="KE9" i="4" s="1"/>
  <c r="JY9" i="4"/>
  <c r="KD8" i="4"/>
  <c r="KC8" i="4"/>
  <c r="KA8" i="4"/>
  <c r="JZ8" i="4"/>
  <c r="KB8" i="4" s="1"/>
  <c r="JY8" i="4"/>
  <c r="KD7" i="4"/>
  <c r="KC7" i="4"/>
  <c r="KA7" i="4"/>
  <c r="JZ7" i="4"/>
  <c r="KB7" i="4" s="1"/>
  <c r="KE7" i="4" s="1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26" i="4"/>
  <c r="JG26" i="4"/>
  <c r="JE26" i="4"/>
  <c r="JD26" i="4"/>
  <c r="JC26" i="4"/>
  <c r="JH25" i="4"/>
  <c r="JG25" i="4"/>
  <c r="JE25" i="4"/>
  <c r="JD25" i="4"/>
  <c r="JC25" i="4"/>
  <c r="JH24" i="4"/>
  <c r="JG24" i="4"/>
  <c r="JE24" i="4"/>
  <c r="JD24" i="4"/>
  <c r="JC24" i="4"/>
  <c r="JH23" i="4"/>
  <c r="JG23" i="4"/>
  <c r="JE23" i="4"/>
  <c r="JD23" i="4"/>
  <c r="JF23" i="4" s="1"/>
  <c r="JC23" i="4"/>
  <c r="JH22" i="4"/>
  <c r="JG22" i="4"/>
  <c r="JE22" i="4"/>
  <c r="JD22" i="4"/>
  <c r="JC22" i="4"/>
  <c r="JH21" i="4"/>
  <c r="JG21" i="4"/>
  <c r="JE21" i="4"/>
  <c r="JD21" i="4"/>
  <c r="JC21" i="4"/>
  <c r="JH20" i="4"/>
  <c r="JG20" i="4"/>
  <c r="JE20" i="4"/>
  <c r="JD20" i="4"/>
  <c r="JC20" i="4"/>
  <c r="JH19" i="4"/>
  <c r="JG19" i="4"/>
  <c r="JE19" i="4"/>
  <c r="JF19" i="4" s="1"/>
  <c r="JI19" i="4" s="1"/>
  <c r="JD19" i="4"/>
  <c r="JC19" i="4"/>
  <c r="JH18" i="4"/>
  <c r="JG18" i="4"/>
  <c r="JE18" i="4"/>
  <c r="JD18" i="4"/>
  <c r="JC18" i="4"/>
  <c r="JH17" i="4"/>
  <c r="JG17" i="4"/>
  <c r="JE17" i="4"/>
  <c r="JD17" i="4"/>
  <c r="JC17" i="4"/>
  <c r="JH15" i="4"/>
  <c r="JG15" i="4"/>
  <c r="JE15" i="4"/>
  <c r="JD15" i="4"/>
  <c r="JF15" i="4" s="1"/>
  <c r="JI15" i="4" s="1"/>
  <c r="JC15" i="4"/>
  <c r="JH16" i="4"/>
  <c r="JG16" i="4"/>
  <c r="JE16" i="4"/>
  <c r="JD16" i="4"/>
  <c r="JF16" i="4" s="1"/>
  <c r="JI16" i="4" s="1"/>
  <c r="JC16" i="4"/>
  <c r="JH14" i="4"/>
  <c r="JG14" i="4"/>
  <c r="JE14" i="4"/>
  <c r="JD14" i="4"/>
  <c r="JF14" i="4" s="1"/>
  <c r="JI14" i="4" s="1"/>
  <c r="JC14" i="4"/>
  <c r="JH13" i="4"/>
  <c r="JG13" i="4"/>
  <c r="JE13" i="4"/>
  <c r="JD13" i="4"/>
  <c r="JF13" i="4" s="1"/>
  <c r="JI13" i="4" s="1"/>
  <c r="JC13" i="4"/>
  <c r="JH12" i="4"/>
  <c r="JG12" i="4"/>
  <c r="JE12" i="4"/>
  <c r="JD12" i="4"/>
  <c r="JC12" i="4"/>
  <c r="JH11" i="4"/>
  <c r="JG11" i="4"/>
  <c r="JE11" i="4"/>
  <c r="JD11" i="4"/>
  <c r="JC11" i="4"/>
  <c r="JH10" i="4"/>
  <c r="JG10" i="4"/>
  <c r="JE10" i="4"/>
  <c r="JD10" i="4"/>
  <c r="JC10" i="4"/>
  <c r="JH9" i="4"/>
  <c r="JG9" i="4"/>
  <c r="JE9" i="4"/>
  <c r="JD9" i="4"/>
  <c r="JC9" i="4"/>
  <c r="JH8" i="4"/>
  <c r="JG8" i="4"/>
  <c r="JE8" i="4"/>
  <c r="JD8" i="4"/>
  <c r="JF8" i="4" s="1"/>
  <c r="JI8" i="4" s="1"/>
  <c r="JC8" i="4"/>
  <c r="JH7" i="4"/>
  <c r="JG7" i="4"/>
  <c r="JE7" i="4"/>
  <c r="JD7" i="4"/>
  <c r="JF7" i="4" s="1"/>
  <c r="JI7" i="4" s="1"/>
  <c r="JC7" i="4"/>
  <c r="JH5" i="4"/>
  <c r="JG5" i="4"/>
  <c r="JE5" i="4"/>
  <c r="JD5" i="4"/>
  <c r="JF5" i="4" s="1"/>
  <c r="JI5" i="4" s="1"/>
  <c r="JC5" i="4"/>
  <c r="JH6" i="4"/>
  <c r="JG6" i="4"/>
  <c r="JE6" i="4"/>
  <c r="JD6" i="4"/>
  <c r="JF6" i="4" s="1"/>
  <c r="JI6" i="4" s="1"/>
  <c r="JC6" i="4"/>
  <c r="JH4" i="4"/>
  <c r="JG4" i="4"/>
  <c r="JE4" i="4"/>
  <c r="JD4" i="4"/>
  <c r="JC4" i="4"/>
  <c r="IL26" i="4"/>
  <c r="IK26" i="4"/>
  <c r="II26" i="4"/>
  <c r="IH26" i="4"/>
  <c r="IG26" i="4"/>
  <c r="IL25" i="4"/>
  <c r="IK25" i="4"/>
  <c r="II25" i="4"/>
  <c r="IH25" i="4"/>
  <c r="IG25" i="4"/>
  <c r="IL24" i="4"/>
  <c r="IK24" i="4"/>
  <c r="II24" i="4"/>
  <c r="IJ24" i="4" s="1"/>
  <c r="IM24" i="4" s="1"/>
  <c r="IH24" i="4"/>
  <c r="IG24" i="4"/>
  <c r="IL23" i="4"/>
  <c r="IK23" i="4"/>
  <c r="II23" i="4"/>
  <c r="IH23" i="4"/>
  <c r="IJ23" i="4" s="1"/>
  <c r="IM23" i="4" s="1"/>
  <c r="IG23" i="4"/>
  <c r="IL22" i="4"/>
  <c r="IK22" i="4"/>
  <c r="II22" i="4"/>
  <c r="IH22" i="4"/>
  <c r="IG22" i="4"/>
  <c r="IL21" i="4"/>
  <c r="IK21" i="4"/>
  <c r="II21" i="4"/>
  <c r="IH21" i="4"/>
  <c r="IG21" i="4"/>
  <c r="IL20" i="4"/>
  <c r="IK20" i="4"/>
  <c r="II20" i="4"/>
  <c r="IH20" i="4"/>
  <c r="IJ20" i="4" s="1"/>
  <c r="IM20" i="4" s="1"/>
  <c r="IG20" i="4"/>
  <c r="IL19" i="4"/>
  <c r="IK19" i="4"/>
  <c r="II19" i="4"/>
  <c r="IH19" i="4"/>
  <c r="IG19" i="4"/>
  <c r="IL18" i="4"/>
  <c r="IK18" i="4"/>
  <c r="II18" i="4"/>
  <c r="IH18" i="4"/>
  <c r="IG18" i="4"/>
  <c r="IL17" i="4"/>
  <c r="IK17" i="4"/>
  <c r="II17" i="4"/>
  <c r="IH17" i="4"/>
  <c r="IG17" i="4"/>
  <c r="IL15" i="4"/>
  <c r="IK15" i="4"/>
  <c r="II15" i="4"/>
  <c r="IH15" i="4"/>
  <c r="IG15" i="4"/>
  <c r="IL16" i="4"/>
  <c r="IK16" i="4"/>
  <c r="II16" i="4"/>
  <c r="IH16" i="4"/>
  <c r="IG16" i="4"/>
  <c r="IL14" i="4"/>
  <c r="IK14" i="4"/>
  <c r="II14" i="4"/>
  <c r="IH14" i="4"/>
  <c r="IJ14" i="4" s="1"/>
  <c r="IM14" i="4" s="1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J9" i="4" s="1"/>
  <c r="IM9" i="4" s="1"/>
  <c r="IG9" i="4"/>
  <c r="IL8" i="4"/>
  <c r="IK8" i="4"/>
  <c r="II8" i="4"/>
  <c r="IH8" i="4"/>
  <c r="IG8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J4" i="4" s="1"/>
  <c r="IM4" i="4" s="1"/>
  <c r="IG4" i="4"/>
  <c r="HP26" i="4"/>
  <c r="HO26" i="4"/>
  <c r="HM26" i="4"/>
  <c r="HL26" i="4"/>
  <c r="HN26" i="4" s="1"/>
  <c r="HQ26" i="4" s="1"/>
  <c r="HK26" i="4"/>
  <c r="HP25" i="4"/>
  <c r="HO25" i="4"/>
  <c r="HM25" i="4"/>
  <c r="HL25" i="4"/>
  <c r="HN25" i="4" s="1"/>
  <c r="HQ25" i="4" s="1"/>
  <c r="HK25" i="4"/>
  <c r="HP24" i="4"/>
  <c r="HO24" i="4"/>
  <c r="HM24" i="4"/>
  <c r="HL24" i="4"/>
  <c r="HK24" i="4"/>
  <c r="HP23" i="4"/>
  <c r="HO23" i="4"/>
  <c r="HM23" i="4"/>
  <c r="HL23" i="4"/>
  <c r="HK23" i="4"/>
  <c r="HP22" i="4"/>
  <c r="HO22" i="4"/>
  <c r="HM22" i="4"/>
  <c r="HL22" i="4"/>
  <c r="HK22" i="4"/>
  <c r="HP21" i="4"/>
  <c r="HO21" i="4"/>
  <c r="HM21" i="4"/>
  <c r="HN21" i="4" s="1"/>
  <c r="HQ21" i="4" s="1"/>
  <c r="HL21" i="4"/>
  <c r="HK21" i="4"/>
  <c r="HP20" i="4"/>
  <c r="HO20" i="4"/>
  <c r="HN20" i="4"/>
  <c r="HM20" i="4"/>
  <c r="HL20" i="4"/>
  <c r="HK20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N17" i="4"/>
  <c r="HQ17" i="4" s="1"/>
  <c r="HM17" i="4"/>
  <c r="HL17" i="4"/>
  <c r="HK17" i="4"/>
  <c r="HP15" i="4"/>
  <c r="HO15" i="4"/>
  <c r="HM15" i="4"/>
  <c r="HL15" i="4"/>
  <c r="HK15" i="4"/>
  <c r="HP16" i="4"/>
  <c r="HO16" i="4"/>
  <c r="HM16" i="4"/>
  <c r="HL16" i="4"/>
  <c r="HK16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N12" i="4" s="1"/>
  <c r="HQ12" i="4" s="1"/>
  <c r="HK12" i="4"/>
  <c r="HP11" i="4"/>
  <c r="HO11" i="4"/>
  <c r="HM11" i="4"/>
  <c r="HL11" i="4"/>
  <c r="HN11" i="4" s="1"/>
  <c r="HK11" i="4"/>
  <c r="HP10" i="4"/>
  <c r="HO10" i="4"/>
  <c r="HM10" i="4"/>
  <c r="HL10" i="4"/>
  <c r="HN10" i="4" s="1"/>
  <c r="HQ10" i="4" s="1"/>
  <c r="HK10" i="4"/>
  <c r="HP9" i="4"/>
  <c r="HO9" i="4"/>
  <c r="HM9" i="4"/>
  <c r="HL9" i="4"/>
  <c r="HK9" i="4"/>
  <c r="HP8" i="4"/>
  <c r="HO8" i="4"/>
  <c r="HM8" i="4"/>
  <c r="HL8" i="4"/>
  <c r="HK8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26" i="4"/>
  <c r="GS26" i="4"/>
  <c r="GQ26" i="4"/>
  <c r="GP26" i="4"/>
  <c r="GR26" i="4" s="1"/>
  <c r="GU26" i="4" s="1"/>
  <c r="GO26" i="4"/>
  <c r="GT25" i="4"/>
  <c r="GS25" i="4"/>
  <c r="GQ25" i="4"/>
  <c r="GP25" i="4"/>
  <c r="GO25" i="4"/>
  <c r="GT24" i="4"/>
  <c r="GS24" i="4"/>
  <c r="GQ24" i="4"/>
  <c r="GP24" i="4"/>
  <c r="GO24" i="4"/>
  <c r="GT23" i="4"/>
  <c r="GS23" i="4"/>
  <c r="GQ23" i="4"/>
  <c r="GP23" i="4"/>
  <c r="GO23" i="4"/>
  <c r="GT22" i="4"/>
  <c r="GS22" i="4"/>
  <c r="GQ22" i="4"/>
  <c r="GP22" i="4"/>
  <c r="GR22" i="4" s="1"/>
  <c r="GU22" i="4" s="1"/>
  <c r="GO22" i="4"/>
  <c r="GT21" i="4"/>
  <c r="GS21" i="4"/>
  <c r="GQ21" i="4"/>
  <c r="GP21" i="4"/>
  <c r="GO21" i="4"/>
  <c r="GT20" i="4"/>
  <c r="GS20" i="4"/>
  <c r="GQ20" i="4"/>
  <c r="GP20" i="4"/>
  <c r="GO20" i="4"/>
  <c r="GT19" i="4"/>
  <c r="GS19" i="4"/>
  <c r="GQ19" i="4"/>
  <c r="GP19" i="4"/>
  <c r="GO19" i="4"/>
  <c r="GT18" i="4"/>
  <c r="GS18" i="4"/>
  <c r="GQ18" i="4"/>
  <c r="GR18" i="4" s="1"/>
  <c r="GU18" i="4" s="1"/>
  <c r="GP18" i="4"/>
  <c r="GO18" i="4"/>
  <c r="GT17" i="4"/>
  <c r="GS17" i="4"/>
  <c r="GQ17" i="4"/>
  <c r="GP17" i="4"/>
  <c r="GO17" i="4"/>
  <c r="GT15" i="4"/>
  <c r="GS15" i="4"/>
  <c r="GQ15" i="4"/>
  <c r="GP15" i="4"/>
  <c r="GO15" i="4"/>
  <c r="GT16" i="4"/>
  <c r="GS16" i="4"/>
  <c r="GQ16" i="4"/>
  <c r="GP16" i="4"/>
  <c r="GR16" i="4" s="1"/>
  <c r="GU16" i="4" s="1"/>
  <c r="GO16" i="4"/>
  <c r="GT14" i="4"/>
  <c r="GS14" i="4"/>
  <c r="GQ14" i="4"/>
  <c r="GR14" i="4" s="1"/>
  <c r="GU14" i="4" s="1"/>
  <c r="GP14" i="4"/>
  <c r="GO14" i="4"/>
  <c r="GT13" i="4"/>
  <c r="GS13" i="4"/>
  <c r="GQ13" i="4"/>
  <c r="GP13" i="4"/>
  <c r="GO13" i="4"/>
  <c r="GT12" i="4"/>
  <c r="GS12" i="4"/>
  <c r="GQ12" i="4"/>
  <c r="GP12" i="4"/>
  <c r="GR12" i="4" s="1"/>
  <c r="GU12" i="4" s="1"/>
  <c r="GO12" i="4"/>
  <c r="GT11" i="4"/>
  <c r="GS11" i="4"/>
  <c r="GQ11" i="4"/>
  <c r="GP11" i="4"/>
  <c r="GO11" i="4"/>
  <c r="GT10" i="4"/>
  <c r="GS10" i="4"/>
  <c r="GQ10" i="4"/>
  <c r="GP10" i="4"/>
  <c r="GO10" i="4"/>
  <c r="GT9" i="4"/>
  <c r="GS9" i="4"/>
  <c r="GQ9" i="4"/>
  <c r="GP9" i="4"/>
  <c r="GO9" i="4"/>
  <c r="GT8" i="4"/>
  <c r="GS8" i="4"/>
  <c r="GQ8" i="4"/>
  <c r="GP8" i="4"/>
  <c r="GO8" i="4"/>
  <c r="GT7" i="4"/>
  <c r="GS7" i="4"/>
  <c r="GQ7" i="4"/>
  <c r="GP7" i="4"/>
  <c r="GR7" i="4" s="1"/>
  <c r="GU7" i="4" s="1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R4" i="4" s="1"/>
  <c r="GU4" i="4" s="1"/>
  <c r="GO4" i="4"/>
  <c r="FX26" i="4"/>
  <c r="FW26" i="4"/>
  <c r="FU26" i="4"/>
  <c r="FT26" i="4"/>
  <c r="FV26" i="4" s="1"/>
  <c r="FS26" i="4"/>
  <c r="FX25" i="4"/>
  <c r="FW25" i="4"/>
  <c r="FU25" i="4"/>
  <c r="FT25" i="4"/>
  <c r="FS25" i="4"/>
  <c r="FX24" i="4"/>
  <c r="FW24" i="4"/>
  <c r="FU24" i="4"/>
  <c r="FT24" i="4"/>
  <c r="FS24" i="4"/>
  <c r="FX23" i="4"/>
  <c r="FW23" i="4"/>
  <c r="FU23" i="4"/>
  <c r="FT23" i="4"/>
  <c r="FS23" i="4"/>
  <c r="FX22" i="4"/>
  <c r="FW22" i="4"/>
  <c r="FU22" i="4"/>
  <c r="FT22" i="4"/>
  <c r="FV22" i="4" s="1"/>
  <c r="FY22" i="4" s="1"/>
  <c r="FS22" i="4"/>
  <c r="FX21" i="4"/>
  <c r="FW21" i="4"/>
  <c r="FU21" i="4"/>
  <c r="FT21" i="4"/>
  <c r="FS21" i="4"/>
  <c r="FX20" i="4"/>
  <c r="FW20" i="4"/>
  <c r="FU20" i="4"/>
  <c r="FT20" i="4"/>
  <c r="FS20" i="4"/>
  <c r="FX19" i="4"/>
  <c r="FW19" i="4"/>
  <c r="FU19" i="4"/>
  <c r="FT19" i="4"/>
  <c r="FV19" i="4" s="1"/>
  <c r="FY19" i="4" s="1"/>
  <c r="FS19" i="4"/>
  <c r="FX18" i="4"/>
  <c r="FW18" i="4"/>
  <c r="FU18" i="4"/>
  <c r="FT18" i="4"/>
  <c r="FS18" i="4"/>
  <c r="FX17" i="4"/>
  <c r="FW17" i="4"/>
  <c r="FU17" i="4"/>
  <c r="FT17" i="4"/>
  <c r="FS17" i="4"/>
  <c r="FX15" i="4"/>
  <c r="FW15" i="4"/>
  <c r="FU15" i="4"/>
  <c r="FT15" i="4"/>
  <c r="FS15" i="4"/>
  <c r="FX16" i="4"/>
  <c r="FW16" i="4"/>
  <c r="FU16" i="4"/>
  <c r="FT16" i="4"/>
  <c r="FS16" i="4"/>
  <c r="FX14" i="4"/>
  <c r="FW14" i="4"/>
  <c r="FU14" i="4"/>
  <c r="FT14" i="4"/>
  <c r="FV14" i="4" s="1"/>
  <c r="FS14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T11" i="4"/>
  <c r="FV11" i="4" s="1"/>
  <c r="FY11" i="4" s="1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5" i="4"/>
  <c r="FW5" i="4"/>
  <c r="FU5" i="4"/>
  <c r="FT5" i="4"/>
  <c r="FV5" i="4" s="1"/>
  <c r="FY5" i="4" s="1"/>
  <c r="FS5" i="4"/>
  <c r="FX6" i="4"/>
  <c r="FW6" i="4"/>
  <c r="FU6" i="4"/>
  <c r="FT6" i="4"/>
  <c r="FS6" i="4"/>
  <c r="FX4" i="4"/>
  <c r="FW4" i="4"/>
  <c r="FU4" i="4"/>
  <c r="FT4" i="4"/>
  <c r="FV4" i="4" s="1"/>
  <c r="FS4" i="4"/>
  <c r="FB26" i="4"/>
  <c r="FA26" i="4"/>
  <c r="EY26" i="4"/>
  <c r="EX26" i="4"/>
  <c r="EW26" i="4"/>
  <c r="FB25" i="4"/>
  <c r="FA25" i="4"/>
  <c r="EY25" i="4"/>
  <c r="EX25" i="4"/>
  <c r="EW25" i="4"/>
  <c r="FB24" i="4"/>
  <c r="FA24" i="4"/>
  <c r="EY24" i="4"/>
  <c r="EZ24" i="4" s="1"/>
  <c r="FC24" i="4" s="1"/>
  <c r="EX24" i="4"/>
  <c r="EW24" i="4"/>
  <c r="FB23" i="4"/>
  <c r="FA23" i="4"/>
  <c r="EY23" i="4"/>
  <c r="EX23" i="4"/>
  <c r="EW23" i="4"/>
  <c r="FB22" i="4"/>
  <c r="FA22" i="4"/>
  <c r="EY22" i="4"/>
  <c r="EX22" i="4"/>
  <c r="EZ22" i="4" s="1"/>
  <c r="FC22" i="4" s="1"/>
  <c r="EW22" i="4"/>
  <c r="FB21" i="4"/>
  <c r="FA21" i="4"/>
  <c r="EY21" i="4"/>
  <c r="EX21" i="4"/>
  <c r="EW21" i="4"/>
  <c r="FB20" i="4"/>
  <c r="FA20" i="4"/>
  <c r="EY20" i="4"/>
  <c r="EX20" i="4"/>
  <c r="EW20" i="4"/>
  <c r="FB19" i="4"/>
  <c r="FA19" i="4"/>
  <c r="EY19" i="4"/>
  <c r="EX19" i="4"/>
  <c r="EZ19" i="4" s="1"/>
  <c r="FC19" i="4" s="1"/>
  <c r="EW19" i="4"/>
  <c r="FB18" i="4"/>
  <c r="FA18" i="4"/>
  <c r="EY18" i="4"/>
  <c r="EX18" i="4"/>
  <c r="EZ18" i="4" s="1"/>
  <c r="EW18" i="4"/>
  <c r="FB17" i="4"/>
  <c r="FA17" i="4"/>
  <c r="EY17" i="4"/>
  <c r="EX17" i="4"/>
  <c r="EW17" i="4"/>
  <c r="FB15" i="4"/>
  <c r="FA15" i="4"/>
  <c r="EY15" i="4"/>
  <c r="EX15" i="4"/>
  <c r="EW15" i="4"/>
  <c r="FB16" i="4"/>
  <c r="FA16" i="4"/>
  <c r="EY16" i="4"/>
  <c r="EX16" i="4"/>
  <c r="EW16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Z12" i="4" s="1"/>
  <c r="FC12" i="4" s="1"/>
  <c r="EW12" i="4"/>
  <c r="FB11" i="4"/>
  <c r="FA11" i="4"/>
  <c r="EY11" i="4"/>
  <c r="EX11" i="4"/>
  <c r="EW11" i="4"/>
  <c r="FB10" i="4"/>
  <c r="FA10" i="4"/>
  <c r="EY10" i="4"/>
  <c r="EX10" i="4"/>
  <c r="EZ10" i="4" s="1"/>
  <c r="EW10" i="4"/>
  <c r="FB9" i="4"/>
  <c r="FA9" i="4"/>
  <c r="EY9" i="4"/>
  <c r="EX9" i="4"/>
  <c r="EZ9" i="4" s="1"/>
  <c r="FC9" i="4" s="1"/>
  <c r="EW9" i="4"/>
  <c r="FB8" i="4"/>
  <c r="FA8" i="4"/>
  <c r="EY8" i="4"/>
  <c r="EX8" i="4"/>
  <c r="EW8" i="4"/>
  <c r="FB7" i="4"/>
  <c r="FA7" i="4"/>
  <c r="EY7" i="4"/>
  <c r="EX7" i="4"/>
  <c r="EW7" i="4"/>
  <c r="FB5" i="4"/>
  <c r="FA5" i="4"/>
  <c r="EY5" i="4"/>
  <c r="EX5" i="4"/>
  <c r="EZ5" i="4" s="1"/>
  <c r="FC5" i="4" s="1"/>
  <c r="EW5" i="4"/>
  <c r="FB6" i="4"/>
  <c r="FA6" i="4"/>
  <c r="EY6" i="4"/>
  <c r="EX6" i="4"/>
  <c r="EW6" i="4"/>
  <c r="FB4" i="4"/>
  <c r="FA4" i="4"/>
  <c r="EY4" i="4"/>
  <c r="EX4" i="4"/>
  <c r="EW4" i="4"/>
  <c r="EF26" i="4"/>
  <c r="EE26" i="4"/>
  <c r="EC26" i="4"/>
  <c r="EB26" i="4"/>
  <c r="ED26" i="4" s="1"/>
  <c r="EG26" i="4" s="1"/>
  <c r="EA26" i="4"/>
  <c r="EF25" i="4"/>
  <c r="EE25" i="4"/>
  <c r="EC25" i="4"/>
  <c r="EB25" i="4"/>
  <c r="EA25" i="4"/>
  <c r="EF24" i="4"/>
  <c r="EE24" i="4"/>
  <c r="ED24" i="4"/>
  <c r="EC24" i="4"/>
  <c r="EB24" i="4"/>
  <c r="EA24" i="4"/>
  <c r="EF23" i="4"/>
  <c r="EE23" i="4"/>
  <c r="EC23" i="4"/>
  <c r="EB23" i="4"/>
  <c r="ED23" i="4" s="1"/>
  <c r="EG23" i="4" s="1"/>
  <c r="EA23" i="4"/>
  <c r="EF22" i="4"/>
  <c r="EE22" i="4"/>
  <c r="EC22" i="4"/>
  <c r="EB22" i="4"/>
  <c r="ED22" i="4" s="1"/>
  <c r="EG22" i="4" s="1"/>
  <c r="EA22" i="4"/>
  <c r="EF21" i="4"/>
  <c r="EE21" i="4"/>
  <c r="EC21" i="4"/>
  <c r="ED21" i="4" s="1"/>
  <c r="EB21" i="4"/>
  <c r="EA21" i="4"/>
  <c r="EF20" i="4"/>
  <c r="EE20" i="4"/>
  <c r="EC20" i="4"/>
  <c r="EB20" i="4"/>
  <c r="ED20" i="4" s="1"/>
  <c r="EG20" i="4" s="1"/>
  <c r="EA20" i="4"/>
  <c r="EF19" i="4"/>
  <c r="EE19" i="4"/>
  <c r="EC19" i="4"/>
  <c r="EB19" i="4"/>
  <c r="EA19" i="4"/>
  <c r="EF18" i="4"/>
  <c r="EE18" i="4"/>
  <c r="EC18" i="4"/>
  <c r="ED18" i="4" s="1"/>
  <c r="EG18" i="4" s="1"/>
  <c r="EB18" i="4"/>
  <c r="EA18" i="4"/>
  <c r="EF17" i="4"/>
  <c r="EE17" i="4"/>
  <c r="EC17" i="4"/>
  <c r="EB17" i="4"/>
  <c r="ED17" i="4" s="1"/>
  <c r="EG17" i="4" s="1"/>
  <c r="EA17" i="4"/>
  <c r="EF15" i="4"/>
  <c r="EE15" i="4"/>
  <c r="EC15" i="4"/>
  <c r="EB15" i="4"/>
  <c r="EA15" i="4"/>
  <c r="EF16" i="4"/>
  <c r="EE16" i="4"/>
  <c r="EC16" i="4"/>
  <c r="EB16" i="4"/>
  <c r="EA16" i="4"/>
  <c r="EF14" i="4"/>
  <c r="EE14" i="4"/>
  <c r="EC14" i="4"/>
  <c r="EB14" i="4"/>
  <c r="ED14" i="4" s="1"/>
  <c r="EG14" i="4" s="1"/>
  <c r="EA14" i="4"/>
  <c r="EF13" i="4"/>
  <c r="EE13" i="4"/>
  <c r="EC13" i="4"/>
  <c r="ED13" i="4" s="1"/>
  <c r="EB13" i="4"/>
  <c r="EA13" i="4"/>
  <c r="EF12" i="4"/>
  <c r="EE12" i="4"/>
  <c r="EC12" i="4"/>
  <c r="EB12" i="4"/>
  <c r="EA12" i="4"/>
  <c r="EF11" i="4"/>
  <c r="EE11" i="4"/>
  <c r="EC11" i="4"/>
  <c r="EB11" i="4"/>
  <c r="EA11" i="4"/>
  <c r="EF10" i="4"/>
  <c r="EE10" i="4"/>
  <c r="EC10" i="4"/>
  <c r="EB10" i="4"/>
  <c r="EA10" i="4"/>
  <c r="EF9" i="4"/>
  <c r="EE9" i="4"/>
  <c r="EC9" i="4"/>
  <c r="EB9" i="4"/>
  <c r="EA9" i="4"/>
  <c r="EF8" i="4"/>
  <c r="EE8" i="4"/>
  <c r="EC8" i="4"/>
  <c r="EB8" i="4"/>
  <c r="EA8" i="4"/>
  <c r="EF7" i="4"/>
  <c r="EE7" i="4"/>
  <c r="EC7" i="4"/>
  <c r="EB7" i="4"/>
  <c r="EA7" i="4"/>
  <c r="EF5" i="4"/>
  <c r="EE5" i="4"/>
  <c r="EC5" i="4"/>
  <c r="EB5" i="4"/>
  <c r="ED5" i="4" s="1"/>
  <c r="EA5" i="4"/>
  <c r="EF6" i="4"/>
  <c r="EE6" i="4"/>
  <c r="EC6" i="4"/>
  <c r="EB6" i="4"/>
  <c r="EA6" i="4"/>
  <c r="EF4" i="4"/>
  <c r="EE4" i="4"/>
  <c r="EC4" i="4"/>
  <c r="EB4" i="4"/>
  <c r="EA4" i="4"/>
  <c r="AH5" i="8"/>
  <c r="AI5" i="8"/>
  <c r="AJ5" i="8"/>
  <c r="AK5" i="8"/>
  <c r="BD5" i="8"/>
  <c r="BE5" i="8"/>
  <c r="BG5" i="8"/>
  <c r="BZ5" i="8"/>
  <c r="CA5" i="8"/>
  <c r="CC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AQ20" i="4"/>
  <c r="AR20" i="4"/>
  <c r="AS20" i="4"/>
  <c r="AT20" i="4"/>
  <c r="AU20" i="4"/>
  <c r="AW20" i="4"/>
  <c r="AX20" i="4"/>
  <c r="BU20" i="4"/>
  <c r="BV20" i="4"/>
  <c r="BW20" i="4"/>
  <c r="BX20" i="4"/>
  <c r="BY20" i="4"/>
  <c r="CA20" i="4"/>
  <c r="CB20" i="4"/>
  <c r="CY20" i="4"/>
  <c r="CZ20" i="4"/>
  <c r="DA20" i="4"/>
  <c r="DB20" i="4"/>
  <c r="DC20" i="4"/>
  <c r="DE20" i="4"/>
  <c r="DF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C20" i="4"/>
  <c r="OD20" i="4"/>
  <c r="OE20" i="4"/>
  <c r="OF20" i="4"/>
  <c r="OG20" i="4"/>
  <c r="OQ20" i="4" s="1"/>
  <c r="OH20" i="4"/>
  <c r="OI20" i="4"/>
  <c r="ON20" i="4"/>
  <c r="AQ22" i="4"/>
  <c r="AR22" i="4"/>
  <c r="AS22" i="4"/>
  <c r="AT22" i="4"/>
  <c r="AU22" i="4"/>
  <c r="AW22" i="4"/>
  <c r="AX22" i="4"/>
  <c r="BU22" i="4"/>
  <c r="BV22" i="4"/>
  <c r="BW22" i="4"/>
  <c r="BX22" i="4"/>
  <c r="BY22" i="4"/>
  <c r="CA22" i="4"/>
  <c r="CB22" i="4"/>
  <c r="CY22" i="4"/>
  <c r="CZ22" i="4"/>
  <c r="DA22" i="4"/>
  <c r="DB22" i="4"/>
  <c r="DC22" i="4"/>
  <c r="DE22" i="4"/>
  <c r="DF22" i="4"/>
  <c r="NI22" i="4"/>
  <c r="NJ22" i="4"/>
  <c r="NK22" i="4"/>
  <c r="NM22" i="4"/>
  <c r="NN22" i="4"/>
  <c r="NP22" i="4"/>
  <c r="NQ22" i="4"/>
  <c r="NR22" i="4"/>
  <c r="NS22" i="4"/>
  <c r="NT22" i="4"/>
  <c r="NU22" i="4"/>
  <c r="NV22" i="4"/>
  <c r="NW22" i="4"/>
  <c r="OL22" i="4" s="1"/>
  <c r="NX22" i="4"/>
  <c r="NY22" i="4"/>
  <c r="NZ22" i="4"/>
  <c r="OA22" i="4"/>
  <c r="OB22" i="4"/>
  <c r="OC22" i="4"/>
  <c r="OD22" i="4"/>
  <c r="OE22" i="4"/>
  <c r="OF22" i="4"/>
  <c r="OG22" i="4"/>
  <c r="OQ22" i="4" s="1"/>
  <c r="OH22" i="4"/>
  <c r="OI22" i="4"/>
  <c r="ON22" i="4"/>
  <c r="N11" i="12"/>
  <c r="O11" i="12" s="1"/>
  <c r="AH11" i="12"/>
  <c r="AI11" i="12"/>
  <c r="AJ11" i="12"/>
  <c r="AK11" i="12"/>
  <c r="BD11" i="12"/>
  <c r="BE11" i="12"/>
  <c r="BF11" i="12"/>
  <c r="BG11" i="12"/>
  <c r="BZ11" i="12"/>
  <c r="CA11" i="12"/>
  <c r="CB11" i="12"/>
  <c r="CC11" i="12"/>
  <c r="CD11" i="12" s="1"/>
  <c r="LT11" i="12"/>
  <c r="LU11" i="12"/>
  <c r="LV11" i="12"/>
  <c r="LW11" i="12"/>
  <c r="LX11" i="12" s="1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N12" i="12"/>
  <c r="O12" i="12" s="1"/>
  <c r="AH12" i="12"/>
  <c r="AI12" i="12"/>
  <c r="AJ12" i="12"/>
  <c r="AK12" i="12"/>
  <c r="BD12" i="12"/>
  <c r="BE12" i="12"/>
  <c r="BF12" i="12"/>
  <c r="BG12" i="12"/>
  <c r="BH12" i="12" s="1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AH21" i="6"/>
  <c r="AI21" i="6"/>
  <c r="AJ21" i="6"/>
  <c r="AK21" i="6"/>
  <c r="BD21" i="6"/>
  <c r="BE21" i="6"/>
  <c r="BH21" i="6" s="1"/>
  <c r="BF21" i="6"/>
  <c r="BG21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AH8" i="6"/>
  <c r="AI8" i="6"/>
  <c r="AJ8" i="6"/>
  <c r="AK8" i="6"/>
  <c r="BD8" i="6"/>
  <c r="BE8" i="6"/>
  <c r="BF8" i="6"/>
  <c r="BG8" i="6"/>
  <c r="BZ8" i="6"/>
  <c r="CA8" i="6"/>
  <c r="CB8" i="6"/>
  <c r="CC8" i="6"/>
  <c r="LT8" i="6"/>
  <c r="LU8" i="6"/>
  <c r="LV8" i="6"/>
  <c r="LW8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AH15" i="6"/>
  <c r="AI15" i="6"/>
  <c r="AJ15" i="6"/>
  <c r="AK15" i="6"/>
  <c r="BD15" i="6"/>
  <c r="BE15" i="6"/>
  <c r="BF15" i="6"/>
  <c r="BG15" i="6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AH14" i="6"/>
  <c r="AI14" i="6"/>
  <c r="AJ14" i="6"/>
  <c r="AK14" i="6"/>
  <c r="BD14" i="6"/>
  <c r="BE14" i="6"/>
  <c r="BF14" i="6"/>
  <c r="BG14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AH13" i="6"/>
  <c r="AI13" i="6"/>
  <c r="AJ13" i="6"/>
  <c r="AK13" i="6"/>
  <c r="BD13" i="6"/>
  <c r="BE13" i="6"/>
  <c r="BF13" i="6"/>
  <c r="BG13" i="6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AH4" i="6"/>
  <c r="AI4" i="6"/>
  <c r="AJ4" i="6"/>
  <c r="AK4" i="6"/>
  <c r="BD4" i="6"/>
  <c r="BE4" i="6"/>
  <c r="BF4" i="6"/>
  <c r="BG4" i="6"/>
  <c r="BZ4" i="6"/>
  <c r="CA4" i="6"/>
  <c r="CB4" i="6"/>
  <c r="CC4" i="6"/>
  <c r="LT4" i="6"/>
  <c r="LU4" i="6"/>
  <c r="LV4" i="6"/>
  <c r="LW4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KY9" i="14" l="1"/>
  <c r="GS7" i="14"/>
  <c r="GV7" i="14" s="1"/>
  <c r="IK8" i="14"/>
  <c r="LU8" i="14"/>
  <c r="LX8" i="14" s="1"/>
  <c r="KC5" i="14"/>
  <c r="KF5" i="14" s="1"/>
  <c r="EE6" i="14"/>
  <c r="EH6" i="14" s="1"/>
  <c r="FW4" i="14"/>
  <c r="FZ4" i="14" s="1"/>
  <c r="HO7" i="14"/>
  <c r="HR7" i="14" s="1"/>
  <c r="IN8" i="14"/>
  <c r="LU7" i="14"/>
  <c r="LX7" i="14" s="1"/>
  <c r="GS9" i="14"/>
  <c r="GV9" i="14" s="1"/>
  <c r="DI4" i="14"/>
  <c r="DL4" i="14" s="1"/>
  <c r="LB9" i="14"/>
  <c r="DI8" i="14"/>
  <c r="DL8" i="14" s="1"/>
  <c r="KC8" i="14"/>
  <c r="KF8" i="14" s="1"/>
  <c r="FW7" i="14"/>
  <c r="FZ7" i="14" s="1"/>
  <c r="HO8" i="14"/>
  <c r="HR8" i="14" s="1"/>
  <c r="LB8" i="14"/>
  <c r="LU9" i="14"/>
  <c r="LX9" i="14" s="1"/>
  <c r="FA8" i="14"/>
  <c r="FD8" i="14" s="1"/>
  <c r="IK5" i="9"/>
  <c r="IN5" i="9" s="1"/>
  <c r="KY10" i="9"/>
  <c r="LB10" i="9" s="1"/>
  <c r="FW6" i="9"/>
  <c r="FZ6" i="9" s="1"/>
  <c r="IK4" i="9"/>
  <c r="IN4" i="9" s="1"/>
  <c r="LU8" i="9"/>
  <c r="LX8" i="9" s="1"/>
  <c r="DL5" i="9"/>
  <c r="DI7" i="9"/>
  <c r="FA7" i="9"/>
  <c r="FD7" i="9" s="1"/>
  <c r="FW8" i="9"/>
  <c r="FZ8" i="9" s="1"/>
  <c r="GV6" i="9"/>
  <c r="HR5" i="9"/>
  <c r="HR10" i="9"/>
  <c r="IN6" i="9"/>
  <c r="JJ4" i="9"/>
  <c r="LB6" i="9"/>
  <c r="EE5" i="9"/>
  <c r="FA4" i="9"/>
  <c r="JG9" i="9"/>
  <c r="JJ9" i="9" s="1"/>
  <c r="KC5" i="9"/>
  <c r="KC10" i="9"/>
  <c r="KF10" i="9" s="1"/>
  <c r="FV4" i="13"/>
  <c r="FY4" i="13" s="1"/>
  <c r="FV12" i="13"/>
  <c r="FY12" i="13" s="1"/>
  <c r="GR14" i="13"/>
  <c r="GU14" i="13" s="1"/>
  <c r="IJ10" i="13"/>
  <c r="LT10" i="13"/>
  <c r="GR11" i="13"/>
  <c r="GU11" i="13" s="1"/>
  <c r="JI17" i="13"/>
  <c r="KB11" i="13"/>
  <c r="KE11" i="13" s="1"/>
  <c r="HQ5" i="13"/>
  <c r="HN13" i="13"/>
  <c r="IJ17" i="13"/>
  <c r="FC6" i="13"/>
  <c r="FC14" i="13"/>
  <c r="IM6" i="13"/>
  <c r="IM14" i="13"/>
  <c r="KE10" i="13"/>
  <c r="LW6" i="13"/>
  <c r="LW14" i="13"/>
  <c r="EG9" i="13"/>
  <c r="GR12" i="13"/>
  <c r="HN14" i="13"/>
  <c r="HQ14" i="13" s="1"/>
  <c r="IJ8" i="13"/>
  <c r="IM8" i="13" s="1"/>
  <c r="IJ16" i="13"/>
  <c r="IM16" i="13" s="1"/>
  <c r="KX6" i="13"/>
  <c r="LA6" i="13" s="1"/>
  <c r="KX14" i="13"/>
  <c r="GG9" i="12"/>
  <c r="IR12" i="12"/>
  <c r="DA14" i="12"/>
  <c r="EQ5" i="12"/>
  <c r="EQ7" i="12"/>
  <c r="EQ10" i="12"/>
  <c r="GG12" i="12"/>
  <c r="HB14" i="12"/>
  <c r="IR5" i="12"/>
  <c r="IR7" i="12"/>
  <c r="IR10" i="12"/>
  <c r="KH16" i="12"/>
  <c r="LC16" i="12"/>
  <c r="LC12" i="12"/>
  <c r="HW6" i="12"/>
  <c r="HW13" i="12"/>
  <c r="JM11" i="12"/>
  <c r="DV5" i="12"/>
  <c r="DV11" i="12"/>
  <c r="DV15" i="12"/>
  <c r="GG14" i="12"/>
  <c r="HW7" i="12"/>
  <c r="DA12" i="12"/>
  <c r="EQ16" i="12"/>
  <c r="FL8" i="12"/>
  <c r="FL5" i="12"/>
  <c r="FL7" i="12"/>
  <c r="FL10" i="12"/>
  <c r="IR13" i="12"/>
  <c r="JM6" i="12"/>
  <c r="KH7" i="12"/>
  <c r="KH10" i="12"/>
  <c r="KH11" i="12"/>
  <c r="DA8" i="12"/>
  <c r="DV7" i="12"/>
  <c r="DV14" i="12"/>
  <c r="DV12" i="12"/>
  <c r="EQ11" i="12"/>
  <c r="EQ15" i="12"/>
  <c r="HB8" i="12"/>
  <c r="HB12" i="12"/>
  <c r="HW10" i="12"/>
  <c r="IR14" i="12"/>
  <c r="KH13" i="12"/>
  <c r="KH9" i="12"/>
  <c r="LC9" i="12"/>
  <c r="DA5" i="12"/>
  <c r="DA7" i="12"/>
  <c r="DA10" i="12"/>
  <c r="DV10" i="12"/>
  <c r="EQ14" i="12"/>
  <c r="FL13" i="12"/>
  <c r="FL9" i="12"/>
  <c r="GG6" i="12"/>
  <c r="HB5" i="12"/>
  <c r="HB7" i="12"/>
  <c r="HB10" i="12"/>
  <c r="HW5" i="12"/>
  <c r="HW15" i="12"/>
  <c r="JM9" i="12"/>
  <c r="IR9" i="12"/>
  <c r="KH8" i="12"/>
  <c r="LC8" i="12"/>
  <c r="EQ13" i="12"/>
  <c r="EQ9" i="12"/>
  <c r="GG5" i="12"/>
  <c r="GG7" i="12"/>
  <c r="GG10" i="12"/>
  <c r="JM8" i="12"/>
  <c r="KH5" i="12"/>
  <c r="LC5" i="12"/>
  <c r="FL12" i="12"/>
  <c r="IR6" i="12"/>
  <c r="DV8" i="12"/>
  <c r="EQ12" i="12"/>
  <c r="JM5" i="12"/>
  <c r="JM15" i="12"/>
  <c r="KH14" i="12"/>
  <c r="KH15" i="12"/>
  <c r="LC14" i="12"/>
  <c r="DA6" i="12"/>
  <c r="FL14" i="12"/>
  <c r="HB6" i="12"/>
  <c r="JM14" i="12"/>
  <c r="IR21" i="6"/>
  <c r="IR23" i="6"/>
  <c r="JM10" i="6"/>
  <c r="JM8" i="6"/>
  <c r="DA22" i="6"/>
  <c r="DV9" i="6"/>
  <c r="DV13" i="6"/>
  <c r="HW19" i="6"/>
  <c r="IR15" i="6"/>
  <c r="KH18" i="6"/>
  <c r="KH21" i="6"/>
  <c r="KH23" i="6"/>
  <c r="LC17" i="6"/>
  <c r="LC22" i="6"/>
  <c r="DA8" i="6"/>
  <c r="DA16" i="6"/>
  <c r="EQ13" i="6"/>
  <c r="EQ20" i="6"/>
  <c r="EQ22" i="6"/>
  <c r="FL22" i="6"/>
  <c r="IR9" i="6"/>
  <c r="IR6" i="6"/>
  <c r="IR11" i="6"/>
  <c r="KH7" i="6"/>
  <c r="GG4" i="6"/>
  <c r="HW4" i="6"/>
  <c r="KH11" i="6"/>
  <c r="DA21" i="6"/>
  <c r="DV12" i="6"/>
  <c r="GG12" i="6"/>
  <c r="GG18" i="6"/>
  <c r="GG21" i="6"/>
  <c r="GG23" i="6"/>
  <c r="HB5" i="6"/>
  <c r="HB10" i="6"/>
  <c r="HB7" i="6"/>
  <c r="HB8" i="6"/>
  <c r="HB12" i="6"/>
  <c r="HB16" i="6"/>
  <c r="HB15" i="6"/>
  <c r="HB18" i="6"/>
  <c r="HB21" i="6"/>
  <c r="HB23" i="6"/>
  <c r="KH14" i="6"/>
  <c r="KH19" i="6"/>
  <c r="KH20" i="6"/>
  <c r="DA6" i="6"/>
  <c r="DA11" i="6"/>
  <c r="DA17" i="6"/>
  <c r="DA14" i="6"/>
  <c r="DV15" i="6"/>
  <c r="EQ15" i="6"/>
  <c r="IR10" i="6"/>
  <c r="IR8" i="6"/>
  <c r="IR22" i="6"/>
  <c r="DA19" i="6"/>
  <c r="DV5" i="6"/>
  <c r="DV16" i="6"/>
  <c r="EQ14" i="6"/>
  <c r="EQ19" i="6"/>
  <c r="FL7" i="6"/>
  <c r="FL21" i="6"/>
  <c r="FL23" i="6"/>
  <c r="GG13" i="6"/>
  <c r="HW6" i="6"/>
  <c r="HW11" i="6"/>
  <c r="IR12" i="6"/>
  <c r="IR16" i="6"/>
  <c r="IR18" i="6"/>
  <c r="JM22" i="6"/>
  <c r="KH15" i="6"/>
  <c r="LC5" i="6"/>
  <c r="LC10" i="6"/>
  <c r="LC13" i="6"/>
  <c r="DA10" i="6"/>
  <c r="DA13" i="6"/>
  <c r="DV7" i="6"/>
  <c r="DV18" i="6"/>
  <c r="EQ4" i="6"/>
  <c r="FL15" i="6"/>
  <c r="GG10" i="6"/>
  <c r="GG8" i="6"/>
  <c r="GG22" i="6"/>
  <c r="HB4" i="6"/>
  <c r="HB13" i="6"/>
  <c r="HB22" i="6"/>
  <c r="IR7" i="6"/>
  <c r="GG16" i="6"/>
  <c r="HW13" i="6"/>
  <c r="JM16" i="6"/>
  <c r="JM18" i="6"/>
  <c r="KH4" i="6"/>
  <c r="DA7" i="6"/>
  <c r="DA18" i="6"/>
  <c r="DV4" i="6"/>
  <c r="DV21" i="6"/>
  <c r="EQ12" i="6"/>
  <c r="EQ16" i="6"/>
  <c r="EQ18" i="6"/>
  <c r="FL4" i="6"/>
  <c r="HW5" i="6"/>
  <c r="HW10" i="6"/>
  <c r="HW8" i="6"/>
  <c r="HW22" i="6"/>
  <c r="JM5" i="6"/>
  <c r="JM7" i="6"/>
  <c r="JM21" i="6"/>
  <c r="JM23" i="6"/>
  <c r="KH13" i="6"/>
  <c r="LC15" i="6"/>
  <c r="DA12" i="6"/>
  <c r="DA23" i="6"/>
  <c r="DV19" i="6"/>
  <c r="EQ7" i="6"/>
  <c r="EQ21" i="6"/>
  <c r="EQ23" i="6"/>
  <c r="FL13" i="6"/>
  <c r="GG6" i="6"/>
  <c r="GG11" i="6"/>
  <c r="HW12" i="6"/>
  <c r="HW16" i="6"/>
  <c r="HW18" i="6"/>
  <c r="IR4" i="6"/>
  <c r="KH5" i="6"/>
  <c r="KH10" i="6"/>
  <c r="KH8" i="6"/>
  <c r="KH22" i="6"/>
  <c r="IR13" i="6"/>
  <c r="LC4" i="6"/>
  <c r="DA6" i="8"/>
  <c r="GG4" i="8"/>
  <c r="HB4" i="8"/>
  <c r="HW4" i="8"/>
  <c r="IR4" i="8"/>
  <c r="EQ6" i="8"/>
  <c r="EQ5" i="8"/>
  <c r="EQ7" i="8"/>
  <c r="JM6" i="8"/>
  <c r="IR5" i="8"/>
  <c r="IR7" i="8"/>
  <c r="DA5" i="8"/>
  <c r="DA7" i="8"/>
  <c r="HW5" i="8"/>
  <c r="HW7" i="8"/>
  <c r="LC5" i="8"/>
  <c r="LC7" i="8"/>
  <c r="FL6" i="8"/>
  <c r="GG6" i="8"/>
  <c r="HW6" i="8"/>
  <c r="DV6" i="8"/>
  <c r="FL7" i="8"/>
  <c r="HB6" i="8"/>
  <c r="GG5" i="8"/>
  <c r="GG7" i="8"/>
  <c r="IR6" i="8"/>
  <c r="HB5" i="8"/>
  <c r="HB7" i="8"/>
  <c r="KH7" i="8"/>
  <c r="DA8" i="7"/>
  <c r="DA7" i="7"/>
  <c r="DV5" i="7"/>
  <c r="EQ4" i="7"/>
  <c r="EQ8" i="7"/>
  <c r="FL5" i="7"/>
  <c r="DV8" i="7"/>
  <c r="DV7" i="7"/>
  <c r="EQ5" i="7"/>
  <c r="JM5" i="7"/>
  <c r="HB8" i="7"/>
  <c r="DV6" i="7"/>
  <c r="GG6" i="7"/>
  <c r="DV4" i="7"/>
  <c r="GG4" i="7"/>
  <c r="JM8" i="7"/>
  <c r="EQ6" i="7"/>
  <c r="HB7" i="7"/>
  <c r="DA4" i="7"/>
  <c r="FL4" i="7"/>
  <c r="KH6" i="7"/>
  <c r="LC4" i="7"/>
  <c r="IR7" i="7"/>
  <c r="FA7" i="14"/>
  <c r="FD7" i="14" s="1"/>
  <c r="GS5" i="14"/>
  <c r="GV5" i="14" s="1"/>
  <c r="JG7" i="14"/>
  <c r="JJ7" i="14" s="1"/>
  <c r="DI7" i="14"/>
  <c r="DL7" i="14" s="1"/>
  <c r="EE5" i="14"/>
  <c r="EH5" i="14" s="1"/>
  <c r="FW9" i="14"/>
  <c r="FZ9" i="14" s="1"/>
  <c r="KY6" i="14"/>
  <c r="LB6" i="14" s="1"/>
  <c r="LU6" i="14"/>
  <c r="LX6" i="14" s="1"/>
  <c r="EE9" i="14"/>
  <c r="EH9" i="14" s="1"/>
  <c r="FW6" i="14"/>
  <c r="FZ6" i="14" s="1"/>
  <c r="EE8" i="14"/>
  <c r="EH8" i="14" s="1"/>
  <c r="JG8" i="14"/>
  <c r="JJ8" i="14" s="1"/>
  <c r="KC4" i="14"/>
  <c r="KF4" i="14" s="1"/>
  <c r="KY4" i="14"/>
  <c r="LB4" i="14" s="1"/>
  <c r="LU4" i="14"/>
  <c r="LX4" i="14" s="1"/>
  <c r="JG4" i="14"/>
  <c r="JJ4" i="14" s="1"/>
  <c r="HO5" i="14"/>
  <c r="HR5" i="14" s="1"/>
  <c r="DI5" i="14"/>
  <c r="DL5" i="14" s="1"/>
  <c r="EE4" i="14"/>
  <c r="EH4" i="14" s="1"/>
  <c r="FA4" i="14"/>
  <c r="FD4" i="14" s="1"/>
  <c r="GS6" i="14"/>
  <c r="GV6" i="14" s="1"/>
  <c r="HO6" i="14"/>
  <c r="HR6" i="14" s="1"/>
  <c r="HO9" i="14"/>
  <c r="HR9" i="14" s="1"/>
  <c r="IK5" i="14"/>
  <c r="IN5" i="14" s="1"/>
  <c r="IK7" i="14"/>
  <c r="IN7" i="14" s="1"/>
  <c r="DI6" i="14"/>
  <c r="DL6" i="14" s="1"/>
  <c r="EE7" i="14"/>
  <c r="EH7" i="14" s="1"/>
  <c r="FW8" i="14"/>
  <c r="FZ8" i="14" s="1"/>
  <c r="GS8" i="14"/>
  <c r="GV8" i="14" s="1"/>
  <c r="IK6" i="14"/>
  <c r="IN6" i="14" s="1"/>
  <c r="IK9" i="14"/>
  <c r="IN9" i="14" s="1"/>
  <c r="JG5" i="14"/>
  <c r="JJ5" i="14" s="1"/>
  <c r="KC7" i="14"/>
  <c r="KF7" i="14" s="1"/>
  <c r="DI9" i="14"/>
  <c r="DL9" i="14" s="1"/>
  <c r="FA5" i="14"/>
  <c r="FD5" i="14" s="1"/>
  <c r="GS4" i="14"/>
  <c r="GV4" i="14" s="1"/>
  <c r="JG6" i="14"/>
  <c r="JJ6" i="14" s="1"/>
  <c r="JG9" i="14"/>
  <c r="JJ9" i="14" s="1"/>
  <c r="HO4" i="14"/>
  <c r="HR4" i="14" s="1"/>
  <c r="KC6" i="14"/>
  <c r="KF6" i="14" s="1"/>
  <c r="KC9" i="14"/>
  <c r="KF9" i="14" s="1"/>
  <c r="KY5" i="14"/>
  <c r="LB5" i="14" s="1"/>
  <c r="KY7" i="14"/>
  <c r="LB7" i="14" s="1"/>
  <c r="FA6" i="14"/>
  <c r="FD6" i="14" s="1"/>
  <c r="FA9" i="14"/>
  <c r="FD9" i="14" s="1"/>
  <c r="FW5" i="14"/>
  <c r="FZ5" i="14" s="1"/>
  <c r="IK4" i="14"/>
  <c r="IN4" i="14" s="1"/>
  <c r="LU5" i="14"/>
  <c r="LX5" i="14" s="1"/>
  <c r="FA5" i="9"/>
  <c r="FD5" i="9" s="1"/>
  <c r="FA10" i="9"/>
  <c r="FD10" i="9" s="1"/>
  <c r="FW10" i="9"/>
  <c r="FZ10" i="9" s="1"/>
  <c r="IK8" i="9"/>
  <c r="IN8" i="9" s="1"/>
  <c r="DI9" i="9"/>
  <c r="DL9" i="9" s="1"/>
  <c r="KY5" i="9"/>
  <c r="DI4" i="9"/>
  <c r="DL4" i="9" s="1"/>
  <c r="DI6" i="9"/>
  <c r="DL6" i="9" s="1"/>
  <c r="FA9" i="9"/>
  <c r="FD9" i="9" s="1"/>
  <c r="GS9" i="9"/>
  <c r="GV9" i="9" s="1"/>
  <c r="KY7" i="9"/>
  <c r="LB7" i="9" s="1"/>
  <c r="EH6" i="9"/>
  <c r="GS4" i="9"/>
  <c r="GV4" i="9" s="1"/>
  <c r="HO6" i="9"/>
  <c r="HR6" i="9" s="1"/>
  <c r="JG6" i="9"/>
  <c r="JJ6" i="9" s="1"/>
  <c r="KC6" i="9"/>
  <c r="KF6" i="9" s="1"/>
  <c r="GV5" i="9"/>
  <c r="JJ8" i="9"/>
  <c r="LU4" i="9"/>
  <c r="LX4" i="9" s="1"/>
  <c r="DI8" i="9"/>
  <c r="DL8" i="9" s="1"/>
  <c r="EE4" i="9"/>
  <c r="EH4" i="9" s="1"/>
  <c r="EE9" i="9"/>
  <c r="EH9" i="9" s="1"/>
  <c r="HO7" i="9"/>
  <c r="HR7" i="9" s="1"/>
  <c r="KC4" i="9"/>
  <c r="KF4" i="9" s="1"/>
  <c r="KC9" i="9"/>
  <c r="KF9" i="9" s="1"/>
  <c r="EE8" i="9"/>
  <c r="EH8" i="9" s="1"/>
  <c r="HO4" i="9"/>
  <c r="HR4" i="9" s="1"/>
  <c r="IK10" i="9"/>
  <c r="IN10" i="9" s="1"/>
  <c r="JG5" i="9"/>
  <c r="JJ5" i="9" s="1"/>
  <c r="KC8" i="9"/>
  <c r="KF8" i="9" s="1"/>
  <c r="KY4" i="9"/>
  <c r="LB4" i="9" s="1"/>
  <c r="KY9" i="9"/>
  <c r="LB9" i="9" s="1"/>
  <c r="DL7" i="9"/>
  <c r="DL10" i="9"/>
  <c r="EH5" i="9"/>
  <c r="FD4" i="9"/>
  <c r="IN7" i="9"/>
  <c r="JJ10" i="9"/>
  <c r="KF5" i="9"/>
  <c r="LX10" i="9"/>
  <c r="FA8" i="9"/>
  <c r="FD8" i="9" s="1"/>
  <c r="FW4" i="9"/>
  <c r="FZ4" i="9" s="1"/>
  <c r="FW9" i="9"/>
  <c r="FZ9" i="9" s="1"/>
  <c r="GS7" i="9"/>
  <c r="GV7" i="9" s="1"/>
  <c r="JG7" i="9"/>
  <c r="JJ7" i="9" s="1"/>
  <c r="KY8" i="9"/>
  <c r="LB8" i="9" s="1"/>
  <c r="EE7" i="9"/>
  <c r="EH7" i="9" s="1"/>
  <c r="GS10" i="9"/>
  <c r="GV10" i="9" s="1"/>
  <c r="HO8" i="9"/>
  <c r="HR8" i="9" s="1"/>
  <c r="IK9" i="9"/>
  <c r="IN9" i="9" s="1"/>
  <c r="KC7" i="9"/>
  <c r="KF7" i="9" s="1"/>
  <c r="LB5" i="9"/>
  <c r="FW5" i="9"/>
  <c r="FZ5" i="9" s="1"/>
  <c r="LX7" i="9"/>
  <c r="EG14" i="13"/>
  <c r="GU9" i="13"/>
  <c r="IJ7" i="13"/>
  <c r="IM7" i="13" s="1"/>
  <c r="IJ15" i="13"/>
  <c r="IM15" i="13" s="1"/>
  <c r="KB12" i="13"/>
  <c r="KE12" i="13" s="1"/>
  <c r="KX8" i="13"/>
  <c r="LA8" i="13" s="1"/>
  <c r="KX16" i="13"/>
  <c r="LA16" i="13" s="1"/>
  <c r="ED8" i="13"/>
  <c r="EG8" i="13" s="1"/>
  <c r="EZ17" i="13"/>
  <c r="FC17" i="13" s="1"/>
  <c r="FV5" i="13"/>
  <c r="FY5" i="13" s="1"/>
  <c r="FV10" i="13"/>
  <c r="FY10" i="13" s="1"/>
  <c r="FV13" i="13"/>
  <c r="FY13" i="13" s="1"/>
  <c r="IJ4" i="13"/>
  <c r="IM4" i="13" s="1"/>
  <c r="IJ12" i="13"/>
  <c r="IM12" i="13" s="1"/>
  <c r="KB9" i="13"/>
  <c r="KE9" i="13" s="1"/>
  <c r="LT9" i="13"/>
  <c r="LW9" i="13" s="1"/>
  <c r="LT17" i="13"/>
  <c r="LW17" i="13" s="1"/>
  <c r="MS5" i="13"/>
  <c r="IM17" i="13"/>
  <c r="ED13" i="13"/>
  <c r="EG13" i="13" s="1"/>
  <c r="HQ13" i="13"/>
  <c r="KB14" i="13"/>
  <c r="KE14" i="13" s="1"/>
  <c r="KX15" i="13"/>
  <c r="LA15" i="13" s="1"/>
  <c r="LT11" i="13"/>
  <c r="LW11" i="13" s="1"/>
  <c r="MP12" i="13"/>
  <c r="MS12" i="13" s="1"/>
  <c r="ED7" i="13"/>
  <c r="EG7" i="13" s="1"/>
  <c r="EZ8" i="13"/>
  <c r="FC8" i="13" s="1"/>
  <c r="FV9" i="13"/>
  <c r="FY9" i="13" s="1"/>
  <c r="IJ11" i="13"/>
  <c r="IM11" i="13" s="1"/>
  <c r="JF4" i="13"/>
  <c r="JI4" i="13" s="1"/>
  <c r="JF12" i="13"/>
  <c r="JI12" i="13" s="1"/>
  <c r="KX12" i="13"/>
  <c r="LA12" i="13" s="1"/>
  <c r="LT5" i="13"/>
  <c r="LW5" i="13" s="1"/>
  <c r="LT8" i="13"/>
  <c r="LW8" i="13" s="1"/>
  <c r="LT16" i="13"/>
  <c r="LW16" i="13" s="1"/>
  <c r="EG4" i="13"/>
  <c r="EZ13" i="13"/>
  <c r="FC13" i="13" s="1"/>
  <c r="GR13" i="13"/>
  <c r="GU13" i="13" s="1"/>
  <c r="KB13" i="13"/>
  <c r="LA14" i="13"/>
  <c r="LW10" i="13"/>
  <c r="ED6" i="13"/>
  <c r="EG6" i="13" s="1"/>
  <c r="EZ7" i="13"/>
  <c r="FC7" i="13" s="1"/>
  <c r="FV11" i="13"/>
  <c r="FY11" i="13" s="1"/>
  <c r="HN6" i="13"/>
  <c r="HQ6" i="13" s="1"/>
  <c r="HQ17" i="13"/>
  <c r="IM10" i="13"/>
  <c r="KB15" i="13"/>
  <c r="KE15" i="13" s="1"/>
  <c r="KX11" i="13"/>
  <c r="LA11" i="13" s="1"/>
  <c r="MP13" i="13"/>
  <c r="MS13" i="13" s="1"/>
  <c r="ED17" i="13"/>
  <c r="EG17" i="13" s="1"/>
  <c r="EZ5" i="13"/>
  <c r="FC5" i="13" s="1"/>
  <c r="EZ16" i="13"/>
  <c r="FC16" i="13" s="1"/>
  <c r="GR16" i="13"/>
  <c r="GU16" i="13" s="1"/>
  <c r="HN9" i="13"/>
  <c r="HQ9" i="13" s="1"/>
  <c r="HN12" i="13"/>
  <c r="HQ12" i="13" s="1"/>
  <c r="HN15" i="13"/>
  <c r="HQ15" i="13" s="1"/>
  <c r="KB17" i="13"/>
  <c r="KE17" i="13" s="1"/>
  <c r="KX5" i="13"/>
  <c r="LA5" i="13" s="1"/>
  <c r="MP4" i="13"/>
  <c r="MS4" i="13" s="1"/>
  <c r="MP7" i="13"/>
  <c r="MS7" i="13" s="1"/>
  <c r="MP10" i="13"/>
  <c r="MS10" i="13" s="1"/>
  <c r="EG11" i="13"/>
  <c r="FC10" i="13"/>
  <c r="FY15" i="13"/>
  <c r="GU12" i="13"/>
  <c r="FC4" i="13"/>
  <c r="GU15" i="13"/>
  <c r="IJ5" i="13"/>
  <c r="IM5" i="13" s="1"/>
  <c r="JF5" i="13"/>
  <c r="JI5" i="13" s="1"/>
  <c r="JF8" i="13"/>
  <c r="JI8" i="13" s="1"/>
  <c r="JF11" i="13"/>
  <c r="JI11" i="13" s="1"/>
  <c r="KB8" i="13"/>
  <c r="KE8" i="13" s="1"/>
  <c r="KX4" i="13"/>
  <c r="LA4" i="13" s="1"/>
  <c r="KX7" i="13"/>
  <c r="LA7" i="13" s="1"/>
  <c r="KX13" i="13"/>
  <c r="LA13" i="13" s="1"/>
  <c r="LT4" i="13"/>
  <c r="LW4" i="13" s="1"/>
  <c r="LT7" i="13"/>
  <c r="LW7" i="13" s="1"/>
  <c r="MP9" i="13"/>
  <c r="MS9" i="13" s="1"/>
  <c r="ED5" i="13"/>
  <c r="EG5" i="13" s="1"/>
  <c r="ED16" i="13"/>
  <c r="EG16" i="13" s="1"/>
  <c r="EZ12" i="13"/>
  <c r="FC12" i="13" s="1"/>
  <c r="EZ15" i="13"/>
  <c r="FC15" i="13" s="1"/>
  <c r="FV17" i="13"/>
  <c r="FY17" i="13" s="1"/>
  <c r="HN8" i="13"/>
  <c r="HQ8" i="13" s="1"/>
  <c r="HN11" i="13"/>
  <c r="HQ11" i="13" s="1"/>
  <c r="KB16" i="13"/>
  <c r="KE16" i="13" s="1"/>
  <c r="ED10" i="13"/>
  <c r="EG10" i="13" s="1"/>
  <c r="EZ9" i="13"/>
  <c r="FC9" i="13" s="1"/>
  <c r="FV8" i="13"/>
  <c r="FY8" i="13" s="1"/>
  <c r="GR8" i="13"/>
  <c r="GU8" i="13" s="1"/>
  <c r="GR17" i="13"/>
  <c r="GU17" i="13" s="1"/>
  <c r="JI7" i="13"/>
  <c r="KE13" i="13"/>
  <c r="LT12" i="13"/>
  <c r="LW12" i="13" s="1"/>
  <c r="LT15" i="13"/>
  <c r="LW15" i="13" s="1"/>
  <c r="MP11" i="13"/>
  <c r="MS11" i="13" s="1"/>
  <c r="HN16" i="13"/>
  <c r="HQ16" i="13" s="1"/>
  <c r="IJ13" i="13"/>
  <c r="IM13" i="13" s="1"/>
  <c r="JF10" i="13"/>
  <c r="JI10" i="13" s="1"/>
  <c r="JF13" i="13"/>
  <c r="JI13" i="13" s="1"/>
  <c r="JF16" i="13"/>
  <c r="JI16" i="13" s="1"/>
  <c r="KB4" i="13"/>
  <c r="KE4" i="13" s="1"/>
  <c r="KB7" i="13"/>
  <c r="KE7" i="13" s="1"/>
  <c r="MP8" i="13"/>
  <c r="MS8" i="13" s="1"/>
  <c r="ED12" i="13"/>
  <c r="EG12" i="13" s="1"/>
  <c r="ED15" i="13"/>
  <c r="EG15" i="13" s="1"/>
  <c r="EZ11" i="13"/>
  <c r="FC11" i="13" s="1"/>
  <c r="FV16" i="13"/>
  <c r="FY16" i="13" s="1"/>
  <c r="GR4" i="13"/>
  <c r="GU4" i="13" s="1"/>
  <c r="GR10" i="13"/>
  <c r="GU10" i="13" s="1"/>
  <c r="HN4" i="13"/>
  <c r="HQ4" i="13" s="1"/>
  <c r="HN7" i="13"/>
  <c r="HQ7" i="13" s="1"/>
  <c r="IJ9" i="13"/>
  <c r="IM9" i="13" s="1"/>
  <c r="MS16" i="13"/>
  <c r="HQ20" i="4"/>
  <c r="KB21" i="4"/>
  <c r="KX5" i="4"/>
  <c r="LA5" i="4" s="1"/>
  <c r="KX17" i="4"/>
  <c r="LA17" i="4" s="1"/>
  <c r="KX20" i="4"/>
  <c r="LA20" i="4" s="1"/>
  <c r="KX25" i="4"/>
  <c r="LA25" i="4" s="1"/>
  <c r="LT19" i="4"/>
  <c r="LW19" i="4" s="1"/>
  <c r="LW25" i="4"/>
  <c r="MP13" i="4"/>
  <c r="MS13" i="4" s="1"/>
  <c r="MP21" i="4"/>
  <c r="MS21" i="4" s="1"/>
  <c r="BZ22" i="4"/>
  <c r="CC22" i="4" s="1"/>
  <c r="EZ14" i="4"/>
  <c r="FC14" i="4" s="1"/>
  <c r="EZ23" i="4"/>
  <c r="FC23" i="4" s="1"/>
  <c r="FV8" i="4"/>
  <c r="FY8" i="4" s="1"/>
  <c r="FV15" i="4"/>
  <c r="FY15" i="4" s="1"/>
  <c r="FV24" i="4"/>
  <c r="FY24" i="4" s="1"/>
  <c r="GR9" i="4"/>
  <c r="GU9" i="4" s="1"/>
  <c r="HN22" i="4"/>
  <c r="HQ22" i="4" s="1"/>
  <c r="IJ7" i="4"/>
  <c r="IM7" i="4" s="1"/>
  <c r="IJ18" i="4"/>
  <c r="IM18" i="4" s="1"/>
  <c r="IJ21" i="4"/>
  <c r="JF11" i="4"/>
  <c r="JI11" i="4" s="1"/>
  <c r="JF22" i="4"/>
  <c r="JI22" i="4" s="1"/>
  <c r="KB4" i="4"/>
  <c r="KE4" i="4" s="1"/>
  <c r="KB23" i="4"/>
  <c r="KE23" i="4" s="1"/>
  <c r="EZ11" i="4"/>
  <c r="FC11" i="4" s="1"/>
  <c r="FV6" i="4"/>
  <c r="FV13" i="4"/>
  <c r="FY13" i="4" s="1"/>
  <c r="GR5" i="4"/>
  <c r="GU5" i="4" s="1"/>
  <c r="GR25" i="4"/>
  <c r="GU25" i="4" s="1"/>
  <c r="KX14" i="4"/>
  <c r="LA14" i="4" s="1"/>
  <c r="HN13" i="4"/>
  <c r="HQ13" i="4" s="1"/>
  <c r="KB5" i="4"/>
  <c r="KE5" i="4" s="1"/>
  <c r="KB17" i="4"/>
  <c r="KE17" i="4" s="1"/>
  <c r="KX15" i="4"/>
  <c r="LA15" i="4" s="1"/>
  <c r="KX24" i="4"/>
  <c r="LA24" i="4" s="1"/>
  <c r="LT18" i="4"/>
  <c r="LW18" i="4" s="1"/>
  <c r="ED6" i="4"/>
  <c r="FV16" i="4"/>
  <c r="FY16" i="4" s="1"/>
  <c r="GR8" i="4"/>
  <c r="HN7" i="4"/>
  <c r="HQ7" i="4" s="1"/>
  <c r="IJ5" i="4"/>
  <c r="IM5" i="4" s="1"/>
  <c r="IJ17" i="4"/>
  <c r="IM17" i="4" s="1"/>
  <c r="JF10" i="4"/>
  <c r="JF26" i="4"/>
  <c r="JI26" i="4" s="1"/>
  <c r="KE22" i="4"/>
  <c r="EG13" i="4"/>
  <c r="FC18" i="4"/>
  <c r="FY4" i="4"/>
  <c r="JI23" i="4"/>
  <c r="KE8" i="4"/>
  <c r="LT9" i="4"/>
  <c r="LW9" i="4" s="1"/>
  <c r="ED4" i="4"/>
  <c r="EG4" i="4" s="1"/>
  <c r="ED7" i="4"/>
  <c r="EG7" i="4" s="1"/>
  <c r="ED10" i="4"/>
  <c r="EG10" i="4" s="1"/>
  <c r="FV9" i="4"/>
  <c r="FY9" i="4" s="1"/>
  <c r="FV17" i="4"/>
  <c r="FV25" i="4"/>
  <c r="FY25" i="4" s="1"/>
  <c r="GR10" i="4"/>
  <c r="GU10" i="4" s="1"/>
  <c r="GR13" i="4"/>
  <c r="GU13" i="4" s="1"/>
  <c r="GR21" i="4"/>
  <c r="GU21" i="4" s="1"/>
  <c r="HN9" i="4"/>
  <c r="HQ9" i="4" s="1"/>
  <c r="HN23" i="4"/>
  <c r="HQ23" i="4" s="1"/>
  <c r="IJ19" i="4"/>
  <c r="IM19" i="4" s="1"/>
  <c r="IJ22" i="4"/>
  <c r="IM22" i="4" s="1"/>
  <c r="JF4" i="4"/>
  <c r="JI4" i="4" s="1"/>
  <c r="JF12" i="4"/>
  <c r="JI12" i="4" s="1"/>
  <c r="JF20" i="4"/>
  <c r="JI20" i="4" s="1"/>
  <c r="KX4" i="4"/>
  <c r="LA4" i="4" s="1"/>
  <c r="KX16" i="4"/>
  <c r="KX23" i="4"/>
  <c r="HN5" i="4"/>
  <c r="HQ5" i="4" s="1"/>
  <c r="JF9" i="4"/>
  <c r="JI9" i="4" s="1"/>
  <c r="JF17" i="4"/>
  <c r="JI17" i="4" s="1"/>
  <c r="LT14" i="4"/>
  <c r="LW14" i="4" s="1"/>
  <c r="MP15" i="4"/>
  <c r="MS15" i="4" s="1"/>
  <c r="ED8" i="4"/>
  <c r="EG8" i="4" s="1"/>
  <c r="ED11" i="4"/>
  <c r="EG11" i="4" s="1"/>
  <c r="EG24" i="4"/>
  <c r="EZ16" i="4"/>
  <c r="FC16" i="4" s="1"/>
  <c r="EZ21" i="4"/>
  <c r="FC21" i="4" s="1"/>
  <c r="GR15" i="4"/>
  <c r="GU15" i="4" s="1"/>
  <c r="GR19" i="4"/>
  <c r="GU19" i="4" s="1"/>
  <c r="HN6" i="4"/>
  <c r="HQ6" i="4" s="1"/>
  <c r="HN15" i="4"/>
  <c r="HQ15" i="4" s="1"/>
  <c r="HN19" i="4"/>
  <c r="HQ19" i="4" s="1"/>
  <c r="IJ10" i="4"/>
  <c r="IM10" i="4" s="1"/>
  <c r="IJ13" i="4"/>
  <c r="IM13" i="4" s="1"/>
  <c r="IJ15" i="4"/>
  <c r="IM15" i="4" s="1"/>
  <c r="JF18" i="4"/>
  <c r="JI18" i="4" s="1"/>
  <c r="JF21" i="4"/>
  <c r="JI21" i="4" s="1"/>
  <c r="KB10" i="4"/>
  <c r="KE10" i="4" s="1"/>
  <c r="KB24" i="4"/>
  <c r="KE24" i="4" s="1"/>
  <c r="KX10" i="4"/>
  <c r="LA10" i="4" s="1"/>
  <c r="KX19" i="4"/>
  <c r="LA19" i="4" s="1"/>
  <c r="MP8" i="4"/>
  <c r="MS8" i="4" s="1"/>
  <c r="MP11" i="4"/>
  <c r="MS11" i="4" s="1"/>
  <c r="MP20" i="4"/>
  <c r="MS20" i="4" s="1"/>
  <c r="EG6" i="4"/>
  <c r="IM21" i="4"/>
  <c r="KE21" i="4"/>
  <c r="LA13" i="4"/>
  <c r="LW5" i="4"/>
  <c r="LW22" i="4"/>
  <c r="MS6" i="4"/>
  <c r="ED15" i="4"/>
  <c r="EG15" i="4" s="1"/>
  <c r="ED19" i="4"/>
  <c r="EG19" i="4" s="1"/>
  <c r="ED25" i="4"/>
  <c r="EG25" i="4" s="1"/>
  <c r="EZ6" i="4"/>
  <c r="FC6" i="4" s="1"/>
  <c r="EZ8" i="4"/>
  <c r="FC8" i="4" s="1"/>
  <c r="EZ17" i="4"/>
  <c r="FC17" i="4" s="1"/>
  <c r="EZ20" i="4"/>
  <c r="FC20" i="4" s="1"/>
  <c r="EZ26" i="4"/>
  <c r="FC26" i="4" s="1"/>
  <c r="FV12" i="4"/>
  <c r="FY12" i="4" s="1"/>
  <c r="FV18" i="4"/>
  <c r="FY18" i="4" s="1"/>
  <c r="FV21" i="4"/>
  <c r="FY21" i="4" s="1"/>
  <c r="GR24" i="4"/>
  <c r="GU24" i="4" s="1"/>
  <c r="HN4" i="4"/>
  <c r="HQ4" i="4" s="1"/>
  <c r="HN16" i="4"/>
  <c r="HQ16" i="4" s="1"/>
  <c r="HN18" i="4"/>
  <c r="HQ18" i="4" s="1"/>
  <c r="HN24" i="4"/>
  <c r="HQ24" i="4" s="1"/>
  <c r="IJ12" i="4"/>
  <c r="IM12" i="4" s="1"/>
  <c r="IJ16" i="4"/>
  <c r="IM16" i="4" s="1"/>
  <c r="IJ26" i="4"/>
  <c r="IM26" i="4" s="1"/>
  <c r="JF24" i="4"/>
  <c r="JI24" i="4" s="1"/>
  <c r="KB12" i="4"/>
  <c r="KE12" i="4" s="1"/>
  <c r="KB16" i="4"/>
  <c r="KE16" i="4" s="1"/>
  <c r="KB26" i="4"/>
  <c r="KE26" i="4" s="1"/>
  <c r="LA23" i="4"/>
  <c r="LT8" i="4"/>
  <c r="LW8" i="4" s="1"/>
  <c r="LT11" i="4"/>
  <c r="LW11" i="4" s="1"/>
  <c r="LT24" i="4"/>
  <c r="LW24" i="4" s="1"/>
  <c r="MP4" i="4"/>
  <c r="MS4" i="4" s="1"/>
  <c r="MS19" i="4"/>
  <c r="FC10" i="4"/>
  <c r="FY6" i="4"/>
  <c r="FY14" i="4"/>
  <c r="FY17" i="4"/>
  <c r="FY26" i="4"/>
  <c r="LA7" i="4"/>
  <c r="LA22" i="4"/>
  <c r="LT17" i="4"/>
  <c r="LW17" i="4" s="1"/>
  <c r="OO22" i="4"/>
  <c r="ED9" i="4"/>
  <c r="EG9" i="4" s="1"/>
  <c r="ED12" i="4"/>
  <c r="EG12" i="4" s="1"/>
  <c r="ED16" i="4"/>
  <c r="EG16" i="4" s="1"/>
  <c r="EG21" i="4"/>
  <c r="EZ4" i="4"/>
  <c r="FC4" i="4" s="1"/>
  <c r="EZ7" i="4"/>
  <c r="FC7" i="4" s="1"/>
  <c r="EZ13" i="4"/>
  <c r="FC13" i="4" s="1"/>
  <c r="EZ15" i="4"/>
  <c r="FC15" i="4" s="1"/>
  <c r="EZ25" i="4"/>
  <c r="FC25" i="4" s="1"/>
  <c r="FV20" i="4"/>
  <c r="FY20" i="4" s="1"/>
  <c r="FV23" i="4"/>
  <c r="FY23" i="4" s="1"/>
  <c r="GR17" i="4"/>
  <c r="GU17" i="4" s="1"/>
  <c r="GR20" i="4"/>
  <c r="GU20" i="4" s="1"/>
  <c r="GR23" i="4"/>
  <c r="GU23" i="4" s="1"/>
  <c r="HN14" i="4"/>
  <c r="HQ14" i="4" s="1"/>
  <c r="IJ11" i="4"/>
  <c r="IM11" i="4" s="1"/>
  <c r="IJ25" i="4"/>
  <c r="IM25" i="4" s="1"/>
  <c r="KB11" i="4"/>
  <c r="KE11" i="4" s="1"/>
  <c r="KB25" i="4"/>
  <c r="KE25" i="4" s="1"/>
  <c r="KX11" i="4"/>
  <c r="LA11" i="4" s="1"/>
  <c r="LT7" i="4"/>
  <c r="LW7" i="4" s="1"/>
  <c r="LT23" i="4"/>
  <c r="LW23" i="4" s="1"/>
  <c r="MP12" i="4"/>
  <c r="MS12" i="4" s="1"/>
  <c r="FV7" i="4"/>
  <c r="FY7" i="4" s="1"/>
  <c r="GU8" i="4"/>
  <c r="HQ11" i="4"/>
  <c r="JI10" i="4"/>
  <c r="MS18" i="4"/>
  <c r="MS24" i="4"/>
  <c r="EG5" i="4"/>
  <c r="FV10" i="4"/>
  <c r="FY10" i="4" s="1"/>
  <c r="GR6" i="4"/>
  <c r="GU6" i="4" s="1"/>
  <c r="GR11" i="4"/>
  <c r="GU11" i="4" s="1"/>
  <c r="HN8" i="4"/>
  <c r="HQ8" i="4" s="1"/>
  <c r="IJ6" i="4"/>
  <c r="IM6" i="4" s="1"/>
  <c r="IJ8" i="4"/>
  <c r="IM8" i="4" s="1"/>
  <c r="JF25" i="4"/>
  <c r="JI25" i="4" s="1"/>
  <c r="KB6" i="4"/>
  <c r="KE6" i="4" s="1"/>
  <c r="KB15" i="4"/>
  <c r="KE15" i="4" s="1"/>
  <c r="LA16" i="4"/>
  <c r="LT12" i="4"/>
  <c r="LW12" i="4" s="1"/>
  <c r="CD12" i="12"/>
  <c r="BH11" i="12"/>
  <c r="CD21" i="6"/>
  <c r="BH8" i="6"/>
  <c r="BH5" i="8"/>
  <c r="LX5" i="8"/>
  <c r="NL22" i="4"/>
  <c r="NO22" i="4" s="1"/>
  <c r="BZ20" i="4"/>
  <c r="CC20" i="4" s="1"/>
  <c r="DD20" i="4"/>
  <c r="DG20" i="4" s="1"/>
  <c r="NL20" i="4"/>
  <c r="NO20" i="4" s="1"/>
  <c r="AL5" i="8"/>
  <c r="MR5" i="8"/>
  <c r="MP5" i="8"/>
  <c r="CD5" i="8"/>
  <c r="L5" i="8"/>
  <c r="CF5" i="8" s="1"/>
  <c r="MQ5" i="8"/>
  <c r="F5" i="8"/>
  <c r="J5" i="8"/>
  <c r="MS5" i="8"/>
  <c r="G5" i="8"/>
  <c r="OO20" i="4"/>
  <c r="OM20" i="4"/>
  <c r="OK20" i="4"/>
  <c r="Q20" i="4"/>
  <c r="DK20" i="4" s="1"/>
  <c r="G20" i="4"/>
  <c r="F20" i="4" s="1"/>
  <c r="AV20" i="4"/>
  <c r="AY20" i="4" s="1"/>
  <c r="H20" i="4"/>
  <c r="DD22" i="4"/>
  <c r="DG22" i="4" s="1"/>
  <c r="OM22" i="4"/>
  <c r="OK22" i="4"/>
  <c r="Q22" i="4"/>
  <c r="DK22" i="4" s="1"/>
  <c r="G22" i="4"/>
  <c r="J22" i="4" s="1"/>
  <c r="AV22" i="4"/>
  <c r="AY22" i="4" s="1"/>
  <c r="MP11" i="12"/>
  <c r="MR11" i="12"/>
  <c r="MS11" i="12"/>
  <c r="MQ11" i="12"/>
  <c r="F11" i="12"/>
  <c r="AL11" i="12"/>
  <c r="P11" i="12"/>
  <c r="G11" i="12"/>
  <c r="LX12" i="12"/>
  <c r="P12" i="12"/>
  <c r="MR12" i="12"/>
  <c r="MQ12" i="12"/>
  <c r="F12" i="12"/>
  <c r="MP12" i="12"/>
  <c r="MS12" i="12"/>
  <c r="AL12" i="12"/>
  <c r="J12" i="12" s="1"/>
  <c r="L12" i="12" s="1"/>
  <c r="M12" i="12" s="1"/>
  <c r="G12" i="12"/>
  <c r="MR21" i="6"/>
  <c r="MP21" i="6"/>
  <c r="LX21" i="6"/>
  <c r="MS21" i="6"/>
  <c r="MQ21" i="6"/>
  <c r="AL21" i="6"/>
  <c r="J21" i="6" s="1"/>
  <c r="G21" i="6"/>
  <c r="F21" i="6"/>
  <c r="BH13" i="6"/>
  <c r="MR8" i="6"/>
  <c r="MP8" i="6"/>
  <c r="LX8" i="6"/>
  <c r="MS8" i="6"/>
  <c r="CD8" i="6"/>
  <c r="MQ8" i="6"/>
  <c r="F8" i="6"/>
  <c r="AL8" i="6"/>
  <c r="G8" i="6"/>
  <c r="BH15" i="6"/>
  <c r="MP15" i="6"/>
  <c r="AL15" i="6"/>
  <c r="LX15" i="6"/>
  <c r="CD15" i="6"/>
  <c r="MS15" i="6"/>
  <c r="MQ15" i="6"/>
  <c r="MR15" i="6"/>
  <c r="F15" i="6"/>
  <c r="G15" i="6"/>
  <c r="CD13" i="6"/>
  <c r="CD14" i="6"/>
  <c r="MR14" i="6"/>
  <c r="MP14" i="6"/>
  <c r="AL14" i="6"/>
  <c r="LX14" i="6"/>
  <c r="BH14" i="6"/>
  <c r="MQ14" i="6"/>
  <c r="F14" i="6"/>
  <c r="MS14" i="6"/>
  <c r="G14" i="6"/>
  <c r="MR4" i="6"/>
  <c r="MR13" i="6"/>
  <c r="LX13" i="6"/>
  <c r="MQ13" i="6"/>
  <c r="MP13" i="6"/>
  <c r="F13" i="6"/>
  <c r="AL13" i="6"/>
  <c r="MS13" i="6"/>
  <c r="G13" i="6"/>
  <c r="CD4" i="6"/>
  <c r="AL4" i="6"/>
  <c r="BH4" i="6"/>
  <c r="LX4" i="6"/>
  <c r="MS4" i="6"/>
  <c r="MQ4" i="6"/>
  <c r="MP4" i="6"/>
  <c r="F4" i="6"/>
  <c r="G4" i="6"/>
  <c r="J11" i="12" l="1"/>
  <c r="L11" i="12" s="1"/>
  <c r="M11" i="12" s="1"/>
  <c r="MT11" i="12"/>
  <c r="J13" i="6"/>
  <c r="K13" i="6" s="1"/>
  <c r="R20" i="4"/>
  <c r="OP22" i="4"/>
  <c r="K20" i="4"/>
  <c r="DJ20" i="4" s="1"/>
  <c r="MT5" i="8"/>
  <c r="H5" i="8"/>
  <c r="I5" i="8" s="1"/>
  <c r="CE5" i="8"/>
  <c r="N5" i="8" s="1"/>
  <c r="K5" i="8"/>
  <c r="M5" i="8"/>
  <c r="OP20" i="4"/>
  <c r="H22" i="4"/>
  <c r="A22" i="4" s="1" a="1"/>
  <c r="A22" i="4" s="1"/>
  <c r="J20" i="4"/>
  <c r="A20" i="4" a="1"/>
  <c r="A20" i="4" s="1"/>
  <c r="I20" i="4"/>
  <c r="R22" i="4"/>
  <c r="K22" i="4"/>
  <c r="L22" i="4" s="1"/>
  <c r="F22" i="4"/>
  <c r="H11" i="12"/>
  <c r="I11" i="12" s="1"/>
  <c r="A11" i="12"/>
  <c r="K12" i="12"/>
  <c r="E12" i="12" s="1"/>
  <c r="H12" i="12"/>
  <c r="I12" i="12" s="1"/>
  <c r="MT12" i="12"/>
  <c r="A12" i="12"/>
  <c r="MT21" i="6"/>
  <c r="H21" i="6"/>
  <c r="I21" i="6" s="1"/>
  <c r="L21" i="6"/>
  <c r="CE21" i="6"/>
  <c r="K21" i="6"/>
  <c r="MT8" i="6"/>
  <c r="J8" i="6"/>
  <c r="L8" i="6" s="1"/>
  <c r="H8" i="6"/>
  <c r="I8" i="6" s="1"/>
  <c r="MT14" i="6"/>
  <c r="MT4" i="6"/>
  <c r="J15" i="6"/>
  <c r="L15" i="6" s="1"/>
  <c r="CF15" i="6" s="1"/>
  <c r="CE15" i="6"/>
  <c r="MT15" i="6"/>
  <c r="H15" i="6"/>
  <c r="I15" i="6" s="1"/>
  <c r="A15" i="6"/>
  <c r="J14" i="6"/>
  <c r="L14" i="6" s="1"/>
  <c r="H14" i="6"/>
  <c r="I14" i="6" s="1"/>
  <c r="A14" i="6"/>
  <c r="J4" i="6"/>
  <c r="K4" i="6" s="1"/>
  <c r="MT13" i="6"/>
  <c r="H13" i="6"/>
  <c r="I13" i="6" s="1"/>
  <c r="L13" i="6"/>
  <c r="CE13" i="6"/>
  <c r="H4" i="6"/>
  <c r="I4" i="6" s="1"/>
  <c r="K15" i="6" l="1"/>
  <c r="O20" i="4"/>
  <c r="DI20" i="4" s="1"/>
  <c r="O22" i="4"/>
  <c r="M20" i="4"/>
  <c r="M22" i="4"/>
  <c r="L20" i="4"/>
  <c r="K11" i="12"/>
  <c r="E11" i="12" s="1"/>
  <c r="K14" i="6"/>
  <c r="CE14" i="6"/>
  <c r="DJ22" i="4"/>
  <c r="E5" i="8"/>
  <c r="O5" i="8"/>
  <c r="P5" i="8"/>
  <c r="I22" i="4"/>
  <c r="N20" i="4"/>
  <c r="DH20" i="4"/>
  <c r="DI22" i="4"/>
  <c r="P22" i="4"/>
  <c r="N22" i="4"/>
  <c r="DH22" i="4"/>
  <c r="M21" i="6"/>
  <c r="CF21" i="6"/>
  <c r="N21" i="6" s="1"/>
  <c r="CE8" i="6"/>
  <c r="M15" i="6"/>
  <c r="K8" i="6"/>
  <c r="M8" i="6"/>
  <c r="CF8" i="6"/>
  <c r="CE4" i="6"/>
  <c r="L4" i="6"/>
  <c r="CF4" i="6" s="1"/>
  <c r="N15" i="6"/>
  <c r="O15" i="6" s="1"/>
  <c r="M14" i="6"/>
  <c r="CF14" i="6"/>
  <c r="M13" i="6"/>
  <c r="CF13" i="6"/>
  <c r="N13" i="6" s="1"/>
  <c r="M4" i="6" l="1"/>
  <c r="P20" i="4"/>
  <c r="N14" i="6"/>
  <c r="N4" i="6"/>
  <c r="O4" i="6" s="1"/>
  <c r="E15" i="6"/>
  <c r="N8" i="6"/>
  <c r="E8" i="6" s="1"/>
  <c r="S20" i="4"/>
  <c r="U20" i="4" s="1"/>
  <c r="S22" i="4"/>
  <c r="E22" i="4" s="1"/>
  <c r="O21" i="6"/>
  <c r="P21" i="6"/>
  <c r="E21" i="6"/>
  <c r="A21" i="6" s="1"/>
  <c r="P15" i="6"/>
  <c r="O14" i="6"/>
  <c r="P14" i="6"/>
  <c r="E14" i="6"/>
  <c r="O13" i="6"/>
  <c r="P13" i="6"/>
  <c r="E13" i="6"/>
  <c r="A13" i="6" s="1"/>
  <c r="P8" i="6" l="1"/>
  <c r="O8" i="6"/>
  <c r="E4" i="6"/>
  <c r="P4" i="6"/>
  <c r="T20" i="4"/>
  <c r="E20" i="4"/>
  <c r="T22" i="4"/>
  <c r="U22" i="4"/>
  <c r="BG10" i="12" l="1"/>
  <c r="BF10" i="12"/>
  <c r="BE10" i="12"/>
  <c r="BH10" i="12" s="1"/>
  <c r="BD10" i="12"/>
  <c r="BG9" i="12"/>
  <c r="BF9" i="12"/>
  <c r="BE9" i="12"/>
  <c r="BD9" i="12"/>
  <c r="BG7" i="12"/>
  <c r="BF7" i="12"/>
  <c r="BE7" i="12"/>
  <c r="BH7" i="12" s="1"/>
  <c r="BD7" i="12"/>
  <c r="BG6" i="12"/>
  <c r="BF6" i="12"/>
  <c r="BE6" i="12"/>
  <c r="BD6" i="12"/>
  <c r="BG15" i="12"/>
  <c r="BF15" i="12"/>
  <c r="BE15" i="12"/>
  <c r="BH15" i="12" s="1"/>
  <c r="BD15" i="12"/>
  <c r="BG16" i="12"/>
  <c r="BF16" i="12"/>
  <c r="BE16" i="12"/>
  <c r="BD16" i="12"/>
  <c r="BG14" i="12"/>
  <c r="BF14" i="12"/>
  <c r="BE14" i="12"/>
  <c r="BD14" i="12"/>
  <c r="BG5" i="12"/>
  <c r="BF5" i="12"/>
  <c r="BE5" i="12"/>
  <c r="BH5" i="12" s="1"/>
  <c r="BD5" i="12"/>
  <c r="BG13" i="12"/>
  <c r="BF13" i="12"/>
  <c r="BE13" i="12"/>
  <c r="BH13" i="12" s="1"/>
  <c r="BD13" i="12"/>
  <c r="BG4" i="12"/>
  <c r="BF4" i="12"/>
  <c r="BE4" i="12"/>
  <c r="BD4" i="12"/>
  <c r="BG8" i="12"/>
  <c r="BF8" i="12"/>
  <c r="BE8" i="12"/>
  <c r="BH8" i="12" s="1"/>
  <c r="BD8" i="12"/>
  <c r="AK10" i="12"/>
  <c r="AJ10" i="12"/>
  <c r="AI10" i="12"/>
  <c r="AL10" i="12" s="1"/>
  <c r="AH10" i="12"/>
  <c r="AK9" i="12"/>
  <c r="AJ9" i="12"/>
  <c r="AI9" i="12"/>
  <c r="AH9" i="12"/>
  <c r="AK7" i="12"/>
  <c r="AJ7" i="12"/>
  <c r="AI7" i="12"/>
  <c r="AL7" i="12" s="1"/>
  <c r="AH7" i="12"/>
  <c r="AK6" i="12"/>
  <c r="AJ6" i="12"/>
  <c r="AI6" i="12"/>
  <c r="AH6" i="12"/>
  <c r="AK15" i="12"/>
  <c r="AJ15" i="12"/>
  <c r="AI15" i="12"/>
  <c r="AL15" i="12" s="1"/>
  <c r="AH15" i="12"/>
  <c r="AK16" i="12"/>
  <c r="AJ16" i="12"/>
  <c r="AI16" i="12"/>
  <c r="AH16" i="12"/>
  <c r="AK14" i="12"/>
  <c r="AJ14" i="12"/>
  <c r="AI14" i="12"/>
  <c r="AH14" i="12"/>
  <c r="AK5" i="12"/>
  <c r="AJ5" i="12"/>
  <c r="AI5" i="12"/>
  <c r="AH5" i="12"/>
  <c r="AK13" i="12"/>
  <c r="AJ13" i="12"/>
  <c r="AI13" i="12"/>
  <c r="AL13" i="12" s="1"/>
  <c r="AH13" i="12"/>
  <c r="AK4" i="12"/>
  <c r="AJ4" i="12"/>
  <c r="AI4" i="12"/>
  <c r="AH4" i="12"/>
  <c r="AK8" i="12"/>
  <c r="AJ8" i="12"/>
  <c r="AI8" i="12"/>
  <c r="AL8" i="12" s="1"/>
  <c r="AH8" i="12"/>
  <c r="BG20" i="6"/>
  <c r="BF20" i="6"/>
  <c r="BE20" i="6"/>
  <c r="BH20" i="6" s="1"/>
  <c r="BD20" i="6"/>
  <c r="BG23" i="6"/>
  <c r="BF23" i="6"/>
  <c r="BE23" i="6"/>
  <c r="BD23" i="6"/>
  <c r="BG22" i="6"/>
  <c r="BF22" i="6"/>
  <c r="BE22" i="6"/>
  <c r="BH22" i="6" s="1"/>
  <c r="BD22" i="6"/>
  <c r="BG19" i="6"/>
  <c r="BF19" i="6"/>
  <c r="BE19" i="6"/>
  <c r="BD19" i="6"/>
  <c r="BG18" i="6"/>
  <c r="BF18" i="6"/>
  <c r="BE18" i="6"/>
  <c r="BH18" i="6" s="1"/>
  <c r="BD18" i="6"/>
  <c r="BG7" i="6"/>
  <c r="BF7" i="6"/>
  <c r="BE7" i="6"/>
  <c r="BD7" i="6"/>
  <c r="BG12" i="6"/>
  <c r="BF12" i="6"/>
  <c r="BE12" i="6"/>
  <c r="BD12" i="6"/>
  <c r="BG17" i="6"/>
  <c r="BF17" i="6"/>
  <c r="BE17" i="6"/>
  <c r="BD17" i="6"/>
  <c r="BG16" i="6"/>
  <c r="BF16" i="6"/>
  <c r="BE16" i="6"/>
  <c r="BH16" i="6" s="1"/>
  <c r="BD16" i="6"/>
  <c r="BG11" i="6"/>
  <c r="BF11" i="6"/>
  <c r="BE11" i="6"/>
  <c r="BD11" i="6"/>
  <c r="BG6" i="6"/>
  <c r="BF6" i="6"/>
  <c r="BE6" i="6"/>
  <c r="BH6" i="6" s="1"/>
  <c r="BD6" i="6"/>
  <c r="BG10" i="6"/>
  <c r="BF10" i="6"/>
  <c r="BE10" i="6"/>
  <c r="BD10" i="6"/>
  <c r="BG5" i="6"/>
  <c r="BF5" i="6"/>
  <c r="BE5" i="6"/>
  <c r="BH5" i="6" s="1"/>
  <c r="BD5" i="6"/>
  <c r="BG9" i="6"/>
  <c r="BF9" i="6"/>
  <c r="BE9" i="6"/>
  <c r="BD9" i="6"/>
  <c r="AK20" i="6"/>
  <c r="AJ20" i="6"/>
  <c r="AI20" i="6"/>
  <c r="AL20" i="6" s="1"/>
  <c r="AH20" i="6"/>
  <c r="AK23" i="6"/>
  <c r="AJ23" i="6"/>
  <c r="AI23" i="6"/>
  <c r="AH23" i="6"/>
  <c r="AK22" i="6"/>
  <c r="AJ22" i="6"/>
  <c r="AI22" i="6"/>
  <c r="AL22" i="6" s="1"/>
  <c r="AH22" i="6"/>
  <c r="AK19" i="6"/>
  <c r="AJ19" i="6"/>
  <c r="AI19" i="6"/>
  <c r="AH19" i="6"/>
  <c r="AK18" i="6"/>
  <c r="AJ18" i="6"/>
  <c r="AI18" i="6"/>
  <c r="AH18" i="6"/>
  <c r="AK7" i="6"/>
  <c r="AJ7" i="6"/>
  <c r="AI7" i="6"/>
  <c r="AH7" i="6"/>
  <c r="AK12" i="6"/>
  <c r="AJ12" i="6"/>
  <c r="AI12" i="6"/>
  <c r="AH12" i="6"/>
  <c r="AK17" i="6"/>
  <c r="AJ17" i="6"/>
  <c r="AI17" i="6"/>
  <c r="AH17" i="6"/>
  <c r="AK16" i="6"/>
  <c r="AJ16" i="6"/>
  <c r="AI16" i="6"/>
  <c r="AH16" i="6"/>
  <c r="AK11" i="6"/>
  <c r="AJ11" i="6"/>
  <c r="AI11" i="6"/>
  <c r="AH11" i="6"/>
  <c r="AK6" i="6"/>
  <c r="AJ6" i="6"/>
  <c r="AI6" i="6"/>
  <c r="AH6" i="6"/>
  <c r="AK10" i="6"/>
  <c r="AJ10" i="6"/>
  <c r="AI10" i="6"/>
  <c r="AH10" i="6"/>
  <c r="AK5" i="6"/>
  <c r="AJ5" i="6"/>
  <c r="AI5" i="6"/>
  <c r="AH5" i="6"/>
  <c r="AK9" i="6"/>
  <c r="AJ9" i="6"/>
  <c r="AI9" i="6"/>
  <c r="AH9" i="6"/>
  <c r="BG7" i="8"/>
  <c r="BE7" i="8"/>
  <c r="BH7" i="8" s="1"/>
  <c r="BD7" i="8"/>
  <c r="BG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7" i="7"/>
  <c r="BF7" i="7"/>
  <c r="BE7" i="7"/>
  <c r="BD7" i="7"/>
  <c r="BG6" i="7"/>
  <c r="BH6" i="7" s="1"/>
  <c r="BF6" i="7"/>
  <c r="BE6" i="7"/>
  <c r="BD6" i="7"/>
  <c r="BG5" i="7"/>
  <c r="BF5" i="7"/>
  <c r="BE5" i="7"/>
  <c r="BD5" i="7"/>
  <c r="BG8" i="7"/>
  <c r="BF8" i="7"/>
  <c r="BE8" i="7"/>
  <c r="BD8" i="7"/>
  <c r="BG4" i="7"/>
  <c r="BF4" i="7"/>
  <c r="BE4" i="7"/>
  <c r="BD4" i="7"/>
  <c r="AK7" i="7"/>
  <c r="AJ7" i="7"/>
  <c r="AI7" i="7"/>
  <c r="AH7" i="7"/>
  <c r="AK6" i="7"/>
  <c r="AJ6" i="7"/>
  <c r="AI6" i="7"/>
  <c r="AH6" i="7"/>
  <c r="AK5" i="7"/>
  <c r="AJ5" i="7"/>
  <c r="AI5" i="7"/>
  <c r="AH5" i="7"/>
  <c r="AK8" i="7"/>
  <c r="AJ8" i="7"/>
  <c r="AI8" i="7"/>
  <c r="AH8" i="7"/>
  <c r="AK4" i="7"/>
  <c r="AJ4" i="7"/>
  <c r="AI4" i="7"/>
  <c r="AH4" i="7"/>
  <c r="BN8" i="14"/>
  <c r="BM8" i="14"/>
  <c r="BK8" i="14"/>
  <c r="BJ8" i="14"/>
  <c r="BI8" i="14"/>
  <c r="BN7" i="14"/>
  <c r="BM7" i="14"/>
  <c r="BK7" i="14"/>
  <c r="BJ7" i="14"/>
  <c r="BI7" i="14"/>
  <c r="BN6" i="14"/>
  <c r="BM6" i="14"/>
  <c r="BK6" i="14"/>
  <c r="BJ6" i="14"/>
  <c r="BI6" i="14"/>
  <c r="BN9" i="14"/>
  <c r="BM9" i="14"/>
  <c r="BK9" i="14"/>
  <c r="BJ9" i="14"/>
  <c r="BI9" i="14"/>
  <c r="BN5" i="14"/>
  <c r="BM5" i="14"/>
  <c r="BK5" i="14"/>
  <c r="BJ5" i="14"/>
  <c r="BI5" i="14"/>
  <c r="BN4" i="14"/>
  <c r="BM4" i="14"/>
  <c r="BK4" i="14"/>
  <c r="BJ4" i="14"/>
  <c r="BI4" i="14"/>
  <c r="AQ8" i="14"/>
  <c r="AP8" i="14"/>
  <c r="AN8" i="14"/>
  <c r="AM8" i="14"/>
  <c r="AL8" i="14"/>
  <c r="AQ7" i="14"/>
  <c r="AP7" i="14"/>
  <c r="AN7" i="14"/>
  <c r="AM7" i="14"/>
  <c r="AL7" i="14"/>
  <c r="AQ6" i="14"/>
  <c r="AP6" i="14"/>
  <c r="AN6" i="14"/>
  <c r="AM6" i="14"/>
  <c r="AL6" i="14"/>
  <c r="AQ9" i="14"/>
  <c r="AP9" i="14"/>
  <c r="AN9" i="14"/>
  <c r="AM9" i="14"/>
  <c r="AL9" i="14"/>
  <c r="AQ5" i="14"/>
  <c r="AP5" i="14"/>
  <c r="AN5" i="14"/>
  <c r="AM5" i="14"/>
  <c r="AL5" i="14"/>
  <c r="AQ4" i="14"/>
  <c r="AP4" i="14"/>
  <c r="AN4" i="14"/>
  <c r="AM4" i="14"/>
  <c r="AL4" i="14"/>
  <c r="BN9" i="9"/>
  <c r="BM9" i="9"/>
  <c r="BK9" i="9"/>
  <c r="BJ9" i="9"/>
  <c r="BI9" i="9"/>
  <c r="BN8" i="9"/>
  <c r="BM8" i="9"/>
  <c r="BK8" i="9"/>
  <c r="BJ8" i="9"/>
  <c r="BL8" i="9" s="1"/>
  <c r="BI8" i="9"/>
  <c r="BN5" i="9"/>
  <c r="BM5" i="9"/>
  <c r="BK5" i="9"/>
  <c r="BJ5" i="9"/>
  <c r="BL5" i="9" s="1"/>
  <c r="BI5" i="9"/>
  <c r="BN7" i="9"/>
  <c r="BM7" i="9"/>
  <c r="BK7" i="9"/>
  <c r="BJ7" i="9"/>
  <c r="BL7" i="9" s="1"/>
  <c r="BO7" i="9" s="1"/>
  <c r="BI7" i="9"/>
  <c r="BN10" i="9"/>
  <c r="BM10" i="9"/>
  <c r="BK10" i="9"/>
  <c r="BJ10" i="9"/>
  <c r="BI10" i="9"/>
  <c r="BN6" i="9"/>
  <c r="BM6" i="9"/>
  <c r="BK6" i="9"/>
  <c r="BL6" i="9" s="1"/>
  <c r="BJ6" i="9"/>
  <c r="BI6" i="9"/>
  <c r="BN4" i="9"/>
  <c r="BM4" i="9"/>
  <c r="BK4" i="9"/>
  <c r="BJ4" i="9"/>
  <c r="BI4" i="9"/>
  <c r="AQ9" i="9"/>
  <c r="AP9" i="9"/>
  <c r="AN9" i="9"/>
  <c r="AM9" i="9"/>
  <c r="AL9" i="9"/>
  <c r="AQ8" i="9"/>
  <c r="AP8" i="9"/>
  <c r="AN8" i="9"/>
  <c r="AM8" i="9"/>
  <c r="AO8" i="9" s="1"/>
  <c r="AR8" i="9" s="1"/>
  <c r="AL8" i="9"/>
  <c r="AQ5" i="9"/>
  <c r="AP5" i="9"/>
  <c r="AN5" i="9"/>
  <c r="AM5" i="9"/>
  <c r="AL5" i="9"/>
  <c r="AQ7" i="9"/>
  <c r="AP7" i="9"/>
  <c r="AN7" i="9"/>
  <c r="AM7" i="9"/>
  <c r="AL7" i="9"/>
  <c r="AQ10" i="9"/>
  <c r="AP10" i="9"/>
  <c r="AN10" i="9"/>
  <c r="AM10" i="9"/>
  <c r="AO10" i="9" s="1"/>
  <c r="AR10" i="9" s="1"/>
  <c r="AL10" i="9"/>
  <c r="AQ6" i="9"/>
  <c r="AP6" i="9"/>
  <c r="AN6" i="9"/>
  <c r="AO6" i="9" s="1"/>
  <c r="AR6" i="9" s="1"/>
  <c r="AM6" i="9"/>
  <c r="AL6" i="9"/>
  <c r="AQ4" i="9"/>
  <c r="AP4" i="9"/>
  <c r="AN4" i="9"/>
  <c r="AM4" i="9"/>
  <c r="AL4" i="9"/>
  <c r="CB17" i="13"/>
  <c r="CA17" i="13"/>
  <c r="BY17" i="13"/>
  <c r="BX17" i="13"/>
  <c r="BW17" i="13"/>
  <c r="BV17" i="13"/>
  <c r="BU17" i="13"/>
  <c r="CB16" i="13"/>
  <c r="CA16" i="13"/>
  <c r="BY16" i="13"/>
  <c r="BX16" i="13"/>
  <c r="BW16" i="13"/>
  <c r="BZ16" i="13" s="1"/>
  <c r="CC16" i="13" s="1"/>
  <c r="BV16" i="13"/>
  <c r="BU16" i="13"/>
  <c r="CB11" i="13"/>
  <c r="CA11" i="13"/>
  <c r="BY11" i="13"/>
  <c r="BX11" i="13"/>
  <c r="BW11" i="13"/>
  <c r="BV11" i="13"/>
  <c r="BU11" i="13"/>
  <c r="CB15" i="13"/>
  <c r="CA15" i="13"/>
  <c r="BY15" i="13"/>
  <c r="BX15" i="13"/>
  <c r="BW15" i="13"/>
  <c r="BV15" i="13"/>
  <c r="BU15" i="13"/>
  <c r="BZ15" i="13" s="1"/>
  <c r="CC15" i="13" s="1"/>
  <c r="CB12" i="13"/>
  <c r="CA12" i="13"/>
  <c r="BY12" i="13"/>
  <c r="BX12" i="13"/>
  <c r="BW12" i="13"/>
  <c r="BV12" i="13"/>
  <c r="BU12" i="13"/>
  <c r="CB14" i="13"/>
  <c r="CA14" i="13"/>
  <c r="BY14" i="13"/>
  <c r="BX14" i="13"/>
  <c r="BW14" i="13"/>
  <c r="BV14" i="13"/>
  <c r="BU14" i="13"/>
  <c r="CB10" i="13"/>
  <c r="CA10" i="13"/>
  <c r="BY10" i="13"/>
  <c r="BX10" i="13"/>
  <c r="BW10" i="13"/>
  <c r="BV10" i="13"/>
  <c r="BU10" i="13"/>
  <c r="CB13" i="13"/>
  <c r="CA13" i="13"/>
  <c r="BY13" i="13"/>
  <c r="BX13" i="13"/>
  <c r="BW13" i="13"/>
  <c r="BV13" i="13"/>
  <c r="BU13" i="13"/>
  <c r="CB9" i="13"/>
  <c r="CA9" i="13"/>
  <c r="BY9" i="13"/>
  <c r="BX9" i="13"/>
  <c r="BW9" i="13"/>
  <c r="BV9" i="13"/>
  <c r="BU9" i="13"/>
  <c r="CB8" i="13"/>
  <c r="CA8" i="13"/>
  <c r="BY8" i="13"/>
  <c r="BX8" i="13"/>
  <c r="BW8" i="13"/>
  <c r="BV8" i="13"/>
  <c r="BU8" i="13"/>
  <c r="BZ8" i="13" s="1"/>
  <c r="CC8" i="13" s="1"/>
  <c r="CB6" i="13"/>
  <c r="CA6" i="13"/>
  <c r="BY6" i="13"/>
  <c r="BX6" i="13"/>
  <c r="BW6" i="13"/>
  <c r="BV6" i="13"/>
  <c r="BU6" i="13"/>
  <c r="CB7" i="13"/>
  <c r="CA7" i="13"/>
  <c r="BY7" i="13"/>
  <c r="BX7" i="13"/>
  <c r="BW7" i="13"/>
  <c r="BV7" i="13"/>
  <c r="BU7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7" i="13"/>
  <c r="AW17" i="13"/>
  <c r="AU17" i="13"/>
  <c r="AT17" i="13"/>
  <c r="AS17" i="13"/>
  <c r="AR17" i="13"/>
  <c r="AQ17" i="13"/>
  <c r="AX16" i="13"/>
  <c r="AW16" i="13"/>
  <c r="AU16" i="13"/>
  <c r="AT16" i="13"/>
  <c r="AS16" i="13"/>
  <c r="AR16" i="13"/>
  <c r="AQ16" i="13"/>
  <c r="AX11" i="13"/>
  <c r="AW11" i="13"/>
  <c r="AU11" i="13"/>
  <c r="AT11" i="13"/>
  <c r="AS11" i="13"/>
  <c r="AR11" i="13"/>
  <c r="AQ11" i="13"/>
  <c r="AX15" i="13"/>
  <c r="AW15" i="13"/>
  <c r="AU15" i="13"/>
  <c r="AT15" i="13"/>
  <c r="AS15" i="13"/>
  <c r="AR15" i="13"/>
  <c r="AQ15" i="13"/>
  <c r="AX12" i="13"/>
  <c r="AW12" i="13"/>
  <c r="AU12" i="13"/>
  <c r="AT12" i="13"/>
  <c r="AS12" i="13"/>
  <c r="AR12" i="13"/>
  <c r="AQ12" i="13"/>
  <c r="AX14" i="13"/>
  <c r="AW14" i="13"/>
  <c r="AU14" i="13"/>
  <c r="AT14" i="13"/>
  <c r="AS14" i="13"/>
  <c r="AR14" i="13"/>
  <c r="AQ14" i="13"/>
  <c r="AX10" i="13"/>
  <c r="AW10" i="13"/>
  <c r="AU10" i="13"/>
  <c r="AT10" i="13"/>
  <c r="AS10" i="13"/>
  <c r="AR10" i="13"/>
  <c r="AQ10" i="13"/>
  <c r="AX13" i="13"/>
  <c r="AW13" i="13"/>
  <c r="AU13" i="13"/>
  <c r="AT13" i="13"/>
  <c r="AS13" i="13"/>
  <c r="AR13" i="13"/>
  <c r="AQ13" i="13"/>
  <c r="AX9" i="13"/>
  <c r="AW9" i="13"/>
  <c r="AU9" i="13"/>
  <c r="AT9" i="13"/>
  <c r="AS9" i="13"/>
  <c r="AR9" i="13"/>
  <c r="AQ9" i="13"/>
  <c r="AX8" i="13"/>
  <c r="AW8" i="13"/>
  <c r="AU8" i="13"/>
  <c r="AT8" i="13"/>
  <c r="AS8" i="13"/>
  <c r="AR8" i="13"/>
  <c r="AQ8" i="13"/>
  <c r="AX6" i="13"/>
  <c r="AW6" i="13"/>
  <c r="AU6" i="13"/>
  <c r="AT6" i="13"/>
  <c r="AS6" i="13"/>
  <c r="AR6" i="13"/>
  <c r="AQ6" i="13"/>
  <c r="AX7" i="13"/>
  <c r="AW7" i="13"/>
  <c r="AU7" i="13"/>
  <c r="AT7" i="13"/>
  <c r="AS7" i="13"/>
  <c r="AR7" i="13"/>
  <c r="AQ7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26" i="4"/>
  <c r="CA26" i="4"/>
  <c r="BY26" i="4"/>
  <c r="BX26" i="4"/>
  <c r="BW26" i="4"/>
  <c r="BV26" i="4"/>
  <c r="BU26" i="4"/>
  <c r="CB24" i="4"/>
  <c r="CA24" i="4"/>
  <c r="BY24" i="4"/>
  <c r="BX24" i="4"/>
  <c r="BW24" i="4"/>
  <c r="BV24" i="4"/>
  <c r="BU24" i="4"/>
  <c r="CB25" i="4"/>
  <c r="CA25" i="4"/>
  <c r="BY25" i="4"/>
  <c r="BX25" i="4"/>
  <c r="BW25" i="4"/>
  <c r="BV25" i="4"/>
  <c r="BU25" i="4"/>
  <c r="BZ25" i="4" s="1"/>
  <c r="CB17" i="4"/>
  <c r="CA17" i="4"/>
  <c r="BY17" i="4"/>
  <c r="BX17" i="4"/>
  <c r="BW17" i="4"/>
  <c r="BV17" i="4"/>
  <c r="BU17" i="4"/>
  <c r="CB21" i="4"/>
  <c r="CA21" i="4"/>
  <c r="BY21" i="4"/>
  <c r="BX21" i="4"/>
  <c r="BW21" i="4"/>
  <c r="BV21" i="4"/>
  <c r="BU21" i="4"/>
  <c r="CB19" i="4"/>
  <c r="CA19" i="4"/>
  <c r="BY19" i="4"/>
  <c r="BX19" i="4"/>
  <c r="BW19" i="4"/>
  <c r="BV19" i="4"/>
  <c r="BU19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7" i="4"/>
  <c r="CA7" i="4"/>
  <c r="BY7" i="4"/>
  <c r="BX7" i="4"/>
  <c r="BW7" i="4"/>
  <c r="BV7" i="4"/>
  <c r="BU7" i="4"/>
  <c r="CB12" i="4"/>
  <c r="CA12" i="4"/>
  <c r="BY12" i="4"/>
  <c r="BX12" i="4"/>
  <c r="BW12" i="4"/>
  <c r="BV12" i="4"/>
  <c r="BU12" i="4"/>
  <c r="CB23" i="4"/>
  <c r="CA23" i="4"/>
  <c r="BY23" i="4"/>
  <c r="BX23" i="4"/>
  <c r="BW23" i="4"/>
  <c r="BV23" i="4"/>
  <c r="BU23" i="4"/>
  <c r="CB11" i="4"/>
  <c r="CA11" i="4"/>
  <c r="BY11" i="4"/>
  <c r="BX11" i="4"/>
  <c r="BW11" i="4"/>
  <c r="BV11" i="4"/>
  <c r="BU11" i="4"/>
  <c r="CB9" i="4"/>
  <c r="CA9" i="4"/>
  <c r="BY9" i="4"/>
  <c r="BX9" i="4"/>
  <c r="BW9" i="4"/>
  <c r="BV9" i="4"/>
  <c r="BU9" i="4"/>
  <c r="CB10" i="4"/>
  <c r="CA10" i="4"/>
  <c r="BY10" i="4"/>
  <c r="BX10" i="4"/>
  <c r="BW10" i="4"/>
  <c r="BV10" i="4"/>
  <c r="BU10" i="4"/>
  <c r="CB16" i="4"/>
  <c r="CA16" i="4"/>
  <c r="BY16" i="4"/>
  <c r="BX16" i="4"/>
  <c r="BW16" i="4"/>
  <c r="BV16" i="4"/>
  <c r="BU16" i="4"/>
  <c r="CB8" i="4"/>
  <c r="CA8" i="4"/>
  <c r="BY8" i="4"/>
  <c r="BX8" i="4"/>
  <c r="BW8" i="4"/>
  <c r="BV8" i="4"/>
  <c r="BU8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Z4" i="4" s="1"/>
  <c r="CC4" i="4" s="1"/>
  <c r="BX4" i="4"/>
  <c r="BW4" i="4"/>
  <c r="BV4" i="4"/>
  <c r="BU4" i="4"/>
  <c r="AX26" i="4"/>
  <c r="AW26" i="4"/>
  <c r="AU26" i="4"/>
  <c r="AT26" i="4"/>
  <c r="AS26" i="4"/>
  <c r="AR26" i="4"/>
  <c r="AQ26" i="4"/>
  <c r="AX24" i="4"/>
  <c r="AW24" i="4"/>
  <c r="AU24" i="4"/>
  <c r="AT24" i="4"/>
  <c r="AS24" i="4"/>
  <c r="AR24" i="4"/>
  <c r="AQ24" i="4"/>
  <c r="AX25" i="4"/>
  <c r="AW25" i="4"/>
  <c r="AU25" i="4"/>
  <c r="AT25" i="4"/>
  <c r="AS25" i="4"/>
  <c r="AR25" i="4"/>
  <c r="AQ25" i="4"/>
  <c r="AX17" i="4"/>
  <c r="AW17" i="4"/>
  <c r="AU17" i="4"/>
  <c r="AT17" i="4"/>
  <c r="AS17" i="4"/>
  <c r="AR17" i="4"/>
  <c r="AQ17" i="4"/>
  <c r="AX21" i="4"/>
  <c r="AW21" i="4"/>
  <c r="AU21" i="4"/>
  <c r="AT21" i="4"/>
  <c r="AS21" i="4"/>
  <c r="AR21" i="4"/>
  <c r="AQ21" i="4"/>
  <c r="AV21" i="4" s="1"/>
  <c r="AY21" i="4" s="1"/>
  <c r="AX19" i="4"/>
  <c r="AW19" i="4"/>
  <c r="AU19" i="4"/>
  <c r="AT19" i="4"/>
  <c r="AS19" i="4"/>
  <c r="AR19" i="4"/>
  <c r="AQ19" i="4"/>
  <c r="AV19" i="4" s="1"/>
  <c r="AX18" i="4"/>
  <c r="AW18" i="4"/>
  <c r="AU18" i="4"/>
  <c r="AT18" i="4"/>
  <c r="AS18" i="4"/>
  <c r="AR18" i="4"/>
  <c r="AQ18" i="4"/>
  <c r="AV18" i="4" s="1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7" i="4"/>
  <c r="AW7" i="4"/>
  <c r="AU7" i="4"/>
  <c r="AT7" i="4"/>
  <c r="AS7" i="4"/>
  <c r="AR7" i="4"/>
  <c r="AQ7" i="4"/>
  <c r="AX12" i="4"/>
  <c r="AW12" i="4"/>
  <c r="AU12" i="4"/>
  <c r="AT12" i="4"/>
  <c r="AS12" i="4"/>
  <c r="AR12" i="4"/>
  <c r="AQ12" i="4"/>
  <c r="AX23" i="4"/>
  <c r="AW23" i="4"/>
  <c r="AU23" i="4"/>
  <c r="AT23" i="4"/>
  <c r="AS23" i="4"/>
  <c r="AR23" i="4"/>
  <c r="AQ23" i="4"/>
  <c r="AX11" i="4"/>
  <c r="AW11" i="4"/>
  <c r="AU11" i="4"/>
  <c r="AT11" i="4"/>
  <c r="AS11" i="4"/>
  <c r="AR11" i="4"/>
  <c r="AQ11" i="4"/>
  <c r="AX9" i="4"/>
  <c r="AW9" i="4"/>
  <c r="AU9" i="4"/>
  <c r="AT9" i="4"/>
  <c r="AS9" i="4"/>
  <c r="AR9" i="4"/>
  <c r="AQ9" i="4"/>
  <c r="AX10" i="4"/>
  <c r="AW10" i="4"/>
  <c r="AU10" i="4"/>
  <c r="AT10" i="4"/>
  <c r="AS10" i="4"/>
  <c r="AR10" i="4"/>
  <c r="AQ10" i="4"/>
  <c r="AX16" i="4"/>
  <c r="AW16" i="4"/>
  <c r="AU16" i="4"/>
  <c r="AT16" i="4"/>
  <c r="AS16" i="4"/>
  <c r="AR16" i="4"/>
  <c r="AQ16" i="4"/>
  <c r="AX8" i="4"/>
  <c r="AW8" i="4"/>
  <c r="AU8" i="4"/>
  <c r="AT8" i="4"/>
  <c r="AS8" i="4"/>
  <c r="AR8" i="4"/>
  <c r="AQ8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V6" i="4" s="1"/>
  <c r="AY6" i="4" s="1"/>
  <c r="AX4" i="4"/>
  <c r="AW4" i="4"/>
  <c r="AU4" i="4"/>
  <c r="AT4" i="4"/>
  <c r="AS4" i="4"/>
  <c r="AR4" i="4"/>
  <c r="AQ4" i="4"/>
  <c r="BZ22" i="6"/>
  <c r="CA22" i="6"/>
  <c r="CB22" i="6"/>
  <c r="CC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N7" i="12"/>
  <c r="O7" i="12" s="1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N6" i="12"/>
  <c r="P6" i="12" s="1"/>
  <c r="BZ6" i="12"/>
  <c r="CA6" i="12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5" i="7"/>
  <c r="CA5" i="7"/>
  <c r="CB5" i="7"/>
  <c r="CC5" i="7"/>
  <c r="LT5" i="7"/>
  <c r="LU5" i="7"/>
  <c r="LV5" i="7"/>
  <c r="LW5" i="7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6" i="13"/>
  <c r="CZ16" i="13"/>
  <c r="DA16" i="13"/>
  <c r="DB16" i="13"/>
  <c r="DC16" i="13"/>
  <c r="DE16" i="13"/>
  <c r="DF16" i="13"/>
  <c r="NI16" i="13"/>
  <c r="NJ16" i="13"/>
  <c r="NK16" i="13"/>
  <c r="NM16" i="13"/>
  <c r="NN16" i="13"/>
  <c r="NP16" i="13"/>
  <c r="NQ16" i="13"/>
  <c r="NR16" i="13"/>
  <c r="NS16" i="13"/>
  <c r="NT16" i="13"/>
  <c r="NU16" i="13"/>
  <c r="NV16" i="13"/>
  <c r="NW16" i="13"/>
  <c r="OL16" i="13" s="1"/>
  <c r="NX16" i="13"/>
  <c r="NY16" i="13"/>
  <c r="NZ16" i="13"/>
  <c r="OA16" i="13"/>
  <c r="OB16" i="13"/>
  <c r="ON16" i="13" s="1"/>
  <c r="OC16" i="13"/>
  <c r="OD16" i="13"/>
  <c r="OE16" i="13"/>
  <c r="OF16" i="13"/>
  <c r="OG16" i="13"/>
  <c r="OQ16" i="13" s="1"/>
  <c r="OH16" i="13"/>
  <c r="OI16" i="13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F8" i="14"/>
  <c r="CG8" i="14"/>
  <c r="CH8" i="14"/>
  <c r="CJ8" i="14"/>
  <c r="CK8" i="14"/>
  <c r="MN8" i="14"/>
  <c r="MO8" i="14"/>
  <c r="MP8" i="14"/>
  <c r="MR8" i="14"/>
  <c r="MS8" i="14"/>
  <c r="MU8" i="14"/>
  <c r="MV8" i="14"/>
  <c r="MW8" i="14"/>
  <c r="MX8" i="14"/>
  <c r="MY8" i="14"/>
  <c r="MZ8" i="14"/>
  <c r="NA8" i="14"/>
  <c r="NB8" i="14"/>
  <c r="NC8" i="14"/>
  <c r="ND8" i="14"/>
  <c r="NE8" i="14"/>
  <c r="NF8" i="14"/>
  <c r="NG8" i="14"/>
  <c r="NO8" i="14" s="1"/>
  <c r="NH8" i="14"/>
  <c r="NI8" i="14"/>
  <c r="NK8" i="14"/>
  <c r="CF7" i="14"/>
  <c r="CG7" i="14"/>
  <c r="CH7" i="14"/>
  <c r="CJ7" i="14"/>
  <c r="CK7" i="14"/>
  <c r="MN7" i="14"/>
  <c r="MO7" i="14"/>
  <c r="MP7" i="14"/>
  <c r="MR7" i="14"/>
  <c r="MS7" i="14"/>
  <c r="MU7" i="14"/>
  <c r="MV7" i="14"/>
  <c r="MW7" i="14"/>
  <c r="MX7" i="14"/>
  <c r="MY7" i="14"/>
  <c r="MZ7" i="14"/>
  <c r="NA7" i="14"/>
  <c r="NB7" i="14"/>
  <c r="NK7" i="14" s="1"/>
  <c r="NC7" i="14"/>
  <c r="ND7" i="14"/>
  <c r="NE7" i="14"/>
  <c r="NF7" i="14"/>
  <c r="NG7" i="14"/>
  <c r="NO7" i="14" s="1"/>
  <c r="NH7" i="14"/>
  <c r="NI7" i="14"/>
  <c r="NI6" i="14"/>
  <c r="NH6" i="14"/>
  <c r="NG6" i="14"/>
  <c r="NO6" i="14" s="1"/>
  <c r="NF6" i="14"/>
  <c r="NE6" i="14"/>
  <c r="ND6" i="14"/>
  <c r="NC6" i="14"/>
  <c r="NB6" i="14"/>
  <c r="NK6" i="14" s="1"/>
  <c r="NA6" i="14"/>
  <c r="MZ6" i="14"/>
  <c r="MY6" i="14"/>
  <c r="MX6" i="14"/>
  <c r="MW6" i="14"/>
  <c r="MV6" i="14"/>
  <c r="MU6" i="14"/>
  <c r="MS6" i="14"/>
  <c r="MR6" i="14"/>
  <c r="MP6" i="14"/>
  <c r="MO6" i="14"/>
  <c r="MN6" i="14"/>
  <c r="CK6" i="14"/>
  <c r="CJ6" i="14"/>
  <c r="CH6" i="14"/>
  <c r="CG6" i="14"/>
  <c r="CF6" i="14"/>
  <c r="NI9" i="14"/>
  <c r="NH9" i="14"/>
  <c r="NG9" i="14"/>
  <c r="NO9" i="14" s="1"/>
  <c r="NF9" i="14"/>
  <c r="NE9" i="14"/>
  <c r="ND9" i="14"/>
  <c r="NC9" i="14"/>
  <c r="NB9" i="14"/>
  <c r="NK9" i="14" s="1"/>
  <c r="NA9" i="14"/>
  <c r="MZ9" i="14"/>
  <c r="MY9" i="14"/>
  <c r="MX9" i="14"/>
  <c r="MW9" i="14"/>
  <c r="MV9" i="14"/>
  <c r="MU9" i="14"/>
  <c r="MS9" i="14"/>
  <c r="MR9" i="14"/>
  <c r="MP9" i="14"/>
  <c r="MO9" i="14"/>
  <c r="MN9" i="14"/>
  <c r="CK9" i="14"/>
  <c r="CJ9" i="14"/>
  <c r="CH9" i="14"/>
  <c r="CG9" i="14"/>
  <c r="CF9" i="14"/>
  <c r="NI5" i="14"/>
  <c r="NH5" i="14"/>
  <c r="NG5" i="14"/>
  <c r="NO5" i="14" s="1"/>
  <c r="NF5" i="14"/>
  <c r="NE5" i="14"/>
  <c r="ND5" i="14"/>
  <c r="NC5" i="14"/>
  <c r="NB5" i="14"/>
  <c r="NK5" i="14" s="1"/>
  <c r="NA5" i="14"/>
  <c r="MZ5" i="14"/>
  <c r="MY5" i="14"/>
  <c r="MX5" i="14"/>
  <c r="MW5" i="14"/>
  <c r="MV5" i="14"/>
  <c r="MU5" i="14"/>
  <c r="MS5" i="14"/>
  <c r="MR5" i="14"/>
  <c r="MP5" i="14"/>
  <c r="MO5" i="14"/>
  <c r="MN5" i="14"/>
  <c r="CK5" i="14"/>
  <c r="CJ5" i="14"/>
  <c r="CH5" i="14"/>
  <c r="CG5" i="14"/>
  <c r="CF5" i="1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17" i="13"/>
  <c r="OH17" i="13"/>
  <c r="OG17" i="13"/>
  <c r="OQ17" i="13" s="1"/>
  <c r="OF17" i="13"/>
  <c r="OE17" i="13"/>
  <c r="OD17" i="13"/>
  <c r="OC17" i="13"/>
  <c r="OB17" i="13"/>
  <c r="ON17" i="13" s="1"/>
  <c r="OA17" i="13"/>
  <c r="NZ17" i="13"/>
  <c r="NY17" i="13"/>
  <c r="NX17" i="13"/>
  <c r="NW17" i="13"/>
  <c r="OL17" i="13" s="1"/>
  <c r="NV17" i="13"/>
  <c r="NU17" i="13"/>
  <c r="NT17" i="13"/>
  <c r="NS17" i="13"/>
  <c r="NR17" i="13"/>
  <c r="NQ17" i="13"/>
  <c r="NP17" i="13"/>
  <c r="NN17" i="13"/>
  <c r="NM17" i="13"/>
  <c r="NK17" i="13"/>
  <c r="NJ17" i="13"/>
  <c r="NI17" i="13"/>
  <c r="DF17" i="13"/>
  <c r="DE17" i="13"/>
  <c r="DC17" i="13"/>
  <c r="DB17" i="13"/>
  <c r="DA17" i="13"/>
  <c r="CZ17" i="13"/>
  <c r="CY17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15" i="13"/>
  <c r="OH15" i="13"/>
  <c r="OG15" i="13"/>
  <c r="OQ15" i="13" s="1"/>
  <c r="OF15" i="13"/>
  <c r="OE15" i="13"/>
  <c r="OD15" i="13"/>
  <c r="OC15" i="13"/>
  <c r="OB15" i="13"/>
  <c r="ON15" i="13" s="1"/>
  <c r="OA15" i="13"/>
  <c r="NZ15" i="13"/>
  <c r="NY15" i="13"/>
  <c r="NX15" i="13"/>
  <c r="NW15" i="13"/>
  <c r="OL15" i="13" s="1"/>
  <c r="NV15" i="13"/>
  <c r="NU15" i="13"/>
  <c r="NT15" i="13"/>
  <c r="NS15" i="13"/>
  <c r="NR15" i="13"/>
  <c r="NQ15" i="13"/>
  <c r="NP15" i="13"/>
  <c r="NN15" i="13"/>
  <c r="NM15" i="13"/>
  <c r="NK15" i="13"/>
  <c r="NJ15" i="13"/>
  <c r="NI15" i="13"/>
  <c r="DF15" i="13"/>
  <c r="DE15" i="13"/>
  <c r="DC15" i="13"/>
  <c r="DB15" i="13"/>
  <c r="DA15" i="13"/>
  <c r="CZ15" i="13"/>
  <c r="CY15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4" i="13"/>
  <c r="OH14" i="13"/>
  <c r="OG14" i="13"/>
  <c r="OQ14" i="13" s="1"/>
  <c r="OF14" i="13"/>
  <c r="OE14" i="13"/>
  <c r="OD14" i="13"/>
  <c r="OC14" i="13"/>
  <c r="OB14" i="13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3" i="13"/>
  <c r="OH13" i="13"/>
  <c r="OG13" i="13"/>
  <c r="OQ13" i="13" s="1"/>
  <c r="OF13" i="13"/>
  <c r="OE13" i="13"/>
  <c r="OD13" i="13"/>
  <c r="OC13" i="13"/>
  <c r="OB13" i="13"/>
  <c r="ON13" i="13" s="1"/>
  <c r="OA13" i="13"/>
  <c r="NZ13" i="13"/>
  <c r="NY13" i="13"/>
  <c r="NX13" i="13"/>
  <c r="NW13" i="13"/>
  <c r="OL13" i="13" s="1"/>
  <c r="NV13" i="13"/>
  <c r="NU13" i="13"/>
  <c r="NT13" i="13"/>
  <c r="NS13" i="13"/>
  <c r="NR13" i="13"/>
  <c r="NQ13" i="13"/>
  <c r="NP13" i="13"/>
  <c r="NN13" i="13"/>
  <c r="NM13" i="13"/>
  <c r="NK13" i="13"/>
  <c r="NJ13" i="13"/>
  <c r="NI13" i="13"/>
  <c r="DF13" i="13"/>
  <c r="DE13" i="13"/>
  <c r="DC13" i="13"/>
  <c r="DB13" i="13"/>
  <c r="DA13" i="13"/>
  <c r="CZ13" i="13"/>
  <c r="CY13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7" i="13"/>
  <c r="OH7" i="13"/>
  <c r="OG7" i="13"/>
  <c r="OQ7" i="13" s="1"/>
  <c r="OF7" i="13"/>
  <c r="OE7" i="13"/>
  <c r="OD7" i="13"/>
  <c r="OC7" i="13"/>
  <c r="OB7" i="13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N6" i="13" s="1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NT23" i="4"/>
  <c r="NU23" i="4"/>
  <c r="NV23" i="4"/>
  <c r="NW23" i="4"/>
  <c r="OL23" i="4" s="1"/>
  <c r="NX23" i="4"/>
  <c r="NY23" i="4"/>
  <c r="NZ23" i="4"/>
  <c r="OA23" i="4"/>
  <c r="OB23" i="4"/>
  <c r="ON23" i="4" s="1"/>
  <c r="OC23" i="4"/>
  <c r="OD23" i="4"/>
  <c r="OE23" i="4"/>
  <c r="OF23" i="4"/>
  <c r="OG23" i="4"/>
  <c r="OQ23" i="4" s="1"/>
  <c r="OH23" i="4"/>
  <c r="OI23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26" i="4"/>
  <c r="NU26" i="4"/>
  <c r="NV26" i="4"/>
  <c r="NW26" i="4"/>
  <c r="OL26" i="4" s="1"/>
  <c r="NX26" i="4"/>
  <c r="NY26" i="4"/>
  <c r="NZ26" i="4"/>
  <c r="OA26" i="4"/>
  <c r="OB26" i="4"/>
  <c r="ON26" i="4" s="1"/>
  <c r="OC26" i="4"/>
  <c r="OD26" i="4"/>
  <c r="OE26" i="4"/>
  <c r="OR26" i="4" s="1"/>
  <c r="OF26" i="4"/>
  <c r="OG26" i="4"/>
  <c r="OQ26" i="4" s="1"/>
  <c r="OH26" i="4"/>
  <c r="OI26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25" i="4"/>
  <c r="NU25" i="4"/>
  <c r="NV25" i="4"/>
  <c r="NW25" i="4"/>
  <c r="OL25" i="4" s="1"/>
  <c r="NX25" i="4"/>
  <c r="NY25" i="4"/>
  <c r="NZ25" i="4"/>
  <c r="OA25" i="4"/>
  <c r="OB25" i="4"/>
  <c r="ON25" i="4" s="1"/>
  <c r="OC25" i="4"/>
  <c r="OD25" i="4"/>
  <c r="OE25" i="4"/>
  <c r="OR25" i="4" s="1"/>
  <c r="OF25" i="4"/>
  <c r="OG25" i="4"/>
  <c r="OQ25" i="4" s="1"/>
  <c r="OH25" i="4"/>
  <c r="OI25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24" i="4"/>
  <c r="NU24" i="4"/>
  <c r="NV24" i="4"/>
  <c r="NW24" i="4"/>
  <c r="OL24" i="4" s="1"/>
  <c r="NX24" i="4"/>
  <c r="NY24" i="4"/>
  <c r="NZ24" i="4"/>
  <c r="OA24" i="4"/>
  <c r="OB24" i="4"/>
  <c r="ON24" i="4" s="1"/>
  <c r="OC24" i="4"/>
  <c r="OD24" i="4"/>
  <c r="OE24" i="4"/>
  <c r="OF24" i="4"/>
  <c r="OG24" i="4"/>
  <c r="OQ24" i="4" s="1"/>
  <c r="OH24" i="4"/>
  <c r="OI24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0" i="4"/>
  <c r="CZ10" i="4"/>
  <c r="DA10" i="4"/>
  <c r="DB10" i="4"/>
  <c r="DC10" i="4"/>
  <c r="DE10" i="4"/>
  <c r="DF10" i="4"/>
  <c r="CY23" i="4"/>
  <c r="CZ23" i="4"/>
  <c r="DA23" i="4"/>
  <c r="DB23" i="4"/>
  <c r="DC23" i="4"/>
  <c r="DE23" i="4"/>
  <c r="DF23" i="4"/>
  <c r="CY9" i="4"/>
  <c r="CZ9" i="4"/>
  <c r="DA9" i="4"/>
  <c r="DB9" i="4"/>
  <c r="DC9" i="4"/>
  <c r="DE9" i="4"/>
  <c r="DF9" i="4"/>
  <c r="CY11" i="4"/>
  <c r="CZ11" i="4"/>
  <c r="DA11" i="4"/>
  <c r="DB11" i="4"/>
  <c r="DC11" i="4"/>
  <c r="DE11" i="4"/>
  <c r="DF11" i="4"/>
  <c r="CY15" i="4"/>
  <c r="CZ15" i="4"/>
  <c r="DA15" i="4"/>
  <c r="DB15" i="4"/>
  <c r="DC15" i="4"/>
  <c r="DE15" i="4"/>
  <c r="DF15" i="4"/>
  <c r="CY16" i="4"/>
  <c r="CZ16" i="4"/>
  <c r="DA16" i="4"/>
  <c r="DB16" i="4"/>
  <c r="DC16" i="4"/>
  <c r="DE16" i="4"/>
  <c r="DF16" i="4"/>
  <c r="CY26" i="4"/>
  <c r="CZ26" i="4"/>
  <c r="DA26" i="4"/>
  <c r="DB26" i="4"/>
  <c r="DC26" i="4"/>
  <c r="DE26" i="4"/>
  <c r="DF26" i="4"/>
  <c r="CY7" i="4"/>
  <c r="CZ7" i="4"/>
  <c r="DA7" i="4"/>
  <c r="DB7" i="4"/>
  <c r="DC7" i="4"/>
  <c r="DE7" i="4"/>
  <c r="DF7" i="4"/>
  <c r="CY12" i="4"/>
  <c r="CZ12" i="4"/>
  <c r="DA12" i="4"/>
  <c r="DB12" i="4"/>
  <c r="DC12" i="4"/>
  <c r="DE12" i="4"/>
  <c r="DF12" i="4"/>
  <c r="CY19" i="4"/>
  <c r="CZ19" i="4"/>
  <c r="DA19" i="4"/>
  <c r="DB19" i="4"/>
  <c r="DC19" i="4"/>
  <c r="DE19" i="4"/>
  <c r="DF19" i="4"/>
  <c r="CY21" i="4"/>
  <c r="CZ21" i="4"/>
  <c r="DA21" i="4"/>
  <c r="DB21" i="4"/>
  <c r="DC21" i="4"/>
  <c r="DE21" i="4"/>
  <c r="DF21" i="4"/>
  <c r="CY25" i="4"/>
  <c r="CZ25" i="4"/>
  <c r="DA25" i="4"/>
  <c r="DB25" i="4"/>
  <c r="DC25" i="4"/>
  <c r="DE25" i="4"/>
  <c r="DF25" i="4"/>
  <c r="CY17" i="4"/>
  <c r="CZ17" i="4"/>
  <c r="DA17" i="4"/>
  <c r="DB17" i="4"/>
  <c r="DC17" i="4"/>
  <c r="DE17" i="4"/>
  <c r="DF17" i="4"/>
  <c r="CY24" i="4"/>
  <c r="CZ24" i="4"/>
  <c r="DA24" i="4"/>
  <c r="DB24" i="4"/>
  <c r="DC24" i="4"/>
  <c r="DE24" i="4"/>
  <c r="DF24" i="4"/>
  <c r="CY13" i="4"/>
  <c r="CZ13" i="4"/>
  <c r="DA13" i="4"/>
  <c r="DB13" i="4"/>
  <c r="DC13" i="4"/>
  <c r="DE13" i="4"/>
  <c r="DF13" i="4"/>
  <c r="DC4" i="4"/>
  <c r="DB4" i="4"/>
  <c r="CZ4" i="4"/>
  <c r="DA4" i="4"/>
  <c r="CY4" i="4"/>
  <c r="LT4" i="12"/>
  <c r="LU4" i="12"/>
  <c r="LV4" i="12"/>
  <c r="LW4" i="12"/>
  <c r="LT16" i="12"/>
  <c r="LU16" i="12"/>
  <c r="LV16" i="12"/>
  <c r="LW16" i="12"/>
  <c r="LT13" i="12"/>
  <c r="LU13" i="12"/>
  <c r="LV13" i="12"/>
  <c r="LW13" i="12"/>
  <c r="LT14" i="12"/>
  <c r="LU14" i="12"/>
  <c r="LV14" i="12"/>
  <c r="LW14" i="12"/>
  <c r="LT5" i="12"/>
  <c r="LU5" i="12"/>
  <c r="LV5" i="12"/>
  <c r="LW5" i="12"/>
  <c r="LT15" i="12"/>
  <c r="LU15" i="12"/>
  <c r="LV15" i="12"/>
  <c r="LW15" i="12"/>
  <c r="LT9" i="12"/>
  <c r="LU9" i="12"/>
  <c r="LV9" i="12"/>
  <c r="LW9" i="12"/>
  <c r="LT10" i="12"/>
  <c r="LU10" i="12"/>
  <c r="LV10" i="12"/>
  <c r="LW10" i="12"/>
  <c r="LV8" i="12"/>
  <c r="CB4" i="12"/>
  <c r="CB16" i="12"/>
  <c r="CB13" i="12"/>
  <c r="CB14" i="12"/>
  <c r="CB5" i="12"/>
  <c r="CB15" i="12"/>
  <c r="CB9" i="12"/>
  <c r="CB10" i="12"/>
  <c r="CB8" i="12"/>
  <c r="LV10" i="6"/>
  <c r="LV6" i="6"/>
  <c r="LV11" i="6"/>
  <c r="LV16" i="6"/>
  <c r="LV5" i="6"/>
  <c r="LV17" i="6"/>
  <c r="LV18" i="6"/>
  <c r="LV19" i="6"/>
  <c r="LV12" i="6"/>
  <c r="LV23" i="6"/>
  <c r="LV20" i="6"/>
  <c r="LV9" i="6"/>
  <c r="CB10" i="6"/>
  <c r="CB6" i="6"/>
  <c r="CB11" i="6"/>
  <c r="CB16" i="6"/>
  <c r="CB5" i="6"/>
  <c r="CB17" i="6"/>
  <c r="CB18" i="6"/>
  <c r="CB19" i="6"/>
  <c r="CB12" i="6"/>
  <c r="CB23" i="6"/>
  <c r="CB20" i="6"/>
  <c r="CB9" i="6"/>
  <c r="LV6" i="8"/>
  <c r="LV7" i="8"/>
  <c r="LV4" i="8"/>
  <c r="CB4" i="8"/>
  <c r="LV8" i="7"/>
  <c r="LV6" i="7"/>
  <c r="LV7" i="7"/>
  <c r="LV4" i="7"/>
  <c r="CB4" i="7"/>
  <c r="CB8" i="7"/>
  <c r="CB6" i="7"/>
  <c r="CB7" i="7"/>
  <c r="BZ4" i="7"/>
  <c r="AO7" i="14" l="1"/>
  <c r="BO8" i="9"/>
  <c r="BZ14" i="13"/>
  <c r="CC14" i="13" s="1"/>
  <c r="AV6" i="13"/>
  <c r="AV4" i="13"/>
  <c r="AY4" i="13" s="1"/>
  <c r="AV14" i="13"/>
  <c r="AL7" i="8"/>
  <c r="AL4" i="7"/>
  <c r="AL5" i="7"/>
  <c r="AL7" i="7"/>
  <c r="BH4" i="7"/>
  <c r="BH5" i="7"/>
  <c r="BH7" i="7"/>
  <c r="BL5" i="14"/>
  <c r="BO5" i="14" s="1"/>
  <c r="BL4" i="14"/>
  <c r="BO4" i="14" s="1"/>
  <c r="BL7" i="14"/>
  <c r="BO7" i="14" s="1"/>
  <c r="AO9" i="9"/>
  <c r="AR9" i="9" s="1"/>
  <c r="BL9" i="9"/>
  <c r="BO9" i="9" s="1"/>
  <c r="BL10" i="9"/>
  <c r="BO10" i="9" s="1"/>
  <c r="BZ7" i="13"/>
  <c r="CC7" i="13" s="1"/>
  <c r="BZ10" i="13"/>
  <c r="CC10" i="13" s="1"/>
  <c r="BH16" i="12"/>
  <c r="BH6" i="12"/>
  <c r="AL6" i="8"/>
  <c r="AL8" i="7"/>
  <c r="BH8" i="7"/>
  <c r="AL6" i="7"/>
  <c r="AO9" i="14"/>
  <c r="AR9" i="14" s="1"/>
  <c r="BL9" i="14"/>
  <c r="BO9" i="14" s="1"/>
  <c r="AO6" i="14"/>
  <c r="AR6" i="14" s="1"/>
  <c r="AO8" i="14"/>
  <c r="AR8" i="14" s="1"/>
  <c r="BL8" i="14"/>
  <c r="BO8" i="14" s="1"/>
  <c r="BL6" i="14"/>
  <c r="BO6" i="14" s="1"/>
  <c r="AO4" i="14"/>
  <c r="AR4" i="14" s="1"/>
  <c r="AO5" i="14"/>
  <c r="AR5" i="14" s="1"/>
  <c r="AR7" i="14"/>
  <c r="AO5" i="9"/>
  <c r="AR5" i="9" s="1"/>
  <c r="BL4" i="9"/>
  <c r="BO4" i="9" s="1"/>
  <c r="BO6" i="9"/>
  <c r="AO7" i="9"/>
  <c r="AR7" i="9" s="1"/>
  <c r="BO5" i="9"/>
  <c r="AO4" i="9"/>
  <c r="AR4" i="9" s="1"/>
  <c r="BZ6" i="13"/>
  <c r="CC6" i="13" s="1"/>
  <c r="AV8" i="13"/>
  <c r="AY8" i="13" s="1"/>
  <c r="AV16" i="13"/>
  <c r="AY16" i="13" s="1"/>
  <c r="AY6" i="13"/>
  <c r="AV9" i="13"/>
  <c r="AY9" i="13" s="1"/>
  <c r="AV7" i="13"/>
  <c r="AY7" i="13" s="1"/>
  <c r="AV15" i="13"/>
  <c r="AY15" i="13" s="1"/>
  <c r="AV12" i="13"/>
  <c r="AY12" i="13" s="1"/>
  <c r="AV17" i="13"/>
  <c r="AY17" i="13" s="1"/>
  <c r="BZ11" i="13"/>
  <c r="CC11" i="13" s="1"/>
  <c r="AY14" i="13"/>
  <c r="AV10" i="13"/>
  <c r="AY10" i="13" s="1"/>
  <c r="BZ13" i="13"/>
  <c r="CC13" i="13" s="1"/>
  <c r="AV13" i="13"/>
  <c r="AY13" i="13" s="1"/>
  <c r="AV11" i="13"/>
  <c r="AY11" i="13" s="1"/>
  <c r="BZ5" i="13"/>
  <c r="CC5" i="13" s="1"/>
  <c r="BZ9" i="13"/>
  <c r="CC9" i="13" s="1"/>
  <c r="BZ4" i="13"/>
  <c r="CC4" i="13" s="1"/>
  <c r="AV5" i="13"/>
  <c r="AY5" i="13" s="1"/>
  <c r="BZ12" i="13"/>
  <c r="CC12" i="13" s="1"/>
  <c r="BZ17" i="13"/>
  <c r="CC17" i="13" s="1"/>
  <c r="AL4" i="8"/>
  <c r="BH6" i="8"/>
  <c r="BH4" i="8"/>
  <c r="AV15" i="4"/>
  <c r="AY15" i="4" s="1"/>
  <c r="AY19" i="4"/>
  <c r="CC25" i="4"/>
  <c r="BZ26" i="4"/>
  <c r="CC26" i="4" s="1"/>
  <c r="AV7" i="4"/>
  <c r="AY7" i="4" s="1"/>
  <c r="BZ24" i="4"/>
  <c r="CC24" i="4" s="1"/>
  <c r="AV10" i="4"/>
  <c r="AY10" i="4" s="1"/>
  <c r="AV12" i="4"/>
  <c r="AY12" i="4" s="1"/>
  <c r="AV14" i="4"/>
  <c r="AY14" i="4" s="1"/>
  <c r="BZ21" i="4"/>
  <c r="CC21" i="4" s="1"/>
  <c r="AV16" i="4"/>
  <c r="AY16" i="4" s="1"/>
  <c r="BZ19" i="4"/>
  <c r="CC19" i="4" s="1"/>
  <c r="AV8" i="4"/>
  <c r="AY8" i="4" s="1"/>
  <c r="AV24" i="4"/>
  <c r="AY24" i="4" s="1"/>
  <c r="BZ5" i="4"/>
  <c r="CC5" i="4" s="1"/>
  <c r="BZ9" i="4"/>
  <c r="CC9" i="4" s="1"/>
  <c r="BZ23" i="4"/>
  <c r="CC23" i="4" s="1"/>
  <c r="BZ7" i="4"/>
  <c r="CC7" i="4" s="1"/>
  <c r="BZ18" i="4"/>
  <c r="CC18" i="4" s="1"/>
  <c r="AV5" i="4"/>
  <c r="AY5" i="4" s="1"/>
  <c r="AV25" i="4"/>
  <c r="AY25" i="4" s="1"/>
  <c r="BZ6" i="4"/>
  <c r="CC6" i="4" s="1"/>
  <c r="BZ10" i="4"/>
  <c r="CC10" i="4" s="1"/>
  <c r="BZ14" i="4"/>
  <c r="CC14" i="4" s="1"/>
  <c r="AV11" i="4"/>
  <c r="AY11" i="4" s="1"/>
  <c r="AV26" i="4"/>
  <c r="AY26" i="4" s="1"/>
  <c r="BZ13" i="4"/>
  <c r="CC13" i="4" s="1"/>
  <c r="AV9" i="4"/>
  <c r="AY9" i="4" s="1"/>
  <c r="BZ11" i="4"/>
  <c r="CC11" i="4" s="1"/>
  <c r="BZ15" i="4"/>
  <c r="CC15" i="4" s="1"/>
  <c r="AV4" i="4"/>
  <c r="AY4" i="4" s="1"/>
  <c r="AY18" i="4"/>
  <c r="BZ12" i="4"/>
  <c r="CC12" i="4" s="1"/>
  <c r="AV17" i="4"/>
  <c r="AY17" i="4" s="1"/>
  <c r="AV13" i="4"/>
  <c r="AY13" i="4" s="1"/>
  <c r="BZ16" i="4"/>
  <c r="CC16" i="4" s="1"/>
  <c r="BZ17" i="4"/>
  <c r="CC17" i="4" s="1"/>
  <c r="AV23" i="4"/>
  <c r="AY23" i="4" s="1"/>
  <c r="BZ8" i="4"/>
  <c r="CC8" i="4" s="1"/>
  <c r="AL4" i="12"/>
  <c r="AL6" i="12"/>
  <c r="AL14" i="12"/>
  <c r="BH4" i="12"/>
  <c r="AL5" i="12"/>
  <c r="AL16" i="12"/>
  <c r="BH9" i="12"/>
  <c r="AL9" i="12"/>
  <c r="BH14" i="12"/>
  <c r="AL19" i="6"/>
  <c r="AL10" i="6"/>
  <c r="AL17" i="6"/>
  <c r="AL7" i="6"/>
  <c r="BH9" i="6"/>
  <c r="BH10" i="6"/>
  <c r="AL5" i="6"/>
  <c r="AL12" i="6"/>
  <c r="BH11" i="6"/>
  <c r="BH17" i="6"/>
  <c r="BH7" i="6"/>
  <c r="BH19" i="6"/>
  <c r="BH23" i="6"/>
  <c r="AL9" i="6"/>
  <c r="BH12" i="6"/>
  <c r="AL11" i="6"/>
  <c r="AL23" i="6"/>
  <c r="AL6" i="6"/>
  <c r="AL16" i="6"/>
  <c r="AL18" i="6"/>
  <c r="CD6" i="12"/>
  <c r="LX5" i="7"/>
  <c r="CD5" i="7"/>
  <c r="DD14" i="4"/>
  <c r="DG14" i="4" s="1"/>
  <c r="DD16" i="13"/>
  <c r="DG16" i="13" s="1"/>
  <c r="DD11" i="13"/>
  <c r="DG11" i="13" s="1"/>
  <c r="O6" i="12"/>
  <c r="LX6" i="12"/>
  <c r="P7" i="12"/>
  <c r="CD7" i="6"/>
  <c r="LX7" i="6"/>
  <c r="MR22" i="6"/>
  <c r="NL16" i="13"/>
  <c r="NO16" i="13" s="1"/>
  <c r="NL14" i="4"/>
  <c r="NO14" i="4" s="1"/>
  <c r="MP22" i="6"/>
  <c r="MR7" i="6"/>
  <c r="MP7" i="6"/>
  <c r="LX22" i="6"/>
  <c r="CD22" i="6"/>
  <c r="MQ22" i="6"/>
  <c r="F22" i="6"/>
  <c r="MS22" i="6"/>
  <c r="G22" i="6"/>
  <c r="MS7" i="6"/>
  <c r="MQ7" i="6"/>
  <c r="G7" i="6"/>
  <c r="F7" i="6"/>
  <c r="OR24" i="4"/>
  <c r="OO14" i="4"/>
  <c r="LX7" i="12"/>
  <c r="CD7" i="12"/>
  <c r="MQ7" i="12"/>
  <c r="MR7" i="12"/>
  <c r="MP7" i="12"/>
  <c r="F7" i="12"/>
  <c r="MS7" i="12"/>
  <c r="G7" i="12"/>
  <c r="MR6" i="12"/>
  <c r="MP6" i="12"/>
  <c r="MS6" i="12"/>
  <c r="F6" i="12"/>
  <c r="MQ6" i="12"/>
  <c r="G6" i="12"/>
  <c r="MR5" i="7"/>
  <c r="MP5" i="7"/>
  <c r="MQ5" i="7"/>
  <c r="MS5" i="7"/>
  <c r="L5" i="7"/>
  <c r="CF5" i="7" s="1"/>
  <c r="F5" i="7"/>
  <c r="J5" i="7"/>
  <c r="G5" i="7"/>
  <c r="NL11" i="13"/>
  <c r="NO11" i="13" s="1"/>
  <c r="OM11" i="13"/>
  <c r="Q11" i="13"/>
  <c r="DK11" i="13" s="1"/>
  <c r="OO11" i="13"/>
  <c r="OK11" i="13"/>
  <c r="G11" i="13"/>
  <c r="OK16" i="13"/>
  <c r="OM16" i="13"/>
  <c r="Q16" i="13"/>
  <c r="DK16" i="13" s="1"/>
  <c r="OO16" i="13"/>
  <c r="G16" i="13"/>
  <c r="F16" i="13" s="1"/>
  <c r="OR17" i="13"/>
  <c r="Q14" i="4"/>
  <c r="R14" i="4" s="1"/>
  <c r="OM14" i="4"/>
  <c r="OK14" i="4"/>
  <c r="G14" i="4"/>
  <c r="NL18" i="4"/>
  <c r="NO18" i="4" s="1"/>
  <c r="OM18" i="4"/>
  <c r="DD18" i="4"/>
  <c r="DG18" i="4" s="1"/>
  <c r="OO18" i="4"/>
  <c r="OK18" i="4"/>
  <c r="Q18" i="4"/>
  <c r="DK18" i="4" s="1"/>
  <c r="OR23" i="4"/>
  <c r="G18" i="4"/>
  <c r="F18" i="4" s="1"/>
  <c r="CI8" i="14"/>
  <c r="CL8" i="14" s="1"/>
  <c r="CI9" i="14"/>
  <c r="CL9" i="14" s="1"/>
  <c r="CI7" i="14"/>
  <c r="CL7" i="14" s="1"/>
  <c r="NL13" i="13"/>
  <c r="NO13" i="13" s="1"/>
  <c r="MQ7" i="14"/>
  <c r="MT7" i="14" s="1"/>
  <c r="NL7" i="13"/>
  <c r="NO7" i="13" s="1"/>
  <c r="OM13" i="13"/>
  <c r="OO10" i="13"/>
  <c r="OR11" i="13"/>
  <c r="DD13" i="13"/>
  <c r="DG13" i="13" s="1"/>
  <c r="DD6" i="13"/>
  <c r="DG6" i="13" s="1"/>
  <c r="NL5" i="13"/>
  <c r="NO5" i="13" s="1"/>
  <c r="DD8" i="13"/>
  <c r="DG8" i="13" s="1"/>
  <c r="NL14" i="13"/>
  <c r="NO14" i="13" s="1"/>
  <c r="DD5" i="13"/>
  <c r="DG5" i="13" s="1"/>
  <c r="DD12" i="13"/>
  <c r="DG12" i="13" s="1"/>
  <c r="OO5" i="13"/>
  <c r="NL9" i="13"/>
  <c r="NO9" i="13" s="1"/>
  <c r="OO8" i="13"/>
  <c r="OO15" i="13"/>
  <c r="DD10" i="13"/>
  <c r="DG10" i="13" s="1"/>
  <c r="NL6" i="13"/>
  <c r="NO6" i="13" s="1"/>
  <c r="NL15" i="13"/>
  <c r="NO15" i="13" s="1"/>
  <c r="DD17" i="13"/>
  <c r="DG17" i="13" s="1"/>
  <c r="NL17" i="13"/>
  <c r="NO17" i="13" s="1"/>
  <c r="MQ8" i="14"/>
  <c r="MT8" i="14" s="1"/>
  <c r="NP8" i="14"/>
  <c r="NP5" i="14"/>
  <c r="Q6" i="14"/>
  <c r="R6" i="14" s="1"/>
  <c r="MQ9" i="14"/>
  <c r="MT9" i="14" s="1"/>
  <c r="Q8" i="14"/>
  <c r="CP8" i="14" s="1"/>
  <c r="NL8" i="14"/>
  <c r="NM8" i="14"/>
  <c r="G8" i="14"/>
  <c r="F8" i="14" s="1"/>
  <c r="CI5" i="14"/>
  <c r="CL5" i="14" s="1"/>
  <c r="NL5" i="14"/>
  <c r="CI4" i="14"/>
  <c r="CL4" i="14" s="1"/>
  <c r="NL7" i="14"/>
  <c r="NM9" i="14"/>
  <c r="NL6" i="14"/>
  <c r="MQ4" i="14"/>
  <c r="MT4" i="14" s="1"/>
  <c r="G6" i="14"/>
  <c r="F6" i="14" s="1"/>
  <c r="MQ5" i="14"/>
  <c r="MT5" i="14" s="1"/>
  <c r="Q4" i="14"/>
  <c r="CP4" i="14" s="1"/>
  <c r="Q7" i="14"/>
  <c r="CP7" i="14" s="1"/>
  <c r="NP7" i="14"/>
  <c r="NM7" i="14"/>
  <c r="G7" i="14"/>
  <c r="F7" i="14" s="1"/>
  <c r="H7" i="14"/>
  <c r="NP9" i="14"/>
  <c r="MQ6" i="14"/>
  <c r="MT6" i="14" s="1"/>
  <c r="NL4" i="14"/>
  <c r="G9" i="14"/>
  <c r="F9" i="14" s="1"/>
  <c r="NM5" i="14"/>
  <c r="NP4" i="14"/>
  <c r="CI6" i="14"/>
  <c r="CL6" i="14" s="1"/>
  <c r="G5" i="14"/>
  <c r="F5" i="14" s="1"/>
  <c r="NM6" i="14"/>
  <c r="G4" i="14"/>
  <c r="F4" i="14" s="1"/>
  <c r="Q5" i="14"/>
  <c r="CP5" i="14" s="1"/>
  <c r="Q9" i="14"/>
  <c r="R9" i="14" s="1"/>
  <c r="NM4" i="14"/>
  <c r="NL9" i="14"/>
  <c r="NP6" i="14"/>
  <c r="OR16" i="13"/>
  <c r="OR4" i="13"/>
  <c r="Q6" i="13"/>
  <c r="DK6" i="13" s="1"/>
  <c r="OR7" i="13"/>
  <c r="OR10" i="13"/>
  <c r="Q14" i="13"/>
  <c r="DK14" i="13" s="1"/>
  <c r="OR13" i="13"/>
  <c r="OK5" i="13"/>
  <c r="OK9" i="13"/>
  <c r="OM9" i="13"/>
  <c r="OM10" i="13"/>
  <c r="Q15" i="13"/>
  <c r="R15" i="13" s="1"/>
  <c r="Q5" i="13"/>
  <c r="R5" i="13" s="1"/>
  <c r="Q4" i="13"/>
  <c r="DK4" i="13" s="1"/>
  <c r="Q13" i="13"/>
  <c r="R13" i="13" s="1"/>
  <c r="OM8" i="13"/>
  <c r="OR12" i="13"/>
  <c r="Q10" i="13"/>
  <c r="DK10" i="13" s="1"/>
  <c r="NL4" i="13"/>
  <c r="NO4" i="13" s="1"/>
  <c r="OK4" i="13"/>
  <c r="G6" i="13"/>
  <c r="F6" i="13" s="1"/>
  <c r="G7" i="13"/>
  <c r="F7" i="13" s="1"/>
  <c r="OK7" i="13"/>
  <c r="OO7" i="13"/>
  <c r="G8" i="13"/>
  <c r="F8" i="13" s="1"/>
  <c r="OK15" i="13"/>
  <c r="G13" i="13"/>
  <c r="F13" i="13" s="1"/>
  <c r="OR9" i="13"/>
  <c r="G9" i="13"/>
  <c r="F9" i="13" s="1"/>
  <c r="OO9" i="13"/>
  <c r="DD14" i="13"/>
  <c r="DG14" i="13" s="1"/>
  <c r="OM14" i="13"/>
  <c r="DD4" i="13"/>
  <c r="DG4" i="13" s="1"/>
  <c r="OM4" i="13"/>
  <c r="OO4" i="13"/>
  <c r="OR6" i="13"/>
  <c r="OK13" i="13"/>
  <c r="Q9" i="13"/>
  <c r="DK9" i="13" s="1"/>
  <c r="OR15" i="13"/>
  <c r="H4" i="13"/>
  <c r="OM5" i="13"/>
  <c r="OK6" i="13"/>
  <c r="Q7" i="13"/>
  <c r="R7" i="13" s="1"/>
  <c r="OR8" i="13"/>
  <c r="OO13" i="13"/>
  <c r="DD9" i="13"/>
  <c r="DG9" i="13" s="1"/>
  <c r="G12" i="13"/>
  <c r="F12" i="13" s="1"/>
  <c r="G10" i="13"/>
  <c r="F10" i="13" s="1"/>
  <c r="G17" i="13"/>
  <c r="F17" i="13" s="1"/>
  <c r="OK17" i="13"/>
  <c r="G4" i="13"/>
  <c r="F4" i="13" s="1"/>
  <c r="NL8" i="13"/>
  <c r="NO8" i="13" s="1"/>
  <c r="OK8" i="13"/>
  <c r="G14" i="13"/>
  <c r="F14" i="13" s="1"/>
  <c r="OK14" i="13"/>
  <c r="OO14" i="13"/>
  <c r="Q12" i="13"/>
  <c r="R12" i="13" s="1"/>
  <c r="OR14" i="13"/>
  <c r="OM17" i="13"/>
  <c r="G5" i="13"/>
  <c r="F5" i="13" s="1"/>
  <c r="OR5" i="13"/>
  <c r="OM6" i="13"/>
  <c r="OO6" i="13"/>
  <c r="DD7" i="13"/>
  <c r="DG7" i="13" s="1"/>
  <c r="OM7" i="13"/>
  <c r="Q8" i="13"/>
  <c r="R8" i="13" s="1"/>
  <c r="OM12" i="13"/>
  <c r="NL10" i="13"/>
  <c r="NO10" i="13" s="1"/>
  <c r="OK10" i="13"/>
  <c r="OO17" i="13"/>
  <c r="H5" i="13"/>
  <c r="ON7" i="13"/>
  <c r="ON14" i="13"/>
  <c r="DD15" i="13"/>
  <c r="DG15" i="13" s="1"/>
  <c r="NL12" i="13"/>
  <c r="NO12" i="13" s="1"/>
  <c r="OK12" i="13"/>
  <c r="G15" i="13"/>
  <c r="F15" i="13" s="1"/>
  <c r="OO12" i="13"/>
  <c r="Q17" i="13"/>
  <c r="OM15" i="13"/>
  <c r="OO13" i="4"/>
  <c r="OO24" i="4"/>
  <c r="OO17" i="4"/>
  <c r="OO25" i="4"/>
  <c r="OO21" i="4"/>
  <c r="OO19" i="4"/>
  <c r="OO12" i="4"/>
  <c r="OO7" i="4"/>
  <c r="OO10" i="4"/>
  <c r="OO5" i="4"/>
  <c r="OO8" i="4"/>
  <c r="OO6" i="4"/>
  <c r="DD16" i="4"/>
  <c r="DG16" i="4" s="1"/>
  <c r="OR22" i="4"/>
  <c r="OR21" i="4"/>
  <c r="OR20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DD19" i="4"/>
  <c r="DG19" i="4" s="1"/>
  <c r="OR4" i="4"/>
  <c r="OM24" i="4"/>
  <c r="OM17" i="4"/>
  <c r="OM25" i="4"/>
  <c r="OM21" i="4"/>
  <c r="OM19" i="4"/>
  <c r="OM12" i="4"/>
  <c r="OM7" i="4"/>
  <c r="OO26" i="4"/>
  <c r="OM26" i="4"/>
  <c r="OO16" i="4"/>
  <c r="OO15" i="4"/>
  <c r="OM11" i="4"/>
  <c r="OM9" i="4"/>
  <c r="OM23" i="4"/>
  <c r="OM10" i="4"/>
  <c r="OM5" i="4"/>
  <c r="OM8" i="4"/>
  <c r="OM6" i="4"/>
  <c r="DD26" i="4"/>
  <c r="DG26" i="4" s="1"/>
  <c r="OM4" i="4"/>
  <c r="DD4" i="4"/>
  <c r="DD24" i="4"/>
  <c r="DG24" i="4" s="1"/>
  <c r="OO11" i="4"/>
  <c r="OO9" i="4"/>
  <c r="OO23" i="4"/>
  <c r="OM15" i="4"/>
  <c r="OM16" i="4"/>
  <c r="OM13" i="4"/>
  <c r="OO4" i="4"/>
  <c r="DD6" i="4"/>
  <c r="DG6" i="4" s="1"/>
  <c r="DD7" i="4"/>
  <c r="DG7" i="4" s="1"/>
  <c r="DD12" i="4"/>
  <c r="DG12" i="4" s="1"/>
  <c r="DD5" i="4"/>
  <c r="DG5" i="4" s="1"/>
  <c r="DD13" i="4"/>
  <c r="DG13" i="4" s="1"/>
  <c r="DD21" i="4"/>
  <c r="DD10" i="4"/>
  <c r="DG10" i="4" s="1"/>
  <c r="DD25" i="4"/>
  <c r="DG25" i="4" s="1"/>
  <c r="DD23" i="4"/>
  <c r="DG23" i="4" s="1"/>
  <c r="DD17" i="4"/>
  <c r="DG17" i="4" s="1"/>
  <c r="DD9" i="4"/>
  <c r="DG9" i="4" s="1"/>
  <c r="DD11" i="4"/>
  <c r="DG11" i="4" s="1"/>
  <c r="DD8" i="4"/>
  <c r="DG8" i="4" s="1"/>
  <c r="DD15" i="4"/>
  <c r="DG15" i="4" s="1"/>
  <c r="LX13" i="12"/>
  <c r="LX4" i="12"/>
  <c r="LX10" i="12"/>
  <c r="LX15" i="12"/>
  <c r="LX14" i="12"/>
  <c r="LX9" i="12"/>
  <c r="LX5" i="12"/>
  <c r="LX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Y4" i="12"/>
  <c r="LY16" i="12"/>
  <c r="LY13" i="12"/>
  <c r="LY14" i="12"/>
  <c r="LY5" i="12"/>
  <c r="LY15" i="12"/>
  <c r="LY9" i="12"/>
  <c r="LY10" i="12"/>
  <c r="LY8" i="12"/>
  <c r="LY9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V6" i="9"/>
  <c r="MW6" i="9"/>
  <c r="MX6" i="9"/>
  <c r="MY6" i="9"/>
  <c r="MZ6" i="9"/>
  <c r="NA6" i="9"/>
  <c r="NB6" i="9"/>
  <c r="NC6" i="9"/>
  <c r="ND6" i="9"/>
  <c r="NE6" i="9"/>
  <c r="NF6" i="9"/>
  <c r="NG6" i="9"/>
  <c r="NH6" i="9"/>
  <c r="NI6" i="9"/>
  <c r="MV10" i="9"/>
  <c r="MW10" i="9"/>
  <c r="MX10" i="9"/>
  <c r="MY10" i="9"/>
  <c r="MZ10" i="9"/>
  <c r="NA10" i="9"/>
  <c r="NB10" i="9"/>
  <c r="NC10" i="9"/>
  <c r="ND10" i="9"/>
  <c r="NE10" i="9"/>
  <c r="NF10" i="9"/>
  <c r="NG10" i="9"/>
  <c r="NH10" i="9"/>
  <c r="NI10" i="9"/>
  <c r="MV7" i="9"/>
  <c r="MW7" i="9"/>
  <c r="MX7" i="9"/>
  <c r="MY7" i="9"/>
  <c r="MZ7" i="9"/>
  <c r="NA7" i="9"/>
  <c r="NB7" i="9"/>
  <c r="NC7" i="9"/>
  <c r="ND7" i="9"/>
  <c r="NE7" i="9"/>
  <c r="NF7" i="9"/>
  <c r="NG7" i="9"/>
  <c r="NH7" i="9"/>
  <c r="NI7" i="9"/>
  <c r="MV5" i="9"/>
  <c r="MW5" i="9"/>
  <c r="MX5" i="9"/>
  <c r="MY5" i="9"/>
  <c r="MZ5" i="9"/>
  <c r="NA5" i="9"/>
  <c r="NB5" i="9"/>
  <c r="NC5" i="9"/>
  <c r="ND5" i="9"/>
  <c r="NE5" i="9"/>
  <c r="NF5" i="9"/>
  <c r="NG5" i="9"/>
  <c r="NH5" i="9"/>
  <c r="NI5" i="9"/>
  <c r="MV8" i="9"/>
  <c r="MW8" i="9"/>
  <c r="MX8" i="9"/>
  <c r="MY8" i="9"/>
  <c r="MZ8" i="9"/>
  <c r="NA8" i="9"/>
  <c r="NB8" i="9"/>
  <c r="NC8" i="9"/>
  <c r="ND8" i="9"/>
  <c r="NE8" i="9"/>
  <c r="NF8" i="9"/>
  <c r="NG8" i="9"/>
  <c r="NH8" i="9"/>
  <c r="NI8" i="9"/>
  <c r="MV9" i="9"/>
  <c r="MW9" i="9"/>
  <c r="MX9" i="9"/>
  <c r="MY9" i="9"/>
  <c r="MZ9" i="9"/>
  <c r="NA9" i="9"/>
  <c r="NB9" i="9"/>
  <c r="NC9" i="9"/>
  <c r="ND9" i="9"/>
  <c r="NE9" i="9"/>
  <c r="NF9" i="9"/>
  <c r="NG9" i="9"/>
  <c r="NH9" i="9"/>
  <c r="NI9" i="9"/>
  <c r="MU6" i="9"/>
  <c r="MU10" i="9"/>
  <c r="MU7" i="9"/>
  <c r="MU5" i="9"/>
  <c r="MU8" i="9"/>
  <c r="MU9" i="9"/>
  <c r="MU4" i="9"/>
  <c r="NP4" i="4"/>
  <c r="CC10" i="12"/>
  <c r="CA10" i="12"/>
  <c r="BZ10" i="12"/>
  <c r="CC9" i="12"/>
  <c r="CA9" i="12"/>
  <c r="BZ9" i="12"/>
  <c r="CC15" i="12"/>
  <c r="CA15" i="12"/>
  <c r="BZ15" i="12"/>
  <c r="CC5" i="12"/>
  <c r="CA5" i="12"/>
  <c r="BZ5" i="12"/>
  <c r="CC14" i="12"/>
  <c r="CA14" i="12"/>
  <c r="BZ14" i="12"/>
  <c r="CC13" i="12"/>
  <c r="CA13" i="12"/>
  <c r="BZ13" i="12"/>
  <c r="CC16" i="12"/>
  <c r="CA16" i="12"/>
  <c r="BZ16" i="12"/>
  <c r="CC4" i="12"/>
  <c r="CA4" i="12"/>
  <c r="BZ4" i="12"/>
  <c r="CC8" i="12"/>
  <c r="CA8" i="12"/>
  <c r="BZ8" i="12"/>
  <c r="CC20" i="6"/>
  <c r="CA20" i="6"/>
  <c r="BZ20" i="6"/>
  <c r="CC23" i="6"/>
  <c r="CA23" i="6"/>
  <c r="BZ23" i="6"/>
  <c r="CC12" i="6"/>
  <c r="CA12" i="6"/>
  <c r="BZ12" i="6"/>
  <c r="CC19" i="6"/>
  <c r="CA19" i="6"/>
  <c r="BZ19" i="6"/>
  <c r="CC18" i="6"/>
  <c r="CA18" i="6"/>
  <c r="BZ18" i="6"/>
  <c r="CC17" i="6"/>
  <c r="CA17" i="6"/>
  <c r="BZ17" i="6"/>
  <c r="CC5" i="6"/>
  <c r="CA5" i="6"/>
  <c r="BZ5" i="6"/>
  <c r="CC16" i="6"/>
  <c r="CA16" i="6"/>
  <c r="BZ16" i="6"/>
  <c r="CC11" i="6"/>
  <c r="CA11" i="6"/>
  <c r="BZ11" i="6"/>
  <c r="CC6" i="6"/>
  <c r="CA6" i="6"/>
  <c r="BZ6" i="6"/>
  <c r="CC10" i="6"/>
  <c r="CA10" i="6"/>
  <c r="BZ10" i="6"/>
  <c r="CC9" i="6"/>
  <c r="CA9" i="6"/>
  <c r="BZ9" i="6"/>
  <c r="CC7" i="8"/>
  <c r="CA7" i="8"/>
  <c r="BZ7" i="8"/>
  <c r="CC6" i="8"/>
  <c r="CA6" i="8"/>
  <c r="BZ6" i="8"/>
  <c r="CC4" i="8"/>
  <c r="CA4" i="8"/>
  <c r="BZ4" i="8"/>
  <c r="CC7" i="7"/>
  <c r="CA7" i="7"/>
  <c r="BZ7" i="7"/>
  <c r="CC6" i="7"/>
  <c r="CA6" i="7"/>
  <c r="BZ6" i="7"/>
  <c r="CC8" i="7"/>
  <c r="CA8" i="7"/>
  <c r="BZ8" i="7"/>
  <c r="CC4" i="7"/>
  <c r="CA4" i="7"/>
  <c r="CK9" i="9"/>
  <c r="CJ9" i="9"/>
  <c r="CH9" i="9"/>
  <c r="CG9" i="9"/>
  <c r="CF9" i="9"/>
  <c r="CK8" i="9"/>
  <c r="CJ8" i="9"/>
  <c r="CH8" i="9"/>
  <c r="CG8" i="9"/>
  <c r="CF8" i="9"/>
  <c r="CK5" i="9"/>
  <c r="CJ5" i="9"/>
  <c r="CH5" i="9"/>
  <c r="CG5" i="9"/>
  <c r="CF5" i="9"/>
  <c r="CK7" i="9"/>
  <c r="CJ7" i="9"/>
  <c r="CH7" i="9"/>
  <c r="CG7" i="9"/>
  <c r="CF7" i="9"/>
  <c r="CK10" i="9"/>
  <c r="CJ10" i="9"/>
  <c r="CH10" i="9"/>
  <c r="CG10" i="9"/>
  <c r="CF10" i="9"/>
  <c r="CK6" i="9"/>
  <c r="CJ6" i="9"/>
  <c r="CH6" i="9"/>
  <c r="CG6" i="9"/>
  <c r="CF6" i="9"/>
  <c r="CK4" i="9"/>
  <c r="CJ4" i="9"/>
  <c r="CH4" i="9"/>
  <c r="CG4" i="9"/>
  <c r="CF4" i="9"/>
  <c r="NQ4" i="4"/>
  <c r="NR4" i="4"/>
  <c r="NS4" i="4"/>
  <c r="NT4" i="4"/>
  <c r="NQ6" i="4"/>
  <c r="NR6" i="4"/>
  <c r="NS6" i="4"/>
  <c r="NQ8" i="4"/>
  <c r="NR8" i="4"/>
  <c r="NS8" i="4"/>
  <c r="NQ5" i="4"/>
  <c r="NR5" i="4"/>
  <c r="NS5" i="4"/>
  <c r="NQ10" i="4"/>
  <c r="NR10" i="4"/>
  <c r="NS10" i="4"/>
  <c r="NQ23" i="4"/>
  <c r="NR23" i="4"/>
  <c r="NS23" i="4"/>
  <c r="NQ9" i="4"/>
  <c r="NR9" i="4"/>
  <c r="NS9" i="4"/>
  <c r="NQ11" i="4"/>
  <c r="NR11" i="4"/>
  <c r="NS11" i="4"/>
  <c r="NQ15" i="4"/>
  <c r="NR15" i="4"/>
  <c r="NS15" i="4"/>
  <c r="NQ16" i="4"/>
  <c r="NR16" i="4"/>
  <c r="NS16" i="4"/>
  <c r="NQ26" i="4"/>
  <c r="NR26" i="4"/>
  <c r="NS26" i="4"/>
  <c r="NQ7" i="4"/>
  <c r="NR7" i="4"/>
  <c r="NS7" i="4"/>
  <c r="NQ12" i="4"/>
  <c r="NR12" i="4"/>
  <c r="NS12" i="4"/>
  <c r="NQ19" i="4"/>
  <c r="NR19" i="4"/>
  <c r="NS19" i="4"/>
  <c r="NQ21" i="4"/>
  <c r="NR21" i="4"/>
  <c r="NS21" i="4"/>
  <c r="NQ25" i="4"/>
  <c r="NR25" i="4"/>
  <c r="NS25" i="4"/>
  <c r="NQ17" i="4"/>
  <c r="NR17" i="4"/>
  <c r="NS17" i="4"/>
  <c r="NQ24" i="4"/>
  <c r="NR24" i="4"/>
  <c r="NS24" i="4"/>
  <c r="NQ13" i="4"/>
  <c r="NR13" i="4"/>
  <c r="NS13" i="4"/>
  <c r="NP6" i="4"/>
  <c r="NP8" i="4"/>
  <c r="NP5" i="4"/>
  <c r="NP10" i="4"/>
  <c r="NP23" i="4"/>
  <c r="NP9" i="4"/>
  <c r="NP11" i="4"/>
  <c r="NP15" i="4"/>
  <c r="NP16" i="4"/>
  <c r="NP26" i="4"/>
  <c r="NP7" i="4"/>
  <c r="NP12" i="4"/>
  <c r="NP19" i="4"/>
  <c r="NP21" i="4"/>
  <c r="NP25" i="4"/>
  <c r="NP17" i="4"/>
  <c r="NP24" i="4"/>
  <c r="NP13" i="4"/>
  <c r="CP6" i="14" l="1"/>
  <c r="H11" i="13"/>
  <c r="A11" i="13" s="1" a="1"/>
  <c r="A11" i="13" s="1"/>
  <c r="R4" i="13"/>
  <c r="DK5" i="13"/>
  <c r="J14" i="4"/>
  <c r="R14" i="13"/>
  <c r="R6" i="13"/>
  <c r="DK8" i="13"/>
  <c r="J6" i="12"/>
  <c r="L6" i="12" s="1"/>
  <c r="M6" i="12" s="1"/>
  <c r="OP15" i="13"/>
  <c r="K7" i="14"/>
  <c r="M7" i="14" s="1"/>
  <c r="CI10" i="9"/>
  <c r="CL10" i="9" s="1"/>
  <c r="K14" i="4"/>
  <c r="DJ14" i="4" s="1"/>
  <c r="K18" i="4"/>
  <c r="M18" i="4" s="1"/>
  <c r="K16" i="13"/>
  <c r="M16" i="13" s="1"/>
  <c r="K11" i="13"/>
  <c r="DJ11" i="13" s="1"/>
  <c r="H9" i="13"/>
  <c r="I9" i="13" s="1"/>
  <c r="R10" i="13"/>
  <c r="OP10" i="13"/>
  <c r="MT7" i="12"/>
  <c r="J7" i="12"/>
  <c r="L7" i="12" s="1"/>
  <c r="M7" i="12" s="1"/>
  <c r="J22" i="6"/>
  <c r="K22" i="6" s="1"/>
  <c r="J7" i="6"/>
  <c r="K7" i="6" s="1"/>
  <c r="MT22" i="6"/>
  <c r="H16" i="13"/>
  <c r="A16" i="13" s="1" a="1"/>
  <c r="A16" i="13" s="1"/>
  <c r="K8" i="13"/>
  <c r="OP14" i="4"/>
  <c r="H14" i="4"/>
  <c r="I14" i="4" s="1"/>
  <c r="H18" i="4"/>
  <c r="I18" i="4" s="1"/>
  <c r="DK14" i="4"/>
  <c r="MT7" i="6"/>
  <c r="H22" i="6"/>
  <c r="I22" i="6" s="1"/>
  <c r="A22" i="6"/>
  <c r="H7" i="6"/>
  <c r="I7" i="6" s="1"/>
  <c r="MT6" i="12"/>
  <c r="OP16" i="13"/>
  <c r="R11" i="13"/>
  <c r="R18" i="4"/>
  <c r="H7" i="12"/>
  <c r="I7" i="12" s="1"/>
  <c r="H6" i="12"/>
  <c r="I6" i="12" s="1"/>
  <c r="MT5" i="7"/>
  <c r="H5" i="7"/>
  <c r="I5" i="7" s="1"/>
  <c r="CE5" i="7"/>
  <c r="N5" i="7" s="1"/>
  <c r="K5" i="7"/>
  <c r="M5" i="7"/>
  <c r="OP11" i="13"/>
  <c r="J11" i="13"/>
  <c r="F11" i="13"/>
  <c r="I11" i="13"/>
  <c r="R16" i="13"/>
  <c r="K6" i="13"/>
  <c r="O6" i="13" s="1"/>
  <c r="P6" i="13" s="1"/>
  <c r="J16" i="13"/>
  <c r="DK15" i="13"/>
  <c r="OP5" i="13"/>
  <c r="OS5" i="13" s="1"/>
  <c r="F14" i="4"/>
  <c r="OP18" i="4"/>
  <c r="J18" i="4"/>
  <c r="DK7" i="13"/>
  <c r="OP9" i="13"/>
  <c r="OK25" i="4"/>
  <c r="OP25" i="4" s="1"/>
  <c r="OS25" i="4" s="1"/>
  <c r="OK11" i="4"/>
  <c r="OP11" i="4" s="1"/>
  <c r="OK21" i="4"/>
  <c r="OP21" i="4" s="1"/>
  <c r="OK9" i="4"/>
  <c r="OP9" i="4" s="1"/>
  <c r="R8" i="14"/>
  <c r="CD17" i="6"/>
  <c r="CD6" i="7"/>
  <c r="H8" i="14"/>
  <c r="I8" i="14" s="1"/>
  <c r="NN9" i="14"/>
  <c r="NQ9" i="14" s="1"/>
  <c r="NN8" i="14"/>
  <c r="NQ8" i="14" s="1"/>
  <c r="H14" i="13"/>
  <c r="I14" i="13" s="1"/>
  <c r="K9" i="13"/>
  <c r="O9" i="13" s="1"/>
  <c r="P9" i="13" s="1"/>
  <c r="OP14" i="13"/>
  <c r="K5" i="13"/>
  <c r="O5" i="13" s="1"/>
  <c r="P5" i="13" s="1"/>
  <c r="K12" i="13"/>
  <c r="M12" i="13" s="1"/>
  <c r="H15" i="13"/>
  <c r="I15" i="13" s="1"/>
  <c r="K15" i="13"/>
  <c r="K10" i="13"/>
  <c r="DJ10" i="13" s="1"/>
  <c r="K4" i="13"/>
  <c r="L4" i="13" s="1"/>
  <c r="K7" i="13"/>
  <c r="DJ7" i="13" s="1"/>
  <c r="OP8" i="13"/>
  <c r="K17" i="13"/>
  <c r="DJ17" i="13" s="1"/>
  <c r="K14" i="13"/>
  <c r="O14" i="13" s="1"/>
  <c r="P14" i="13" s="1"/>
  <c r="J9" i="13"/>
  <c r="K13" i="13"/>
  <c r="M13" i="13" s="1"/>
  <c r="OK15" i="4"/>
  <c r="OP15" i="4" s="1"/>
  <c r="OK17" i="4"/>
  <c r="OP17" i="4" s="1"/>
  <c r="MR10" i="12"/>
  <c r="MR8" i="12"/>
  <c r="J7" i="14"/>
  <c r="K9" i="14"/>
  <c r="O9" i="14" s="1"/>
  <c r="K4" i="14"/>
  <c r="M4" i="14" s="1"/>
  <c r="R4" i="14"/>
  <c r="NN6" i="14"/>
  <c r="NQ6" i="14" s="1"/>
  <c r="K5" i="14"/>
  <c r="CO5" i="14" s="1"/>
  <c r="NN5" i="14"/>
  <c r="NQ5" i="14" s="1"/>
  <c r="H5" i="14"/>
  <c r="A5" i="14" s="1" a="1"/>
  <c r="A5" i="14" s="1"/>
  <c r="J5" i="14"/>
  <c r="H6" i="14"/>
  <c r="R5" i="14"/>
  <c r="J6" i="14"/>
  <c r="K6" i="14"/>
  <c r="CO6" i="14" s="1"/>
  <c r="NN7" i="14"/>
  <c r="NQ7" i="14" s="1"/>
  <c r="J8" i="14"/>
  <c r="K8" i="14"/>
  <c r="J4" i="14"/>
  <c r="R7" i="14"/>
  <c r="H9" i="14"/>
  <c r="I9" i="14" s="1"/>
  <c r="J9" i="14"/>
  <c r="I7" i="14"/>
  <c r="H4" i="14"/>
  <c r="I4" i="14" s="1"/>
  <c r="CP9" i="14"/>
  <c r="NN4" i="14"/>
  <c r="NQ4" i="14" s="1"/>
  <c r="O5" i="14"/>
  <c r="L5" i="14"/>
  <c r="J13" i="13"/>
  <c r="J4" i="13"/>
  <c r="I4" i="13"/>
  <c r="I5" i="13"/>
  <c r="DK13" i="13"/>
  <c r="R9" i="13"/>
  <c r="J7" i="13"/>
  <c r="J14" i="13"/>
  <c r="OP4" i="13"/>
  <c r="OS4" i="13" s="1"/>
  <c r="H17" i="13"/>
  <c r="I17" i="13" s="1"/>
  <c r="J17" i="13"/>
  <c r="J6" i="13"/>
  <c r="OP13" i="13"/>
  <c r="H13" i="13"/>
  <c r="H7" i="13"/>
  <c r="I7" i="13" s="1"/>
  <c r="OP7" i="13"/>
  <c r="OP6" i="13"/>
  <c r="OP17" i="13"/>
  <c r="J5" i="13"/>
  <c r="H6" i="13"/>
  <c r="I6" i="13" s="1"/>
  <c r="DK12" i="13"/>
  <c r="OP12" i="13"/>
  <c r="O13" i="13"/>
  <c r="P13" i="13" s="1"/>
  <c r="H10" i="13"/>
  <c r="J8" i="13"/>
  <c r="H8" i="13"/>
  <c r="H12" i="13"/>
  <c r="J12" i="13"/>
  <c r="R17" i="13"/>
  <c r="DK17" i="13"/>
  <c r="J15" i="13"/>
  <c r="J10" i="13"/>
  <c r="DG21" i="4"/>
  <c r="OK23" i="4"/>
  <c r="OP23" i="4" s="1"/>
  <c r="OK7" i="4"/>
  <c r="OP7" i="4" s="1"/>
  <c r="OK5" i="4"/>
  <c r="OP5" i="4" s="1"/>
  <c r="OK19" i="4"/>
  <c r="OP19" i="4" s="1"/>
  <c r="OK12" i="4"/>
  <c r="OP12" i="4" s="1"/>
  <c r="OK4" i="4"/>
  <c r="OP4" i="4" s="1"/>
  <c r="OS4" i="4" s="1"/>
  <c r="OK13" i="4"/>
  <c r="OP13" i="4" s="1"/>
  <c r="OK26" i="4"/>
  <c r="OP26" i="4" s="1"/>
  <c r="OS26" i="4" s="1"/>
  <c r="OK8" i="4"/>
  <c r="OP8" i="4" s="1"/>
  <c r="OK10" i="4"/>
  <c r="OP10" i="4" s="1"/>
  <c r="OK24" i="4"/>
  <c r="OP24" i="4" s="1"/>
  <c r="OK16" i="4"/>
  <c r="OP16" i="4" s="1"/>
  <c r="OK6" i="4"/>
  <c r="OP6" i="4" s="1"/>
  <c r="OS5" i="4" s="1"/>
  <c r="MR7" i="8"/>
  <c r="MR6" i="8"/>
  <c r="MR4" i="8"/>
  <c r="MR7" i="7"/>
  <c r="MR6" i="7"/>
  <c r="MR8" i="7"/>
  <c r="MR4" i="7"/>
  <c r="MP4" i="7"/>
  <c r="CD16" i="6"/>
  <c r="MR20" i="6"/>
  <c r="MR23" i="6"/>
  <c r="MR12" i="6"/>
  <c r="MR19" i="6"/>
  <c r="MR18" i="6"/>
  <c r="MR17" i="6"/>
  <c r="MR5" i="6"/>
  <c r="MR16" i="6"/>
  <c r="MR11" i="6"/>
  <c r="MR6" i="6"/>
  <c r="MR10" i="6"/>
  <c r="MR9" i="6"/>
  <c r="MQ16" i="12"/>
  <c r="MQ13" i="12"/>
  <c r="MQ4" i="12"/>
  <c r="MR4" i="12"/>
  <c r="MP4" i="12"/>
  <c r="MQ10" i="12"/>
  <c r="MR16" i="12"/>
  <c r="MP16" i="12"/>
  <c r="MQ9" i="12"/>
  <c r="MR13" i="12"/>
  <c r="MP13" i="12"/>
  <c r="MQ15" i="12"/>
  <c r="MR14" i="12"/>
  <c r="MP14" i="12"/>
  <c r="MP10" i="12"/>
  <c r="MS9" i="12"/>
  <c r="MS10" i="12"/>
  <c r="MS4" i="12"/>
  <c r="MS16" i="12"/>
  <c r="MS13" i="12"/>
  <c r="MQ5" i="12"/>
  <c r="MR5" i="12"/>
  <c r="MP5" i="12"/>
  <c r="MS14" i="12"/>
  <c r="MQ14" i="12"/>
  <c r="MR15" i="12"/>
  <c r="MP15" i="12"/>
  <c r="MS5" i="12"/>
  <c r="MR9" i="12"/>
  <c r="MP9" i="12"/>
  <c r="MS15" i="12"/>
  <c r="CD4" i="12"/>
  <c r="CD13" i="12"/>
  <c r="CD5" i="12"/>
  <c r="CD9" i="12"/>
  <c r="CD10" i="6"/>
  <c r="CD19" i="6"/>
  <c r="CD6" i="6"/>
  <c r="CD23" i="6"/>
  <c r="CD11" i="6"/>
  <c r="CD12" i="6"/>
  <c r="CD20" i="6"/>
  <c r="CD9" i="6"/>
  <c r="CD7" i="8"/>
  <c r="CD4" i="8"/>
  <c r="CD6" i="8"/>
  <c r="CD8" i="7"/>
  <c r="CD15" i="12"/>
  <c r="CD10" i="12"/>
  <c r="CI9" i="9"/>
  <c r="CL9" i="9" s="1"/>
  <c r="CI5" i="9"/>
  <c r="CL5" i="9" s="1"/>
  <c r="CI6" i="9"/>
  <c r="CL6" i="9" s="1"/>
  <c r="CD8" i="12"/>
  <c r="CD16" i="12"/>
  <c r="CD14" i="12"/>
  <c r="CD5" i="6"/>
  <c r="CD18" i="6"/>
  <c r="CD4" i="7"/>
  <c r="CD7" i="7"/>
  <c r="CI7" i="9"/>
  <c r="CL7" i="9" s="1"/>
  <c r="CI4" i="9"/>
  <c r="CL4" i="9" s="1"/>
  <c r="CI8" i="9"/>
  <c r="CL8" i="9" s="1"/>
  <c r="DF4" i="4"/>
  <c r="DE4" i="4"/>
  <c r="LT5" i="6"/>
  <c r="LU5" i="6"/>
  <c r="LW5" i="6"/>
  <c r="LT6" i="8"/>
  <c r="LU6" i="8"/>
  <c r="LW6" i="8"/>
  <c r="LT7" i="8"/>
  <c r="LU7" i="8"/>
  <c r="LW7" i="8"/>
  <c r="NI13" i="4"/>
  <c r="NJ13" i="4"/>
  <c r="NK13" i="4"/>
  <c r="NM13" i="4"/>
  <c r="NN13" i="4"/>
  <c r="O7" i="14" l="1"/>
  <c r="CN7" i="14" s="1"/>
  <c r="L6" i="14"/>
  <c r="O4" i="14"/>
  <c r="L4" i="14"/>
  <c r="CO4" i="14"/>
  <c r="M5" i="14"/>
  <c r="N5" i="14" s="1"/>
  <c r="OS13" i="13"/>
  <c r="L9" i="14"/>
  <c r="L18" i="4"/>
  <c r="O18" i="4"/>
  <c r="P18" i="4" s="1"/>
  <c r="DJ18" i="4"/>
  <c r="K6" i="12"/>
  <c r="E6" i="12" s="1"/>
  <c r="DJ9" i="13"/>
  <c r="CO9" i="14"/>
  <c r="M9" i="14"/>
  <c r="CM9" i="14" s="1"/>
  <c r="O6" i="14"/>
  <c r="CN6" i="14" s="1"/>
  <c r="L16" i="13"/>
  <c r="N16" i="13" s="1"/>
  <c r="M14" i="4"/>
  <c r="DH14" i="4" s="1"/>
  <c r="OS6" i="4"/>
  <c r="O14" i="4"/>
  <c r="P14" i="4" s="1"/>
  <c r="L14" i="4"/>
  <c r="L7" i="14"/>
  <c r="CO7" i="14"/>
  <c r="DJ16" i="13"/>
  <c r="OS6" i="13"/>
  <c r="OS23" i="4"/>
  <c r="CE22" i="6"/>
  <c r="L22" i="6"/>
  <c r="M22" i="6" s="1"/>
  <c r="DJ13" i="13"/>
  <c r="OS7" i="13"/>
  <c r="OS11" i="13"/>
  <c r="OS16" i="4"/>
  <c r="OS13" i="4"/>
  <c r="K7" i="12"/>
  <c r="E7" i="12" s="1"/>
  <c r="CE7" i="6"/>
  <c r="L7" i="6"/>
  <c r="M7" i="6" s="1"/>
  <c r="O16" i="13"/>
  <c r="O11" i="13"/>
  <c r="M11" i="13"/>
  <c r="L11" i="13"/>
  <c r="OS15" i="13"/>
  <c r="L9" i="13"/>
  <c r="M9" i="13"/>
  <c r="DH9" i="13" s="1"/>
  <c r="OS16" i="13"/>
  <c r="M10" i="13"/>
  <c r="DH10" i="13" s="1"/>
  <c r="L10" i="13"/>
  <c r="DJ6" i="13"/>
  <c r="M6" i="13"/>
  <c r="DH6" i="13" s="1"/>
  <c r="L6" i="13"/>
  <c r="M5" i="13"/>
  <c r="DH5" i="13" s="1"/>
  <c r="L7" i="13"/>
  <c r="M7" i="13"/>
  <c r="DH7" i="13" s="1"/>
  <c r="M4" i="13"/>
  <c r="DH4" i="13" s="1"/>
  <c r="DJ4" i="13"/>
  <c r="L13" i="13"/>
  <c r="N13" i="13" s="1"/>
  <c r="OS17" i="13"/>
  <c r="I16" i="13"/>
  <c r="A18" i="4" a="1"/>
  <c r="A18" i="4" s="1"/>
  <c r="A14" i="4" a="1"/>
  <c r="A14" i="4" s="1"/>
  <c r="OS14" i="4"/>
  <c r="OS24" i="4"/>
  <c r="O12" i="13"/>
  <c r="P12" i="13" s="1"/>
  <c r="E5" i="7"/>
  <c r="O5" i="7"/>
  <c r="P5" i="7"/>
  <c r="DH16" i="13"/>
  <c r="DJ12" i="13"/>
  <c r="M17" i="13"/>
  <c r="DH17" i="13" s="1"/>
  <c r="O4" i="13"/>
  <c r="L5" i="13"/>
  <c r="L12" i="13"/>
  <c r="N12" i="13" s="1"/>
  <c r="O10" i="13"/>
  <c r="P10" i="13" s="1"/>
  <c r="DI18" i="4"/>
  <c r="N18" i="4"/>
  <c r="DH18" i="4"/>
  <c r="OS18" i="4"/>
  <c r="MT10" i="12"/>
  <c r="MT13" i="12"/>
  <c r="MT16" i="12"/>
  <c r="M14" i="13"/>
  <c r="DH14" i="13" s="1"/>
  <c r="DJ5" i="13"/>
  <c r="O7" i="13"/>
  <c r="OS12" i="13"/>
  <c r="M6" i="14"/>
  <c r="N6" i="14" s="1"/>
  <c r="OS17" i="4"/>
  <c r="OS21" i="4"/>
  <c r="MT15" i="12"/>
  <c r="G5" i="6"/>
  <c r="F5" i="6"/>
  <c r="OS8" i="13"/>
  <c r="OS9" i="13"/>
  <c r="OS10" i="13"/>
  <c r="DJ14" i="13"/>
  <c r="L14" i="13"/>
  <c r="L17" i="13"/>
  <c r="O17" i="13"/>
  <c r="OS14" i="13"/>
  <c r="OS7" i="4"/>
  <c r="OS8" i="4"/>
  <c r="OS9" i="4"/>
  <c r="OS10" i="4"/>
  <c r="OS11" i="4"/>
  <c r="OS15" i="4"/>
  <c r="OS12" i="4"/>
  <c r="OS19" i="4"/>
  <c r="OS22" i="4"/>
  <c r="OS20" i="4"/>
  <c r="I6" i="14"/>
  <c r="I5" i="14"/>
  <c r="L8" i="14"/>
  <c r="M8" i="14"/>
  <c r="CO8" i="14"/>
  <c r="O8" i="14"/>
  <c r="N7" i="14"/>
  <c r="CM7" i="14"/>
  <c r="P9" i="14"/>
  <c r="CN9" i="14"/>
  <c r="CN5" i="14"/>
  <c r="P5" i="14"/>
  <c r="N4" i="14"/>
  <c r="CM4" i="14"/>
  <c r="CN4" i="14"/>
  <c r="P4" i="14"/>
  <c r="A14" i="13" a="1"/>
  <c r="A14" i="13" s="1"/>
  <c r="I13" i="13"/>
  <c r="DH12" i="13"/>
  <c r="DH13" i="13"/>
  <c r="DI6" i="13"/>
  <c r="DI14" i="13"/>
  <c r="DI5" i="13"/>
  <c r="DI13" i="13"/>
  <c r="O15" i="13"/>
  <c r="P15" i="13" s="1"/>
  <c r="M15" i="13"/>
  <c r="L15" i="13"/>
  <c r="DJ15" i="13"/>
  <c r="I8" i="13"/>
  <c r="M8" i="13"/>
  <c r="L8" i="13"/>
  <c r="DJ8" i="13"/>
  <c r="O8" i="13"/>
  <c r="P8" i="13" s="1"/>
  <c r="I10" i="13"/>
  <c r="DI9" i="13"/>
  <c r="I12" i="13"/>
  <c r="G13" i="4"/>
  <c r="F13" i="4" s="1"/>
  <c r="Q13" i="4"/>
  <c r="R13" i="4" s="1"/>
  <c r="DG4" i="4"/>
  <c r="MT4" i="12"/>
  <c r="MT9" i="12"/>
  <c r="MT14" i="12"/>
  <c r="MT5" i="12"/>
  <c r="F6" i="8"/>
  <c r="G7" i="8"/>
  <c r="J7" i="8"/>
  <c r="K7" i="8" s="1"/>
  <c r="L7" i="8"/>
  <c r="F7" i="8"/>
  <c r="L6" i="8"/>
  <c r="G6" i="8"/>
  <c r="J6" i="8"/>
  <c r="K6" i="8" s="1"/>
  <c r="LX5" i="6"/>
  <c r="LX7" i="8"/>
  <c r="MP20" i="6"/>
  <c r="MP7" i="8"/>
  <c r="MP6" i="8"/>
  <c r="MQ20" i="6"/>
  <c r="MS20" i="6"/>
  <c r="LX6" i="8"/>
  <c r="MQ7" i="8"/>
  <c r="MS7" i="8"/>
  <c r="MQ6" i="8"/>
  <c r="MS6" i="8"/>
  <c r="NL13" i="4"/>
  <c r="NO13" i="4" s="1"/>
  <c r="P7" i="14" l="1"/>
  <c r="CM5" i="14"/>
  <c r="S5" i="14" s="1"/>
  <c r="N9" i="14"/>
  <c r="N4" i="13"/>
  <c r="P6" i="14"/>
  <c r="DI14" i="4"/>
  <c r="S14" i="4" s="1"/>
  <c r="N14" i="4"/>
  <c r="N11" i="13"/>
  <c r="DI4" i="13"/>
  <c r="S4" i="13" s="1"/>
  <c r="U4" i="13" s="1"/>
  <c r="P4" i="13"/>
  <c r="DI11" i="13"/>
  <c r="P11" i="13"/>
  <c r="DI16" i="13"/>
  <c r="S16" i="13" s="1"/>
  <c r="P16" i="13"/>
  <c r="DI17" i="13"/>
  <c r="S17" i="13" s="1"/>
  <c r="P17" i="13"/>
  <c r="DI7" i="13"/>
  <c r="S7" i="13" s="1"/>
  <c r="P7" i="13"/>
  <c r="CF22" i="6"/>
  <c r="N22" i="6" s="1"/>
  <c r="O22" i="6" s="1"/>
  <c r="N17" i="13"/>
  <c r="CF7" i="6"/>
  <c r="N7" i="6" s="1"/>
  <c r="O7" i="6" s="1"/>
  <c r="DH11" i="13"/>
  <c r="N9" i="13"/>
  <c r="N10" i="13"/>
  <c r="DI10" i="13"/>
  <c r="S10" i="13" s="1"/>
  <c r="T10" i="13" s="1"/>
  <c r="N6" i="13"/>
  <c r="N5" i="13"/>
  <c r="N7" i="13"/>
  <c r="H7" i="8"/>
  <c r="I7" i="8" s="1"/>
  <c r="DI12" i="13"/>
  <c r="S12" i="13" s="1"/>
  <c r="N14" i="13"/>
  <c r="S18" i="4"/>
  <c r="E18" i="4" s="1"/>
  <c r="H6" i="8"/>
  <c r="I6" i="8" s="1"/>
  <c r="CM6" i="14"/>
  <c r="S6" i="14" s="1"/>
  <c r="H5" i="6"/>
  <c r="I5" i="6" s="1"/>
  <c r="DK13" i="4"/>
  <c r="K13" i="4"/>
  <c r="O13" i="4" s="1"/>
  <c r="P13" i="4" s="1"/>
  <c r="J13" i="4"/>
  <c r="A8" i="14" a="1"/>
  <c r="A8" i="14" s="1"/>
  <c r="A6" i="14" a="1"/>
  <c r="A6" i="14" s="1"/>
  <c r="CN8" i="14"/>
  <c r="P8" i="14"/>
  <c r="N8" i="14"/>
  <c r="CM8" i="14"/>
  <c r="S9" i="14"/>
  <c r="U9" i="14" s="1"/>
  <c r="S7" i="14"/>
  <c r="E7" i="14" s="1"/>
  <c r="S4" i="14"/>
  <c r="S6" i="13"/>
  <c r="N15" i="13"/>
  <c r="DH15" i="13"/>
  <c r="S9" i="13"/>
  <c r="DI15" i="13"/>
  <c r="S14" i="13"/>
  <c r="S5" i="13"/>
  <c r="S13" i="13"/>
  <c r="DI8" i="13"/>
  <c r="DH8" i="13"/>
  <c r="N8" i="13"/>
  <c r="H13" i="4"/>
  <c r="A13" i="4" s="1" a="1"/>
  <c r="A13" i="4" s="1"/>
  <c r="J5" i="6"/>
  <c r="K5" i="6" s="1"/>
  <c r="M6" i="8"/>
  <c r="M7" i="8"/>
  <c r="CF6" i="8"/>
  <c r="MT20" i="6"/>
  <c r="MT7" i="8"/>
  <c r="CE6" i="8"/>
  <c r="CF7" i="8"/>
  <c r="MT6" i="8"/>
  <c r="CE7" i="8"/>
  <c r="E17" i="13" l="1"/>
  <c r="S11" i="13"/>
  <c r="T11" i="13" s="1"/>
  <c r="E22" i="6"/>
  <c r="P22" i="6"/>
  <c r="P7" i="6"/>
  <c r="E7" i="6"/>
  <c r="E12" i="13"/>
  <c r="E10" i="13"/>
  <c r="E6" i="13"/>
  <c r="E5" i="13"/>
  <c r="E7" i="13"/>
  <c r="T16" i="13"/>
  <c r="U16" i="13"/>
  <c r="E16" i="13"/>
  <c r="E14" i="13"/>
  <c r="T14" i="4"/>
  <c r="U14" i="4"/>
  <c r="E14" i="4"/>
  <c r="U18" i="4"/>
  <c r="T18" i="4"/>
  <c r="U10" i="13"/>
  <c r="T9" i="14"/>
  <c r="U7" i="14"/>
  <c r="E9" i="14"/>
  <c r="S8" i="14"/>
  <c r="T8" i="14" s="1"/>
  <c r="T7" i="14"/>
  <c r="U4" i="14"/>
  <c r="T4" i="14"/>
  <c r="E4" i="14"/>
  <c r="U5" i="14"/>
  <c r="T5" i="14"/>
  <c r="U6" i="14"/>
  <c r="T6" i="14"/>
  <c r="E6" i="14"/>
  <c r="E5" i="14"/>
  <c r="T6" i="13"/>
  <c r="U6" i="13"/>
  <c r="U7" i="13"/>
  <c r="U12" i="13"/>
  <c r="T7" i="13"/>
  <c r="T4" i="13"/>
  <c r="U17" i="13"/>
  <c r="T17" i="13"/>
  <c r="E4" i="13"/>
  <c r="T12" i="13"/>
  <c r="T9" i="13"/>
  <c r="U9" i="13"/>
  <c r="S15" i="13"/>
  <c r="U13" i="13"/>
  <c r="T13" i="13"/>
  <c r="U5" i="13"/>
  <c r="T5" i="13"/>
  <c r="U14" i="13"/>
  <c r="T14" i="13"/>
  <c r="E9" i="13"/>
  <c r="S8" i="13"/>
  <c r="E13" i="13"/>
  <c r="I13" i="4"/>
  <c r="M13" i="4"/>
  <c r="L13" i="4"/>
  <c r="CE5" i="6"/>
  <c r="L5" i="6"/>
  <c r="M5" i="6" s="1"/>
  <c r="N6" i="8"/>
  <c r="E6" i="8" s="1"/>
  <c r="DJ13" i="4"/>
  <c r="N7" i="8"/>
  <c r="E7" i="8" s="1"/>
  <c r="E11" i="13" l="1"/>
  <c r="U11" i="13"/>
  <c r="N13" i="4"/>
  <c r="E8" i="14"/>
  <c r="U8" i="14"/>
  <c r="U8" i="13"/>
  <c r="T8" i="13"/>
  <c r="U15" i="13"/>
  <c r="T15" i="13"/>
  <c r="E8" i="13"/>
  <c r="E15" i="13"/>
  <c r="DH13" i="4"/>
  <c r="DI13" i="4"/>
  <c r="CF5" i="6"/>
  <c r="N5" i="6" s="1"/>
  <c r="E5" i="6" s="1"/>
  <c r="P6" i="8"/>
  <c r="O6" i="8"/>
  <c r="O7" i="8"/>
  <c r="P7" i="8"/>
  <c r="A13" i="13" l="1" a="1"/>
  <c r="A13" i="13" s="1"/>
  <c r="A10" i="13" a="1"/>
  <c r="A10" i="13" s="1"/>
  <c r="A4" i="14" a="1"/>
  <c r="A4" i="14" s="1"/>
  <c r="A7" i="14" a="1"/>
  <c r="A7" i="14" s="1"/>
  <c r="A9" i="14" a="1"/>
  <c r="A9" i="14" s="1"/>
  <c r="A9" i="13" a="1"/>
  <c r="A9" i="13" s="1"/>
  <c r="A17" i="13" a="1"/>
  <c r="A17" i="13" s="1"/>
  <c r="A8" i="13" a="1"/>
  <c r="A8" i="13" s="1"/>
  <c r="A6" i="13" a="1"/>
  <c r="A6" i="13" s="1"/>
  <c r="A4" i="13" a="1"/>
  <c r="A4" i="13" s="1"/>
  <c r="A5" i="13" a="1"/>
  <c r="A5" i="13" s="1"/>
  <c r="A7" i="13" a="1"/>
  <c r="A7" i="13" s="1"/>
  <c r="A15" i="13" a="1"/>
  <c r="A15" i="13" s="1"/>
  <c r="A12" i="13" a="1"/>
  <c r="A12" i="13" s="1"/>
  <c r="S13" i="4"/>
  <c r="E13" i="4" s="1"/>
  <c r="P5" i="6"/>
  <c r="O5" i="6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3" i="4"/>
  <c r="T13" i="4"/>
  <c r="LT10" i="6"/>
  <c r="LU10" i="6"/>
  <c r="LW10" i="6"/>
  <c r="NI7" i="4"/>
  <c r="NJ7" i="4"/>
  <c r="NK7" i="4"/>
  <c r="NM7" i="4"/>
  <c r="NN7" i="4"/>
  <c r="NI16" i="4"/>
  <c r="NJ16" i="4"/>
  <c r="NK16" i="4"/>
  <c r="NM16" i="4"/>
  <c r="NN16" i="4"/>
  <c r="G10" i="6" l="1"/>
  <c r="F10" i="6"/>
  <c r="G7" i="4"/>
  <c r="F7" i="4" s="1"/>
  <c r="G9" i="12"/>
  <c r="F9" i="12"/>
  <c r="F5" i="12"/>
  <c r="G5" i="12"/>
  <c r="G16" i="4"/>
  <c r="F16" i="4" s="1"/>
  <c r="Q16" i="4"/>
  <c r="R16" i="4" s="1"/>
  <c r="Q7" i="4"/>
  <c r="R7" i="4" s="1"/>
  <c r="NL16" i="4"/>
  <c r="NO16" i="4" s="1"/>
  <c r="LX10" i="6"/>
  <c r="NL7" i="4"/>
  <c r="NO7" i="4" s="1"/>
  <c r="MS23" i="6"/>
  <c r="MQ23" i="6"/>
  <c r="MP23" i="6"/>
  <c r="H9" i="12" l="1"/>
  <c r="I9" i="12" s="1"/>
  <c r="H16" i="4"/>
  <c r="I16" i="4" s="1"/>
  <c r="H5" i="12"/>
  <c r="I5" i="12" s="1"/>
  <c r="H10" i="6"/>
  <c r="I10" i="6" s="1"/>
  <c r="K7" i="4"/>
  <c r="O7" i="4" s="1"/>
  <c r="P7" i="4" s="1"/>
  <c r="J7" i="4"/>
  <c r="K16" i="4"/>
  <c r="O16" i="4" s="1"/>
  <c r="P16" i="4" s="1"/>
  <c r="J16" i="4"/>
  <c r="H7" i="4"/>
  <c r="DK7" i="4"/>
  <c r="J10" i="6"/>
  <c r="J5" i="12"/>
  <c r="J9" i="12"/>
  <c r="CE9" i="12" s="1"/>
  <c r="MT23" i="6"/>
  <c r="DK16" i="4"/>
  <c r="M16" i="4" l="1"/>
  <c r="DJ7" i="4"/>
  <c r="I7" i="4"/>
  <c r="L16" i="4"/>
  <c r="M7" i="4"/>
  <c r="L7" i="4"/>
  <c r="K10" i="6"/>
  <c r="L10" i="6"/>
  <c r="M10" i="6" s="1"/>
  <c r="L9" i="12"/>
  <c r="M9" i="12" s="1"/>
  <c r="K9" i="12"/>
  <c r="K5" i="12"/>
  <c r="L5" i="12"/>
  <c r="M5" i="12" s="1"/>
  <c r="CE5" i="12"/>
  <c r="CE10" i="6"/>
  <c r="DJ16" i="4"/>
  <c r="N7" i="4" l="1"/>
  <c r="N16" i="4"/>
  <c r="DH7" i="4"/>
  <c r="DH16" i="4"/>
  <c r="DI16" i="4"/>
  <c r="DI7" i="4"/>
  <c r="CF5" i="12"/>
  <c r="N5" i="12" s="1"/>
  <c r="E5" i="12" s="1"/>
  <c r="CF9" i="12"/>
  <c r="N9" i="12" s="1"/>
  <c r="O9" i="12" s="1"/>
  <c r="CF10" i="6"/>
  <c r="N10" i="6" s="1"/>
  <c r="O10" i="6" s="1"/>
  <c r="S7" i="4" l="1"/>
  <c r="T7" i="4" s="1"/>
  <c r="S16" i="4"/>
  <c r="E16" i="4" s="1"/>
  <c r="P9" i="12"/>
  <c r="E9" i="12"/>
  <c r="E10" i="6"/>
  <c r="P10" i="6"/>
  <c r="P5" i="12"/>
  <c r="O5" i="12"/>
  <c r="E7" i="4" l="1"/>
  <c r="U7" i="4"/>
  <c r="U16" i="4"/>
  <c r="T16" i="4"/>
  <c r="LT4" i="7" l="1"/>
  <c r="LU4" i="7"/>
  <c r="LW4" i="7"/>
  <c r="G4" i="7" l="1"/>
  <c r="F4" i="7"/>
  <c r="L4" i="7"/>
  <c r="CF4" i="7" s="1"/>
  <c r="J4" i="7"/>
  <c r="K4" i="7" s="1"/>
  <c r="LX4" i="7"/>
  <c r="H4" i="7" l="1"/>
  <c r="I4" i="7" s="1"/>
  <c r="CE4" i="7"/>
  <c r="N4" i="7" s="1"/>
  <c r="P4" i="7" s="1"/>
  <c r="M4" i="7"/>
  <c r="E4" i="7" l="1"/>
  <c r="O4" i="7"/>
  <c r="NI26" i="4" l="1"/>
  <c r="NJ26" i="4"/>
  <c r="NK26" i="4"/>
  <c r="NM26" i="4"/>
  <c r="NN26" i="4"/>
  <c r="G26" i="4" l="1"/>
  <c r="F26" i="4" s="1"/>
  <c r="H26" i="4"/>
  <c r="Q26" i="4"/>
  <c r="R26" i="4" s="1"/>
  <c r="NL26" i="4"/>
  <c r="NO26" i="4" s="1"/>
  <c r="K4" i="4" l="1"/>
  <c r="O4" i="4" s="1"/>
  <c r="P4" i="4" s="1"/>
  <c r="K26" i="4"/>
  <c r="O26" i="4" s="1"/>
  <c r="P26" i="4" s="1"/>
  <c r="J26" i="4"/>
  <c r="A26" i="4" a="1"/>
  <c r="A26" i="4" s="1"/>
  <c r="I26" i="4"/>
  <c r="K10" i="4"/>
  <c r="DK26" i="4"/>
  <c r="K24" i="4" l="1"/>
  <c r="O24" i="4" s="1"/>
  <c r="P24" i="4" s="1"/>
  <c r="K25" i="4"/>
  <c r="O25" i="4" s="1"/>
  <c r="P25" i="4" s="1"/>
  <c r="K19" i="4"/>
  <c r="O19" i="4" s="1"/>
  <c r="P19" i="4" s="1"/>
  <c r="K9" i="4"/>
  <c r="O9" i="4" s="1"/>
  <c r="P9" i="4" s="1"/>
  <c r="K15" i="4"/>
  <c r="O15" i="4" s="1"/>
  <c r="P15" i="4" s="1"/>
  <c r="K21" i="4"/>
  <c r="O21" i="4" s="1"/>
  <c r="P21" i="4" s="1"/>
  <c r="K5" i="4"/>
  <c r="O5" i="4" s="1"/>
  <c r="P5" i="4" s="1"/>
  <c r="K8" i="4"/>
  <c r="O8" i="4" s="1"/>
  <c r="P8" i="4" s="1"/>
  <c r="K12" i="4"/>
  <c r="O12" i="4" s="1"/>
  <c r="P12" i="4" s="1"/>
  <c r="K17" i="4"/>
  <c r="O17" i="4" s="1"/>
  <c r="P17" i="4" s="1"/>
  <c r="K23" i="4"/>
  <c r="O23" i="4" s="1"/>
  <c r="P23" i="4" s="1"/>
  <c r="K11" i="4"/>
  <c r="O11" i="4" s="1"/>
  <c r="P11" i="4" s="1"/>
  <c r="K6" i="4"/>
  <c r="O6" i="4" s="1"/>
  <c r="P6" i="4" s="1"/>
  <c r="O10" i="4"/>
  <c r="P10" i="4" s="1"/>
  <c r="M4" i="4"/>
  <c r="L26" i="4"/>
  <c r="M26" i="4"/>
  <c r="DJ26" i="4"/>
  <c r="NO4" i="9"/>
  <c r="NO6" i="9"/>
  <c r="NO10" i="9"/>
  <c r="NO7" i="9"/>
  <c r="NO5" i="9"/>
  <c r="NO8" i="9"/>
  <c r="NO9" i="9"/>
  <c r="N26" i="4" l="1"/>
  <c r="DH26" i="4"/>
  <c r="DI26" i="4"/>
  <c r="MR8" i="9"/>
  <c r="MR9" i="9"/>
  <c r="MR7" i="9"/>
  <c r="MR10" i="9"/>
  <c r="MR6" i="9"/>
  <c r="MR5" i="9"/>
  <c r="MR4" i="9"/>
  <c r="NM12" i="4"/>
  <c r="NM24" i="4"/>
  <c r="NM17" i="4"/>
  <c r="NM25" i="4"/>
  <c r="NM9" i="4"/>
  <c r="NM19" i="4"/>
  <c r="NM21" i="4"/>
  <c r="NM15" i="4"/>
  <c r="NM11" i="4"/>
  <c r="NM23" i="4"/>
  <c r="NM5" i="4"/>
  <c r="NM10" i="4"/>
  <c r="NM8" i="4"/>
  <c r="NM6" i="4"/>
  <c r="NM4" i="4"/>
  <c r="S26" i="4" l="1"/>
  <c r="E26" i="4" s="1"/>
  <c r="Q10" i="9"/>
  <c r="R10" i="9" s="1"/>
  <c r="MN10" i="9"/>
  <c r="MO10" i="9"/>
  <c r="MP10" i="9"/>
  <c r="MS10" i="9"/>
  <c r="Q6" i="9"/>
  <c r="R6" i="9" s="1"/>
  <c r="MN6" i="9"/>
  <c r="MO6" i="9"/>
  <c r="MP6" i="9"/>
  <c r="MS6" i="9"/>
  <c r="G6" i="9" l="1"/>
  <c r="F6" i="9" s="1"/>
  <c r="H10" i="9"/>
  <c r="H6" i="9"/>
  <c r="G10" i="9"/>
  <c r="U26" i="4"/>
  <c r="T26" i="4"/>
  <c r="MQ10" i="9"/>
  <c r="MT10" i="9" s="1"/>
  <c r="MQ6" i="9"/>
  <c r="MT6" i="9" s="1"/>
  <c r="CP10" i="9"/>
  <c r="CP6" i="9"/>
  <c r="I6" i="9" l="1"/>
  <c r="A10" i="9" a="1"/>
  <c r="A10" i="9" s="1"/>
  <c r="F10" i="9"/>
  <c r="K10" i="9"/>
  <c r="L10" i="9" s="1"/>
  <c r="J10" i="9"/>
  <c r="K6" i="9"/>
  <c r="L6" i="9" s="1"/>
  <c r="J6" i="9"/>
  <c r="A6" i="9" a="1"/>
  <c r="A6" i="9" s="1"/>
  <c r="I10" i="9"/>
  <c r="G10" i="12"/>
  <c r="F10" i="12" l="1"/>
  <c r="O10" i="9"/>
  <c r="CN10" i="9" s="1"/>
  <c r="M10" i="9"/>
  <c r="CM10" i="9" s="1"/>
  <c r="O6" i="9"/>
  <c r="M6" i="9"/>
  <c r="N6" i="9" s="1"/>
  <c r="CO10" i="9"/>
  <c r="CO6" i="9"/>
  <c r="J10" i="12"/>
  <c r="NI12" i="4"/>
  <c r="G12" i="4" s="1"/>
  <c r="F12" i="4" s="1"/>
  <c r="NJ12" i="4"/>
  <c r="NK12" i="4"/>
  <c r="NN12" i="4"/>
  <c r="H10" i="12" l="1"/>
  <c r="I10" i="12" s="1"/>
  <c r="Q12" i="4"/>
  <c r="R12" i="4" s="1"/>
  <c r="H12" i="4"/>
  <c r="I12" i="4" s="1"/>
  <c r="K10" i="12"/>
  <c r="L10" i="12"/>
  <c r="M10" i="12" s="1"/>
  <c r="P6" i="9"/>
  <c r="P10" i="9"/>
  <c r="CM6" i="9"/>
  <c r="N10" i="9"/>
  <c r="S10" i="9"/>
  <c r="U10" i="9" s="1"/>
  <c r="CN6" i="9"/>
  <c r="NL12" i="4"/>
  <c r="N10" i="12"/>
  <c r="NO12" i="4" l="1"/>
  <c r="J12" i="4"/>
  <c r="A12" i="4" a="1"/>
  <c r="A12" i="4" s="1"/>
  <c r="S6" i="9"/>
  <c r="U6" i="9" s="1"/>
  <c r="T10" i="9"/>
  <c r="E10" i="9"/>
  <c r="DK12" i="4"/>
  <c r="E10" i="12"/>
  <c r="O10" i="12"/>
  <c r="P10" i="12"/>
  <c r="NK6" i="9"/>
  <c r="NK10" i="9"/>
  <c r="NK7" i="9"/>
  <c r="NK5" i="9"/>
  <c r="NK8" i="9"/>
  <c r="NK9" i="9"/>
  <c r="NK4" i="9"/>
  <c r="M12" i="4" l="1"/>
  <c r="L12" i="4"/>
  <c r="E6" i="9"/>
  <c r="T6" i="9"/>
  <c r="DJ12" i="4"/>
  <c r="MP12" i="6"/>
  <c r="MP6" i="6"/>
  <c r="MP10" i="6"/>
  <c r="MP4" i="8"/>
  <c r="MP6" i="7"/>
  <c r="NP10" i="9"/>
  <c r="MQ8" i="12"/>
  <c r="MS8" i="12"/>
  <c r="MS16" i="6"/>
  <c r="MP17" i="6"/>
  <c r="MP5" i="6"/>
  <c r="MP16" i="6"/>
  <c r="MQ12" i="6"/>
  <c r="MS17" i="6"/>
  <c r="MQ17" i="6"/>
  <c r="MP11" i="6"/>
  <c r="MS6" i="6"/>
  <c r="MS10" i="6"/>
  <c r="MP9" i="6"/>
  <c r="MP19" i="6"/>
  <c r="MP18" i="6"/>
  <c r="MS18" i="6"/>
  <c r="MQ18" i="6"/>
  <c r="MS11" i="6"/>
  <c r="MQ11" i="6"/>
  <c r="MQ6" i="6"/>
  <c r="MQ9" i="6"/>
  <c r="MQ10" i="6"/>
  <c r="MS9" i="6"/>
  <c r="MS12" i="6"/>
  <c r="MS19" i="6"/>
  <c r="MS5" i="6"/>
  <c r="MQ16" i="6"/>
  <c r="MQ4" i="8"/>
  <c r="MS4" i="8"/>
  <c r="MS7" i="7"/>
  <c r="MQ7" i="7"/>
  <c r="MQ6" i="7"/>
  <c r="MQ8" i="7"/>
  <c r="MQ4" i="7"/>
  <c r="MP8" i="7"/>
  <c r="MS8" i="7"/>
  <c r="MP7" i="7"/>
  <c r="MS6" i="7"/>
  <c r="MS4" i="7"/>
  <c r="NM9" i="9"/>
  <c r="NM8" i="9"/>
  <c r="NL10" i="9"/>
  <c r="NL6" i="9"/>
  <c r="NL8" i="9"/>
  <c r="NL9" i="9"/>
  <c r="NM4" i="9"/>
  <c r="NM10" i="9"/>
  <c r="NM7" i="9"/>
  <c r="NP4" i="9"/>
  <c r="NP7" i="9"/>
  <c r="NP6" i="9"/>
  <c r="NL5" i="9"/>
  <c r="NL7" i="9"/>
  <c r="NM6" i="9"/>
  <c r="NP8" i="9"/>
  <c r="NM5" i="9"/>
  <c r="NL4" i="9"/>
  <c r="NP9" i="9"/>
  <c r="NP5" i="9"/>
  <c r="MP8" i="12"/>
  <c r="MQ5" i="6"/>
  <c r="MQ19" i="6"/>
  <c r="N12" i="4" l="1"/>
  <c r="DI12" i="4"/>
  <c r="DH12" i="4"/>
  <c r="MT7" i="7"/>
  <c r="MT11" i="6"/>
  <c r="NN6" i="9"/>
  <c r="NQ6" i="9" s="1"/>
  <c r="NN7" i="9"/>
  <c r="NQ7" i="9" s="1"/>
  <c r="MT12" i="6"/>
  <c r="MT10" i="6"/>
  <c r="MT8" i="12"/>
  <c r="MT6" i="6"/>
  <c r="MT18" i="6"/>
  <c r="MT4" i="7"/>
  <c r="MT8" i="7"/>
  <c r="MT6" i="7"/>
  <c r="MT17" i="6"/>
  <c r="MT16" i="6"/>
  <c r="MT4" i="8"/>
  <c r="NN4" i="9"/>
  <c r="NQ4" i="9" s="1"/>
  <c r="NN8" i="9"/>
  <c r="NQ8" i="9" s="1"/>
  <c r="NN5" i="9"/>
  <c r="NQ5" i="9" s="1"/>
  <c r="NN9" i="9"/>
  <c r="NQ9" i="9" s="1"/>
  <c r="MT9" i="6"/>
  <c r="MT19" i="6"/>
  <c r="MT5" i="6"/>
  <c r="NN10" i="9"/>
  <c r="NQ10" i="9" s="1"/>
  <c r="LT12" i="6"/>
  <c r="LT11" i="6"/>
  <c r="LT17" i="6"/>
  <c r="LT16" i="6"/>
  <c r="LT6" i="6"/>
  <c r="LT18" i="6"/>
  <c r="LT20" i="6"/>
  <c r="LT23" i="6"/>
  <c r="LT9" i="6"/>
  <c r="LT19" i="6"/>
  <c r="S12" i="4" l="1"/>
  <c r="E12" i="4" s="1"/>
  <c r="LT8" i="12"/>
  <c r="U12" i="4" l="1"/>
  <c r="T12" i="4"/>
  <c r="LU4" i="8"/>
  <c r="G4" i="8"/>
  <c r="LU7" i="7"/>
  <c r="LU6" i="7"/>
  <c r="LU8" i="7"/>
  <c r="G13" i="12"/>
  <c r="G4" i="12"/>
  <c r="LW8" i="12"/>
  <c r="LU8" i="12"/>
  <c r="G15" i="12"/>
  <c r="G14" i="12"/>
  <c r="G16" i="12"/>
  <c r="G8" i="12" l="1"/>
  <c r="F13" i="12"/>
  <c r="F14" i="12"/>
  <c r="F8" i="12"/>
  <c r="F15" i="12"/>
  <c r="F4" i="12"/>
  <c r="F16" i="12"/>
  <c r="G7" i="7"/>
  <c r="J7" i="7"/>
  <c r="K7" i="7" s="1"/>
  <c r="G6" i="7"/>
  <c r="J6" i="7"/>
  <c r="K6" i="7" s="1"/>
  <c r="J8" i="7"/>
  <c r="K8" i="7" s="1"/>
  <c r="G8" i="7"/>
  <c r="J4" i="8"/>
  <c r="K4" i="8" s="1"/>
  <c r="J16" i="12"/>
  <c r="LX8" i="12"/>
  <c r="J4" i="12"/>
  <c r="J15" i="12"/>
  <c r="J14" i="12"/>
  <c r="J8" i="12"/>
  <c r="J13" i="12"/>
  <c r="H8" i="12" l="1"/>
  <c r="I8" i="12" s="1"/>
  <c r="H13" i="12"/>
  <c r="I13" i="12" s="1"/>
  <c r="H14" i="12"/>
  <c r="I14" i="12" s="1"/>
  <c r="H15" i="12"/>
  <c r="I15" i="12" s="1"/>
  <c r="H4" i="12"/>
  <c r="I4" i="12" s="1"/>
  <c r="H16" i="12"/>
  <c r="I16" i="12" s="1"/>
  <c r="K16" i="12"/>
  <c r="L16" i="12"/>
  <c r="M16" i="12" s="1"/>
  <c r="K14" i="12"/>
  <c r="L14" i="12"/>
  <c r="M14" i="12" s="1"/>
  <c r="K13" i="12"/>
  <c r="L13" i="12"/>
  <c r="M13" i="12" s="1"/>
  <c r="L8" i="12"/>
  <c r="M8" i="12" s="1"/>
  <c r="K8" i="12"/>
  <c r="L15" i="12"/>
  <c r="M15" i="12" s="1"/>
  <c r="K15" i="12"/>
  <c r="K4" i="12"/>
  <c r="L4" i="12"/>
  <c r="M4" i="12" s="1"/>
  <c r="CE8" i="12"/>
  <c r="CE15" i="12"/>
  <c r="CE16" i="12"/>
  <c r="CE14" i="12"/>
  <c r="CE4" i="12" l="1"/>
  <c r="CF16" i="12"/>
  <c r="N16" i="12" s="1"/>
  <c r="E16" i="12" s="1"/>
  <c r="CF4" i="12"/>
  <c r="CE13" i="12"/>
  <c r="CF14" i="12"/>
  <c r="N14" i="12" s="1"/>
  <c r="N4" i="12" l="1"/>
  <c r="O4" i="12" s="1"/>
  <c r="CF13" i="12"/>
  <c r="N13" i="12" s="1"/>
  <c r="E13" i="12" s="1"/>
  <c r="CF8" i="12"/>
  <c r="N8" i="12" s="1"/>
  <c r="P8" i="12" s="1"/>
  <c r="CF15" i="12"/>
  <c r="N15" i="12" s="1"/>
  <c r="O15" i="12" s="1"/>
  <c r="O16" i="12"/>
  <c r="P16" i="12"/>
  <c r="E14" i="12"/>
  <c r="P14" i="12"/>
  <c r="O14" i="12"/>
  <c r="P4" i="12" l="1"/>
  <c r="E4" i="12"/>
  <c r="E15" i="12"/>
  <c r="E8" i="12"/>
  <c r="P15" i="12"/>
  <c r="O8" i="12"/>
  <c r="O13" i="12"/>
  <c r="P13" i="12"/>
  <c r="A7" i="12" l="1"/>
  <c r="A6" i="12"/>
  <c r="A5" i="12"/>
  <c r="A9" i="12"/>
  <c r="A10" i="12"/>
  <c r="A8" i="12"/>
  <c r="A16" i="12"/>
  <c r="A4" i="12"/>
  <c r="A14" i="12"/>
  <c r="A13" i="12"/>
  <c r="A15" i="12"/>
  <c r="LW12" i="6"/>
  <c r="LU12" i="6"/>
  <c r="LW17" i="6"/>
  <c r="LU17" i="6"/>
  <c r="LW11" i="6"/>
  <c r="LU11" i="6"/>
  <c r="LW18" i="6"/>
  <c r="LU18" i="6"/>
  <c r="LW6" i="6"/>
  <c r="LU6" i="6"/>
  <c r="LW16" i="6"/>
  <c r="LU16" i="6"/>
  <c r="LW19" i="6"/>
  <c r="LU19" i="6"/>
  <c r="LW20" i="6"/>
  <c r="LU20" i="6"/>
  <c r="LW23" i="6"/>
  <c r="LU23" i="6"/>
  <c r="LW9" i="6"/>
  <c r="LU9" i="6"/>
  <c r="C50" i="11" l="1"/>
  <c r="C57" i="11"/>
  <c r="C51" i="11"/>
  <c r="C52" i="11"/>
  <c r="C53" i="11"/>
  <c r="C54" i="11"/>
  <c r="C55" i="11"/>
  <c r="C56" i="11"/>
  <c r="G17" i="6"/>
  <c r="F17" i="6"/>
  <c r="G16" i="6"/>
  <c r="F16" i="6"/>
  <c r="G11" i="6"/>
  <c r="F11" i="6"/>
  <c r="G19" i="6"/>
  <c r="F19" i="6"/>
  <c r="G20" i="6"/>
  <c r="F20" i="6"/>
  <c r="G12" i="6"/>
  <c r="F12" i="6"/>
  <c r="G6" i="6"/>
  <c r="F6" i="6"/>
  <c r="G23" i="6"/>
  <c r="F23" i="6"/>
  <c r="G9" i="6"/>
  <c r="F9" i="6"/>
  <c r="G18" i="6"/>
  <c r="F18" i="6"/>
  <c r="D51" i="11"/>
  <c r="D56" i="11"/>
  <c r="D57" i="11"/>
  <c r="D50" i="11"/>
  <c r="D52" i="11"/>
  <c r="D53" i="11"/>
  <c r="D54" i="11"/>
  <c r="D55" i="11"/>
  <c r="J20" i="6"/>
  <c r="LX9" i="6"/>
  <c r="LX18" i="6"/>
  <c r="LX19" i="6"/>
  <c r="J9" i="6"/>
  <c r="J17" i="6"/>
  <c r="J18" i="6"/>
  <c r="J16" i="6"/>
  <c r="LX12" i="6"/>
  <c r="LX16" i="6"/>
  <c r="J6" i="6"/>
  <c r="J11" i="6"/>
  <c r="J12" i="6"/>
  <c r="J23" i="6"/>
  <c r="J19" i="6"/>
  <c r="LX23" i="6"/>
  <c r="LX11" i="6"/>
  <c r="LX6" i="6"/>
  <c r="LX20" i="6"/>
  <c r="LX17" i="6"/>
  <c r="H23" i="6" l="1"/>
  <c r="I23" i="6" s="1"/>
  <c r="H19" i="6"/>
  <c r="I19" i="6" s="1"/>
  <c r="H6" i="6"/>
  <c r="I6" i="6" s="1"/>
  <c r="H11" i="6"/>
  <c r="I11" i="6" s="1"/>
  <c r="H18" i="6"/>
  <c r="I18" i="6" s="1"/>
  <c r="H12" i="6"/>
  <c r="I12" i="6" s="1"/>
  <c r="H16" i="6"/>
  <c r="I16" i="6" s="1"/>
  <c r="H9" i="6"/>
  <c r="I9" i="6" s="1"/>
  <c r="H20" i="6"/>
  <c r="I20" i="6" s="1"/>
  <c r="H17" i="6"/>
  <c r="I17" i="6" s="1"/>
  <c r="L16" i="6"/>
  <c r="M16" i="6" s="1"/>
  <c r="K16" i="6"/>
  <c r="K23" i="6"/>
  <c r="L23" i="6"/>
  <c r="M23" i="6" s="1"/>
  <c r="K18" i="6"/>
  <c r="L18" i="6"/>
  <c r="M18" i="6" s="1"/>
  <c r="K12" i="6"/>
  <c r="L12" i="6"/>
  <c r="M12" i="6" s="1"/>
  <c r="K20" i="6"/>
  <c r="L20" i="6"/>
  <c r="M20" i="6" s="1"/>
  <c r="K19" i="6"/>
  <c r="L19" i="6"/>
  <c r="M19" i="6" s="1"/>
  <c r="K17" i="6"/>
  <c r="L17" i="6"/>
  <c r="M17" i="6" s="1"/>
  <c r="L9" i="6"/>
  <c r="M9" i="6" s="1"/>
  <c r="K9" i="6"/>
  <c r="K11" i="6"/>
  <c r="L11" i="6"/>
  <c r="M11" i="6" s="1"/>
  <c r="L6" i="6"/>
  <c r="M6" i="6" s="1"/>
  <c r="K6" i="6"/>
  <c r="MN5" i="9"/>
  <c r="MN9" i="9"/>
  <c r="MN8" i="9"/>
  <c r="MN7" i="9"/>
  <c r="MN4" i="9"/>
  <c r="NI4" i="4"/>
  <c r="G4" i="4" s="1"/>
  <c r="F4" i="4" s="1"/>
  <c r="NI6" i="4"/>
  <c r="G6" i="4" s="1"/>
  <c r="F6" i="4" s="1"/>
  <c r="NI8" i="4"/>
  <c r="G8" i="4" s="1"/>
  <c r="F8" i="4" s="1"/>
  <c r="NI23" i="4"/>
  <c r="G23" i="4" s="1"/>
  <c r="F23" i="4" s="1"/>
  <c r="NI10" i="4"/>
  <c r="G10" i="4" s="1"/>
  <c r="F10" i="4" s="1"/>
  <c r="NI11" i="4"/>
  <c r="G11" i="4" s="1"/>
  <c r="F11" i="4" s="1"/>
  <c r="NI21" i="4"/>
  <c r="G21" i="4" s="1"/>
  <c r="F21" i="4" s="1"/>
  <c r="NI15" i="4"/>
  <c r="G15" i="4" s="1"/>
  <c r="F15" i="4" s="1"/>
  <c r="NI19" i="4"/>
  <c r="G19" i="4" s="1"/>
  <c r="F19" i="4" s="1"/>
  <c r="NI5" i="4"/>
  <c r="G5" i="4" s="1"/>
  <c r="F5" i="4" s="1"/>
  <c r="NI9" i="4"/>
  <c r="G9" i="4" s="1"/>
  <c r="F9" i="4" s="1"/>
  <c r="NI25" i="4"/>
  <c r="G25" i="4" s="1"/>
  <c r="F25" i="4" s="1"/>
  <c r="NI17" i="4"/>
  <c r="G17" i="4" s="1"/>
  <c r="F17" i="4" s="1"/>
  <c r="NI24" i="4"/>
  <c r="G24" i="4" s="1"/>
  <c r="F24" i="4" s="1"/>
  <c r="G8" i="9" l="1"/>
  <c r="F8" i="9" s="1"/>
  <c r="G9" i="9"/>
  <c r="F9" i="9" s="1"/>
  <c r="G5" i="9"/>
  <c r="F5" i="9" s="1"/>
  <c r="G4" i="9"/>
  <c r="F4" i="9" s="1"/>
  <c r="G7" i="9"/>
  <c r="F7" i="9" s="1"/>
  <c r="CF23" i="6"/>
  <c r="L4" i="8"/>
  <c r="M4" i="8" s="1"/>
  <c r="L7" i="7"/>
  <c r="M7" i="7" s="1"/>
  <c r="L6" i="7"/>
  <c r="M6" i="7" s="1"/>
  <c r="L8" i="7"/>
  <c r="M8" i="7" s="1"/>
  <c r="Q4" i="9"/>
  <c r="R4" i="9" s="1"/>
  <c r="Q7" i="9"/>
  <c r="R7" i="9" s="1"/>
  <c r="Q8" i="9"/>
  <c r="R8" i="9" s="1"/>
  <c r="Q9" i="9"/>
  <c r="R9" i="9" s="1"/>
  <c r="Q5" i="9"/>
  <c r="R5" i="9" s="1"/>
  <c r="Q15" i="4" l="1"/>
  <c r="R15" i="4" s="1"/>
  <c r="Q6" i="4"/>
  <c r="R6" i="4" s="1"/>
  <c r="Q4" i="4"/>
  <c r="R4" i="4" s="1"/>
  <c r="Q24" i="4"/>
  <c r="R24" i="4" s="1"/>
  <c r="Q8" i="4"/>
  <c r="R8" i="4" s="1"/>
  <c r="Q25" i="4"/>
  <c r="R25" i="4" s="1"/>
  <c r="Q17" i="4"/>
  <c r="R17" i="4" s="1"/>
  <c r="Q23" i="4"/>
  <c r="R23" i="4" s="1"/>
  <c r="Q10" i="4"/>
  <c r="R10" i="4" s="1"/>
  <c r="Q5" i="4"/>
  <c r="R5" i="4" s="1"/>
  <c r="Q11" i="4"/>
  <c r="R11" i="4" s="1"/>
  <c r="Q19" i="4"/>
  <c r="R19" i="4" s="1"/>
  <c r="Q9" i="4"/>
  <c r="R9" i="4" s="1"/>
  <c r="Q21" i="4"/>
  <c r="R21" i="4" s="1"/>
  <c r="CE6" i="7"/>
  <c r="K8" i="9" l="1"/>
  <c r="L8" i="9" s="1"/>
  <c r="K4" i="9"/>
  <c r="L4" i="9" s="1"/>
  <c r="K7" i="9"/>
  <c r="L7" i="9" s="1"/>
  <c r="K9" i="9"/>
  <c r="L9" i="9" s="1"/>
  <c r="K5" i="9"/>
  <c r="L5" i="9" s="1"/>
  <c r="CF19" i="6"/>
  <c r="CF16" i="6"/>
  <c r="CF18" i="6"/>
  <c r="CF11" i="6"/>
  <c r="CF17" i="6"/>
  <c r="CF20" i="6"/>
  <c r="CF6" i="6"/>
  <c r="CF12" i="6"/>
  <c r="CF9" i="6"/>
  <c r="CE8" i="7"/>
  <c r="CE7" i="7"/>
  <c r="CE4" i="8"/>
  <c r="M5" i="4" l="1"/>
  <c r="L5" i="4"/>
  <c r="L25" i="4"/>
  <c r="M25" i="4"/>
  <c r="L11" i="4"/>
  <c r="M11" i="4"/>
  <c r="L10" i="4"/>
  <c r="M10" i="4"/>
  <c r="M21" i="4"/>
  <c r="L21" i="4"/>
  <c r="L24" i="4"/>
  <c r="M24" i="4"/>
  <c r="M23" i="4"/>
  <c r="L23" i="4"/>
  <c r="M17" i="4"/>
  <c r="L17" i="4"/>
  <c r="L4" i="4"/>
  <c r="M8" i="4"/>
  <c r="L8" i="4"/>
  <c r="M9" i="4"/>
  <c r="L9" i="4"/>
  <c r="M15" i="4"/>
  <c r="L15" i="4"/>
  <c r="L19" i="4"/>
  <c r="M19" i="4"/>
  <c r="L6" i="4"/>
  <c r="M6" i="4"/>
  <c r="M4" i="9"/>
  <c r="O4" i="9"/>
  <c r="O7" i="9"/>
  <c r="M7" i="9"/>
  <c r="M8" i="9"/>
  <c r="N8" i="9" s="1"/>
  <c r="O8" i="9"/>
  <c r="P8" i="9" s="1"/>
  <c r="O5" i="9"/>
  <c r="P5" i="9" s="1"/>
  <c r="M5" i="9"/>
  <c r="N5" i="9" s="1"/>
  <c r="O9" i="9"/>
  <c r="P9" i="9" s="1"/>
  <c r="M9" i="9"/>
  <c r="N9" i="9" s="1"/>
  <c r="N10" i="4" l="1"/>
  <c r="N25" i="4"/>
  <c r="N21" i="4"/>
  <c r="N6" i="4"/>
  <c r="N24" i="4"/>
  <c r="N19" i="4"/>
  <c r="N17" i="4"/>
  <c r="N11" i="4"/>
  <c r="N8" i="4"/>
  <c r="N4" i="4"/>
  <c r="N23" i="4"/>
  <c r="N15" i="4"/>
  <c r="N9" i="4"/>
  <c r="N5" i="4"/>
  <c r="N7" i="9"/>
  <c r="P7" i="9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CE20" i="6" l="1"/>
  <c r="MO7" i="9"/>
  <c r="MP7" i="9"/>
  <c r="MS7" i="9"/>
  <c r="H7" i="9" l="1"/>
  <c r="CE18" i="6"/>
  <c r="CP7" i="9"/>
  <c r="CN7" i="9"/>
  <c r="CM7" i="9"/>
  <c r="MQ7" i="9"/>
  <c r="J7" i="9" s="1"/>
  <c r="I7" i="9" l="1"/>
  <c r="A7" i="9" a="1"/>
  <c r="A7" i="9" s="1"/>
  <c r="MT7" i="9"/>
  <c r="CO7" i="9"/>
  <c r="N20" i="6"/>
  <c r="P20" i="6" s="1"/>
  <c r="N18" i="6"/>
  <c r="P18" i="6" s="1"/>
  <c r="O18" i="6" l="1"/>
  <c r="O20" i="6"/>
  <c r="E20" i="6"/>
  <c r="E18" i="6"/>
  <c r="NJ4" i="4"/>
  <c r="NK4" i="4"/>
  <c r="NN4" i="4"/>
  <c r="DI4" i="4" l="1"/>
  <c r="H4" i="4"/>
  <c r="DH4" i="4"/>
  <c r="DK4" i="4"/>
  <c r="S7" i="9"/>
  <c r="NL4" i="4"/>
  <c r="J4" i="4" s="1"/>
  <c r="I4" i="4" l="1"/>
  <c r="NO4" i="4"/>
  <c r="T7" i="9"/>
  <c r="U7" i="9"/>
  <c r="DJ4" i="4"/>
  <c r="E7" i="9"/>
  <c r="MO8" i="9"/>
  <c r="MP8" i="9"/>
  <c r="MS8" i="9"/>
  <c r="H8" i="9" l="1"/>
  <c r="CP8" i="9"/>
  <c r="CN8" i="9"/>
  <c r="CM8" i="9"/>
  <c r="S4" i="4"/>
  <c r="U4" i="4" s="1"/>
  <c r="MQ8" i="9"/>
  <c r="J8" i="9" s="1"/>
  <c r="I8" i="9" l="1"/>
  <c r="A8" i="9" a="1"/>
  <c r="A8" i="9" s="1"/>
  <c r="MT8" i="9"/>
  <c r="CO8" i="9"/>
  <c r="T4" i="4"/>
  <c r="E4" i="4"/>
  <c r="S8" i="9" l="1"/>
  <c r="U8" i="9" s="1"/>
  <c r="T8" i="9" l="1"/>
  <c r="E8" i="9"/>
  <c r="LW8" i="7" l="1"/>
  <c r="LT8" i="7"/>
  <c r="LW6" i="7"/>
  <c r="LT6" i="7"/>
  <c r="LW4" i="8"/>
  <c r="LT4" i="8"/>
  <c r="F6" i="7" l="1"/>
  <c r="F8" i="7"/>
  <c r="F4" i="8"/>
  <c r="CF4" i="8"/>
  <c r="CF6" i="7"/>
  <c r="CF8" i="7"/>
  <c r="LX6" i="7"/>
  <c r="LX8" i="7"/>
  <c r="LX4" i="8"/>
  <c r="NN10" i="4"/>
  <c r="NK10" i="4"/>
  <c r="NJ10" i="4"/>
  <c r="NN15" i="4"/>
  <c r="NK15" i="4"/>
  <c r="NJ15" i="4"/>
  <c r="NN25" i="4"/>
  <c r="NK25" i="4"/>
  <c r="NJ25" i="4"/>
  <c r="NN24" i="4"/>
  <c r="NK24" i="4"/>
  <c r="NJ24" i="4"/>
  <c r="NN17" i="4"/>
  <c r="NK17" i="4"/>
  <c r="NJ17" i="4"/>
  <c r="H8" i="7" l="1"/>
  <c r="I8" i="7" s="1"/>
  <c r="H6" i="7"/>
  <c r="I6" i="7" s="1"/>
  <c r="H4" i="8"/>
  <c r="I4" i="8" s="1"/>
  <c r="H24" i="4"/>
  <c r="H15" i="4"/>
  <c r="A6" i="7"/>
  <c r="N6" i="7"/>
  <c r="P6" i="7" s="1"/>
  <c r="DH24" i="4"/>
  <c r="DH15" i="4"/>
  <c r="DI15" i="4"/>
  <c r="DH25" i="4"/>
  <c r="DI17" i="4"/>
  <c r="DI25" i="4"/>
  <c r="DI10" i="4"/>
  <c r="DI24" i="4"/>
  <c r="DK24" i="4"/>
  <c r="DK25" i="4"/>
  <c r="DK15" i="4"/>
  <c r="DH17" i="4"/>
  <c r="DK17" i="4"/>
  <c r="N8" i="7"/>
  <c r="P8" i="7" s="1"/>
  <c r="DH10" i="4"/>
  <c r="DK10" i="4"/>
  <c r="NL17" i="4"/>
  <c r="NL10" i="4"/>
  <c r="NL25" i="4"/>
  <c r="NL24" i="4"/>
  <c r="J24" i="4" s="1"/>
  <c r="NL15" i="4"/>
  <c r="J15" i="4" s="1"/>
  <c r="H17" i="4" l="1"/>
  <c r="J17" i="4"/>
  <c r="H25" i="4"/>
  <c r="I25" i="4" s="1"/>
  <c r="J25" i="4"/>
  <c r="H10" i="4"/>
  <c r="I10" i="4" s="1"/>
  <c r="J10" i="4"/>
  <c r="I15" i="4"/>
  <c r="A24" i="4" a="1"/>
  <c r="A24" i="4" s="1"/>
  <c r="I24" i="4"/>
  <c r="NO25" i="4"/>
  <c r="NO10" i="4"/>
  <c r="NO17" i="4"/>
  <c r="NO24" i="4"/>
  <c r="NO15" i="4"/>
  <c r="O6" i="7"/>
  <c r="E6" i="7"/>
  <c r="CE16" i="6"/>
  <c r="O8" i="7"/>
  <c r="CE11" i="6"/>
  <c r="E8" i="7"/>
  <c r="DJ10" i="4"/>
  <c r="DJ17" i="4"/>
  <c r="DJ24" i="4"/>
  <c r="DJ25" i="4"/>
  <c r="DJ15" i="4"/>
  <c r="I17" i="4" l="1"/>
  <c r="A25" i="4" a="1"/>
  <c r="A25" i="4" s="1"/>
  <c r="A17" i="4" a="1"/>
  <c r="A17" i="4" s="1"/>
  <c r="S24" i="4"/>
  <c r="U24" i="4" s="1"/>
  <c r="S25" i="4"/>
  <c r="U25" i="4" s="1"/>
  <c r="S17" i="4"/>
  <c r="U17" i="4" s="1"/>
  <c r="N16" i="6"/>
  <c r="P16" i="6" s="1"/>
  <c r="O16" i="6" l="1"/>
  <c r="T17" i="4"/>
  <c r="E17" i="4"/>
  <c r="T24" i="4"/>
  <c r="E24" i="4"/>
  <c r="T25" i="4"/>
  <c r="E25" i="4"/>
  <c r="N4" i="8"/>
  <c r="P4" i="8" s="1"/>
  <c r="S15" i="4"/>
  <c r="U15" i="4" s="1"/>
  <c r="E16" i="6"/>
  <c r="N11" i="6"/>
  <c r="P11" i="6" s="1"/>
  <c r="NJ11" i="4"/>
  <c r="NK11" i="4"/>
  <c r="NN11" i="4"/>
  <c r="NJ6" i="4"/>
  <c r="NK6" i="4"/>
  <c r="NN6" i="4"/>
  <c r="NJ23" i="4"/>
  <c r="NK23" i="4"/>
  <c r="NN23" i="4"/>
  <c r="NJ8" i="4"/>
  <c r="NK8" i="4"/>
  <c r="NN8" i="4"/>
  <c r="NJ21" i="4"/>
  <c r="NK21" i="4"/>
  <c r="NN21" i="4"/>
  <c r="NJ5" i="4"/>
  <c r="NK5" i="4"/>
  <c r="NN5" i="4"/>
  <c r="NJ19" i="4"/>
  <c r="NK19" i="4"/>
  <c r="NN19" i="4"/>
  <c r="NJ9" i="4"/>
  <c r="NK9" i="4"/>
  <c r="NN9" i="4"/>
  <c r="MS5" i="9"/>
  <c r="MO9" i="9"/>
  <c r="MP9" i="9"/>
  <c r="MS9" i="9"/>
  <c r="MP5" i="9"/>
  <c r="MO5" i="9"/>
  <c r="LW7" i="7"/>
  <c r="LT7" i="7"/>
  <c r="H9" i="9" l="1"/>
  <c r="H5" i="9"/>
  <c r="H21" i="4"/>
  <c r="I21" i="4" s="1"/>
  <c r="F7" i="7"/>
  <c r="O4" i="8"/>
  <c r="O11" i="6"/>
  <c r="DK19" i="4"/>
  <c r="DI5" i="4"/>
  <c r="DK21" i="4"/>
  <c r="DK8" i="4"/>
  <c r="DH8" i="4"/>
  <c r="DI23" i="4"/>
  <c r="CF7" i="7"/>
  <c r="CN5" i="9"/>
  <c r="CM9" i="9"/>
  <c r="CM5" i="9"/>
  <c r="CP9" i="9"/>
  <c r="CN9" i="9"/>
  <c r="CP5" i="9"/>
  <c r="DH21" i="4"/>
  <c r="DH19" i="4"/>
  <c r="DK6" i="4"/>
  <c r="DH6" i="4"/>
  <c r="DH23" i="4"/>
  <c r="DH11" i="4"/>
  <c r="DK9" i="4"/>
  <c r="DH9" i="4"/>
  <c r="DI19" i="4"/>
  <c r="DK5" i="4"/>
  <c r="DH5" i="4"/>
  <c r="DI21" i="4"/>
  <c r="DI8" i="4"/>
  <c r="DK23" i="4"/>
  <c r="DI6" i="4"/>
  <c r="DK11" i="4"/>
  <c r="DI9" i="4"/>
  <c r="DI11" i="4"/>
  <c r="S10" i="4"/>
  <c r="U10" i="4" s="1"/>
  <c r="T15" i="4"/>
  <c r="E15" i="4"/>
  <c r="E4" i="8"/>
  <c r="A5" i="8" s="1"/>
  <c r="E11" i="6"/>
  <c r="MQ5" i="9"/>
  <c r="J5" i="9" s="1"/>
  <c r="MQ9" i="9"/>
  <c r="J9" i="9" s="1"/>
  <c r="NL11" i="4"/>
  <c r="NL9" i="4"/>
  <c r="NL8" i="4"/>
  <c r="LX7" i="7"/>
  <c r="NL21" i="4"/>
  <c r="J21" i="4" s="1"/>
  <c r="NL5" i="4"/>
  <c r="NL23" i="4"/>
  <c r="NL6" i="4"/>
  <c r="NL19" i="4"/>
  <c r="H7" i="7" l="1"/>
  <c r="I7" i="7" s="1"/>
  <c r="A5" i="9" a="1"/>
  <c r="A5" i="9" s="1"/>
  <c r="I5" i="9"/>
  <c r="I9" i="9"/>
  <c r="A9" i="9" a="1"/>
  <c r="A9" i="9" s="1"/>
  <c r="H5" i="4"/>
  <c r="I5" i="4" s="1"/>
  <c r="J5" i="4"/>
  <c r="H9" i="4"/>
  <c r="I9" i="4" s="1"/>
  <c r="J9" i="4"/>
  <c r="H8" i="4"/>
  <c r="I8" i="4" s="1"/>
  <c r="J8" i="4"/>
  <c r="H11" i="4"/>
  <c r="I11" i="4" s="1"/>
  <c r="J11" i="4"/>
  <c r="H19" i="4"/>
  <c r="I19" i="4" s="1"/>
  <c r="J19" i="4"/>
  <c r="H6" i="4"/>
  <c r="J6" i="4"/>
  <c r="H23" i="4"/>
  <c r="I23" i="4" s="1"/>
  <c r="J23" i="4"/>
  <c r="NO11" i="4"/>
  <c r="NO5" i="4"/>
  <c r="NO21" i="4"/>
  <c r="NO23" i="4"/>
  <c r="NO8" i="4"/>
  <c r="NO6" i="4"/>
  <c r="NO19" i="4"/>
  <c r="NO9" i="4"/>
  <c r="MT9" i="9"/>
  <c r="MT5" i="9"/>
  <c r="A7" i="7"/>
  <c r="CE23" i="6"/>
  <c r="CE17" i="6"/>
  <c r="CE6" i="6"/>
  <c r="CE12" i="6"/>
  <c r="CE19" i="6"/>
  <c r="CE9" i="6"/>
  <c r="N7" i="7"/>
  <c r="P7" i="7" s="1"/>
  <c r="CO9" i="9"/>
  <c r="CO5" i="9"/>
  <c r="DJ8" i="4"/>
  <c r="DJ23" i="4"/>
  <c r="DJ19" i="4"/>
  <c r="DJ11" i="4"/>
  <c r="DJ9" i="4"/>
  <c r="DJ6" i="4"/>
  <c r="DJ21" i="4"/>
  <c r="DJ5" i="4"/>
  <c r="T10" i="4"/>
  <c r="E10" i="4"/>
  <c r="I6" i="4" l="1"/>
  <c r="A23" i="4" a="1"/>
  <c r="A23" i="4" s="1"/>
  <c r="A19" i="4" a="1"/>
  <c r="A19" i="4" s="1"/>
  <c r="A11" i="4" a="1"/>
  <c r="A11" i="4" s="1"/>
  <c r="O7" i="7"/>
  <c r="E7" i="7"/>
  <c r="A5" i="7" s="1"/>
  <c r="N9" i="6"/>
  <c r="N6" i="6"/>
  <c r="P6" i="6" s="1"/>
  <c r="N19" i="6"/>
  <c r="P19" i="6" s="1"/>
  <c r="P9" i="6" l="1"/>
  <c r="E9" i="6"/>
  <c r="O19" i="6"/>
  <c r="O6" i="6"/>
  <c r="O9" i="6"/>
  <c r="E19" i="6"/>
  <c r="N17" i="6"/>
  <c r="P17" i="6" s="1"/>
  <c r="N12" i="6"/>
  <c r="P12" i="6" s="1"/>
  <c r="N23" i="6"/>
  <c r="P23" i="6" s="1"/>
  <c r="S5" i="9"/>
  <c r="U5" i="9" s="1"/>
  <c r="S8" i="4"/>
  <c r="U8" i="4" s="1"/>
  <c r="E6" i="6"/>
  <c r="S9" i="4"/>
  <c r="U9" i="4" s="1"/>
  <c r="S19" i="4"/>
  <c r="U19" i="4" s="1"/>
  <c r="S5" i="4"/>
  <c r="U5" i="4" s="1"/>
  <c r="O12" i="6" l="1"/>
  <c r="O17" i="6"/>
  <c r="O23" i="6"/>
  <c r="T8" i="4"/>
  <c r="E8" i="4"/>
  <c r="S6" i="4"/>
  <c r="U6" i="4" s="1"/>
  <c r="S11" i="4"/>
  <c r="U11" i="4" s="1"/>
  <c r="T5" i="4"/>
  <c r="E5" i="4"/>
  <c r="T9" i="4"/>
  <c r="E9" i="4"/>
  <c r="T19" i="4"/>
  <c r="E19" i="4"/>
  <c r="S21" i="4"/>
  <c r="U21" i="4" s="1"/>
  <c r="S23" i="4"/>
  <c r="U23" i="4" s="1"/>
  <c r="S9" i="9"/>
  <c r="T5" i="9"/>
  <c r="E23" i="6"/>
  <c r="A23" i="6" s="1"/>
  <c r="E12" i="6"/>
  <c r="A7" i="6" s="1"/>
  <c r="E17" i="6"/>
  <c r="A10" i="6" s="1"/>
  <c r="E5" i="9"/>
  <c r="A4" i="6" l="1"/>
  <c r="A8" i="6"/>
  <c r="A5" i="6"/>
  <c r="A7" i="8"/>
  <c r="A6" i="8"/>
  <c r="A11" i="6"/>
  <c r="A17" i="6"/>
  <c r="A12" i="6"/>
  <c r="A6" i="6"/>
  <c r="A16" i="6"/>
  <c r="A9" i="6"/>
  <c r="A19" i="6"/>
  <c r="A20" i="6"/>
  <c r="A18" i="6"/>
  <c r="A4" i="7"/>
  <c r="T9" i="9"/>
  <c r="U9" i="9"/>
  <c r="T11" i="4"/>
  <c r="E11" i="4"/>
  <c r="T23" i="4"/>
  <c r="E23" i="4"/>
  <c r="T6" i="4"/>
  <c r="E6" i="4"/>
  <c r="A7" i="4" s="1" a="1"/>
  <c r="A7" i="4" s="1"/>
  <c r="T21" i="4"/>
  <c r="E21" i="4"/>
  <c r="E9" i="9"/>
  <c r="A4" i="9" s="1" a="1"/>
  <c r="A4" i="9" s="1"/>
  <c r="C19" i="11" l="1"/>
  <c r="A9" i="4" a="1"/>
  <c r="A9" i="4" s="1"/>
  <c r="A8" i="4" a="1"/>
  <c r="A8" i="4" s="1"/>
  <c r="A4" i="4" a="1"/>
  <c r="A4" i="4" s="1"/>
  <c r="A5" i="4" a="1"/>
  <c r="A5" i="4" s="1"/>
  <c r="C42" i="11"/>
  <c r="C43" i="11"/>
  <c r="C44" i="11"/>
  <c r="C45" i="11"/>
  <c r="C46" i="11"/>
  <c r="C47" i="11"/>
  <c r="C48" i="11"/>
  <c r="C49" i="11"/>
  <c r="A21" i="4" a="1"/>
  <c r="A21" i="4" s="1"/>
  <c r="A16" i="4" a="1"/>
  <c r="A16" i="4" s="1"/>
  <c r="A15" i="4" a="1"/>
  <c r="A15" i="4" s="1"/>
  <c r="A6" i="4" a="1"/>
  <c r="A6" i="4" s="1"/>
  <c r="A10" i="4" a="1"/>
  <c r="A10" i="4" s="1"/>
  <c r="D43" i="11"/>
  <c r="D44" i="11"/>
  <c r="D45" i="11"/>
  <c r="D49" i="11"/>
  <c r="D42" i="11"/>
  <c r="D46" i="11"/>
  <c r="D47" i="11"/>
  <c r="D48" i="11"/>
  <c r="A4" i="8"/>
  <c r="A8" i="7"/>
  <c r="C26" i="11" s="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<sst xmlns="http://schemas.openxmlformats.org/spreadsheetml/2006/main" count="3918" uniqueCount="195">
  <si>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</si>
  <si>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</si>
  <si>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</si>
  <si>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</si>
  <si>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</si>
  <si>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</si>
  <si>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</si>
  <si>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</si>
  <si>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</si>
  <si>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</si>
  <si>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</si>
  <si>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</si>
  <si>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</si>
  <si>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</si>
  <si>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</si>
  <si>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</si>
  <si>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</si>
  <si>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</si>
  <si>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</si>
  <si>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</si>
  <si>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</si>
  <si>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</si>
  <si>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</si>
  <si>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</si>
  <si>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</si>
  <si>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</si>
  <si>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</si>
  <si>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</si>
  <si>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</si>
  <si>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</si>
  <si>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</si>
  <si>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</si>
  <si>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</si>
  <si>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</si>
  <si>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</si>
  <si>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</si>
  <si>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</si>
  <si>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</si>
  <si>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</si>
  <si>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</si>
  <si>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</si>
  <si>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</si>
  <si>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</si>
  <si>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</si>
  <si>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</si>
  <si>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</si>
  <si>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</si>
  <si>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</si>
  <si>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</si>
  <si>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</si>
  <si>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SUNDQUIST, Callum</t>
  </si>
  <si>
    <t>LEFAIVRE, Justin</t>
  </si>
  <si>
    <t>SHEEHAN, Ryan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</si>
  <si>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</si>
  <si>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</si>
  <si>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</si>
  <si>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</si>
  <si>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</si>
  <si>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</si>
  <si>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</si>
  <si>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</si>
  <si>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</si>
  <si>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</si>
  <si>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</si>
  <si>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</si>
  <si>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</si>
  <si>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</si>
  <si>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</si>
  <si>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</si>
  <si>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</si>
  <si>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</si>
  <si>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</si>
  <si>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</si>
  <si>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</si>
  <si>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</si>
  <si>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</si>
  <si>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</si>
  <si>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</si>
  <si>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</si>
  <si>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</si>
  <si>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</si>
  <si>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</si>
  <si>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</si>
  <si>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</si>
  <si>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</si>
  <si>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HIPEL, Zoe</t>
  </si>
  <si>
    <t>ZEUNER, Michael</t>
  </si>
  <si>
    <t>Injury</t>
  </si>
  <si>
    <t>P</t>
  </si>
  <si>
    <t>Injury Score</t>
  </si>
  <si>
    <t>Year of Birth</t>
  </si>
  <si>
    <t>2001/1999</t>
  </si>
  <si>
    <t>Select</t>
  </si>
  <si>
    <t>Delete oldest domestic trial</t>
  </si>
  <si>
    <t>Add a new athlete to:</t>
  </si>
  <si>
    <t>CHARTIER, Jérémy</t>
  </si>
  <si>
    <t>MOULD, Blake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</si>
  <si>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</si>
  <si>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</si>
  <si>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</si>
  <si>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</si>
  <si>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</si>
  <si>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</si>
  <si>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</si>
  <si>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</si>
  <si>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</si>
  <si>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</si>
  <si>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</si>
  <si>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</si>
  <si>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</si>
  <si>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</si>
  <si>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</si>
  <si>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</si>
  <si>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Potential Injury Score</t>
  </si>
  <si>
    <t>FRIGON, Charles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</si>
  <si>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</si>
  <si>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</si>
  <si>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</si>
  <si>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</si>
  <si>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</si>
  <si>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</si>
  <si>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</si>
  <si>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</si>
  <si>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</si>
  <si>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</si>
  <si>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</si>
  <si>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</si>
  <si>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</si>
  <si>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</si>
  <si>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</si>
  <si>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</si>
  <si>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</si>
  <si>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</si>
  <si>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</si>
  <si>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</si>
  <si>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</si>
  <si>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</si>
  <si>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</si>
  <si>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</si>
  <si>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</si>
  <si>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</si>
  <si>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</si>
  <si>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</si>
  <si>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CHARTIER &amp; SOEHN</t>
  </si>
  <si>
    <t>Delete oldest international competitions</t>
  </si>
  <si>
    <t>2020 World Cup AZE (Feb 15)</t>
  </si>
  <si>
    <t>2020 World Cup AZE (Feb 16)</t>
  </si>
  <si>
    <t>1998/1992</t>
  </si>
  <si>
    <t>QC/BC</t>
  </si>
  <si>
    <t>MÉTHOT &amp; SMITH</t>
  </si>
  <si>
    <t>NS</t>
  </si>
  <si>
    <t>DWYER, Kai</t>
  </si>
  <si>
    <t>AUBIN, Rémi</t>
  </si>
  <si>
    <t>FLYNN, Gabby</t>
  </si>
  <si>
    <t>DODD, Kristina</t>
  </si>
  <si>
    <t>NB</t>
  </si>
  <si>
    <t>RICHARD, Dexter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</si>
  <si>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</si>
  <si>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</si>
  <si>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</si>
  <si>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</si>
  <si>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</si>
  <si>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</si>
  <si>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</si>
  <si>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</si>
  <si>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</si>
  <si>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</si>
  <si>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</si>
  <si>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</si>
  <si>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*Changed manually for 2021 rules</t>
  </si>
  <si>
    <t>*Bonham and Flynn should have excellence score (but not DD)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</si>
  <si>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</si>
  <si>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</si>
  <si>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</si>
  <si>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</si>
  <si>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</si>
  <si>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</si>
  <si>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</si>
  <si>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</si>
  <si>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</si>
  <si>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</si>
  <si>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</si>
  <si>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</si>
  <si>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</si>
  <si>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</si>
  <si>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</si>
  <si>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</si>
  <si>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</si>
  <si>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</si>
  <si>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</si>
  <si>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</si>
  <si>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</si>
  <si>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</si>
  <si>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2020 World Cup AZE</t>
  </si>
  <si>
    <t>2021 2nd Technical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</si>
</sst>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64</v>
      </c>
      <c r="B1" t="s">
        <v>1</v>
      </c>
      <c r="C1" t="s">
        <v>66</v>
      </c>
      <c r="D1" s="126" t="s">
        <v>16</v>
      </c>
      <c r="E1" s="52"/>
      <c r="F1" s="52"/>
      <c r="J1" s="52"/>
      <c r="K1" s="52"/>
      <c r="L1" s="52"/>
    </row>
    <row r="2" spans="1:12" x14ac:dyDescent="0.2">
      <c r="A2" s="10" t="s">
        <v>65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Merit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SHUH, Nathan</v>
      </c>
      <c r="D3" s="122" t="str">
        <f>IF(B3&gt;MAX('TRA-M'!A:A),"",INDEX('TRA-M'!I:I,MATCH(B3,'TRA-M'!A:A,0)))</f>
        <v>Worlds Team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Excellence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AUBIN, Rémi</v>
      </c>
      <c r="D5" s="12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SÉROUART, Guillaume</v>
      </c>
      <c r="D7" s="122" t="str">
        <f>IF(B7&gt;MAX('TRA-M'!A:A),"",INDEX('TRA-M'!I:I,MATCH(B7,'TRA-M'!A:A,0)))</f>
        <v>National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BLAKELY, Zachary</v>
      </c>
      <c r="D8" s="122" t="str">
        <f>IF(B8&gt;MAX('TRA-M'!A:A),"",INDEX('TRA-M'!I:I,MATCH(B8,'TRA-M'!A:A,0)))</f>
        <v>National Team</v>
      </c>
      <c r="G8" s="53"/>
    </row>
    <row r="9" spans="1:12" x14ac:dyDescent="0.2">
      <c r="A9" s="10"/>
      <c r="B9" s="10">
        <v>8</v>
      </c>
      <c r="C9" s="10" t="str">
        <f>IF(B9&gt;MAX('TRA-M'!A:A),"",INDEX('TRA-M'!B:B,MATCH(B9,'TRA-M'!A:A,0)))</f>
        <v>LAGACÉ, Benjamin</v>
      </c>
      <c r="D9" s="122" t="str">
        <f>IF(B9&gt;MAX('TRA-M'!A:A),"",INDEX('TRA-M'!I:I,MATCH(B9,'TRA-M'!A:A,0)))</f>
        <v>National Team</v>
      </c>
    </row>
    <row r="10" spans="1:12" x14ac:dyDescent="0.2">
      <c r="A10" s="13" t="s">
        <v>68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SMITH, Samantha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MÉTHOT, Sophiane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TAM, Rachel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MADIGAN, Mariah</v>
      </c>
      <c r="D15" s="128" t="str">
        <f>IF(B7&gt;MAX('TRA-W'!A:A),"",INDEX('TRA-W'!I:I,MATCH(B7,'TRA-W'!A:A,0)))</f>
        <v>Worlds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BERTHIAUME, Sara-Jade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CIRONE, Domenica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69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70</v>
      </c>
      <c r="B22" s="13">
        <v>1</v>
      </c>
      <c r="C22" s="13" t="str">
        <f>IF(B2&gt;MAX('SYN-W'!A:A),"",INDEX('SYN-W'!B:B,MATCH(B2,'SYN-W'!A:A,0)))</f>
        <v>MILETTE &amp; TAM</v>
      </c>
      <c r="D22" s="123" t="str">
        <f>IF(B2&gt;MAX('SYN-W'!A:A),"",INDEX('SYN-W'!I:I,MATCH(B2,'SYN-W'!A:A,0)))</f>
        <v>National Team</v>
      </c>
    </row>
    <row r="23" spans="1:10" x14ac:dyDescent="0.2">
      <c r="A23" s="13"/>
      <c r="B23" s="13">
        <v>2</v>
      </c>
      <c r="C23" s="13" t="str">
        <f>IF(B3&gt;MAX('SYN-W'!A:A),"",INDEX('SYN-W'!B:B,MATCH(B3,'SYN-W'!A:A,0)))</f>
        <v>MADIGAN &amp; NAGANO</v>
      </c>
      <c r="D23" s="128" t="str">
        <f>IF(B3&gt;MAX('SYN-W'!A:A),"",INDEX('SYN-W'!I:I,MATCH(B3,'SYN-W'!A:A,0)))</f>
        <v>No DD</v>
      </c>
    </row>
    <row r="24" spans="1:10" x14ac:dyDescent="0.2">
      <c r="A24" s="13"/>
      <c r="B24" s="13">
        <v>3</v>
      </c>
      <c r="C24" s="13" t="str">
        <f>IF(B4&gt;MAX('SYN-W'!A:A),"",INDEX('SYN-W'!B:B,MATCH(B4,'SYN-W'!A:A,0)))</f>
        <v>BONHAM &amp; FLYNN</v>
      </c>
      <c r="D24" s="128" t="str">
        <f>IF(B4&gt;MAX('SYN-W'!A:A),"",INDEX('SYN-W'!I:I,MATCH(B4,'SYN-W'!A:A,0)))</f>
        <v>No DD</v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71</v>
      </c>
      <c r="B26" s="10">
        <v>1</v>
      </c>
      <c r="C26" s="10" t="str">
        <f>IF(B2&gt;MAX('TUM-M'!A:A),"",INDEX('TUM-M'!B:B,MATCH(B2,'TUM-M'!A:A,0)))</f>
        <v>FERNANDES, Antonio</v>
      </c>
      <c r="D26" s="122" t="str">
        <f>IF(B2&gt;MAX('TUM-M'!A:A),"",INDEX('TUM-M'!H:H,MATCH(B2,'TUM-M'!A:A,0)))</f>
        <v>Worlds Team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122" t="str">
        <f>IF(B3&gt;MAX('TUM-M'!A:A),"",INDEX('TUM-M'!H:H,MATCH(B3,'TUM-M'!A:A,0)))</f>
        <v>National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72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Excellence</v>
      </c>
    </row>
    <row r="35" spans="1:4" x14ac:dyDescent="0.2">
      <c r="A35" s="13"/>
      <c r="B35" s="13">
        <v>2</v>
      </c>
      <c r="C35" s="13" t="str">
        <f>IF(B3&gt;MAX('TUM-W'!A:A),"",INDEX('TUM-W'!B:B,MATCH(B3,'TUM-W'!A:A,0)))</f>
        <v>SPENCE, Abby</v>
      </c>
      <c r="D35" s="123" t="str">
        <f>IF(B3&gt;MAX('TUM-W'!A:A),"",INDEX('TUM-W'!H:H,MATCH(B3,'TUM-W'!A:A,0)))</f>
        <v>National Team</v>
      </c>
    </row>
    <row r="36" spans="1:4" x14ac:dyDescent="0.2">
      <c r="A36" s="13"/>
      <c r="B36" s="13">
        <v>3</v>
      </c>
      <c r="C36" s="13" t="str">
        <f>IF(B4&gt;MAX('TUM-W'!A:A),"",INDEX('TUM-W'!B:B,MATCH(B4,'TUM-W'!A:A,0)))</f>
        <v>HARRISON, Emily</v>
      </c>
      <c r="D36" s="123" t="str">
        <f>IF(B4&gt;MAX('TUM-W'!A:A),"",INDEX('TUM-W'!H:H,MATCH(B4,'TUM-W'!A:A,0)))</f>
        <v>Worlds Team</v>
      </c>
    </row>
    <row r="37" spans="1:4" x14ac:dyDescent="0.2">
      <c r="A37" s="13"/>
      <c r="B37" s="13">
        <v>4</v>
      </c>
      <c r="C37" s="13" t="str">
        <f>IF(B5&gt;MAX('TUM-W'!A:A),"",INDEX('TUM-W'!B:B,MATCH(B5,'TUM-W'!A:A,0)))</f>
        <v>PILLINGER, Taylor</v>
      </c>
      <c r="D37" s="123" t="str">
        <f>IF(B5&gt;MAX('TUM-W'!A:A),"",INDEX('TUM-W'!H:H,MATCH(B5,'TUM-W'!A:A,0)))</f>
        <v>No DD</v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73</v>
      </c>
      <c r="B42" s="10">
        <v>1</v>
      </c>
      <c r="C42" s="10" t="str">
        <f>IF(B2&gt;MAX('DMT-M'!A:A),"",INDEX('DMT-M'!B:B,MATCH(B2,'DMT-M'!A:A,0)))</f>
        <v>DODD, Gavin</v>
      </c>
      <c r="D42" s="122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122" t="str">
        <f>IF(B4&gt;MAX('DMT-M'!A:A),"",INDEX('DMT-M'!H:H,MATCH(B4,'DMT-M'!A:A,0)))</f>
        <v>National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PEDERSEN, Mitchel</v>
      </c>
      <c r="D46" s="122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BRUNO, Mario</v>
      </c>
      <c r="D47" s="122" t="str">
        <f>IF(B7&gt;MAX('DMT-M'!A:A),"",INDEX('DMT-M'!H:H,MATCH(B7,'DMT-M'!A:A,0)))</f>
        <v>Excellence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FERNANDES, Antonio</v>
      </c>
      <c r="D48" s="122" t="str">
        <f>IF(B8&gt;MAX('DMT-M'!A:A),"",INDEX('DMT-M'!H:H,MATCH(B8,'DMT-M'!A:A,0)))</f>
        <v>Worlds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CHATEAUVERT, Émile</v>
      </c>
      <c r="D49" s="122" t="str">
        <f>IF(B9&gt;MAX('DMT-M'!A:A),"",INDEX('DMT-M'!H:H,MATCH(B9,'DMT-M'!A:A,0)))</f>
        <v>National Team</v>
      </c>
    </row>
    <row r="50" spans="1:5" x14ac:dyDescent="0.2">
      <c r="A50" s="13" t="s">
        <v>74</v>
      </c>
      <c r="B50" s="13">
        <v>1</v>
      </c>
      <c r="C50" s="13" t="str">
        <f>IF(B2&gt;MAX('DMT-W'!A:A),"",INDEX('DMT-W'!B:B,MATCH(B2,'DMT-W'!A:A,0)))</f>
        <v>ROUX, Laurence</v>
      </c>
      <c r="D50" s="123" t="str">
        <f>IF(B2&gt;MAX('DMT-W'!A:A),"",INDEX('DMT-W'!H:H,MATCH(B2,'DMT-W'!A:A,0)))</f>
        <v>Excellence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FLYNN, Gabby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PHANEUF, Zoe</v>
      </c>
      <c r="D52" s="123" t="str">
        <f>IF(B4&gt;MAX('DMT-W'!A:A),"",INDEX('DMT-W'!H:H,MATCH(B4,'DMT-W'!A:A,0)))</f>
        <v>National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BROWN, Hannah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MILLER-BURKO, Jordyn</v>
      </c>
      <c r="D54" s="123" t="str">
        <f>IF(B6&gt;MAX('DMT-W'!A:A),"",INDEX('DMT-W'!H:H,MATCH(B6,'DMT-W'!A:A,0)))</f>
        <v>Merit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SOEHN, Kalena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60</v>
      </c>
    </row>
    <row r="60" spans="1:5" x14ac:dyDescent="0.2">
      <c r="B60" s="52" t="s">
        <v>58</v>
      </c>
    </row>
    <row r="61" spans="1:5" x14ac:dyDescent="0.2">
      <c r="B61" s="52" t="s">
        <v>59</v>
      </c>
    </row>
    <row r="62" spans="1:5" x14ac:dyDescent="0.2">
      <c r="B62" s="26" t="s">
        <v>94</v>
      </c>
      <c r="D62" s="52" t="s">
        <v>92</v>
      </c>
    </row>
    <row r="63" spans="1:5" x14ac:dyDescent="0.2">
      <c r="B63" s="26" t="s">
        <v>127</v>
      </c>
      <c r="D63" s="52" t="s">
        <v>92</v>
      </c>
      <c r="E63" t="s">
        <v>92</v>
      </c>
    </row>
    <row r="64" spans="1:5" x14ac:dyDescent="0.2">
      <c r="B64" s="52" t="s">
        <v>93</v>
      </c>
      <c r="D64" s="52"/>
    </row>
    <row r="65" spans="1:4" x14ac:dyDescent="0.2">
      <c r="B65" s="52" t="s">
        <v>144</v>
      </c>
      <c r="D65" s="52"/>
    </row>
    <row r="66" spans="1:4" x14ac:dyDescent="0.2">
      <c r="A66" t="s">
        <v>67</v>
      </c>
      <c r="B66" s="134">
        <v>44314</v>
      </c>
      <c r="C66" s="134"/>
    </row>
    <row r="67" spans="1:4" x14ac:dyDescent="0.2">
      <c r="B67" s="107" t="s">
        <v>194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171</v>
      </c>
      <c r="G1" s="140" t="s">
        <v>167</v>
      </c>
      <c r="H1" s="140" t="s">
        <v>168</v>
      </c>
      <c r="I1" s="140" t="s">
        <v>16</v>
      </c>
      <c r="J1" s="140" t="s">
        <v>180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166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128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 t="s">
        <v>160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7" t="s">
        <v>182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9" t="s">
        <v>21</v>
      </c>
      <c r="DI1" s="139"/>
      <c r="DJ1" s="139"/>
      <c r="DK1" s="139"/>
      <c r="DL1" s="137" t="s">
        <v>145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7" t="s">
        <v>113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162</v>
      </c>
      <c r="AG2" s="136"/>
      <c r="AH2" s="136"/>
      <c r="AI2" s="136"/>
      <c r="AJ2" s="136"/>
      <c r="AK2" s="136" t="s">
        <v>30</v>
      </c>
      <c r="AL2" s="136"/>
      <c r="AM2" s="136"/>
      <c r="AN2" s="136"/>
      <c r="AO2" s="136"/>
      <c r="AP2" s="77"/>
      <c r="AQ2" s="9" t="s">
        <v>28</v>
      </c>
      <c r="AR2" s="9" t="s">
        <v>164</v>
      </c>
      <c r="AS2" s="9" t="s">
        <v>29</v>
      </c>
      <c r="AT2" s="9" t="s">
        <v>165</v>
      </c>
      <c r="AU2" s="9" t="s">
        <v>163</v>
      </c>
      <c r="AV2" s="9" t="s">
        <v>31</v>
      </c>
      <c r="AW2" s="9" t="s">
        <v>126</v>
      </c>
      <c r="AX2" s="9" t="s">
        <v>30</v>
      </c>
      <c r="AY2" s="9" t="s">
        <v>25</v>
      </c>
      <c r="AZ2" s="135" t="s">
        <v>26</v>
      </c>
      <c r="BA2" s="135"/>
      <c r="BB2" s="135"/>
      <c r="BC2" s="135"/>
      <c r="BD2" s="135"/>
      <c r="BE2" s="135" t="s">
        <v>27</v>
      </c>
      <c r="BF2" s="135"/>
      <c r="BG2" s="135"/>
      <c r="BH2" s="135"/>
      <c r="BI2" s="135"/>
      <c r="BJ2" s="135" t="s">
        <v>162</v>
      </c>
      <c r="BK2" s="135"/>
      <c r="BL2" s="135"/>
      <c r="BM2" s="135"/>
      <c r="BN2" s="135"/>
      <c r="BO2" s="135" t="s">
        <v>30</v>
      </c>
      <c r="BP2" s="135"/>
      <c r="BQ2" s="135"/>
      <c r="BR2" s="135"/>
      <c r="BS2" s="135"/>
      <c r="BT2" s="76"/>
      <c r="BU2" s="12" t="s">
        <v>28</v>
      </c>
      <c r="BV2" s="12" t="s">
        <v>164</v>
      </c>
      <c r="BW2" s="12" t="s">
        <v>29</v>
      </c>
      <c r="BX2" s="12" t="s">
        <v>165</v>
      </c>
      <c r="BY2" s="12" t="s">
        <v>163</v>
      </c>
      <c r="BZ2" s="12" t="s">
        <v>31</v>
      </c>
      <c r="CA2" s="12" t="s">
        <v>126</v>
      </c>
      <c r="CB2" s="12" t="s">
        <v>30</v>
      </c>
      <c r="CC2" s="12" t="s">
        <v>25</v>
      </c>
      <c r="CD2" s="136" t="s">
        <v>26</v>
      </c>
      <c r="CE2" s="136"/>
      <c r="CF2" s="136"/>
      <c r="CG2" s="136"/>
      <c r="CH2" s="136"/>
      <c r="CI2" s="136" t="s">
        <v>27</v>
      </c>
      <c r="CJ2" s="136"/>
      <c r="CK2" s="136"/>
      <c r="CL2" s="136"/>
      <c r="CM2" s="136"/>
      <c r="CN2" s="136" t="s">
        <v>162</v>
      </c>
      <c r="CO2" s="136"/>
      <c r="CP2" s="136"/>
      <c r="CQ2" s="136"/>
      <c r="CR2" s="136"/>
      <c r="CS2" s="136" t="s">
        <v>30</v>
      </c>
      <c r="CT2" s="136"/>
      <c r="CU2" s="136"/>
      <c r="CV2" s="136"/>
      <c r="CW2" s="136"/>
      <c r="CX2" s="109"/>
      <c r="CY2" s="9" t="s">
        <v>28</v>
      </c>
      <c r="CZ2" s="9" t="s">
        <v>164</v>
      </c>
      <c r="DA2" s="9" t="s">
        <v>29</v>
      </c>
      <c r="DB2" s="9" t="s">
        <v>165</v>
      </c>
      <c r="DC2" s="9" t="s">
        <v>163</v>
      </c>
      <c r="DD2" s="9" t="s">
        <v>31</v>
      </c>
      <c r="DE2" s="9" t="s">
        <v>126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6" t="s">
        <v>26</v>
      </c>
      <c r="DM2" s="136"/>
      <c r="DN2" s="136"/>
      <c r="DO2" s="136"/>
      <c r="DP2" s="136"/>
      <c r="DQ2" s="136" t="s">
        <v>27</v>
      </c>
      <c r="DR2" s="136"/>
      <c r="DS2" s="136"/>
      <c r="DT2" s="136"/>
      <c r="DU2" s="136"/>
      <c r="DV2" s="136" t="s">
        <v>30</v>
      </c>
      <c r="DW2" s="136"/>
      <c r="DX2" s="136"/>
      <c r="DY2" s="136"/>
      <c r="DZ2" s="136"/>
      <c r="EA2" s="35" t="s">
        <v>104</v>
      </c>
      <c r="EB2" s="9" t="s">
        <v>28</v>
      </c>
      <c r="EC2" s="9" t="s">
        <v>29</v>
      </c>
      <c r="ED2" s="9" t="s">
        <v>31</v>
      </c>
      <c r="EE2" s="9" t="s">
        <v>126</v>
      </c>
      <c r="EF2" s="9" t="s">
        <v>30</v>
      </c>
      <c r="EG2" s="9" t="s">
        <v>25</v>
      </c>
      <c r="EH2" s="135" t="s">
        <v>26</v>
      </c>
      <c r="EI2" s="135"/>
      <c r="EJ2" s="135"/>
      <c r="EK2" s="135"/>
      <c r="EL2" s="135"/>
      <c r="EM2" s="135" t="s">
        <v>27</v>
      </c>
      <c r="EN2" s="135"/>
      <c r="EO2" s="135"/>
      <c r="EP2" s="135"/>
      <c r="EQ2" s="135"/>
      <c r="ER2" s="135" t="s">
        <v>30</v>
      </c>
      <c r="ES2" s="135"/>
      <c r="ET2" s="135"/>
      <c r="EU2" s="135"/>
      <c r="EV2" s="135"/>
      <c r="EW2" s="36" t="s">
        <v>104</v>
      </c>
      <c r="EX2" s="12" t="s">
        <v>28</v>
      </c>
      <c r="EY2" s="12" t="s">
        <v>29</v>
      </c>
      <c r="EZ2" s="12" t="s">
        <v>31</v>
      </c>
      <c r="FA2" s="12" t="s">
        <v>126</v>
      </c>
      <c r="FB2" s="12" t="s">
        <v>30</v>
      </c>
      <c r="FC2" s="12" t="s">
        <v>25</v>
      </c>
      <c r="FD2" s="136" t="s">
        <v>26</v>
      </c>
      <c r="FE2" s="136"/>
      <c r="FF2" s="136"/>
      <c r="FG2" s="136"/>
      <c r="FH2" s="136"/>
      <c r="FI2" s="136" t="s">
        <v>27</v>
      </c>
      <c r="FJ2" s="136"/>
      <c r="FK2" s="136"/>
      <c r="FL2" s="136"/>
      <c r="FM2" s="136"/>
      <c r="FN2" s="136" t="s">
        <v>30</v>
      </c>
      <c r="FO2" s="136"/>
      <c r="FP2" s="136"/>
      <c r="FQ2" s="136"/>
      <c r="FR2" s="136"/>
      <c r="FS2" s="35" t="s">
        <v>104</v>
      </c>
      <c r="FT2" s="9" t="s">
        <v>28</v>
      </c>
      <c r="FU2" s="9" t="s">
        <v>29</v>
      </c>
      <c r="FV2" s="9" t="s">
        <v>31</v>
      </c>
      <c r="FW2" s="9" t="s">
        <v>126</v>
      </c>
      <c r="FX2" s="9" t="s">
        <v>30</v>
      </c>
      <c r="FY2" s="9" t="s">
        <v>25</v>
      </c>
      <c r="FZ2" s="135" t="s">
        <v>26</v>
      </c>
      <c r="GA2" s="135"/>
      <c r="GB2" s="135"/>
      <c r="GC2" s="135"/>
      <c r="GD2" s="135"/>
      <c r="GE2" s="135" t="s">
        <v>27</v>
      </c>
      <c r="GF2" s="135"/>
      <c r="GG2" s="135"/>
      <c r="GH2" s="135"/>
      <c r="GI2" s="135"/>
      <c r="GJ2" s="135" t="s">
        <v>30</v>
      </c>
      <c r="GK2" s="135"/>
      <c r="GL2" s="135"/>
      <c r="GM2" s="135"/>
      <c r="GN2" s="135"/>
      <c r="GO2" s="36" t="s">
        <v>104</v>
      </c>
      <c r="GP2" s="12" t="s">
        <v>28</v>
      </c>
      <c r="GQ2" s="12" t="s">
        <v>29</v>
      </c>
      <c r="GR2" s="12" t="s">
        <v>31</v>
      </c>
      <c r="GS2" s="12" t="s">
        <v>126</v>
      </c>
      <c r="GT2" s="12" t="s">
        <v>30</v>
      </c>
      <c r="GU2" s="12" t="s">
        <v>25</v>
      </c>
      <c r="GV2" s="136" t="s">
        <v>26</v>
      </c>
      <c r="GW2" s="136"/>
      <c r="GX2" s="136"/>
      <c r="GY2" s="136"/>
      <c r="GZ2" s="136"/>
      <c r="HA2" s="136" t="s">
        <v>27</v>
      </c>
      <c r="HB2" s="136"/>
      <c r="HC2" s="136"/>
      <c r="HD2" s="136"/>
      <c r="HE2" s="136"/>
      <c r="HF2" s="136" t="s">
        <v>30</v>
      </c>
      <c r="HG2" s="136"/>
      <c r="HH2" s="136"/>
      <c r="HI2" s="136"/>
      <c r="HJ2" s="136"/>
      <c r="HK2" s="35" t="s">
        <v>104</v>
      </c>
      <c r="HL2" s="9" t="s">
        <v>28</v>
      </c>
      <c r="HM2" s="9" t="s">
        <v>29</v>
      </c>
      <c r="HN2" s="9" t="s">
        <v>31</v>
      </c>
      <c r="HO2" s="9" t="s">
        <v>126</v>
      </c>
      <c r="HP2" s="9" t="s">
        <v>30</v>
      </c>
      <c r="HQ2" s="9" t="s">
        <v>25</v>
      </c>
      <c r="HR2" s="135" t="s">
        <v>26</v>
      </c>
      <c r="HS2" s="135"/>
      <c r="HT2" s="135"/>
      <c r="HU2" s="135"/>
      <c r="HV2" s="135"/>
      <c r="HW2" s="135" t="s">
        <v>27</v>
      </c>
      <c r="HX2" s="135"/>
      <c r="HY2" s="135"/>
      <c r="HZ2" s="135"/>
      <c r="IA2" s="135"/>
      <c r="IB2" s="135" t="s">
        <v>30</v>
      </c>
      <c r="IC2" s="135"/>
      <c r="ID2" s="135"/>
      <c r="IE2" s="135"/>
      <c r="IF2" s="135"/>
      <c r="IG2" s="36" t="s">
        <v>104</v>
      </c>
      <c r="IH2" s="12" t="s">
        <v>28</v>
      </c>
      <c r="II2" s="12" t="s">
        <v>29</v>
      </c>
      <c r="IJ2" s="12" t="s">
        <v>31</v>
      </c>
      <c r="IK2" s="12" t="s">
        <v>126</v>
      </c>
      <c r="IL2" s="12" t="s">
        <v>30</v>
      </c>
      <c r="IM2" s="12" t="s">
        <v>25</v>
      </c>
      <c r="IN2" s="136" t="s">
        <v>26</v>
      </c>
      <c r="IO2" s="136"/>
      <c r="IP2" s="136"/>
      <c r="IQ2" s="136"/>
      <c r="IR2" s="136"/>
      <c r="IS2" s="136" t="s">
        <v>27</v>
      </c>
      <c r="IT2" s="136"/>
      <c r="IU2" s="136"/>
      <c r="IV2" s="136"/>
      <c r="IW2" s="136"/>
      <c r="IX2" s="136" t="s">
        <v>30</v>
      </c>
      <c r="IY2" s="136"/>
      <c r="IZ2" s="136"/>
      <c r="JA2" s="136"/>
      <c r="JB2" s="136"/>
      <c r="JC2" s="35" t="s">
        <v>104</v>
      </c>
      <c r="JD2" s="9" t="s">
        <v>28</v>
      </c>
      <c r="JE2" s="9" t="s">
        <v>29</v>
      </c>
      <c r="JF2" s="9" t="s">
        <v>31</v>
      </c>
      <c r="JG2" s="9" t="s">
        <v>126</v>
      </c>
      <c r="JH2" s="9" t="s">
        <v>30</v>
      </c>
      <c r="JI2" s="9" t="s">
        <v>25</v>
      </c>
      <c r="JJ2" s="135" t="s">
        <v>26</v>
      </c>
      <c r="JK2" s="135"/>
      <c r="JL2" s="135"/>
      <c r="JM2" s="135"/>
      <c r="JN2" s="135"/>
      <c r="JO2" s="135" t="s">
        <v>27</v>
      </c>
      <c r="JP2" s="135"/>
      <c r="JQ2" s="135"/>
      <c r="JR2" s="135"/>
      <c r="JS2" s="135"/>
      <c r="JT2" s="135" t="s">
        <v>30</v>
      </c>
      <c r="JU2" s="135"/>
      <c r="JV2" s="135"/>
      <c r="JW2" s="135"/>
      <c r="JX2" s="135"/>
      <c r="JY2" s="36" t="s">
        <v>104</v>
      </c>
      <c r="JZ2" s="12" t="s">
        <v>28</v>
      </c>
      <c r="KA2" s="12" t="s">
        <v>29</v>
      </c>
      <c r="KB2" s="12" t="s">
        <v>31</v>
      </c>
      <c r="KC2" s="12" t="s">
        <v>126</v>
      </c>
      <c r="KD2" s="12" t="s">
        <v>30</v>
      </c>
      <c r="KE2" s="12" t="s">
        <v>25</v>
      </c>
      <c r="KF2" s="136" t="s">
        <v>26</v>
      </c>
      <c r="KG2" s="136"/>
      <c r="KH2" s="136"/>
      <c r="KI2" s="136"/>
      <c r="KJ2" s="136"/>
      <c r="KK2" s="136" t="s">
        <v>27</v>
      </c>
      <c r="KL2" s="136"/>
      <c r="KM2" s="136"/>
      <c r="KN2" s="136"/>
      <c r="KO2" s="136"/>
      <c r="KP2" s="136" t="s">
        <v>30</v>
      </c>
      <c r="KQ2" s="136"/>
      <c r="KR2" s="136"/>
      <c r="KS2" s="136"/>
      <c r="KT2" s="136"/>
      <c r="KU2" s="35" t="s">
        <v>104</v>
      </c>
      <c r="KV2" s="9" t="s">
        <v>28</v>
      </c>
      <c r="KW2" s="9" t="s">
        <v>29</v>
      </c>
      <c r="KX2" s="9" t="s">
        <v>31</v>
      </c>
      <c r="KY2" s="9" t="s">
        <v>126</v>
      </c>
      <c r="KZ2" s="9" t="s">
        <v>30</v>
      </c>
      <c r="LA2" s="9" t="s">
        <v>25</v>
      </c>
      <c r="LB2" s="135" t="s">
        <v>26</v>
      </c>
      <c r="LC2" s="135"/>
      <c r="LD2" s="135"/>
      <c r="LE2" s="135"/>
      <c r="LF2" s="135"/>
      <c r="LG2" s="135" t="s">
        <v>27</v>
      </c>
      <c r="LH2" s="135"/>
      <c r="LI2" s="135"/>
      <c r="LJ2" s="135"/>
      <c r="LK2" s="135"/>
      <c r="LL2" s="135" t="s">
        <v>30</v>
      </c>
      <c r="LM2" s="135"/>
      <c r="LN2" s="135"/>
      <c r="LO2" s="135"/>
      <c r="LP2" s="135"/>
      <c r="LQ2" s="36" t="s">
        <v>104</v>
      </c>
      <c r="LR2" s="12" t="s">
        <v>28</v>
      </c>
      <c r="LS2" s="12" t="s">
        <v>29</v>
      </c>
      <c r="LT2" s="12" t="s">
        <v>31</v>
      </c>
      <c r="LU2" s="12" t="s">
        <v>126</v>
      </c>
      <c r="LV2" s="12" t="s">
        <v>30</v>
      </c>
      <c r="LW2" s="12" t="s">
        <v>25</v>
      </c>
      <c r="LX2" s="136" t="s">
        <v>26</v>
      </c>
      <c r="LY2" s="136"/>
      <c r="LZ2" s="136"/>
      <c r="MA2" s="136"/>
      <c r="MB2" s="136"/>
      <c r="MC2" s="136" t="s">
        <v>27</v>
      </c>
      <c r="MD2" s="136"/>
      <c r="ME2" s="136"/>
      <c r="MF2" s="136"/>
      <c r="MG2" s="136"/>
      <c r="MH2" s="136" t="s">
        <v>30</v>
      </c>
      <c r="MI2" s="136"/>
      <c r="MJ2" s="136"/>
      <c r="MK2" s="136"/>
      <c r="ML2" s="136"/>
      <c r="MM2" s="35" t="s">
        <v>104</v>
      </c>
      <c r="MN2" s="9" t="s">
        <v>28</v>
      </c>
      <c r="MO2" s="9" t="s">
        <v>29</v>
      </c>
      <c r="MP2" s="9" t="s">
        <v>31</v>
      </c>
      <c r="MQ2" s="9" t="s">
        <v>126</v>
      </c>
      <c r="MR2" s="9" t="s">
        <v>30</v>
      </c>
      <c r="MS2" s="9" t="s">
        <v>25</v>
      </c>
      <c r="MT2" s="135" t="s">
        <v>26</v>
      </c>
      <c r="MU2" s="135"/>
      <c r="MV2" s="135"/>
      <c r="MW2" s="135"/>
      <c r="MX2" s="135"/>
      <c r="MY2" s="135" t="s">
        <v>27</v>
      </c>
      <c r="MZ2" s="135"/>
      <c r="NA2" s="135"/>
      <c r="NB2" s="135"/>
      <c r="NC2" s="135"/>
      <c r="ND2" s="135" t="s">
        <v>30</v>
      </c>
      <c r="NE2" s="135"/>
      <c r="NF2" s="135"/>
      <c r="NG2" s="135"/>
      <c r="NH2" s="135"/>
      <c r="NI2" s="36" t="s">
        <v>104</v>
      </c>
      <c r="NJ2" s="12" t="s">
        <v>28</v>
      </c>
      <c r="NK2" s="12" t="s">
        <v>29</v>
      </c>
      <c r="NL2" s="12" t="s">
        <v>31</v>
      </c>
      <c r="NM2" s="12" t="s">
        <v>126</v>
      </c>
      <c r="NN2" s="12" t="s">
        <v>30</v>
      </c>
      <c r="NO2" s="12" t="s">
        <v>25</v>
      </c>
      <c r="NP2" s="136" t="s">
        <v>26</v>
      </c>
      <c r="NQ2" s="136"/>
      <c r="NR2" s="136"/>
      <c r="NS2" s="136"/>
      <c r="NT2" s="136"/>
      <c r="NU2" s="136" t="s">
        <v>27</v>
      </c>
      <c r="NV2" s="136"/>
      <c r="NW2" s="136"/>
      <c r="NX2" s="136"/>
      <c r="NY2" s="136"/>
      <c r="NZ2" s="136" t="s">
        <v>162</v>
      </c>
      <c r="OA2" s="136"/>
      <c r="OB2" s="136"/>
      <c r="OC2" s="136"/>
      <c r="OD2" s="136"/>
      <c r="OE2" s="136" t="s">
        <v>30</v>
      </c>
      <c r="OF2" s="136"/>
      <c r="OG2" s="136"/>
      <c r="OH2" s="136"/>
      <c r="OI2" s="136"/>
      <c r="OJ2" s="102"/>
      <c r="OK2" s="9" t="s">
        <v>28</v>
      </c>
      <c r="OL2" s="9" t="s">
        <v>164</v>
      </c>
      <c r="OM2" s="9" t="s">
        <v>29</v>
      </c>
      <c r="ON2" s="9" t="s">
        <v>165</v>
      </c>
      <c r="OO2" s="9" t="s">
        <v>163</v>
      </c>
      <c r="OP2" s="9" t="s">
        <v>31</v>
      </c>
      <c r="OQ2" s="9" t="s">
        <v>126</v>
      </c>
      <c r="OR2" s="9" t="s">
        <v>30</v>
      </c>
      <c r="OS2" s="9" t="s">
        <v>25</v>
      </c>
    </row>
    <row r="3" spans="1:409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35" t="s">
        <v>22</v>
      </c>
      <c r="W3" s="35" t="s">
        <v>23</v>
      </c>
      <c r="X3" s="35" t="s">
        <v>14</v>
      </c>
      <c r="Y3" s="35" t="s">
        <v>24</v>
      </c>
      <c r="Z3" s="46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35" t="s">
        <v>22</v>
      </c>
      <c r="AG3" s="35" t="s">
        <v>23</v>
      </c>
      <c r="AH3" s="35" t="s">
        <v>14</v>
      </c>
      <c r="AI3" s="35" t="s">
        <v>24</v>
      </c>
      <c r="AJ3" s="46" t="s">
        <v>44</v>
      </c>
      <c r="AK3" s="35" t="s">
        <v>22</v>
      </c>
      <c r="AL3" s="35" t="s">
        <v>23</v>
      </c>
      <c r="AM3" s="35" t="s">
        <v>14</v>
      </c>
      <c r="AN3" s="35" t="s">
        <v>24</v>
      </c>
      <c r="AO3" s="46" t="s">
        <v>44</v>
      </c>
      <c r="AP3" s="77" t="s">
        <v>87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22</v>
      </c>
      <c r="BA3" s="36" t="s">
        <v>23</v>
      </c>
      <c r="BB3" s="36" t="s">
        <v>14</v>
      </c>
      <c r="BC3" s="36" t="s">
        <v>24</v>
      </c>
      <c r="BD3" s="47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36" t="s">
        <v>22</v>
      </c>
      <c r="BK3" s="36" t="s">
        <v>23</v>
      </c>
      <c r="BL3" s="36" t="s">
        <v>14</v>
      </c>
      <c r="BM3" s="36" t="s">
        <v>24</v>
      </c>
      <c r="BN3" s="47" t="s">
        <v>44</v>
      </c>
      <c r="BO3" s="36" t="s">
        <v>22</v>
      </c>
      <c r="BP3" s="36" t="s">
        <v>23</v>
      </c>
      <c r="BQ3" s="36" t="s">
        <v>14</v>
      </c>
      <c r="BR3" s="47" t="s">
        <v>24</v>
      </c>
      <c r="BS3" s="36" t="s">
        <v>44</v>
      </c>
      <c r="BT3" s="76" t="s">
        <v>87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22</v>
      </c>
      <c r="CE3" s="109" t="s">
        <v>23</v>
      </c>
      <c r="CF3" s="109" t="s">
        <v>14</v>
      </c>
      <c r="CG3" s="109" t="s">
        <v>24</v>
      </c>
      <c r="CH3" s="109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09" t="s">
        <v>22</v>
      </c>
      <c r="CO3" s="109" t="s">
        <v>23</v>
      </c>
      <c r="CP3" s="109" t="s">
        <v>14</v>
      </c>
      <c r="CQ3" s="109" t="s">
        <v>24</v>
      </c>
      <c r="CR3" s="109" t="s">
        <v>44</v>
      </c>
      <c r="CS3" s="109" t="s">
        <v>22</v>
      </c>
      <c r="CT3" s="109" t="s">
        <v>23</v>
      </c>
      <c r="CU3" s="109" t="s">
        <v>14</v>
      </c>
      <c r="CV3" s="109" t="s">
        <v>24</v>
      </c>
      <c r="CW3" s="109" t="s">
        <v>44</v>
      </c>
      <c r="CX3" s="109" t="s">
        <v>87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22</v>
      </c>
      <c r="DM3" s="35" t="s">
        <v>23</v>
      </c>
      <c r="DN3" s="35" t="s">
        <v>14</v>
      </c>
      <c r="DO3" s="35" t="s">
        <v>24</v>
      </c>
      <c r="DP3" s="46" t="s">
        <v>44</v>
      </c>
      <c r="DQ3" s="35" t="s">
        <v>22</v>
      </c>
      <c r="DR3" s="35" t="s">
        <v>23</v>
      </c>
      <c r="DS3" s="35" t="s">
        <v>14</v>
      </c>
      <c r="DT3" s="35" t="s">
        <v>24</v>
      </c>
      <c r="DU3" s="46" t="s">
        <v>44</v>
      </c>
      <c r="DV3" s="35" t="s">
        <v>22</v>
      </c>
      <c r="DW3" s="35" t="s">
        <v>23</v>
      </c>
      <c r="DX3" s="35" t="s">
        <v>14</v>
      </c>
      <c r="DY3" s="35" t="s">
        <v>24</v>
      </c>
      <c r="DZ3" s="46" t="s">
        <v>44</v>
      </c>
      <c r="EA3" s="10"/>
      <c r="EB3" s="9"/>
      <c r="EC3" s="9"/>
      <c r="ED3" s="9"/>
      <c r="EE3" s="9"/>
      <c r="EF3" s="10"/>
      <c r="EG3" s="10"/>
      <c r="EH3" s="36" t="s">
        <v>22</v>
      </c>
      <c r="EI3" s="36" t="s">
        <v>23</v>
      </c>
      <c r="EJ3" s="36" t="s">
        <v>14</v>
      </c>
      <c r="EK3" s="36" t="s">
        <v>24</v>
      </c>
      <c r="EL3" s="47" t="s">
        <v>44</v>
      </c>
      <c r="EM3" s="36" t="s">
        <v>22</v>
      </c>
      <c r="EN3" s="36" t="s">
        <v>23</v>
      </c>
      <c r="EO3" s="36" t="s">
        <v>14</v>
      </c>
      <c r="EP3" s="36" t="s">
        <v>24</v>
      </c>
      <c r="EQ3" s="47" t="s">
        <v>44</v>
      </c>
      <c r="ER3" s="36" t="s">
        <v>22</v>
      </c>
      <c r="ES3" s="36" t="s">
        <v>23</v>
      </c>
      <c r="ET3" s="36" t="s">
        <v>14</v>
      </c>
      <c r="EU3" s="36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35" t="s">
        <v>22</v>
      </c>
      <c r="FE3" s="35" t="s">
        <v>23</v>
      </c>
      <c r="FF3" s="35" t="s">
        <v>14</v>
      </c>
      <c r="FG3" s="35" t="s">
        <v>24</v>
      </c>
      <c r="FH3" s="46" t="s">
        <v>44</v>
      </c>
      <c r="FI3" s="35" t="s">
        <v>22</v>
      </c>
      <c r="FJ3" s="35" t="s">
        <v>23</v>
      </c>
      <c r="FK3" s="35" t="s">
        <v>14</v>
      </c>
      <c r="FL3" s="35" t="s">
        <v>24</v>
      </c>
      <c r="FM3" s="46" t="s">
        <v>44</v>
      </c>
      <c r="FN3" s="35" t="s">
        <v>22</v>
      </c>
      <c r="FO3" s="35" t="s">
        <v>23</v>
      </c>
      <c r="FP3" s="35" t="s">
        <v>14</v>
      </c>
      <c r="FQ3" s="35" t="s">
        <v>24</v>
      </c>
      <c r="FR3" s="46" t="s">
        <v>44</v>
      </c>
      <c r="FS3" s="10"/>
      <c r="FT3" s="9"/>
      <c r="FU3" s="9"/>
      <c r="FV3" s="9"/>
      <c r="FW3" s="9"/>
      <c r="FX3" s="10"/>
      <c r="FY3" s="10"/>
      <c r="FZ3" s="36" t="s">
        <v>22</v>
      </c>
      <c r="GA3" s="36" t="s">
        <v>23</v>
      </c>
      <c r="GB3" s="36" t="s">
        <v>14</v>
      </c>
      <c r="GC3" s="36" t="s">
        <v>24</v>
      </c>
      <c r="GD3" s="47" t="s">
        <v>44</v>
      </c>
      <c r="GE3" s="36" t="s">
        <v>22</v>
      </c>
      <c r="GF3" s="36" t="s">
        <v>23</v>
      </c>
      <c r="GG3" s="36" t="s">
        <v>14</v>
      </c>
      <c r="GH3" s="36" t="s">
        <v>24</v>
      </c>
      <c r="GI3" s="47" t="s">
        <v>44</v>
      </c>
      <c r="GJ3" s="36" t="s">
        <v>22</v>
      </c>
      <c r="GK3" s="36" t="s">
        <v>23</v>
      </c>
      <c r="GL3" s="36" t="s">
        <v>14</v>
      </c>
      <c r="GM3" s="36" t="s">
        <v>24</v>
      </c>
      <c r="GN3" s="47" t="s">
        <v>44</v>
      </c>
      <c r="GO3" s="13"/>
      <c r="GP3" s="12"/>
      <c r="GQ3" s="12"/>
      <c r="GR3" s="12"/>
      <c r="GS3" s="12"/>
      <c r="GT3" s="13"/>
      <c r="GU3" s="13"/>
      <c r="GV3" s="35" t="s">
        <v>22</v>
      </c>
      <c r="GW3" s="35" t="s">
        <v>23</v>
      </c>
      <c r="GX3" s="35" t="s">
        <v>14</v>
      </c>
      <c r="GY3" s="35" t="s">
        <v>24</v>
      </c>
      <c r="GZ3" s="46" t="s">
        <v>44</v>
      </c>
      <c r="HA3" s="35" t="s">
        <v>22</v>
      </c>
      <c r="HB3" s="35" t="s">
        <v>23</v>
      </c>
      <c r="HC3" s="35" t="s">
        <v>14</v>
      </c>
      <c r="HD3" s="35" t="s">
        <v>24</v>
      </c>
      <c r="HE3" s="46" t="s">
        <v>44</v>
      </c>
      <c r="HF3" s="35" t="s">
        <v>22</v>
      </c>
      <c r="HG3" s="35" t="s">
        <v>23</v>
      </c>
      <c r="HH3" s="35" t="s">
        <v>14</v>
      </c>
      <c r="HI3" s="35" t="s">
        <v>24</v>
      </c>
      <c r="HJ3" s="46" t="s">
        <v>44</v>
      </c>
      <c r="HK3" s="10"/>
      <c r="HL3" s="9"/>
      <c r="HM3" s="9"/>
      <c r="HN3" s="9"/>
      <c r="HO3" s="9"/>
      <c r="HP3" s="10"/>
      <c r="HQ3" s="10"/>
      <c r="HR3" s="36" t="s">
        <v>22</v>
      </c>
      <c r="HS3" s="36" t="s">
        <v>23</v>
      </c>
      <c r="HT3" s="36" t="s">
        <v>14</v>
      </c>
      <c r="HU3" s="36" t="s">
        <v>24</v>
      </c>
      <c r="HV3" s="47" t="s">
        <v>44</v>
      </c>
      <c r="HW3" s="36" t="s">
        <v>22</v>
      </c>
      <c r="HX3" s="36" t="s">
        <v>23</v>
      </c>
      <c r="HY3" s="36" t="s">
        <v>14</v>
      </c>
      <c r="HZ3" s="36" t="s">
        <v>24</v>
      </c>
      <c r="IA3" s="47" t="s">
        <v>44</v>
      </c>
      <c r="IB3" s="36" t="s">
        <v>22</v>
      </c>
      <c r="IC3" s="36" t="s">
        <v>23</v>
      </c>
      <c r="ID3" s="36" t="s">
        <v>14</v>
      </c>
      <c r="IE3" s="36" t="s">
        <v>24</v>
      </c>
      <c r="IF3" s="47" t="s">
        <v>44</v>
      </c>
      <c r="IG3" s="13"/>
      <c r="IH3" s="12"/>
      <c r="II3" s="12"/>
      <c r="IJ3" s="12"/>
      <c r="IK3" s="12"/>
      <c r="IL3" s="13"/>
      <c r="IM3" s="13"/>
      <c r="IN3" s="35" t="s">
        <v>22</v>
      </c>
      <c r="IO3" s="35" t="s">
        <v>23</v>
      </c>
      <c r="IP3" s="35" t="s">
        <v>14</v>
      </c>
      <c r="IQ3" s="35" t="s">
        <v>24</v>
      </c>
      <c r="IR3" s="46" t="s">
        <v>44</v>
      </c>
      <c r="IS3" s="35" t="s">
        <v>22</v>
      </c>
      <c r="IT3" s="35" t="s">
        <v>23</v>
      </c>
      <c r="IU3" s="35" t="s">
        <v>14</v>
      </c>
      <c r="IV3" s="35" t="s">
        <v>24</v>
      </c>
      <c r="IW3" s="46" t="s">
        <v>44</v>
      </c>
      <c r="IX3" s="35" t="s">
        <v>22</v>
      </c>
      <c r="IY3" s="35" t="s">
        <v>23</v>
      </c>
      <c r="IZ3" s="35" t="s">
        <v>14</v>
      </c>
      <c r="JA3" s="35" t="s">
        <v>24</v>
      </c>
      <c r="JB3" s="46" t="s">
        <v>44</v>
      </c>
      <c r="JC3" s="10"/>
      <c r="JD3" s="9"/>
      <c r="JE3" s="9"/>
      <c r="JF3" s="9"/>
      <c r="JG3" s="9"/>
      <c r="JH3" s="10"/>
      <c r="JI3" s="10"/>
      <c r="JJ3" s="36" t="s">
        <v>22</v>
      </c>
      <c r="JK3" s="36" t="s">
        <v>23</v>
      </c>
      <c r="JL3" s="36" t="s">
        <v>14</v>
      </c>
      <c r="JM3" s="36" t="s">
        <v>24</v>
      </c>
      <c r="JN3" s="47" t="s">
        <v>44</v>
      </c>
      <c r="JO3" s="36" t="s">
        <v>22</v>
      </c>
      <c r="JP3" s="36" t="s">
        <v>23</v>
      </c>
      <c r="JQ3" s="36" t="s">
        <v>14</v>
      </c>
      <c r="JR3" s="36" t="s">
        <v>24</v>
      </c>
      <c r="JS3" s="47" t="s">
        <v>44</v>
      </c>
      <c r="JT3" s="36" t="s">
        <v>22</v>
      </c>
      <c r="JU3" s="36" t="s">
        <v>23</v>
      </c>
      <c r="JV3" s="36" t="s">
        <v>14</v>
      </c>
      <c r="JW3" s="36" t="s">
        <v>24</v>
      </c>
      <c r="JX3" s="47" t="s">
        <v>44</v>
      </c>
      <c r="JY3" s="13"/>
      <c r="JZ3" s="12"/>
      <c r="KA3" s="12"/>
      <c r="KB3" s="12"/>
      <c r="KC3" s="12"/>
      <c r="KD3" s="13"/>
      <c r="KE3" s="13"/>
      <c r="KF3" s="35" t="s">
        <v>22</v>
      </c>
      <c r="KG3" s="35" t="s">
        <v>23</v>
      </c>
      <c r="KH3" s="35" t="s">
        <v>14</v>
      </c>
      <c r="KI3" s="35" t="s">
        <v>24</v>
      </c>
      <c r="KJ3" s="46" t="s">
        <v>44</v>
      </c>
      <c r="KK3" s="35" t="s">
        <v>22</v>
      </c>
      <c r="KL3" s="35" t="s">
        <v>23</v>
      </c>
      <c r="KM3" s="35" t="s">
        <v>14</v>
      </c>
      <c r="KN3" s="35" t="s">
        <v>24</v>
      </c>
      <c r="KO3" s="46" t="s">
        <v>44</v>
      </c>
      <c r="KP3" s="35" t="s">
        <v>22</v>
      </c>
      <c r="KQ3" s="35" t="s">
        <v>23</v>
      </c>
      <c r="KR3" s="35" t="s">
        <v>14</v>
      </c>
      <c r="KS3" s="35" t="s">
        <v>24</v>
      </c>
      <c r="KT3" s="46" t="s">
        <v>44</v>
      </c>
      <c r="KU3" s="10"/>
      <c r="KV3" s="9"/>
      <c r="KW3" s="9"/>
      <c r="KX3" s="9"/>
      <c r="KY3" s="9"/>
      <c r="KZ3" s="10"/>
      <c r="LA3" s="10"/>
      <c r="LB3" s="36" t="s">
        <v>22</v>
      </c>
      <c r="LC3" s="36" t="s">
        <v>23</v>
      </c>
      <c r="LD3" s="36" t="s">
        <v>14</v>
      </c>
      <c r="LE3" s="36" t="s">
        <v>24</v>
      </c>
      <c r="LF3" s="47" t="s">
        <v>44</v>
      </c>
      <c r="LG3" s="36" t="s">
        <v>22</v>
      </c>
      <c r="LH3" s="36" t="s">
        <v>23</v>
      </c>
      <c r="LI3" s="36" t="s">
        <v>14</v>
      </c>
      <c r="LJ3" s="36" t="s">
        <v>24</v>
      </c>
      <c r="LK3" s="47" t="s">
        <v>44</v>
      </c>
      <c r="LL3" s="36" t="s">
        <v>22</v>
      </c>
      <c r="LM3" s="36" t="s">
        <v>23</v>
      </c>
      <c r="LN3" s="36" t="s">
        <v>14</v>
      </c>
      <c r="LO3" s="36" t="s">
        <v>24</v>
      </c>
      <c r="LP3" s="47" t="s">
        <v>44</v>
      </c>
      <c r="LQ3" s="13"/>
      <c r="LR3" s="12"/>
      <c r="LS3" s="12"/>
      <c r="LT3" s="12"/>
      <c r="LU3" s="12"/>
      <c r="LV3" s="13"/>
      <c r="LW3" s="13"/>
      <c r="LX3" s="35" t="s">
        <v>22</v>
      </c>
      <c r="LY3" s="35" t="s">
        <v>23</v>
      </c>
      <c r="LZ3" s="35" t="s">
        <v>14</v>
      </c>
      <c r="MA3" s="35" t="s">
        <v>24</v>
      </c>
      <c r="MB3" s="46" t="s">
        <v>44</v>
      </c>
      <c r="MC3" s="35" t="s">
        <v>22</v>
      </c>
      <c r="MD3" s="35" t="s">
        <v>23</v>
      </c>
      <c r="ME3" s="35" t="s">
        <v>14</v>
      </c>
      <c r="MF3" s="35" t="s">
        <v>24</v>
      </c>
      <c r="MG3" s="46" t="s">
        <v>44</v>
      </c>
      <c r="MH3" s="35" t="s">
        <v>22</v>
      </c>
      <c r="MI3" s="35" t="s">
        <v>23</v>
      </c>
      <c r="MJ3" s="35" t="s">
        <v>14</v>
      </c>
      <c r="MK3" s="35" t="s">
        <v>24</v>
      </c>
      <c r="ML3" s="46" t="s">
        <v>44</v>
      </c>
      <c r="MM3" s="10"/>
      <c r="MN3" s="9"/>
      <c r="MO3" s="9"/>
      <c r="MP3" s="9"/>
      <c r="MQ3" s="9"/>
      <c r="MR3" s="10"/>
      <c r="MS3" s="10"/>
      <c r="MT3" s="36" t="s">
        <v>22</v>
      </c>
      <c r="MU3" s="36" t="s">
        <v>23</v>
      </c>
      <c r="MV3" s="36" t="s">
        <v>14</v>
      </c>
      <c r="MW3" s="36" t="s">
        <v>24</v>
      </c>
      <c r="MX3" s="47" t="s">
        <v>44</v>
      </c>
      <c r="MY3" s="36" t="s">
        <v>22</v>
      </c>
      <c r="MZ3" s="36" t="s">
        <v>23</v>
      </c>
      <c r="NA3" s="36" t="s">
        <v>14</v>
      </c>
      <c r="NB3" s="36" t="s">
        <v>24</v>
      </c>
      <c r="NC3" s="47" t="s">
        <v>44</v>
      </c>
      <c r="ND3" s="36" t="s">
        <v>22</v>
      </c>
      <c r="NE3" s="36" t="s">
        <v>23</v>
      </c>
      <c r="NF3" s="36" t="s">
        <v>14</v>
      </c>
      <c r="NG3" s="36" t="s">
        <v>24</v>
      </c>
      <c r="NH3" s="47" t="s">
        <v>44</v>
      </c>
      <c r="NI3" s="13"/>
      <c r="NJ3" s="12"/>
      <c r="NK3" s="12"/>
      <c r="NL3" s="12"/>
      <c r="NM3" s="12"/>
      <c r="NN3" s="13"/>
      <c r="NO3" s="13"/>
      <c r="NP3" s="102" t="s">
        <v>22</v>
      </c>
      <c r="NQ3" s="102" t="s">
        <v>23</v>
      </c>
      <c r="NR3" s="102" t="s">
        <v>14</v>
      </c>
      <c r="NS3" s="102" t="s">
        <v>24</v>
      </c>
      <c r="NT3" s="10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02" t="s">
        <v>22</v>
      </c>
      <c r="OA3" s="102" t="s">
        <v>23</v>
      </c>
      <c r="OB3" s="102" t="s">
        <v>14</v>
      </c>
      <c r="OC3" s="102" t="s">
        <v>24</v>
      </c>
      <c r="OD3" s="102" t="s">
        <v>44</v>
      </c>
      <c r="OE3" s="102" t="s">
        <v>22</v>
      </c>
      <c r="OF3" s="102" t="s">
        <v>23</v>
      </c>
      <c r="OG3" s="102" t="s">
        <v>14</v>
      </c>
      <c r="OH3" s="102" t="s">
        <v>24</v>
      </c>
      <c r="OI3" s="102" t="s">
        <v>44</v>
      </c>
      <c r="OJ3" s="102" t="s">
        <v>87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IF(AND(G4&lt;&gt;"",H4&lt;&gt;""),SUMPRODUCT((G$4:G$27&lt;&gt;"")*(H$4:H$27&lt;&gt;"")*(E$4:E$27&gt;E4))+1,IF(H4&lt;&gt;"",SUMPRODUCT((I$4:I$27="No DD")*(E$4:E$27&gt;E4))+1+SUMPRODUCT((G$4:G$27&lt;&gt;"")*(H$4:H$27&lt;&gt;"")),""))</f>
        <v>1</v>
      </c>
      <c r="B4" s="6" t="s">
        <v>95</v>
      </c>
      <c r="C4" s="7" t="s">
        <v>10</v>
      </c>
      <c r="D4" s="7">
        <v>2001</v>
      </c>
      <c r="E4" s="15">
        <f t="shared" ref="E4:E26" si="0">SUM(K4:S4)</f>
        <v>283.48</v>
      </c>
      <c r="F4" s="3" t="str">
        <f t="shared" ref="F4:F26" si="1">IF(G4&lt;&gt;"","P","")</f>
        <v>P</v>
      </c>
      <c r="G4" s="125" t="str">
        <f t="shared" ref="G4:G26" si="2">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Merit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Excellence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Worlds Team",IF(OR(AND(AR4&gt;=AY$29,AR4&lt;&gt;"",AP4=""),AND(AT4&gt;=AY$29,AT4&lt;&gt;"",AP4=""),AND(AW4&gt;=AY$29,AW4&lt;&gt;"",AP4=""),AND(BV4&gt;=CC$29,BV4&lt;&gt;"",BT4=""),AND(BX4&gt;=CC$29,BX4&lt;&gt;"",BT4=""),AND(CA4&gt;=CC$29,CA4&lt;&gt;"",BT4=""),AND(CZ4&gt;=DG$29,CZ4&lt;&gt;"",CX4=""),AND(DB4&gt;=DG$29,DB4&lt;&gt;"",CX4=""),AND(DE4&gt;=DG$29,DE4&lt;&gt;"",CX4=""),AND(EA4&gt;=EG$29,EA4&lt;&gt;""),AND(EE4&gt;=EG$29,EE4&lt;&gt;""),AND(EW4&gt;=FC$29,EW4&lt;&gt;""),AND(FA4&gt;=FC$29,FA4&lt;&gt;""),AND(FS4&gt;=FY$29,FS4&lt;&gt;""),AND(FW4&gt;=FY$29,FW4&lt;&gt;""),AND(GO4&gt;=GU$29,GO4&lt;&gt;""),AND(GS4&gt;=GU$29,GS4&lt;&gt;""),AND(HK4&gt;=HQ$29,HK4&lt;&gt;""),AND(HO4&gt;=HQ$29,HO4&lt;&gt;""),AND(IG4&gt;=IM$29,IG4&lt;&gt;""),AND(IK4&gt;=IM$29,IK4&lt;&gt;""),AND(JC4&gt;=JI$29,JC4&lt;&gt;""),AND(JG4&gt;=JI$29,JG4&lt;&gt;""),AND(JY4&gt;=KE$29,JY4&lt;&gt;""),AND(KC4&gt;=KE$29,KC4&lt;&gt;""),AND(KU4&gt;=LA$29,KU4&lt;&gt;""),AND(KY4&gt;=LA$29,KY4&lt;&gt;""),AND(LQ4&gt;=LW$29,LQ4&lt;&gt;""),AND(LU4&gt;=LW$29,LU4&lt;&gt;""),AND(MM4&gt;=MS$29,MM4&lt;&gt;""),AND(MQ4&gt;=MS$29,MQ4&lt;&gt;""),AND(NI4&gt;=NO$29,NI4&lt;&gt;""),AND(NM4&gt;=NO$29,NM4&lt;&gt;"")),"National Team",""))))</f>
        <v>Merit</v>
      </c>
      <c r="H4" s="125" t="str">
        <f t="shared" ref="H4:H26" si="3">IF(OR(AND(AS4&gt;=AY$36,AS4&lt;&gt;"",AP4=""),AND(AU4&gt;=AY$36,AU4&lt;&gt;"",AP4=""),AND(AX4&gt;=AY$36,AX4&lt;&gt;"",AP4=""),AND(BW4&gt;=CC$36,BW4&lt;&gt;"",BT4=""),AND(BY4&gt;=CC$36,BY4&lt;&gt;"",BT4=""),AND(CB4&gt;=CC$36,CB4&lt;&gt;"",BT4=""),AND(DA4&gt;=DG$36,DA4&lt;&gt;"",CX4=""),AND(DC4&gt;=DG$36,DC4&lt;&gt;"",CX4=""),AND(DF4&gt;=DG$36,DF4&lt;&gt;"",CX4=""),AND(EC4&gt;=EG$36,EC4&lt;&gt;""),AND(EF4&gt;=EG$36,EF4&lt;&gt;""),AND(EY4&gt;=FC$36,EY4&lt;&gt;""),AND(FB4&gt;=FC$36,FB4&lt;&gt;""),AND(FU4&gt;=FY$36,FU4&lt;&gt;""),AND(FX4&gt;=FY$36,FX4&lt;&gt;""),AND(GQ4&gt;=GU$36,GQ4&lt;&gt;""),AND(GT4&gt;=GU$36,GT4&lt;&gt;""),AND(HM4&gt;=HQ$36,HM4&lt;&gt;""),AND(HP4&gt;=HQ$36,HP4&lt;&gt;""),AND(II4&gt;=IM$36,II4&lt;&gt;""),AND(IL4&gt;=IM$36,IL4&lt;&gt;""),AND(JE4&gt;=JI$36,JE4&lt;&gt;""),AND(JH4&gt;=JI$36,JH4&lt;&gt;""),AND(KA4&gt;=KE$36,KA4&lt;&gt;""),AND(KD4&gt;=KE$36,KD4&lt;&gt;""),AND(KW4&gt;=LA$36,KW4&lt;&gt;""),AND(KZ4&gt;=LA$36,KZ4&lt;&gt;""),AND(LS4&gt;=LW$36,LS4&lt;&gt;""),AND(LV4&gt;=LW$36,LV4&lt;&gt;""),AND(MO4&gt;=MS$36,MO4&lt;&gt;""),AND(MR4&gt;=MS$36,MR4&lt;&gt;""),AND(NK4&gt;=NO$36,NK4&lt;&gt;""),AND(NN4&gt;=NO$36,NN4&lt;&gt;"")),"Merit",IF(OR(AND(AS4&gt;=AY$35,AS4&lt;&gt;"",AP4=""),AND(AU4&gt;=AY$35,AU4&lt;&gt;"",AP4=""),AND(AX4&gt;=AY$35,AX4&lt;&gt;"",AP4=""),AND(BW4&gt;=CC$35,BW4&lt;&gt;"",BT4=""),AND(BY4&gt;=CC$35,BY4&lt;&gt;"",BT4=""),AND(CB4&gt;=CC$35,CB4&lt;&gt;"",BT4=""),AND(DA4&gt;=DG$35,DA4&lt;&gt;"",CX4=""),AND(DC4&gt;=DG$35,DC4&lt;&gt;"",CX4=""),AND(DF4&gt;=DG$35,DF4&lt;&gt;"",CX4=""),AND(EC4&gt;=EG$35,EC4&lt;&gt;""),AND(EF4&gt;=EG$35,EF4&lt;&gt;""),AND(EY4&gt;=FC$35,EY4&lt;&gt;""),AND(FB4&gt;=FC$35,FB4&lt;&gt;""),AND(FU4&gt;=FY$35,FU4&lt;&gt;""),AND(FX4&gt;=FY$35,FX4&lt;&gt;""),AND(GQ4&gt;=GU$35,GQ4&lt;&gt;""),AND(GT4&gt;=GU$35,GT4&lt;&gt;""),AND(HM4&gt;=HQ$35,HM4&lt;&gt;""),AND(HP4&gt;=HQ$35,HP4&lt;&gt;""),AND(II4&gt;=IM$35,II4&lt;&gt;""),AND(IL4&gt;=IM$35,IL4&lt;&gt;""),AND(JE4&gt;=JI$35,JE4&lt;&gt;""),AND(JH4&gt;=JI$35,JH4&lt;&gt;""),AND(KA4&gt;=KE$35,KA4&lt;&gt;""),AND(KD4&gt;=KE$35,KD4&lt;&gt;""),AND(KW4&gt;=LA$35,KW4&lt;&gt;""),AND(KZ4&gt;=LA$35,KZ4&lt;&gt;""),AND(LS4&gt;=LW$35,LS4&lt;&gt;""),AND(LV4&gt;=LW$35,LV4&lt;&gt;""),AND(MO4&gt;=MS$35,MO4&lt;&gt;""),AND(MR4&gt;=MS$35,MR4&lt;&gt;""),AND(NK4&gt;=NO$35,NK4&lt;&gt;""),AND(NN4&gt;=NO$35,NN4&lt;&gt;"")),"Excellence",IF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"Worlds Team",IF(OR(AND(AV4&gt;=AY$33,AV4&lt;&gt;"",AP4=""),AND(BZ4&gt;=CC$33,BZ4&lt;&gt;"",BT4=""),AND(DD4&gt;=DG$33,DD4&lt;&gt;"",CX4=""),AND(ED4&gt;=EG$33,ED4&lt;&gt;""),AND(EZ4&gt;=FC$33,EZ4&lt;&gt;""),AND(FV4&gt;=FY$33,FV4&lt;&gt;""),AND(GR4&gt;=GU$33,GR4&lt;&gt;""),AND(HN4&gt;=HQ$33,HN4&lt;&gt;""),AND(IJ4&gt;=IM$33,IJ4&lt;&gt;""),AND(JF4&gt;=JI$33,JF4&lt;&gt;""),AND(KB4&gt;=KE$33,KB4&lt;&gt;""),AND(KX4&gt;=LA$33,KX4&lt;&gt;""),AND(LT4&gt;=LW$33,LT4&lt;&gt;""),AND(MP4&gt;=MS$33,MP4&lt;&gt;""),AND(NL4&gt;=NO$33,NL4&lt;&gt;"")),"National Team",""))))</f>
        <v>Merit</v>
      </c>
      <c r="I4" s="126" t="str">
        <f t="shared" ref="I4:I26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 t="shared" ref="J4:J26" si="5">IF(AND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OR(G4="Worlds Team",G4="Excellence",G4="Merit")),"P","")</f>
        <v>P</v>
      </c>
      <c r="K4" s="14">
        <f t="shared" ref="K4:K26" si="6">IF(MAX(AV4,BZ4,DD4)&gt;0,MAX(AV4,BZ4,DD4),0)</f>
        <v>112.51</v>
      </c>
      <c r="L4" s="14" t="str">
        <f t="shared" ref="L4:L26" si="7">IF(K4=0,"",IF(K4=DD4,$CD$1,IF(K4=BZ4,$AZ$1,IF(K4=AV4,$V$1,""))))</f>
        <v>2019 Nationals</v>
      </c>
      <c r="M4" s="14">
        <f t="shared" ref="M4:M26" si="8">IF($K4=$AV4,MAX(BU4,CY4),IF($K4=$BZ4,MAX(AQ4,CY4),IF($K4=$DD4,MAX(AQ4,BU4),MAX(AQ4,BU4,CY4))))</f>
        <v>52.58</v>
      </c>
      <c r="N4" s="14" t="str">
        <f t="shared" ref="N4:N26" si="9">IF(M4=0,"",IF(AND(M4=CY4,$L4&lt;&gt;$CD$1),$CD$1,IF(AND(M4=BU4,$L4&lt;&gt;$AZ$1),$AZ$1,IF(AND(M4=AQ4,$L4&lt;&gt;$V$1),$V$1,""))))</f>
        <v>2021 1st Virtual Technical Trial</v>
      </c>
      <c r="O4" s="14">
        <f t="shared" ref="O4:O26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59.03</v>
      </c>
      <c r="P4" s="14" t="str">
        <f t="shared" ref="P4:P26" si="11">IF(O4=0,"",IF(OR(O4=DC4,O4=DA4),$CD$1,IF(OR(O4=BY4,O4=BW4),$AZ$1,IF(OR(O4=AU4,O4=AS4),$V$1,""))))</f>
        <v>2021 2nd Virtual Technical Trial</v>
      </c>
      <c r="Q4" s="14">
        <f t="shared" ref="Q4:Q26" si="12">MAX(AX4,CB4,DF4)</f>
        <v>59.36</v>
      </c>
      <c r="R4" s="14" t="str">
        <f t="shared" ref="R4:R26" si="13">IF(Q4=0,"",IF(Q4=DF4,$CD$1,IF(Q4=CB4,$AZ$1,IF(Q4=AX4,$V$1,""))))</f>
        <v>2021 2nd Virtual Technical Trial</v>
      </c>
      <c r="S4" s="14" t="str">
        <f t="shared" ref="S4:S26" si="14">IF(MAX(DH4,DI4,DJ4,DK4)&gt;0,MAX(DH4,DI4,DJ4,DK4),"")</f>
        <v/>
      </c>
      <c r="T4" s="25" t="str">
        <f t="shared" ref="T4:T26" si="15">IF(S4="","",IF(S4=DH4,"(Vol 1)",IF(S4=DI4,"(Vol 2)",IF(S4=DJ4,"(Prelim)",IF(S4=DK4,"(Final)")))))</f>
        <v/>
      </c>
      <c r="U4" s="14" t="str">
        <f t="shared" ref="U4:U26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9.3000000000000007</v>
      </c>
      <c r="X4" s="69">
        <v>5.7</v>
      </c>
      <c r="Y4" s="69">
        <v>18.62</v>
      </c>
      <c r="Z4" s="69">
        <v>0</v>
      </c>
      <c r="AA4" s="69">
        <v>17.600000000000001</v>
      </c>
      <c r="AB4" s="69">
        <v>9.1999999999999993</v>
      </c>
      <c r="AC4" s="69">
        <v>16.2</v>
      </c>
      <c r="AD4" s="69">
        <v>17.09</v>
      </c>
      <c r="AE4" s="69">
        <v>0</v>
      </c>
      <c r="AF4" s="69"/>
      <c r="AG4" s="69"/>
      <c r="AH4" s="69"/>
      <c r="AI4" s="69"/>
      <c r="AJ4" s="69"/>
      <c r="AK4" s="69">
        <v>15.14</v>
      </c>
      <c r="AL4" s="69">
        <v>8.5</v>
      </c>
      <c r="AM4" s="69">
        <v>14.8</v>
      </c>
      <c r="AN4" s="69">
        <v>15.414999999999999</v>
      </c>
      <c r="AO4" s="69">
        <v>0</v>
      </c>
      <c r="AP4" s="80"/>
      <c r="AQ4" s="11">
        <f t="shared" ref="AQ4:AQ26" si="17">IF(SUM(V4:Y4)-Z4&gt;0,SUM(V4:Y4)-Z4,"")</f>
        <v>52.42</v>
      </c>
      <c r="AR4" s="11">
        <f t="shared" ref="AR4:AR26" si="18">IF(AC4&gt;0,AC4,"")</f>
        <v>16.2</v>
      </c>
      <c r="AS4" s="11">
        <f t="shared" ref="AS4:AS26" si="19">IF(SUM(AA4:AD4)-AE4&gt;0,SUM(AA4:AD4)-AE4,"")</f>
        <v>60.09</v>
      </c>
      <c r="AT4" s="11" t="str">
        <f t="shared" ref="AT4:AT26" si="20">IF(AH4&gt;0,AH4,"")</f>
        <v/>
      </c>
      <c r="AU4" s="11" t="str">
        <f t="shared" ref="AU4:AU26" si="21">IF(SUM(AF4:AI4)-AJ4&gt;0,SUM(AF4:AI4)-AJ4,"")</f>
        <v/>
      </c>
      <c r="AV4" s="11">
        <f t="shared" ref="AV4:AV26" si="22">IF(AQ4="",IF(MAX(AS4,AU4)&gt;0,MAX(AS4,AU4),""),MAX(AS4,AU4)+AQ4)</f>
        <v>112.51</v>
      </c>
      <c r="AW4" s="11">
        <f t="shared" ref="AW4:AW26" si="23">IF(AM4&gt;0,AM4,"")</f>
        <v>14.8</v>
      </c>
      <c r="AX4" s="11">
        <f t="shared" ref="AX4:AX26" si="24">IF(SUM(AK4:AN4)-AO4&gt;0,SUM(AK4:AN4)-AO4,"")</f>
        <v>53.854999999999997</v>
      </c>
      <c r="AY4" s="11">
        <f t="shared" ref="AY4:AY26" si="25">IF(SUM(AV4,AX4)&gt;0,SUM(AV4,AX4),"")</f>
        <v>166.36500000000001</v>
      </c>
      <c r="AZ4" s="75">
        <v>18.899999999999999</v>
      </c>
      <c r="BA4" s="75">
        <v>9.5</v>
      </c>
      <c r="BB4" s="75">
        <v>5.7</v>
      </c>
      <c r="BC4" s="75">
        <v>18.48</v>
      </c>
      <c r="BD4" s="75">
        <v>0</v>
      </c>
      <c r="BE4" s="75">
        <v>13.7</v>
      </c>
      <c r="BF4" s="75">
        <v>7.15</v>
      </c>
      <c r="BG4" s="75">
        <v>12.3</v>
      </c>
      <c r="BH4" s="75">
        <v>13.76</v>
      </c>
      <c r="BI4" s="75">
        <v>0</v>
      </c>
      <c r="BJ4" s="75">
        <v>3.4</v>
      </c>
      <c r="BK4" s="75">
        <v>1.7</v>
      </c>
      <c r="BL4" s="75">
        <v>3.4</v>
      </c>
      <c r="BM4" s="75">
        <v>3.64</v>
      </c>
      <c r="BN4" s="75">
        <v>0</v>
      </c>
      <c r="BO4" s="75">
        <v>7.2</v>
      </c>
      <c r="BP4" s="75">
        <v>3.5</v>
      </c>
      <c r="BQ4" s="75">
        <v>6.7</v>
      </c>
      <c r="BR4" s="75">
        <v>7.28</v>
      </c>
      <c r="BS4" s="75">
        <v>0</v>
      </c>
      <c r="BT4" s="81"/>
      <c r="BU4" s="14">
        <f t="shared" ref="BU4:BU26" si="26">IF(SUM(AZ4:BC4)-BD4&gt;0,SUM(AZ4:BC4)-BD4,"")</f>
        <v>52.58</v>
      </c>
      <c r="BV4" s="14">
        <f t="shared" ref="BV4:BV26" si="27">IF(BG4&gt;0,BG4,"")</f>
        <v>12.3</v>
      </c>
      <c r="BW4" s="14">
        <f t="shared" ref="BW4:BW26" si="28">IF(SUM(BE4:BH4)-BI4&gt;0,SUM(BE4:BH4)-BI4,"")</f>
        <v>46.910000000000004</v>
      </c>
      <c r="BX4" s="14">
        <f t="shared" ref="BX4:BX26" si="29">IF(BL4&gt;0,BL4,"")</f>
        <v>3.4</v>
      </c>
      <c r="BY4" s="14">
        <f t="shared" ref="BY4:BY26" si="30">IF(SUM(BJ4:BM4)-BN4&gt;0,SUM(BJ4:BM4)-BN4,"")</f>
        <v>12.14</v>
      </c>
      <c r="BZ4" s="14">
        <f t="shared" ref="BZ4:BZ26" si="31">IF(BU4="",IF(MAX(BW4,BY4)&gt;0,MAX(BW4,BY4),""),MAX(BW4,BY4)+BU4)</f>
        <v>99.490000000000009</v>
      </c>
      <c r="CA4" s="14">
        <f t="shared" ref="CA4:CA26" si="32">IF(BQ4&gt;0,BQ4,"")</f>
        <v>6.7</v>
      </c>
      <c r="CB4" s="14">
        <f t="shared" ref="CB4:CB26" si="33">IF(SUM(BO4:BR4)-BS4&gt;0,SUM(BO4:BR4)-BS4,"")</f>
        <v>24.68</v>
      </c>
      <c r="CC4" s="14">
        <f t="shared" ref="CC4:CC26" si="34">IF(SUM(BZ4,CB4)&gt;0,SUM(BZ4,CB4),"")</f>
        <v>124.17000000000002</v>
      </c>
      <c r="CD4" s="69">
        <v>18.8</v>
      </c>
      <c r="CE4" s="69">
        <v>8.5</v>
      </c>
      <c r="CF4" s="69">
        <v>6.1</v>
      </c>
      <c r="CG4" s="69">
        <v>18.329999999999998</v>
      </c>
      <c r="CH4" s="69">
        <v>0</v>
      </c>
      <c r="CI4" s="69">
        <v>16.3</v>
      </c>
      <c r="CJ4" s="69">
        <v>8.4</v>
      </c>
      <c r="CK4" s="69">
        <v>15.2</v>
      </c>
      <c r="CL4" s="69">
        <v>16.844999999999999</v>
      </c>
      <c r="CM4" s="69">
        <v>0</v>
      </c>
      <c r="CN4" s="69">
        <v>16.600000000000001</v>
      </c>
      <c r="CO4" s="69">
        <v>9.1</v>
      </c>
      <c r="CP4" s="69">
        <v>16.2</v>
      </c>
      <c r="CQ4" s="69">
        <v>17.13</v>
      </c>
      <c r="CR4" s="69">
        <v>0</v>
      </c>
      <c r="CS4" s="69">
        <v>16.8</v>
      </c>
      <c r="CT4" s="69">
        <v>9.1</v>
      </c>
      <c r="CU4" s="69">
        <v>16.2</v>
      </c>
      <c r="CV4" s="69">
        <v>17.260000000000002</v>
      </c>
      <c r="CW4" s="69">
        <v>0</v>
      </c>
      <c r="CX4" s="80"/>
      <c r="CY4" s="11">
        <f t="shared" ref="CY4:CY26" si="35">IF(SUM(CD4:CG4)-CH4&gt;0,SUM(CD4:CG4)-CH4,"")</f>
        <v>51.73</v>
      </c>
      <c r="CZ4" s="11">
        <f t="shared" ref="CZ4:CZ26" si="36">IF(CK4&gt;0,CK4,"")</f>
        <v>15.2</v>
      </c>
      <c r="DA4" s="11">
        <f t="shared" ref="DA4:DA26" si="37">IF(SUM(CI4:CL4)-CM4&gt;0,SUM(CI4:CL4)-CM4,"")</f>
        <v>56.745000000000005</v>
      </c>
      <c r="DB4" s="11">
        <f t="shared" ref="DB4:DB26" si="38">IF(CP4&gt;0,CP4,"")</f>
        <v>16.2</v>
      </c>
      <c r="DC4" s="11">
        <f t="shared" ref="DC4:DC26" si="39">IF(SUM(CN4:CQ4)-CR4&gt;0,SUM(CN4:CQ4)-CR4,"")</f>
        <v>59.03</v>
      </c>
      <c r="DD4" s="11">
        <f t="shared" ref="DD4:DD26" si="40">IF(CY4="",IF(MAX(DA4,DC4)&gt;0,MAX(DA4,DC4),""),MAX(DA4,DC4)+CY4)</f>
        <v>110.75999999999999</v>
      </c>
      <c r="DE4" s="11">
        <f t="shared" ref="DE4:DE26" si="41">IF(CU4&gt;0,CU4,"")</f>
        <v>16.2</v>
      </c>
      <c r="DF4" s="11">
        <f t="shared" ref="DF4:DF26" si="42">IF(SUM(CS4:CV4)-CW4&gt;0,SUM(CS4:CV4)-CW4,"")</f>
        <v>59.36</v>
      </c>
      <c r="DG4" s="11">
        <f t="shared" ref="DG4:DG26" si="43">IF(SUM(DD4,DF4)&gt;0,SUM(DD4,DF4),"")</f>
        <v>170.12</v>
      </c>
      <c r="DH4" s="24" t="str">
        <f t="shared" ref="DH4:DH26" si="44">IF(MAX(EB4,EX4,FT4,GP4,HL4,IH4,JD4,JZ4,KV4,LR4,MN4,NJ4)-IF(M4="",0,M4)&gt;0.001,MAX(EB4,EX4,FT4,GP4,HL4,IH4,JD4,JZ4,KV4,LR4,MN4,NJ4)-IF(M4="",0,M4),"")</f>
        <v/>
      </c>
      <c r="DI4" s="24" t="str">
        <f t="shared" ref="DI4:DI26" si="45">IF(MAX(EC4,EY4,FU4,GQ4,HM4,II4,JE4,KA4,KW4,LS4,MO4,NK4)-IF(O4="",0,O4)&gt;0.001,MAX(EC4,EY4,FU4,GQ4,HM4,II4,JE4,KA4,KW4,LS4,MO4,NK4)-IF(O4="",0,O4),"")</f>
        <v/>
      </c>
      <c r="DJ4" s="24" t="str">
        <f t="shared" ref="DJ4:DJ26" si="46">IF(MAX(ED4,EZ4,FV4,GR4,HN4,IJ4,JF4,KB4,KX4,LT4,MP4,NL4)-IF(K4="",0,K4)&gt;0.001,MAX(ED4,EZ4,FV4,GR4,HN4,IJ4,JF4,KB4,KX4,LT4,MP4,NL4)-IF(K4="",0,K4),"")</f>
        <v/>
      </c>
      <c r="DK4" s="24" t="str">
        <f t="shared" ref="DK4:DK26" si="47">IF(MAX(EF4,FB4,FX4,GT4,HP4,IL4,JH4,KD4,KZ4,LV4,MR4,NN4)-IF(Q4="",0,Q4)&gt;0.001,MAX(EF4,FB4,FX4,GT4,HP4,IL4,JH4,KD4,KZ4,LV4,MR4,NN4)-IF(Q4="",0,Q4),"")</f>
        <v/>
      </c>
      <c r="DL4" s="37">
        <v>18</v>
      </c>
      <c r="DM4" s="37">
        <v>9.3000000000000007</v>
      </c>
      <c r="DN4" s="37">
        <v>5.7</v>
      </c>
      <c r="DO4" s="37">
        <v>18.385000000000002</v>
      </c>
      <c r="DP4" s="37">
        <v>0</v>
      </c>
      <c r="DQ4" s="37">
        <v>14.6</v>
      </c>
      <c r="DR4" s="37">
        <v>8.1999999999999993</v>
      </c>
      <c r="DS4" s="37">
        <v>14.4</v>
      </c>
      <c r="DT4" s="37">
        <v>15.305</v>
      </c>
      <c r="DU4" s="37">
        <v>0</v>
      </c>
      <c r="DV4" s="37"/>
      <c r="DW4" s="37"/>
      <c r="DX4" s="37"/>
      <c r="DY4" s="37"/>
      <c r="DZ4" s="37"/>
      <c r="EA4" s="11">
        <f t="shared" ref="EA4:EA26" si="48">IF(DS4&gt;0,DS4,"")</f>
        <v>14.4</v>
      </c>
      <c r="EB4" s="11">
        <f t="shared" ref="EB4:EB26" si="49">IF(SUM(DL4:DO4)-DP4&gt;0,SUM(DL4:DO4)-DP4,"")</f>
        <v>51.385000000000005</v>
      </c>
      <c r="EC4" s="11">
        <f t="shared" ref="EC4:EC26" si="50">IF(SUM(DQ4:DT4)-DU4&gt;0,SUM(DQ4:DT4)-DU4,"")</f>
        <v>52.504999999999995</v>
      </c>
      <c r="ED4" s="11">
        <f t="shared" ref="ED4:ED26" si="51">IF(SUM(EB4:EC4)&gt;0,SUM(EB4:EC4),"")</f>
        <v>103.89</v>
      </c>
      <c r="EE4" s="11" t="str">
        <f t="shared" ref="EE4:EE26" si="52">IF(DX4&gt;0,DX4,"")</f>
        <v/>
      </c>
      <c r="EF4" s="11" t="str">
        <f t="shared" ref="EF4:EF26" si="53">IF(SUM(DV4:DY4)-DZ4&gt;0,SUM(DV4:DY4)-DZ4,"")</f>
        <v/>
      </c>
      <c r="EG4" s="11">
        <f t="shared" ref="EG4:EG26" si="54">IF(SUM(ED4,EF4)&gt;0,SUM(ED4,EF4),"")</f>
        <v>103.89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 t="shared" ref="EW4:EW26" si="55">IF(EO4&gt;0,EO4,"")</f>
        <v/>
      </c>
      <c r="EX4" s="14" t="str">
        <f t="shared" ref="EX4:EX26" si="56">IF(SUM(EH4:EK4)-EL4&gt;0,SUM(EH4:EK4)-EL4,"")</f>
        <v/>
      </c>
      <c r="EY4" s="14" t="str">
        <f t="shared" ref="EY4:EY26" si="57">IF(SUM(EM4:EP4)-EQ4&gt;0,SUM(EM4:EP4)-EQ4,"")</f>
        <v/>
      </c>
      <c r="EZ4" s="14" t="str">
        <f t="shared" ref="EZ4:EZ26" si="58">IF(SUM(EX4:EY4)&gt;0,SUM(EX4:EY4),"")</f>
        <v/>
      </c>
      <c r="FA4" s="14" t="str">
        <f t="shared" ref="FA4:FA26" si="59">IF(ET4&gt;0,ET4,"")</f>
        <v/>
      </c>
      <c r="FB4" s="14" t="str">
        <f t="shared" ref="FB4:FB26" si="60">IF(SUM(ER4:EU4)-EV4&gt;0,SUM(ER4:EU4)-EV4,"")</f>
        <v/>
      </c>
      <c r="FC4" s="14" t="str">
        <f t="shared" ref="FC4:FC26" si="61"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26" si="62">IF(FK4&gt;0,FK4,"")</f>
        <v/>
      </c>
      <c r="FT4" s="11" t="str">
        <f t="shared" ref="FT4:FT26" si="63">IF(SUM(FD4:FG4)-FH4&gt;0,SUM(FD4:FG4)-FH4,"")</f>
        <v/>
      </c>
      <c r="FU4" s="11" t="str">
        <f t="shared" ref="FU4:FU26" si="64">IF(SUM(FI4:FL4)-FM4&gt;0,SUM(FI4:FL4)-FM4,"")</f>
        <v/>
      </c>
      <c r="FV4" s="11" t="str">
        <f t="shared" ref="FV4:FV26" si="65">IF(SUM(FT4:FU4)&gt;0,SUM(FT4:FU4),"")</f>
        <v/>
      </c>
      <c r="FW4" s="11" t="str">
        <f t="shared" ref="FW4:FW26" si="66">IF(FP4&gt;0,FP4,"")</f>
        <v/>
      </c>
      <c r="FX4" s="11" t="str">
        <f t="shared" ref="FX4:FX26" si="67">IF(SUM(FN4:FQ4)-FR4&gt;0,SUM(FN4:FQ4)-FR4,"")</f>
        <v/>
      </c>
      <c r="FY4" s="11" t="str">
        <f t="shared" ref="FY4:FY26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26" si="69">IF(GG4&gt;0,GG4,"")</f>
        <v/>
      </c>
      <c r="GP4" s="14" t="str">
        <f t="shared" ref="GP4:GP26" si="70">IF(SUM(FZ4:GC4)-GD4&gt;0,SUM(FZ4:GC4)-GD4,"")</f>
        <v/>
      </c>
      <c r="GQ4" s="14" t="str">
        <f t="shared" ref="GQ4:GQ26" si="71">IF(SUM(GE4:GH4)-GI4&gt;0,SUM(GE4:GH4)-GI4,"")</f>
        <v/>
      </c>
      <c r="GR4" s="14" t="str">
        <f t="shared" ref="GR4:GR26" si="72">IF(SUM(GP4:GQ4)&gt;0,SUM(GP4:GQ4),"")</f>
        <v/>
      </c>
      <c r="GS4" s="14" t="str">
        <f t="shared" ref="GS4:GS26" si="73">IF(GL4&gt;0,GL4,"")</f>
        <v/>
      </c>
      <c r="GT4" s="14" t="str">
        <f t="shared" ref="GT4:GT26" si="74">IF(SUM(GJ4:GM4)-GN4&gt;0,SUM(GJ4:GM4)-GN4,"")</f>
        <v/>
      </c>
      <c r="GU4" s="14" t="str">
        <f t="shared" ref="GU4:GU26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26" si="76">IF(HC4&gt;0,HC4,"")</f>
        <v/>
      </c>
      <c r="HL4" s="11" t="str">
        <f t="shared" ref="HL4:HL26" si="77">IF(SUM(GV4:GY4)-GZ4&gt;0,SUM(GV4:GY4)-GZ4,"")</f>
        <v/>
      </c>
      <c r="HM4" s="11" t="str">
        <f t="shared" ref="HM4:HM26" si="78">IF(SUM(HA4:HD4)-HE4&gt;0,SUM(HA4:HD4)-HE4,"")</f>
        <v/>
      </c>
      <c r="HN4" s="11" t="str">
        <f t="shared" ref="HN4:HN26" si="79">IF(SUM(HL4:HM4)&gt;0,SUM(HL4:HM4),"")</f>
        <v/>
      </c>
      <c r="HO4" s="11" t="str">
        <f t="shared" ref="HO4:HO26" si="80">IF(HH4&gt;0,HH4,"")</f>
        <v/>
      </c>
      <c r="HP4" s="11" t="str">
        <f t="shared" ref="HP4:HP26" si="81">IF(SUM(HF4:HI4)-HJ4&gt;0,SUM(HF4:HI4)-HJ4,"")</f>
        <v/>
      </c>
      <c r="HQ4" s="11" t="str">
        <f t="shared" ref="HQ4:HQ26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26" si="83">IF(HY4&gt;0,HY4,"")</f>
        <v/>
      </c>
      <c r="IH4" s="14" t="str">
        <f t="shared" ref="IH4:IH26" si="84">IF(SUM(HR4:HU4)-HV4&gt;0,SUM(HR4:HU4)-HV4,"")</f>
        <v/>
      </c>
      <c r="II4" s="14" t="str">
        <f t="shared" ref="II4:II26" si="85">IF(SUM(HW4:HZ4)-IA4&gt;0,SUM(HW4:HZ4)-IA4,"")</f>
        <v/>
      </c>
      <c r="IJ4" s="14" t="str">
        <f t="shared" ref="IJ4:IJ26" si="86">IF(SUM(IH4:II4)&gt;0,SUM(IH4:II4),"")</f>
        <v/>
      </c>
      <c r="IK4" s="14" t="str">
        <f t="shared" ref="IK4:IK26" si="87">IF(ID4&gt;0,ID4,"")</f>
        <v/>
      </c>
      <c r="IL4" s="14" t="str">
        <f t="shared" ref="IL4:IL26" si="88">IF(SUM(IB4:IE4)-IF4&gt;0,SUM(IB4:IE4)-IF4,"")</f>
        <v/>
      </c>
      <c r="IM4" s="14" t="str">
        <f t="shared" ref="IM4:IM26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26" si="90">IF(IU4&gt;0,IU4,"")</f>
        <v/>
      </c>
      <c r="JD4" s="11" t="str">
        <f t="shared" ref="JD4:JD26" si="91">IF(SUM(IN4:IQ4)-IR4&gt;0,SUM(IN4:IQ4)-IR4,"")</f>
        <v/>
      </c>
      <c r="JE4" s="11" t="str">
        <f t="shared" ref="JE4:JE26" si="92">IF(SUM(IS4:IV4)-IW4&gt;0,SUM(IS4:IV4)-IW4,"")</f>
        <v/>
      </c>
      <c r="JF4" s="11" t="str">
        <f t="shared" ref="JF4:JF26" si="93">IF(SUM(JD4:JE4)&gt;0,SUM(JD4:JE4),"")</f>
        <v/>
      </c>
      <c r="JG4" s="11" t="str">
        <f t="shared" ref="JG4:JG26" si="94">IF(IZ4&gt;0,IZ4,"")</f>
        <v/>
      </c>
      <c r="JH4" s="11" t="str">
        <f t="shared" ref="JH4:JH26" si="95">IF(SUM(IX4:JA4)-JB4&gt;0,SUM(IX4:JA4)-JB4,"")</f>
        <v/>
      </c>
      <c r="JI4" s="11" t="str">
        <f t="shared" ref="JI4:JI26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26" si="97">IF(JQ4&gt;0,JQ4,"")</f>
        <v/>
      </c>
      <c r="JZ4" s="14" t="str">
        <f t="shared" ref="JZ4:JZ26" si="98">IF(SUM(JJ4:JM4)-JN4&gt;0,SUM(JJ4:JM4)-JN4,"")</f>
        <v/>
      </c>
      <c r="KA4" s="14" t="str">
        <f t="shared" ref="KA4:KA26" si="99">IF(SUM(JO4:JR4)-JS4&gt;0,SUM(JO4:JR4)-JS4,"")</f>
        <v/>
      </c>
      <c r="KB4" s="14" t="str">
        <f t="shared" ref="KB4:KB26" si="100">IF(SUM(JZ4:KA4)&gt;0,SUM(JZ4:KA4),"")</f>
        <v/>
      </c>
      <c r="KC4" s="14" t="str">
        <f t="shared" ref="KC4:KC26" si="101">IF(JV4&gt;0,JV4,"")</f>
        <v/>
      </c>
      <c r="KD4" s="14" t="str">
        <f t="shared" ref="KD4:KD26" si="102">IF(SUM(JT4:JW4)-JX4&gt;0,SUM(JT4:JW4)-JX4,"")</f>
        <v/>
      </c>
      <c r="KE4" s="14" t="str">
        <f t="shared" ref="KE4:KE26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26" si="104">IF(KM4&gt;0,KM4,"")</f>
        <v/>
      </c>
      <c r="KV4" s="11" t="str">
        <f t="shared" ref="KV4:KV26" si="105">IF(SUM(KF4:KI4)-KJ4&gt;0,SUM(KF4:KI4)-KJ4,"")</f>
        <v/>
      </c>
      <c r="KW4" s="11" t="str">
        <f t="shared" ref="KW4:KW26" si="106">IF(SUM(KK4:KN4)-KO4&gt;0,SUM(KK4:KN4)-KO4,"")</f>
        <v/>
      </c>
      <c r="KX4" s="11" t="str">
        <f t="shared" ref="KX4:KX26" si="107">IF(SUM(KV4:KW4)&gt;0,SUM(KV4:KW4),"")</f>
        <v/>
      </c>
      <c r="KY4" s="11" t="str">
        <f t="shared" ref="KY4:KY26" si="108">IF(KR4&gt;0,KR4,"")</f>
        <v/>
      </c>
      <c r="KZ4" s="11" t="str">
        <f t="shared" ref="KZ4:KZ26" si="109">IF(SUM(KP4:KS4)-KT4&gt;0,SUM(KP4:KS4)-KT4,"")</f>
        <v/>
      </c>
      <c r="LA4" s="11" t="str">
        <f t="shared" ref="LA4:LA26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26" si="111">IF(LI4&gt;0,LI4,"")</f>
        <v/>
      </c>
      <c r="LR4" s="14" t="str">
        <f t="shared" ref="LR4:LR26" si="112">IF(SUM(LB4:LE4)-LF4&gt;0,SUM(LB4:LE4)-LF4,"")</f>
        <v/>
      </c>
      <c r="LS4" s="14" t="str">
        <f t="shared" ref="LS4:LS26" si="113">IF(SUM(LG4:LJ4)-LK4&gt;0,SUM(LG4:LJ4)-LK4,"")</f>
        <v/>
      </c>
      <c r="LT4" s="14" t="str">
        <f t="shared" ref="LT4:LT26" si="114">IF(SUM(LR4:LS4)&gt;0,SUM(LR4:LS4),"")</f>
        <v/>
      </c>
      <c r="LU4" s="14" t="str">
        <f t="shared" ref="LU4:LU26" si="115">IF(LN4&gt;0,LN4,"")</f>
        <v/>
      </c>
      <c r="LV4" s="14" t="str">
        <f t="shared" ref="LV4:LV26" si="116">IF(SUM(LL4:LO4)-LP4&gt;0,SUM(LL4:LO4)-LP4,"")</f>
        <v/>
      </c>
      <c r="LW4" s="14" t="str">
        <f t="shared" ref="LW4:LW26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26" si="118">IF(ME4&gt;0,ME4,"")</f>
        <v/>
      </c>
      <c r="MN4" s="11" t="str">
        <f t="shared" ref="MN4:MN26" si="119">IF(SUM(LX4:MA4)-MB4&gt;0,SUM(LX4:MA4)-MB4,"")</f>
        <v/>
      </c>
      <c r="MO4" s="11" t="str">
        <f t="shared" ref="MO4:MO26" si="120">IF(SUM(MC4:MF4)-MG4&gt;0,SUM(MC4:MF4)-MG4,"")</f>
        <v/>
      </c>
      <c r="MP4" s="11" t="str">
        <f t="shared" ref="MP4:MP26" si="121">IF(SUM(MN4:MO4)&gt;0,SUM(MN4:MO4),"")</f>
        <v/>
      </c>
      <c r="MQ4" s="11" t="str">
        <f t="shared" ref="MQ4:MQ26" si="122">IF(MJ4&gt;0,MJ4,"")</f>
        <v/>
      </c>
      <c r="MR4" s="11" t="str">
        <f t="shared" ref="MR4:MR26" si="123">IF(SUM(MH4:MK4)-ML4&gt;0,SUM(MH4:MK4)-ML4,"")</f>
        <v/>
      </c>
      <c r="MS4" s="11" t="str">
        <f t="shared" ref="MS4:MS26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26" si="125">IF(NA4&gt;0,NA4,"")</f>
        <v/>
      </c>
      <c r="NJ4" s="14" t="str">
        <f t="shared" ref="NJ4:NJ26" si="126">IF(SUM(MT4:MW4)-MX4&gt;0,SUM(MT4:MW4)-MX4,"")</f>
        <v/>
      </c>
      <c r="NK4" s="14" t="str">
        <f t="shared" ref="NK4:NK26" si="127">IF(SUM(MY4:NB4)-NC4&gt;0,SUM(MY4:NB4)-NC4,"")</f>
        <v/>
      </c>
      <c r="NL4" s="14" t="str">
        <f t="shared" ref="NL4:NL26" si="128">IF(SUM(NJ4:NK4)&gt;0,SUM(NJ4:NK4),"")</f>
        <v/>
      </c>
      <c r="NM4" s="14" t="str">
        <f t="shared" ref="NM4:NM26" si="129">IF(NF4&gt;0,NF4,"")</f>
        <v/>
      </c>
      <c r="NN4" s="14" t="str">
        <f t="shared" ref="NN4:NN26" si="130">IF(SUM(ND4:NG4)-NH4&gt;0,SUM(ND4:NG4)-NH4,"")</f>
        <v/>
      </c>
      <c r="NO4" s="14" t="str">
        <f t="shared" ref="NO4:NO26" si="131">IF(SUM(NL4,NN4)&gt;0,SUM(NL4,NN4),"")</f>
        <v/>
      </c>
      <c r="NP4" s="69">
        <f t="shared" ref="NP4:NP26" si="132">IF($CX4="P",CD4,(CD4+AZ4)/2)</f>
        <v>18.850000000000001</v>
      </c>
      <c r="NQ4" s="69">
        <f t="shared" ref="NQ4:NQ26" si="133">IF($CX4="P",CE4,(CE4+BA4)/2)</f>
        <v>9</v>
      </c>
      <c r="NR4" s="69">
        <f t="shared" ref="NR4:NR26" si="134">IF($CX4="P",CF4,(CF4+BB4)/2)</f>
        <v>5.9</v>
      </c>
      <c r="NS4" s="69">
        <f t="shared" ref="NS4:NS26" si="135">IF($CX4="P",CG4,(CG4+BC4)/2)</f>
        <v>18.405000000000001</v>
      </c>
      <c r="NT4" s="69">
        <f t="shared" ref="NT4:NT26" si="136">IF($CX4="P",CH4,(CH4+BD4)/2)</f>
        <v>0</v>
      </c>
      <c r="NU4" s="69">
        <f t="shared" ref="NU4:NU26" si="137">IF($CX4="P",CI4,(CI4+BE4)/2)</f>
        <v>15</v>
      </c>
      <c r="NV4" s="69">
        <f t="shared" ref="NV4:NV26" si="138">IF($CX4="P",CJ4,(CJ4+BF4)/2)</f>
        <v>7.7750000000000004</v>
      </c>
      <c r="NW4" s="69">
        <f t="shared" ref="NW4:NW26" si="139">IF($CX4="P",CK4,(CK4+BG4)/2)</f>
        <v>13.75</v>
      </c>
      <c r="NX4" s="69">
        <f t="shared" ref="NX4:NX26" si="140">IF($CX4="P",CL4,(CL4+BH4)/2)</f>
        <v>15.302499999999998</v>
      </c>
      <c r="NY4" s="69">
        <f t="shared" ref="NY4:NY26" si="141">IF($CX4="P",CM4,(CM4+BI4)/2)</f>
        <v>0</v>
      </c>
      <c r="NZ4" s="69">
        <f t="shared" ref="NZ4:NZ26" si="142">IF($CX4="P",CN4,(CN4+BJ4)/2)</f>
        <v>10</v>
      </c>
      <c r="OA4" s="69">
        <f t="shared" ref="OA4:OA26" si="143">IF($CX4="P",CO4,(CO4+BK4)/2)</f>
        <v>5.3999999999999995</v>
      </c>
      <c r="OB4" s="69">
        <f t="shared" ref="OB4:OB26" si="144">IF($CX4="P",CP4,(CP4+BL4)/2)</f>
        <v>9.7999999999999989</v>
      </c>
      <c r="OC4" s="69">
        <f t="shared" ref="OC4:OC26" si="145">IF($CX4="P",CQ4,(CQ4+BM4)/2)</f>
        <v>10.385</v>
      </c>
      <c r="OD4" s="69">
        <f t="shared" ref="OD4:OD26" si="146">IF($CX4="P",CR4,(CR4+BN4)/2)</f>
        <v>0</v>
      </c>
      <c r="OE4" s="69">
        <f t="shared" ref="OE4:OE26" si="147">IF($CX4="P",CS4,(CS4+BO4)/2)</f>
        <v>12</v>
      </c>
      <c r="OF4" s="69">
        <f t="shared" ref="OF4:OF26" si="148">IF($CX4="P",CT4,(CT4+BP4)/2)</f>
        <v>6.3</v>
      </c>
      <c r="OG4" s="69">
        <f t="shared" ref="OG4:OG26" si="149">IF($CX4="P",CU4,(CU4+BQ4)/2)</f>
        <v>11.45</v>
      </c>
      <c r="OH4" s="69">
        <f t="shared" ref="OH4:OH26" si="150">IF($CX4="P",CV4,(CV4+BR4)/2)</f>
        <v>12.270000000000001</v>
      </c>
      <c r="OI4" s="69">
        <f t="shared" ref="OI4:OI26" si="151">IF($CX4="P",CW4,(CW4+BS4)/2)</f>
        <v>0</v>
      </c>
      <c r="OJ4" s="80" t="s">
        <v>88</v>
      </c>
      <c r="OK4" s="11">
        <f t="shared" ref="OK4:OK26" si="152">IF(SUM(NP4:NS4)-NT4&gt;0,SUM(NP4:NS4)-NT4,"")</f>
        <v>52.155000000000001</v>
      </c>
      <c r="OL4" s="11">
        <f t="shared" ref="OL4:OL26" si="153">IF(NW4&gt;0,NW4,"")</f>
        <v>13.75</v>
      </c>
      <c r="OM4" s="11">
        <f t="shared" ref="OM4:OM26" si="154">IF(SUM(NU4:NX4)-NY4&gt;0,SUM(NU4:NX4)-NY4,"")</f>
        <v>51.827500000000001</v>
      </c>
      <c r="ON4" s="11">
        <f t="shared" ref="ON4:ON26" si="155">IF(OB4&gt;0,OB4,"")</f>
        <v>9.7999999999999989</v>
      </c>
      <c r="OO4" s="11">
        <f t="shared" ref="OO4:OO26" si="156">IF(SUM(NZ4:OC4)-OD4&gt;0,SUM(NZ4:OC4)-OD4,"")</f>
        <v>35.584999999999994</v>
      </c>
      <c r="OP4" s="11">
        <f t="shared" ref="OP4:OP26" si="157">IF(OR(OK4&lt;&gt;"",OM4&lt;&gt;"",OO4&lt;&gt;""),OK4+MAX(OM4,OO4),"")</f>
        <v>103.9825</v>
      </c>
      <c r="OQ4" s="11">
        <f t="shared" ref="OQ4:OQ26" si="158">IF(OG4&gt;0,OG4,"")</f>
        <v>11.45</v>
      </c>
      <c r="OR4" s="11">
        <f t="shared" ref="OR4:OR22" si="159">IF(SUM(OE4:OH4)-OI4&gt;0,SUM(OE4:OH4)-OI4,"")</f>
        <v>42.02</v>
      </c>
      <c r="OS4" s="11">
        <f>IF(SUM(OP4,OR4)&gt;0,SUM(OP4,OR4),"")</f>
        <v>146.0025</v>
      </c>
    </row>
    <row r="5" spans="1:409" x14ac:dyDescent="0.2">
      <c r="A5" s="5" cm="1">
        <f t="array" ref="A5">IF(AND(G5&lt;&gt;"",H5&lt;&gt;""),SUMPRODUCT((G$4:G$27&lt;&gt;"")*(H$4:H$27&lt;&gt;"")*(E$4:E$27&gt;E5))+1,IF(H5&lt;&gt;"",SUMPRODUCT((I$4:I$27="No DD")*(E$4:E$27&gt;E5))+1+SUMPRODUCT((G$4:G$27&lt;&gt;"")*(H$4:H$27&lt;&gt;"")),""))</f>
        <v>2</v>
      </c>
      <c r="B5" s="6" t="s">
        <v>9</v>
      </c>
      <c r="C5" s="7" t="s">
        <v>3</v>
      </c>
      <c r="D5" s="27">
        <v>1997</v>
      </c>
      <c r="E5" s="15">
        <f t="shared" si="0"/>
        <v>273.29500000000002</v>
      </c>
      <c r="F5" s="3" t="str">
        <f t="shared" si="1"/>
        <v>P</v>
      </c>
      <c r="G5" s="125" t="str">
        <f t="shared" si="2"/>
        <v>Merit</v>
      </c>
      <c r="H5" s="125" t="str">
        <f t="shared" si="3"/>
        <v>Worlds Team</v>
      </c>
      <c r="I5" s="126" t="str">
        <f t="shared" si="4"/>
        <v>Worlds Team</v>
      </c>
      <c r="J5" s="3" t="str">
        <f t="shared" si="5"/>
        <v>P</v>
      </c>
      <c r="K5" s="14">
        <f t="shared" si="6"/>
        <v>107.99000000000001</v>
      </c>
      <c r="L5" s="14" t="str">
        <f t="shared" si="7"/>
        <v>2021 1st Virtual Technical Trial</v>
      </c>
      <c r="M5" s="14">
        <f t="shared" si="8"/>
        <v>50.120000000000005</v>
      </c>
      <c r="N5" s="14" t="str">
        <f t="shared" si="9"/>
        <v>2019 Nationals</v>
      </c>
      <c r="O5" s="14">
        <f t="shared" si="10"/>
        <v>57.36</v>
      </c>
      <c r="P5" s="14" t="str">
        <f t="shared" si="11"/>
        <v>2021 2nd Virtual Technical Trial</v>
      </c>
      <c r="Q5" s="14">
        <f t="shared" si="12"/>
        <v>57.825000000000003</v>
      </c>
      <c r="R5" s="14" t="str">
        <f t="shared" si="13"/>
        <v>2021 1st Virtual Technical Trial</v>
      </c>
      <c r="S5" s="14" t="str">
        <f t="shared" si="14"/>
        <v/>
      </c>
      <c r="T5" s="25" t="str">
        <f t="shared" si="15"/>
        <v/>
      </c>
      <c r="U5" s="14" t="str">
        <f t="shared" si="16"/>
        <v/>
      </c>
      <c r="V5" s="69">
        <v>18.2</v>
      </c>
      <c r="W5" s="69">
        <v>9.3000000000000007</v>
      </c>
      <c r="X5" s="69">
        <v>5.7</v>
      </c>
      <c r="Y5" s="69">
        <v>16.920000000000002</v>
      </c>
      <c r="Z5" s="69">
        <v>0</v>
      </c>
      <c r="AA5" s="69">
        <v>14.7</v>
      </c>
      <c r="AB5" s="69">
        <v>9.5</v>
      </c>
      <c r="AC5" s="69">
        <v>14.9</v>
      </c>
      <c r="AD5" s="69">
        <v>15.385</v>
      </c>
      <c r="AE5" s="69">
        <v>0</v>
      </c>
      <c r="AF5" s="69"/>
      <c r="AG5" s="69"/>
      <c r="AH5" s="69"/>
      <c r="AI5" s="69"/>
      <c r="AJ5" s="69"/>
      <c r="AK5" s="69">
        <v>14.68</v>
      </c>
      <c r="AL5" s="69">
        <v>9.3000000000000007</v>
      </c>
      <c r="AM5" s="69">
        <v>15.2</v>
      </c>
      <c r="AN5" s="69">
        <v>15.645</v>
      </c>
      <c r="AO5" s="69">
        <v>0</v>
      </c>
      <c r="AP5" s="80"/>
      <c r="AQ5" s="11">
        <f t="shared" si="17"/>
        <v>50.120000000000005</v>
      </c>
      <c r="AR5" s="11">
        <f t="shared" si="18"/>
        <v>14.9</v>
      </c>
      <c r="AS5" s="11">
        <f t="shared" si="19"/>
        <v>54.484999999999999</v>
      </c>
      <c r="AT5" s="11" t="str">
        <f t="shared" si="20"/>
        <v/>
      </c>
      <c r="AU5" s="11" t="str">
        <f t="shared" si="21"/>
        <v/>
      </c>
      <c r="AV5" s="11">
        <f t="shared" si="22"/>
        <v>104.605</v>
      </c>
      <c r="AW5" s="11">
        <f t="shared" si="23"/>
        <v>15.2</v>
      </c>
      <c r="AX5" s="11">
        <f t="shared" si="24"/>
        <v>54.825000000000003</v>
      </c>
      <c r="AY5" s="11">
        <f t="shared" si="25"/>
        <v>159.43</v>
      </c>
      <c r="AZ5" s="75">
        <v>18</v>
      </c>
      <c r="BA5" s="75">
        <v>9.5</v>
      </c>
      <c r="BB5" s="75">
        <v>5.7</v>
      </c>
      <c r="BC5" s="75">
        <v>17.63</v>
      </c>
      <c r="BD5" s="75">
        <v>0</v>
      </c>
      <c r="BE5" s="75">
        <v>15.2</v>
      </c>
      <c r="BF5" s="75">
        <v>9.1</v>
      </c>
      <c r="BG5" s="75">
        <v>16.2</v>
      </c>
      <c r="BH5" s="75">
        <v>16.574999999999999</v>
      </c>
      <c r="BI5" s="75">
        <v>0</v>
      </c>
      <c r="BJ5" s="75">
        <v>15.5</v>
      </c>
      <c r="BK5" s="75">
        <v>8.75</v>
      </c>
      <c r="BL5" s="75">
        <v>16.2</v>
      </c>
      <c r="BM5" s="75">
        <v>16.71</v>
      </c>
      <c r="BN5" s="75">
        <v>0</v>
      </c>
      <c r="BO5" s="75">
        <v>15.2</v>
      </c>
      <c r="BP5" s="75">
        <v>9.6</v>
      </c>
      <c r="BQ5" s="75">
        <v>16.2</v>
      </c>
      <c r="BR5" s="75">
        <v>16.824999999999999</v>
      </c>
      <c r="BS5" s="75">
        <v>0</v>
      </c>
      <c r="BT5" s="81"/>
      <c r="BU5" s="14">
        <f t="shared" si="26"/>
        <v>50.83</v>
      </c>
      <c r="BV5" s="14">
        <f t="shared" si="27"/>
        <v>16.2</v>
      </c>
      <c r="BW5" s="14">
        <f t="shared" si="28"/>
        <v>57.075000000000003</v>
      </c>
      <c r="BX5" s="14">
        <f t="shared" si="29"/>
        <v>16.2</v>
      </c>
      <c r="BY5" s="14">
        <f t="shared" si="30"/>
        <v>57.160000000000004</v>
      </c>
      <c r="BZ5" s="14">
        <f t="shared" si="31"/>
        <v>107.99000000000001</v>
      </c>
      <c r="CA5" s="14">
        <f t="shared" si="32"/>
        <v>16.2</v>
      </c>
      <c r="CB5" s="14">
        <f t="shared" si="33"/>
        <v>57.825000000000003</v>
      </c>
      <c r="CC5" s="14">
        <f t="shared" si="34"/>
        <v>165.815</v>
      </c>
      <c r="CD5" s="69">
        <v>17.8</v>
      </c>
      <c r="CE5" s="69">
        <v>9.1999999999999993</v>
      </c>
      <c r="CF5" s="69">
        <v>5.2</v>
      </c>
      <c r="CG5" s="69">
        <v>17.579999999999998</v>
      </c>
      <c r="CH5" s="69">
        <v>0</v>
      </c>
      <c r="CI5" s="69">
        <v>9.1</v>
      </c>
      <c r="CJ5" s="69">
        <v>5.7</v>
      </c>
      <c r="CK5" s="69">
        <v>10</v>
      </c>
      <c r="CL5" s="69">
        <v>10.07</v>
      </c>
      <c r="CM5" s="69">
        <v>0</v>
      </c>
      <c r="CN5" s="69">
        <v>15.2</v>
      </c>
      <c r="CO5" s="69">
        <v>9.1999999999999993</v>
      </c>
      <c r="CP5" s="69">
        <v>16.2</v>
      </c>
      <c r="CQ5" s="69">
        <v>16.760000000000002</v>
      </c>
      <c r="CR5" s="69">
        <v>0</v>
      </c>
      <c r="CS5" s="69">
        <v>4.5999999999999996</v>
      </c>
      <c r="CT5" s="69">
        <v>2.5</v>
      </c>
      <c r="CU5" s="69">
        <v>5.5</v>
      </c>
      <c r="CV5" s="69">
        <v>5.2850000000000001</v>
      </c>
      <c r="CW5" s="69">
        <v>0</v>
      </c>
      <c r="CX5" s="80"/>
      <c r="CY5" s="11">
        <f t="shared" si="35"/>
        <v>49.78</v>
      </c>
      <c r="CZ5" s="11">
        <f t="shared" si="36"/>
        <v>10</v>
      </c>
      <c r="DA5" s="11">
        <f t="shared" si="37"/>
        <v>34.870000000000005</v>
      </c>
      <c r="DB5" s="11">
        <f t="shared" si="38"/>
        <v>16.2</v>
      </c>
      <c r="DC5" s="11">
        <f t="shared" si="39"/>
        <v>57.36</v>
      </c>
      <c r="DD5" s="11">
        <f t="shared" si="40"/>
        <v>107.14</v>
      </c>
      <c r="DE5" s="11">
        <f t="shared" si="41"/>
        <v>5.5</v>
      </c>
      <c r="DF5" s="11">
        <f t="shared" si="42"/>
        <v>17.884999999999998</v>
      </c>
      <c r="DG5" s="11">
        <f t="shared" si="43"/>
        <v>125.02500000000001</v>
      </c>
      <c r="DH5" s="24" t="str">
        <f t="shared" si="44"/>
        <v/>
      </c>
      <c r="DI5" s="24" t="str">
        <f t="shared" si="45"/>
        <v/>
      </c>
      <c r="DJ5" s="24" t="str">
        <f t="shared" si="46"/>
        <v/>
      </c>
      <c r="DK5" s="24" t="str">
        <f t="shared" si="47"/>
        <v/>
      </c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11" t="str">
        <f t="shared" si="48"/>
        <v/>
      </c>
      <c r="EB5" s="11" t="str">
        <f t="shared" si="49"/>
        <v/>
      </c>
      <c r="EC5" s="11" t="str">
        <f t="shared" si="50"/>
        <v/>
      </c>
      <c r="ED5" s="11" t="str">
        <f t="shared" si="51"/>
        <v/>
      </c>
      <c r="EE5" s="11" t="str">
        <f t="shared" si="52"/>
        <v/>
      </c>
      <c r="EF5" s="11" t="str">
        <f t="shared" si="53"/>
        <v/>
      </c>
      <c r="EG5" s="11" t="str">
        <f t="shared" si="54"/>
        <v/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17.899999999999999</v>
      </c>
      <c r="NQ5" s="69">
        <f t="shared" si="133"/>
        <v>9.35</v>
      </c>
      <c r="NR5" s="69">
        <f t="shared" si="134"/>
        <v>5.45</v>
      </c>
      <c r="NS5" s="69">
        <f t="shared" si="135"/>
        <v>17.604999999999997</v>
      </c>
      <c r="NT5" s="69">
        <f t="shared" si="136"/>
        <v>0</v>
      </c>
      <c r="NU5" s="69">
        <f t="shared" si="137"/>
        <v>12.149999999999999</v>
      </c>
      <c r="NV5" s="69">
        <f t="shared" si="138"/>
        <v>7.4</v>
      </c>
      <c r="NW5" s="69">
        <f t="shared" si="139"/>
        <v>13.1</v>
      </c>
      <c r="NX5" s="69">
        <f t="shared" si="140"/>
        <v>13.3225</v>
      </c>
      <c r="NY5" s="69">
        <f t="shared" si="141"/>
        <v>0</v>
      </c>
      <c r="NZ5" s="69">
        <f t="shared" si="142"/>
        <v>15.35</v>
      </c>
      <c r="OA5" s="69">
        <f t="shared" si="143"/>
        <v>8.9749999999999996</v>
      </c>
      <c r="OB5" s="69">
        <f t="shared" si="144"/>
        <v>16.2</v>
      </c>
      <c r="OC5" s="69">
        <f t="shared" si="145"/>
        <v>16.734999999999999</v>
      </c>
      <c r="OD5" s="69">
        <f t="shared" si="146"/>
        <v>0</v>
      </c>
      <c r="OE5" s="69">
        <f t="shared" si="147"/>
        <v>9.8999999999999986</v>
      </c>
      <c r="OF5" s="69">
        <f t="shared" si="148"/>
        <v>6.05</v>
      </c>
      <c r="OG5" s="69">
        <f t="shared" si="149"/>
        <v>10.85</v>
      </c>
      <c r="OH5" s="69">
        <f t="shared" si="150"/>
        <v>11.055</v>
      </c>
      <c r="OI5" s="69">
        <f t="shared" si="151"/>
        <v>0</v>
      </c>
      <c r="OJ5" s="80" t="s">
        <v>88</v>
      </c>
      <c r="OK5" s="11">
        <f t="shared" si="152"/>
        <v>50.305</v>
      </c>
      <c r="OL5" s="11">
        <f t="shared" si="153"/>
        <v>13.1</v>
      </c>
      <c r="OM5" s="11">
        <f t="shared" si="154"/>
        <v>45.972499999999997</v>
      </c>
      <c r="ON5" s="11">
        <f t="shared" si="155"/>
        <v>16.2</v>
      </c>
      <c r="OO5" s="11">
        <f t="shared" si="156"/>
        <v>57.26</v>
      </c>
      <c r="OP5" s="11">
        <f t="shared" si="157"/>
        <v>107.565</v>
      </c>
      <c r="OQ5" s="11">
        <f t="shared" si="158"/>
        <v>10.85</v>
      </c>
      <c r="OR5" s="11">
        <f t="shared" si="159"/>
        <v>37.854999999999997</v>
      </c>
      <c r="OS5" s="11">
        <f t="shared" ref="OS5:OS22" si="160">IF(SUM(OP5,OR5)&gt;0,SUM(OP5,OR5),"")</f>
        <v>145.41999999999999</v>
      </c>
    </row>
    <row r="6" spans="1:409" x14ac:dyDescent="0.2">
      <c r="A6" s="5" cm="1">
        <f t="array" ref="A6">IF(AND(G6&lt;&gt;"",H6&lt;&gt;""),SUMPRODUCT((G$4:G$27&lt;&gt;"")*(H$4:H$27&lt;&gt;"")*(E$4:E$27&gt;E6))+1,IF(H6&lt;&gt;"",SUMPRODUCT((I$4:I$27="No DD")*(E$4:E$27&gt;E6))+1+SUMPRODUCT((G$4:G$27&lt;&gt;"")*(H$4:H$27&lt;&gt;"")),""))</f>
        <v>3</v>
      </c>
      <c r="B6" s="8" t="s">
        <v>4</v>
      </c>
      <c r="C6" s="4" t="s">
        <v>5</v>
      </c>
      <c r="D6" s="5">
        <v>1992</v>
      </c>
      <c r="E6" s="15">
        <f t="shared" si="0"/>
        <v>272.875</v>
      </c>
      <c r="F6" s="3" t="str">
        <f t="shared" si="1"/>
        <v>P</v>
      </c>
      <c r="G6" s="125" t="str">
        <f t="shared" si="2"/>
        <v>Merit</v>
      </c>
      <c r="H6" s="125" t="str">
        <f t="shared" si="3"/>
        <v>Excellence</v>
      </c>
      <c r="I6" s="126" t="str">
        <f t="shared" si="4"/>
        <v>Excellence</v>
      </c>
      <c r="J6" s="3" t="str">
        <f t="shared" si="5"/>
        <v>P</v>
      </c>
      <c r="K6" s="14">
        <f t="shared" si="6"/>
        <v>108.08500000000001</v>
      </c>
      <c r="L6" s="14" t="str">
        <f t="shared" si="7"/>
        <v>2019 Nationals</v>
      </c>
      <c r="M6" s="14">
        <f t="shared" si="8"/>
        <v>50.110000000000007</v>
      </c>
      <c r="N6" s="14" t="str">
        <f t="shared" si="9"/>
        <v>2021 1st Virtual Technical Trial</v>
      </c>
      <c r="O6" s="14">
        <f t="shared" si="10"/>
        <v>57.575000000000003</v>
      </c>
      <c r="P6" s="14" t="str">
        <f t="shared" si="11"/>
        <v>2021 1st Virtual Technical Trial</v>
      </c>
      <c r="Q6" s="14">
        <f t="shared" si="12"/>
        <v>56.95</v>
      </c>
      <c r="R6" s="14" t="str">
        <f t="shared" si="13"/>
        <v>2021 1st Virtual Technical Trial</v>
      </c>
      <c r="S6" s="14">
        <f t="shared" si="14"/>
        <v>0.15499999999999403</v>
      </c>
      <c r="T6" s="25" t="str">
        <f t="shared" si="15"/>
        <v>(Vol 1)</v>
      </c>
      <c r="U6" s="14" t="str">
        <f t="shared" si="16"/>
        <v>2020 World Cup AZE (Feb 15)</v>
      </c>
      <c r="V6" s="69">
        <v>17.8</v>
      </c>
      <c r="W6" s="69">
        <v>9</v>
      </c>
      <c r="X6" s="69">
        <v>6.8</v>
      </c>
      <c r="Y6" s="69">
        <v>16.734999999999999</v>
      </c>
      <c r="Z6" s="69">
        <v>0</v>
      </c>
      <c r="AA6" s="69">
        <v>15.7</v>
      </c>
      <c r="AB6" s="69">
        <v>9.6</v>
      </c>
      <c r="AC6" s="69">
        <v>16</v>
      </c>
      <c r="AD6" s="69">
        <v>16.45</v>
      </c>
      <c r="AE6" s="69">
        <v>0</v>
      </c>
      <c r="AF6" s="69"/>
      <c r="AG6" s="69"/>
      <c r="AH6" s="69"/>
      <c r="AI6" s="69"/>
      <c r="AJ6" s="69"/>
      <c r="AK6" s="69">
        <v>16.8</v>
      </c>
      <c r="AL6" s="69">
        <v>9.1999999999999993</v>
      </c>
      <c r="AM6" s="69">
        <v>14.6</v>
      </c>
      <c r="AN6" s="69">
        <v>16.295000000000002</v>
      </c>
      <c r="AO6" s="69">
        <v>0</v>
      </c>
      <c r="AP6" s="80"/>
      <c r="AQ6" s="11">
        <f t="shared" si="17"/>
        <v>50.335000000000001</v>
      </c>
      <c r="AR6" s="11">
        <f t="shared" si="18"/>
        <v>16</v>
      </c>
      <c r="AS6" s="11">
        <f t="shared" si="19"/>
        <v>57.75</v>
      </c>
      <c r="AT6" s="11" t="str">
        <f t="shared" si="20"/>
        <v/>
      </c>
      <c r="AU6" s="11" t="str">
        <f t="shared" si="21"/>
        <v/>
      </c>
      <c r="AV6" s="11">
        <f t="shared" si="22"/>
        <v>108.08500000000001</v>
      </c>
      <c r="AW6" s="11">
        <f t="shared" si="23"/>
        <v>14.6</v>
      </c>
      <c r="AX6" s="11">
        <f t="shared" si="24"/>
        <v>56.895000000000003</v>
      </c>
      <c r="AY6" s="11">
        <f t="shared" si="25"/>
        <v>164.98000000000002</v>
      </c>
      <c r="AZ6" s="75">
        <v>17.950000000000003</v>
      </c>
      <c r="BA6" s="75">
        <v>9.125</v>
      </c>
      <c r="BB6" s="75">
        <v>5.9499999999999993</v>
      </c>
      <c r="BC6" s="75">
        <v>17.085000000000001</v>
      </c>
      <c r="BD6" s="75">
        <v>0</v>
      </c>
      <c r="BE6" s="75">
        <v>15.8</v>
      </c>
      <c r="BF6" s="75">
        <v>9.4499999999999993</v>
      </c>
      <c r="BG6" s="75">
        <v>16</v>
      </c>
      <c r="BH6" s="75">
        <v>16.324999999999999</v>
      </c>
      <c r="BI6" s="75">
        <v>0</v>
      </c>
      <c r="BJ6" s="75"/>
      <c r="BK6" s="75"/>
      <c r="BL6" s="75"/>
      <c r="BM6" s="75"/>
      <c r="BN6" s="75"/>
      <c r="BO6" s="75">
        <v>16.450000000000003</v>
      </c>
      <c r="BP6" s="75">
        <v>9.0249999999999986</v>
      </c>
      <c r="BQ6" s="75">
        <v>15</v>
      </c>
      <c r="BR6" s="75">
        <v>16.475000000000001</v>
      </c>
      <c r="BS6" s="75">
        <v>0</v>
      </c>
      <c r="BT6" s="81" t="s">
        <v>88</v>
      </c>
      <c r="BU6" s="14">
        <f t="shared" si="26"/>
        <v>50.110000000000007</v>
      </c>
      <c r="BV6" s="14">
        <f t="shared" si="27"/>
        <v>16</v>
      </c>
      <c r="BW6" s="14">
        <f t="shared" si="28"/>
        <v>57.575000000000003</v>
      </c>
      <c r="BX6" s="14" t="str">
        <f t="shared" si="29"/>
        <v/>
      </c>
      <c r="BY6" s="14" t="str">
        <f t="shared" si="30"/>
        <v/>
      </c>
      <c r="BZ6" s="14">
        <f t="shared" si="31"/>
        <v>107.685</v>
      </c>
      <c r="CA6" s="14">
        <f t="shared" si="32"/>
        <v>15</v>
      </c>
      <c r="CB6" s="14">
        <f t="shared" si="33"/>
        <v>56.95</v>
      </c>
      <c r="CC6" s="14">
        <f t="shared" si="34"/>
        <v>164.63499999999999</v>
      </c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80"/>
      <c r="CY6" s="11" t="str">
        <f t="shared" si="35"/>
        <v/>
      </c>
      <c r="CZ6" s="11" t="str">
        <f t="shared" si="36"/>
        <v/>
      </c>
      <c r="DA6" s="11" t="str">
        <f t="shared" si="37"/>
        <v/>
      </c>
      <c r="DB6" s="11" t="str">
        <f t="shared" si="38"/>
        <v/>
      </c>
      <c r="DC6" s="11" t="str">
        <f t="shared" si="39"/>
        <v/>
      </c>
      <c r="DD6" s="11" t="str">
        <f t="shared" si="40"/>
        <v/>
      </c>
      <c r="DE6" s="11" t="str">
        <f t="shared" si="41"/>
        <v/>
      </c>
      <c r="DF6" s="11" t="str">
        <f t="shared" si="42"/>
        <v/>
      </c>
      <c r="DG6" s="11" t="str">
        <f t="shared" si="43"/>
        <v/>
      </c>
      <c r="DH6" s="24">
        <f t="shared" si="44"/>
        <v>0.15499999999999403</v>
      </c>
      <c r="DI6" s="24" t="str">
        <f t="shared" si="45"/>
        <v/>
      </c>
      <c r="DJ6" s="24" t="str">
        <f t="shared" si="46"/>
        <v/>
      </c>
      <c r="DK6" s="24" t="str">
        <f t="shared" si="47"/>
        <v/>
      </c>
      <c r="DL6" s="37">
        <v>17.5</v>
      </c>
      <c r="DM6" s="37">
        <v>9.3000000000000007</v>
      </c>
      <c r="DN6" s="37">
        <v>6.6</v>
      </c>
      <c r="DO6" s="37">
        <v>16.864999999999998</v>
      </c>
      <c r="DP6" s="37">
        <v>0</v>
      </c>
      <c r="DQ6" s="37">
        <v>14.6</v>
      </c>
      <c r="DR6" s="37">
        <v>9.1</v>
      </c>
      <c r="DS6" s="37">
        <v>16</v>
      </c>
      <c r="DT6" s="37">
        <v>15.85</v>
      </c>
      <c r="DU6" s="37">
        <v>0</v>
      </c>
      <c r="DV6" s="37"/>
      <c r="DW6" s="37"/>
      <c r="DX6" s="37"/>
      <c r="DY6" s="37"/>
      <c r="DZ6" s="37"/>
      <c r="EA6" s="11">
        <f t="shared" si="48"/>
        <v>16</v>
      </c>
      <c r="EB6" s="11">
        <f t="shared" si="49"/>
        <v>50.265000000000001</v>
      </c>
      <c r="EC6" s="11">
        <f t="shared" si="50"/>
        <v>55.550000000000004</v>
      </c>
      <c r="ED6" s="11">
        <f t="shared" si="51"/>
        <v>105.815</v>
      </c>
      <c r="EE6" s="11" t="str">
        <f t="shared" si="52"/>
        <v/>
      </c>
      <c r="EF6" s="11" t="str">
        <f t="shared" si="53"/>
        <v/>
      </c>
      <c r="EG6" s="11">
        <f t="shared" si="54"/>
        <v>105.815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5"/>
        <v/>
      </c>
      <c r="EX6" s="14" t="str">
        <f t="shared" si="56"/>
        <v/>
      </c>
      <c r="EY6" s="14" t="str">
        <f t="shared" si="57"/>
        <v/>
      </c>
      <c r="EZ6" s="14" t="str">
        <f t="shared" si="58"/>
        <v/>
      </c>
      <c r="FA6" s="14" t="str">
        <f t="shared" si="59"/>
        <v/>
      </c>
      <c r="FB6" s="14" t="str">
        <f t="shared" si="60"/>
        <v/>
      </c>
      <c r="FC6" s="14" t="str">
        <f t="shared" si="61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8.9750000000000014</v>
      </c>
      <c r="NQ6" s="69">
        <f t="shared" si="133"/>
        <v>4.5625</v>
      </c>
      <c r="NR6" s="69">
        <f t="shared" si="134"/>
        <v>2.9749999999999996</v>
      </c>
      <c r="NS6" s="69">
        <f t="shared" si="135"/>
        <v>8.5425000000000004</v>
      </c>
      <c r="NT6" s="69">
        <f t="shared" si="136"/>
        <v>0</v>
      </c>
      <c r="NU6" s="69">
        <f t="shared" si="137"/>
        <v>7.9</v>
      </c>
      <c r="NV6" s="69">
        <f t="shared" si="138"/>
        <v>4.7249999999999996</v>
      </c>
      <c r="NW6" s="69">
        <f t="shared" si="139"/>
        <v>8</v>
      </c>
      <c r="NX6" s="69">
        <f t="shared" si="140"/>
        <v>8.1624999999999996</v>
      </c>
      <c r="NY6" s="69">
        <f t="shared" si="141"/>
        <v>0</v>
      </c>
      <c r="NZ6" s="69">
        <f t="shared" si="142"/>
        <v>0</v>
      </c>
      <c r="OA6" s="69">
        <f t="shared" si="143"/>
        <v>0</v>
      </c>
      <c r="OB6" s="69">
        <f t="shared" si="144"/>
        <v>0</v>
      </c>
      <c r="OC6" s="69">
        <f t="shared" si="145"/>
        <v>0</v>
      </c>
      <c r="OD6" s="69">
        <f t="shared" si="146"/>
        <v>0</v>
      </c>
      <c r="OE6" s="69">
        <f t="shared" si="147"/>
        <v>8.2250000000000014</v>
      </c>
      <c r="OF6" s="69">
        <f t="shared" si="148"/>
        <v>4.5124999999999993</v>
      </c>
      <c r="OG6" s="69">
        <f t="shared" si="149"/>
        <v>7.5</v>
      </c>
      <c r="OH6" s="69">
        <f t="shared" si="150"/>
        <v>8.2375000000000007</v>
      </c>
      <c r="OI6" s="69">
        <f t="shared" si="151"/>
        <v>0</v>
      </c>
      <c r="OJ6" s="80" t="s">
        <v>88</v>
      </c>
      <c r="OK6" s="11">
        <f t="shared" si="152"/>
        <v>25.055000000000003</v>
      </c>
      <c r="OL6" s="11">
        <f t="shared" si="153"/>
        <v>8</v>
      </c>
      <c r="OM6" s="11">
        <f t="shared" si="154"/>
        <v>28.787500000000001</v>
      </c>
      <c r="ON6" s="11" t="str">
        <f t="shared" si="155"/>
        <v/>
      </c>
      <c r="OO6" s="11" t="str">
        <f t="shared" si="156"/>
        <v/>
      </c>
      <c r="OP6" s="11">
        <f t="shared" si="157"/>
        <v>53.842500000000001</v>
      </c>
      <c r="OQ6" s="11">
        <f t="shared" si="158"/>
        <v>7.5</v>
      </c>
      <c r="OR6" s="11">
        <f t="shared" si="159"/>
        <v>28.475000000000001</v>
      </c>
      <c r="OS6" s="11">
        <f t="shared" si="160"/>
        <v>82.317499999999995</v>
      </c>
    </row>
    <row r="7" spans="1:409" x14ac:dyDescent="0.2">
      <c r="A7" s="5" cm="1">
        <f t="array" ref="A7">IF(AND(G7&lt;&gt;"",H7&lt;&gt;""),SUMPRODUCT((G$4:G$27&lt;&gt;"")*(H$4:H$27&lt;&gt;"")*(E$4:E$27&gt;E7))+1,IF(H7&lt;&gt;"",SUMPRODUCT((I$4:I$27="No DD")*(E$4:E$27&gt;E7))+1+SUMPRODUCT((G$4:G$27&lt;&gt;"")*(H$4:H$27&lt;&gt;"")),""))</f>
        <v>4</v>
      </c>
      <c r="B7" s="6" t="s">
        <v>152</v>
      </c>
      <c r="C7" s="7" t="s">
        <v>10</v>
      </c>
      <c r="D7" s="27">
        <v>2001</v>
      </c>
      <c r="E7" s="15">
        <f t="shared" si="0"/>
        <v>270.745</v>
      </c>
      <c r="F7" s="3" t="str">
        <f t="shared" si="1"/>
        <v>P</v>
      </c>
      <c r="G7" s="125" t="str">
        <f t="shared" si="2"/>
        <v>National Team</v>
      </c>
      <c r="H7" s="125" t="str">
        <f t="shared" si="3"/>
        <v>Worlds Team</v>
      </c>
      <c r="I7" s="126" t="str">
        <f t="shared" si="4"/>
        <v>National Team</v>
      </c>
      <c r="J7" s="3" t="str">
        <f t="shared" si="5"/>
        <v/>
      </c>
      <c r="K7" s="14">
        <f t="shared" si="6"/>
        <v>107.22499999999999</v>
      </c>
      <c r="L7" s="14" t="str">
        <f t="shared" si="7"/>
        <v>2021 1st Virtual Technical Trial</v>
      </c>
      <c r="M7" s="14">
        <f t="shared" si="8"/>
        <v>48.730000000000004</v>
      </c>
      <c r="N7" s="14" t="str">
        <f t="shared" si="9"/>
        <v>2019 Nationals</v>
      </c>
      <c r="O7" s="14">
        <f t="shared" si="10"/>
        <v>57.21</v>
      </c>
      <c r="P7" s="14" t="str">
        <f t="shared" si="11"/>
        <v>2021 2nd Virtual Technical Trial</v>
      </c>
      <c r="Q7" s="14">
        <f t="shared" si="12"/>
        <v>57.58</v>
      </c>
      <c r="R7" s="14" t="str">
        <f t="shared" si="13"/>
        <v>2021 2nd Virtual Technical Trial</v>
      </c>
      <c r="S7" s="14" t="str">
        <f t="shared" si="14"/>
        <v/>
      </c>
      <c r="T7" s="25" t="str">
        <f t="shared" si="15"/>
        <v/>
      </c>
      <c r="U7" s="14" t="str">
        <f t="shared" si="16"/>
        <v/>
      </c>
      <c r="V7" s="69">
        <v>18.600000000000001</v>
      </c>
      <c r="W7" s="69">
        <v>9.6</v>
      </c>
      <c r="X7" s="69">
        <v>3.2</v>
      </c>
      <c r="Y7" s="69">
        <v>17.329999999999998</v>
      </c>
      <c r="Z7" s="69">
        <v>0</v>
      </c>
      <c r="AA7" s="69">
        <v>9.6999999999999993</v>
      </c>
      <c r="AB7" s="69">
        <v>5.3</v>
      </c>
      <c r="AC7" s="69">
        <v>9.4</v>
      </c>
      <c r="AD7" s="69">
        <v>9.83</v>
      </c>
      <c r="AE7" s="69">
        <v>0</v>
      </c>
      <c r="AF7" s="69"/>
      <c r="AG7" s="69"/>
      <c r="AH7" s="69"/>
      <c r="AI7" s="69"/>
      <c r="AJ7" s="69"/>
      <c r="AK7" s="69">
        <v>6.32</v>
      </c>
      <c r="AL7" s="69">
        <v>3.5</v>
      </c>
      <c r="AM7" s="69">
        <v>6.7</v>
      </c>
      <c r="AN7" s="69">
        <v>6.65</v>
      </c>
      <c r="AO7" s="69">
        <v>0</v>
      </c>
      <c r="AP7" s="80"/>
      <c r="AQ7" s="11">
        <f t="shared" si="17"/>
        <v>48.730000000000004</v>
      </c>
      <c r="AR7" s="11">
        <f t="shared" si="18"/>
        <v>9.4</v>
      </c>
      <c r="AS7" s="11">
        <f t="shared" si="19"/>
        <v>34.229999999999997</v>
      </c>
      <c r="AT7" s="11" t="str">
        <f t="shared" si="20"/>
        <v/>
      </c>
      <c r="AU7" s="11" t="str">
        <f t="shared" si="21"/>
        <v/>
      </c>
      <c r="AV7" s="11">
        <f t="shared" si="22"/>
        <v>82.960000000000008</v>
      </c>
      <c r="AW7" s="11">
        <f t="shared" si="23"/>
        <v>6.7</v>
      </c>
      <c r="AX7" s="11">
        <f t="shared" si="24"/>
        <v>23.17</v>
      </c>
      <c r="AY7" s="11">
        <f t="shared" si="25"/>
        <v>106.13000000000001</v>
      </c>
      <c r="AZ7" s="75">
        <v>18</v>
      </c>
      <c r="BA7" s="75">
        <v>9.75</v>
      </c>
      <c r="BB7" s="75">
        <v>4.8</v>
      </c>
      <c r="BC7" s="75">
        <v>17.895</v>
      </c>
      <c r="BD7" s="75">
        <v>0</v>
      </c>
      <c r="BE7" s="75">
        <v>14.8</v>
      </c>
      <c r="BF7" s="75">
        <v>8.75</v>
      </c>
      <c r="BG7" s="75">
        <v>13.5</v>
      </c>
      <c r="BH7" s="75">
        <v>16.91</v>
      </c>
      <c r="BI7" s="75">
        <v>0</v>
      </c>
      <c r="BJ7" s="75">
        <v>16.7</v>
      </c>
      <c r="BK7" s="75">
        <v>8.9</v>
      </c>
      <c r="BL7" s="75">
        <v>13.9</v>
      </c>
      <c r="BM7" s="75">
        <v>17.28</v>
      </c>
      <c r="BN7" s="75">
        <v>0</v>
      </c>
      <c r="BO7" s="75">
        <v>1.7</v>
      </c>
      <c r="BP7" s="75">
        <v>0.9</v>
      </c>
      <c r="BQ7" s="75">
        <v>1.7</v>
      </c>
      <c r="BR7" s="75">
        <v>1.8149999999999999</v>
      </c>
      <c r="BS7" s="75">
        <v>0</v>
      </c>
      <c r="BT7" s="81"/>
      <c r="BU7" s="14">
        <f t="shared" si="26"/>
        <v>50.444999999999993</v>
      </c>
      <c r="BV7" s="14">
        <f t="shared" si="27"/>
        <v>13.5</v>
      </c>
      <c r="BW7" s="14">
        <f t="shared" si="28"/>
        <v>53.959999999999994</v>
      </c>
      <c r="BX7" s="14">
        <f t="shared" si="29"/>
        <v>13.9</v>
      </c>
      <c r="BY7" s="14">
        <f t="shared" si="30"/>
        <v>56.78</v>
      </c>
      <c r="BZ7" s="14">
        <f t="shared" si="31"/>
        <v>107.22499999999999</v>
      </c>
      <c r="CA7" s="14">
        <f t="shared" si="32"/>
        <v>1.7</v>
      </c>
      <c r="CB7" s="14">
        <f t="shared" si="33"/>
        <v>6.1150000000000002</v>
      </c>
      <c r="CC7" s="14">
        <f t="shared" si="34"/>
        <v>113.33999999999999</v>
      </c>
      <c r="CD7" s="69">
        <v>17.7</v>
      </c>
      <c r="CE7" s="69">
        <v>8.9</v>
      </c>
      <c r="CF7" s="69">
        <v>4.4000000000000004</v>
      </c>
      <c r="CG7" s="69">
        <v>17.36</v>
      </c>
      <c r="CH7" s="69">
        <v>0</v>
      </c>
      <c r="CI7" s="69">
        <v>15.5</v>
      </c>
      <c r="CJ7" s="69">
        <v>8.5</v>
      </c>
      <c r="CK7" s="69">
        <v>14.8</v>
      </c>
      <c r="CL7" s="69">
        <v>17.079999999999998</v>
      </c>
      <c r="CM7" s="69">
        <v>0</v>
      </c>
      <c r="CN7" s="69">
        <v>15.7</v>
      </c>
      <c r="CO7" s="69">
        <v>9.4</v>
      </c>
      <c r="CP7" s="69">
        <v>15</v>
      </c>
      <c r="CQ7" s="69">
        <v>17.11</v>
      </c>
      <c r="CR7" s="69">
        <v>0</v>
      </c>
      <c r="CS7" s="69">
        <v>16.2</v>
      </c>
      <c r="CT7" s="69">
        <v>9.4</v>
      </c>
      <c r="CU7" s="69">
        <v>14.6</v>
      </c>
      <c r="CV7" s="69">
        <v>17.38</v>
      </c>
      <c r="CW7" s="69">
        <v>0</v>
      </c>
      <c r="CX7" s="80"/>
      <c r="CY7" s="11">
        <f t="shared" si="35"/>
        <v>48.36</v>
      </c>
      <c r="CZ7" s="11">
        <f t="shared" si="36"/>
        <v>14.8</v>
      </c>
      <c r="DA7" s="11">
        <f t="shared" si="37"/>
        <v>55.879999999999995</v>
      </c>
      <c r="DB7" s="11">
        <f t="shared" si="38"/>
        <v>15</v>
      </c>
      <c r="DC7" s="11">
        <f t="shared" si="39"/>
        <v>57.21</v>
      </c>
      <c r="DD7" s="11">
        <f t="shared" si="40"/>
        <v>105.57</v>
      </c>
      <c r="DE7" s="11">
        <f t="shared" si="41"/>
        <v>14.6</v>
      </c>
      <c r="DF7" s="11">
        <f t="shared" si="42"/>
        <v>57.58</v>
      </c>
      <c r="DG7" s="11">
        <f t="shared" si="43"/>
        <v>163.14999999999998</v>
      </c>
      <c r="DH7" s="24" t="str">
        <f t="shared" si="44"/>
        <v/>
      </c>
      <c r="DI7" s="24" t="str">
        <f t="shared" si="45"/>
        <v/>
      </c>
      <c r="DJ7" s="24" t="str">
        <f t="shared" si="46"/>
        <v/>
      </c>
      <c r="DK7" s="24" t="str">
        <f t="shared" si="47"/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 t="shared" si="48"/>
        <v/>
      </c>
      <c r="EB7" s="11" t="str">
        <f t="shared" si="49"/>
        <v/>
      </c>
      <c r="EC7" s="11" t="str">
        <f t="shared" si="50"/>
        <v/>
      </c>
      <c r="ED7" s="11" t="str">
        <f t="shared" si="51"/>
        <v/>
      </c>
      <c r="EE7" s="11" t="str">
        <f t="shared" si="52"/>
        <v/>
      </c>
      <c r="EF7" s="11" t="str">
        <f t="shared" si="53"/>
        <v/>
      </c>
      <c r="EG7" s="11" t="str">
        <f t="shared" si="54"/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17.850000000000001</v>
      </c>
      <c r="NQ7" s="69">
        <f t="shared" si="133"/>
        <v>9.3249999999999993</v>
      </c>
      <c r="NR7" s="69">
        <f t="shared" si="134"/>
        <v>4.5999999999999996</v>
      </c>
      <c r="NS7" s="69">
        <f t="shared" si="135"/>
        <v>17.627499999999998</v>
      </c>
      <c r="NT7" s="69">
        <f t="shared" si="136"/>
        <v>0</v>
      </c>
      <c r="NU7" s="69">
        <f t="shared" si="137"/>
        <v>15.15</v>
      </c>
      <c r="NV7" s="69">
        <f t="shared" si="138"/>
        <v>8.625</v>
      </c>
      <c r="NW7" s="69">
        <f t="shared" si="139"/>
        <v>14.15</v>
      </c>
      <c r="NX7" s="69">
        <f t="shared" si="140"/>
        <v>16.994999999999997</v>
      </c>
      <c r="NY7" s="69">
        <f t="shared" si="141"/>
        <v>0</v>
      </c>
      <c r="NZ7" s="69">
        <f t="shared" si="142"/>
        <v>16.2</v>
      </c>
      <c r="OA7" s="69">
        <f t="shared" si="143"/>
        <v>9.15</v>
      </c>
      <c r="OB7" s="69">
        <f t="shared" si="144"/>
        <v>14.45</v>
      </c>
      <c r="OC7" s="69">
        <f t="shared" si="145"/>
        <v>17.195</v>
      </c>
      <c r="OD7" s="69">
        <f t="shared" si="146"/>
        <v>0</v>
      </c>
      <c r="OE7" s="69">
        <f t="shared" si="147"/>
        <v>8.9499999999999993</v>
      </c>
      <c r="OF7" s="69">
        <f t="shared" si="148"/>
        <v>5.15</v>
      </c>
      <c r="OG7" s="69">
        <f t="shared" si="149"/>
        <v>8.15</v>
      </c>
      <c r="OH7" s="69">
        <f t="shared" si="150"/>
        <v>9.5975000000000001</v>
      </c>
      <c r="OI7" s="69">
        <f t="shared" si="151"/>
        <v>0</v>
      </c>
      <c r="OJ7" s="80" t="s">
        <v>88</v>
      </c>
      <c r="OK7" s="11">
        <f t="shared" si="152"/>
        <v>49.402499999999996</v>
      </c>
      <c r="OL7" s="11">
        <f t="shared" si="153"/>
        <v>14.15</v>
      </c>
      <c r="OM7" s="11">
        <f t="shared" si="154"/>
        <v>54.919999999999995</v>
      </c>
      <c r="ON7" s="11">
        <f t="shared" si="155"/>
        <v>14.45</v>
      </c>
      <c r="OO7" s="11">
        <f t="shared" si="156"/>
        <v>56.994999999999997</v>
      </c>
      <c r="OP7" s="11">
        <f t="shared" si="157"/>
        <v>106.39749999999999</v>
      </c>
      <c r="OQ7" s="11">
        <f t="shared" si="158"/>
        <v>8.15</v>
      </c>
      <c r="OR7" s="11">
        <f t="shared" si="159"/>
        <v>31.8475</v>
      </c>
      <c r="OS7" s="11">
        <f t="shared" si="160"/>
        <v>138.245</v>
      </c>
    </row>
    <row r="8" spans="1:409" x14ac:dyDescent="0.2">
      <c r="A8" s="5" cm="1">
        <f t="array" ref="A8">IF(AND(G8&lt;&gt;"",H8&lt;&gt;""),SUMPRODUCT((G$4:G$27&lt;&gt;"")*(H$4:H$27&lt;&gt;"")*(E$4:E$27&gt;E8))+1,IF(H8&lt;&gt;"",SUMPRODUCT((I$4:I$27="No DD")*(E$4:E$27&gt;E8))+1+SUMPRODUCT((G$4:G$27&lt;&gt;"")*(H$4:H$27&lt;&gt;"")),""))</f>
        <v>5</v>
      </c>
      <c r="B8" s="6" t="s">
        <v>8</v>
      </c>
      <c r="C8" s="7" t="s">
        <v>3</v>
      </c>
      <c r="D8" s="5">
        <v>1994</v>
      </c>
      <c r="E8" s="15">
        <f t="shared" si="0"/>
        <v>270.09500000000003</v>
      </c>
      <c r="F8" s="3" t="str">
        <f t="shared" si="1"/>
        <v>P</v>
      </c>
      <c r="G8" s="125" t="str">
        <f t="shared" si="2"/>
        <v>Merit</v>
      </c>
      <c r="H8" s="125" t="str">
        <f t="shared" si="3"/>
        <v>Worlds Team</v>
      </c>
      <c r="I8" s="126" t="str">
        <f t="shared" si="4"/>
        <v>Worlds Team</v>
      </c>
      <c r="J8" s="3" t="str">
        <f t="shared" si="5"/>
        <v>P</v>
      </c>
      <c r="K8" s="14">
        <f t="shared" si="6"/>
        <v>107.19499999999999</v>
      </c>
      <c r="L8" s="14" t="str">
        <f t="shared" si="7"/>
        <v>2019 Nationals</v>
      </c>
      <c r="M8" s="14">
        <f t="shared" si="8"/>
        <v>50.480000000000004</v>
      </c>
      <c r="N8" s="14" t="str">
        <f t="shared" si="9"/>
        <v>2021 1st Virtual Technical Trial</v>
      </c>
      <c r="O8" s="14">
        <f t="shared" si="10"/>
        <v>56.167500000000004</v>
      </c>
      <c r="P8" s="14" t="str">
        <f t="shared" si="11"/>
        <v>2021 1st Virtual Technical Trial</v>
      </c>
      <c r="Q8" s="14">
        <f t="shared" si="12"/>
        <v>56.252499999999998</v>
      </c>
      <c r="R8" s="14" t="str">
        <f t="shared" si="13"/>
        <v>2021 1st Virtual Technical Trial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69">
        <v>18.899999999999999</v>
      </c>
      <c r="W8" s="69">
        <v>9.3000000000000007</v>
      </c>
      <c r="X8" s="69">
        <v>5.4</v>
      </c>
      <c r="Y8" s="69">
        <v>17.48</v>
      </c>
      <c r="Z8" s="69">
        <v>0</v>
      </c>
      <c r="AA8" s="69">
        <v>15.1</v>
      </c>
      <c r="AB8" s="69">
        <v>9.4</v>
      </c>
      <c r="AC8" s="69">
        <v>16</v>
      </c>
      <c r="AD8" s="69">
        <v>15.615</v>
      </c>
      <c r="AE8" s="69">
        <v>0</v>
      </c>
      <c r="AF8" s="69"/>
      <c r="AG8" s="69"/>
      <c r="AH8" s="69"/>
      <c r="AI8" s="69"/>
      <c r="AJ8" s="69"/>
      <c r="AK8" s="69">
        <v>15.08</v>
      </c>
      <c r="AL8" s="69">
        <v>9.1</v>
      </c>
      <c r="AM8" s="69">
        <v>16</v>
      </c>
      <c r="AN8" s="69">
        <v>15.91</v>
      </c>
      <c r="AO8" s="69">
        <v>0</v>
      </c>
      <c r="AP8" s="80"/>
      <c r="AQ8" s="11">
        <f t="shared" si="17"/>
        <v>51.08</v>
      </c>
      <c r="AR8" s="11">
        <f t="shared" si="18"/>
        <v>16</v>
      </c>
      <c r="AS8" s="11">
        <f t="shared" si="19"/>
        <v>56.115000000000002</v>
      </c>
      <c r="AT8" s="11" t="str">
        <f t="shared" si="20"/>
        <v/>
      </c>
      <c r="AU8" s="11" t="str">
        <f t="shared" si="21"/>
        <v/>
      </c>
      <c r="AV8" s="11">
        <f t="shared" si="22"/>
        <v>107.19499999999999</v>
      </c>
      <c r="AW8" s="11">
        <f t="shared" si="23"/>
        <v>16</v>
      </c>
      <c r="AX8" s="11">
        <f t="shared" si="24"/>
        <v>56.09</v>
      </c>
      <c r="AY8" s="11">
        <f t="shared" si="25"/>
        <v>163.285</v>
      </c>
      <c r="AZ8" s="75">
        <v>18.399999999999999</v>
      </c>
      <c r="BA8" s="75">
        <v>9.125</v>
      </c>
      <c r="BB8" s="75">
        <v>5.7</v>
      </c>
      <c r="BC8" s="75">
        <v>17.255000000000003</v>
      </c>
      <c r="BD8" s="75">
        <v>0</v>
      </c>
      <c r="BE8" s="75">
        <v>15.7</v>
      </c>
      <c r="BF8" s="75">
        <v>9.25</v>
      </c>
      <c r="BG8" s="75">
        <v>15.5</v>
      </c>
      <c r="BH8" s="75">
        <v>15.717500000000001</v>
      </c>
      <c r="BI8" s="75">
        <v>0</v>
      </c>
      <c r="BJ8" s="75"/>
      <c r="BK8" s="75"/>
      <c r="BL8" s="75"/>
      <c r="BM8" s="75"/>
      <c r="BN8" s="75"/>
      <c r="BO8" s="75">
        <v>15.690000000000001</v>
      </c>
      <c r="BP8" s="75">
        <v>9.1999999999999993</v>
      </c>
      <c r="BQ8" s="75">
        <v>15.4</v>
      </c>
      <c r="BR8" s="75">
        <v>15.9625</v>
      </c>
      <c r="BS8" s="75">
        <v>0</v>
      </c>
      <c r="BT8" s="81" t="s">
        <v>88</v>
      </c>
      <c r="BU8" s="14">
        <f t="shared" si="26"/>
        <v>50.480000000000004</v>
      </c>
      <c r="BV8" s="14">
        <f t="shared" si="27"/>
        <v>15.5</v>
      </c>
      <c r="BW8" s="14">
        <f t="shared" si="28"/>
        <v>56.167500000000004</v>
      </c>
      <c r="BX8" s="14" t="str">
        <f t="shared" si="29"/>
        <v/>
      </c>
      <c r="BY8" s="14" t="str">
        <f t="shared" si="30"/>
        <v/>
      </c>
      <c r="BZ8" s="14">
        <f t="shared" si="31"/>
        <v>106.64750000000001</v>
      </c>
      <c r="CA8" s="14">
        <f t="shared" si="32"/>
        <v>15.4</v>
      </c>
      <c r="CB8" s="14">
        <f t="shared" si="33"/>
        <v>56.252499999999998</v>
      </c>
      <c r="CC8" s="14">
        <f t="shared" si="34"/>
        <v>162.9</v>
      </c>
      <c r="CD8" s="69">
        <v>17.399999999999999</v>
      </c>
      <c r="CE8" s="69">
        <v>8.9</v>
      </c>
      <c r="CF8" s="69">
        <v>5.6</v>
      </c>
      <c r="CG8" s="69">
        <v>17.53</v>
      </c>
      <c r="CH8" s="69">
        <v>0</v>
      </c>
      <c r="CI8" s="69">
        <v>15</v>
      </c>
      <c r="CJ8" s="69">
        <v>9</v>
      </c>
      <c r="CK8" s="69">
        <v>15.4</v>
      </c>
      <c r="CL8" s="69">
        <v>15.86</v>
      </c>
      <c r="CM8" s="69">
        <v>0</v>
      </c>
      <c r="CN8" s="69">
        <v>6.3</v>
      </c>
      <c r="CO8" s="69">
        <v>3.4</v>
      </c>
      <c r="CP8" s="69">
        <v>6.5</v>
      </c>
      <c r="CQ8" s="69">
        <v>6.93</v>
      </c>
      <c r="CR8" s="69">
        <v>0</v>
      </c>
      <c r="CS8" s="69">
        <v>15.7</v>
      </c>
      <c r="CT8" s="69">
        <v>8.9</v>
      </c>
      <c r="CU8" s="69">
        <v>15</v>
      </c>
      <c r="CV8" s="69">
        <v>16.190000000000001</v>
      </c>
      <c r="CW8" s="69">
        <v>0</v>
      </c>
      <c r="CX8" s="80"/>
      <c r="CY8" s="11">
        <f t="shared" si="35"/>
        <v>49.43</v>
      </c>
      <c r="CZ8" s="11">
        <f t="shared" si="36"/>
        <v>15.4</v>
      </c>
      <c r="DA8" s="11">
        <f t="shared" si="37"/>
        <v>55.26</v>
      </c>
      <c r="DB8" s="11">
        <f t="shared" si="38"/>
        <v>6.5</v>
      </c>
      <c r="DC8" s="11">
        <f t="shared" si="39"/>
        <v>23.13</v>
      </c>
      <c r="DD8" s="11">
        <f t="shared" si="40"/>
        <v>104.69</v>
      </c>
      <c r="DE8" s="11">
        <f t="shared" si="41"/>
        <v>15</v>
      </c>
      <c r="DF8" s="11">
        <f t="shared" si="42"/>
        <v>55.790000000000006</v>
      </c>
      <c r="DG8" s="11">
        <f t="shared" si="43"/>
        <v>160.48000000000002</v>
      </c>
      <c r="DH8" s="24" t="str">
        <f t="shared" si="44"/>
        <v/>
      </c>
      <c r="DI8" s="24" t="str">
        <f t="shared" si="45"/>
        <v/>
      </c>
      <c r="DJ8" s="24" t="str">
        <f t="shared" si="46"/>
        <v/>
      </c>
      <c r="DK8" s="24" t="str">
        <f t="shared" si="47"/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 t="shared" si="48"/>
        <v/>
      </c>
      <c r="EB8" s="11" t="str">
        <f t="shared" si="49"/>
        <v/>
      </c>
      <c r="EC8" s="11" t="str">
        <f t="shared" si="50"/>
        <v/>
      </c>
      <c r="ED8" s="11" t="str">
        <f t="shared" si="51"/>
        <v/>
      </c>
      <c r="EE8" s="11" t="str">
        <f t="shared" si="52"/>
        <v/>
      </c>
      <c r="EF8" s="11" t="str">
        <f t="shared" si="53"/>
        <v/>
      </c>
      <c r="EG8" s="11" t="str">
        <f t="shared" si="54"/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5"/>
        <v/>
      </c>
      <c r="EX8" s="14" t="str">
        <f t="shared" si="56"/>
        <v/>
      </c>
      <c r="EY8" s="14" t="str">
        <f t="shared" si="57"/>
        <v/>
      </c>
      <c r="EZ8" s="14" t="str">
        <f t="shared" si="58"/>
        <v/>
      </c>
      <c r="FA8" s="14" t="str">
        <f t="shared" si="59"/>
        <v/>
      </c>
      <c r="FB8" s="14" t="str">
        <f t="shared" si="60"/>
        <v/>
      </c>
      <c r="FC8" s="14" t="str">
        <f t="shared" si="61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17.899999999999999</v>
      </c>
      <c r="NQ8" s="69">
        <f t="shared" si="133"/>
        <v>9.0124999999999993</v>
      </c>
      <c r="NR8" s="69">
        <f t="shared" si="134"/>
        <v>5.65</v>
      </c>
      <c r="NS8" s="69">
        <f t="shared" si="135"/>
        <v>17.392500000000002</v>
      </c>
      <c r="NT8" s="69">
        <f t="shared" si="136"/>
        <v>0</v>
      </c>
      <c r="NU8" s="69">
        <f t="shared" si="137"/>
        <v>15.35</v>
      </c>
      <c r="NV8" s="69">
        <f t="shared" si="138"/>
        <v>9.125</v>
      </c>
      <c r="NW8" s="69">
        <f t="shared" si="139"/>
        <v>15.45</v>
      </c>
      <c r="NX8" s="69">
        <f t="shared" si="140"/>
        <v>15.78875</v>
      </c>
      <c r="NY8" s="69">
        <f t="shared" si="141"/>
        <v>0</v>
      </c>
      <c r="NZ8" s="69">
        <f t="shared" si="142"/>
        <v>3.15</v>
      </c>
      <c r="OA8" s="69">
        <f t="shared" si="143"/>
        <v>1.7</v>
      </c>
      <c r="OB8" s="69">
        <f t="shared" si="144"/>
        <v>3.25</v>
      </c>
      <c r="OC8" s="69">
        <f t="shared" si="145"/>
        <v>3.4649999999999999</v>
      </c>
      <c r="OD8" s="69">
        <f t="shared" si="146"/>
        <v>0</v>
      </c>
      <c r="OE8" s="69">
        <f t="shared" si="147"/>
        <v>15.695</v>
      </c>
      <c r="OF8" s="69">
        <f t="shared" si="148"/>
        <v>9.0500000000000007</v>
      </c>
      <c r="OG8" s="69">
        <f t="shared" si="149"/>
        <v>15.2</v>
      </c>
      <c r="OH8" s="69">
        <f t="shared" si="150"/>
        <v>16.076250000000002</v>
      </c>
      <c r="OI8" s="69">
        <f t="shared" si="151"/>
        <v>0</v>
      </c>
      <c r="OJ8" s="80" t="s">
        <v>88</v>
      </c>
      <c r="OK8" s="11">
        <f t="shared" si="152"/>
        <v>49.954999999999998</v>
      </c>
      <c r="OL8" s="11">
        <f t="shared" si="153"/>
        <v>15.45</v>
      </c>
      <c r="OM8" s="11">
        <f t="shared" si="154"/>
        <v>55.713749999999997</v>
      </c>
      <c r="ON8" s="11">
        <f t="shared" si="155"/>
        <v>3.25</v>
      </c>
      <c r="OO8" s="11">
        <f t="shared" si="156"/>
        <v>11.565</v>
      </c>
      <c r="OP8" s="11">
        <f t="shared" si="157"/>
        <v>105.66874999999999</v>
      </c>
      <c r="OQ8" s="11">
        <f t="shared" si="158"/>
        <v>15.2</v>
      </c>
      <c r="OR8" s="11">
        <f t="shared" si="159"/>
        <v>56.021250000000002</v>
      </c>
      <c r="OS8" s="11">
        <f t="shared" si="160"/>
        <v>161.69</v>
      </c>
    </row>
    <row r="9" spans="1:409" x14ac:dyDescent="0.2">
      <c r="A9" s="5" cm="1">
        <f t="array" ref="A9">IF(AND(G9&lt;&gt;"",H9&lt;&gt;""),SUMPRODUCT((G$4:G$27&lt;&gt;"")*(H$4:H$27&lt;&gt;"")*(E$4:E$27&gt;E9))+1,IF(H9&lt;&gt;"",SUMPRODUCT((I$4:I$27="No DD")*(E$4:E$27&gt;E9))+1+SUMPRODUCT((G$4:G$27&lt;&gt;"")*(H$4:H$27&lt;&gt;"")),""))</f>
        <v>6</v>
      </c>
      <c r="B9" s="6" t="s">
        <v>181</v>
      </c>
      <c r="C9" s="7" t="s">
        <v>10</v>
      </c>
      <c r="D9" s="5">
        <v>2000</v>
      </c>
      <c r="E9" s="15">
        <f t="shared" si="0"/>
        <v>262.02999999999997</v>
      </c>
      <c r="F9" s="3" t="str">
        <f t="shared" si="1"/>
        <v>P</v>
      </c>
      <c r="G9" s="125" t="str">
        <f t="shared" si="2"/>
        <v>National Team</v>
      </c>
      <c r="H9" s="125" t="str">
        <f t="shared" si="3"/>
        <v>Worlds Team</v>
      </c>
      <c r="I9" s="126" t="str">
        <f t="shared" si="4"/>
        <v>National Team</v>
      </c>
      <c r="J9" s="3" t="str">
        <f t="shared" si="5"/>
        <v/>
      </c>
      <c r="K9" s="14">
        <f t="shared" si="6"/>
        <v>105.15</v>
      </c>
      <c r="L9" s="14" t="str">
        <f t="shared" si="7"/>
        <v>2021 1st Virtual Technical Trial</v>
      </c>
      <c r="M9" s="14">
        <f t="shared" si="8"/>
        <v>49.41</v>
      </c>
      <c r="N9" s="14" t="str">
        <f t="shared" si="9"/>
        <v>2019 Nationals</v>
      </c>
      <c r="O9" s="14">
        <f t="shared" si="10"/>
        <v>52.260000000000005</v>
      </c>
      <c r="P9" s="14" t="str">
        <f t="shared" si="11"/>
        <v>2021 2nd Virtual Technical Trial</v>
      </c>
      <c r="Q9" s="14">
        <f t="shared" si="12"/>
        <v>55.209999999999994</v>
      </c>
      <c r="R9" s="14" t="str">
        <f t="shared" si="13"/>
        <v>2021 2nd Virtual Technical Trial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17.600000000000001</v>
      </c>
      <c r="W9" s="69">
        <v>9.1</v>
      </c>
      <c r="X9" s="69">
        <v>5.4</v>
      </c>
      <c r="Y9" s="69">
        <v>17.309999999999999</v>
      </c>
      <c r="Z9" s="69">
        <v>0</v>
      </c>
      <c r="AA9" s="69">
        <v>16</v>
      </c>
      <c r="AB9" s="69">
        <v>9.1</v>
      </c>
      <c r="AC9" s="69">
        <v>11.7</v>
      </c>
      <c r="AD9" s="69">
        <v>15.77</v>
      </c>
      <c r="AE9" s="69">
        <v>1.8</v>
      </c>
      <c r="AF9" s="69"/>
      <c r="AG9" s="69"/>
      <c r="AH9" s="69"/>
      <c r="AI9" s="69"/>
      <c r="AJ9" s="69"/>
      <c r="AK9" s="69">
        <v>13.58</v>
      </c>
      <c r="AL9" s="69">
        <v>9.4</v>
      </c>
      <c r="AM9" s="69">
        <v>14.4</v>
      </c>
      <c r="AN9" s="69">
        <v>15.55</v>
      </c>
      <c r="AO9" s="69">
        <v>0</v>
      </c>
      <c r="AP9" s="80"/>
      <c r="AQ9" s="11">
        <f t="shared" si="17"/>
        <v>49.41</v>
      </c>
      <c r="AR9" s="11">
        <f t="shared" si="18"/>
        <v>11.7</v>
      </c>
      <c r="AS9" s="11">
        <f t="shared" si="19"/>
        <v>50.769999999999996</v>
      </c>
      <c r="AT9" s="11" t="str">
        <f t="shared" si="20"/>
        <v/>
      </c>
      <c r="AU9" s="11" t="str">
        <f t="shared" si="21"/>
        <v/>
      </c>
      <c r="AV9" s="11">
        <f t="shared" si="22"/>
        <v>100.17999999999999</v>
      </c>
      <c r="AW9" s="11">
        <f t="shared" si="23"/>
        <v>14.4</v>
      </c>
      <c r="AX9" s="11">
        <f t="shared" si="24"/>
        <v>52.930000000000007</v>
      </c>
      <c r="AY9" s="11">
        <f t="shared" si="25"/>
        <v>153.11000000000001</v>
      </c>
      <c r="AZ9" s="75">
        <v>17.8</v>
      </c>
      <c r="BA9" s="75">
        <v>9.4499999999999993</v>
      </c>
      <c r="BB9" s="75">
        <v>5</v>
      </c>
      <c r="BC9" s="75">
        <v>18.04</v>
      </c>
      <c r="BD9" s="75">
        <v>0</v>
      </c>
      <c r="BE9" s="75">
        <v>8.4</v>
      </c>
      <c r="BF9" s="75">
        <v>4.3499999999999996</v>
      </c>
      <c r="BG9" s="75">
        <v>7.3</v>
      </c>
      <c r="BH9" s="75">
        <v>8.8000000000000007</v>
      </c>
      <c r="BI9" s="75">
        <v>0</v>
      </c>
      <c r="BJ9" s="75">
        <v>16.66</v>
      </c>
      <c r="BK9" s="75">
        <v>9.3000000000000007</v>
      </c>
      <c r="BL9" s="75">
        <v>12.8</v>
      </c>
      <c r="BM9" s="75">
        <v>16.8</v>
      </c>
      <c r="BN9" s="75">
        <v>0.7</v>
      </c>
      <c r="BO9" s="75">
        <v>14.8</v>
      </c>
      <c r="BP9" s="75">
        <v>9.15</v>
      </c>
      <c r="BQ9" s="75">
        <v>13.7</v>
      </c>
      <c r="BR9" s="75">
        <v>16.920000000000002</v>
      </c>
      <c r="BS9" s="75">
        <v>0</v>
      </c>
      <c r="BT9" s="81"/>
      <c r="BU9" s="14">
        <f t="shared" si="26"/>
        <v>50.29</v>
      </c>
      <c r="BV9" s="14">
        <f t="shared" si="27"/>
        <v>7.3</v>
      </c>
      <c r="BW9" s="14">
        <f t="shared" si="28"/>
        <v>28.85</v>
      </c>
      <c r="BX9" s="14">
        <f t="shared" si="29"/>
        <v>12.8</v>
      </c>
      <c r="BY9" s="14">
        <f t="shared" si="30"/>
        <v>54.86</v>
      </c>
      <c r="BZ9" s="14">
        <f t="shared" si="31"/>
        <v>105.15</v>
      </c>
      <c r="CA9" s="14">
        <f t="shared" si="32"/>
        <v>13.7</v>
      </c>
      <c r="CB9" s="14">
        <f t="shared" si="33"/>
        <v>54.570000000000007</v>
      </c>
      <c r="CC9" s="14">
        <f t="shared" si="34"/>
        <v>159.72000000000003</v>
      </c>
      <c r="CD9" s="69">
        <v>17.7</v>
      </c>
      <c r="CE9" s="69">
        <v>9</v>
      </c>
      <c r="CF9" s="69">
        <v>4.0999999999999996</v>
      </c>
      <c r="CG9" s="69">
        <v>17.745000000000001</v>
      </c>
      <c r="CH9" s="69">
        <v>0</v>
      </c>
      <c r="CI9" s="69">
        <v>16.2</v>
      </c>
      <c r="CJ9" s="69">
        <v>8.6</v>
      </c>
      <c r="CK9" s="69">
        <v>12.2</v>
      </c>
      <c r="CL9" s="69">
        <v>16.559999999999999</v>
      </c>
      <c r="CM9" s="69">
        <v>1.3</v>
      </c>
      <c r="CN9" s="69">
        <v>4.9000000000000004</v>
      </c>
      <c r="CO9" s="69">
        <v>2.2000000000000002</v>
      </c>
      <c r="CP9" s="69">
        <v>3.5</v>
      </c>
      <c r="CQ9" s="69">
        <v>5.1950000000000003</v>
      </c>
      <c r="CR9" s="69">
        <v>0</v>
      </c>
      <c r="CS9" s="69">
        <v>16.2</v>
      </c>
      <c r="CT9" s="69">
        <v>8.6999999999999993</v>
      </c>
      <c r="CU9" s="69">
        <v>13.7</v>
      </c>
      <c r="CV9" s="69">
        <v>16.61</v>
      </c>
      <c r="CW9" s="69">
        <v>0</v>
      </c>
      <c r="CX9" s="80"/>
      <c r="CY9" s="11">
        <f t="shared" si="35"/>
        <v>48.545000000000002</v>
      </c>
      <c r="CZ9" s="11">
        <f t="shared" si="36"/>
        <v>12.2</v>
      </c>
      <c r="DA9" s="11">
        <f t="shared" si="37"/>
        <v>52.260000000000005</v>
      </c>
      <c r="DB9" s="11">
        <f t="shared" si="38"/>
        <v>3.5</v>
      </c>
      <c r="DC9" s="11">
        <f t="shared" si="39"/>
        <v>15.795000000000002</v>
      </c>
      <c r="DD9" s="11">
        <f t="shared" si="40"/>
        <v>100.80500000000001</v>
      </c>
      <c r="DE9" s="11">
        <f t="shared" si="41"/>
        <v>13.7</v>
      </c>
      <c r="DF9" s="11">
        <f t="shared" si="42"/>
        <v>55.209999999999994</v>
      </c>
      <c r="DG9" s="11">
        <f t="shared" si="43"/>
        <v>156.01499999999999</v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8"/>
        <v/>
      </c>
      <c r="EB9" s="11" t="str">
        <f t="shared" si="49"/>
        <v/>
      </c>
      <c r="EC9" s="11" t="str">
        <f t="shared" si="50"/>
        <v/>
      </c>
      <c r="ED9" s="11" t="str">
        <f t="shared" si="51"/>
        <v/>
      </c>
      <c r="EE9" s="11" t="str">
        <f t="shared" si="52"/>
        <v/>
      </c>
      <c r="EF9" s="11" t="str">
        <f t="shared" si="53"/>
        <v/>
      </c>
      <c r="EG9" s="11" t="str">
        <f t="shared" si="54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17.75</v>
      </c>
      <c r="NQ9" s="69">
        <f t="shared" si="133"/>
        <v>9.2249999999999996</v>
      </c>
      <c r="NR9" s="69">
        <f t="shared" si="134"/>
        <v>4.55</v>
      </c>
      <c r="NS9" s="69">
        <f t="shared" si="135"/>
        <v>17.892499999999998</v>
      </c>
      <c r="NT9" s="69">
        <f t="shared" si="136"/>
        <v>0</v>
      </c>
      <c r="NU9" s="69">
        <f t="shared" si="137"/>
        <v>12.3</v>
      </c>
      <c r="NV9" s="69">
        <f t="shared" si="138"/>
        <v>6.4749999999999996</v>
      </c>
      <c r="NW9" s="69">
        <f t="shared" si="139"/>
        <v>9.75</v>
      </c>
      <c r="NX9" s="69">
        <f t="shared" si="140"/>
        <v>12.68</v>
      </c>
      <c r="NY9" s="69">
        <f t="shared" si="141"/>
        <v>0.65</v>
      </c>
      <c r="NZ9" s="69">
        <f t="shared" si="142"/>
        <v>10.780000000000001</v>
      </c>
      <c r="OA9" s="69">
        <f t="shared" si="143"/>
        <v>5.75</v>
      </c>
      <c r="OB9" s="69">
        <f t="shared" si="144"/>
        <v>8.15</v>
      </c>
      <c r="OC9" s="69">
        <f t="shared" si="145"/>
        <v>10.9975</v>
      </c>
      <c r="OD9" s="69">
        <f t="shared" si="146"/>
        <v>0.35</v>
      </c>
      <c r="OE9" s="69">
        <f t="shared" si="147"/>
        <v>15.5</v>
      </c>
      <c r="OF9" s="69">
        <f t="shared" si="148"/>
        <v>8.9250000000000007</v>
      </c>
      <c r="OG9" s="69">
        <f t="shared" si="149"/>
        <v>13.7</v>
      </c>
      <c r="OH9" s="69">
        <f t="shared" si="150"/>
        <v>16.765000000000001</v>
      </c>
      <c r="OI9" s="69">
        <f t="shared" si="151"/>
        <v>0</v>
      </c>
      <c r="OJ9" s="80" t="s">
        <v>88</v>
      </c>
      <c r="OK9" s="11">
        <f t="shared" si="152"/>
        <v>49.417500000000004</v>
      </c>
      <c r="OL9" s="11">
        <f t="shared" si="153"/>
        <v>9.75</v>
      </c>
      <c r="OM9" s="11">
        <f t="shared" si="154"/>
        <v>40.555</v>
      </c>
      <c r="ON9" s="11">
        <f t="shared" si="155"/>
        <v>8.15</v>
      </c>
      <c r="OO9" s="11">
        <f t="shared" si="156"/>
        <v>35.327500000000001</v>
      </c>
      <c r="OP9" s="11">
        <f t="shared" si="157"/>
        <v>89.972499999999997</v>
      </c>
      <c r="OQ9" s="11">
        <f t="shared" si="158"/>
        <v>13.7</v>
      </c>
      <c r="OR9" s="11">
        <f t="shared" si="159"/>
        <v>54.89</v>
      </c>
      <c r="OS9" s="11">
        <f t="shared" si="160"/>
        <v>144.86250000000001</v>
      </c>
    </row>
    <row r="10" spans="1:409" x14ac:dyDescent="0.2">
      <c r="A10" s="5" cm="1">
        <f t="array" ref="A10">IF(AND(G10&lt;&gt;"",H10&lt;&gt;""),SUMPRODUCT((G$4:G$27&lt;&gt;"")*(H$4:H$27&lt;&gt;"")*(E$4:E$27&gt;E10))+1,IF(H10&lt;&gt;"",SUMPRODUCT((I$4:I$27="No DD")*(E$4:E$27&gt;E10))+1+SUMPRODUCT((G$4:G$27&lt;&gt;"")*(H$4:H$27&lt;&gt;"")),""))</f>
        <v>7</v>
      </c>
      <c r="B10" s="6" t="s">
        <v>83</v>
      </c>
      <c r="C10" s="7" t="s">
        <v>5</v>
      </c>
      <c r="D10" s="27">
        <v>1999</v>
      </c>
      <c r="E10" s="15">
        <f t="shared" si="0"/>
        <v>260.935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>National Team</v>
      </c>
      <c r="I10" s="126" t="str">
        <f t="shared" si="4"/>
        <v>National Team</v>
      </c>
      <c r="J10" s="3" t="str">
        <f t="shared" si="5"/>
        <v/>
      </c>
      <c r="K10" s="14">
        <f t="shared" si="6"/>
        <v>103.31500000000001</v>
      </c>
      <c r="L10" s="14" t="str">
        <f t="shared" si="7"/>
        <v>2019 Nationals</v>
      </c>
      <c r="M10" s="14">
        <f t="shared" si="8"/>
        <v>47.629999999999995</v>
      </c>
      <c r="N10" s="14" t="str">
        <f t="shared" si="9"/>
        <v>2021 2nd Virtual Technical Trial</v>
      </c>
      <c r="O10" s="14">
        <f t="shared" si="10"/>
        <v>55.06</v>
      </c>
      <c r="P10" s="14" t="str">
        <f t="shared" si="11"/>
        <v>2021 2nd Virtual Technical Trial</v>
      </c>
      <c r="Q10" s="14">
        <f t="shared" si="12"/>
        <v>54.930000000000007</v>
      </c>
      <c r="R10" s="14" t="str">
        <f t="shared" si="13"/>
        <v>2021 2nd Virtual Technical Trial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>
        <v>16.399999999999999</v>
      </c>
      <c r="W10" s="69">
        <v>9.1</v>
      </c>
      <c r="X10" s="69">
        <v>5.4</v>
      </c>
      <c r="Y10" s="69">
        <v>16.675000000000001</v>
      </c>
      <c r="Z10" s="69">
        <v>0</v>
      </c>
      <c r="AA10" s="69">
        <v>15.4</v>
      </c>
      <c r="AB10" s="69">
        <v>9.3000000000000007</v>
      </c>
      <c r="AC10" s="69">
        <v>15.2</v>
      </c>
      <c r="AD10" s="69">
        <v>15.84</v>
      </c>
      <c r="AE10" s="69">
        <v>0</v>
      </c>
      <c r="AF10" s="69"/>
      <c r="AG10" s="69"/>
      <c r="AH10" s="69"/>
      <c r="AI10" s="69"/>
      <c r="AJ10" s="69"/>
      <c r="AK10" s="69">
        <v>14.68</v>
      </c>
      <c r="AL10" s="69">
        <v>9.4</v>
      </c>
      <c r="AM10" s="69">
        <v>14.8</v>
      </c>
      <c r="AN10" s="69">
        <v>15.555</v>
      </c>
      <c r="AO10" s="69">
        <v>0</v>
      </c>
      <c r="AP10" s="80"/>
      <c r="AQ10" s="11">
        <f t="shared" si="17"/>
        <v>47.575000000000003</v>
      </c>
      <c r="AR10" s="11">
        <f t="shared" si="18"/>
        <v>15.2</v>
      </c>
      <c r="AS10" s="11">
        <f t="shared" si="19"/>
        <v>55.740000000000009</v>
      </c>
      <c r="AT10" s="11" t="str">
        <f t="shared" si="20"/>
        <v/>
      </c>
      <c r="AU10" s="11" t="str">
        <f t="shared" si="21"/>
        <v/>
      </c>
      <c r="AV10" s="11">
        <f t="shared" si="22"/>
        <v>103.31500000000001</v>
      </c>
      <c r="AW10" s="11">
        <f t="shared" si="23"/>
        <v>14.8</v>
      </c>
      <c r="AX10" s="11">
        <f t="shared" si="24"/>
        <v>54.434999999999995</v>
      </c>
      <c r="AY10" s="11">
        <f t="shared" si="25"/>
        <v>157.75</v>
      </c>
      <c r="AZ10" s="75">
        <v>16.899999999999999</v>
      </c>
      <c r="BA10" s="75">
        <v>9.6</v>
      </c>
      <c r="BB10" s="75">
        <v>5.2</v>
      </c>
      <c r="BC10" s="75">
        <v>16.03</v>
      </c>
      <c r="BD10" s="75">
        <v>0.2</v>
      </c>
      <c r="BE10" s="75">
        <v>4.7</v>
      </c>
      <c r="BF10" s="75">
        <v>2.8</v>
      </c>
      <c r="BG10" s="75">
        <v>4.9000000000000004</v>
      </c>
      <c r="BH10" s="75">
        <v>4.93</v>
      </c>
      <c r="BI10" s="75">
        <v>0.2</v>
      </c>
      <c r="BJ10" s="75">
        <v>13.8</v>
      </c>
      <c r="BK10" s="75">
        <v>9.15</v>
      </c>
      <c r="BL10" s="75">
        <v>14.4</v>
      </c>
      <c r="BM10" s="75">
        <v>15.36</v>
      </c>
      <c r="BN10" s="75">
        <v>0</v>
      </c>
      <c r="BO10" s="75">
        <v>14</v>
      </c>
      <c r="BP10" s="75">
        <v>9.1999999999999993</v>
      </c>
      <c r="BQ10" s="75">
        <v>14.6</v>
      </c>
      <c r="BR10" s="75">
        <v>14.92</v>
      </c>
      <c r="BS10" s="75">
        <v>0.2</v>
      </c>
      <c r="BT10" s="81"/>
      <c r="BU10" s="14">
        <f t="shared" si="26"/>
        <v>47.53</v>
      </c>
      <c r="BV10" s="14">
        <f t="shared" si="27"/>
        <v>4.9000000000000004</v>
      </c>
      <c r="BW10" s="14">
        <f t="shared" si="28"/>
        <v>17.13</v>
      </c>
      <c r="BX10" s="14">
        <f t="shared" si="29"/>
        <v>14.4</v>
      </c>
      <c r="BY10" s="14">
        <f t="shared" si="30"/>
        <v>52.71</v>
      </c>
      <c r="BZ10" s="14">
        <f t="shared" si="31"/>
        <v>100.24000000000001</v>
      </c>
      <c r="CA10" s="14">
        <f t="shared" si="32"/>
        <v>14.6</v>
      </c>
      <c r="CB10" s="14">
        <f t="shared" si="33"/>
        <v>52.519999999999996</v>
      </c>
      <c r="CC10" s="14">
        <f t="shared" si="34"/>
        <v>152.76</v>
      </c>
      <c r="CD10" s="69">
        <v>16.7</v>
      </c>
      <c r="CE10" s="69">
        <v>9.5</v>
      </c>
      <c r="CF10" s="69">
        <v>5.2</v>
      </c>
      <c r="CG10" s="69">
        <v>16.23</v>
      </c>
      <c r="CH10" s="69">
        <v>0</v>
      </c>
      <c r="CI10" s="69">
        <v>15.2</v>
      </c>
      <c r="CJ10" s="69">
        <v>9.3000000000000007</v>
      </c>
      <c r="CK10" s="69">
        <v>14.6</v>
      </c>
      <c r="CL10" s="69">
        <v>15.96</v>
      </c>
      <c r="CM10" s="69">
        <v>0</v>
      </c>
      <c r="CN10" s="69">
        <v>3</v>
      </c>
      <c r="CO10" s="69">
        <v>1.9</v>
      </c>
      <c r="CP10" s="69">
        <v>3</v>
      </c>
      <c r="CQ10" s="69">
        <v>3.32</v>
      </c>
      <c r="CR10" s="69">
        <v>0</v>
      </c>
      <c r="CS10" s="69">
        <v>15.3</v>
      </c>
      <c r="CT10" s="69">
        <v>9.3000000000000007</v>
      </c>
      <c r="CU10" s="69">
        <v>14.6</v>
      </c>
      <c r="CV10" s="69">
        <v>15.73</v>
      </c>
      <c r="CW10" s="69">
        <v>0</v>
      </c>
      <c r="CX10" s="80"/>
      <c r="CY10" s="11">
        <f t="shared" si="35"/>
        <v>47.629999999999995</v>
      </c>
      <c r="CZ10" s="11">
        <f t="shared" si="36"/>
        <v>14.6</v>
      </c>
      <c r="DA10" s="11">
        <f t="shared" si="37"/>
        <v>55.06</v>
      </c>
      <c r="DB10" s="11">
        <f t="shared" si="38"/>
        <v>3</v>
      </c>
      <c r="DC10" s="11">
        <f t="shared" si="39"/>
        <v>11.22</v>
      </c>
      <c r="DD10" s="11">
        <f t="shared" si="40"/>
        <v>102.69</v>
      </c>
      <c r="DE10" s="11">
        <f t="shared" si="41"/>
        <v>14.6</v>
      </c>
      <c r="DF10" s="11">
        <f t="shared" si="42"/>
        <v>54.930000000000007</v>
      </c>
      <c r="DG10" s="11">
        <f t="shared" si="43"/>
        <v>157.62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16.799999999999997</v>
      </c>
      <c r="NQ10" s="69">
        <f t="shared" si="133"/>
        <v>9.5500000000000007</v>
      </c>
      <c r="NR10" s="69">
        <f t="shared" si="134"/>
        <v>5.2</v>
      </c>
      <c r="NS10" s="69">
        <f t="shared" si="135"/>
        <v>16.130000000000003</v>
      </c>
      <c r="NT10" s="69">
        <f t="shared" si="136"/>
        <v>0.1</v>
      </c>
      <c r="NU10" s="69">
        <f t="shared" si="137"/>
        <v>9.9499999999999993</v>
      </c>
      <c r="NV10" s="69">
        <f t="shared" si="138"/>
        <v>6.0500000000000007</v>
      </c>
      <c r="NW10" s="69">
        <f t="shared" si="139"/>
        <v>9.75</v>
      </c>
      <c r="NX10" s="69">
        <f t="shared" si="140"/>
        <v>10.445</v>
      </c>
      <c r="NY10" s="69">
        <f t="shared" si="141"/>
        <v>0.1</v>
      </c>
      <c r="NZ10" s="69">
        <f t="shared" si="142"/>
        <v>8.4</v>
      </c>
      <c r="OA10" s="69">
        <f t="shared" si="143"/>
        <v>5.5250000000000004</v>
      </c>
      <c r="OB10" s="69">
        <f t="shared" si="144"/>
        <v>8.6999999999999993</v>
      </c>
      <c r="OC10" s="69">
        <f t="shared" si="145"/>
        <v>9.34</v>
      </c>
      <c r="OD10" s="69">
        <f t="shared" si="146"/>
        <v>0</v>
      </c>
      <c r="OE10" s="69">
        <f t="shared" si="147"/>
        <v>14.65</v>
      </c>
      <c r="OF10" s="69">
        <f t="shared" si="148"/>
        <v>9.25</v>
      </c>
      <c r="OG10" s="69">
        <f t="shared" si="149"/>
        <v>14.6</v>
      </c>
      <c r="OH10" s="69">
        <f t="shared" si="150"/>
        <v>15.324999999999999</v>
      </c>
      <c r="OI10" s="69">
        <f t="shared" si="151"/>
        <v>0.1</v>
      </c>
      <c r="OJ10" s="80" t="s">
        <v>88</v>
      </c>
      <c r="OK10" s="11">
        <f t="shared" si="152"/>
        <v>47.58</v>
      </c>
      <c r="OL10" s="11">
        <f t="shared" si="153"/>
        <v>9.75</v>
      </c>
      <c r="OM10" s="11">
        <f t="shared" si="154"/>
        <v>36.094999999999999</v>
      </c>
      <c r="ON10" s="11">
        <f t="shared" si="155"/>
        <v>8.6999999999999993</v>
      </c>
      <c r="OO10" s="11">
        <f t="shared" si="156"/>
        <v>31.965</v>
      </c>
      <c r="OP10" s="11">
        <f t="shared" si="157"/>
        <v>83.674999999999997</v>
      </c>
      <c r="OQ10" s="11">
        <f t="shared" si="158"/>
        <v>14.6</v>
      </c>
      <c r="OR10" s="11">
        <f t="shared" si="159"/>
        <v>53.725000000000001</v>
      </c>
      <c r="OS10" s="11">
        <f t="shared" si="160"/>
        <v>137.4</v>
      </c>
    </row>
    <row r="11" spans="1:409" x14ac:dyDescent="0.2">
      <c r="A11" s="5" t="str" cm="1">
        <f t="array" ref="A11">IF(AND(G11&lt;&gt;"",H11&lt;&gt;""),SUMPRODUCT((G$4:G$27&lt;&gt;"")*(H$4:H$27&lt;&gt;"")*(E$4:E$27&gt;E11))+1,IF(H11&lt;&gt;"",SUMPRODUCT((I$4:I$27="No DD")*(E$4:E$27&gt;E11))+1+SUMPRODUCT((G$4:G$27&lt;&gt;"")*(H$4:H$27&lt;&gt;"")),""))</f>
        <v/>
      </c>
      <c r="B11" s="8" t="s">
        <v>42</v>
      </c>
      <c r="C11" s="4" t="s">
        <v>6</v>
      </c>
      <c r="D11" s="7">
        <v>1995</v>
      </c>
      <c r="E11" s="15">
        <f t="shared" si="0"/>
        <v>258.5</v>
      </c>
      <c r="F11" s="3" t="str">
        <f t="shared" si="1"/>
        <v>P</v>
      </c>
      <c r="G11" s="125" t="str">
        <f t="shared" si="2"/>
        <v>Merit</v>
      </c>
      <c r="H11" s="125" t="str">
        <f t="shared" si="3"/>
        <v/>
      </c>
      <c r="I11" s="126" t="str">
        <f t="shared" si="4"/>
        <v/>
      </c>
      <c r="J11" s="3" t="str">
        <f t="shared" si="5"/>
        <v/>
      </c>
      <c r="K11" s="14">
        <f t="shared" si="6"/>
        <v>102.69999999999999</v>
      </c>
      <c r="L11" s="14" t="str">
        <f t="shared" si="7"/>
        <v>2021 1st Virtual Technical Trial</v>
      </c>
      <c r="M11" s="14">
        <f t="shared" si="8"/>
        <v>49.72</v>
      </c>
      <c r="N11" s="14" t="str">
        <f t="shared" si="9"/>
        <v>2021 2nd Virtual Technical Trial</v>
      </c>
      <c r="O11" s="14">
        <f t="shared" si="10"/>
        <v>51.269999999999996</v>
      </c>
      <c r="P11" s="14" t="str">
        <f t="shared" si="11"/>
        <v>2019 Nationals</v>
      </c>
      <c r="Q11" s="14">
        <f t="shared" si="12"/>
        <v>54.81</v>
      </c>
      <c r="R11" s="14" t="str">
        <f t="shared" si="13"/>
        <v>2019 Nationals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18.3</v>
      </c>
      <c r="W11" s="69">
        <v>9.1999999999999993</v>
      </c>
      <c r="X11" s="69">
        <v>5</v>
      </c>
      <c r="Y11" s="69">
        <v>16.8</v>
      </c>
      <c r="Z11" s="69">
        <v>0</v>
      </c>
      <c r="AA11" s="69">
        <v>14.1</v>
      </c>
      <c r="AB11" s="69">
        <v>8.8000000000000007</v>
      </c>
      <c r="AC11" s="69">
        <v>13.4</v>
      </c>
      <c r="AD11" s="69">
        <v>15.07</v>
      </c>
      <c r="AE11" s="69">
        <v>0.1</v>
      </c>
      <c r="AF11" s="69"/>
      <c r="AG11" s="69"/>
      <c r="AH11" s="69"/>
      <c r="AI11" s="69"/>
      <c r="AJ11" s="69"/>
      <c r="AK11" s="69">
        <v>14.6</v>
      </c>
      <c r="AL11" s="69">
        <v>9.1999999999999993</v>
      </c>
      <c r="AM11" s="69">
        <v>15.6</v>
      </c>
      <c r="AN11" s="69">
        <v>15.41</v>
      </c>
      <c r="AO11" s="69">
        <v>0</v>
      </c>
      <c r="AP11" s="80"/>
      <c r="AQ11" s="11">
        <f t="shared" si="17"/>
        <v>49.3</v>
      </c>
      <c r="AR11" s="11">
        <f t="shared" si="18"/>
        <v>13.4</v>
      </c>
      <c r="AS11" s="11">
        <f t="shared" si="19"/>
        <v>51.269999999999996</v>
      </c>
      <c r="AT11" s="11" t="str">
        <f t="shared" si="20"/>
        <v/>
      </c>
      <c r="AU11" s="11" t="str">
        <f t="shared" si="21"/>
        <v/>
      </c>
      <c r="AV11" s="11">
        <f t="shared" si="22"/>
        <v>100.57</v>
      </c>
      <c r="AW11" s="11">
        <f t="shared" si="23"/>
        <v>15.6</v>
      </c>
      <c r="AX11" s="11">
        <f t="shared" si="24"/>
        <v>54.81</v>
      </c>
      <c r="AY11" s="11">
        <f t="shared" si="25"/>
        <v>155.38</v>
      </c>
      <c r="AZ11" s="63">
        <v>16.3</v>
      </c>
      <c r="BA11" s="63">
        <v>9.1</v>
      </c>
      <c r="BB11" s="63">
        <v>5.6</v>
      </c>
      <c r="BC11" s="63">
        <v>16.46</v>
      </c>
      <c r="BD11" s="63">
        <v>0</v>
      </c>
      <c r="BE11" s="63">
        <v>14.2</v>
      </c>
      <c r="BF11" s="63">
        <v>9.1999999999999993</v>
      </c>
      <c r="BG11" s="63">
        <v>16</v>
      </c>
      <c r="BH11" s="63">
        <v>15.84</v>
      </c>
      <c r="BI11" s="63">
        <v>0</v>
      </c>
      <c r="BJ11" s="63">
        <v>2.9</v>
      </c>
      <c r="BK11" s="63">
        <v>1.75</v>
      </c>
      <c r="BL11" s="63">
        <v>3.6</v>
      </c>
      <c r="BM11" s="63">
        <v>3.3149999999999999</v>
      </c>
      <c r="BN11" s="63">
        <v>0</v>
      </c>
      <c r="BO11" s="63">
        <v>2.8</v>
      </c>
      <c r="BP11" s="63">
        <v>1.7</v>
      </c>
      <c r="BQ11" s="63">
        <v>3.6</v>
      </c>
      <c r="BR11" s="63">
        <v>3.3650000000000002</v>
      </c>
      <c r="BS11" s="63">
        <v>0.2</v>
      </c>
      <c r="BT11" s="81"/>
      <c r="BU11" s="14">
        <f t="shared" si="26"/>
        <v>47.46</v>
      </c>
      <c r="BV11" s="14">
        <f t="shared" si="27"/>
        <v>16</v>
      </c>
      <c r="BW11" s="14">
        <f t="shared" si="28"/>
        <v>55.239999999999995</v>
      </c>
      <c r="BX11" s="14">
        <f t="shared" si="29"/>
        <v>3.6</v>
      </c>
      <c r="BY11" s="14">
        <f t="shared" si="30"/>
        <v>11.565</v>
      </c>
      <c r="BZ11" s="14">
        <f t="shared" si="31"/>
        <v>102.69999999999999</v>
      </c>
      <c r="CA11" s="14">
        <f t="shared" si="32"/>
        <v>3.6</v>
      </c>
      <c r="CB11" s="14">
        <f t="shared" si="33"/>
        <v>11.265000000000001</v>
      </c>
      <c r="CC11" s="14">
        <f t="shared" si="34"/>
        <v>113.96499999999999</v>
      </c>
      <c r="CD11" s="69">
        <v>17.899999999999999</v>
      </c>
      <c r="CE11" s="69">
        <v>9.5</v>
      </c>
      <c r="CF11" s="69">
        <v>5.4</v>
      </c>
      <c r="CG11" s="69">
        <v>16.920000000000002</v>
      </c>
      <c r="CH11" s="69">
        <v>0</v>
      </c>
      <c r="CI11" s="69">
        <v>5.7</v>
      </c>
      <c r="CJ11" s="69">
        <v>3.3</v>
      </c>
      <c r="CK11" s="69">
        <v>6.7</v>
      </c>
      <c r="CL11" s="69">
        <v>6.6849999999999996</v>
      </c>
      <c r="CM11" s="69">
        <v>0</v>
      </c>
      <c r="CN11" s="69">
        <v>13.8</v>
      </c>
      <c r="CO11" s="69">
        <v>8.8000000000000007</v>
      </c>
      <c r="CP11" s="69">
        <v>11</v>
      </c>
      <c r="CQ11" s="69">
        <v>15.94</v>
      </c>
      <c r="CR11" s="69">
        <v>2.5</v>
      </c>
      <c r="CS11" s="69">
        <v>13.4</v>
      </c>
      <c r="CT11" s="69">
        <v>9.6</v>
      </c>
      <c r="CU11" s="69">
        <v>15.6</v>
      </c>
      <c r="CV11" s="69">
        <v>15.725</v>
      </c>
      <c r="CW11" s="69">
        <v>0</v>
      </c>
      <c r="CX11" s="80"/>
      <c r="CY11" s="11">
        <f t="shared" si="35"/>
        <v>49.72</v>
      </c>
      <c r="CZ11" s="11">
        <f t="shared" si="36"/>
        <v>6.7</v>
      </c>
      <c r="DA11" s="11">
        <f t="shared" si="37"/>
        <v>22.384999999999998</v>
      </c>
      <c r="DB11" s="11">
        <f t="shared" si="38"/>
        <v>11</v>
      </c>
      <c r="DC11" s="11">
        <f t="shared" si="39"/>
        <v>47.04</v>
      </c>
      <c r="DD11" s="11">
        <f t="shared" si="40"/>
        <v>96.759999999999991</v>
      </c>
      <c r="DE11" s="11">
        <f t="shared" si="41"/>
        <v>15.6</v>
      </c>
      <c r="DF11" s="11">
        <f t="shared" si="42"/>
        <v>54.325000000000003</v>
      </c>
      <c r="DG11" s="11">
        <f t="shared" si="43"/>
        <v>151.08499999999998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17.100000000000001</v>
      </c>
      <c r="NQ11" s="69">
        <f t="shared" si="133"/>
        <v>9.3000000000000007</v>
      </c>
      <c r="NR11" s="69">
        <f t="shared" si="134"/>
        <v>5.5</v>
      </c>
      <c r="NS11" s="69">
        <f t="shared" si="135"/>
        <v>16.690000000000001</v>
      </c>
      <c r="NT11" s="69">
        <f t="shared" si="136"/>
        <v>0</v>
      </c>
      <c r="NU11" s="69">
        <f t="shared" si="137"/>
        <v>9.9499999999999993</v>
      </c>
      <c r="NV11" s="69">
        <f t="shared" si="138"/>
        <v>6.25</v>
      </c>
      <c r="NW11" s="69">
        <f t="shared" si="139"/>
        <v>11.35</v>
      </c>
      <c r="NX11" s="69">
        <f t="shared" si="140"/>
        <v>11.262499999999999</v>
      </c>
      <c r="NY11" s="69">
        <f t="shared" si="141"/>
        <v>0</v>
      </c>
      <c r="NZ11" s="69">
        <f t="shared" si="142"/>
        <v>8.35</v>
      </c>
      <c r="OA11" s="69">
        <f t="shared" si="143"/>
        <v>5.2750000000000004</v>
      </c>
      <c r="OB11" s="69">
        <f t="shared" si="144"/>
        <v>7.3</v>
      </c>
      <c r="OC11" s="69">
        <f t="shared" si="145"/>
        <v>9.6274999999999995</v>
      </c>
      <c r="OD11" s="69">
        <f t="shared" si="146"/>
        <v>1.25</v>
      </c>
      <c r="OE11" s="69">
        <f t="shared" si="147"/>
        <v>8.1</v>
      </c>
      <c r="OF11" s="69">
        <f t="shared" si="148"/>
        <v>5.6499999999999995</v>
      </c>
      <c r="OG11" s="69">
        <f t="shared" si="149"/>
        <v>9.6</v>
      </c>
      <c r="OH11" s="69">
        <f t="shared" si="150"/>
        <v>9.5449999999999999</v>
      </c>
      <c r="OI11" s="69">
        <f t="shared" si="151"/>
        <v>0.1</v>
      </c>
      <c r="OJ11" s="80" t="s">
        <v>88</v>
      </c>
      <c r="OK11" s="11">
        <f t="shared" si="152"/>
        <v>48.59</v>
      </c>
      <c r="OL11" s="11">
        <f t="shared" si="153"/>
        <v>11.35</v>
      </c>
      <c r="OM11" s="11">
        <f t="shared" si="154"/>
        <v>38.8125</v>
      </c>
      <c r="ON11" s="11">
        <f t="shared" si="155"/>
        <v>7.3</v>
      </c>
      <c r="OO11" s="11">
        <f t="shared" si="156"/>
        <v>29.302500000000002</v>
      </c>
      <c r="OP11" s="11">
        <f t="shared" si="157"/>
        <v>87.402500000000003</v>
      </c>
      <c r="OQ11" s="11">
        <f t="shared" si="158"/>
        <v>9.6</v>
      </c>
      <c r="OR11" s="11">
        <f t="shared" si="159"/>
        <v>32.795000000000002</v>
      </c>
      <c r="OS11" s="11">
        <f t="shared" si="160"/>
        <v>120.19750000000001</v>
      </c>
    </row>
    <row r="12" spans="1:409" x14ac:dyDescent="0.2">
      <c r="A12" s="5" t="str" cm="1">
        <f t="array" ref="A12">IF(AND(G12&lt;&gt;"",H12&lt;&gt;""),SUMPRODUCT((G$4:G$27&lt;&gt;"")*(H$4:H$27&lt;&gt;"")*(E$4:E$27&gt;E12))+1,IF(H12&lt;&gt;"",SUMPRODUCT((I$4:I$27="No DD")*(E$4:E$27&gt;E12))+1+SUMPRODUCT((G$4:G$27&lt;&gt;"")*(H$4:H$27&lt;&gt;"")),""))</f>
        <v/>
      </c>
      <c r="B12" s="6" t="s">
        <v>116</v>
      </c>
      <c r="C12" s="7" t="s">
        <v>5</v>
      </c>
      <c r="D12" s="27">
        <v>1991</v>
      </c>
      <c r="E12" s="15">
        <f t="shared" si="0"/>
        <v>258.18499999999995</v>
      </c>
      <c r="F12" s="3" t="str">
        <f t="shared" si="1"/>
        <v>P</v>
      </c>
      <c r="G12" s="125" t="str">
        <f t="shared" si="2"/>
        <v>National Team</v>
      </c>
      <c r="H12" s="125" t="str">
        <f t="shared" si="3"/>
        <v/>
      </c>
      <c r="I12" s="126" t="str">
        <f t="shared" si="4"/>
        <v/>
      </c>
      <c r="J12" s="3" t="str">
        <f t="shared" si="5"/>
        <v/>
      </c>
      <c r="K12" s="14">
        <f t="shared" si="6"/>
        <v>101.50999999999999</v>
      </c>
      <c r="L12" s="14" t="str">
        <f t="shared" si="7"/>
        <v>2021 2nd Virtual Technical Trial</v>
      </c>
      <c r="M12" s="14">
        <f t="shared" si="8"/>
        <v>47.644999999999996</v>
      </c>
      <c r="N12" s="14" t="str">
        <f t="shared" si="9"/>
        <v>2021 1st Virtual Technical Trial</v>
      </c>
      <c r="O12" s="14">
        <f t="shared" si="10"/>
        <v>53.599999999999994</v>
      </c>
      <c r="P12" s="14" t="str">
        <f t="shared" si="11"/>
        <v>2021 1st Virtual Technical Trial</v>
      </c>
      <c r="Q12" s="14">
        <f t="shared" si="12"/>
        <v>55.43</v>
      </c>
      <c r="R12" s="14" t="str">
        <f t="shared" si="13"/>
        <v>2021 2nd Virtual Technical Trial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15.5</v>
      </c>
      <c r="W12" s="69">
        <v>8.6999999999999993</v>
      </c>
      <c r="X12" s="69">
        <v>5.2</v>
      </c>
      <c r="Y12" s="69">
        <v>16.704999999999998</v>
      </c>
      <c r="Z12" s="69">
        <v>0</v>
      </c>
      <c r="AA12" s="69">
        <v>13.8</v>
      </c>
      <c r="AB12" s="69">
        <v>8.5</v>
      </c>
      <c r="AC12" s="69">
        <v>14.4</v>
      </c>
      <c r="AD12" s="69">
        <v>16.024999999999999</v>
      </c>
      <c r="AE12" s="69">
        <v>0</v>
      </c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80"/>
      <c r="AQ12" s="11">
        <f t="shared" si="17"/>
        <v>46.104999999999997</v>
      </c>
      <c r="AR12" s="11">
        <f t="shared" si="18"/>
        <v>14.4</v>
      </c>
      <c r="AS12" s="11">
        <f t="shared" si="19"/>
        <v>52.725000000000001</v>
      </c>
      <c r="AT12" s="11" t="str">
        <f t="shared" si="20"/>
        <v/>
      </c>
      <c r="AU12" s="11" t="str">
        <f t="shared" si="21"/>
        <v/>
      </c>
      <c r="AV12" s="11">
        <f t="shared" si="22"/>
        <v>98.83</v>
      </c>
      <c r="AW12" s="11" t="str">
        <f t="shared" si="23"/>
        <v/>
      </c>
      <c r="AX12" s="11" t="str">
        <f t="shared" si="24"/>
        <v/>
      </c>
      <c r="AY12" s="11">
        <f t="shared" si="25"/>
        <v>98.83</v>
      </c>
      <c r="AZ12" s="75">
        <v>16.2</v>
      </c>
      <c r="BA12" s="75">
        <v>8.75</v>
      </c>
      <c r="BB12" s="75">
        <v>5.2</v>
      </c>
      <c r="BC12" s="75">
        <v>17.495000000000001</v>
      </c>
      <c r="BD12" s="75">
        <v>0</v>
      </c>
      <c r="BE12" s="75">
        <v>13.44</v>
      </c>
      <c r="BF12" s="75">
        <v>9</v>
      </c>
      <c r="BG12" s="75">
        <v>14.4</v>
      </c>
      <c r="BH12" s="75">
        <v>16.760000000000002</v>
      </c>
      <c r="BI12" s="75">
        <v>0</v>
      </c>
      <c r="BJ12" s="75">
        <v>3.8</v>
      </c>
      <c r="BK12" s="75">
        <v>2.65</v>
      </c>
      <c r="BL12" s="75">
        <v>3.8</v>
      </c>
      <c r="BM12" s="75">
        <v>5.4</v>
      </c>
      <c r="BN12" s="75">
        <v>0</v>
      </c>
      <c r="BO12" s="75">
        <v>12.4</v>
      </c>
      <c r="BP12" s="75">
        <v>9.25</v>
      </c>
      <c r="BQ12" s="75">
        <v>12.9</v>
      </c>
      <c r="BR12" s="75">
        <v>16.64</v>
      </c>
      <c r="BS12" s="75">
        <v>0.6</v>
      </c>
      <c r="BT12" s="81"/>
      <c r="BU12" s="14">
        <f t="shared" si="26"/>
        <v>47.644999999999996</v>
      </c>
      <c r="BV12" s="14">
        <f t="shared" si="27"/>
        <v>14.4</v>
      </c>
      <c r="BW12" s="14">
        <f t="shared" si="28"/>
        <v>53.599999999999994</v>
      </c>
      <c r="BX12" s="14">
        <f t="shared" si="29"/>
        <v>3.8</v>
      </c>
      <c r="BY12" s="14">
        <f t="shared" si="30"/>
        <v>15.65</v>
      </c>
      <c r="BZ12" s="14">
        <f t="shared" si="31"/>
        <v>101.24499999999999</v>
      </c>
      <c r="CA12" s="14">
        <f t="shared" si="32"/>
        <v>12.9</v>
      </c>
      <c r="CB12" s="14">
        <f t="shared" si="33"/>
        <v>50.589999999999996</v>
      </c>
      <c r="CC12" s="14">
        <f t="shared" si="34"/>
        <v>151.83499999999998</v>
      </c>
      <c r="CD12" s="69">
        <v>15.9</v>
      </c>
      <c r="CE12" s="69">
        <v>8.9</v>
      </c>
      <c r="CF12" s="69">
        <v>5.2</v>
      </c>
      <c r="CG12" s="69">
        <v>17.68</v>
      </c>
      <c r="CH12" s="69">
        <v>0</v>
      </c>
      <c r="CI12" s="69">
        <v>7.2</v>
      </c>
      <c r="CJ12" s="69">
        <v>4.5</v>
      </c>
      <c r="CK12" s="69">
        <v>6.8</v>
      </c>
      <c r="CL12" s="69">
        <v>8.76</v>
      </c>
      <c r="CM12" s="69">
        <v>0</v>
      </c>
      <c r="CN12" s="69">
        <v>13.3</v>
      </c>
      <c r="CO12" s="69">
        <v>9.1999999999999993</v>
      </c>
      <c r="CP12" s="69">
        <v>14.4</v>
      </c>
      <c r="CQ12" s="69">
        <v>16.93</v>
      </c>
      <c r="CR12" s="69">
        <v>0</v>
      </c>
      <c r="CS12" s="69">
        <v>14.9</v>
      </c>
      <c r="CT12" s="69">
        <v>9.1</v>
      </c>
      <c r="CU12" s="69">
        <v>14.4</v>
      </c>
      <c r="CV12" s="69">
        <v>17.03</v>
      </c>
      <c r="CW12" s="69">
        <v>0</v>
      </c>
      <c r="CX12" s="80"/>
      <c r="CY12" s="11">
        <f t="shared" si="35"/>
        <v>47.68</v>
      </c>
      <c r="CZ12" s="11">
        <f t="shared" si="36"/>
        <v>6.8</v>
      </c>
      <c r="DA12" s="11">
        <f t="shared" si="37"/>
        <v>27.259999999999998</v>
      </c>
      <c r="DB12" s="11">
        <f t="shared" si="38"/>
        <v>14.4</v>
      </c>
      <c r="DC12" s="11">
        <f t="shared" si="39"/>
        <v>53.83</v>
      </c>
      <c r="DD12" s="11">
        <f t="shared" si="40"/>
        <v>101.50999999999999</v>
      </c>
      <c r="DE12" s="11">
        <f t="shared" si="41"/>
        <v>14.4</v>
      </c>
      <c r="DF12" s="11">
        <f t="shared" si="42"/>
        <v>55.43</v>
      </c>
      <c r="DG12" s="11">
        <f t="shared" si="43"/>
        <v>156.94</v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16.05</v>
      </c>
      <c r="NQ12" s="69">
        <f t="shared" si="133"/>
        <v>8.8249999999999993</v>
      </c>
      <c r="NR12" s="69">
        <f t="shared" si="134"/>
        <v>5.2</v>
      </c>
      <c r="NS12" s="69">
        <f t="shared" si="135"/>
        <v>17.587499999999999</v>
      </c>
      <c r="NT12" s="69">
        <f t="shared" si="136"/>
        <v>0</v>
      </c>
      <c r="NU12" s="69">
        <f t="shared" si="137"/>
        <v>10.32</v>
      </c>
      <c r="NV12" s="69">
        <f t="shared" si="138"/>
        <v>6.75</v>
      </c>
      <c r="NW12" s="69">
        <f t="shared" si="139"/>
        <v>10.6</v>
      </c>
      <c r="NX12" s="69">
        <f t="shared" si="140"/>
        <v>12.760000000000002</v>
      </c>
      <c r="NY12" s="69">
        <f t="shared" si="141"/>
        <v>0</v>
      </c>
      <c r="NZ12" s="69">
        <f t="shared" si="142"/>
        <v>8.5500000000000007</v>
      </c>
      <c r="OA12" s="69">
        <f t="shared" si="143"/>
        <v>5.9249999999999998</v>
      </c>
      <c r="OB12" s="69">
        <f t="shared" si="144"/>
        <v>9.1</v>
      </c>
      <c r="OC12" s="69">
        <f t="shared" si="145"/>
        <v>11.164999999999999</v>
      </c>
      <c r="OD12" s="69">
        <f t="shared" si="146"/>
        <v>0</v>
      </c>
      <c r="OE12" s="69">
        <f t="shared" si="147"/>
        <v>13.65</v>
      </c>
      <c r="OF12" s="69">
        <f t="shared" si="148"/>
        <v>9.1750000000000007</v>
      </c>
      <c r="OG12" s="69">
        <f t="shared" si="149"/>
        <v>13.65</v>
      </c>
      <c r="OH12" s="69">
        <f t="shared" si="150"/>
        <v>16.835000000000001</v>
      </c>
      <c r="OI12" s="69">
        <f t="shared" si="151"/>
        <v>0.3</v>
      </c>
      <c r="OJ12" s="80" t="s">
        <v>88</v>
      </c>
      <c r="OK12" s="11">
        <f t="shared" si="152"/>
        <v>47.662499999999994</v>
      </c>
      <c r="OL12" s="11">
        <f t="shared" si="153"/>
        <v>10.6</v>
      </c>
      <c r="OM12" s="11">
        <f t="shared" si="154"/>
        <v>40.430000000000007</v>
      </c>
      <c r="ON12" s="11">
        <f t="shared" si="155"/>
        <v>9.1</v>
      </c>
      <c r="OO12" s="11">
        <f t="shared" si="156"/>
        <v>34.74</v>
      </c>
      <c r="OP12" s="11">
        <f t="shared" si="157"/>
        <v>88.092500000000001</v>
      </c>
      <c r="OQ12" s="11">
        <f t="shared" si="158"/>
        <v>13.65</v>
      </c>
      <c r="OR12" s="11">
        <f t="shared" si="159"/>
        <v>53.010000000000005</v>
      </c>
      <c r="OS12" s="11">
        <f t="shared" si="160"/>
        <v>141.10250000000002</v>
      </c>
    </row>
    <row r="13" spans="1:409" x14ac:dyDescent="0.2">
      <c r="A13" s="5" t="str" cm="1">
        <f t="array" ref="A13">IF(AND(G13&lt;&gt;"",H13&lt;&gt;""),SUMPRODUCT((G$4:G$27&lt;&gt;"")*(H$4:H$27&lt;&gt;"")*(E$4:E$27&gt;E13))+1,IF(H13&lt;&gt;"",SUMPRODUCT((I$4:I$27="No DD")*(E$4:E$27&gt;E13))+1+SUMPRODUCT((G$4:G$27&lt;&gt;"")*(H$4:H$27&lt;&gt;"")),""))</f>
        <v/>
      </c>
      <c r="B13" s="6" t="s">
        <v>156</v>
      </c>
      <c r="C13" s="7" t="s">
        <v>155</v>
      </c>
      <c r="D13" s="27">
        <v>2001</v>
      </c>
      <c r="E13" s="15">
        <f t="shared" si="0"/>
        <v>255.65999999999997</v>
      </c>
      <c r="F13" s="3" t="str">
        <f t="shared" si="1"/>
        <v>P</v>
      </c>
      <c r="G13" s="125" t="str">
        <f t="shared" si="2"/>
        <v>National Team</v>
      </c>
      <c r="H13" s="125" t="str">
        <f t="shared" si="3"/>
        <v/>
      </c>
      <c r="I13" s="126" t="str">
        <f t="shared" si="4"/>
        <v/>
      </c>
      <c r="J13" s="3" t="str">
        <f t="shared" si="5"/>
        <v/>
      </c>
      <c r="K13" s="14">
        <f t="shared" si="6"/>
        <v>100.07</v>
      </c>
      <c r="L13" s="14" t="str">
        <f t="shared" si="7"/>
        <v>2021 1st Virtual Technical Trial</v>
      </c>
      <c r="M13" s="14">
        <f t="shared" si="8"/>
        <v>48.059999999999995</v>
      </c>
      <c r="N13" s="14" t="str">
        <f t="shared" si="9"/>
        <v>2019 Nationals</v>
      </c>
      <c r="O13" s="14">
        <f t="shared" si="10"/>
        <v>53.204999999999998</v>
      </c>
      <c r="P13" s="14" t="str">
        <f t="shared" si="11"/>
        <v>2021 2nd Virtual Technical Trial</v>
      </c>
      <c r="Q13" s="14">
        <f t="shared" si="12"/>
        <v>54.325000000000003</v>
      </c>
      <c r="R13" s="14" t="str">
        <f t="shared" si="13"/>
        <v>2021 2nd Virtual Technical Trial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17.399999999999999</v>
      </c>
      <c r="W13" s="69">
        <v>9.6999999999999993</v>
      </c>
      <c r="X13" s="69">
        <v>5</v>
      </c>
      <c r="Y13" s="69">
        <v>15.96</v>
      </c>
      <c r="Z13" s="69">
        <v>0</v>
      </c>
      <c r="AA13" s="69">
        <v>12.5</v>
      </c>
      <c r="AB13" s="69">
        <v>7.7</v>
      </c>
      <c r="AC13" s="69">
        <v>13</v>
      </c>
      <c r="AD13" s="69">
        <v>13.635</v>
      </c>
      <c r="AE13" s="69">
        <v>0.2</v>
      </c>
      <c r="AF13" s="69"/>
      <c r="AG13" s="69"/>
      <c r="AH13" s="69"/>
      <c r="AI13" s="69"/>
      <c r="AJ13" s="69"/>
      <c r="AK13" s="69">
        <v>12.16</v>
      </c>
      <c r="AL13" s="69">
        <v>8.6999999999999993</v>
      </c>
      <c r="AM13" s="69">
        <v>13.7</v>
      </c>
      <c r="AN13" s="69">
        <v>14.824999999999999</v>
      </c>
      <c r="AO13" s="69">
        <v>0</v>
      </c>
      <c r="AP13" s="80"/>
      <c r="AQ13" s="11">
        <f t="shared" si="17"/>
        <v>48.059999999999995</v>
      </c>
      <c r="AR13" s="11">
        <f t="shared" si="18"/>
        <v>13</v>
      </c>
      <c r="AS13" s="11">
        <f t="shared" si="19"/>
        <v>46.634999999999998</v>
      </c>
      <c r="AT13" s="11" t="str">
        <f t="shared" si="20"/>
        <v/>
      </c>
      <c r="AU13" s="11" t="str">
        <f t="shared" si="21"/>
        <v/>
      </c>
      <c r="AV13" s="11">
        <f t="shared" si="22"/>
        <v>94.694999999999993</v>
      </c>
      <c r="AW13" s="11">
        <f t="shared" si="23"/>
        <v>13.7</v>
      </c>
      <c r="AX13" s="11">
        <f t="shared" si="24"/>
        <v>49.385000000000005</v>
      </c>
      <c r="AY13" s="11">
        <f t="shared" si="25"/>
        <v>144.07999999999998</v>
      </c>
      <c r="AZ13" s="75">
        <v>17.5</v>
      </c>
      <c r="BA13" s="75">
        <v>9.65</v>
      </c>
      <c r="BB13" s="75">
        <v>4.4000000000000004</v>
      </c>
      <c r="BC13" s="75">
        <v>16.059999999999999</v>
      </c>
      <c r="BD13" s="75">
        <v>0</v>
      </c>
      <c r="BE13" s="75">
        <v>14.3</v>
      </c>
      <c r="BF13" s="75">
        <v>9.1999999999999993</v>
      </c>
      <c r="BG13" s="75">
        <v>13.9</v>
      </c>
      <c r="BH13" s="75">
        <v>15.06</v>
      </c>
      <c r="BI13" s="75">
        <v>0</v>
      </c>
      <c r="BJ13" s="75">
        <v>12.9</v>
      </c>
      <c r="BK13" s="75">
        <v>8.6999999999999993</v>
      </c>
      <c r="BL13" s="75">
        <v>13.3</v>
      </c>
      <c r="BM13" s="75">
        <v>14.61</v>
      </c>
      <c r="BN13" s="75">
        <v>0.2</v>
      </c>
      <c r="BO13" s="75">
        <v>14.7</v>
      </c>
      <c r="BP13" s="75">
        <v>9.35</v>
      </c>
      <c r="BQ13" s="75">
        <v>13.9</v>
      </c>
      <c r="BR13" s="75">
        <v>15.21</v>
      </c>
      <c r="BS13" s="75">
        <v>0</v>
      </c>
      <c r="BT13" s="81"/>
      <c r="BU13" s="14">
        <f t="shared" si="26"/>
        <v>47.61</v>
      </c>
      <c r="BV13" s="14">
        <f t="shared" si="27"/>
        <v>13.9</v>
      </c>
      <c r="BW13" s="14">
        <f t="shared" si="28"/>
        <v>52.46</v>
      </c>
      <c r="BX13" s="14">
        <f t="shared" si="29"/>
        <v>13.3</v>
      </c>
      <c r="BY13" s="14">
        <f t="shared" si="30"/>
        <v>49.31</v>
      </c>
      <c r="BZ13" s="14">
        <f t="shared" si="31"/>
        <v>100.07</v>
      </c>
      <c r="CA13" s="14">
        <f t="shared" si="32"/>
        <v>13.9</v>
      </c>
      <c r="CB13" s="14">
        <f t="shared" si="33"/>
        <v>53.16</v>
      </c>
      <c r="CC13" s="14">
        <f t="shared" si="34"/>
        <v>153.22999999999999</v>
      </c>
      <c r="CD13" s="69">
        <v>13</v>
      </c>
      <c r="CE13" s="69">
        <v>6.8</v>
      </c>
      <c r="CF13" s="69">
        <v>2.1</v>
      </c>
      <c r="CG13" s="69">
        <v>13.39</v>
      </c>
      <c r="CH13" s="69">
        <v>0</v>
      </c>
      <c r="CI13" s="69">
        <v>14</v>
      </c>
      <c r="CJ13" s="69">
        <v>8.9</v>
      </c>
      <c r="CK13" s="69">
        <v>15</v>
      </c>
      <c r="CL13" s="69">
        <v>15.305</v>
      </c>
      <c r="CM13" s="69">
        <v>0</v>
      </c>
      <c r="CN13" s="69">
        <v>12.2</v>
      </c>
      <c r="CO13" s="69">
        <v>9.1999999999999993</v>
      </c>
      <c r="CP13" s="69">
        <v>15</v>
      </c>
      <c r="CQ13" s="69">
        <v>15.455</v>
      </c>
      <c r="CR13" s="69">
        <v>0</v>
      </c>
      <c r="CS13" s="69">
        <v>15.2</v>
      </c>
      <c r="CT13" s="69">
        <v>9.3000000000000007</v>
      </c>
      <c r="CU13" s="69">
        <v>14.4</v>
      </c>
      <c r="CV13" s="69">
        <v>15.425000000000001</v>
      </c>
      <c r="CW13" s="69">
        <v>0</v>
      </c>
      <c r="CX13" s="80"/>
      <c r="CY13" s="11">
        <f t="shared" si="35"/>
        <v>35.290000000000006</v>
      </c>
      <c r="CZ13" s="11">
        <f t="shared" si="36"/>
        <v>15</v>
      </c>
      <c r="DA13" s="11">
        <f t="shared" si="37"/>
        <v>53.204999999999998</v>
      </c>
      <c r="DB13" s="11">
        <f t="shared" si="38"/>
        <v>15</v>
      </c>
      <c r="DC13" s="11">
        <f t="shared" si="39"/>
        <v>51.854999999999997</v>
      </c>
      <c r="DD13" s="11">
        <f t="shared" si="40"/>
        <v>88.495000000000005</v>
      </c>
      <c r="DE13" s="11">
        <f t="shared" si="41"/>
        <v>14.4</v>
      </c>
      <c r="DF13" s="11">
        <f t="shared" si="42"/>
        <v>54.325000000000003</v>
      </c>
      <c r="DG13" s="11">
        <f t="shared" si="43"/>
        <v>142.82</v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15.25</v>
      </c>
      <c r="NQ13" s="69">
        <f t="shared" si="133"/>
        <v>8.2249999999999996</v>
      </c>
      <c r="NR13" s="69">
        <f t="shared" si="134"/>
        <v>3.25</v>
      </c>
      <c r="NS13" s="69">
        <f t="shared" si="135"/>
        <v>14.725</v>
      </c>
      <c r="NT13" s="69">
        <f t="shared" si="136"/>
        <v>0</v>
      </c>
      <c r="NU13" s="69">
        <f t="shared" si="137"/>
        <v>14.15</v>
      </c>
      <c r="NV13" s="69">
        <f t="shared" si="138"/>
        <v>9.0500000000000007</v>
      </c>
      <c r="NW13" s="69">
        <f t="shared" si="139"/>
        <v>14.45</v>
      </c>
      <c r="NX13" s="69">
        <f t="shared" si="140"/>
        <v>15.182500000000001</v>
      </c>
      <c r="NY13" s="69">
        <f t="shared" si="141"/>
        <v>0</v>
      </c>
      <c r="NZ13" s="69">
        <f t="shared" si="142"/>
        <v>12.55</v>
      </c>
      <c r="OA13" s="69">
        <f t="shared" si="143"/>
        <v>8.9499999999999993</v>
      </c>
      <c r="OB13" s="69">
        <f t="shared" si="144"/>
        <v>14.15</v>
      </c>
      <c r="OC13" s="69">
        <f t="shared" si="145"/>
        <v>15.032499999999999</v>
      </c>
      <c r="OD13" s="69">
        <f t="shared" si="146"/>
        <v>0.1</v>
      </c>
      <c r="OE13" s="69">
        <f t="shared" si="147"/>
        <v>14.95</v>
      </c>
      <c r="OF13" s="69">
        <f t="shared" si="148"/>
        <v>9.3249999999999993</v>
      </c>
      <c r="OG13" s="69">
        <f t="shared" si="149"/>
        <v>14.15</v>
      </c>
      <c r="OH13" s="69">
        <f t="shared" si="150"/>
        <v>15.317500000000001</v>
      </c>
      <c r="OI13" s="69">
        <f t="shared" si="151"/>
        <v>0</v>
      </c>
      <c r="OJ13" s="80" t="s">
        <v>88</v>
      </c>
      <c r="OK13" s="11">
        <f t="shared" si="152"/>
        <v>41.45</v>
      </c>
      <c r="OL13" s="11">
        <f t="shared" si="153"/>
        <v>14.45</v>
      </c>
      <c r="OM13" s="11">
        <f t="shared" si="154"/>
        <v>52.83250000000001</v>
      </c>
      <c r="ON13" s="11">
        <f t="shared" si="155"/>
        <v>14.15</v>
      </c>
      <c r="OO13" s="11">
        <f t="shared" si="156"/>
        <v>50.582499999999996</v>
      </c>
      <c r="OP13" s="11">
        <f t="shared" si="157"/>
        <v>94.282500000000013</v>
      </c>
      <c r="OQ13" s="11">
        <f t="shared" si="158"/>
        <v>14.15</v>
      </c>
      <c r="OR13" s="11">
        <f t="shared" si="159"/>
        <v>53.7425</v>
      </c>
      <c r="OS13" s="11">
        <f t="shared" si="160"/>
        <v>148.02500000000001</v>
      </c>
    </row>
    <row r="14" spans="1:409" x14ac:dyDescent="0.2">
      <c r="A14" s="5" t="str" cm="1">
        <f t="array" ref="A14">IF(AND(G14&lt;&gt;"",H14&lt;&gt;""),SUMPRODUCT((G$4:G$27&lt;&gt;"")*(H$4:H$27&lt;&gt;"")*(E$4:E$27&gt;E14))+1,IF(H14&lt;&gt;"",SUMPRODUCT((I$4:I$27="No DD")*(E$4:E$27&gt;E14))+1+SUMPRODUCT((G$4:G$27&lt;&gt;"")*(H$4:H$27&lt;&gt;"")),""))</f>
        <v/>
      </c>
      <c r="B14" s="6" t="s">
        <v>172</v>
      </c>
      <c r="C14" s="7" t="s">
        <v>3</v>
      </c>
      <c r="D14" s="27">
        <v>2003</v>
      </c>
      <c r="E14" s="15">
        <f t="shared" si="0"/>
        <v>251.32499999999996</v>
      </c>
      <c r="F14" s="3" t="str">
        <f t="shared" si="1"/>
        <v>P</v>
      </c>
      <c r="G14" s="125" t="str">
        <f t="shared" si="2"/>
        <v>National Team</v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100.485</v>
      </c>
      <c r="L14" s="14" t="str">
        <f t="shared" si="7"/>
        <v>2021 2nd Virtual Technical Trial</v>
      </c>
      <c r="M14" s="14">
        <f t="shared" si="8"/>
        <v>47.539999999999992</v>
      </c>
      <c r="N14" s="14" t="str">
        <f t="shared" si="9"/>
        <v>2021 1st Virtual Technical Trial</v>
      </c>
      <c r="O14" s="14">
        <f t="shared" si="10"/>
        <v>52.64</v>
      </c>
      <c r="P14" s="14" t="str">
        <f t="shared" si="11"/>
        <v>2021 1st Virtual Technical Trial</v>
      </c>
      <c r="Q14" s="14">
        <f t="shared" si="12"/>
        <v>50.660000000000004</v>
      </c>
      <c r="R14" s="14" t="str">
        <f t="shared" si="13"/>
        <v>2021 1st Virtual Technical Trial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>
        <v>17.7</v>
      </c>
      <c r="W14" s="69">
        <v>8.9</v>
      </c>
      <c r="X14" s="69">
        <v>3.9</v>
      </c>
      <c r="Y14" s="69">
        <v>15.935</v>
      </c>
      <c r="Z14" s="69">
        <v>0</v>
      </c>
      <c r="AA14" s="69">
        <v>13.7</v>
      </c>
      <c r="AB14" s="69">
        <v>8.6999999999999993</v>
      </c>
      <c r="AC14" s="69">
        <v>13.8</v>
      </c>
      <c r="AD14" s="69">
        <v>15.404999999999999</v>
      </c>
      <c r="AE14" s="69">
        <v>0</v>
      </c>
      <c r="AF14" s="69"/>
      <c r="AG14" s="69"/>
      <c r="AH14" s="69"/>
      <c r="AI14" s="69"/>
      <c r="AJ14" s="69"/>
      <c r="AK14" s="69">
        <v>5.44</v>
      </c>
      <c r="AL14" s="69">
        <v>3.5</v>
      </c>
      <c r="AM14" s="69">
        <v>6.1</v>
      </c>
      <c r="AN14" s="69">
        <v>6.1749999999999998</v>
      </c>
      <c r="AO14" s="69">
        <v>0</v>
      </c>
      <c r="AP14" s="80"/>
      <c r="AQ14" s="11">
        <f t="shared" si="17"/>
        <v>46.435000000000002</v>
      </c>
      <c r="AR14" s="11">
        <f t="shared" si="18"/>
        <v>13.8</v>
      </c>
      <c r="AS14" s="11">
        <f t="shared" si="19"/>
        <v>51.605000000000004</v>
      </c>
      <c r="AT14" s="11" t="str">
        <f t="shared" si="20"/>
        <v/>
      </c>
      <c r="AU14" s="11" t="str">
        <f t="shared" si="21"/>
        <v/>
      </c>
      <c r="AV14" s="11">
        <f t="shared" si="22"/>
        <v>98.04</v>
      </c>
      <c r="AW14" s="11">
        <f t="shared" si="23"/>
        <v>6.1</v>
      </c>
      <c r="AX14" s="11">
        <f t="shared" si="24"/>
        <v>21.215</v>
      </c>
      <c r="AY14" s="11">
        <f t="shared" si="25"/>
        <v>119.25500000000001</v>
      </c>
      <c r="AZ14" s="75">
        <v>17.7</v>
      </c>
      <c r="BA14" s="75">
        <v>9.6</v>
      </c>
      <c r="BB14" s="75">
        <v>3.9</v>
      </c>
      <c r="BC14" s="75">
        <v>16.34</v>
      </c>
      <c r="BD14" s="75">
        <v>0</v>
      </c>
      <c r="BE14" s="75">
        <v>14.3</v>
      </c>
      <c r="BF14" s="75">
        <v>8.9</v>
      </c>
      <c r="BG14" s="75">
        <v>13.6</v>
      </c>
      <c r="BH14" s="75">
        <v>14.59</v>
      </c>
      <c r="BI14" s="75">
        <v>0</v>
      </c>
      <c r="BJ14" s="75">
        <v>14.6</v>
      </c>
      <c r="BK14" s="75">
        <v>9.1</v>
      </c>
      <c r="BL14" s="75">
        <v>13.8</v>
      </c>
      <c r="BM14" s="75">
        <v>15.14</v>
      </c>
      <c r="BN14" s="75">
        <v>0</v>
      </c>
      <c r="BO14" s="75">
        <v>13</v>
      </c>
      <c r="BP14" s="75">
        <v>8.9</v>
      </c>
      <c r="BQ14" s="75">
        <v>13.8</v>
      </c>
      <c r="BR14" s="75">
        <v>14.96</v>
      </c>
      <c r="BS14" s="75">
        <v>0</v>
      </c>
      <c r="BT14" s="81"/>
      <c r="BU14" s="14">
        <f t="shared" si="26"/>
        <v>47.539999999999992</v>
      </c>
      <c r="BV14" s="14">
        <f t="shared" si="27"/>
        <v>13.6</v>
      </c>
      <c r="BW14" s="14">
        <f t="shared" si="28"/>
        <v>51.39</v>
      </c>
      <c r="BX14" s="14">
        <f t="shared" si="29"/>
        <v>13.8</v>
      </c>
      <c r="BY14" s="14">
        <f t="shared" si="30"/>
        <v>52.64</v>
      </c>
      <c r="BZ14" s="14">
        <f t="shared" si="31"/>
        <v>100.17999999999999</v>
      </c>
      <c r="CA14" s="14">
        <f t="shared" si="32"/>
        <v>13.8</v>
      </c>
      <c r="CB14" s="14">
        <f t="shared" si="33"/>
        <v>50.660000000000004</v>
      </c>
      <c r="CC14" s="14">
        <f t="shared" si="34"/>
        <v>150.84</v>
      </c>
      <c r="CD14" s="69">
        <v>16.899999999999999</v>
      </c>
      <c r="CE14" s="69">
        <v>9.1999999999999993</v>
      </c>
      <c r="CF14" s="69">
        <v>5.2</v>
      </c>
      <c r="CG14" s="69">
        <v>16.11</v>
      </c>
      <c r="CH14" s="69">
        <v>0</v>
      </c>
      <c r="CI14" s="69">
        <v>13.8</v>
      </c>
      <c r="CJ14" s="69">
        <v>9.1999999999999993</v>
      </c>
      <c r="CK14" s="69">
        <v>14.4</v>
      </c>
      <c r="CL14" s="69">
        <v>15.675000000000001</v>
      </c>
      <c r="CM14" s="69">
        <v>0</v>
      </c>
      <c r="CN14" s="69">
        <v>4</v>
      </c>
      <c r="CO14" s="69">
        <v>2.4</v>
      </c>
      <c r="CP14" s="69">
        <v>5.0999999999999996</v>
      </c>
      <c r="CQ14" s="69">
        <v>5</v>
      </c>
      <c r="CR14" s="69">
        <v>0</v>
      </c>
      <c r="CS14" s="69">
        <v>4</v>
      </c>
      <c r="CT14" s="69">
        <v>2.5</v>
      </c>
      <c r="CU14" s="69">
        <v>5.0999999999999996</v>
      </c>
      <c r="CV14" s="69">
        <v>4.8849999999999998</v>
      </c>
      <c r="CW14" s="69">
        <v>0</v>
      </c>
      <c r="CX14" s="80"/>
      <c r="CY14" s="11">
        <f t="shared" si="35"/>
        <v>47.41</v>
      </c>
      <c r="CZ14" s="11">
        <f t="shared" si="36"/>
        <v>14.4</v>
      </c>
      <c r="DA14" s="11">
        <f t="shared" si="37"/>
        <v>53.075000000000003</v>
      </c>
      <c r="DB14" s="11">
        <f t="shared" si="38"/>
        <v>5.0999999999999996</v>
      </c>
      <c r="DC14" s="11">
        <f t="shared" si="39"/>
        <v>16.5</v>
      </c>
      <c r="DD14" s="11">
        <f t="shared" si="40"/>
        <v>100.485</v>
      </c>
      <c r="DE14" s="11">
        <f t="shared" si="41"/>
        <v>5.0999999999999996</v>
      </c>
      <c r="DF14" s="11">
        <f t="shared" si="42"/>
        <v>16.484999999999999</v>
      </c>
      <c r="DG14" s="11">
        <f t="shared" si="43"/>
        <v>116.97</v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17.299999999999997</v>
      </c>
      <c r="NQ14" s="69">
        <f t="shared" si="133"/>
        <v>9.3999999999999986</v>
      </c>
      <c r="NR14" s="69">
        <f t="shared" si="134"/>
        <v>4.55</v>
      </c>
      <c r="NS14" s="69">
        <f t="shared" si="135"/>
        <v>16.225000000000001</v>
      </c>
      <c r="NT14" s="69">
        <f t="shared" si="136"/>
        <v>0</v>
      </c>
      <c r="NU14" s="69">
        <f t="shared" si="137"/>
        <v>14.05</v>
      </c>
      <c r="NV14" s="69">
        <f t="shared" si="138"/>
        <v>9.0500000000000007</v>
      </c>
      <c r="NW14" s="69">
        <f t="shared" si="139"/>
        <v>14</v>
      </c>
      <c r="NX14" s="69">
        <f t="shared" si="140"/>
        <v>15.1325</v>
      </c>
      <c r="NY14" s="69">
        <f t="shared" si="141"/>
        <v>0</v>
      </c>
      <c r="NZ14" s="69">
        <f t="shared" si="142"/>
        <v>9.3000000000000007</v>
      </c>
      <c r="OA14" s="69">
        <f t="shared" si="143"/>
        <v>5.75</v>
      </c>
      <c r="OB14" s="69">
        <f t="shared" si="144"/>
        <v>9.4499999999999993</v>
      </c>
      <c r="OC14" s="69">
        <f t="shared" si="145"/>
        <v>10.07</v>
      </c>
      <c r="OD14" s="69">
        <f t="shared" si="146"/>
        <v>0</v>
      </c>
      <c r="OE14" s="69">
        <f t="shared" si="147"/>
        <v>8.5</v>
      </c>
      <c r="OF14" s="69">
        <f t="shared" si="148"/>
        <v>5.7</v>
      </c>
      <c r="OG14" s="69">
        <f t="shared" si="149"/>
        <v>9.4499999999999993</v>
      </c>
      <c r="OH14" s="69">
        <f t="shared" si="150"/>
        <v>9.9224999999999994</v>
      </c>
      <c r="OI14" s="69">
        <f t="shared" si="151"/>
        <v>0</v>
      </c>
      <c r="OJ14" s="80" t="s">
        <v>88</v>
      </c>
      <c r="OK14" s="11">
        <f t="shared" si="152"/>
        <v>47.474999999999994</v>
      </c>
      <c r="OL14" s="11">
        <f t="shared" si="153"/>
        <v>14</v>
      </c>
      <c r="OM14" s="11">
        <f t="shared" si="154"/>
        <v>52.232500000000002</v>
      </c>
      <c r="ON14" s="11">
        <f t="shared" si="155"/>
        <v>9.4499999999999993</v>
      </c>
      <c r="OO14" s="11">
        <f t="shared" si="156"/>
        <v>34.57</v>
      </c>
      <c r="OP14" s="11">
        <f t="shared" si="157"/>
        <v>99.707499999999996</v>
      </c>
      <c r="OQ14" s="11">
        <f t="shared" si="158"/>
        <v>9.4499999999999993</v>
      </c>
      <c r="OR14" s="11">
        <f t="shared" si="159"/>
        <v>33.572499999999998</v>
      </c>
      <c r="OS14" s="11">
        <f t="shared" si="160"/>
        <v>133.28</v>
      </c>
    </row>
    <row r="15" spans="1:409" x14ac:dyDescent="0.2">
      <c r="A15" s="5" cm="1">
        <f t="array" ref="A15">IF(AND(G15&lt;&gt;"",H15&lt;&gt;""),SUMPRODUCT((G$4:G$27&lt;&gt;"")*(H$4:H$27&lt;&gt;"")*(E$4:E$27&gt;E15))+1,IF(H15&lt;&gt;"",SUMPRODUCT((I$4:I$27="No DD")*(E$4:E$27&gt;E15))+1+SUMPRODUCT((G$4:G$27&lt;&gt;"")*(H$4:H$27&lt;&gt;"")),""))</f>
        <v>8</v>
      </c>
      <c r="B15" s="6" t="s">
        <v>82</v>
      </c>
      <c r="C15" s="7" t="s">
        <v>10</v>
      </c>
      <c r="D15" s="27">
        <v>1999</v>
      </c>
      <c r="E15" s="15">
        <f t="shared" si="0"/>
        <v>161.33500000000001</v>
      </c>
      <c r="F15" s="3" t="str">
        <f t="shared" si="1"/>
        <v>P</v>
      </c>
      <c r="G15" s="125" t="str">
        <f t="shared" si="2"/>
        <v>National Team</v>
      </c>
      <c r="H15" s="125" t="str">
        <f t="shared" si="3"/>
        <v>National Team</v>
      </c>
      <c r="I15" s="126" t="str">
        <f t="shared" si="4"/>
        <v>National Team</v>
      </c>
      <c r="J15" s="3" t="str">
        <f t="shared" si="5"/>
        <v/>
      </c>
      <c r="K15" s="14">
        <f t="shared" si="6"/>
        <v>104.905</v>
      </c>
      <c r="L15" s="14" t="str">
        <f t="shared" si="7"/>
        <v>2019 Nationals</v>
      </c>
      <c r="M15" s="14">
        <f t="shared" si="8"/>
        <v>0</v>
      </c>
      <c r="N15" s="14" t="str">
        <f t="shared" si="9"/>
        <v/>
      </c>
      <c r="O15" s="14">
        <f t="shared" si="10"/>
        <v>0</v>
      </c>
      <c r="P15" s="14" t="str">
        <f t="shared" si="11"/>
        <v/>
      </c>
      <c r="Q15" s="14">
        <f t="shared" si="12"/>
        <v>56.43</v>
      </c>
      <c r="R15" s="14" t="str">
        <f t="shared" si="13"/>
        <v>2019 Nationals</v>
      </c>
      <c r="S15" s="14" t="str">
        <f t="shared" si="14"/>
        <v/>
      </c>
      <c r="T15" s="25" t="str">
        <f t="shared" si="15"/>
        <v/>
      </c>
      <c r="U15" s="14" t="str">
        <f t="shared" si="16"/>
        <v/>
      </c>
      <c r="V15" s="69">
        <v>17.7</v>
      </c>
      <c r="W15" s="69">
        <v>9.5</v>
      </c>
      <c r="X15" s="69">
        <v>4.8</v>
      </c>
      <c r="Y15" s="69">
        <v>17.375</v>
      </c>
      <c r="Z15" s="69">
        <v>0</v>
      </c>
      <c r="AA15" s="69">
        <v>16.100000000000001</v>
      </c>
      <c r="AB15" s="69">
        <v>8.9</v>
      </c>
      <c r="AC15" s="69">
        <v>14.4</v>
      </c>
      <c r="AD15" s="69">
        <v>16.13</v>
      </c>
      <c r="AE15" s="69">
        <v>0</v>
      </c>
      <c r="AF15" s="69"/>
      <c r="AG15" s="69"/>
      <c r="AH15" s="69"/>
      <c r="AI15" s="69"/>
      <c r="AJ15" s="69"/>
      <c r="AK15" s="69">
        <v>16.32</v>
      </c>
      <c r="AL15" s="69">
        <v>9.5</v>
      </c>
      <c r="AM15" s="69">
        <v>14.4</v>
      </c>
      <c r="AN15" s="69">
        <v>16.21</v>
      </c>
      <c r="AO15" s="69">
        <v>0</v>
      </c>
      <c r="AP15" s="80"/>
      <c r="AQ15" s="11">
        <f t="shared" si="17"/>
        <v>49.375</v>
      </c>
      <c r="AR15" s="11">
        <f t="shared" si="18"/>
        <v>14.4</v>
      </c>
      <c r="AS15" s="11">
        <f t="shared" si="19"/>
        <v>55.53</v>
      </c>
      <c r="AT15" s="11" t="str">
        <f t="shared" si="20"/>
        <v/>
      </c>
      <c r="AU15" s="11" t="str">
        <f t="shared" si="21"/>
        <v/>
      </c>
      <c r="AV15" s="11">
        <f t="shared" si="22"/>
        <v>104.905</v>
      </c>
      <c r="AW15" s="11">
        <f t="shared" si="23"/>
        <v>14.4</v>
      </c>
      <c r="AX15" s="11">
        <f t="shared" si="24"/>
        <v>56.43</v>
      </c>
      <c r="AY15" s="11">
        <f t="shared" si="25"/>
        <v>161.33500000000001</v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 t="shared" si="26"/>
        <v/>
      </c>
      <c r="BV15" s="14" t="str">
        <f t="shared" si="27"/>
        <v/>
      </c>
      <c r="BW15" s="14" t="str">
        <f t="shared" si="28"/>
        <v/>
      </c>
      <c r="BX15" s="14" t="str">
        <f t="shared" si="29"/>
        <v/>
      </c>
      <c r="BY15" s="14" t="str">
        <f t="shared" si="30"/>
        <v/>
      </c>
      <c r="BZ15" s="14" t="str">
        <f t="shared" si="31"/>
        <v/>
      </c>
      <c r="CA15" s="14" t="str">
        <f t="shared" si="32"/>
        <v/>
      </c>
      <c r="CB15" s="14" t="str">
        <f t="shared" si="33"/>
        <v/>
      </c>
      <c r="CC15" s="14" t="str">
        <f t="shared" si="34"/>
        <v/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 t="shared" si="35"/>
        <v/>
      </c>
      <c r="CZ15" s="11" t="str">
        <f t="shared" si="36"/>
        <v/>
      </c>
      <c r="DA15" s="11" t="str">
        <f t="shared" si="37"/>
        <v/>
      </c>
      <c r="DB15" s="11" t="str">
        <f t="shared" si="38"/>
        <v/>
      </c>
      <c r="DC15" s="11" t="str">
        <f t="shared" si="39"/>
        <v/>
      </c>
      <c r="DD15" s="11" t="str">
        <f t="shared" si="40"/>
        <v/>
      </c>
      <c r="DE15" s="11" t="str">
        <f t="shared" si="41"/>
        <v/>
      </c>
      <c r="DF15" s="11" t="str">
        <f t="shared" si="42"/>
        <v/>
      </c>
      <c r="DG15" s="11" t="str">
        <f t="shared" si="43"/>
        <v/>
      </c>
      <c r="DH15" s="24" t="str">
        <f t="shared" si="44"/>
        <v/>
      </c>
      <c r="DI15" s="24" t="str">
        <f t="shared" si="45"/>
        <v/>
      </c>
      <c r="DJ15" s="24" t="str">
        <f t="shared" si="46"/>
        <v/>
      </c>
      <c r="DK15" s="24" t="str">
        <f t="shared" si="47"/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 t="shared" si="48"/>
        <v/>
      </c>
      <c r="EB15" s="11" t="str">
        <f t="shared" si="49"/>
        <v/>
      </c>
      <c r="EC15" s="11" t="str">
        <f t="shared" si="50"/>
        <v/>
      </c>
      <c r="ED15" s="11" t="str">
        <f t="shared" si="51"/>
        <v/>
      </c>
      <c r="EE15" s="11" t="str">
        <f t="shared" si="52"/>
        <v/>
      </c>
      <c r="EF15" s="11" t="str">
        <f t="shared" si="53"/>
        <v/>
      </c>
      <c r="EG15" s="11" t="str">
        <f t="shared" si="54"/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 t="shared" si="55"/>
        <v/>
      </c>
      <c r="EX15" s="14" t="str">
        <f t="shared" si="56"/>
        <v/>
      </c>
      <c r="EY15" s="14" t="str">
        <f t="shared" si="57"/>
        <v/>
      </c>
      <c r="EZ15" s="14" t="str">
        <f t="shared" si="58"/>
        <v/>
      </c>
      <c r="FA15" s="14" t="str">
        <f t="shared" si="59"/>
        <v/>
      </c>
      <c r="FB15" s="14" t="str">
        <f t="shared" si="60"/>
        <v/>
      </c>
      <c r="FC15" s="14" t="str">
        <f t="shared" si="61"/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 t="shared" si="62"/>
        <v/>
      </c>
      <c r="FT15" s="11" t="str">
        <f t="shared" si="63"/>
        <v/>
      </c>
      <c r="FU15" s="11" t="str">
        <f t="shared" si="64"/>
        <v/>
      </c>
      <c r="FV15" s="11" t="str">
        <f t="shared" si="65"/>
        <v/>
      </c>
      <c r="FW15" s="11" t="str">
        <f t="shared" si="66"/>
        <v/>
      </c>
      <c r="FX15" s="11" t="str">
        <f t="shared" si="67"/>
        <v/>
      </c>
      <c r="FY15" s="11" t="str">
        <f t="shared" si="68"/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 t="shared" si="69"/>
        <v/>
      </c>
      <c r="GP15" s="14" t="str">
        <f t="shared" si="70"/>
        <v/>
      </c>
      <c r="GQ15" s="14" t="str">
        <f t="shared" si="71"/>
        <v/>
      </c>
      <c r="GR15" s="14" t="str">
        <f t="shared" si="72"/>
        <v/>
      </c>
      <c r="GS15" s="14" t="str">
        <f t="shared" si="73"/>
        <v/>
      </c>
      <c r="GT15" s="14" t="str">
        <f t="shared" si="74"/>
        <v/>
      </c>
      <c r="GU15" s="14" t="str">
        <f t="shared" si="75"/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 t="shared" si="76"/>
        <v/>
      </c>
      <c r="HL15" s="11" t="str">
        <f t="shared" si="77"/>
        <v/>
      </c>
      <c r="HM15" s="11" t="str">
        <f t="shared" si="78"/>
        <v/>
      </c>
      <c r="HN15" s="11" t="str">
        <f t="shared" si="79"/>
        <v/>
      </c>
      <c r="HO15" s="11" t="str">
        <f t="shared" si="80"/>
        <v/>
      </c>
      <c r="HP15" s="11" t="str">
        <f t="shared" si="81"/>
        <v/>
      </c>
      <c r="HQ15" s="11" t="str">
        <f t="shared" si="82"/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 t="shared" si="83"/>
        <v/>
      </c>
      <c r="IH15" s="14" t="str">
        <f t="shared" si="84"/>
        <v/>
      </c>
      <c r="II15" s="14" t="str">
        <f t="shared" si="85"/>
        <v/>
      </c>
      <c r="IJ15" s="14" t="str">
        <f t="shared" si="86"/>
        <v/>
      </c>
      <c r="IK15" s="14" t="str">
        <f t="shared" si="87"/>
        <v/>
      </c>
      <c r="IL15" s="14" t="str">
        <f t="shared" si="88"/>
        <v/>
      </c>
      <c r="IM15" s="14" t="str">
        <f t="shared" si="89"/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 t="shared" si="90"/>
        <v/>
      </c>
      <c r="JD15" s="11" t="str">
        <f t="shared" si="91"/>
        <v/>
      </c>
      <c r="JE15" s="11" t="str">
        <f t="shared" si="92"/>
        <v/>
      </c>
      <c r="JF15" s="11" t="str">
        <f t="shared" si="93"/>
        <v/>
      </c>
      <c r="JG15" s="11" t="str">
        <f t="shared" si="94"/>
        <v/>
      </c>
      <c r="JH15" s="11" t="str">
        <f t="shared" si="95"/>
        <v/>
      </c>
      <c r="JI15" s="11" t="str">
        <f t="shared" si="96"/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 t="shared" si="97"/>
        <v/>
      </c>
      <c r="JZ15" s="14" t="str">
        <f t="shared" si="98"/>
        <v/>
      </c>
      <c r="KA15" s="14" t="str">
        <f t="shared" si="99"/>
        <v/>
      </c>
      <c r="KB15" s="14" t="str">
        <f t="shared" si="100"/>
        <v/>
      </c>
      <c r="KC15" s="14" t="str">
        <f t="shared" si="101"/>
        <v/>
      </c>
      <c r="KD15" s="14" t="str">
        <f t="shared" si="102"/>
        <v/>
      </c>
      <c r="KE15" s="14" t="str">
        <f t="shared" si="103"/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 t="shared" si="104"/>
        <v/>
      </c>
      <c r="KV15" s="11" t="str">
        <f t="shared" si="105"/>
        <v/>
      </c>
      <c r="KW15" s="11" t="str">
        <f t="shared" si="106"/>
        <v/>
      </c>
      <c r="KX15" s="11" t="str">
        <f t="shared" si="107"/>
        <v/>
      </c>
      <c r="KY15" s="11" t="str">
        <f t="shared" si="108"/>
        <v/>
      </c>
      <c r="KZ15" s="11" t="str">
        <f t="shared" si="109"/>
        <v/>
      </c>
      <c r="LA15" s="11" t="str">
        <f t="shared" si="110"/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 t="shared" si="111"/>
        <v/>
      </c>
      <c r="LR15" s="14" t="str">
        <f t="shared" si="112"/>
        <v/>
      </c>
      <c r="LS15" s="14" t="str">
        <f t="shared" si="113"/>
        <v/>
      </c>
      <c r="LT15" s="14" t="str">
        <f t="shared" si="114"/>
        <v/>
      </c>
      <c r="LU15" s="14" t="str">
        <f t="shared" si="115"/>
        <v/>
      </c>
      <c r="LV15" s="14" t="str">
        <f t="shared" si="116"/>
        <v/>
      </c>
      <c r="LW15" s="14" t="str">
        <f t="shared" si="117"/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 t="shared" si="118"/>
        <v/>
      </c>
      <c r="MN15" s="11" t="str">
        <f t="shared" si="119"/>
        <v/>
      </c>
      <c r="MO15" s="11" t="str">
        <f t="shared" si="120"/>
        <v/>
      </c>
      <c r="MP15" s="11" t="str">
        <f t="shared" si="121"/>
        <v/>
      </c>
      <c r="MQ15" s="11" t="str">
        <f t="shared" si="122"/>
        <v/>
      </c>
      <c r="MR15" s="11" t="str">
        <f t="shared" si="123"/>
        <v/>
      </c>
      <c r="MS15" s="11" t="str">
        <f t="shared" si="124"/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 t="shared" si="125"/>
        <v/>
      </c>
      <c r="NJ15" s="14" t="str">
        <f t="shared" si="126"/>
        <v/>
      </c>
      <c r="NK15" s="14" t="str">
        <f t="shared" si="127"/>
        <v/>
      </c>
      <c r="NL15" s="14" t="str">
        <f t="shared" si="128"/>
        <v/>
      </c>
      <c r="NM15" s="14" t="str">
        <f t="shared" si="129"/>
        <v/>
      </c>
      <c r="NN15" s="14" t="str">
        <f t="shared" si="130"/>
        <v/>
      </c>
      <c r="NO15" s="14" t="str">
        <f t="shared" si="131"/>
        <v/>
      </c>
      <c r="NP15" s="69">
        <f t="shared" si="132"/>
        <v>0</v>
      </c>
      <c r="NQ15" s="69">
        <f t="shared" si="133"/>
        <v>0</v>
      </c>
      <c r="NR15" s="69">
        <f t="shared" si="134"/>
        <v>0</v>
      </c>
      <c r="NS15" s="69">
        <f t="shared" si="135"/>
        <v>0</v>
      </c>
      <c r="NT15" s="69">
        <f t="shared" si="136"/>
        <v>0</v>
      </c>
      <c r="NU15" s="69">
        <f t="shared" si="137"/>
        <v>0</v>
      </c>
      <c r="NV15" s="69">
        <f t="shared" si="138"/>
        <v>0</v>
      </c>
      <c r="NW15" s="69">
        <f t="shared" si="139"/>
        <v>0</v>
      </c>
      <c r="NX15" s="69">
        <f t="shared" si="140"/>
        <v>0</v>
      </c>
      <c r="NY15" s="69">
        <f t="shared" si="141"/>
        <v>0</v>
      </c>
      <c r="NZ15" s="69">
        <f t="shared" si="142"/>
        <v>0</v>
      </c>
      <c r="OA15" s="69">
        <f t="shared" si="143"/>
        <v>0</v>
      </c>
      <c r="OB15" s="69">
        <f t="shared" si="144"/>
        <v>0</v>
      </c>
      <c r="OC15" s="69">
        <f t="shared" si="145"/>
        <v>0</v>
      </c>
      <c r="OD15" s="69">
        <f t="shared" si="146"/>
        <v>0</v>
      </c>
      <c r="OE15" s="69">
        <f t="shared" si="147"/>
        <v>0</v>
      </c>
      <c r="OF15" s="69">
        <f t="shared" si="148"/>
        <v>0</v>
      </c>
      <c r="OG15" s="69">
        <f t="shared" si="149"/>
        <v>0</v>
      </c>
      <c r="OH15" s="69">
        <f t="shared" si="150"/>
        <v>0</v>
      </c>
      <c r="OI15" s="69">
        <f t="shared" si="151"/>
        <v>0</v>
      </c>
      <c r="OJ15" s="80" t="s">
        <v>88</v>
      </c>
      <c r="OK15" s="11" t="str">
        <f t="shared" si="152"/>
        <v/>
      </c>
      <c r="OL15" s="11" t="str">
        <f t="shared" si="153"/>
        <v/>
      </c>
      <c r="OM15" s="11" t="str">
        <f t="shared" si="154"/>
        <v/>
      </c>
      <c r="ON15" s="11" t="str">
        <f t="shared" si="155"/>
        <v/>
      </c>
      <c r="OO15" s="11" t="str">
        <f t="shared" si="156"/>
        <v/>
      </c>
      <c r="OP15" s="11" t="str">
        <f t="shared" si="157"/>
        <v/>
      </c>
      <c r="OQ15" s="11" t="str">
        <f t="shared" si="158"/>
        <v/>
      </c>
      <c r="OR15" s="11" t="str">
        <f t="shared" si="159"/>
        <v/>
      </c>
      <c r="OS15" s="11" t="str">
        <f t="shared" si="160"/>
        <v/>
      </c>
    </row>
    <row r="16" spans="1:409" x14ac:dyDescent="0.2">
      <c r="A16" s="5" cm="1">
        <f t="array" ref="A16">IF(AND(G16&lt;&gt;"",H16&lt;&gt;""),SUMPRODUCT((G$4:G$27&lt;&gt;"")*(H$4:H$27&lt;&gt;"")*(E$4:E$27&gt;E16))+1,IF(H16&lt;&gt;"",SUMPRODUCT((I$4:I$27="No DD")*(E$4:E$27&gt;E16))+1+SUMPRODUCT((G$4:G$27&lt;&gt;"")*(H$4:H$27&lt;&gt;"")),""))</f>
        <v>9</v>
      </c>
      <c r="B16" s="6" t="s">
        <v>151</v>
      </c>
      <c r="C16" s="7" t="s">
        <v>150</v>
      </c>
      <c r="D16" s="27">
        <v>2001</v>
      </c>
      <c r="E16" s="15">
        <f t="shared" si="0"/>
        <v>158.66999999999999</v>
      </c>
      <c r="F16" s="3" t="str">
        <f t="shared" si="1"/>
        <v>P</v>
      </c>
      <c r="G16" s="125" t="str">
        <f t="shared" si="2"/>
        <v>National Team</v>
      </c>
      <c r="H16" s="125" t="str">
        <f t="shared" si="3"/>
        <v>National Team</v>
      </c>
      <c r="I16" s="126" t="str">
        <f t="shared" si="4"/>
        <v>National Team</v>
      </c>
      <c r="J16" s="3" t="str">
        <f t="shared" si="5"/>
        <v/>
      </c>
      <c r="K16" s="14">
        <f t="shared" si="6"/>
        <v>103.205</v>
      </c>
      <c r="L16" s="14" t="str">
        <f t="shared" si="7"/>
        <v>2019 Nationals</v>
      </c>
      <c r="M16" s="14">
        <f t="shared" si="8"/>
        <v>0</v>
      </c>
      <c r="N16" s="14" t="str">
        <f t="shared" si="9"/>
        <v/>
      </c>
      <c r="O16" s="14">
        <f t="shared" si="10"/>
        <v>0</v>
      </c>
      <c r="P16" s="14" t="str">
        <f t="shared" si="11"/>
        <v/>
      </c>
      <c r="Q16" s="14">
        <f t="shared" si="12"/>
        <v>55.464999999999996</v>
      </c>
      <c r="R16" s="14" t="str">
        <f t="shared" si="13"/>
        <v>2019 Nationals</v>
      </c>
      <c r="S16" s="14" t="str">
        <f t="shared" si="14"/>
        <v/>
      </c>
      <c r="T16" s="25" t="str">
        <f t="shared" si="15"/>
        <v/>
      </c>
      <c r="U16" s="14" t="str">
        <f t="shared" si="16"/>
        <v/>
      </c>
      <c r="V16" s="69">
        <v>15.6</v>
      </c>
      <c r="W16" s="69">
        <v>9.6</v>
      </c>
      <c r="X16" s="69">
        <v>5.4</v>
      </c>
      <c r="Y16" s="69">
        <v>17.48</v>
      </c>
      <c r="Z16" s="69">
        <v>0</v>
      </c>
      <c r="AA16" s="69">
        <v>15.1</v>
      </c>
      <c r="AB16" s="69">
        <v>8.8000000000000007</v>
      </c>
      <c r="AC16" s="69">
        <v>15</v>
      </c>
      <c r="AD16" s="69">
        <v>16.225000000000001</v>
      </c>
      <c r="AE16" s="69">
        <v>0</v>
      </c>
      <c r="AF16" s="69"/>
      <c r="AG16" s="69"/>
      <c r="AH16" s="69"/>
      <c r="AI16" s="69"/>
      <c r="AJ16" s="69"/>
      <c r="AK16" s="69">
        <v>15.14</v>
      </c>
      <c r="AL16" s="69">
        <v>9.1</v>
      </c>
      <c r="AM16" s="69">
        <v>15.2</v>
      </c>
      <c r="AN16" s="69">
        <v>16.024999999999999</v>
      </c>
      <c r="AO16" s="69">
        <v>0</v>
      </c>
      <c r="AP16" s="80"/>
      <c r="AQ16" s="11">
        <f t="shared" si="17"/>
        <v>48.08</v>
      </c>
      <c r="AR16" s="11">
        <f t="shared" si="18"/>
        <v>15</v>
      </c>
      <c r="AS16" s="11">
        <f t="shared" si="19"/>
        <v>55.125</v>
      </c>
      <c r="AT16" s="11" t="str">
        <f t="shared" si="20"/>
        <v/>
      </c>
      <c r="AU16" s="11" t="str">
        <f t="shared" si="21"/>
        <v/>
      </c>
      <c r="AV16" s="11">
        <f t="shared" si="22"/>
        <v>103.205</v>
      </c>
      <c r="AW16" s="11">
        <f t="shared" si="23"/>
        <v>15.2</v>
      </c>
      <c r="AX16" s="11">
        <f t="shared" si="24"/>
        <v>55.464999999999996</v>
      </c>
      <c r="AY16" s="11">
        <f t="shared" si="25"/>
        <v>158.66999999999999</v>
      </c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81"/>
      <c r="BU16" s="14" t="str">
        <f t="shared" si="26"/>
        <v/>
      </c>
      <c r="BV16" s="14" t="str">
        <f t="shared" si="27"/>
        <v/>
      </c>
      <c r="BW16" s="14" t="str">
        <f t="shared" si="28"/>
        <v/>
      </c>
      <c r="BX16" s="14" t="str">
        <f t="shared" si="29"/>
        <v/>
      </c>
      <c r="BY16" s="14" t="str">
        <f t="shared" si="30"/>
        <v/>
      </c>
      <c r="BZ16" s="14" t="str">
        <f t="shared" si="31"/>
        <v/>
      </c>
      <c r="CA16" s="14" t="str">
        <f t="shared" si="32"/>
        <v/>
      </c>
      <c r="CB16" s="14" t="str">
        <f t="shared" si="33"/>
        <v/>
      </c>
      <c r="CC16" s="14" t="str">
        <f t="shared" si="34"/>
        <v/>
      </c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80"/>
      <c r="CY16" s="11" t="str">
        <f t="shared" si="35"/>
        <v/>
      </c>
      <c r="CZ16" s="11" t="str">
        <f t="shared" si="36"/>
        <v/>
      </c>
      <c r="DA16" s="11" t="str">
        <f t="shared" si="37"/>
        <v/>
      </c>
      <c r="DB16" s="11" t="str">
        <f t="shared" si="38"/>
        <v/>
      </c>
      <c r="DC16" s="11" t="str">
        <f t="shared" si="39"/>
        <v/>
      </c>
      <c r="DD16" s="11" t="str">
        <f t="shared" si="40"/>
        <v/>
      </c>
      <c r="DE16" s="11" t="str">
        <f t="shared" si="41"/>
        <v/>
      </c>
      <c r="DF16" s="11" t="str">
        <f t="shared" si="42"/>
        <v/>
      </c>
      <c r="DG16" s="11" t="str">
        <f t="shared" si="43"/>
        <v/>
      </c>
      <c r="DH16" s="24" t="str">
        <f t="shared" si="44"/>
        <v/>
      </c>
      <c r="DI16" s="24" t="str">
        <f t="shared" si="45"/>
        <v/>
      </c>
      <c r="DJ16" s="24" t="str">
        <f t="shared" si="46"/>
        <v/>
      </c>
      <c r="DK16" s="24" t="str">
        <f t="shared" si="47"/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 t="shared" si="48"/>
        <v/>
      </c>
      <c r="EB16" s="11" t="str">
        <f t="shared" si="49"/>
        <v/>
      </c>
      <c r="EC16" s="11" t="str">
        <f t="shared" si="50"/>
        <v/>
      </c>
      <c r="ED16" s="11" t="str">
        <f t="shared" si="51"/>
        <v/>
      </c>
      <c r="EE16" s="11" t="str">
        <f t="shared" si="52"/>
        <v/>
      </c>
      <c r="EF16" s="11" t="str">
        <f t="shared" si="53"/>
        <v/>
      </c>
      <c r="EG16" s="11" t="str">
        <f t="shared" si="54"/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 t="shared" si="55"/>
        <v/>
      </c>
      <c r="EX16" s="14" t="str">
        <f t="shared" si="56"/>
        <v/>
      </c>
      <c r="EY16" s="14" t="str">
        <f t="shared" si="57"/>
        <v/>
      </c>
      <c r="EZ16" s="14" t="str">
        <f t="shared" si="58"/>
        <v/>
      </c>
      <c r="FA16" s="14" t="str">
        <f t="shared" si="59"/>
        <v/>
      </c>
      <c r="FB16" s="14" t="str">
        <f t="shared" si="60"/>
        <v/>
      </c>
      <c r="FC16" s="14" t="str">
        <f t="shared" si="61"/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 t="shared" si="62"/>
        <v/>
      </c>
      <c r="FT16" s="11" t="str">
        <f t="shared" si="63"/>
        <v/>
      </c>
      <c r="FU16" s="11" t="str">
        <f t="shared" si="64"/>
        <v/>
      </c>
      <c r="FV16" s="11" t="str">
        <f t="shared" si="65"/>
        <v/>
      </c>
      <c r="FW16" s="11" t="str">
        <f t="shared" si="66"/>
        <v/>
      </c>
      <c r="FX16" s="11" t="str">
        <f t="shared" si="67"/>
        <v/>
      </c>
      <c r="FY16" s="11" t="str">
        <f t="shared" si="68"/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 t="shared" si="69"/>
        <v/>
      </c>
      <c r="GP16" s="14" t="str">
        <f t="shared" si="70"/>
        <v/>
      </c>
      <c r="GQ16" s="14" t="str">
        <f t="shared" si="71"/>
        <v/>
      </c>
      <c r="GR16" s="14" t="str">
        <f t="shared" si="72"/>
        <v/>
      </c>
      <c r="GS16" s="14" t="str">
        <f t="shared" si="73"/>
        <v/>
      </c>
      <c r="GT16" s="14" t="str">
        <f t="shared" si="74"/>
        <v/>
      </c>
      <c r="GU16" s="14" t="str">
        <f t="shared" si="75"/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 t="shared" si="76"/>
        <v/>
      </c>
      <c r="HL16" s="11" t="str">
        <f t="shared" si="77"/>
        <v/>
      </c>
      <c r="HM16" s="11" t="str">
        <f t="shared" si="78"/>
        <v/>
      </c>
      <c r="HN16" s="11" t="str">
        <f t="shared" si="79"/>
        <v/>
      </c>
      <c r="HO16" s="11" t="str">
        <f t="shared" si="80"/>
        <v/>
      </c>
      <c r="HP16" s="11" t="str">
        <f t="shared" si="81"/>
        <v/>
      </c>
      <c r="HQ16" s="11" t="str">
        <f t="shared" si="82"/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 t="shared" si="83"/>
        <v/>
      </c>
      <c r="IH16" s="14" t="str">
        <f t="shared" si="84"/>
        <v/>
      </c>
      <c r="II16" s="14" t="str">
        <f t="shared" si="85"/>
        <v/>
      </c>
      <c r="IJ16" s="14" t="str">
        <f t="shared" si="86"/>
        <v/>
      </c>
      <c r="IK16" s="14" t="str">
        <f t="shared" si="87"/>
        <v/>
      </c>
      <c r="IL16" s="14" t="str">
        <f t="shared" si="88"/>
        <v/>
      </c>
      <c r="IM16" s="14" t="str">
        <f t="shared" si="89"/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 t="shared" si="90"/>
        <v/>
      </c>
      <c r="JD16" s="11" t="str">
        <f t="shared" si="91"/>
        <v/>
      </c>
      <c r="JE16" s="11" t="str">
        <f t="shared" si="92"/>
        <v/>
      </c>
      <c r="JF16" s="11" t="str">
        <f t="shared" si="93"/>
        <v/>
      </c>
      <c r="JG16" s="11" t="str">
        <f t="shared" si="94"/>
        <v/>
      </c>
      <c r="JH16" s="11" t="str">
        <f t="shared" si="95"/>
        <v/>
      </c>
      <c r="JI16" s="11" t="str">
        <f t="shared" si="96"/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 t="shared" si="97"/>
        <v/>
      </c>
      <c r="JZ16" s="14" t="str">
        <f t="shared" si="98"/>
        <v/>
      </c>
      <c r="KA16" s="14" t="str">
        <f t="shared" si="99"/>
        <v/>
      </c>
      <c r="KB16" s="14" t="str">
        <f t="shared" si="100"/>
        <v/>
      </c>
      <c r="KC16" s="14" t="str">
        <f t="shared" si="101"/>
        <v/>
      </c>
      <c r="KD16" s="14" t="str">
        <f t="shared" si="102"/>
        <v/>
      </c>
      <c r="KE16" s="14" t="str">
        <f t="shared" si="103"/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 t="shared" si="104"/>
        <v/>
      </c>
      <c r="KV16" s="11" t="str">
        <f t="shared" si="105"/>
        <v/>
      </c>
      <c r="KW16" s="11" t="str">
        <f t="shared" si="106"/>
        <v/>
      </c>
      <c r="KX16" s="11" t="str">
        <f t="shared" si="107"/>
        <v/>
      </c>
      <c r="KY16" s="11" t="str">
        <f t="shared" si="108"/>
        <v/>
      </c>
      <c r="KZ16" s="11" t="str">
        <f t="shared" si="109"/>
        <v/>
      </c>
      <c r="LA16" s="11" t="str">
        <f t="shared" si="110"/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 t="shared" si="111"/>
        <v/>
      </c>
      <c r="LR16" s="14" t="str">
        <f t="shared" si="112"/>
        <v/>
      </c>
      <c r="LS16" s="14" t="str">
        <f t="shared" si="113"/>
        <v/>
      </c>
      <c r="LT16" s="14" t="str">
        <f t="shared" si="114"/>
        <v/>
      </c>
      <c r="LU16" s="14" t="str">
        <f t="shared" si="115"/>
        <v/>
      </c>
      <c r="LV16" s="14" t="str">
        <f t="shared" si="116"/>
        <v/>
      </c>
      <c r="LW16" s="14" t="str">
        <f t="shared" si="117"/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 t="shared" si="118"/>
        <v/>
      </c>
      <c r="MN16" s="11" t="str">
        <f t="shared" si="119"/>
        <v/>
      </c>
      <c r="MO16" s="11" t="str">
        <f t="shared" si="120"/>
        <v/>
      </c>
      <c r="MP16" s="11" t="str">
        <f t="shared" si="121"/>
        <v/>
      </c>
      <c r="MQ16" s="11" t="str">
        <f t="shared" si="122"/>
        <v/>
      </c>
      <c r="MR16" s="11" t="str">
        <f t="shared" si="123"/>
        <v/>
      </c>
      <c r="MS16" s="11" t="str">
        <f t="shared" si="124"/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 t="shared" si="125"/>
        <v/>
      </c>
      <c r="NJ16" s="14" t="str">
        <f t="shared" si="126"/>
        <v/>
      </c>
      <c r="NK16" s="14" t="str">
        <f t="shared" si="127"/>
        <v/>
      </c>
      <c r="NL16" s="14" t="str">
        <f t="shared" si="128"/>
        <v/>
      </c>
      <c r="NM16" s="14" t="str">
        <f t="shared" si="129"/>
        <v/>
      </c>
      <c r="NN16" s="14" t="str">
        <f t="shared" si="130"/>
        <v/>
      </c>
      <c r="NO16" s="14" t="str">
        <f t="shared" si="131"/>
        <v/>
      </c>
      <c r="NP16" s="69">
        <f t="shared" si="132"/>
        <v>0</v>
      </c>
      <c r="NQ16" s="69">
        <f t="shared" si="133"/>
        <v>0</v>
      </c>
      <c r="NR16" s="69">
        <f t="shared" si="134"/>
        <v>0</v>
      </c>
      <c r="NS16" s="69">
        <f t="shared" si="135"/>
        <v>0</v>
      </c>
      <c r="NT16" s="69">
        <f t="shared" si="136"/>
        <v>0</v>
      </c>
      <c r="NU16" s="69">
        <f t="shared" si="137"/>
        <v>0</v>
      </c>
      <c r="NV16" s="69">
        <f t="shared" si="138"/>
        <v>0</v>
      </c>
      <c r="NW16" s="69">
        <f t="shared" si="139"/>
        <v>0</v>
      </c>
      <c r="NX16" s="69">
        <f t="shared" si="140"/>
        <v>0</v>
      </c>
      <c r="NY16" s="69">
        <f t="shared" si="141"/>
        <v>0</v>
      </c>
      <c r="NZ16" s="69">
        <f t="shared" si="142"/>
        <v>0</v>
      </c>
      <c r="OA16" s="69">
        <f t="shared" si="143"/>
        <v>0</v>
      </c>
      <c r="OB16" s="69">
        <f t="shared" si="144"/>
        <v>0</v>
      </c>
      <c r="OC16" s="69">
        <f t="shared" si="145"/>
        <v>0</v>
      </c>
      <c r="OD16" s="69">
        <f t="shared" si="146"/>
        <v>0</v>
      </c>
      <c r="OE16" s="69">
        <f t="shared" si="147"/>
        <v>0</v>
      </c>
      <c r="OF16" s="69">
        <f t="shared" si="148"/>
        <v>0</v>
      </c>
      <c r="OG16" s="69">
        <f t="shared" si="149"/>
        <v>0</v>
      </c>
      <c r="OH16" s="69">
        <f t="shared" si="150"/>
        <v>0</v>
      </c>
      <c r="OI16" s="69">
        <f t="shared" si="151"/>
        <v>0</v>
      </c>
      <c r="OJ16" s="80" t="s">
        <v>88</v>
      </c>
      <c r="OK16" s="11" t="str">
        <f t="shared" si="152"/>
        <v/>
      </c>
      <c r="OL16" s="11" t="str">
        <f t="shared" si="153"/>
        <v/>
      </c>
      <c r="OM16" s="11" t="str">
        <f t="shared" si="154"/>
        <v/>
      </c>
      <c r="ON16" s="11" t="str">
        <f t="shared" si="155"/>
        <v/>
      </c>
      <c r="OO16" s="11" t="str">
        <f t="shared" si="156"/>
        <v/>
      </c>
      <c r="OP16" s="11" t="str">
        <f t="shared" si="157"/>
        <v/>
      </c>
      <c r="OQ16" s="11" t="str">
        <f t="shared" si="158"/>
        <v/>
      </c>
      <c r="OR16" s="11" t="str">
        <f t="shared" si="159"/>
        <v/>
      </c>
      <c r="OS16" s="11" t="str">
        <f t="shared" si="160"/>
        <v/>
      </c>
    </row>
    <row r="17" spans="1:409" x14ac:dyDescent="0.2">
      <c r="A17" s="5" t="str" cm="1">
        <f t="array" ref="A17">IF(AND(G17&lt;&gt;"",H17&lt;&gt;""),SUMPRODUCT((G$4:G$27&lt;&gt;"")*(H$4:H$27&lt;&gt;"")*(E$4:E$27&gt;E17))+1,IF(H17&lt;&gt;"",SUMPRODUCT((I$4:I$27="No DD")*(E$4:E$27&gt;E17))+1+SUMPRODUCT((G$4:G$27&lt;&gt;"")*(H$4:H$27&lt;&gt;"")),""))</f>
        <v/>
      </c>
      <c r="B17" s="6" t="s">
        <v>51</v>
      </c>
      <c r="C17" s="7" t="s">
        <v>10</v>
      </c>
      <c r="D17" s="27">
        <v>1998</v>
      </c>
      <c r="E17" s="15">
        <f t="shared" si="0"/>
        <v>254.55</v>
      </c>
      <c r="F17" s="3" t="str">
        <f t="shared" si="1"/>
        <v/>
      </c>
      <c r="G17" s="125" t="str">
        <f t="shared" si="2"/>
        <v/>
      </c>
      <c r="H17" s="125" t="str">
        <f t="shared" si="3"/>
        <v/>
      </c>
      <c r="I17" s="126" t="str">
        <f t="shared" si="4"/>
        <v/>
      </c>
      <c r="J17" s="3" t="str">
        <f t="shared" si="5"/>
        <v/>
      </c>
      <c r="K17" s="14">
        <f t="shared" si="6"/>
        <v>100.62</v>
      </c>
      <c r="L17" s="14" t="str">
        <f t="shared" si="7"/>
        <v>2021 2nd Virtual Technical Trial</v>
      </c>
      <c r="M17" s="14">
        <f t="shared" si="8"/>
        <v>46.86</v>
      </c>
      <c r="N17" s="14" t="str">
        <f t="shared" si="9"/>
        <v>2019 Nationals</v>
      </c>
      <c r="O17" s="14">
        <f t="shared" si="10"/>
        <v>53.075000000000003</v>
      </c>
      <c r="P17" s="14" t="str">
        <f t="shared" si="11"/>
        <v>2021 1st Virtual Technical Trial</v>
      </c>
      <c r="Q17" s="14">
        <f t="shared" si="12"/>
        <v>53.995000000000005</v>
      </c>
      <c r="R17" s="14" t="str">
        <f t="shared" si="13"/>
        <v>2021 2nd Virtual Technical Trial</v>
      </c>
      <c r="S17" s="14" t="str">
        <f t="shared" si="14"/>
        <v/>
      </c>
      <c r="T17" s="25" t="str">
        <f t="shared" si="15"/>
        <v/>
      </c>
      <c r="U17" s="14" t="str">
        <f t="shared" si="16"/>
        <v/>
      </c>
      <c r="V17" s="69">
        <v>17.5</v>
      </c>
      <c r="W17" s="69">
        <v>9.1</v>
      </c>
      <c r="X17" s="69">
        <v>3.9</v>
      </c>
      <c r="Y17" s="69">
        <v>16.36</v>
      </c>
      <c r="Z17" s="69">
        <v>0</v>
      </c>
      <c r="AA17" s="69">
        <v>14.7</v>
      </c>
      <c r="AB17" s="69">
        <v>9.8000000000000007</v>
      </c>
      <c r="AC17" s="69">
        <v>12.8</v>
      </c>
      <c r="AD17" s="69">
        <v>14.89</v>
      </c>
      <c r="AE17" s="69">
        <v>0.7</v>
      </c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80"/>
      <c r="AQ17" s="11">
        <f t="shared" si="17"/>
        <v>46.86</v>
      </c>
      <c r="AR17" s="11">
        <f t="shared" si="18"/>
        <v>12.8</v>
      </c>
      <c r="AS17" s="11">
        <f t="shared" si="19"/>
        <v>51.489999999999995</v>
      </c>
      <c r="AT17" s="11" t="str">
        <f t="shared" si="20"/>
        <v/>
      </c>
      <c r="AU17" s="11" t="str">
        <f t="shared" si="21"/>
        <v/>
      </c>
      <c r="AV17" s="11">
        <f t="shared" si="22"/>
        <v>98.35</v>
      </c>
      <c r="AW17" s="11" t="str">
        <f t="shared" si="23"/>
        <v/>
      </c>
      <c r="AX17" s="11" t="str">
        <f t="shared" si="24"/>
        <v/>
      </c>
      <c r="AY17" s="11">
        <f t="shared" si="25"/>
        <v>98.35</v>
      </c>
      <c r="AZ17" s="75">
        <v>16.3</v>
      </c>
      <c r="BA17" s="75">
        <v>8.6999999999999993</v>
      </c>
      <c r="BB17" s="75">
        <v>2.5</v>
      </c>
      <c r="BC17" s="75">
        <v>15.595000000000001</v>
      </c>
      <c r="BD17" s="75">
        <v>0</v>
      </c>
      <c r="BE17" s="75">
        <v>13.1</v>
      </c>
      <c r="BF17" s="75">
        <v>8.15</v>
      </c>
      <c r="BG17" s="75">
        <v>11.9</v>
      </c>
      <c r="BH17" s="75">
        <v>14.494999999999999</v>
      </c>
      <c r="BI17" s="75">
        <v>0</v>
      </c>
      <c r="BJ17" s="75">
        <v>15</v>
      </c>
      <c r="BK17" s="75">
        <v>8.4499999999999993</v>
      </c>
      <c r="BL17" s="75">
        <v>13.5</v>
      </c>
      <c r="BM17" s="75">
        <v>16.125</v>
      </c>
      <c r="BN17" s="75">
        <v>0</v>
      </c>
      <c r="BO17" s="75">
        <v>4.9000000000000004</v>
      </c>
      <c r="BP17" s="75">
        <v>2.5499999999999998</v>
      </c>
      <c r="BQ17" s="75">
        <v>4.5999999999999996</v>
      </c>
      <c r="BR17" s="75">
        <v>4.9450000000000003</v>
      </c>
      <c r="BS17" s="75">
        <v>0</v>
      </c>
      <c r="BT17" s="81"/>
      <c r="BU17" s="14">
        <f t="shared" si="26"/>
        <v>43.094999999999999</v>
      </c>
      <c r="BV17" s="14">
        <f t="shared" si="27"/>
        <v>11.9</v>
      </c>
      <c r="BW17" s="14">
        <f t="shared" si="28"/>
        <v>47.644999999999996</v>
      </c>
      <c r="BX17" s="14">
        <f t="shared" si="29"/>
        <v>13.5</v>
      </c>
      <c r="BY17" s="14">
        <f t="shared" si="30"/>
        <v>53.075000000000003</v>
      </c>
      <c r="BZ17" s="14">
        <f t="shared" si="31"/>
        <v>96.17</v>
      </c>
      <c r="CA17" s="14">
        <f t="shared" si="32"/>
        <v>4.5999999999999996</v>
      </c>
      <c r="CB17" s="14">
        <f t="shared" si="33"/>
        <v>16.995000000000001</v>
      </c>
      <c r="CC17" s="14">
        <f t="shared" si="34"/>
        <v>113.16500000000001</v>
      </c>
      <c r="CD17" s="69">
        <v>18.100000000000001</v>
      </c>
      <c r="CE17" s="69">
        <v>9.1999999999999993</v>
      </c>
      <c r="CF17" s="69">
        <v>4.0999999999999996</v>
      </c>
      <c r="CG17" s="69">
        <v>16.690000000000001</v>
      </c>
      <c r="CH17" s="69">
        <v>0</v>
      </c>
      <c r="CI17" s="69">
        <v>14.6</v>
      </c>
      <c r="CJ17" s="69">
        <v>8.9</v>
      </c>
      <c r="CK17" s="69">
        <v>13.5</v>
      </c>
      <c r="CL17" s="69">
        <v>15.53</v>
      </c>
      <c r="CM17" s="69">
        <v>0</v>
      </c>
      <c r="CN17" s="69">
        <v>1.2</v>
      </c>
      <c r="CO17" s="69">
        <v>0.8</v>
      </c>
      <c r="CP17" s="69">
        <v>1.7</v>
      </c>
      <c r="CQ17" s="69">
        <v>1.7649999999999999</v>
      </c>
      <c r="CR17" s="69">
        <v>0</v>
      </c>
      <c r="CS17" s="69">
        <v>15.5</v>
      </c>
      <c r="CT17" s="69">
        <v>9.1999999999999993</v>
      </c>
      <c r="CU17" s="69">
        <v>13.5</v>
      </c>
      <c r="CV17" s="69">
        <v>15.795</v>
      </c>
      <c r="CW17" s="69">
        <v>0</v>
      </c>
      <c r="CX17" s="80"/>
      <c r="CY17" s="11">
        <f t="shared" si="35"/>
        <v>48.09</v>
      </c>
      <c r="CZ17" s="11">
        <f t="shared" si="36"/>
        <v>13.5</v>
      </c>
      <c r="DA17" s="11">
        <f t="shared" si="37"/>
        <v>52.53</v>
      </c>
      <c r="DB17" s="11">
        <f t="shared" si="38"/>
        <v>1.7</v>
      </c>
      <c r="DC17" s="11">
        <f t="shared" si="39"/>
        <v>5.4649999999999999</v>
      </c>
      <c r="DD17" s="11">
        <f t="shared" si="40"/>
        <v>100.62</v>
      </c>
      <c r="DE17" s="11">
        <f t="shared" si="41"/>
        <v>13.5</v>
      </c>
      <c r="DF17" s="11">
        <f t="shared" si="42"/>
        <v>53.995000000000005</v>
      </c>
      <c r="DG17" s="11">
        <f t="shared" si="43"/>
        <v>154.61500000000001</v>
      </c>
      <c r="DH17" s="24" t="str">
        <f t="shared" si="44"/>
        <v/>
      </c>
      <c r="DI17" s="24" t="str">
        <f t="shared" si="45"/>
        <v/>
      </c>
      <c r="DJ17" s="24" t="str">
        <f t="shared" si="46"/>
        <v/>
      </c>
      <c r="DK17" s="24" t="str">
        <f t="shared" si="47"/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 t="shared" si="48"/>
        <v/>
      </c>
      <c r="EB17" s="11" t="str">
        <f t="shared" si="49"/>
        <v/>
      </c>
      <c r="EC17" s="11" t="str">
        <f t="shared" si="50"/>
        <v/>
      </c>
      <c r="ED17" s="11" t="str">
        <f t="shared" si="51"/>
        <v/>
      </c>
      <c r="EE17" s="11" t="str">
        <f t="shared" si="52"/>
        <v/>
      </c>
      <c r="EF17" s="11" t="str">
        <f t="shared" si="53"/>
        <v/>
      </c>
      <c r="EG17" s="11" t="str">
        <f t="shared" si="54"/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 t="shared" si="55"/>
        <v/>
      </c>
      <c r="EX17" s="14" t="str">
        <f t="shared" si="56"/>
        <v/>
      </c>
      <c r="EY17" s="14" t="str">
        <f t="shared" si="57"/>
        <v/>
      </c>
      <c r="EZ17" s="14" t="str">
        <f t="shared" si="58"/>
        <v/>
      </c>
      <c r="FA17" s="14" t="str">
        <f t="shared" si="59"/>
        <v/>
      </c>
      <c r="FB17" s="14" t="str">
        <f t="shared" si="60"/>
        <v/>
      </c>
      <c r="FC17" s="14" t="str">
        <f t="shared" si="61"/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 t="shared" si="62"/>
        <v/>
      </c>
      <c r="FT17" s="11" t="str">
        <f t="shared" si="63"/>
        <v/>
      </c>
      <c r="FU17" s="11" t="str">
        <f t="shared" si="64"/>
        <v/>
      </c>
      <c r="FV17" s="11" t="str">
        <f t="shared" si="65"/>
        <v/>
      </c>
      <c r="FW17" s="11" t="str">
        <f t="shared" si="66"/>
        <v/>
      </c>
      <c r="FX17" s="11" t="str">
        <f t="shared" si="67"/>
        <v/>
      </c>
      <c r="FY17" s="11" t="str">
        <f t="shared" si="68"/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 t="shared" si="69"/>
        <v/>
      </c>
      <c r="GP17" s="14" t="str">
        <f t="shared" si="70"/>
        <v/>
      </c>
      <c r="GQ17" s="14" t="str">
        <f t="shared" si="71"/>
        <v/>
      </c>
      <c r="GR17" s="14" t="str">
        <f t="shared" si="72"/>
        <v/>
      </c>
      <c r="GS17" s="14" t="str">
        <f t="shared" si="73"/>
        <v/>
      </c>
      <c r="GT17" s="14" t="str">
        <f t="shared" si="74"/>
        <v/>
      </c>
      <c r="GU17" s="14" t="str">
        <f t="shared" si="75"/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 t="shared" si="76"/>
        <v/>
      </c>
      <c r="HL17" s="11" t="str">
        <f t="shared" si="77"/>
        <v/>
      </c>
      <c r="HM17" s="11" t="str">
        <f t="shared" si="78"/>
        <v/>
      </c>
      <c r="HN17" s="11" t="str">
        <f t="shared" si="79"/>
        <v/>
      </c>
      <c r="HO17" s="11" t="str">
        <f t="shared" si="80"/>
        <v/>
      </c>
      <c r="HP17" s="11" t="str">
        <f t="shared" si="81"/>
        <v/>
      </c>
      <c r="HQ17" s="11" t="str">
        <f t="shared" si="82"/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 t="shared" si="83"/>
        <v/>
      </c>
      <c r="IH17" s="14" t="str">
        <f t="shared" si="84"/>
        <v/>
      </c>
      <c r="II17" s="14" t="str">
        <f t="shared" si="85"/>
        <v/>
      </c>
      <c r="IJ17" s="14" t="str">
        <f t="shared" si="86"/>
        <v/>
      </c>
      <c r="IK17" s="14" t="str">
        <f t="shared" si="87"/>
        <v/>
      </c>
      <c r="IL17" s="14" t="str">
        <f t="shared" si="88"/>
        <v/>
      </c>
      <c r="IM17" s="14" t="str">
        <f t="shared" si="89"/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 t="shared" si="90"/>
        <v/>
      </c>
      <c r="JD17" s="11" t="str">
        <f t="shared" si="91"/>
        <v/>
      </c>
      <c r="JE17" s="11" t="str">
        <f t="shared" si="92"/>
        <v/>
      </c>
      <c r="JF17" s="11" t="str">
        <f t="shared" si="93"/>
        <v/>
      </c>
      <c r="JG17" s="11" t="str">
        <f t="shared" si="94"/>
        <v/>
      </c>
      <c r="JH17" s="11" t="str">
        <f t="shared" si="95"/>
        <v/>
      </c>
      <c r="JI17" s="11" t="str">
        <f t="shared" si="96"/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 t="shared" si="97"/>
        <v/>
      </c>
      <c r="JZ17" s="14" t="str">
        <f t="shared" si="98"/>
        <v/>
      </c>
      <c r="KA17" s="14" t="str">
        <f t="shared" si="99"/>
        <v/>
      </c>
      <c r="KB17" s="14" t="str">
        <f t="shared" si="100"/>
        <v/>
      </c>
      <c r="KC17" s="14" t="str">
        <f t="shared" si="101"/>
        <v/>
      </c>
      <c r="KD17" s="14" t="str">
        <f t="shared" si="102"/>
        <v/>
      </c>
      <c r="KE17" s="14" t="str">
        <f t="shared" si="103"/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 t="shared" si="104"/>
        <v/>
      </c>
      <c r="KV17" s="11" t="str">
        <f t="shared" si="105"/>
        <v/>
      </c>
      <c r="KW17" s="11" t="str">
        <f t="shared" si="106"/>
        <v/>
      </c>
      <c r="KX17" s="11" t="str">
        <f t="shared" si="107"/>
        <v/>
      </c>
      <c r="KY17" s="11" t="str">
        <f t="shared" si="108"/>
        <v/>
      </c>
      <c r="KZ17" s="11" t="str">
        <f t="shared" si="109"/>
        <v/>
      </c>
      <c r="LA17" s="11" t="str">
        <f t="shared" si="110"/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 t="shared" si="111"/>
        <v/>
      </c>
      <c r="LR17" s="14" t="str">
        <f t="shared" si="112"/>
        <v/>
      </c>
      <c r="LS17" s="14" t="str">
        <f t="shared" si="113"/>
        <v/>
      </c>
      <c r="LT17" s="14" t="str">
        <f t="shared" si="114"/>
        <v/>
      </c>
      <c r="LU17" s="14" t="str">
        <f t="shared" si="115"/>
        <v/>
      </c>
      <c r="LV17" s="14" t="str">
        <f t="shared" si="116"/>
        <v/>
      </c>
      <c r="LW17" s="14" t="str">
        <f t="shared" si="117"/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 t="shared" si="118"/>
        <v/>
      </c>
      <c r="MN17" s="11" t="str">
        <f t="shared" si="119"/>
        <v/>
      </c>
      <c r="MO17" s="11" t="str">
        <f t="shared" si="120"/>
        <v/>
      </c>
      <c r="MP17" s="11" t="str">
        <f t="shared" si="121"/>
        <v/>
      </c>
      <c r="MQ17" s="11" t="str">
        <f t="shared" si="122"/>
        <v/>
      </c>
      <c r="MR17" s="11" t="str">
        <f t="shared" si="123"/>
        <v/>
      </c>
      <c r="MS17" s="11" t="str">
        <f t="shared" si="124"/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 t="shared" si="125"/>
        <v/>
      </c>
      <c r="NJ17" s="14" t="str">
        <f t="shared" si="126"/>
        <v/>
      </c>
      <c r="NK17" s="14" t="str">
        <f t="shared" si="127"/>
        <v/>
      </c>
      <c r="NL17" s="14" t="str">
        <f t="shared" si="128"/>
        <v/>
      </c>
      <c r="NM17" s="14" t="str">
        <f t="shared" si="129"/>
        <v/>
      </c>
      <c r="NN17" s="14" t="str">
        <f t="shared" si="130"/>
        <v/>
      </c>
      <c r="NO17" s="14" t="str">
        <f t="shared" si="131"/>
        <v/>
      </c>
      <c r="NP17" s="69">
        <f t="shared" si="132"/>
        <v>17.200000000000003</v>
      </c>
      <c r="NQ17" s="69">
        <f t="shared" si="133"/>
        <v>8.9499999999999993</v>
      </c>
      <c r="NR17" s="69">
        <f t="shared" si="134"/>
        <v>3.3</v>
      </c>
      <c r="NS17" s="69">
        <f t="shared" si="135"/>
        <v>16.142500000000002</v>
      </c>
      <c r="NT17" s="69">
        <f t="shared" si="136"/>
        <v>0</v>
      </c>
      <c r="NU17" s="69">
        <f t="shared" si="137"/>
        <v>13.85</v>
      </c>
      <c r="NV17" s="69">
        <f t="shared" si="138"/>
        <v>8.5250000000000004</v>
      </c>
      <c r="NW17" s="69">
        <f t="shared" si="139"/>
        <v>12.7</v>
      </c>
      <c r="NX17" s="69">
        <f t="shared" si="140"/>
        <v>15.012499999999999</v>
      </c>
      <c r="NY17" s="69">
        <f t="shared" si="141"/>
        <v>0</v>
      </c>
      <c r="NZ17" s="69">
        <f t="shared" si="142"/>
        <v>8.1</v>
      </c>
      <c r="OA17" s="69">
        <f t="shared" si="143"/>
        <v>4.625</v>
      </c>
      <c r="OB17" s="69">
        <f t="shared" si="144"/>
        <v>7.6</v>
      </c>
      <c r="OC17" s="69">
        <f t="shared" si="145"/>
        <v>8.9450000000000003</v>
      </c>
      <c r="OD17" s="69">
        <f t="shared" si="146"/>
        <v>0</v>
      </c>
      <c r="OE17" s="69">
        <f t="shared" si="147"/>
        <v>10.199999999999999</v>
      </c>
      <c r="OF17" s="69">
        <f t="shared" si="148"/>
        <v>5.875</v>
      </c>
      <c r="OG17" s="69">
        <f t="shared" si="149"/>
        <v>9.0500000000000007</v>
      </c>
      <c r="OH17" s="69">
        <f t="shared" si="150"/>
        <v>10.370000000000001</v>
      </c>
      <c r="OI17" s="69">
        <f t="shared" si="151"/>
        <v>0</v>
      </c>
      <c r="OJ17" s="80" t="s">
        <v>88</v>
      </c>
      <c r="OK17" s="11">
        <f t="shared" si="152"/>
        <v>45.592500000000001</v>
      </c>
      <c r="OL17" s="11">
        <f t="shared" si="153"/>
        <v>12.7</v>
      </c>
      <c r="OM17" s="11">
        <f t="shared" si="154"/>
        <v>50.087500000000006</v>
      </c>
      <c r="ON17" s="11">
        <f t="shared" si="155"/>
        <v>7.6</v>
      </c>
      <c r="OO17" s="11">
        <f t="shared" si="156"/>
        <v>29.27</v>
      </c>
      <c r="OP17" s="11">
        <f t="shared" si="157"/>
        <v>95.68</v>
      </c>
      <c r="OQ17" s="11">
        <f t="shared" si="158"/>
        <v>9.0500000000000007</v>
      </c>
      <c r="OR17" s="11">
        <f t="shared" si="159"/>
        <v>35.495000000000005</v>
      </c>
      <c r="OS17" s="11">
        <f t="shared" si="160"/>
        <v>131.17500000000001</v>
      </c>
    </row>
    <row r="18" spans="1:409" x14ac:dyDescent="0.2">
      <c r="A18" s="5" t="str" cm="1">
        <f t="array" ref="A18">IF(AND(G18&lt;&gt;"",H18&lt;&gt;""),SUMPRODUCT((G$4:G$27&lt;&gt;"")*(H$4:H$27&lt;&gt;"")*(E$4:E$27&gt;E18))+1,IF(H18&lt;&gt;"",SUMPRODUCT((I$4:I$27="No DD")*(E$4:E$27&gt;E18))+1+SUMPRODUCT((G$4:G$27&lt;&gt;"")*(H$4:H$27&lt;&gt;"")),""))</f>
        <v/>
      </c>
      <c r="B18" s="6" t="s">
        <v>159</v>
      </c>
      <c r="C18" s="7" t="s">
        <v>3</v>
      </c>
      <c r="D18" s="27">
        <v>2003</v>
      </c>
      <c r="E18" s="15">
        <f t="shared" si="0"/>
        <v>250.05500000000001</v>
      </c>
      <c r="F18" s="3" t="str">
        <f t="shared" si="1"/>
        <v/>
      </c>
      <c r="G18" s="125" t="str">
        <f t="shared" si="2"/>
        <v/>
      </c>
      <c r="H18" s="125" t="str">
        <f t="shared" si="3"/>
        <v/>
      </c>
      <c r="I18" s="126" t="str">
        <f t="shared" si="4"/>
        <v/>
      </c>
      <c r="J18" s="3" t="str">
        <f t="shared" si="5"/>
        <v/>
      </c>
      <c r="K18" s="14">
        <f t="shared" si="6"/>
        <v>99.490000000000009</v>
      </c>
      <c r="L18" s="14" t="str">
        <f t="shared" si="7"/>
        <v>2021 1st Virtual Technical Trial</v>
      </c>
      <c r="M18" s="14">
        <f t="shared" si="8"/>
        <v>46.39</v>
      </c>
      <c r="N18" s="14" t="str">
        <f t="shared" si="9"/>
        <v>2019 Nationals</v>
      </c>
      <c r="O18" s="14">
        <f t="shared" si="10"/>
        <v>51.35</v>
      </c>
      <c r="P18" s="14" t="str">
        <f t="shared" si="11"/>
        <v>2019 Nationals</v>
      </c>
      <c r="Q18" s="14">
        <f t="shared" si="12"/>
        <v>52.825000000000003</v>
      </c>
      <c r="R18" s="14" t="str">
        <f t="shared" si="13"/>
        <v>2019 Nationals</v>
      </c>
      <c r="S18" s="14" t="str">
        <f t="shared" si="14"/>
        <v/>
      </c>
      <c r="T18" s="25" t="str">
        <f t="shared" si="15"/>
        <v/>
      </c>
      <c r="U18" s="14" t="str">
        <f t="shared" si="16"/>
        <v/>
      </c>
      <c r="V18" s="69">
        <v>17.100000000000001</v>
      </c>
      <c r="W18" s="69">
        <v>9.5</v>
      </c>
      <c r="X18" s="69">
        <v>3.9</v>
      </c>
      <c r="Y18" s="69">
        <v>15.89</v>
      </c>
      <c r="Z18" s="69">
        <v>0</v>
      </c>
      <c r="AA18" s="69">
        <v>13.7</v>
      </c>
      <c r="AB18" s="69">
        <v>9.3000000000000007</v>
      </c>
      <c r="AC18" s="69">
        <v>13.5</v>
      </c>
      <c r="AD18" s="69">
        <v>14.85</v>
      </c>
      <c r="AE18" s="69">
        <v>0</v>
      </c>
      <c r="AF18" s="69"/>
      <c r="AG18" s="69"/>
      <c r="AH18" s="69"/>
      <c r="AI18" s="69"/>
      <c r="AJ18" s="69"/>
      <c r="AK18" s="69">
        <v>14.36</v>
      </c>
      <c r="AL18" s="69">
        <v>9.5</v>
      </c>
      <c r="AM18" s="69">
        <v>13.7</v>
      </c>
      <c r="AN18" s="69">
        <v>15.265000000000001</v>
      </c>
      <c r="AO18" s="69">
        <v>0</v>
      </c>
      <c r="AP18" s="80"/>
      <c r="AQ18" s="11">
        <f t="shared" si="17"/>
        <v>46.39</v>
      </c>
      <c r="AR18" s="11">
        <f t="shared" si="18"/>
        <v>13.5</v>
      </c>
      <c r="AS18" s="11">
        <f t="shared" si="19"/>
        <v>51.35</v>
      </c>
      <c r="AT18" s="11" t="str">
        <f t="shared" si="20"/>
        <v/>
      </c>
      <c r="AU18" s="11" t="str">
        <f t="shared" si="21"/>
        <v/>
      </c>
      <c r="AV18" s="11">
        <f t="shared" si="22"/>
        <v>97.740000000000009</v>
      </c>
      <c r="AW18" s="11">
        <f t="shared" si="23"/>
        <v>13.7</v>
      </c>
      <c r="AX18" s="11">
        <f t="shared" si="24"/>
        <v>52.825000000000003</v>
      </c>
      <c r="AY18" s="11">
        <f t="shared" si="25"/>
        <v>150.565</v>
      </c>
      <c r="AZ18" s="75">
        <v>16.600000000000001</v>
      </c>
      <c r="BA18" s="75">
        <v>9.1999999999999993</v>
      </c>
      <c r="BB18" s="75">
        <v>5.6</v>
      </c>
      <c r="BC18" s="75">
        <v>15.48</v>
      </c>
      <c r="BD18" s="75">
        <v>0</v>
      </c>
      <c r="BE18" s="75">
        <v>14.8</v>
      </c>
      <c r="BF18" s="75">
        <v>9.15</v>
      </c>
      <c r="BG18" s="75">
        <v>13.7</v>
      </c>
      <c r="BH18" s="75">
        <v>14.96</v>
      </c>
      <c r="BI18" s="75">
        <v>0</v>
      </c>
      <c r="BJ18" s="75">
        <v>0</v>
      </c>
      <c r="BK18" s="75">
        <v>0</v>
      </c>
      <c r="BL18" s="75">
        <v>0</v>
      </c>
      <c r="BM18" s="75">
        <v>0</v>
      </c>
      <c r="BN18" s="75">
        <v>0</v>
      </c>
      <c r="BO18" s="75">
        <v>0</v>
      </c>
      <c r="BP18" s="75">
        <v>0</v>
      </c>
      <c r="BQ18" s="75">
        <v>0</v>
      </c>
      <c r="BR18" s="75">
        <v>0</v>
      </c>
      <c r="BS18" s="75">
        <v>0</v>
      </c>
      <c r="BT18" s="81"/>
      <c r="BU18" s="14">
        <f t="shared" si="26"/>
        <v>46.879999999999995</v>
      </c>
      <c r="BV18" s="14">
        <f t="shared" si="27"/>
        <v>13.7</v>
      </c>
      <c r="BW18" s="14">
        <f t="shared" si="28"/>
        <v>52.610000000000007</v>
      </c>
      <c r="BX18" s="14" t="str">
        <f t="shared" si="29"/>
        <v/>
      </c>
      <c r="BY18" s="14" t="str">
        <f t="shared" si="30"/>
        <v/>
      </c>
      <c r="BZ18" s="14">
        <f t="shared" si="31"/>
        <v>99.490000000000009</v>
      </c>
      <c r="CA18" s="14" t="str">
        <f t="shared" si="32"/>
        <v/>
      </c>
      <c r="CB18" s="14" t="str">
        <f t="shared" si="33"/>
        <v/>
      </c>
      <c r="CC18" s="14">
        <f t="shared" si="34"/>
        <v>99.490000000000009</v>
      </c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80"/>
      <c r="CY18" s="11" t="str">
        <f t="shared" si="35"/>
        <v/>
      </c>
      <c r="CZ18" s="11" t="str">
        <f t="shared" si="36"/>
        <v/>
      </c>
      <c r="DA18" s="11" t="str">
        <f t="shared" si="37"/>
        <v/>
      </c>
      <c r="DB18" s="11" t="str">
        <f t="shared" si="38"/>
        <v/>
      </c>
      <c r="DC18" s="11" t="str">
        <f t="shared" si="39"/>
        <v/>
      </c>
      <c r="DD18" s="11" t="str">
        <f t="shared" si="40"/>
        <v/>
      </c>
      <c r="DE18" s="11" t="str">
        <f t="shared" si="41"/>
        <v/>
      </c>
      <c r="DF18" s="11" t="str">
        <f t="shared" si="42"/>
        <v/>
      </c>
      <c r="DG18" s="11" t="str">
        <f t="shared" si="43"/>
        <v/>
      </c>
      <c r="DH18" s="24" t="str">
        <f t="shared" si="44"/>
        <v/>
      </c>
      <c r="DI18" s="24" t="str">
        <f t="shared" si="45"/>
        <v/>
      </c>
      <c r="DJ18" s="24" t="str">
        <f t="shared" si="46"/>
        <v/>
      </c>
      <c r="DK18" s="24" t="str">
        <f t="shared" si="47"/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 t="shared" si="48"/>
        <v/>
      </c>
      <c r="EB18" s="11" t="str">
        <f t="shared" si="49"/>
        <v/>
      </c>
      <c r="EC18" s="11" t="str">
        <f t="shared" si="50"/>
        <v/>
      </c>
      <c r="ED18" s="11" t="str">
        <f t="shared" si="51"/>
        <v/>
      </c>
      <c r="EE18" s="11" t="str">
        <f t="shared" si="52"/>
        <v/>
      </c>
      <c r="EF18" s="11" t="str">
        <f t="shared" si="53"/>
        <v/>
      </c>
      <c r="EG18" s="11" t="str">
        <f t="shared" si="54"/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 t="shared" si="55"/>
        <v/>
      </c>
      <c r="EX18" s="14" t="str">
        <f t="shared" si="56"/>
        <v/>
      </c>
      <c r="EY18" s="14" t="str">
        <f t="shared" si="57"/>
        <v/>
      </c>
      <c r="EZ18" s="14" t="str">
        <f t="shared" si="58"/>
        <v/>
      </c>
      <c r="FA18" s="14" t="str">
        <f t="shared" si="59"/>
        <v/>
      </c>
      <c r="FB18" s="14" t="str">
        <f t="shared" si="60"/>
        <v/>
      </c>
      <c r="FC18" s="14" t="str">
        <f t="shared" si="61"/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 t="shared" si="62"/>
        <v/>
      </c>
      <c r="FT18" s="11" t="str">
        <f t="shared" si="63"/>
        <v/>
      </c>
      <c r="FU18" s="11" t="str">
        <f t="shared" si="64"/>
        <v/>
      </c>
      <c r="FV18" s="11" t="str">
        <f t="shared" si="65"/>
        <v/>
      </c>
      <c r="FW18" s="11" t="str">
        <f t="shared" si="66"/>
        <v/>
      </c>
      <c r="FX18" s="11" t="str">
        <f t="shared" si="67"/>
        <v/>
      </c>
      <c r="FY18" s="11" t="str">
        <f t="shared" si="68"/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 t="shared" si="69"/>
        <v/>
      </c>
      <c r="GP18" s="14" t="str">
        <f t="shared" si="70"/>
        <v/>
      </c>
      <c r="GQ18" s="14" t="str">
        <f t="shared" si="71"/>
        <v/>
      </c>
      <c r="GR18" s="14" t="str">
        <f t="shared" si="72"/>
        <v/>
      </c>
      <c r="GS18" s="14" t="str">
        <f t="shared" si="73"/>
        <v/>
      </c>
      <c r="GT18" s="14" t="str">
        <f t="shared" si="74"/>
        <v/>
      </c>
      <c r="GU18" s="14" t="str">
        <f t="shared" si="75"/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 t="shared" si="76"/>
        <v/>
      </c>
      <c r="HL18" s="11" t="str">
        <f t="shared" si="77"/>
        <v/>
      </c>
      <c r="HM18" s="11" t="str">
        <f t="shared" si="78"/>
        <v/>
      </c>
      <c r="HN18" s="11" t="str">
        <f t="shared" si="79"/>
        <v/>
      </c>
      <c r="HO18" s="11" t="str">
        <f t="shared" si="80"/>
        <v/>
      </c>
      <c r="HP18" s="11" t="str">
        <f t="shared" si="81"/>
        <v/>
      </c>
      <c r="HQ18" s="11" t="str">
        <f t="shared" si="82"/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 t="shared" si="83"/>
        <v/>
      </c>
      <c r="IH18" s="14" t="str">
        <f t="shared" si="84"/>
        <v/>
      </c>
      <c r="II18" s="14" t="str">
        <f t="shared" si="85"/>
        <v/>
      </c>
      <c r="IJ18" s="14" t="str">
        <f t="shared" si="86"/>
        <v/>
      </c>
      <c r="IK18" s="14" t="str">
        <f t="shared" si="87"/>
        <v/>
      </c>
      <c r="IL18" s="14" t="str">
        <f t="shared" si="88"/>
        <v/>
      </c>
      <c r="IM18" s="14" t="str">
        <f t="shared" si="89"/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 t="shared" si="90"/>
        <v/>
      </c>
      <c r="JD18" s="11" t="str">
        <f t="shared" si="91"/>
        <v/>
      </c>
      <c r="JE18" s="11" t="str">
        <f t="shared" si="92"/>
        <v/>
      </c>
      <c r="JF18" s="11" t="str">
        <f t="shared" si="93"/>
        <v/>
      </c>
      <c r="JG18" s="11" t="str">
        <f t="shared" si="94"/>
        <v/>
      </c>
      <c r="JH18" s="11" t="str">
        <f t="shared" si="95"/>
        <v/>
      </c>
      <c r="JI18" s="11" t="str">
        <f t="shared" si="96"/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 t="shared" si="97"/>
        <v/>
      </c>
      <c r="JZ18" s="14" t="str">
        <f t="shared" si="98"/>
        <v/>
      </c>
      <c r="KA18" s="14" t="str">
        <f t="shared" si="99"/>
        <v/>
      </c>
      <c r="KB18" s="14" t="str">
        <f t="shared" si="100"/>
        <v/>
      </c>
      <c r="KC18" s="14" t="str">
        <f t="shared" si="101"/>
        <v/>
      </c>
      <c r="KD18" s="14" t="str">
        <f t="shared" si="102"/>
        <v/>
      </c>
      <c r="KE18" s="14" t="str">
        <f t="shared" si="103"/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 t="shared" si="104"/>
        <v/>
      </c>
      <c r="KV18" s="11" t="str">
        <f t="shared" si="105"/>
        <v/>
      </c>
      <c r="KW18" s="11" t="str">
        <f t="shared" si="106"/>
        <v/>
      </c>
      <c r="KX18" s="11" t="str">
        <f t="shared" si="107"/>
        <v/>
      </c>
      <c r="KY18" s="11" t="str">
        <f t="shared" si="108"/>
        <v/>
      </c>
      <c r="KZ18" s="11" t="str">
        <f t="shared" si="109"/>
        <v/>
      </c>
      <c r="LA18" s="11" t="str">
        <f t="shared" si="110"/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 t="shared" si="111"/>
        <v/>
      </c>
      <c r="LR18" s="14" t="str">
        <f t="shared" si="112"/>
        <v/>
      </c>
      <c r="LS18" s="14" t="str">
        <f t="shared" si="113"/>
        <v/>
      </c>
      <c r="LT18" s="14" t="str">
        <f t="shared" si="114"/>
        <v/>
      </c>
      <c r="LU18" s="14" t="str">
        <f t="shared" si="115"/>
        <v/>
      </c>
      <c r="LV18" s="14" t="str">
        <f t="shared" si="116"/>
        <v/>
      </c>
      <c r="LW18" s="14" t="str">
        <f t="shared" si="117"/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 t="shared" si="118"/>
        <v/>
      </c>
      <c r="MN18" s="11" t="str">
        <f t="shared" si="119"/>
        <v/>
      </c>
      <c r="MO18" s="11" t="str">
        <f t="shared" si="120"/>
        <v/>
      </c>
      <c r="MP18" s="11" t="str">
        <f t="shared" si="121"/>
        <v/>
      </c>
      <c r="MQ18" s="11" t="str">
        <f t="shared" si="122"/>
        <v/>
      </c>
      <c r="MR18" s="11" t="str">
        <f t="shared" si="123"/>
        <v/>
      </c>
      <c r="MS18" s="11" t="str">
        <f t="shared" si="124"/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 t="shared" si="125"/>
        <v/>
      </c>
      <c r="NJ18" s="14" t="str">
        <f t="shared" si="126"/>
        <v/>
      </c>
      <c r="NK18" s="14" t="str">
        <f t="shared" si="127"/>
        <v/>
      </c>
      <c r="NL18" s="14" t="str">
        <f t="shared" si="128"/>
        <v/>
      </c>
      <c r="NM18" s="14" t="str">
        <f t="shared" si="129"/>
        <v/>
      </c>
      <c r="NN18" s="14" t="str">
        <f t="shared" si="130"/>
        <v/>
      </c>
      <c r="NO18" s="14" t="str">
        <f t="shared" si="131"/>
        <v/>
      </c>
      <c r="NP18" s="69">
        <f t="shared" si="132"/>
        <v>8.3000000000000007</v>
      </c>
      <c r="NQ18" s="69">
        <f t="shared" si="133"/>
        <v>4.5999999999999996</v>
      </c>
      <c r="NR18" s="69">
        <f t="shared" si="134"/>
        <v>2.8</v>
      </c>
      <c r="NS18" s="69">
        <f t="shared" si="135"/>
        <v>7.74</v>
      </c>
      <c r="NT18" s="69">
        <f t="shared" si="136"/>
        <v>0</v>
      </c>
      <c r="NU18" s="69">
        <f t="shared" si="137"/>
        <v>7.4</v>
      </c>
      <c r="NV18" s="69">
        <f t="shared" si="138"/>
        <v>4.5750000000000002</v>
      </c>
      <c r="NW18" s="69">
        <f t="shared" si="139"/>
        <v>6.85</v>
      </c>
      <c r="NX18" s="69">
        <f t="shared" si="140"/>
        <v>7.48</v>
      </c>
      <c r="NY18" s="69">
        <f t="shared" si="141"/>
        <v>0</v>
      </c>
      <c r="NZ18" s="69">
        <f t="shared" si="142"/>
        <v>0</v>
      </c>
      <c r="OA18" s="69">
        <f t="shared" si="143"/>
        <v>0</v>
      </c>
      <c r="OB18" s="69">
        <f t="shared" si="144"/>
        <v>0</v>
      </c>
      <c r="OC18" s="69">
        <f t="shared" si="145"/>
        <v>0</v>
      </c>
      <c r="OD18" s="69">
        <f t="shared" si="146"/>
        <v>0</v>
      </c>
      <c r="OE18" s="69">
        <f t="shared" si="147"/>
        <v>0</v>
      </c>
      <c r="OF18" s="69">
        <f t="shared" si="148"/>
        <v>0</v>
      </c>
      <c r="OG18" s="69">
        <f t="shared" si="149"/>
        <v>0</v>
      </c>
      <c r="OH18" s="69">
        <f t="shared" si="150"/>
        <v>0</v>
      </c>
      <c r="OI18" s="69">
        <f t="shared" si="151"/>
        <v>0</v>
      </c>
      <c r="OJ18" s="80" t="s">
        <v>88</v>
      </c>
      <c r="OK18" s="11">
        <f t="shared" si="152"/>
        <v>23.439999999999998</v>
      </c>
      <c r="OL18" s="11">
        <f t="shared" si="153"/>
        <v>6.85</v>
      </c>
      <c r="OM18" s="11">
        <f t="shared" si="154"/>
        <v>26.305000000000003</v>
      </c>
      <c r="ON18" s="11" t="str">
        <f t="shared" si="155"/>
        <v/>
      </c>
      <c r="OO18" s="11" t="str">
        <f t="shared" si="156"/>
        <v/>
      </c>
      <c r="OP18" s="11">
        <f t="shared" si="157"/>
        <v>49.745000000000005</v>
      </c>
      <c r="OQ18" s="11" t="str">
        <f t="shared" si="158"/>
        <v/>
      </c>
      <c r="OR18" s="11" t="str">
        <f t="shared" si="159"/>
        <v/>
      </c>
      <c r="OS18" s="11">
        <f t="shared" si="160"/>
        <v>49.745000000000005</v>
      </c>
    </row>
    <row r="19" spans="1:409" x14ac:dyDescent="0.2">
      <c r="A19" s="5" t="str" cm="1">
        <f t="array" ref="A19">IF(AND(G19&lt;&gt;"",H19&lt;&gt;""),SUMPRODUCT((G$4:G$27&lt;&gt;"")*(H$4:H$27&lt;&gt;"")*(E$4:E$27&gt;E19))+1,IF(H19&lt;&gt;"",SUMPRODUCT((I$4:I$27="No DD")*(E$4:E$27&gt;E19))+1+SUMPRODUCT((G$4:G$27&lt;&gt;"")*(H$4:H$27&lt;&gt;"")),""))</f>
        <v/>
      </c>
      <c r="B19" s="6" t="s">
        <v>114</v>
      </c>
      <c r="C19" s="7" t="s">
        <v>10</v>
      </c>
      <c r="D19" s="27">
        <v>2000</v>
      </c>
      <c r="E19" s="15">
        <f t="shared" si="0"/>
        <v>248.68000000000004</v>
      </c>
      <c r="F19" s="3" t="str">
        <f t="shared" si="1"/>
        <v/>
      </c>
      <c r="G19" s="125" t="str">
        <f t="shared" si="2"/>
        <v/>
      </c>
      <c r="H19" s="125" t="str">
        <f t="shared" si="3"/>
        <v/>
      </c>
      <c r="I19" s="126" t="str">
        <f t="shared" si="4"/>
        <v/>
      </c>
      <c r="J19" s="3" t="str">
        <f t="shared" si="5"/>
        <v/>
      </c>
      <c r="K19" s="14">
        <f t="shared" si="6"/>
        <v>100.81</v>
      </c>
      <c r="L19" s="14" t="str">
        <f t="shared" si="7"/>
        <v>2021 1st Virtual Technical Trial</v>
      </c>
      <c r="M19" s="14">
        <f t="shared" si="8"/>
        <v>45.234999999999999</v>
      </c>
      <c r="N19" s="14" t="str">
        <f t="shared" si="9"/>
        <v>2019 Nationals</v>
      </c>
      <c r="O19" s="14">
        <f t="shared" si="10"/>
        <v>52.080000000000005</v>
      </c>
      <c r="P19" s="14" t="str">
        <f t="shared" si="11"/>
        <v>2021 1st Virtual Technical Trial</v>
      </c>
      <c r="Q19" s="14">
        <f t="shared" si="12"/>
        <v>50.555000000000007</v>
      </c>
      <c r="R19" s="14" t="str">
        <f t="shared" si="13"/>
        <v>2021 1st Virtual Technical Trial</v>
      </c>
      <c r="S19" s="14" t="str">
        <f t="shared" si="14"/>
        <v/>
      </c>
      <c r="T19" s="25" t="str">
        <f t="shared" si="15"/>
        <v/>
      </c>
      <c r="U19" s="14" t="str">
        <f t="shared" si="16"/>
        <v/>
      </c>
      <c r="V19" s="69">
        <v>15.335000000000001</v>
      </c>
      <c r="W19" s="69">
        <v>17.399999999999999</v>
      </c>
      <c r="X19" s="69">
        <v>9.3000000000000007</v>
      </c>
      <c r="Y19" s="69">
        <v>3.2</v>
      </c>
      <c r="Z19" s="69">
        <v>0</v>
      </c>
      <c r="AA19" s="69">
        <v>10.7</v>
      </c>
      <c r="AB19" s="69">
        <v>6.2</v>
      </c>
      <c r="AC19" s="69">
        <v>8.3000000000000007</v>
      </c>
      <c r="AD19" s="69">
        <v>10.215</v>
      </c>
      <c r="AE19" s="69">
        <v>0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80"/>
      <c r="AQ19" s="11">
        <f t="shared" si="17"/>
        <v>45.234999999999999</v>
      </c>
      <c r="AR19" s="11">
        <f t="shared" si="18"/>
        <v>8.3000000000000007</v>
      </c>
      <c r="AS19" s="11">
        <f t="shared" si="19"/>
        <v>35.414999999999999</v>
      </c>
      <c r="AT19" s="11" t="str">
        <f t="shared" si="20"/>
        <v/>
      </c>
      <c r="AU19" s="11" t="str">
        <f t="shared" si="21"/>
        <v/>
      </c>
      <c r="AV19" s="11">
        <f t="shared" si="22"/>
        <v>80.650000000000006</v>
      </c>
      <c r="AW19" s="11" t="str">
        <f t="shared" si="23"/>
        <v/>
      </c>
      <c r="AX19" s="11" t="str">
        <f t="shared" si="24"/>
        <v/>
      </c>
      <c r="AY19" s="11">
        <f t="shared" si="25"/>
        <v>80.650000000000006</v>
      </c>
      <c r="AZ19" s="75">
        <v>17.899999999999999</v>
      </c>
      <c r="BA19" s="75">
        <v>9.3000000000000007</v>
      </c>
      <c r="BB19" s="75">
        <v>3.4</v>
      </c>
      <c r="BC19" s="75">
        <v>15.78</v>
      </c>
      <c r="BD19" s="75">
        <v>0</v>
      </c>
      <c r="BE19" s="75">
        <v>14.4</v>
      </c>
      <c r="BF19" s="75">
        <v>9.3000000000000007</v>
      </c>
      <c r="BG19" s="75">
        <v>13.5</v>
      </c>
      <c r="BH19" s="75">
        <v>14.88</v>
      </c>
      <c r="BI19" s="75">
        <v>0</v>
      </c>
      <c r="BJ19" s="75">
        <v>16.2</v>
      </c>
      <c r="BK19" s="75">
        <v>9.5</v>
      </c>
      <c r="BL19" s="75">
        <v>13.5</v>
      </c>
      <c r="BM19" s="75">
        <v>15.23</v>
      </c>
      <c r="BN19" s="75">
        <v>0</v>
      </c>
      <c r="BO19" s="75">
        <v>14.3</v>
      </c>
      <c r="BP19" s="75">
        <v>8.8000000000000007</v>
      </c>
      <c r="BQ19" s="75">
        <v>13.3</v>
      </c>
      <c r="BR19" s="75">
        <v>14.555</v>
      </c>
      <c r="BS19" s="75">
        <v>0.4</v>
      </c>
      <c r="BT19" s="81"/>
      <c r="BU19" s="14">
        <f t="shared" si="26"/>
        <v>46.379999999999995</v>
      </c>
      <c r="BV19" s="14">
        <f t="shared" si="27"/>
        <v>13.5</v>
      </c>
      <c r="BW19" s="14">
        <f t="shared" si="28"/>
        <v>52.080000000000005</v>
      </c>
      <c r="BX19" s="14">
        <f t="shared" si="29"/>
        <v>13.5</v>
      </c>
      <c r="BY19" s="14">
        <f t="shared" si="30"/>
        <v>54.430000000000007</v>
      </c>
      <c r="BZ19" s="14">
        <f t="shared" si="31"/>
        <v>100.81</v>
      </c>
      <c r="CA19" s="14">
        <f t="shared" si="32"/>
        <v>13.3</v>
      </c>
      <c r="CB19" s="14">
        <f t="shared" si="33"/>
        <v>50.555000000000007</v>
      </c>
      <c r="CC19" s="14">
        <f t="shared" si="34"/>
        <v>151.36500000000001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 t="shared" si="35"/>
        <v/>
      </c>
      <c r="CZ19" s="11" t="str">
        <f t="shared" si="36"/>
        <v/>
      </c>
      <c r="DA19" s="11" t="str">
        <f t="shared" si="37"/>
        <v/>
      </c>
      <c r="DB19" s="11" t="str">
        <f t="shared" si="38"/>
        <v/>
      </c>
      <c r="DC19" s="11" t="str">
        <f t="shared" si="39"/>
        <v/>
      </c>
      <c r="DD19" s="11" t="str">
        <f t="shared" si="40"/>
        <v/>
      </c>
      <c r="DE19" s="11" t="str">
        <f t="shared" si="41"/>
        <v/>
      </c>
      <c r="DF19" s="11" t="str">
        <f t="shared" si="42"/>
        <v/>
      </c>
      <c r="DG19" s="11" t="str">
        <f t="shared" si="43"/>
        <v/>
      </c>
      <c r="DH19" s="24" t="str">
        <f t="shared" si="44"/>
        <v/>
      </c>
      <c r="DI19" s="24" t="str">
        <f t="shared" si="45"/>
        <v/>
      </c>
      <c r="DJ19" s="24" t="str">
        <f t="shared" si="46"/>
        <v/>
      </c>
      <c r="DK19" s="24" t="str">
        <f t="shared" si="47"/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 t="shared" si="48"/>
        <v/>
      </c>
      <c r="EB19" s="11" t="str">
        <f t="shared" si="49"/>
        <v/>
      </c>
      <c r="EC19" s="11" t="str">
        <f t="shared" si="50"/>
        <v/>
      </c>
      <c r="ED19" s="11" t="str">
        <f t="shared" si="51"/>
        <v/>
      </c>
      <c r="EE19" s="11" t="str">
        <f t="shared" si="52"/>
        <v/>
      </c>
      <c r="EF19" s="11" t="str">
        <f t="shared" si="53"/>
        <v/>
      </c>
      <c r="EG19" s="11" t="str">
        <f t="shared" si="54"/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 t="shared" si="55"/>
        <v/>
      </c>
      <c r="EX19" s="14" t="str">
        <f t="shared" si="56"/>
        <v/>
      </c>
      <c r="EY19" s="14" t="str">
        <f t="shared" si="57"/>
        <v/>
      </c>
      <c r="EZ19" s="14" t="str">
        <f t="shared" si="58"/>
        <v/>
      </c>
      <c r="FA19" s="14" t="str">
        <f t="shared" si="59"/>
        <v/>
      </c>
      <c r="FB19" s="14" t="str">
        <f t="shared" si="60"/>
        <v/>
      </c>
      <c r="FC19" s="14" t="str">
        <f t="shared" si="61"/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 t="shared" si="62"/>
        <v/>
      </c>
      <c r="FT19" s="11" t="str">
        <f t="shared" si="63"/>
        <v/>
      </c>
      <c r="FU19" s="11" t="str">
        <f t="shared" si="64"/>
        <v/>
      </c>
      <c r="FV19" s="11" t="str">
        <f t="shared" si="65"/>
        <v/>
      </c>
      <c r="FW19" s="11" t="str">
        <f t="shared" si="66"/>
        <v/>
      </c>
      <c r="FX19" s="11" t="str">
        <f t="shared" si="67"/>
        <v/>
      </c>
      <c r="FY19" s="11" t="str">
        <f t="shared" si="68"/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 t="shared" si="69"/>
        <v/>
      </c>
      <c r="GP19" s="14" t="str">
        <f t="shared" si="70"/>
        <v/>
      </c>
      <c r="GQ19" s="14" t="str">
        <f t="shared" si="71"/>
        <v/>
      </c>
      <c r="GR19" s="14" t="str">
        <f t="shared" si="72"/>
        <v/>
      </c>
      <c r="GS19" s="14" t="str">
        <f t="shared" si="73"/>
        <v/>
      </c>
      <c r="GT19" s="14" t="str">
        <f t="shared" si="74"/>
        <v/>
      </c>
      <c r="GU19" s="14" t="str">
        <f t="shared" si="75"/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 t="shared" si="76"/>
        <v/>
      </c>
      <c r="HL19" s="11" t="str">
        <f t="shared" si="77"/>
        <v/>
      </c>
      <c r="HM19" s="11" t="str">
        <f t="shared" si="78"/>
        <v/>
      </c>
      <c r="HN19" s="11" t="str">
        <f t="shared" si="79"/>
        <v/>
      </c>
      <c r="HO19" s="11" t="str">
        <f t="shared" si="80"/>
        <v/>
      </c>
      <c r="HP19" s="11" t="str">
        <f t="shared" si="81"/>
        <v/>
      </c>
      <c r="HQ19" s="11" t="str">
        <f t="shared" si="82"/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 t="shared" si="83"/>
        <v/>
      </c>
      <c r="IH19" s="14" t="str">
        <f t="shared" si="84"/>
        <v/>
      </c>
      <c r="II19" s="14" t="str">
        <f t="shared" si="85"/>
        <v/>
      </c>
      <c r="IJ19" s="14" t="str">
        <f t="shared" si="86"/>
        <v/>
      </c>
      <c r="IK19" s="14" t="str">
        <f t="shared" si="87"/>
        <v/>
      </c>
      <c r="IL19" s="14" t="str">
        <f t="shared" si="88"/>
        <v/>
      </c>
      <c r="IM19" s="14" t="str">
        <f t="shared" si="89"/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 t="shared" si="90"/>
        <v/>
      </c>
      <c r="JD19" s="11" t="str">
        <f t="shared" si="91"/>
        <v/>
      </c>
      <c r="JE19" s="11" t="str">
        <f t="shared" si="92"/>
        <v/>
      </c>
      <c r="JF19" s="11" t="str">
        <f t="shared" si="93"/>
        <v/>
      </c>
      <c r="JG19" s="11" t="str">
        <f t="shared" si="94"/>
        <v/>
      </c>
      <c r="JH19" s="11" t="str">
        <f t="shared" si="95"/>
        <v/>
      </c>
      <c r="JI19" s="11" t="str">
        <f t="shared" si="96"/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 t="shared" si="97"/>
        <v/>
      </c>
      <c r="JZ19" s="14" t="str">
        <f t="shared" si="98"/>
        <v/>
      </c>
      <c r="KA19" s="14" t="str">
        <f t="shared" si="99"/>
        <v/>
      </c>
      <c r="KB19" s="14" t="str">
        <f t="shared" si="100"/>
        <v/>
      </c>
      <c r="KC19" s="14" t="str">
        <f t="shared" si="101"/>
        <v/>
      </c>
      <c r="KD19" s="14" t="str">
        <f t="shared" si="102"/>
        <v/>
      </c>
      <c r="KE19" s="14" t="str">
        <f t="shared" si="103"/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 t="shared" si="104"/>
        <v/>
      </c>
      <c r="KV19" s="11" t="str">
        <f t="shared" si="105"/>
        <v/>
      </c>
      <c r="KW19" s="11" t="str">
        <f t="shared" si="106"/>
        <v/>
      </c>
      <c r="KX19" s="11" t="str">
        <f t="shared" si="107"/>
        <v/>
      </c>
      <c r="KY19" s="11" t="str">
        <f t="shared" si="108"/>
        <v/>
      </c>
      <c r="KZ19" s="11" t="str">
        <f t="shared" si="109"/>
        <v/>
      </c>
      <c r="LA19" s="11" t="str">
        <f t="shared" si="110"/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 t="shared" si="111"/>
        <v/>
      </c>
      <c r="LR19" s="14" t="str">
        <f t="shared" si="112"/>
        <v/>
      </c>
      <c r="LS19" s="14" t="str">
        <f t="shared" si="113"/>
        <v/>
      </c>
      <c r="LT19" s="14" t="str">
        <f t="shared" si="114"/>
        <v/>
      </c>
      <c r="LU19" s="14" t="str">
        <f t="shared" si="115"/>
        <v/>
      </c>
      <c r="LV19" s="14" t="str">
        <f t="shared" si="116"/>
        <v/>
      </c>
      <c r="LW19" s="14" t="str">
        <f t="shared" si="117"/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 t="shared" si="118"/>
        <v/>
      </c>
      <c r="MN19" s="11" t="str">
        <f t="shared" si="119"/>
        <v/>
      </c>
      <c r="MO19" s="11" t="str">
        <f t="shared" si="120"/>
        <v/>
      </c>
      <c r="MP19" s="11" t="str">
        <f t="shared" si="121"/>
        <v/>
      </c>
      <c r="MQ19" s="11" t="str">
        <f t="shared" si="122"/>
        <v/>
      </c>
      <c r="MR19" s="11" t="str">
        <f t="shared" si="123"/>
        <v/>
      </c>
      <c r="MS19" s="11" t="str">
        <f t="shared" si="124"/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 t="shared" si="125"/>
        <v/>
      </c>
      <c r="NJ19" s="14" t="str">
        <f t="shared" si="126"/>
        <v/>
      </c>
      <c r="NK19" s="14" t="str">
        <f t="shared" si="127"/>
        <v/>
      </c>
      <c r="NL19" s="14" t="str">
        <f t="shared" si="128"/>
        <v/>
      </c>
      <c r="NM19" s="14" t="str">
        <f t="shared" si="129"/>
        <v/>
      </c>
      <c r="NN19" s="14" t="str">
        <f t="shared" si="130"/>
        <v/>
      </c>
      <c r="NO19" s="14" t="str">
        <f t="shared" si="131"/>
        <v/>
      </c>
      <c r="NP19" s="69">
        <f t="shared" si="132"/>
        <v>8.9499999999999993</v>
      </c>
      <c r="NQ19" s="69">
        <f t="shared" si="133"/>
        <v>4.6500000000000004</v>
      </c>
      <c r="NR19" s="69">
        <f t="shared" si="134"/>
        <v>1.7</v>
      </c>
      <c r="NS19" s="69">
        <f t="shared" si="135"/>
        <v>7.89</v>
      </c>
      <c r="NT19" s="69">
        <f t="shared" si="136"/>
        <v>0</v>
      </c>
      <c r="NU19" s="69">
        <f t="shared" si="137"/>
        <v>7.2</v>
      </c>
      <c r="NV19" s="69">
        <f t="shared" si="138"/>
        <v>4.6500000000000004</v>
      </c>
      <c r="NW19" s="69">
        <f t="shared" si="139"/>
        <v>6.75</v>
      </c>
      <c r="NX19" s="69">
        <f t="shared" si="140"/>
        <v>7.44</v>
      </c>
      <c r="NY19" s="69">
        <f t="shared" si="141"/>
        <v>0</v>
      </c>
      <c r="NZ19" s="69">
        <f t="shared" si="142"/>
        <v>8.1</v>
      </c>
      <c r="OA19" s="69">
        <f t="shared" si="143"/>
        <v>4.75</v>
      </c>
      <c r="OB19" s="69">
        <f t="shared" si="144"/>
        <v>6.75</v>
      </c>
      <c r="OC19" s="69">
        <f t="shared" si="145"/>
        <v>7.6150000000000002</v>
      </c>
      <c r="OD19" s="69">
        <f t="shared" si="146"/>
        <v>0</v>
      </c>
      <c r="OE19" s="69">
        <f t="shared" si="147"/>
        <v>7.15</v>
      </c>
      <c r="OF19" s="69">
        <f t="shared" si="148"/>
        <v>4.4000000000000004</v>
      </c>
      <c r="OG19" s="69">
        <f t="shared" si="149"/>
        <v>6.65</v>
      </c>
      <c r="OH19" s="69">
        <f t="shared" si="150"/>
        <v>7.2774999999999999</v>
      </c>
      <c r="OI19" s="69">
        <f t="shared" si="151"/>
        <v>0.2</v>
      </c>
      <c r="OJ19" s="80" t="s">
        <v>88</v>
      </c>
      <c r="OK19" s="11">
        <f t="shared" si="152"/>
        <v>23.189999999999998</v>
      </c>
      <c r="OL19" s="11">
        <f t="shared" si="153"/>
        <v>6.75</v>
      </c>
      <c r="OM19" s="11">
        <f t="shared" si="154"/>
        <v>26.040000000000003</v>
      </c>
      <c r="ON19" s="11">
        <f t="shared" si="155"/>
        <v>6.75</v>
      </c>
      <c r="OO19" s="11">
        <f t="shared" si="156"/>
        <v>27.215000000000003</v>
      </c>
      <c r="OP19" s="11">
        <f t="shared" si="157"/>
        <v>50.405000000000001</v>
      </c>
      <c r="OQ19" s="11">
        <f t="shared" si="158"/>
        <v>6.65</v>
      </c>
      <c r="OR19" s="11">
        <f t="shared" si="159"/>
        <v>25.277500000000003</v>
      </c>
      <c r="OS19" s="11">
        <f t="shared" si="160"/>
        <v>75.682500000000005</v>
      </c>
    </row>
    <row r="20" spans="1:409" x14ac:dyDescent="0.2">
      <c r="A20" s="5" t="str" cm="1">
        <f t="array" ref="A20">IF(AND(G20&lt;&gt;"",H20&lt;&gt;""),SUMPRODUCT((G$4:G$27&lt;&gt;"")*(H$4:H$27&lt;&gt;"")*(E$4:E$27&gt;E20))+1,IF(H20&lt;&gt;"",SUMPRODUCT((I$4:I$27="No DD")*(E$4:E$27&gt;E20))+1+SUMPRODUCT((G$4:G$27&lt;&gt;"")*(H$4:H$27&lt;&gt;"")),""))</f>
        <v/>
      </c>
      <c r="B20" s="6" t="s">
        <v>191</v>
      </c>
      <c r="C20" s="7" t="s">
        <v>10</v>
      </c>
      <c r="D20" s="5">
        <v>2004</v>
      </c>
      <c r="E20" s="15">
        <f t="shared" si="0"/>
        <v>188.38</v>
      </c>
      <c r="F20" s="3" t="str">
        <f t="shared" si="1"/>
        <v/>
      </c>
      <c r="G20" s="125" t="str">
        <f t="shared" si="2"/>
        <v/>
      </c>
      <c r="H20" s="125" t="str">
        <f t="shared" si="3"/>
        <v/>
      </c>
      <c r="I20" s="126" t="str">
        <f t="shared" si="4"/>
        <v/>
      </c>
      <c r="J20" s="3" t="str">
        <f t="shared" si="5"/>
        <v/>
      </c>
      <c r="K20" s="14">
        <f t="shared" si="6"/>
        <v>84.52</v>
      </c>
      <c r="L20" s="14" t="str">
        <f t="shared" si="7"/>
        <v>2019 Nationals</v>
      </c>
      <c r="M20" s="14">
        <f t="shared" si="8"/>
        <v>45.739999999999995</v>
      </c>
      <c r="N20" s="14" t="str">
        <f t="shared" si="9"/>
        <v>2021 2nd Virtual Technical Trial</v>
      </c>
      <c r="O20" s="14">
        <f t="shared" si="10"/>
        <v>20.63</v>
      </c>
      <c r="P20" s="14" t="str">
        <f t="shared" si="11"/>
        <v>2021 2nd Virtual Technical Trial</v>
      </c>
      <c r="Q20" s="14">
        <f t="shared" si="12"/>
        <v>37.489999999999995</v>
      </c>
      <c r="R20" s="14" t="str">
        <f t="shared" si="13"/>
        <v>2021 2nd Virtual Technical Trial</v>
      </c>
      <c r="S20" s="14" t="str">
        <f t="shared" si="14"/>
        <v/>
      </c>
      <c r="T20" s="25" t="str">
        <f t="shared" si="15"/>
        <v/>
      </c>
      <c r="U20" s="14" t="str">
        <f t="shared" si="16"/>
        <v/>
      </c>
      <c r="V20" s="69">
        <v>15.8</v>
      </c>
      <c r="W20" s="69">
        <v>9.1</v>
      </c>
      <c r="X20" s="69">
        <v>3.4</v>
      </c>
      <c r="Y20" s="69">
        <v>14.69</v>
      </c>
      <c r="Z20" s="69">
        <v>2</v>
      </c>
      <c r="AA20" s="69">
        <v>13.4</v>
      </c>
      <c r="AB20" s="69">
        <v>8.3000000000000007</v>
      </c>
      <c r="AC20" s="69">
        <v>9.3000000000000007</v>
      </c>
      <c r="AD20" s="69">
        <v>12.53</v>
      </c>
      <c r="AE20" s="69">
        <v>0</v>
      </c>
      <c r="AF20" s="69"/>
      <c r="AG20" s="69"/>
      <c r="AH20" s="69"/>
      <c r="AI20" s="69"/>
      <c r="AJ20" s="69"/>
      <c r="AK20" s="69">
        <v>1.44</v>
      </c>
      <c r="AL20" s="69">
        <v>1</v>
      </c>
      <c r="AM20" s="69">
        <v>1.5</v>
      </c>
      <c r="AN20" s="69">
        <v>1.52</v>
      </c>
      <c r="AO20" s="69">
        <v>0</v>
      </c>
      <c r="AP20" s="80"/>
      <c r="AQ20" s="11">
        <f t="shared" si="17"/>
        <v>40.989999999999995</v>
      </c>
      <c r="AR20" s="11">
        <f t="shared" si="18"/>
        <v>9.3000000000000007</v>
      </c>
      <c r="AS20" s="11">
        <f t="shared" si="19"/>
        <v>43.53</v>
      </c>
      <c r="AT20" s="11" t="str">
        <f t="shared" si="20"/>
        <v/>
      </c>
      <c r="AU20" s="11" t="str">
        <f t="shared" si="21"/>
        <v/>
      </c>
      <c r="AV20" s="11">
        <f t="shared" si="22"/>
        <v>84.52</v>
      </c>
      <c r="AW20" s="11">
        <f t="shared" si="23"/>
        <v>1.5</v>
      </c>
      <c r="AX20" s="11">
        <f t="shared" si="24"/>
        <v>5.46</v>
      </c>
      <c r="AY20" s="11">
        <f t="shared" si="25"/>
        <v>89.97999999999999</v>
      </c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81"/>
      <c r="BU20" s="14" t="str">
        <f t="shared" si="26"/>
        <v/>
      </c>
      <c r="BV20" s="14" t="str">
        <f t="shared" si="27"/>
        <v/>
      </c>
      <c r="BW20" s="14" t="str">
        <f t="shared" si="28"/>
        <v/>
      </c>
      <c r="BX20" s="14" t="str">
        <f t="shared" si="29"/>
        <v/>
      </c>
      <c r="BY20" s="14" t="str">
        <f t="shared" si="30"/>
        <v/>
      </c>
      <c r="BZ20" s="14" t="str">
        <f t="shared" si="31"/>
        <v/>
      </c>
      <c r="CA20" s="14" t="str">
        <f t="shared" si="32"/>
        <v/>
      </c>
      <c r="CB20" s="14" t="str">
        <f t="shared" si="33"/>
        <v/>
      </c>
      <c r="CC20" s="14" t="str">
        <f t="shared" si="34"/>
        <v/>
      </c>
      <c r="CD20" s="69">
        <v>16.899999999999999</v>
      </c>
      <c r="CE20" s="69">
        <v>9.4</v>
      </c>
      <c r="CF20" s="69">
        <v>3.5</v>
      </c>
      <c r="CG20" s="69">
        <v>15.94</v>
      </c>
      <c r="CH20" s="69">
        <v>0</v>
      </c>
      <c r="CI20" s="69">
        <v>1.6</v>
      </c>
      <c r="CJ20" s="69">
        <v>0.9</v>
      </c>
      <c r="CK20" s="69">
        <v>1.7</v>
      </c>
      <c r="CL20" s="69">
        <v>1.615</v>
      </c>
      <c r="CM20" s="69">
        <v>0</v>
      </c>
      <c r="CN20" s="69">
        <v>5.8</v>
      </c>
      <c r="CO20" s="69">
        <v>3.4</v>
      </c>
      <c r="CP20" s="69">
        <v>5.4</v>
      </c>
      <c r="CQ20" s="69">
        <v>6.03</v>
      </c>
      <c r="CR20" s="69">
        <v>0</v>
      </c>
      <c r="CS20" s="69">
        <v>10.9</v>
      </c>
      <c r="CT20" s="69">
        <v>6.5</v>
      </c>
      <c r="CU20" s="69">
        <v>9.4</v>
      </c>
      <c r="CV20" s="69">
        <v>10.69</v>
      </c>
      <c r="CW20" s="69">
        <v>0</v>
      </c>
      <c r="CX20" s="80"/>
      <c r="CY20" s="11">
        <f t="shared" si="35"/>
        <v>45.739999999999995</v>
      </c>
      <c r="CZ20" s="11">
        <f t="shared" si="36"/>
        <v>1.7</v>
      </c>
      <c r="DA20" s="11">
        <f t="shared" si="37"/>
        <v>5.8150000000000004</v>
      </c>
      <c r="DB20" s="11">
        <f t="shared" si="38"/>
        <v>5.4</v>
      </c>
      <c r="DC20" s="11">
        <f t="shared" si="39"/>
        <v>20.63</v>
      </c>
      <c r="DD20" s="11">
        <f t="shared" si="40"/>
        <v>66.36999999999999</v>
      </c>
      <c r="DE20" s="11">
        <f t="shared" si="41"/>
        <v>9.4</v>
      </c>
      <c r="DF20" s="11">
        <f t="shared" si="42"/>
        <v>37.489999999999995</v>
      </c>
      <c r="DG20" s="11">
        <f t="shared" si="43"/>
        <v>103.85999999999999</v>
      </c>
      <c r="DH20" s="24" t="str">
        <f t="shared" si="44"/>
        <v/>
      </c>
      <c r="DI20" s="24" t="str">
        <f t="shared" si="45"/>
        <v/>
      </c>
      <c r="DJ20" s="24" t="str">
        <f t="shared" si="46"/>
        <v/>
      </c>
      <c r="DK20" s="24" t="str">
        <f t="shared" si="47"/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 t="shared" si="48"/>
        <v/>
      </c>
      <c r="EB20" s="11" t="str">
        <f t="shared" si="49"/>
        <v/>
      </c>
      <c r="EC20" s="11" t="str">
        <f t="shared" si="50"/>
        <v/>
      </c>
      <c r="ED20" s="11" t="str">
        <f t="shared" si="51"/>
        <v/>
      </c>
      <c r="EE20" s="11" t="str">
        <f t="shared" si="52"/>
        <v/>
      </c>
      <c r="EF20" s="11" t="str">
        <f t="shared" si="53"/>
        <v/>
      </c>
      <c r="EG20" s="11" t="str">
        <f t="shared" si="54"/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 t="shared" si="55"/>
        <v/>
      </c>
      <c r="EX20" s="14" t="str">
        <f t="shared" si="56"/>
        <v/>
      </c>
      <c r="EY20" s="14" t="str">
        <f t="shared" si="57"/>
        <v/>
      </c>
      <c r="EZ20" s="14" t="str">
        <f t="shared" si="58"/>
        <v/>
      </c>
      <c r="FA20" s="14" t="str">
        <f t="shared" si="59"/>
        <v/>
      </c>
      <c r="FB20" s="14" t="str">
        <f t="shared" si="60"/>
        <v/>
      </c>
      <c r="FC20" s="14" t="str">
        <f t="shared" si="61"/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 t="shared" si="62"/>
        <v/>
      </c>
      <c r="FT20" s="11" t="str">
        <f t="shared" si="63"/>
        <v/>
      </c>
      <c r="FU20" s="11" t="str">
        <f t="shared" si="64"/>
        <v/>
      </c>
      <c r="FV20" s="11" t="str">
        <f t="shared" si="65"/>
        <v/>
      </c>
      <c r="FW20" s="11" t="str">
        <f t="shared" si="66"/>
        <v/>
      </c>
      <c r="FX20" s="11" t="str">
        <f t="shared" si="67"/>
        <v/>
      </c>
      <c r="FY20" s="11" t="str">
        <f t="shared" si="68"/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 t="shared" si="69"/>
        <v/>
      </c>
      <c r="GP20" s="14" t="str">
        <f t="shared" si="70"/>
        <v/>
      </c>
      <c r="GQ20" s="14" t="str">
        <f t="shared" si="71"/>
        <v/>
      </c>
      <c r="GR20" s="14" t="str">
        <f t="shared" si="72"/>
        <v/>
      </c>
      <c r="GS20" s="14" t="str">
        <f t="shared" si="73"/>
        <v/>
      </c>
      <c r="GT20" s="14" t="str">
        <f t="shared" si="74"/>
        <v/>
      </c>
      <c r="GU20" s="14" t="str">
        <f t="shared" si="75"/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 t="shared" si="76"/>
        <v/>
      </c>
      <c r="HL20" s="11" t="str">
        <f t="shared" si="77"/>
        <v/>
      </c>
      <c r="HM20" s="11" t="str">
        <f t="shared" si="78"/>
        <v/>
      </c>
      <c r="HN20" s="11" t="str">
        <f t="shared" si="79"/>
        <v/>
      </c>
      <c r="HO20" s="11" t="str">
        <f t="shared" si="80"/>
        <v/>
      </c>
      <c r="HP20" s="11" t="str">
        <f t="shared" si="81"/>
        <v/>
      </c>
      <c r="HQ20" s="11" t="str">
        <f t="shared" si="82"/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 t="shared" si="83"/>
        <v/>
      </c>
      <c r="IH20" s="14" t="str">
        <f t="shared" si="84"/>
        <v/>
      </c>
      <c r="II20" s="14" t="str">
        <f t="shared" si="85"/>
        <v/>
      </c>
      <c r="IJ20" s="14" t="str">
        <f t="shared" si="86"/>
        <v/>
      </c>
      <c r="IK20" s="14" t="str">
        <f t="shared" si="87"/>
        <v/>
      </c>
      <c r="IL20" s="14" t="str">
        <f t="shared" si="88"/>
        <v/>
      </c>
      <c r="IM20" s="14" t="str">
        <f t="shared" si="89"/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 t="shared" si="90"/>
        <v/>
      </c>
      <c r="JD20" s="11" t="str">
        <f t="shared" si="91"/>
        <v/>
      </c>
      <c r="JE20" s="11" t="str">
        <f t="shared" si="92"/>
        <v/>
      </c>
      <c r="JF20" s="11" t="str">
        <f t="shared" si="93"/>
        <v/>
      </c>
      <c r="JG20" s="11" t="str">
        <f t="shared" si="94"/>
        <v/>
      </c>
      <c r="JH20" s="11" t="str">
        <f t="shared" si="95"/>
        <v/>
      </c>
      <c r="JI20" s="11" t="str">
        <f t="shared" si="96"/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 t="shared" si="97"/>
        <v/>
      </c>
      <c r="JZ20" s="14" t="str">
        <f t="shared" si="98"/>
        <v/>
      </c>
      <c r="KA20" s="14" t="str">
        <f t="shared" si="99"/>
        <v/>
      </c>
      <c r="KB20" s="14" t="str">
        <f t="shared" si="100"/>
        <v/>
      </c>
      <c r="KC20" s="14" t="str">
        <f t="shared" si="101"/>
        <v/>
      </c>
      <c r="KD20" s="14" t="str">
        <f t="shared" si="102"/>
        <v/>
      </c>
      <c r="KE20" s="14" t="str">
        <f t="shared" si="103"/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 t="shared" si="104"/>
        <v/>
      </c>
      <c r="KV20" s="11" t="str">
        <f t="shared" si="105"/>
        <v/>
      </c>
      <c r="KW20" s="11" t="str">
        <f t="shared" si="106"/>
        <v/>
      </c>
      <c r="KX20" s="11" t="str">
        <f t="shared" si="107"/>
        <v/>
      </c>
      <c r="KY20" s="11" t="str">
        <f t="shared" si="108"/>
        <v/>
      </c>
      <c r="KZ20" s="11" t="str">
        <f t="shared" si="109"/>
        <v/>
      </c>
      <c r="LA20" s="11" t="str">
        <f t="shared" si="110"/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 t="shared" si="111"/>
        <v/>
      </c>
      <c r="LR20" s="14" t="str">
        <f t="shared" si="112"/>
        <v/>
      </c>
      <c r="LS20" s="14" t="str">
        <f t="shared" si="113"/>
        <v/>
      </c>
      <c r="LT20" s="14" t="str">
        <f t="shared" si="114"/>
        <v/>
      </c>
      <c r="LU20" s="14" t="str">
        <f t="shared" si="115"/>
        <v/>
      </c>
      <c r="LV20" s="14" t="str">
        <f t="shared" si="116"/>
        <v/>
      </c>
      <c r="LW20" s="14" t="str">
        <f t="shared" si="117"/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 t="shared" si="118"/>
        <v/>
      </c>
      <c r="MN20" s="11" t="str">
        <f t="shared" si="119"/>
        <v/>
      </c>
      <c r="MO20" s="11" t="str">
        <f t="shared" si="120"/>
        <v/>
      </c>
      <c r="MP20" s="11" t="str">
        <f t="shared" si="121"/>
        <v/>
      </c>
      <c r="MQ20" s="11" t="str">
        <f t="shared" si="122"/>
        <v/>
      </c>
      <c r="MR20" s="11" t="str">
        <f t="shared" si="123"/>
        <v/>
      </c>
      <c r="MS20" s="11" t="str">
        <f t="shared" si="124"/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 t="shared" si="125"/>
        <v/>
      </c>
      <c r="NJ20" s="14" t="str">
        <f t="shared" si="126"/>
        <v/>
      </c>
      <c r="NK20" s="14" t="str">
        <f t="shared" si="127"/>
        <v/>
      </c>
      <c r="NL20" s="14" t="str">
        <f t="shared" si="128"/>
        <v/>
      </c>
      <c r="NM20" s="14" t="str">
        <f t="shared" si="129"/>
        <v/>
      </c>
      <c r="NN20" s="14" t="str">
        <f t="shared" si="130"/>
        <v/>
      </c>
      <c r="NO20" s="14" t="str">
        <f t="shared" si="131"/>
        <v/>
      </c>
      <c r="NP20" s="69">
        <f t="shared" si="132"/>
        <v>8.4499999999999993</v>
      </c>
      <c r="NQ20" s="69">
        <f t="shared" si="133"/>
        <v>4.7</v>
      </c>
      <c r="NR20" s="69">
        <f t="shared" si="134"/>
        <v>1.75</v>
      </c>
      <c r="NS20" s="69">
        <f t="shared" si="135"/>
        <v>7.97</v>
      </c>
      <c r="NT20" s="69">
        <f t="shared" si="136"/>
        <v>0</v>
      </c>
      <c r="NU20" s="69">
        <f t="shared" si="137"/>
        <v>0.8</v>
      </c>
      <c r="NV20" s="69">
        <f t="shared" si="138"/>
        <v>0.45</v>
      </c>
      <c r="NW20" s="69">
        <f t="shared" si="139"/>
        <v>0.85</v>
      </c>
      <c r="NX20" s="69">
        <f t="shared" si="140"/>
        <v>0.8075</v>
      </c>
      <c r="NY20" s="69">
        <f t="shared" si="141"/>
        <v>0</v>
      </c>
      <c r="NZ20" s="69">
        <f t="shared" si="142"/>
        <v>2.9</v>
      </c>
      <c r="OA20" s="69">
        <f t="shared" si="143"/>
        <v>1.7</v>
      </c>
      <c r="OB20" s="69">
        <f t="shared" si="144"/>
        <v>2.7</v>
      </c>
      <c r="OC20" s="69">
        <f t="shared" si="145"/>
        <v>3.0150000000000001</v>
      </c>
      <c r="OD20" s="69">
        <f t="shared" si="146"/>
        <v>0</v>
      </c>
      <c r="OE20" s="69">
        <f t="shared" si="147"/>
        <v>5.45</v>
      </c>
      <c r="OF20" s="69">
        <f t="shared" si="148"/>
        <v>3.25</v>
      </c>
      <c r="OG20" s="69">
        <f t="shared" si="149"/>
        <v>4.7</v>
      </c>
      <c r="OH20" s="69">
        <f t="shared" si="150"/>
        <v>5.3449999999999998</v>
      </c>
      <c r="OI20" s="69">
        <f t="shared" si="151"/>
        <v>0</v>
      </c>
      <c r="OJ20" s="80" t="s">
        <v>88</v>
      </c>
      <c r="OK20" s="11">
        <f t="shared" si="152"/>
        <v>22.869999999999997</v>
      </c>
      <c r="OL20" s="11">
        <f t="shared" si="153"/>
        <v>0.85</v>
      </c>
      <c r="OM20" s="11">
        <f t="shared" si="154"/>
        <v>2.9075000000000002</v>
      </c>
      <c r="ON20" s="11">
        <f t="shared" si="155"/>
        <v>2.7</v>
      </c>
      <c r="OO20" s="11">
        <f t="shared" si="156"/>
        <v>10.315</v>
      </c>
      <c r="OP20" s="11">
        <f t="shared" si="157"/>
        <v>33.184999999999995</v>
      </c>
      <c r="OQ20" s="11">
        <f t="shared" si="158"/>
        <v>4.7</v>
      </c>
      <c r="OR20" s="11">
        <f t="shared" si="159"/>
        <v>18.744999999999997</v>
      </c>
      <c r="OS20" s="11">
        <f t="shared" si="160"/>
        <v>51.929999999999993</v>
      </c>
    </row>
    <row r="21" spans="1:409" x14ac:dyDescent="0.2">
      <c r="A21" s="5" t="str" cm="1">
        <f t="array" ref="A21">IF(AND(G21&lt;&gt;"",H21&lt;&gt;""),SUMPRODUCT((G$4:G$27&lt;&gt;"")*(H$4:H$27&lt;&gt;"")*(E$4:E$27&gt;E21))+1,IF(H21&lt;&gt;"",SUMPRODUCT((I$4:I$27="No DD")*(E$4:E$27&gt;E21))+1+SUMPRODUCT((G$4:G$27&lt;&gt;"")*(H$4:H$27&lt;&gt;"")),""))</f>
        <v/>
      </c>
      <c r="B21" s="8" t="s">
        <v>7</v>
      </c>
      <c r="C21" s="4" t="s">
        <v>5</v>
      </c>
      <c r="D21" s="27">
        <v>1993</v>
      </c>
      <c r="E21" s="15">
        <f t="shared" si="0"/>
        <v>153.625</v>
      </c>
      <c r="F21" s="3" t="str">
        <f t="shared" si="1"/>
        <v/>
      </c>
      <c r="G21" s="125" t="str">
        <f t="shared" si="2"/>
        <v/>
      </c>
      <c r="H21" s="125" t="str">
        <f t="shared" si="3"/>
        <v/>
      </c>
      <c r="I21" s="126" t="str">
        <f t="shared" si="4"/>
        <v/>
      </c>
      <c r="J21" s="3" t="str">
        <f t="shared" si="5"/>
        <v/>
      </c>
      <c r="K21" s="14">
        <f t="shared" si="6"/>
        <v>102.05000000000001</v>
      </c>
      <c r="L21" s="14" t="str">
        <f t="shared" si="7"/>
        <v>2019 Nationals</v>
      </c>
      <c r="M21" s="14">
        <f t="shared" si="8"/>
        <v>0</v>
      </c>
      <c r="N21" s="14" t="str">
        <f t="shared" si="9"/>
        <v/>
      </c>
      <c r="O21" s="14">
        <f t="shared" si="10"/>
        <v>0</v>
      </c>
      <c r="P21" s="14" t="str">
        <f t="shared" si="11"/>
        <v/>
      </c>
      <c r="Q21" s="14">
        <f t="shared" si="12"/>
        <v>51.575000000000003</v>
      </c>
      <c r="R21" s="14" t="str">
        <f t="shared" si="13"/>
        <v>2019 Nationals</v>
      </c>
      <c r="S21" s="14" t="str">
        <f t="shared" si="14"/>
        <v/>
      </c>
      <c r="T21" s="25" t="str">
        <f t="shared" si="15"/>
        <v/>
      </c>
      <c r="U21" s="14" t="str">
        <f t="shared" si="16"/>
        <v/>
      </c>
      <c r="V21" s="69">
        <v>18.3</v>
      </c>
      <c r="W21" s="69">
        <v>9.3000000000000007</v>
      </c>
      <c r="X21" s="69">
        <v>5</v>
      </c>
      <c r="Y21" s="69">
        <v>16.295000000000002</v>
      </c>
      <c r="Z21" s="69">
        <v>0</v>
      </c>
      <c r="AA21" s="69">
        <v>14.6</v>
      </c>
      <c r="AB21" s="69">
        <v>9.3000000000000007</v>
      </c>
      <c r="AC21" s="69">
        <v>13.8</v>
      </c>
      <c r="AD21" s="69">
        <v>15.455</v>
      </c>
      <c r="AE21" s="69">
        <v>0</v>
      </c>
      <c r="AF21" s="69"/>
      <c r="AG21" s="69"/>
      <c r="AH21" s="69"/>
      <c r="AI21" s="69"/>
      <c r="AJ21" s="69"/>
      <c r="AK21" s="69">
        <v>14.84</v>
      </c>
      <c r="AL21" s="69">
        <v>8.8000000000000007</v>
      </c>
      <c r="AM21" s="69">
        <v>13.1</v>
      </c>
      <c r="AN21" s="69">
        <v>15.234999999999999</v>
      </c>
      <c r="AO21" s="69">
        <v>0.4</v>
      </c>
      <c r="AP21" s="80"/>
      <c r="AQ21" s="11">
        <f t="shared" si="17"/>
        <v>48.895000000000003</v>
      </c>
      <c r="AR21" s="11">
        <f t="shared" si="18"/>
        <v>13.8</v>
      </c>
      <c r="AS21" s="11">
        <f t="shared" si="19"/>
        <v>53.155000000000001</v>
      </c>
      <c r="AT21" s="11" t="str">
        <f t="shared" si="20"/>
        <v/>
      </c>
      <c r="AU21" s="11" t="str">
        <f t="shared" si="21"/>
        <v/>
      </c>
      <c r="AV21" s="11">
        <f t="shared" si="22"/>
        <v>102.05000000000001</v>
      </c>
      <c r="AW21" s="11">
        <f t="shared" si="23"/>
        <v>13.1</v>
      </c>
      <c r="AX21" s="11">
        <f t="shared" si="24"/>
        <v>51.575000000000003</v>
      </c>
      <c r="AY21" s="11">
        <f t="shared" si="25"/>
        <v>153.625</v>
      </c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81"/>
      <c r="BU21" s="14" t="str">
        <f t="shared" si="26"/>
        <v/>
      </c>
      <c r="BV21" s="14" t="str">
        <f t="shared" si="27"/>
        <v/>
      </c>
      <c r="BW21" s="14" t="str">
        <f t="shared" si="28"/>
        <v/>
      </c>
      <c r="BX21" s="14" t="str">
        <f t="shared" si="29"/>
        <v/>
      </c>
      <c r="BY21" s="14" t="str">
        <f t="shared" si="30"/>
        <v/>
      </c>
      <c r="BZ21" s="14" t="str">
        <f t="shared" si="31"/>
        <v/>
      </c>
      <c r="CA21" s="14" t="str">
        <f t="shared" si="32"/>
        <v/>
      </c>
      <c r="CB21" s="14" t="str">
        <f t="shared" si="33"/>
        <v/>
      </c>
      <c r="CC21" s="14" t="str">
        <f t="shared" si="34"/>
        <v/>
      </c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80"/>
      <c r="CY21" s="11" t="str">
        <f t="shared" si="35"/>
        <v/>
      </c>
      <c r="CZ21" s="11" t="str">
        <f t="shared" si="36"/>
        <v/>
      </c>
      <c r="DA21" s="11" t="str">
        <f t="shared" si="37"/>
        <v/>
      </c>
      <c r="DB21" s="11" t="str">
        <f t="shared" si="38"/>
        <v/>
      </c>
      <c r="DC21" s="11" t="str">
        <f t="shared" si="39"/>
        <v/>
      </c>
      <c r="DD21" s="11" t="str">
        <f t="shared" si="40"/>
        <v/>
      </c>
      <c r="DE21" s="11" t="str">
        <f t="shared" si="41"/>
        <v/>
      </c>
      <c r="DF21" s="11" t="str">
        <f t="shared" si="42"/>
        <v/>
      </c>
      <c r="DG21" s="11" t="str">
        <f t="shared" si="43"/>
        <v/>
      </c>
      <c r="DH21" s="24" t="str">
        <f t="shared" si="44"/>
        <v/>
      </c>
      <c r="DI21" s="24" t="str">
        <f t="shared" si="45"/>
        <v/>
      </c>
      <c r="DJ21" s="24" t="str">
        <f t="shared" si="46"/>
        <v/>
      </c>
      <c r="DK21" s="24" t="str">
        <f t="shared" si="47"/>
        <v/>
      </c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11" t="str">
        <f t="shared" si="48"/>
        <v/>
      </c>
      <c r="EB21" s="11" t="str">
        <f t="shared" si="49"/>
        <v/>
      </c>
      <c r="EC21" s="11" t="str">
        <f t="shared" si="50"/>
        <v/>
      </c>
      <c r="ED21" s="11" t="str">
        <f t="shared" si="51"/>
        <v/>
      </c>
      <c r="EE21" s="11" t="str">
        <f t="shared" si="52"/>
        <v/>
      </c>
      <c r="EF21" s="11" t="str">
        <f t="shared" si="53"/>
        <v/>
      </c>
      <c r="EG21" s="11" t="str">
        <f t="shared" si="54"/>
        <v/>
      </c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14" t="str">
        <f t="shared" si="55"/>
        <v/>
      </c>
      <c r="EX21" s="14" t="str">
        <f t="shared" si="56"/>
        <v/>
      </c>
      <c r="EY21" s="14" t="str">
        <f t="shared" si="57"/>
        <v/>
      </c>
      <c r="EZ21" s="14" t="str">
        <f t="shared" si="58"/>
        <v/>
      </c>
      <c r="FA21" s="14" t="str">
        <f t="shared" si="59"/>
        <v/>
      </c>
      <c r="FB21" s="14" t="str">
        <f t="shared" si="60"/>
        <v/>
      </c>
      <c r="FC21" s="14" t="str">
        <f t="shared" si="61"/>
        <v/>
      </c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11" t="str">
        <f t="shared" si="62"/>
        <v/>
      </c>
      <c r="FT21" s="11" t="str">
        <f t="shared" si="63"/>
        <v/>
      </c>
      <c r="FU21" s="11" t="str">
        <f t="shared" si="64"/>
        <v/>
      </c>
      <c r="FV21" s="11" t="str">
        <f t="shared" si="65"/>
        <v/>
      </c>
      <c r="FW21" s="11" t="str">
        <f t="shared" si="66"/>
        <v/>
      </c>
      <c r="FX21" s="11" t="str">
        <f t="shared" si="67"/>
        <v/>
      </c>
      <c r="FY21" s="11" t="str">
        <f t="shared" si="68"/>
        <v/>
      </c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14" t="str">
        <f t="shared" si="69"/>
        <v/>
      </c>
      <c r="GP21" s="14" t="str">
        <f t="shared" si="70"/>
        <v/>
      </c>
      <c r="GQ21" s="14" t="str">
        <f t="shared" si="71"/>
        <v/>
      </c>
      <c r="GR21" s="14" t="str">
        <f t="shared" si="72"/>
        <v/>
      </c>
      <c r="GS21" s="14" t="str">
        <f t="shared" si="73"/>
        <v/>
      </c>
      <c r="GT21" s="14" t="str">
        <f t="shared" si="74"/>
        <v/>
      </c>
      <c r="GU21" s="14" t="str">
        <f t="shared" si="75"/>
        <v/>
      </c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11" t="str">
        <f t="shared" si="76"/>
        <v/>
      </c>
      <c r="HL21" s="11" t="str">
        <f t="shared" si="77"/>
        <v/>
      </c>
      <c r="HM21" s="11" t="str">
        <f t="shared" si="78"/>
        <v/>
      </c>
      <c r="HN21" s="11" t="str">
        <f t="shared" si="79"/>
        <v/>
      </c>
      <c r="HO21" s="11" t="str">
        <f t="shared" si="80"/>
        <v/>
      </c>
      <c r="HP21" s="11" t="str">
        <f t="shared" si="81"/>
        <v/>
      </c>
      <c r="HQ21" s="11" t="str">
        <f t="shared" si="82"/>
        <v/>
      </c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14" t="str">
        <f t="shared" si="83"/>
        <v/>
      </c>
      <c r="IH21" s="14" t="str">
        <f t="shared" si="84"/>
        <v/>
      </c>
      <c r="II21" s="14" t="str">
        <f t="shared" si="85"/>
        <v/>
      </c>
      <c r="IJ21" s="14" t="str">
        <f t="shared" si="86"/>
        <v/>
      </c>
      <c r="IK21" s="14" t="str">
        <f t="shared" si="87"/>
        <v/>
      </c>
      <c r="IL21" s="14" t="str">
        <f t="shared" si="88"/>
        <v/>
      </c>
      <c r="IM21" s="14" t="str">
        <f t="shared" si="89"/>
        <v/>
      </c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11" t="str">
        <f t="shared" si="90"/>
        <v/>
      </c>
      <c r="JD21" s="11" t="str">
        <f t="shared" si="91"/>
        <v/>
      </c>
      <c r="JE21" s="11" t="str">
        <f t="shared" si="92"/>
        <v/>
      </c>
      <c r="JF21" s="11" t="str">
        <f t="shared" si="93"/>
        <v/>
      </c>
      <c r="JG21" s="11" t="str">
        <f t="shared" si="94"/>
        <v/>
      </c>
      <c r="JH21" s="11" t="str">
        <f t="shared" si="95"/>
        <v/>
      </c>
      <c r="JI21" s="11" t="str">
        <f t="shared" si="96"/>
        <v/>
      </c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14" t="str">
        <f t="shared" si="97"/>
        <v/>
      </c>
      <c r="JZ21" s="14" t="str">
        <f t="shared" si="98"/>
        <v/>
      </c>
      <c r="KA21" s="14" t="str">
        <f t="shared" si="99"/>
        <v/>
      </c>
      <c r="KB21" s="14" t="str">
        <f t="shared" si="100"/>
        <v/>
      </c>
      <c r="KC21" s="14" t="str">
        <f t="shared" si="101"/>
        <v/>
      </c>
      <c r="KD21" s="14" t="str">
        <f t="shared" si="102"/>
        <v/>
      </c>
      <c r="KE21" s="14" t="str">
        <f t="shared" si="103"/>
        <v/>
      </c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11" t="str">
        <f t="shared" si="104"/>
        <v/>
      </c>
      <c r="KV21" s="11" t="str">
        <f t="shared" si="105"/>
        <v/>
      </c>
      <c r="KW21" s="11" t="str">
        <f t="shared" si="106"/>
        <v/>
      </c>
      <c r="KX21" s="11" t="str">
        <f t="shared" si="107"/>
        <v/>
      </c>
      <c r="KY21" s="11" t="str">
        <f t="shared" si="108"/>
        <v/>
      </c>
      <c r="KZ21" s="11" t="str">
        <f t="shared" si="109"/>
        <v/>
      </c>
      <c r="LA21" s="11" t="str">
        <f t="shared" si="110"/>
        <v/>
      </c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14" t="str">
        <f t="shared" si="111"/>
        <v/>
      </c>
      <c r="LR21" s="14" t="str">
        <f t="shared" si="112"/>
        <v/>
      </c>
      <c r="LS21" s="14" t="str">
        <f t="shared" si="113"/>
        <v/>
      </c>
      <c r="LT21" s="14" t="str">
        <f t="shared" si="114"/>
        <v/>
      </c>
      <c r="LU21" s="14" t="str">
        <f t="shared" si="115"/>
        <v/>
      </c>
      <c r="LV21" s="14" t="str">
        <f t="shared" si="116"/>
        <v/>
      </c>
      <c r="LW21" s="14" t="str">
        <f t="shared" si="117"/>
        <v/>
      </c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11" t="str">
        <f t="shared" si="118"/>
        <v/>
      </c>
      <c r="MN21" s="11" t="str">
        <f t="shared" si="119"/>
        <v/>
      </c>
      <c r="MO21" s="11" t="str">
        <f t="shared" si="120"/>
        <v/>
      </c>
      <c r="MP21" s="11" t="str">
        <f t="shared" si="121"/>
        <v/>
      </c>
      <c r="MQ21" s="11" t="str">
        <f t="shared" si="122"/>
        <v/>
      </c>
      <c r="MR21" s="11" t="str">
        <f t="shared" si="123"/>
        <v/>
      </c>
      <c r="MS21" s="11" t="str">
        <f t="shared" si="124"/>
        <v/>
      </c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14" t="str">
        <f t="shared" si="125"/>
        <v/>
      </c>
      <c r="NJ21" s="14" t="str">
        <f t="shared" si="126"/>
        <v/>
      </c>
      <c r="NK21" s="14" t="str">
        <f t="shared" si="127"/>
        <v/>
      </c>
      <c r="NL21" s="14" t="str">
        <f t="shared" si="128"/>
        <v/>
      </c>
      <c r="NM21" s="14" t="str">
        <f t="shared" si="129"/>
        <v/>
      </c>
      <c r="NN21" s="14" t="str">
        <f t="shared" si="130"/>
        <v/>
      </c>
      <c r="NO21" s="14" t="str">
        <f t="shared" si="131"/>
        <v/>
      </c>
      <c r="NP21" s="69">
        <f t="shared" si="132"/>
        <v>0</v>
      </c>
      <c r="NQ21" s="69">
        <f t="shared" si="133"/>
        <v>0</v>
      </c>
      <c r="NR21" s="69">
        <f t="shared" si="134"/>
        <v>0</v>
      </c>
      <c r="NS21" s="69">
        <f t="shared" si="135"/>
        <v>0</v>
      </c>
      <c r="NT21" s="69">
        <f t="shared" si="136"/>
        <v>0</v>
      </c>
      <c r="NU21" s="69">
        <f t="shared" si="137"/>
        <v>0</v>
      </c>
      <c r="NV21" s="69">
        <f t="shared" si="138"/>
        <v>0</v>
      </c>
      <c r="NW21" s="69">
        <f t="shared" si="139"/>
        <v>0</v>
      </c>
      <c r="NX21" s="69">
        <f t="shared" si="140"/>
        <v>0</v>
      </c>
      <c r="NY21" s="69">
        <f t="shared" si="141"/>
        <v>0</v>
      </c>
      <c r="NZ21" s="69">
        <f t="shared" si="142"/>
        <v>0</v>
      </c>
      <c r="OA21" s="69">
        <f t="shared" si="143"/>
        <v>0</v>
      </c>
      <c r="OB21" s="69">
        <f t="shared" si="144"/>
        <v>0</v>
      </c>
      <c r="OC21" s="69">
        <f t="shared" si="145"/>
        <v>0</v>
      </c>
      <c r="OD21" s="69">
        <f t="shared" si="146"/>
        <v>0</v>
      </c>
      <c r="OE21" s="69">
        <f t="shared" si="147"/>
        <v>0</v>
      </c>
      <c r="OF21" s="69">
        <f t="shared" si="148"/>
        <v>0</v>
      </c>
      <c r="OG21" s="69">
        <f t="shared" si="149"/>
        <v>0</v>
      </c>
      <c r="OH21" s="69">
        <f t="shared" si="150"/>
        <v>0</v>
      </c>
      <c r="OI21" s="69">
        <f t="shared" si="151"/>
        <v>0</v>
      </c>
      <c r="OJ21" s="80" t="s">
        <v>88</v>
      </c>
      <c r="OK21" s="11" t="str">
        <f t="shared" si="152"/>
        <v/>
      </c>
      <c r="OL21" s="11" t="str">
        <f t="shared" si="153"/>
        <v/>
      </c>
      <c r="OM21" s="11" t="str">
        <f t="shared" si="154"/>
        <v/>
      </c>
      <c r="ON21" s="11" t="str">
        <f t="shared" si="155"/>
        <v/>
      </c>
      <c r="OO21" s="11" t="str">
        <f t="shared" si="156"/>
        <v/>
      </c>
      <c r="OP21" s="11" t="str">
        <f t="shared" si="157"/>
        <v/>
      </c>
      <c r="OQ21" s="11" t="str">
        <f t="shared" si="158"/>
        <v/>
      </c>
      <c r="OR21" s="11" t="str">
        <f t="shared" si="159"/>
        <v/>
      </c>
      <c r="OS21" s="11" t="str">
        <f t="shared" si="160"/>
        <v/>
      </c>
    </row>
    <row r="22" spans="1:409" x14ac:dyDescent="0.2">
      <c r="A22" s="5" t="str" cm="1">
        <f t="array" ref="A22">IF(AND(G22&lt;&gt;"",H22&lt;&gt;""),SUMPRODUCT((G$4:G$27&lt;&gt;"")*(H$4:H$27&lt;&gt;"")*(E$4:E$27&gt;E22))+1,IF(H22&lt;&gt;"",SUMPRODUCT((I$4:I$27="No DD")*(E$4:E$27&gt;E22))+1+SUMPRODUCT((G$4:G$27&lt;&gt;"")*(H$4:H$27&lt;&gt;"")),""))</f>
        <v/>
      </c>
      <c r="B22" s="6" t="s">
        <v>190</v>
      </c>
      <c r="C22" s="7" t="s">
        <v>6</v>
      </c>
      <c r="D22" s="5">
        <v>2001</v>
      </c>
      <c r="E22" s="15">
        <f t="shared" si="0"/>
        <v>152.89499999999998</v>
      </c>
      <c r="F22" s="3" t="str">
        <f t="shared" si="1"/>
        <v/>
      </c>
      <c r="G22" s="125" t="str">
        <f t="shared" si="2"/>
        <v/>
      </c>
      <c r="H22" s="125" t="str">
        <f t="shared" si="3"/>
        <v/>
      </c>
      <c r="I22" s="126" t="str">
        <f t="shared" si="4"/>
        <v/>
      </c>
      <c r="J22" s="3" t="str">
        <f t="shared" si="5"/>
        <v/>
      </c>
      <c r="K22" s="14">
        <f t="shared" si="6"/>
        <v>89.94</v>
      </c>
      <c r="L22" s="14" t="str">
        <f t="shared" si="7"/>
        <v>2021 2nd Virtual Technical Trial</v>
      </c>
      <c r="M22" s="14">
        <f t="shared" si="8"/>
        <v>0</v>
      </c>
      <c r="N22" s="14" t="str">
        <f t="shared" si="9"/>
        <v/>
      </c>
      <c r="O22" s="14">
        <f t="shared" si="10"/>
        <v>10.664999999999999</v>
      </c>
      <c r="P22" s="14" t="str">
        <f t="shared" si="11"/>
        <v>2021 2nd Virtual Technical Trial</v>
      </c>
      <c r="Q22" s="14">
        <f t="shared" si="12"/>
        <v>52.29</v>
      </c>
      <c r="R22" s="14" t="str">
        <f t="shared" si="13"/>
        <v>2021 2nd Virtual Technical Trial</v>
      </c>
      <c r="S22" s="14" t="str">
        <f t="shared" si="14"/>
        <v/>
      </c>
      <c r="T22" s="25" t="str">
        <f t="shared" si="15"/>
        <v/>
      </c>
      <c r="U22" s="14" t="str">
        <f t="shared" si="16"/>
        <v/>
      </c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80"/>
      <c r="AQ22" s="11" t="str">
        <f t="shared" si="17"/>
        <v/>
      </c>
      <c r="AR22" s="11" t="str">
        <f t="shared" si="18"/>
        <v/>
      </c>
      <c r="AS22" s="11" t="str">
        <f t="shared" si="19"/>
        <v/>
      </c>
      <c r="AT22" s="11" t="str">
        <f t="shared" si="20"/>
        <v/>
      </c>
      <c r="AU22" s="11" t="str">
        <f t="shared" si="21"/>
        <v/>
      </c>
      <c r="AV22" s="11" t="str">
        <f t="shared" si="22"/>
        <v/>
      </c>
      <c r="AW22" s="11" t="str">
        <f t="shared" si="23"/>
        <v/>
      </c>
      <c r="AX22" s="11" t="str">
        <f t="shared" si="24"/>
        <v/>
      </c>
      <c r="AY22" s="11" t="str">
        <f t="shared" si="25"/>
        <v/>
      </c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81"/>
      <c r="BU22" s="14" t="str">
        <f t="shared" si="26"/>
        <v/>
      </c>
      <c r="BV22" s="14" t="str">
        <f t="shared" si="27"/>
        <v/>
      </c>
      <c r="BW22" s="14" t="str">
        <f t="shared" si="28"/>
        <v/>
      </c>
      <c r="BX22" s="14" t="str">
        <f t="shared" si="29"/>
        <v/>
      </c>
      <c r="BY22" s="14" t="str">
        <f t="shared" si="30"/>
        <v/>
      </c>
      <c r="BZ22" s="14" t="str">
        <f t="shared" si="31"/>
        <v/>
      </c>
      <c r="CA22" s="14" t="str">
        <f t="shared" si="32"/>
        <v/>
      </c>
      <c r="CB22" s="14" t="str">
        <f t="shared" si="33"/>
        <v/>
      </c>
      <c r="CC22" s="14" t="str">
        <f t="shared" si="34"/>
        <v/>
      </c>
      <c r="CD22" s="69">
        <v>14.6</v>
      </c>
      <c r="CE22" s="69">
        <v>8.3000000000000007</v>
      </c>
      <c r="CF22" s="69">
        <v>1.7</v>
      </c>
      <c r="CG22" s="69">
        <v>15.17</v>
      </c>
      <c r="CH22" s="69">
        <v>2</v>
      </c>
      <c r="CI22" s="69">
        <v>12.9</v>
      </c>
      <c r="CJ22" s="69">
        <v>9.4</v>
      </c>
      <c r="CK22" s="69">
        <v>13.8</v>
      </c>
      <c r="CL22" s="69">
        <v>16.07</v>
      </c>
      <c r="CM22" s="69">
        <v>0</v>
      </c>
      <c r="CN22" s="69">
        <v>2.2999999999999998</v>
      </c>
      <c r="CO22" s="69">
        <v>1.6</v>
      </c>
      <c r="CP22" s="69">
        <v>3.2</v>
      </c>
      <c r="CQ22" s="69">
        <v>3.5649999999999999</v>
      </c>
      <c r="CR22" s="69">
        <v>0</v>
      </c>
      <c r="CS22" s="69">
        <v>13.5</v>
      </c>
      <c r="CT22" s="69">
        <v>9.1999999999999993</v>
      </c>
      <c r="CU22" s="69">
        <v>13.8</v>
      </c>
      <c r="CV22" s="69">
        <v>15.79</v>
      </c>
      <c r="CW22" s="69">
        <v>0</v>
      </c>
      <c r="CX22" s="80"/>
      <c r="CY22" s="11">
        <f t="shared" si="35"/>
        <v>37.769999999999996</v>
      </c>
      <c r="CZ22" s="11">
        <f t="shared" si="36"/>
        <v>13.8</v>
      </c>
      <c r="DA22" s="11">
        <f t="shared" si="37"/>
        <v>52.17</v>
      </c>
      <c r="DB22" s="11">
        <f t="shared" si="38"/>
        <v>3.2</v>
      </c>
      <c r="DC22" s="11">
        <f t="shared" si="39"/>
        <v>10.664999999999999</v>
      </c>
      <c r="DD22" s="11">
        <f t="shared" si="40"/>
        <v>89.94</v>
      </c>
      <c r="DE22" s="11">
        <f t="shared" si="41"/>
        <v>13.8</v>
      </c>
      <c r="DF22" s="11">
        <f t="shared" si="42"/>
        <v>52.29</v>
      </c>
      <c r="DG22" s="11">
        <f t="shared" si="43"/>
        <v>142.22999999999999</v>
      </c>
      <c r="DH22" s="24" t="str">
        <f t="shared" si="44"/>
        <v/>
      </c>
      <c r="DI22" s="24" t="str">
        <f t="shared" si="45"/>
        <v/>
      </c>
      <c r="DJ22" s="24" t="str">
        <f t="shared" si="46"/>
        <v/>
      </c>
      <c r="DK22" s="24" t="str">
        <f t="shared" si="47"/>
        <v/>
      </c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11" t="str">
        <f t="shared" si="48"/>
        <v/>
      </c>
      <c r="EB22" s="11" t="str">
        <f t="shared" si="49"/>
        <v/>
      </c>
      <c r="EC22" s="11" t="str">
        <f t="shared" si="50"/>
        <v/>
      </c>
      <c r="ED22" s="11" t="str">
        <f t="shared" si="51"/>
        <v/>
      </c>
      <c r="EE22" s="11" t="str">
        <f t="shared" si="52"/>
        <v/>
      </c>
      <c r="EF22" s="11" t="str">
        <f t="shared" si="53"/>
        <v/>
      </c>
      <c r="EG22" s="11" t="str">
        <f t="shared" si="54"/>
        <v/>
      </c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14" t="str">
        <f t="shared" si="55"/>
        <v/>
      </c>
      <c r="EX22" s="14" t="str">
        <f t="shared" si="56"/>
        <v/>
      </c>
      <c r="EY22" s="14" t="str">
        <f t="shared" si="57"/>
        <v/>
      </c>
      <c r="EZ22" s="14" t="str">
        <f t="shared" si="58"/>
        <v/>
      </c>
      <c r="FA22" s="14" t="str">
        <f t="shared" si="59"/>
        <v/>
      </c>
      <c r="FB22" s="14" t="str">
        <f t="shared" si="60"/>
        <v/>
      </c>
      <c r="FC22" s="14" t="str">
        <f t="shared" si="61"/>
        <v/>
      </c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11" t="str">
        <f t="shared" si="62"/>
        <v/>
      </c>
      <c r="FT22" s="11" t="str">
        <f t="shared" si="63"/>
        <v/>
      </c>
      <c r="FU22" s="11" t="str">
        <f t="shared" si="64"/>
        <v/>
      </c>
      <c r="FV22" s="11" t="str">
        <f t="shared" si="65"/>
        <v/>
      </c>
      <c r="FW22" s="11" t="str">
        <f t="shared" si="66"/>
        <v/>
      </c>
      <c r="FX22" s="11" t="str">
        <f t="shared" si="67"/>
        <v/>
      </c>
      <c r="FY22" s="11" t="str">
        <f t="shared" si="68"/>
        <v/>
      </c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14" t="str">
        <f t="shared" si="69"/>
        <v/>
      </c>
      <c r="GP22" s="14" t="str">
        <f t="shared" si="70"/>
        <v/>
      </c>
      <c r="GQ22" s="14" t="str">
        <f t="shared" si="71"/>
        <v/>
      </c>
      <c r="GR22" s="14" t="str">
        <f t="shared" si="72"/>
        <v/>
      </c>
      <c r="GS22" s="14" t="str">
        <f t="shared" si="73"/>
        <v/>
      </c>
      <c r="GT22" s="14" t="str">
        <f t="shared" si="74"/>
        <v/>
      </c>
      <c r="GU22" s="14" t="str">
        <f t="shared" si="75"/>
        <v/>
      </c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11" t="str">
        <f t="shared" si="76"/>
        <v/>
      </c>
      <c r="HL22" s="11" t="str">
        <f t="shared" si="77"/>
        <v/>
      </c>
      <c r="HM22" s="11" t="str">
        <f t="shared" si="78"/>
        <v/>
      </c>
      <c r="HN22" s="11" t="str">
        <f t="shared" si="79"/>
        <v/>
      </c>
      <c r="HO22" s="11" t="str">
        <f t="shared" si="80"/>
        <v/>
      </c>
      <c r="HP22" s="11" t="str">
        <f t="shared" si="81"/>
        <v/>
      </c>
      <c r="HQ22" s="11" t="str">
        <f t="shared" si="82"/>
        <v/>
      </c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14" t="str">
        <f t="shared" si="83"/>
        <v/>
      </c>
      <c r="IH22" s="14" t="str">
        <f t="shared" si="84"/>
        <v/>
      </c>
      <c r="II22" s="14" t="str">
        <f t="shared" si="85"/>
        <v/>
      </c>
      <c r="IJ22" s="14" t="str">
        <f t="shared" si="86"/>
        <v/>
      </c>
      <c r="IK22" s="14" t="str">
        <f t="shared" si="87"/>
        <v/>
      </c>
      <c r="IL22" s="14" t="str">
        <f t="shared" si="88"/>
        <v/>
      </c>
      <c r="IM22" s="14" t="str">
        <f t="shared" si="89"/>
        <v/>
      </c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11" t="str">
        <f t="shared" si="90"/>
        <v/>
      </c>
      <c r="JD22" s="11" t="str">
        <f t="shared" si="91"/>
        <v/>
      </c>
      <c r="JE22" s="11" t="str">
        <f t="shared" si="92"/>
        <v/>
      </c>
      <c r="JF22" s="11" t="str">
        <f t="shared" si="93"/>
        <v/>
      </c>
      <c r="JG22" s="11" t="str">
        <f t="shared" si="94"/>
        <v/>
      </c>
      <c r="JH22" s="11" t="str">
        <f t="shared" si="95"/>
        <v/>
      </c>
      <c r="JI22" s="11" t="str">
        <f t="shared" si="96"/>
        <v/>
      </c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14" t="str">
        <f t="shared" si="97"/>
        <v/>
      </c>
      <c r="JZ22" s="14" t="str">
        <f t="shared" si="98"/>
        <v/>
      </c>
      <c r="KA22" s="14" t="str">
        <f t="shared" si="99"/>
        <v/>
      </c>
      <c r="KB22" s="14" t="str">
        <f t="shared" si="100"/>
        <v/>
      </c>
      <c r="KC22" s="14" t="str">
        <f t="shared" si="101"/>
        <v/>
      </c>
      <c r="KD22" s="14" t="str">
        <f t="shared" si="102"/>
        <v/>
      </c>
      <c r="KE22" s="14" t="str">
        <f t="shared" si="103"/>
        <v/>
      </c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11" t="str">
        <f t="shared" si="104"/>
        <v/>
      </c>
      <c r="KV22" s="11" t="str">
        <f t="shared" si="105"/>
        <v/>
      </c>
      <c r="KW22" s="11" t="str">
        <f t="shared" si="106"/>
        <v/>
      </c>
      <c r="KX22" s="11" t="str">
        <f t="shared" si="107"/>
        <v/>
      </c>
      <c r="KY22" s="11" t="str">
        <f t="shared" si="108"/>
        <v/>
      </c>
      <c r="KZ22" s="11" t="str">
        <f t="shared" si="109"/>
        <v/>
      </c>
      <c r="LA22" s="11" t="str">
        <f t="shared" si="110"/>
        <v/>
      </c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14" t="str">
        <f t="shared" si="111"/>
        <v/>
      </c>
      <c r="LR22" s="14" t="str">
        <f t="shared" si="112"/>
        <v/>
      </c>
      <c r="LS22" s="14" t="str">
        <f t="shared" si="113"/>
        <v/>
      </c>
      <c r="LT22" s="14" t="str">
        <f t="shared" si="114"/>
        <v/>
      </c>
      <c r="LU22" s="14" t="str">
        <f t="shared" si="115"/>
        <v/>
      </c>
      <c r="LV22" s="14" t="str">
        <f t="shared" si="116"/>
        <v/>
      </c>
      <c r="LW22" s="14" t="str">
        <f t="shared" si="117"/>
        <v/>
      </c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11" t="str">
        <f t="shared" si="118"/>
        <v/>
      </c>
      <c r="MN22" s="11" t="str">
        <f t="shared" si="119"/>
        <v/>
      </c>
      <c r="MO22" s="11" t="str">
        <f t="shared" si="120"/>
        <v/>
      </c>
      <c r="MP22" s="11" t="str">
        <f t="shared" si="121"/>
        <v/>
      </c>
      <c r="MQ22" s="11" t="str">
        <f t="shared" si="122"/>
        <v/>
      </c>
      <c r="MR22" s="11" t="str">
        <f t="shared" si="123"/>
        <v/>
      </c>
      <c r="MS22" s="11" t="str">
        <f t="shared" si="124"/>
        <v/>
      </c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14" t="str">
        <f t="shared" si="125"/>
        <v/>
      </c>
      <c r="NJ22" s="14" t="str">
        <f t="shared" si="126"/>
        <v/>
      </c>
      <c r="NK22" s="14" t="str">
        <f t="shared" si="127"/>
        <v/>
      </c>
      <c r="NL22" s="14" t="str">
        <f t="shared" si="128"/>
        <v/>
      </c>
      <c r="NM22" s="14" t="str">
        <f t="shared" si="129"/>
        <v/>
      </c>
      <c r="NN22" s="14" t="str">
        <f t="shared" si="130"/>
        <v/>
      </c>
      <c r="NO22" s="14" t="str">
        <f t="shared" si="131"/>
        <v/>
      </c>
      <c r="NP22" s="69">
        <f t="shared" si="132"/>
        <v>7.3</v>
      </c>
      <c r="NQ22" s="69">
        <f t="shared" si="133"/>
        <v>4.1500000000000004</v>
      </c>
      <c r="NR22" s="69">
        <f t="shared" si="134"/>
        <v>0.85</v>
      </c>
      <c r="NS22" s="69">
        <f t="shared" si="135"/>
        <v>7.585</v>
      </c>
      <c r="NT22" s="69">
        <f t="shared" si="136"/>
        <v>1</v>
      </c>
      <c r="NU22" s="69">
        <f t="shared" si="137"/>
        <v>6.45</v>
      </c>
      <c r="NV22" s="69">
        <f t="shared" si="138"/>
        <v>4.7</v>
      </c>
      <c r="NW22" s="69">
        <f t="shared" si="139"/>
        <v>6.9</v>
      </c>
      <c r="NX22" s="69">
        <f t="shared" si="140"/>
        <v>8.0350000000000001</v>
      </c>
      <c r="NY22" s="69">
        <f t="shared" si="141"/>
        <v>0</v>
      </c>
      <c r="NZ22" s="69">
        <f t="shared" si="142"/>
        <v>1.1499999999999999</v>
      </c>
      <c r="OA22" s="69">
        <f t="shared" si="143"/>
        <v>0.8</v>
      </c>
      <c r="OB22" s="69">
        <f t="shared" si="144"/>
        <v>1.6</v>
      </c>
      <c r="OC22" s="69">
        <f t="shared" si="145"/>
        <v>1.7825</v>
      </c>
      <c r="OD22" s="69">
        <f t="shared" si="146"/>
        <v>0</v>
      </c>
      <c r="OE22" s="69">
        <f t="shared" si="147"/>
        <v>6.75</v>
      </c>
      <c r="OF22" s="69">
        <f t="shared" si="148"/>
        <v>4.5999999999999996</v>
      </c>
      <c r="OG22" s="69">
        <f t="shared" si="149"/>
        <v>6.9</v>
      </c>
      <c r="OH22" s="69">
        <f t="shared" si="150"/>
        <v>7.8949999999999996</v>
      </c>
      <c r="OI22" s="69">
        <f t="shared" si="151"/>
        <v>0</v>
      </c>
      <c r="OJ22" s="80" t="s">
        <v>88</v>
      </c>
      <c r="OK22" s="11">
        <f t="shared" si="152"/>
        <v>18.884999999999998</v>
      </c>
      <c r="OL22" s="11">
        <f t="shared" si="153"/>
        <v>6.9</v>
      </c>
      <c r="OM22" s="11">
        <f t="shared" si="154"/>
        <v>26.085000000000001</v>
      </c>
      <c r="ON22" s="11">
        <f t="shared" si="155"/>
        <v>1.6</v>
      </c>
      <c r="OO22" s="11">
        <f t="shared" si="156"/>
        <v>5.3324999999999996</v>
      </c>
      <c r="OP22" s="11">
        <f t="shared" si="157"/>
        <v>44.97</v>
      </c>
      <c r="OQ22" s="11">
        <f t="shared" si="158"/>
        <v>6.9</v>
      </c>
      <c r="OR22" s="11">
        <f t="shared" si="159"/>
        <v>26.145</v>
      </c>
      <c r="OS22" s="11">
        <f t="shared" si="160"/>
        <v>71.114999999999995</v>
      </c>
    </row>
    <row r="23" spans="1:409" x14ac:dyDescent="0.2">
      <c r="A23" s="5" t="str" cm="1">
        <f t="array" ref="A23">IF(AND(G23&lt;&gt;"",H23&lt;&gt;""),SUMPRODUCT((G$4:G$27&lt;&gt;"")*(H$4:H$27&lt;&gt;"")*(E$4:E$27&gt;E23))+1,IF(H23&lt;&gt;"",SUMPRODUCT((I$4:I$27="No DD")*(E$4:E$27&gt;E23))+1+SUMPRODUCT((G$4:G$27&lt;&gt;"")*(H$4:H$27&lt;&gt;"")),""))</f>
        <v/>
      </c>
      <c r="B23" s="8" t="s">
        <v>13</v>
      </c>
      <c r="C23" s="4" t="s">
        <v>6</v>
      </c>
      <c r="D23" s="27">
        <v>1995</v>
      </c>
      <c r="E23" s="15">
        <f t="shared" si="0"/>
        <v>99.175000000000011</v>
      </c>
      <c r="F23" s="3" t="str">
        <f t="shared" si="1"/>
        <v/>
      </c>
      <c r="G23" s="125" t="str">
        <f t="shared" si="2"/>
        <v/>
      </c>
      <c r="H23" s="125" t="str">
        <f t="shared" si="3"/>
        <v/>
      </c>
      <c r="I23" s="126" t="str">
        <f t="shared" si="4"/>
        <v/>
      </c>
      <c r="J23" s="3" t="str">
        <f t="shared" si="5"/>
        <v/>
      </c>
      <c r="K23" s="14">
        <f t="shared" si="6"/>
        <v>99.175000000000011</v>
      </c>
      <c r="L23" s="14" t="str">
        <f t="shared" si="7"/>
        <v>2019 Nationals</v>
      </c>
      <c r="M23" s="14">
        <f t="shared" si="8"/>
        <v>0</v>
      </c>
      <c r="N23" s="14" t="str">
        <f t="shared" si="9"/>
        <v/>
      </c>
      <c r="O23" s="14">
        <f t="shared" si="10"/>
        <v>0</v>
      </c>
      <c r="P23" s="14" t="str">
        <f t="shared" si="11"/>
        <v/>
      </c>
      <c r="Q23" s="14">
        <f t="shared" si="12"/>
        <v>0</v>
      </c>
      <c r="R23" s="14" t="str">
        <f t="shared" si="13"/>
        <v/>
      </c>
      <c r="S23" s="14" t="str">
        <f t="shared" si="14"/>
        <v/>
      </c>
      <c r="T23" s="25" t="str">
        <f t="shared" si="15"/>
        <v/>
      </c>
      <c r="U23" s="14" t="str">
        <f t="shared" si="16"/>
        <v/>
      </c>
      <c r="V23" s="69">
        <v>17.600000000000001</v>
      </c>
      <c r="W23" s="69">
        <v>9.5</v>
      </c>
      <c r="X23" s="69">
        <v>5.8</v>
      </c>
      <c r="Y23" s="69">
        <v>16.164999999999999</v>
      </c>
      <c r="Z23" s="69">
        <v>0</v>
      </c>
      <c r="AA23" s="69">
        <v>12.8</v>
      </c>
      <c r="AB23" s="69">
        <v>9.3000000000000007</v>
      </c>
      <c r="AC23" s="69">
        <v>13.8</v>
      </c>
      <c r="AD23" s="69">
        <v>14.21</v>
      </c>
      <c r="AE23" s="69">
        <v>0</v>
      </c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80"/>
      <c r="AQ23" s="11">
        <f t="shared" si="17"/>
        <v>49.064999999999998</v>
      </c>
      <c r="AR23" s="11">
        <f t="shared" si="18"/>
        <v>13.8</v>
      </c>
      <c r="AS23" s="11">
        <f t="shared" si="19"/>
        <v>50.110000000000007</v>
      </c>
      <c r="AT23" s="11" t="str">
        <f t="shared" si="20"/>
        <v/>
      </c>
      <c r="AU23" s="11" t="str">
        <f t="shared" si="21"/>
        <v/>
      </c>
      <c r="AV23" s="11">
        <f t="shared" si="22"/>
        <v>99.175000000000011</v>
      </c>
      <c r="AW23" s="11" t="str">
        <f t="shared" si="23"/>
        <v/>
      </c>
      <c r="AX23" s="11" t="str">
        <f t="shared" si="24"/>
        <v/>
      </c>
      <c r="AY23" s="11">
        <f t="shared" si="25"/>
        <v>99.175000000000011</v>
      </c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81"/>
      <c r="BU23" s="14" t="str">
        <f t="shared" si="26"/>
        <v/>
      </c>
      <c r="BV23" s="14" t="str">
        <f t="shared" si="27"/>
        <v/>
      </c>
      <c r="BW23" s="14" t="str">
        <f t="shared" si="28"/>
        <v/>
      </c>
      <c r="BX23" s="14" t="str">
        <f t="shared" si="29"/>
        <v/>
      </c>
      <c r="BY23" s="14" t="str">
        <f t="shared" si="30"/>
        <v/>
      </c>
      <c r="BZ23" s="14" t="str">
        <f t="shared" si="31"/>
        <v/>
      </c>
      <c r="CA23" s="14" t="str">
        <f t="shared" si="32"/>
        <v/>
      </c>
      <c r="CB23" s="14" t="str">
        <f t="shared" si="33"/>
        <v/>
      </c>
      <c r="CC23" s="14" t="str">
        <f t="shared" si="34"/>
        <v/>
      </c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80"/>
      <c r="CY23" s="11" t="str">
        <f t="shared" si="35"/>
        <v/>
      </c>
      <c r="CZ23" s="11" t="str">
        <f t="shared" si="36"/>
        <v/>
      </c>
      <c r="DA23" s="11" t="str">
        <f t="shared" si="37"/>
        <v/>
      </c>
      <c r="DB23" s="11" t="str">
        <f t="shared" si="38"/>
        <v/>
      </c>
      <c r="DC23" s="11" t="str">
        <f t="shared" si="39"/>
        <v/>
      </c>
      <c r="DD23" s="11" t="str">
        <f t="shared" si="40"/>
        <v/>
      </c>
      <c r="DE23" s="11" t="str">
        <f t="shared" si="41"/>
        <v/>
      </c>
      <c r="DF23" s="11" t="str">
        <f t="shared" si="42"/>
        <v/>
      </c>
      <c r="DG23" s="11" t="str">
        <f t="shared" si="43"/>
        <v/>
      </c>
      <c r="DH23" s="24" t="str">
        <f t="shared" si="44"/>
        <v/>
      </c>
      <c r="DI23" s="24" t="str">
        <f t="shared" si="45"/>
        <v/>
      </c>
      <c r="DJ23" s="24" t="str">
        <f t="shared" si="46"/>
        <v/>
      </c>
      <c r="DK23" s="24" t="str">
        <f t="shared" si="47"/>
        <v/>
      </c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11" t="str">
        <f t="shared" si="48"/>
        <v/>
      </c>
      <c r="EB23" s="11" t="str">
        <f t="shared" si="49"/>
        <v/>
      </c>
      <c r="EC23" s="11" t="str">
        <f t="shared" si="50"/>
        <v/>
      </c>
      <c r="ED23" s="11" t="str">
        <f t="shared" si="51"/>
        <v/>
      </c>
      <c r="EE23" s="11" t="str">
        <f t="shared" si="52"/>
        <v/>
      </c>
      <c r="EF23" s="11" t="str">
        <f t="shared" si="53"/>
        <v/>
      </c>
      <c r="EG23" s="11" t="str">
        <f t="shared" si="54"/>
        <v/>
      </c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14" t="str">
        <f t="shared" si="55"/>
        <v/>
      </c>
      <c r="EX23" s="14" t="str">
        <f t="shared" si="56"/>
        <v/>
      </c>
      <c r="EY23" s="14" t="str">
        <f t="shared" si="57"/>
        <v/>
      </c>
      <c r="EZ23" s="14" t="str">
        <f t="shared" si="58"/>
        <v/>
      </c>
      <c r="FA23" s="14" t="str">
        <f t="shared" si="59"/>
        <v/>
      </c>
      <c r="FB23" s="14" t="str">
        <f t="shared" si="60"/>
        <v/>
      </c>
      <c r="FC23" s="14" t="str">
        <f t="shared" si="61"/>
        <v/>
      </c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11" t="str">
        <f t="shared" si="62"/>
        <v/>
      </c>
      <c r="FT23" s="11" t="str">
        <f t="shared" si="63"/>
        <v/>
      </c>
      <c r="FU23" s="11" t="str">
        <f t="shared" si="64"/>
        <v/>
      </c>
      <c r="FV23" s="11" t="str">
        <f t="shared" si="65"/>
        <v/>
      </c>
      <c r="FW23" s="11" t="str">
        <f t="shared" si="66"/>
        <v/>
      </c>
      <c r="FX23" s="11" t="str">
        <f t="shared" si="67"/>
        <v/>
      </c>
      <c r="FY23" s="11" t="str">
        <f t="shared" si="68"/>
        <v/>
      </c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14" t="str">
        <f t="shared" si="69"/>
        <v/>
      </c>
      <c r="GP23" s="14" t="str">
        <f t="shared" si="70"/>
        <v/>
      </c>
      <c r="GQ23" s="14" t="str">
        <f t="shared" si="71"/>
        <v/>
      </c>
      <c r="GR23" s="14" t="str">
        <f t="shared" si="72"/>
        <v/>
      </c>
      <c r="GS23" s="14" t="str">
        <f t="shared" si="73"/>
        <v/>
      </c>
      <c r="GT23" s="14" t="str">
        <f t="shared" si="74"/>
        <v/>
      </c>
      <c r="GU23" s="14" t="str">
        <f t="shared" si="75"/>
        <v/>
      </c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11" t="str">
        <f t="shared" si="76"/>
        <v/>
      </c>
      <c r="HL23" s="11" t="str">
        <f t="shared" si="77"/>
        <v/>
      </c>
      <c r="HM23" s="11" t="str">
        <f t="shared" si="78"/>
        <v/>
      </c>
      <c r="HN23" s="11" t="str">
        <f t="shared" si="79"/>
        <v/>
      </c>
      <c r="HO23" s="11" t="str">
        <f t="shared" si="80"/>
        <v/>
      </c>
      <c r="HP23" s="11" t="str">
        <f t="shared" si="81"/>
        <v/>
      </c>
      <c r="HQ23" s="11" t="str">
        <f t="shared" si="82"/>
        <v/>
      </c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14" t="str">
        <f t="shared" si="83"/>
        <v/>
      </c>
      <c r="IH23" s="14" t="str">
        <f t="shared" si="84"/>
        <v/>
      </c>
      <c r="II23" s="14" t="str">
        <f t="shared" si="85"/>
        <v/>
      </c>
      <c r="IJ23" s="14" t="str">
        <f t="shared" si="86"/>
        <v/>
      </c>
      <c r="IK23" s="14" t="str">
        <f t="shared" si="87"/>
        <v/>
      </c>
      <c r="IL23" s="14" t="str">
        <f t="shared" si="88"/>
        <v/>
      </c>
      <c r="IM23" s="14" t="str">
        <f t="shared" si="89"/>
        <v/>
      </c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11" t="str">
        <f t="shared" si="90"/>
        <v/>
      </c>
      <c r="JD23" s="11" t="str">
        <f t="shared" si="91"/>
        <v/>
      </c>
      <c r="JE23" s="11" t="str">
        <f t="shared" si="92"/>
        <v/>
      </c>
      <c r="JF23" s="11" t="str">
        <f t="shared" si="93"/>
        <v/>
      </c>
      <c r="JG23" s="11" t="str">
        <f t="shared" si="94"/>
        <v/>
      </c>
      <c r="JH23" s="11" t="str">
        <f t="shared" si="95"/>
        <v/>
      </c>
      <c r="JI23" s="11" t="str">
        <f t="shared" si="96"/>
        <v/>
      </c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14" t="str">
        <f t="shared" si="97"/>
        <v/>
      </c>
      <c r="JZ23" s="14" t="str">
        <f t="shared" si="98"/>
        <v/>
      </c>
      <c r="KA23" s="14" t="str">
        <f t="shared" si="99"/>
        <v/>
      </c>
      <c r="KB23" s="14" t="str">
        <f t="shared" si="100"/>
        <v/>
      </c>
      <c r="KC23" s="14" t="str">
        <f t="shared" si="101"/>
        <v/>
      </c>
      <c r="KD23" s="14" t="str">
        <f t="shared" si="102"/>
        <v/>
      </c>
      <c r="KE23" s="14" t="str">
        <f t="shared" si="103"/>
        <v/>
      </c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11" t="str">
        <f t="shared" si="104"/>
        <v/>
      </c>
      <c r="KV23" s="11" t="str">
        <f t="shared" si="105"/>
        <v/>
      </c>
      <c r="KW23" s="11" t="str">
        <f t="shared" si="106"/>
        <v/>
      </c>
      <c r="KX23" s="11" t="str">
        <f t="shared" si="107"/>
        <v/>
      </c>
      <c r="KY23" s="11" t="str">
        <f t="shared" si="108"/>
        <v/>
      </c>
      <c r="KZ23" s="11" t="str">
        <f t="shared" si="109"/>
        <v/>
      </c>
      <c r="LA23" s="11" t="str">
        <f t="shared" si="110"/>
        <v/>
      </c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14" t="str">
        <f t="shared" si="111"/>
        <v/>
      </c>
      <c r="LR23" s="14" t="str">
        <f t="shared" si="112"/>
        <v/>
      </c>
      <c r="LS23" s="14" t="str">
        <f t="shared" si="113"/>
        <v/>
      </c>
      <c r="LT23" s="14" t="str">
        <f t="shared" si="114"/>
        <v/>
      </c>
      <c r="LU23" s="14" t="str">
        <f t="shared" si="115"/>
        <v/>
      </c>
      <c r="LV23" s="14" t="str">
        <f t="shared" si="116"/>
        <v/>
      </c>
      <c r="LW23" s="14" t="str">
        <f t="shared" si="117"/>
        <v/>
      </c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11" t="str">
        <f t="shared" si="118"/>
        <v/>
      </c>
      <c r="MN23" s="11" t="str">
        <f t="shared" si="119"/>
        <v/>
      </c>
      <c r="MO23" s="11" t="str">
        <f t="shared" si="120"/>
        <v/>
      </c>
      <c r="MP23" s="11" t="str">
        <f t="shared" si="121"/>
        <v/>
      </c>
      <c r="MQ23" s="11" t="str">
        <f t="shared" si="122"/>
        <v/>
      </c>
      <c r="MR23" s="11" t="str">
        <f t="shared" si="123"/>
        <v/>
      </c>
      <c r="MS23" s="11" t="str">
        <f t="shared" si="124"/>
        <v/>
      </c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14" t="str">
        <f t="shared" si="125"/>
        <v/>
      </c>
      <c r="NJ23" s="14" t="str">
        <f t="shared" si="126"/>
        <v/>
      </c>
      <c r="NK23" s="14" t="str">
        <f t="shared" si="127"/>
        <v/>
      </c>
      <c r="NL23" s="14" t="str">
        <f t="shared" si="128"/>
        <v/>
      </c>
      <c r="NM23" s="14" t="str">
        <f t="shared" si="129"/>
        <v/>
      </c>
      <c r="NN23" s="14" t="str">
        <f t="shared" si="130"/>
        <v/>
      </c>
      <c r="NO23" s="14" t="str">
        <f t="shared" si="131"/>
        <v/>
      </c>
      <c r="NP23" s="69">
        <f t="shared" si="132"/>
        <v>0</v>
      </c>
      <c r="NQ23" s="69">
        <f t="shared" si="133"/>
        <v>0</v>
      </c>
      <c r="NR23" s="69">
        <f t="shared" si="134"/>
        <v>0</v>
      </c>
      <c r="NS23" s="69">
        <f t="shared" si="135"/>
        <v>0</v>
      </c>
      <c r="NT23" s="69">
        <f t="shared" si="136"/>
        <v>0</v>
      </c>
      <c r="NU23" s="69">
        <f t="shared" si="137"/>
        <v>0</v>
      </c>
      <c r="NV23" s="69">
        <f t="shared" si="138"/>
        <v>0</v>
      </c>
      <c r="NW23" s="69">
        <f t="shared" si="139"/>
        <v>0</v>
      </c>
      <c r="NX23" s="69">
        <f t="shared" si="140"/>
        <v>0</v>
      </c>
      <c r="NY23" s="69">
        <f t="shared" si="141"/>
        <v>0</v>
      </c>
      <c r="NZ23" s="69">
        <f t="shared" si="142"/>
        <v>0</v>
      </c>
      <c r="OA23" s="69">
        <f t="shared" si="143"/>
        <v>0</v>
      </c>
      <c r="OB23" s="69">
        <f t="shared" si="144"/>
        <v>0</v>
      </c>
      <c r="OC23" s="69">
        <f t="shared" si="145"/>
        <v>0</v>
      </c>
      <c r="OD23" s="69">
        <f t="shared" si="146"/>
        <v>0</v>
      </c>
      <c r="OE23" s="69">
        <f t="shared" si="147"/>
        <v>0</v>
      </c>
      <c r="OF23" s="69">
        <f t="shared" si="148"/>
        <v>0</v>
      </c>
      <c r="OG23" s="69">
        <f t="shared" si="149"/>
        <v>0</v>
      </c>
      <c r="OH23" s="69">
        <f t="shared" si="150"/>
        <v>0</v>
      </c>
      <c r="OI23" s="69">
        <f t="shared" si="151"/>
        <v>0</v>
      </c>
      <c r="OJ23" s="80" t="s">
        <v>88</v>
      </c>
      <c r="OK23" s="11" t="str">
        <f t="shared" si="152"/>
        <v/>
      </c>
      <c r="OL23" s="11" t="str">
        <f t="shared" si="153"/>
        <v/>
      </c>
      <c r="OM23" s="11" t="str">
        <f t="shared" si="154"/>
        <v/>
      </c>
      <c r="ON23" s="11" t="str">
        <f t="shared" si="155"/>
        <v/>
      </c>
      <c r="OO23" s="11" t="str">
        <f t="shared" si="156"/>
        <v/>
      </c>
      <c r="OP23" s="11" t="str">
        <f t="shared" si="157"/>
        <v/>
      </c>
      <c r="OQ23" s="11" t="str">
        <f t="shared" si="158"/>
        <v/>
      </c>
      <c r="OR23" s="11" t="str">
        <f t="shared" ref="OR23" si="161">IF(SUM(OE23:OH23)-OI23&gt;0,SUM(OE23:OH23)-OI23,"")</f>
        <v/>
      </c>
      <c r="OS23" s="11" t="str">
        <f t="shared" ref="OS23" si="162">IF(SUM(OP23,OR23)&gt;0,SUM(OP23,OR23),"")</f>
        <v/>
      </c>
    </row>
    <row r="24" spans="1:409" x14ac:dyDescent="0.2">
      <c r="A24" s="5" t="str" cm="1">
        <f t="array" ref="A24">IF(AND(G24&lt;&gt;"",H24&lt;&gt;""),SUMPRODUCT((G$4:G$27&lt;&gt;"")*(H$4:H$27&lt;&gt;"")*(E$4:E$27&gt;E24))+1,IF(H24&lt;&gt;"",SUMPRODUCT((I$4:I$27="No DD")*(E$4:E$27&gt;E24))+1+SUMPRODUCT((G$4:G$27&lt;&gt;"")*(H$4:H$27&lt;&gt;"")),""))</f>
        <v/>
      </c>
      <c r="B24" s="6" t="s">
        <v>115</v>
      </c>
      <c r="C24" s="7" t="s">
        <v>10</v>
      </c>
      <c r="D24" s="27">
        <v>2000</v>
      </c>
      <c r="E24" s="15">
        <f t="shared" si="0"/>
        <v>87.97</v>
      </c>
      <c r="F24" s="3" t="str">
        <f t="shared" si="1"/>
        <v/>
      </c>
      <c r="G24" s="125" t="str">
        <f t="shared" si="2"/>
        <v/>
      </c>
      <c r="H24" s="125" t="str">
        <f t="shared" si="3"/>
        <v/>
      </c>
      <c r="I24" s="126" t="str">
        <f t="shared" si="4"/>
        <v/>
      </c>
      <c r="J24" s="3" t="str">
        <f t="shared" si="5"/>
        <v/>
      </c>
      <c r="K24" s="14">
        <f t="shared" si="6"/>
        <v>87.97</v>
      </c>
      <c r="L24" s="14" t="str">
        <f t="shared" si="7"/>
        <v>2019 Nationals</v>
      </c>
      <c r="M24" s="14">
        <f t="shared" si="8"/>
        <v>0</v>
      </c>
      <c r="N24" s="14" t="str">
        <f t="shared" si="9"/>
        <v/>
      </c>
      <c r="O24" s="14">
        <f t="shared" si="10"/>
        <v>0</v>
      </c>
      <c r="P24" s="14" t="str">
        <f t="shared" si="11"/>
        <v/>
      </c>
      <c r="Q24" s="14">
        <f t="shared" si="12"/>
        <v>0</v>
      </c>
      <c r="R24" s="14" t="str">
        <f t="shared" si="13"/>
        <v/>
      </c>
      <c r="S24" s="14" t="str">
        <f t="shared" si="14"/>
        <v/>
      </c>
      <c r="T24" s="25" t="str">
        <f t="shared" si="15"/>
        <v/>
      </c>
      <c r="U24" s="14" t="str">
        <f t="shared" si="16"/>
        <v/>
      </c>
      <c r="V24" s="69">
        <v>13.4</v>
      </c>
      <c r="W24" s="69">
        <v>7.1</v>
      </c>
      <c r="X24" s="69">
        <v>1.6</v>
      </c>
      <c r="Y24" s="69">
        <v>13.73</v>
      </c>
      <c r="Z24" s="69">
        <v>0</v>
      </c>
      <c r="AA24" s="69">
        <v>13.9</v>
      </c>
      <c r="AB24" s="69">
        <v>8.8000000000000007</v>
      </c>
      <c r="AC24" s="69">
        <v>13.2</v>
      </c>
      <c r="AD24" s="69">
        <v>16.54</v>
      </c>
      <c r="AE24" s="69">
        <v>0.3</v>
      </c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80"/>
      <c r="AQ24" s="11">
        <f t="shared" si="17"/>
        <v>35.83</v>
      </c>
      <c r="AR24" s="11">
        <f t="shared" si="18"/>
        <v>13.2</v>
      </c>
      <c r="AS24" s="11">
        <f t="shared" si="19"/>
        <v>52.140000000000008</v>
      </c>
      <c r="AT24" s="11" t="str">
        <f t="shared" si="20"/>
        <v/>
      </c>
      <c r="AU24" s="11" t="str">
        <f t="shared" si="21"/>
        <v/>
      </c>
      <c r="AV24" s="11">
        <f t="shared" si="22"/>
        <v>87.97</v>
      </c>
      <c r="AW24" s="11" t="str">
        <f t="shared" si="23"/>
        <v/>
      </c>
      <c r="AX24" s="11" t="str">
        <f t="shared" si="24"/>
        <v/>
      </c>
      <c r="AY24" s="11">
        <f t="shared" si="25"/>
        <v>87.97</v>
      </c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81"/>
      <c r="BU24" s="14" t="str">
        <f t="shared" si="26"/>
        <v/>
      </c>
      <c r="BV24" s="14" t="str">
        <f t="shared" si="27"/>
        <v/>
      </c>
      <c r="BW24" s="14" t="str">
        <f t="shared" si="28"/>
        <v/>
      </c>
      <c r="BX24" s="14" t="str">
        <f t="shared" si="29"/>
        <v/>
      </c>
      <c r="BY24" s="14" t="str">
        <f t="shared" si="30"/>
        <v/>
      </c>
      <c r="BZ24" s="14" t="str">
        <f t="shared" si="31"/>
        <v/>
      </c>
      <c r="CA24" s="14" t="str">
        <f t="shared" si="32"/>
        <v/>
      </c>
      <c r="CB24" s="14" t="str">
        <f t="shared" si="33"/>
        <v/>
      </c>
      <c r="CC24" s="14" t="str">
        <f t="shared" si="34"/>
        <v/>
      </c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80"/>
      <c r="CY24" s="11" t="str">
        <f t="shared" si="35"/>
        <v/>
      </c>
      <c r="CZ24" s="11" t="str">
        <f t="shared" si="36"/>
        <v/>
      </c>
      <c r="DA24" s="11" t="str">
        <f t="shared" si="37"/>
        <v/>
      </c>
      <c r="DB24" s="11" t="str">
        <f t="shared" si="38"/>
        <v/>
      </c>
      <c r="DC24" s="11" t="str">
        <f t="shared" si="39"/>
        <v/>
      </c>
      <c r="DD24" s="11" t="str">
        <f t="shared" si="40"/>
        <v/>
      </c>
      <c r="DE24" s="11" t="str">
        <f t="shared" si="41"/>
        <v/>
      </c>
      <c r="DF24" s="11" t="str">
        <f t="shared" si="42"/>
        <v/>
      </c>
      <c r="DG24" s="11" t="str">
        <f t="shared" si="43"/>
        <v/>
      </c>
      <c r="DH24" s="24" t="str">
        <f t="shared" si="44"/>
        <v/>
      </c>
      <c r="DI24" s="24" t="str">
        <f t="shared" si="45"/>
        <v/>
      </c>
      <c r="DJ24" s="24" t="str">
        <f t="shared" si="46"/>
        <v/>
      </c>
      <c r="DK24" s="24" t="str">
        <f t="shared" si="47"/>
        <v/>
      </c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11" t="str">
        <f t="shared" si="48"/>
        <v/>
      </c>
      <c r="EB24" s="11" t="str">
        <f t="shared" si="49"/>
        <v/>
      </c>
      <c r="EC24" s="11" t="str">
        <f t="shared" si="50"/>
        <v/>
      </c>
      <c r="ED24" s="11" t="str">
        <f t="shared" si="51"/>
        <v/>
      </c>
      <c r="EE24" s="11" t="str">
        <f t="shared" si="52"/>
        <v/>
      </c>
      <c r="EF24" s="11" t="str">
        <f t="shared" si="53"/>
        <v/>
      </c>
      <c r="EG24" s="11" t="str">
        <f t="shared" si="54"/>
        <v/>
      </c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14" t="str">
        <f t="shared" si="55"/>
        <v/>
      </c>
      <c r="EX24" s="14" t="str">
        <f t="shared" si="56"/>
        <v/>
      </c>
      <c r="EY24" s="14" t="str">
        <f t="shared" si="57"/>
        <v/>
      </c>
      <c r="EZ24" s="14" t="str">
        <f t="shared" si="58"/>
        <v/>
      </c>
      <c r="FA24" s="14" t="str">
        <f t="shared" si="59"/>
        <v/>
      </c>
      <c r="FB24" s="14" t="str">
        <f t="shared" si="60"/>
        <v/>
      </c>
      <c r="FC24" s="14" t="str">
        <f t="shared" si="61"/>
        <v/>
      </c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11" t="str">
        <f t="shared" si="62"/>
        <v/>
      </c>
      <c r="FT24" s="11" t="str">
        <f t="shared" si="63"/>
        <v/>
      </c>
      <c r="FU24" s="11" t="str">
        <f t="shared" si="64"/>
        <v/>
      </c>
      <c r="FV24" s="11" t="str">
        <f t="shared" si="65"/>
        <v/>
      </c>
      <c r="FW24" s="11" t="str">
        <f t="shared" si="66"/>
        <v/>
      </c>
      <c r="FX24" s="11" t="str">
        <f t="shared" si="67"/>
        <v/>
      </c>
      <c r="FY24" s="11" t="str">
        <f t="shared" si="68"/>
        <v/>
      </c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14" t="str">
        <f t="shared" si="69"/>
        <v/>
      </c>
      <c r="GP24" s="14" t="str">
        <f t="shared" si="70"/>
        <v/>
      </c>
      <c r="GQ24" s="14" t="str">
        <f t="shared" si="71"/>
        <v/>
      </c>
      <c r="GR24" s="14" t="str">
        <f t="shared" si="72"/>
        <v/>
      </c>
      <c r="GS24" s="14" t="str">
        <f t="shared" si="73"/>
        <v/>
      </c>
      <c r="GT24" s="14" t="str">
        <f t="shared" si="74"/>
        <v/>
      </c>
      <c r="GU24" s="14" t="str">
        <f t="shared" si="75"/>
        <v/>
      </c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11" t="str">
        <f t="shared" si="76"/>
        <v/>
      </c>
      <c r="HL24" s="11" t="str">
        <f t="shared" si="77"/>
        <v/>
      </c>
      <c r="HM24" s="11" t="str">
        <f t="shared" si="78"/>
        <v/>
      </c>
      <c r="HN24" s="11" t="str">
        <f t="shared" si="79"/>
        <v/>
      </c>
      <c r="HO24" s="11" t="str">
        <f t="shared" si="80"/>
        <v/>
      </c>
      <c r="HP24" s="11" t="str">
        <f t="shared" si="81"/>
        <v/>
      </c>
      <c r="HQ24" s="11" t="str">
        <f t="shared" si="82"/>
        <v/>
      </c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14" t="str">
        <f t="shared" si="83"/>
        <v/>
      </c>
      <c r="IH24" s="14" t="str">
        <f t="shared" si="84"/>
        <v/>
      </c>
      <c r="II24" s="14" t="str">
        <f t="shared" si="85"/>
        <v/>
      </c>
      <c r="IJ24" s="14" t="str">
        <f t="shared" si="86"/>
        <v/>
      </c>
      <c r="IK24" s="14" t="str">
        <f t="shared" si="87"/>
        <v/>
      </c>
      <c r="IL24" s="14" t="str">
        <f t="shared" si="88"/>
        <v/>
      </c>
      <c r="IM24" s="14" t="str">
        <f t="shared" si="89"/>
        <v/>
      </c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11" t="str">
        <f t="shared" si="90"/>
        <v/>
      </c>
      <c r="JD24" s="11" t="str">
        <f t="shared" si="91"/>
        <v/>
      </c>
      <c r="JE24" s="11" t="str">
        <f t="shared" si="92"/>
        <v/>
      </c>
      <c r="JF24" s="11" t="str">
        <f t="shared" si="93"/>
        <v/>
      </c>
      <c r="JG24" s="11" t="str">
        <f t="shared" si="94"/>
        <v/>
      </c>
      <c r="JH24" s="11" t="str">
        <f t="shared" si="95"/>
        <v/>
      </c>
      <c r="JI24" s="11" t="str">
        <f t="shared" si="96"/>
        <v/>
      </c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14" t="str">
        <f t="shared" si="97"/>
        <v/>
      </c>
      <c r="JZ24" s="14" t="str">
        <f t="shared" si="98"/>
        <v/>
      </c>
      <c r="KA24" s="14" t="str">
        <f t="shared" si="99"/>
        <v/>
      </c>
      <c r="KB24" s="14" t="str">
        <f t="shared" si="100"/>
        <v/>
      </c>
      <c r="KC24" s="14" t="str">
        <f t="shared" si="101"/>
        <v/>
      </c>
      <c r="KD24" s="14" t="str">
        <f t="shared" si="102"/>
        <v/>
      </c>
      <c r="KE24" s="14" t="str">
        <f t="shared" si="103"/>
        <v/>
      </c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11" t="str">
        <f t="shared" si="104"/>
        <v/>
      </c>
      <c r="KV24" s="11" t="str">
        <f t="shared" si="105"/>
        <v/>
      </c>
      <c r="KW24" s="11" t="str">
        <f t="shared" si="106"/>
        <v/>
      </c>
      <c r="KX24" s="11" t="str">
        <f t="shared" si="107"/>
        <v/>
      </c>
      <c r="KY24" s="11" t="str">
        <f t="shared" si="108"/>
        <v/>
      </c>
      <c r="KZ24" s="11" t="str">
        <f t="shared" si="109"/>
        <v/>
      </c>
      <c r="LA24" s="11" t="str">
        <f t="shared" si="110"/>
        <v/>
      </c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14" t="str">
        <f t="shared" si="111"/>
        <v/>
      </c>
      <c r="LR24" s="14" t="str">
        <f t="shared" si="112"/>
        <v/>
      </c>
      <c r="LS24" s="14" t="str">
        <f t="shared" si="113"/>
        <v/>
      </c>
      <c r="LT24" s="14" t="str">
        <f t="shared" si="114"/>
        <v/>
      </c>
      <c r="LU24" s="14" t="str">
        <f t="shared" si="115"/>
        <v/>
      </c>
      <c r="LV24" s="14" t="str">
        <f t="shared" si="116"/>
        <v/>
      </c>
      <c r="LW24" s="14" t="str">
        <f t="shared" si="117"/>
        <v/>
      </c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11" t="str">
        <f t="shared" si="118"/>
        <v/>
      </c>
      <c r="MN24" s="11" t="str">
        <f t="shared" si="119"/>
        <v/>
      </c>
      <c r="MO24" s="11" t="str">
        <f t="shared" si="120"/>
        <v/>
      </c>
      <c r="MP24" s="11" t="str">
        <f t="shared" si="121"/>
        <v/>
      </c>
      <c r="MQ24" s="11" t="str">
        <f t="shared" si="122"/>
        <v/>
      </c>
      <c r="MR24" s="11" t="str">
        <f t="shared" si="123"/>
        <v/>
      </c>
      <c r="MS24" s="11" t="str">
        <f t="shared" si="124"/>
        <v/>
      </c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14" t="str">
        <f t="shared" si="125"/>
        <v/>
      </c>
      <c r="NJ24" s="14" t="str">
        <f t="shared" si="126"/>
        <v/>
      </c>
      <c r="NK24" s="14" t="str">
        <f t="shared" si="127"/>
        <v/>
      </c>
      <c r="NL24" s="14" t="str">
        <f t="shared" si="128"/>
        <v/>
      </c>
      <c r="NM24" s="14" t="str">
        <f t="shared" si="129"/>
        <v/>
      </c>
      <c r="NN24" s="14" t="str">
        <f t="shared" si="130"/>
        <v/>
      </c>
      <c r="NO24" s="14" t="str">
        <f t="shared" si="131"/>
        <v/>
      </c>
      <c r="NP24" s="69">
        <f t="shared" si="132"/>
        <v>0</v>
      </c>
      <c r="NQ24" s="69">
        <f t="shared" si="133"/>
        <v>0</v>
      </c>
      <c r="NR24" s="69">
        <f t="shared" si="134"/>
        <v>0</v>
      </c>
      <c r="NS24" s="69">
        <f t="shared" si="135"/>
        <v>0</v>
      </c>
      <c r="NT24" s="69">
        <f t="shared" si="136"/>
        <v>0</v>
      </c>
      <c r="NU24" s="69">
        <f t="shared" si="137"/>
        <v>0</v>
      </c>
      <c r="NV24" s="69">
        <f t="shared" si="138"/>
        <v>0</v>
      </c>
      <c r="NW24" s="69">
        <f t="shared" si="139"/>
        <v>0</v>
      </c>
      <c r="NX24" s="69">
        <f t="shared" si="140"/>
        <v>0</v>
      </c>
      <c r="NY24" s="69">
        <f t="shared" si="141"/>
        <v>0</v>
      </c>
      <c r="NZ24" s="69">
        <f t="shared" si="142"/>
        <v>0</v>
      </c>
      <c r="OA24" s="69">
        <f t="shared" si="143"/>
        <v>0</v>
      </c>
      <c r="OB24" s="69">
        <f t="shared" si="144"/>
        <v>0</v>
      </c>
      <c r="OC24" s="69">
        <f t="shared" si="145"/>
        <v>0</v>
      </c>
      <c r="OD24" s="69">
        <f t="shared" si="146"/>
        <v>0</v>
      </c>
      <c r="OE24" s="69">
        <f t="shared" si="147"/>
        <v>0</v>
      </c>
      <c r="OF24" s="69">
        <f t="shared" si="148"/>
        <v>0</v>
      </c>
      <c r="OG24" s="69">
        <f t="shared" si="149"/>
        <v>0</v>
      </c>
      <c r="OH24" s="69">
        <f t="shared" si="150"/>
        <v>0</v>
      </c>
      <c r="OI24" s="69">
        <f t="shared" si="151"/>
        <v>0</v>
      </c>
      <c r="OJ24" s="80" t="s">
        <v>88</v>
      </c>
      <c r="OK24" s="11" t="str">
        <f t="shared" si="152"/>
        <v/>
      </c>
      <c r="OL24" s="11" t="str">
        <f t="shared" si="153"/>
        <v/>
      </c>
      <c r="OM24" s="11" t="str">
        <f t="shared" si="154"/>
        <v/>
      </c>
      <c r="ON24" s="11" t="str">
        <f t="shared" si="155"/>
        <v/>
      </c>
      <c r="OO24" s="11" t="str">
        <f t="shared" si="156"/>
        <v/>
      </c>
      <c r="OP24" s="11" t="str">
        <f t="shared" si="157"/>
        <v/>
      </c>
      <c r="OQ24" s="11" t="str">
        <f t="shared" si="158"/>
        <v/>
      </c>
      <c r="OR24" s="11" t="str">
        <f t="shared" ref="OR24" si="163">IF(SUM(OE24:OH24)-OI24&gt;0,SUM(OE24:OH24)-OI24,"")</f>
        <v/>
      </c>
      <c r="OS24" s="11" t="str">
        <f t="shared" ref="OS24" si="164">IF(SUM(OP24,OR24)&gt;0,SUM(OP24,OR24),"")</f>
        <v/>
      </c>
    </row>
    <row r="25" spans="1:409" x14ac:dyDescent="0.2">
      <c r="A25" s="5" t="str" cm="1">
        <f t="array" ref="A25">IF(AND(G25&lt;&gt;"",H25&lt;&gt;""),SUMPRODUCT((G$4:G$27&lt;&gt;"")*(H$4:H$27&lt;&gt;"")*(E$4:E$27&gt;E25))+1,IF(H25&lt;&gt;"",SUMPRODUCT((I$4:I$27="No DD")*(E$4:E$27&gt;E25))+1+SUMPRODUCT((G$4:G$27&lt;&gt;"")*(H$4:H$27&lt;&gt;"")),""))</f>
        <v/>
      </c>
      <c r="B25" s="6" t="s">
        <v>81</v>
      </c>
      <c r="C25" s="7" t="s">
        <v>5</v>
      </c>
      <c r="D25" s="27">
        <v>1999</v>
      </c>
      <c r="E25" s="15">
        <f t="shared" si="0"/>
        <v>77.585000000000008</v>
      </c>
      <c r="F25" s="3" t="str">
        <f t="shared" si="1"/>
        <v/>
      </c>
      <c r="G25" s="125" t="str">
        <f t="shared" si="2"/>
        <v/>
      </c>
      <c r="H25" s="125" t="str">
        <f t="shared" si="3"/>
        <v/>
      </c>
      <c r="I25" s="126" t="str">
        <f t="shared" si="4"/>
        <v/>
      </c>
      <c r="J25" s="3" t="str">
        <f t="shared" si="5"/>
        <v/>
      </c>
      <c r="K25" s="14">
        <f t="shared" si="6"/>
        <v>77.585000000000008</v>
      </c>
      <c r="L25" s="14" t="str">
        <f t="shared" si="7"/>
        <v>2019 Nationals</v>
      </c>
      <c r="M25" s="14">
        <f t="shared" si="8"/>
        <v>0</v>
      </c>
      <c r="N25" s="14" t="str">
        <f t="shared" si="9"/>
        <v/>
      </c>
      <c r="O25" s="14">
        <f t="shared" si="10"/>
        <v>0</v>
      </c>
      <c r="P25" s="14" t="str">
        <f t="shared" si="11"/>
        <v/>
      </c>
      <c r="Q25" s="14">
        <f t="shared" si="12"/>
        <v>0</v>
      </c>
      <c r="R25" s="14" t="str">
        <f t="shared" si="13"/>
        <v/>
      </c>
      <c r="S25" s="14" t="str">
        <f t="shared" si="14"/>
        <v/>
      </c>
      <c r="T25" s="25" t="str">
        <f t="shared" si="15"/>
        <v/>
      </c>
      <c r="U25" s="14" t="str">
        <f t="shared" si="16"/>
        <v/>
      </c>
      <c r="V25" s="69">
        <v>17.100000000000001</v>
      </c>
      <c r="W25" s="69">
        <v>9.5</v>
      </c>
      <c r="X25" s="69">
        <v>4</v>
      </c>
      <c r="Y25" s="69">
        <v>16.27</v>
      </c>
      <c r="Z25" s="69">
        <v>0</v>
      </c>
      <c r="AA25" s="69">
        <v>9</v>
      </c>
      <c r="AB25" s="69">
        <v>5.3</v>
      </c>
      <c r="AC25" s="69">
        <v>7.2</v>
      </c>
      <c r="AD25" s="69">
        <v>9.2149999999999999</v>
      </c>
      <c r="AE25" s="69">
        <v>0</v>
      </c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80"/>
      <c r="AQ25" s="11">
        <f t="shared" si="17"/>
        <v>46.870000000000005</v>
      </c>
      <c r="AR25" s="11">
        <f t="shared" si="18"/>
        <v>7.2</v>
      </c>
      <c r="AS25" s="11">
        <f t="shared" si="19"/>
        <v>30.715</v>
      </c>
      <c r="AT25" s="11" t="str">
        <f t="shared" si="20"/>
        <v/>
      </c>
      <c r="AU25" s="11" t="str">
        <f t="shared" si="21"/>
        <v/>
      </c>
      <c r="AV25" s="11">
        <f t="shared" si="22"/>
        <v>77.585000000000008</v>
      </c>
      <c r="AW25" s="11" t="str">
        <f t="shared" si="23"/>
        <v/>
      </c>
      <c r="AX25" s="11" t="str">
        <f t="shared" si="24"/>
        <v/>
      </c>
      <c r="AY25" s="11">
        <f t="shared" si="25"/>
        <v>77.585000000000008</v>
      </c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81"/>
      <c r="BU25" s="14" t="str">
        <f t="shared" si="26"/>
        <v/>
      </c>
      <c r="BV25" s="14" t="str">
        <f t="shared" si="27"/>
        <v/>
      </c>
      <c r="BW25" s="14" t="str">
        <f t="shared" si="28"/>
        <v/>
      </c>
      <c r="BX25" s="14" t="str">
        <f t="shared" si="29"/>
        <v/>
      </c>
      <c r="BY25" s="14" t="str">
        <f t="shared" si="30"/>
        <v/>
      </c>
      <c r="BZ25" s="14" t="str">
        <f t="shared" si="31"/>
        <v/>
      </c>
      <c r="CA25" s="14" t="str">
        <f t="shared" si="32"/>
        <v/>
      </c>
      <c r="CB25" s="14" t="str">
        <f t="shared" si="33"/>
        <v/>
      </c>
      <c r="CC25" s="14" t="str">
        <f t="shared" si="34"/>
        <v/>
      </c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80"/>
      <c r="CY25" s="11" t="str">
        <f t="shared" si="35"/>
        <v/>
      </c>
      <c r="CZ25" s="11" t="str">
        <f t="shared" si="36"/>
        <v/>
      </c>
      <c r="DA25" s="11" t="str">
        <f t="shared" si="37"/>
        <v/>
      </c>
      <c r="DB25" s="11" t="str">
        <f t="shared" si="38"/>
        <v/>
      </c>
      <c r="DC25" s="11" t="str">
        <f t="shared" si="39"/>
        <v/>
      </c>
      <c r="DD25" s="11" t="str">
        <f t="shared" si="40"/>
        <v/>
      </c>
      <c r="DE25" s="11" t="str">
        <f t="shared" si="41"/>
        <v/>
      </c>
      <c r="DF25" s="11" t="str">
        <f t="shared" si="42"/>
        <v/>
      </c>
      <c r="DG25" s="11" t="str">
        <f t="shared" si="43"/>
        <v/>
      </c>
      <c r="DH25" s="24" t="str">
        <f t="shared" si="44"/>
        <v/>
      </c>
      <c r="DI25" s="24" t="str">
        <f t="shared" si="45"/>
        <v/>
      </c>
      <c r="DJ25" s="24" t="str">
        <f t="shared" si="46"/>
        <v/>
      </c>
      <c r="DK25" s="24" t="str">
        <f t="shared" si="47"/>
        <v/>
      </c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11" t="str">
        <f t="shared" si="48"/>
        <v/>
      </c>
      <c r="EB25" s="11" t="str">
        <f t="shared" si="49"/>
        <v/>
      </c>
      <c r="EC25" s="11" t="str">
        <f t="shared" si="50"/>
        <v/>
      </c>
      <c r="ED25" s="11" t="str">
        <f t="shared" si="51"/>
        <v/>
      </c>
      <c r="EE25" s="11" t="str">
        <f t="shared" si="52"/>
        <v/>
      </c>
      <c r="EF25" s="11" t="str">
        <f t="shared" si="53"/>
        <v/>
      </c>
      <c r="EG25" s="11" t="str">
        <f t="shared" si="54"/>
        <v/>
      </c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14" t="str">
        <f t="shared" si="55"/>
        <v/>
      </c>
      <c r="EX25" s="14" t="str">
        <f t="shared" si="56"/>
        <v/>
      </c>
      <c r="EY25" s="14" t="str">
        <f t="shared" si="57"/>
        <v/>
      </c>
      <c r="EZ25" s="14" t="str">
        <f t="shared" si="58"/>
        <v/>
      </c>
      <c r="FA25" s="14" t="str">
        <f t="shared" si="59"/>
        <v/>
      </c>
      <c r="FB25" s="14" t="str">
        <f t="shared" si="60"/>
        <v/>
      </c>
      <c r="FC25" s="14" t="str">
        <f t="shared" si="61"/>
        <v/>
      </c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11" t="str">
        <f t="shared" si="62"/>
        <v/>
      </c>
      <c r="FT25" s="11" t="str">
        <f t="shared" si="63"/>
        <v/>
      </c>
      <c r="FU25" s="11" t="str">
        <f t="shared" si="64"/>
        <v/>
      </c>
      <c r="FV25" s="11" t="str">
        <f t="shared" si="65"/>
        <v/>
      </c>
      <c r="FW25" s="11" t="str">
        <f t="shared" si="66"/>
        <v/>
      </c>
      <c r="FX25" s="11" t="str">
        <f t="shared" si="67"/>
        <v/>
      </c>
      <c r="FY25" s="11" t="str">
        <f t="shared" si="68"/>
        <v/>
      </c>
      <c r="FZ25" s="38"/>
      <c r="GA25" s="38"/>
      <c r="GB25" s="38"/>
      <c r="GC25" s="38"/>
      <c r="GD25" s="38"/>
      <c r="GE25" s="38"/>
      <c r="GF25" s="38"/>
      <c r="GG25" s="38"/>
      <c r="GH25" s="38"/>
      <c r="GI25" s="38"/>
      <c r="GJ25" s="38"/>
      <c r="GK25" s="38"/>
      <c r="GL25" s="38"/>
      <c r="GM25" s="38"/>
      <c r="GN25" s="38"/>
      <c r="GO25" s="14" t="str">
        <f t="shared" si="69"/>
        <v/>
      </c>
      <c r="GP25" s="14" t="str">
        <f t="shared" si="70"/>
        <v/>
      </c>
      <c r="GQ25" s="14" t="str">
        <f t="shared" si="71"/>
        <v/>
      </c>
      <c r="GR25" s="14" t="str">
        <f t="shared" si="72"/>
        <v/>
      </c>
      <c r="GS25" s="14" t="str">
        <f t="shared" si="73"/>
        <v/>
      </c>
      <c r="GT25" s="14" t="str">
        <f t="shared" si="74"/>
        <v/>
      </c>
      <c r="GU25" s="14" t="str">
        <f t="shared" si="75"/>
        <v/>
      </c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11" t="str">
        <f t="shared" si="76"/>
        <v/>
      </c>
      <c r="HL25" s="11" t="str">
        <f t="shared" si="77"/>
        <v/>
      </c>
      <c r="HM25" s="11" t="str">
        <f t="shared" si="78"/>
        <v/>
      </c>
      <c r="HN25" s="11" t="str">
        <f t="shared" si="79"/>
        <v/>
      </c>
      <c r="HO25" s="11" t="str">
        <f t="shared" si="80"/>
        <v/>
      </c>
      <c r="HP25" s="11" t="str">
        <f t="shared" si="81"/>
        <v/>
      </c>
      <c r="HQ25" s="11" t="str">
        <f t="shared" si="82"/>
        <v/>
      </c>
      <c r="HR25" s="38"/>
      <c r="HS25" s="38"/>
      <c r="HT25" s="38"/>
      <c r="HU25" s="38"/>
      <c r="HV25" s="38"/>
      <c r="HW25" s="38"/>
      <c r="HX25" s="38"/>
      <c r="HY25" s="38"/>
      <c r="HZ25" s="38"/>
      <c r="IA25" s="38"/>
      <c r="IB25" s="38"/>
      <c r="IC25" s="38"/>
      <c r="ID25" s="38"/>
      <c r="IE25" s="38"/>
      <c r="IF25" s="38"/>
      <c r="IG25" s="14" t="str">
        <f t="shared" si="83"/>
        <v/>
      </c>
      <c r="IH25" s="14" t="str">
        <f t="shared" si="84"/>
        <v/>
      </c>
      <c r="II25" s="14" t="str">
        <f t="shared" si="85"/>
        <v/>
      </c>
      <c r="IJ25" s="14" t="str">
        <f t="shared" si="86"/>
        <v/>
      </c>
      <c r="IK25" s="14" t="str">
        <f t="shared" si="87"/>
        <v/>
      </c>
      <c r="IL25" s="14" t="str">
        <f t="shared" si="88"/>
        <v/>
      </c>
      <c r="IM25" s="14" t="str">
        <f t="shared" si="89"/>
        <v/>
      </c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11" t="str">
        <f t="shared" si="90"/>
        <v/>
      </c>
      <c r="JD25" s="11" t="str">
        <f t="shared" si="91"/>
        <v/>
      </c>
      <c r="JE25" s="11" t="str">
        <f t="shared" si="92"/>
        <v/>
      </c>
      <c r="JF25" s="11" t="str">
        <f t="shared" si="93"/>
        <v/>
      </c>
      <c r="JG25" s="11" t="str">
        <f t="shared" si="94"/>
        <v/>
      </c>
      <c r="JH25" s="11" t="str">
        <f t="shared" si="95"/>
        <v/>
      </c>
      <c r="JI25" s="11" t="str">
        <f t="shared" si="96"/>
        <v/>
      </c>
      <c r="JJ25" s="38"/>
      <c r="JK25" s="38"/>
      <c r="JL25" s="38"/>
      <c r="JM25" s="38"/>
      <c r="JN25" s="38"/>
      <c r="JO25" s="38"/>
      <c r="JP25" s="38"/>
      <c r="JQ25" s="38"/>
      <c r="JR25" s="38"/>
      <c r="JS25" s="38"/>
      <c r="JT25" s="38"/>
      <c r="JU25" s="38"/>
      <c r="JV25" s="38"/>
      <c r="JW25" s="38"/>
      <c r="JX25" s="38"/>
      <c r="JY25" s="14" t="str">
        <f t="shared" si="97"/>
        <v/>
      </c>
      <c r="JZ25" s="14" t="str">
        <f t="shared" si="98"/>
        <v/>
      </c>
      <c r="KA25" s="14" t="str">
        <f t="shared" si="99"/>
        <v/>
      </c>
      <c r="KB25" s="14" t="str">
        <f t="shared" si="100"/>
        <v/>
      </c>
      <c r="KC25" s="14" t="str">
        <f t="shared" si="101"/>
        <v/>
      </c>
      <c r="KD25" s="14" t="str">
        <f t="shared" si="102"/>
        <v/>
      </c>
      <c r="KE25" s="14" t="str">
        <f t="shared" si="103"/>
        <v/>
      </c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11" t="str">
        <f t="shared" si="104"/>
        <v/>
      </c>
      <c r="KV25" s="11" t="str">
        <f t="shared" si="105"/>
        <v/>
      </c>
      <c r="KW25" s="11" t="str">
        <f t="shared" si="106"/>
        <v/>
      </c>
      <c r="KX25" s="11" t="str">
        <f t="shared" si="107"/>
        <v/>
      </c>
      <c r="KY25" s="11" t="str">
        <f t="shared" si="108"/>
        <v/>
      </c>
      <c r="KZ25" s="11" t="str">
        <f t="shared" si="109"/>
        <v/>
      </c>
      <c r="LA25" s="11" t="str">
        <f t="shared" si="110"/>
        <v/>
      </c>
      <c r="LB25" s="38"/>
      <c r="LC25" s="38"/>
      <c r="LD25" s="38"/>
      <c r="LE25" s="38"/>
      <c r="LF25" s="38"/>
      <c r="LG25" s="38"/>
      <c r="LH25" s="38"/>
      <c r="LI25" s="38"/>
      <c r="LJ25" s="38"/>
      <c r="LK25" s="38"/>
      <c r="LL25" s="38"/>
      <c r="LM25" s="38"/>
      <c r="LN25" s="38"/>
      <c r="LO25" s="38"/>
      <c r="LP25" s="38"/>
      <c r="LQ25" s="14" t="str">
        <f t="shared" si="111"/>
        <v/>
      </c>
      <c r="LR25" s="14" t="str">
        <f t="shared" si="112"/>
        <v/>
      </c>
      <c r="LS25" s="14" t="str">
        <f t="shared" si="113"/>
        <v/>
      </c>
      <c r="LT25" s="14" t="str">
        <f t="shared" si="114"/>
        <v/>
      </c>
      <c r="LU25" s="14" t="str">
        <f t="shared" si="115"/>
        <v/>
      </c>
      <c r="LV25" s="14" t="str">
        <f t="shared" si="116"/>
        <v/>
      </c>
      <c r="LW25" s="14" t="str">
        <f t="shared" si="117"/>
        <v/>
      </c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11" t="str">
        <f t="shared" si="118"/>
        <v/>
      </c>
      <c r="MN25" s="11" t="str">
        <f t="shared" si="119"/>
        <v/>
      </c>
      <c r="MO25" s="11" t="str">
        <f t="shared" si="120"/>
        <v/>
      </c>
      <c r="MP25" s="11" t="str">
        <f t="shared" si="121"/>
        <v/>
      </c>
      <c r="MQ25" s="11" t="str">
        <f t="shared" si="122"/>
        <v/>
      </c>
      <c r="MR25" s="11" t="str">
        <f t="shared" si="123"/>
        <v/>
      </c>
      <c r="MS25" s="11" t="str">
        <f t="shared" si="124"/>
        <v/>
      </c>
      <c r="MT25" s="38"/>
      <c r="MU25" s="38"/>
      <c r="MV25" s="38"/>
      <c r="MW25" s="38"/>
      <c r="MX25" s="38"/>
      <c r="MY25" s="38"/>
      <c r="MZ25" s="38"/>
      <c r="NA25" s="38"/>
      <c r="NB25" s="38"/>
      <c r="NC25" s="38"/>
      <c r="ND25" s="38"/>
      <c r="NE25" s="38"/>
      <c r="NF25" s="38"/>
      <c r="NG25" s="38"/>
      <c r="NH25" s="38"/>
      <c r="NI25" s="14" t="str">
        <f t="shared" si="125"/>
        <v/>
      </c>
      <c r="NJ25" s="14" t="str">
        <f t="shared" si="126"/>
        <v/>
      </c>
      <c r="NK25" s="14" t="str">
        <f t="shared" si="127"/>
        <v/>
      </c>
      <c r="NL25" s="14" t="str">
        <f t="shared" si="128"/>
        <v/>
      </c>
      <c r="NM25" s="14" t="str">
        <f t="shared" si="129"/>
        <v/>
      </c>
      <c r="NN25" s="14" t="str">
        <f t="shared" si="130"/>
        <v/>
      </c>
      <c r="NO25" s="14" t="str">
        <f t="shared" si="131"/>
        <v/>
      </c>
      <c r="NP25" s="69">
        <f t="shared" si="132"/>
        <v>0</v>
      </c>
      <c r="NQ25" s="69">
        <f t="shared" si="133"/>
        <v>0</v>
      </c>
      <c r="NR25" s="69">
        <f t="shared" si="134"/>
        <v>0</v>
      </c>
      <c r="NS25" s="69">
        <f t="shared" si="135"/>
        <v>0</v>
      </c>
      <c r="NT25" s="69">
        <f t="shared" si="136"/>
        <v>0</v>
      </c>
      <c r="NU25" s="69">
        <f t="shared" si="137"/>
        <v>0</v>
      </c>
      <c r="NV25" s="69">
        <f t="shared" si="138"/>
        <v>0</v>
      </c>
      <c r="NW25" s="69">
        <f t="shared" si="139"/>
        <v>0</v>
      </c>
      <c r="NX25" s="69">
        <f t="shared" si="140"/>
        <v>0</v>
      </c>
      <c r="NY25" s="69">
        <f t="shared" si="141"/>
        <v>0</v>
      </c>
      <c r="NZ25" s="69">
        <f t="shared" si="142"/>
        <v>0</v>
      </c>
      <c r="OA25" s="69">
        <f t="shared" si="143"/>
        <v>0</v>
      </c>
      <c r="OB25" s="69">
        <f t="shared" si="144"/>
        <v>0</v>
      </c>
      <c r="OC25" s="69">
        <f t="shared" si="145"/>
        <v>0</v>
      </c>
      <c r="OD25" s="69">
        <f t="shared" si="146"/>
        <v>0</v>
      </c>
      <c r="OE25" s="69">
        <f t="shared" si="147"/>
        <v>0</v>
      </c>
      <c r="OF25" s="69">
        <f t="shared" si="148"/>
        <v>0</v>
      </c>
      <c r="OG25" s="69">
        <f t="shared" si="149"/>
        <v>0</v>
      </c>
      <c r="OH25" s="69">
        <f t="shared" si="150"/>
        <v>0</v>
      </c>
      <c r="OI25" s="69">
        <f t="shared" si="151"/>
        <v>0</v>
      </c>
      <c r="OJ25" s="80" t="s">
        <v>88</v>
      </c>
      <c r="OK25" s="11" t="str">
        <f t="shared" si="152"/>
        <v/>
      </c>
      <c r="OL25" s="11" t="str">
        <f t="shared" si="153"/>
        <v/>
      </c>
      <c r="OM25" s="11" t="str">
        <f t="shared" si="154"/>
        <v/>
      </c>
      <c r="ON25" s="11" t="str">
        <f t="shared" si="155"/>
        <v/>
      </c>
      <c r="OO25" s="11" t="str">
        <f t="shared" si="156"/>
        <v/>
      </c>
      <c r="OP25" s="11" t="str">
        <f t="shared" si="157"/>
        <v/>
      </c>
      <c r="OQ25" s="11" t="str">
        <f t="shared" si="158"/>
        <v/>
      </c>
      <c r="OR25" s="11" t="str">
        <f t="shared" ref="OR25" si="165">IF(SUM(OE25:OH25)-OI25&gt;0,SUM(OE25:OH25)-OI25,"")</f>
        <v/>
      </c>
      <c r="OS25" s="11" t="str">
        <f t="shared" ref="OS25" si="166">IF(SUM(OP25,OR25)&gt;0,SUM(OP25,OR25),"")</f>
        <v/>
      </c>
    </row>
    <row r="26" spans="1:409" x14ac:dyDescent="0.2">
      <c r="A26" s="5" t="str" cm="1">
        <f t="array" ref="A26">IF(AND(G26&lt;&gt;"",H26&lt;&gt;""),SUMPRODUCT((G$4:G$27&lt;&gt;"")*(H$4:H$27&lt;&gt;"")*(E$4:E$27&gt;E26))+1,IF(H26&lt;&gt;"",SUMPRODUCT((I$4:I$27="No DD")*(E$4:E$27&gt;E26))+1+SUMPRODUCT((G$4:G$27&lt;&gt;"")*(H$4:H$27&lt;&gt;"")),""))</f>
        <v/>
      </c>
      <c r="B26" s="6" t="s">
        <v>12</v>
      </c>
      <c r="C26" s="7" t="s">
        <v>6</v>
      </c>
      <c r="D26" s="5">
        <v>1996</v>
      </c>
      <c r="E26" s="15">
        <f t="shared" si="0"/>
        <v>63.315000000000005</v>
      </c>
      <c r="F26" s="3" t="str">
        <f t="shared" si="1"/>
        <v/>
      </c>
      <c r="G26" s="125" t="str">
        <f t="shared" si="2"/>
        <v/>
      </c>
      <c r="H26" s="125" t="str">
        <f t="shared" si="3"/>
        <v/>
      </c>
      <c r="I26" s="126" t="str">
        <f t="shared" si="4"/>
        <v/>
      </c>
      <c r="J26" s="3" t="str">
        <f t="shared" si="5"/>
        <v/>
      </c>
      <c r="K26" s="14">
        <f t="shared" si="6"/>
        <v>63.315000000000005</v>
      </c>
      <c r="L26" s="14" t="str">
        <f t="shared" si="7"/>
        <v>2019 Nationals</v>
      </c>
      <c r="M26" s="14">
        <f t="shared" si="8"/>
        <v>0</v>
      </c>
      <c r="N26" s="14" t="str">
        <f t="shared" si="9"/>
        <v/>
      </c>
      <c r="O26" s="14">
        <f t="shared" si="10"/>
        <v>0</v>
      </c>
      <c r="P26" s="14" t="str">
        <f t="shared" si="11"/>
        <v/>
      </c>
      <c r="Q26" s="14">
        <f t="shared" si="12"/>
        <v>0</v>
      </c>
      <c r="R26" s="14" t="str">
        <f t="shared" si="13"/>
        <v/>
      </c>
      <c r="S26" s="14" t="str">
        <f t="shared" si="14"/>
        <v/>
      </c>
      <c r="T26" s="25" t="str">
        <f t="shared" si="15"/>
        <v/>
      </c>
      <c r="U26" s="14" t="str">
        <f t="shared" si="16"/>
        <v/>
      </c>
      <c r="V26" s="69">
        <v>5.9</v>
      </c>
      <c r="W26" s="69">
        <v>2.8</v>
      </c>
      <c r="X26" s="69">
        <v>0</v>
      </c>
      <c r="Y26" s="69">
        <v>4.8550000000000004</v>
      </c>
      <c r="Z26" s="69">
        <v>0</v>
      </c>
      <c r="AA26" s="69">
        <v>13.9</v>
      </c>
      <c r="AB26" s="69">
        <v>8.9</v>
      </c>
      <c r="AC26" s="69">
        <v>12.7</v>
      </c>
      <c r="AD26" s="69">
        <v>15.06</v>
      </c>
      <c r="AE26" s="69">
        <v>0.8</v>
      </c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80"/>
      <c r="AQ26" s="11">
        <f t="shared" si="17"/>
        <v>13.555</v>
      </c>
      <c r="AR26" s="11">
        <f t="shared" si="18"/>
        <v>12.7</v>
      </c>
      <c r="AS26" s="11">
        <f t="shared" si="19"/>
        <v>49.760000000000005</v>
      </c>
      <c r="AT26" s="11" t="str">
        <f t="shared" si="20"/>
        <v/>
      </c>
      <c r="AU26" s="11" t="str">
        <f t="shared" si="21"/>
        <v/>
      </c>
      <c r="AV26" s="11">
        <f t="shared" si="22"/>
        <v>63.315000000000005</v>
      </c>
      <c r="AW26" s="11" t="str">
        <f t="shared" si="23"/>
        <v/>
      </c>
      <c r="AX26" s="11" t="str">
        <f t="shared" si="24"/>
        <v/>
      </c>
      <c r="AY26" s="11">
        <f t="shared" si="25"/>
        <v>63.315000000000005</v>
      </c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81"/>
      <c r="BU26" s="14" t="str">
        <f t="shared" si="26"/>
        <v/>
      </c>
      <c r="BV26" s="14" t="str">
        <f t="shared" si="27"/>
        <v/>
      </c>
      <c r="BW26" s="14" t="str">
        <f t="shared" si="28"/>
        <v/>
      </c>
      <c r="BX26" s="14" t="str">
        <f t="shared" si="29"/>
        <v/>
      </c>
      <c r="BY26" s="14" t="str">
        <f t="shared" si="30"/>
        <v/>
      </c>
      <c r="BZ26" s="14" t="str">
        <f t="shared" si="31"/>
        <v/>
      </c>
      <c r="CA26" s="14" t="str">
        <f t="shared" si="32"/>
        <v/>
      </c>
      <c r="CB26" s="14" t="str">
        <f t="shared" si="33"/>
        <v/>
      </c>
      <c r="CC26" s="14" t="str">
        <f t="shared" si="34"/>
        <v/>
      </c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80"/>
      <c r="CY26" s="11" t="str">
        <f t="shared" si="35"/>
        <v/>
      </c>
      <c r="CZ26" s="11" t="str">
        <f t="shared" si="36"/>
        <v/>
      </c>
      <c r="DA26" s="11" t="str">
        <f t="shared" si="37"/>
        <v/>
      </c>
      <c r="DB26" s="11" t="str">
        <f t="shared" si="38"/>
        <v/>
      </c>
      <c r="DC26" s="11" t="str">
        <f t="shared" si="39"/>
        <v/>
      </c>
      <c r="DD26" s="11" t="str">
        <f t="shared" si="40"/>
        <v/>
      </c>
      <c r="DE26" s="11" t="str">
        <f t="shared" si="41"/>
        <v/>
      </c>
      <c r="DF26" s="11" t="str">
        <f t="shared" si="42"/>
        <v/>
      </c>
      <c r="DG26" s="11" t="str">
        <f t="shared" si="43"/>
        <v/>
      </c>
      <c r="DH26" s="24" t="str">
        <f t="shared" si="44"/>
        <v/>
      </c>
      <c r="DI26" s="24" t="str">
        <f t="shared" si="45"/>
        <v/>
      </c>
      <c r="DJ26" s="24" t="str">
        <f t="shared" si="46"/>
        <v/>
      </c>
      <c r="DK26" s="24" t="str">
        <f t="shared" si="47"/>
        <v/>
      </c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11" t="str">
        <f t="shared" si="48"/>
        <v/>
      </c>
      <c r="EB26" s="11" t="str">
        <f t="shared" si="49"/>
        <v/>
      </c>
      <c r="EC26" s="11" t="str">
        <f t="shared" si="50"/>
        <v/>
      </c>
      <c r="ED26" s="11" t="str">
        <f t="shared" si="51"/>
        <v/>
      </c>
      <c r="EE26" s="11" t="str">
        <f t="shared" si="52"/>
        <v/>
      </c>
      <c r="EF26" s="11" t="str">
        <f t="shared" si="53"/>
        <v/>
      </c>
      <c r="EG26" s="11" t="str">
        <f t="shared" si="54"/>
        <v/>
      </c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14" t="str">
        <f t="shared" si="55"/>
        <v/>
      </c>
      <c r="EX26" s="14" t="str">
        <f t="shared" si="56"/>
        <v/>
      </c>
      <c r="EY26" s="14" t="str">
        <f t="shared" si="57"/>
        <v/>
      </c>
      <c r="EZ26" s="14" t="str">
        <f t="shared" si="58"/>
        <v/>
      </c>
      <c r="FA26" s="14" t="str">
        <f t="shared" si="59"/>
        <v/>
      </c>
      <c r="FB26" s="14" t="str">
        <f t="shared" si="60"/>
        <v/>
      </c>
      <c r="FC26" s="14" t="str">
        <f t="shared" si="61"/>
        <v/>
      </c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11" t="str">
        <f t="shared" si="62"/>
        <v/>
      </c>
      <c r="FT26" s="11" t="str">
        <f t="shared" si="63"/>
        <v/>
      </c>
      <c r="FU26" s="11" t="str">
        <f t="shared" si="64"/>
        <v/>
      </c>
      <c r="FV26" s="11" t="str">
        <f t="shared" si="65"/>
        <v/>
      </c>
      <c r="FW26" s="11" t="str">
        <f t="shared" si="66"/>
        <v/>
      </c>
      <c r="FX26" s="11" t="str">
        <f t="shared" si="67"/>
        <v/>
      </c>
      <c r="FY26" s="11" t="str">
        <f t="shared" si="68"/>
        <v/>
      </c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14" t="str">
        <f t="shared" si="69"/>
        <v/>
      </c>
      <c r="GP26" s="14" t="str">
        <f t="shared" si="70"/>
        <v/>
      </c>
      <c r="GQ26" s="14" t="str">
        <f t="shared" si="71"/>
        <v/>
      </c>
      <c r="GR26" s="14" t="str">
        <f t="shared" si="72"/>
        <v/>
      </c>
      <c r="GS26" s="14" t="str">
        <f t="shared" si="73"/>
        <v/>
      </c>
      <c r="GT26" s="14" t="str">
        <f t="shared" si="74"/>
        <v/>
      </c>
      <c r="GU26" s="14" t="str">
        <f t="shared" si="75"/>
        <v/>
      </c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11" t="str">
        <f t="shared" si="76"/>
        <v/>
      </c>
      <c r="HL26" s="11" t="str">
        <f t="shared" si="77"/>
        <v/>
      </c>
      <c r="HM26" s="11" t="str">
        <f t="shared" si="78"/>
        <v/>
      </c>
      <c r="HN26" s="11" t="str">
        <f t="shared" si="79"/>
        <v/>
      </c>
      <c r="HO26" s="11" t="str">
        <f t="shared" si="80"/>
        <v/>
      </c>
      <c r="HP26" s="11" t="str">
        <f t="shared" si="81"/>
        <v/>
      </c>
      <c r="HQ26" s="11" t="str">
        <f t="shared" si="82"/>
        <v/>
      </c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14" t="str">
        <f t="shared" si="83"/>
        <v/>
      </c>
      <c r="IH26" s="14" t="str">
        <f t="shared" si="84"/>
        <v/>
      </c>
      <c r="II26" s="14" t="str">
        <f t="shared" si="85"/>
        <v/>
      </c>
      <c r="IJ26" s="14" t="str">
        <f t="shared" si="86"/>
        <v/>
      </c>
      <c r="IK26" s="14" t="str">
        <f t="shared" si="87"/>
        <v/>
      </c>
      <c r="IL26" s="14" t="str">
        <f t="shared" si="88"/>
        <v/>
      </c>
      <c r="IM26" s="14" t="str">
        <f t="shared" si="89"/>
        <v/>
      </c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11" t="str">
        <f t="shared" si="90"/>
        <v/>
      </c>
      <c r="JD26" s="11" t="str">
        <f t="shared" si="91"/>
        <v/>
      </c>
      <c r="JE26" s="11" t="str">
        <f t="shared" si="92"/>
        <v/>
      </c>
      <c r="JF26" s="11" t="str">
        <f t="shared" si="93"/>
        <v/>
      </c>
      <c r="JG26" s="11" t="str">
        <f t="shared" si="94"/>
        <v/>
      </c>
      <c r="JH26" s="11" t="str">
        <f t="shared" si="95"/>
        <v/>
      </c>
      <c r="JI26" s="11" t="str">
        <f t="shared" si="96"/>
        <v/>
      </c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14" t="str">
        <f t="shared" si="97"/>
        <v/>
      </c>
      <c r="JZ26" s="14" t="str">
        <f t="shared" si="98"/>
        <v/>
      </c>
      <c r="KA26" s="14" t="str">
        <f t="shared" si="99"/>
        <v/>
      </c>
      <c r="KB26" s="14" t="str">
        <f t="shared" si="100"/>
        <v/>
      </c>
      <c r="KC26" s="14" t="str">
        <f t="shared" si="101"/>
        <v/>
      </c>
      <c r="KD26" s="14" t="str">
        <f t="shared" si="102"/>
        <v/>
      </c>
      <c r="KE26" s="14" t="str">
        <f t="shared" si="103"/>
        <v/>
      </c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11" t="str">
        <f t="shared" si="104"/>
        <v/>
      </c>
      <c r="KV26" s="11" t="str">
        <f t="shared" si="105"/>
        <v/>
      </c>
      <c r="KW26" s="11" t="str">
        <f t="shared" si="106"/>
        <v/>
      </c>
      <c r="KX26" s="11" t="str">
        <f t="shared" si="107"/>
        <v/>
      </c>
      <c r="KY26" s="11" t="str">
        <f t="shared" si="108"/>
        <v/>
      </c>
      <c r="KZ26" s="11" t="str">
        <f t="shared" si="109"/>
        <v/>
      </c>
      <c r="LA26" s="11" t="str">
        <f t="shared" si="110"/>
        <v/>
      </c>
      <c r="LB26" s="38"/>
      <c r="LC26" s="38"/>
      <c r="LD26" s="38"/>
      <c r="LE26" s="38"/>
      <c r="LF26" s="38"/>
      <c r="LG26" s="38"/>
      <c r="LH26" s="38"/>
      <c r="LI26" s="38"/>
      <c r="LJ26" s="38"/>
      <c r="LK26" s="38"/>
      <c r="LL26" s="38"/>
      <c r="LM26" s="38"/>
      <c r="LN26" s="38"/>
      <c r="LO26" s="38"/>
      <c r="LP26" s="38"/>
      <c r="LQ26" s="14" t="str">
        <f t="shared" si="111"/>
        <v/>
      </c>
      <c r="LR26" s="14" t="str">
        <f t="shared" si="112"/>
        <v/>
      </c>
      <c r="LS26" s="14" t="str">
        <f t="shared" si="113"/>
        <v/>
      </c>
      <c r="LT26" s="14" t="str">
        <f t="shared" si="114"/>
        <v/>
      </c>
      <c r="LU26" s="14" t="str">
        <f t="shared" si="115"/>
        <v/>
      </c>
      <c r="LV26" s="14" t="str">
        <f t="shared" si="116"/>
        <v/>
      </c>
      <c r="LW26" s="14" t="str">
        <f t="shared" si="117"/>
        <v/>
      </c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11" t="str">
        <f t="shared" si="118"/>
        <v/>
      </c>
      <c r="MN26" s="11" t="str">
        <f t="shared" si="119"/>
        <v/>
      </c>
      <c r="MO26" s="11" t="str">
        <f t="shared" si="120"/>
        <v/>
      </c>
      <c r="MP26" s="11" t="str">
        <f t="shared" si="121"/>
        <v/>
      </c>
      <c r="MQ26" s="11" t="str">
        <f t="shared" si="122"/>
        <v/>
      </c>
      <c r="MR26" s="11" t="str">
        <f t="shared" si="123"/>
        <v/>
      </c>
      <c r="MS26" s="11" t="str">
        <f t="shared" si="124"/>
        <v/>
      </c>
      <c r="MT26" s="38"/>
      <c r="MU26" s="38"/>
      <c r="MV26" s="38"/>
      <c r="MW26" s="38"/>
      <c r="MX26" s="38"/>
      <c r="MY26" s="38"/>
      <c r="MZ26" s="38"/>
      <c r="NA26" s="38"/>
      <c r="NB26" s="38"/>
      <c r="NC26" s="38"/>
      <c r="ND26" s="38"/>
      <c r="NE26" s="38"/>
      <c r="NF26" s="38"/>
      <c r="NG26" s="38"/>
      <c r="NH26" s="38"/>
      <c r="NI26" s="14" t="str">
        <f t="shared" si="125"/>
        <v/>
      </c>
      <c r="NJ26" s="14" t="str">
        <f t="shared" si="126"/>
        <v/>
      </c>
      <c r="NK26" s="14" t="str">
        <f t="shared" si="127"/>
        <v/>
      </c>
      <c r="NL26" s="14" t="str">
        <f t="shared" si="128"/>
        <v/>
      </c>
      <c r="NM26" s="14" t="str">
        <f t="shared" si="129"/>
        <v/>
      </c>
      <c r="NN26" s="14" t="str">
        <f t="shared" si="130"/>
        <v/>
      </c>
      <c r="NO26" s="14" t="str">
        <f t="shared" si="131"/>
        <v/>
      </c>
      <c r="NP26" s="69">
        <f t="shared" si="132"/>
        <v>0</v>
      </c>
      <c r="NQ26" s="69">
        <f t="shared" si="133"/>
        <v>0</v>
      </c>
      <c r="NR26" s="69">
        <f t="shared" si="134"/>
        <v>0</v>
      </c>
      <c r="NS26" s="69">
        <f t="shared" si="135"/>
        <v>0</v>
      </c>
      <c r="NT26" s="69">
        <f t="shared" si="136"/>
        <v>0</v>
      </c>
      <c r="NU26" s="69">
        <f t="shared" si="137"/>
        <v>0</v>
      </c>
      <c r="NV26" s="69">
        <f t="shared" si="138"/>
        <v>0</v>
      </c>
      <c r="NW26" s="69">
        <f t="shared" si="139"/>
        <v>0</v>
      </c>
      <c r="NX26" s="69">
        <f t="shared" si="140"/>
        <v>0</v>
      </c>
      <c r="NY26" s="69">
        <f t="shared" si="141"/>
        <v>0</v>
      </c>
      <c r="NZ26" s="69">
        <f t="shared" si="142"/>
        <v>0</v>
      </c>
      <c r="OA26" s="69">
        <f t="shared" si="143"/>
        <v>0</v>
      </c>
      <c r="OB26" s="69">
        <f t="shared" si="144"/>
        <v>0</v>
      </c>
      <c r="OC26" s="69">
        <f t="shared" si="145"/>
        <v>0</v>
      </c>
      <c r="OD26" s="69">
        <f t="shared" si="146"/>
        <v>0</v>
      </c>
      <c r="OE26" s="69">
        <f t="shared" si="147"/>
        <v>0</v>
      </c>
      <c r="OF26" s="69">
        <f t="shared" si="148"/>
        <v>0</v>
      </c>
      <c r="OG26" s="69">
        <f t="shared" si="149"/>
        <v>0</v>
      </c>
      <c r="OH26" s="69">
        <f t="shared" si="150"/>
        <v>0</v>
      </c>
      <c r="OI26" s="69">
        <f t="shared" si="151"/>
        <v>0</v>
      </c>
      <c r="OJ26" s="80" t="s">
        <v>88</v>
      </c>
      <c r="OK26" s="11" t="str">
        <f t="shared" si="152"/>
        <v/>
      </c>
      <c r="OL26" s="11" t="str">
        <f t="shared" si="153"/>
        <v/>
      </c>
      <c r="OM26" s="11" t="str">
        <f t="shared" si="154"/>
        <v/>
      </c>
      <c r="ON26" s="11" t="str">
        <f t="shared" si="155"/>
        <v/>
      </c>
      <c r="OO26" s="11" t="str">
        <f t="shared" si="156"/>
        <v/>
      </c>
      <c r="OP26" s="11" t="str">
        <f t="shared" si="157"/>
        <v/>
      </c>
      <c r="OQ26" s="11" t="str">
        <f t="shared" si="158"/>
        <v/>
      </c>
      <c r="OR26" s="11" t="str">
        <f t="shared" ref="OR26" si="167">IF(SUM(OE26:OH26)-OI26&gt;0,SUM(OE26:OH26)-OI26,"")</f>
        <v/>
      </c>
      <c r="OS26" s="11" t="str">
        <f t="shared" ref="OS26" si="168">IF(SUM(OP26,OR26)&gt;0,SUM(OP26,OR26),"")</f>
        <v/>
      </c>
    </row>
    <row r="27" spans="1:409" x14ac:dyDescent="0.2">
      <c r="B27" s="6"/>
      <c r="D27" s="1"/>
    </row>
    <row r="28" spans="1:409" x14ac:dyDescent="0.2">
      <c r="H28" s="125"/>
      <c r="J28" s="125"/>
    </row>
    <row r="29" spans="1:409" x14ac:dyDescent="0.2">
      <c r="B29" s="70" t="s">
        <v>78</v>
      </c>
      <c r="C29" s="56"/>
      <c r="H29" s="3"/>
      <c r="AR29" s="124"/>
      <c r="AS29" s="124"/>
      <c r="AT29" s="124"/>
      <c r="AW29" s="54"/>
      <c r="AY29" s="64">
        <v>14.4</v>
      </c>
      <c r="BV29" s="124"/>
      <c r="BW29" s="124"/>
      <c r="BX29" s="124"/>
      <c r="CA29" s="54"/>
      <c r="CC29" s="64">
        <v>14.4</v>
      </c>
      <c r="CZ29" s="124"/>
      <c r="DA29" s="124"/>
      <c r="DB29" s="124"/>
      <c r="DE29" s="54"/>
      <c r="DG29" s="64">
        <v>14.4</v>
      </c>
      <c r="EA29" s="56"/>
      <c r="EE29" s="54"/>
      <c r="EG29" s="64">
        <v>14.4</v>
      </c>
      <c r="EW29" s="56"/>
      <c r="FA29" s="54"/>
      <c r="FC29" s="64">
        <v>14.4</v>
      </c>
      <c r="FS29" s="56"/>
      <c r="FW29" s="54"/>
      <c r="FY29" s="64">
        <v>14.4</v>
      </c>
      <c r="GO29" s="56"/>
      <c r="GS29" s="54"/>
      <c r="GU29" s="64">
        <v>14.4</v>
      </c>
      <c r="HK29" s="56"/>
      <c r="HO29" s="54"/>
      <c r="HQ29" s="64">
        <v>14.4</v>
      </c>
      <c r="IG29" s="56"/>
      <c r="IK29" s="54"/>
      <c r="IM29" s="64">
        <v>14.4</v>
      </c>
      <c r="JC29" s="56"/>
      <c r="JG29" s="54"/>
      <c r="JI29" s="64">
        <v>14.4</v>
      </c>
      <c r="JY29" s="56"/>
      <c r="KC29" s="54"/>
      <c r="KE29" s="64">
        <v>14.4</v>
      </c>
      <c r="KU29" s="56"/>
      <c r="KY29" s="54"/>
      <c r="LA29" s="64">
        <v>14.4</v>
      </c>
      <c r="LQ29" s="56"/>
      <c r="LU29" s="54"/>
      <c r="LW29" s="64">
        <v>14.4</v>
      </c>
      <c r="MM29" s="56"/>
      <c r="MQ29" s="54"/>
      <c r="MS29" s="64">
        <v>14.4</v>
      </c>
      <c r="NI29" s="56"/>
      <c r="NM29" s="54"/>
      <c r="NO29" s="64">
        <v>14.4</v>
      </c>
    </row>
    <row r="30" spans="1:409" x14ac:dyDescent="0.2">
      <c r="B30" s="91" t="s">
        <v>77</v>
      </c>
      <c r="C30" s="56"/>
      <c r="AR30" s="124"/>
      <c r="AS30" s="124"/>
      <c r="AT30" s="124"/>
      <c r="AW30" s="54"/>
      <c r="AY30" s="106">
        <v>15.4</v>
      </c>
      <c r="BV30" s="124"/>
      <c r="BW30" s="124"/>
      <c r="BX30" s="124"/>
      <c r="CA30" s="54"/>
      <c r="CC30" s="106">
        <v>15.4</v>
      </c>
      <c r="CZ30" s="124"/>
      <c r="DA30" s="124"/>
      <c r="DB30" s="124"/>
      <c r="DE30" s="54"/>
      <c r="DG30" s="106">
        <v>15.4</v>
      </c>
      <c r="EA30" s="56"/>
      <c r="EE30" s="54"/>
      <c r="EG30" s="106">
        <v>15.4</v>
      </c>
      <c r="EW30" s="56"/>
      <c r="FA30" s="54"/>
      <c r="FC30" s="106">
        <v>15.4</v>
      </c>
      <c r="FS30" s="56"/>
      <c r="FW30" s="54"/>
      <c r="FY30" s="106">
        <v>15.4</v>
      </c>
      <c r="GO30" s="56"/>
      <c r="GS30" s="54"/>
      <c r="GU30" s="106">
        <v>15.4</v>
      </c>
      <c r="HK30" s="56"/>
      <c r="HO30" s="54"/>
      <c r="HQ30" s="106">
        <v>15.4</v>
      </c>
      <c r="IG30" s="56"/>
      <c r="IK30" s="54"/>
      <c r="IM30" s="106">
        <v>15.4</v>
      </c>
      <c r="JC30" s="56"/>
      <c r="JG30" s="54"/>
      <c r="JI30" s="106">
        <v>15.4</v>
      </c>
      <c r="JY30" s="56"/>
      <c r="KC30" s="54"/>
      <c r="KE30" s="106">
        <v>15.4</v>
      </c>
      <c r="KU30" s="56"/>
      <c r="KY30" s="54"/>
      <c r="LA30" s="106">
        <v>15.4</v>
      </c>
      <c r="LQ30" s="56"/>
      <c r="LU30" s="54"/>
      <c r="LW30" s="106">
        <v>15.4</v>
      </c>
      <c r="MM30" s="56"/>
      <c r="MQ30" s="54"/>
      <c r="MS30" s="106">
        <v>15.4</v>
      </c>
      <c r="NI30" s="56"/>
      <c r="NM30" s="54"/>
      <c r="NO30" s="106">
        <v>15.4</v>
      </c>
    </row>
    <row r="31" spans="1:409" x14ac:dyDescent="0.2">
      <c r="A31" s="56"/>
      <c r="B31" s="92" t="s">
        <v>112</v>
      </c>
      <c r="C31" s="56"/>
      <c r="AR31" s="124"/>
      <c r="AS31" s="124"/>
      <c r="AT31" s="124"/>
      <c r="AV31" s="54"/>
      <c r="AW31" s="54"/>
      <c r="AX31" s="54"/>
      <c r="AY31" s="94">
        <v>15.4</v>
      </c>
      <c r="BV31" s="124"/>
      <c r="BW31" s="124"/>
      <c r="BX31" s="124"/>
      <c r="CA31" s="54"/>
      <c r="CC31" s="94">
        <v>15.4</v>
      </c>
      <c r="CZ31" s="124"/>
      <c r="DA31" s="124"/>
      <c r="DB31" s="124"/>
      <c r="DD31" s="54"/>
      <c r="DE31" s="54"/>
      <c r="DF31" s="54"/>
      <c r="DG31" s="94">
        <v>15.4</v>
      </c>
      <c r="EA31" s="56"/>
      <c r="EE31" s="54"/>
      <c r="EG31" s="94">
        <v>15.4</v>
      </c>
      <c r="EW31" s="56"/>
      <c r="FA31" s="54"/>
      <c r="FC31" s="94">
        <v>15.4</v>
      </c>
      <c r="FS31" s="56"/>
      <c r="FW31" s="54"/>
      <c r="FY31" s="94">
        <v>15.4</v>
      </c>
      <c r="GO31" s="56"/>
      <c r="GS31" s="54"/>
      <c r="GU31" s="94">
        <v>15.4</v>
      </c>
      <c r="HK31" s="56"/>
      <c r="HO31" s="54"/>
      <c r="HQ31" s="94">
        <v>15.4</v>
      </c>
      <c r="IG31" s="56"/>
      <c r="IK31" s="54"/>
      <c r="IM31" s="94">
        <v>15.4</v>
      </c>
      <c r="JC31" s="56"/>
      <c r="JG31" s="54"/>
      <c r="JI31" s="94">
        <v>15.4</v>
      </c>
      <c r="JY31" s="56"/>
      <c r="KC31" s="54"/>
      <c r="KE31" s="94">
        <v>15.4</v>
      </c>
      <c r="KU31" s="56"/>
      <c r="KY31" s="54"/>
      <c r="LA31" s="94">
        <v>15.4</v>
      </c>
      <c r="LQ31" s="56"/>
      <c r="LU31" s="54"/>
      <c r="LW31" s="94">
        <v>15.4</v>
      </c>
      <c r="MM31" s="56"/>
      <c r="MQ31" s="54"/>
      <c r="MS31" s="94">
        <v>15.4</v>
      </c>
      <c r="NI31" s="56"/>
      <c r="NM31" s="54"/>
      <c r="NO31" s="94">
        <v>15.4</v>
      </c>
    </row>
    <row r="32" spans="1:409" x14ac:dyDescent="0.2">
      <c r="A32" s="56"/>
      <c r="B32" s="120" t="s">
        <v>161</v>
      </c>
      <c r="C32" s="56"/>
      <c r="AR32" s="124"/>
      <c r="AS32" s="124"/>
      <c r="AT32" s="124"/>
      <c r="AV32" s="54"/>
      <c r="AW32" s="54"/>
      <c r="AX32" s="54"/>
      <c r="AY32" s="121">
        <v>15.4</v>
      </c>
      <c r="BV32" s="124"/>
      <c r="BW32" s="124"/>
      <c r="BX32" s="124"/>
      <c r="CA32" s="54"/>
      <c r="CC32" s="121">
        <v>15.4</v>
      </c>
      <c r="CZ32" s="124"/>
      <c r="DA32" s="124"/>
      <c r="DB32" s="124"/>
      <c r="DD32" s="54"/>
      <c r="DE32" s="54"/>
      <c r="DF32" s="54"/>
      <c r="DG32" s="121">
        <v>15.4</v>
      </c>
      <c r="EA32" s="56"/>
      <c r="EE32" s="54"/>
      <c r="EG32" s="121">
        <v>15.4</v>
      </c>
      <c r="EW32" s="56"/>
      <c r="FA32" s="54"/>
      <c r="FC32" s="121">
        <v>15.4</v>
      </c>
      <c r="FS32" s="56"/>
      <c r="FW32" s="54"/>
      <c r="FY32" s="121">
        <v>15.4</v>
      </c>
      <c r="GO32" s="56"/>
      <c r="GS32" s="54"/>
      <c r="GU32" s="121">
        <v>15.4</v>
      </c>
      <c r="HK32" s="56"/>
      <c r="HO32" s="54"/>
      <c r="HQ32" s="121">
        <v>15.4</v>
      </c>
      <c r="IG32" s="56"/>
      <c r="IK32" s="54"/>
      <c r="IM32" s="121">
        <v>15.4</v>
      </c>
      <c r="JC32" s="56"/>
      <c r="JG32" s="54"/>
      <c r="JI32" s="121">
        <v>15.4</v>
      </c>
      <c r="JY32" s="56"/>
      <c r="KC32" s="54"/>
      <c r="KE32" s="121">
        <v>15.4</v>
      </c>
      <c r="KU32" s="56"/>
      <c r="KY32" s="54"/>
      <c r="LA32" s="121">
        <v>15.4</v>
      </c>
      <c r="LQ32" s="56"/>
      <c r="LU32" s="54"/>
      <c r="LW32" s="121">
        <v>15.4</v>
      </c>
      <c r="MM32" s="56"/>
      <c r="MQ32" s="54"/>
      <c r="MS32" s="121">
        <v>15.4</v>
      </c>
      <c r="NI32" s="56"/>
      <c r="NM32" s="54"/>
      <c r="NO32" s="121">
        <v>15.4</v>
      </c>
    </row>
    <row r="33" spans="1:379" x14ac:dyDescent="0.2">
      <c r="A33" s="56"/>
      <c r="B33" s="118" t="s">
        <v>75</v>
      </c>
      <c r="C33" s="56"/>
      <c r="O33" s="2"/>
      <c r="AR33" s="124"/>
      <c r="AS33" s="124"/>
      <c r="AT33" s="124"/>
      <c r="AV33" s="54"/>
      <c r="AW33" s="54"/>
      <c r="AX33" s="54"/>
      <c r="AY33" s="119">
        <v>103</v>
      </c>
      <c r="BV33" s="124"/>
      <c r="BW33" s="124"/>
      <c r="BX33" s="124"/>
      <c r="CA33" s="54"/>
      <c r="CC33" s="119">
        <v>103</v>
      </c>
      <c r="CZ33" s="124"/>
      <c r="DA33" s="124"/>
      <c r="DB33" s="124"/>
      <c r="DD33" s="54"/>
      <c r="DE33" s="54"/>
      <c r="DF33" s="54"/>
      <c r="DG33" s="119">
        <v>103</v>
      </c>
      <c r="EA33" s="56"/>
      <c r="EE33" s="54"/>
      <c r="EG33" s="119">
        <v>103</v>
      </c>
      <c r="EW33" s="56"/>
      <c r="FA33" s="54"/>
      <c r="FC33" s="119">
        <v>103</v>
      </c>
      <c r="FS33" s="56"/>
      <c r="FW33" s="54"/>
      <c r="FY33" s="119">
        <v>103</v>
      </c>
      <c r="GO33" s="56"/>
      <c r="GS33" s="54"/>
      <c r="GU33" s="119">
        <v>103</v>
      </c>
      <c r="HK33" s="56"/>
      <c r="HO33" s="54"/>
      <c r="HQ33" s="119">
        <v>103</v>
      </c>
      <c r="IG33" s="56"/>
      <c r="IK33" s="54"/>
      <c r="IM33" s="119">
        <v>103</v>
      </c>
      <c r="JC33" s="56"/>
      <c r="JG33" s="54"/>
      <c r="JI33" s="119">
        <v>103</v>
      </c>
      <c r="JY33" s="56"/>
      <c r="KC33" s="54"/>
      <c r="KE33" s="119">
        <v>103</v>
      </c>
      <c r="KU33" s="56"/>
      <c r="KY33" s="54"/>
      <c r="LA33" s="119">
        <v>103</v>
      </c>
      <c r="LQ33" s="56"/>
      <c r="LU33" s="54"/>
      <c r="LW33" s="119">
        <v>103</v>
      </c>
      <c r="MM33" s="56"/>
      <c r="MQ33" s="54"/>
      <c r="MS33" s="119">
        <v>103</v>
      </c>
      <c r="NI33" s="56"/>
      <c r="NM33" s="54"/>
      <c r="NO33" s="119">
        <v>103</v>
      </c>
    </row>
    <row r="34" spans="1:379" x14ac:dyDescent="0.2">
      <c r="A34" s="56"/>
      <c r="B34" s="72" t="s">
        <v>76</v>
      </c>
      <c r="C34" s="56"/>
      <c r="O34" s="2"/>
      <c r="AR34" s="124"/>
      <c r="AS34" s="124"/>
      <c r="AT34" s="124"/>
      <c r="AV34" s="54"/>
      <c r="AW34" s="54"/>
      <c r="AX34" s="54"/>
      <c r="AY34" s="66">
        <v>105</v>
      </c>
      <c r="BV34" s="124"/>
      <c r="BW34" s="124"/>
      <c r="BX34" s="124"/>
      <c r="CA34" s="54"/>
      <c r="CC34" s="66">
        <v>105</v>
      </c>
      <c r="CZ34" s="124"/>
      <c r="DA34" s="124"/>
      <c r="DB34" s="124"/>
      <c r="DD34" s="54"/>
      <c r="DE34" s="54"/>
      <c r="DF34" s="54"/>
      <c r="DG34" s="66">
        <v>105</v>
      </c>
      <c r="EA34" s="56"/>
      <c r="EE34" s="54"/>
      <c r="EG34" s="66">
        <v>105</v>
      </c>
      <c r="EW34" s="56"/>
      <c r="FA34" s="54"/>
      <c r="FC34" s="66">
        <v>105</v>
      </c>
      <c r="FS34" s="56"/>
      <c r="FW34" s="54"/>
      <c r="FY34" s="66">
        <v>105</v>
      </c>
      <c r="GO34" s="56"/>
      <c r="GS34" s="54"/>
      <c r="GU34" s="66">
        <v>105</v>
      </c>
      <c r="HK34" s="56"/>
      <c r="HO34" s="54"/>
      <c r="HQ34" s="66">
        <v>105</v>
      </c>
      <c r="IG34" s="56"/>
      <c r="IK34" s="54"/>
      <c r="IM34" s="66">
        <v>105</v>
      </c>
      <c r="JC34" s="56"/>
      <c r="JG34" s="54"/>
      <c r="JI34" s="66">
        <v>105</v>
      </c>
      <c r="JY34" s="56"/>
      <c r="KC34" s="54"/>
      <c r="KE34" s="66">
        <v>105</v>
      </c>
      <c r="KU34" s="56"/>
      <c r="KY34" s="54"/>
      <c r="LA34" s="66">
        <v>105</v>
      </c>
      <c r="LQ34" s="56"/>
      <c r="LU34" s="54"/>
      <c r="LW34" s="66">
        <v>105</v>
      </c>
      <c r="MM34" s="56"/>
      <c r="MQ34" s="54"/>
      <c r="MS34" s="66">
        <v>105</v>
      </c>
      <c r="NI34" s="56"/>
      <c r="NM34" s="54"/>
      <c r="NO34" s="66">
        <v>105</v>
      </c>
    </row>
    <row r="35" spans="1:379" x14ac:dyDescent="0.2">
      <c r="A35" s="56"/>
      <c r="B35" s="116" t="s">
        <v>107</v>
      </c>
      <c r="C35" s="56"/>
      <c r="AR35" s="124"/>
      <c r="AS35" s="124"/>
      <c r="AT35" s="124"/>
      <c r="AV35" s="54"/>
      <c r="AW35" s="54"/>
      <c r="AX35" s="54" t="s">
        <v>169</v>
      </c>
      <c r="AY35" s="117">
        <v>57</v>
      </c>
      <c r="BV35" s="124"/>
      <c r="BW35" s="124"/>
      <c r="BX35" s="124"/>
      <c r="CA35" s="54"/>
      <c r="CB35" s="129"/>
      <c r="CC35" s="117">
        <v>58</v>
      </c>
      <c r="CZ35" s="124"/>
      <c r="DA35" s="124"/>
      <c r="DB35" s="124"/>
      <c r="DD35" s="54"/>
      <c r="DE35" s="54"/>
      <c r="DF35" s="54"/>
      <c r="DG35" s="117">
        <v>58</v>
      </c>
      <c r="EA35" s="56"/>
      <c r="EE35" s="54"/>
      <c r="EF35" s="129"/>
      <c r="EG35" s="117">
        <v>108</v>
      </c>
      <c r="EW35" s="56"/>
      <c r="FA35" s="54"/>
      <c r="FC35" s="117">
        <v>58</v>
      </c>
      <c r="FS35" s="56"/>
      <c r="FW35" s="54"/>
      <c r="FY35" s="117">
        <v>58</v>
      </c>
      <c r="GO35" s="56"/>
      <c r="GS35" s="54"/>
      <c r="GT35" s="129"/>
      <c r="GU35" s="117">
        <v>58</v>
      </c>
      <c r="HK35" s="56"/>
      <c r="HO35" s="54"/>
      <c r="HP35" s="129"/>
      <c r="HQ35" s="117">
        <v>58</v>
      </c>
      <c r="IG35" s="56"/>
      <c r="IK35" s="54"/>
      <c r="IL35" s="129"/>
      <c r="IM35" s="117">
        <v>58</v>
      </c>
      <c r="JC35" s="56"/>
      <c r="JG35" s="54"/>
      <c r="JI35" s="117">
        <v>58</v>
      </c>
      <c r="JY35" s="56"/>
      <c r="KC35" s="54"/>
      <c r="KE35" s="117">
        <v>58</v>
      </c>
      <c r="KU35" s="56"/>
      <c r="KY35" s="54"/>
      <c r="LA35" s="117">
        <v>58</v>
      </c>
      <c r="LQ35" s="56"/>
      <c r="LU35" s="54"/>
      <c r="LW35" s="117">
        <v>58</v>
      </c>
      <c r="MM35" s="56"/>
      <c r="MQ35" s="54"/>
      <c r="MS35" s="117">
        <v>58</v>
      </c>
      <c r="NI35" s="56"/>
      <c r="NM35" s="54"/>
      <c r="NO35" s="117">
        <v>58</v>
      </c>
    </row>
    <row r="36" spans="1:379" x14ac:dyDescent="0.2">
      <c r="A36" s="56"/>
      <c r="B36" s="74" t="s">
        <v>57</v>
      </c>
      <c r="C36" s="56"/>
      <c r="O36" s="2"/>
      <c r="AR36" s="124"/>
      <c r="AS36" s="124"/>
      <c r="AT36" s="124"/>
      <c r="AV36" s="54"/>
      <c r="AW36" s="54"/>
      <c r="AX36" s="54"/>
      <c r="AY36" s="68">
        <v>59.8</v>
      </c>
      <c r="BV36" s="124"/>
      <c r="BW36" s="124"/>
      <c r="BX36" s="124"/>
      <c r="CA36" s="54"/>
      <c r="CC36" s="68">
        <v>59.4</v>
      </c>
      <c r="CZ36" s="124"/>
      <c r="DA36" s="124"/>
      <c r="DB36" s="124"/>
      <c r="DD36" s="54"/>
      <c r="DE36" s="54"/>
      <c r="DF36" s="54"/>
      <c r="DG36" s="68">
        <v>59.4</v>
      </c>
      <c r="EA36" s="56"/>
      <c r="EE36" s="54"/>
      <c r="EG36" s="68">
        <v>59.8</v>
      </c>
      <c r="EW36" s="56"/>
      <c r="FA36" s="54"/>
      <c r="FC36" s="68">
        <v>59.4</v>
      </c>
      <c r="FS36" s="56"/>
      <c r="FW36" s="54"/>
      <c r="FY36" s="68">
        <v>59.4</v>
      </c>
      <c r="GO36" s="56"/>
      <c r="GS36" s="54"/>
      <c r="GU36" s="68">
        <v>59.4</v>
      </c>
      <c r="HK36" s="56"/>
      <c r="HO36" s="54"/>
      <c r="HQ36" s="68">
        <v>59.4</v>
      </c>
      <c r="IG36" s="56"/>
      <c r="IK36" s="54"/>
      <c r="IL36" s="129"/>
      <c r="IM36" s="68">
        <v>59.4</v>
      </c>
      <c r="JC36" s="56"/>
      <c r="JG36" s="54"/>
      <c r="JI36" s="68">
        <v>59.4</v>
      </c>
      <c r="JY36" s="56"/>
      <c r="KC36" s="54"/>
      <c r="KE36" s="68">
        <v>59.4</v>
      </c>
      <c r="KU36" s="56"/>
      <c r="KY36" s="54"/>
      <c r="LA36" s="68">
        <v>59.4</v>
      </c>
      <c r="LQ36" s="56"/>
      <c r="LU36" s="54"/>
      <c r="LW36" s="68">
        <v>59.4</v>
      </c>
      <c r="MM36" s="56"/>
      <c r="MQ36" s="54"/>
      <c r="MS36" s="68">
        <v>59.4</v>
      </c>
      <c r="NI36" s="56"/>
      <c r="NM36" s="54"/>
      <c r="NO36" s="68">
        <v>59.4</v>
      </c>
    </row>
    <row r="37" spans="1:379" x14ac:dyDescent="0.2">
      <c r="B37" s="82" t="s">
        <v>89</v>
      </c>
      <c r="C37" s="2"/>
      <c r="AU37" s="54"/>
      <c r="AV37" s="54"/>
      <c r="AX37" s="54"/>
      <c r="DC37" s="54"/>
      <c r="DD37" s="54"/>
      <c r="DF37" s="54"/>
      <c r="EX37" s="54"/>
    </row>
    <row r="38" spans="1:379" x14ac:dyDescent="0.2">
      <c r="A38" s="56"/>
      <c r="B38" s="56"/>
      <c r="C38" s="55"/>
      <c r="AQ38" s="54"/>
      <c r="AR38" s="54"/>
      <c r="AS38" s="54"/>
      <c r="AT38" s="54"/>
      <c r="AU38" s="54"/>
      <c r="AV38" s="54"/>
      <c r="AX38" s="54"/>
      <c r="CY38" s="54"/>
      <c r="CZ38" s="54"/>
      <c r="DA38" s="54"/>
      <c r="DB38" s="54"/>
      <c r="DC38" s="54"/>
      <c r="DD38" s="54"/>
      <c r="DF38" s="54"/>
    </row>
    <row r="39" spans="1:379" ht="17" x14ac:dyDescent="0.2">
      <c r="A39" s="56"/>
      <c r="B39" s="56"/>
      <c r="C39" s="55"/>
      <c r="S39" s="19"/>
      <c r="T39" s="19"/>
      <c r="AQ39" s="54"/>
      <c r="AR39" s="54"/>
      <c r="AS39" s="54"/>
      <c r="AT39" s="54"/>
      <c r="AU39" s="54"/>
      <c r="AV39" s="54"/>
      <c r="AX39" s="54"/>
      <c r="CY39" s="54"/>
      <c r="CZ39" s="54"/>
      <c r="DA39" s="54"/>
      <c r="DB39" s="54"/>
      <c r="DC39" s="54"/>
      <c r="DD39" s="54"/>
      <c r="DF39" s="54"/>
    </row>
    <row r="40" spans="1:379" ht="17" x14ac:dyDescent="0.2">
      <c r="A40" s="56"/>
      <c r="B40" s="56"/>
      <c r="C40" s="55"/>
      <c r="S40" s="19"/>
      <c r="AQ40" s="54"/>
      <c r="AR40" s="54"/>
      <c r="AS40" s="54"/>
      <c r="AT40" s="54"/>
      <c r="AU40" s="54"/>
      <c r="AV40" s="54"/>
      <c r="AX40" s="54"/>
      <c r="CY40" s="54"/>
      <c r="CZ40" s="54"/>
      <c r="DA40" s="54"/>
      <c r="DB40" s="54"/>
      <c r="DC40" s="54"/>
      <c r="DD40" s="54"/>
      <c r="DF40" s="54"/>
    </row>
    <row r="41" spans="1:379" ht="17" x14ac:dyDescent="0.2">
      <c r="S41" s="19"/>
      <c r="T41" s="19"/>
      <c r="AQ41" s="54"/>
      <c r="AR41" s="54"/>
      <c r="AS41" s="54"/>
      <c r="AT41" s="54"/>
      <c r="AU41" s="54"/>
      <c r="AV41" s="54"/>
      <c r="AX41" s="54"/>
      <c r="CY41" s="54"/>
      <c r="CZ41" s="54"/>
      <c r="DA41" s="54"/>
      <c r="DB41" s="54"/>
      <c r="DC41" s="54"/>
      <c r="DD41" s="54"/>
      <c r="DF41" s="54"/>
    </row>
    <row r="42" spans="1:379" ht="17" x14ac:dyDescent="0.2">
      <c r="S42" s="19"/>
      <c r="T42" s="19"/>
      <c r="AQ42" s="54"/>
      <c r="AR42" s="54"/>
      <c r="AS42" s="54"/>
      <c r="AT42" s="54"/>
      <c r="AU42" s="54"/>
      <c r="AV42" s="54"/>
      <c r="AX42" s="54"/>
      <c r="CY42" s="54"/>
      <c r="CZ42" s="54"/>
      <c r="DA42" s="54"/>
      <c r="DB42" s="54"/>
      <c r="DC42" s="54"/>
      <c r="DD42" s="54"/>
      <c r="DF42" s="54"/>
    </row>
    <row r="43" spans="1:379" ht="17" x14ac:dyDescent="0.2">
      <c r="S43" s="19"/>
      <c r="T43" s="19"/>
      <c r="AQ43" s="54"/>
      <c r="AR43" s="54"/>
      <c r="AS43" s="54"/>
      <c r="AT43" s="54"/>
      <c r="AU43" s="54"/>
      <c r="AV43" s="54"/>
      <c r="AX43" s="54"/>
      <c r="CY43" s="54"/>
      <c r="CZ43" s="54"/>
      <c r="DA43" s="54"/>
      <c r="DB43" s="54"/>
      <c r="DC43" s="54"/>
      <c r="DD43" s="54"/>
      <c r="DF43" s="54"/>
    </row>
    <row r="44" spans="1:379" ht="17" x14ac:dyDescent="0.2">
      <c r="S44" s="19"/>
      <c r="T44" s="19"/>
      <c r="U44" s="19"/>
    </row>
    <row r="45" spans="1:379" ht="17" x14ac:dyDescent="0.2">
      <c r="S45" s="19"/>
      <c r="T45" s="19"/>
      <c r="U45" s="19"/>
    </row>
    <row r="46" spans="1:379" ht="17" x14ac:dyDescent="0.2">
      <c r="S46" s="19"/>
      <c r="T46" s="19"/>
      <c r="U46" s="19"/>
    </row>
    <row r="47" spans="1:379" ht="17" x14ac:dyDescent="0.2">
      <c r="S47" s="19"/>
      <c r="T47" s="19"/>
      <c r="U47" s="19"/>
    </row>
    <row r="48" spans="1:379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  <row r="53" spans="19:21" ht="17" x14ac:dyDescent="0.2">
      <c r="S53" s="19"/>
      <c r="T53" s="19"/>
      <c r="U53" s="19"/>
    </row>
    <row r="54" spans="19:21" ht="17" x14ac:dyDescent="0.2">
      <c r="S54" s="19"/>
      <c r="T54" s="19"/>
      <c r="U54" s="19"/>
    </row>
    <row r="55" spans="19:21" ht="17" x14ac:dyDescent="0.2">
      <c r="S55" s="19"/>
      <c r="T55" s="19"/>
      <c r="U55" s="19"/>
    </row>
    <row r="56" spans="19:21" ht="17" x14ac:dyDescent="0.2">
      <c r="S56" s="19"/>
      <c r="T56" s="19"/>
      <c r="U56" s="19"/>
    </row>
    <row r="57" spans="19:21" ht="17" x14ac:dyDescent="0.2">
      <c r="S57" s="19"/>
      <c r="T57" s="19"/>
      <c r="U57" s="19"/>
    </row>
    <row r="58" spans="19:21" ht="17" x14ac:dyDescent="0.2">
      <c r="S58" s="19"/>
      <c r="T58" s="19"/>
      <c r="U58" s="19"/>
    </row>
  </sheetData>
  <sheetProtection sheet="1" formatCells="0" formatColumns="0" formatRows="0"/>
  <autoFilter ref="A1:OQ22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6">
      <sortCondition descending="1" ref="F1:F27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6">
    <cfRule type="expression" dxfId="204" priority="1" stopIfTrue="1">
      <formula>IF($AP4&lt;&gt;"",1,0)</formula>
    </cfRule>
  </conditionalFormatting>
  <conditionalFormatting sqref="AZ4:CC26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9" priority="332" operator="between">
      <formula>AY$36</formula>
      <formula>1000</formula>
    </cfRule>
    <cfRule type="cellIs" dxfId="198" priority="37317" operator="between">
      <formula>AY$35</formula>
      <formula>AY$36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7" priority="37318" operator="between">
      <formula>AY$34</formula>
      <formula>1000</formula>
    </cfRule>
    <cfRule type="cellIs" dxfId="196" priority="37319" operator="between">
      <formula>AY$33</formula>
      <formula>AY$34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5" priority="37330" operator="between">
      <formula>AY$36</formula>
      <formula>1000</formula>
    </cfRule>
    <cfRule type="cellIs" dxfId="194" priority="37331" operator="between">
      <formula>AY$35</formula>
      <formula>AY$36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3" priority="37334" operator="between">
      <formula>EG$32</formula>
      <formula>1000</formula>
    </cfRule>
    <cfRule type="cellIs" dxfId="192" priority="37335" operator="between">
      <formula>EG$31</formula>
      <formula>EG$32</formula>
    </cfRule>
    <cfRule type="cellIs" dxfId="191" priority="37336" operator="between">
      <formula>EG$30</formula>
      <formula>EG$31</formula>
    </cfRule>
    <cfRule type="cellIs" dxfId="190" priority="37337" operator="between">
      <formula>EG$29</formula>
      <formula>EG$30</formula>
    </cfRule>
  </conditionalFormatting>
  <conditionalFormatting sqref="A1:A1048576">
    <cfRule type="expression" dxfId="189" priority="37338">
      <formula>AND(H1&lt;&gt;"",G1="")</formula>
    </cfRule>
  </conditionalFormatting>
  <conditionalFormatting sqref="CD4:DG26">
    <cfRule type="expression" dxfId="188" priority="3" stopIfTrue="1">
      <formula>IF($CX4&lt;&gt;"",1,0)</formula>
    </cfRule>
  </conditionalFormatting>
  <conditionalFormatting sqref="AR1:AR1048576 BV1:BV1048576 CZ1:CZ1048576">
    <cfRule type="cellIs" dxfId="187" priority="12" operator="between">
      <formula>AY$32</formula>
      <formula>1000</formula>
    </cfRule>
    <cfRule type="cellIs" dxfId="186" priority="13" operator="between">
      <formula>AY$31</formula>
      <formula>AY$32</formula>
    </cfRule>
    <cfRule type="cellIs" dxfId="185" priority="14" operator="between">
      <formula>AY$30</formula>
      <formula>AY$31</formula>
    </cfRule>
    <cfRule type="cellIs" dxfId="184" priority="15" operator="between">
      <formula>AY$29</formula>
      <formula>AY$30</formula>
    </cfRule>
  </conditionalFormatting>
  <conditionalFormatting sqref="AS1:AS1048576 BW1:BW1048576 DA1:DA1048576">
    <cfRule type="cellIs" dxfId="183" priority="26" operator="between">
      <formula>AY$36</formula>
      <formula>1000</formula>
    </cfRule>
    <cfRule type="cellIs" dxfId="182" priority="27" operator="between">
      <formula>AY$35</formula>
      <formula>AY$36</formula>
    </cfRule>
  </conditionalFormatting>
  <conditionalFormatting sqref="AT1:AT1048576 BX1:BX1048576 DB1:DB1048576">
    <cfRule type="cellIs" dxfId="181" priority="31" operator="between">
      <formula>AY$32</formula>
      <formula>1000</formula>
    </cfRule>
    <cfRule type="cellIs" dxfId="180" priority="73" operator="between">
      <formula>AY$31</formula>
      <formula>AY$32</formula>
    </cfRule>
    <cfRule type="cellIs" dxfId="179" priority="94" operator="between">
      <formula>AY$30</formula>
      <formula>AY$31</formula>
    </cfRule>
    <cfRule type="cellIs" dxfId="178" priority="95" operator="between">
      <formula>AY$29</formula>
      <formula>AY$30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37326" operator="between">
      <formula>AY$32</formula>
      <formula>1000</formula>
    </cfRule>
    <cfRule type="cellIs" dxfId="176" priority="37327" operator="between">
      <formula>AY$31</formula>
      <formula>AY$32</formula>
    </cfRule>
    <cfRule type="cellIs" dxfId="175" priority="37328" operator="between">
      <formula>AY$30</formula>
      <formula>AY$31</formula>
    </cfRule>
    <cfRule type="cellIs" dxfId="174" priority="37329" operator="between">
      <formula>AY$29</formula>
      <formula>AY$30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171</v>
      </c>
      <c r="G1" s="140" t="s">
        <v>167</v>
      </c>
      <c r="H1" s="140" t="s">
        <v>168</v>
      </c>
      <c r="I1" s="140" t="s">
        <v>16</v>
      </c>
      <c r="J1" s="140" t="s">
        <v>180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166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128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 t="s">
        <v>160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7" t="s">
        <v>182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9" t="s">
        <v>21</v>
      </c>
      <c r="DI1" s="139"/>
      <c r="DJ1" s="139"/>
      <c r="DK1" s="139"/>
      <c r="DL1" s="137" t="s">
        <v>146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7" t="s">
        <v>113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162</v>
      </c>
      <c r="AG2" s="136"/>
      <c r="AH2" s="136"/>
      <c r="AI2" s="136"/>
      <c r="AJ2" s="136"/>
      <c r="AK2" s="136" t="s">
        <v>30</v>
      </c>
      <c r="AL2" s="136"/>
      <c r="AM2" s="136"/>
      <c r="AN2" s="136"/>
      <c r="AO2" s="136"/>
      <c r="AP2" s="112"/>
      <c r="AQ2" s="9" t="s">
        <v>28</v>
      </c>
      <c r="AR2" s="9" t="s">
        <v>164</v>
      </c>
      <c r="AS2" s="9" t="s">
        <v>29</v>
      </c>
      <c r="AT2" s="9" t="s">
        <v>165</v>
      </c>
      <c r="AU2" s="9" t="s">
        <v>163</v>
      </c>
      <c r="AV2" s="9" t="s">
        <v>31</v>
      </c>
      <c r="AW2" s="9" t="s">
        <v>126</v>
      </c>
      <c r="AX2" s="9" t="s">
        <v>30</v>
      </c>
      <c r="AY2" s="9" t="s">
        <v>25</v>
      </c>
      <c r="AZ2" s="135" t="s">
        <v>26</v>
      </c>
      <c r="BA2" s="135"/>
      <c r="BB2" s="135"/>
      <c r="BC2" s="135"/>
      <c r="BD2" s="135"/>
      <c r="BE2" s="135" t="s">
        <v>27</v>
      </c>
      <c r="BF2" s="135"/>
      <c r="BG2" s="135"/>
      <c r="BH2" s="135"/>
      <c r="BI2" s="135"/>
      <c r="BJ2" s="135" t="s">
        <v>162</v>
      </c>
      <c r="BK2" s="135"/>
      <c r="BL2" s="135"/>
      <c r="BM2" s="135"/>
      <c r="BN2" s="135"/>
      <c r="BO2" s="135" t="s">
        <v>30</v>
      </c>
      <c r="BP2" s="135"/>
      <c r="BQ2" s="135"/>
      <c r="BR2" s="135"/>
      <c r="BS2" s="135"/>
      <c r="BT2" s="113"/>
      <c r="BU2" s="12" t="s">
        <v>28</v>
      </c>
      <c r="BV2" s="12" t="s">
        <v>164</v>
      </c>
      <c r="BW2" s="12" t="s">
        <v>29</v>
      </c>
      <c r="BX2" s="12" t="s">
        <v>165</v>
      </c>
      <c r="BY2" s="12" t="s">
        <v>163</v>
      </c>
      <c r="BZ2" s="12" t="s">
        <v>31</v>
      </c>
      <c r="CA2" s="12" t="s">
        <v>126</v>
      </c>
      <c r="CB2" s="12" t="s">
        <v>30</v>
      </c>
      <c r="CC2" s="12" t="s">
        <v>25</v>
      </c>
      <c r="CD2" s="136" t="s">
        <v>26</v>
      </c>
      <c r="CE2" s="136"/>
      <c r="CF2" s="136"/>
      <c r="CG2" s="136"/>
      <c r="CH2" s="136"/>
      <c r="CI2" s="136" t="s">
        <v>27</v>
      </c>
      <c r="CJ2" s="136"/>
      <c r="CK2" s="136"/>
      <c r="CL2" s="136"/>
      <c r="CM2" s="136"/>
      <c r="CN2" s="136" t="s">
        <v>162</v>
      </c>
      <c r="CO2" s="136"/>
      <c r="CP2" s="136"/>
      <c r="CQ2" s="136"/>
      <c r="CR2" s="136"/>
      <c r="CS2" s="136" t="s">
        <v>30</v>
      </c>
      <c r="CT2" s="136"/>
      <c r="CU2" s="136"/>
      <c r="CV2" s="136"/>
      <c r="CW2" s="136"/>
      <c r="CX2" s="112"/>
      <c r="CY2" s="9" t="s">
        <v>28</v>
      </c>
      <c r="CZ2" s="9" t="s">
        <v>164</v>
      </c>
      <c r="DA2" s="9" t="s">
        <v>29</v>
      </c>
      <c r="DB2" s="9" t="s">
        <v>165</v>
      </c>
      <c r="DC2" s="9" t="s">
        <v>163</v>
      </c>
      <c r="DD2" s="9" t="s">
        <v>31</v>
      </c>
      <c r="DE2" s="9" t="s">
        <v>126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6" t="s">
        <v>26</v>
      </c>
      <c r="DM2" s="136"/>
      <c r="DN2" s="136"/>
      <c r="DO2" s="136"/>
      <c r="DP2" s="136"/>
      <c r="DQ2" s="136" t="s">
        <v>27</v>
      </c>
      <c r="DR2" s="136"/>
      <c r="DS2" s="136"/>
      <c r="DT2" s="136"/>
      <c r="DU2" s="136"/>
      <c r="DV2" s="136" t="s">
        <v>30</v>
      </c>
      <c r="DW2" s="136"/>
      <c r="DX2" s="136"/>
      <c r="DY2" s="136"/>
      <c r="DZ2" s="136"/>
      <c r="EA2" s="112" t="s">
        <v>104</v>
      </c>
      <c r="EB2" s="9" t="s">
        <v>28</v>
      </c>
      <c r="EC2" s="9" t="s">
        <v>29</v>
      </c>
      <c r="ED2" s="9" t="s">
        <v>31</v>
      </c>
      <c r="EE2" s="9" t="s">
        <v>126</v>
      </c>
      <c r="EF2" s="9" t="s">
        <v>30</v>
      </c>
      <c r="EG2" s="9" t="s">
        <v>25</v>
      </c>
      <c r="EH2" s="135" t="s">
        <v>26</v>
      </c>
      <c r="EI2" s="135"/>
      <c r="EJ2" s="135"/>
      <c r="EK2" s="135"/>
      <c r="EL2" s="135"/>
      <c r="EM2" s="135" t="s">
        <v>27</v>
      </c>
      <c r="EN2" s="135"/>
      <c r="EO2" s="135"/>
      <c r="EP2" s="135"/>
      <c r="EQ2" s="135"/>
      <c r="ER2" s="135" t="s">
        <v>30</v>
      </c>
      <c r="ES2" s="135"/>
      <c r="ET2" s="135"/>
      <c r="EU2" s="135"/>
      <c r="EV2" s="135"/>
      <c r="EW2" s="113" t="s">
        <v>104</v>
      </c>
      <c r="EX2" s="12" t="s">
        <v>28</v>
      </c>
      <c r="EY2" s="12" t="s">
        <v>29</v>
      </c>
      <c r="EZ2" s="12" t="s">
        <v>31</v>
      </c>
      <c r="FA2" s="12" t="s">
        <v>126</v>
      </c>
      <c r="FB2" s="12" t="s">
        <v>30</v>
      </c>
      <c r="FC2" s="12" t="s">
        <v>25</v>
      </c>
      <c r="FD2" s="136" t="s">
        <v>26</v>
      </c>
      <c r="FE2" s="136"/>
      <c r="FF2" s="136"/>
      <c r="FG2" s="136"/>
      <c r="FH2" s="136"/>
      <c r="FI2" s="136" t="s">
        <v>27</v>
      </c>
      <c r="FJ2" s="136"/>
      <c r="FK2" s="136"/>
      <c r="FL2" s="136"/>
      <c r="FM2" s="136"/>
      <c r="FN2" s="136" t="s">
        <v>30</v>
      </c>
      <c r="FO2" s="136"/>
      <c r="FP2" s="136"/>
      <c r="FQ2" s="136"/>
      <c r="FR2" s="136"/>
      <c r="FS2" s="112" t="s">
        <v>104</v>
      </c>
      <c r="FT2" s="9" t="s">
        <v>28</v>
      </c>
      <c r="FU2" s="9" t="s">
        <v>29</v>
      </c>
      <c r="FV2" s="9" t="s">
        <v>31</v>
      </c>
      <c r="FW2" s="9" t="s">
        <v>126</v>
      </c>
      <c r="FX2" s="9" t="s">
        <v>30</v>
      </c>
      <c r="FY2" s="9" t="s">
        <v>25</v>
      </c>
      <c r="FZ2" s="135" t="s">
        <v>26</v>
      </c>
      <c r="GA2" s="135"/>
      <c r="GB2" s="135"/>
      <c r="GC2" s="135"/>
      <c r="GD2" s="135"/>
      <c r="GE2" s="135" t="s">
        <v>27</v>
      </c>
      <c r="GF2" s="135"/>
      <c r="GG2" s="135"/>
      <c r="GH2" s="135"/>
      <c r="GI2" s="135"/>
      <c r="GJ2" s="135" t="s">
        <v>30</v>
      </c>
      <c r="GK2" s="135"/>
      <c r="GL2" s="135"/>
      <c r="GM2" s="135"/>
      <c r="GN2" s="135"/>
      <c r="GO2" s="113" t="s">
        <v>104</v>
      </c>
      <c r="GP2" s="12" t="s">
        <v>28</v>
      </c>
      <c r="GQ2" s="12" t="s">
        <v>29</v>
      </c>
      <c r="GR2" s="12" t="s">
        <v>31</v>
      </c>
      <c r="GS2" s="12" t="s">
        <v>126</v>
      </c>
      <c r="GT2" s="12" t="s">
        <v>30</v>
      </c>
      <c r="GU2" s="12" t="s">
        <v>25</v>
      </c>
      <c r="GV2" s="136" t="s">
        <v>26</v>
      </c>
      <c r="GW2" s="136"/>
      <c r="GX2" s="136"/>
      <c r="GY2" s="136"/>
      <c r="GZ2" s="136"/>
      <c r="HA2" s="136" t="s">
        <v>27</v>
      </c>
      <c r="HB2" s="136"/>
      <c r="HC2" s="136"/>
      <c r="HD2" s="136"/>
      <c r="HE2" s="136"/>
      <c r="HF2" s="136" t="s">
        <v>30</v>
      </c>
      <c r="HG2" s="136"/>
      <c r="HH2" s="136"/>
      <c r="HI2" s="136"/>
      <c r="HJ2" s="136"/>
      <c r="HK2" s="112" t="s">
        <v>104</v>
      </c>
      <c r="HL2" s="9" t="s">
        <v>28</v>
      </c>
      <c r="HM2" s="9" t="s">
        <v>29</v>
      </c>
      <c r="HN2" s="9" t="s">
        <v>31</v>
      </c>
      <c r="HO2" s="9" t="s">
        <v>126</v>
      </c>
      <c r="HP2" s="9" t="s">
        <v>30</v>
      </c>
      <c r="HQ2" s="9" t="s">
        <v>25</v>
      </c>
      <c r="HR2" s="135" t="s">
        <v>26</v>
      </c>
      <c r="HS2" s="135"/>
      <c r="HT2" s="135"/>
      <c r="HU2" s="135"/>
      <c r="HV2" s="135"/>
      <c r="HW2" s="135" t="s">
        <v>27</v>
      </c>
      <c r="HX2" s="135"/>
      <c r="HY2" s="135"/>
      <c r="HZ2" s="135"/>
      <c r="IA2" s="135"/>
      <c r="IB2" s="135" t="s">
        <v>30</v>
      </c>
      <c r="IC2" s="135"/>
      <c r="ID2" s="135"/>
      <c r="IE2" s="135"/>
      <c r="IF2" s="135"/>
      <c r="IG2" s="113" t="s">
        <v>104</v>
      </c>
      <c r="IH2" s="12" t="s">
        <v>28</v>
      </c>
      <c r="II2" s="12" t="s">
        <v>29</v>
      </c>
      <c r="IJ2" s="12" t="s">
        <v>31</v>
      </c>
      <c r="IK2" s="12" t="s">
        <v>126</v>
      </c>
      <c r="IL2" s="12" t="s">
        <v>30</v>
      </c>
      <c r="IM2" s="12" t="s">
        <v>25</v>
      </c>
      <c r="IN2" s="136" t="s">
        <v>26</v>
      </c>
      <c r="IO2" s="136"/>
      <c r="IP2" s="136"/>
      <c r="IQ2" s="136"/>
      <c r="IR2" s="136"/>
      <c r="IS2" s="136" t="s">
        <v>27</v>
      </c>
      <c r="IT2" s="136"/>
      <c r="IU2" s="136"/>
      <c r="IV2" s="136"/>
      <c r="IW2" s="136"/>
      <c r="IX2" s="136" t="s">
        <v>30</v>
      </c>
      <c r="IY2" s="136"/>
      <c r="IZ2" s="136"/>
      <c r="JA2" s="136"/>
      <c r="JB2" s="136"/>
      <c r="JC2" s="112" t="s">
        <v>104</v>
      </c>
      <c r="JD2" s="9" t="s">
        <v>28</v>
      </c>
      <c r="JE2" s="9" t="s">
        <v>29</v>
      </c>
      <c r="JF2" s="9" t="s">
        <v>31</v>
      </c>
      <c r="JG2" s="9" t="s">
        <v>126</v>
      </c>
      <c r="JH2" s="9" t="s">
        <v>30</v>
      </c>
      <c r="JI2" s="9" t="s">
        <v>25</v>
      </c>
      <c r="JJ2" s="135" t="s">
        <v>26</v>
      </c>
      <c r="JK2" s="135"/>
      <c r="JL2" s="135"/>
      <c r="JM2" s="135"/>
      <c r="JN2" s="135"/>
      <c r="JO2" s="135" t="s">
        <v>27</v>
      </c>
      <c r="JP2" s="135"/>
      <c r="JQ2" s="135"/>
      <c r="JR2" s="135"/>
      <c r="JS2" s="135"/>
      <c r="JT2" s="135" t="s">
        <v>30</v>
      </c>
      <c r="JU2" s="135"/>
      <c r="JV2" s="135"/>
      <c r="JW2" s="135"/>
      <c r="JX2" s="135"/>
      <c r="JY2" s="113" t="s">
        <v>104</v>
      </c>
      <c r="JZ2" s="12" t="s">
        <v>28</v>
      </c>
      <c r="KA2" s="12" t="s">
        <v>29</v>
      </c>
      <c r="KB2" s="12" t="s">
        <v>31</v>
      </c>
      <c r="KC2" s="12" t="s">
        <v>126</v>
      </c>
      <c r="KD2" s="12" t="s">
        <v>30</v>
      </c>
      <c r="KE2" s="12" t="s">
        <v>25</v>
      </c>
      <c r="KF2" s="136" t="s">
        <v>26</v>
      </c>
      <c r="KG2" s="136"/>
      <c r="KH2" s="136"/>
      <c r="KI2" s="136"/>
      <c r="KJ2" s="136"/>
      <c r="KK2" s="136" t="s">
        <v>27</v>
      </c>
      <c r="KL2" s="136"/>
      <c r="KM2" s="136"/>
      <c r="KN2" s="136"/>
      <c r="KO2" s="136"/>
      <c r="KP2" s="136" t="s">
        <v>30</v>
      </c>
      <c r="KQ2" s="136"/>
      <c r="KR2" s="136"/>
      <c r="KS2" s="136"/>
      <c r="KT2" s="136"/>
      <c r="KU2" s="112" t="s">
        <v>104</v>
      </c>
      <c r="KV2" s="9" t="s">
        <v>28</v>
      </c>
      <c r="KW2" s="9" t="s">
        <v>29</v>
      </c>
      <c r="KX2" s="9" t="s">
        <v>31</v>
      </c>
      <c r="KY2" s="9" t="s">
        <v>126</v>
      </c>
      <c r="KZ2" s="9" t="s">
        <v>30</v>
      </c>
      <c r="LA2" s="9" t="s">
        <v>25</v>
      </c>
      <c r="LB2" s="135" t="s">
        <v>26</v>
      </c>
      <c r="LC2" s="135"/>
      <c r="LD2" s="135"/>
      <c r="LE2" s="135"/>
      <c r="LF2" s="135"/>
      <c r="LG2" s="135" t="s">
        <v>27</v>
      </c>
      <c r="LH2" s="135"/>
      <c r="LI2" s="135"/>
      <c r="LJ2" s="135"/>
      <c r="LK2" s="135"/>
      <c r="LL2" s="135" t="s">
        <v>30</v>
      </c>
      <c r="LM2" s="135"/>
      <c r="LN2" s="135"/>
      <c r="LO2" s="135"/>
      <c r="LP2" s="135"/>
      <c r="LQ2" s="113" t="s">
        <v>104</v>
      </c>
      <c r="LR2" s="12" t="s">
        <v>28</v>
      </c>
      <c r="LS2" s="12" t="s">
        <v>29</v>
      </c>
      <c r="LT2" s="12" t="s">
        <v>31</v>
      </c>
      <c r="LU2" s="12" t="s">
        <v>126</v>
      </c>
      <c r="LV2" s="12" t="s">
        <v>30</v>
      </c>
      <c r="LW2" s="12" t="s">
        <v>25</v>
      </c>
      <c r="LX2" s="136" t="s">
        <v>26</v>
      </c>
      <c r="LY2" s="136"/>
      <c r="LZ2" s="136"/>
      <c r="MA2" s="136"/>
      <c r="MB2" s="136"/>
      <c r="MC2" s="136" t="s">
        <v>27</v>
      </c>
      <c r="MD2" s="136"/>
      <c r="ME2" s="136"/>
      <c r="MF2" s="136"/>
      <c r="MG2" s="136"/>
      <c r="MH2" s="136" t="s">
        <v>30</v>
      </c>
      <c r="MI2" s="136"/>
      <c r="MJ2" s="136"/>
      <c r="MK2" s="136"/>
      <c r="ML2" s="136"/>
      <c r="MM2" s="112" t="s">
        <v>104</v>
      </c>
      <c r="MN2" s="9" t="s">
        <v>28</v>
      </c>
      <c r="MO2" s="9" t="s">
        <v>29</v>
      </c>
      <c r="MP2" s="9" t="s">
        <v>31</v>
      </c>
      <c r="MQ2" s="9" t="s">
        <v>126</v>
      </c>
      <c r="MR2" s="9" t="s">
        <v>30</v>
      </c>
      <c r="MS2" s="9" t="s">
        <v>25</v>
      </c>
      <c r="MT2" s="135" t="s">
        <v>26</v>
      </c>
      <c r="MU2" s="135"/>
      <c r="MV2" s="135"/>
      <c r="MW2" s="135"/>
      <c r="MX2" s="135"/>
      <c r="MY2" s="135" t="s">
        <v>27</v>
      </c>
      <c r="MZ2" s="135"/>
      <c r="NA2" s="135"/>
      <c r="NB2" s="135"/>
      <c r="NC2" s="135"/>
      <c r="ND2" s="135" t="s">
        <v>30</v>
      </c>
      <c r="NE2" s="135"/>
      <c r="NF2" s="135"/>
      <c r="NG2" s="135"/>
      <c r="NH2" s="135"/>
      <c r="NI2" s="113" t="s">
        <v>104</v>
      </c>
      <c r="NJ2" s="12" t="s">
        <v>28</v>
      </c>
      <c r="NK2" s="12" t="s">
        <v>29</v>
      </c>
      <c r="NL2" s="12" t="s">
        <v>31</v>
      </c>
      <c r="NM2" s="12" t="s">
        <v>126</v>
      </c>
      <c r="NN2" s="12" t="s">
        <v>30</v>
      </c>
      <c r="NO2" s="12" t="s">
        <v>25</v>
      </c>
      <c r="NP2" s="136" t="s">
        <v>26</v>
      </c>
      <c r="NQ2" s="136"/>
      <c r="NR2" s="136"/>
      <c r="NS2" s="136"/>
      <c r="NT2" s="136"/>
      <c r="NU2" s="136" t="s">
        <v>27</v>
      </c>
      <c r="NV2" s="136"/>
      <c r="NW2" s="136"/>
      <c r="NX2" s="136"/>
      <c r="NY2" s="136"/>
      <c r="NZ2" s="136" t="s">
        <v>162</v>
      </c>
      <c r="OA2" s="136"/>
      <c r="OB2" s="136"/>
      <c r="OC2" s="136"/>
      <c r="OD2" s="136"/>
      <c r="OE2" s="136" t="s">
        <v>30</v>
      </c>
      <c r="OF2" s="136"/>
      <c r="OG2" s="136"/>
      <c r="OH2" s="136"/>
      <c r="OI2" s="136"/>
      <c r="OJ2" s="112"/>
      <c r="OK2" s="9" t="s">
        <v>28</v>
      </c>
      <c r="OL2" s="9" t="s">
        <v>164</v>
      </c>
      <c r="OM2" s="9" t="s">
        <v>29</v>
      </c>
      <c r="ON2" s="9" t="s">
        <v>165</v>
      </c>
      <c r="OO2" s="9" t="s">
        <v>163</v>
      </c>
      <c r="OP2" s="9" t="s">
        <v>31</v>
      </c>
      <c r="OQ2" s="9" t="s">
        <v>126</v>
      </c>
      <c r="OR2" s="9" t="s">
        <v>30</v>
      </c>
      <c r="OS2" s="9" t="s">
        <v>25</v>
      </c>
    </row>
    <row r="3" spans="1:409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112" t="s">
        <v>22</v>
      </c>
      <c r="W3" s="112" t="s">
        <v>23</v>
      </c>
      <c r="X3" s="112" t="s">
        <v>14</v>
      </c>
      <c r="Y3" s="112" t="s">
        <v>24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24</v>
      </c>
      <c r="AJ3" s="112" t="s">
        <v>44</v>
      </c>
      <c r="AK3" s="112" t="s">
        <v>22</v>
      </c>
      <c r="AL3" s="112" t="s">
        <v>23</v>
      </c>
      <c r="AM3" s="112" t="s">
        <v>14</v>
      </c>
      <c r="AN3" s="112" t="s">
        <v>24</v>
      </c>
      <c r="AO3" s="112" t="s">
        <v>44</v>
      </c>
      <c r="AP3" s="112" t="s">
        <v>87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22</v>
      </c>
      <c r="BA3" s="113" t="s">
        <v>23</v>
      </c>
      <c r="BB3" s="113" t="s">
        <v>14</v>
      </c>
      <c r="BC3" s="113" t="s">
        <v>24</v>
      </c>
      <c r="BD3" s="113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113" t="s">
        <v>22</v>
      </c>
      <c r="BK3" s="113" t="s">
        <v>23</v>
      </c>
      <c r="BL3" s="113" t="s">
        <v>14</v>
      </c>
      <c r="BM3" s="113" t="s">
        <v>24</v>
      </c>
      <c r="BN3" s="113" t="s">
        <v>44</v>
      </c>
      <c r="BO3" s="113" t="s">
        <v>22</v>
      </c>
      <c r="BP3" s="113" t="s">
        <v>23</v>
      </c>
      <c r="BQ3" s="113" t="s">
        <v>14</v>
      </c>
      <c r="BR3" s="113" t="s">
        <v>24</v>
      </c>
      <c r="BS3" s="113" t="s">
        <v>44</v>
      </c>
      <c r="BT3" s="113" t="s">
        <v>87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22</v>
      </c>
      <c r="CE3" s="112" t="s">
        <v>23</v>
      </c>
      <c r="CF3" s="112" t="s">
        <v>14</v>
      </c>
      <c r="CG3" s="112" t="s">
        <v>24</v>
      </c>
      <c r="CH3" s="112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12" t="s">
        <v>22</v>
      </c>
      <c r="CO3" s="112" t="s">
        <v>23</v>
      </c>
      <c r="CP3" s="112" t="s">
        <v>14</v>
      </c>
      <c r="CQ3" s="112" t="s">
        <v>24</v>
      </c>
      <c r="CR3" s="112" t="s">
        <v>44</v>
      </c>
      <c r="CS3" s="112" t="s">
        <v>22</v>
      </c>
      <c r="CT3" s="112" t="s">
        <v>23</v>
      </c>
      <c r="CU3" s="112" t="s">
        <v>14</v>
      </c>
      <c r="CV3" s="112" t="s">
        <v>24</v>
      </c>
      <c r="CW3" s="112" t="s">
        <v>44</v>
      </c>
      <c r="CX3" s="112" t="s">
        <v>87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22</v>
      </c>
      <c r="DM3" s="112" t="s">
        <v>23</v>
      </c>
      <c r="DN3" s="112" t="s">
        <v>14</v>
      </c>
      <c r="DO3" s="112" t="s">
        <v>24</v>
      </c>
      <c r="DP3" s="112" t="s">
        <v>44</v>
      </c>
      <c r="DQ3" s="112" t="s">
        <v>22</v>
      </c>
      <c r="DR3" s="112" t="s">
        <v>23</v>
      </c>
      <c r="DS3" s="112" t="s">
        <v>14</v>
      </c>
      <c r="DT3" s="112" t="s">
        <v>24</v>
      </c>
      <c r="DU3" s="112" t="s">
        <v>44</v>
      </c>
      <c r="DV3" s="112" t="s">
        <v>22</v>
      </c>
      <c r="DW3" s="112" t="s">
        <v>23</v>
      </c>
      <c r="DX3" s="112" t="s">
        <v>14</v>
      </c>
      <c r="DY3" s="112" t="s">
        <v>24</v>
      </c>
      <c r="DZ3" s="112" t="s">
        <v>44</v>
      </c>
      <c r="EA3" s="10"/>
      <c r="EB3" s="9"/>
      <c r="EC3" s="9"/>
      <c r="ED3" s="9"/>
      <c r="EE3" s="9"/>
      <c r="EF3" s="10"/>
      <c r="EG3" s="10"/>
      <c r="EH3" s="113" t="s">
        <v>22</v>
      </c>
      <c r="EI3" s="113" t="s">
        <v>23</v>
      </c>
      <c r="EJ3" s="113" t="s">
        <v>14</v>
      </c>
      <c r="EK3" s="113" t="s">
        <v>24</v>
      </c>
      <c r="EL3" s="113" t="s">
        <v>44</v>
      </c>
      <c r="EM3" s="113" t="s">
        <v>22</v>
      </c>
      <c r="EN3" s="113" t="s">
        <v>23</v>
      </c>
      <c r="EO3" s="113" t="s">
        <v>14</v>
      </c>
      <c r="EP3" s="113" t="s">
        <v>24</v>
      </c>
      <c r="EQ3" s="113" t="s">
        <v>44</v>
      </c>
      <c r="ER3" s="113" t="s">
        <v>22</v>
      </c>
      <c r="ES3" s="113" t="s">
        <v>23</v>
      </c>
      <c r="ET3" s="113" t="s">
        <v>14</v>
      </c>
      <c r="EU3" s="113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112" t="s">
        <v>22</v>
      </c>
      <c r="FE3" s="112" t="s">
        <v>23</v>
      </c>
      <c r="FF3" s="112" t="s">
        <v>14</v>
      </c>
      <c r="FG3" s="112" t="s">
        <v>24</v>
      </c>
      <c r="FH3" s="112" t="s">
        <v>44</v>
      </c>
      <c r="FI3" s="112" t="s">
        <v>22</v>
      </c>
      <c r="FJ3" s="112" t="s">
        <v>23</v>
      </c>
      <c r="FK3" s="112" t="s">
        <v>14</v>
      </c>
      <c r="FL3" s="112" t="s">
        <v>24</v>
      </c>
      <c r="FM3" s="112" t="s">
        <v>44</v>
      </c>
      <c r="FN3" s="112" t="s">
        <v>22</v>
      </c>
      <c r="FO3" s="112" t="s">
        <v>23</v>
      </c>
      <c r="FP3" s="112" t="s">
        <v>14</v>
      </c>
      <c r="FQ3" s="112" t="s">
        <v>24</v>
      </c>
      <c r="FR3" s="112" t="s">
        <v>44</v>
      </c>
      <c r="FS3" s="10"/>
      <c r="FT3" s="9"/>
      <c r="FU3" s="9"/>
      <c r="FV3" s="9"/>
      <c r="FW3" s="9"/>
      <c r="FX3" s="10"/>
      <c r="FY3" s="10"/>
      <c r="FZ3" s="113" t="s">
        <v>22</v>
      </c>
      <c r="GA3" s="113" t="s">
        <v>23</v>
      </c>
      <c r="GB3" s="113" t="s">
        <v>14</v>
      </c>
      <c r="GC3" s="113" t="s">
        <v>24</v>
      </c>
      <c r="GD3" s="113" t="s">
        <v>44</v>
      </c>
      <c r="GE3" s="113" t="s">
        <v>22</v>
      </c>
      <c r="GF3" s="113" t="s">
        <v>23</v>
      </c>
      <c r="GG3" s="113" t="s">
        <v>14</v>
      </c>
      <c r="GH3" s="113" t="s">
        <v>24</v>
      </c>
      <c r="GI3" s="113" t="s">
        <v>44</v>
      </c>
      <c r="GJ3" s="113" t="s">
        <v>22</v>
      </c>
      <c r="GK3" s="113" t="s">
        <v>23</v>
      </c>
      <c r="GL3" s="113" t="s">
        <v>14</v>
      </c>
      <c r="GM3" s="113" t="s">
        <v>24</v>
      </c>
      <c r="GN3" s="113" t="s">
        <v>44</v>
      </c>
      <c r="GO3" s="13"/>
      <c r="GP3" s="12"/>
      <c r="GQ3" s="12"/>
      <c r="GR3" s="12"/>
      <c r="GS3" s="12"/>
      <c r="GT3" s="13"/>
      <c r="GU3" s="13"/>
      <c r="GV3" s="112" t="s">
        <v>22</v>
      </c>
      <c r="GW3" s="112" t="s">
        <v>23</v>
      </c>
      <c r="GX3" s="112" t="s">
        <v>14</v>
      </c>
      <c r="GY3" s="112" t="s">
        <v>24</v>
      </c>
      <c r="GZ3" s="112" t="s">
        <v>44</v>
      </c>
      <c r="HA3" s="112" t="s">
        <v>22</v>
      </c>
      <c r="HB3" s="112" t="s">
        <v>23</v>
      </c>
      <c r="HC3" s="112" t="s">
        <v>14</v>
      </c>
      <c r="HD3" s="112" t="s">
        <v>24</v>
      </c>
      <c r="HE3" s="112" t="s">
        <v>44</v>
      </c>
      <c r="HF3" s="112" t="s">
        <v>22</v>
      </c>
      <c r="HG3" s="112" t="s">
        <v>23</v>
      </c>
      <c r="HH3" s="112" t="s">
        <v>14</v>
      </c>
      <c r="HI3" s="112" t="s">
        <v>24</v>
      </c>
      <c r="HJ3" s="112" t="s">
        <v>44</v>
      </c>
      <c r="HK3" s="10"/>
      <c r="HL3" s="9"/>
      <c r="HM3" s="9"/>
      <c r="HN3" s="9"/>
      <c r="HO3" s="9"/>
      <c r="HP3" s="10"/>
      <c r="HQ3" s="10"/>
      <c r="HR3" s="113" t="s">
        <v>22</v>
      </c>
      <c r="HS3" s="113" t="s">
        <v>23</v>
      </c>
      <c r="HT3" s="113" t="s">
        <v>14</v>
      </c>
      <c r="HU3" s="113" t="s">
        <v>24</v>
      </c>
      <c r="HV3" s="113" t="s">
        <v>44</v>
      </c>
      <c r="HW3" s="113" t="s">
        <v>22</v>
      </c>
      <c r="HX3" s="113" t="s">
        <v>23</v>
      </c>
      <c r="HY3" s="113" t="s">
        <v>14</v>
      </c>
      <c r="HZ3" s="113" t="s">
        <v>24</v>
      </c>
      <c r="IA3" s="113" t="s">
        <v>44</v>
      </c>
      <c r="IB3" s="113" t="s">
        <v>22</v>
      </c>
      <c r="IC3" s="113" t="s">
        <v>23</v>
      </c>
      <c r="ID3" s="113" t="s">
        <v>14</v>
      </c>
      <c r="IE3" s="113" t="s">
        <v>24</v>
      </c>
      <c r="IF3" s="113" t="s">
        <v>44</v>
      </c>
      <c r="IG3" s="13"/>
      <c r="IH3" s="12"/>
      <c r="II3" s="12"/>
      <c r="IJ3" s="12"/>
      <c r="IK3" s="12"/>
      <c r="IL3" s="13"/>
      <c r="IM3" s="13"/>
      <c r="IN3" s="112" t="s">
        <v>22</v>
      </c>
      <c r="IO3" s="112" t="s">
        <v>23</v>
      </c>
      <c r="IP3" s="112" t="s">
        <v>14</v>
      </c>
      <c r="IQ3" s="112" t="s">
        <v>24</v>
      </c>
      <c r="IR3" s="112" t="s">
        <v>44</v>
      </c>
      <c r="IS3" s="112" t="s">
        <v>22</v>
      </c>
      <c r="IT3" s="112" t="s">
        <v>23</v>
      </c>
      <c r="IU3" s="112" t="s">
        <v>14</v>
      </c>
      <c r="IV3" s="112" t="s">
        <v>24</v>
      </c>
      <c r="IW3" s="112" t="s">
        <v>44</v>
      </c>
      <c r="IX3" s="112" t="s">
        <v>22</v>
      </c>
      <c r="IY3" s="112" t="s">
        <v>23</v>
      </c>
      <c r="IZ3" s="112" t="s">
        <v>14</v>
      </c>
      <c r="JA3" s="112" t="s">
        <v>24</v>
      </c>
      <c r="JB3" s="112" t="s">
        <v>44</v>
      </c>
      <c r="JC3" s="10"/>
      <c r="JD3" s="9"/>
      <c r="JE3" s="9"/>
      <c r="JF3" s="9"/>
      <c r="JG3" s="9"/>
      <c r="JH3" s="10"/>
      <c r="JI3" s="10"/>
      <c r="JJ3" s="113" t="s">
        <v>22</v>
      </c>
      <c r="JK3" s="113" t="s">
        <v>23</v>
      </c>
      <c r="JL3" s="113" t="s">
        <v>14</v>
      </c>
      <c r="JM3" s="113" t="s">
        <v>24</v>
      </c>
      <c r="JN3" s="113" t="s">
        <v>44</v>
      </c>
      <c r="JO3" s="113" t="s">
        <v>22</v>
      </c>
      <c r="JP3" s="113" t="s">
        <v>23</v>
      </c>
      <c r="JQ3" s="113" t="s">
        <v>14</v>
      </c>
      <c r="JR3" s="113" t="s">
        <v>24</v>
      </c>
      <c r="JS3" s="113" t="s">
        <v>44</v>
      </c>
      <c r="JT3" s="113" t="s">
        <v>22</v>
      </c>
      <c r="JU3" s="113" t="s">
        <v>23</v>
      </c>
      <c r="JV3" s="113" t="s">
        <v>14</v>
      </c>
      <c r="JW3" s="113" t="s">
        <v>24</v>
      </c>
      <c r="JX3" s="113" t="s">
        <v>44</v>
      </c>
      <c r="JY3" s="13"/>
      <c r="JZ3" s="12"/>
      <c r="KA3" s="12"/>
      <c r="KB3" s="12"/>
      <c r="KC3" s="12"/>
      <c r="KD3" s="13"/>
      <c r="KE3" s="13"/>
      <c r="KF3" s="112" t="s">
        <v>22</v>
      </c>
      <c r="KG3" s="112" t="s">
        <v>23</v>
      </c>
      <c r="KH3" s="112" t="s">
        <v>14</v>
      </c>
      <c r="KI3" s="112" t="s">
        <v>24</v>
      </c>
      <c r="KJ3" s="112" t="s">
        <v>44</v>
      </c>
      <c r="KK3" s="112" t="s">
        <v>22</v>
      </c>
      <c r="KL3" s="112" t="s">
        <v>23</v>
      </c>
      <c r="KM3" s="112" t="s">
        <v>14</v>
      </c>
      <c r="KN3" s="112" t="s">
        <v>24</v>
      </c>
      <c r="KO3" s="112" t="s">
        <v>44</v>
      </c>
      <c r="KP3" s="112" t="s">
        <v>22</v>
      </c>
      <c r="KQ3" s="112" t="s">
        <v>23</v>
      </c>
      <c r="KR3" s="112" t="s">
        <v>14</v>
      </c>
      <c r="KS3" s="112" t="s">
        <v>24</v>
      </c>
      <c r="KT3" s="112" t="s">
        <v>44</v>
      </c>
      <c r="KU3" s="10"/>
      <c r="KV3" s="9"/>
      <c r="KW3" s="9"/>
      <c r="KX3" s="9"/>
      <c r="KY3" s="9"/>
      <c r="KZ3" s="10"/>
      <c r="LA3" s="10"/>
      <c r="LB3" s="113" t="s">
        <v>22</v>
      </c>
      <c r="LC3" s="113" t="s">
        <v>23</v>
      </c>
      <c r="LD3" s="113" t="s">
        <v>14</v>
      </c>
      <c r="LE3" s="113" t="s">
        <v>24</v>
      </c>
      <c r="LF3" s="113" t="s">
        <v>44</v>
      </c>
      <c r="LG3" s="113" t="s">
        <v>22</v>
      </c>
      <c r="LH3" s="113" t="s">
        <v>23</v>
      </c>
      <c r="LI3" s="113" t="s">
        <v>14</v>
      </c>
      <c r="LJ3" s="113" t="s">
        <v>24</v>
      </c>
      <c r="LK3" s="113" t="s">
        <v>44</v>
      </c>
      <c r="LL3" s="113" t="s">
        <v>22</v>
      </c>
      <c r="LM3" s="113" t="s">
        <v>23</v>
      </c>
      <c r="LN3" s="113" t="s">
        <v>14</v>
      </c>
      <c r="LO3" s="113" t="s">
        <v>24</v>
      </c>
      <c r="LP3" s="113" t="s">
        <v>44</v>
      </c>
      <c r="LQ3" s="13"/>
      <c r="LR3" s="12"/>
      <c r="LS3" s="12"/>
      <c r="LT3" s="12"/>
      <c r="LU3" s="12"/>
      <c r="LV3" s="13"/>
      <c r="LW3" s="13"/>
      <c r="LX3" s="112" t="s">
        <v>22</v>
      </c>
      <c r="LY3" s="112" t="s">
        <v>23</v>
      </c>
      <c r="LZ3" s="112" t="s">
        <v>14</v>
      </c>
      <c r="MA3" s="112" t="s">
        <v>24</v>
      </c>
      <c r="MB3" s="112" t="s">
        <v>44</v>
      </c>
      <c r="MC3" s="112" t="s">
        <v>22</v>
      </c>
      <c r="MD3" s="112" t="s">
        <v>23</v>
      </c>
      <c r="ME3" s="112" t="s">
        <v>14</v>
      </c>
      <c r="MF3" s="112" t="s">
        <v>24</v>
      </c>
      <c r="MG3" s="112" t="s">
        <v>44</v>
      </c>
      <c r="MH3" s="112" t="s">
        <v>22</v>
      </c>
      <c r="MI3" s="112" t="s">
        <v>23</v>
      </c>
      <c r="MJ3" s="112" t="s">
        <v>14</v>
      </c>
      <c r="MK3" s="112" t="s">
        <v>24</v>
      </c>
      <c r="ML3" s="112" t="s">
        <v>44</v>
      </c>
      <c r="MM3" s="10"/>
      <c r="MN3" s="9"/>
      <c r="MO3" s="9"/>
      <c r="MP3" s="9"/>
      <c r="MQ3" s="9"/>
      <c r="MR3" s="10"/>
      <c r="MS3" s="10"/>
      <c r="MT3" s="113" t="s">
        <v>22</v>
      </c>
      <c r="MU3" s="113" t="s">
        <v>23</v>
      </c>
      <c r="MV3" s="113" t="s">
        <v>14</v>
      </c>
      <c r="MW3" s="113" t="s">
        <v>24</v>
      </c>
      <c r="MX3" s="113" t="s">
        <v>44</v>
      </c>
      <c r="MY3" s="113" t="s">
        <v>22</v>
      </c>
      <c r="MZ3" s="113" t="s">
        <v>23</v>
      </c>
      <c r="NA3" s="113" t="s">
        <v>14</v>
      </c>
      <c r="NB3" s="113" t="s">
        <v>24</v>
      </c>
      <c r="NC3" s="113" t="s">
        <v>44</v>
      </c>
      <c r="ND3" s="113" t="s">
        <v>22</v>
      </c>
      <c r="NE3" s="113" t="s">
        <v>23</v>
      </c>
      <c r="NF3" s="113" t="s">
        <v>14</v>
      </c>
      <c r="NG3" s="113" t="s">
        <v>24</v>
      </c>
      <c r="NH3" s="113" t="s">
        <v>44</v>
      </c>
      <c r="NI3" s="13"/>
      <c r="NJ3" s="12"/>
      <c r="NK3" s="12"/>
      <c r="NL3" s="12"/>
      <c r="NM3" s="12"/>
      <c r="NN3" s="13"/>
      <c r="NO3" s="13"/>
      <c r="NP3" s="112" t="s">
        <v>22</v>
      </c>
      <c r="NQ3" s="112" t="s">
        <v>23</v>
      </c>
      <c r="NR3" s="112" t="s">
        <v>14</v>
      </c>
      <c r="NS3" s="112" t="s">
        <v>24</v>
      </c>
      <c r="NT3" s="11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12" t="s">
        <v>22</v>
      </c>
      <c r="OA3" s="112" t="s">
        <v>23</v>
      </c>
      <c r="OB3" s="112" t="s">
        <v>14</v>
      </c>
      <c r="OC3" s="112" t="s">
        <v>24</v>
      </c>
      <c r="OD3" s="112" t="s">
        <v>44</v>
      </c>
      <c r="OE3" s="112" t="s">
        <v>22</v>
      </c>
      <c r="OF3" s="112" t="s">
        <v>23</v>
      </c>
      <c r="OG3" s="112" t="s">
        <v>14</v>
      </c>
      <c r="OH3" s="112" t="s">
        <v>24</v>
      </c>
      <c r="OI3" s="112" t="s">
        <v>44</v>
      </c>
      <c r="OJ3" s="112" t="s">
        <v>87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IF(AND(G4&lt;&gt;"",H4&lt;&gt;""),SUMPRODUCT((G$4:G$18&lt;&gt;"")*(H$4:H$18&lt;&gt;"")*(E$4:E$18&gt;E4))+1,IF(H4&lt;&gt;"",SUMPRODUCT((I$4:I$18="No DD")*(E$4:E$18&gt;E4))+1+SUMPRODUCT((G$4:G$18&lt;&gt;"")*(H$4:H$18&lt;&gt;"")),""))</f>
        <v>1</v>
      </c>
      <c r="B4" s="127" t="s">
        <v>38</v>
      </c>
      <c r="C4" s="5" t="s">
        <v>3</v>
      </c>
      <c r="D4" s="5">
        <v>1988</v>
      </c>
      <c r="E4" s="15">
        <f t="shared" ref="E4:E17" si="0">SUM(K4:S4)</f>
        <v>268.66500000000002</v>
      </c>
      <c r="F4" s="3" t="str">
        <f t="shared" ref="F4:F17" si="1">IF(G4&lt;&gt;"","P","")</f>
        <v>P</v>
      </c>
      <c r="G4" s="125" t="str">
        <f>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Merit",IF(OR(AND(AR4&gt;=AY$22,AR4&lt;&gt;"",AP4=""),AND(AT4&gt;=AY$22,AT4&lt;&gt;"",AP4=""),AND(AW4&gt;=AY$22,AW4&lt;&gt;"",AP4=""),AND(BV4&gt;=CC$22,BV4&lt;&gt;"",BT4=""),AND(BX4&gt;=CC$22,BX4&lt;&gt;"",BT4=""),AND(CA4&gt;=CC$22,CA4&lt;&gt;"",BT4=""),AND(CZ4&gt;=DG$22,CZ4&lt;&gt;"",CX4=""),AND(DB4&gt;=DG$22,DB4&lt;&gt;"",CX4=""),AND(DE4&gt;=DG$22,DE4&lt;&gt;"",CX4=""),AND(EA4&gt;=EG$22,EA4&lt;&gt;""),AND(EE4&gt;=EG$22,EE4&lt;&gt;""),AND(EW4&gt;=FC$22,EW4&lt;&gt;""),AND(FA4&gt;=FC$22,FA4&lt;&gt;""),AND(FS4&gt;=FY$22,FS4&lt;&gt;""),AND(FW4&gt;=FY$22,FW4&lt;&gt;""),AND(GO4&gt;=GU$22,GO4&lt;&gt;""),AND(GS4&gt;=GU$22,GS4&lt;&gt;""),AND(HK4&gt;=HQ$22,HK4&lt;&gt;""),AND(HO4&gt;=HQ$22,HO4&lt;&gt;""),AND(IG4&gt;=IM$22,IG4&lt;&gt;""),AND(IK4&gt;=IM$22,IK4&lt;&gt;""),AND(JC4&gt;=JI$22,JC4&lt;&gt;""),AND(JG4&gt;=JI$22,JG4&lt;&gt;""),AND(JY4&gt;=KE$22,JY4&lt;&gt;""),AND(KC4&gt;=KE$22,KC4&lt;&gt;""),AND(KU4&gt;=LA$22,KU4&lt;&gt;""),AND(KY4&gt;=LA$22,KY4&lt;&gt;""),AND(LQ4&gt;=LW$22,LQ4&lt;&gt;""),AND(LU4&gt;=LW$22,LU4&lt;&gt;""),AND(MM4&gt;=MS$22,MM4&lt;&gt;""),AND(MQ4&gt;=MS$22,MQ4&lt;&gt;""),AND(NI4&gt;=NO$22,NI4&lt;&gt;""),AND(NM4&gt;=NO$22,NM4&lt;&gt;"")),"Excellence",IF(OR(AND(AR4&gt;=AY$21,AR4&lt;&gt;"",AP4=""),AND(AT4&gt;=AY$21,AT4&lt;&gt;"",AP4=""),AND(AW4&gt;=AY$21,AW4&lt;&gt;"",AP4=""),AND(BV4&gt;=CC$21,BV4&lt;&gt;"",BT4=""),AND(BX4&gt;=CC$21,BX4&lt;&gt;"",BT4=""),AND(CA4&gt;=CC$21,CA4&lt;&gt;"",BT4=""),AND(CZ4&gt;=DG$21,CZ4&lt;&gt;"",CX4=""),AND(DB4&gt;=DG$21,DB4&lt;&gt;"",CX4=""),AND(DE4&gt;=DG$21,DE4&lt;&gt;"",CX4=""),AND(EA4&gt;=EG$21,EA4&lt;&gt;""),AND(EE4&gt;=EG$21,EE4&lt;&gt;""),AND(EW4&gt;=FC$21,EW4&lt;&gt;""),AND(FA4&gt;=FC$21,FA4&lt;&gt;""),AND(FS4&gt;=FY$21,FS4&lt;&gt;""),AND(FW4&gt;=FY$21,FW4&lt;&gt;""),AND(GO4&gt;=GU$21,GO4&lt;&gt;""),AND(GS4&gt;=GU$21,GS4&lt;&gt;""),AND(HK4&gt;=HQ$21,HK4&lt;&gt;""),AND(HO4&gt;=HQ$21,HO4&lt;&gt;""),AND(IG4&gt;=IM$21,IG4&lt;&gt;""),AND(IK4&gt;=IM$21,IK4&lt;&gt;""),AND(JC4&gt;=JI$21,JC4&lt;&gt;""),AND(JG4&gt;=JI$21,JG4&lt;&gt;""),AND(JY4&gt;=KE$21,JY4&lt;&gt;""),AND(KC4&gt;=KE$21,KC4&lt;&gt;""),AND(KU4&gt;=LA$21,KU4&lt;&gt;""),AND(KY4&gt;=LA$21,KY4&lt;&gt;""),AND(LQ4&gt;=LW$21,LQ4&lt;&gt;""),AND(LU4&gt;=LW$21,LU4&lt;&gt;""),AND(MM4&gt;=MS$21,MM4&lt;&gt;""),AND(MQ4&gt;=MS$21,MQ4&lt;&gt;""),AND(NI4&gt;=NO$21,NI4&lt;&gt;""),AND(NM4&gt;=NO$21,NM4&lt;&gt;"")),"Worlds Team",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National Team",""))))</f>
        <v>Merit</v>
      </c>
      <c r="H4" s="125" t="str">
        <f>IF(OR(AND(AS4&gt;=AY$27,AS4&lt;&gt;"",AP4=""),AND(AU4&gt;=AY$27,AU4&lt;&gt;"",AP4=""),AND(AX4&gt;=AY$27,AX4&lt;&gt;"",AP4=""),AND(BW4&gt;=CC$27,BW4&lt;&gt;"",BT4=""),AND(BY4&gt;=CC$27,BY4&lt;&gt;"",BT4=""),AND(CB4&gt;=CC$27,CB4&lt;&gt;"",BT4=""),AND(DA4&gt;=DG$27,DA4&lt;&gt;"",CX4=""),AND(DC4&gt;=DG$27,DC4&lt;&gt;"",CX4=""),AND(DF4&gt;=DG$27,DF4&lt;&gt;"",CX4=""),AND(EC4&gt;=EG$27,EC4&lt;&gt;""),AND(EF4&gt;=EG$27,EF4&lt;&gt;""),AND(EY4&gt;=FC$27,EY4&lt;&gt;""),AND(FB4&gt;=FC$27,FB4&lt;&gt;""),AND(FU4&gt;=FY$27,FU4&lt;&gt;""),AND(FX4&gt;=FY$27,FX4&lt;&gt;""),AND(GQ4&gt;=GU$27,GQ4&lt;&gt;""),AND(GT4&gt;=GU$27,GT4&lt;&gt;""),AND(HM4&gt;=HQ$27,HM4&lt;&gt;""),AND(HP4&gt;=HQ$27,HP4&lt;&gt;""),AND(II4&gt;=IM$27,II4&lt;&gt;""),AND(IL4&gt;=IM$27,IL4&lt;&gt;""),AND(JE4&gt;=JI$27,JE4&lt;&gt;""),AND(JH4&gt;=JI$27,JH4&lt;&gt;""),AND(KA4&gt;=KE$27,KA4&lt;&gt;""),AND(KD4&gt;=KE$27,KD4&lt;&gt;""),AND(KW4&gt;=LA$27,KW4&lt;&gt;""),AND(KZ4&gt;=LA$27,KZ4&lt;&gt;""),AND(LS4&gt;=LW$27,LS4&lt;&gt;""),AND(LV4&gt;=LW$27,LV4&lt;&gt;""),AND(MO4&gt;=MS$27,MO4&lt;&gt;""),AND(MR4&gt;=MS$27,MR4&lt;&gt;""),AND(NK4&gt;=NO$27,NK4&lt;&gt;""),AND(NN4&gt;=NO$27,NN4&lt;&gt;"")),"Merit",IF(OR(AND(AS4&gt;=AY$26,AS4&lt;&gt;"",AP4=""),AND(AU4&gt;=AY$26,AU4&lt;&gt;"",AP4=""),AND(AX4&gt;=AY$26,AX4&lt;&gt;"",AP4=""),AND(BW4&gt;=CC$26,BW4&lt;&gt;"",BT4=""),AND(BY4&gt;=CC$26,BY4&lt;&gt;"",BT4=""),AND(CB4&gt;=CC$26,CB4&lt;&gt;"",BT4=""),AND(DA4&gt;=DG$26,DA4&lt;&gt;"",CX4=""),AND(DC4&gt;=DG$26,DC4&lt;&gt;"",CX4=""),AND(DF4&gt;=DG$26,DF4&lt;&gt;"",CX4=""),AND(EC4&gt;=EG$26,EC4&lt;&gt;""),AND(EF4&gt;=EG$26,EF4&lt;&gt;""),AND(EY4&gt;=FC$26,EY4&lt;&gt;""),AND(FB4&gt;=FC$26,FB4&lt;&gt;""),AND(FU4&gt;=FY$26,FU4&lt;&gt;""),AND(FX4&gt;=FY$26,FX4&lt;&gt;""),AND(GQ4&gt;=GU$26,GQ4&lt;&gt;""),AND(GT4&gt;=GU$26,GT4&lt;&gt;""),AND(HM4&gt;=HQ$26,HM4&lt;&gt;""),AND(HP4&gt;=HQ$26,HP4&lt;&gt;""),AND(II4&gt;=IM$26,II4&lt;&gt;""),AND(IL4&gt;=IM$26,IL4&lt;&gt;""),AND(JE4&gt;=JI$26,JE4&lt;&gt;""),AND(JH4&gt;=JI$26,JH4&lt;&gt;""),AND(KA4&gt;=KE$26,KA4&lt;&gt;""),AND(KD4&gt;=KE$26,KD4&lt;&gt;""),AND(KW4&gt;=LA$26,KW4&lt;&gt;""),AND(KZ4&gt;=LA$26,KZ4&lt;&gt;""),AND(LS4&gt;=LW$26,LS4&lt;&gt;""),AND(LV4&gt;=LW$26,LV4&lt;&gt;""),AND(MO4&gt;=MS$26,MO4&lt;&gt;""),AND(MR4&gt;=MS$26,MR4&lt;&gt;""),AND(NK4&gt;=NO$26,NK4&lt;&gt;""),AND(NN4&gt;=NO$26,NN4&lt;&gt;"")),"Excellence",IF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"Worlds Team",IF(OR(AND(AV4&gt;=AY$24,AV4&lt;&gt;"",AP4=""),AND(BZ4&gt;=CC$24,BZ4&lt;&gt;"",BT4=""),AND(DD4&gt;=DG$24,DD4&lt;&gt;"",CX4=""),AND(ED4&gt;=EG$24,ED4&lt;&gt;""),AND(EZ4&gt;=FC$24,EZ4&lt;&gt;""),AND(FV4&gt;=FY$24,FV4&lt;&gt;""),AND(GR4&gt;=GU$24,GR4&lt;&gt;""),AND(HN4&gt;=HQ$24,HN4&lt;&gt;""),AND(IJ4&gt;=IM$24,IJ4&lt;&gt;""),AND(JF4&gt;=JI$24,JF4&lt;&gt;""),AND(KB4&gt;=KE$24,KB4&lt;&gt;""),AND(KX4&gt;=LA$24,KX4&lt;&gt;""),AND(LT4&gt;=LW$24,LT4&lt;&gt;""),AND(MP4&gt;=MS$24,MP4&lt;&gt;""),AND(NL4&gt;=NO$24,NL4&lt;&gt;"")),"National Team",""))))</f>
        <v>Merit</v>
      </c>
      <c r="I4" s="126" t="str">
        <f t="shared" ref="I4:I17" si="2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OR(G4="Worlds Team",G4="Excellence",G4="Merit")),"P","")</f>
        <v>P</v>
      </c>
      <c r="K4" s="14">
        <f t="shared" ref="K4:K17" si="3">IF(MAX(AV4,BZ4,DD4)&gt;0,MAX(AV4,BZ4,DD4),0)</f>
        <v>106.65</v>
      </c>
      <c r="L4" s="14" t="str">
        <f t="shared" ref="L4:L17" si="4">IF(K4=0,"",IF(K4=DD4,$CD$1,IF(K4=BZ4,$AZ$1,IF(K4=AV4,$V$1,""))))</f>
        <v>2021 2nd Virtual Technical Trial</v>
      </c>
      <c r="M4" s="14">
        <f t="shared" ref="M4:M17" si="5">IF($K4=$AV4,MAX(BU4,CY4),IF($K4=$BZ4,MAX(AQ4,CY4),IF($K4=$DD4,MAX(AQ4,BU4),MAX(AQ4,BU4,CY4))))</f>
        <v>49.48</v>
      </c>
      <c r="N4" s="14" t="str">
        <f t="shared" ref="N4:N17" si="6">IF(M4=0,"",IF(AND(M4=CY4,$L4&lt;&gt;$CD$1),$CD$1,IF(AND(M4=BU4,$L4&lt;&gt;$AZ$1),$AZ$1,IF(AND(M4=AQ4,$L4&lt;&gt;$V$1),$V$1,""))))</f>
        <v>2021 1st Virtual Technical Trial</v>
      </c>
      <c r="O4" s="14">
        <f t="shared" ref="O4:O17" si="7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56.774999999999999</v>
      </c>
      <c r="P4" s="14" t="str">
        <f t="shared" ref="P4:P17" si="8">IF(O4=0,"",IF(OR(O4=DC4,O4=DA4),$CD$1,IF(OR(O4=BY4,O4=BW4),$AZ$1,IF(OR(O4=AU4,O4=AS4),$V$1,""))))</f>
        <v>2021 1st Virtual Technical Trial</v>
      </c>
      <c r="Q4" s="14">
        <f t="shared" ref="Q4:Q17" si="9">MAX(AX4,CB4,DF4)</f>
        <v>55.760000000000005</v>
      </c>
      <c r="R4" s="14" t="str">
        <f t="shared" ref="R4:R17" si="10">IF(Q4=0,"",IF(Q4=DF4,$CD$1,IF(Q4=CB4,$AZ$1,IF(Q4=AX4,$V$1,""))))</f>
        <v>2021 1st Virtual Technical Trial</v>
      </c>
      <c r="S4" s="14" t="str">
        <f t="shared" ref="S4:S17" si="11">IF(MAX(DH4,DI4,DJ4,DK4)&gt;0,MAX(DH4,DI4,DJ4,DK4),"")</f>
        <v/>
      </c>
      <c r="T4" s="25" t="str">
        <f t="shared" ref="T4:T17" si="12">IF(S4="","",IF(S4=DH4,"(Vol 1)",IF(S4=DI4,"(Vol 2)",IF(S4=DJ4,"(Prelim)",IF(S4=DK4,"(Final)")))))</f>
        <v/>
      </c>
      <c r="U4" s="14" t="str">
        <f t="shared" ref="U4:U17" si="13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9.4499999999999993</v>
      </c>
      <c r="X4" s="69">
        <v>4.4000000000000004</v>
      </c>
      <c r="Y4" s="69">
        <v>16.634999999999998</v>
      </c>
      <c r="Z4" s="69">
        <v>0</v>
      </c>
      <c r="AA4" s="69">
        <v>16.8</v>
      </c>
      <c r="AB4" s="69">
        <v>9.2750000000000004</v>
      </c>
      <c r="AC4" s="69">
        <v>14.15</v>
      </c>
      <c r="AD4" s="69">
        <v>15.73</v>
      </c>
      <c r="AE4" s="69">
        <v>0</v>
      </c>
      <c r="AF4" s="69"/>
      <c r="AG4" s="69"/>
      <c r="AH4" s="69"/>
      <c r="AI4" s="69"/>
      <c r="AJ4" s="69"/>
      <c r="AK4" s="69">
        <v>9.85</v>
      </c>
      <c r="AL4" s="69">
        <v>5.35</v>
      </c>
      <c r="AM4" s="69">
        <v>8.5500000000000007</v>
      </c>
      <c r="AN4" s="69">
        <v>9.6425000000000001</v>
      </c>
      <c r="AO4" s="69">
        <v>0</v>
      </c>
      <c r="AP4" s="80" t="s">
        <v>88</v>
      </c>
      <c r="AQ4" s="11">
        <f t="shared" ref="AQ4:AQ17" si="14">IF(SUM(V4:Y4)-Z4&gt;0,SUM(V4:Y4)-Z4,"")</f>
        <v>49.284999999999997</v>
      </c>
      <c r="AR4" s="11">
        <f t="shared" ref="AR4:AR17" si="15">IF(AC4&gt;0,AC4,"")</f>
        <v>14.15</v>
      </c>
      <c r="AS4" s="11">
        <f t="shared" ref="AS4:AS17" si="16">IF(SUM(AA4:AD4)-AE4&gt;0,SUM(AA4:AD4)-AE4,"")</f>
        <v>55.954999999999998</v>
      </c>
      <c r="AT4" s="11" t="str">
        <f t="shared" ref="AT4:AT17" si="17">IF(AH4&gt;0,AH4,"")</f>
        <v/>
      </c>
      <c r="AU4" s="11" t="str">
        <f t="shared" ref="AU4:AU17" si="18">IF(SUM(AF4:AI4)-AJ4&gt;0,SUM(AF4:AI4)-AJ4,"")</f>
        <v/>
      </c>
      <c r="AV4" s="11">
        <f t="shared" ref="AV4:AV17" si="19">IF(AQ4="",IF(MAX(AS4,AU4)&gt;0,MAX(AS4,AU4),""),MAX(AS4,AU4)+AQ4)</f>
        <v>105.24</v>
      </c>
      <c r="AW4" s="11">
        <f t="shared" ref="AW4:AW17" si="20">IF(AM4&gt;0,AM4,"")</f>
        <v>8.5500000000000007</v>
      </c>
      <c r="AX4" s="11">
        <f t="shared" ref="AX4:AX17" si="21">IF(SUM(AK4:AN4)-AO4&gt;0,SUM(AK4:AN4)-AO4,"")</f>
        <v>33.392499999999998</v>
      </c>
      <c r="AY4" s="11">
        <f t="shared" ref="AY4:AY17" si="22">IF(SUM(AV4,AX4)&gt;0,SUM(AV4,AX4),"")</f>
        <v>138.63249999999999</v>
      </c>
      <c r="AZ4" s="75">
        <v>18.399999999999999</v>
      </c>
      <c r="BA4" s="75">
        <v>9.6</v>
      </c>
      <c r="BB4" s="75">
        <v>4.9000000000000004</v>
      </c>
      <c r="BC4" s="75">
        <v>16.579999999999998</v>
      </c>
      <c r="BD4" s="75">
        <v>0</v>
      </c>
      <c r="BE4" s="75">
        <v>5.6</v>
      </c>
      <c r="BF4" s="75">
        <v>3.3</v>
      </c>
      <c r="BG4" s="75">
        <v>4.7</v>
      </c>
      <c r="BH4" s="75">
        <v>3.38</v>
      </c>
      <c r="BI4" s="75">
        <v>0</v>
      </c>
      <c r="BJ4" s="75">
        <v>16.399999999999999</v>
      </c>
      <c r="BK4" s="75">
        <v>9.85</v>
      </c>
      <c r="BL4" s="75">
        <v>14.8</v>
      </c>
      <c r="BM4" s="75">
        <v>15.725</v>
      </c>
      <c r="BN4" s="75">
        <v>0</v>
      </c>
      <c r="BO4" s="75">
        <v>16</v>
      </c>
      <c r="BP4" s="75">
        <v>9.35</v>
      </c>
      <c r="BQ4" s="75">
        <v>14.8</v>
      </c>
      <c r="BR4" s="75">
        <v>15.61</v>
      </c>
      <c r="BS4" s="75">
        <v>0</v>
      </c>
      <c r="BT4" s="81"/>
      <c r="BU4" s="14">
        <f t="shared" ref="BU4:BU17" si="23">IF(SUM(AZ4:BC4)-BD4&gt;0,SUM(AZ4:BC4)-BD4,"")</f>
        <v>49.48</v>
      </c>
      <c r="BV4" s="14">
        <f t="shared" ref="BV4:BV17" si="24">IF(BG4&gt;0,BG4,"")</f>
        <v>4.7</v>
      </c>
      <c r="BW4" s="14">
        <f t="shared" ref="BW4:BW17" si="25">IF(SUM(BE4:BH4)-BI4&gt;0,SUM(BE4:BH4)-BI4,"")</f>
        <v>16.979999999999997</v>
      </c>
      <c r="BX4" s="14">
        <f t="shared" ref="BX4:BX17" si="26">IF(BL4&gt;0,BL4,"")</f>
        <v>14.8</v>
      </c>
      <c r="BY4" s="14">
        <f t="shared" ref="BY4:BY17" si="27">IF(SUM(BJ4:BM4)-BN4&gt;0,SUM(BJ4:BM4)-BN4,"")</f>
        <v>56.774999999999999</v>
      </c>
      <c r="BZ4" s="14">
        <f t="shared" ref="BZ4:BZ17" si="28">IF(BU4="",IF(MAX(BW4,BY4)&gt;0,MAX(BW4,BY4),""),MAX(BW4,BY4)+BU4)</f>
        <v>106.255</v>
      </c>
      <c r="CA4" s="14">
        <f t="shared" ref="CA4:CA17" si="29">IF(BQ4&gt;0,BQ4,"")</f>
        <v>14.8</v>
      </c>
      <c r="CB4" s="14">
        <f t="shared" ref="CB4:CB17" si="30">IF(SUM(BO4:BR4)-BS4&gt;0,SUM(BO4:BR4)-BS4,"")</f>
        <v>55.760000000000005</v>
      </c>
      <c r="CC4" s="14">
        <f t="shared" ref="CC4:CC17" si="31">IF(SUM(BZ4,CB4)&gt;0,SUM(BZ4,CB4),"")</f>
        <v>162.01499999999999</v>
      </c>
      <c r="CD4" s="69">
        <v>18.5</v>
      </c>
      <c r="CE4" s="69">
        <v>9.8000000000000007</v>
      </c>
      <c r="CF4" s="69">
        <v>4.8</v>
      </c>
      <c r="CG4" s="69">
        <v>16.895</v>
      </c>
      <c r="CH4" s="69">
        <v>0</v>
      </c>
      <c r="CI4" s="69">
        <v>15.6</v>
      </c>
      <c r="CJ4" s="69">
        <v>9.5</v>
      </c>
      <c r="CK4" s="69">
        <v>14.9</v>
      </c>
      <c r="CL4" s="69">
        <v>15.84</v>
      </c>
      <c r="CM4" s="69">
        <v>0</v>
      </c>
      <c r="CN4" s="69">
        <v>16.399999999999999</v>
      </c>
      <c r="CO4" s="69">
        <v>9.6</v>
      </c>
      <c r="CP4" s="69">
        <v>14.9</v>
      </c>
      <c r="CQ4" s="69">
        <v>15.755000000000001</v>
      </c>
      <c r="CR4" s="69">
        <v>0</v>
      </c>
      <c r="CS4" s="69">
        <v>16.100000000000001</v>
      </c>
      <c r="CT4" s="69">
        <v>9.4</v>
      </c>
      <c r="CU4" s="69">
        <v>13.8</v>
      </c>
      <c r="CV4" s="69">
        <v>15.545</v>
      </c>
      <c r="CW4" s="69">
        <v>0</v>
      </c>
      <c r="CX4" s="80"/>
      <c r="CY4" s="11">
        <f t="shared" ref="CY4:CY17" si="32">IF(SUM(CD4:CG4)-CH4&gt;0,SUM(CD4:CG4)-CH4,"")</f>
        <v>49.995000000000005</v>
      </c>
      <c r="CZ4" s="11">
        <f t="shared" ref="CZ4:CZ17" si="33">IF(CK4&gt;0,CK4,"")</f>
        <v>14.9</v>
      </c>
      <c r="DA4" s="11">
        <f t="shared" ref="DA4:DA17" si="34">IF(SUM(CI4:CL4)-CM4&gt;0,SUM(CI4:CL4)-CM4,"")</f>
        <v>55.84</v>
      </c>
      <c r="DB4" s="11">
        <f t="shared" ref="DB4:DB17" si="35">IF(CP4&gt;0,CP4,"")</f>
        <v>14.9</v>
      </c>
      <c r="DC4" s="11">
        <f t="shared" ref="DC4:DC17" si="36">IF(SUM(CN4:CQ4)-CR4&gt;0,SUM(CN4:CQ4)-CR4,"")</f>
        <v>56.655000000000001</v>
      </c>
      <c r="DD4" s="11">
        <f t="shared" ref="DD4:DD17" si="37">IF(CY4="",IF(MAX(DA4,DC4)&gt;0,MAX(DA4,DC4),""),MAX(DA4,DC4)+CY4)</f>
        <v>106.65</v>
      </c>
      <c r="DE4" s="11">
        <f t="shared" ref="DE4:DE17" si="38">IF(CU4&gt;0,CU4,"")</f>
        <v>13.8</v>
      </c>
      <c r="DF4" s="11">
        <f t="shared" ref="DF4:DF17" si="39">IF(SUM(CS4:CV4)-CW4&gt;0,SUM(CS4:CV4)-CW4,"")</f>
        <v>54.844999999999999</v>
      </c>
      <c r="DG4" s="11">
        <f t="shared" ref="DG4:DG17" si="40">IF(SUM(DD4,DF4)&gt;0,SUM(DD4,DF4),"")</f>
        <v>161.495</v>
      </c>
      <c r="DH4" s="24" t="str">
        <f t="shared" ref="DH4:DH17" si="41">IF(MAX(EB4,EX4,FT4,GP4,HL4,IH4,JD4,JZ4,KV4,LR4,MN4,NJ4)-IF(M4="",0,M4)&gt;0.001,MAX(EB4,EX4,FT4,GP4,HL4,IH4,JD4,JZ4,KV4,LR4,MN4,NJ4)-IF(M4="",0,M4),"")</f>
        <v/>
      </c>
      <c r="DI4" s="24" t="str">
        <f t="shared" ref="DI4:DI17" si="42">IF(MAX(EC4,EY4,FU4,GQ4,HM4,II4,JE4,KA4,KW4,LS4,MO4,NK4)-IF(O4="",0,O4)&gt;0.001,MAX(EC4,EY4,FU4,GQ4,HM4,II4,JE4,KA4,KW4,LS4,MO4,NK4)-IF(O4="",0,O4),"")</f>
        <v/>
      </c>
      <c r="DJ4" s="24" t="str">
        <f t="shared" ref="DJ4:DJ17" si="43">IF(MAX(ED4,EZ4,FV4,GR4,HN4,IJ4,JF4,KB4,KX4,LT4,MP4,NL4)-IF(K4="",0,K4)&gt;0.001,MAX(ED4,EZ4,FV4,GR4,HN4,IJ4,JF4,KB4,KX4,LT4,MP4,NL4)-IF(K4="",0,K4),"")</f>
        <v/>
      </c>
      <c r="DK4" s="24" t="str">
        <f t="shared" ref="DK4:DK17" si="44">IF(MAX(EF4,FB4,FX4,GT4,HP4,IL4,JH4,KD4,KZ4,LV4,MR4,NN4)-IF(Q4="",0,Q4)&gt;0.001,MAX(EF4,FB4,FX4,GT4,HP4,IL4,JH4,KD4,KZ4,LV4,MR4,NN4)-IF(Q4="",0,Q4),"")</f>
        <v/>
      </c>
      <c r="DL4" s="37">
        <v>18.100000000000001</v>
      </c>
      <c r="DM4" s="37">
        <v>9.3000000000000007</v>
      </c>
      <c r="DN4" s="37">
        <v>4.4000000000000004</v>
      </c>
      <c r="DO4" s="37">
        <v>16.07</v>
      </c>
      <c r="DP4" s="37">
        <v>0</v>
      </c>
      <c r="DQ4" s="37">
        <v>15.8</v>
      </c>
      <c r="DR4" s="37">
        <v>9.1999999999999993</v>
      </c>
      <c r="DS4" s="37">
        <v>15</v>
      </c>
      <c r="DT4" s="37">
        <v>14.84</v>
      </c>
      <c r="DU4" s="37">
        <v>0</v>
      </c>
      <c r="DV4" s="37"/>
      <c r="DW4" s="37"/>
      <c r="DX4" s="37"/>
      <c r="DY4" s="37"/>
      <c r="DZ4" s="37"/>
      <c r="EA4" s="11">
        <f t="shared" ref="EA4:EA17" si="45">IF(DS4&gt;0,DS4,"")</f>
        <v>15</v>
      </c>
      <c r="EB4" s="11">
        <f t="shared" ref="EB4:EB17" si="46">IF(SUM(DL4:DO4)-DP4&gt;0,SUM(DL4:DO4)-DP4,"")</f>
        <v>47.870000000000005</v>
      </c>
      <c r="EC4" s="11">
        <f t="shared" ref="EC4:EC17" si="47">IF(SUM(DQ4:DT4)-DU4&gt;0,SUM(DQ4:DT4)-DU4,"")</f>
        <v>54.84</v>
      </c>
      <c r="ED4" s="11">
        <f t="shared" ref="ED4:ED17" si="48">IF(SUM(EB4:EC4)&gt;0,SUM(EB4:EC4),"")</f>
        <v>102.71000000000001</v>
      </c>
      <c r="EE4" s="11" t="str">
        <f t="shared" ref="EE4:EE17" si="49">IF(DX4&gt;0,DX4,"")</f>
        <v/>
      </c>
      <c r="EF4" s="11" t="str">
        <f t="shared" ref="EF4:EF17" si="50">IF(SUM(DV4:DY4)-DZ4&gt;0,SUM(DV4:DY4)-DZ4,"")</f>
        <v/>
      </c>
      <c r="EG4" s="11">
        <f t="shared" ref="EG4:EG17" si="51">IF(SUM(ED4,EF4)&gt;0,SUM(ED4,EF4),"")</f>
        <v>102.71000000000001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 t="shared" ref="EW4:EW17" si="52">IF(EO4&gt;0,EO4,"")</f>
        <v/>
      </c>
      <c r="EX4" s="14" t="str">
        <f t="shared" ref="EX4:EX17" si="53">IF(SUM(EH4:EK4)-EL4&gt;0,SUM(EH4:EK4)-EL4,"")</f>
        <v/>
      </c>
      <c r="EY4" s="14" t="str">
        <f t="shared" ref="EY4:EY17" si="54">IF(SUM(EM4:EP4)-EQ4&gt;0,SUM(EM4:EP4)-EQ4,"")</f>
        <v/>
      </c>
      <c r="EZ4" s="14" t="str">
        <f t="shared" ref="EZ4:EZ17" si="55">IF(SUM(EX4:EY4)&gt;0,SUM(EX4:EY4),"")</f>
        <v/>
      </c>
      <c r="FA4" s="14" t="str">
        <f t="shared" ref="FA4:FA17" si="56">IF(ET4&gt;0,ET4,"")</f>
        <v/>
      </c>
      <c r="FB4" s="14" t="str">
        <f t="shared" ref="FB4:FB17" si="57">IF(SUM(ER4:EU4)-EV4&gt;0,SUM(ER4:EU4)-EV4,"")</f>
        <v/>
      </c>
      <c r="FC4" s="14" t="str">
        <f t="shared" ref="FC4:FC17" si="58"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17" si="59">IF(FK4&gt;0,FK4,"")</f>
        <v/>
      </c>
      <c r="FT4" s="11" t="str">
        <f t="shared" ref="FT4:FT17" si="60">IF(SUM(FD4:FG4)-FH4&gt;0,SUM(FD4:FG4)-FH4,"")</f>
        <v/>
      </c>
      <c r="FU4" s="11" t="str">
        <f t="shared" ref="FU4:FU17" si="61">IF(SUM(FI4:FL4)-FM4&gt;0,SUM(FI4:FL4)-FM4,"")</f>
        <v/>
      </c>
      <c r="FV4" s="11" t="str">
        <f t="shared" ref="FV4:FV17" si="62">IF(SUM(FT4:FU4)&gt;0,SUM(FT4:FU4),"")</f>
        <v/>
      </c>
      <c r="FW4" s="11" t="str">
        <f t="shared" ref="FW4:FW17" si="63">IF(FP4&gt;0,FP4,"")</f>
        <v/>
      </c>
      <c r="FX4" s="11" t="str">
        <f t="shared" ref="FX4:FX17" si="64">IF(SUM(FN4:FQ4)-FR4&gt;0,SUM(FN4:FQ4)-FR4,"")</f>
        <v/>
      </c>
      <c r="FY4" s="11" t="str">
        <f t="shared" ref="FY4:FY17" si="65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17" si="66">IF(GG4&gt;0,GG4,"")</f>
        <v/>
      </c>
      <c r="GP4" s="14" t="str">
        <f t="shared" ref="GP4:GP17" si="67">IF(SUM(FZ4:GC4)-GD4&gt;0,SUM(FZ4:GC4)-GD4,"")</f>
        <v/>
      </c>
      <c r="GQ4" s="14" t="str">
        <f t="shared" ref="GQ4:GQ17" si="68">IF(SUM(GE4:GH4)-GI4&gt;0,SUM(GE4:GH4)-GI4,"")</f>
        <v/>
      </c>
      <c r="GR4" s="14" t="str">
        <f t="shared" ref="GR4:GR17" si="69">IF(SUM(GP4:GQ4)&gt;0,SUM(GP4:GQ4),"")</f>
        <v/>
      </c>
      <c r="GS4" s="14" t="str">
        <f t="shared" ref="GS4:GS17" si="70">IF(GL4&gt;0,GL4,"")</f>
        <v/>
      </c>
      <c r="GT4" s="14" t="str">
        <f t="shared" ref="GT4:GT17" si="71">IF(SUM(GJ4:GM4)-GN4&gt;0,SUM(GJ4:GM4)-GN4,"")</f>
        <v/>
      </c>
      <c r="GU4" s="14" t="str">
        <f t="shared" ref="GU4:GU17" si="72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17" si="73">IF(HC4&gt;0,HC4,"")</f>
        <v/>
      </c>
      <c r="HL4" s="11" t="str">
        <f t="shared" ref="HL4:HL17" si="74">IF(SUM(GV4:GY4)-GZ4&gt;0,SUM(GV4:GY4)-GZ4,"")</f>
        <v/>
      </c>
      <c r="HM4" s="11" t="str">
        <f t="shared" ref="HM4:HM17" si="75">IF(SUM(HA4:HD4)-HE4&gt;0,SUM(HA4:HD4)-HE4,"")</f>
        <v/>
      </c>
      <c r="HN4" s="11" t="str">
        <f t="shared" ref="HN4:HN17" si="76">IF(SUM(HL4:HM4)&gt;0,SUM(HL4:HM4),"")</f>
        <v/>
      </c>
      <c r="HO4" s="11" t="str">
        <f t="shared" ref="HO4:HO17" si="77">IF(HH4&gt;0,HH4,"")</f>
        <v/>
      </c>
      <c r="HP4" s="11" t="str">
        <f t="shared" ref="HP4:HP17" si="78">IF(SUM(HF4:HI4)-HJ4&gt;0,SUM(HF4:HI4)-HJ4,"")</f>
        <v/>
      </c>
      <c r="HQ4" s="11" t="str">
        <f t="shared" ref="HQ4:HQ17" si="79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17" si="80">IF(HY4&gt;0,HY4,"")</f>
        <v/>
      </c>
      <c r="IH4" s="14" t="str">
        <f t="shared" ref="IH4:IH17" si="81">IF(SUM(HR4:HU4)-HV4&gt;0,SUM(HR4:HU4)-HV4,"")</f>
        <v/>
      </c>
      <c r="II4" s="14" t="str">
        <f t="shared" ref="II4:II17" si="82">IF(SUM(HW4:HZ4)-IA4&gt;0,SUM(HW4:HZ4)-IA4,"")</f>
        <v/>
      </c>
      <c r="IJ4" s="14" t="str">
        <f t="shared" ref="IJ4:IJ17" si="83">IF(SUM(IH4:II4)&gt;0,SUM(IH4:II4),"")</f>
        <v/>
      </c>
      <c r="IK4" s="14" t="str">
        <f t="shared" ref="IK4:IK17" si="84">IF(ID4&gt;0,ID4,"")</f>
        <v/>
      </c>
      <c r="IL4" s="14" t="str">
        <f t="shared" ref="IL4:IL17" si="85">IF(SUM(IB4:IE4)-IF4&gt;0,SUM(IB4:IE4)-IF4,"")</f>
        <v/>
      </c>
      <c r="IM4" s="14" t="str">
        <f t="shared" ref="IM4:IM17" si="86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17" si="87">IF(IU4&gt;0,IU4,"")</f>
        <v/>
      </c>
      <c r="JD4" s="11" t="str">
        <f t="shared" ref="JD4:JD17" si="88">IF(SUM(IN4:IQ4)-IR4&gt;0,SUM(IN4:IQ4)-IR4,"")</f>
        <v/>
      </c>
      <c r="JE4" s="11" t="str">
        <f t="shared" ref="JE4:JE17" si="89">IF(SUM(IS4:IV4)-IW4&gt;0,SUM(IS4:IV4)-IW4,"")</f>
        <v/>
      </c>
      <c r="JF4" s="11" t="str">
        <f t="shared" ref="JF4:JF17" si="90">IF(SUM(JD4:JE4)&gt;0,SUM(JD4:JE4),"")</f>
        <v/>
      </c>
      <c r="JG4" s="11" t="str">
        <f t="shared" ref="JG4:JG17" si="91">IF(IZ4&gt;0,IZ4,"")</f>
        <v/>
      </c>
      <c r="JH4" s="11" t="str">
        <f t="shared" ref="JH4:JH17" si="92">IF(SUM(IX4:JA4)-JB4&gt;0,SUM(IX4:JA4)-JB4,"")</f>
        <v/>
      </c>
      <c r="JI4" s="11" t="str">
        <f t="shared" ref="JI4:JI17" si="93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17" si="94">IF(JQ4&gt;0,JQ4,"")</f>
        <v/>
      </c>
      <c r="JZ4" s="14" t="str">
        <f t="shared" ref="JZ4:JZ17" si="95">IF(SUM(JJ4:JM4)-JN4&gt;0,SUM(JJ4:JM4)-JN4,"")</f>
        <v/>
      </c>
      <c r="KA4" s="14" t="str">
        <f t="shared" ref="KA4:KA17" si="96">IF(SUM(JO4:JR4)-JS4&gt;0,SUM(JO4:JR4)-JS4,"")</f>
        <v/>
      </c>
      <c r="KB4" s="14" t="str">
        <f t="shared" ref="KB4:KB17" si="97">IF(SUM(JZ4:KA4)&gt;0,SUM(JZ4:KA4),"")</f>
        <v/>
      </c>
      <c r="KC4" s="14" t="str">
        <f t="shared" ref="KC4:KC17" si="98">IF(JV4&gt;0,JV4,"")</f>
        <v/>
      </c>
      <c r="KD4" s="14" t="str">
        <f t="shared" ref="KD4:KD17" si="99">IF(SUM(JT4:JW4)-JX4&gt;0,SUM(JT4:JW4)-JX4,"")</f>
        <v/>
      </c>
      <c r="KE4" s="14" t="str">
        <f t="shared" ref="KE4:KE17" si="100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17" si="101">IF(KM4&gt;0,KM4,"")</f>
        <v/>
      </c>
      <c r="KV4" s="11" t="str">
        <f t="shared" ref="KV4:KV17" si="102">IF(SUM(KF4:KI4)-KJ4&gt;0,SUM(KF4:KI4)-KJ4,"")</f>
        <v/>
      </c>
      <c r="KW4" s="11" t="str">
        <f t="shared" ref="KW4:KW17" si="103">IF(SUM(KK4:KN4)-KO4&gt;0,SUM(KK4:KN4)-KO4,"")</f>
        <v/>
      </c>
      <c r="KX4" s="11" t="str">
        <f t="shared" ref="KX4:KX17" si="104">IF(SUM(KV4:KW4)&gt;0,SUM(KV4:KW4),"")</f>
        <v/>
      </c>
      <c r="KY4" s="11" t="str">
        <f t="shared" ref="KY4:KY17" si="105">IF(KR4&gt;0,KR4,"")</f>
        <v/>
      </c>
      <c r="KZ4" s="11" t="str">
        <f t="shared" ref="KZ4:KZ17" si="106">IF(SUM(KP4:KS4)-KT4&gt;0,SUM(KP4:KS4)-KT4,"")</f>
        <v/>
      </c>
      <c r="LA4" s="11" t="str">
        <f t="shared" ref="LA4:LA17" si="107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17" si="108">IF(LI4&gt;0,LI4,"")</f>
        <v/>
      </c>
      <c r="LR4" s="14" t="str">
        <f t="shared" ref="LR4:LR17" si="109">IF(SUM(LB4:LE4)-LF4&gt;0,SUM(LB4:LE4)-LF4,"")</f>
        <v/>
      </c>
      <c r="LS4" s="14" t="str">
        <f t="shared" ref="LS4:LS17" si="110">IF(SUM(LG4:LJ4)-LK4&gt;0,SUM(LG4:LJ4)-LK4,"")</f>
        <v/>
      </c>
      <c r="LT4" s="14" t="str">
        <f t="shared" ref="LT4:LT17" si="111">IF(SUM(LR4:LS4)&gt;0,SUM(LR4:LS4),"")</f>
        <v/>
      </c>
      <c r="LU4" s="14" t="str">
        <f t="shared" ref="LU4:LU17" si="112">IF(LN4&gt;0,LN4,"")</f>
        <v/>
      </c>
      <c r="LV4" s="14" t="str">
        <f t="shared" ref="LV4:LV17" si="113">IF(SUM(LL4:LO4)-LP4&gt;0,SUM(LL4:LO4)-LP4,"")</f>
        <v/>
      </c>
      <c r="LW4" s="14" t="str">
        <f t="shared" ref="LW4:LW17" si="114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17" si="115">IF(ME4&gt;0,ME4,"")</f>
        <v/>
      </c>
      <c r="MN4" s="11" t="str">
        <f t="shared" ref="MN4:MN17" si="116">IF(SUM(LX4:MA4)-MB4&gt;0,SUM(LX4:MA4)-MB4,"")</f>
        <v/>
      </c>
      <c r="MO4" s="11" t="str">
        <f t="shared" ref="MO4:MO17" si="117">IF(SUM(MC4:MF4)-MG4&gt;0,SUM(MC4:MF4)-MG4,"")</f>
        <v/>
      </c>
      <c r="MP4" s="11" t="str">
        <f t="shared" ref="MP4:MP17" si="118">IF(SUM(MN4:MO4)&gt;0,SUM(MN4:MO4),"")</f>
        <v/>
      </c>
      <c r="MQ4" s="11" t="str">
        <f t="shared" ref="MQ4:MQ17" si="119">IF(MJ4&gt;0,MJ4,"")</f>
        <v/>
      </c>
      <c r="MR4" s="11" t="str">
        <f t="shared" ref="MR4:MR17" si="120">IF(SUM(MH4:MK4)-ML4&gt;0,SUM(MH4:MK4)-ML4,"")</f>
        <v/>
      </c>
      <c r="MS4" s="11" t="str">
        <f t="shared" ref="MS4:MS17" si="121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17" si="122">IF(NA4&gt;0,NA4,"")</f>
        <v/>
      </c>
      <c r="NJ4" s="14" t="str">
        <f t="shared" ref="NJ4:NJ17" si="123">IF(SUM(MT4:MW4)-MX4&gt;0,SUM(MT4:MW4)-MX4,"")</f>
        <v/>
      </c>
      <c r="NK4" s="14" t="str">
        <f t="shared" ref="NK4:NK17" si="124">IF(SUM(MY4:NB4)-NC4&gt;0,SUM(MY4:NB4)-NC4,"")</f>
        <v/>
      </c>
      <c r="NL4" s="14" t="str">
        <f t="shared" ref="NL4:NL17" si="125">IF(SUM(NJ4:NK4)&gt;0,SUM(NJ4:NK4),"")</f>
        <v/>
      </c>
      <c r="NM4" s="14" t="str">
        <f t="shared" ref="NM4:NM17" si="126">IF(NF4&gt;0,NF4,"")</f>
        <v/>
      </c>
      <c r="NN4" s="14" t="str">
        <f t="shared" ref="NN4:NN17" si="127">IF(SUM(ND4:NG4)-NH4&gt;0,SUM(ND4:NG4)-NH4,"")</f>
        <v/>
      </c>
      <c r="NO4" s="14" t="str">
        <f t="shared" ref="NO4:NO17" si="128">IF(SUM(NL4,NN4)&gt;0,SUM(NL4,NN4),"")</f>
        <v/>
      </c>
      <c r="NP4" s="69">
        <f t="shared" ref="NP4:NP17" si="129">IF($CX4="P",CD4,(CD4+AZ4)/2)</f>
        <v>18.45</v>
      </c>
      <c r="NQ4" s="69">
        <f t="shared" ref="NQ4:NQ17" si="130">IF($CX4="P",CE4,(CE4+BA4)/2)</f>
        <v>9.6999999999999993</v>
      </c>
      <c r="NR4" s="69">
        <f t="shared" ref="NR4:NR17" si="131">IF($CX4="P",CF4,(CF4+BB4)/2)</f>
        <v>4.8499999999999996</v>
      </c>
      <c r="NS4" s="69">
        <f t="shared" ref="NS4:NS17" si="132">IF($CX4="P",CG4,(CG4+BC4)/2)</f>
        <v>16.737499999999997</v>
      </c>
      <c r="NT4" s="69">
        <f t="shared" ref="NT4:NT17" si="133">IF($CX4="P",CH4,(CH4+BD4)/2)</f>
        <v>0</v>
      </c>
      <c r="NU4" s="69">
        <f t="shared" ref="NU4:NU17" si="134">IF($CX4="P",CI4,(CI4+BE4)/2)</f>
        <v>10.6</v>
      </c>
      <c r="NV4" s="69">
        <f t="shared" ref="NV4:NV17" si="135">IF($CX4="P",CJ4,(CJ4+BF4)/2)</f>
        <v>6.4</v>
      </c>
      <c r="NW4" s="69">
        <f t="shared" ref="NW4:NW17" si="136">IF($CX4="P",CK4,(CK4+BG4)/2)</f>
        <v>9.8000000000000007</v>
      </c>
      <c r="NX4" s="69">
        <f t="shared" ref="NX4:NX17" si="137">IF($CX4="P",CL4,(CL4+BH4)/2)</f>
        <v>9.61</v>
      </c>
      <c r="NY4" s="69">
        <f t="shared" ref="NY4:NY17" si="138">IF($CX4="P",CM4,(CM4+BI4)/2)</f>
        <v>0</v>
      </c>
      <c r="NZ4" s="69">
        <f t="shared" ref="NZ4:NZ17" si="139">IF($CX4="P",CN4,(CN4+BJ4)/2)</f>
        <v>16.399999999999999</v>
      </c>
      <c r="OA4" s="69">
        <f t="shared" ref="OA4:OA17" si="140">IF($CX4="P",CO4,(CO4+BK4)/2)</f>
        <v>9.7249999999999996</v>
      </c>
      <c r="OB4" s="69">
        <f t="shared" ref="OB4:OB17" si="141">IF($CX4="P",CP4,(CP4+BL4)/2)</f>
        <v>14.850000000000001</v>
      </c>
      <c r="OC4" s="69">
        <f t="shared" ref="OC4:OC17" si="142">IF($CX4="P",CQ4,(CQ4+BM4)/2)</f>
        <v>15.74</v>
      </c>
      <c r="OD4" s="69">
        <f t="shared" ref="OD4:OD17" si="143">IF($CX4="P",CR4,(CR4+BN4)/2)</f>
        <v>0</v>
      </c>
      <c r="OE4" s="69">
        <f t="shared" ref="OE4:OE17" si="144">IF($CX4="P",CS4,(CS4+BO4)/2)</f>
        <v>16.05</v>
      </c>
      <c r="OF4" s="69">
        <f t="shared" ref="OF4:OF17" si="145">IF($CX4="P",CT4,(CT4+BP4)/2)</f>
        <v>9.375</v>
      </c>
      <c r="OG4" s="69">
        <f t="shared" ref="OG4:OG17" si="146">IF($CX4="P",CU4,(CU4+BQ4)/2)</f>
        <v>14.3</v>
      </c>
      <c r="OH4" s="69">
        <f t="shared" ref="OH4:OH17" si="147">IF($CX4="P",CV4,(CV4+BR4)/2)</f>
        <v>15.577500000000001</v>
      </c>
      <c r="OI4" s="69">
        <f t="shared" ref="OI4:OI17" si="148">IF($CX4="P",CW4,(CW4+BS4)/2)</f>
        <v>0</v>
      </c>
      <c r="OJ4" s="80" t="s">
        <v>88</v>
      </c>
      <c r="OK4" s="11">
        <f t="shared" ref="OK4:OK17" si="149">IF(SUM(NP4:NS4)-NT4&gt;0,SUM(NP4:NS4)-NT4,"")</f>
        <v>49.737499999999997</v>
      </c>
      <c r="OL4" s="11">
        <f t="shared" ref="OL4:OL17" si="150">IF(NW4&gt;0,NW4,"")</f>
        <v>9.8000000000000007</v>
      </c>
      <c r="OM4" s="11">
        <f t="shared" ref="OM4:OM17" si="151">IF(SUM(NU4:NX4)-NY4&gt;0,SUM(NU4:NX4)-NY4,"")</f>
        <v>36.409999999999997</v>
      </c>
      <c r="ON4" s="11">
        <f t="shared" ref="ON4:ON17" si="152">IF(OB4&gt;0,OB4,"")</f>
        <v>14.850000000000001</v>
      </c>
      <c r="OO4" s="11">
        <f t="shared" ref="OO4:OO17" si="153">IF(SUM(NZ4:OC4)-OD4&gt;0,SUM(NZ4:OC4)-OD4,"")</f>
        <v>56.715000000000003</v>
      </c>
      <c r="OP4" s="11">
        <f t="shared" ref="OP4:OP17" si="154">IF(OR(OK4&lt;&gt;"",OM4&lt;&gt;"",OO4&lt;&gt;""),OK4+MAX(OM4,OO4),"")</f>
        <v>106.4525</v>
      </c>
      <c r="OQ4" s="11">
        <f t="shared" ref="OQ4:OQ17" si="155">IF(OG4&gt;0,OG4,"")</f>
        <v>14.3</v>
      </c>
      <c r="OR4" s="11">
        <f t="shared" ref="OR4:OR16" si="156">IF(SUM(OE4:OH4)-OI4&gt;0,SUM(OE4:OH4)-OI4,"")</f>
        <v>55.302500000000002</v>
      </c>
      <c r="OS4" s="11">
        <f>IF(SUM(OP4,OR4)&gt;0,SUM(OP4,OR4),"")</f>
        <v>161.755</v>
      </c>
    </row>
    <row r="5" spans="1:409" x14ac:dyDescent="0.2">
      <c r="A5" s="5" cm="1">
        <f t="array" ref="A5">IF(AND(G5&lt;&gt;"",H5&lt;&gt;""),SUMPRODUCT((G$4:G$18&lt;&gt;"")*(H$4:H$18&lt;&gt;"")*(E$4:E$18&gt;E5))+1,IF(H5&lt;&gt;"",SUMPRODUCT((I$4:I$18="No DD")*(E$4:E$18&gt;E5))+1+SUMPRODUCT((G$4:G$18&lt;&gt;"")*(H$4:H$18&lt;&gt;"")),""))</f>
        <v>2</v>
      </c>
      <c r="B5" s="127" t="s">
        <v>34</v>
      </c>
      <c r="C5" s="5" t="s">
        <v>10</v>
      </c>
      <c r="D5" s="5">
        <v>1997</v>
      </c>
      <c r="E5" s="15">
        <f t="shared" si="0"/>
        <v>262.745</v>
      </c>
      <c r="F5" s="3" t="str">
        <f t="shared" si="1"/>
        <v>P</v>
      </c>
      <c r="G5" s="125" t="str">
        <f>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Merit",IF(OR(AND(AR5&gt;=AY$22,AR5&lt;&gt;"",AP5=""),AND(AT5&gt;=AY$22,AT5&lt;&gt;"",AP5=""),AND(AW5&gt;=AY$22,AW5&lt;&gt;"",AP5=""),AND(BV5&gt;=CC$22,BV5&lt;&gt;"",BT5=""),AND(BX5&gt;=CC$22,BX5&lt;&gt;"",BT5=""),AND(CA5&gt;=CC$22,CA5&lt;&gt;"",BT5=""),AND(CZ5&gt;=DG$22,CZ5&lt;&gt;"",CX5=""),AND(DB5&gt;=DG$22,DB5&lt;&gt;"",CX5=""),AND(DE5&gt;=DG$22,DE5&lt;&gt;"",CX5=""),AND(EA5&gt;=EG$22,EA5&lt;&gt;""),AND(EE5&gt;=EG$22,EE5&lt;&gt;""),AND(EW5&gt;=FC$22,EW5&lt;&gt;""),AND(FA5&gt;=FC$22,FA5&lt;&gt;""),AND(FS5&gt;=FY$22,FS5&lt;&gt;""),AND(FW5&gt;=FY$22,FW5&lt;&gt;""),AND(GO5&gt;=GU$22,GO5&lt;&gt;""),AND(GS5&gt;=GU$22,GS5&lt;&gt;""),AND(HK5&gt;=HQ$22,HK5&lt;&gt;""),AND(HO5&gt;=HQ$22,HO5&lt;&gt;""),AND(IG5&gt;=IM$22,IG5&lt;&gt;""),AND(IK5&gt;=IM$22,IK5&lt;&gt;""),AND(JC5&gt;=JI$22,JC5&lt;&gt;""),AND(JG5&gt;=JI$22,JG5&lt;&gt;""),AND(JY5&gt;=KE$22,JY5&lt;&gt;""),AND(KC5&gt;=KE$22,KC5&lt;&gt;""),AND(KU5&gt;=LA$22,KU5&lt;&gt;""),AND(KY5&gt;=LA$22,KY5&lt;&gt;""),AND(LQ5&gt;=LW$22,LQ5&lt;&gt;""),AND(LU5&gt;=LW$22,LU5&lt;&gt;""),AND(MM5&gt;=MS$22,MM5&lt;&gt;""),AND(MQ5&gt;=MS$22,MQ5&lt;&gt;""),AND(NI5&gt;=NO$22,NI5&lt;&gt;""),AND(NM5&gt;=NO$22,NM5&lt;&gt;"")),"Excellence",IF(OR(AND(AR5&gt;=AY$21,AR5&lt;&gt;"",AP5=""),AND(AT5&gt;=AY$21,AT5&lt;&gt;"",AP5=""),AND(AW5&gt;=AY$21,AW5&lt;&gt;"",AP5=""),AND(BV5&gt;=CC$21,BV5&lt;&gt;"",BT5=""),AND(BX5&gt;=CC$21,BX5&lt;&gt;"",BT5=""),AND(CA5&gt;=CC$21,CA5&lt;&gt;"",BT5=""),AND(CZ5&gt;=DG$21,CZ5&lt;&gt;"",CX5=""),AND(DB5&gt;=DG$21,DB5&lt;&gt;"",CX5=""),AND(DE5&gt;=DG$21,DE5&lt;&gt;"",CX5=""),AND(EA5&gt;=EG$21,EA5&lt;&gt;""),AND(EE5&gt;=EG$21,EE5&lt;&gt;""),AND(EW5&gt;=FC$21,EW5&lt;&gt;""),AND(FA5&gt;=FC$21,FA5&lt;&gt;""),AND(FS5&gt;=FY$21,FS5&lt;&gt;""),AND(FW5&gt;=FY$21,FW5&lt;&gt;""),AND(GO5&gt;=GU$21,GO5&lt;&gt;""),AND(GS5&gt;=GU$21,GS5&lt;&gt;""),AND(HK5&gt;=HQ$21,HK5&lt;&gt;""),AND(HO5&gt;=HQ$21,HO5&lt;&gt;""),AND(IG5&gt;=IM$21,IG5&lt;&gt;""),AND(IK5&gt;=IM$21,IK5&lt;&gt;""),AND(JC5&gt;=JI$21,JC5&lt;&gt;""),AND(JG5&gt;=JI$21,JG5&lt;&gt;""),AND(JY5&gt;=KE$21,JY5&lt;&gt;""),AND(KC5&gt;=KE$21,KC5&lt;&gt;""),AND(KU5&gt;=LA$21,KU5&lt;&gt;""),AND(KY5&gt;=LA$21,KY5&lt;&gt;""),AND(LQ5&gt;=LW$21,LQ5&lt;&gt;""),AND(LU5&gt;=LW$21,LU5&lt;&gt;""),AND(MM5&gt;=MS$21,MM5&lt;&gt;""),AND(MQ5&gt;=MS$21,MQ5&lt;&gt;""),AND(NI5&gt;=NO$21,NI5&lt;&gt;""),AND(NM5&gt;=NO$21,NM5&lt;&gt;"")),"Worlds Team",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National Team",""))))</f>
        <v>Merit</v>
      </c>
      <c r="H5" s="125" t="str">
        <f>IF(OR(AND(AS5&gt;=AY$27,AS5&lt;&gt;"",AP5=""),AND(AU5&gt;=AY$27,AU5&lt;&gt;"",AP5=""),AND(AX5&gt;=AY$27,AX5&lt;&gt;"",AP5=""),AND(BW5&gt;=CC$27,BW5&lt;&gt;"",BT5=""),AND(BY5&gt;=CC$27,BY5&lt;&gt;"",BT5=""),AND(CB5&gt;=CC$27,CB5&lt;&gt;"",BT5=""),AND(DA5&gt;=DG$27,DA5&lt;&gt;"",CX5=""),AND(DC5&gt;=DG$27,DC5&lt;&gt;"",CX5=""),AND(DF5&gt;=DG$27,DF5&lt;&gt;"",CX5=""),AND(EC5&gt;=EG$27,EC5&lt;&gt;""),AND(EF5&gt;=EG$27,EF5&lt;&gt;""),AND(EY5&gt;=FC$27,EY5&lt;&gt;""),AND(FB5&gt;=FC$27,FB5&lt;&gt;""),AND(FU5&gt;=FY$27,FU5&lt;&gt;""),AND(FX5&gt;=FY$27,FX5&lt;&gt;""),AND(GQ5&gt;=GU$27,GQ5&lt;&gt;""),AND(GT5&gt;=GU$27,GT5&lt;&gt;""),AND(HM5&gt;=HQ$27,HM5&lt;&gt;""),AND(HP5&gt;=HQ$27,HP5&lt;&gt;""),AND(II5&gt;=IM$27,II5&lt;&gt;""),AND(IL5&gt;=IM$27,IL5&lt;&gt;""),AND(JE5&gt;=JI$27,JE5&lt;&gt;""),AND(JH5&gt;=JI$27,JH5&lt;&gt;""),AND(KA5&gt;=KE$27,KA5&lt;&gt;""),AND(KD5&gt;=KE$27,KD5&lt;&gt;""),AND(KW5&gt;=LA$27,KW5&lt;&gt;""),AND(KZ5&gt;=LA$27,KZ5&lt;&gt;""),AND(LS5&gt;=LW$27,LS5&lt;&gt;""),AND(LV5&gt;=LW$27,LV5&lt;&gt;""),AND(MO5&gt;=MS$27,MO5&lt;&gt;""),AND(MR5&gt;=MS$27,MR5&lt;&gt;""),AND(NK5&gt;=NO$27,NK5&lt;&gt;""),AND(NN5&gt;=NO$27,NN5&lt;&gt;"")),"Merit",IF(OR(AND(AS5&gt;=AY$26,AS5&lt;&gt;"",AP5=""),AND(AU5&gt;=AY$26,AU5&lt;&gt;"",AP5=""),AND(AX5&gt;=AY$26,AX5&lt;&gt;"",AP5=""),AND(BW5&gt;=CC$26,BW5&lt;&gt;"",BT5=""),AND(BY5&gt;=CC$26,BY5&lt;&gt;"",BT5=""),AND(CB5&gt;=CC$26,CB5&lt;&gt;"",BT5=""),AND(DA5&gt;=DG$26,DA5&lt;&gt;"",CX5=""),AND(DC5&gt;=DG$26,DC5&lt;&gt;"",CX5=""),AND(DF5&gt;=DG$26,DF5&lt;&gt;"",CX5=""),AND(EC5&gt;=EG$26,EC5&lt;&gt;""),AND(EF5&gt;=EG$26,EF5&lt;&gt;""),AND(EY5&gt;=FC$26,EY5&lt;&gt;""),AND(FB5&gt;=FC$26,FB5&lt;&gt;""),AND(FU5&gt;=FY$26,FU5&lt;&gt;""),AND(FX5&gt;=FY$26,FX5&lt;&gt;""),AND(GQ5&gt;=GU$26,GQ5&lt;&gt;""),AND(GT5&gt;=GU$26,GT5&lt;&gt;""),AND(HM5&gt;=HQ$26,HM5&lt;&gt;""),AND(HP5&gt;=HQ$26,HP5&lt;&gt;""),AND(II5&gt;=IM$26,II5&lt;&gt;""),AND(IL5&gt;=IM$26,IL5&lt;&gt;""),AND(JE5&gt;=JI$26,JE5&lt;&gt;""),AND(JH5&gt;=JI$26,JH5&lt;&gt;""),AND(KA5&gt;=KE$26,KA5&lt;&gt;""),AND(KD5&gt;=KE$26,KD5&lt;&gt;""),AND(KW5&gt;=LA$26,KW5&lt;&gt;""),AND(KZ5&gt;=LA$26,KZ5&lt;&gt;""),AND(LS5&gt;=LW$26,LS5&lt;&gt;""),AND(LV5&gt;=LW$26,LV5&lt;&gt;""),AND(MO5&gt;=MS$26,MO5&lt;&gt;""),AND(MR5&gt;=MS$26,MR5&lt;&gt;""),AND(NK5&gt;=NO$26,NK5&lt;&gt;""),AND(NN5&gt;=NO$26,NN5&lt;&gt;"")),"Excellence",IF(OR(AND(AV5&gt;=AY$25,AV5&lt;&gt;"",AP5=""),AND(BZ5&gt;=CC$25,BZ5&lt;&gt;"",BT5=""),AND(DD5&gt;=DG$25,DD5&lt;&gt;"",CX5=""),AND(ED5&gt;=EG$25,ED5&lt;&gt;""),AND(EZ5&gt;=FC$25,EZ5&lt;&gt;""),AND(FV5&gt;=FY$25,FV5&lt;&gt;""),AND(GR5&gt;=GU$25,GR5&lt;&gt;""),AND(HN5&gt;=HQ$25,HN5&lt;&gt;""),AND(IJ5&gt;=IM$25,IJ5&lt;&gt;""),AND(JF5&gt;=JI$25,JF5&lt;&gt;""),AND(KB5&gt;=KE$25,KB5&lt;&gt;""),AND(KX5&gt;=LA$25,KX5&lt;&gt;""),AND(LT5&gt;=LW$25,LT5&lt;&gt;""),AND(MP5&gt;=MS$25,MP5&lt;&gt;""),AND(NL5&gt;=NO$25,NL5&lt;&gt;"")),"Worlds Team",IF(OR(AND(AV5&gt;=AY$24,AV5&lt;&gt;"",AP5=""),AND(BZ5&gt;=CC$24,BZ5&lt;&gt;"",BT5=""),AND(DD5&gt;=DG$24,DD5&lt;&gt;"",CX5=""),AND(ED5&gt;=EG$24,ED5&lt;&gt;""),AND(EZ5&gt;=FC$24,EZ5&lt;&gt;""),AND(FV5&gt;=FY$24,FV5&lt;&gt;""),AND(GR5&gt;=GU$24,GR5&lt;&gt;""),AND(HN5&gt;=HQ$24,HN5&lt;&gt;""),AND(IJ5&gt;=IM$24,IJ5&lt;&gt;""),AND(JF5&gt;=JI$24,JF5&lt;&gt;""),AND(KB5&gt;=KE$24,KB5&lt;&gt;""),AND(KX5&gt;=LA$24,KX5&lt;&gt;""),AND(LT5&gt;=LW$24,LT5&lt;&gt;""),AND(MP5&gt;=MS$24,MP5&lt;&gt;""),AND(NL5&gt;=NO$24,NL5&lt;&gt;"")),"National Team",""))))</f>
        <v>Merit</v>
      </c>
      <c r="I5" s="126" t="str">
        <f t="shared" si="2"/>
        <v>Merit</v>
      </c>
      <c r="J5" s="3" t="str">
        <f>IF(AND(OR(AND(AV5&gt;=AY$25,AV5&lt;&gt;"",AP5=""),AND(BZ5&gt;=CC$25,BZ5&lt;&gt;"",BT5=""),AND(DD5&gt;=DG$25,DD5&lt;&gt;"",CX5=""),AND(ED5&gt;=EG$25,ED5&lt;&gt;""),AND(EZ5&gt;=FC$25,EZ5&lt;&gt;""),AND(FV5&gt;=FY$25,FV5&lt;&gt;""),AND(GR5&gt;=GU$25,GR5&lt;&gt;""),AND(HN5&gt;=HQ$25,HN5&lt;&gt;""),AND(IJ5&gt;=IM$25,IJ5&lt;&gt;""),AND(JF5&gt;=JI$25,JF5&lt;&gt;""),AND(KB5&gt;=KE$25,KB5&lt;&gt;""),AND(KX5&gt;=LA$25,KX5&lt;&gt;""),AND(LT5&gt;=LW$25,LT5&lt;&gt;""),AND(MP5&gt;=MS$25,MP5&lt;&gt;""),AND(NL5&gt;=NO$25,NL5&lt;&gt;"")),OR(G5="Worlds Team",G5="Excellence",G5="Merit")),"P","")</f>
        <v>P</v>
      </c>
      <c r="K5" s="14">
        <f t="shared" si="3"/>
        <v>103.75</v>
      </c>
      <c r="L5" s="14" t="str">
        <f t="shared" si="4"/>
        <v>2021 1st Virtual Technical Trial</v>
      </c>
      <c r="M5" s="14">
        <f t="shared" si="5"/>
        <v>49.344999999999999</v>
      </c>
      <c r="N5" s="14" t="str">
        <f t="shared" si="6"/>
        <v>2021 2nd Virtual Technical Trial</v>
      </c>
      <c r="O5" s="14">
        <f t="shared" si="7"/>
        <v>54.395000000000003</v>
      </c>
      <c r="P5" s="14" t="str">
        <f t="shared" si="8"/>
        <v>2021 2nd Virtual Technical Trial</v>
      </c>
      <c r="Q5" s="14">
        <f t="shared" si="9"/>
        <v>55.254999999999995</v>
      </c>
      <c r="R5" s="14" t="str">
        <f t="shared" si="10"/>
        <v>2019 Nationals</v>
      </c>
      <c r="S5" s="14" t="str">
        <f t="shared" si="11"/>
        <v/>
      </c>
      <c r="T5" s="25" t="str">
        <f t="shared" si="12"/>
        <v/>
      </c>
      <c r="U5" s="14" t="str">
        <f t="shared" si="13"/>
        <v/>
      </c>
      <c r="V5" s="69">
        <v>18</v>
      </c>
      <c r="W5" s="69">
        <v>9.1999999999999993</v>
      </c>
      <c r="X5" s="69">
        <v>4.8</v>
      </c>
      <c r="Y5" s="69">
        <v>16.57</v>
      </c>
      <c r="Z5" s="69">
        <v>0</v>
      </c>
      <c r="AA5" s="69">
        <v>16.5</v>
      </c>
      <c r="AB5" s="69">
        <v>9.1</v>
      </c>
      <c r="AC5" s="69">
        <v>13</v>
      </c>
      <c r="AD5" s="69">
        <v>15.56</v>
      </c>
      <c r="AE5" s="69">
        <v>0</v>
      </c>
      <c r="AF5" s="69"/>
      <c r="AG5" s="69"/>
      <c r="AH5" s="69"/>
      <c r="AI5" s="69"/>
      <c r="AJ5" s="69"/>
      <c r="AK5" s="69">
        <v>16.82</v>
      </c>
      <c r="AL5" s="69">
        <v>9.1</v>
      </c>
      <c r="AM5" s="69">
        <v>13.8</v>
      </c>
      <c r="AN5" s="69">
        <v>15.535</v>
      </c>
      <c r="AO5" s="69"/>
      <c r="AP5" s="80"/>
      <c r="AQ5" s="11">
        <f t="shared" si="14"/>
        <v>48.57</v>
      </c>
      <c r="AR5" s="11">
        <f t="shared" si="15"/>
        <v>13</v>
      </c>
      <c r="AS5" s="11">
        <f t="shared" si="16"/>
        <v>54.160000000000004</v>
      </c>
      <c r="AT5" s="11" t="str">
        <f t="shared" si="17"/>
        <v/>
      </c>
      <c r="AU5" s="11" t="str">
        <f t="shared" si="18"/>
        <v/>
      </c>
      <c r="AV5" s="11">
        <f t="shared" si="19"/>
        <v>102.73</v>
      </c>
      <c r="AW5" s="11">
        <f t="shared" si="20"/>
        <v>13.8</v>
      </c>
      <c r="AX5" s="11">
        <f t="shared" si="21"/>
        <v>55.254999999999995</v>
      </c>
      <c r="AY5" s="11">
        <f t="shared" si="22"/>
        <v>157.98500000000001</v>
      </c>
      <c r="AZ5" s="75">
        <v>18.2</v>
      </c>
      <c r="BA5" s="75">
        <v>9.4</v>
      </c>
      <c r="BB5" s="75">
        <v>4.5999999999999996</v>
      </c>
      <c r="BC5" s="75">
        <v>16.88</v>
      </c>
      <c r="BD5" s="75">
        <v>0</v>
      </c>
      <c r="BE5" s="75">
        <v>16.600000000000001</v>
      </c>
      <c r="BF5" s="75">
        <v>9.15</v>
      </c>
      <c r="BG5" s="75">
        <v>13.4</v>
      </c>
      <c r="BH5" s="75">
        <v>15.52</v>
      </c>
      <c r="BI5" s="75">
        <v>0</v>
      </c>
      <c r="BJ5" s="75">
        <v>8</v>
      </c>
      <c r="BK5" s="75">
        <v>4.5999999999999996</v>
      </c>
      <c r="BL5" s="75">
        <v>7.6</v>
      </c>
      <c r="BM5" s="75">
        <v>8.16</v>
      </c>
      <c r="BN5" s="75">
        <v>0</v>
      </c>
      <c r="BO5" s="75">
        <v>14.2</v>
      </c>
      <c r="BP5" s="75">
        <v>9.5</v>
      </c>
      <c r="BQ5" s="75">
        <v>13.1</v>
      </c>
      <c r="BR5" s="75">
        <v>15.28</v>
      </c>
      <c r="BS5" s="75">
        <v>0</v>
      </c>
      <c r="BT5" s="81"/>
      <c r="BU5" s="14">
        <f t="shared" si="23"/>
        <v>49.08</v>
      </c>
      <c r="BV5" s="14">
        <f t="shared" si="24"/>
        <v>13.4</v>
      </c>
      <c r="BW5" s="14">
        <f t="shared" si="25"/>
        <v>54.67</v>
      </c>
      <c r="BX5" s="14">
        <f t="shared" si="26"/>
        <v>7.6</v>
      </c>
      <c r="BY5" s="14">
        <f t="shared" si="27"/>
        <v>28.36</v>
      </c>
      <c r="BZ5" s="14">
        <f t="shared" si="28"/>
        <v>103.75</v>
      </c>
      <c r="CA5" s="14">
        <f t="shared" si="29"/>
        <v>13.1</v>
      </c>
      <c r="CB5" s="14">
        <f t="shared" si="30"/>
        <v>52.08</v>
      </c>
      <c r="CC5" s="14">
        <f t="shared" si="31"/>
        <v>155.82999999999998</v>
      </c>
      <c r="CD5" s="69">
        <v>18.399999999999999</v>
      </c>
      <c r="CE5" s="69">
        <v>9.5</v>
      </c>
      <c r="CF5" s="69">
        <v>4.5999999999999996</v>
      </c>
      <c r="CG5" s="69">
        <v>16.844999999999999</v>
      </c>
      <c r="CH5" s="69">
        <v>0</v>
      </c>
      <c r="CI5" s="69">
        <v>16.2</v>
      </c>
      <c r="CJ5" s="69">
        <v>8.8000000000000007</v>
      </c>
      <c r="CK5" s="69">
        <v>13.2</v>
      </c>
      <c r="CL5" s="69">
        <v>15.795</v>
      </c>
      <c r="CM5" s="69">
        <v>0</v>
      </c>
      <c r="CN5" s="69">
        <v>16.100000000000001</v>
      </c>
      <c r="CO5" s="69">
        <v>9</v>
      </c>
      <c r="CP5" s="69">
        <v>14</v>
      </c>
      <c r="CQ5" s="69">
        <v>15.295</v>
      </c>
      <c r="CR5" s="69">
        <v>0</v>
      </c>
      <c r="CS5" s="69">
        <v>16.100000000000001</v>
      </c>
      <c r="CT5" s="69">
        <v>8.9</v>
      </c>
      <c r="CU5" s="69">
        <v>13.8</v>
      </c>
      <c r="CV5" s="69">
        <v>15.08</v>
      </c>
      <c r="CW5" s="69">
        <v>0</v>
      </c>
      <c r="CX5" s="80"/>
      <c r="CY5" s="11">
        <f t="shared" si="32"/>
        <v>49.344999999999999</v>
      </c>
      <c r="CZ5" s="11">
        <f t="shared" si="33"/>
        <v>13.2</v>
      </c>
      <c r="DA5" s="11">
        <f t="shared" si="34"/>
        <v>53.995000000000005</v>
      </c>
      <c r="DB5" s="11">
        <f t="shared" si="35"/>
        <v>14</v>
      </c>
      <c r="DC5" s="11">
        <f t="shared" si="36"/>
        <v>54.395000000000003</v>
      </c>
      <c r="DD5" s="11">
        <f t="shared" si="37"/>
        <v>103.74000000000001</v>
      </c>
      <c r="DE5" s="11">
        <f t="shared" si="38"/>
        <v>13.8</v>
      </c>
      <c r="DF5" s="11">
        <f t="shared" si="39"/>
        <v>53.879999999999995</v>
      </c>
      <c r="DG5" s="11">
        <f t="shared" si="40"/>
        <v>157.62</v>
      </c>
      <c r="DH5" s="24" t="str">
        <f t="shared" si="41"/>
        <v/>
      </c>
      <c r="DI5" s="24" t="str">
        <f t="shared" si="42"/>
        <v/>
      </c>
      <c r="DJ5" s="24" t="str">
        <f t="shared" si="43"/>
        <v/>
      </c>
      <c r="DK5" s="24" t="str">
        <f t="shared" si="44"/>
        <v/>
      </c>
      <c r="DL5" s="37">
        <v>18.5</v>
      </c>
      <c r="DM5" s="37">
        <v>9.1</v>
      </c>
      <c r="DN5" s="37">
        <v>4.8</v>
      </c>
      <c r="DO5" s="37">
        <v>16.234999999999999</v>
      </c>
      <c r="DP5" s="37">
        <v>0.2</v>
      </c>
      <c r="DQ5" s="37">
        <v>15.9</v>
      </c>
      <c r="DR5" s="37">
        <v>9</v>
      </c>
      <c r="DS5" s="37">
        <v>13.8</v>
      </c>
      <c r="DT5" s="37">
        <v>15.18</v>
      </c>
      <c r="DU5" s="37">
        <v>0</v>
      </c>
      <c r="DV5" s="37"/>
      <c r="DW5" s="37"/>
      <c r="DX5" s="37"/>
      <c r="DY5" s="37"/>
      <c r="DZ5" s="37"/>
      <c r="EA5" s="11">
        <f t="shared" si="45"/>
        <v>13.8</v>
      </c>
      <c r="EB5" s="11">
        <f t="shared" si="46"/>
        <v>48.434999999999995</v>
      </c>
      <c r="EC5" s="11">
        <f t="shared" si="47"/>
        <v>53.88</v>
      </c>
      <c r="ED5" s="11">
        <f t="shared" si="48"/>
        <v>102.315</v>
      </c>
      <c r="EE5" s="11" t="str">
        <f t="shared" si="49"/>
        <v/>
      </c>
      <c r="EF5" s="11" t="str">
        <f t="shared" si="50"/>
        <v/>
      </c>
      <c r="EG5" s="11">
        <f t="shared" si="51"/>
        <v>102.315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2"/>
        <v/>
      </c>
      <c r="EX5" s="14" t="str">
        <f t="shared" si="53"/>
        <v/>
      </c>
      <c r="EY5" s="14" t="str">
        <f t="shared" si="54"/>
        <v/>
      </c>
      <c r="EZ5" s="14" t="str">
        <f t="shared" si="55"/>
        <v/>
      </c>
      <c r="FA5" s="14" t="str">
        <f t="shared" si="56"/>
        <v/>
      </c>
      <c r="FB5" s="14" t="str">
        <f t="shared" si="57"/>
        <v/>
      </c>
      <c r="FC5" s="14" t="str">
        <f t="shared" si="58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59"/>
        <v/>
      </c>
      <c r="FT5" s="11" t="str">
        <f t="shared" si="60"/>
        <v/>
      </c>
      <c r="FU5" s="11" t="str">
        <f t="shared" si="61"/>
        <v/>
      </c>
      <c r="FV5" s="11" t="str">
        <f t="shared" si="62"/>
        <v/>
      </c>
      <c r="FW5" s="11" t="str">
        <f t="shared" si="63"/>
        <v/>
      </c>
      <c r="FX5" s="11" t="str">
        <f t="shared" si="64"/>
        <v/>
      </c>
      <c r="FY5" s="11" t="str">
        <f t="shared" si="65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6"/>
        <v/>
      </c>
      <c r="GP5" s="14" t="str">
        <f t="shared" si="67"/>
        <v/>
      </c>
      <c r="GQ5" s="14" t="str">
        <f t="shared" si="68"/>
        <v/>
      </c>
      <c r="GR5" s="14" t="str">
        <f t="shared" si="69"/>
        <v/>
      </c>
      <c r="GS5" s="14" t="str">
        <f t="shared" si="70"/>
        <v/>
      </c>
      <c r="GT5" s="14" t="str">
        <f t="shared" si="71"/>
        <v/>
      </c>
      <c r="GU5" s="14" t="str">
        <f t="shared" si="72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3"/>
        <v/>
      </c>
      <c r="HL5" s="11" t="str">
        <f t="shared" si="74"/>
        <v/>
      </c>
      <c r="HM5" s="11" t="str">
        <f t="shared" si="75"/>
        <v/>
      </c>
      <c r="HN5" s="11" t="str">
        <f t="shared" si="76"/>
        <v/>
      </c>
      <c r="HO5" s="11" t="str">
        <f t="shared" si="77"/>
        <v/>
      </c>
      <c r="HP5" s="11" t="str">
        <f t="shared" si="78"/>
        <v/>
      </c>
      <c r="HQ5" s="11" t="str">
        <f t="shared" si="79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0"/>
        <v/>
      </c>
      <c r="IH5" s="14" t="str">
        <f t="shared" si="81"/>
        <v/>
      </c>
      <c r="II5" s="14" t="str">
        <f t="shared" si="82"/>
        <v/>
      </c>
      <c r="IJ5" s="14" t="str">
        <f t="shared" si="83"/>
        <v/>
      </c>
      <c r="IK5" s="14" t="str">
        <f t="shared" si="84"/>
        <v/>
      </c>
      <c r="IL5" s="14" t="str">
        <f t="shared" si="85"/>
        <v/>
      </c>
      <c r="IM5" s="14" t="str">
        <f t="shared" si="86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87"/>
        <v/>
      </c>
      <c r="JD5" s="11" t="str">
        <f t="shared" si="88"/>
        <v/>
      </c>
      <c r="JE5" s="11" t="str">
        <f t="shared" si="89"/>
        <v/>
      </c>
      <c r="JF5" s="11" t="str">
        <f t="shared" si="90"/>
        <v/>
      </c>
      <c r="JG5" s="11" t="str">
        <f t="shared" si="91"/>
        <v/>
      </c>
      <c r="JH5" s="11" t="str">
        <f t="shared" si="92"/>
        <v/>
      </c>
      <c r="JI5" s="11" t="str">
        <f t="shared" si="93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4"/>
        <v/>
      </c>
      <c r="JZ5" s="14" t="str">
        <f t="shared" si="95"/>
        <v/>
      </c>
      <c r="KA5" s="14" t="str">
        <f t="shared" si="96"/>
        <v/>
      </c>
      <c r="KB5" s="14" t="str">
        <f t="shared" si="97"/>
        <v/>
      </c>
      <c r="KC5" s="14" t="str">
        <f t="shared" si="98"/>
        <v/>
      </c>
      <c r="KD5" s="14" t="str">
        <f t="shared" si="99"/>
        <v/>
      </c>
      <c r="KE5" s="14" t="str">
        <f t="shared" si="100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1"/>
        <v/>
      </c>
      <c r="KV5" s="11" t="str">
        <f t="shared" si="102"/>
        <v/>
      </c>
      <c r="KW5" s="11" t="str">
        <f t="shared" si="103"/>
        <v/>
      </c>
      <c r="KX5" s="11" t="str">
        <f t="shared" si="104"/>
        <v/>
      </c>
      <c r="KY5" s="11" t="str">
        <f t="shared" si="105"/>
        <v/>
      </c>
      <c r="KZ5" s="11" t="str">
        <f t="shared" si="106"/>
        <v/>
      </c>
      <c r="LA5" s="11" t="str">
        <f t="shared" si="107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08"/>
        <v/>
      </c>
      <c r="LR5" s="14" t="str">
        <f t="shared" si="109"/>
        <v/>
      </c>
      <c r="LS5" s="14" t="str">
        <f t="shared" si="110"/>
        <v/>
      </c>
      <c r="LT5" s="14" t="str">
        <f t="shared" si="111"/>
        <v/>
      </c>
      <c r="LU5" s="14" t="str">
        <f t="shared" si="112"/>
        <v/>
      </c>
      <c r="LV5" s="14" t="str">
        <f t="shared" si="113"/>
        <v/>
      </c>
      <c r="LW5" s="14" t="str">
        <f t="shared" si="114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5"/>
        <v/>
      </c>
      <c r="MN5" s="11" t="str">
        <f t="shared" si="116"/>
        <v/>
      </c>
      <c r="MO5" s="11" t="str">
        <f t="shared" si="117"/>
        <v/>
      </c>
      <c r="MP5" s="11" t="str">
        <f t="shared" si="118"/>
        <v/>
      </c>
      <c r="MQ5" s="11" t="str">
        <f t="shared" si="119"/>
        <v/>
      </c>
      <c r="MR5" s="11" t="str">
        <f t="shared" si="120"/>
        <v/>
      </c>
      <c r="MS5" s="11" t="str">
        <f t="shared" si="121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2"/>
        <v/>
      </c>
      <c r="NJ5" s="14" t="str">
        <f t="shared" si="123"/>
        <v/>
      </c>
      <c r="NK5" s="14" t="str">
        <f t="shared" si="124"/>
        <v/>
      </c>
      <c r="NL5" s="14" t="str">
        <f t="shared" si="125"/>
        <v/>
      </c>
      <c r="NM5" s="14" t="str">
        <f t="shared" si="126"/>
        <v/>
      </c>
      <c r="NN5" s="14" t="str">
        <f t="shared" si="127"/>
        <v/>
      </c>
      <c r="NO5" s="14" t="str">
        <f t="shared" si="128"/>
        <v/>
      </c>
      <c r="NP5" s="69">
        <f t="shared" si="129"/>
        <v>18.299999999999997</v>
      </c>
      <c r="NQ5" s="69">
        <f t="shared" si="130"/>
        <v>9.4499999999999993</v>
      </c>
      <c r="NR5" s="69">
        <f t="shared" si="131"/>
        <v>4.5999999999999996</v>
      </c>
      <c r="NS5" s="69">
        <f t="shared" si="132"/>
        <v>16.862499999999997</v>
      </c>
      <c r="NT5" s="69">
        <f t="shared" si="133"/>
        <v>0</v>
      </c>
      <c r="NU5" s="69">
        <f t="shared" si="134"/>
        <v>16.399999999999999</v>
      </c>
      <c r="NV5" s="69">
        <f t="shared" si="135"/>
        <v>8.9750000000000014</v>
      </c>
      <c r="NW5" s="69">
        <f t="shared" si="136"/>
        <v>13.3</v>
      </c>
      <c r="NX5" s="69">
        <f t="shared" si="137"/>
        <v>15.657499999999999</v>
      </c>
      <c r="NY5" s="69">
        <f t="shared" si="138"/>
        <v>0</v>
      </c>
      <c r="NZ5" s="69">
        <f t="shared" si="139"/>
        <v>12.05</v>
      </c>
      <c r="OA5" s="69">
        <f t="shared" si="140"/>
        <v>6.8</v>
      </c>
      <c r="OB5" s="69">
        <f t="shared" si="141"/>
        <v>10.8</v>
      </c>
      <c r="OC5" s="69">
        <f t="shared" si="142"/>
        <v>11.727499999999999</v>
      </c>
      <c r="OD5" s="69">
        <f t="shared" si="143"/>
        <v>0</v>
      </c>
      <c r="OE5" s="69">
        <f t="shared" si="144"/>
        <v>15.15</v>
      </c>
      <c r="OF5" s="69">
        <f t="shared" si="145"/>
        <v>9.1999999999999993</v>
      </c>
      <c r="OG5" s="69">
        <f t="shared" si="146"/>
        <v>13.45</v>
      </c>
      <c r="OH5" s="69">
        <f t="shared" si="147"/>
        <v>15.18</v>
      </c>
      <c r="OI5" s="69">
        <f t="shared" si="148"/>
        <v>0</v>
      </c>
      <c r="OJ5" s="80" t="s">
        <v>88</v>
      </c>
      <c r="OK5" s="11">
        <f t="shared" si="149"/>
        <v>49.212499999999991</v>
      </c>
      <c r="OL5" s="11">
        <f t="shared" si="150"/>
        <v>13.3</v>
      </c>
      <c r="OM5" s="11">
        <f t="shared" si="151"/>
        <v>54.332499999999996</v>
      </c>
      <c r="ON5" s="11">
        <f t="shared" si="152"/>
        <v>10.8</v>
      </c>
      <c r="OO5" s="11">
        <f t="shared" si="153"/>
        <v>41.377499999999998</v>
      </c>
      <c r="OP5" s="11">
        <f t="shared" si="154"/>
        <v>103.54499999999999</v>
      </c>
      <c r="OQ5" s="11">
        <f t="shared" si="155"/>
        <v>13.45</v>
      </c>
      <c r="OR5" s="11">
        <f t="shared" si="156"/>
        <v>52.98</v>
      </c>
      <c r="OS5" s="11">
        <f t="shared" ref="OS5:OS16" si="157">IF(SUM(OP5,OR5)&gt;0,SUM(OP5,OR5),"")</f>
        <v>156.52499999999998</v>
      </c>
    </row>
    <row r="6" spans="1:409" x14ac:dyDescent="0.2">
      <c r="A6" s="5" cm="1">
        <f t="array" ref="A6">IF(AND(G6&lt;&gt;"",H6&lt;&gt;""),SUMPRODUCT((G$4:G$18&lt;&gt;"")*(H$4:H$18&lt;&gt;"")*(E$4:E$18&gt;E6))+1,IF(H6&lt;&gt;"",SUMPRODUCT((I$4:I$18="No DD")*(E$4:E$18&gt;E6))+1+SUMPRODUCT((G$4:G$18&lt;&gt;"")*(H$4:H$18&lt;&gt;"")),""))</f>
        <v>3</v>
      </c>
      <c r="B6" s="127" t="s">
        <v>35</v>
      </c>
      <c r="C6" s="5" t="s">
        <v>6</v>
      </c>
      <c r="D6" s="5">
        <v>1992</v>
      </c>
      <c r="E6" s="15">
        <f t="shared" si="0"/>
        <v>261.86</v>
      </c>
      <c r="F6" s="3" t="str">
        <f t="shared" si="1"/>
        <v>P</v>
      </c>
      <c r="G6" s="125" t="str">
        <f>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Merit",IF(OR(AND(AR6&gt;=AY$22,AR6&lt;&gt;"",AP6=""),AND(AT6&gt;=AY$22,AT6&lt;&gt;"",AP6=""),AND(AW6&gt;=AY$22,AW6&lt;&gt;"",AP6=""),AND(BV6&gt;=CC$22,BV6&lt;&gt;"",BT6=""),AND(BX6&gt;=CC$22,BX6&lt;&gt;"",BT6=""),AND(CA6&gt;=CC$22,CA6&lt;&gt;"",BT6=""),AND(CZ6&gt;=DG$22,CZ6&lt;&gt;"",CX6=""),AND(DB6&gt;=DG$22,DB6&lt;&gt;"",CX6=""),AND(DE6&gt;=DG$22,DE6&lt;&gt;"",CX6=""),AND(EA6&gt;=EG$22,EA6&lt;&gt;""),AND(EE6&gt;=EG$22,EE6&lt;&gt;""),AND(EW6&gt;=FC$22,EW6&lt;&gt;""),AND(FA6&gt;=FC$22,FA6&lt;&gt;""),AND(FS6&gt;=FY$22,FS6&lt;&gt;""),AND(FW6&gt;=FY$22,FW6&lt;&gt;""),AND(GO6&gt;=GU$22,GO6&lt;&gt;""),AND(GS6&gt;=GU$22,GS6&lt;&gt;""),AND(HK6&gt;=HQ$22,HK6&lt;&gt;""),AND(HO6&gt;=HQ$22,HO6&lt;&gt;""),AND(IG6&gt;=IM$22,IG6&lt;&gt;""),AND(IK6&gt;=IM$22,IK6&lt;&gt;""),AND(JC6&gt;=JI$22,JC6&lt;&gt;""),AND(JG6&gt;=JI$22,JG6&lt;&gt;""),AND(JY6&gt;=KE$22,JY6&lt;&gt;""),AND(KC6&gt;=KE$22,KC6&lt;&gt;""),AND(KU6&gt;=LA$22,KU6&lt;&gt;""),AND(KY6&gt;=LA$22,KY6&lt;&gt;""),AND(LQ6&gt;=LW$22,LQ6&lt;&gt;""),AND(LU6&gt;=LW$22,LU6&lt;&gt;""),AND(MM6&gt;=MS$22,MM6&lt;&gt;""),AND(MQ6&gt;=MS$22,MQ6&lt;&gt;""),AND(NI6&gt;=NO$22,NI6&lt;&gt;""),AND(NM6&gt;=NO$22,NM6&lt;&gt;"")),"Excellence",IF(OR(AND(AR6&gt;=AY$21,AR6&lt;&gt;"",AP6=""),AND(AT6&gt;=AY$21,AT6&lt;&gt;"",AP6=""),AND(AW6&gt;=AY$21,AW6&lt;&gt;"",AP6=""),AND(BV6&gt;=CC$21,BV6&lt;&gt;"",BT6=""),AND(BX6&gt;=CC$21,BX6&lt;&gt;"",BT6=""),AND(CA6&gt;=CC$21,CA6&lt;&gt;"",BT6=""),AND(CZ6&gt;=DG$21,CZ6&lt;&gt;"",CX6=""),AND(DB6&gt;=DG$21,DB6&lt;&gt;"",CX6=""),AND(DE6&gt;=DG$21,DE6&lt;&gt;"",CX6=""),AND(EA6&gt;=EG$21,EA6&lt;&gt;""),AND(EE6&gt;=EG$21,EE6&lt;&gt;""),AND(EW6&gt;=FC$21,EW6&lt;&gt;""),AND(FA6&gt;=FC$21,FA6&lt;&gt;""),AND(FS6&gt;=FY$21,FS6&lt;&gt;""),AND(FW6&gt;=FY$21,FW6&lt;&gt;""),AND(GO6&gt;=GU$21,GO6&lt;&gt;""),AND(GS6&gt;=GU$21,GS6&lt;&gt;""),AND(HK6&gt;=HQ$21,HK6&lt;&gt;""),AND(HO6&gt;=HQ$21,HO6&lt;&gt;""),AND(IG6&gt;=IM$21,IG6&lt;&gt;""),AND(IK6&gt;=IM$21,IK6&lt;&gt;""),AND(JC6&gt;=JI$21,JC6&lt;&gt;""),AND(JG6&gt;=JI$21,JG6&lt;&gt;""),AND(JY6&gt;=KE$21,JY6&lt;&gt;""),AND(KC6&gt;=KE$21,KC6&lt;&gt;""),AND(KU6&gt;=LA$21,KU6&lt;&gt;""),AND(KY6&gt;=LA$21,KY6&lt;&gt;""),AND(LQ6&gt;=LW$21,LQ6&lt;&gt;""),AND(LU6&gt;=LW$21,LU6&lt;&gt;""),AND(MM6&gt;=MS$21,MM6&lt;&gt;""),AND(MQ6&gt;=MS$21,MQ6&lt;&gt;""),AND(NI6&gt;=NO$21,NI6&lt;&gt;""),AND(NM6&gt;=NO$21,NM6&lt;&gt;"")),"Worlds Team",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National Team",""))))</f>
        <v>Merit</v>
      </c>
      <c r="H6" s="125" t="str">
        <f>IF(OR(AND(AS6&gt;=AY$27,AS6&lt;&gt;"",AP6=""),AND(AU6&gt;=AY$27,AU6&lt;&gt;"",AP6=""),AND(AX6&gt;=AY$27,AX6&lt;&gt;"",AP6=""),AND(BW6&gt;=CC$27,BW6&lt;&gt;"",BT6=""),AND(BY6&gt;=CC$27,BY6&lt;&gt;"",BT6=""),AND(CB6&gt;=CC$27,CB6&lt;&gt;"",BT6=""),AND(DA6&gt;=DG$27,DA6&lt;&gt;"",CX6=""),AND(DC6&gt;=DG$27,DC6&lt;&gt;"",CX6=""),AND(DF6&gt;=DG$27,DF6&lt;&gt;"",CX6=""),AND(EC6&gt;=EG$27,EC6&lt;&gt;""),AND(EF6&gt;=EG$27,EF6&lt;&gt;""),AND(EY6&gt;=FC$27,EY6&lt;&gt;""),AND(FB6&gt;=FC$27,FB6&lt;&gt;""),AND(FU6&gt;=FY$27,FU6&lt;&gt;""),AND(FX6&gt;=FY$27,FX6&lt;&gt;""),AND(GQ6&gt;=GU$27,GQ6&lt;&gt;""),AND(GT6&gt;=GU$27,GT6&lt;&gt;""),AND(HM6&gt;=HQ$27,HM6&lt;&gt;""),AND(HP6&gt;=HQ$27,HP6&lt;&gt;""),AND(II6&gt;=IM$27,II6&lt;&gt;""),AND(IL6&gt;=IM$27,IL6&lt;&gt;""),AND(JE6&gt;=JI$27,JE6&lt;&gt;""),AND(JH6&gt;=JI$27,JH6&lt;&gt;""),AND(KA6&gt;=KE$27,KA6&lt;&gt;""),AND(KD6&gt;=KE$27,KD6&lt;&gt;""),AND(KW6&gt;=LA$27,KW6&lt;&gt;""),AND(KZ6&gt;=LA$27,KZ6&lt;&gt;""),AND(LS6&gt;=LW$27,LS6&lt;&gt;""),AND(LV6&gt;=LW$27,LV6&lt;&gt;""),AND(MO6&gt;=MS$27,MO6&lt;&gt;""),AND(MR6&gt;=MS$27,MR6&lt;&gt;""),AND(NK6&gt;=NO$27,NK6&lt;&gt;""),AND(NN6&gt;=NO$27,NN6&lt;&gt;"")),"Merit",IF(OR(AND(AS6&gt;=AY$26,AS6&lt;&gt;"",AP6=""),AND(AU6&gt;=AY$26,AU6&lt;&gt;"",AP6=""),AND(AX6&gt;=AY$26,AX6&lt;&gt;"",AP6=""),AND(BW6&gt;=CC$26,BW6&lt;&gt;"",BT6=""),AND(BY6&gt;=CC$26,BY6&lt;&gt;"",BT6=""),AND(CB6&gt;=CC$26,CB6&lt;&gt;"",BT6=""),AND(DA6&gt;=DG$26,DA6&lt;&gt;"",CX6=""),AND(DC6&gt;=DG$26,DC6&lt;&gt;"",CX6=""),AND(DF6&gt;=DG$26,DF6&lt;&gt;"",CX6=""),AND(EC6&gt;=EG$26,EC6&lt;&gt;""),AND(EF6&gt;=EG$26,EF6&lt;&gt;""),AND(EY6&gt;=FC$26,EY6&lt;&gt;""),AND(FB6&gt;=FC$26,FB6&lt;&gt;""),AND(FU6&gt;=FY$26,FU6&lt;&gt;""),AND(FX6&gt;=FY$26,FX6&lt;&gt;""),AND(GQ6&gt;=GU$26,GQ6&lt;&gt;""),AND(GT6&gt;=GU$26,GT6&lt;&gt;""),AND(HM6&gt;=HQ$26,HM6&lt;&gt;""),AND(HP6&gt;=HQ$26,HP6&lt;&gt;""),AND(II6&gt;=IM$26,II6&lt;&gt;""),AND(IL6&gt;=IM$26,IL6&lt;&gt;""),AND(JE6&gt;=JI$26,JE6&lt;&gt;""),AND(JH6&gt;=JI$26,JH6&lt;&gt;""),AND(KA6&gt;=KE$26,KA6&lt;&gt;""),AND(KD6&gt;=KE$26,KD6&lt;&gt;""),AND(KW6&gt;=LA$26,KW6&lt;&gt;""),AND(KZ6&gt;=LA$26,KZ6&lt;&gt;""),AND(LS6&gt;=LW$26,LS6&lt;&gt;""),AND(LV6&gt;=LW$26,LV6&lt;&gt;""),AND(MO6&gt;=MS$26,MO6&lt;&gt;""),AND(MR6&gt;=MS$26,MR6&lt;&gt;""),AND(NK6&gt;=NO$26,NK6&lt;&gt;""),AND(NN6&gt;=NO$26,NN6&lt;&gt;"")),"Excellence",IF(OR(AND(AV6&gt;=AY$25,AV6&lt;&gt;"",AP6=""),AND(BZ6&gt;=CC$25,BZ6&lt;&gt;"",BT6=""),AND(DD6&gt;=DG$25,DD6&lt;&gt;"",CX6=""),AND(ED6&gt;=EG$25,ED6&lt;&gt;""),AND(EZ6&gt;=FC$25,EZ6&lt;&gt;""),AND(FV6&gt;=FY$25,FV6&lt;&gt;""),AND(GR6&gt;=GU$25,GR6&lt;&gt;""),AND(HN6&gt;=HQ$25,HN6&lt;&gt;""),AND(IJ6&gt;=IM$25,IJ6&lt;&gt;""),AND(JF6&gt;=JI$25,JF6&lt;&gt;""),AND(KB6&gt;=KE$25,KB6&lt;&gt;""),AND(KX6&gt;=LA$25,KX6&lt;&gt;""),AND(LT6&gt;=LW$25,LT6&lt;&gt;""),AND(MP6&gt;=MS$25,MP6&lt;&gt;""),AND(NL6&gt;=NO$25,NL6&lt;&gt;"")),"Worlds Team",IF(OR(AND(AV6&gt;=AY$24,AV6&lt;&gt;"",AP6=""),AND(BZ6&gt;=CC$24,BZ6&lt;&gt;"",BT6=""),AND(DD6&gt;=DG$24,DD6&lt;&gt;"",CX6=""),AND(ED6&gt;=EG$24,ED6&lt;&gt;""),AND(EZ6&gt;=FC$24,EZ6&lt;&gt;""),AND(FV6&gt;=FY$24,FV6&lt;&gt;""),AND(GR6&gt;=GU$24,GR6&lt;&gt;""),AND(HN6&gt;=HQ$24,HN6&lt;&gt;""),AND(IJ6&gt;=IM$24,IJ6&lt;&gt;""),AND(JF6&gt;=JI$24,JF6&lt;&gt;""),AND(KB6&gt;=KE$24,KB6&lt;&gt;""),AND(KX6&gt;=LA$24,KX6&lt;&gt;""),AND(LT6&gt;=LW$24,LT6&lt;&gt;""),AND(MP6&gt;=MS$24,MP6&lt;&gt;""),AND(NL6&gt;=NO$24,NL6&lt;&gt;"")),"National Team",""))))</f>
        <v>Merit</v>
      </c>
      <c r="I6" s="126" t="str">
        <f t="shared" si="2"/>
        <v>Merit</v>
      </c>
      <c r="J6" s="3" t="str">
        <f>IF(AND(OR(AND(AV6&gt;=AY$25,AV6&lt;&gt;"",AP6=""),AND(BZ6&gt;=CC$25,BZ6&lt;&gt;"",BT6=""),AND(DD6&gt;=DG$25,DD6&lt;&gt;"",CX6=""),AND(ED6&gt;=EG$25,ED6&lt;&gt;""),AND(EZ6&gt;=FC$25,EZ6&lt;&gt;""),AND(FV6&gt;=FY$25,FV6&lt;&gt;""),AND(GR6&gt;=GU$25,GR6&lt;&gt;""),AND(HN6&gt;=HQ$25,HN6&lt;&gt;""),AND(IJ6&gt;=IM$25,IJ6&lt;&gt;""),AND(JF6&gt;=JI$25,JF6&lt;&gt;""),AND(KB6&gt;=KE$25,KB6&lt;&gt;""),AND(KX6&gt;=LA$25,KX6&lt;&gt;""),AND(LT6&gt;=LW$25,LT6&lt;&gt;""),AND(MP6&gt;=MS$25,MP6&lt;&gt;""),AND(NL6&gt;=NO$25,NL6&lt;&gt;"")),OR(G6="Worlds Team",G6="Excellence",G6="Merit")),"P","")</f>
        <v>P</v>
      </c>
      <c r="K6" s="14">
        <f t="shared" si="3"/>
        <v>103.66500000000001</v>
      </c>
      <c r="L6" s="14" t="str">
        <f t="shared" si="4"/>
        <v>2021 2nd Virtual Technical Trial</v>
      </c>
      <c r="M6" s="14">
        <f t="shared" si="5"/>
        <v>48.414999999999999</v>
      </c>
      <c r="N6" s="14" t="str">
        <f t="shared" si="6"/>
        <v>2019 Nationals</v>
      </c>
      <c r="O6" s="14">
        <f t="shared" si="7"/>
        <v>55.185000000000002</v>
      </c>
      <c r="P6" s="14" t="str">
        <f t="shared" si="8"/>
        <v>2019 Nationals</v>
      </c>
      <c r="Q6" s="14">
        <f t="shared" si="9"/>
        <v>54.594999999999999</v>
      </c>
      <c r="R6" s="14" t="str">
        <f t="shared" si="10"/>
        <v>2019 Nationals</v>
      </c>
      <c r="S6" s="14" t="str">
        <f t="shared" si="11"/>
        <v/>
      </c>
      <c r="T6" s="25" t="str">
        <f t="shared" si="12"/>
        <v/>
      </c>
      <c r="U6" s="14" t="str">
        <f t="shared" si="13"/>
        <v/>
      </c>
      <c r="V6" s="69">
        <v>17.600000000000001</v>
      </c>
      <c r="W6" s="69">
        <v>9.4</v>
      </c>
      <c r="X6" s="69">
        <v>5.6</v>
      </c>
      <c r="Y6" s="69">
        <v>15.815</v>
      </c>
      <c r="Z6" s="69">
        <v>0</v>
      </c>
      <c r="AA6" s="69">
        <v>16.5</v>
      </c>
      <c r="AB6" s="69">
        <v>9.1</v>
      </c>
      <c r="AC6" s="69">
        <v>14.4</v>
      </c>
      <c r="AD6" s="69">
        <v>15.185</v>
      </c>
      <c r="AE6" s="69">
        <v>0</v>
      </c>
      <c r="AF6" s="69"/>
      <c r="AG6" s="69"/>
      <c r="AH6" s="69"/>
      <c r="AI6" s="69"/>
      <c r="AJ6" s="69"/>
      <c r="AK6" s="69">
        <v>16.16</v>
      </c>
      <c r="AL6" s="69">
        <v>8.9</v>
      </c>
      <c r="AM6" s="69">
        <v>14.4</v>
      </c>
      <c r="AN6" s="69">
        <v>15.135</v>
      </c>
      <c r="AO6" s="69"/>
      <c r="AP6" s="80"/>
      <c r="AQ6" s="11">
        <f t="shared" si="14"/>
        <v>48.414999999999999</v>
      </c>
      <c r="AR6" s="11">
        <f t="shared" si="15"/>
        <v>14.4</v>
      </c>
      <c r="AS6" s="11">
        <f t="shared" si="16"/>
        <v>55.185000000000002</v>
      </c>
      <c r="AT6" s="11" t="str">
        <f t="shared" si="17"/>
        <v/>
      </c>
      <c r="AU6" s="11" t="str">
        <f t="shared" si="18"/>
        <v/>
      </c>
      <c r="AV6" s="11">
        <f t="shared" si="19"/>
        <v>103.6</v>
      </c>
      <c r="AW6" s="11">
        <f t="shared" si="20"/>
        <v>14.4</v>
      </c>
      <c r="AX6" s="11">
        <f t="shared" si="21"/>
        <v>54.594999999999999</v>
      </c>
      <c r="AY6" s="11">
        <f t="shared" si="22"/>
        <v>158.19499999999999</v>
      </c>
      <c r="AZ6" s="75">
        <v>17.100000000000001</v>
      </c>
      <c r="BA6" s="75">
        <v>9.5</v>
      </c>
      <c r="BB6" s="75">
        <v>5</v>
      </c>
      <c r="BC6" s="75">
        <v>16.105</v>
      </c>
      <c r="BD6" s="75">
        <v>0</v>
      </c>
      <c r="BE6" s="75">
        <v>15.3</v>
      </c>
      <c r="BF6" s="75">
        <v>9.65</v>
      </c>
      <c r="BG6" s="75">
        <v>14.2</v>
      </c>
      <c r="BH6" s="75">
        <v>15.29</v>
      </c>
      <c r="BI6" s="75">
        <v>0</v>
      </c>
      <c r="BJ6" s="75">
        <v>0</v>
      </c>
      <c r="BK6" s="75">
        <v>0</v>
      </c>
      <c r="BL6" s="75">
        <v>0</v>
      </c>
      <c r="BM6" s="75">
        <v>0</v>
      </c>
      <c r="BN6" s="75">
        <v>0</v>
      </c>
      <c r="BO6" s="75">
        <v>15.2</v>
      </c>
      <c r="BP6" s="75">
        <v>9.25</v>
      </c>
      <c r="BQ6" s="75">
        <v>14.2</v>
      </c>
      <c r="BR6" s="75">
        <v>14.97</v>
      </c>
      <c r="BS6" s="75">
        <v>0</v>
      </c>
      <c r="BT6" s="81"/>
      <c r="BU6" s="14">
        <f t="shared" si="23"/>
        <v>47.704999999999998</v>
      </c>
      <c r="BV6" s="14">
        <f t="shared" si="24"/>
        <v>14.2</v>
      </c>
      <c r="BW6" s="14">
        <f t="shared" si="25"/>
        <v>54.440000000000005</v>
      </c>
      <c r="BX6" s="14" t="str">
        <f t="shared" si="26"/>
        <v/>
      </c>
      <c r="BY6" s="14" t="str">
        <f t="shared" si="27"/>
        <v/>
      </c>
      <c r="BZ6" s="14">
        <f t="shared" si="28"/>
        <v>102.14500000000001</v>
      </c>
      <c r="CA6" s="14">
        <f t="shared" si="29"/>
        <v>14.2</v>
      </c>
      <c r="CB6" s="14">
        <f t="shared" si="30"/>
        <v>53.62</v>
      </c>
      <c r="CC6" s="14">
        <f t="shared" si="31"/>
        <v>155.76500000000001</v>
      </c>
      <c r="CD6" s="69">
        <v>18.100000000000001</v>
      </c>
      <c r="CE6" s="69">
        <v>9.1999999999999993</v>
      </c>
      <c r="CF6" s="69">
        <v>5</v>
      </c>
      <c r="CG6" s="69">
        <v>16.324999999999999</v>
      </c>
      <c r="CH6" s="69">
        <v>0</v>
      </c>
      <c r="CI6" s="69">
        <v>15.7</v>
      </c>
      <c r="CJ6" s="69">
        <v>8.6999999999999993</v>
      </c>
      <c r="CK6" s="69">
        <v>14.2</v>
      </c>
      <c r="CL6" s="69">
        <v>15.39</v>
      </c>
      <c r="CM6" s="69">
        <v>0</v>
      </c>
      <c r="CN6" s="69">
        <v>15.4</v>
      </c>
      <c r="CO6" s="69">
        <v>9.5</v>
      </c>
      <c r="CP6" s="69">
        <v>14.8</v>
      </c>
      <c r="CQ6" s="69">
        <v>15.34</v>
      </c>
      <c r="CR6" s="69">
        <v>0</v>
      </c>
      <c r="CS6" s="69">
        <v>10.4</v>
      </c>
      <c r="CT6" s="69">
        <v>6.7</v>
      </c>
      <c r="CU6" s="69">
        <v>11.1</v>
      </c>
      <c r="CV6" s="69">
        <v>10.91</v>
      </c>
      <c r="CW6" s="69">
        <v>0</v>
      </c>
      <c r="CX6" s="80"/>
      <c r="CY6" s="11">
        <f t="shared" si="32"/>
        <v>48.625</v>
      </c>
      <c r="CZ6" s="11">
        <f t="shared" si="33"/>
        <v>14.2</v>
      </c>
      <c r="DA6" s="11">
        <f t="shared" si="34"/>
        <v>53.989999999999995</v>
      </c>
      <c r="DB6" s="11">
        <f t="shared" si="35"/>
        <v>14.8</v>
      </c>
      <c r="DC6" s="11">
        <f t="shared" si="36"/>
        <v>55.040000000000006</v>
      </c>
      <c r="DD6" s="11">
        <f t="shared" si="37"/>
        <v>103.66500000000001</v>
      </c>
      <c r="DE6" s="11">
        <f t="shared" si="38"/>
        <v>11.1</v>
      </c>
      <c r="DF6" s="11">
        <f t="shared" si="39"/>
        <v>39.11</v>
      </c>
      <c r="DG6" s="11">
        <f t="shared" si="40"/>
        <v>142.77500000000001</v>
      </c>
      <c r="DH6" s="24" t="str">
        <f t="shared" si="41"/>
        <v/>
      </c>
      <c r="DI6" s="24" t="str">
        <f t="shared" si="42"/>
        <v/>
      </c>
      <c r="DJ6" s="24" t="str">
        <f t="shared" si="43"/>
        <v/>
      </c>
      <c r="DK6" s="24" t="str">
        <f t="shared" si="44"/>
        <v/>
      </c>
      <c r="DL6" s="37">
        <v>17.600000000000001</v>
      </c>
      <c r="DM6" s="37">
        <v>9.6</v>
      </c>
      <c r="DN6" s="37">
        <v>5.2</v>
      </c>
      <c r="DO6" s="37">
        <v>16.004999999999999</v>
      </c>
      <c r="DP6" s="37">
        <v>0</v>
      </c>
      <c r="DQ6" s="37">
        <v>15.4</v>
      </c>
      <c r="DR6" s="37">
        <v>9.5</v>
      </c>
      <c r="DS6" s="37">
        <v>14.8</v>
      </c>
      <c r="DT6" s="37">
        <v>15.24</v>
      </c>
      <c r="DU6" s="37">
        <v>0</v>
      </c>
      <c r="DV6" s="37">
        <v>15.1</v>
      </c>
      <c r="DW6" s="37">
        <v>9.5</v>
      </c>
      <c r="DX6" s="37">
        <v>14.8</v>
      </c>
      <c r="DY6" s="37">
        <v>15.185</v>
      </c>
      <c r="DZ6" s="37">
        <v>0</v>
      </c>
      <c r="EA6" s="11">
        <f t="shared" si="45"/>
        <v>14.8</v>
      </c>
      <c r="EB6" s="11">
        <f t="shared" si="46"/>
        <v>48.405000000000001</v>
      </c>
      <c r="EC6" s="11">
        <f t="shared" si="47"/>
        <v>54.940000000000005</v>
      </c>
      <c r="ED6" s="11">
        <f t="shared" si="48"/>
        <v>103.345</v>
      </c>
      <c r="EE6" s="11">
        <f t="shared" si="49"/>
        <v>14.8</v>
      </c>
      <c r="EF6" s="11">
        <f t="shared" si="50"/>
        <v>54.585000000000008</v>
      </c>
      <c r="EG6" s="11">
        <f t="shared" si="51"/>
        <v>157.93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2"/>
        <v/>
      </c>
      <c r="EX6" s="14" t="str">
        <f t="shared" si="53"/>
        <v/>
      </c>
      <c r="EY6" s="14" t="str">
        <f t="shared" si="54"/>
        <v/>
      </c>
      <c r="EZ6" s="14" t="str">
        <f t="shared" si="55"/>
        <v/>
      </c>
      <c r="FA6" s="14" t="str">
        <f t="shared" si="56"/>
        <v/>
      </c>
      <c r="FB6" s="14" t="str">
        <f t="shared" si="57"/>
        <v/>
      </c>
      <c r="FC6" s="14" t="str">
        <f t="shared" si="58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59"/>
        <v/>
      </c>
      <c r="FT6" s="11" t="str">
        <f t="shared" si="60"/>
        <v/>
      </c>
      <c r="FU6" s="11" t="str">
        <f t="shared" si="61"/>
        <v/>
      </c>
      <c r="FV6" s="11" t="str">
        <f t="shared" si="62"/>
        <v/>
      </c>
      <c r="FW6" s="11" t="str">
        <f t="shared" si="63"/>
        <v/>
      </c>
      <c r="FX6" s="11" t="str">
        <f t="shared" si="64"/>
        <v/>
      </c>
      <c r="FY6" s="11" t="str">
        <f t="shared" si="65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6"/>
        <v/>
      </c>
      <c r="GP6" s="14" t="str">
        <f t="shared" si="67"/>
        <v/>
      </c>
      <c r="GQ6" s="14" t="str">
        <f t="shared" si="68"/>
        <v/>
      </c>
      <c r="GR6" s="14" t="str">
        <f t="shared" si="69"/>
        <v/>
      </c>
      <c r="GS6" s="14" t="str">
        <f t="shared" si="70"/>
        <v/>
      </c>
      <c r="GT6" s="14" t="str">
        <f t="shared" si="71"/>
        <v/>
      </c>
      <c r="GU6" s="14" t="str">
        <f t="shared" si="72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3"/>
        <v/>
      </c>
      <c r="HL6" s="11" t="str">
        <f t="shared" si="74"/>
        <v/>
      </c>
      <c r="HM6" s="11" t="str">
        <f t="shared" si="75"/>
        <v/>
      </c>
      <c r="HN6" s="11" t="str">
        <f t="shared" si="76"/>
        <v/>
      </c>
      <c r="HO6" s="11" t="str">
        <f t="shared" si="77"/>
        <v/>
      </c>
      <c r="HP6" s="11" t="str">
        <f t="shared" si="78"/>
        <v/>
      </c>
      <c r="HQ6" s="11" t="str">
        <f t="shared" si="79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0"/>
        <v/>
      </c>
      <c r="IH6" s="14" t="str">
        <f t="shared" si="81"/>
        <v/>
      </c>
      <c r="II6" s="14" t="str">
        <f t="shared" si="82"/>
        <v/>
      </c>
      <c r="IJ6" s="14" t="str">
        <f t="shared" si="83"/>
        <v/>
      </c>
      <c r="IK6" s="14" t="str">
        <f t="shared" si="84"/>
        <v/>
      </c>
      <c r="IL6" s="14" t="str">
        <f t="shared" si="85"/>
        <v/>
      </c>
      <c r="IM6" s="14" t="str">
        <f t="shared" si="86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87"/>
        <v/>
      </c>
      <c r="JD6" s="11" t="str">
        <f t="shared" si="88"/>
        <v/>
      </c>
      <c r="JE6" s="11" t="str">
        <f t="shared" si="89"/>
        <v/>
      </c>
      <c r="JF6" s="11" t="str">
        <f t="shared" si="90"/>
        <v/>
      </c>
      <c r="JG6" s="11" t="str">
        <f t="shared" si="91"/>
        <v/>
      </c>
      <c r="JH6" s="11" t="str">
        <f t="shared" si="92"/>
        <v/>
      </c>
      <c r="JI6" s="11" t="str">
        <f t="shared" si="93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4"/>
        <v/>
      </c>
      <c r="JZ6" s="14" t="str">
        <f t="shared" si="95"/>
        <v/>
      </c>
      <c r="KA6" s="14" t="str">
        <f t="shared" si="96"/>
        <v/>
      </c>
      <c r="KB6" s="14" t="str">
        <f t="shared" si="97"/>
        <v/>
      </c>
      <c r="KC6" s="14" t="str">
        <f t="shared" si="98"/>
        <v/>
      </c>
      <c r="KD6" s="14" t="str">
        <f t="shared" si="99"/>
        <v/>
      </c>
      <c r="KE6" s="14" t="str">
        <f t="shared" si="100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1"/>
        <v/>
      </c>
      <c r="KV6" s="11" t="str">
        <f t="shared" si="102"/>
        <v/>
      </c>
      <c r="KW6" s="11" t="str">
        <f t="shared" si="103"/>
        <v/>
      </c>
      <c r="KX6" s="11" t="str">
        <f t="shared" si="104"/>
        <v/>
      </c>
      <c r="KY6" s="11" t="str">
        <f t="shared" si="105"/>
        <v/>
      </c>
      <c r="KZ6" s="11" t="str">
        <f t="shared" si="106"/>
        <v/>
      </c>
      <c r="LA6" s="11" t="str">
        <f t="shared" si="107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08"/>
        <v/>
      </c>
      <c r="LR6" s="14" t="str">
        <f t="shared" si="109"/>
        <v/>
      </c>
      <c r="LS6" s="14" t="str">
        <f t="shared" si="110"/>
        <v/>
      </c>
      <c r="LT6" s="14" t="str">
        <f t="shared" si="111"/>
        <v/>
      </c>
      <c r="LU6" s="14" t="str">
        <f t="shared" si="112"/>
        <v/>
      </c>
      <c r="LV6" s="14" t="str">
        <f t="shared" si="113"/>
        <v/>
      </c>
      <c r="LW6" s="14" t="str">
        <f t="shared" si="114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 t="shared" si="115"/>
        <v/>
      </c>
      <c r="MN6" s="11" t="str">
        <f t="shared" si="116"/>
        <v/>
      </c>
      <c r="MO6" s="11" t="str">
        <f t="shared" si="117"/>
        <v/>
      </c>
      <c r="MP6" s="11" t="str">
        <f t="shared" si="118"/>
        <v/>
      </c>
      <c r="MQ6" s="11" t="str">
        <f t="shared" si="119"/>
        <v/>
      </c>
      <c r="MR6" s="11" t="str">
        <f t="shared" si="120"/>
        <v/>
      </c>
      <c r="MS6" s="11" t="str">
        <f t="shared" si="121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2"/>
        <v/>
      </c>
      <c r="NJ6" s="14" t="str">
        <f t="shared" si="123"/>
        <v/>
      </c>
      <c r="NK6" s="14" t="str">
        <f t="shared" si="124"/>
        <v/>
      </c>
      <c r="NL6" s="14" t="str">
        <f t="shared" si="125"/>
        <v/>
      </c>
      <c r="NM6" s="14" t="str">
        <f t="shared" si="126"/>
        <v/>
      </c>
      <c r="NN6" s="14" t="str">
        <f t="shared" si="127"/>
        <v/>
      </c>
      <c r="NO6" s="14" t="str">
        <f t="shared" si="128"/>
        <v/>
      </c>
      <c r="NP6" s="69">
        <f t="shared" si="129"/>
        <v>17.600000000000001</v>
      </c>
      <c r="NQ6" s="69">
        <f t="shared" si="130"/>
        <v>9.35</v>
      </c>
      <c r="NR6" s="69">
        <f t="shared" si="131"/>
        <v>5</v>
      </c>
      <c r="NS6" s="69">
        <f t="shared" si="132"/>
        <v>16.215</v>
      </c>
      <c r="NT6" s="69">
        <f t="shared" si="133"/>
        <v>0</v>
      </c>
      <c r="NU6" s="69">
        <f t="shared" si="134"/>
        <v>15.5</v>
      </c>
      <c r="NV6" s="69">
        <f t="shared" si="135"/>
        <v>9.1750000000000007</v>
      </c>
      <c r="NW6" s="69">
        <f t="shared" si="136"/>
        <v>14.2</v>
      </c>
      <c r="NX6" s="69">
        <f t="shared" si="137"/>
        <v>15.34</v>
      </c>
      <c r="NY6" s="69">
        <f t="shared" si="138"/>
        <v>0</v>
      </c>
      <c r="NZ6" s="69">
        <f t="shared" si="139"/>
        <v>7.7</v>
      </c>
      <c r="OA6" s="69">
        <f t="shared" si="140"/>
        <v>4.75</v>
      </c>
      <c r="OB6" s="69">
        <f t="shared" si="141"/>
        <v>7.4</v>
      </c>
      <c r="OC6" s="69">
        <f t="shared" si="142"/>
        <v>7.67</v>
      </c>
      <c r="OD6" s="69">
        <f t="shared" si="143"/>
        <v>0</v>
      </c>
      <c r="OE6" s="69">
        <f t="shared" si="144"/>
        <v>12.8</v>
      </c>
      <c r="OF6" s="69">
        <f t="shared" si="145"/>
        <v>7.9749999999999996</v>
      </c>
      <c r="OG6" s="69">
        <f t="shared" si="146"/>
        <v>12.649999999999999</v>
      </c>
      <c r="OH6" s="69">
        <f t="shared" si="147"/>
        <v>12.940000000000001</v>
      </c>
      <c r="OI6" s="69">
        <f t="shared" si="148"/>
        <v>0</v>
      </c>
      <c r="OJ6" s="80" t="s">
        <v>88</v>
      </c>
      <c r="OK6" s="11">
        <f t="shared" si="149"/>
        <v>48.165000000000006</v>
      </c>
      <c r="OL6" s="11">
        <f t="shared" si="150"/>
        <v>14.2</v>
      </c>
      <c r="OM6" s="11">
        <f t="shared" si="151"/>
        <v>54.215000000000003</v>
      </c>
      <c r="ON6" s="11">
        <f t="shared" si="152"/>
        <v>7.4</v>
      </c>
      <c r="OO6" s="11">
        <f t="shared" si="153"/>
        <v>27.520000000000003</v>
      </c>
      <c r="OP6" s="11">
        <f t="shared" si="154"/>
        <v>102.38000000000001</v>
      </c>
      <c r="OQ6" s="11">
        <f t="shared" si="155"/>
        <v>12.649999999999999</v>
      </c>
      <c r="OR6" s="11">
        <f t="shared" si="156"/>
        <v>46.364999999999995</v>
      </c>
      <c r="OS6" s="11">
        <f t="shared" si="157"/>
        <v>148.745</v>
      </c>
    </row>
    <row r="7" spans="1:409" x14ac:dyDescent="0.2">
      <c r="A7" s="5" cm="1">
        <f t="array" ref="A7">IF(AND(G7&lt;&gt;"",H7&lt;&gt;""),SUMPRODUCT((G$4:G$18&lt;&gt;"")*(H$4:H$18&lt;&gt;"")*(E$4:E$18&gt;E7))+1,IF(H7&lt;&gt;"",SUMPRODUCT((I$4:I$18="No DD")*(E$4:E$18&gt;E7))+1+SUMPRODUCT((G$4:G$18&lt;&gt;"")*(H$4:H$18&lt;&gt;"")),""))</f>
        <v>4</v>
      </c>
      <c r="B7" s="127" t="s">
        <v>33</v>
      </c>
      <c r="C7" s="5" t="s">
        <v>10</v>
      </c>
      <c r="D7" s="5">
        <v>1998</v>
      </c>
      <c r="E7" s="15">
        <f t="shared" si="0"/>
        <v>260.64000000000004</v>
      </c>
      <c r="F7" s="3" t="str">
        <f t="shared" si="1"/>
        <v>P</v>
      </c>
      <c r="G7" s="125" t="str">
        <f>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Merit",IF(OR(AND(AR7&gt;=AY$22,AR7&lt;&gt;"",AP7=""),AND(AT7&gt;=AY$22,AT7&lt;&gt;"",AP7=""),AND(AW7&gt;=AY$22,AW7&lt;&gt;"",AP7=""),AND(BV7&gt;=CC$22,BV7&lt;&gt;"",BT7=""),AND(BX7&gt;=CC$22,BX7&lt;&gt;"",BT7=""),AND(CA7&gt;=CC$22,CA7&lt;&gt;"",BT7=""),AND(CZ7&gt;=DG$22,CZ7&lt;&gt;"",CX7=""),AND(DB7&gt;=DG$22,DB7&lt;&gt;"",CX7=""),AND(DE7&gt;=DG$22,DE7&lt;&gt;"",CX7=""),AND(EA7&gt;=EG$22,EA7&lt;&gt;""),AND(EE7&gt;=EG$22,EE7&lt;&gt;""),AND(EW7&gt;=FC$22,EW7&lt;&gt;""),AND(FA7&gt;=FC$22,FA7&lt;&gt;""),AND(FS7&gt;=FY$22,FS7&lt;&gt;""),AND(FW7&gt;=FY$22,FW7&lt;&gt;""),AND(GO7&gt;=GU$22,GO7&lt;&gt;""),AND(GS7&gt;=GU$22,GS7&lt;&gt;""),AND(HK7&gt;=HQ$22,HK7&lt;&gt;""),AND(HO7&gt;=HQ$22,HO7&lt;&gt;""),AND(IG7&gt;=IM$22,IG7&lt;&gt;""),AND(IK7&gt;=IM$22,IK7&lt;&gt;""),AND(JC7&gt;=JI$22,JC7&lt;&gt;""),AND(JG7&gt;=JI$22,JG7&lt;&gt;""),AND(JY7&gt;=KE$22,JY7&lt;&gt;""),AND(KC7&gt;=KE$22,KC7&lt;&gt;""),AND(KU7&gt;=LA$22,KU7&lt;&gt;""),AND(KY7&gt;=LA$22,KY7&lt;&gt;""),AND(LQ7&gt;=LW$22,LQ7&lt;&gt;""),AND(LU7&gt;=LW$22,LU7&lt;&gt;""),AND(MM7&gt;=MS$22,MM7&lt;&gt;""),AND(MQ7&gt;=MS$22,MQ7&lt;&gt;""),AND(NI7&gt;=NO$22,NI7&lt;&gt;""),AND(NM7&gt;=NO$22,NM7&lt;&gt;"")),"Excellence",IF(OR(AND(AR7&gt;=AY$21,AR7&lt;&gt;"",AP7=""),AND(AT7&gt;=AY$21,AT7&lt;&gt;"",AP7=""),AND(AW7&gt;=AY$21,AW7&lt;&gt;"",AP7=""),AND(BV7&gt;=CC$21,BV7&lt;&gt;"",BT7=""),AND(BX7&gt;=CC$21,BX7&lt;&gt;"",BT7=""),AND(CA7&gt;=CC$21,CA7&lt;&gt;"",BT7=""),AND(CZ7&gt;=DG$21,CZ7&lt;&gt;"",CX7=""),AND(DB7&gt;=DG$21,DB7&lt;&gt;"",CX7=""),AND(DE7&gt;=DG$21,DE7&lt;&gt;"",CX7=""),AND(EA7&gt;=EG$21,EA7&lt;&gt;""),AND(EE7&gt;=EG$21,EE7&lt;&gt;""),AND(EW7&gt;=FC$21,EW7&lt;&gt;""),AND(FA7&gt;=FC$21,FA7&lt;&gt;""),AND(FS7&gt;=FY$21,FS7&lt;&gt;""),AND(FW7&gt;=FY$21,FW7&lt;&gt;""),AND(GO7&gt;=GU$21,GO7&lt;&gt;""),AND(GS7&gt;=GU$21,GS7&lt;&gt;""),AND(HK7&gt;=HQ$21,HK7&lt;&gt;""),AND(HO7&gt;=HQ$21,HO7&lt;&gt;""),AND(IG7&gt;=IM$21,IG7&lt;&gt;""),AND(IK7&gt;=IM$21,IK7&lt;&gt;""),AND(JC7&gt;=JI$21,JC7&lt;&gt;""),AND(JG7&gt;=JI$21,JG7&lt;&gt;""),AND(JY7&gt;=KE$21,JY7&lt;&gt;""),AND(KC7&gt;=KE$21,KC7&lt;&gt;""),AND(KU7&gt;=LA$21,KU7&lt;&gt;""),AND(KY7&gt;=LA$21,KY7&lt;&gt;""),AND(LQ7&gt;=LW$21,LQ7&lt;&gt;""),AND(LU7&gt;=LW$21,LU7&lt;&gt;""),AND(MM7&gt;=MS$21,MM7&lt;&gt;""),AND(MQ7&gt;=MS$21,MQ7&lt;&gt;""),AND(NI7&gt;=NO$21,NI7&lt;&gt;""),AND(NM7&gt;=NO$21,NM7&lt;&gt;"")),"Worlds Team",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National Team",""))))</f>
        <v>Merit</v>
      </c>
      <c r="H7" s="125" t="str">
        <f>IF(OR(AND(AS7&gt;=AY$27,AS7&lt;&gt;"",AP7=""),AND(AU7&gt;=AY$27,AU7&lt;&gt;"",AP7=""),AND(AX7&gt;=AY$27,AX7&lt;&gt;"",AP7=""),AND(BW7&gt;=CC$27,BW7&lt;&gt;"",BT7=""),AND(BY7&gt;=CC$27,BY7&lt;&gt;"",BT7=""),AND(CB7&gt;=CC$27,CB7&lt;&gt;"",BT7=""),AND(DA7&gt;=DG$27,DA7&lt;&gt;"",CX7=""),AND(DC7&gt;=DG$27,DC7&lt;&gt;"",CX7=""),AND(DF7&gt;=DG$27,DF7&lt;&gt;"",CX7=""),AND(EC7&gt;=EG$27,EC7&lt;&gt;""),AND(EF7&gt;=EG$27,EF7&lt;&gt;""),AND(EY7&gt;=FC$27,EY7&lt;&gt;""),AND(FB7&gt;=FC$27,FB7&lt;&gt;""),AND(FU7&gt;=FY$27,FU7&lt;&gt;""),AND(FX7&gt;=FY$27,FX7&lt;&gt;""),AND(GQ7&gt;=GU$27,GQ7&lt;&gt;""),AND(GT7&gt;=GU$27,GT7&lt;&gt;""),AND(HM7&gt;=HQ$27,HM7&lt;&gt;""),AND(HP7&gt;=HQ$27,HP7&lt;&gt;""),AND(II7&gt;=IM$27,II7&lt;&gt;""),AND(IL7&gt;=IM$27,IL7&lt;&gt;""),AND(JE7&gt;=JI$27,JE7&lt;&gt;""),AND(JH7&gt;=JI$27,JH7&lt;&gt;""),AND(KA7&gt;=KE$27,KA7&lt;&gt;""),AND(KD7&gt;=KE$27,KD7&lt;&gt;""),AND(KW7&gt;=LA$27,KW7&lt;&gt;""),AND(KZ7&gt;=LA$27,KZ7&lt;&gt;""),AND(LS7&gt;=LW$27,LS7&lt;&gt;""),AND(LV7&gt;=LW$27,LV7&lt;&gt;""),AND(MO7&gt;=MS$27,MO7&lt;&gt;""),AND(MR7&gt;=MS$27,MR7&lt;&gt;""),AND(NK7&gt;=NO$27,NK7&lt;&gt;""),AND(NN7&gt;=NO$27,NN7&lt;&gt;"")),"Merit",IF(OR(AND(AS7&gt;=AY$26,AS7&lt;&gt;"",AP7=""),AND(AU7&gt;=AY$26,AU7&lt;&gt;"",AP7=""),AND(AX7&gt;=AY$26,AX7&lt;&gt;"",AP7=""),AND(BW7&gt;=CC$26,BW7&lt;&gt;"",BT7=""),AND(BY7&gt;=CC$26,BY7&lt;&gt;"",BT7=""),AND(CB7&gt;=CC$26,CB7&lt;&gt;"",BT7=""),AND(DA7&gt;=DG$26,DA7&lt;&gt;"",CX7=""),AND(DC7&gt;=DG$26,DC7&lt;&gt;"",CX7=""),AND(DF7&gt;=DG$26,DF7&lt;&gt;"",CX7=""),AND(EC7&gt;=EG$26,EC7&lt;&gt;""),AND(EF7&gt;=EG$26,EF7&lt;&gt;""),AND(EY7&gt;=FC$26,EY7&lt;&gt;""),AND(FB7&gt;=FC$26,FB7&lt;&gt;""),AND(FU7&gt;=FY$26,FU7&lt;&gt;""),AND(FX7&gt;=FY$26,FX7&lt;&gt;""),AND(GQ7&gt;=GU$26,GQ7&lt;&gt;""),AND(GT7&gt;=GU$26,GT7&lt;&gt;""),AND(HM7&gt;=HQ$26,HM7&lt;&gt;""),AND(HP7&gt;=HQ$26,HP7&lt;&gt;""),AND(II7&gt;=IM$26,II7&lt;&gt;""),AND(IL7&gt;=IM$26,IL7&lt;&gt;""),AND(JE7&gt;=JI$26,JE7&lt;&gt;""),AND(JH7&gt;=JI$26,JH7&lt;&gt;""),AND(KA7&gt;=KE$26,KA7&lt;&gt;""),AND(KD7&gt;=KE$26,KD7&lt;&gt;""),AND(KW7&gt;=LA$26,KW7&lt;&gt;""),AND(KZ7&gt;=LA$26,KZ7&lt;&gt;""),AND(LS7&gt;=LW$26,LS7&lt;&gt;""),AND(LV7&gt;=LW$26,LV7&lt;&gt;""),AND(MO7&gt;=MS$26,MO7&lt;&gt;""),AND(MR7&gt;=MS$26,MR7&lt;&gt;""),AND(NK7&gt;=NO$26,NK7&lt;&gt;""),AND(NN7&gt;=NO$26,NN7&lt;&gt;"")),"Excellence",IF(OR(AND(AV7&gt;=AY$25,AV7&lt;&gt;"",AP7=""),AND(BZ7&gt;=CC$25,BZ7&lt;&gt;"",BT7=""),AND(DD7&gt;=DG$25,DD7&lt;&gt;"",CX7=""),AND(ED7&gt;=EG$25,ED7&lt;&gt;""),AND(EZ7&gt;=FC$25,EZ7&lt;&gt;""),AND(FV7&gt;=FY$25,FV7&lt;&gt;""),AND(GR7&gt;=GU$25,GR7&lt;&gt;""),AND(HN7&gt;=HQ$25,HN7&lt;&gt;""),AND(IJ7&gt;=IM$25,IJ7&lt;&gt;""),AND(JF7&gt;=JI$25,JF7&lt;&gt;""),AND(KB7&gt;=KE$25,KB7&lt;&gt;""),AND(KX7&gt;=LA$25,KX7&lt;&gt;""),AND(LT7&gt;=LW$25,LT7&lt;&gt;""),AND(MP7&gt;=MS$25,MP7&lt;&gt;""),AND(NL7&gt;=NO$25,NL7&lt;&gt;"")),"Worlds Team",IF(OR(AND(AV7&gt;=AY$24,AV7&lt;&gt;"",AP7=""),AND(BZ7&gt;=CC$24,BZ7&lt;&gt;"",BT7=""),AND(DD7&gt;=DG$24,DD7&lt;&gt;"",CX7=""),AND(ED7&gt;=EG$24,ED7&lt;&gt;""),AND(EZ7&gt;=FC$24,EZ7&lt;&gt;""),AND(FV7&gt;=FY$24,FV7&lt;&gt;""),AND(GR7&gt;=GU$24,GR7&lt;&gt;""),AND(HN7&gt;=HQ$24,HN7&lt;&gt;""),AND(IJ7&gt;=IM$24,IJ7&lt;&gt;""),AND(JF7&gt;=JI$24,JF7&lt;&gt;""),AND(KB7&gt;=KE$24,KB7&lt;&gt;""),AND(KX7&gt;=LA$24,KX7&lt;&gt;""),AND(LT7&gt;=LW$24,LT7&lt;&gt;""),AND(MP7&gt;=MS$24,MP7&lt;&gt;""),AND(NL7&gt;=NO$24,NL7&lt;&gt;"")),"National Team",""))))</f>
        <v>Merit</v>
      </c>
      <c r="I7" s="126" t="str">
        <f t="shared" si="2"/>
        <v>Merit</v>
      </c>
      <c r="J7" s="3" t="str">
        <f>IF(AND(OR(AND(AV7&gt;=AY$25,AV7&lt;&gt;"",AP7=""),AND(BZ7&gt;=CC$25,BZ7&lt;&gt;"",BT7=""),AND(DD7&gt;=DG$25,DD7&lt;&gt;"",CX7=""),AND(ED7&gt;=EG$25,ED7&lt;&gt;""),AND(EZ7&gt;=FC$25,EZ7&lt;&gt;""),AND(FV7&gt;=FY$25,FV7&lt;&gt;""),AND(GR7&gt;=GU$25,GR7&lt;&gt;""),AND(HN7&gt;=HQ$25,HN7&lt;&gt;""),AND(IJ7&gt;=IM$25,IJ7&lt;&gt;""),AND(JF7&gt;=JI$25,JF7&lt;&gt;""),AND(KB7&gt;=KE$25,KB7&lt;&gt;""),AND(KX7&gt;=LA$25,KX7&lt;&gt;""),AND(LT7&gt;=LW$25,LT7&lt;&gt;""),AND(MP7&gt;=MS$25,MP7&lt;&gt;""),AND(NL7&gt;=NO$25,NL7&lt;&gt;"")),OR(G7="Worlds Team",G7="Excellence",G7="Merit")),"P","")</f>
        <v>P</v>
      </c>
      <c r="K7" s="14">
        <f t="shared" si="3"/>
        <v>102.77500000000001</v>
      </c>
      <c r="L7" s="14" t="str">
        <f t="shared" si="4"/>
        <v>2019 Nationals</v>
      </c>
      <c r="M7" s="14">
        <f t="shared" si="5"/>
        <v>47.56</v>
      </c>
      <c r="N7" s="14" t="str">
        <f t="shared" si="6"/>
        <v>2021 1st Virtual Technical Trial</v>
      </c>
      <c r="O7" s="14">
        <f t="shared" si="7"/>
        <v>54.64</v>
      </c>
      <c r="P7" s="14" t="str">
        <f t="shared" si="8"/>
        <v>2021 1st Virtual Technical Trial</v>
      </c>
      <c r="Q7" s="14">
        <f t="shared" si="9"/>
        <v>55.62</v>
      </c>
      <c r="R7" s="14" t="str">
        <f t="shared" si="10"/>
        <v>2021 1st Virtual Technical Trial</v>
      </c>
      <c r="S7" s="14">
        <f t="shared" si="11"/>
        <v>4.5000000000001705E-2</v>
      </c>
      <c r="T7" s="25" t="str">
        <f t="shared" si="12"/>
        <v>(Vol 1)</v>
      </c>
      <c r="U7" s="14" t="str">
        <f t="shared" si="13"/>
        <v>2020 World Cup AZE (Feb 16)</v>
      </c>
      <c r="V7" s="69">
        <v>18</v>
      </c>
      <c r="W7" s="69">
        <v>9.0749999999999993</v>
      </c>
      <c r="X7" s="69">
        <v>4.75</v>
      </c>
      <c r="Y7" s="69">
        <v>15.7475</v>
      </c>
      <c r="Z7" s="69">
        <v>0.1</v>
      </c>
      <c r="AA7" s="69">
        <v>17.100000000000001</v>
      </c>
      <c r="AB7" s="69">
        <v>9.65</v>
      </c>
      <c r="AC7" s="69">
        <v>13.45</v>
      </c>
      <c r="AD7" s="69">
        <v>15.102499999999999</v>
      </c>
      <c r="AE7" s="69">
        <v>0</v>
      </c>
      <c r="AF7" s="69"/>
      <c r="AG7" s="69"/>
      <c r="AH7" s="69"/>
      <c r="AI7" s="69"/>
      <c r="AJ7" s="69"/>
      <c r="AK7" s="69">
        <v>16.799999999999997</v>
      </c>
      <c r="AL7" s="69">
        <v>8.8000000000000007</v>
      </c>
      <c r="AM7" s="69">
        <v>13.45</v>
      </c>
      <c r="AN7" s="69">
        <v>15.067499999999999</v>
      </c>
      <c r="AO7" s="69">
        <v>0</v>
      </c>
      <c r="AP7" s="80" t="s">
        <v>88</v>
      </c>
      <c r="AQ7" s="11">
        <f t="shared" si="14"/>
        <v>47.472499999999997</v>
      </c>
      <c r="AR7" s="11">
        <f t="shared" si="15"/>
        <v>13.45</v>
      </c>
      <c r="AS7" s="11">
        <f t="shared" si="16"/>
        <v>55.302500000000002</v>
      </c>
      <c r="AT7" s="11" t="str">
        <f t="shared" si="17"/>
        <v/>
      </c>
      <c r="AU7" s="11" t="str">
        <f t="shared" si="18"/>
        <v/>
      </c>
      <c r="AV7" s="11">
        <f t="shared" si="19"/>
        <v>102.77500000000001</v>
      </c>
      <c r="AW7" s="11">
        <f t="shared" si="20"/>
        <v>13.45</v>
      </c>
      <c r="AX7" s="11">
        <f t="shared" si="21"/>
        <v>54.117499999999993</v>
      </c>
      <c r="AY7" s="11">
        <f t="shared" si="22"/>
        <v>156.89249999999998</v>
      </c>
      <c r="AZ7" s="75">
        <v>17.7</v>
      </c>
      <c r="BA7" s="75">
        <v>9.3000000000000007</v>
      </c>
      <c r="BB7" s="75">
        <v>4.4000000000000004</v>
      </c>
      <c r="BC7" s="75">
        <v>16.16</v>
      </c>
      <c r="BD7" s="75">
        <v>0</v>
      </c>
      <c r="BE7" s="75">
        <v>16.3</v>
      </c>
      <c r="BF7" s="75">
        <v>9.4</v>
      </c>
      <c r="BG7" s="75">
        <v>12.7</v>
      </c>
      <c r="BH7" s="75">
        <v>15.44</v>
      </c>
      <c r="BI7" s="75">
        <v>0</v>
      </c>
      <c r="BJ7" s="75">
        <v>16.8</v>
      </c>
      <c r="BK7" s="75">
        <v>9.5</v>
      </c>
      <c r="BL7" s="75">
        <v>13.3</v>
      </c>
      <c r="BM7" s="75">
        <v>15.04</v>
      </c>
      <c r="BN7" s="75">
        <v>0</v>
      </c>
      <c r="BO7" s="75">
        <v>17.399999999999999</v>
      </c>
      <c r="BP7" s="75">
        <v>9.8000000000000007</v>
      </c>
      <c r="BQ7" s="75">
        <v>13.3</v>
      </c>
      <c r="BR7" s="75">
        <v>15.12</v>
      </c>
      <c r="BS7" s="75">
        <v>0</v>
      </c>
      <c r="BT7" s="81"/>
      <c r="BU7" s="14">
        <f t="shared" si="23"/>
        <v>47.56</v>
      </c>
      <c r="BV7" s="14">
        <f t="shared" si="24"/>
        <v>12.7</v>
      </c>
      <c r="BW7" s="14">
        <f t="shared" si="25"/>
        <v>53.84</v>
      </c>
      <c r="BX7" s="14">
        <f t="shared" si="26"/>
        <v>13.3</v>
      </c>
      <c r="BY7" s="14">
        <f t="shared" si="27"/>
        <v>54.64</v>
      </c>
      <c r="BZ7" s="14">
        <f t="shared" si="28"/>
        <v>102.2</v>
      </c>
      <c r="CA7" s="14">
        <f t="shared" si="29"/>
        <v>13.3</v>
      </c>
      <c r="CB7" s="14">
        <f t="shared" si="30"/>
        <v>55.62</v>
      </c>
      <c r="CC7" s="14">
        <f t="shared" si="31"/>
        <v>157.82</v>
      </c>
      <c r="CD7" s="69">
        <v>16.399999999999999</v>
      </c>
      <c r="CE7" s="69">
        <v>9.5</v>
      </c>
      <c r="CF7" s="69">
        <v>4.4000000000000004</v>
      </c>
      <c r="CG7" s="69">
        <v>16.145</v>
      </c>
      <c r="CH7" s="69">
        <v>0</v>
      </c>
      <c r="CI7" s="69">
        <v>16</v>
      </c>
      <c r="CJ7" s="69">
        <v>9</v>
      </c>
      <c r="CK7" s="69">
        <v>12.5</v>
      </c>
      <c r="CL7" s="69">
        <v>14.89</v>
      </c>
      <c r="CM7" s="69">
        <v>0.6</v>
      </c>
      <c r="CN7" s="69">
        <v>16.899999999999999</v>
      </c>
      <c r="CO7" s="69">
        <v>9</v>
      </c>
      <c r="CP7" s="69">
        <v>13.3</v>
      </c>
      <c r="CQ7" s="69">
        <v>14.96</v>
      </c>
      <c r="CR7" s="69">
        <v>0</v>
      </c>
      <c r="CS7" s="69">
        <v>16.600000000000001</v>
      </c>
      <c r="CT7" s="69">
        <v>9</v>
      </c>
      <c r="CU7" s="69">
        <v>13.3</v>
      </c>
      <c r="CV7" s="69">
        <v>14.91</v>
      </c>
      <c r="CW7" s="69">
        <v>0</v>
      </c>
      <c r="CX7" s="80"/>
      <c r="CY7" s="11">
        <f t="shared" si="32"/>
        <v>46.444999999999993</v>
      </c>
      <c r="CZ7" s="11">
        <f t="shared" si="33"/>
        <v>12.5</v>
      </c>
      <c r="DA7" s="11">
        <f t="shared" si="34"/>
        <v>51.79</v>
      </c>
      <c r="DB7" s="11">
        <f t="shared" si="35"/>
        <v>13.3</v>
      </c>
      <c r="DC7" s="11">
        <f t="shared" si="36"/>
        <v>54.160000000000004</v>
      </c>
      <c r="DD7" s="11">
        <f t="shared" si="37"/>
        <v>100.60499999999999</v>
      </c>
      <c r="DE7" s="11">
        <f t="shared" si="38"/>
        <v>13.3</v>
      </c>
      <c r="DF7" s="11">
        <f t="shared" si="39"/>
        <v>53.81</v>
      </c>
      <c r="DG7" s="11">
        <f t="shared" si="40"/>
        <v>154.41499999999999</v>
      </c>
      <c r="DH7" s="24">
        <f t="shared" si="41"/>
        <v>4.5000000000001705E-2</v>
      </c>
      <c r="DI7" s="24" t="str">
        <f t="shared" si="42"/>
        <v/>
      </c>
      <c r="DJ7" s="24" t="str">
        <f t="shared" si="43"/>
        <v/>
      </c>
      <c r="DK7" s="24" t="str">
        <f t="shared" si="44"/>
        <v/>
      </c>
      <c r="DL7" s="37">
        <v>18</v>
      </c>
      <c r="DM7" s="37">
        <v>9.3000000000000007</v>
      </c>
      <c r="DN7" s="37">
        <v>4.4000000000000004</v>
      </c>
      <c r="DO7" s="37">
        <v>15.904999999999999</v>
      </c>
      <c r="DP7" s="37">
        <v>0</v>
      </c>
      <c r="DQ7" s="37">
        <v>15.7</v>
      </c>
      <c r="DR7" s="37">
        <v>9.3000000000000007</v>
      </c>
      <c r="DS7" s="37">
        <v>13.3</v>
      </c>
      <c r="DT7" s="37">
        <v>14.77</v>
      </c>
      <c r="DU7" s="37">
        <v>0</v>
      </c>
      <c r="DV7" s="37"/>
      <c r="DW7" s="37"/>
      <c r="DX7" s="37"/>
      <c r="DY7" s="37"/>
      <c r="DZ7" s="37"/>
      <c r="EA7" s="11">
        <f t="shared" si="45"/>
        <v>13.3</v>
      </c>
      <c r="EB7" s="11">
        <f t="shared" si="46"/>
        <v>47.605000000000004</v>
      </c>
      <c r="EC7" s="11">
        <f t="shared" si="47"/>
        <v>53.069999999999993</v>
      </c>
      <c r="ED7" s="11">
        <f t="shared" si="48"/>
        <v>100.675</v>
      </c>
      <c r="EE7" s="11" t="str">
        <f t="shared" si="49"/>
        <v/>
      </c>
      <c r="EF7" s="11" t="str">
        <f t="shared" si="50"/>
        <v/>
      </c>
      <c r="EG7" s="11">
        <f t="shared" si="51"/>
        <v>100.675</v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2"/>
        <v/>
      </c>
      <c r="EX7" s="14" t="str">
        <f t="shared" si="53"/>
        <v/>
      </c>
      <c r="EY7" s="14" t="str">
        <f t="shared" si="54"/>
        <v/>
      </c>
      <c r="EZ7" s="14" t="str">
        <f t="shared" si="55"/>
        <v/>
      </c>
      <c r="FA7" s="14" t="str">
        <f t="shared" si="56"/>
        <v/>
      </c>
      <c r="FB7" s="14" t="str">
        <f t="shared" si="57"/>
        <v/>
      </c>
      <c r="FC7" s="14" t="str">
        <f t="shared" si="58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59"/>
        <v/>
      </c>
      <c r="FT7" s="11" t="str">
        <f t="shared" si="60"/>
        <v/>
      </c>
      <c r="FU7" s="11" t="str">
        <f t="shared" si="61"/>
        <v/>
      </c>
      <c r="FV7" s="11" t="str">
        <f t="shared" si="62"/>
        <v/>
      </c>
      <c r="FW7" s="11" t="str">
        <f t="shared" si="63"/>
        <v/>
      </c>
      <c r="FX7" s="11" t="str">
        <f t="shared" si="64"/>
        <v/>
      </c>
      <c r="FY7" s="11" t="str">
        <f t="shared" si="65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6"/>
        <v/>
      </c>
      <c r="GP7" s="14" t="str">
        <f t="shared" si="67"/>
        <v/>
      </c>
      <c r="GQ7" s="14" t="str">
        <f t="shared" si="68"/>
        <v/>
      </c>
      <c r="GR7" s="14" t="str">
        <f t="shared" si="69"/>
        <v/>
      </c>
      <c r="GS7" s="14" t="str">
        <f t="shared" si="70"/>
        <v/>
      </c>
      <c r="GT7" s="14" t="str">
        <f t="shared" si="71"/>
        <v/>
      </c>
      <c r="GU7" s="14" t="str">
        <f t="shared" si="72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3"/>
        <v/>
      </c>
      <c r="HL7" s="11" t="str">
        <f t="shared" si="74"/>
        <v/>
      </c>
      <c r="HM7" s="11" t="str">
        <f t="shared" si="75"/>
        <v/>
      </c>
      <c r="HN7" s="11" t="str">
        <f t="shared" si="76"/>
        <v/>
      </c>
      <c r="HO7" s="11" t="str">
        <f t="shared" si="77"/>
        <v/>
      </c>
      <c r="HP7" s="11" t="str">
        <f t="shared" si="78"/>
        <v/>
      </c>
      <c r="HQ7" s="11" t="str">
        <f t="shared" si="79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0"/>
        <v/>
      </c>
      <c r="IH7" s="14" t="str">
        <f t="shared" si="81"/>
        <v/>
      </c>
      <c r="II7" s="14" t="str">
        <f t="shared" si="82"/>
        <v/>
      </c>
      <c r="IJ7" s="14" t="str">
        <f t="shared" si="83"/>
        <v/>
      </c>
      <c r="IK7" s="14" t="str">
        <f t="shared" si="84"/>
        <v/>
      </c>
      <c r="IL7" s="14" t="str">
        <f t="shared" si="85"/>
        <v/>
      </c>
      <c r="IM7" s="14" t="str">
        <f t="shared" si="86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87"/>
        <v/>
      </c>
      <c r="JD7" s="11" t="str">
        <f t="shared" si="88"/>
        <v/>
      </c>
      <c r="JE7" s="11" t="str">
        <f t="shared" si="89"/>
        <v/>
      </c>
      <c r="JF7" s="11" t="str">
        <f t="shared" si="90"/>
        <v/>
      </c>
      <c r="JG7" s="11" t="str">
        <f t="shared" si="91"/>
        <v/>
      </c>
      <c r="JH7" s="11" t="str">
        <f t="shared" si="92"/>
        <v/>
      </c>
      <c r="JI7" s="11" t="str">
        <f t="shared" si="93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4"/>
        <v/>
      </c>
      <c r="JZ7" s="14" t="str">
        <f t="shared" si="95"/>
        <v/>
      </c>
      <c r="KA7" s="14" t="str">
        <f t="shared" si="96"/>
        <v/>
      </c>
      <c r="KB7" s="14" t="str">
        <f t="shared" si="97"/>
        <v/>
      </c>
      <c r="KC7" s="14" t="str">
        <f t="shared" si="98"/>
        <v/>
      </c>
      <c r="KD7" s="14" t="str">
        <f t="shared" si="99"/>
        <v/>
      </c>
      <c r="KE7" s="14" t="str">
        <f t="shared" si="100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1"/>
        <v/>
      </c>
      <c r="KV7" s="11" t="str">
        <f t="shared" si="102"/>
        <v/>
      </c>
      <c r="KW7" s="11" t="str">
        <f t="shared" si="103"/>
        <v/>
      </c>
      <c r="KX7" s="11" t="str">
        <f t="shared" si="104"/>
        <v/>
      </c>
      <c r="KY7" s="11" t="str">
        <f t="shared" si="105"/>
        <v/>
      </c>
      <c r="KZ7" s="11" t="str">
        <f t="shared" si="106"/>
        <v/>
      </c>
      <c r="LA7" s="11" t="str">
        <f t="shared" si="107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08"/>
        <v/>
      </c>
      <c r="LR7" s="14" t="str">
        <f t="shared" si="109"/>
        <v/>
      </c>
      <c r="LS7" s="14" t="str">
        <f t="shared" si="110"/>
        <v/>
      </c>
      <c r="LT7" s="14" t="str">
        <f t="shared" si="111"/>
        <v/>
      </c>
      <c r="LU7" s="14" t="str">
        <f t="shared" si="112"/>
        <v/>
      </c>
      <c r="LV7" s="14" t="str">
        <f t="shared" si="113"/>
        <v/>
      </c>
      <c r="LW7" s="14" t="str">
        <f t="shared" si="114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5"/>
        <v/>
      </c>
      <c r="MN7" s="11" t="str">
        <f t="shared" si="116"/>
        <v/>
      </c>
      <c r="MO7" s="11" t="str">
        <f t="shared" si="117"/>
        <v/>
      </c>
      <c r="MP7" s="11" t="str">
        <f t="shared" si="118"/>
        <v/>
      </c>
      <c r="MQ7" s="11" t="str">
        <f t="shared" si="119"/>
        <v/>
      </c>
      <c r="MR7" s="11" t="str">
        <f t="shared" si="120"/>
        <v/>
      </c>
      <c r="MS7" s="11" t="str">
        <f t="shared" si="121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2"/>
        <v/>
      </c>
      <c r="NJ7" s="14" t="str">
        <f t="shared" si="123"/>
        <v/>
      </c>
      <c r="NK7" s="14" t="str">
        <f t="shared" si="124"/>
        <v/>
      </c>
      <c r="NL7" s="14" t="str">
        <f t="shared" si="125"/>
        <v/>
      </c>
      <c r="NM7" s="14" t="str">
        <f t="shared" si="126"/>
        <v/>
      </c>
      <c r="NN7" s="14" t="str">
        <f t="shared" si="127"/>
        <v/>
      </c>
      <c r="NO7" s="14" t="str">
        <f t="shared" si="128"/>
        <v/>
      </c>
      <c r="NP7" s="69">
        <f t="shared" si="129"/>
        <v>17.049999999999997</v>
      </c>
      <c r="NQ7" s="69">
        <f t="shared" si="130"/>
        <v>9.4</v>
      </c>
      <c r="NR7" s="69">
        <f t="shared" si="131"/>
        <v>4.4000000000000004</v>
      </c>
      <c r="NS7" s="69">
        <f t="shared" si="132"/>
        <v>16.1525</v>
      </c>
      <c r="NT7" s="69">
        <f t="shared" si="133"/>
        <v>0</v>
      </c>
      <c r="NU7" s="69">
        <f t="shared" si="134"/>
        <v>16.149999999999999</v>
      </c>
      <c r="NV7" s="69">
        <f t="shared" si="135"/>
        <v>9.1999999999999993</v>
      </c>
      <c r="NW7" s="69">
        <f t="shared" si="136"/>
        <v>12.6</v>
      </c>
      <c r="NX7" s="69">
        <f t="shared" si="137"/>
        <v>15.164999999999999</v>
      </c>
      <c r="NY7" s="69">
        <f t="shared" si="138"/>
        <v>0.3</v>
      </c>
      <c r="NZ7" s="69">
        <f t="shared" si="139"/>
        <v>16.850000000000001</v>
      </c>
      <c r="OA7" s="69">
        <f t="shared" si="140"/>
        <v>9.25</v>
      </c>
      <c r="OB7" s="69">
        <f t="shared" si="141"/>
        <v>13.3</v>
      </c>
      <c r="OC7" s="69">
        <f t="shared" si="142"/>
        <v>15</v>
      </c>
      <c r="OD7" s="69">
        <f t="shared" si="143"/>
        <v>0</v>
      </c>
      <c r="OE7" s="69">
        <f t="shared" si="144"/>
        <v>17</v>
      </c>
      <c r="OF7" s="69">
        <f t="shared" si="145"/>
        <v>9.4</v>
      </c>
      <c r="OG7" s="69">
        <f t="shared" si="146"/>
        <v>13.3</v>
      </c>
      <c r="OH7" s="69">
        <f t="shared" si="147"/>
        <v>15.015000000000001</v>
      </c>
      <c r="OI7" s="69">
        <f t="shared" si="148"/>
        <v>0</v>
      </c>
      <c r="OJ7" s="80" t="s">
        <v>88</v>
      </c>
      <c r="OK7" s="11">
        <f t="shared" si="149"/>
        <v>47.002499999999998</v>
      </c>
      <c r="OL7" s="11">
        <f t="shared" si="150"/>
        <v>12.6</v>
      </c>
      <c r="OM7" s="11">
        <f t="shared" si="151"/>
        <v>52.814999999999998</v>
      </c>
      <c r="ON7" s="11">
        <f t="shared" si="152"/>
        <v>13.3</v>
      </c>
      <c r="OO7" s="11">
        <f t="shared" si="153"/>
        <v>54.400000000000006</v>
      </c>
      <c r="OP7" s="11">
        <f t="shared" si="154"/>
        <v>101.4025</v>
      </c>
      <c r="OQ7" s="11">
        <f t="shared" si="155"/>
        <v>13.3</v>
      </c>
      <c r="OR7" s="11">
        <f t="shared" si="156"/>
        <v>54.715000000000003</v>
      </c>
      <c r="OS7" s="11">
        <f t="shared" si="157"/>
        <v>156.11750000000001</v>
      </c>
    </row>
    <row r="8" spans="1:409" x14ac:dyDescent="0.2">
      <c r="A8" s="5" cm="1">
        <f t="array" ref="A8">IF(AND(G8&lt;&gt;"",H8&lt;&gt;""),SUMPRODUCT((G$4:G$18&lt;&gt;"")*(H$4:H$18&lt;&gt;"")*(E$4:E$18&gt;E8))+1,IF(H8&lt;&gt;"",SUMPRODUCT((I$4:I$18="No DD")*(E$4:E$18&gt;E8))+1+SUMPRODUCT((G$4:G$18&lt;&gt;"")*(H$4:H$18&lt;&gt;"")),""))</f>
        <v>5</v>
      </c>
      <c r="B8" s="127" t="s">
        <v>37</v>
      </c>
      <c r="C8" s="5" t="s">
        <v>3</v>
      </c>
      <c r="D8" s="5">
        <v>1998</v>
      </c>
      <c r="E8" s="15">
        <f t="shared" si="0"/>
        <v>257.95</v>
      </c>
      <c r="F8" s="3" t="str">
        <f t="shared" si="1"/>
        <v>P</v>
      </c>
      <c r="G8" s="125" t="str">
        <f>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Merit",IF(OR(AND(AR8&gt;=AY$22,AR8&lt;&gt;"",AP8=""),AND(AT8&gt;=AY$22,AT8&lt;&gt;"",AP8=""),AND(AW8&gt;=AY$22,AW8&lt;&gt;"",AP8=""),AND(BV8&gt;=CC$22,BV8&lt;&gt;"",BT8=""),AND(BX8&gt;=CC$22,BX8&lt;&gt;"",BT8=""),AND(CA8&gt;=CC$22,CA8&lt;&gt;"",BT8=""),AND(CZ8&gt;=DG$22,CZ8&lt;&gt;"",CX8=""),AND(DB8&gt;=DG$22,DB8&lt;&gt;"",CX8=""),AND(DE8&gt;=DG$22,DE8&lt;&gt;"",CX8=""),AND(EA8&gt;=EG$22,EA8&lt;&gt;""),AND(EE8&gt;=EG$22,EE8&lt;&gt;""),AND(EW8&gt;=FC$22,EW8&lt;&gt;""),AND(FA8&gt;=FC$22,FA8&lt;&gt;""),AND(FS8&gt;=FY$22,FS8&lt;&gt;""),AND(FW8&gt;=FY$22,FW8&lt;&gt;""),AND(GO8&gt;=GU$22,GO8&lt;&gt;""),AND(GS8&gt;=GU$22,GS8&lt;&gt;""),AND(HK8&gt;=HQ$22,HK8&lt;&gt;""),AND(HO8&gt;=HQ$22,HO8&lt;&gt;""),AND(IG8&gt;=IM$22,IG8&lt;&gt;""),AND(IK8&gt;=IM$22,IK8&lt;&gt;""),AND(JC8&gt;=JI$22,JC8&lt;&gt;""),AND(JG8&gt;=JI$22,JG8&lt;&gt;""),AND(JY8&gt;=KE$22,JY8&lt;&gt;""),AND(KC8&gt;=KE$22,KC8&lt;&gt;""),AND(KU8&gt;=LA$22,KU8&lt;&gt;""),AND(KY8&gt;=LA$22,KY8&lt;&gt;""),AND(LQ8&gt;=LW$22,LQ8&lt;&gt;""),AND(LU8&gt;=LW$22,LU8&lt;&gt;""),AND(MM8&gt;=MS$22,MM8&lt;&gt;""),AND(MQ8&gt;=MS$22,MQ8&lt;&gt;""),AND(NI8&gt;=NO$22,NI8&lt;&gt;""),AND(NM8&gt;=NO$22,NM8&lt;&gt;"")),"Excellence",IF(OR(AND(AR8&gt;=AY$21,AR8&lt;&gt;"",AP8=""),AND(AT8&gt;=AY$21,AT8&lt;&gt;"",AP8=""),AND(AW8&gt;=AY$21,AW8&lt;&gt;"",AP8=""),AND(BV8&gt;=CC$21,BV8&lt;&gt;"",BT8=""),AND(BX8&gt;=CC$21,BX8&lt;&gt;"",BT8=""),AND(CA8&gt;=CC$21,CA8&lt;&gt;"",BT8=""),AND(CZ8&gt;=DG$21,CZ8&lt;&gt;"",CX8=""),AND(DB8&gt;=DG$21,DB8&lt;&gt;"",CX8=""),AND(DE8&gt;=DG$21,DE8&lt;&gt;"",CX8=""),AND(EA8&gt;=EG$21,EA8&lt;&gt;""),AND(EE8&gt;=EG$21,EE8&lt;&gt;""),AND(EW8&gt;=FC$21,EW8&lt;&gt;""),AND(FA8&gt;=FC$21,FA8&lt;&gt;""),AND(FS8&gt;=FY$21,FS8&lt;&gt;""),AND(FW8&gt;=FY$21,FW8&lt;&gt;""),AND(GO8&gt;=GU$21,GO8&lt;&gt;""),AND(GS8&gt;=GU$21,GS8&lt;&gt;""),AND(HK8&gt;=HQ$21,HK8&lt;&gt;""),AND(HO8&gt;=HQ$21,HO8&lt;&gt;""),AND(IG8&gt;=IM$21,IG8&lt;&gt;""),AND(IK8&gt;=IM$21,IK8&lt;&gt;""),AND(JC8&gt;=JI$21,JC8&lt;&gt;""),AND(JG8&gt;=JI$21,JG8&lt;&gt;""),AND(JY8&gt;=KE$21,JY8&lt;&gt;""),AND(KC8&gt;=KE$21,KC8&lt;&gt;""),AND(KU8&gt;=LA$21,KU8&lt;&gt;""),AND(KY8&gt;=LA$21,KY8&lt;&gt;""),AND(LQ8&gt;=LW$21,LQ8&lt;&gt;""),AND(LU8&gt;=LW$21,LU8&lt;&gt;""),AND(MM8&gt;=MS$21,MM8&lt;&gt;""),AND(MQ8&gt;=MS$21,MQ8&lt;&gt;""),AND(NI8&gt;=NO$21,NI8&lt;&gt;""),AND(NM8&gt;=NO$21,NM8&lt;&gt;"")),"Worlds Team",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National Team",""))))</f>
        <v>Merit</v>
      </c>
      <c r="H8" s="125" t="str">
        <f>IF(OR(AND(AS8&gt;=AY$27,AS8&lt;&gt;"",AP8=""),AND(AU8&gt;=AY$27,AU8&lt;&gt;"",AP8=""),AND(AX8&gt;=AY$27,AX8&lt;&gt;"",AP8=""),AND(BW8&gt;=CC$27,BW8&lt;&gt;"",BT8=""),AND(BY8&gt;=CC$27,BY8&lt;&gt;"",BT8=""),AND(CB8&gt;=CC$27,CB8&lt;&gt;"",BT8=""),AND(DA8&gt;=DG$27,DA8&lt;&gt;"",CX8=""),AND(DC8&gt;=DG$27,DC8&lt;&gt;"",CX8=""),AND(DF8&gt;=DG$27,DF8&lt;&gt;"",CX8=""),AND(EC8&gt;=EG$27,EC8&lt;&gt;""),AND(EF8&gt;=EG$27,EF8&lt;&gt;""),AND(EY8&gt;=FC$27,EY8&lt;&gt;""),AND(FB8&gt;=FC$27,FB8&lt;&gt;""),AND(FU8&gt;=FY$27,FU8&lt;&gt;""),AND(FX8&gt;=FY$27,FX8&lt;&gt;""),AND(GQ8&gt;=GU$27,GQ8&lt;&gt;""),AND(GT8&gt;=GU$27,GT8&lt;&gt;""),AND(HM8&gt;=HQ$27,HM8&lt;&gt;""),AND(HP8&gt;=HQ$27,HP8&lt;&gt;""),AND(II8&gt;=IM$27,II8&lt;&gt;""),AND(IL8&gt;=IM$27,IL8&lt;&gt;""),AND(JE8&gt;=JI$27,JE8&lt;&gt;""),AND(JH8&gt;=JI$27,JH8&lt;&gt;""),AND(KA8&gt;=KE$27,KA8&lt;&gt;""),AND(KD8&gt;=KE$27,KD8&lt;&gt;""),AND(KW8&gt;=LA$27,KW8&lt;&gt;""),AND(KZ8&gt;=LA$27,KZ8&lt;&gt;""),AND(LS8&gt;=LW$27,LS8&lt;&gt;""),AND(LV8&gt;=LW$27,LV8&lt;&gt;""),AND(MO8&gt;=MS$27,MO8&lt;&gt;""),AND(MR8&gt;=MS$27,MR8&lt;&gt;""),AND(NK8&gt;=NO$27,NK8&lt;&gt;""),AND(NN8&gt;=NO$27,NN8&lt;&gt;"")),"Merit",IF(OR(AND(AS8&gt;=AY$26,AS8&lt;&gt;"",AP8=""),AND(AU8&gt;=AY$26,AU8&lt;&gt;"",AP8=""),AND(AX8&gt;=AY$26,AX8&lt;&gt;"",AP8=""),AND(BW8&gt;=CC$26,BW8&lt;&gt;"",BT8=""),AND(BY8&gt;=CC$26,BY8&lt;&gt;"",BT8=""),AND(CB8&gt;=CC$26,CB8&lt;&gt;"",BT8=""),AND(DA8&gt;=DG$26,DA8&lt;&gt;"",CX8=""),AND(DC8&gt;=DG$26,DC8&lt;&gt;"",CX8=""),AND(DF8&gt;=DG$26,DF8&lt;&gt;"",CX8=""),AND(EC8&gt;=EG$26,EC8&lt;&gt;""),AND(EF8&gt;=EG$26,EF8&lt;&gt;""),AND(EY8&gt;=FC$26,EY8&lt;&gt;""),AND(FB8&gt;=FC$26,FB8&lt;&gt;""),AND(FU8&gt;=FY$26,FU8&lt;&gt;""),AND(FX8&gt;=FY$26,FX8&lt;&gt;""),AND(GQ8&gt;=GU$26,GQ8&lt;&gt;""),AND(GT8&gt;=GU$26,GT8&lt;&gt;""),AND(HM8&gt;=HQ$26,HM8&lt;&gt;""),AND(HP8&gt;=HQ$26,HP8&lt;&gt;""),AND(II8&gt;=IM$26,II8&lt;&gt;""),AND(IL8&gt;=IM$26,IL8&lt;&gt;""),AND(JE8&gt;=JI$26,JE8&lt;&gt;""),AND(JH8&gt;=JI$26,JH8&lt;&gt;""),AND(KA8&gt;=KE$26,KA8&lt;&gt;""),AND(KD8&gt;=KE$26,KD8&lt;&gt;""),AND(KW8&gt;=LA$26,KW8&lt;&gt;""),AND(KZ8&gt;=LA$26,KZ8&lt;&gt;""),AND(LS8&gt;=LW$26,LS8&lt;&gt;""),AND(LV8&gt;=LW$26,LV8&lt;&gt;""),AND(MO8&gt;=MS$26,MO8&lt;&gt;""),AND(MR8&gt;=MS$26,MR8&lt;&gt;""),AND(NK8&gt;=NO$26,NK8&lt;&gt;""),AND(NN8&gt;=NO$26,NN8&lt;&gt;"")),"Excellence",IF(OR(AND(AV8&gt;=AY$25,AV8&lt;&gt;"",AP8=""),AND(BZ8&gt;=CC$25,BZ8&lt;&gt;"",BT8=""),AND(DD8&gt;=DG$25,DD8&lt;&gt;"",CX8=""),AND(ED8&gt;=EG$25,ED8&lt;&gt;""),AND(EZ8&gt;=FC$25,EZ8&lt;&gt;""),AND(FV8&gt;=FY$25,FV8&lt;&gt;""),AND(GR8&gt;=GU$25,GR8&lt;&gt;""),AND(HN8&gt;=HQ$25,HN8&lt;&gt;""),AND(IJ8&gt;=IM$25,IJ8&lt;&gt;""),AND(JF8&gt;=JI$25,JF8&lt;&gt;""),AND(KB8&gt;=KE$25,KB8&lt;&gt;""),AND(KX8&gt;=LA$25,KX8&lt;&gt;""),AND(LT8&gt;=LW$25,LT8&lt;&gt;""),AND(MP8&gt;=MS$25,MP8&lt;&gt;""),AND(NL8&gt;=NO$25,NL8&lt;&gt;"")),"Worlds Team",IF(OR(AND(AV8&gt;=AY$24,AV8&lt;&gt;"",AP8=""),AND(BZ8&gt;=CC$24,BZ8&lt;&gt;"",BT8=""),AND(DD8&gt;=DG$24,DD8&lt;&gt;"",CX8=""),AND(ED8&gt;=EG$24,ED8&lt;&gt;""),AND(EZ8&gt;=FC$24,EZ8&lt;&gt;""),AND(FV8&gt;=FY$24,FV8&lt;&gt;""),AND(GR8&gt;=GU$24,GR8&lt;&gt;""),AND(HN8&gt;=HQ$24,HN8&lt;&gt;""),AND(IJ8&gt;=IM$24,IJ8&lt;&gt;""),AND(JF8&gt;=JI$24,JF8&lt;&gt;""),AND(KB8&gt;=KE$24,KB8&lt;&gt;""),AND(KX8&gt;=LA$24,KX8&lt;&gt;""),AND(LT8&gt;=LW$24,LT8&lt;&gt;""),AND(MP8&gt;=MS$24,MP8&lt;&gt;""),AND(NL8&gt;=NO$24,NL8&lt;&gt;"")),"National Team",""))))</f>
        <v>Merit</v>
      </c>
      <c r="I8" s="126" t="str">
        <f t="shared" si="2"/>
        <v>Merit</v>
      </c>
      <c r="J8" s="3" t="str">
        <f>IF(AND(OR(AND(AV8&gt;=AY$25,AV8&lt;&gt;"",AP8=""),AND(BZ8&gt;=CC$25,BZ8&lt;&gt;"",BT8=""),AND(DD8&gt;=DG$25,DD8&lt;&gt;"",CX8=""),AND(ED8&gt;=EG$25,ED8&lt;&gt;""),AND(EZ8&gt;=FC$25,EZ8&lt;&gt;""),AND(FV8&gt;=FY$25,FV8&lt;&gt;""),AND(GR8&gt;=GU$25,GR8&lt;&gt;""),AND(HN8&gt;=HQ$25,HN8&lt;&gt;""),AND(IJ8&gt;=IM$25,IJ8&lt;&gt;""),AND(JF8&gt;=JI$25,JF8&lt;&gt;""),AND(KB8&gt;=KE$25,KB8&lt;&gt;""),AND(KX8&gt;=LA$25,KX8&lt;&gt;""),AND(LT8&gt;=LW$25,LT8&lt;&gt;""),AND(MP8&gt;=MS$25,MP8&lt;&gt;""),AND(NL8&gt;=NO$25,NL8&lt;&gt;"")),OR(G8="Worlds Team",G8="Excellence",G8="Merit")),"P","")</f>
        <v>P</v>
      </c>
      <c r="K8" s="14">
        <f t="shared" si="3"/>
        <v>101.38499999999999</v>
      </c>
      <c r="L8" s="14" t="str">
        <f t="shared" si="4"/>
        <v>2021 2nd Virtual Technical Trial</v>
      </c>
      <c r="M8" s="14">
        <f t="shared" si="5"/>
        <v>47.432500000000005</v>
      </c>
      <c r="N8" s="14" t="str">
        <f t="shared" si="6"/>
        <v>2021 1st Virtual Technical Trial</v>
      </c>
      <c r="O8" s="14">
        <f t="shared" si="7"/>
        <v>53.7425</v>
      </c>
      <c r="P8" s="14" t="str">
        <f t="shared" si="8"/>
        <v>2021 1st Virtual Technical Trial</v>
      </c>
      <c r="Q8" s="14">
        <f t="shared" si="9"/>
        <v>55.389999999999993</v>
      </c>
      <c r="R8" s="14" t="str">
        <f t="shared" si="10"/>
        <v>2021 2nd Virtual Technical Trial</v>
      </c>
      <c r="S8" s="14" t="str">
        <f t="shared" si="11"/>
        <v/>
      </c>
      <c r="T8" s="25" t="str">
        <f t="shared" si="12"/>
        <v/>
      </c>
      <c r="U8" s="14" t="str">
        <f t="shared" si="13"/>
        <v/>
      </c>
      <c r="V8" s="69">
        <v>18.100000000000001</v>
      </c>
      <c r="W8" s="69">
        <v>9.3000000000000007</v>
      </c>
      <c r="X8" s="69">
        <v>4.2</v>
      </c>
      <c r="Y8" s="69">
        <v>15.72</v>
      </c>
      <c r="Z8" s="69">
        <v>0</v>
      </c>
      <c r="AA8" s="69">
        <v>16.399999999999999</v>
      </c>
      <c r="AB8" s="69">
        <v>9</v>
      </c>
      <c r="AC8" s="69">
        <v>13.1</v>
      </c>
      <c r="AD8" s="69">
        <v>14.67</v>
      </c>
      <c r="AE8" s="69">
        <v>0.2</v>
      </c>
      <c r="AF8" s="69"/>
      <c r="AG8" s="69"/>
      <c r="AH8" s="69"/>
      <c r="AI8" s="69"/>
      <c r="AJ8" s="69"/>
      <c r="AK8" s="69">
        <v>15</v>
      </c>
      <c r="AL8" s="69">
        <v>8.9</v>
      </c>
      <c r="AM8" s="69">
        <v>13.8</v>
      </c>
      <c r="AN8" s="69">
        <v>14.805</v>
      </c>
      <c r="AO8" s="69"/>
      <c r="AP8" s="80"/>
      <c r="AQ8" s="11">
        <f t="shared" si="14"/>
        <v>47.32</v>
      </c>
      <c r="AR8" s="11">
        <f t="shared" si="15"/>
        <v>13.1</v>
      </c>
      <c r="AS8" s="11">
        <f t="shared" si="16"/>
        <v>52.97</v>
      </c>
      <c r="AT8" s="11" t="str">
        <f t="shared" si="17"/>
        <v/>
      </c>
      <c r="AU8" s="11" t="str">
        <f t="shared" si="18"/>
        <v/>
      </c>
      <c r="AV8" s="11">
        <f t="shared" si="19"/>
        <v>100.28999999999999</v>
      </c>
      <c r="AW8" s="11">
        <f t="shared" si="20"/>
        <v>13.8</v>
      </c>
      <c r="AX8" s="11">
        <f t="shared" si="21"/>
        <v>52.505000000000003</v>
      </c>
      <c r="AY8" s="11">
        <f t="shared" si="22"/>
        <v>152.79499999999999</v>
      </c>
      <c r="AZ8" s="75">
        <v>17.450000000000003</v>
      </c>
      <c r="BA8" s="75">
        <v>9.1999999999999993</v>
      </c>
      <c r="BB8" s="75">
        <v>5.2</v>
      </c>
      <c r="BC8" s="75">
        <v>15.5825</v>
      </c>
      <c r="BD8" s="75">
        <v>0</v>
      </c>
      <c r="BE8" s="75">
        <v>16.25</v>
      </c>
      <c r="BF8" s="75">
        <v>9.2249999999999996</v>
      </c>
      <c r="BG8" s="75">
        <v>13.45</v>
      </c>
      <c r="BH8" s="75">
        <v>14.9175</v>
      </c>
      <c r="BI8" s="75">
        <v>0.1</v>
      </c>
      <c r="BJ8" s="75"/>
      <c r="BK8" s="75"/>
      <c r="BL8" s="75"/>
      <c r="BM8" s="75"/>
      <c r="BN8" s="75"/>
      <c r="BO8" s="75">
        <v>15.55</v>
      </c>
      <c r="BP8" s="75">
        <v>8.8000000000000007</v>
      </c>
      <c r="BQ8" s="75">
        <v>14.3025</v>
      </c>
      <c r="BR8" s="75">
        <v>14.36</v>
      </c>
      <c r="BS8" s="75">
        <v>0</v>
      </c>
      <c r="BT8" s="81" t="s">
        <v>88</v>
      </c>
      <c r="BU8" s="14">
        <f t="shared" si="23"/>
        <v>47.432500000000005</v>
      </c>
      <c r="BV8" s="14">
        <f t="shared" si="24"/>
        <v>13.45</v>
      </c>
      <c r="BW8" s="14">
        <f t="shared" si="25"/>
        <v>53.7425</v>
      </c>
      <c r="BX8" s="14" t="str">
        <f t="shared" si="26"/>
        <v/>
      </c>
      <c r="BY8" s="14" t="str">
        <f t="shared" si="27"/>
        <v/>
      </c>
      <c r="BZ8" s="14">
        <f t="shared" si="28"/>
        <v>101.17500000000001</v>
      </c>
      <c r="CA8" s="14">
        <f t="shared" si="29"/>
        <v>14.3025</v>
      </c>
      <c r="CB8" s="14">
        <f t="shared" si="30"/>
        <v>53.012500000000003</v>
      </c>
      <c r="CC8" s="14">
        <f t="shared" si="31"/>
        <v>154.1875</v>
      </c>
      <c r="CD8" s="69">
        <v>16.5</v>
      </c>
      <c r="CE8" s="69">
        <v>9.1</v>
      </c>
      <c r="CF8" s="69">
        <v>5.8</v>
      </c>
      <c r="CG8" s="69">
        <v>15.81</v>
      </c>
      <c r="CH8" s="69">
        <v>0</v>
      </c>
      <c r="CI8" s="69">
        <v>1.4</v>
      </c>
      <c r="CJ8" s="69">
        <v>0.9</v>
      </c>
      <c r="CK8" s="69">
        <v>2</v>
      </c>
      <c r="CL8" s="69">
        <v>1.665</v>
      </c>
      <c r="CM8" s="69">
        <v>0</v>
      </c>
      <c r="CN8" s="69">
        <v>15.9</v>
      </c>
      <c r="CO8" s="69">
        <v>9.4</v>
      </c>
      <c r="CP8" s="69">
        <v>13.8</v>
      </c>
      <c r="CQ8" s="69">
        <v>15.074999999999999</v>
      </c>
      <c r="CR8" s="69">
        <v>0</v>
      </c>
      <c r="CS8" s="69">
        <v>16.899999999999999</v>
      </c>
      <c r="CT8" s="69">
        <v>9.4</v>
      </c>
      <c r="CU8" s="69">
        <v>13.8</v>
      </c>
      <c r="CV8" s="69">
        <v>15.29</v>
      </c>
      <c r="CW8" s="69">
        <v>0</v>
      </c>
      <c r="CX8" s="80"/>
      <c r="CY8" s="11">
        <f t="shared" si="32"/>
        <v>47.21</v>
      </c>
      <c r="CZ8" s="11">
        <f t="shared" si="33"/>
        <v>2</v>
      </c>
      <c r="DA8" s="11">
        <f t="shared" si="34"/>
        <v>5.9649999999999999</v>
      </c>
      <c r="DB8" s="11">
        <f t="shared" si="35"/>
        <v>13.8</v>
      </c>
      <c r="DC8" s="11">
        <f t="shared" si="36"/>
        <v>54.174999999999997</v>
      </c>
      <c r="DD8" s="11">
        <f t="shared" si="37"/>
        <v>101.38499999999999</v>
      </c>
      <c r="DE8" s="11">
        <f t="shared" si="38"/>
        <v>13.8</v>
      </c>
      <c r="DF8" s="11">
        <f t="shared" si="39"/>
        <v>55.389999999999993</v>
      </c>
      <c r="DG8" s="11">
        <f t="shared" si="40"/>
        <v>156.77499999999998</v>
      </c>
      <c r="DH8" s="24" t="str">
        <f t="shared" si="41"/>
        <v/>
      </c>
      <c r="DI8" s="24" t="str">
        <f t="shared" si="42"/>
        <v/>
      </c>
      <c r="DJ8" s="24" t="str">
        <f t="shared" si="43"/>
        <v/>
      </c>
      <c r="DK8" s="24" t="str">
        <f t="shared" si="44"/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 t="shared" si="45"/>
        <v/>
      </c>
      <c r="EB8" s="11" t="str">
        <f t="shared" si="46"/>
        <v/>
      </c>
      <c r="EC8" s="11" t="str">
        <f t="shared" si="47"/>
        <v/>
      </c>
      <c r="ED8" s="11" t="str">
        <f t="shared" si="48"/>
        <v/>
      </c>
      <c r="EE8" s="11" t="str">
        <f t="shared" si="49"/>
        <v/>
      </c>
      <c r="EF8" s="11" t="str">
        <f t="shared" si="50"/>
        <v/>
      </c>
      <c r="EG8" s="11" t="str">
        <f t="shared" si="51"/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2"/>
        <v/>
      </c>
      <c r="EX8" s="14" t="str">
        <f t="shared" si="53"/>
        <v/>
      </c>
      <c r="EY8" s="14" t="str">
        <f t="shared" si="54"/>
        <v/>
      </c>
      <c r="EZ8" s="14" t="str">
        <f t="shared" si="55"/>
        <v/>
      </c>
      <c r="FA8" s="14" t="str">
        <f t="shared" si="56"/>
        <v/>
      </c>
      <c r="FB8" s="14" t="str">
        <f t="shared" si="57"/>
        <v/>
      </c>
      <c r="FC8" s="14" t="str">
        <f t="shared" si="58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59"/>
        <v/>
      </c>
      <c r="FT8" s="11" t="str">
        <f t="shared" si="60"/>
        <v/>
      </c>
      <c r="FU8" s="11" t="str">
        <f t="shared" si="61"/>
        <v/>
      </c>
      <c r="FV8" s="11" t="str">
        <f t="shared" si="62"/>
        <v/>
      </c>
      <c r="FW8" s="11" t="str">
        <f t="shared" si="63"/>
        <v/>
      </c>
      <c r="FX8" s="11" t="str">
        <f t="shared" si="64"/>
        <v/>
      </c>
      <c r="FY8" s="11" t="str">
        <f t="shared" si="65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6"/>
        <v/>
      </c>
      <c r="GP8" s="14" t="str">
        <f t="shared" si="67"/>
        <v/>
      </c>
      <c r="GQ8" s="14" t="str">
        <f t="shared" si="68"/>
        <v/>
      </c>
      <c r="GR8" s="14" t="str">
        <f t="shared" si="69"/>
        <v/>
      </c>
      <c r="GS8" s="14" t="str">
        <f t="shared" si="70"/>
        <v/>
      </c>
      <c r="GT8" s="14" t="str">
        <f t="shared" si="71"/>
        <v/>
      </c>
      <c r="GU8" s="14" t="str">
        <f t="shared" si="72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3"/>
        <v/>
      </c>
      <c r="HL8" s="11" t="str">
        <f t="shared" si="74"/>
        <v/>
      </c>
      <c r="HM8" s="11" t="str">
        <f t="shared" si="75"/>
        <v/>
      </c>
      <c r="HN8" s="11" t="str">
        <f t="shared" si="76"/>
        <v/>
      </c>
      <c r="HO8" s="11" t="str">
        <f t="shared" si="77"/>
        <v/>
      </c>
      <c r="HP8" s="11" t="str">
        <f t="shared" si="78"/>
        <v/>
      </c>
      <c r="HQ8" s="11" t="str">
        <f t="shared" si="79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0"/>
        <v/>
      </c>
      <c r="IH8" s="14" t="str">
        <f t="shared" si="81"/>
        <v/>
      </c>
      <c r="II8" s="14" t="str">
        <f t="shared" si="82"/>
        <v/>
      </c>
      <c r="IJ8" s="14" t="str">
        <f t="shared" si="83"/>
        <v/>
      </c>
      <c r="IK8" s="14" t="str">
        <f t="shared" si="84"/>
        <v/>
      </c>
      <c r="IL8" s="14" t="str">
        <f t="shared" si="85"/>
        <v/>
      </c>
      <c r="IM8" s="14" t="str">
        <f t="shared" si="86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87"/>
        <v/>
      </c>
      <c r="JD8" s="11" t="str">
        <f t="shared" si="88"/>
        <v/>
      </c>
      <c r="JE8" s="11" t="str">
        <f t="shared" si="89"/>
        <v/>
      </c>
      <c r="JF8" s="11" t="str">
        <f t="shared" si="90"/>
        <v/>
      </c>
      <c r="JG8" s="11" t="str">
        <f t="shared" si="91"/>
        <v/>
      </c>
      <c r="JH8" s="11" t="str">
        <f t="shared" si="92"/>
        <v/>
      </c>
      <c r="JI8" s="11" t="str">
        <f t="shared" si="93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4"/>
        <v/>
      </c>
      <c r="JZ8" s="14" t="str">
        <f t="shared" si="95"/>
        <v/>
      </c>
      <c r="KA8" s="14" t="str">
        <f t="shared" si="96"/>
        <v/>
      </c>
      <c r="KB8" s="14" t="str">
        <f t="shared" si="97"/>
        <v/>
      </c>
      <c r="KC8" s="14" t="str">
        <f t="shared" si="98"/>
        <v/>
      </c>
      <c r="KD8" s="14" t="str">
        <f t="shared" si="99"/>
        <v/>
      </c>
      <c r="KE8" s="14" t="str">
        <f t="shared" si="100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1"/>
        <v/>
      </c>
      <c r="KV8" s="11" t="str">
        <f t="shared" si="102"/>
        <v/>
      </c>
      <c r="KW8" s="11" t="str">
        <f t="shared" si="103"/>
        <v/>
      </c>
      <c r="KX8" s="11" t="str">
        <f t="shared" si="104"/>
        <v/>
      </c>
      <c r="KY8" s="11" t="str">
        <f t="shared" si="105"/>
        <v/>
      </c>
      <c r="KZ8" s="11" t="str">
        <f t="shared" si="106"/>
        <v/>
      </c>
      <c r="LA8" s="11" t="str">
        <f t="shared" si="107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08"/>
        <v/>
      </c>
      <c r="LR8" s="14" t="str">
        <f t="shared" si="109"/>
        <v/>
      </c>
      <c r="LS8" s="14" t="str">
        <f t="shared" si="110"/>
        <v/>
      </c>
      <c r="LT8" s="14" t="str">
        <f t="shared" si="111"/>
        <v/>
      </c>
      <c r="LU8" s="14" t="str">
        <f t="shared" si="112"/>
        <v/>
      </c>
      <c r="LV8" s="14" t="str">
        <f t="shared" si="113"/>
        <v/>
      </c>
      <c r="LW8" s="14" t="str">
        <f t="shared" si="114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5"/>
        <v/>
      </c>
      <c r="MN8" s="11" t="str">
        <f t="shared" si="116"/>
        <v/>
      </c>
      <c r="MO8" s="11" t="str">
        <f t="shared" si="117"/>
        <v/>
      </c>
      <c r="MP8" s="11" t="str">
        <f t="shared" si="118"/>
        <v/>
      </c>
      <c r="MQ8" s="11" t="str">
        <f t="shared" si="119"/>
        <v/>
      </c>
      <c r="MR8" s="11" t="str">
        <f t="shared" si="120"/>
        <v/>
      </c>
      <c r="MS8" s="11" t="str">
        <f t="shared" si="121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2"/>
        <v/>
      </c>
      <c r="NJ8" s="14" t="str">
        <f t="shared" si="123"/>
        <v/>
      </c>
      <c r="NK8" s="14" t="str">
        <f t="shared" si="124"/>
        <v/>
      </c>
      <c r="NL8" s="14" t="str">
        <f t="shared" si="125"/>
        <v/>
      </c>
      <c r="NM8" s="14" t="str">
        <f t="shared" si="126"/>
        <v/>
      </c>
      <c r="NN8" s="14" t="str">
        <f t="shared" si="127"/>
        <v/>
      </c>
      <c r="NO8" s="14" t="str">
        <f t="shared" si="128"/>
        <v/>
      </c>
      <c r="NP8" s="69">
        <f t="shared" si="129"/>
        <v>16.975000000000001</v>
      </c>
      <c r="NQ8" s="69">
        <f t="shared" si="130"/>
        <v>9.1499999999999986</v>
      </c>
      <c r="NR8" s="69">
        <f t="shared" si="131"/>
        <v>5.5</v>
      </c>
      <c r="NS8" s="69">
        <f t="shared" si="132"/>
        <v>15.696249999999999</v>
      </c>
      <c r="NT8" s="69">
        <f t="shared" si="133"/>
        <v>0</v>
      </c>
      <c r="NU8" s="69">
        <f t="shared" si="134"/>
        <v>8.8249999999999993</v>
      </c>
      <c r="NV8" s="69">
        <f t="shared" si="135"/>
        <v>5.0625</v>
      </c>
      <c r="NW8" s="69">
        <f t="shared" si="136"/>
        <v>7.7249999999999996</v>
      </c>
      <c r="NX8" s="69">
        <f t="shared" si="137"/>
        <v>8.2912499999999998</v>
      </c>
      <c r="NY8" s="69">
        <f t="shared" si="138"/>
        <v>0.05</v>
      </c>
      <c r="NZ8" s="69">
        <f t="shared" si="139"/>
        <v>7.95</v>
      </c>
      <c r="OA8" s="69">
        <f t="shared" si="140"/>
        <v>4.7</v>
      </c>
      <c r="OB8" s="69">
        <f t="shared" si="141"/>
        <v>6.9</v>
      </c>
      <c r="OC8" s="69">
        <f t="shared" si="142"/>
        <v>7.5374999999999996</v>
      </c>
      <c r="OD8" s="69">
        <f t="shared" si="143"/>
        <v>0</v>
      </c>
      <c r="OE8" s="69">
        <f t="shared" si="144"/>
        <v>16.225000000000001</v>
      </c>
      <c r="OF8" s="69">
        <f t="shared" si="145"/>
        <v>9.1000000000000014</v>
      </c>
      <c r="OG8" s="69">
        <f t="shared" si="146"/>
        <v>14.05125</v>
      </c>
      <c r="OH8" s="69">
        <f t="shared" si="147"/>
        <v>14.824999999999999</v>
      </c>
      <c r="OI8" s="69">
        <f t="shared" si="148"/>
        <v>0</v>
      </c>
      <c r="OJ8" s="80" t="s">
        <v>88</v>
      </c>
      <c r="OK8" s="11">
        <f t="shared" si="149"/>
        <v>47.321249999999999</v>
      </c>
      <c r="OL8" s="11">
        <f t="shared" si="150"/>
        <v>7.7249999999999996</v>
      </c>
      <c r="OM8" s="11">
        <f t="shared" si="151"/>
        <v>29.853749999999994</v>
      </c>
      <c r="ON8" s="11">
        <f t="shared" si="152"/>
        <v>6.9</v>
      </c>
      <c r="OO8" s="11">
        <f t="shared" si="153"/>
        <v>27.087499999999999</v>
      </c>
      <c r="OP8" s="11">
        <f t="shared" si="154"/>
        <v>77.174999999999997</v>
      </c>
      <c r="OQ8" s="11">
        <f t="shared" si="155"/>
        <v>14.05125</v>
      </c>
      <c r="OR8" s="11">
        <f t="shared" si="156"/>
        <v>54.201250000000002</v>
      </c>
      <c r="OS8" s="11">
        <f t="shared" si="157"/>
        <v>131.37625</v>
      </c>
    </row>
    <row r="9" spans="1:409" x14ac:dyDescent="0.2">
      <c r="A9" s="5" cm="1">
        <f t="array" ref="A9">IF(AND(G9&lt;&gt;"",H9&lt;&gt;""),SUMPRODUCT((G$4:G$18&lt;&gt;"")*(H$4:H$18&lt;&gt;"")*(E$4:E$18&gt;E9))+1,IF(H9&lt;&gt;"",SUMPRODUCT((I$4:I$18="No DD")*(E$4:E$18&gt;E9))+1+SUMPRODUCT((G$4:G$18&lt;&gt;"")*(H$4:H$18&lt;&gt;"")),""))</f>
        <v>6</v>
      </c>
      <c r="B9" s="127" t="s">
        <v>117</v>
      </c>
      <c r="C9" s="5" t="s">
        <v>3</v>
      </c>
      <c r="D9" s="5">
        <v>1993</v>
      </c>
      <c r="E9" s="15">
        <f t="shared" si="0"/>
        <v>251.28000000000003</v>
      </c>
      <c r="F9" s="3" t="str">
        <f t="shared" si="1"/>
        <v>P</v>
      </c>
      <c r="G9" s="125" t="str">
        <f>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Merit",IF(OR(AND(AR9&gt;=AY$22,AR9&lt;&gt;"",AP9=""),AND(AT9&gt;=AY$22,AT9&lt;&gt;"",AP9=""),AND(AW9&gt;=AY$22,AW9&lt;&gt;"",AP9=""),AND(BV9&gt;=CC$22,BV9&lt;&gt;"",BT9=""),AND(BX9&gt;=CC$22,BX9&lt;&gt;"",BT9=""),AND(CA9&gt;=CC$22,CA9&lt;&gt;"",BT9=""),AND(CZ9&gt;=DG$22,CZ9&lt;&gt;"",CX9=""),AND(DB9&gt;=DG$22,DB9&lt;&gt;"",CX9=""),AND(DE9&gt;=DG$22,DE9&lt;&gt;"",CX9=""),AND(EA9&gt;=EG$22,EA9&lt;&gt;""),AND(EE9&gt;=EG$22,EE9&lt;&gt;""),AND(EW9&gt;=FC$22,EW9&lt;&gt;""),AND(FA9&gt;=FC$22,FA9&lt;&gt;""),AND(FS9&gt;=FY$22,FS9&lt;&gt;""),AND(FW9&gt;=FY$22,FW9&lt;&gt;""),AND(GO9&gt;=GU$22,GO9&lt;&gt;""),AND(GS9&gt;=GU$22,GS9&lt;&gt;""),AND(HK9&gt;=HQ$22,HK9&lt;&gt;""),AND(HO9&gt;=HQ$22,HO9&lt;&gt;""),AND(IG9&gt;=IM$22,IG9&lt;&gt;""),AND(IK9&gt;=IM$22,IK9&lt;&gt;""),AND(JC9&gt;=JI$22,JC9&lt;&gt;""),AND(JG9&gt;=JI$22,JG9&lt;&gt;""),AND(JY9&gt;=KE$22,JY9&lt;&gt;""),AND(KC9&gt;=KE$22,KC9&lt;&gt;""),AND(KU9&gt;=LA$22,KU9&lt;&gt;""),AND(KY9&gt;=LA$22,KY9&lt;&gt;""),AND(LQ9&gt;=LW$22,LQ9&lt;&gt;""),AND(LU9&gt;=LW$22,LU9&lt;&gt;""),AND(MM9&gt;=MS$22,MM9&lt;&gt;""),AND(MQ9&gt;=MS$22,MQ9&lt;&gt;""),AND(NI9&gt;=NO$22,NI9&lt;&gt;""),AND(NM9&gt;=NO$22,NM9&lt;&gt;"")),"Excellence",IF(OR(AND(AR9&gt;=AY$21,AR9&lt;&gt;"",AP9=""),AND(AT9&gt;=AY$21,AT9&lt;&gt;"",AP9=""),AND(AW9&gt;=AY$21,AW9&lt;&gt;"",AP9=""),AND(BV9&gt;=CC$21,BV9&lt;&gt;"",BT9=""),AND(BX9&gt;=CC$21,BX9&lt;&gt;"",BT9=""),AND(CA9&gt;=CC$21,CA9&lt;&gt;"",BT9=""),AND(CZ9&gt;=DG$21,CZ9&lt;&gt;"",CX9=""),AND(DB9&gt;=DG$21,DB9&lt;&gt;"",CX9=""),AND(DE9&gt;=DG$21,DE9&lt;&gt;"",CX9=""),AND(EA9&gt;=EG$21,EA9&lt;&gt;""),AND(EE9&gt;=EG$21,EE9&lt;&gt;""),AND(EW9&gt;=FC$21,EW9&lt;&gt;""),AND(FA9&gt;=FC$21,FA9&lt;&gt;""),AND(FS9&gt;=FY$21,FS9&lt;&gt;""),AND(FW9&gt;=FY$21,FW9&lt;&gt;""),AND(GO9&gt;=GU$21,GO9&lt;&gt;""),AND(GS9&gt;=GU$21,GS9&lt;&gt;""),AND(HK9&gt;=HQ$21,HK9&lt;&gt;""),AND(HO9&gt;=HQ$21,HO9&lt;&gt;""),AND(IG9&gt;=IM$21,IG9&lt;&gt;""),AND(IK9&gt;=IM$21,IK9&lt;&gt;""),AND(JC9&gt;=JI$21,JC9&lt;&gt;""),AND(JG9&gt;=JI$21,JG9&lt;&gt;""),AND(JY9&gt;=KE$21,JY9&lt;&gt;""),AND(KC9&gt;=KE$21,KC9&lt;&gt;""),AND(KU9&gt;=LA$21,KU9&lt;&gt;""),AND(KY9&gt;=LA$21,KY9&lt;&gt;""),AND(LQ9&gt;=LW$21,LQ9&lt;&gt;""),AND(LU9&gt;=LW$21,LU9&lt;&gt;""),AND(MM9&gt;=MS$21,MM9&lt;&gt;""),AND(MQ9&gt;=MS$21,MQ9&lt;&gt;""),AND(NI9&gt;=NO$21,NI9&lt;&gt;""),AND(NM9&gt;=NO$21,NM9&lt;&gt;"")),"Worlds Team",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National Team",""))))</f>
        <v>Merit</v>
      </c>
      <c r="H9" s="125" t="str">
        <f>IF(OR(AND(AS9&gt;=AY$27,AS9&lt;&gt;"",AP9=""),AND(AU9&gt;=AY$27,AU9&lt;&gt;"",AP9=""),AND(AX9&gt;=AY$27,AX9&lt;&gt;"",AP9=""),AND(BW9&gt;=CC$27,BW9&lt;&gt;"",BT9=""),AND(BY9&gt;=CC$27,BY9&lt;&gt;"",BT9=""),AND(CB9&gt;=CC$27,CB9&lt;&gt;"",BT9=""),AND(DA9&gt;=DG$27,DA9&lt;&gt;"",CX9=""),AND(DC9&gt;=DG$27,DC9&lt;&gt;"",CX9=""),AND(DF9&gt;=DG$27,DF9&lt;&gt;"",CX9=""),AND(EC9&gt;=EG$27,EC9&lt;&gt;""),AND(EF9&gt;=EG$27,EF9&lt;&gt;""),AND(EY9&gt;=FC$27,EY9&lt;&gt;""),AND(FB9&gt;=FC$27,FB9&lt;&gt;""),AND(FU9&gt;=FY$27,FU9&lt;&gt;""),AND(FX9&gt;=FY$27,FX9&lt;&gt;""),AND(GQ9&gt;=GU$27,GQ9&lt;&gt;""),AND(GT9&gt;=GU$27,GT9&lt;&gt;""),AND(HM9&gt;=HQ$27,HM9&lt;&gt;""),AND(HP9&gt;=HQ$27,HP9&lt;&gt;""),AND(II9&gt;=IM$27,II9&lt;&gt;""),AND(IL9&gt;=IM$27,IL9&lt;&gt;""),AND(JE9&gt;=JI$27,JE9&lt;&gt;""),AND(JH9&gt;=JI$27,JH9&lt;&gt;""),AND(KA9&gt;=KE$27,KA9&lt;&gt;""),AND(KD9&gt;=KE$27,KD9&lt;&gt;""),AND(KW9&gt;=LA$27,KW9&lt;&gt;""),AND(KZ9&gt;=LA$27,KZ9&lt;&gt;""),AND(LS9&gt;=LW$27,LS9&lt;&gt;""),AND(LV9&gt;=LW$27,LV9&lt;&gt;""),AND(MO9&gt;=MS$27,MO9&lt;&gt;""),AND(MR9&gt;=MS$27,MR9&lt;&gt;""),AND(NK9&gt;=NO$27,NK9&lt;&gt;""),AND(NN9&gt;=NO$27,NN9&lt;&gt;"")),"Merit",IF(OR(AND(AS9&gt;=AY$26,AS9&lt;&gt;"",AP9=""),AND(AU9&gt;=AY$26,AU9&lt;&gt;"",AP9=""),AND(AX9&gt;=AY$26,AX9&lt;&gt;"",AP9=""),AND(BW9&gt;=CC$26,BW9&lt;&gt;"",BT9=""),AND(BY9&gt;=CC$26,BY9&lt;&gt;"",BT9=""),AND(CB9&gt;=CC$26,CB9&lt;&gt;"",BT9=""),AND(DA9&gt;=DG$26,DA9&lt;&gt;"",CX9=""),AND(DC9&gt;=DG$26,DC9&lt;&gt;"",CX9=""),AND(DF9&gt;=DG$26,DF9&lt;&gt;"",CX9=""),AND(EC9&gt;=EG$26,EC9&lt;&gt;""),AND(EF9&gt;=EG$26,EF9&lt;&gt;""),AND(EY9&gt;=FC$26,EY9&lt;&gt;""),AND(FB9&gt;=FC$26,FB9&lt;&gt;""),AND(FU9&gt;=FY$26,FU9&lt;&gt;""),AND(FX9&gt;=FY$26,FX9&lt;&gt;""),AND(GQ9&gt;=GU$26,GQ9&lt;&gt;""),AND(GT9&gt;=GU$26,GT9&lt;&gt;""),AND(HM9&gt;=HQ$26,HM9&lt;&gt;""),AND(HP9&gt;=HQ$26,HP9&lt;&gt;""),AND(II9&gt;=IM$26,II9&lt;&gt;""),AND(IL9&gt;=IM$26,IL9&lt;&gt;""),AND(JE9&gt;=JI$26,JE9&lt;&gt;""),AND(JH9&gt;=JI$26,JH9&lt;&gt;""),AND(KA9&gt;=KE$26,KA9&lt;&gt;""),AND(KD9&gt;=KE$26,KD9&lt;&gt;""),AND(KW9&gt;=LA$26,KW9&lt;&gt;""),AND(KZ9&gt;=LA$26,KZ9&lt;&gt;""),AND(LS9&gt;=LW$26,LS9&lt;&gt;""),AND(LV9&gt;=LW$26,LV9&lt;&gt;""),AND(MO9&gt;=MS$26,MO9&lt;&gt;""),AND(MR9&gt;=MS$26,MR9&lt;&gt;""),AND(NK9&gt;=NO$26,NK9&lt;&gt;""),AND(NN9&gt;=NO$26,NN9&lt;&gt;"")),"Excellence",IF(OR(AND(AV9&gt;=AY$25,AV9&lt;&gt;"",AP9=""),AND(BZ9&gt;=CC$25,BZ9&lt;&gt;"",BT9=""),AND(DD9&gt;=DG$25,DD9&lt;&gt;"",CX9=""),AND(ED9&gt;=EG$25,ED9&lt;&gt;""),AND(EZ9&gt;=FC$25,EZ9&lt;&gt;""),AND(FV9&gt;=FY$25,FV9&lt;&gt;""),AND(GR9&gt;=GU$25,GR9&lt;&gt;""),AND(HN9&gt;=HQ$25,HN9&lt;&gt;""),AND(IJ9&gt;=IM$25,IJ9&lt;&gt;""),AND(JF9&gt;=JI$25,JF9&lt;&gt;""),AND(KB9&gt;=KE$25,KB9&lt;&gt;""),AND(KX9&gt;=LA$25,KX9&lt;&gt;""),AND(LT9&gt;=LW$25,LT9&lt;&gt;""),AND(MP9&gt;=MS$25,MP9&lt;&gt;""),AND(NL9&gt;=NO$25,NL9&lt;&gt;"")),"Worlds Team",IF(OR(AND(AV9&gt;=AY$24,AV9&lt;&gt;"",AP9=""),AND(BZ9&gt;=CC$24,BZ9&lt;&gt;"",BT9=""),AND(DD9&gt;=DG$24,DD9&lt;&gt;"",CX9=""),AND(ED9&gt;=EG$24,ED9&lt;&gt;""),AND(EZ9&gt;=FC$24,EZ9&lt;&gt;""),AND(FV9&gt;=FY$24,FV9&lt;&gt;""),AND(GR9&gt;=GU$24,GR9&lt;&gt;""),AND(HN9&gt;=HQ$24,HN9&lt;&gt;""),AND(IJ9&gt;=IM$24,IJ9&lt;&gt;""),AND(JF9&gt;=JI$24,JF9&lt;&gt;""),AND(KB9&gt;=KE$24,KB9&lt;&gt;""),AND(KX9&gt;=LA$24,KX9&lt;&gt;""),AND(LT9&gt;=LW$24,LT9&lt;&gt;""),AND(MP9&gt;=MS$24,MP9&lt;&gt;""),AND(NL9&gt;=NO$24,NL9&lt;&gt;"")),"National Team",""))))</f>
        <v>Worlds Team</v>
      </c>
      <c r="I9" s="126" t="str">
        <f t="shared" si="2"/>
        <v>Worlds Team</v>
      </c>
      <c r="J9" s="3" t="str">
        <f>IF(AND(OR(AND(AV9&gt;=AY$25,AV9&lt;&gt;"",AP9=""),AND(BZ9&gt;=CC$25,BZ9&lt;&gt;"",BT9=""),AND(DD9&gt;=DG$25,DD9&lt;&gt;"",CX9=""),AND(ED9&gt;=EG$25,ED9&lt;&gt;""),AND(EZ9&gt;=FC$25,EZ9&lt;&gt;""),AND(FV9&gt;=FY$25,FV9&lt;&gt;""),AND(GR9&gt;=GU$25,GR9&lt;&gt;""),AND(HN9&gt;=HQ$25,HN9&lt;&gt;""),AND(IJ9&gt;=IM$25,IJ9&lt;&gt;""),AND(JF9&gt;=JI$25,JF9&lt;&gt;""),AND(KB9&gt;=KE$25,KB9&lt;&gt;""),AND(KX9&gt;=LA$25,KX9&lt;&gt;""),AND(LT9&gt;=LW$25,LT9&lt;&gt;""),AND(MP9&gt;=MS$25,MP9&lt;&gt;""),AND(NL9&gt;=NO$25,NL9&lt;&gt;"")),OR(G9="Worlds Team",G9="Excellence",G9="Merit")),"P","")</f>
        <v>P</v>
      </c>
      <c r="K9" s="14">
        <f t="shared" si="3"/>
        <v>99.93</v>
      </c>
      <c r="L9" s="14" t="str">
        <f t="shared" si="4"/>
        <v>2019 Nationals</v>
      </c>
      <c r="M9" s="14">
        <f t="shared" si="5"/>
        <v>47.194999999999993</v>
      </c>
      <c r="N9" s="14" t="str">
        <f t="shared" si="6"/>
        <v>2021 1st Virtual Technical Trial</v>
      </c>
      <c r="O9" s="14">
        <f t="shared" si="7"/>
        <v>52.74</v>
      </c>
      <c r="P9" s="14" t="str">
        <f t="shared" si="8"/>
        <v>2021 2nd Virtual Technical Trial</v>
      </c>
      <c r="Q9" s="14">
        <f t="shared" si="9"/>
        <v>51.415000000000006</v>
      </c>
      <c r="R9" s="14" t="str">
        <f t="shared" si="10"/>
        <v>2019 Nationals</v>
      </c>
      <c r="S9" s="14" t="str">
        <f t="shared" si="11"/>
        <v/>
      </c>
      <c r="T9" s="25" t="str">
        <f t="shared" si="12"/>
        <v/>
      </c>
      <c r="U9" s="14" t="str">
        <f t="shared" si="13"/>
        <v/>
      </c>
      <c r="V9" s="69">
        <v>18.3</v>
      </c>
      <c r="W9" s="69">
        <v>9.4</v>
      </c>
      <c r="X9" s="69">
        <v>5.0999999999999996</v>
      </c>
      <c r="Y9" s="69">
        <v>15.494999999999999</v>
      </c>
      <c r="Z9" s="69">
        <v>0</v>
      </c>
      <c r="AA9" s="69">
        <v>14.9</v>
      </c>
      <c r="AB9" s="69">
        <v>9.5</v>
      </c>
      <c r="AC9" s="69">
        <v>13.1</v>
      </c>
      <c r="AD9" s="69">
        <v>14.135</v>
      </c>
      <c r="AE9" s="69">
        <v>0</v>
      </c>
      <c r="AF9" s="69"/>
      <c r="AG9" s="69"/>
      <c r="AH9" s="69"/>
      <c r="AI9" s="69"/>
      <c r="AJ9" s="69"/>
      <c r="AK9" s="69">
        <v>14.58</v>
      </c>
      <c r="AL9" s="69">
        <v>9.1</v>
      </c>
      <c r="AM9" s="69">
        <v>13.3</v>
      </c>
      <c r="AN9" s="69">
        <v>14.435</v>
      </c>
      <c r="AO9" s="69"/>
      <c r="AP9" s="80"/>
      <c r="AQ9" s="11">
        <f t="shared" si="14"/>
        <v>48.295000000000002</v>
      </c>
      <c r="AR9" s="11">
        <f t="shared" si="15"/>
        <v>13.1</v>
      </c>
      <c r="AS9" s="11">
        <f t="shared" si="16"/>
        <v>51.634999999999998</v>
      </c>
      <c r="AT9" s="11" t="str">
        <f t="shared" si="17"/>
        <v/>
      </c>
      <c r="AU9" s="11" t="str">
        <f t="shared" si="18"/>
        <v/>
      </c>
      <c r="AV9" s="11">
        <f t="shared" si="19"/>
        <v>99.93</v>
      </c>
      <c r="AW9" s="11">
        <f t="shared" si="20"/>
        <v>13.3</v>
      </c>
      <c r="AX9" s="11">
        <f t="shared" si="21"/>
        <v>51.415000000000006</v>
      </c>
      <c r="AY9" s="11">
        <f t="shared" si="22"/>
        <v>151.34500000000003</v>
      </c>
      <c r="AZ9" s="75">
        <v>17.899999999999999</v>
      </c>
      <c r="BA9" s="75">
        <v>9.65</v>
      </c>
      <c r="BB9" s="75">
        <v>3.9</v>
      </c>
      <c r="BC9" s="75">
        <v>15.744999999999999</v>
      </c>
      <c r="BD9" s="75">
        <v>0</v>
      </c>
      <c r="BE9" s="75">
        <v>15.6</v>
      </c>
      <c r="BF9" s="75">
        <v>9.6999999999999993</v>
      </c>
      <c r="BG9" s="75">
        <v>11.5</v>
      </c>
      <c r="BH9" s="75">
        <v>14.64</v>
      </c>
      <c r="BI9" s="75">
        <v>0</v>
      </c>
      <c r="BJ9" s="75">
        <v>15.9</v>
      </c>
      <c r="BK9" s="75">
        <v>9.15</v>
      </c>
      <c r="BL9" s="75">
        <v>11.5</v>
      </c>
      <c r="BM9" s="75">
        <v>14.59</v>
      </c>
      <c r="BN9" s="75">
        <v>0</v>
      </c>
      <c r="BO9" s="75">
        <v>15.5</v>
      </c>
      <c r="BP9" s="75">
        <v>9.15</v>
      </c>
      <c r="BQ9" s="75">
        <v>11.5</v>
      </c>
      <c r="BR9" s="75">
        <v>14.555</v>
      </c>
      <c r="BS9" s="75">
        <v>0</v>
      </c>
      <c r="BT9" s="81"/>
      <c r="BU9" s="14">
        <f t="shared" si="23"/>
        <v>47.194999999999993</v>
      </c>
      <c r="BV9" s="14">
        <f t="shared" si="24"/>
        <v>11.5</v>
      </c>
      <c r="BW9" s="14">
        <f t="shared" si="25"/>
        <v>51.44</v>
      </c>
      <c r="BX9" s="14">
        <f t="shared" si="26"/>
        <v>11.5</v>
      </c>
      <c r="BY9" s="14">
        <f t="shared" si="27"/>
        <v>51.14</v>
      </c>
      <c r="BZ9" s="14">
        <f t="shared" si="28"/>
        <v>98.634999999999991</v>
      </c>
      <c r="CA9" s="14">
        <f t="shared" si="29"/>
        <v>11.5</v>
      </c>
      <c r="CB9" s="14">
        <f t="shared" si="30"/>
        <v>50.704999999999998</v>
      </c>
      <c r="CC9" s="14">
        <f t="shared" si="31"/>
        <v>149.33999999999997</v>
      </c>
      <c r="CD9" s="69">
        <v>18.399999999999999</v>
      </c>
      <c r="CE9" s="69">
        <v>9.3000000000000007</v>
      </c>
      <c r="CF9" s="69">
        <v>3.2</v>
      </c>
      <c r="CG9" s="69">
        <v>16.21</v>
      </c>
      <c r="CH9" s="69">
        <v>0</v>
      </c>
      <c r="CI9" s="69">
        <v>15.3</v>
      </c>
      <c r="CJ9" s="69">
        <v>9.1999999999999993</v>
      </c>
      <c r="CK9" s="69">
        <v>12.4</v>
      </c>
      <c r="CL9" s="69">
        <v>14.79</v>
      </c>
      <c r="CM9" s="69">
        <v>0</v>
      </c>
      <c r="CN9" s="69">
        <v>16.100000000000001</v>
      </c>
      <c r="CO9" s="69">
        <v>9.3000000000000007</v>
      </c>
      <c r="CP9" s="69">
        <v>12.4</v>
      </c>
      <c r="CQ9" s="69">
        <v>14.94</v>
      </c>
      <c r="CR9" s="69">
        <v>0</v>
      </c>
      <c r="CS9" s="69">
        <v>13.9</v>
      </c>
      <c r="CT9" s="69">
        <v>9.4</v>
      </c>
      <c r="CU9" s="69">
        <v>12.4</v>
      </c>
      <c r="CV9" s="69">
        <v>14.895</v>
      </c>
      <c r="CW9" s="69">
        <v>0</v>
      </c>
      <c r="CX9" s="80"/>
      <c r="CY9" s="11">
        <f t="shared" si="32"/>
        <v>47.11</v>
      </c>
      <c r="CZ9" s="11">
        <f t="shared" si="33"/>
        <v>12.4</v>
      </c>
      <c r="DA9" s="11">
        <f t="shared" si="34"/>
        <v>51.69</v>
      </c>
      <c r="DB9" s="11">
        <f t="shared" si="35"/>
        <v>12.4</v>
      </c>
      <c r="DC9" s="11">
        <f t="shared" si="36"/>
        <v>52.74</v>
      </c>
      <c r="DD9" s="11">
        <f t="shared" si="37"/>
        <v>99.85</v>
      </c>
      <c r="DE9" s="11">
        <f t="shared" si="38"/>
        <v>12.4</v>
      </c>
      <c r="DF9" s="11">
        <f t="shared" si="39"/>
        <v>50.594999999999999</v>
      </c>
      <c r="DG9" s="11">
        <f t="shared" si="40"/>
        <v>150.44499999999999</v>
      </c>
      <c r="DH9" s="24" t="str">
        <f t="shared" si="41"/>
        <v/>
      </c>
      <c r="DI9" s="24" t="str">
        <f t="shared" si="42"/>
        <v/>
      </c>
      <c r="DJ9" s="24" t="str">
        <f t="shared" si="43"/>
        <v/>
      </c>
      <c r="DK9" s="24" t="str">
        <f t="shared" si="44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5"/>
        <v/>
      </c>
      <c r="EB9" s="11" t="str">
        <f t="shared" si="46"/>
        <v/>
      </c>
      <c r="EC9" s="11" t="str">
        <f t="shared" si="47"/>
        <v/>
      </c>
      <c r="ED9" s="11" t="str">
        <f t="shared" si="48"/>
        <v/>
      </c>
      <c r="EE9" s="11" t="str">
        <f t="shared" si="49"/>
        <v/>
      </c>
      <c r="EF9" s="11" t="str">
        <f t="shared" si="50"/>
        <v/>
      </c>
      <c r="EG9" s="11" t="str">
        <f t="shared" si="51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2"/>
        <v/>
      </c>
      <c r="EX9" s="14" t="str">
        <f t="shared" si="53"/>
        <v/>
      </c>
      <c r="EY9" s="14" t="str">
        <f t="shared" si="54"/>
        <v/>
      </c>
      <c r="EZ9" s="14" t="str">
        <f t="shared" si="55"/>
        <v/>
      </c>
      <c r="FA9" s="14" t="str">
        <f t="shared" si="56"/>
        <v/>
      </c>
      <c r="FB9" s="14" t="str">
        <f t="shared" si="57"/>
        <v/>
      </c>
      <c r="FC9" s="14" t="str">
        <f t="shared" si="58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59"/>
        <v/>
      </c>
      <c r="FT9" s="11" t="str">
        <f t="shared" si="60"/>
        <v/>
      </c>
      <c r="FU9" s="11" t="str">
        <f t="shared" si="61"/>
        <v/>
      </c>
      <c r="FV9" s="11" t="str">
        <f t="shared" si="62"/>
        <v/>
      </c>
      <c r="FW9" s="11" t="str">
        <f t="shared" si="63"/>
        <v/>
      </c>
      <c r="FX9" s="11" t="str">
        <f t="shared" si="64"/>
        <v/>
      </c>
      <c r="FY9" s="11" t="str">
        <f t="shared" si="65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6"/>
        <v/>
      </c>
      <c r="GP9" s="14" t="str">
        <f t="shared" si="67"/>
        <v/>
      </c>
      <c r="GQ9" s="14" t="str">
        <f t="shared" si="68"/>
        <v/>
      </c>
      <c r="GR9" s="14" t="str">
        <f t="shared" si="69"/>
        <v/>
      </c>
      <c r="GS9" s="14" t="str">
        <f t="shared" si="70"/>
        <v/>
      </c>
      <c r="GT9" s="14" t="str">
        <f t="shared" si="71"/>
        <v/>
      </c>
      <c r="GU9" s="14" t="str">
        <f t="shared" si="72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3"/>
        <v/>
      </c>
      <c r="HL9" s="11" t="str">
        <f t="shared" si="74"/>
        <v/>
      </c>
      <c r="HM9" s="11" t="str">
        <f t="shared" si="75"/>
        <v/>
      </c>
      <c r="HN9" s="11" t="str">
        <f t="shared" si="76"/>
        <v/>
      </c>
      <c r="HO9" s="11" t="str">
        <f t="shared" si="77"/>
        <v/>
      </c>
      <c r="HP9" s="11" t="str">
        <f t="shared" si="78"/>
        <v/>
      </c>
      <c r="HQ9" s="11" t="str">
        <f t="shared" si="79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0"/>
        <v/>
      </c>
      <c r="IH9" s="14" t="str">
        <f t="shared" si="81"/>
        <v/>
      </c>
      <c r="II9" s="14" t="str">
        <f t="shared" si="82"/>
        <v/>
      </c>
      <c r="IJ9" s="14" t="str">
        <f t="shared" si="83"/>
        <v/>
      </c>
      <c r="IK9" s="14" t="str">
        <f t="shared" si="84"/>
        <v/>
      </c>
      <c r="IL9" s="14" t="str">
        <f t="shared" si="85"/>
        <v/>
      </c>
      <c r="IM9" s="14" t="str">
        <f t="shared" si="86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87"/>
        <v/>
      </c>
      <c r="JD9" s="11" t="str">
        <f t="shared" si="88"/>
        <v/>
      </c>
      <c r="JE9" s="11" t="str">
        <f t="shared" si="89"/>
        <v/>
      </c>
      <c r="JF9" s="11" t="str">
        <f t="shared" si="90"/>
        <v/>
      </c>
      <c r="JG9" s="11" t="str">
        <f t="shared" si="91"/>
        <v/>
      </c>
      <c r="JH9" s="11" t="str">
        <f t="shared" si="92"/>
        <v/>
      </c>
      <c r="JI9" s="11" t="str">
        <f t="shared" si="93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4"/>
        <v/>
      </c>
      <c r="JZ9" s="14" t="str">
        <f t="shared" si="95"/>
        <v/>
      </c>
      <c r="KA9" s="14" t="str">
        <f t="shared" si="96"/>
        <v/>
      </c>
      <c r="KB9" s="14" t="str">
        <f t="shared" si="97"/>
        <v/>
      </c>
      <c r="KC9" s="14" t="str">
        <f t="shared" si="98"/>
        <v/>
      </c>
      <c r="KD9" s="14" t="str">
        <f t="shared" si="99"/>
        <v/>
      </c>
      <c r="KE9" s="14" t="str">
        <f t="shared" si="100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1"/>
        <v/>
      </c>
      <c r="KV9" s="11" t="str">
        <f t="shared" si="102"/>
        <v/>
      </c>
      <c r="KW9" s="11" t="str">
        <f t="shared" si="103"/>
        <v/>
      </c>
      <c r="KX9" s="11" t="str">
        <f t="shared" si="104"/>
        <v/>
      </c>
      <c r="KY9" s="11" t="str">
        <f t="shared" si="105"/>
        <v/>
      </c>
      <c r="KZ9" s="11" t="str">
        <f t="shared" si="106"/>
        <v/>
      </c>
      <c r="LA9" s="11" t="str">
        <f t="shared" si="107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08"/>
        <v/>
      </c>
      <c r="LR9" s="14" t="str">
        <f t="shared" si="109"/>
        <v/>
      </c>
      <c r="LS9" s="14" t="str">
        <f t="shared" si="110"/>
        <v/>
      </c>
      <c r="LT9" s="14" t="str">
        <f t="shared" si="111"/>
        <v/>
      </c>
      <c r="LU9" s="14" t="str">
        <f t="shared" si="112"/>
        <v/>
      </c>
      <c r="LV9" s="14" t="str">
        <f t="shared" si="113"/>
        <v/>
      </c>
      <c r="LW9" s="14" t="str">
        <f t="shared" si="114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5"/>
        <v/>
      </c>
      <c r="MN9" s="11" t="str">
        <f t="shared" si="116"/>
        <v/>
      </c>
      <c r="MO9" s="11" t="str">
        <f t="shared" si="117"/>
        <v/>
      </c>
      <c r="MP9" s="11" t="str">
        <f t="shared" si="118"/>
        <v/>
      </c>
      <c r="MQ9" s="11" t="str">
        <f t="shared" si="119"/>
        <v/>
      </c>
      <c r="MR9" s="11" t="str">
        <f t="shared" si="120"/>
        <v/>
      </c>
      <c r="MS9" s="11" t="str">
        <f t="shared" si="121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2"/>
        <v/>
      </c>
      <c r="NJ9" s="14" t="str">
        <f t="shared" si="123"/>
        <v/>
      </c>
      <c r="NK9" s="14" t="str">
        <f t="shared" si="124"/>
        <v/>
      </c>
      <c r="NL9" s="14" t="str">
        <f t="shared" si="125"/>
        <v/>
      </c>
      <c r="NM9" s="14" t="str">
        <f t="shared" si="126"/>
        <v/>
      </c>
      <c r="NN9" s="14" t="str">
        <f t="shared" si="127"/>
        <v/>
      </c>
      <c r="NO9" s="14" t="str">
        <f t="shared" si="128"/>
        <v/>
      </c>
      <c r="NP9" s="69">
        <f t="shared" si="129"/>
        <v>18.149999999999999</v>
      </c>
      <c r="NQ9" s="69">
        <f t="shared" si="130"/>
        <v>9.4750000000000014</v>
      </c>
      <c r="NR9" s="69">
        <f t="shared" si="131"/>
        <v>3.55</v>
      </c>
      <c r="NS9" s="69">
        <f t="shared" si="132"/>
        <v>15.977499999999999</v>
      </c>
      <c r="NT9" s="69">
        <f t="shared" si="133"/>
        <v>0</v>
      </c>
      <c r="NU9" s="69">
        <f t="shared" si="134"/>
        <v>15.45</v>
      </c>
      <c r="NV9" s="69">
        <f t="shared" si="135"/>
        <v>9.4499999999999993</v>
      </c>
      <c r="NW9" s="69">
        <f t="shared" si="136"/>
        <v>11.95</v>
      </c>
      <c r="NX9" s="69">
        <f t="shared" si="137"/>
        <v>14.715</v>
      </c>
      <c r="NY9" s="69">
        <f t="shared" si="138"/>
        <v>0</v>
      </c>
      <c r="NZ9" s="69">
        <f t="shared" si="139"/>
        <v>16</v>
      </c>
      <c r="OA9" s="69">
        <f t="shared" si="140"/>
        <v>9.2250000000000014</v>
      </c>
      <c r="OB9" s="69">
        <f t="shared" si="141"/>
        <v>11.95</v>
      </c>
      <c r="OC9" s="69">
        <f t="shared" si="142"/>
        <v>14.765000000000001</v>
      </c>
      <c r="OD9" s="69">
        <f t="shared" si="143"/>
        <v>0</v>
      </c>
      <c r="OE9" s="69">
        <f t="shared" si="144"/>
        <v>14.7</v>
      </c>
      <c r="OF9" s="69">
        <f t="shared" si="145"/>
        <v>9.2750000000000004</v>
      </c>
      <c r="OG9" s="69">
        <f t="shared" si="146"/>
        <v>11.95</v>
      </c>
      <c r="OH9" s="69">
        <f t="shared" si="147"/>
        <v>14.725</v>
      </c>
      <c r="OI9" s="69">
        <f t="shared" si="148"/>
        <v>0</v>
      </c>
      <c r="OJ9" s="80" t="s">
        <v>88</v>
      </c>
      <c r="OK9" s="11">
        <f t="shared" si="149"/>
        <v>47.152500000000003</v>
      </c>
      <c r="OL9" s="11">
        <f t="shared" si="150"/>
        <v>11.95</v>
      </c>
      <c r="OM9" s="11">
        <f t="shared" si="151"/>
        <v>51.564999999999998</v>
      </c>
      <c r="ON9" s="11">
        <f t="shared" si="152"/>
        <v>11.95</v>
      </c>
      <c r="OO9" s="11">
        <f t="shared" si="153"/>
        <v>51.94</v>
      </c>
      <c r="OP9" s="11">
        <f t="shared" si="154"/>
        <v>99.092500000000001</v>
      </c>
      <c r="OQ9" s="11">
        <f t="shared" si="155"/>
        <v>11.95</v>
      </c>
      <c r="OR9" s="11">
        <f t="shared" si="156"/>
        <v>50.65</v>
      </c>
      <c r="OS9" s="11">
        <f t="shared" si="157"/>
        <v>149.74250000000001</v>
      </c>
    </row>
    <row r="10" spans="1:409" x14ac:dyDescent="0.2">
      <c r="A10" s="5" cm="1">
        <f t="array" ref="A10">IF(AND(G10&lt;&gt;"",H10&lt;&gt;""),SUMPRODUCT((G$4:G$18&lt;&gt;"")*(H$4:H$18&lt;&gt;"")*(E$4:E$18&gt;E10))+1,IF(H10&lt;&gt;"",SUMPRODUCT((I$4:I$18="No DD")*(E$4:E$18&gt;E10))+1+SUMPRODUCT((G$4:G$18&lt;&gt;"")*(H$4:H$18&lt;&gt;"")),""))</f>
        <v>7</v>
      </c>
      <c r="B10" s="127" t="s">
        <v>118</v>
      </c>
      <c r="C10" s="5" t="s">
        <v>10</v>
      </c>
      <c r="D10" s="5">
        <v>2000</v>
      </c>
      <c r="E10" s="15">
        <f t="shared" si="0"/>
        <v>245.74499999999998</v>
      </c>
      <c r="F10" s="3" t="str">
        <f t="shared" si="1"/>
        <v>P</v>
      </c>
      <c r="G10" s="125" t="str">
        <f>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Merit",IF(OR(AND(AR10&gt;=AY$22,AR10&lt;&gt;"",AP10=""),AND(AT10&gt;=AY$22,AT10&lt;&gt;"",AP10=""),AND(AW10&gt;=AY$22,AW10&lt;&gt;"",AP10=""),AND(BV10&gt;=CC$22,BV10&lt;&gt;"",BT10=""),AND(BX10&gt;=CC$22,BX10&lt;&gt;"",BT10=""),AND(CA10&gt;=CC$22,CA10&lt;&gt;"",BT10=""),AND(CZ10&gt;=DG$22,CZ10&lt;&gt;"",CX10=""),AND(DB10&gt;=DG$22,DB10&lt;&gt;"",CX10=""),AND(DE10&gt;=DG$22,DE10&lt;&gt;"",CX10=""),AND(EA10&gt;=EG$22,EA10&lt;&gt;""),AND(EE10&gt;=EG$22,EE10&lt;&gt;""),AND(EW10&gt;=FC$22,EW10&lt;&gt;""),AND(FA10&gt;=FC$22,FA10&lt;&gt;""),AND(FS10&gt;=FY$22,FS10&lt;&gt;""),AND(FW10&gt;=FY$22,FW10&lt;&gt;""),AND(GO10&gt;=GU$22,GO10&lt;&gt;""),AND(GS10&gt;=GU$22,GS10&lt;&gt;""),AND(HK10&gt;=HQ$22,HK10&lt;&gt;""),AND(HO10&gt;=HQ$22,HO10&lt;&gt;""),AND(IG10&gt;=IM$22,IG10&lt;&gt;""),AND(IK10&gt;=IM$22,IK10&lt;&gt;""),AND(JC10&gt;=JI$22,JC10&lt;&gt;""),AND(JG10&gt;=JI$22,JG10&lt;&gt;""),AND(JY10&gt;=KE$22,JY10&lt;&gt;""),AND(KC10&gt;=KE$22,KC10&lt;&gt;""),AND(KU10&gt;=LA$22,KU10&lt;&gt;""),AND(KY10&gt;=LA$22,KY10&lt;&gt;""),AND(LQ10&gt;=LW$22,LQ10&lt;&gt;""),AND(LU10&gt;=LW$22,LU10&lt;&gt;""),AND(MM10&gt;=MS$22,MM10&lt;&gt;""),AND(MQ10&gt;=MS$22,MQ10&lt;&gt;""),AND(NI10&gt;=NO$22,NI10&lt;&gt;""),AND(NM10&gt;=NO$22,NM10&lt;&gt;"")),"Excellence",IF(OR(AND(AR10&gt;=AY$21,AR10&lt;&gt;"",AP10=""),AND(AT10&gt;=AY$21,AT10&lt;&gt;"",AP10=""),AND(AW10&gt;=AY$21,AW10&lt;&gt;"",AP10=""),AND(BV10&gt;=CC$21,BV10&lt;&gt;"",BT10=""),AND(BX10&gt;=CC$21,BX10&lt;&gt;"",BT10=""),AND(CA10&gt;=CC$21,CA10&lt;&gt;"",BT10=""),AND(CZ10&gt;=DG$21,CZ10&lt;&gt;"",CX10=""),AND(DB10&gt;=DG$21,DB10&lt;&gt;"",CX10=""),AND(DE10&gt;=DG$21,DE10&lt;&gt;"",CX10=""),AND(EA10&gt;=EG$21,EA10&lt;&gt;""),AND(EE10&gt;=EG$21,EE10&lt;&gt;""),AND(EW10&gt;=FC$21,EW10&lt;&gt;""),AND(FA10&gt;=FC$21,FA10&lt;&gt;""),AND(FS10&gt;=FY$21,FS10&lt;&gt;""),AND(FW10&gt;=FY$21,FW10&lt;&gt;""),AND(GO10&gt;=GU$21,GO10&lt;&gt;""),AND(GS10&gt;=GU$21,GS10&lt;&gt;""),AND(HK10&gt;=HQ$21,HK10&lt;&gt;""),AND(HO10&gt;=HQ$21,HO10&lt;&gt;""),AND(IG10&gt;=IM$21,IG10&lt;&gt;""),AND(IK10&gt;=IM$21,IK10&lt;&gt;""),AND(JC10&gt;=JI$21,JC10&lt;&gt;""),AND(JG10&gt;=JI$21,JG10&lt;&gt;""),AND(JY10&gt;=KE$21,JY10&lt;&gt;""),AND(KC10&gt;=KE$21,KC10&lt;&gt;""),AND(KU10&gt;=LA$21,KU10&lt;&gt;""),AND(KY10&gt;=LA$21,KY10&lt;&gt;""),AND(LQ10&gt;=LW$21,LQ10&lt;&gt;""),AND(LU10&gt;=LW$21,LU10&lt;&gt;""),AND(MM10&gt;=MS$21,MM10&lt;&gt;""),AND(MQ10&gt;=MS$21,MQ10&lt;&gt;""),AND(NI10&gt;=NO$21,NI10&lt;&gt;""),AND(NM10&gt;=NO$21,NM10&lt;&gt;"")),"Worlds Team",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National Team",""))))</f>
        <v>National Team</v>
      </c>
      <c r="H10" s="125" t="str">
        <f>IF(OR(AND(AS10&gt;=AY$27,AS10&lt;&gt;"",AP10=""),AND(AU10&gt;=AY$27,AU10&lt;&gt;"",AP10=""),AND(AX10&gt;=AY$27,AX10&lt;&gt;"",AP10=""),AND(BW10&gt;=CC$27,BW10&lt;&gt;"",BT10=""),AND(BY10&gt;=CC$27,BY10&lt;&gt;"",BT10=""),AND(CB10&gt;=CC$27,CB10&lt;&gt;"",BT10=""),AND(DA10&gt;=DG$27,DA10&lt;&gt;"",CX10=""),AND(DC10&gt;=DG$27,DC10&lt;&gt;"",CX10=""),AND(DF10&gt;=DG$27,DF10&lt;&gt;"",CX10=""),AND(EC10&gt;=EG$27,EC10&lt;&gt;""),AND(EF10&gt;=EG$27,EF10&lt;&gt;""),AND(EY10&gt;=FC$27,EY10&lt;&gt;""),AND(FB10&gt;=FC$27,FB10&lt;&gt;""),AND(FU10&gt;=FY$27,FU10&lt;&gt;""),AND(FX10&gt;=FY$27,FX10&lt;&gt;""),AND(GQ10&gt;=GU$27,GQ10&lt;&gt;""),AND(GT10&gt;=GU$27,GT10&lt;&gt;""),AND(HM10&gt;=HQ$27,HM10&lt;&gt;""),AND(HP10&gt;=HQ$27,HP10&lt;&gt;""),AND(II10&gt;=IM$27,II10&lt;&gt;""),AND(IL10&gt;=IM$27,IL10&lt;&gt;""),AND(JE10&gt;=JI$27,JE10&lt;&gt;""),AND(JH10&gt;=JI$27,JH10&lt;&gt;""),AND(KA10&gt;=KE$27,KA10&lt;&gt;""),AND(KD10&gt;=KE$27,KD10&lt;&gt;""),AND(KW10&gt;=LA$27,KW10&lt;&gt;""),AND(KZ10&gt;=LA$27,KZ10&lt;&gt;""),AND(LS10&gt;=LW$27,LS10&lt;&gt;""),AND(LV10&gt;=LW$27,LV10&lt;&gt;""),AND(MO10&gt;=MS$27,MO10&lt;&gt;""),AND(MR10&gt;=MS$27,MR10&lt;&gt;""),AND(NK10&gt;=NO$27,NK10&lt;&gt;""),AND(NN10&gt;=NO$27,NN10&lt;&gt;"")),"Merit",IF(OR(AND(AS10&gt;=AY$26,AS10&lt;&gt;"",AP10=""),AND(AU10&gt;=AY$26,AU10&lt;&gt;"",AP10=""),AND(AX10&gt;=AY$26,AX10&lt;&gt;"",AP10=""),AND(BW10&gt;=CC$26,BW10&lt;&gt;"",BT10=""),AND(BY10&gt;=CC$26,BY10&lt;&gt;"",BT10=""),AND(CB10&gt;=CC$26,CB10&lt;&gt;"",BT10=""),AND(DA10&gt;=DG$26,DA10&lt;&gt;"",CX10=""),AND(DC10&gt;=DG$26,DC10&lt;&gt;"",CX10=""),AND(DF10&gt;=DG$26,DF10&lt;&gt;"",CX10=""),AND(EC10&gt;=EG$26,EC10&lt;&gt;""),AND(EF10&gt;=EG$26,EF10&lt;&gt;""),AND(EY10&gt;=FC$26,EY10&lt;&gt;""),AND(FB10&gt;=FC$26,FB10&lt;&gt;""),AND(FU10&gt;=FY$26,FU10&lt;&gt;""),AND(FX10&gt;=FY$26,FX10&lt;&gt;""),AND(GQ10&gt;=GU$26,GQ10&lt;&gt;""),AND(GT10&gt;=GU$26,GT10&lt;&gt;""),AND(HM10&gt;=HQ$26,HM10&lt;&gt;""),AND(HP10&gt;=HQ$26,HP10&lt;&gt;""),AND(II10&gt;=IM$26,II10&lt;&gt;""),AND(IL10&gt;=IM$26,IL10&lt;&gt;""),AND(JE10&gt;=JI$26,JE10&lt;&gt;""),AND(JH10&gt;=JI$26,JH10&lt;&gt;""),AND(KA10&gt;=KE$26,KA10&lt;&gt;""),AND(KD10&gt;=KE$26,KD10&lt;&gt;""),AND(KW10&gt;=LA$26,KW10&lt;&gt;""),AND(KZ10&gt;=LA$26,KZ10&lt;&gt;""),AND(LS10&gt;=LW$26,LS10&lt;&gt;""),AND(LV10&gt;=LW$26,LV10&lt;&gt;""),AND(MO10&gt;=MS$26,MO10&lt;&gt;""),AND(MR10&gt;=MS$26,MR10&lt;&gt;""),AND(NK10&gt;=NO$26,NK10&lt;&gt;""),AND(NN10&gt;=NO$26,NN10&lt;&gt;"")),"Excellence",IF(OR(AND(AV10&gt;=AY$25,AV10&lt;&gt;"",AP10=""),AND(BZ10&gt;=CC$25,BZ10&lt;&gt;"",BT10=""),AND(DD10&gt;=DG$25,DD10&lt;&gt;"",CX10=""),AND(ED10&gt;=EG$25,ED10&lt;&gt;""),AND(EZ10&gt;=FC$25,EZ10&lt;&gt;""),AND(FV10&gt;=FY$25,FV10&lt;&gt;""),AND(GR10&gt;=GU$25,GR10&lt;&gt;""),AND(HN10&gt;=HQ$25,HN10&lt;&gt;""),AND(IJ10&gt;=IM$25,IJ10&lt;&gt;""),AND(JF10&gt;=JI$25,JF10&lt;&gt;""),AND(KB10&gt;=KE$25,KB10&lt;&gt;""),AND(KX10&gt;=LA$25,KX10&lt;&gt;""),AND(LT10&gt;=LW$25,LT10&lt;&gt;""),AND(MP10&gt;=MS$25,MP10&lt;&gt;""),AND(NL10&gt;=NO$25,NL10&lt;&gt;"")),"Worlds Team",IF(OR(AND(AV10&gt;=AY$24,AV10&lt;&gt;"",AP10=""),AND(BZ10&gt;=CC$24,BZ10&lt;&gt;"",BT10=""),AND(DD10&gt;=DG$24,DD10&lt;&gt;"",CX10=""),AND(ED10&gt;=EG$24,ED10&lt;&gt;""),AND(EZ10&gt;=FC$24,EZ10&lt;&gt;""),AND(FV10&gt;=FY$24,FV10&lt;&gt;""),AND(GR10&gt;=GU$24,GR10&lt;&gt;""),AND(HN10&gt;=HQ$24,HN10&lt;&gt;""),AND(IJ10&gt;=IM$24,IJ10&lt;&gt;""),AND(JF10&gt;=JI$24,JF10&lt;&gt;""),AND(KB10&gt;=KE$24,KB10&lt;&gt;""),AND(KX10&gt;=LA$24,KX10&lt;&gt;""),AND(LT10&gt;=LW$24,LT10&lt;&gt;""),AND(MP10&gt;=MS$24,MP10&lt;&gt;""),AND(NL10&gt;=NO$24,NL10&lt;&gt;"")),"National Team",""))))</f>
        <v>Worlds Team</v>
      </c>
      <c r="I10" s="126" t="str">
        <f t="shared" si="2"/>
        <v>National Team</v>
      </c>
      <c r="J10" s="3" t="str">
        <f>IF(AND(OR(AND(AV10&gt;=AY$25,AV10&lt;&gt;"",AP10=""),AND(BZ10&gt;=CC$25,BZ10&lt;&gt;"",BT10=""),AND(DD10&gt;=DG$25,DD10&lt;&gt;"",CX10=""),AND(ED10&gt;=EG$25,ED10&lt;&gt;""),AND(EZ10&gt;=FC$25,EZ10&lt;&gt;""),AND(FV10&gt;=FY$25,FV10&lt;&gt;""),AND(GR10&gt;=GU$25,GR10&lt;&gt;""),AND(HN10&gt;=HQ$25,HN10&lt;&gt;""),AND(IJ10&gt;=IM$25,IJ10&lt;&gt;""),AND(JF10&gt;=JI$25,JF10&lt;&gt;""),AND(KB10&gt;=KE$25,KB10&lt;&gt;""),AND(KX10&gt;=LA$25,KX10&lt;&gt;""),AND(LT10&gt;=LW$25,LT10&lt;&gt;""),AND(MP10&gt;=MS$25,MP10&lt;&gt;""),AND(NL10&gt;=NO$25,NL10&lt;&gt;"")),OR(G10="Worlds Team",G10="Excellence",G10="Merit")),"P","")</f>
        <v/>
      </c>
      <c r="K10" s="14">
        <f t="shared" si="3"/>
        <v>98.289999999999992</v>
      </c>
      <c r="L10" s="14" t="str">
        <f t="shared" si="4"/>
        <v>2021 1st Virtual Technical Trial</v>
      </c>
      <c r="M10" s="14">
        <f t="shared" si="5"/>
        <v>45.424999999999997</v>
      </c>
      <c r="N10" s="14" t="str">
        <f t="shared" si="6"/>
        <v>2021 2nd Virtual Technical Trial</v>
      </c>
      <c r="O10" s="14">
        <f t="shared" si="7"/>
        <v>50.49</v>
      </c>
      <c r="P10" s="14" t="str">
        <f t="shared" si="8"/>
        <v>2021 1st Virtual Technical Trial</v>
      </c>
      <c r="Q10" s="14">
        <f t="shared" si="9"/>
        <v>51.54</v>
      </c>
      <c r="R10" s="14" t="str">
        <f t="shared" si="10"/>
        <v>2021 1st Virtual Technical Trial</v>
      </c>
      <c r="S10" s="14" t="str">
        <f t="shared" si="11"/>
        <v/>
      </c>
      <c r="T10" s="25" t="str">
        <f t="shared" si="12"/>
        <v/>
      </c>
      <c r="U10" s="14" t="str">
        <f t="shared" si="13"/>
        <v/>
      </c>
      <c r="V10" s="69">
        <v>16.399999999999999</v>
      </c>
      <c r="W10" s="69">
        <v>8.9</v>
      </c>
      <c r="X10" s="69">
        <v>1.9</v>
      </c>
      <c r="Y10" s="69">
        <v>14.125</v>
      </c>
      <c r="Z10" s="69">
        <v>0</v>
      </c>
      <c r="AA10" s="69">
        <v>14.2</v>
      </c>
      <c r="AB10" s="69">
        <v>9.3000000000000007</v>
      </c>
      <c r="AC10" s="69">
        <v>10</v>
      </c>
      <c r="AD10" s="69">
        <v>13.775</v>
      </c>
      <c r="AE10" s="69">
        <v>1.2</v>
      </c>
      <c r="AF10" s="69"/>
      <c r="AG10" s="69"/>
      <c r="AH10" s="69"/>
      <c r="AI10" s="69"/>
      <c r="AJ10" s="69"/>
      <c r="AK10" s="69">
        <v>6.36</v>
      </c>
      <c r="AL10" s="69">
        <v>3.8</v>
      </c>
      <c r="AM10" s="69">
        <v>5</v>
      </c>
      <c r="AN10" s="69">
        <v>6.08</v>
      </c>
      <c r="AO10" s="69"/>
      <c r="AP10" s="80"/>
      <c r="AQ10" s="11">
        <f t="shared" si="14"/>
        <v>41.324999999999996</v>
      </c>
      <c r="AR10" s="11">
        <f t="shared" si="15"/>
        <v>10</v>
      </c>
      <c r="AS10" s="11">
        <f t="shared" si="16"/>
        <v>46.074999999999996</v>
      </c>
      <c r="AT10" s="11" t="str">
        <f t="shared" si="17"/>
        <v/>
      </c>
      <c r="AU10" s="11" t="str">
        <f t="shared" si="18"/>
        <v/>
      </c>
      <c r="AV10" s="11">
        <f t="shared" si="19"/>
        <v>87.399999999999991</v>
      </c>
      <c r="AW10" s="11">
        <f t="shared" si="20"/>
        <v>5</v>
      </c>
      <c r="AX10" s="11">
        <f t="shared" si="21"/>
        <v>21.240000000000002</v>
      </c>
      <c r="AY10" s="11">
        <f t="shared" si="22"/>
        <v>108.63999999999999</v>
      </c>
      <c r="AZ10" s="75">
        <v>17.5</v>
      </c>
      <c r="BA10" s="75">
        <v>9.5</v>
      </c>
      <c r="BB10" s="75">
        <v>3.4</v>
      </c>
      <c r="BC10" s="75">
        <v>16.079999999999998</v>
      </c>
      <c r="BD10" s="75">
        <v>0</v>
      </c>
      <c r="BE10" s="75">
        <v>14.1</v>
      </c>
      <c r="BF10" s="75">
        <v>9.65</v>
      </c>
      <c r="BG10" s="75">
        <v>11.5</v>
      </c>
      <c r="BH10" s="75">
        <v>15.24</v>
      </c>
      <c r="BI10" s="75">
        <v>0</v>
      </c>
      <c r="BJ10" s="75">
        <v>15.8</v>
      </c>
      <c r="BK10" s="75">
        <v>9.35</v>
      </c>
      <c r="BL10" s="75">
        <v>11.5</v>
      </c>
      <c r="BM10" s="75">
        <v>15.16</v>
      </c>
      <c r="BN10" s="75">
        <v>0</v>
      </c>
      <c r="BO10" s="75">
        <v>15.3</v>
      </c>
      <c r="BP10" s="75">
        <v>9</v>
      </c>
      <c r="BQ10" s="75">
        <v>12.2</v>
      </c>
      <c r="BR10" s="75">
        <v>15.04</v>
      </c>
      <c r="BS10" s="75">
        <v>0</v>
      </c>
      <c r="BT10" s="81"/>
      <c r="BU10" s="14">
        <f t="shared" si="23"/>
        <v>46.48</v>
      </c>
      <c r="BV10" s="14">
        <f t="shared" si="24"/>
        <v>11.5</v>
      </c>
      <c r="BW10" s="14">
        <f t="shared" si="25"/>
        <v>50.49</v>
      </c>
      <c r="BX10" s="14">
        <f t="shared" si="26"/>
        <v>11.5</v>
      </c>
      <c r="BY10" s="14">
        <f t="shared" si="27"/>
        <v>51.81</v>
      </c>
      <c r="BZ10" s="14">
        <f t="shared" si="28"/>
        <v>98.289999999999992</v>
      </c>
      <c r="CA10" s="14">
        <f t="shared" si="29"/>
        <v>12.2</v>
      </c>
      <c r="CB10" s="14">
        <f t="shared" si="30"/>
        <v>51.54</v>
      </c>
      <c r="CC10" s="14">
        <f t="shared" si="31"/>
        <v>149.82999999999998</v>
      </c>
      <c r="CD10" s="69">
        <v>17.3</v>
      </c>
      <c r="CE10" s="69">
        <v>9.1999999999999993</v>
      </c>
      <c r="CF10" s="69">
        <v>3.2</v>
      </c>
      <c r="CG10" s="69">
        <v>15.725</v>
      </c>
      <c r="CH10" s="69">
        <v>0</v>
      </c>
      <c r="CI10" s="69">
        <v>15.2</v>
      </c>
      <c r="CJ10" s="69">
        <v>9.1</v>
      </c>
      <c r="CK10" s="69">
        <v>11.5</v>
      </c>
      <c r="CL10" s="69">
        <v>14.595000000000001</v>
      </c>
      <c r="CM10" s="69">
        <v>0</v>
      </c>
      <c r="CN10" s="69">
        <v>14.9</v>
      </c>
      <c r="CO10" s="69">
        <v>9</v>
      </c>
      <c r="CP10" s="69">
        <v>11.3</v>
      </c>
      <c r="CQ10" s="69">
        <v>14.61</v>
      </c>
      <c r="CR10" s="69">
        <v>0.6</v>
      </c>
      <c r="CS10" s="69">
        <v>9.4</v>
      </c>
      <c r="CT10" s="69">
        <v>4.8</v>
      </c>
      <c r="CU10" s="69">
        <v>7.9</v>
      </c>
      <c r="CV10" s="69">
        <v>9.0150000000000006</v>
      </c>
      <c r="CW10" s="69">
        <v>0</v>
      </c>
      <c r="CX10" s="80"/>
      <c r="CY10" s="11">
        <f t="shared" si="32"/>
        <v>45.424999999999997</v>
      </c>
      <c r="CZ10" s="11">
        <f t="shared" si="33"/>
        <v>11.5</v>
      </c>
      <c r="DA10" s="11">
        <f t="shared" si="34"/>
        <v>50.394999999999996</v>
      </c>
      <c r="DB10" s="11">
        <f t="shared" si="35"/>
        <v>11.3</v>
      </c>
      <c r="DC10" s="11">
        <f t="shared" si="36"/>
        <v>49.21</v>
      </c>
      <c r="DD10" s="11">
        <f t="shared" si="37"/>
        <v>95.82</v>
      </c>
      <c r="DE10" s="11">
        <f t="shared" si="38"/>
        <v>7.9</v>
      </c>
      <c r="DF10" s="11">
        <f t="shared" si="39"/>
        <v>31.115000000000002</v>
      </c>
      <c r="DG10" s="11">
        <f t="shared" si="40"/>
        <v>126.935</v>
      </c>
      <c r="DH10" s="24" t="str">
        <f t="shared" si="41"/>
        <v/>
      </c>
      <c r="DI10" s="24" t="str">
        <f t="shared" si="42"/>
        <v/>
      </c>
      <c r="DJ10" s="24" t="str">
        <f t="shared" si="43"/>
        <v/>
      </c>
      <c r="DK10" s="24" t="str">
        <f t="shared" si="44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5"/>
        <v/>
      </c>
      <c r="EB10" s="11" t="str">
        <f t="shared" si="46"/>
        <v/>
      </c>
      <c r="EC10" s="11" t="str">
        <f t="shared" si="47"/>
        <v/>
      </c>
      <c r="ED10" s="11" t="str">
        <f t="shared" si="48"/>
        <v/>
      </c>
      <c r="EE10" s="11" t="str">
        <f t="shared" si="49"/>
        <v/>
      </c>
      <c r="EF10" s="11" t="str">
        <f t="shared" si="50"/>
        <v/>
      </c>
      <c r="EG10" s="11" t="str">
        <f t="shared" si="51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2"/>
        <v/>
      </c>
      <c r="EX10" s="14" t="str">
        <f t="shared" si="53"/>
        <v/>
      </c>
      <c r="EY10" s="14" t="str">
        <f t="shared" si="54"/>
        <v/>
      </c>
      <c r="EZ10" s="14" t="str">
        <f t="shared" si="55"/>
        <v/>
      </c>
      <c r="FA10" s="14" t="str">
        <f t="shared" si="56"/>
        <v/>
      </c>
      <c r="FB10" s="14" t="str">
        <f t="shared" si="57"/>
        <v/>
      </c>
      <c r="FC10" s="14" t="str">
        <f t="shared" si="58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59"/>
        <v/>
      </c>
      <c r="FT10" s="11" t="str">
        <f t="shared" si="60"/>
        <v/>
      </c>
      <c r="FU10" s="11" t="str">
        <f t="shared" si="61"/>
        <v/>
      </c>
      <c r="FV10" s="11" t="str">
        <f t="shared" si="62"/>
        <v/>
      </c>
      <c r="FW10" s="11" t="str">
        <f t="shared" si="63"/>
        <v/>
      </c>
      <c r="FX10" s="11" t="str">
        <f t="shared" si="64"/>
        <v/>
      </c>
      <c r="FY10" s="11" t="str">
        <f t="shared" si="65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6"/>
        <v/>
      </c>
      <c r="GP10" s="14" t="str">
        <f t="shared" si="67"/>
        <v/>
      </c>
      <c r="GQ10" s="14" t="str">
        <f t="shared" si="68"/>
        <v/>
      </c>
      <c r="GR10" s="14" t="str">
        <f t="shared" si="69"/>
        <v/>
      </c>
      <c r="GS10" s="14" t="str">
        <f t="shared" si="70"/>
        <v/>
      </c>
      <c r="GT10" s="14" t="str">
        <f t="shared" si="71"/>
        <v/>
      </c>
      <c r="GU10" s="14" t="str">
        <f t="shared" si="72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3"/>
        <v/>
      </c>
      <c r="HL10" s="11" t="str">
        <f t="shared" si="74"/>
        <v/>
      </c>
      <c r="HM10" s="11" t="str">
        <f t="shared" si="75"/>
        <v/>
      </c>
      <c r="HN10" s="11" t="str">
        <f t="shared" si="76"/>
        <v/>
      </c>
      <c r="HO10" s="11" t="str">
        <f t="shared" si="77"/>
        <v/>
      </c>
      <c r="HP10" s="11" t="str">
        <f t="shared" si="78"/>
        <v/>
      </c>
      <c r="HQ10" s="11" t="str">
        <f t="shared" si="79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0"/>
        <v/>
      </c>
      <c r="IH10" s="14" t="str">
        <f t="shared" si="81"/>
        <v/>
      </c>
      <c r="II10" s="14" t="str">
        <f t="shared" si="82"/>
        <v/>
      </c>
      <c r="IJ10" s="14" t="str">
        <f t="shared" si="83"/>
        <v/>
      </c>
      <c r="IK10" s="14" t="str">
        <f t="shared" si="84"/>
        <v/>
      </c>
      <c r="IL10" s="14" t="str">
        <f t="shared" si="85"/>
        <v/>
      </c>
      <c r="IM10" s="14" t="str">
        <f t="shared" si="86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87"/>
        <v/>
      </c>
      <c r="JD10" s="11" t="str">
        <f t="shared" si="88"/>
        <v/>
      </c>
      <c r="JE10" s="11" t="str">
        <f t="shared" si="89"/>
        <v/>
      </c>
      <c r="JF10" s="11" t="str">
        <f t="shared" si="90"/>
        <v/>
      </c>
      <c r="JG10" s="11" t="str">
        <f t="shared" si="91"/>
        <v/>
      </c>
      <c r="JH10" s="11" t="str">
        <f t="shared" si="92"/>
        <v/>
      </c>
      <c r="JI10" s="11" t="str">
        <f t="shared" si="93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4"/>
        <v/>
      </c>
      <c r="JZ10" s="14" t="str">
        <f t="shared" si="95"/>
        <v/>
      </c>
      <c r="KA10" s="14" t="str">
        <f t="shared" si="96"/>
        <v/>
      </c>
      <c r="KB10" s="14" t="str">
        <f t="shared" si="97"/>
        <v/>
      </c>
      <c r="KC10" s="14" t="str">
        <f t="shared" si="98"/>
        <v/>
      </c>
      <c r="KD10" s="14" t="str">
        <f t="shared" si="99"/>
        <v/>
      </c>
      <c r="KE10" s="14" t="str">
        <f t="shared" si="100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1"/>
        <v/>
      </c>
      <c r="KV10" s="11" t="str">
        <f t="shared" si="102"/>
        <v/>
      </c>
      <c r="KW10" s="11" t="str">
        <f t="shared" si="103"/>
        <v/>
      </c>
      <c r="KX10" s="11" t="str">
        <f t="shared" si="104"/>
        <v/>
      </c>
      <c r="KY10" s="11" t="str">
        <f t="shared" si="105"/>
        <v/>
      </c>
      <c r="KZ10" s="11" t="str">
        <f t="shared" si="106"/>
        <v/>
      </c>
      <c r="LA10" s="11" t="str">
        <f t="shared" si="107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08"/>
        <v/>
      </c>
      <c r="LR10" s="14" t="str">
        <f t="shared" si="109"/>
        <v/>
      </c>
      <c r="LS10" s="14" t="str">
        <f t="shared" si="110"/>
        <v/>
      </c>
      <c r="LT10" s="14" t="str">
        <f t="shared" si="111"/>
        <v/>
      </c>
      <c r="LU10" s="14" t="str">
        <f t="shared" si="112"/>
        <v/>
      </c>
      <c r="LV10" s="14" t="str">
        <f t="shared" si="113"/>
        <v/>
      </c>
      <c r="LW10" s="14" t="str">
        <f t="shared" si="114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5"/>
        <v/>
      </c>
      <c r="MN10" s="11" t="str">
        <f t="shared" si="116"/>
        <v/>
      </c>
      <c r="MO10" s="11" t="str">
        <f t="shared" si="117"/>
        <v/>
      </c>
      <c r="MP10" s="11" t="str">
        <f t="shared" si="118"/>
        <v/>
      </c>
      <c r="MQ10" s="11" t="str">
        <f t="shared" si="119"/>
        <v/>
      </c>
      <c r="MR10" s="11" t="str">
        <f t="shared" si="120"/>
        <v/>
      </c>
      <c r="MS10" s="11" t="str">
        <f t="shared" si="121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2"/>
        <v/>
      </c>
      <c r="NJ10" s="14" t="str">
        <f t="shared" si="123"/>
        <v/>
      </c>
      <c r="NK10" s="14" t="str">
        <f t="shared" si="124"/>
        <v/>
      </c>
      <c r="NL10" s="14" t="str">
        <f t="shared" si="125"/>
        <v/>
      </c>
      <c r="NM10" s="14" t="str">
        <f t="shared" si="126"/>
        <v/>
      </c>
      <c r="NN10" s="14" t="str">
        <f t="shared" si="127"/>
        <v/>
      </c>
      <c r="NO10" s="14" t="str">
        <f t="shared" si="128"/>
        <v/>
      </c>
      <c r="NP10" s="69">
        <f t="shared" si="129"/>
        <v>17.399999999999999</v>
      </c>
      <c r="NQ10" s="69">
        <f t="shared" si="130"/>
        <v>9.35</v>
      </c>
      <c r="NR10" s="69">
        <f t="shared" si="131"/>
        <v>3.3</v>
      </c>
      <c r="NS10" s="69">
        <f t="shared" si="132"/>
        <v>15.9025</v>
      </c>
      <c r="NT10" s="69">
        <f t="shared" si="133"/>
        <v>0</v>
      </c>
      <c r="NU10" s="69">
        <f t="shared" si="134"/>
        <v>14.649999999999999</v>
      </c>
      <c r="NV10" s="69">
        <f t="shared" si="135"/>
        <v>9.375</v>
      </c>
      <c r="NW10" s="69">
        <f t="shared" si="136"/>
        <v>11.5</v>
      </c>
      <c r="NX10" s="69">
        <f t="shared" si="137"/>
        <v>14.9175</v>
      </c>
      <c r="NY10" s="69">
        <f t="shared" si="138"/>
        <v>0</v>
      </c>
      <c r="NZ10" s="69">
        <f t="shared" si="139"/>
        <v>15.350000000000001</v>
      </c>
      <c r="OA10" s="69">
        <f t="shared" si="140"/>
        <v>9.1750000000000007</v>
      </c>
      <c r="OB10" s="69">
        <f t="shared" si="141"/>
        <v>11.4</v>
      </c>
      <c r="OC10" s="69">
        <f t="shared" si="142"/>
        <v>14.885</v>
      </c>
      <c r="OD10" s="69">
        <f t="shared" si="143"/>
        <v>0.3</v>
      </c>
      <c r="OE10" s="69">
        <f t="shared" si="144"/>
        <v>12.350000000000001</v>
      </c>
      <c r="OF10" s="69">
        <f t="shared" si="145"/>
        <v>6.9</v>
      </c>
      <c r="OG10" s="69">
        <f t="shared" si="146"/>
        <v>10.050000000000001</v>
      </c>
      <c r="OH10" s="69">
        <f t="shared" si="147"/>
        <v>12.0275</v>
      </c>
      <c r="OI10" s="69">
        <f t="shared" si="148"/>
        <v>0</v>
      </c>
      <c r="OJ10" s="80" t="s">
        <v>88</v>
      </c>
      <c r="OK10" s="11">
        <f t="shared" si="149"/>
        <v>45.952500000000001</v>
      </c>
      <c r="OL10" s="11">
        <f t="shared" si="150"/>
        <v>11.5</v>
      </c>
      <c r="OM10" s="11">
        <f t="shared" si="151"/>
        <v>50.442499999999995</v>
      </c>
      <c r="ON10" s="11">
        <f t="shared" si="152"/>
        <v>11.4</v>
      </c>
      <c r="OO10" s="11">
        <f t="shared" si="153"/>
        <v>50.510000000000005</v>
      </c>
      <c r="OP10" s="11">
        <f t="shared" si="154"/>
        <v>96.462500000000006</v>
      </c>
      <c r="OQ10" s="11">
        <f t="shared" si="155"/>
        <v>10.050000000000001</v>
      </c>
      <c r="OR10" s="11">
        <f t="shared" si="156"/>
        <v>41.327500000000001</v>
      </c>
      <c r="OS10" s="11">
        <f t="shared" si="157"/>
        <v>137.79000000000002</v>
      </c>
    </row>
    <row r="11" spans="1:409" x14ac:dyDescent="0.2">
      <c r="A11" s="5" t="str" cm="1">
        <f t="array" ref="A11">IF(AND(G11&lt;&gt;"",H11&lt;&gt;""),SUMPRODUCT((G$4:G$18&lt;&gt;"")*(H$4:H$18&lt;&gt;"")*(E$4:E$18&gt;E11))+1,IF(H11&lt;&gt;"",SUMPRODUCT((I$4:I$18="No DD")*(E$4:E$18&gt;E11))+1+SUMPRODUCT((G$4:G$18&lt;&gt;"")*(H$4:H$18&lt;&gt;"")),""))</f>
        <v/>
      </c>
      <c r="B11" s="127" t="s">
        <v>174</v>
      </c>
      <c r="C11" s="5" t="s">
        <v>6</v>
      </c>
      <c r="D11" s="5">
        <v>2002</v>
      </c>
      <c r="E11" s="15">
        <f t="shared" si="0"/>
        <v>237.83499999999998</v>
      </c>
      <c r="F11" s="3" t="str">
        <f t="shared" si="1"/>
        <v>P</v>
      </c>
      <c r="G11" s="125" t="str">
        <f>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Merit",IF(OR(AND(AR11&gt;=AY$22,AR11&lt;&gt;"",AP11=""),AND(AT11&gt;=AY$22,AT11&lt;&gt;"",AP11=""),AND(AW11&gt;=AY$22,AW11&lt;&gt;"",AP11=""),AND(BV11&gt;=CC$22,BV11&lt;&gt;"",BT11=""),AND(BX11&gt;=CC$22,BX11&lt;&gt;"",BT11=""),AND(CA11&gt;=CC$22,CA11&lt;&gt;"",BT11=""),AND(CZ11&gt;=DG$22,CZ11&lt;&gt;"",CX11=""),AND(DB11&gt;=DG$22,DB11&lt;&gt;"",CX11=""),AND(DE11&gt;=DG$22,DE11&lt;&gt;"",CX11=""),AND(EA11&gt;=EG$22,EA11&lt;&gt;""),AND(EE11&gt;=EG$22,EE11&lt;&gt;""),AND(EW11&gt;=FC$22,EW11&lt;&gt;""),AND(FA11&gt;=FC$22,FA11&lt;&gt;""),AND(FS11&gt;=FY$22,FS11&lt;&gt;""),AND(FW11&gt;=FY$22,FW11&lt;&gt;""),AND(GO11&gt;=GU$22,GO11&lt;&gt;""),AND(GS11&gt;=GU$22,GS11&lt;&gt;""),AND(HK11&gt;=HQ$22,HK11&lt;&gt;""),AND(HO11&gt;=HQ$22,HO11&lt;&gt;""),AND(IG11&gt;=IM$22,IG11&lt;&gt;""),AND(IK11&gt;=IM$22,IK11&lt;&gt;""),AND(JC11&gt;=JI$22,JC11&lt;&gt;""),AND(JG11&gt;=JI$22,JG11&lt;&gt;""),AND(JY11&gt;=KE$22,JY11&lt;&gt;""),AND(KC11&gt;=KE$22,KC11&lt;&gt;""),AND(KU11&gt;=LA$22,KU11&lt;&gt;""),AND(KY11&gt;=LA$22,KY11&lt;&gt;""),AND(LQ11&gt;=LW$22,LQ11&lt;&gt;""),AND(LU11&gt;=LW$22,LU11&lt;&gt;""),AND(MM11&gt;=MS$22,MM11&lt;&gt;""),AND(MQ11&gt;=MS$22,MQ11&lt;&gt;""),AND(NI11&gt;=NO$22,NI11&lt;&gt;""),AND(NM11&gt;=NO$22,NM11&lt;&gt;"")),"Excellence",IF(OR(AND(AR11&gt;=AY$21,AR11&lt;&gt;"",AP11=""),AND(AT11&gt;=AY$21,AT11&lt;&gt;"",AP11=""),AND(AW11&gt;=AY$21,AW11&lt;&gt;"",AP11=""),AND(BV11&gt;=CC$21,BV11&lt;&gt;"",BT11=""),AND(BX11&gt;=CC$21,BX11&lt;&gt;"",BT11=""),AND(CA11&gt;=CC$21,CA11&lt;&gt;"",BT11=""),AND(CZ11&gt;=DG$21,CZ11&lt;&gt;"",CX11=""),AND(DB11&gt;=DG$21,DB11&lt;&gt;"",CX11=""),AND(DE11&gt;=DG$21,DE11&lt;&gt;"",CX11=""),AND(EA11&gt;=EG$21,EA11&lt;&gt;""),AND(EE11&gt;=EG$21,EE11&lt;&gt;""),AND(EW11&gt;=FC$21,EW11&lt;&gt;""),AND(FA11&gt;=FC$21,FA11&lt;&gt;""),AND(FS11&gt;=FY$21,FS11&lt;&gt;""),AND(FW11&gt;=FY$21,FW11&lt;&gt;""),AND(GO11&gt;=GU$21,GO11&lt;&gt;""),AND(GS11&gt;=GU$21,GS11&lt;&gt;""),AND(HK11&gt;=HQ$21,HK11&lt;&gt;""),AND(HO11&gt;=HQ$21,HO11&lt;&gt;""),AND(IG11&gt;=IM$21,IG11&lt;&gt;""),AND(IK11&gt;=IM$21,IK11&lt;&gt;""),AND(JC11&gt;=JI$21,JC11&lt;&gt;""),AND(JG11&gt;=JI$21,JG11&lt;&gt;""),AND(JY11&gt;=KE$21,JY11&lt;&gt;""),AND(KC11&gt;=KE$21,KC11&lt;&gt;""),AND(KU11&gt;=LA$21,KU11&lt;&gt;""),AND(KY11&gt;=LA$21,KY11&lt;&gt;""),AND(LQ11&gt;=LW$21,LQ11&lt;&gt;""),AND(LU11&gt;=LW$21,LU11&lt;&gt;""),AND(MM11&gt;=MS$21,MM11&lt;&gt;""),AND(MQ11&gt;=MS$21,MQ11&lt;&gt;""),AND(NI11&gt;=NO$21,NI11&lt;&gt;""),AND(NM11&gt;=NO$21,NM11&lt;&gt;"")),"Worlds Team",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National Team",""))))</f>
        <v>National Team</v>
      </c>
      <c r="H11" s="125" t="str">
        <f>IF(OR(AND(AS11&gt;=AY$27,AS11&lt;&gt;"",AP11=""),AND(AU11&gt;=AY$27,AU11&lt;&gt;"",AP11=""),AND(AX11&gt;=AY$27,AX11&lt;&gt;"",AP11=""),AND(BW11&gt;=CC$27,BW11&lt;&gt;"",BT11=""),AND(BY11&gt;=CC$27,BY11&lt;&gt;"",BT11=""),AND(CB11&gt;=CC$27,CB11&lt;&gt;"",BT11=""),AND(DA11&gt;=DG$27,DA11&lt;&gt;"",CX11=""),AND(DC11&gt;=DG$27,DC11&lt;&gt;"",CX11=""),AND(DF11&gt;=DG$27,DF11&lt;&gt;"",CX11=""),AND(EC11&gt;=EG$27,EC11&lt;&gt;""),AND(EF11&gt;=EG$27,EF11&lt;&gt;""),AND(EY11&gt;=FC$27,EY11&lt;&gt;""),AND(FB11&gt;=FC$27,FB11&lt;&gt;""),AND(FU11&gt;=FY$27,FU11&lt;&gt;""),AND(FX11&gt;=FY$27,FX11&lt;&gt;""),AND(GQ11&gt;=GU$27,GQ11&lt;&gt;""),AND(GT11&gt;=GU$27,GT11&lt;&gt;""),AND(HM11&gt;=HQ$27,HM11&lt;&gt;""),AND(HP11&gt;=HQ$27,HP11&lt;&gt;""),AND(II11&gt;=IM$27,II11&lt;&gt;""),AND(IL11&gt;=IM$27,IL11&lt;&gt;""),AND(JE11&gt;=JI$27,JE11&lt;&gt;""),AND(JH11&gt;=JI$27,JH11&lt;&gt;""),AND(KA11&gt;=KE$27,KA11&lt;&gt;""),AND(KD11&gt;=KE$27,KD11&lt;&gt;""),AND(KW11&gt;=LA$27,KW11&lt;&gt;""),AND(KZ11&gt;=LA$27,KZ11&lt;&gt;""),AND(LS11&gt;=LW$27,LS11&lt;&gt;""),AND(LV11&gt;=LW$27,LV11&lt;&gt;""),AND(MO11&gt;=MS$27,MO11&lt;&gt;""),AND(MR11&gt;=MS$27,MR11&lt;&gt;""),AND(NK11&gt;=NO$27,NK11&lt;&gt;""),AND(NN11&gt;=NO$27,NN11&lt;&gt;"")),"Merit",IF(OR(AND(AS11&gt;=AY$26,AS11&lt;&gt;"",AP11=""),AND(AU11&gt;=AY$26,AU11&lt;&gt;"",AP11=""),AND(AX11&gt;=AY$26,AX11&lt;&gt;"",AP11=""),AND(BW11&gt;=CC$26,BW11&lt;&gt;"",BT11=""),AND(BY11&gt;=CC$26,BY11&lt;&gt;"",BT11=""),AND(CB11&gt;=CC$26,CB11&lt;&gt;"",BT11=""),AND(DA11&gt;=DG$26,DA11&lt;&gt;"",CX11=""),AND(DC11&gt;=DG$26,DC11&lt;&gt;"",CX11=""),AND(DF11&gt;=DG$26,DF11&lt;&gt;"",CX11=""),AND(EC11&gt;=EG$26,EC11&lt;&gt;""),AND(EF11&gt;=EG$26,EF11&lt;&gt;""),AND(EY11&gt;=FC$26,EY11&lt;&gt;""),AND(FB11&gt;=FC$26,FB11&lt;&gt;""),AND(FU11&gt;=FY$26,FU11&lt;&gt;""),AND(FX11&gt;=FY$26,FX11&lt;&gt;""),AND(GQ11&gt;=GU$26,GQ11&lt;&gt;""),AND(GT11&gt;=GU$26,GT11&lt;&gt;""),AND(HM11&gt;=HQ$26,HM11&lt;&gt;""),AND(HP11&gt;=HQ$26,HP11&lt;&gt;""),AND(II11&gt;=IM$26,II11&lt;&gt;""),AND(IL11&gt;=IM$26,IL11&lt;&gt;""),AND(JE11&gt;=JI$26,JE11&lt;&gt;""),AND(JH11&gt;=JI$26,JH11&lt;&gt;""),AND(KA11&gt;=KE$26,KA11&lt;&gt;""),AND(KD11&gt;=KE$26,KD11&lt;&gt;""),AND(KW11&gt;=LA$26,KW11&lt;&gt;""),AND(KZ11&gt;=LA$26,KZ11&lt;&gt;""),AND(LS11&gt;=LW$26,LS11&lt;&gt;""),AND(LV11&gt;=LW$26,LV11&lt;&gt;""),AND(MO11&gt;=MS$26,MO11&lt;&gt;""),AND(MR11&gt;=MS$26,MR11&lt;&gt;""),AND(NK11&gt;=NO$26,NK11&lt;&gt;""),AND(NN11&gt;=NO$26,NN11&lt;&gt;"")),"Excellence",IF(OR(AND(AV11&gt;=AY$25,AV11&lt;&gt;"",AP11=""),AND(BZ11&gt;=CC$25,BZ11&lt;&gt;"",BT11=""),AND(DD11&gt;=DG$25,DD11&lt;&gt;"",CX11=""),AND(ED11&gt;=EG$25,ED11&lt;&gt;""),AND(EZ11&gt;=FC$25,EZ11&lt;&gt;""),AND(FV11&gt;=FY$25,FV11&lt;&gt;""),AND(GR11&gt;=GU$25,GR11&lt;&gt;""),AND(HN11&gt;=HQ$25,HN11&lt;&gt;""),AND(IJ11&gt;=IM$25,IJ11&lt;&gt;""),AND(JF11&gt;=JI$25,JF11&lt;&gt;""),AND(KB11&gt;=KE$25,KB11&lt;&gt;""),AND(KX11&gt;=LA$25,KX11&lt;&gt;""),AND(LT11&gt;=LW$25,LT11&lt;&gt;""),AND(MP11&gt;=MS$25,MP11&lt;&gt;""),AND(NL11&gt;=NO$25,NL11&lt;&gt;"")),"Worlds Team",IF(OR(AND(AV11&gt;=AY$24,AV11&lt;&gt;"",AP11=""),AND(BZ11&gt;=CC$24,BZ11&lt;&gt;"",BT11=""),AND(DD11&gt;=DG$24,DD11&lt;&gt;"",CX11=""),AND(ED11&gt;=EG$24,ED11&lt;&gt;""),AND(EZ11&gt;=FC$24,EZ11&lt;&gt;""),AND(FV11&gt;=FY$24,FV11&lt;&gt;""),AND(GR11&gt;=GU$24,GR11&lt;&gt;""),AND(HN11&gt;=HQ$24,HN11&lt;&gt;""),AND(IJ11&gt;=IM$24,IJ11&lt;&gt;""),AND(JF11&gt;=JI$24,JF11&lt;&gt;""),AND(KB11&gt;=KE$24,KB11&lt;&gt;""),AND(KX11&gt;=LA$24,KX11&lt;&gt;""),AND(LT11&gt;=LW$24,LT11&lt;&gt;""),AND(MP11&gt;=MS$24,MP11&lt;&gt;""),AND(NL11&gt;=NO$24,NL11&lt;&gt;"")),"National Team",""))))</f>
        <v/>
      </c>
      <c r="I11" s="126" t="str">
        <f t="shared" si="2"/>
        <v/>
      </c>
      <c r="J11" s="3" t="str">
        <f>IF(AND(OR(AND(AV11&gt;=AY$25,AV11&lt;&gt;"",AP11=""),AND(BZ11&gt;=CC$25,BZ11&lt;&gt;"",BT11=""),AND(DD11&gt;=DG$25,DD11&lt;&gt;"",CX11=""),AND(ED11&gt;=EG$25,ED11&lt;&gt;""),AND(EZ11&gt;=FC$25,EZ11&lt;&gt;""),AND(FV11&gt;=FY$25,FV11&lt;&gt;""),AND(GR11&gt;=GU$25,GR11&lt;&gt;""),AND(HN11&gt;=HQ$25,HN11&lt;&gt;""),AND(IJ11&gt;=IM$25,IJ11&lt;&gt;""),AND(JF11&gt;=JI$25,JF11&lt;&gt;""),AND(KB11&gt;=KE$25,KB11&lt;&gt;""),AND(KX11&gt;=LA$25,KX11&lt;&gt;""),AND(LT11&gt;=LW$25,LT11&lt;&gt;""),AND(MP11&gt;=MS$25,MP11&lt;&gt;""),AND(NL11&gt;=NO$25,NL11&lt;&gt;"")),OR(G11="Worlds Team",G11="Excellence",G11="Merit")),"P","")</f>
        <v/>
      </c>
      <c r="K11" s="14">
        <f t="shared" si="3"/>
        <v>94.58</v>
      </c>
      <c r="L11" s="14" t="str">
        <f t="shared" si="4"/>
        <v>2021 2nd Virtual Technical Trial</v>
      </c>
      <c r="M11" s="14">
        <f t="shared" si="5"/>
        <v>45.364999999999995</v>
      </c>
      <c r="N11" s="14" t="str">
        <f t="shared" si="6"/>
        <v>2019 Nationals</v>
      </c>
      <c r="O11" s="14">
        <f t="shared" si="7"/>
        <v>49.08</v>
      </c>
      <c r="P11" s="14" t="str">
        <f t="shared" si="8"/>
        <v>2019 Nationals</v>
      </c>
      <c r="Q11" s="14">
        <f t="shared" si="9"/>
        <v>48.81</v>
      </c>
      <c r="R11" s="14" t="str">
        <f t="shared" si="10"/>
        <v>2021 1st Virtual Technical Trial</v>
      </c>
      <c r="S11" s="14" t="str">
        <f t="shared" si="11"/>
        <v/>
      </c>
      <c r="T11" s="25" t="str">
        <f t="shared" si="12"/>
        <v/>
      </c>
      <c r="U11" s="14" t="str">
        <f t="shared" si="13"/>
        <v/>
      </c>
      <c r="V11" s="69">
        <v>17.5</v>
      </c>
      <c r="W11" s="69">
        <v>9.6999999999999993</v>
      </c>
      <c r="X11" s="69">
        <v>3.2</v>
      </c>
      <c r="Y11" s="69">
        <v>14.965</v>
      </c>
      <c r="Z11" s="69">
        <v>0</v>
      </c>
      <c r="AA11" s="69">
        <v>14.5</v>
      </c>
      <c r="AB11" s="69">
        <v>9</v>
      </c>
      <c r="AC11" s="69">
        <v>11.3</v>
      </c>
      <c r="AD11" s="69">
        <v>14.28</v>
      </c>
      <c r="AE11" s="69">
        <v>0</v>
      </c>
      <c r="AF11" s="69"/>
      <c r="AG11" s="69"/>
      <c r="AH11" s="69"/>
      <c r="AI11" s="69"/>
      <c r="AJ11" s="69"/>
      <c r="AK11" s="69">
        <v>4.5599999999999996</v>
      </c>
      <c r="AL11" s="69">
        <v>2.7</v>
      </c>
      <c r="AM11" s="69">
        <v>3.5</v>
      </c>
      <c r="AN11" s="69">
        <v>4.53</v>
      </c>
      <c r="AO11" s="69">
        <v>0</v>
      </c>
      <c r="AP11" s="80"/>
      <c r="AQ11" s="11">
        <f t="shared" si="14"/>
        <v>45.364999999999995</v>
      </c>
      <c r="AR11" s="11">
        <f t="shared" si="15"/>
        <v>11.3</v>
      </c>
      <c r="AS11" s="11">
        <f t="shared" si="16"/>
        <v>49.08</v>
      </c>
      <c r="AT11" s="11" t="str">
        <f t="shared" si="17"/>
        <v/>
      </c>
      <c r="AU11" s="11" t="str">
        <f t="shared" si="18"/>
        <v/>
      </c>
      <c r="AV11" s="11">
        <f t="shared" si="19"/>
        <v>94.444999999999993</v>
      </c>
      <c r="AW11" s="11">
        <f t="shared" si="20"/>
        <v>3.5</v>
      </c>
      <c r="AX11" s="11">
        <f t="shared" si="21"/>
        <v>15.29</v>
      </c>
      <c r="AY11" s="11">
        <f t="shared" si="22"/>
        <v>109.73499999999999</v>
      </c>
      <c r="AZ11" s="75">
        <v>16.7</v>
      </c>
      <c r="BA11" s="75">
        <v>9.1999999999999993</v>
      </c>
      <c r="BB11" s="75">
        <v>3.7</v>
      </c>
      <c r="BC11" s="75">
        <v>14.74</v>
      </c>
      <c r="BD11" s="75">
        <v>0</v>
      </c>
      <c r="BE11" s="75">
        <v>13.8</v>
      </c>
      <c r="BF11" s="75">
        <v>9.0500000000000007</v>
      </c>
      <c r="BG11" s="75">
        <v>12</v>
      </c>
      <c r="BH11" s="75">
        <v>14.105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14.3</v>
      </c>
      <c r="BP11" s="75">
        <v>9</v>
      </c>
      <c r="BQ11" s="75">
        <v>11.3</v>
      </c>
      <c r="BR11" s="75">
        <v>14.21</v>
      </c>
      <c r="BS11" s="75">
        <v>0</v>
      </c>
      <c r="BT11" s="81"/>
      <c r="BU11" s="14">
        <f t="shared" si="23"/>
        <v>44.339999999999996</v>
      </c>
      <c r="BV11" s="14">
        <f t="shared" si="24"/>
        <v>12</v>
      </c>
      <c r="BW11" s="14">
        <f t="shared" si="25"/>
        <v>48.954999999999998</v>
      </c>
      <c r="BX11" s="14" t="str">
        <f t="shared" si="26"/>
        <v/>
      </c>
      <c r="BY11" s="14" t="str">
        <f t="shared" si="27"/>
        <v/>
      </c>
      <c r="BZ11" s="14">
        <f t="shared" si="28"/>
        <v>93.294999999999987</v>
      </c>
      <c r="CA11" s="14">
        <f t="shared" si="29"/>
        <v>11.3</v>
      </c>
      <c r="CB11" s="14">
        <f t="shared" si="30"/>
        <v>48.81</v>
      </c>
      <c r="CC11" s="14">
        <f t="shared" si="31"/>
        <v>142.10499999999999</v>
      </c>
      <c r="CD11" s="69">
        <v>16.3</v>
      </c>
      <c r="CE11" s="69">
        <v>9.6</v>
      </c>
      <c r="CF11" s="69">
        <v>4.7</v>
      </c>
      <c r="CG11" s="69">
        <v>14.69</v>
      </c>
      <c r="CH11" s="69">
        <v>0</v>
      </c>
      <c r="CI11" s="69">
        <v>13</v>
      </c>
      <c r="CJ11" s="69">
        <v>9.1</v>
      </c>
      <c r="CK11" s="69">
        <v>12</v>
      </c>
      <c r="CL11" s="69">
        <v>13.96</v>
      </c>
      <c r="CM11" s="69">
        <v>0</v>
      </c>
      <c r="CN11" s="69">
        <v>14.1</v>
      </c>
      <c r="CO11" s="69">
        <v>9</v>
      </c>
      <c r="CP11" s="69">
        <v>12</v>
      </c>
      <c r="CQ11" s="69">
        <v>14.19</v>
      </c>
      <c r="CR11" s="69">
        <v>0</v>
      </c>
      <c r="CS11" s="69">
        <v>13.1</v>
      </c>
      <c r="CT11" s="69">
        <v>9</v>
      </c>
      <c r="CU11" s="69">
        <v>12.7</v>
      </c>
      <c r="CV11" s="69">
        <v>13.89</v>
      </c>
      <c r="CW11" s="69">
        <v>0</v>
      </c>
      <c r="CX11" s="80"/>
      <c r="CY11" s="11">
        <f t="shared" si="32"/>
        <v>45.29</v>
      </c>
      <c r="CZ11" s="11">
        <f t="shared" si="33"/>
        <v>12</v>
      </c>
      <c r="DA11" s="11">
        <f t="shared" si="34"/>
        <v>48.06</v>
      </c>
      <c r="DB11" s="11">
        <f t="shared" si="35"/>
        <v>12</v>
      </c>
      <c r="DC11" s="11">
        <f t="shared" si="36"/>
        <v>49.29</v>
      </c>
      <c r="DD11" s="11">
        <f t="shared" si="37"/>
        <v>94.58</v>
      </c>
      <c r="DE11" s="11">
        <f t="shared" si="38"/>
        <v>12.7</v>
      </c>
      <c r="DF11" s="11">
        <f t="shared" si="39"/>
        <v>48.69</v>
      </c>
      <c r="DG11" s="11">
        <f t="shared" si="40"/>
        <v>143.26999999999998</v>
      </c>
      <c r="DH11" s="24" t="str">
        <f t="shared" si="41"/>
        <v/>
      </c>
      <c r="DI11" s="24" t="str">
        <f t="shared" si="42"/>
        <v/>
      </c>
      <c r="DJ11" s="24" t="str">
        <f t="shared" si="43"/>
        <v/>
      </c>
      <c r="DK11" s="24" t="str">
        <f t="shared" si="44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5"/>
        <v/>
      </c>
      <c r="EB11" s="11" t="str">
        <f t="shared" si="46"/>
        <v/>
      </c>
      <c r="EC11" s="11" t="str">
        <f t="shared" si="47"/>
        <v/>
      </c>
      <c r="ED11" s="11" t="str">
        <f t="shared" si="48"/>
        <v/>
      </c>
      <c r="EE11" s="11" t="str">
        <f t="shared" si="49"/>
        <v/>
      </c>
      <c r="EF11" s="11" t="str">
        <f t="shared" si="50"/>
        <v/>
      </c>
      <c r="EG11" s="11" t="str">
        <f t="shared" si="51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2"/>
        <v/>
      </c>
      <c r="EX11" s="14" t="str">
        <f t="shared" si="53"/>
        <v/>
      </c>
      <c r="EY11" s="14" t="str">
        <f t="shared" si="54"/>
        <v/>
      </c>
      <c r="EZ11" s="14" t="str">
        <f t="shared" si="55"/>
        <v/>
      </c>
      <c r="FA11" s="14" t="str">
        <f t="shared" si="56"/>
        <v/>
      </c>
      <c r="FB11" s="14" t="str">
        <f t="shared" si="57"/>
        <v/>
      </c>
      <c r="FC11" s="14" t="str">
        <f t="shared" si="58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59"/>
        <v/>
      </c>
      <c r="FT11" s="11" t="str">
        <f t="shared" si="60"/>
        <v/>
      </c>
      <c r="FU11" s="11" t="str">
        <f t="shared" si="61"/>
        <v/>
      </c>
      <c r="FV11" s="11" t="str">
        <f t="shared" si="62"/>
        <v/>
      </c>
      <c r="FW11" s="11" t="str">
        <f t="shared" si="63"/>
        <v/>
      </c>
      <c r="FX11" s="11" t="str">
        <f t="shared" si="64"/>
        <v/>
      </c>
      <c r="FY11" s="11" t="str">
        <f t="shared" si="65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6"/>
        <v/>
      </c>
      <c r="GP11" s="14" t="str">
        <f t="shared" si="67"/>
        <v/>
      </c>
      <c r="GQ11" s="14" t="str">
        <f t="shared" si="68"/>
        <v/>
      </c>
      <c r="GR11" s="14" t="str">
        <f t="shared" si="69"/>
        <v/>
      </c>
      <c r="GS11" s="14" t="str">
        <f t="shared" si="70"/>
        <v/>
      </c>
      <c r="GT11" s="14" t="str">
        <f t="shared" si="71"/>
        <v/>
      </c>
      <c r="GU11" s="14" t="str">
        <f t="shared" si="72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3"/>
        <v/>
      </c>
      <c r="HL11" s="11" t="str">
        <f t="shared" si="74"/>
        <v/>
      </c>
      <c r="HM11" s="11" t="str">
        <f t="shared" si="75"/>
        <v/>
      </c>
      <c r="HN11" s="11" t="str">
        <f t="shared" si="76"/>
        <v/>
      </c>
      <c r="HO11" s="11" t="str">
        <f t="shared" si="77"/>
        <v/>
      </c>
      <c r="HP11" s="11" t="str">
        <f t="shared" si="78"/>
        <v/>
      </c>
      <c r="HQ11" s="11" t="str">
        <f t="shared" si="79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0"/>
        <v/>
      </c>
      <c r="IH11" s="14" t="str">
        <f t="shared" si="81"/>
        <v/>
      </c>
      <c r="II11" s="14" t="str">
        <f t="shared" si="82"/>
        <v/>
      </c>
      <c r="IJ11" s="14" t="str">
        <f t="shared" si="83"/>
        <v/>
      </c>
      <c r="IK11" s="14" t="str">
        <f t="shared" si="84"/>
        <v/>
      </c>
      <c r="IL11" s="14" t="str">
        <f t="shared" si="85"/>
        <v/>
      </c>
      <c r="IM11" s="14" t="str">
        <f t="shared" si="86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87"/>
        <v/>
      </c>
      <c r="JD11" s="11" t="str">
        <f t="shared" si="88"/>
        <v/>
      </c>
      <c r="JE11" s="11" t="str">
        <f t="shared" si="89"/>
        <v/>
      </c>
      <c r="JF11" s="11" t="str">
        <f t="shared" si="90"/>
        <v/>
      </c>
      <c r="JG11" s="11" t="str">
        <f t="shared" si="91"/>
        <v/>
      </c>
      <c r="JH11" s="11" t="str">
        <f t="shared" si="92"/>
        <v/>
      </c>
      <c r="JI11" s="11" t="str">
        <f t="shared" si="93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4"/>
        <v/>
      </c>
      <c r="JZ11" s="14" t="str">
        <f t="shared" si="95"/>
        <v/>
      </c>
      <c r="KA11" s="14" t="str">
        <f t="shared" si="96"/>
        <v/>
      </c>
      <c r="KB11" s="14" t="str">
        <f t="shared" si="97"/>
        <v/>
      </c>
      <c r="KC11" s="14" t="str">
        <f t="shared" si="98"/>
        <v/>
      </c>
      <c r="KD11" s="14" t="str">
        <f t="shared" si="99"/>
        <v/>
      </c>
      <c r="KE11" s="14" t="str">
        <f t="shared" si="100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1"/>
        <v/>
      </c>
      <c r="KV11" s="11" t="str">
        <f t="shared" si="102"/>
        <v/>
      </c>
      <c r="KW11" s="11" t="str">
        <f t="shared" si="103"/>
        <v/>
      </c>
      <c r="KX11" s="11" t="str">
        <f t="shared" si="104"/>
        <v/>
      </c>
      <c r="KY11" s="11" t="str">
        <f t="shared" si="105"/>
        <v/>
      </c>
      <c r="KZ11" s="11" t="str">
        <f t="shared" si="106"/>
        <v/>
      </c>
      <c r="LA11" s="11" t="str">
        <f t="shared" si="107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08"/>
        <v/>
      </c>
      <c r="LR11" s="14" t="str">
        <f t="shared" si="109"/>
        <v/>
      </c>
      <c r="LS11" s="14" t="str">
        <f t="shared" si="110"/>
        <v/>
      </c>
      <c r="LT11" s="14" t="str">
        <f t="shared" si="111"/>
        <v/>
      </c>
      <c r="LU11" s="14" t="str">
        <f t="shared" si="112"/>
        <v/>
      </c>
      <c r="LV11" s="14" t="str">
        <f t="shared" si="113"/>
        <v/>
      </c>
      <c r="LW11" s="14" t="str">
        <f t="shared" si="114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5"/>
        <v/>
      </c>
      <c r="MN11" s="11" t="str">
        <f t="shared" si="116"/>
        <v/>
      </c>
      <c r="MO11" s="11" t="str">
        <f t="shared" si="117"/>
        <v/>
      </c>
      <c r="MP11" s="11" t="str">
        <f t="shared" si="118"/>
        <v/>
      </c>
      <c r="MQ11" s="11" t="str">
        <f t="shared" si="119"/>
        <v/>
      </c>
      <c r="MR11" s="11" t="str">
        <f t="shared" si="120"/>
        <v/>
      </c>
      <c r="MS11" s="11" t="str">
        <f t="shared" si="121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2"/>
        <v/>
      </c>
      <c r="NJ11" s="14" t="str">
        <f t="shared" si="123"/>
        <v/>
      </c>
      <c r="NK11" s="14" t="str">
        <f t="shared" si="124"/>
        <v/>
      </c>
      <c r="NL11" s="14" t="str">
        <f t="shared" si="125"/>
        <v/>
      </c>
      <c r="NM11" s="14" t="str">
        <f t="shared" si="126"/>
        <v/>
      </c>
      <c r="NN11" s="14" t="str">
        <f t="shared" si="127"/>
        <v/>
      </c>
      <c r="NO11" s="14" t="str">
        <f t="shared" si="128"/>
        <v/>
      </c>
      <c r="NP11" s="69">
        <f t="shared" si="129"/>
        <v>16.5</v>
      </c>
      <c r="NQ11" s="69">
        <f t="shared" si="130"/>
        <v>9.3999999999999986</v>
      </c>
      <c r="NR11" s="69">
        <f t="shared" si="131"/>
        <v>4.2</v>
      </c>
      <c r="NS11" s="69">
        <f t="shared" si="132"/>
        <v>14.715</v>
      </c>
      <c r="NT11" s="69">
        <f t="shared" si="133"/>
        <v>0</v>
      </c>
      <c r="NU11" s="69">
        <f t="shared" si="134"/>
        <v>13.4</v>
      </c>
      <c r="NV11" s="69">
        <f t="shared" si="135"/>
        <v>9.0749999999999993</v>
      </c>
      <c r="NW11" s="69">
        <f t="shared" si="136"/>
        <v>12</v>
      </c>
      <c r="NX11" s="69">
        <f t="shared" si="137"/>
        <v>14.032500000000001</v>
      </c>
      <c r="NY11" s="69">
        <f t="shared" si="138"/>
        <v>0</v>
      </c>
      <c r="NZ11" s="69">
        <f t="shared" si="139"/>
        <v>7.05</v>
      </c>
      <c r="OA11" s="69">
        <f t="shared" si="140"/>
        <v>4.5</v>
      </c>
      <c r="OB11" s="69">
        <f t="shared" si="141"/>
        <v>6</v>
      </c>
      <c r="OC11" s="69">
        <f t="shared" si="142"/>
        <v>7.0949999999999998</v>
      </c>
      <c r="OD11" s="69">
        <f t="shared" si="143"/>
        <v>0</v>
      </c>
      <c r="OE11" s="69">
        <f t="shared" si="144"/>
        <v>13.7</v>
      </c>
      <c r="OF11" s="69">
        <f t="shared" si="145"/>
        <v>9</v>
      </c>
      <c r="OG11" s="69">
        <f t="shared" si="146"/>
        <v>12</v>
      </c>
      <c r="OH11" s="69">
        <f t="shared" si="147"/>
        <v>14.05</v>
      </c>
      <c r="OI11" s="69">
        <f t="shared" si="148"/>
        <v>0</v>
      </c>
      <c r="OJ11" s="80" t="s">
        <v>88</v>
      </c>
      <c r="OK11" s="11">
        <f t="shared" si="149"/>
        <v>44.814999999999998</v>
      </c>
      <c r="OL11" s="11">
        <f t="shared" si="150"/>
        <v>12</v>
      </c>
      <c r="OM11" s="11">
        <f t="shared" si="151"/>
        <v>48.5075</v>
      </c>
      <c r="ON11" s="11">
        <f t="shared" si="152"/>
        <v>6</v>
      </c>
      <c r="OO11" s="11">
        <f t="shared" si="153"/>
        <v>24.645</v>
      </c>
      <c r="OP11" s="11">
        <f t="shared" si="154"/>
        <v>93.322499999999991</v>
      </c>
      <c r="OQ11" s="11">
        <f t="shared" si="155"/>
        <v>12</v>
      </c>
      <c r="OR11" s="11">
        <f t="shared" si="156"/>
        <v>48.75</v>
      </c>
      <c r="OS11" s="11">
        <f t="shared" si="157"/>
        <v>142.07249999999999</v>
      </c>
    </row>
    <row r="12" spans="1:409" x14ac:dyDescent="0.2">
      <c r="A12" s="5" t="str" cm="1">
        <f t="array" ref="A12">IF(AND(G12&lt;&gt;"",H12&lt;&gt;""),SUMPRODUCT((G$4:G$18&lt;&gt;"")*(H$4:H$18&lt;&gt;"")*(E$4:E$18&gt;E12))+1,IF(H12&lt;&gt;"",SUMPRODUCT((I$4:I$18="No DD")*(E$4:E$18&gt;E12))+1+SUMPRODUCT((G$4:G$18&lt;&gt;"")*(H$4:H$18&lt;&gt;"")),""))</f>
        <v/>
      </c>
      <c r="B12" s="127" t="s">
        <v>153</v>
      </c>
      <c r="C12" s="5" t="s">
        <v>6</v>
      </c>
      <c r="D12" s="5">
        <v>2001</v>
      </c>
      <c r="E12" s="15">
        <f t="shared" si="0"/>
        <v>230.63499999999999</v>
      </c>
      <c r="F12" s="3" t="str">
        <f t="shared" si="1"/>
        <v>P</v>
      </c>
      <c r="G12" s="125" t="str">
        <f>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Merit",IF(OR(AND(AR12&gt;=AY$22,AR12&lt;&gt;"",AP12=""),AND(AT12&gt;=AY$22,AT12&lt;&gt;"",AP12=""),AND(AW12&gt;=AY$22,AW12&lt;&gt;"",AP12=""),AND(BV12&gt;=CC$22,BV12&lt;&gt;"",BT12=""),AND(BX12&gt;=CC$22,BX12&lt;&gt;"",BT12=""),AND(CA12&gt;=CC$22,CA12&lt;&gt;"",BT12=""),AND(CZ12&gt;=DG$22,CZ12&lt;&gt;"",CX12=""),AND(DB12&gt;=DG$22,DB12&lt;&gt;"",CX12=""),AND(DE12&gt;=DG$22,DE12&lt;&gt;"",CX12=""),AND(EA12&gt;=EG$22,EA12&lt;&gt;""),AND(EE12&gt;=EG$22,EE12&lt;&gt;""),AND(EW12&gt;=FC$22,EW12&lt;&gt;""),AND(FA12&gt;=FC$22,FA12&lt;&gt;""),AND(FS12&gt;=FY$22,FS12&lt;&gt;""),AND(FW12&gt;=FY$22,FW12&lt;&gt;""),AND(GO12&gt;=GU$22,GO12&lt;&gt;""),AND(GS12&gt;=GU$22,GS12&lt;&gt;""),AND(HK12&gt;=HQ$22,HK12&lt;&gt;""),AND(HO12&gt;=HQ$22,HO12&lt;&gt;""),AND(IG12&gt;=IM$22,IG12&lt;&gt;""),AND(IK12&gt;=IM$22,IK12&lt;&gt;""),AND(JC12&gt;=JI$22,JC12&lt;&gt;""),AND(JG12&gt;=JI$22,JG12&lt;&gt;""),AND(JY12&gt;=KE$22,JY12&lt;&gt;""),AND(KC12&gt;=KE$22,KC12&lt;&gt;""),AND(KU12&gt;=LA$22,KU12&lt;&gt;""),AND(KY12&gt;=LA$22,KY12&lt;&gt;""),AND(LQ12&gt;=LW$22,LQ12&lt;&gt;""),AND(LU12&gt;=LW$22,LU12&lt;&gt;""),AND(MM12&gt;=MS$22,MM12&lt;&gt;""),AND(MQ12&gt;=MS$22,MQ12&lt;&gt;""),AND(NI12&gt;=NO$22,NI12&lt;&gt;""),AND(NM12&gt;=NO$22,NM12&lt;&gt;"")),"Excellence",IF(OR(AND(AR12&gt;=AY$21,AR12&lt;&gt;"",AP12=""),AND(AT12&gt;=AY$21,AT12&lt;&gt;"",AP12=""),AND(AW12&gt;=AY$21,AW12&lt;&gt;"",AP12=""),AND(BV12&gt;=CC$21,BV12&lt;&gt;"",BT12=""),AND(BX12&gt;=CC$21,BX12&lt;&gt;"",BT12=""),AND(CA12&gt;=CC$21,CA12&lt;&gt;"",BT12=""),AND(CZ12&gt;=DG$21,CZ12&lt;&gt;"",CX12=""),AND(DB12&gt;=DG$21,DB12&lt;&gt;"",CX12=""),AND(DE12&gt;=DG$21,DE12&lt;&gt;"",CX12=""),AND(EA12&gt;=EG$21,EA12&lt;&gt;""),AND(EE12&gt;=EG$21,EE12&lt;&gt;""),AND(EW12&gt;=FC$21,EW12&lt;&gt;""),AND(FA12&gt;=FC$21,FA12&lt;&gt;""),AND(FS12&gt;=FY$21,FS12&lt;&gt;""),AND(FW12&gt;=FY$21,FW12&lt;&gt;""),AND(GO12&gt;=GU$21,GO12&lt;&gt;""),AND(GS12&gt;=GU$21,GS12&lt;&gt;""),AND(HK12&gt;=HQ$21,HK12&lt;&gt;""),AND(HO12&gt;=HQ$21,HO12&lt;&gt;""),AND(IG12&gt;=IM$21,IG12&lt;&gt;""),AND(IK12&gt;=IM$21,IK12&lt;&gt;""),AND(JC12&gt;=JI$21,JC12&lt;&gt;""),AND(JG12&gt;=JI$21,JG12&lt;&gt;""),AND(JY12&gt;=KE$21,JY12&lt;&gt;""),AND(KC12&gt;=KE$21,KC12&lt;&gt;""),AND(KU12&gt;=LA$21,KU12&lt;&gt;""),AND(KY12&gt;=LA$21,KY12&lt;&gt;""),AND(LQ12&gt;=LW$21,LQ12&lt;&gt;""),AND(LU12&gt;=LW$21,LU12&lt;&gt;""),AND(MM12&gt;=MS$21,MM12&lt;&gt;""),AND(MQ12&gt;=MS$21,MQ12&lt;&gt;""),AND(NI12&gt;=NO$21,NI12&lt;&gt;""),AND(NM12&gt;=NO$21,NM12&lt;&gt;"")),"Worlds Team",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National Team",""))))</f>
        <v>Merit</v>
      </c>
      <c r="H12" s="125" t="str">
        <f>IF(OR(AND(AS12&gt;=AY$27,AS12&lt;&gt;"",AP12=""),AND(AU12&gt;=AY$27,AU12&lt;&gt;"",AP12=""),AND(AX12&gt;=AY$27,AX12&lt;&gt;"",AP12=""),AND(BW12&gt;=CC$27,BW12&lt;&gt;"",BT12=""),AND(BY12&gt;=CC$27,BY12&lt;&gt;"",BT12=""),AND(CB12&gt;=CC$27,CB12&lt;&gt;"",BT12=""),AND(DA12&gt;=DG$27,DA12&lt;&gt;"",CX12=""),AND(DC12&gt;=DG$27,DC12&lt;&gt;"",CX12=""),AND(DF12&gt;=DG$27,DF12&lt;&gt;"",CX12=""),AND(EC12&gt;=EG$27,EC12&lt;&gt;""),AND(EF12&gt;=EG$27,EF12&lt;&gt;""),AND(EY12&gt;=FC$27,EY12&lt;&gt;""),AND(FB12&gt;=FC$27,FB12&lt;&gt;""),AND(FU12&gt;=FY$27,FU12&lt;&gt;""),AND(FX12&gt;=FY$27,FX12&lt;&gt;""),AND(GQ12&gt;=GU$27,GQ12&lt;&gt;""),AND(GT12&gt;=GU$27,GT12&lt;&gt;""),AND(HM12&gt;=HQ$27,HM12&lt;&gt;""),AND(HP12&gt;=HQ$27,HP12&lt;&gt;""),AND(II12&gt;=IM$27,II12&lt;&gt;""),AND(IL12&gt;=IM$27,IL12&lt;&gt;""),AND(JE12&gt;=JI$27,JE12&lt;&gt;""),AND(JH12&gt;=JI$27,JH12&lt;&gt;""),AND(KA12&gt;=KE$27,KA12&lt;&gt;""),AND(KD12&gt;=KE$27,KD12&lt;&gt;""),AND(KW12&gt;=LA$27,KW12&lt;&gt;""),AND(KZ12&gt;=LA$27,KZ12&lt;&gt;""),AND(LS12&gt;=LW$27,LS12&lt;&gt;""),AND(LV12&gt;=LW$27,LV12&lt;&gt;""),AND(MO12&gt;=MS$27,MO12&lt;&gt;""),AND(MR12&gt;=MS$27,MR12&lt;&gt;""),AND(NK12&gt;=NO$27,NK12&lt;&gt;""),AND(NN12&gt;=NO$27,NN12&lt;&gt;"")),"Merit",IF(OR(AND(AS12&gt;=AY$26,AS12&lt;&gt;"",AP12=""),AND(AU12&gt;=AY$26,AU12&lt;&gt;"",AP12=""),AND(AX12&gt;=AY$26,AX12&lt;&gt;"",AP12=""),AND(BW12&gt;=CC$26,BW12&lt;&gt;"",BT12=""),AND(BY12&gt;=CC$26,BY12&lt;&gt;"",BT12=""),AND(CB12&gt;=CC$26,CB12&lt;&gt;"",BT12=""),AND(DA12&gt;=DG$26,DA12&lt;&gt;"",CX12=""),AND(DC12&gt;=DG$26,DC12&lt;&gt;"",CX12=""),AND(DF12&gt;=DG$26,DF12&lt;&gt;"",CX12=""),AND(EC12&gt;=EG$26,EC12&lt;&gt;""),AND(EF12&gt;=EG$26,EF12&lt;&gt;""),AND(EY12&gt;=FC$26,EY12&lt;&gt;""),AND(FB12&gt;=FC$26,FB12&lt;&gt;""),AND(FU12&gt;=FY$26,FU12&lt;&gt;""),AND(FX12&gt;=FY$26,FX12&lt;&gt;""),AND(GQ12&gt;=GU$26,GQ12&lt;&gt;""),AND(GT12&gt;=GU$26,GT12&lt;&gt;""),AND(HM12&gt;=HQ$26,HM12&lt;&gt;""),AND(HP12&gt;=HQ$26,HP12&lt;&gt;""),AND(II12&gt;=IM$26,II12&lt;&gt;""),AND(IL12&gt;=IM$26,IL12&lt;&gt;""),AND(JE12&gt;=JI$26,JE12&lt;&gt;""),AND(JH12&gt;=JI$26,JH12&lt;&gt;""),AND(KA12&gt;=KE$26,KA12&lt;&gt;""),AND(KD12&gt;=KE$26,KD12&lt;&gt;""),AND(KW12&gt;=LA$26,KW12&lt;&gt;""),AND(KZ12&gt;=LA$26,KZ12&lt;&gt;""),AND(LS12&gt;=LW$26,LS12&lt;&gt;""),AND(LV12&gt;=LW$26,LV12&lt;&gt;""),AND(MO12&gt;=MS$26,MO12&lt;&gt;""),AND(MR12&gt;=MS$26,MR12&lt;&gt;""),AND(NK12&gt;=NO$26,NK12&lt;&gt;""),AND(NN12&gt;=NO$26,NN12&lt;&gt;"")),"Excellence",IF(OR(AND(AV12&gt;=AY$25,AV12&lt;&gt;"",AP12=""),AND(BZ12&gt;=CC$25,BZ12&lt;&gt;"",BT12=""),AND(DD12&gt;=DG$25,DD12&lt;&gt;"",CX12=""),AND(ED12&gt;=EG$25,ED12&lt;&gt;""),AND(EZ12&gt;=FC$25,EZ12&lt;&gt;""),AND(FV12&gt;=FY$25,FV12&lt;&gt;""),AND(GR12&gt;=GU$25,GR12&lt;&gt;""),AND(HN12&gt;=HQ$25,HN12&lt;&gt;""),AND(IJ12&gt;=IM$25,IJ12&lt;&gt;""),AND(JF12&gt;=JI$25,JF12&lt;&gt;""),AND(KB12&gt;=KE$25,KB12&lt;&gt;""),AND(KX12&gt;=LA$25,KX12&lt;&gt;""),AND(LT12&gt;=LW$25,LT12&lt;&gt;""),AND(MP12&gt;=MS$25,MP12&lt;&gt;""),AND(NL12&gt;=NO$25,NL12&lt;&gt;"")),"Worlds Team",IF(OR(AND(AV12&gt;=AY$24,AV12&lt;&gt;"",AP12=""),AND(BZ12&gt;=CC$24,BZ12&lt;&gt;"",BT12=""),AND(DD12&gt;=DG$24,DD12&lt;&gt;"",CX12=""),AND(ED12&gt;=EG$24,ED12&lt;&gt;""),AND(EZ12&gt;=FC$24,EZ12&lt;&gt;""),AND(FV12&gt;=FY$24,FV12&lt;&gt;""),AND(GR12&gt;=GU$24,GR12&lt;&gt;""),AND(HN12&gt;=HQ$24,HN12&lt;&gt;""),AND(IJ12&gt;=IM$24,IJ12&lt;&gt;""),AND(JF12&gt;=JI$24,JF12&lt;&gt;""),AND(KB12&gt;=KE$24,KB12&lt;&gt;""),AND(KX12&gt;=LA$24,KX12&lt;&gt;""),AND(LT12&gt;=LW$24,LT12&lt;&gt;""),AND(MP12&gt;=MS$24,MP12&lt;&gt;""),AND(NL12&gt;=NO$24,NL12&lt;&gt;"")),"National Team",""))))</f>
        <v/>
      </c>
      <c r="I12" s="126" t="str">
        <f t="shared" si="2"/>
        <v/>
      </c>
      <c r="J12" s="3" t="str">
        <f>IF(AND(OR(AND(AV12&gt;=AY$25,AV12&lt;&gt;"",AP12=""),AND(BZ12&gt;=CC$25,BZ12&lt;&gt;"",BT12=""),AND(DD12&gt;=DG$25,DD12&lt;&gt;"",CX12=""),AND(ED12&gt;=EG$25,ED12&lt;&gt;""),AND(EZ12&gt;=FC$25,EZ12&lt;&gt;""),AND(FV12&gt;=FY$25,FV12&lt;&gt;""),AND(GR12&gt;=GU$25,GR12&lt;&gt;""),AND(HN12&gt;=HQ$25,HN12&lt;&gt;""),AND(IJ12&gt;=IM$25,IJ12&lt;&gt;""),AND(JF12&gt;=JI$25,JF12&lt;&gt;""),AND(KB12&gt;=KE$25,KB12&lt;&gt;""),AND(KX12&gt;=LA$25,KX12&lt;&gt;""),AND(LT12&gt;=LW$25,LT12&lt;&gt;""),AND(MP12&gt;=MS$25,MP12&lt;&gt;""),AND(NL12&gt;=NO$25,NL12&lt;&gt;"")),OR(G12="Worlds Team",G12="Excellence",G12="Merit")),"P","")</f>
        <v/>
      </c>
      <c r="K12" s="14">
        <f t="shared" si="3"/>
        <v>93.775000000000006</v>
      </c>
      <c r="L12" s="14" t="str">
        <f t="shared" si="4"/>
        <v>2019 Nationals</v>
      </c>
      <c r="M12" s="14">
        <f t="shared" si="5"/>
        <v>45.625</v>
      </c>
      <c r="N12" s="14" t="str">
        <f t="shared" si="6"/>
        <v>2021 2nd Virtual Technical Trial</v>
      </c>
      <c r="O12" s="14">
        <f t="shared" si="7"/>
        <v>48.559999999999995</v>
      </c>
      <c r="P12" s="14" t="str">
        <f t="shared" si="8"/>
        <v>2021 1st Virtual Technical Trial</v>
      </c>
      <c r="Q12" s="14">
        <f t="shared" si="9"/>
        <v>42.674999999999997</v>
      </c>
      <c r="R12" s="14" t="str">
        <f t="shared" si="10"/>
        <v>2021 1st Virtual Technical Trial</v>
      </c>
      <c r="S12" s="14" t="str">
        <f t="shared" si="11"/>
        <v/>
      </c>
      <c r="T12" s="25" t="str">
        <f t="shared" si="12"/>
        <v/>
      </c>
      <c r="U12" s="14" t="str">
        <f t="shared" si="13"/>
        <v/>
      </c>
      <c r="V12" s="69">
        <v>17.2</v>
      </c>
      <c r="W12" s="69">
        <v>9.6</v>
      </c>
      <c r="X12" s="69">
        <v>3.5</v>
      </c>
      <c r="Y12" s="69">
        <v>15.015000000000001</v>
      </c>
      <c r="Z12" s="69">
        <v>0</v>
      </c>
      <c r="AA12" s="69">
        <v>13.2</v>
      </c>
      <c r="AB12" s="69">
        <v>8.3000000000000007</v>
      </c>
      <c r="AC12" s="69">
        <v>13.1</v>
      </c>
      <c r="AD12" s="69">
        <v>14.06</v>
      </c>
      <c r="AE12" s="69">
        <v>0.2</v>
      </c>
      <c r="AF12" s="69"/>
      <c r="AG12" s="69"/>
      <c r="AH12" s="69"/>
      <c r="AI12" s="69"/>
      <c r="AJ12" s="69"/>
      <c r="AK12" s="69">
        <v>2.44</v>
      </c>
      <c r="AL12" s="69">
        <v>1.6</v>
      </c>
      <c r="AM12" s="69">
        <v>3.1</v>
      </c>
      <c r="AN12" s="69">
        <v>2.9449999999999998</v>
      </c>
      <c r="AO12" s="69">
        <v>0</v>
      </c>
      <c r="AP12" s="80"/>
      <c r="AQ12" s="11">
        <f t="shared" si="14"/>
        <v>45.314999999999998</v>
      </c>
      <c r="AR12" s="11">
        <f t="shared" si="15"/>
        <v>13.1</v>
      </c>
      <c r="AS12" s="11">
        <f t="shared" si="16"/>
        <v>48.46</v>
      </c>
      <c r="AT12" s="11" t="str">
        <f t="shared" si="17"/>
        <v/>
      </c>
      <c r="AU12" s="11" t="str">
        <f t="shared" si="18"/>
        <v/>
      </c>
      <c r="AV12" s="11">
        <f t="shared" si="19"/>
        <v>93.775000000000006</v>
      </c>
      <c r="AW12" s="11">
        <f t="shared" si="20"/>
        <v>3.1</v>
      </c>
      <c r="AX12" s="11">
        <f t="shared" si="21"/>
        <v>10.085000000000001</v>
      </c>
      <c r="AY12" s="11">
        <f t="shared" si="22"/>
        <v>103.86000000000001</v>
      </c>
      <c r="AZ12" s="75">
        <v>16.100000000000001</v>
      </c>
      <c r="BA12" s="75">
        <v>9.4</v>
      </c>
      <c r="BB12" s="75">
        <v>3.4</v>
      </c>
      <c r="BC12" s="75">
        <v>15.005000000000001</v>
      </c>
      <c r="BD12" s="75">
        <v>0</v>
      </c>
      <c r="BE12" s="75">
        <v>13.9</v>
      </c>
      <c r="BF12" s="75">
        <v>8.9499999999999993</v>
      </c>
      <c r="BG12" s="75">
        <v>11.2</v>
      </c>
      <c r="BH12" s="75">
        <v>14.51</v>
      </c>
      <c r="BI12" s="75">
        <v>0</v>
      </c>
      <c r="BJ12" s="75">
        <v>12.8</v>
      </c>
      <c r="BK12" s="75">
        <v>8.6999999999999993</v>
      </c>
      <c r="BL12" s="75">
        <v>12</v>
      </c>
      <c r="BM12" s="75">
        <v>14.39</v>
      </c>
      <c r="BN12" s="75">
        <v>0</v>
      </c>
      <c r="BO12" s="75">
        <v>10.6</v>
      </c>
      <c r="BP12" s="75">
        <v>8.5500000000000007</v>
      </c>
      <c r="BQ12" s="75">
        <v>11</v>
      </c>
      <c r="BR12" s="75">
        <v>12.725</v>
      </c>
      <c r="BS12" s="75">
        <v>0.2</v>
      </c>
      <c r="BT12" s="81"/>
      <c r="BU12" s="14">
        <f t="shared" si="23"/>
        <v>43.905000000000001</v>
      </c>
      <c r="BV12" s="14">
        <f t="shared" si="24"/>
        <v>11.2</v>
      </c>
      <c r="BW12" s="14">
        <f t="shared" si="25"/>
        <v>48.559999999999995</v>
      </c>
      <c r="BX12" s="14">
        <f t="shared" si="26"/>
        <v>12</v>
      </c>
      <c r="BY12" s="14">
        <f t="shared" si="27"/>
        <v>47.89</v>
      </c>
      <c r="BZ12" s="14">
        <f t="shared" si="28"/>
        <v>92.465000000000003</v>
      </c>
      <c r="CA12" s="14">
        <f t="shared" si="29"/>
        <v>11</v>
      </c>
      <c r="CB12" s="14">
        <f t="shared" si="30"/>
        <v>42.674999999999997</v>
      </c>
      <c r="CC12" s="14">
        <f t="shared" si="31"/>
        <v>135.13999999999999</v>
      </c>
      <c r="CD12" s="69">
        <v>17.2</v>
      </c>
      <c r="CE12" s="69">
        <v>9.1999999999999993</v>
      </c>
      <c r="CF12" s="69">
        <v>3.9</v>
      </c>
      <c r="CG12" s="69">
        <v>15.324999999999999</v>
      </c>
      <c r="CH12" s="69">
        <v>0</v>
      </c>
      <c r="CI12" s="69">
        <v>2.5</v>
      </c>
      <c r="CJ12" s="69">
        <v>1.9</v>
      </c>
      <c r="CK12" s="69">
        <v>3.1</v>
      </c>
      <c r="CL12" s="69">
        <v>3.18</v>
      </c>
      <c r="CM12" s="69">
        <v>0</v>
      </c>
      <c r="CN12" s="69">
        <v>9</v>
      </c>
      <c r="CO12" s="69">
        <v>6.4</v>
      </c>
      <c r="CP12" s="69">
        <v>8.3000000000000007</v>
      </c>
      <c r="CQ12" s="69">
        <v>10.46</v>
      </c>
      <c r="CR12" s="69">
        <v>0</v>
      </c>
      <c r="CS12" s="69">
        <v>5.8</v>
      </c>
      <c r="CT12" s="69">
        <v>4.4000000000000004</v>
      </c>
      <c r="CU12" s="69">
        <v>6.7</v>
      </c>
      <c r="CV12" s="69">
        <v>7.2249999999999996</v>
      </c>
      <c r="CW12" s="69">
        <v>0</v>
      </c>
      <c r="CX12" s="80"/>
      <c r="CY12" s="11">
        <f t="shared" si="32"/>
        <v>45.625</v>
      </c>
      <c r="CZ12" s="11">
        <f t="shared" si="33"/>
        <v>3.1</v>
      </c>
      <c r="DA12" s="11">
        <f t="shared" si="34"/>
        <v>10.68</v>
      </c>
      <c r="DB12" s="11">
        <f t="shared" si="35"/>
        <v>8.3000000000000007</v>
      </c>
      <c r="DC12" s="11">
        <f t="shared" si="36"/>
        <v>34.160000000000004</v>
      </c>
      <c r="DD12" s="11">
        <f t="shared" si="37"/>
        <v>79.784999999999997</v>
      </c>
      <c r="DE12" s="11">
        <f t="shared" si="38"/>
        <v>6.7</v>
      </c>
      <c r="DF12" s="11">
        <f t="shared" si="39"/>
        <v>24.125</v>
      </c>
      <c r="DG12" s="11">
        <f t="shared" si="40"/>
        <v>103.91</v>
      </c>
      <c r="DH12" s="24" t="str">
        <f t="shared" si="41"/>
        <v/>
      </c>
      <c r="DI12" s="24" t="str">
        <f t="shared" si="42"/>
        <v/>
      </c>
      <c r="DJ12" s="24" t="str">
        <f t="shared" si="43"/>
        <v/>
      </c>
      <c r="DK12" s="24" t="str">
        <f t="shared" si="44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5"/>
        <v/>
      </c>
      <c r="EB12" s="11" t="str">
        <f t="shared" si="46"/>
        <v/>
      </c>
      <c r="EC12" s="11" t="str">
        <f t="shared" si="47"/>
        <v/>
      </c>
      <c r="ED12" s="11" t="str">
        <f t="shared" si="48"/>
        <v/>
      </c>
      <c r="EE12" s="11" t="str">
        <f t="shared" si="49"/>
        <v/>
      </c>
      <c r="EF12" s="11" t="str">
        <f t="shared" si="50"/>
        <v/>
      </c>
      <c r="EG12" s="11" t="str">
        <f t="shared" si="51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2"/>
        <v/>
      </c>
      <c r="EX12" s="14" t="str">
        <f t="shared" si="53"/>
        <v/>
      </c>
      <c r="EY12" s="14" t="str">
        <f t="shared" si="54"/>
        <v/>
      </c>
      <c r="EZ12" s="14" t="str">
        <f t="shared" si="55"/>
        <v/>
      </c>
      <c r="FA12" s="14" t="str">
        <f t="shared" si="56"/>
        <v/>
      </c>
      <c r="FB12" s="14" t="str">
        <f t="shared" si="57"/>
        <v/>
      </c>
      <c r="FC12" s="14" t="str">
        <f t="shared" si="58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59"/>
        <v/>
      </c>
      <c r="FT12" s="11" t="str">
        <f t="shared" si="60"/>
        <v/>
      </c>
      <c r="FU12" s="11" t="str">
        <f t="shared" si="61"/>
        <v/>
      </c>
      <c r="FV12" s="11" t="str">
        <f t="shared" si="62"/>
        <v/>
      </c>
      <c r="FW12" s="11" t="str">
        <f t="shared" si="63"/>
        <v/>
      </c>
      <c r="FX12" s="11" t="str">
        <f t="shared" si="64"/>
        <v/>
      </c>
      <c r="FY12" s="11" t="str">
        <f t="shared" si="65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6"/>
        <v/>
      </c>
      <c r="GP12" s="14" t="str">
        <f t="shared" si="67"/>
        <v/>
      </c>
      <c r="GQ12" s="14" t="str">
        <f t="shared" si="68"/>
        <v/>
      </c>
      <c r="GR12" s="14" t="str">
        <f t="shared" si="69"/>
        <v/>
      </c>
      <c r="GS12" s="14" t="str">
        <f t="shared" si="70"/>
        <v/>
      </c>
      <c r="GT12" s="14" t="str">
        <f t="shared" si="71"/>
        <v/>
      </c>
      <c r="GU12" s="14" t="str">
        <f t="shared" si="72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3"/>
        <v/>
      </c>
      <c r="HL12" s="11" t="str">
        <f t="shared" si="74"/>
        <v/>
      </c>
      <c r="HM12" s="11" t="str">
        <f t="shared" si="75"/>
        <v/>
      </c>
      <c r="HN12" s="11" t="str">
        <f t="shared" si="76"/>
        <v/>
      </c>
      <c r="HO12" s="11" t="str">
        <f t="shared" si="77"/>
        <v/>
      </c>
      <c r="HP12" s="11" t="str">
        <f t="shared" si="78"/>
        <v/>
      </c>
      <c r="HQ12" s="11" t="str">
        <f t="shared" si="79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0"/>
        <v/>
      </c>
      <c r="IH12" s="14" t="str">
        <f t="shared" si="81"/>
        <v/>
      </c>
      <c r="II12" s="14" t="str">
        <f t="shared" si="82"/>
        <v/>
      </c>
      <c r="IJ12" s="14" t="str">
        <f t="shared" si="83"/>
        <v/>
      </c>
      <c r="IK12" s="14" t="str">
        <f t="shared" si="84"/>
        <v/>
      </c>
      <c r="IL12" s="14" t="str">
        <f t="shared" si="85"/>
        <v/>
      </c>
      <c r="IM12" s="14" t="str">
        <f t="shared" si="86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87"/>
        <v/>
      </c>
      <c r="JD12" s="11" t="str">
        <f t="shared" si="88"/>
        <v/>
      </c>
      <c r="JE12" s="11" t="str">
        <f t="shared" si="89"/>
        <v/>
      </c>
      <c r="JF12" s="11" t="str">
        <f t="shared" si="90"/>
        <v/>
      </c>
      <c r="JG12" s="11" t="str">
        <f t="shared" si="91"/>
        <v/>
      </c>
      <c r="JH12" s="11" t="str">
        <f t="shared" si="92"/>
        <v/>
      </c>
      <c r="JI12" s="11" t="str">
        <f t="shared" si="93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4"/>
        <v/>
      </c>
      <c r="JZ12" s="14" t="str">
        <f t="shared" si="95"/>
        <v/>
      </c>
      <c r="KA12" s="14" t="str">
        <f t="shared" si="96"/>
        <v/>
      </c>
      <c r="KB12" s="14" t="str">
        <f t="shared" si="97"/>
        <v/>
      </c>
      <c r="KC12" s="14" t="str">
        <f t="shared" si="98"/>
        <v/>
      </c>
      <c r="KD12" s="14" t="str">
        <f t="shared" si="99"/>
        <v/>
      </c>
      <c r="KE12" s="14" t="str">
        <f t="shared" si="100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1"/>
        <v/>
      </c>
      <c r="KV12" s="11" t="str">
        <f t="shared" si="102"/>
        <v/>
      </c>
      <c r="KW12" s="11" t="str">
        <f t="shared" si="103"/>
        <v/>
      </c>
      <c r="KX12" s="11" t="str">
        <f t="shared" si="104"/>
        <v/>
      </c>
      <c r="KY12" s="11" t="str">
        <f t="shared" si="105"/>
        <v/>
      </c>
      <c r="KZ12" s="11" t="str">
        <f t="shared" si="106"/>
        <v/>
      </c>
      <c r="LA12" s="11" t="str">
        <f t="shared" si="107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08"/>
        <v/>
      </c>
      <c r="LR12" s="14" t="str">
        <f t="shared" si="109"/>
        <v/>
      </c>
      <c r="LS12" s="14" t="str">
        <f t="shared" si="110"/>
        <v/>
      </c>
      <c r="LT12" s="14" t="str">
        <f t="shared" si="111"/>
        <v/>
      </c>
      <c r="LU12" s="14" t="str">
        <f t="shared" si="112"/>
        <v/>
      </c>
      <c r="LV12" s="14" t="str">
        <f t="shared" si="113"/>
        <v/>
      </c>
      <c r="LW12" s="14" t="str">
        <f t="shared" si="114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5"/>
        <v/>
      </c>
      <c r="MN12" s="11" t="str">
        <f t="shared" si="116"/>
        <v/>
      </c>
      <c r="MO12" s="11" t="str">
        <f t="shared" si="117"/>
        <v/>
      </c>
      <c r="MP12" s="11" t="str">
        <f t="shared" si="118"/>
        <v/>
      </c>
      <c r="MQ12" s="11" t="str">
        <f t="shared" si="119"/>
        <v/>
      </c>
      <c r="MR12" s="11" t="str">
        <f t="shared" si="120"/>
        <v/>
      </c>
      <c r="MS12" s="11" t="str">
        <f t="shared" si="121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2"/>
        <v/>
      </c>
      <c r="NJ12" s="14" t="str">
        <f t="shared" si="123"/>
        <v/>
      </c>
      <c r="NK12" s="14" t="str">
        <f t="shared" si="124"/>
        <v/>
      </c>
      <c r="NL12" s="14" t="str">
        <f t="shared" si="125"/>
        <v/>
      </c>
      <c r="NM12" s="14" t="str">
        <f t="shared" si="126"/>
        <v/>
      </c>
      <c r="NN12" s="14" t="str">
        <f t="shared" si="127"/>
        <v/>
      </c>
      <c r="NO12" s="14" t="str">
        <f t="shared" si="128"/>
        <v/>
      </c>
      <c r="NP12" s="69">
        <f t="shared" si="129"/>
        <v>16.649999999999999</v>
      </c>
      <c r="NQ12" s="69">
        <f t="shared" si="130"/>
        <v>9.3000000000000007</v>
      </c>
      <c r="NR12" s="69">
        <f t="shared" si="131"/>
        <v>3.65</v>
      </c>
      <c r="NS12" s="69">
        <f t="shared" si="132"/>
        <v>15.164999999999999</v>
      </c>
      <c r="NT12" s="69">
        <f t="shared" si="133"/>
        <v>0</v>
      </c>
      <c r="NU12" s="69">
        <f t="shared" si="134"/>
        <v>8.1999999999999993</v>
      </c>
      <c r="NV12" s="69">
        <f t="shared" si="135"/>
        <v>5.4249999999999998</v>
      </c>
      <c r="NW12" s="69">
        <f t="shared" si="136"/>
        <v>7.1499999999999995</v>
      </c>
      <c r="NX12" s="69">
        <f t="shared" si="137"/>
        <v>8.8450000000000006</v>
      </c>
      <c r="NY12" s="69">
        <f t="shared" si="138"/>
        <v>0</v>
      </c>
      <c r="NZ12" s="69">
        <f t="shared" si="139"/>
        <v>10.9</v>
      </c>
      <c r="OA12" s="69">
        <f t="shared" si="140"/>
        <v>7.55</v>
      </c>
      <c r="OB12" s="69">
        <f t="shared" si="141"/>
        <v>10.15</v>
      </c>
      <c r="OC12" s="69">
        <f t="shared" si="142"/>
        <v>12.425000000000001</v>
      </c>
      <c r="OD12" s="69">
        <f t="shared" si="143"/>
        <v>0</v>
      </c>
      <c r="OE12" s="69">
        <f t="shared" si="144"/>
        <v>8.1999999999999993</v>
      </c>
      <c r="OF12" s="69">
        <f t="shared" si="145"/>
        <v>6.4750000000000005</v>
      </c>
      <c r="OG12" s="69">
        <f t="shared" si="146"/>
        <v>8.85</v>
      </c>
      <c r="OH12" s="69">
        <f t="shared" si="147"/>
        <v>9.9749999999999996</v>
      </c>
      <c r="OI12" s="69">
        <f t="shared" si="148"/>
        <v>0.1</v>
      </c>
      <c r="OJ12" s="80" t="s">
        <v>88</v>
      </c>
      <c r="OK12" s="11">
        <f t="shared" si="149"/>
        <v>44.765000000000001</v>
      </c>
      <c r="OL12" s="11">
        <f t="shared" si="150"/>
        <v>7.1499999999999995</v>
      </c>
      <c r="OM12" s="11">
        <f t="shared" si="151"/>
        <v>29.619999999999997</v>
      </c>
      <c r="ON12" s="11">
        <f t="shared" si="152"/>
        <v>10.15</v>
      </c>
      <c r="OO12" s="11">
        <f t="shared" si="153"/>
        <v>41.025000000000006</v>
      </c>
      <c r="OP12" s="11">
        <f t="shared" si="154"/>
        <v>85.79</v>
      </c>
      <c r="OQ12" s="11">
        <f t="shared" si="155"/>
        <v>8.85</v>
      </c>
      <c r="OR12" s="11">
        <f t="shared" si="156"/>
        <v>33.4</v>
      </c>
      <c r="OS12" s="11">
        <f t="shared" si="157"/>
        <v>119.19</v>
      </c>
    </row>
    <row r="13" spans="1:409" x14ac:dyDescent="0.2">
      <c r="A13" s="5" cm="1">
        <f t="array" ref="A13">IF(AND(G13&lt;&gt;"",H13&lt;&gt;""),SUMPRODUCT((G$4:G$18&lt;&gt;"")*(H$4:H$18&lt;&gt;"")*(E$4:E$18&gt;E13))+1,IF(H13&lt;&gt;"",SUMPRODUCT((I$4:I$18="No DD")*(E$4:E$18&gt;E13))+1+SUMPRODUCT((G$4:G$18&lt;&gt;"")*(H$4:H$18&lt;&gt;"")),""))</f>
        <v>8</v>
      </c>
      <c r="B13" s="127" t="s">
        <v>79</v>
      </c>
      <c r="C13" s="5" t="s">
        <v>3</v>
      </c>
      <c r="D13" s="5">
        <v>1998</v>
      </c>
      <c r="E13" s="15">
        <f t="shared" si="0"/>
        <v>151.07499999999999</v>
      </c>
      <c r="F13" s="3" t="str">
        <f t="shared" si="1"/>
        <v>P</v>
      </c>
      <c r="G13" s="125" t="str">
        <f>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Merit",IF(OR(AND(AR13&gt;=AY$22,AR13&lt;&gt;"",AP13=""),AND(AT13&gt;=AY$22,AT13&lt;&gt;"",AP13=""),AND(AW13&gt;=AY$22,AW13&lt;&gt;"",AP13=""),AND(BV13&gt;=CC$22,BV13&lt;&gt;"",BT13=""),AND(BX13&gt;=CC$22,BX13&lt;&gt;"",BT13=""),AND(CA13&gt;=CC$22,CA13&lt;&gt;"",BT13=""),AND(CZ13&gt;=DG$22,CZ13&lt;&gt;"",CX13=""),AND(DB13&gt;=DG$22,DB13&lt;&gt;"",CX13=""),AND(DE13&gt;=DG$22,DE13&lt;&gt;"",CX13=""),AND(EA13&gt;=EG$22,EA13&lt;&gt;""),AND(EE13&gt;=EG$22,EE13&lt;&gt;""),AND(EW13&gt;=FC$22,EW13&lt;&gt;""),AND(FA13&gt;=FC$22,FA13&lt;&gt;""),AND(FS13&gt;=FY$22,FS13&lt;&gt;""),AND(FW13&gt;=FY$22,FW13&lt;&gt;""),AND(GO13&gt;=GU$22,GO13&lt;&gt;""),AND(GS13&gt;=GU$22,GS13&lt;&gt;""),AND(HK13&gt;=HQ$22,HK13&lt;&gt;""),AND(HO13&gt;=HQ$22,HO13&lt;&gt;""),AND(IG13&gt;=IM$22,IG13&lt;&gt;""),AND(IK13&gt;=IM$22,IK13&lt;&gt;""),AND(JC13&gt;=JI$22,JC13&lt;&gt;""),AND(JG13&gt;=JI$22,JG13&lt;&gt;""),AND(JY13&gt;=KE$22,JY13&lt;&gt;""),AND(KC13&gt;=KE$22,KC13&lt;&gt;""),AND(KU13&gt;=LA$22,KU13&lt;&gt;""),AND(KY13&gt;=LA$22,KY13&lt;&gt;""),AND(LQ13&gt;=LW$22,LQ13&lt;&gt;""),AND(LU13&gt;=LW$22,LU13&lt;&gt;""),AND(MM13&gt;=MS$22,MM13&lt;&gt;""),AND(MQ13&gt;=MS$22,MQ13&lt;&gt;""),AND(NI13&gt;=NO$22,NI13&lt;&gt;""),AND(NM13&gt;=NO$22,NM13&lt;&gt;"")),"Excellence",IF(OR(AND(AR13&gt;=AY$21,AR13&lt;&gt;"",AP13=""),AND(AT13&gt;=AY$21,AT13&lt;&gt;"",AP13=""),AND(AW13&gt;=AY$21,AW13&lt;&gt;"",AP13=""),AND(BV13&gt;=CC$21,BV13&lt;&gt;"",BT13=""),AND(BX13&gt;=CC$21,BX13&lt;&gt;"",BT13=""),AND(CA13&gt;=CC$21,CA13&lt;&gt;"",BT13=""),AND(CZ13&gt;=DG$21,CZ13&lt;&gt;"",CX13=""),AND(DB13&gt;=DG$21,DB13&lt;&gt;"",CX13=""),AND(DE13&gt;=DG$21,DE13&lt;&gt;"",CX13=""),AND(EA13&gt;=EG$21,EA13&lt;&gt;""),AND(EE13&gt;=EG$21,EE13&lt;&gt;""),AND(EW13&gt;=FC$21,EW13&lt;&gt;""),AND(FA13&gt;=FC$21,FA13&lt;&gt;""),AND(FS13&gt;=FY$21,FS13&lt;&gt;""),AND(FW13&gt;=FY$21,FW13&lt;&gt;""),AND(GO13&gt;=GU$21,GO13&lt;&gt;""),AND(GS13&gt;=GU$21,GS13&lt;&gt;""),AND(HK13&gt;=HQ$21,HK13&lt;&gt;""),AND(HO13&gt;=HQ$21,HO13&lt;&gt;""),AND(IG13&gt;=IM$21,IG13&lt;&gt;""),AND(IK13&gt;=IM$21,IK13&lt;&gt;""),AND(JC13&gt;=JI$21,JC13&lt;&gt;""),AND(JG13&gt;=JI$21,JG13&lt;&gt;""),AND(JY13&gt;=KE$21,JY13&lt;&gt;""),AND(KC13&gt;=KE$21,KC13&lt;&gt;""),AND(KU13&gt;=LA$21,KU13&lt;&gt;""),AND(KY13&gt;=LA$21,KY13&lt;&gt;""),AND(LQ13&gt;=LW$21,LQ13&lt;&gt;""),AND(LU13&gt;=LW$21,LU13&lt;&gt;""),AND(MM13&gt;=MS$21,MM13&lt;&gt;""),AND(MQ13&gt;=MS$21,MQ13&lt;&gt;""),AND(NI13&gt;=NO$21,NI13&lt;&gt;""),AND(NM13&gt;=NO$21,NM13&lt;&gt;"")),"Worlds Team",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National Team",""))))</f>
        <v>National Team</v>
      </c>
      <c r="H13" s="125" t="str">
        <f>IF(OR(AND(AS13&gt;=AY$27,AS13&lt;&gt;"",AP13=""),AND(AU13&gt;=AY$27,AU13&lt;&gt;"",AP13=""),AND(AX13&gt;=AY$27,AX13&lt;&gt;"",AP13=""),AND(BW13&gt;=CC$27,BW13&lt;&gt;"",BT13=""),AND(BY13&gt;=CC$27,BY13&lt;&gt;"",BT13=""),AND(CB13&gt;=CC$27,CB13&lt;&gt;"",BT13=""),AND(DA13&gt;=DG$27,DA13&lt;&gt;"",CX13=""),AND(DC13&gt;=DG$27,DC13&lt;&gt;"",CX13=""),AND(DF13&gt;=DG$27,DF13&lt;&gt;"",CX13=""),AND(EC13&gt;=EG$27,EC13&lt;&gt;""),AND(EF13&gt;=EG$27,EF13&lt;&gt;""),AND(EY13&gt;=FC$27,EY13&lt;&gt;""),AND(FB13&gt;=FC$27,FB13&lt;&gt;""),AND(FU13&gt;=FY$27,FU13&lt;&gt;""),AND(FX13&gt;=FY$27,FX13&lt;&gt;""),AND(GQ13&gt;=GU$27,GQ13&lt;&gt;""),AND(GT13&gt;=GU$27,GT13&lt;&gt;""),AND(HM13&gt;=HQ$27,HM13&lt;&gt;""),AND(HP13&gt;=HQ$27,HP13&lt;&gt;""),AND(II13&gt;=IM$27,II13&lt;&gt;""),AND(IL13&gt;=IM$27,IL13&lt;&gt;""),AND(JE13&gt;=JI$27,JE13&lt;&gt;""),AND(JH13&gt;=JI$27,JH13&lt;&gt;""),AND(KA13&gt;=KE$27,KA13&lt;&gt;""),AND(KD13&gt;=KE$27,KD13&lt;&gt;""),AND(KW13&gt;=LA$27,KW13&lt;&gt;""),AND(KZ13&gt;=LA$27,KZ13&lt;&gt;""),AND(LS13&gt;=LW$27,LS13&lt;&gt;""),AND(LV13&gt;=LW$27,LV13&lt;&gt;""),AND(MO13&gt;=MS$27,MO13&lt;&gt;""),AND(MR13&gt;=MS$27,MR13&lt;&gt;""),AND(NK13&gt;=NO$27,NK13&lt;&gt;""),AND(NN13&gt;=NO$27,NN13&lt;&gt;"")),"Merit",IF(OR(AND(AS13&gt;=AY$26,AS13&lt;&gt;"",AP13=""),AND(AU13&gt;=AY$26,AU13&lt;&gt;"",AP13=""),AND(AX13&gt;=AY$26,AX13&lt;&gt;"",AP13=""),AND(BW13&gt;=CC$26,BW13&lt;&gt;"",BT13=""),AND(BY13&gt;=CC$26,BY13&lt;&gt;"",BT13=""),AND(CB13&gt;=CC$26,CB13&lt;&gt;"",BT13=""),AND(DA13&gt;=DG$26,DA13&lt;&gt;"",CX13=""),AND(DC13&gt;=DG$26,DC13&lt;&gt;"",CX13=""),AND(DF13&gt;=DG$26,DF13&lt;&gt;"",CX13=""),AND(EC13&gt;=EG$26,EC13&lt;&gt;""),AND(EF13&gt;=EG$26,EF13&lt;&gt;""),AND(EY13&gt;=FC$26,EY13&lt;&gt;""),AND(FB13&gt;=FC$26,FB13&lt;&gt;""),AND(FU13&gt;=FY$26,FU13&lt;&gt;""),AND(FX13&gt;=FY$26,FX13&lt;&gt;""),AND(GQ13&gt;=GU$26,GQ13&lt;&gt;""),AND(GT13&gt;=GU$26,GT13&lt;&gt;""),AND(HM13&gt;=HQ$26,HM13&lt;&gt;""),AND(HP13&gt;=HQ$26,HP13&lt;&gt;""),AND(II13&gt;=IM$26,II13&lt;&gt;""),AND(IL13&gt;=IM$26,IL13&lt;&gt;""),AND(JE13&gt;=JI$26,JE13&lt;&gt;""),AND(JH13&gt;=JI$26,JH13&lt;&gt;""),AND(KA13&gt;=KE$26,KA13&lt;&gt;""),AND(KD13&gt;=KE$26,KD13&lt;&gt;""),AND(KW13&gt;=LA$26,KW13&lt;&gt;""),AND(KZ13&gt;=LA$26,KZ13&lt;&gt;""),AND(LS13&gt;=LW$26,LS13&lt;&gt;""),AND(LV13&gt;=LW$26,LV13&lt;&gt;""),AND(MO13&gt;=MS$26,MO13&lt;&gt;""),AND(MR13&gt;=MS$26,MR13&lt;&gt;""),AND(NK13&gt;=NO$26,NK13&lt;&gt;""),AND(NN13&gt;=NO$26,NN13&lt;&gt;"")),"Excellence",IF(OR(AND(AV13&gt;=AY$25,AV13&lt;&gt;"",AP13=""),AND(BZ13&gt;=CC$25,BZ13&lt;&gt;"",BT13=""),AND(DD13&gt;=DG$25,DD13&lt;&gt;"",CX13=""),AND(ED13&gt;=EG$25,ED13&lt;&gt;""),AND(EZ13&gt;=FC$25,EZ13&lt;&gt;""),AND(FV13&gt;=FY$25,FV13&lt;&gt;""),AND(GR13&gt;=GU$25,GR13&lt;&gt;""),AND(HN13&gt;=HQ$25,HN13&lt;&gt;""),AND(IJ13&gt;=IM$25,IJ13&lt;&gt;""),AND(JF13&gt;=JI$25,JF13&lt;&gt;""),AND(KB13&gt;=KE$25,KB13&lt;&gt;""),AND(KX13&gt;=LA$25,KX13&lt;&gt;""),AND(LT13&gt;=LW$25,LT13&lt;&gt;""),AND(MP13&gt;=MS$25,MP13&lt;&gt;""),AND(NL13&gt;=NO$25,NL13&lt;&gt;"")),"Worlds Team",IF(OR(AND(AV13&gt;=AY$24,AV13&lt;&gt;"",AP13=""),AND(BZ13&gt;=CC$24,BZ13&lt;&gt;"",BT13=""),AND(DD13&gt;=DG$24,DD13&lt;&gt;"",CX13=""),AND(ED13&gt;=EG$24,ED13&lt;&gt;""),AND(EZ13&gt;=FC$24,EZ13&lt;&gt;""),AND(FV13&gt;=FY$24,FV13&lt;&gt;""),AND(GR13&gt;=GU$24,GR13&lt;&gt;""),AND(HN13&gt;=HQ$24,HN13&lt;&gt;""),AND(IJ13&gt;=IM$24,IJ13&lt;&gt;""),AND(JF13&gt;=JI$24,JF13&lt;&gt;""),AND(KB13&gt;=KE$24,KB13&lt;&gt;""),AND(KX13&gt;=LA$24,KX13&lt;&gt;""),AND(LT13&gt;=LW$24,LT13&lt;&gt;""),AND(MP13&gt;=MS$24,MP13&lt;&gt;""),AND(NL13&gt;=NO$24,NL13&lt;&gt;"")),"National Team",""))))</f>
        <v>Worlds Team</v>
      </c>
      <c r="I13" s="126" t="str">
        <f t="shared" si="2"/>
        <v>National Team</v>
      </c>
      <c r="J13" s="3" t="str">
        <f>IF(AND(OR(AND(AV13&gt;=AY$25,AV13&lt;&gt;"",AP13=""),AND(BZ13&gt;=CC$25,BZ13&lt;&gt;"",BT13=""),AND(DD13&gt;=DG$25,DD13&lt;&gt;"",CX13=""),AND(ED13&gt;=EG$25,ED13&lt;&gt;""),AND(EZ13&gt;=FC$25,EZ13&lt;&gt;""),AND(FV13&gt;=FY$25,FV13&lt;&gt;""),AND(GR13&gt;=GU$25,GR13&lt;&gt;""),AND(HN13&gt;=HQ$25,HN13&lt;&gt;""),AND(IJ13&gt;=IM$25,IJ13&lt;&gt;""),AND(JF13&gt;=JI$25,JF13&lt;&gt;""),AND(KB13&gt;=KE$25,KB13&lt;&gt;""),AND(KX13&gt;=LA$25,KX13&lt;&gt;""),AND(LT13&gt;=LW$25,LT13&lt;&gt;""),AND(MP13&gt;=MS$25,MP13&lt;&gt;""),AND(NL13&gt;=NO$25,NL13&lt;&gt;"")),OR(G13="Worlds Team",G13="Excellence",G13="Merit")),"P","")</f>
        <v/>
      </c>
      <c r="K13" s="14">
        <f t="shared" si="3"/>
        <v>99.074999999999989</v>
      </c>
      <c r="L13" s="14" t="str">
        <f t="shared" si="4"/>
        <v>2019 Nationals</v>
      </c>
      <c r="M13" s="14">
        <f t="shared" si="5"/>
        <v>0</v>
      </c>
      <c r="N13" s="14" t="str">
        <f t="shared" si="6"/>
        <v/>
      </c>
      <c r="O13" s="14">
        <f t="shared" si="7"/>
        <v>0</v>
      </c>
      <c r="P13" s="14" t="str">
        <f t="shared" si="8"/>
        <v/>
      </c>
      <c r="Q13" s="14">
        <f t="shared" si="9"/>
        <v>52</v>
      </c>
      <c r="R13" s="14" t="str">
        <f t="shared" si="10"/>
        <v>2019 Nationals</v>
      </c>
      <c r="S13" s="14" t="str">
        <f t="shared" si="11"/>
        <v/>
      </c>
      <c r="T13" s="25" t="str">
        <f t="shared" si="12"/>
        <v/>
      </c>
      <c r="U13" s="14" t="str">
        <f t="shared" si="13"/>
        <v/>
      </c>
      <c r="V13" s="69">
        <v>17.600000000000001</v>
      </c>
      <c r="W13" s="69">
        <v>9.1999999999999993</v>
      </c>
      <c r="X13" s="69">
        <v>4.8</v>
      </c>
      <c r="Y13" s="69">
        <v>15.72</v>
      </c>
      <c r="Z13" s="69">
        <v>0.2</v>
      </c>
      <c r="AA13" s="69">
        <v>16.100000000000001</v>
      </c>
      <c r="AB13" s="69">
        <v>9.3000000000000007</v>
      </c>
      <c r="AC13" s="69">
        <v>12.1</v>
      </c>
      <c r="AD13" s="69">
        <v>14.455</v>
      </c>
      <c r="AE13" s="69">
        <v>0</v>
      </c>
      <c r="AF13" s="69"/>
      <c r="AG13" s="69"/>
      <c r="AH13" s="69"/>
      <c r="AI13" s="69"/>
      <c r="AJ13" s="69"/>
      <c r="AK13" s="69">
        <v>15.36</v>
      </c>
      <c r="AL13" s="69">
        <v>9.1999999999999993</v>
      </c>
      <c r="AM13" s="69">
        <v>12.6</v>
      </c>
      <c r="AN13" s="69">
        <v>14.84</v>
      </c>
      <c r="AO13" s="69"/>
      <c r="AP13" s="80"/>
      <c r="AQ13" s="11">
        <f t="shared" si="14"/>
        <v>47.12</v>
      </c>
      <c r="AR13" s="11">
        <f t="shared" si="15"/>
        <v>12.1</v>
      </c>
      <c r="AS13" s="11">
        <f t="shared" si="16"/>
        <v>51.954999999999998</v>
      </c>
      <c r="AT13" s="11" t="str">
        <f t="shared" si="17"/>
        <v/>
      </c>
      <c r="AU13" s="11" t="str">
        <f t="shared" si="18"/>
        <v/>
      </c>
      <c r="AV13" s="11">
        <f t="shared" si="19"/>
        <v>99.074999999999989</v>
      </c>
      <c r="AW13" s="11">
        <f t="shared" si="20"/>
        <v>12.6</v>
      </c>
      <c r="AX13" s="11">
        <f t="shared" si="21"/>
        <v>52</v>
      </c>
      <c r="AY13" s="11">
        <f t="shared" si="22"/>
        <v>151.07499999999999</v>
      </c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81"/>
      <c r="BU13" s="14" t="str">
        <f t="shared" si="23"/>
        <v/>
      </c>
      <c r="BV13" s="14" t="str">
        <f t="shared" si="24"/>
        <v/>
      </c>
      <c r="BW13" s="14" t="str">
        <f t="shared" si="25"/>
        <v/>
      </c>
      <c r="BX13" s="14" t="str">
        <f t="shared" si="26"/>
        <v/>
      </c>
      <c r="BY13" s="14" t="str">
        <f t="shared" si="27"/>
        <v/>
      </c>
      <c r="BZ13" s="14" t="str">
        <f t="shared" si="28"/>
        <v/>
      </c>
      <c r="CA13" s="14" t="str">
        <f t="shared" si="29"/>
        <v/>
      </c>
      <c r="CB13" s="14" t="str">
        <f t="shared" si="30"/>
        <v/>
      </c>
      <c r="CC13" s="14" t="str">
        <f t="shared" si="31"/>
        <v/>
      </c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80"/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11" t="str">
        <f t="shared" si="35"/>
        <v/>
      </c>
      <c r="DC13" s="11" t="str">
        <f t="shared" si="36"/>
        <v/>
      </c>
      <c r="DD13" s="11" t="str">
        <f t="shared" si="37"/>
        <v/>
      </c>
      <c r="DE13" s="11" t="str">
        <f t="shared" si="38"/>
        <v/>
      </c>
      <c r="DF13" s="11" t="str">
        <f t="shared" si="39"/>
        <v/>
      </c>
      <c r="DG13" s="11" t="str">
        <f t="shared" si="40"/>
        <v/>
      </c>
      <c r="DH13" s="24" t="str">
        <f t="shared" si="41"/>
        <v/>
      </c>
      <c r="DI13" s="24" t="str">
        <f t="shared" si="42"/>
        <v/>
      </c>
      <c r="DJ13" s="24" t="str">
        <f t="shared" si="43"/>
        <v/>
      </c>
      <c r="DK13" s="24" t="str">
        <f t="shared" si="44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5"/>
        <v/>
      </c>
      <c r="EB13" s="11" t="str">
        <f t="shared" si="46"/>
        <v/>
      </c>
      <c r="EC13" s="11" t="str">
        <f t="shared" si="47"/>
        <v/>
      </c>
      <c r="ED13" s="11" t="str">
        <f t="shared" si="48"/>
        <v/>
      </c>
      <c r="EE13" s="11" t="str">
        <f t="shared" si="49"/>
        <v/>
      </c>
      <c r="EF13" s="11" t="str">
        <f t="shared" si="50"/>
        <v/>
      </c>
      <c r="EG13" s="11" t="str">
        <f t="shared" si="51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2"/>
        <v/>
      </c>
      <c r="EX13" s="14" t="str">
        <f t="shared" si="53"/>
        <v/>
      </c>
      <c r="EY13" s="14" t="str">
        <f t="shared" si="54"/>
        <v/>
      </c>
      <c r="EZ13" s="14" t="str">
        <f t="shared" si="55"/>
        <v/>
      </c>
      <c r="FA13" s="14" t="str">
        <f t="shared" si="56"/>
        <v/>
      </c>
      <c r="FB13" s="14" t="str">
        <f t="shared" si="57"/>
        <v/>
      </c>
      <c r="FC13" s="14" t="str">
        <f t="shared" si="58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59"/>
        <v/>
      </c>
      <c r="FT13" s="11" t="str">
        <f t="shared" si="60"/>
        <v/>
      </c>
      <c r="FU13" s="11" t="str">
        <f t="shared" si="61"/>
        <v/>
      </c>
      <c r="FV13" s="11" t="str">
        <f t="shared" si="62"/>
        <v/>
      </c>
      <c r="FW13" s="11" t="str">
        <f t="shared" si="63"/>
        <v/>
      </c>
      <c r="FX13" s="11" t="str">
        <f t="shared" si="64"/>
        <v/>
      </c>
      <c r="FY13" s="11" t="str">
        <f t="shared" si="65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6"/>
        <v/>
      </c>
      <c r="GP13" s="14" t="str">
        <f t="shared" si="67"/>
        <v/>
      </c>
      <c r="GQ13" s="14" t="str">
        <f t="shared" si="68"/>
        <v/>
      </c>
      <c r="GR13" s="14" t="str">
        <f t="shared" si="69"/>
        <v/>
      </c>
      <c r="GS13" s="14" t="str">
        <f t="shared" si="70"/>
        <v/>
      </c>
      <c r="GT13" s="14" t="str">
        <f t="shared" si="71"/>
        <v/>
      </c>
      <c r="GU13" s="14" t="str">
        <f t="shared" si="72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3"/>
        <v/>
      </c>
      <c r="HL13" s="11" t="str">
        <f t="shared" si="74"/>
        <v/>
      </c>
      <c r="HM13" s="11" t="str">
        <f t="shared" si="75"/>
        <v/>
      </c>
      <c r="HN13" s="11" t="str">
        <f t="shared" si="76"/>
        <v/>
      </c>
      <c r="HO13" s="11" t="str">
        <f t="shared" si="77"/>
        <v/>
      </c>
      <c r="HP13" s="11" t="str">
        <f t="shared" si="78"/>
        <v/>
      </c>
      <c r="HQ13" s="11" t="str">
        <f t="shared" si="79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0"/>
        <v/>
      </c>
      <c r="IH13" s="14" t="str">
        <f t="shared" si="81"/>
        <v/>
      </c>
      <c r="II13" s="14" t="str">
        <f t="shared" si="82"/>
        <v/>
      </c>
      <c r="IJ13" s="14" t="str">
        <f t="shared" si="83"/>
        <v/>
      </c>
      <c r="IK13" s="14" t="str">
        <f t="shared" si="84"/>
        <v/>
      </c>
      <c r="IL13" s="14" t="str">
        <f t="shared" si="85"/>
        <v/>
      </c>
      <c r="IM13" s="14" t="str">
        <f t="shared" si="86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87"/>
        <v/>
      </c>
      <c r="JD13" s="11" t="str">
        <f t="shared" si="88"/>
        <v/>
      </c>
      <c r="JE13" s="11" t="str">
        <f t="shared" si="89"/>
        <v/>
      </c>
      <c r="JF13" s="11" t="str">
        <f t="shared" si="90"/>
        <v/>
      </c>
      <c r="JG13" s="11" t="str">
        <f t="shared" si="91"/>
        <v/>
      </c>
      <c r="JH13" s="11" t="str">
        <f t="shared" si="92"/>
        <v/>
      </c>
      <c r="JI13" s="11" t="str">
        <f t="shared" si="93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4"/>
        <v/>
      </c>
      <c r="JZ13" s="14" t="str">
        <f t="shared" si="95"/>
        <v/>
      </c>
      <c r="KA13" s="14" t="str">
        <f t="shared" si="96"/>
        <v/>
      </c>
      <c r="KB13" s="14" t="str">
        <f t="shared" si="97"/>
        <v/>
      </c>
      <c r="KC13" s="14" t="str">
        <f t="shared" si="98"/>
        <v/>
      </c>
      <c r="KD13" s="14" t="str">
        <f t="shared" si="99"/>
        <v/>
      </c>
      <c r="KE13" s="14" t="str">
        <f t="shared" si="100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1"/>
        <v/>
      </c>
      <c r="KV13" s="11" t="str">
        <f t="shared" si="102"/>
        <v/>
      </c>
      <c r="KW13" s="11" t="str">
        <f t="shared" si="103"/>
        <v/>
      </c>
      <c r="KX13" s="11" t="str">
        <f t="shared" si="104"/>
        <v/>
      </c>
      <c r="KY13" s="11" t="str">
        <f t="shared" si="105"/>
        <v/>
      </c>
      <c r="KZ13" s="11" t="str">
        <f t="shared" si="106"/>
        <v/>
      </c>
      <c r="LA13" s="11" t="str">
        <f t="shared" si="107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08"/>
        <v/>
      </c>
      <c r="LR13" s="14" t="str">
        <f t="shared" si="109"/>
        <v/>
      </c>
      <c r="LS13" s="14" t="str">
        <f t="shared" si="110"/>
        <v/>
      </c>
      <c r="LT13" s="14" t="str">
        <f t="shared" si="111"/>
        <v/>
      </c>
      <c r="LU13" s="14" t="str">
        <f t="shared" si="112"/>
        <v/>
      </c>
      <c r="LV13" s="14" t="str">
        <f t="shared" si="113"/>
        <v/>
      </c>
      <c r="LW13" s="14" t="str">
        <f t="shared" si="114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5"/>
        <v/>
      </c>
      <c r="MN13" s="11" t="str">
        <f t="shared" si="116"/>
        <v/>
      </c>
      <c r="MO13" s="11" t="str">
        <f t="shared" si="117"/>
        <v/>
      </c>
      <c r="MP13" s="11" t="str">
        <f t="shared" si="118"/>
        <v/>
      </c>
      <c r="MQ13" s="11" t="str">
        <f t="shared" si="119"/>
        <v/>
      </c>
      <c r="MR13" s="11" t="str">
        <f t="shared" si="120"/>
        <v/>
      </c>
      <c r="MS13" s="11" t="str">
        <f t="shared" si="121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2"/>
        <v/>
      </c>
      <c r="NJ13" s="14" t="str">
        <f t="shared" si="123"/>
        <v/>
      </c>
      <c r="NK13" s="14" t="str">
        <f t="shared" si="124"/>
        <v/>
      </c>
      <c r="NL13" s="14" t="str">
        <f t="shared" si="125"/>
        <v/>
      </c>
      <c r="NM13" s="14" t="str">
        <f t="shared" si="126"/>
        <v/>
      </c>
      <c r="NN13" s="14" t="str">
        <f t="shared" si="127"/>
        <v/>
      </c>
      <c r="NO13" s="14" t="str">
        <f t="shared" si="128"/>
        <v/>
      </c>
      <c r="NP13" s="69">
        <f t="shared" si="129"/>
        <v>0</v>
      </c>
      <c r="NQ13" s="69">
        <f t="shared" si="130"/>
        <v>0</v>
      </c>
      <c r="NR13" s="69">
        <f t="shared" si="131"/>
        <v>0</v>
      </c>
      <c r="NS13" s="69">
        <f t="shared" si="132"/>
        <v>0</v>
      </c>
      <c r="NT13" s="69">
        <f t="shared" si="133"/>
        <v>0</v>
      </c>
      <c r="NU13" s="69">
        <f t="shared" si="134"/>
        <v>0</v>
      </c>
      <c r="NV13" s="69">
        <f t="shared" si="135"/>
        <v>0</v>
      </c>
      <c r="NW13" s="69">
        <f t="shared" si="136"/>
        <v>0</v>
      </c>
      <c r="NX13" s="69">
        <f t="shared" si="137"/>
        <v>0</v>
      </c>
      <c r="NY13" s="69">
        <f t="shared" si="138"/>
        <v>0</v>
      </c>
      <c r="NZ13" s="69">
        <f t="shared" si="139"/>
        <v>0</v>
      </c>
      <c r="OA13" s="69">
        <f t="shared" si="140"/>
        <v>0</v>
      </c>
      <c r="OB13" s="69">
        <f t="shared" si="141"/>
        <v>0</v>
      </c>
      <c r="OC13" s="69">
        <f t="shared" si="142"/>
        <v>0</v>
      </c>
      <c r="OD13" s="69">
        <f t="shared" si="143"/>
        <v>0</v>
      </c>
      <c r="OE13" s="69">
        <f t="shared" si="144"/>
        <v>0</v>
      </c>
      <c r="OF13" s="69">
        <f t="shared" si="145"/>
        <v>0</v>
      </c>
      <c r="OG13" s="69">
        <f t="shared" si="146"/>
        <v>0</v>
      </c>
      <c r="OH13" s="69">
        <f t="shared" si="147"/>
        <v>0</v>
      </c>
      <c r="OI13" s="69">
        <f t="shared" si="148"/>
        <v>0</v>
      </c>
      <c r="OJ13" s="80" t="s">
        <v>88</v>
      </c>
      <c r="OK13" s="11" t="str">
        <f t="shared" si="149"/>
        <v/>
      </c>
      <c r="OL13" s="11" t="str">
        <f t="shared" si="150"/>
        <v/>
      </c>
      <c r="OM13" s="11" t="str">
        <f t="shared" si="151"/>
        <v/>
      </c>
      <c r="ON13" s="11" t="str">
        <f t="shared" si="152"/>
        <v/>
      </c>
      <c r="OO13" s="11" t="str">
        <f t="shared" si="153"/>
        <v/>
      </c>
      <c r="OP13" s="11" t="str">
        <f t="shared" si="154"/>
        <v/>
      </c>
      <c r="OQ13" s="11" t="str">
        <f t="shared" si="155"/>
        <v/>
      </c>
      <c r="OR13" s="11" t="str">
        <f t="shared" si="156"/>
        <v/>
      </c>
      <c r="OS13" s="11" t="str">
        <f t="shared" si="157"/>
        <v/>
      </c>
    </row>
    <row r="14" spans="1:409" x14ac:dyDescent="0.2">
      <c r="A14" s="5" t="str" cm="1">
        <f t="array" ref="A14">IF(AND(G14&lt;&gt;"",H14&lt;&gt;""),SUMPRODUCT((G$4:G$18&lt;&gt;"")*(H$4:H$18&lt;&gt;"")*(E$4:E$18&gt;E14))+1,IF(H14&lt;&gt;"",SUMPRODUCT((I$4:I$18="No DD")*(E$4:E$18&gt;E14))+1+SUMPRODUCT((G$4:G$18&lt;&gt;"")*(H$4:H$18&lt;&gt;"")),""))</f>
        <v/>
      </c>
      <c r="B14" s="127" t="s">
        <v>80</v>
      </c>
      <c r="C14" s="5" t="s">
        <v>5</v>
      </c>
      <c r="D14" s="5">
        <v>1999</v>
      </c>
      <c r="E14" s="15">
        <f t="shared" si="0"/>
        <v>141.625</v>
      </c>
      <c r="F14" s="3" t="str">
        <f t="shared" si="1"/>
        <v>P</v>
      </c>
      <c r="G14" s="125" t="str">
        <f>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Merit",IF(OR(AND(AR14&gt;=AY$22,AR14&lt;&gt;"",AP14=""),AND(AT14&gt;=AY$22,AT14&lt;&gt;"",AP14=""),AND(AW14&gt;=AY$22,AW14&lt;&gt;"",AP14=""),AND(BV14&gt;=CC$22,BV14&lt;&gt;"",BT14=""),AND(BX14&gt;=CC$22,BX14&lt;&gt;"",BT14=""),AND(CA14&gt;=CC$22,CA14&lt;&gt;"",BT14=""),AND(CZ14&gt;=DG$22,CZ14&lt;&gt;"",CX14=""),AND(DB14&gt;=DG$22,DB14&lt;&gt;"",CX14=""),AND(DE14&gt;=DG$22,DE14&lt;&gt;"",CX14=""),AND(EA14&gt;=EG$22,EA14&lt;&gt;""),AND(EE14&gt;=EG$22,EE14&lt;&gt;""),AND(EW14&gt;=FC$22,EW14&lt;&gt;""),AND(FA14&gt;=FC$22,FA14&lt;&gt;""),AND(FS14&gt;=FY$22,FS14&lt;&gt;""),AND(FW14&gt;=FY$22,FW14&lt;&gt;""),AND(GO14&gt;=GU$22,GO14&lt;&gt;""),AND(GS14&gt;=GU$22,GS14&lt;&gt;""),AND(HK14&gt;=HQ$22,HK14&lt;&gt;""),AND(HO14&gt;=HQ$22,HO14&lt;&gt;""),AND(IG14&gt;=IM$22,IG14&lt;&gt;""),AND(IK14&gt;=IM$22,IK14&lt;&gt;""),AND(JC14&gt;=JI$22,JC14&lt;&gt;""),AND(JG14&gt;=JI$22,JG14&lt;&gt;""),AND(JY14&gt;=KE$22,JY14&lt;&gt;""),AND(KC14&gt;=KE$22,KC14&lt;&gt;""),AND(KU14&gt;=LA$22,KU14&lt;&gt;""),AND(KY14&gt;=LA$22,KY14&lt;&gt;""),AND(LQ14&gt;=LW$22,LQ14&lt;&gt;""),AND(LU14&gt;=LW$22,LU14&lt;&gt;""),AND(MM14&gt;=MS$22,MM14&lt;&gt;""),AND(MQ14&gt;=MS$22,MQ14&lt;&gt;""),AND(NI14&gt;=NO$22,NI14&lt;&gt;""),AND(NM14&gt;=NO$22,NM14&lt;&gt;"")),"Excellence",IF(OR(AND(AR14&gt;=AY$21,AR14&lt;&gt;"",AP14=""),AND(AT14&gt;=AY$21,AT14&lt;&gt;"",AP14=""),AND(AW14&gt;=AY$21,AW14&lt;&gt;"",AP14=""),AND(BV14&gt;=CC$21,BV14&lt;&gt;"",BT14=""),AND(BX14&gt;=CC$21,BX14&lt;&gt;"",BT14=""),AND(CA14&gt;=CC$21,CA14&lt;&gt;"",BT14=""),AND(CZ14&gt;=DG$21,CZ14&lt;&gt;"",CX14=""),AND(DB14&gt;=DG$21,DB14&lt;&gt;"",CX14=""),AND(DE14&gt;=DG$21,DE14&lt;&gt;"",CX14=""),AND(EA14&gt;=EG$21,EA14&lt;&gt;""),AND(EE14&gt;=EG$21,EE14&lt;&gt;""),AND(EW14&gt;=FC$21,EW14&lt;&gt;""),AND(FA14&gt;=FC$21,FA14&lt;&gt;""),AND(FS14&gt;=FY$21,FS14&lt;&gt;""),AND(FW14&gt;=FY$21,FW14&lt;&gt;""),AND(GO14&gt;=GU$21,GO14&lt;&gt;""),AND(GS14&gt;=GU$21,GS14&lt;&gt;""),AND(HK14&gt;=HQ$21,HK14&lt;&gt;""),AND(HO14&gt;=HQ$21,HO14&lt;&gt;""),AND(IG14&gt;=IM$21,IG14&lt;&gt;""),AND(IK14&gt;=IM$21,IK14&lt;&gt;""),AND(JC14&gt;=JI$21,JC14&lt;&gt;""),AND(JG14&gt;=JI$21,JG14&lt;&gt;""),AND(JY14&gt;=KE$21,JY14&lt;&gt;""),AND(KC14&gt;=KE$21,KC14&lt;&gt;""),AND(KU14&gt;=LA$21,KU14&lt;&gt;""),AND(KY14&gt;=LA$21,KY14&lt;&gt;""),AND(LQ14&gt;=LW$21,LQ14&lt;&gt;""),AND(LU14&gt;=LW$21,LU14&lt;&gt;""),AND(MM14&gt;=MS$21,MM14&lt;&gt;""),AND(MQ14&gt;=MS$21,MQ14&lt;&gt;""),AND(NI14&gt;=NO$21,NI14&lt;&gt;""),AND(NM14&gt;=NO$21,NM14&lt;&gt;"")),"Worlds Team",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National Team",""))))</f>
        <v>National Team</v>
      </c>
      <c r="H14" s="125" t="str">
        <f>IF(OR(AND(AS14&gt;=AY$27,AS14&lt;&gt;"",AP14=""),AND(AU14&gt;=AY$27,AU14&lt;&gt;"",AP14=""),AND(AX14&gt;=AY$27,AX14&lt;&gt;"",AP14=""),AND(BW14&gt;=CC$27,BW14&lt;&gt;"",BT14=""),AND(BY14&gt;=CC$27,BY14&lt;&gt;"",BT14=""),AND(CB14&gt;=CC$27,CB14&lt;&gt;"",BT14=""),AND(DA14&gt;=DG$27,DA14&lt;&gt;"",CX14=""),AND(DC14&gt;=DG$27,DC14&lt;&gt;"",CX14=""),AND(DF14&gt;=DG$27,DF14&lt;&gt;"",CX14=""),AND(EC14&gt;=EG$27,EC14&lt;&gt;""),AND(EF14&gt;=EG$27,EF14&lt;&gt;""),AND(EY14&gt;=FC$27,EY14&lt;&gt;""),AND(FB14&gt;=FC$27,FB14&lt;&gt;""),AND(FU14&gt;=FY$27,FU14&lt;&gt;""),AND(FX14&gt;=FY$27,FX14&lt;&gt;""),AND(GQ14&gt;=GU$27,GQ14&lt;&gt;""),AND(GT14&gt;=GU$27,GT14&lt;&gt;""),AND(HM14&gt;=HQ$27,HM14&lt;&gt;""),AND(HP14&gt;=HQ$27,HP14&lt;&gt;""),AND(II14&gt;=IM$27,II14&lt;&gt;""),AND(IL14&gt;=IM$27,IL14&lt;&gt;""),AND(JE14&gt;=JI$27,JE14&lt;&gt;""),AND(JH14&gt;=JI$27,JH14&lt;&gt;""),AND(KA14&gt;=KE$27,KA14&lt;&gt;""),AND(KD14&gt;=KE$27,KD14&lt;&gt;""),AND(KW14&gt;=LA$27,KW14&lt;&gt;""),AND(KZ14&gt;=LA$27,KZ14&lt;&gt;""),AND(LS14&gt;=LW$27,LS14&lt;&gt;""),AND(LV14&gt;=LW$27,LV14&lt;&gt;""),AND(MO14&gt;=MS$27,MO14&lt;&gt;""),AND(MR14&gt;=MS$27,MR14&lt;&gt;""),AND(NK14&gt;=NO$27,NK14&lt;&gt;""),AND(NN14&gt;=NO$27,NN14&lt;&gt;"")),"Merit",IF(OR(AND(AS14&gt;=AY$26,AS14&lt;&gt;"",AP14=""),AND(AU14&gt;=AY$26,AU14&lt;&gt;"",AP14=""),AND(AX14&gt;=AY$26,AX14&lt;&gt;"",AP14=""),AND(BW14&gt;=CC$26,BW14&lt;&gt;"",BT14=""),AND(BY14&gt;=CC$26,BY14&lt;&gt;"",BT14=""),AND(CB14&gt;=CC$26,CB14&lt;&gt;"",BT14=""),AND(DA14&gt;=DG$26,DA14&lt;&gt;"",CX14=""),AND(DC14&gt;=DG$26,DC14&lt;&gt;"",CX14=""),AND(DF14&gt;=DG$26,DF14&lt;&gt;"",CX14=""),AND(EC14&gt;=EG$26,EC14&lt;&gt;""),AND(EF14&gt;=EG$26,EF14&lt;&gt;""),AND(EY14&gt;=FC$26,EY14&lt;&gt;""),AND(FB14&gt;=FC$26,FB14&lt;&gt;""),AND(FU14&gt;=FY$26,FU14&lt;&gt;""),AND(FX14&gt;=FY$26,FX14&lt;&gt;""),AND(GQ14&gt;=GU$26,GQ14&lt;&gt;""),AND(GT14&gt;=GU$26,GT14&lt;&gt;""),AND(HM14&gt;=HQ$26,HM14&lt;&gt;""),AND(HP14&gt;=HQ$26,HP14&lt;&gt;""),AND(II14&gt;=IM$26,II14&lt;&gt;""),AND(IL14&gt;=IM$26,IL14&lt;&gt;""),AND(JE14&gt;=JI$26,JE14&lt;&gt;""),AND(JH14&gt;=JI$26,JH14&lt;&gt;""),AND(KA14&gt;=KE$26,KA14&lt;&gt;""),AND(KD14&gt;=KE$26,KD14&lt;&gt;""),AND(KW14&gt;=LA$26,KW14&lt;&gt;""),AND(KZ14&gt;=LA$26,KZ14&lt;&gt;""),AND(LS14&gt;=LW$26,LS14&lt;&gt;""),AND(LV14&gt;=LW$26,LV14&lt;&gt;""),AND(MO14&gt;=MS$26,MO14&lt;&gt;""),AND(MR14&gt;=MS$26,MR14&lt;&gt;""),AND(NK14&gt;=NO$26,NK14&lt;&gt;""),AND(NN14&gt;=NO$26,NN14&lt;&gt;"")),"Excellence",IF(OR(AND(AV14&gt;=AY$25,AV14&lt;&gt;"",AP14=""),AND(BZ14&gt;=CC$25,BZ14&lt;&gt;"",BT14=""),AND(DD14&gt;=DG$25,DD14&lt;&gt;"",CX14=""),AND(ED14&gt;=EG$25,ED14&lt;&gt;""),AND(EZ14&gt;=FC$25,EZ14&lt;&gt;""),AND(FV14&gt;=FY$25,FV14&lt;&gt;""),AND(GR14&gt;=GU$25,GR14&lt;&gt;""),AND(HN14&gt;=HQ$25,HN14&lt;&gt;""),AND(IJ14&gt;=IM$25,IJ14&lt;&gt;""),AND(JF14&gt;=JI$25,JF14&lt;&gt;""),AND(KB14&gt;=KE$25,KB14&lt;&gt;""),AND(KX14&gt;=LA$25,KX14&lt;&gt;""),AND(LT14&gt;=LW$25,LT14&lt;&gt;""),AND(MP14&gt;=MS$25,MP14&lt;&gt;""),AND(NL14&gt;=NO$25,NL14&lt;&gt;"")),"Worlds Team",IF(OR(AND(AV14&gt;=AY$24,AV14&lt;&gt;"",AP14=""),AND(BZ14&gt;=CC$24,BZ14&lt;&gt;"",BT14=""),AND(DD14&gt;=DG$24,DD14&lt;&gt;"",CX14=""),AND(ED14&gt;=EG$24,ED14&lt;&gt;""),AND(EZ14&gt;=FC$24,EZ14&lt;&gt;""),AND(FV14&gt;=FY$24,FV14&lt;&gt;""),AND(GR14&gt;=GU$24,GR14&lt;&gt;""),AND(HN14&gt;=HQ$24,HN14&lt;&gt;""),AND(IJ14&gt;=IM$24,IJ14&lt;&gt;""),AND(JF14&gt;=JI$24,JF14&lt;&gt;""),AND(KB14&gt;=KE$24,KB14&lt;&gt;""),AND(KX14&gt;=LA$24,KX14&lt;&gt;""),AND(LT14&gt;=LW$24,LT14&lt;&gt;""),AND(MP14&gt;=MS$24,MP14&lt;&gt;""),AND(NL14&gt;=NO$24,NL14&lt;&gt;"")),"National Team",""))))</f>
        <v/>
      </c>
      <c r="I14" s="126" t="str">
        <f t="shared" si="2"/>
        <v/>
      </c>
      <c r="J14" s="3" t="str">
        <f>IF(AND(OR(AND(AV14&gt;=AY$25,AV14&lt;&gt;"",AP14=""),AND(BZ14&gt;=CC$25,BZ14&lt;&gt;"",BT14=""),AND(DD14&gt;=DG$25,DD14&lt;&gt;"",CX14=""),AND(ED14&gt;=EG$25,ED14&lt;&gt;""),AND(EZ14&gt;=FC$25,EZ14&lt;&gt;""),AND(FV14&gt;=FY$25,FV14&lt;&gt;""),AND(GR14&gt;=GU$25,GR14&lt;&gt;""),AND(HN14&gt;=HQ$25,HN14&lt;&gt;""),AND(IJ14&gt;=IM$25,IJ14&lt;&gt;""),AND(JF14&gt;=JI$25,JF14&lt;&gt;""),AND(KB14&gt;=KE$25,KB14&lt;&gt;""),AND(KX14&gt;=LA$25,KX14&lt;&gt;""),AND(LT14&gt;=LW$25,LT14&lt;&gt;""),AND(MP14&gt;=MS$25,MP14&lt;&gt;""),AND(NL14&gt;=NO$25,NL14&lt;&gt;"")),OR(G14="Worlds Team",G14="Excellence",G14="Merit")),"P","")</f>
        <v/>
      </c>
      <c r="K14" s="14">
        <f t="shared" si="3"/>
        <v>91.205000000000013</v>
      </c>
      <c r="L14" s="14" t="str">
        <f t="shared" si="4"/>
        <v>2019 Nationals</v>
      </c>
      <c r="M14" s="14">
        <f t="shared" si="5"/>
        <v>0</v>
      </c>
      <c r="N14" s="14" t="str">
        <f t="shared" si="6"/>
        <v/>
      </c>
      <c r="O14" s="14">
        <f t="shared" si="7"/>
        <v>0</v>
      </c>
      <c r="P14" s="14" t="str">
        <f t="shared" si="8"/>
        <v/>
      </c>
      <c r="Q14" s="14">
        <f t="shared" si="9"/>
        <v>50.42</v>
      </c>
      <c r="R14" s="14" t="str">
        <f t="shared" si="10"/>
        <v>2019 Nationals</v>
      </c>
      <c r="S14" s="14" t="str">
        <f t="shared" si="11"/>
        <v/>
      </c>
      <c r="T14" s="25" t="str">
        <f t="shared" si="12"/>
        <v/>
      </c>
      <c r="U14" s="14" t="str">
        <f t="shared" si="13"/>
        <v/>
      </c>
      <c r="V14" s="69">
        <v>16.5</v>
      </c>
      <c r="W14" s="69">
        <v>9.6</v>
      </c>
      <c r="X14" s="69">
        <v>4.9000000000000004</v>
      </c>
      <c r="Y14" s="69">
        <v>15.255000000000001</v>
      </c>
      <c r="Z14" s="69">
        <v>0</v>
      </c>
      <c r="AA14" s="69">
        <v>12.1</v>
      </c>
      <c r="AB14" s="69">
        <v>7.9</v>
      </c>
      <c r="AC14" s="69">
        <v>11.7</v>
      </c>
      <c r="AD14" s="69">
        <v>13.25</v>
      </c>
      <c r="AE14" s="69">
        <v>0</v>
      </c>
      <c r="AF14" s="69"/>
      <c r="AG14" s="69"/>
      <c r="AH14" s="69"/>
      <c r="AI14" s="69"/>
      <c r="AJ14" s="69"/>
      <c r="AK14" s="69">
        <v>13.6</v>
      </c>
      <c r="AL14" s="69">
        <v>9.5</v>
      </c>
      <c r="AM14" s="69">
        <v>12.9</v>
      </c>
      <c r="AN14" s="69">
        <v>14.42</v>
      </c>
      <c r="AO14" s="69"/>
      <c r="AP14" s="80"/>
      <c r="AQ14" s="11">
        <f t="shared" si="14"/>
        <v>46.255000000000003</v>
      </c>
      <c r="AR14" s="11">
        <f t="shared" si="15"/>
        <v>11.7</v>
      </c>
      <c r="AS14" s="11">
        <f t="shared" si="16"/>
        <v>44.95</v>
      </c>
      <c r="AT14" s="11" t="str">
        <f t="shared" si="17"/>
        <v/>
      </c>
      <c r="AU14" s="11" t="str">
        <f t="shared" si="18"/>
        <v/>
      </c>
      <c r="AV14" s="11">
        <f t="shared" si="19"/>
        <v>91.205000000000013</v>
      </c>
      <c r="AW14" s="11">
        <f t="shared" si="20"/>
        <v>12.9</v>
      </c>
      <c r="AX14" s="11">
        <f t="shared" si="21"/>
        <v>50.42</v>
      </c>
      <c r="AY14" s="11">
        <f t="shared" si="22"/>
        <v>141.625</v>
      </c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81"/>
      <c r="BU14" s="14" t="str">
        <f t="shared" si="23"/>
        <v/>
      </c>
      <c r="BV14" s="14" t="str">
        <f t="shared" si="24"/>
        <v/>
      </c>
      <c r="BW14" s="14" t="str">
        <f t="shared" si="25"/>
        <v/>
      </c>
      <c r="BX14" s="14" t="str">
        <f t="shared" si="26"/>
        <v/>
      </c>
      <c r="BY14" s="14" t="str">
        <f t="shared" si="27"/>
        <v/>
      </c>
      <c r="BZ14" s="14" t="str">
        <f t="shared" si="28"/>
        <v/>
      </c>
      <c r="CA14" s="14" t="str">
        <f t="shared" si="29"/>
        <v/>
      </c>
      <c r="CB14" s="14" t="str">
        <f t="shared" si="30"/>
        <v/>
      </c>
      <c r="CC14" s="14" t="str">
        <f t="shared" si="31"/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11" t="str">
        <f t="shared" si="35"/>
        <v/>
      </c>
      <c r="DC14" s="11" t="str">
        <f t="shared" si="36"/>
        <v/>
      </c>
      <c r="DD14" s="11" t="str">
        <f t="shared" si="37"/>
        <v/>
      </c>
      <c r="DE14" s="11" t="str">
        <f t="shared" si="38"/>
        <v/>
      </c>
      <c r="DF14" s="11" t="str">
        <f t="shared" si="39"/>
        <v/>
      </c>
      <c r="DG14" s="11" t="str">
        <f t="shared" si="40"/>
        <v/>
      </c>
      <c r="DH14" s="24" t="str">
        <f t="shared" si="41"/>
        <v/>
      </c>
      <c r="DI14" s="24" t="str">
        <f t="shared" si="42"/>
        <v/>
      </c>
      <c r="DJ14" s="24" t="str">
        <f t="shared" si="43"/>
        <v/>
      </c>
      <c r="DK14" s="24" t="str">
        <f t="shared" si="44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5"/>
        <v/>
      </c>
      <c r="EB14" s="11" t="str">
        <f t="shared" si="46"/>
        <v/>
      </c>
      <c r="EC14" s="11" t="str">
        <f t="shared" si="47"/>
        <v/>
      </c>
      <c r="ED14" s="11" t="str">
        <f t="shared" si="48"/>
        <v/>
      </c>
      <c r="EE14" s="11" t="str">
        <f t="shared" si="49"/>
        <v/>
      </c>
      <c r="EF14" s="11" t="str">
        <f t="shared" si="50"/>
        <v/>
      </c>
      <c r="EG14" s="11" t="str">
        <f t="shared" si="51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2"/>
        <v/>
      </c>
      <c r="EX14" s="14" t="str">
        <f t="shared" si="53"/>
        <v/>
      </c>
      <c r="EY14" s="14" t="str">
        <f t="shared" si="54"/>
        <v/>
      </c>
      <c r="EZ14" s="14" t="str">
        <f t="shared" si="55"/>
        <v/>
      </c>
      <c r="FA14" s="14" t="str">
        <f t="shared" si="56"/>
        <v/>
      </c>
      <c r="FB14" s="14" t="str">
        <f t="shared" si="57"/>
        <v/>
      </c>
      <c r="FC14" s="14" t="str">
        <f t="shared" si="58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59"/>
        <v/>
      </c>
      <c r="FT14" s="11" t="str">
        <f t="shared" si="60"/>
        <v/>
      </c>
      <c r="FU14" s="11" t="str">
        <f t="shared" si="61"/>
        <v/>
      </c>
      <c r="FV14" s="11" t="str">
        <f t="shared" si="62"/>
        <v/>
      </c>
      <c r="FW14" s="11" t="str">
        <f t="shared" si="63"/>
        <v/>
      </c>
      <c r="FX14" s="11" t="str">
        <f t="shared" si="64"/>
        <v/>
      </c>
      <c r="FY14" s="11" t="str">
        <f t="shared" si="65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6"/>
        <v/>
      </c>
      <c r="GP14" s="14" t="str">
        <f t="shared" si="67"/>
        <v/>
      </c>
      <c r="GQ14" s="14" t="str">
        <f t="shared" si="68"/>
        <v/>
      </c>
      <c r="GR14" s="14" t="str">
        <f t="shared" si="69"/>
        <v/>
      </c>
      <c r="GS14" s="14" t="str">
        <f t="shared" si="70"/>
        <v/>
      </c>
      <c r="GT14" s="14" t="str">
        <f t="shared" si="71"/>
        <v/>
      </c>
      <c r="GU14" s="14" t="str">
        <f t="shared" si="72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3"/>
        <v/>
      </c>
      <c r="HL14" s="11" t="str">
        <f t="shared" si="74"/>
        <v/>
      </c>
      <c r="HM14" s="11" t="str">
        <f t="shared" si="75"/>
        <v/>
      </c>
      <c r="HN14" s="11" t="str">
        <f t="shared" si="76"/>
        <v/>
      </c>
      <c r="HO14" s="11" t="str">
        <f t="shared" si="77"/>
        <v/>
      </c>
      <c r="HP14" s="11" t="str">
        <f t="shared" si="78"/>
        <v/>
      </c>
      <c r="HQ14" s="11" t="str">
        <f t="shared" si="79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0"/>
        <v/>
      </c>
      <c r="IH14" s="14" t="str">
        <f t="shared" si="81"/>
        <v/>
      </c>
      <c r="II14" s="14" t="str">
        <f t="shared" si="82"/>
        <v/>
      </c>
      <c r="IJ14" s="14" t="str">
        <f t="shared" si="83"/>
        <v/>
      </c>
      <c r="IK14" s="14" t="str">
        <f t="shared" si="84"/>
        <v/>
      </c>
      <c r="IL14" s="14" t="str">
        <f t="shared" si="85"/>
        <v/>
      </c>
      <c r="IM14" s="14" t="str">
        <f t="shared" si="86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87"/>
        <v/>
      </c>
      <c r="JD14" s="11" t="str">
        <f t="shared" si="88"/>
        <v/>
      </c>
      <c r="JE14" s="11" t="str">
        <f t="shared" si="89"/>
        <v/>
      </c>
      <c r="JF14" s="11" t="str">
        <f t="shared" si="90"/>
        <v/>
      </c>
      <c r="JG14" s="11" t="str">
        <f t="shared" si="91"/>
        <v/>
      </c>
      <c r="JH14" s="11" t="str">
        <f t="shared" si="92"/>
        <v/>
      </c>
      <c r="JI14" s="11" t="str">
        <f t="shared" si="93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4"/>
        <v/>
      </c>
      <c r="JZ14" s="14" t="str">
        <f t="shared" si="95"/>
        <v/>
      </c>
      <c r="KA14" s="14" t="str">
        <f t="shared" si="96"/>
        <v/>
      </c>
      <c r="KB14" s="14" t="str">
        <f t="shared" si="97"/>
        <v/>
      </c>
      <c r="KC14" s="14" t="str">
        <f t="shared" si="98"/>
        <v/>
      </c>
      <c r="KD14" s="14" t="str">
        <f t="shared" si="99"/>
        <v/>
      </c>
      <c r="KE14" s="14" t="str">
        <f t="shared" si="100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1"/>
        <v/>
      </c>
      <c r="KV14" s="11" t="str">
        <f t="shared" si="102"/>
        <v/>
      </c>
      <c r="KW14" s="11" t="str">
        <f t="shared" si="103"/>
        <v/>
      </c>
      <c r="KX14" s="11" t="str">
        <f t="shared" si="104"/>
        <v/>
      </c>
      <c r="KY14" s="11" t="str">
        <f t="shared" si="105"/>
        <v/>
      </c>
      <c r="KZ14" s="11" t="str">
        <f t="shared" si="106"/>
        <v/>
      </c>
      <c r="LA14" s="11" t="str">
        <f t="shared" si="107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08"/>
        <v/>
      </c>
      <c r="LR14" s="14" t="str">
        <f t="shared" si="109"/>
        <v/>
      </c>
      <c r="LS14" s="14" t="str">
        <f t="shared" si="110"/>
        <v/>
      </c>
      <c r="LT14" s="14" t="str">
        <f t="shared" si="111"/>
        <v/>
      </c>
      <c r="LU14" s="14" t="str">
        <f t="shared" si="112"/>
        <v/>
      </c>
      <c r="LV14" s="14" t="str">
        <f t="shared" si="113"/>
        <v/>
      </c>
      <c r="LW14" s="14" t="str">
        <f t="shared" si="114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5"/>
        <v/>
      </c>
      <c r="MN14" s="11" t="str">
        <f t="shared" si="116"/>
        <v/>
      </c>
      <c r="MO14" s="11" t="str">
        <f t="shared" si="117"/>
        <v/>
      </c>
      <c r="MP14" s="11" t="str">
        <f t="shared" si="118"/>
        <v/>
      </c>
      <c r="MQ14" s="11" t="str">
        <f t="shared" si="119"/>
        <v/>
      </c>
      <c r="MR14" s="11" t="str">
        <f t="shared" si="120"/>
        <v/>
      </c>
      <c r="MS14" s="11" t="str">
        <f t="shared" si="121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2"/>
        <v/>
      </c>
      <c r="NJ14" s="14" t="str">
        <f t="shared" si="123"/>
        <v/>
      </c>
      <c r="NK14" s="14" t="str">
        <f t="shared" si="124"/>
        <v/>
      </c>
      <c r="NL14" s="14" t="str">
        <f t="shared" si="125"/>
        <v/>
      </c>
      <c r="NM14" s="14" t="str">
        <f t="shared" si="126"/>
        <v/>
      </c>
      <c r="NN14" s="14" t="str">
        <f t="shared" si="127"/>
        <v/>
      </c>
      <c r="NO14" s="14" t="str">
        <f t="shared" si="128"/>
        <v/>
      </c>
      <c r="NP14" s="69">
        <f t="shared" si="129"/>
        <v>0</v>
      </c>
      <c r="NQ14" s="69">
        <f t="shared" si="130"/>
        <v>0</v>
      </c>
      <c r="NR14" s="69">
        <f t="shared" si="131"/>
        <v>0</v>
      </c>
      <c r="NS14" s="69">
        <f t="shared" si="132"/>
        <v>0</v>
      </c>
      <c r="NT14" s="69">
        <f t="shared" si="133"/>
        <v>0</v>
      </c>
      <c r="NU14" s="69">
        <f t="shared" si="134"/>
        <v>0</v>
      </c>
      <c r="NV14" s="69">
        <f t="shared" si="135"/>
        <v>0</v>
      </c>
      <c r="NW14" s="69">
        <f t="shared" si="136"/>
        <v>0</v>
      </c>
      <c r="NX14" s="69">
        <f t="shared" si="137"/>
        <v>0</v>
      </c>
      <c r="NY14" s="69">
        <f t="shared" si="138"/>
        <v>0</v>
      </c>
      <c r="NZ14" s="69">
        <f t="shared" si="139"/>
        <v>0</v>
      </c>
      <c r="OA14" s="69">
        <f t="shared" si="140"/>
        <v>0</v>
      </c>
      <c r="OB14" s="69">
        <f t="shared" si="141"/>
        <v>0</v>
      </c>
      <c r="OC14" s="69">
        <f t="shared" si="142"/>
        <v>0</v>
      </c>
      <c r="OD14" s="69">
        <f t="shared" si="143"/>
        <v>0</v>
      </c>
      <c r="OE14" s="69">
        <f t="shared" si="144"/>
        <v>0</v>
      </c>
      <c r="OF14" s="69">
        <f t="shared" si="145"/>
        <v>0</v>
      </c>
      <c r="OG14" s="69">
        <f t="shared" si="146"/>
        <v>0</v>
      </c>
      <c r="OH14" s="69">
        <f t="shared" si="147"/>
        <v>0</v>
      </c>
      <c r="OI14" s="69">
        <f t="shared" si="148"/>
        <v>0</v>
      </c>
      <c r="OJ14" s="80" t="s">
        <v>88</v>
      </c>
      <c r="OK14" s="11" t="str">
        <f t="shared" si="149"/>
        <v/>
      </c>
      <c r="OL14" s="11" t="str">
        <f t="shared" si="150"/>
        <v/>
      </c>
      <c r="OM14" s="11" t="str">
        <f t="shared" si="151"/>
        <v/>
      </c>
      <c r="ON14" s="11" t="str">
        <f t="shared" si="152"/>
        <v/>
      </c>
      <c r="OO14" s="11" t="str">
        <f t="shared" si="153"/>
        <v/>
      </c>
      <c r="OP14" s="11" t="str">
        <f t="shared" si="154"/>
        <v/>
      </c>
      <c r="OQ14" s="11" t="str">
        <f t="shared" si="155"/>
        <v/>
      </c>
      <c r="OR14" s="11" t="str">
        <f t="shared" si="156"/>
        <v/>
      </c>
      <c r="OS14" s="11" t="str">
        <f t="shared" si="157"/>
        <v/>
      </c>
    </row>
    <row r="15" spans="1:409" x14ac:dyDescent="0.2">
      <c r="A15" s="5" t="str" cm="1">
        <f t="array" ref="A15">IF(AND(G15&lt;&gt;"",H15&lt;&gt;""),SUMPRODUCT((G$4:G$18&lt;&gt;"")*(H$4:H$18&lt;&gt;"")*(E$4:E$18&gt;E15))+1,IF(H15&lt;&gt;"",SUMPRODUCT((I$4:I$18="No DD")*(E$4:E$18&gt;E15))+1+SUMPRODUCT((G$4:G$18&lt;&gt;"")*(H$4:H$18&lt;&gt;"")),""))</f>
        <v/>
      </c>
      <c r="B15" s="127" t="s">
        <v>36</v>
      </c>
      <c r="C15" s="5" t="s">
        <v>3</v>
      </c>
      <c r="D15" s="5">
        <v>1995</v>
      </c>
      <c r="E15" s="15">
        <f t="shared" si="0"/>
        <v>233.23500000000001</v>
      </c>
      <c r="F15" s="3" t="str">
        <f t="shared" si="1"/>
        <v/>
      </c>
      <c r="G15" s="125" t="str">
        <f>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Merit",IF(OR(AND(AR15&gt;=AY$22,AR15&lt;&gt;"",AP15=""),AND(AT15&gt;=AY$22,AT15&lt;&gt;"",AP15=""),AND(AW15&gt;=AY$22,AW15&lt;&gt;"",AP15=""),AND(BV15&gt;=CC$22,BV15&lt;&gt;"",BT15=""),AND(BX15&gt;=CC$22,BX15&lt;&gt;"",BT15=""),AND(CA15&gt;=CC$22,CA15&lt;&gt;"",BT15=""),AND(CZ15&gt;=DG$22,CZ15&lt;&gt;"",CX15=""),AND(DB15&gt;=DG$22,DB15&lt;&gt;"",CX15=""),AND(DE15&gt;=DG$22,DE15&lt;&gt;"",CX15=""),AND(EA15&gt;=EG$22,EA15&lt;&gt;""),AND(EE15&gt;=EG$22,EE15&lt;&gt;""),AND(EW15&gt;=FC$22,EW15&lt;&gt;""),AND(FA15&gt;=FC$22,FA15&lt;&gt;""),AND(FS15&gt;=FY$22,FS15&lt;&gt;""),AND(FW15&gt;=FY$22,FW15&lt;&gt;""),AND(GO15&gt;=GU$22,GO15&lt;&gt;""),AND(GS15&gt;=GU$22,GS15&lt;&gt;""),AND(HK15&gt;=HQ$22,HK15&lt;&gt;""),AND(HO15&gt;=HQ$22,HO15&lt;&gt;""),AND(IG15&gt;=IM$22,IG15&lt;&gt;""),AND(IK15&gt;=IM$22,IK15&lt;&gt;""),AND(JC15&gt;=JI$22,JC15&lt;&gt;""),AND(JG15&gt;=JI$22,JG15&lt;&gt;""),AND(JY15&gt;=KE$22,JY15&lt;&gt;""),AND(KC15&gt;=KE$22,KC15&lt;&gt;""),AND(KU15&gt;=LA$22,KU15&lt;&gt;""),AND(KY15&gt;=LA$22,KY15&lt;&gt;""),AND(LQ15&gt;=LW$22,LQ15&lt;&gt;""),AND(LU15&gt;=LW$22,LU15&lt;&gt;""),AND(MM15&gt;=MS$22,MM15&lt;&gt;""),AND(MQ15&gt;=MS$22,MQ15&lt;&gt;""),AND(NI15&gt;=NO$22,NI15&lt;&gt;""),AND(NM15&gt;=NO$22,NM15&lt;&gt;"")),"Excellence",IF(OR(AND(AR15&gt;=AY$21,AR15&lt;&gt;"",AP15=""),AND(AT15&gt;=AY$21,AT15&lt;&gt;"",AP15=""),AND(AW15&gt;=AY$21,AW15&lt;&gt;"",AP15=""),AND(BV15&gt;=CC$21,BV15&lt;&gt;"",BT15=""),AND(BX15&gt;=CC$21,BX15&lt;&gt;"",BT15=""),AND(CA15&gt;=CC$21,CA15&lt;&gt;"",BT15=""),AND(CZ15&gt;=DG$21,CZ15&lt;&gt;"",CX15=""),AND(DB15&gt;=DG$21,DB15&lt;&gt;"",CX15=""),AND(DE15&gt;=DG$21,DE15&lt;&gt;"",CX15=""),AND(EA15&gt;=EG$21,EA15&lt;&gt;""),AND(EE15&gt;=EG$21,EE15&lt;&gt;""),AND(EW15&gt;=FC$21,EW15&lt;&gt;""),AND(FA15&gt;=FC$21,FA15&lt;&gt;""),AND(FS15&gt;=FY$21,FS15&lt;&gt;""),AND(FW15&gt;=FY$21,FW15&lt;&gt;""),AND(GO15&gt;=GU$21,GO15&lt;&gt;""),AND(GS15&gt;=GU$21,GS15&lt;&gt;""),AND(HK15&gt;=HQ$21,HK15&lt;&gt;""),AND(HO15&gt;=HQ$21,HO15&lt;&gt;""),AND(IG15&gt;=IM$21,IG15&lt;&gt;""),AND(IK15&gt;=IM$21,IK15&lt;&gt;""),AND(JC15&gt;=JI$21,JC15&lt;&gt;""),AND(JG15&gt;=JI$21,JG15&lt;&gt;""),AND(JY15&gt;=KE$21,JY15&lt;&gt;""),AND(KC15&gt;=KE$21,KC15&lt;&gt;""),AND(KU15&gt;=LA$21,KU15&lt;&gt;""),AND(KY15&gt;=LA$21,KY15&lt;&gt;""),AND(LQ15&gt;=LW$21,LQ15&lt;&gt;""),AND(LU15&gt;=LW$21,LU15&lt;&gt;""),AND(MM15&gt;=MS$21,MM15&lt;&gt;""),AND(MQ15&gt;=MS$21,MQ15&lt;&gt;""),AND(NI15&gt;=NO$21,NI15&lt;&gt;""),AND(NM15&gt;=NO$21,NM15&lt;&gt;"")),"Worlds Team",IF(OR(AND(AR15&gt;=AY$20,AR15&lt;&gt;"",AP15=""),AND(AT15&gt;=AY$20,AT15&lt;&gt;"",AP15=""),AND(AW15&gt;=AY$20,AW15&lt;&gt;"",AP15=""),AND(BV15&gt;=CC$20,BV15&lt;&gt;"",BT15=""),AND(BX15&gt;=CC$20,BX15&lt;&gt;"",BT15=""),AND(CA15&gt;=CC$20,CA15&lt;&gt;"",BT15=""),AND(CZ15&gt;=DG$20,CZ15&lt;&gt;"",CX15=""),AND(DB15&gt;=DG$20,DB15&lt;&gt;"",CX15=""),AND(DE15&gt;=DG$20,DE15&lt;&gt;"",CX15=""),AND(EA15&gt;=EG$20,EA15&lt;&gt;""),AND(EE15&gt;=EG$20,EE15&lt;&gt;""),AND(EW15&gt;=FC$20,EW15&lt;&gt;""),AND(FA15&gt;=FC$20,FA15&lt;&gt;""),AND(FS15&gt;=FY$20,FS15&lt;&gt;""),AND(FW15&gt;=FY$20,FW15&lt;&gt;""),AND(GO15&gt;=GU$20,GO15&lt;&gt;""),AND(GS15&gt;=GU$20,GS15&lt;&gt;""),AND(HK15&gt;=HQ$20,HK15&lt;&gt;""),AND(HO15&gt;=HQ$20,HO15&lt;&gt;""),AND(IG15&gt;=IM$20,IG15&lt;&gt;""),AND(IK15&gt;=IM$20,IK15&lt;&gt;""),AND(JC15&gt;=JI$20,JC15&lt;&gt;""),AND(JG15&gt;=JI$20,JG15&lt;&gt;""),AND(JY15&gt;=KE$20,JY15&lt;&gt;""),AND(KC15&gt;=KE$20,KC15&lt;&gt;""),AND(KU15&gt;=LA$20,KU15&lt;&gt;""),AND(KY15&gt;=LA$20,KY15&lt;&gt;""),AND(LQ15&gt;=LW$20,LQ15&lt;&gt;""),AND(LU15&gt;=LW$20,LU15&lt;&gt;""),AND(MM15&gt;=MS$20,MM15&lt;&gt;""),AND(MQ15&gt;=MS$20,MQ15&lt;&gt;""),AND(NI15&gt;=NO$20,NI15&lt;&gt;""),AND(NM15&gt;=NO$20,NM15&lt;&gt;"")),"National Team",""))))</f>
        <v/>
      </c>
      <c r="H15" s="125" t="str">
        <f>IF(OR(AND(AS15&gt;=AY$27,AS15&lt;&gt;"",AP15=""),AND(AU15&gt;=AY$27,AU15&lt;&gt;"",AP15=""),AND(AX15&gt;=AY$27,AX15&lt;&gt;"",AP15=""),AND(BW15&gt;=CC$27,BW15&lt;&gt;"",BT15=""),AND(BY15&gt;=CC$27,BY15&lt;&gt;"",BT15=""),AND(CB15&gt;=CC$27,CB15&lt;&gt;"",BT15=""),AND(DA15&gt;=DG$27,DA15&lt;&gt;"",CX15=""),AND(DC15&gt;=DG$27,DC15&lt;&gt;"",CX15=""),AND(DF15&gt;=DG$27,DF15&lt;&gt;"",CX15=""),AND(EC15&gt;=EG$27,EC15&lt;&gt;""),AND(EF15&gt;=EG$27,EF15&lt;&gt;""),AND(EY15&gt;=FC$27,EY15&lt;&gt;""),AND(FB15&gt;=FC$27,FB15&lt;&gt;""),AND(FU15&gt;=FY$27,FU15&lt;&gt;""),AND(FX15&gt;=FY$27,FX15&lt;&gt;""),AND(GQ15&gt;=GU$27,GQ15&lt;&gt;""),AND(GT15&gt;=GU$27,GT15&lt;&gt;""),AND(HM15&gt;=HQ$27,HM15&lt;&gt;""),AND(HP15&gt;=HQ$27,HP15&lt;&gt;""),AND(II15&gt;=IM$27,II15&lt;&gt;""),AND(IL15&gt;=IM$27,IL15&lt;&gt;""),AND(JE15&gt;=JI$27,JE15&lt;&gt;""),AND(JH15&gt;=JI$27,JH15&lt;&gt;""),AND(KA15&gt;=KE$27,KA15&lt;&gt;""),AND(KD15&gt;=KE$27,KD15&lt;&gt;""),AND(KW15&gt;=LA$27,KW15&lt;&gt;""),AND(KZ15&gt;=LA$27,KZ15&lt;&gt;""),AND(LS15&gt;=LW$27,LS15&lt;&gt;""),AND(LV15&gt;=LW$27,LV15&lt;&gt;""),AND(MO15&gt;=MS$27,MO15&lt;&gt;""),AND(MR15&gt;=MS$27,MR15&lt;&gt;""),AND(NK15&gt;=NO$27,NK15&lt;&gt;""),AND(NN15&gt;=NO$27,NN15&lt;&gt;"")),"Merit",IF(OR(AND(AS15&gt;=AY$26,AS15&lt;&gt;"",AP15=""),AND(AU15&gt;=AY$26,AU15&lt;&gt;"",AP15=""),AND(AX15&gt;=AY$26,AX15&lt;&gt;"",AP15=""),AND(BW15&gt;=CC$26,BW15&lt;&gt;"",BT15=""),AND(BY15&gt;=CC$26,BY15&lt;&gt;"",BT15=""),AND(CB15&gt;=CC$26,CB15&lt;&gt;"",BT15=""),AND(DA15&gt;=DG$26,DA15&lt;&gt;"",CX15=""),AND(DC15&gt;=DG$26,DC15&lt;&gt;"",CX15=""),AND(DF15&gt;=DG$26,DF15&lt;&gt;"",CX15=""),AND(EC15&gt;=EG$26,EC15&lt;&gt;""),AND(EF15&gt;=EG$26,EF15&lt;&gt;""),AND(EY15&gt;=FC$26,EY15&lt;&gt;""),AND(FB15&gt;=FC$26,FB15&lt;&gt;""),AND(FU15&gt;=FY$26,FU15&lt;&gt;""),AND(FX15&gt;=FY$26,FX15&lt;&gt;""),AND(GQ15&gt;=GU$26,GQ15&lt;&gt;""),AND(GT15&gt;=GU$26,GT15&lt;&gt;""),AND(HM15&gt;=HQ$26,HM15&lt;&gt;""),AND(HP15&gt;=HQ$26,HP15&lt;&gt;""),AND(II15&gt;=IM$26,II15&lt;&gt;""),AND(IL15&gt;=IM$26,IL15&lt;&gt;""),AND(JE15&gt;=JI$26,JE15&lt;&gt;""),AND(JH15&gt;=JI$26,JH15&lt;&gt;""),AND(KA15&gt;=KE$26,KA15&lt;&gt;""),AND(KD15&gt;=KE$26,KD15&lt;&gt;""),AND(KW15&gt;=LA$26,KW15&lt;&gt;""),AND(KZ15&gt;=LA$26,KZ15&lt;&gt;""),AND(LS15&gt;=LW$26,LS15&lt;&gt;""),AND(LV15&gt;=LW$26,LV15&lt;&gt;""),AND(MO15&gt;=MS$26,MO15&lt;&gt;""),AND(MR15&gt;=MS$26,MR15&lt;&gt;""),AND(NK15&gt;=NO$26,NK15&lt;&gt;""),AND(NN15&gt;=NO$26,NN15&lt;&gt;"")),"Excellence",IF(OR(AND(AV15&gt;=AY$25,AV15&lt;&gt;"",AP15=""),AND(BZ15&gt;=CC$25,BZ15&lt;&gt;"",BT15=""),AND(DD15&gt;=DG$25,DD15&lt;&gt;"",CX15=""),AND(ED15&gt;=EG$25,ED15&lt;&gt;""),AND(EZ15&gt;=FC$25,EZ15&lt;&gt;""),AND(FV15&gt;=FY$25,FV15&lt;&gt;""),AND(GR15&gt;=GU$25,GR15&lt;&gt;""),AND(HN15&gt;=HQ$25,HN15&lt;&gt;""),AND(IJ15&gt;=IM$25,IJ15&lt;&gt;""),AND(JF15&gt;=JI$25,JF15&lt;&gt;""),AND(KB15&gt;=KE$25,KB15&lt;&gt;""),AND(KX15&gt;=LA$25,KX15&lt;&gt;""),AND(LT15&gt;=LW$25,LT15&lt;&gt;""),AND(MP15&gt;=MS$25,MP15&lt;&gt;""),AND(NL15&gt;=NO$25,NL15&lt;&gt;"")),"Worlds Team",IF(OR(AND(AV15&gt;=AY$24,AV15&lt;&gt;"",AP15=""),AND(BZ15&gt;=CC$24,BZ15&lt;&gt;"",BT15=""),AND(DD15&gt;=DG$24,DD15&lt;&gt;"",CX15=""),AND(ED15&gt;=EG$24,ED15&lt;&gt;""),AND(EZ15&gt;=FC$24,EZ15&lt;&gt;""),AND(FV15&gt;=FY$24,FV15&lt;&gt;""),AND(GR15&gt;=GU$24,GR15&lt;&gt;""),AND(HN15&gt;=HQ$24,HN15&lt;&gt;""),AND(IJ15&gt;=IM$24,IJ15&lt;&gt;""),AND(JF15&gt;=JI$24,JF15&lt;&gt;""),AND(KB15&gt;=KE$24,KB15&lt;&gt;""),AND(KX15&gt;=LA$24,KX15&lt;&gt;""),AND(LT15&gt;=LW$24,LT15&lt;&gt;""),AND(MP15&gt;=MS$24,MP15&lt;&gt;""),AND(NL15&gt;=NO$24,NL15&lt;&gt;"")),"National Team",""))))</f>
        <v/>
      </c>
      <c r="I15" s="126" t="str">
        <f t="shared" si="2"/>
        <v/>
      </c>
      <c r="J15" s="3" t="str">
        <f>IF(AND(OR(AND(AV15&gt;=AY$25,AV15&lt;&gt;"",AP15=""),AND(BZ15&gt;=CC$25,BZ15&lt;&gt;"",BT15=""),AND(DD15&gt;=DG$25,DD15&lt;&gt;"",CX15=""),AND(ED15&gt;=EG$25,ED15&lt;&gt;""),AND(EZ15&gt;=FC$25,EZ15&lt;&gt;""),AND(FV15&gt;=FY$25,FV15&lt;&gt;""),AND(GR15&gt;=GU$25,GR15&lt;&gt;""),AND(HN15&gt;=HQ$25,HN15&lt;&gt;""),AND(IJ15&gt;=IM$25,IJ15&lt;&gt;""),AND(JF15&gt;=JI$25,JF15&lt;&gt;""),AND(KB15&gt;=KE$25,KB15&lt;&gt;""),AND(KX15&gt;=LA$25,KX15&lt;&gt;""),AND(LT15&gt;=LW$25,LT15&lt;&gt;""),AND(MP15&gt;=MS$25,MP15&lt;&gt;""),AND(NL15&gt;=NO$25,NL15&lt;&gt;"")),OR(G15="Worlds Team",G15="Excellence",G15="Merit")),"P","")</f>
        <v/>
      </c>
      <c r="K15" s="14">
        <f t="shared" si="3"/>
        <v>97.867500000000007</v>
      </c>
      <c r="L15" s="14" t="str">
        <f t="shared" si="4"/>
        <v>2019 Nationals</v>
      </c>
      <c r="M15" s="14">
        <f t="shared" si="5"/>
        <v>35.71</v>
      </c>
      <c r="N15" s="14" t="str">
        <f t="shared" si="6"/>
        <v>2021 2nd Virtual Technical Trial</v>
      </c>
      <c r="O15" s="14">
        <f t="shared" si="7"/>
        <v>48.005000000000003</v>
      </c>
      <c r="P15" s="14" t="str">
        <f t="shared" si="8"/>
        <v>2021 2nd Virtual Technical Trial</v>
      </c>
      <c r="Q15" s="14">
        <f t="shared" si="9"/>
        <v>51.652500000000003</v>
      </c>
      <c r="R15" s="14" t="str">
        <f t="shared" si="10"/>
        <v>2019 Nationals</v>
      </c>
      <c r="S15" s="14" t="str">
        <f t="shared" si="11"/>
        <v/>
      </c>
      <c r="T15" s="25" t="str">
        <f t="shared" si="12"/>
        <v/>
      </c>
      <c r="U15" s="14" t="str">
        <f t="shared" si="13"/>
        <v/>
      </c>
      <c r="V15" s="69">
        <v>16.399999999999999</v>
      </c>
      <c r="W15" s="69">
        <v>9.25</v>
      </c>
      <c r="X15" s="69">
        <v>5.4499999999999993</v>
      </c>
      <c r="Y15" s="69">
        <v>16.1325</v>
      </c>
      <c r="Z15" s="69">
        <v>0</v>
      </c>
      <c r="AA15" s="69">
        <v>14.05</v>
      </c>
      <c r="AB15" s="69">
        <v>9.1</v>
      </c>
      <c r="AC15" s="69">
        <v>12.25</v>
      </c>
      <c r="AD15" s="69">
        <v>15.335000000000001</v>
      </c>
      <c r="AE15" s="69">
        <v>0.1</v>
      </c>
      <c r="AF15" s="69"/>
      <c r="AG15" s="69"/>
      <c r="AH15" s="69"/>
      <c r="AI15" s="69"/>
      <c r="AJ15" s="69"/>
      <c r="AK15" s="69">
        <v>14.75</v>
      </c>
      <c r="AL15" s="69">
        <v>9.1999999999999993</v>
      </c>
      <c r="AM15" s="69">
        <v>12</v>
      </c>
      <c r="AN15" s="69">
        <v>15.702500000000001</v>
      </c>
      <c r="AO15" s="69">
        <v>0</v>
      </c>
      <c r="AP15" s="80" t="s">
        <v>88</v>
      </c>
      <c r="AQ15" s="11">
        <f t="shared" si="14"/>
        <v>47.232500000000002</v>
      </c>
      <c r="AR15" s="11">
        <f t="shared" si="15"/>
        <v>12.25</v>
      </c>
      <c r="AS15" s="11">
        <f t="shared" si="16"/>
        <v>50.634999999999998</v>
      </c>
      <c r="AT15" s="11" t="str">
        <f t="shared" si="17"/>
        <v/>
      </c>
      <c r="AU15" s="11" t="str">
        <f t="shared" si="18"/>
        <v/>
      </c>
      <c r="AV15" s="11">
        <f t="shared" si="19"/>
        <v>97.867500000000007</v>
      </c>
      <c r="AW15" s="11">
        <f t="shared" si="20"/>
        <v>12</v>
      </c>
      <c r="AX15" s="11">
        <f t="shared" si="21"/>
        <v>51.652500000000003</v>
      </c>
      <c r="AY15" s="11">
        <f t="shared" si="22"/>
        <v>149.52000000000001</v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 t="shared" si="23"/>
        <v/>
      </c>
      <c r="BV15" s="14" t="str">
        <f t="shared" si="24"/>
        <v/>
      </c>
      <c r="BW15" s="14" t="str">
        <f t="shared" si="25"/>
        <v/>
      </c>
      <c r="BX15" s="14" t="str">
        <f t="shared" si="26"/>
        <v/>
      </c>
      <c r="BY15" s="14" t="str">
        <f t="shared" si="27"/>
        <v/>
      </c>
      <c r="BZ15" s="14" t="str">
        <f t="shared" si="28"/>
        <v/>
      </c>
      <c r="CA15" s="14" t="str">
        <f t="shared" si="29"/>
        <v/>
      </c>
      <c r="CB15" s="14" t="str">
        <f t="shared" si="30"/>
        <v/>
      </c>
      <c r="CC15" s="14" t="str">
        <f t="shared" si="31"/>
        <v/>
      </c>
      <c r="CD15" s="69">
        <v>13.9</v>
      </c>
      <c r="CE15" s="69">
        <v>7.4</v>
      </c>
      <c r="CF15" s="69">
        <v>1.3</v>
      </c>
      <c r="CG15" s="69">
        <v>13.11</v>
      </c>
      <c r="CH15" s="69">
        <v>0</v>
      </c>
      <c r="CI15" s="69">
        <v>14.3</v>
      </c>
      <c r="CJ15" s="69">
        <v>9.1999999999999993</v>
      </c>
      <c r="CK15" s="69">
        <v>10.3</v>
      </c>
      <c r="CL15" s="69">
        <v>15.105</v>
      </c>
      <c r="CM15" s="69">
        <v>0.9</v>
      </c>
      <c r="CN15" s="69">
        <v>14.1</v>
      </c>
      <c r="CO15" s="69">
        <v>8.8000000000000007</v>
      </c>
      <c r="CP15" s="69">
        <v>9.1999999999999993</v>
      </c>
      <c r="CQ15" s="69">
        <v>14.975</v>
      </c>
      <c r="CR15" s="69">
        <v>2</v>
      </c>
      <c r="CS15" s="69">
        <v>2.6</v>
      </c>
      <c r="CT15" s="69">
        <v>1.6</v>
      </c>
      <c r="CU15" s="69">
        <v>2</v>
      </c>
      <c r="CV15" s="69">
        <v>3.05</v>
      </c>
      <c r="CW15" s="69">
        <v>0</v>
      </c>
      <c r="CX15" s="80"/>
      <c r="CY15" s="11">
        <f t="shared" si="32"/>
        <v>35.71</v>
      </c>
      <c r="CZ15" s="11">
        <f t="shared" si="33"/>
        <v>10.3</v>
      </c>
      <c r="DA15" s="11">
        <f t="shared" si="34"/>
        <v>48.005000000000003</v>
      </c>
      <c r="DB15" s="11">
        <f t="shared" si="35"/>
        <v>9.1999999999999993</v>
      </c>
      <c r="DC15" s="11">
        <f t="shared" si="36"/>
        <v>45.074999999999996</v>
      </c>
      <c r="DD15" s="11">
        <f t="shared" si="37"/>
        <v>83.715000000000003</v>
      </c>
      <c r="DE15" s="11">
        <f t="shared" si="38"/>
        <v>2</v>
      </c>
      <c r="DF15" s="11">
        <f t="shared" si="39"/>
        <v>9.25</v>
      </c>
      <c r="DG15" s="11">
        <f t="shared" si="40"/>
        <v>92.965000000000003</v>
      </c>
      <c r="DH15" s="24" t="str">
        <f t="shared" si="41"/>
        <v/>
      </c>
      <c r="DI15" s="24" t="str">
        <f t="shared" si="42"/>
        <v/>
      </c>
      <c r="DJ15" s="24" t="str">
        <f t="shared" si="43"/>
        <v/>
      </c>
      <c r="DK15" s="24" t="str">
        <f t="shared" si="44"/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 t="shared" si="45"/>
        <v/>
      </c>
      <c r="EB15" s="11" t="str">
        <f t="shared" si="46"/>
        <v/>
      </c>
      <c r="EC15" s="11" t="str">
        <f t="shared" si="47"/>
        <v/>
      </c>
      <c r="ED15" s="11" t="str">
        <f t="shared" si="48"/>
        <v/>
      </c>
      <c r="EE15" s="11" t="str">
        <f t="shared" si="49"/>
        <v/>
      </c>
      <c r="EF15" s="11" t="str">
        <f t="shared" si="50"/>
        <v/>
      </c>
      <c r="EG15" s="11" t="str">
        <f t="shared" si="51"/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 t="shared" si="52"/>
        <v/>
      </c>
      <c r="EX15" s="14" t="str">
        <f t="shared" si="53"/>
        <v/>
      </c>
      <c r="EY15" s="14" t="str">
        <f t="shared" si="54"/>
        <v/>
      </c>
      <c r="EZ15" s="14" t="str">
        <f t="shared" si="55"/>
        <v/>
      </c>
      <c r="FA15" s="14" t="str">
        <f t="shared" si="56"/>
        <v/>
      </c>
      <c r="FB15" s="14" t="str">
        <f t="shared" si="57"/>
        <v/>
      </c>
      <c r="FC15" s="14" t="str">
        <f t="shared" si="58"/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 t="shared" si="59"/>
        <v/>
      </c>
      <c r="FT15" s="11" t="str">
        <f t="shared" si="60"/>
        <v/>
      </c>
      <c r="FU15" s="11" t="str">
        <f t="shared" si="61"/>
        <v/>
      </c>
      <c r="FV15" s="11" t="str">
        <f t="shared" si="62"/>
        <v/>
      </c>
      <c r="FW15" s="11" t="str">
        <f t="shared" si="63"/>
        <v/>
      </c>
      <c r="FX15" s="11" t="str">
        <f t="shared" si="64"/>
        <v/>
      </c>
      <c r="FY15" s="11" t="str">
        <f t="shared" si="65"/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 t="shared" si="66"/>
        <v/>
      </c>
      <c r="GP15" s="14" t="str">
        <f t="shared" si="67"/>
        <v/>
      </c>
      <c r="GQ15" s="14" t="str">
        <f t="shared" si="68"/>
        <v/>
      </c>
      <c r="GR15" s="14" t="str">
        <f t="shared" si="69"/>
        <v/>
      </c>
      <c r="GS15" s="14" t="str">
        <f t="shared" si="70"/>
        <v/>
      </c>
      <c r="GT15" s="14" t="str">
        <f t="shared" si="71"/>
        <v/>
      </c>
      <c r="GU15" s="14" t="str">
        <f t="shared" si="72"/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 t="shared" si="73"/>
        <v/>
      </c>
      <c r="HL15" s="11" t="str">
        <f t="shared" si="74"/>
        <v/>
      </c>
      <c r="HM15" s="11" t="str">
        <f t="shared" si="75"/>
        <v/>
      </c>
      <c r="HN15" s="11" t="str">
        <f t="shared" si="76"/>
        <v/>
      </c>
      <c r="HO15" s="11" t="str">
        <f t="shared" si="77"/>
        <v/>
      </c>
      <c r="HP15" s="11" t="str">
        <f t="shared" si="78"/>
        <v/>
      </c>
      <c r="HQ15" s="11" t="str">
        <f t="shared" si="79"/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 t="shared" si="80"/>
        <v/>
      </c>
      <c r="IH15" s="14" t="str">
        <f t="shared" si="81"/>
        <v/>
      </c>
      <c r="II15" s="14" t="str">
        <f t="shared" si="82"/>
        <v/>
      </c>
      <c r="IJ15" s="14" t="str">
        <f t="shared" si="83"/>
        <v/>
      </c>
      <c r="IK15" s="14" t="str">
        <f t="shared" si="84"/>
        <v/>
      </c>
      <c r="IL15" s="14" t="str">
        <f t="shared" si="85"/>
        <v/>
      </c>
      <c r="IM15" s="14" t="str">
        <f t="shared" si="86"/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 t="shared" si="87"/>
        <v/>
      </c>
      <c r="JD15" s="11" t="str">
        <f t="shared" si="88"/>
        <v/>
      </c>
      <c r="JE15" s="11" t="str">
        <f t="shared" si="89"/>
        <v/>
      </c>
      <c r="JF15" s="11" t="str">
        <f t="shared" si="90"/>
        <v/>
      </c>
      <c r="JG15" s="11" t="str">
        <f t="shared" si="91"/>
        <v/>
      </c>
      <c r="JH15" s="11" t="str">
        <f t="shared" si="92"/>
        <v/>
      </c>
      <c r="JI15" s="11" t="str">
        <f t="shared" si="93"/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 t="shared" si="94"/>
        <v/>
      </c>
      <c r="JZ15" s="14" t="str">
        <f t="shared" si="95"/>
        <v/>
      </c>
      <c r="KA15" s="14" t="str">
        <f t="shared" si="96"/>
        <v/>
      </c>
      <c r="KB15" s="14" t="str">
        <f t="shared" si="97"/>
        <v/>
      </c>
      <c r="KC15" s="14" t="str">
        <f t="shared" si="98"/>
        <v/>
      </c>
      <c r="KD15" s="14" t="str">
        <f t="shared" si="99"/>
        <v/>
      </c>
      <c r="KE15" s="14" t="str">
        <f t="shared" si="100"/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 t="shared" si="101"/>
        <v/>
      </c>
      <c r="KV15" s="11" t="str">
        <f t="shared" si="102"/>
        <v/>
      </c>
      <c r="KW15" s="11" t="str">
        <f t="shared" si="103"/>
        <v/>
      </c>
      <c r="KX15" s="11" t="str">
        <f t="shared" si="104"/>
        <v/>
      </c>
      <c r="KY15" s="11" t="str">
        <f t="shared" si="105"/>
        <v/>
      </c>
      <c r="KZ15" s="11" t="str">
        <f t="shared" si="106"/>
        <v/>
      </c>
      <c r="LA15" s="11" t="str">
        <f t="shared" si="107"/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 t="shared" si="108"/>
        <v/>
      </c>
      <c r="LR15" s="14" t="str">
        <f t="shared" si="109"/>
        <v/>
      </c>
      <c r="LS15" s="14" t="str">
        <f t="shared" si="110"/>
        <v/>
      </c>
      <c r="LT15" s="14" t="str">
        <f t="shared" si="111"/>
        <v/>
      </c>
      <c r="LU15" s="14" t="str">
        <f t="shared" si="112"/>
        <v/>
      </c>
      <c r="LV15" s="14" t="str">
        <f t="shared" si="113"/>
        <v/>
      </c>
      <c r="LW15" s="14" t="str">
        <f t="shared" si="114"/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 t="shared" si="115"/>
        <v/>
      </c>
      <c r="MN15" s="11" t="str">
        <f t="shared" si="116"/>
        <v/>
      </c>
      <c r="MO15" s="11" t="str">
        <f t="shared" si="117"/>
        <v/>
      </c>
      <c r="MP15" s="11" t="str">
        <f t="shared" si="118"/>
        <v/>
      </c>
      <c r="MQ15" s="11" t="str">
        <f t="shared" si="119"/>
        <v/>
      </c>
      <c r="MR15" s="11" t="str">
        <f t="shared" si="120"/>
        <v/>
      </c>
      <c r="MS15" s="11" t="str">
        <f t="shared" si="121"/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 t="shared" si="122"/>
        <v/>
      </c>
      <c r="NJ15" s="14" t="str">
        <f t="shared" si="123"/>
        <v/>
      </c>
      <c r="NK15" s="14" t="str">
        <f t="shared" si="124"/>
        <v/>
      </c>
      <c r="NL15" s="14" t="str">
        <f t="shared" si="125"/>
        <v/>
      </c>
      <c r="NM15" s="14" t="str">
        <f t="shared" si="126"/>
        <v/>
      </c>
      <c r="NN15" s="14" t="str">
        <f t="shared" si="127"/>
        <v/>
      </c>
      <c r="NO15" s="14" t="str">
        <f t="shared" si="128"/>
        <v/>
      </c>
      <c r="NP15" s="69">
        <f t="shared" si="129"/>
        <v>6.95</v>
      </c>
      <c r="NQ15" s="69">
        <f t="shared" si="130"/>
        <v>3.7</v>
      </c>
      <c r="NR15" s="69">
        <f t="shared" si="131"/>
        <v>0.65</v>
      </c>
      <c r="NS15" s="69">
        <f t="shared" si="132"/>
        <v>6.5549999999999997</v>
      </c>
      <c r="NT15" s="69">
        <f t="shared" si="133"/>
        <v>0</v>
      </c>
      <c r="NU15" s="69">
        <f t="shared" si="134"/>
        <v>7.15</v>
      </c>
      <c r="NV15" s="69">
        <f t="shared" si="135"/>
        <v>4.5999999999999996</v>
      </c>
      <c r="NW15" s="69">
        <f t="shared" si="136"/>
        <v>5.15</v>
      </c>
      <c r="NX15" s="69">
        <f t="shared" si="137"/>
        <v>7.5525000000000002</v>
      </c>
      <c r="NY15" s="69">
        <f t="shared" si="138"/>
        <v>0.45</v>
      </c>
      <c r="NZ15" s="69">
        <f t="shared" si="139"/>
        <v>7.05</v>
      </c>
      <c r="OA15" s="69">
        <f t="shared" si="140"/>
        <v>4.4000000000000004</v>
      </c>
      <c r="OB15" s="69">
        <f t="shared" si="141"/>
        <v>4.5999999999999996</v>
      </c>
      <c r="OC15" s="69">
        <f t="shared" si="142"/>
        <v>7.4874999999999998</v>
      </c>
      <c r="OD15" s="69">
        <f t="shared" si="143"/>
        <v>1</v>
      </c>
      <c r="OE15" s="69">
        <f t="shared" si="144"/>
        <v>1.3</v>
      </c>
      <c r="OF15" s="69">
        <f t="shared" si="145"/>
        <v>0.8</v>
      </c>
      <c r="OG15" s="69">
        <f t="shared" si="146"/>
        <v>1</v>
      </c>
      <c r="OH15" s="69">
        <f t="shared" si="147"/>
        <v>1.5249999999999999</v>
      </c>
      <c r="OI15" s="69">
        <f t="shared" si="148"/>
        <v>0</v>
      </c>
      <c r="OJ15" s="80" t="s">
        <v>88</v>
      </c>
      <c r="OK15" s="11">
        <f t="shared" si="149"/>
        <v>17.855</v>
      </c>
      <c r="OL15" s="11">
        <f t="shared" si="150"/>
        <v>5.15</v>
      </c>
      <c r="OM15" s="11">
        <f t="shared" si="151"/>
        <v>24.002500000000001</v>
      </c>
      <c r="ON15" s="11">
        <f t="shared" si="152"/>
        <v>4.5999999999999996</v>
      </c>
      <c r="OO15" s="11">
        <f t="shared" si="153"/>
        <v>22.537499999999998</v>
      </c>
      <c r="OP15" s="11">
        <f t="shared" si="154"/>
        <v>41.857500000000002</v>
      </c>
      <c r="OQ15" s="11">
        <f t="shared" si="155"/>
        <v>1</v>
      </c>
      <c r="OR15" s="11">
        <f t="shared" si="156"/>
        <v>4.625</v>
      </c>
      <c r="OS15" s="11">
        <f t="shared" si="157"/>
        <v>46.482500000000002</v>
      </c>
    </row>
    <row r="16" spans="1:409" x14ac:dyDescent="0.2">
      <c r="A16" s="5" t="str" cm="1">
        <f t="array" ref="A16">IF(AND(G16&lt;&gt;"",H16&lt;&gt;""),SUMPRODUCT((G$4:G$18&lt;&gt;"")*(H$4:H$18&lt;&gt;"")*(E$4:E$18&gt;E16))+1,IF(H16&lt;&gt;"",SUMPRODUCT((I$4:I$18="No DD")*(E$4:E$18&gt;E16))+1+SUMPRODUCT((G$4:G$18&lt;&gt;"")*(H$4:H$18&lt;&gt;"")),""))</f>
        <v/>
      </c>
      <c r="B16" s="127" t="s">
        <v>173</v>
      </c>
      <c r="C16" s="5" t="s">
        <v>3</v>
      </c>
      <c r="D16" s="5">
        <v>2002</v>
      </c>
      <c r="E16" s="15">
        <f t="shared" si="0"/>
        <v>230.17999999999998</v>
      </c>
      <c r="F16" s="3" t="str">
        <f t="shared" si="1"/>
        <v/>
      </c>
      <c r="G16" s="125" t="str">
        <f>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Merit",IF(OR(AND(AR16&gt;=AY$22,AR16&lt;&gt;"",AP16=""),AND(AT16&gt;=AY$22,AT16&lt;&gt;"",AP16=""),AND(AW16&gt;=AY$22,AW16&lt;&gt;"",AP16=""),AND(BV16&gt;=CC$22,BV16&lt;&gt;"",BT16=""),AND(BX16&gt;=CC$22,BX16&lt;&gt;"",BT16=""),AND(CA16&gt;=CC$22,CA16&lt;&gt;"",BT16=""),AND(CZ16&gt;=DG$22,CZ16&lt;&gt;"",CX16=""),AND(DB16&gt;=DG$22,DB16&lt;&gt;"",CX16=""),AND(DE16&gt;=DG$22,DE16&lt;&gt;"",CX16=""),AND(EA16&gt;=EG$22,EA16&lt;&gt;""),AND(EE16&gt;=EG$22,EE16&lt;&gt;""),AND(EW16&gt;=FC$22,EW16&lt;&gt;""),AND(FA16&gt;=FC$22,FA16&lt;&gt;""),AND(FS16&gt;=FY$22,FS16&lt;&gt;""),AND(FW16&gt;=FY$22,FW16&lt;&gt;""),AND(GO16&gt;=GU$22,GO16&lt;&gt;""),AND(GS16&gt;=GU$22,GS16&lt;&gt;""),AND(HK16&gt;=HQ$22,HK16&lt;&gt;""),AND(HO16&gt;=HQ$22,HO16&lt;&gt;""),AND(IG16&gt;=IM$22,IG16&lt;&gt;""),AND(IK16&gt;=IM$22,IK16&lt;&gt;""),AND(JC16&gt;=JI$22,JC16&lt;&gt;""),AND(JG16&gt;=JI$22,JG16&lt;&gt;""),AND(JY16&gt;=KE$22,JY16&lt;&gt;""),AND(KC16&gt;=KE$22,KC16&lt;&gt;""),AND(KU16&gt;=LA$22,KU16&lt;&gt;""),AND(KY16&gt;=LA$22,KY16&lt;&gt;""),AND(LQ16&gt;=LW$22,LQ16&lt;&gt;""),AND(LU16&gt;=LW$22,LU16&lt;&gt;""),AND(MM16&gt;=MS$22,MM16&lt;&gt;""),AND(MQ16&gt;=MS$22,MQ16&lt;&gt;""),AND(NI16&gt;=NO$22,NI16&lt;&gt;""),AND(NM16&gt;=NO$22,NM16&lt;&gt;"")),"Excellence",IF(OR(AND(AR16&gt;=AY$21,AR16&lt;&gt;"",AP16=""),AND(AT16&gt;=AY$21,AT16&lt;&gt;"",AP16=""),AND(AW16&gt;=AY$21,AW16&lt;&gt;"",AP16=""),AND(BV16&gt;=CC$21,BV16&lt;&gt;"",BT16=""),AND(BX16&gt;=CC$21,BX16&lt;&gt;"",BT16=""),AND(CA16&gt;=CC$21,CA16&lt;&gt;"",BT16=""),AND(CZ16&gt;=DG$21,CZ16&lt;&gt;"",CX16=""),AND(DB16&gt;=DG$21,DB16&lt;&gt;"",CX16=""),AND(DE16&gt;=DG$21,DE16&lt;&gt;"",CX16=""),AND(EA16&gt;=EG$21,EA16&lt;&gt;""),AND(EE16&gt;=EG$21,EE16&lt;&gt;""),AND(EW16&gt;=FC$21,EW16&lt;&gt;""),AND(FA16&gt;=FC$21,FA16&lt;&gt;""),AND(FS16&gt;=FY$21,FS16&lt;&gt;""),AND(FW16&gt;=FY$21,FW16&lt;&gt;""),AND(GO16&gt;=GU$21,GO16&lt;&gt;""),AND(GS16&gt;=GU$21,GS16&lt;&gt;""),AND(HK16&gt;=HQ$21,HK16&lt;&gt;""),AND(HO16&gt;=HQ$21,HO16&lt;&gt;""),AND(IG16&gt;=IM$21,IG16&lt;&gt;""),AND(IK16&gt;=IM$21,IK16&lt;&gt;""),AND(JC16&gt;=JI$21,JC16&lt;&gt;""),AND(JG16&gt;=JI$21,JG16&lt;&gt;""),AND(JY16&gt;=KE$21,JY16&lt;&gt;""),AND(KC16&gt;=KE$21,KC16&lt;&gt;""),AND(KU16&gt;=LA$21,KU16&lt;&gt;""),AND(KY16&gt;=LA$21,KY16&lt;&gt;""),AND(LQ16&gt;=LW$21,LQ16&lt;&gt;""),AND(LU16&gt;=LW$21,LU16&lt;&gt;""),AND(MM16&gt;=MS$21,MM16&lt;&gt;""),AND(MQ16&gt;=MS$21,MQ16&lt;&gt;""),AND(NI16&gt;=NO$21,NI16&lt;&gt;""),AND(NM16&gt;=NO$21,NM16&lt;&gt;"")),"Worlds Team",IF(OR(AND(AR16&gt;=AY$20,AR16&lt;&gt;"",AP16=""),AND(AT16&gt;=AY$20,AT16&lt;&gt;"",AP16=""),AND(AW16&gt;=AY$20,AW16&lt;&gt;"",AP16=""),AND(BV16&gt;=CC$20,BV16&lt;&gt;"",BT16=""),AND(BX16&gt;=CC$20,BX16&lt;&gt;"",BT16=""),AND(CA16&gt;=CC$20,CA16&lt;&gt;"",BT16=""),AND(CZ16&gt;=DG$20,CZ16&lt;&gt;"",CX16=""),AND(DB16&gt;=DG$20,DB16&lt;&gt;"",CX16=""),AND(DE16&gt;=DG$20,DE16&lt;&gt;"",CX16=""),AND(EA16&gt;=EG$20,EA16&lt;&gt;""),AND(EE16&gt;=EG$20,EE16&lt;&gt;""),AND(EW16&gt;=FC$20,EW16&lt;&gt;""),AND(FA16&gt;=FC$20,FA16&lt;&gt;""),AND(FS16&gt;=FY$20,FS16&lt;&gt;""),AND(FW16&gt;=FY$20,FW16&lt;&gt;""),AND(GO16&gt;=GU$20,GO16&lt;&gt;""),AND(GS16&gt;=GU$20,GS16&lt;&gt;""),AND(HK16&gt;=HQ$20,HK16&lt;&gt;""),AND(HO16&gt;=HQ$20,HO16&lt;&gt;""),AND(IG16&gt;=IM$20,IG16&lt;&gt;""),AND(IK16&gt;=IM$20,IK16&lt;&gt;""),AND(JC16&gt;=JI$20,JC16&lt;&gt;""),AND(JG16&gt;=JI$20,JG16&lt;&gt;""),AND(JY16&gt;=KE$20,JY16&lt;&gt;""),AND(KC16&gt;=KE$20,KC16&lt;&gt;""),AND(KU16&gt;=LA$20,KU16&lt;&gt;""),AND(KY16&gt;=LA$20,KY16&lt;&gt;""),AND(LQ16&gt;=LW$20,LQ16&lt;&gt;""),AND(LU16&gt;=LW$20,LU16&lt;&gt;""),AND(MM16&gt;=MS$20,MM16&lt;&gt;""),AND(MQ16&gt;=MS$20,MQ16&lt;&gt;""),AND(NI16&gt;=NO$20,NI16&lt;&gt;""),AND(NM16&gt;=NO$20,NM16&lt;&gt;"")),"National Team",""))))</f>
        <v/>
      </c>
      <c r="H16" s="125" t="str">
        <f>IF(OR(AND(AS16&gt;=AY$27,AS16&lt;&gt;"",AP16=""),AND(AU16&gt;=AY$27,AU16&lt;&gt;"",AP16=""),AND(AX16&gt;=AY$27,AX16&lt;&gt;"",AP16=""),AND(BW16&gt;=CC$27,BW16&lt;&gt;"",BT16=""),AND(BY16&gt;=CC$27,BY16&lt;&gt;"",BT16=""),AND(CB16&gt;=CC$27,CB16&lt;&gt;"",BT16=""),AND(DA16&gt;=DG$27,DA16&lt;&gt;"",CX16=""),AND(DC16&gt;=DG$27,DC16&lt;&gt;"",CX16=""),AND(DF16&gt;=DG$27,DF16&lt;&gt;"",CX16=""),AND(EC16&gt;=EG$27,EC16&lt;&gt;""),AND(EF16&gt;=EG$27,EF16&lt;&gt;""),AND(EY16&gt;=FC$27,EY16&lt;&gt;""),AND(FB16&gt;=FC$27,FB16&lt;&gt;""),AND(FU16&gt;=FY$27,FU16&lt;&gt;""),AND(FX16&gt;=FY$27,FX16&lt;&gt;""),AND(GQ16&gt;=GU$27,GQ16&lt;&gt;""),AND(GT16&gt;=GU$27,GT16&lt;&gt;""),AND(HM16&gt;=HQ$27,HM16&lt;&gt;""),AND(HP16&gt;=HQ$27,HP16&lt;&gt;""),AND(II16&gt;=IM$27,II16&lt;&gt;""),AND(IL16&gt;=IM$27,IL16&lt;&gt;""),AND(JE16&gt;=JI$27,JE16&lt;&gt;""),AND(JH16&gt;=JI$27,JH16&lt;&gt;""),AND(KA16&gt;=KE$27,KA16&lt;&gt;""),AND(KD16&gt;=KE$27,KD16&lt;&gt;""),AND(KW16&gt;=LA$27,KW16&lt;&gt;""),AND(KZ16&gt;=LA$27,KZ16&lt;&gt;""),AND(LS16&gt;=LW$27,LS16&lt;&gt;""),AND(LV16&gt;=LW$27,LV16&lt;&gt;""),AND(MO16&gt;=MS$27,MO16&lt;&gt;""),AND(MR16&gt;=MS$27,MR16&lt;&gt;""),AND(NK16&gt;=NO$27,NK16&lt;&gt;""),AND(NN16&gt;=NO$27,NN16&lt;&gt;"")),"Merit",IF(OR(AND(AS16&gt;=AY$26,AS16&lt;&gt;"",AP16=""),AND(AU16&gt;=AY$26,AU16&lt;&gt;"",AP16=""),AND(AX16&gt;=AY$26,AX16&lt;&gt;"",AP16=""),AND(BW16&gt;=CC$26,BW16&lt;&gt;"",BT16=""),AND(BY16&gt;=CC$26,BY16&lt;&gt;"",BT16=""),AND(CB16&gt;=CC$26,CB16&lt;&gt;"",BT16=""),AND(DA16&gt;=DG$26,DA16&lt;&gt;"",CX16=""),AND(DC16&gt;=DG$26,DC16&lt;&gt;"",CX16=""),AND(DF16&gt;=DG$26,DF16&lt;&gt;"",CX16=""),AND(EC16&gt;=EG$26,EC16&lt;&gt;""),AND(EF16&gt;=EG$26,EF16&lt;&gt;""),AND(EY16&gt;=FC$26,EY16&lt;&gt;""),AND(FB16&gt;=FC$26,FB16&lt;&gt;""),AND(FU16&gt;=FY$26,FU16&lt;&gt;""),AND(FX16&gt;=FY$26,FX16&lt;&gt;""),AND(GQ16&gt;=GU$26,GQ16&lt;&gt;""),AND(GT16&gt;=GU$26,GT16&lt;&gt;""),AND(HM16&gt;=HQ$26,HM16&lt;&gt;""),AND(HP16&gt;=HQ$26,HP16&lt;&gt;""),AND(II16&gt;=IM$26,II16&lt;&gt;""),AND(IL16&gt;=IM$26,IL16&lt;&gt;""),AND(JE16&gt;=JI$26,JE16&lt;&gt;""),AND(JH16&gt;=JI$26,JH16&lt;&gt;""),AND(KA16&gt;=KE$26,KA16&lt;&gt;""),AND(KD16&gt;=KE$26,KD16&lt;&gt;""),AND(KW16&gt;=LA$26,KW16&lt;&gt;""),AND(KZ16&gt;=LA$26,KZ16&lt;&gt;""),AND(LS16&gt;=LW$26,LS16&lt;&gt;""),AND(LV16&gt;=LW$26,LV16&lt;&gt;""),AND(MO16&gt;=MS$26,MO16&lt;&gt;""),AND(MR16&gt;=MS$26,MR16&lt;&gt;""),AND(NK16&gt;=NO$26,NK16&lt;&gt;""),AND(NN16&gt;=NO$26,NN16&lt;&gt;"")),"Excellence",IF(OR(AND(AV16&gt;=AY$25,AV16&lt;&gt;"",AP16=""),AND(BZ16&gt;=CC$25,BZ16&lt;&gt;"",BT16=""),AND(DD16&gt;=DG$25,DD16&lt;&gt;"",CX16=""),AND(ED16&gt;=EG$25,ED16&lt;&gt;""),AND(EZ16&gt;=FC$25,EZ16&lt;&gt;""),AND(FV16&gt;=FY$25,FV16&lt;&gt;""),AND(GR16&gt;=GU$25,GR16&lt;&gt;""),AND(HN16&gt;=HQ$25,HN16&lt;&gt;""),AND(IJ16&gt;=IM$25,IJ16&lt;&gt;""),AND(JF16&gt;=JI$25,JF16&lt;&gt;""),AND(KB16&gt;=KE$25,KB16&lt;&gt;""),AND(KX16&gt;=LA$25,KX16&lt;&gt;""),AND(LT16&gt;=LW$25,LT16&lt;&gt;""),AND(MP16&gt;=MS$25,MP16&lt;&gt;""),AND(NL16&gt;=NO$25,NL16&lt;&gt;"")),"Worlds Team",IF(OR(AND(AV16&gt;=AY$24,AV16&lt;&gt;"",AP16=""),AND(BZ16&gt;=CC$24,BZ16&lt;&gt;"",BT16=""),AND(DD16&gt;=DG$24,DD16&lt;&gt;"",CX16=""),AND(ED16&gt;=EG$24,ED16&lt;&gt;""),AND(EZ16&gt;=FC$24,EZ16&lt;&gt;""),AND(FV16&gt;=FY$24,FV16&lt;&gt;""),AND(GR16&gt;=GU$24,GR16&lt;&gt;""),AND(HN16&gt;=HQ$24,HN16&lt;&gt;""),AND(IJ16&gt;=IM$24,IJ16&lt;&gt;""),AND(JF16&gt;=JI$24,JF16&lt;&gt;""),AND(KB16&gt;=KE$24,KB16&lt;&gt;""),AND(KX16&gt;=LA$24,KX16&lt;&gt;""),AND(LT16&gt;=LW$24,LT16&lt;&gt;""),AND(MP16&gt;=MS$24,MP16&lt;&gt;""),AND(NL16&gt;=NO$24,NL16&lt;&gt;"")),"National Team",""))))</f>
        <v/>
      </c>
      <c r="I16" s="126" t="str">
        <f t="shared" si="2"/>
        <v/>
      </c>
      <c r="J16" s="3" t="str">
        <f>IF(AND(OR(AND(AV16&gt;=AY$25,AV16&lt;&gt;"",AP16=""),AND(BZ16&gt;=CC$25,BZ16&lt;&gt;"",BT16=""),AND(DD16&gt;=DG$25,DD16&lt;&gt;"",CX16=""),AND(ED16&gt;=EG$25,ED16&lt;&gt;""),AND(EZ16&gt;=FC$25,EZ16&lt;&gt;""),AND(FV16&gt;=FY$25,FV16&lt;&gt;""),AND(GR16&gt;=GU$25,GR16&lt;&gt;""),AND(HN16&gt;=HQ$25,HN16&lt;&gt;""),AND(IJ16&gt;=IM$25,IJ16&lt;&gt;""),AND(JF16&gt;=JI$25,JF16&lt;&gt;""),AND(KB16&gt;=KE$25,KB16&lt;&gt;""),AND(KX16&gt;=LA$25,KX16&lt;&gt;""),AND(LT16&gt;=LW$25,LT16&lt;&gt;""),AND(MP16&gt;=MS$25,MP16&lt;&gt;""),AND(NL16&gt;=NO$25,NL16&lt;&gt;"")),OR(G16="Worlds Team",G16="Excellence",G16="Merit")),"P","")</f>
        <v/>
      </c>
      <c r="K16" s="14">
        <f t="shared" si="3"/>
        <v>93.284999999999997</v>
      </c>
      <c r="L16" s="14" t="str">
        <f t="shared" si="4"/>
        <v>2019 Nationals</v>
      </c>
      <c r="M16" s="14">
        <f t="shared" si="5"/>
        <v>41.974999999999994</v>
      </c>
      <c r="N16" s="14" t="str">
        <f t="shared" si="6"/>
        <v>2021 1st Virtual Technical Trial</v>
      </c>
      <c r="O16" s="14">
        <f t="shared" si="7"/>
        <v>46.389999999999993</v>
      </c>
      <c r="P16" s="14" t="str">
        <f t="shared" si="8"/>
        <v>2021 2nd Virtual Technical Trial</v>
      </c>
      <c r="Q16" s="14">
        <f t="shared" si="9"/>
        <v>48.53</v>
      </c>
      <c r="R16" s="14" t="str">
        <f t="shared" si="10"/>
        <v>2019 Nationals</v>
      </c>
      <c r="S16" s="14" t="str">
        <f t="shared" si="11"/>
        <v/>
      </c>
      <c r="T16" s="25" t="str">
        <f t="shared" si="12"/>
        <v/>
      </c>
      <c r="U16" s="14" t="str">
        <f t="shared" si="13"/>
        <v/>
      </c>
      <c r="V16" s="69">
        <v>17.100000000000001</v>
      </c>
      <c r="W16" s="69">
        <v>9.6</v>
      </c>
      <c r="X16" s="69">
        <v>3.9</v>
      </c>
      <c r="Y16" s="69">
        <v>14.8</v>
      </c>
      <c r="Z16" s="69">
        <v>0</v>
      </c>
      <c r="AA16" s="69">
        <v>12.6</v>
      </c>
      <c r="AB16" s="69">
        <v>9.5</v>
      </c>
      <c r="AC16" s="69">
        <v>11.4</v>
      </c>
      <c r="AD16" s="69">
        <v>14.385</v>
      </c>
      <c r="AE16" s="69">
        <v>0</v>
      </c>
      <c r="AF16" s="69"/>
      <c r="AG16" s="69"/>
      <c r="AH16" s="69"/>
      <c r="AI16" s="69"/>
      <c r="AJ16" s="69"/>
      <c r="AK16" s="69">
        <v>14.9</v>
      </c>
      <c r="AL16" s="69">
        <v>9.1</v>
      </c>
      <c r="AM16" s="69">
        <v>10.5</v>
      </c>
      <c r="AN16" s="69">
        <v>14.03</v>
      </c>
      <c r="AO16" s="69">
        <v>0</v>
      </c>
      <c r="AP16" s="80"/>
      <c r="AQ16" s="11">
        <f t="shared" si="14"/>
        <v>45.400000000000006</v>
      </c>
      <c r="AR16" s="11">
        <f t="shared" si="15"/>
        <v>11.4</v>
      </c>
      <c r="AS16" s="11">
        <f t="shared" si="16"/>
        <v>47.884999999999998</v>
      </c>
      <c r="AT16" s="11" t="str">
        <f t="shared" si="17"/>
        <v/>
      </c>
      <c r="AU16" s="11" t="str">
        <f t="shared" si="18"/>
        <v/>
      </c>
      <c r="AV16" s="11">
        <f t="shared" si="19"/>
        <v>93.284999999999997</v>
      </c>
      <c r="AW16" s="11">
        <f t="shared" si="20"/>
        <v>10.5</v>
      </c>
      <c r="AX16" s="11">
        <f t="shared" si="21"/>
        <v>48.53</v>
      </c>
      <c r="AY16" s="11">
        <f t="shared" si="22"/>
        <v>141.815</v>
      </c>
      <c r="AZ16" s="75">
        <v>15</v>
      </c>
      <c r="BA16" s="75">
        <v>8.9499999999999993</v>
      </c>
      <c r="BB16" s="75">
        <v>3.9</v>
      </c>
      <c r="BC16" s="75">
        <v>14.125</v>
      </c>
      <c r="BD16" s="75">
        <v>0</v>
      </c>
      <c r="BE16" s="75">
        <v>8.1</v>
      </c>
      <c r="BF16" s="75">
        <v>5.4</v>
      </c>
      <c r="BG16" s="75">
        <v>5.9</v>
      </c>
      <c r="BH16" s="75">
        <v>8.6349999999999998</v>
      </c>
      <c r="BI16" s="75">
        <v>0</v>
      </c>
      <c r="BJ16" s="75">
        <v>9.8000000000000007</v>
      </c>
      <c r="BK16" s="75">
        <v>6.8</v>
      </c>
      <c r="BL16" s="75">
        <v>7.2</v>
      </c>
      <c r="BM16" s="75">
        <v>10.19</v>
      </c>
      <c r="BN16" s="75">
        <v>0</v>
      </c>
      <c r="BO16" s="75">
        <v>3.3</v>
      </c>
      <c r="BP16" s="75">
        <v>2.5</v>
      </c>
      <c r="BQ16" s="75">
        <v>2.6</v>
      </c>
      <c r="BR16" s="75">
        <v>4.335</v>
      </c>
      <c r="BS16" s="75">
        <v>0</v>
      </c>
      <c r="BT16" s="81"/>
      <c r="BU16" s="14">
        <f t="shared" si="23"/>
        <v>41.974999999999994</v>
      </c>
      <c r="BV16" s="14">
        <f t="shared" si="24"/>
        <v>5.9</v>
      </c>
      <c r="BW16" s="14">
        <f t="shared" si="25"/>
        <v>28.034999999999997</v>
      </c>
      <c r="BX16" s="14">
        <f t="shared" si="26"/>
        <v>7.2</v>
      </c>
      <c r="BY16" s="14">
        <f t="shared" si="27"/>
        <v>33.99</v>
      </c>
      <c r="BZ16" s="14">
        <f t="shared" si="28"/>
        <v>75.965000000000003</v>
      </c>
      <c r="CA16" s="14">
        <f t="shared" si="29"/>
        <v>2.6</v>
      </c>
      <c r="CB16" s="14">
        <f t="shared" si="30"/>
        <v>12.734999999999999</v>
      </c>
      <c r="CC16" s="14">
        <f t="shared" si="31"/>
        <v>88.7</v>
      </c>
      <c r="CD16" s="69">
        <v>2.9</v>
      </c>
      <c r="CE16" s="69">
        <v>1.6</v>
      </c>
      <c r="CF16" s="69">
        <v>1.5</v>
      </c>
      <c r="CG16" s="69">
        <v>2.85</v>
      </c>
      <c r="CH16" s="69">
        <v>0</v>
      </c>
      <c r="CI16" s="69">
        <v>11.8</v>
      </c>
      <c r="CJ16" s="69">
        <v>7.9</v>
      </c>
      <c r="CK16" s="69">
        <v>9.1</v>
      </c>
      <c r="CL16" s="69">
        <v>12.605</v>
      </c>
      <c r="CM16" s="69">
        <v>0</v>
      </c>
      <c r="CN16" s="69">
        <v>13.7</v>
      </c>
      <c r="CO16" s="69">
        <v>9.1</v>
      </c>
      <c r="CP16" s="69">
        <v>10.5</v>
      </c>
      <c r="CQ16" s="69">
        <v>13.79</v>
      </c>
      <c r="CR16" s="69">
        <v>0.7</v>
      </c>
      <c r="CS16" s="69">
        <v>13.4</v>
      </c>
      <c r="CT16" s="69">
        <v>8.8000000000000007</v>
      </c>
      <c r="CU16" s="69">
        <v>9.8000000000000007</v>
      </c>
      <c r="CV16" s="69">
        <v>13.975</v>
      </c>
      <c r="CW16" s="69">
        <v>1.4</v>
      </c>
      <c r="CX16" s="80"/>
      <c r="CY16" s="11">
        <f t="shared" si="32"/>
        <v>8.85</v>
      </c>
      <c r="CZ16" s="11">
        <f t="shared" si="33"/>
        <v>9.1</v>
      </c>
      <c r="DA16" s="11">
        <f t="shared" si="34"/>
        <v>41.405000000000001</v>
      </c>
      <c r="DB16" s="11">
        <f t="shared" si="35"/>
        <v>10.5</v>
      </c>
      <c r="DC16" s="11">
        <f t="shared" si="36"/>
        <v>46.389999999999993</v>
      </c>
      <c r="DD16" s="11">
        <f t="shared" si="37"/>
        <v>55.239999999999995</v>
      </c>
      <c r="DE16" s="11">
        <f t="shared" si="38"/>
        <v>9.8000000000000007</v>
      </c>
      <c r="DF16" s="11">
        <f t="shared" si="39"/>
        <v>44.575000000000003</v>
      </c>
      <c r="DG16" s="11">
        <f t="shared" si="40"/>
        <v>99.814999999999998</v>
      </c>
      <c r="DH16" s="24" t="str">
        <f t="shared" si="41"/>
        <v/>
      </c>
      <c r="DI16" s="24" t="str">
        <f t="shared" si="42"/>
        <v/>
      </c>
      <c r="DJ16" s="24" t="str">
        <f t="shared" si="43"/>
        <v/>
      </c>
      <c r="DK16" s="24" t="str">
        <f t="shared" si="44"/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 t="shared" si="45"/>
        <v/>
      </c>
      <c r="EB16" s="11" t="str">
        <f t="shared" si="46"/>
        <v/>
      </c>
      <c r="EC16" s="11" t="str">
        <f t="shared" si="47"/>
        <v/>
      </c>
      <c r="ED16" s="11" t="str">
        <f t="shared" si="48"/>
        <v/>
      </c>
      <c r="EE16" s="11" t="str">
        <f t="shared" si="49"/>
        <v/>
      </c>
      <c r="EF16" s="11" t="str">
        <f t="shared" si="50"/>
        <v/>
      </c>
      <c r="EG16" s="11" t="str">
        <f t="shared" si="51"/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 t="shared" si="52"/>
        <v/>
      </c>
      <c r="EX16" s="14" t="str">
        <f t="shared" si="53"/>
        <v/>
      </c>
      <c r="EY16" s="14" t="str">
        <f t="shared" si="54"/>
        <v/>
      </c>
      <c r="EZ16" s="14" t="str">
        <f t="shared" si="55"/>
        <v/>
      </c>
      <c r="FA16" s="14" t="str">
        <f t="shared" si="56"/>
        <v/>
      </c>
      <c r="FB16" s="14" t="str">
        <f t="shared" si="57"/>
        <v/>
      </c>
      <c r="FC16" s="14" t="str">
        <f t="shared" si="58"/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 t="shared" si="59"/>
        <v/>
      </c>
      <c r="FT16" s="11" t="str">
        <f t="shared" si="60"/>
        <v/>
      </c>
      <c r="FU16" s="11" t="str">
        <f t="shared" si="61"/>
        <v/>
      </c>
      <c r="FV16" s="11" t="str">
        <f t="shared" si="62"/>
        <v/>
      </c>
      <c r="FW16" s="11" t="str">
        <f t="shared" si="63"/>
        <v/>
      </c>
      <c r="FX16" s="11" t="str">
        <f t="shared" si="64"/>
        <v/>
      </c>
      <c r="FY16" s="11" t="str">
        <f t="shared" si="65"/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 t="shared" si="66"/>
        <v/>
      </c>
      <c r="GP16" s="14" t="str">
        <f t="shared" si="67"/>
        <v/>
      </c>
      <c r="GQ16" s="14" t="str">
        <f t="shared" si="68"/>
        <v/>
      </c>
      <c r="GR16" s="14" t="str">
        <f t="shared" si="69"/>
        <v/>
      </c>
      <c r="GS16" s="14" t="str">
        <f t="shared" si="70"/>
        <v/>
      </c>
      <c r="GT16" s="14" t="str">
        <f t="shared" si="71"/>
        <v/>
      </c>
      <c r="GU16" s="14" t="str">
        <f t="shared" si="72"/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 t="shared" si="73"/>
        <v/>
      </c>
      <c r="HL16" s="11" t="str">
        <f t="shared" si="74"/>
        <v/>
      </c>
      <c r="HM16" s="11" t="str">
        <f t="shared" si="75"/>
        <v/>
      </c>
      <c r="HN16" s="11" t="str">
        <f t="shared" si="76"/>
        <v/>
      </c>
      <c r="HO16" s="11" t="str">
        <f t="shared" si="77"/>
        <v/>
      </c>
      <c r="HP16" s="11" t="str">
        <f t="shared" si="78"/>
        <v/>
      </c>
      <c r="HQ16" s="11" t="str">
        <f t="shared" si="79"/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 t="shared" si="80"/>
        <v/>
      </c>
      <c r="IH16" s="14" t="str">
        <f t="shared" si="81"/>
        <v/>
      </c>
      <c r="II16" s="14" t="str">
        <f t="shared" si="82"/>
        <v/>
      </c>
      <c r="IJ16" s="14" t="str">
        <f t="shared" si="83"/>
        <v/>
      </c>
      <c r="IK16" s="14" t="str">
        <f t="shared" si="84"/>
        <v/>
      </c>
      <c r="IL16" s="14" t="str">
        <f t="shared" si="85"/>
        <v/>
      </c>
      <c r="IM16" s="14" t="str">
        <f t="shared" si="86"/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 t="shared" si="87"/>
        <v/>
      </c>
      <c r="JD16" s="11" t="str">
        <f t="shared" si="88"/>
        <v/>
      </c>
      <c r="JE16" s="11" t="str">
        <f t="shared" si="89"/>
        <v/>
      </c>
      <c r="JF16" s="11" t="str">
        <f t="shared" si="90"/>
        <v/>
      </c>
      <c r="JG16" s="11" t="str">
        <f t="shared" si="91"/>
        <v/>
      </c>
      <c r="JH16" s="11" t="str">
        <f t="shared" si="92"/>
        <v/>
      </c>
      <c r="JI16" s="11" t="str">
        <f t="shared" si="93"/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 t="shared" si="94"/>
        <v/>
      </c>
      <c r="JZ16" s="14" t="str">
        <f t="shared" si="95"/>
        <v/>
      </c>
      <c r="KA16" s="14" t="str">
        <f t="shared" si="96"/>
        <v/>
      </c>
      <c r="KB16" s="14" t="str">
        <f t="shared" si="97"/>
        <v/>
      </c>
      <c r="KC16" s="14" t="str">
        <f t="shared" si="98"/>
        <v/>
      </c>
      <c r="KD16" s="14" t="str">
        <f t="shared" si="99"/>
        <v/>
      </c>
      <c r="KE16" s="14" t="str">
        <f t="shared" si="100"/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 t="shared" si="101"/>
        <v/>
      </c>
      <c r="KV16" s="11" t="str">
        <f t="shared" si="102"/>
        <v/>
      </c>
      <c r="KW16" s="11" t="str">
        <f t="shared" si="103"/>
        <v/>
      </c>
      <c r="KX16" s="11" t="str">
        <f t="shared" si="104"/>
        <v/>
      </c>
      <c r="KY16" s="11" t="str">
        <f t="shared" si="105"/>
        <v/>
      </c>
      <c r="KZ16" s="11" t="str">
        <f t="shared" si="106"/>
        <v/>
      </c>
      <c r="LA16" s="11" t="str">
        <f t="shared" si="107"/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 t="shared" si="108"/>
        <v/>
      </c>
      <c r="LR16" s="14" t="str">
        <f t="shared" si="109"/>
        <v/>
      </c>
      <c r="LS16" s="14" t="str">
        <f t="shared" si="110"/>
        <v/>
      </c>
      <c r="LT16" s="14" t="str">
        <f t="shared" si="111"/>
        <v/>
      </c>
      <c r="LU16" s="14" t="str">
        <f t="shared" si="112"/>
        <v/>
      </c>
      <c r="LV16" s="14" t="str">
        <f t="shared" si="113"/>
        <v/>
      </c>
      <c r="LW16" s="14" t="str">
        <f t="shared" si="114"/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 t="shared" si="115"/>
        <v/>
      </c>
      <c r="MN16" s="11" t="str">
        <f t="shared" si="116"/>
        <v/>
      </c>
      <c r="MO16" s="11" t="str">
        <f t="shared" si="117"/>
        <v/>
      </c>
      <c r="MP16" s="11" t="str">
        <f t="shared" si="118"/>
        <v/>
      </c>
      <c r="MQ16" s="11" t="str">
        <f t="shared" si="119"/>
        <v/>
      </c>
      <c r="MR16" s="11" t="str">
        <f t="shared" si="120"/>
        <v/>
      </c>
      <c r="MS16" s="11" t="str">
        <f t="shared" si="121"/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 t="shared" si="122"/>
        <v/>
      </c>
      <c r="NJ16" s="14" t="str">
        <f t="shared" si="123"/>
        <v/>
      </c>
      <c r="NK16" s="14" t="str">
        <f t="shared" si="124"/>
        <v/>
      </c>
      <c r="NL16" s="14" t="str">
        <f t="shared" si="125"/>
        <v/>
      </c>
      <c r="NM16" s="14" t="str">
        <f t="shared" si="126"/>
        <v/>
      </c>
      <c r="NN16" s="14" t="str">
        <f t="shared" si="127"/>
        <v/>
      </c>
      <c r="NO16" s="14" t="str">
        <f t="shared" si="128"/>
        <v/>
      </c>
      <c r="NP16" s="69">
        <f t="shared" si="129"/>
        <v>8.9499999999999993</v>
      </c>
      <c r="NQ16" s="69">
        <f t="shared" si="130"/>
        <v>5.2749999999999995</v>
      </c>
      <c r="NR16" s="69">
        <f t="shared" si="131"/>
        <v>2.7</v>
      </c>
      <c r="NS16" s="69">
        <f t="shared" si="132"/>
        <v>8.4875000000000007</v>
      </c>
      <c r="NT16" s="69">
        <f t="shared" si="133"/>
        <v>0</v>
      </c>
      <c r="NU16" s="69">
        <f t="shared" si="134"/>
        <v>9.9499999999999993</v>
      </c>
      <c r="NV16" s="69">
        <f t="shared" si="135"/>
        <v>6.65</v>
      </c>
      <c r="NW16" s="69">
        <f t="shared" si="136"/>
        <v>7.5</v>
      </c>
      <c r="NX16" s="69">
        <f t="shared" si="137"/>
        <v>10.620000000000001</v>
      </c>
      <c r="NY16" s="69">
        <f t="shared" si="138"/>
        <v>0</v>
      </c>
      <c r="NZ16" s="69">
        <f t="shared" si="139"/>
        <v>11.75</v>
      </c>
      <c r="OA16" s="69">
        <f t="shared" si="140"/>
        <v>7.9499999999999993</v>
      </c>
      <c r="OB16" s="69">
        <f t="shared" si="141"/>
        <v>8.85</v>
      </c>
      <c r="OC16" s="69">
        <f t="shared" si="142"/>
        <v>11.989999999999998</v>
      </c>
      <c r="OD16" s="69">
        <f t="shared" si="143"/>
        <v>0.35</v>
      </c>
      <c r="OE16" s="69">
        <f t="shared" si="144"/>
        <v>8.35</v>
      </c>
      <c r="OF16" s="69">
        <f t="shared" si="145"/>
        <v>5.65</v>
      </c>
      <c r="OG16" s="69">
        <f t="shared" si="146"/>
        <v>6.2</v>
      </c>
      <c r="OH16" s="69">
        <f t="shared" si="147"/>
        <v>9.1549999999999994</v>
      </c>
      <c r="OI16" s="69">
        <f t="shared" si="148"/>
        <v>0.7</v>
      </c>
      <c r="OJ16" s="80" t="s">
        <v>88</v>
      </c>
      <c r="OK16" s="11">
        <f t="shared" si="149"/>
        <v>25.412499999999998</v>
      </c>
      <c r="OL16" s="11">
        <f t="shared" si="150"/>
        <v>7.5</v>
      </c>
      <c r="OM16" s="11">
        <f t="shared" si="151"/>
        <v>34.72</v>
      </c>
      <c r="ON16" s="11">
        <f t="shared" si="152"/>
        <v>8.85</v>
      </c>
      <c r="OO16" s="11">
        <f t="shared" si="153"/>
        <v>40.189999999999991</v>
      </c>
      <c r="OP16" s="11">
        <f t="shared" si="154"/>
        <v>65.602499999999992</v>
      </c>
      <c r="OQ16" s="11">
        <f t="shared" si="155"/>
        <v>6.2</v>
      </c>
      <c r="OR16" s="11">
        <f t="shared" si="156"/>
        <v>28.654999999999998</v>
      </c>
      <c r="OS16" s="11">
        <f t="shared" si="157"/>
        <v>94.257499999999993</v>
      </c>
    </row>
    <row r="17" spans="1:409" x14ac:dyDescent="0.2">
      <c r="A17" s="5" t="str" cm="1">
        <f t="array" ref="A17">IF(AND(G17&lt;&gt;"",H17&lt;&gt;""),SUMPRODUCT((G$4:G$18&lt;&gt;"")*(H$4:H$18&lt;&gt;"")*(E$4:E$18&gt;E17))+1,IF(H17&lt;&gt;"",SUMPRODUCT((I$4:I$18="No DD")*(E$4:E$18&gt;E17))+1+SUMPRODUCT((G$4:G$18&lt;&gt;"")*(H$4:H$18&lt;&gt;"")),""))</f>
        <v/>
      </c>
      <c r="B17" s="127" t="s">
        <v>40</v>
      </c>
      <c r="C17" s="5" t="s">
        <v>10</v>
      </c>
      <c r="D17" s="5">
        <v>1995</v>
      </c>
      <c r="E17" s="15">
        <f t="shared" si="0"/>
        <v>139.18</v>
      </c>
      <c r="F17" s="3" t="str">
        <f t="shared" si="1"/>
        <v/>
      </c>
      <c r="G17" s="125" t="str">
        <f>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Merit",IF(OR(AND(AR17&gt;=AY$22,AR17&lt;&gt;"",AP17=""),AND(AT17&gt;=AY$22,AT17&lt;&gt;"",AP17=""),AND(AW17&gt;=AY$22,AW17&lt;&gt;"",AP17=""),AND(BV17&gt;=CC$22,BV17&lt;&gt;"",BT17=""),AND(BX17&gt;=CC$22,BX17&lt;&gt;"",BT17=""),AND(CA17&gt;=CC$22,CA17&lt;&gt;"",BT17=""),AND(CZ17&gt;=DG$22,CZ17&lt;&gt;"",CX17=""),AND(DB17&gt;=DG$22,DB17&lt;&gt;"",CX17=""),AND(DE17&gt;=DG$22,DE17&lt;&gt;"",CX17=""),AND(EA17&gt;=EG$22,EA17&lt;&gt;""),AND(EE17&gt;=EG$22,EE17&lt;&gt;""),AND(EW17&gt;=FC$22,EW17&lt;&gt;""),AND(FA17&gt;=FC$22,FA17&lt;&gt;""),AND(FS17&gt;=FY$22,FS17&lt;&gt;""),AND(FW17&gt;=FY$22,FW17&lt;&gt;""),AND(GO17&gt;=GU$22,GO17&lt;&gt;""),AND(GS17&gt;=GU$22,GS17&lt;&gt;""),AND(HK17&gt;=HQ$22,HK17&lt;&gt;""),AND(HO17&gt;=HQ$22,HO17&lt;&gt;""),AND(IG17&gt;=IM$22,IG17&lt;&gt;""),AND(IK17&gt;=IM$22,IK17&lt;&gt;""),AND(JC17&gt;=JI$22,JC17&lt;&gt;""),AND(JG17&gt;=JI$22,JG17&lt;&gt;""),AND(JY17&gt;=KE$22,JY17&lt;&gt;""),AND(KC17&gt;=KE$22,KC17&lt;&gt;""),AND(KU17&gt;=LA$22,KU17&lt;&gt;""),AND(KY17&gt;=LA$22,KY17&lt;&gt;""),AND(LQ17&gt;=LW$22,LQ17&lt;&gt;""),AND(LU17&gt;=LW$22,LU17&lt;&gt;""),AND(MM17&gt;=MS$22,MM17&lt;&gt;""),AND(MQ17&gt;=MS$22,MQ17&lt;&gt;""),AND(NI17&gt;=NO$22,NI17&lt;&gt;""),AND(NM17&gt;=NO$22,NM17&lt;&gt;"")),"Excellence",IF(OR(AND(AR17&gt;=AY$21,AR17&lt;&gt;"",AP17=""),AND(AT17&gt;=AY$21,AT17&lt;&gt;"",AP17=""),AND(AW17&gt;=AY$21,AW17&lt;&gt;"",AP17=""),AND(BV17&gt;=CC$21,BV17&lt;&gt;"",BT17=""),AND(BX17&gt;=CC$21,BX17&lt;&gt;"",BT17=""),AND(CA17&gt;=CC$21,CA17&lt;&gt;"",BT17=""),AND(CZ17&gt;=DG$21,CZ17&lt;&gt;"",CX17=""),AND(DB17&gt;=DG$21,DB17&lt;&gt;"",CX17=""),AND(DE17&gt;=DG$21,DE17&lt;&gt;"",CX17=""),AND(EA17&gt;=EG$21,EA17&lt;&gt;""),AND(EE17&gt;=EG$21,EE17&lt;&gt;""),AND(EW17&gt;=FC$21,EW17&lt;&gt;""),AND(FA17&gt;=FC$21,FA17&lt;&gt;""),AND(FS17&gt;=FY$21,FS17&lt;&gt;""),AND(FW17&gt;=FY$21,FW17&lt;&gt;""),AND(GO17&gt;=GU$21,GO17&lt;&gt;""),AND(GS17&gt;=GU$21,GS17&lt;&gt;""),AND(HK17&gt;=HQ$21,HK17&lt;&gt;""),AND(HO17&gt;=HQ$21,HO17&lt;&gt;""),AND(IG17&gt;=IM$21,IG17&lt;&gt;""),AND(IK17&gt;=IM$21,IK17&lt;&gt;""),AND(JC17&gt;=JI$21,JC17&lt;&gt;""),AND(JG17&gt;=JI$21,JG17&lt;&gt;""),AND(JY17&gt;=KE$21,JY17&lt;&gt;""),AND(KC17&gt;=KE$21,KC17&lt;&gt;""),AND(KU17&gt;=LA$21,KU17&lt;&gt;""),AND(KY17&gt;=LA$21,KY17&lt;&gt;""),AND(LQ17&gt;=LW$21,LQ17&lt;&gt;""),AND(LU17&gt;=LW$21,LU17&lt;&gt;""),AND(MM17&gt;=MS$21,MM17&lt;&gt;""),AND(MQ17&gt;=MS$21,MQ17&lt;&gt;""),AND(NI17&gt;=NO$21,NI17&lt;&gt;""),AND(NM17&gt;=NO$21,NM17&lt;&gt;"")),"Worlds Team",IF(OR(AND(AR17&gt;=AY$20,AR17&lt;&gt;"",AP17=""),AND(AT17&gt;=AY$20,AT17&lt;&gt;"",AP17=""),AND(AW17&gt;=AY$20,AW17&lt;&gt;"",AP17=""),AND(BV17&gt;=CC$20,BV17&lt;&gt;"",BT17=""),AND(BX17&gt;=CC$20,BX17&lt;&gt;"",BT17=""),AND(CA17&gt;=CC$20,CA17&lt;&gt;"",BT17=""),AND(CZ17&gt;=DG$20,CZ17&lt;&gt;"",CX17=""),AND(DB17&gt;=DG$20,DB17&lt;&gt;"",CX17=""),AND(DE17&gt;=DG$20,DE17&lt;&gt;"",CX17=""),AND(EA17&gt;=EG$20,EA17&lt;&gt;""),AND(EE17&gt;=EG$20,EE17&lt;&gt;""),AND(EW17&gt;=FC$20,EW17&lt;&gt;""),AND(FA17&gt;=FC$20,FA17&lt;&gt;""),AND(FS17&gt;=FY$20,FS17&lt;&gt;""),AND(FW17&gt;=FY$20,FW17&lt;&gt;""),AND(GO17&gt;=GU$20,GO17&lt;&gt;""),AND(GS17&gt;=GU$20,GS17&lt;&gt;""),AND(HK17&gt;=HQ$20,HK17&lt;&gt;""),AND(HO17&gt;=HQ$20,HO17&lt;&gt;""),AND(IG17&gt;=IM$20,IG17&lt;&gt;""),AND(IK17&gt;=IM$20,IK17&lt;&gt;""),AND(JC17&gt;=JI$20,JC17&lt;&gt;""),AND(JG17&gt;=JI$20,JG17&lt;&gt;""),AND(JY17&gt;=KE$20,JY17&lt;&gt;""),AND(KC17&gt;=KE$20,KC17&lt;&gt;""),AND(KU17&gt;=LA$20,KU17&lt;&gt;""),AND(KY17&gt;=LA$20,KY17&lt;&gt;""),AND(LQ17&gt;=LW$20,LQ17&lt;&gt;""),AND(LU17&gt;=LW$20,LU17&lt;&gt;""),AND(MM17&gt;=MS$20,MM17&lt;&gt;""),AND(MQ17&gt;=MS$20,MQ17&lt;&gt;""),AND(NI17&gt;=NO$20,NI17&lt;&gt;""),AND(NM17&gt;=NO$20,NM17&lt;&gt;"")),"National Team",""))))</f>
        <v/>
      </c>
      <c r="H17" s="125" t="str">
        <f>IF(OR(AND(AS17&gt;=AY$27,AS17&lt;&gt;"",AP17=""),AND(AU17&gt;=AY$27,AU17&lt;&gt;"",AP17=""),AND(AX17&gt;=AY$27,AX17&lt;&gt;"",AP17=""),AND(BW17&gt;=CC$27,BW17&lt;&gt;"",BT17=""),AND(BY17&gt;=CC$27,BY17&lt;&gt;"",BT17=""),AND(CB17&gt;=CC$27,CB17&lt;&gt;"",BT17=""),AND(DA17&gt;=DG$27,DA17&lt;&gt;"",CX17=""),AND(DC17&gt;=DG$27,DC17&lt;&gt;"",CX17=""),AND(DF17&gt;=DG$27,DF17&lt;&gt;"",CX17=""),AND(EC17&gt;=EG$27,EC17&lt;&gt;""),AND(EF17&gt;=EG$27,EF17&lt;&gt;""),AND(EY17&gt;=FC$27,EY17&lt;&gt;""),AND(FB17&gt;=FC$27,FB17&lt;&gt;""),AND(FU17&gt;=FY$27,FU17&lt;&gt;""),AND(FX17&gt;=FY$27,FX17&lt;&gt;""),AND(GQ17&gt;=GU$27,GQ17&lt;&gt;""),AND(GT17&gt;=GU$27,GT17&lt;&gt;""),AND(HM17&gt;=HQ$27,HM17&lt;&gt;""),AND(HP17&gt;=HQ$27,HP17&lt;&gt;""),AND(II17&gt;=IM$27,II17&lt;&gt;""),AND(IL17&gt;=IM$27,IL17&lt;&gt;""),AND(JE17&gt;=JI$27,JE17&lt;&gt;""),AND(JH17&gt;=JI$27,JH17&lt;&gt;""),AND(KA17&gt;=KE$27,KA17&lt;&gt;""),AND(KD17&gt;=KE$27,KD17&lt;&gt;""),AND(KW17&gt;=LA$27,KW17&lt;&gt;""),AND(KZ17&gt;=LA$27,KZ17&lt;&gt;""),AND(LS17&gt;=LW$27,LS17&lt;&gt;""),AND(LV17&gt;=LW$27,LV17&lt;&gt;""),AND(MO17&gt;=MS$27,MO17&lt;&gt;""),AND(MR17&gt;=MS$27,MR17&lt;&gt;""),AND(NK17&gt;=NO$27,NK17&lt;&gt;""),AND(NN17&gt;=NO$27,NN17&lt;&gt;"")),"Merit",IF(OR(AND(AS17&gt;=AY$26,AS17&lt;&gt;"",AP17=""),AND(AU17&gt;=AY$26,AU17&lt;&gt;"",AP17=""),AND(AX17&gt;=AY$26,AX17&lt;&gt;"",AP17=""),AND(BW17&gt;=CC$26,BW17&lt;&gt;"",BT17=""),AND(BY17&gt;=CC$26,BY17&lt;&gt;"",BT17=""),AND(CB17&gt;=CC$26,CB17&lt;&gt;"",BT17=""),AND(DA17&gt;=DG$26,DA17&lt;&gt;"",CX17=""),AND(DC17&gt;=DG$26,DC17&lt;&gt;"",CX17=""),AND(DF17&gt;=DG$26,DF17&lt;&gt;"",CX17=""),AND(EC17&gt;=EG$26,EC17&lt;&gt;""),AND(EF17&gt;=EG$26,EF17&lt;&gt;""),AND(EY17&gt;=FC$26,EY17&lt;&gt;""),AND(FB17&gt;=FC$26,FB17&lt;&gt;""),AND(FU17&gt;=FY$26,FU17&lt;&gt;""),AND(FX17&gt;=FY$26,FX17&lt;&gt;""),AND(GQ17&gt;=GU$26,GQ17&lt;&gt;""),AND(GT17&gt;=GU$26,GT17&lt;&gt;""),AND(HM17&gt;=HQ$26,HM17&lt;&gt;""),AND(HP17&gt;=HQ$26,HP17&lt;&gt;""),AND(II17&gt;=IM$26,II17&lt;&gt;""),AND(IL17&gt;=IM$26,IL17&lt;&gt;""),AND(JE17&gt;=JI$26,JE17&lt;&gt;""),AND(JH17&gt;=JI$26,JH17&lt;&gt;""),AND(KA17&gt;=KE$26,KA17&lt;&gt;""),AND(KD17&gt;=KE$26,KD17&lt;&gt;""),AND(KW17&gt;=LA$26,KW17&lt;&gt;""),AND(KZ17&gt;=LA$26,KZ17&lt;&gt;""),AND(LS17&gt;=LW$26,LS17&lt;&gt;""),AND(LV17&gt;=LW$26,LV17&lt;&gt;""),AND(MO17&gt;=MS$26,MO17&lt;&gt;""),AND(MR17&gt;=MS$26,MR17&lt;&gt;""),AND(NK17&gt;=NO$26,NK17&lt;&gt;""),AND(NN17&gt;=NO$26,NN17&lt;&gt;"")),"Excellence",IF(OR(AND(AV17&gt;=AY$25,AV17&lt;&gt;"",AP17=""),AND(BZ17&gt;=CC$25,BZ17&lt;&gt;"",BT17=""),AND(DD17&gt;=DG$25,DD17&lt;&gt;"",CX17=""),AND(ED17&gt;=EG$25,ED17&lt;&gt;""),AND(EZ17&gt;=FC$25,EZ17&lt;&gt;""),AND(FV17&gt;=FY$25,FV17&lt;&gt;""),AND(GR17&gt;=GU$25,GR17&lt;&gt;""),AND(HN17&gt;=HQ$25,HN17&lt;&gt;""),AND(IJ17&gt;=IM$25,IJ17&lt;&gt;""),AND(JF17&gt;=JI$25,JF17&lt;&gt;""),AND(KB17&gt;=KE$25,KB17&lt;&gt;""),AND(KX17&gt;=LA$25,KX17&lt;&gt;""),AND(LT17&gt;=LW$25,LT17&lt;&gt;""),AND(MP17&gt;=MS$25,MP17&lt;&gt;""),AND(NL17&gt;=NO$25,NL17&lt;&gt;"")),"Worlds Team",IF(OR(AND(AV17&gt;=AY$24,AV17&lt;&gt;"",AP17=""),AND(BZ17&gt;=CC$24,BZ17&lt;&gt;"",BT17=""),AND(DD17&gt;=DG$24,DD17&lt;&gt;"",CX17=""),AND(ED17&gt;=EG$24,ED17&lt;&gt;""),AND(EZ17&gt;=FC$24,EZ17&lt;&gt;""),AND(FV17&gt;=FY$24,FV17&lt;&gt;""),AND(GR17&gt;=GU$24,GR17&lt;&gt;""),AND(HN17&gt;=HQ$24,HN17&lt;&gt;""),AND(IJ17&gt;=IM$24,IJ17&lt;&gt;""),AND(JF17&gt;=JI$24,JF17&lt;&gt;""),AND(KB17&gt;=KE$24,KB17&lt;&gt;""),AND(KX17&gt;=LA$24,KX17&lt;&gt;""),AND(LT17&gt;=LW$24,LT17&lt;&gt;""),AND(MP17&gt;=MS$24,MP17&lt;&gt;""),AND(NL17&gt;=NO$24,NL17&lt;&gt;"")),"National Team",""))))</f>
        <v/>
      </c>
      <c r="I17" s="126" t="str">
        <f t="shared" si="2"/>
        <v/>
      </c>
      <c r="J17" s="3" t="str">
        <f>IF(AND(OR(AND(AV17&gt;=AY$25,AV17&lt;&gt;"",AP17=""),AND(BZ17&gt;=CC$25,BZ17&lt;&gt;"",BT17=""),AND(DD17&gt;=DG$25,DD17&lt;&gt;"",CX17=""),AND(ED17&gt;=EG$25,ED17&lt;&gt;""),AND(EZ17&gt;=FC$25,EZ17&lt;&gt;""),AND(FV17&gt;=FY$25,FV17&lt;&gt;""),AND(GR17&gt;=GU$25,GR17&lt;&gt;""),AND(HN17&gt;=HQ$25,HN17&lt;&gt;""),AND(IJ17&gt;=IM$25,IJ17&lt;&gt;""),AND(JF17&gt;=JI$25,JF17&lt;&gt;""),AND(KB17&gt;=KE$25,KB17&lt;&gt;""),AND(KX17&gt;=LA$25,KX17&lt;&gt;""),AND(LT17&gt;=LW$25,LT17&lt;&gt;""),AND(MP17&gt;=MS$25,MP17&lt;&gt;""),AND(NL17&gt;=NO$25,NL17&lt;&gt;"")),OR(G17="Worlds Team",G17="Excellence",G17="Merit")),"P","")</f>
        <v/>
      </c>
      <c r="K17" s="14">
        <f t="shared" si="3"/>
        <v>90.935000000000002</v>
      </c>
      <c r="L17" s="14" t="str">
        <f t="shared" si="4"/>
        <v>2019 Nationals</v>
      </c>
      <c r="M17" s="14">
        <f t="shared" si="5"/>
        <v>0</v>
      </c>
      <c r="N17" s="14" t="str">
        <f t="shared" si="6"/>
        <v/>
      </c>
      <c r="O17" s="14">
        <f t="shared" si="7"/>
        <v>0</v>
      </c>
      <c r="P17" s="14" t="str">
        <f t="shared" si="8"/>
        <v/>
      </c>
      <c r="Q17" s="14">
        <f t="shared" si="9"/>
        <v>48.245000000000005</v>
      </c>
      <c r="R17" s="14" t="str">
        <f t="shared" si="10"/>
        <v>2019 Nationals</v>
      </c>
      <c r="S17" s="14" t="str">
        <f t="shared" si="11"/>
        <v/>
      </c>
      <c r="T17" s="25" t="str">
        <f t="shared" si="12"/>
        <v/>
      </c>
      <c r="U17" s="14" t="str">
        <f t="shared" si="13"/>
        <v/>
      </c>
      <c r="V17" s="69">
        <v>15.9</v>
      </c>
      <c r="W17" s="69">
        <v>9.3000000000000007</v>
      </c>
      <c r="X17" s="69">
        <v>4</v>
      </c>
      <c r="Y17" s="69">
        <v>14</v>
      </c>
      <c r="Z17" s="69">
        <v>0</v>
      </c>
      <c r="AA17" s="69">
        <v>13.1</v>
      </c>
      <c r="AB17" s="69">
        <v>9.5</v>
      </c>
      <c r="AC17" s="69">
        <v>11.4</v>
      </c>
      <c r="AD17" s="69">
        <v>13.734999999999999</v>
      </c>
      <c r="AE17" s="69">
        <v>0</v>
      </c>
      <c r="AF17" s="69"/>
      <c r="AG17" s="69"/>
      <c r="AH17" s="69"/>
      <c r="AI17" s="69"/>
      <c r="AJ17" s="69"/>
      <c r="AK17" s="69">
        <v>13.78</v>
      </c>
      <c r="AL17" s="69">
        <v>9.3000000000000007</v>
      </c>
      <c r="AM17" s="69">
        <v>11.2</v>
      </c>
      <c r="AN17" s="69">
        <v>13.965</v>
      </c>
      <c r="AO17" s="69"/>
      <c r="AP17" s="80"/>
      <c r="AQ17" s="11">
        <f t="shared" si="14"/>
        <v>43.2</v>
      </c>
      <c r="AR17" s="11">
        <f t="shared" si="15"/>
        <v>11.4</v>
      </c>
      <c r="AS17" s="11">
        <f t="shared" si="16"/>
        <v>47.734999999999999</v>
      </c>
      <c r="AT17" s="11" t="str">
        <f t="shared" si="17"/>
        <v/>
      </c>
      <c r="AU17" s="11" t="str">
        <f t="shared" si="18"/>
        <v/>
      </c>
      <c r="AV17" s="11">
        <f t="shared" si="19"/>
        <v>90.935000000000002</v>
      </c>
      <c r="AW17" s="11">
        <f t="shared" si="20"/>
        <v>11.2</v>
      </c>
      <c r="AX17" s="11">
        <f t="shared" si="21"/>
        <v>48.245000000000005</v>
      </c>
      <c r="AY17" s="11">
        <f t="shared" si="22"/>
        <v>139.18</v>
      </c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81"/>
      <c r="BU17" s="14" t="str">
        <f t="shared" si="23"/>
        <v/>
      </c>
      <c r="BV17" s="14" t="str">
        <f t="shared" si="24"/>
        <v/>
      </c>
      <c r="BW17" s="14" t="str">
        <f t="shared" si="25"/>
        <v/>
      </c>
      <c r="BX17" s="14" t="str">
        <f t="shared" si="26"/>
        <v/>
      </c>
      <c r="BY17" s="14" t="str">
        <f t="shared" si="27"/>
        <v/>
      </c>
      <c r="BZ17" s="14" t="str">
        <f t="shared" si="28"/>
        <v/>
      </c>
      <c r="CA17" s="14" t="str">
        <f t="shared" si="29"/>
        <v/>
      </c>
      <c r="CB17" s="14" t="str">
        <f t="shared" si="30"/>
        <v/>
      </c>
      <c r="CC17" s="14" t="str">
        <f t="shared" si="31"/>
        <v/>
      </c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80"/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11" t="str">
        <f t="shared" si="35"/>
        <v/>
      </c>
      <c r="DC17" s="11" t="str">
        <f t="shared" si="36"/>
        <v/>
      </c>
      <c r="DD17" s="11" t="str">
        <f t="shared" si="37"/>
        <v/>
      </c>
      <c r="DE17" s="11" t="str">
        <f t="shared" si="38"/>
        <v/>
      </c>
      <c r="DF17" s="11" t="str">
        <f t="shared" si="39"/>
        <v/>
      </c>
      <c r="DG17" s="11" t="str">
        <f t="shared" si="40"/>
        <v/>
      </c>
      <c r="DH17" s="24" t="str">
        <f t="shared" si="41"/>
        <v/>
      </c>
      <c r="DI17" s="24" t="str">
        <f t="shared" si="42"/>
        <v/>
      </c>
      <c r="DJ17" s="24" t="str">
        <f t="shared" si="43"/>
        <v/>
      </c>
      <c r="DK17" s="24" t="str">
        <f t="shared" si="44"/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 t="shared" si="45"/>
        <v/>
      </c>
      <c r="EB17" s="11" t="str">
        <f t="shared" si="46"/>
        <v/>
      </c>
      <c r="EC17" s="11" t="str">
        <f t="shared" si="47"/>
        <v/>
      </c>
      <c r="ED17" s="11" t="str">
        <f t="shared" si="48"/>
        <v/>
      </c>
      <c r="EE17" s="11" t="str">
        <f t="shared" si="49"/>
        <v/>
      </c>
      <c r="EF17" s="11" t="str">
        <f t="shared" si="50"/>
        <v/>
      </c>
      <c r="EG17" s="11" t="str">
        <f t="shared" si="51"/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 t="shared" si="52"/>
        <v/>
      </c>
      <c r="EX17" s="14" t="str">
        <f t="shared" si="53"/>
        <v/>
      </c>
      <c r="EY17" s="14" t="str">
        <f t="shared" si="54"/>
        <v/>
      </c>
      <c r="EZ17" s="14" t="str">
        <f t="shared" si="55"/>
        <v/>
      </c>
      <c r="FA17" s="14" t="str">
        <f t="shared" si="56"/>
        <v/>
      </c>
      <c r="FB17" s="14" t="str">
        <f t="shared" si="57"/>
        <v/>
      </c>
      <c r="FC17" s="14" t="str">
        <f t="shared" si="58"/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 t="shared" si="59"/>
        <v/>
      </c>
      <c r="FT17" s="11" t="str">
        <f t="shared" si="60"/>
        <v/>
      </c>
      <c r="FU17" s="11" t="str">
        <f t="shared" si="61"/>
        <v/>
      </c>
      <c r="FV17" s="11" t="str">
        <f t="shared" si="62"/>
        <v/>
      </c>
      <c r="FW17" s="11" t="str">
        <f t="shared" si="63"/>
        <v/>
      </c>
      <c r="FX17" s="11" t="str">
        <f t="shared" si="64"/>
        <v/>
      </c>
      <c r="FY17" s="11" t="str">
        <f t="shared" si="65"/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 t="shared" si="66"/>
        <v/>
      </c>
      <c r="GP17" s="14" t="str">
        <f t="shared" si="67"/>
        <v/>
      </c>
      <c r="GQ17" s="14" t="str">
        <f t="shared" si="68"/>
        <v/>
      </c>
      <c r="GR17" s="14" t="str">
        <f t="shared" si="69"/>
        <v/>
      </c>
      <c r="GS17" s="14" t="str">
        <f t="shared" si="70"/>
        <v/>
      </c>
      <c r="GT17" s="14" t="str">
        <f t="shared" si="71"/>
        <v/>
      </c>
      <c r="GU17" s="14" t="str">
        <f t="shared" si="72"/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 t="shared" si="73"/>
        <v/>
      </c>
      <c r="HL17" s="11" t="str">
        <f t="shared" si="74"/>
        <v/>
      </c>
      <c r="HM17" s="11" t="str">
        <f t="shared" si="75"/>
        <v/>
      </c>
      <c r="HN17" s="11" t="str">
        <f t="shared" si="76"/>
        <v/>
      </c>
      <c r="HO17" s="11" t="str">
        <f t="shared" si="77"/>
        <v/>
      </c>
      <c r="HP17" s="11" t="str">
        <f t="shared" si="78"/>
        <v/>
      </c>
      <c r="HQ17" s="11" t="str">
        <f t="shared" si="79"/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 t="shared" si="80"/>
        <v/>
      </c>
      <c r="IH17" s="14" t="str">
        <f t="shared" si="81"/>
        <v/>
      </c>
      <c r="II17" s="14" t="str">
        <f t="shared" si="82"/>
        <v/>
      </c>
      <c r="IJ17" s="14" t="str">
        <f t="shared" si="83"/>
        <v/>
      </c>
      <c r="IK17" s="14" t="str">
        <f t="shared" si="84"/>
        <v/>
      </c>
      <c r="IL17" s="14" t="str">
        <f t="shared" si="85"/>
        <v/>
      </c>
      <c r="IM17" s="14" t="str">
        <f t="shared" si="86"/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 t="shared" si="87"/>
        <v/>
      </c>
      <c r="JD17" s="11" t="str">
        <f t="shared" si="88"/>
        <v/>
      </c>
      <c r="JE17" s="11" t="str">
        <f t="shared" si="89"/>
        <v/>
      </c>
      <c r="JF17" s="11" t="str">
        <f t="shared" si="90"/>
        <v/>
      </c>
      <c r="JG17" s="11" t="str">
        <f t="shared" si="91"/>
        <v/>
      </c>
      <c r="JH17" s="11" t="str">
        <f t="shared" si="92"/>
        <v/>
      </c>
      <c r="JI17" s="11" t="str">
        <f t="shared" si="93"/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 t="shared" si="94"/>
        <v/>
      </c>
      <c r="JZ17" s="14" t="str">
        <f t="shared" si="95"/>
        <v/>
      </c>
      <c r="KA17" s="14" t="str">
        <f t="shared" si="96"/>
        <v/>
      </c>
      <c r="KB17" s="14" t="str">
        <f t="shared" si="97"/>
        <v/>
      </c>
      <c r="KC17" s="14" t="str">
        <f t="shared" si="98"/>
        <v/>
      </c>
      <c r="KD17" s="14" t="str">
        <f t="shared" si="99"/>
        <v/>
      </c>
      <c r="KE17" s="14" t="str">
        <f t="shared" si="100"/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 t="shared" si="101"/>
        <v/>
      </c>
      <c r="KV17" s="11" t="str">
        <f t="shared" si="102"/>
        <v/>
      </c>
      <c r="KW17" s="11" t="str">
        <f t="shared" si="103"/>
        <v/>
      </c>
      <c r="KX17" s="11" t="str">
        <f t="shared" si="104"/>
        <v/>
      </c>
      <c r="KY17" s="11" t="str">
        <f t="shared" si="105"/>
        <v/>
      </c>
      <c r="KZ17" s="11" t="str">
        <f t="shared" si="106"/>
        <v/>
      </c>
      <c r="LA17" s="11" t="str">
        <f t="shared" si="107"/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 t="shared" si="108"/>
        <v/>
      </c>
      <c r="LR17" s="14" t="str">
        <f t="shared" si="109"/>
        <v/>
      </c>
      <c r="LS17" s="14" t="str">
        <f t="shared" si="110"/>
        <v/>
      </c>
      <c r="LT17" s="14" t="str">
        <f t="shared" si="111"/>
        <v/>
      </c>
      <c r="LU17" s="14" t="str">
        <f t="shared" si="112"/>
        <v/>
      </c>
      <c r="LV17" s="14" t="str">
        <f t="shared" si="113"/>
        <v/>
      </c>
      <c r="LW17" s="14" t="str">
        <f t="shared" si="114"/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 t="shared" si="115"/>
        <v/>
      </c>
      <c r="MN17" s="11" t="str">
        <f t="shared" si="116"/>
        <v/>
      </c>
      <c r="MO17" s="11" t="str">
        <f t="shared" si="117"/>
        <v/>
      </c>
      <c r="MP17" s="11" t="str">
        <f t="shared" si="118"/>
        <v/>
      </c>
      <c r="MQ17" s="11" t="str">
        <f t="shared" si="119"/>
        <v/>
      </c>
      <c r="MR17" s="11" t="str">
        <f t="shared" si="120"/>
        <v/>
      </c>
      <c r="MS17" s="11" t="str">
        <f t="shared" si="121"/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 t="shared" si="122"/>
        <v/>
      </c>
      <c r="NJ17" s="14" t="str">
        <f t="shared" si="123"/>
        <v/>
      </c>
      <c r="NK17" s="14" t="str">
        <f t="shared" si="124"/>
        <v/>
      </c>
      <c r="NL17" s="14" t="str">
        <f t="shared" si="125"/>
        <v/>
      </c>
      <c r="NM17" s="14" t="str">
        <f t="shared" si="126"/>
        <v/>
      </c>
      <c r="NN17" s="14" t="str">
        <f t="shared" si="127"/>
        <v/>
      </c>
      <c r="NO17" s="14" t="str">
        <f t="shared" si="128"/>
        <v/>
      </c>
      <c r="NP17" s="69">
        <f t="shared" si="129"/>
        <v>0</v>
      </c>
      <c r="NQ17" s="69">
        <f t="shared" si="130"/>
        <v>0</v>
      </c>
      <c r="NR17" s="69">
        <f t="shared" si="131"/>
        <v>0</v>
      </c>
      <c r="NS17" s="69">
        <f t="shared" si="132"/>
        <v>0</v>
      </c>
      <c r="NT17" s="69">
        <f t="shared" si="133"/>
        <v>0</v>
      </c>
      <c r="NU17" s="69">
        <f t="shared" si="134"/>
        <v>0</v>
      </c>
      <c r="NV17" s="69">
        <f t="shared" si="135"/>
        <v>0</v>
      </c>
      <c r="NW17" s="69">
        <f t="shared" si="136"/>
        <v>0</v>
      </c>
      <c r="NX17" s="69">
        <f t="shared" si="137"/>
        <v>0</v>
      </c>
      <c r="NY17" s="69">
        <f t="shared" si="138"/>
        <v>0</v>
      </c>
      <c r="NZ17" s="69">
        <f t="shared" si="139"/>
        <v>0</v>
      </c>
      <c r="OA17" s="69">
        <f t="shared" si="140"/>
        <v>0</v>
      </c>
      <c r="OB17" s="69">
        <f t="shared" si="141"/>
        <v>0</v>
      </c>
      <c r="OC17" s="69">
        <f t="shared" si="142"/>
        <v>0</v>
      </c>
      <c r="OD17" s="69">
        <f t="shared" si="143"/>
        <v>0</v>
      </c>
      <c r="OE17" s="69">
        <f t="shared" si="144"/>
        <v>0</v>
      </c>
      <c r="OF17" s="69">
        <f t="shared" si="145"/>
        <v>0</v>
      </c>
      <c r="OG17" s="69">
        <f t="shared" si="146"/>
        <v>0</v>
      </c>
      <c r="OH17" s="69">
        <f t="shared" si="147"/>
        <v>0</v>
      </c>
      <c r="OI17" s="69">
        <f t="shared" si="148"/>
        <v>0</v>
      </c>
      <c r="OJ17" s="80" t="s">
        <v>88</v>
      </c>
      <c r="OK17" s="11" t="str">
        <f t="shared" si="149"/>
        <v/>
      </c>
      <c r="OL17" s="11" t="str">
        <f t="shared" si="150"/>
        <v/>
      </c>
      <c r="OM17" s="11" t="str">
        <f t="shared" si="151"/>
        <v/>
      </c>
      <c r="ON17" s="11" t="str">
        <f t="shared" si="152"/>
        <v/>
      </c>
      <c r="OO17" s="11" t="str">
        <f t="shared" si="153"/>
        <v/>
      </c>
      <c r="OP17" s="11" t="str">
        <f t="shared" si="154"/>
        <v/>
      </c>
      <c r="OQ17" s="11" t="str">
        <f t="shared" si="155"/>
        <v/>
      </c>
      <c r="OR17" s="11" t="str">
        <f t="shared" ref="OR17" si="158">IF(SUM(OE17:OH17)-OI17&gt;0,SUM(OE17:OH17)-OI17,"")</f>
        <v/>
      </c>
      <c r="OS17" s="11" t="str">
        <f t="shared" ref="OS17" si="159">IF(SUM(OP17,OR17)&gt;0,SUM(OP17,OR17),"")</f>
        <v/>
      </c>
    </row>
    <row r="18" spans="1:409" x14ac:dyDescent="0.2">
      <c r="B18" s="6"/>
      <c r="D18" s="1"/>
    </row>
    <row r="19" spans="1:409" x14ac:dyDescent="0.2">
      <c r="H19" s="125"/>
      <c r="J19" s="125"/>
    </row>
    <row r="20" spans="1:409" x14ac:dyDescent="0.2">
      <c r="B20" s="70" t="s">
        <v>78</v>
      </c>
      <c r="C20" s="56"/>
      <c r="H20" s="3"/>
      <c r="AR20" s="124"/>
      <c r="AS20" s="124"/>
      <c r="AT20" s="124"/>
      <c r="AW20" s="54"/>
      <c r="AY20" s="64">
        <v>12.2</v>
      </c>
      <c r="BV20" s="124"/>
      <c r="BW20" s="124"/>
      <c r="BX20" s="124"/>
      <c r="CA20" s="54"/>
      <c r="CC20" s="64">
        <v>12.2</v>
      </c>
      <c r="CZ20" s="124"/>
      <c r="DA20" s="124"/>
      <c r="DB20" s="124"/>
      <c r="DE20" s="54"/>
      <c r="DG20" s="64">
        <v>12.2</v>
      </c>
      <c r="EA20" s="56"/>
      <c r="EE20" s="54"/>
      <c r="EG20" s="64">
        <v>12.2</v>
      </c>
      <c r="EW20" s="56"/>
      <c r="FA20" s="54"/>
      <c r="FC20" s="64">
        <v>12.2</v>
      </c>
      <c r="FS20" s="56"/>
      <c r="FW20" s="54"/>
      <c r="FY20" s="64">
        <v>12.2</v>
      </c>
      <c r="GO20" s="56"/>
      <c r="GS20" s="54"/>
      <c r="GU20" s="64">
        <v>12.2</v>
      </c>
      <c r="HK20" s="56"/>
      <c r="HO20" s="54"/>
      <c r="HQ20" s="64">
        <v>12.2</v>
      </c>
      <c r="IG20" s="56"/>
      <c r="IK20" s="54"/>
      <c r="IM20" s="64">
        <v>12.2</v>
      </c>
      <c r="JC20" s="56"/>
      <c r="JG20" s="54"/>
      <c r="JI20" s="64">
        <v>12.2</v>
      </c>
      <c r="JY20" s="56"/>
      <c r="KC20" s="54"/>
      <c r="KE20" s="64">
        <v>12.2</v>
      </c>
      <c r="KU20" s="56"/>
      <c r="KY20" s="54"/>
      <c r="LA20" s="64">
        <v>12.2</v>
      </c>
      <c r="LQ20" s="56"/>
      <c r="LU20" s="54"/>
      <c r="LW20" s="64">
        <v>12.2</v>
      </c>
      <c r="MM20" s="56"/>
      <c r="MQ20" s="54"/>
      <c r="MS20" s="64">
        <v>12.2</v>
      </c>
      <c r="NI20" s="56"/>
      <c r="NM20" s="54"/>
      <c r="NO20" s="64">
        <v>12.2</v>
      </c>
    </row>
    <row r="21" spans="1:409" x14ac:dyDescent="0.2">
      <c r="B21" s="91" t="s">
        <v>77</v>
      </c>
      <c r="C21" s="56"/>
      <c r="AR21" s="124"/>
      <c r="AS21" s="124"/>
      <c r="AT21" s="124"/>
      <c r="AW21" s="54"/>
      <c r="AY21" s="93">
        <v>13.1</v>
      </c>
      <c r="BV21" s="124"/>
      <c r="BW21" s="124"/>
      <c r="BX21" s="124"/>
      <c r="CA21" s="54"/>
      <c r="CC21" s="93">
        <v>13.1</v>
      </c>
      <c r="CZ21" s="124"/>
      <c r="DA21" s="124"/>
      <c r="DB21" s="124"/>
      <c r="DE21" s="54"/>
      <c r="DG21" s="93">
        <v>13.1</v>
      </c>
      <c r="EA21" s="56"/>
      <c r="EE21" s="54"/>
      <c r="EG21" s="93">
        <v>13.1</v>
      </c>
      <c r="EW21" s="56"/>
      <c r="FA21" s="54"/>
      <c r="FC21" s="93">
        <v>13.1</v>
      </c>
      <c r="FS21" s="56"/>
      <c r="FW21" s="54"/>
      <c r="FY21" s="93">
        <v>13.1</v>
      </c>
      <c r="GO21" s="56"/>
      <c r="GS21" s="54"/>
      <c r="GU21" s="93">
        <v>13.1</v>
      </c>
      <c r="HK21" s="56"/>
      <c r="HO21" s="54"/>
      <c r="HQ21" s="93">
        <v>13.1</v>
      </c>
      <c r="IG21" s="56"/>
      <c r="IK21" s="54"/>
      <c r="IM21" s="93">
        <v>13.1</v>
      </c>
      <c r="JC21" s="56"/>
      <c r="JG21" s="54"/>
      <c r="JI21" s="93">
        <v>13.1</v>
      </c>
      <c r="JY21" s="56"/>
      <c r="KC21" s="54"/>
      <c r="KE21" s="93">
        <v>13.1</v>
      </c>
      <c r="KU21" s="56"/>
      <c r="KY21" s="54"/>
      <c r="LA21" s="93">
        <v>13.1</v>
      </c>
      <c r="LQ21" s="56"/>
      <c r="LU21" s="54"/>
      <c r="LW21" s="93">
        <v>13.1</v>
      </c>
      <c r="MM21" s="56"/>
      <c r="MQ21" s="54"/>
      <c r="MS21" s="93">
        <v>13.1</v>
      </c>
      <c r="NI21" s="56"/>
      <c r="NM21" s="54"/>
      <c r="NO21" s="93">
        <v>13.1</v>
      </c>
    </row>
    <row r="22" spans="1:409" x14ac:dyDescent="0.2">
      <c r="A22" s="56"/>
      <c r="B22" s="92" t="s">
        <v>112</v>
      </c>
      <c r="C22" s="56"/>
      <c r="AR22" s="124"/>
      <c r="AS22" s="124"/>
      <c r="AT22" s="124"/>
      <c r="AV22" s="54"/>
      <c r="AW22" s="54"/>
      <c r="AX22" s="54"/>
      <c r="AY22" s="94">
        <v>13.1</v>
      </c>
      <c r="BV22" s="124"/>
      <c r="BW22" s="124"/>
      <c r="BX22" s="124"/>
      <c r="CA22" s="54"/>
      <c r="CC22" s="94">
        <v>13.1</v>
      </c>
      <c r="CZ22" s="124"/>
      <c r="DA22" s="124"/>
      <c r="DB22" s="124"/>
      <c r="DD22" s="54"/>
      <c r="DE22" s="54"/>
      <c r="DF22" s="54"/>
      <c r="DG22" s="94">
        <v>13.1</v>
      </c>
      <c r="EA22" s="56"/>
      <c r="EE22" s="54"/>
      <c r="EG22" s="94">
        <v>13.1</v>
      </c>
      <c r="EW22" s="56"/>
      <c r="FA22" s="54"/>
      <c r="FC22" s="94">
        <v>13.1</v>
      </c>
      <c r="FS22" s="56"/>
      <c r="FW22" s="54"/>
      <c r="FY22" s="94">
        <v>13.1</v>
      </c>
      <c r="GO22" s="56"/>
      <c r="GS22" s="54"/>
      <c r="GU22" s="94">
        <v>13.1</v>
      </c>
      <c r="HK22" s="56"/>
      <c r="HO22" s="54"/>
      <c r="HQ22" s="94">
        <v>13.1</v>
      </c>
      <c r="IG22" s="56"/>
      <c r="IK22" s="54"/>
      <c r="IM22" s="94">
        <v>13.1</v>
      </c>
      <c r="JC22" s="56"/>
      <c r="JG22" s="54"/>
      <c r="JI22" s="94">
        <v>13.1</v>
      </c>
      <c r="JY22" s="56"/>
      <c r="KC22" s="54"/>
      <c r="KE22" s="94">
        <v>13.1</v>
      </c>
      <c r="KU22" s="56"/>
      <c r="KY22" s="54"/>
      <c r="LA22" s="94">
        <v>13.1</v>
      </c>
      <c r="LQ22" s="56"/>
      <c r="LU22" s="54"/>
      <c r="LW22" s="94">
        <v>13.1</v>
      </c>
      <c r="MM22" s="56"/>
      <c r="MQ22" s="54"/>
      <c r="MS22" s="94">
        <v>13.1</v>
      </c>
      <c r="NI22" s="56"/>
      <c r="NM22" s="54"/>
      <c r="NO22" s="94">
        <v>13.1</v>
      </c>
    </row>
    <row r="23" spans="1:409" x14ac:dyDescent="0.2">
      <c r="A23" s="56"/>
      <c r="B23" s="120" t="s">
        <v>161</v>
      </c>
      <c r="C23" s="56"/>
      <c r="AR23" s="124"/>
      <c r="AS23" s="124"/>
      <c r="AT23" s="124"/>
      <c r="AV23" s="54"/>
      <c r="AW23" s="54"/>
      <c r="AX23" s="54"/>
      <c r="AY23" s="121">
        <v>13.1</v>
      </c>
      <c r="BV23" s="124"/>
      <c r="BW23" s="124"/>
      <c r="BX23" s="124"/>
      <c r="CA23" s="54"/>
      <c r="CC23" s="121">
        <v>13.1</v>
      </c>
      <c r="CZ23" s="124"/>
      <c r="DA23" s="124"/>
      <c r="DB23" s="124"/>
      <c r="DD23" s="54"/>
      <c r="DE23" s="54"/>
      <c r="DF23" s="54"/>
      <c r="DG23" s="121">
        <v>13.1</v>
      </c>
      <c r="EA23" s="56"/>
      <c r="EE23" s="54"/>
      <c r="EG23" s="121">
        <v>13.1</v>
      </c>
      <c r="EW23" s="56"/>
      <c r="FA23" s="54"/>
      <c r="FC23" s="121">
        <v>13.1</v>
      </c>
      <c r="FS23" s="56"/>
      <c r="FW23" s="54"/>
      <c r="FY23" s="121">
        <v>13.1</v>
      </c>
      <c r="GO23" s="56"/>
      <c r="GS23" s="54"/>
      <c r="GU23" s="121">
        <v>13.1</v>
      </c>
      <c r="HK23" s="56"/>
      <c r="HO23" s="54"/>
      <c r="HQ23" s="121">
        <v>13.1</v>
      </c>
      <c r="IG23" s="56"/>
      <c r="IK23" s="54"/>
      <c r="IM23" s="121">
        <v>13.1</v>
      </c>
      <c r="JC23" s="56"/>
      <c r="JG23" s="54"/>
      <c r="JI23" s="121">
        <v>13.1</v>
      </c>
      <c r="JY23" s="56"/>
      <c r="KC23" s="54"/>
      <c r="KE23" s="121">
        <v>13.1</v>
      </c>
      <c r="KU23" s="56"/>
      <c r="KY23" s="54"/>
      <c r="LA23" s="121">
        <v>13.1</v>
      </c>
      <c r="LQ23" s="56"/>
      <c r="LU23" s="54"/>
      <c r="LW23" s="121">
        <v>13.1</v>
      </c>
      <c r="MM23" s="56"/>
      <c r="MQ23" s="54"/>
      <c r="MS23" s="121">
        <v>13.1</v>
      </c>
      <c r="NI23" s="56"/>
      <c r="NM23" s="54"/>
      <c r="NO23" s="121">
        <v>13.1</v>
      </c>
    </row>
    <row r="24" spans="1:409" x14ac:dyDescent="0.2">
      <c r="A24" s="56"/>
      <c r="B24" s="118" t="s">
        <v>75</v>
      </c>
      <c r="C24" s="56"/>
      <c r="O24" s="2"/>
      <c r="AR24" s="124"/>
      <c r="AS24" s="124"/>
      <c r="AT24" s="124"/>
      <c r="AV24" s="54"/>
      <c r="AW24" s="54"/>
      <c r="AX24" s="54"/>
      <c r="AY24" s="119">
        <v>96.8</v>
      </c>
      <c r="BV24" s="124"/>
      <c r="BW24" s="124"/>
      <c r="BX24" s="124"/>
      <c r="CA24" s="54"/>
      <c r="CC24" s="119">
        <v>95.5</v>
      </c>
      <c r="CZ24" s="124"/>
      <c r="DA24" s="124"/>
      <c r="DB24" s="124"/>
      <c r="DD24" s="54"/>
      <c r="DE24" s="54"/>
      <c r="DF24" s="54"/>
      <c r="DG24" s="119">
        <v>95.5</v>
      </c>
      <c r="EA24" s="56"/>
      <c r="EE24" s="54"/>
      <c r="EG24" s="119">
        <v>96.8</v>
      </c>
      <c r="EW24" s="56"/>
      <c r="FA24" s="54"/>
      <c r="FC24" s="119">
        <v>95.5</v>
      </c>
      <c r="FS24" s="56"/>
      <c r="FW24" s="54"/>
      <c r="FY24" s="119">
        <v>95.5</v>
      </c>
      <c r="GO24" s="56"/>
      <c r="GS24" s="54"/>
      <c r="GU24" s="119">
        <v>95.5</v>
      </c>
      <c r="HK24" s="56"/>
      <c r="HO24" s="54"/>
      <c r="HQ24" s="119">
        <v>95.5</v>
      </c>
      <c r="IG24" s="56"/>
      <c r="IK24" s="54"/>
      <c r="IM24" s="119">
        <v>95.5</v>
      </c>
      <c r="JC24" s="56"/>
      <c r="JG24" s="54"/>
      <c r="JI24" s="119">
        <v>95.5</v>
      </c>
      <c r="JY24" s="56"/>
      <c r="KC24" s="54"/>
      <c r="KE24" s="119">
        <v>95.5</v>
      </c>
      <c r="KU24" s="56"/>
      <c r="KY24" s="54"/>
      <c r="LA24" s="119">
        <v>95.5</v>
      </c>
      <c r="LQ24" s="56"/>
      <c r="LU24" s="54"/>
      <c r="LW24" s="119">
        <v>95.5</v>
      </c>
      <c r="MM24" s="56"/>
      <c r="MQ24" s="54"/>
      <c r="MS24" s="119">
        <v>95.5</v>
      </c>
      <c r="NI24" s="56"/>
      <c r="NM24" s="54"/>
      <c r="NO24" s="119">
        <v>95.5</v>
      </c>
    </row>
    <row r="25" spans="1:409" x14ac:dyDescent="0.2">
      <c r="A25" s="56"/>
      <c r="B25" s="72" t="s">
        <v>76</v>
      </c>
      <c r="C25" s="56"/>
      <c r="O25" s="2"/>
      <c r="AR25" s="124"/>
      <c r="AS25" s="124"/>
      <c r="AT25" s="124"/>
      <c r="AV25" s="54"/>
      <c r="AW25" s="54"/>
      <c r="AX25" s="54"/>
      <c r="AY25" s="66">
        <v>98.8</v>
      </c>
      <c r="BV25" s="124"/>
      <c r="BW25" s="124"/>
      <c r="BX25" s="124"/>
      <c r="CA25" s="54"/>
      <c r="CC25" s="66">
        <v>97.5</v>
      </c>
      <c r="CZ25" s="124"/>
      <c r="DA25" s="124"/>
      <c r="DB25" s="124"/>
      <c r="DD25" s="54"/>
      <c r="DE25" s="54"/>
      <c r="DF25" s="54"/>
      <c r="DG25" s="66">
        <v>97.5</v>
      </c>
      <c r="EA25" s="56"/>
      <c r="EE25" s="54"/>
      <c r="EG25" s="66">
        <v>98.8</v>
      </c>
      <c r="EW25" s="56"/>
      <c r="FA25" s="54"/>
      <c r="FC25" s="66">
        <v>97.5</v>
      </c>
      <c r="FS25" s="56"/>
      <c r="FW25" s="54"/>
      <c r="FY25" s="66">
        <v>97.5</v>
      </c>
      <c r="GO25" s="56"/>
      <c r="GS25" s="54"/>
      <c r="GU25" s="66">
        <v>97.5</v>
      </c>
      <c r="HK25" s="56"/>
      <c r="HO25" s="54"/>
      <c r="HQ25" s="66">
        <v>97.5</v>
      </c>
      <c r="IG25" s="56"/>
      <c r="IK25" s="54"/>
      <c r="IM25" s="66">
        <v>97.5</v>
      </c>
      <c r="JC25" s="56"/>
      <c r="JG25" s="54"/>
      <c r="JI25" s="66">
        <v>97.5</v>
      </c>
      <c r="JY25" s="56"/>
      <c r="KC25" s="54"/>
      <c r="KE25" s="66">
        <v>97.5</v>
      </c>
      <c r="KU25" s="56"/>
      <c r="KY25" s="54"/>
      <c r="LA25" s="66">
        <v>97.5</v>
      </c>
      <c r="LQ25" s="56"/>
      <c r="LU25" s="54"/>
      <c r="LW25" s="66">
        <v>97.5</v>
      </c>
      <c r="MM25" s="56"/>
      <c r="MQ25" s="54"/>
      <c r="MS25" s="66">
        <v>97.5</v>
      </c>
      <c r="NI25" s="56"/>
      <c r="NM25" s="54"/>
      <c r="NO25" s="66">
        <v>97.5</v>
      </c>
    </row>
    <row r="26" spans="1:409" x14ac:dyDescent="0.2">
      <c r="A26" s="56"/>
      <c r="B26" s="116" t="s">
        <v>107</v>
      </c>
      <c r="C26" s="56"/>
      <c r="AR26" s="124"/>
      <c r="AS26" s="124"/>
      <c r="AT26" s="124"/>
      <c r="AV26" s="54"/>
      <c r="AW26" s="54"/>
      <c r="AX26" s="130" t="s">
        <v>169</v>
      </c>
      <c r="AY26" s="117">
        <v>54</v>
      </c>
      <c r="BV26" s="124"/>
      <c r="BW26" s="124"/>
      <c r="BX26" s="124"/>
      <c r="CA26" s="54"/>
      <c r="CB26" s="129"/>
      <c r="CC26" s="117">
        <v>53</v>
      </c>
      <c r="CZ26" s="124"/>
      <c r="DA26" s="124"/>
      <c r="DB26" s="124"/>
      <c r="DD26" s="54"/>
      <c r="DE26" s="54"/>
      <c r="DF26" s="54"/>
      <c r="DG26" s="117">
        <v>53</v>
      </c>
      <c r="EA26" s="56"/>
      <c r="EE26" s="54"/>
      <c r="EF26" t="s">
        <v>169</v>
      </c>
      <c r="EG26" s="117">
        <v>53.8</v>
      </c>
      <c r="EW26" s="56"/>
      <c r="FA26" s="54"/>
      <c r="FC26" s="117">
        <v>53</v>
      </c>
      <c r="FS26" s="56"/>
      <c r="FW26" s="54"/>
      <c r="FY26" s="117">
        <v>53</v>
      </c>
      <c r="GO26" s="56"/>
      <c r="GS26" s="54"/>
      <c r="GT26" s="129"/>
      <c r="GU26" s="117">
        <v>53</v>
      </c>
      <c r="HK26" s="56"/>
      <c r="HO26" s="54"/>
      <c r="HP26" s="129"/>
      <c r="HQ26" s="117">
        <v>53</v>
      </c>
      <c r="IG26" s="56"/>
      <c r="IK26" s="54"/>
      <c r="IM26" s="117">
        <v>53</v>
      </c>
      <c r="JC26" s="56"/>
      <c r="JG26" s="54"/>
      <c r="JI26" s="117">
        <v>53</v>
      </c>
      <c r="JY26" s="56"/>
      <c r="KC26" s="54"/>
      <c r="KD26" s="131"/>
      <c r="KE26" s="117">
        <v>53</v>
      </c>
      <c r="KU26" s="56"/>
      <c r="KY26" s="54"/>
      <c r="LA26" s="117">
        <v>53</v>
      </c>
      <c r="LQ26" s="56"/>
      <c r="LU26" s="54"/>
      <c r="LW26" s="117">
        <v>53</v>
      </c>
      <c r="MM26" s="56"/>
      <c r="MQ26" s="54"/>
      <c r="MR26" s="131"/>
      <c r="MS26" s="117">
        <v>53</v>
      </c>
      <c r="NI26" s="56"/>
      <c r="NM26" s="54"/>
      <c r="NO26" s="117">
        <v>53</v>
      </c>
    </row>
    <row r="27" spans="1:409" x14ac:dyDescent="0.2">
      <c r="A27" s="56"/>
      <c r="B27" s="74" t="s">
        <v>57</v>
      </c>
      <c r="C27" s="56"/>
      <c r="O27" s="2"/>
      <c r="AR27" s="124"/>
      <c r="AS27" s="124"/>
      <c r="AT27" s="124"/>
      <c r="AV27" s="54"/>
      <c r="AW27" s="54"/>
      <c r="AX27" s="54"/>
      <c r="AY27" s="68">
        <v>55</v>
      </c>
      <c r="BV27" s="124"/>
      <c r="BW27" s="124"/>
      <c r="BX27" s="124"/>
      <c r="CA27" s="54"/>
      <c r="CC27" s="68">
        <v>54.5</v>
      </c>
      <c r="CZ27" s="124"/>
      <c r="DA27" s="124"/>
      <c r="DB27" s="124"/>
      <c r="DD27" s="54"/>
      <c r="DE27" s="54"/>
      <c r="DF27" s="54"/>
      <c r="DG27" s="68">
        <v>54.5</v>
      </c>
      <c r="EA27" s="56"/>
      <c r="EE27" s="54"/>
      <c r="EG27" s="68">
        <v>55</v>
      </c>
      <c r="EW27" s="56"/>
      <c r="FA27" s="54"/>
      <c r="FC27" s="68">
        <v>54.5</v>
      </c>
      <c r="FS27" s="56"/>
      <c r="FW27" s="54"/>
      <c r="FY27" s="68">
        <v>54.5</v>
      </c>
      <c r="GO27" s="56"/>
      <c r="GS27" s="54"/>
      <c r="GT27" s="129"/>
      <c r="GU27" s="68">
        <v>54.5</v>
      </c>
      <c r="HK27" s="56"/>
      <c r="HO27" s="54"/>
      <c r="HQ27" s="68">
        <v>54.5</v>
      </c>
      <c r="IG27" s="56"/>
      <c r="IK27" s="54"/>
      <c r="IM27" s="68">
        <v>54.5</v>
      </c>
      <c r="JC27" s="56"/>
      <c r="JG27" s="54"/>
      <c r="JI27" s="68">
        <v>54.5</v>
      </c>
      <c r="JY27" s="56"/>
      <c r="KC27" s="54"/>
      <c r="KE27" s="68">
        <v>54.5</v>
      </c>
      <c r="KU27" s="56"/>
      <c r="KY27" s="54"/>
      <c r="LA27" s="68">
        <v>54.5</v>
      </c>
      <c r="LQ27" s="56"/>
      <c r="LU27" s="54"/>
      <c r="LW27" s="68">
        <v>54.5</v>
      </c>
      <c r="MM27" s="56"/>
      <c r="MQ27" s="54"/>
      <c r="MS27" s="68">
        <v>54.5</v>
      </c>
      <c r="NI27" s="56"/>
      <c r="NM27" s="54"/>
      <c r="NO27" s="68">
        <v>54.5</v>
      </c>
    </row>
    <row r="28" spans="1:409" x14ac:dyDescent="0.2">
      <c r="B28" s="82" t="s">
        <v>89</v>
      </c>
      <c r="C28" s="2"/>
      <c r="AU28" s="54"/>
      <c r="AV28" s="54"/>
      <c r="AX28" s="54"/>
      <c r="DC28" s="54"/>
      <c r="DD28" s="54"/>
      <c r="DF28" s="54"/>
      <c r="EX28" s="54"/>
    </row>
    <row r="29" spans="1:409" x14ac:dyDescent="0.2">
      <c r="A29" s="56"/>
      <c r="B29" s="56"/>
      <c r="C29" s="55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409" ht="17" x14ac:dyDescent="0.2">
      <c r="A30" s="56"/>
      <c r="B30" s="56"/>
      <c r="C30" s="55"/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409" ht="17" x14ac:dyDescent="0.2">
      <c r="A31" s="56"/>
      <c r="B31" s="56"/>
      <c r="C31" s="55"/>
      <c r="S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409" ht="17" x14ac:dyDescent="0.2">
      <c r="S32" s="19"/>
      <c r="T32" s="19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9:110" ht="17" x14ac:dyDescent="0.2"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9:110" ht="17" x14ac:dyDescent="0.2">
      <c r="S34" s="19"/>
      <c r="T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9:110" ht="17" x14ac:dyDescent="0.2">
      <c r="S35" s="19"/>
      <c r="T35" s="19"/>
      <c r="U35" s="19"/>
    </row>
    <row r="36" spans="19:110" ht="17" x14ac:dyDescent="0.2">
      <c r="S36" s="19"/>
      <c r="T36" s="19"/>
      <c r="U36" s="19"/>
    </row>
    <row r="37" spans="19:110" ht="17" x14ac:dyDescent="0.2">
      <c r="S37" s="19"/>
      <c r="T37" s="19"/>
      <c r="U37" s="19"/>
    </row>
    <row r="38" spans="19:110" ht="17" x14ac:dyDescent="0.2">
      <c r="S38" s="19"/>
      <c r="T38" s="19"/>
      <c r="U38" s="19"/>
    </row>
    <row r="39" spans="19:110" ht="17" x14ac:dyDescent="0.2">
      <c r="S39" s="19"/>
      <c r="T39" s="19"/>
      <c r="U39" s="19"/>
    </row>
    <row r="40" spans="19:110" ht="17" x14ac:dyDescent="0.2">
      <c r="S40" s="19"/>
      <c r="T40" s="19"/>
      <c r="U40" s="19"/>
    </row>
    <row r="41" spans="19:110" ht="17" x14ac:dyDescent="0.2">
      <c r="S41" s="19"/>
      <c r="T41" s="19"/>
      <c r="U41" s="19"/>
    </row>
    <row r="42" spans="19:110" ht="17" x14ac:dyDescent="0.2">
      <c r="S42" s="19"/>
      <c r="T42" s="19"/>
      <c r="U42" s="19"/>
    </row>
    <row r="43" spans="19:110" ht="17" x14ac:dyDescent="0.2">
      <c r="S43" s="19"/>
      <c r="T43" s="19"/>
      <c r="U43" s="19"/>
    </row>
    <row r="44" spans="19:110" ht="17" x14ac:dyDescent="0.2">
      <c r="S44" s="19"/>
      <c r="T44" s="19"/>
      <c r="U44" s="19"/>
    </row>
    <row r="45" spans="19:110" ht="17" x14ac:dyDescent="0.2">
      <c r="S45" s="19"/>
      <c r="T45" s="19"/>
      <c r="U45" s="19"/>
    </row>
    <row r="46" spans="19:110" ht="17" x14ac:dyDescent="0.2">
      <c r="S46" s="19"/>
      <c r="T46" s="19"/>
      <c r="U46" s="19"/>
    </row>
    <row r="47" spans="19:110" ht="17" x14ac:dyDescent="0.2">
      <c r="S47" s="19"/>
      <c r="T47" s="19"/>
      <c r="U47" s="19"/>
    </row>
    <row r="48" spans="19:110" ht="17" x14ac:dyDescent="0.2">
      <c r="S48" s="19"/>
      <c r="T48" s="19"/>
      <c r="U48" s="19"/>
    </row>
    <row r="49" spans="19:21" ht="17" x14ac:dyDescent="0.2">
      <c r="S49" s="19"/>
      <c r="T49" s="19"/>
      <c r="U49" s="19"/>
    </row>
  </sheetData>
  <sheetProtection sheet="1" formatCells="0" formatColumns="0" formatRows="0"/>
  <autoFilter ref="A1:OQ16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18">
      <sortCondition descending="1" ref="F1:F19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7">
    <cfRule type="expression" dxfId="168" priority="7" stopIfTrue="1">
      <formula>IF($AP4&lt;&gt;"",1,0)</formula>
    </cfRule>
  </conditionalFormatting>
  <conditionalFormatting sqref="AZ4:CC17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7">
    <cfRule type="expression" dxfId="162" priority="9" stopIfTrue="1">
      <formula>IF($CX4&lt;&gt;"",1,0)</formula>
    </cfRule>
  </conditionalFormatting>
  <conditionalFormatting sqref="GT28:GT1048576 HP27:HP1048576 KD27:KD1048576 MR27:MR1048576 AX1:AX1048576 CB1:CB1048576 DF1:DF1048576 EF1:EF1048576 FB1:FB1048576 FX1:FX1048576 GT1:GT25 HP1:HP25 IL1:IL1048576 JH1:JH1048576 KD1:KD25 KZ1:KZ1048576 LV1:LV1048576 MR1:MR25 NN1:NN1048576">
    <cfRule type="cellIs" dxfId="161" priority="37578" operator="between">
      <formula>AY$27</formula>
      <formula>1000</formula>
    </cfRule>
    <cfRule type="cellIs" dxfId="160" priority="37579" operator="between">
      <formula>AY$26</formula>
      <formula>AY$27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38909" operator="between">
      <formula>AY$27</formula>
      <formula>1000</formula>
    </cfRule>
    <cfRule type="cellIs" dxfId="158" priority="38910" operator="between">
      <formula>AY$26</formula>
      <formula>AY$27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38999" operator="between">
      <formula>AY$25</formula>
      <formula>1000</formula>
    </cfRule>
    <cfRule type="cellIs" dxfId="156" priority="39000" operator="between">
      <formula>AY$24</formula>
      <formula>AY$25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39177" operator="between">
      <formula>EG$23</formula>
      <formula>1000</formula>
    </cfRule>
    <cfRule type="cellIs" dxfId="154" priority="39178" operator="between">
      <formula>EG$22</formula>
      <formula>EG$23</formula>
    </cfRule>
    <cfRule type="cellIs" dxfId="153" priority="39179" operator="between">
      <formula>EG$21</formula>
      <formula>EG$22</formula>
    </cfRule>
    <cfRule type="cellIs" dxfId="152" priority="39180" operator="between">
      <formula>EG$20</formula>
      <formula>EG$21</formula>
    </cfRule>
  </conditionalFormatting>
  <conditionalFormatting sqref="AR1:AR1048576 BV1:BV1048576 CZ1:CZ1048576">
    <cfRule type="cellIs" dxfId="151" priority="39321" operator="between">
      <formula>AY$23</formula>
      <formula>1000</formula>
    </cfRule>
    <cfRule type="cellIs" dxfId="150" priority="39322" operator="between">
      <formula>AY$22</formula>
      <formula>AY$23</formula>
    </cfRule>
    <cfRule type="cellIs" dxfId="149" priority="39323" operator="between">
      <formula>AY$21</formula>
      <formula>AY$22</formula>
    </cfRule>
    <cfRule type="cellIs" dxfId="148" priority="39324" operator="between">
      <formula>AY$20</formula>
      <formula>AY$21</formula>
    </cfRule>
  </conditionalFormatting>
  <conditionalFormatting sqref="AS1:AS1048576 BW1:BW1048576 DA1:DA1048576">
    <cfRule type="cellIs" dxfId="147" priority="39357" operator="between">
      <formula>AY$27</formula>
      <formula>1000</formula>
    </cfRule>
    <cfRule type="cellIs" dxfId="146" priority="39358" operator="between">
      <formula>AY$26</formula>
      <formula>AY$27</formula>
    </cfRule>
  </conditionalFormatting>
  <conditionalFormatting sqref="AT1:AT1048576 BX1:BX1048576 DB1:DB1048576">
    <cfRule type="cellIs" dxfId="145" priority="39375" operator="between">
      <formula>AY$23</formula>
      <formula>1000</formula>
    </cfRule>
    <cfRule type="cellIs" dxfId="144" priority="39376" operator="between">
      <formula>AY$22</formula>
      <formula>AY$23</formula>
    </cfRule>
    <cfRule type="cellIs" dxfId="143" priority="39377" operator="between">
      <formula>AY$21</formula>
      <formula>AY$22</formula>
    </cfRule>
    <cfRule type="cellIs" dxfId="142" priority="39378" operator="between">
      <formula>AY$20</formula>
      <formula>AY$21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39411" operator="between">
      <formula>AY$23</formula>
      <formula>1000</formula>
    </cfRule>
    <cfRule type="cellIs" dxfId="140" priority="39412" operator="between">
      <formula>AY$22</formula>
      <formula>AY$23</formula>
    </cfRule>
    <cfRule type="cellIs" dxfId="139" priority="39413" operator="between">
      <formula>AY$21</formula>
      <formula>AY$22</formula>
    </cfRule>
    <cfRule type="cellIs" dxfId="138" priority="39414" operator="between">
      <formula>AY$20</formula>
      <formula>AY$21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381" width="10.83203125" hidden="1" customWidth="1"/>
  </cols>
  <sheetData>
    <row r="1" spans="1:38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171</v>
      </c>
      <c r="G1" s="140" t="s">
        <v>167</v>
      </c>
      <c r="H1" s="140" t="s">
        <v>168</v>
      </c>
      <c r="I1" s="140" t="s">
        <v>16</v>
      </c>
      <c r="J1" s="140" t="s">
        <v>180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19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128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8" t="s">
        <v>160</v>
      </c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7" t="s">
        <v>182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9" t="s">
        <v>21</v>
      </c>
      <c r="CN1" s="139"/>
      <c r="CO1" s="139"/>
      <c r="CP1" s="139"/>
      <c r="CQ1" s="137" t="s">
        <v>193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7" t="s">
        <v>113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30</v>
      </c>
      <c r="AG2" s="136"/>
      <c r="AH2" s="136"/>
      <c r="AI2" s="136"/>
      <c r="AJ2" s="136"/>
      <c r="AK2" s="78"/>
      <c r="AL2" s="58" t="s">
        <v>104</v>
      </c>
      <c r="AM2" s="9" t="s">
        <v>28</v>
      </c>
      <c r="AN2" s="9" t="s">
        <v>29</v>
      </c>
      <c r="AO2" s="9" t="s">
        <v>31</v>
      </c>
      <c r="AP2" s="9" t="s">
        <v>126</v>
      </c>
      <c r="AQ2" s="9" t="s">
        <v>30</v>
      </c>
      <c r="AR2" s="9" t="s">
        <v>25</v>
      </c>
      <c r="AS2" s="135" t="s">
        <v>26</v>
      </c>
      <c r="AT2" s="135"/>
      <c r="AU2" s="135"/>
      <c r="AV2" s="135"/>
      <c r="AW2" s="135"/>
      <c r="AX2" s="135" t="s">
        <v>27</v>
      </c>
      <c r="AY2" s="135"/>
      <c r="AZ2" s="135"/>
      <c r="BA2" s="135"/>
      <c r="BB2" s="135"/>
      <c r="BC2" s="135" t="s">
        <v>30</v>
      </c>
      <c r="BD2" s="135"/>
      <c r="BE2" s="135"/>
      <c r="BF2" s="135"/>
      <c r="BG2" s="135"/>
      <c r="BH2" s="79"/>
      <c r="BI2" s="57" t="s">
        <v>104</v>
      </c>
      <c r="BJ2" s="12" t="s">
        <v>28</v>
      </c>
      <c r="BK2" s="12" t="s">
        <v>29</v>
      </c>
      <c r="BL2" s="12" t="s">
        <v>31</v>
      </c>
      <c r="BM2" s="12" t="s">
        <v>126</v>
      </c>
      <c r="BN2" s="12" t="s">
        <v>30</v>
      </c>
      <c r="BO2" s="12" t="s">
        <v>25</v>
      </c>
      <c r="BP2" s="136" t="s">
        <v>26</v>
      </c>
      <c r="BQ2" s="136"/>
      <c r="BR2" s="136"/>
      <c r="BS2" s="136"/>
      <c r="BT2" s="136"/>
      <c r="BU2" s="136" t="s">
        <v>27</v>
      </c>
      <c r="BV2" s="136"/>
      <c r="BW2" s="136"/>
      <c r="BX2" s="136"/>
      <c r="BY2" s="136"/>
      <c r="BZ2" s="136" t="s">
        <v>30</v>
      </c>
      <c r="CA2" s="136"/>
      <c r="CB2" s="136"/>
      <c r="CC2" s="136"/>
      <c r="CD2" s="136"/>
      <c r="CE2" s="109"/>
      <c r="CF2" s="109" t="s">
        <v>104</v>
      </c>
      <c r="CG2" s="9" t="s">
        <v>28</v>
      </c>
      <c r="CH2" s="9" t="s">
        <v>29</v>
      </c>
      <c r="CI2" s="9" t="s">
        <v>31</v>
      </c>
      <c r="CJ2" s="9" t="s">
        <v>126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6" t="s">
        <v>26</v>
      </c>
      <c r="CR2" s="136"/>
      <c r="CS2" s="136"/>
      <c r="CT2" s="136"/>
      <c r="CU2" s="136"/>
      <c r="CV2" s="136" t="s">
        <v>27</v>
      </c>
      <c r="CW2" s="136"/>
      <c r="CX2" s="136"/>
      <c r="CY2" s="136"/>
      <c r="CZ2" s="136"/>
      <c r="DA2" s="136" t="s">
        <v>30</v>
      </c>
      <c r="DB2" s="136"/>
      <c r="DC2" s="136"/>
      <c r="DD2" s="136"/>
      <c r="DE2" s="136"/>
      <c r="DF2" s="18" t="s">
        <v>104</v>
      </c>
      <c r="DG2" s="9" t="s">
        <v>28</v>
      </c>
      <c r="DH2" s="9" t="s">
        <v>29</v>
      </c>
      <c r="DI2" s="9" t="s">
        <v>31</v>
      </c>
      <c r="DJ2" s="9" t="s">
        <v>126</v>
      </c>
      <c r="DK2" s="9" t="s">
        <v>30</v>
      </c>
      <c r="DL2" s="9" t="s">
        <v>25</v>
      </c>
      <c r="DM2" s="135" t="s">
        <v>26</v>
      </c>
      <c r="DN2" s="135"/>
      <c r="DO2" s="135"/>
      <c r="DP2" s="135"/>
      <c r="DQ2" s="135"/>
      <c r="DR2" s="135" t="s">
        <v>27</v>
      </c>
      <c r="DS2" s="135"/>
      <c r="DT2" s="135"/>
      <c r="DU2" s="135"/>
      <c r="DV2" s="135"/>
      <c r="DW2" s="135" t="s">
        <v>30</v>
      </c>
      <c r="DX2" s="135"/>
      <c r="DY2" s="135"/>
      <c r="DZ2" s="135"/>
      <c r="EA2" s="135"/>
      <c r="EB2" s="20" t="s">
        <v>104</v>
      </c>
      <c r="EC2" s="12" t="s">
        <v>28</v>
      </c>
      <c r="ED2" s="12" t="s">
        <v>29</v>
      </c>
      <c r="EE2" s="12" t="s">
        <v>31</v>
      </c>
      <c r="EF2" s="12" t="s">
        <v>126</v>
      </c>
      <c r="EG2" s="12" t="s">
        <v>30</v>
      </c>
      <c r="EH2" s="12" t="s">
        <v>25</v>
      </c>
      <c r="EI2" s="136" t="s">
        <v>26</v>
      </c>
      <c r="EJ2" s="136"/>
      <c r="EK2" s="136"/>
      <c r="EL2" s="136"/>
      <c r="EM2" s="136"/>
      <c r="EN2" s="136" t="s">
        <v>27</v>
      </c>
      <c r="EO2" s="136"/>
      <c r="EP2" s="136"/>
      <c r="EQ2" s="136"/>
      <c r="ER2" s="136"/>
      <c r="ES2" s="136" t="s">
        <v>30</v>
      </c>
      <c r="ET2" s="136"/>
      <c r="EU2" s="136"/>
      <c r="EV2" s="136"/>
      <c r="EW2" s="136"/>
      <c r="EX2" s="21" t="s">
        <v>104</v>
      </c>
      <c r="EY2" s="9" t="s">
        <v>28</v>
      </c>
      <c r="EZ2" s="9" t="s">
        <v>29</v>
      </c>
      <c r="FA2" s="9" t="s">
        <v>31</v>
      </c>
      <c r="FB2" s="9" t="s">
        <v>126</v>
      </c>
      <c r="FC2" s="9" t="s">
        <v>30</v>
      </c>
      <c r="FD2" s="9" t="s">
        <v>25</v>
      </c>
      <c r="FE2" s="135" t="s">
        <v>26</v>
      </c>
      <c r="FF2" s="135"/>
      <c r="FG2" s="135"/>
      <c r="FH2" s="135"/>
      <c r="FI2" s="135"/>
      <c r="FJ2" s="135" t="s">
        <v>27</v>
      </c>
      <c r="FK2" s="135"/>
      <c r="FL2" s="135"/>
      <c r="FM2" s="135"/>
      <c r="FN2" s="135"/>
      <c r="FO2" s="135" t="s">
        <v>30</v>
      </c>
      <c r="FP2" s="135"/>
      <c r="FQ2" s="135"/>
      <c r="FR2" s="135"/>
      <c r="FS2" s="135"/>
      <c r="FT2" s="20" t="s">
        <v>104</v>
      </c>
      <c r="FU2" s="12" t="s">
        <v>28</v>
      </c>
      <c r="FV2" s="12" t="s">
        <v>29</v>
      </c>
      <c r="FW2" s="12" t="s">
        <v>31</v>
      </c>
      <c r="FX2" s="12" t="s">
        <v>126</v>
      </c>
      <c r="FY2" s="12" t="s">
        <v>30</v>
      </c>
      <c r="FZ2" s="12" t="s">
        <v>25</v>
      </c>
      <c r="GA2" s="136" t="s">
        <v>26</v>
      </c>
      <c r="GB2" s="136"/>
      <c r="GC2" s="136"/>
      <c r="GD2" s="136"/>
      <c r="GE2" s="136"/>
      <c r="GF2" s="136" t="s">
        <v>27</v>
      </c>
      <c r="GG2" s="136"/>
      <c r="GH2" s="136"/>
      <c r="GI2" s="136"/>
      <c r="GJ2" s="136"/>
      <c r="GK2" s="136" t="s">
        <v>30</v>
      </c>
      <c r="GL2" s="136"/>
      <c r="GM2" s="136"/>
      <c r="GN2" s="136"/>
      <c r="GO2" s="136"/>
      <c r="GP2" s="21" t="s">
        <v>104</v>
      </c>
      <c r="GQ2" s="9" t="s">
        <v>28</v>
      </c>
      <c r="GR2" s="9" t="s">
        <v>29</v>
      </c>
      <c r="GS2" s="9" t="s">
        <v>31</v>
      </c>
      <c r="GT2" s="9" t="s">
        <v>126</v>
      </c>
      <c r="GU2" s="9" t="s">
        <v>30</v>
      </c>
      <c r="GV2" s="9" t="s">
        <v>25</v>
      </c>
      <c r="GW2" s="135" t="s">
        <v>26</v>
      </c>
      <c r="GX2" s="135"/>
      <c r="GY2" s="135"/>
      <c r="GZ2" s="135"/>
      <c r="HA2" s="135"/>
      <c r="HB2" s="135" t="s">
        <v>27</v>
      </c>
      <c r="HC2" s="135"/>
      <c r="HD2" s="135"/>
      <c r="HE2" s="135"/>
      <c r="HF2" s="135"/>
      <c r="HG2" s="135" t="s">
        <v>30</v>
      </c>
      <c r="HH2" s="135"/>
      <c r="HI2" s="135"/>
      <c r="HJ2" s="135"/>
      <c r="HK2" s="135"/>
      <c r="HL2" s="20" t="s">
        <v>104</v>
      </c>
      <c r="HM2" s="12" t="s">
        <v>28</v>
      </c>
      <c r="HN2" s="12" t="s">
        <v>29</v>
      </c>
      <c r="HO2" s="12" t="s">
        <v>31</v>
      </c>
      <c r="HP2" s="12" t="s">
        <v>126</v>
      </c>
      <c r="HQ2" s="12" t="s">
        <v>30</v>
      </c>
      <c r="HR2" s="12" t="s">
        <v>25</v>
      </c>
      <c r="HS2" s="136" t="s">
        <v>26</v>
      </c>
      <c r="HT2" s="136"/>
      <c r="HU2" s="136"/>
      <c r="HV2" s="136"/>
      <c r="HW2" s="136"/>
      <c r="HX2" s="136" t="s">
        <v>27</v>
      </c>
      <c r="HY2" s="136"/>
      <c r="HZ2" s="136"/>
      <c r="IA2" s="136"/>
      <c r="IB2" s="136"/>
      <c r="IC2" s="136" t="s">
        <v>30</v>
      </c>
      <c r="ID2" s="136"/>
      <c r="IE2" s="136"/>
      <c r="IF2" s="136"/>
      <c r="IG2" s="136"/>
      <c r="IH2" s="21" t="s">
        <v>104</v>
      </c>
      <c r="II2" s="9" t="s">
        <v>28</v>
      </c>
      <c r="IJ2" s="9" t="s">
        <v>29</v>
      </c>
      <c r="IK2" s="9" t="s">
        <v>31</v>
      </c>
      <c r="IL2" s="9" t="s">
        <v>126</v>
      </c>
      <c r="IM2" s="9" t="s">
        <v>30</v>
      </c>
      <c r="IN2" s="9" t="s">
        <v>25</v>
      </c>
      <c r="IO2" s="135" t="s">
        <v>26</v>
      </c>
      <c r="IP2" s="135"/>
      <c r="IQ2" s="135"/>
      <c r="IR2" s="135"/>
      <c r="IS2" s="135"/>
      <c r="IT2" s="135" t="s">
        <v>27</v>
      </c>
      <c r="IU2" s="135"/>
      <c r="IV2" s="135"/>
      <c r="IW2" s="135"/>
      <c r="IX2" s="135"/>
      <c r="IY2" s="135" t="s">
        <v>30</v>
      </c>
      <c r="IZ2" s="135"/>
      <c r="JA2" s="135"/>
      <c r="JB2" s="135"/>
      <c r="JC2" s="135"/>
      <c r="JD2" s="20" t="s">
        <v>104</v>
      </c>
      <c r="JE2" s="12" t="s">
        <v>28</v>
      </c>
      <c r="JF2" s="12" t="s">
        <v>29</v>
      </c>
      <c r="JG2" s="12" t="s">
        <v>31</v>
      </c>
      <c r="JH2" s="12" t="s">
        <v>126</v>
      </c>
      <c r="JI2" s="12" t="s">
        <v>30</v>
      </c>
      <c r="JJ2" s="12" t="s">
        <v>25</v>
      </c>
      <c r="JK2" s="136" t="s">
        <v>26</v>
      </c>
      <c r="JL2" s="136"/>
      <c r="JM2" s="136"/>
      <c r="JN2" s="136"/>
      <c r="JO2" s="136"/>
      <c r="JP2" s="136" t="s">
        <v>27</v>
      </c>
      <c r="JQ2" s="136"/>
      <c r="JR2" s="136"/>
      <c r="JS2" s="136"/>
      <c r="JT2" s="136"/>
      <c r="JU2" s="136" t="s">
        <v>30</v>
      </c>
      <c r="JV2" s="136"/>
      <c r="JW2" s="136"/>
      <c r="JX2" s="136"/>
      <c r="JY2" s="136"/>
      <c r="JZ2" s="21" t="s">
        <v>104</v>
      </c>
      <c r="KA2" s="9" t="s">
        <v>28</v>
      </c>
      <c r="KB2" s="9" t="s">
        <v>29</v>
      </c>
      <c r="KC2" s="9" t="s">
        <v>31</v>
      </c>
      <c r="KD2" s="9" t="s">
        <v>126</v>
      </c>
      <c r="KE2" s="9" t="s">
        <v>30</v>
      </c>
      <c r="KF2" s="9" t="s">
        <v>25</v>
      </c>
      <c r="KG2" s="135" t="s">
        <v>26</v>
      </c>
      <c r="KH2" s="135"/>
      <c r="KI2" s="135"/>
      <c r="KJ2" s="135"/>
      <c r="KK2" s="135"/>
      <c r="KL2" s="135" t="s">
        <v>27</v>
      </c>
      <c r="KM2" s="135"/>
      <c r="KN2" s="135"/>
      <c r="KO2" s="135"/>
      <c r="KP2" s="135"/>
      <c r="KQ2" s="135" t="s">
        <v>30</v>
      </c>
      <c r="KR2" s="135"/>
      <c r="KS2" s="135"/>
      <c r="KT2" s="135"/>
      <c r="KU2" s="135"/>
      <c r="KV2" s="20" t="s">
        <v>104</v>
      </c>
      <c r="KW2" s="12" t="s">
        <v>28</v>
      </c>
      <c r="KX2" s="12" t="s">
        <v>29</v>
      </c>
      <c r="KY2" s="12" t="s">
        <v>31</v>
      </c>
      <c r="KZ2" s="12" t="s">
        <v>126</v>
      </c>
      <c r="LA2" s="12" t="s">
        <v>30</v>
      </c>
      <c r="LB2" s="12" t="s">
        <v>25</v>
      </c>
      <c r="LC2" s="136" t="s">
        <v>26</v>
      </c>
      <c r="LD2" s="136"/>
      <c r="LE2" s="136"/>
      <c r="LF2" s="136"/>
      <c r="LG2" s="136"/>
      <c r="LH2" s="136" t="s">
        <v>27</v>
      </c>
      <c r="LI2" s="136"/>
      <c r="LJ2" s="136"/>
      <c r="LK2" s="136"/>
      <c r="LL2" s="136"/>
      <c r="LM2" s="136" t="s">
        <v>30</v>
      </c>
      <c r="LN2" s="136"/>
      <c r="LO2" s="136"/>
      <c r="LP2" s="136"/>
      <c r="LQ2" s="136"/>
      <c r="LR2" s="21" t="s">
        <v>104</v>
      </c>
      <c r="LS2" s="9" t="s">
        <v>28</v>
      </c>
      <c r="LT2" s="9" t="s">
        <v>29</v>
      </c>
      <c r="LU2" s="9" t="s">
        <v>31</v>
      </c>
      <c r="LV2" s="9" t="s">
        <v>126</v>
      </c>
      <c r="LW2" s="9" t="s">
        <v>30</v>
      </c>
      <c r="LX2" s="9" t="s">
        <v>25</v>
      </c>
      <c r="LY2" s="135" t="s">
        <v>26</v>
      </c>
      <c r="LZ2" s="135"/>
      <c r="MA2" s="135"/>
      <c r="MB2" s="135"/>
      <c r="MC2" s="135"/>
      <c r="MD2" s="135" t="s">
        <v>27</v>
      </c>
      <c r="ME2" s="135"/>
      <c r="MF2" s="135"/>
      <c r="MG2" s="135"/>
      <c r="MH2" s="135"/>
      <c r="MI2" s="135" t="s">
        <v>30</v>
      </c>
      <c r="MJ2" s="135"/>
      <c r="MK2" s="135"/>
      <c r="ML2" s="135"/>
      <c r="MM2" s="135"/>
      <c r="MN2" s="20" t="s">
        <v>104</v>
      </c>
      <c r="MO2" s="12" t="s">
        <v>28</v>
      </c>
      <c r="MP2" s="12" t="s">
        <v>29</v>
      </c>
      <c r="MQ2" s="12" t="s">
        <v>31</v>
      </c>
      <c r="MR2" s="12" t="s">
        <v>126</v>
      </c>
      <c r="MS2" s="12" t="s">
        <v>30</v>
      </c>
      <c r="MT2" s="12" t="s">
        <v>25</v>
      </c>
      <c r="MU2" s="136" t="s">
        <v>26</v>
      </c>
      <c r="MV2" s="136"/>
      <c r="MW2" s="136"/>
      <c r="MX2" s="136"/>
      <c r="MY2" s="136"/>
      <c r="MZ2" s="136" t="s">
        <v>27</v>
      </c>
      <c r="NA2" s="136"/>
      <c r="NB2" s="136"/>
      <c r="NC2" s="136"/>
      <c r="ND2" s="136"/>
      <c r="NE2" s="136" t="s">
        <v>30</v>
      </c>
      <c r="NF2" s="136"/>
      <c r="NG2" s="136"/>
      <c r="NH2" s="136"/>
      <c r="NI2" s="136"/>
      <c r="NJ2" s="102"/>
      <c r="NK2" s="102" t="s">
        <v>104</v>
      </c>
      <c r="NL2" s="9" t="s">
        <v>28</v>
      </c>
      <c r="NM2" s="9" t="s">
        <v>29</v>
      </c>
      <c r="NN2" s="9" t="s">
        <v>31</v>
      </c>
      <c r="NO2" s="9" t="s">
        <v>126</v>
      </c>
      <c r="NP2" s="9" t="s">
        <v>30</v>
      </c>
      <c r="NQ2" s="9" t="s">
        <v>25</v>
      </c>
    </row>
    <row r="3" spans="1:381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58" t="s">
        <v>22</v>
      </c>
      <c r="W3" s="58" t="s">
        <v>23</v>
      </c>
      <c r="X3" s="58" t="s">
        <v>14</v>
      </c>
      <c r="Y3" s="58" t="s">
        <v>54</v>
      </c>
      <c r="Z3" s="58" t="s">
        <v>44</v>
      </c>
      <c r="AA3" s="58" t="s">
        <v>22</v>
      </c>
      <c r="AB3" s="58" t="s">
        <v>23</v>
      </c>
      <c r="AC3" s="58" t="s">
        <v>14</v>
      </c>
      <c r="AD3" s="58" t="s">
        <v>54</v>
      </c>
      <c r="AE3" s="58" t="s">
        <v>44</v>
      </c>
      <c r="AF3" s="58" t="s">
        <v>22</v>
      </c>
      <c r="AG3" s="58" t="s">
        <v>23</v>
      </c>
      <c r="AH3" s="58" t="s">
        <v>14</v>
      </c>
      <c r="AI3" s="58" t="s">
        <v>54</v>
      </c>
      <c r="AJ3" s="58" t="s">
        <v>44</v>
      </c>
      <c r="AK3" s="78" t="s">
        <v>87</v>
      </c>
      <c r="AL3" s="10"/>
      <c r="AM3" s="9"/>
      <c r="AN3" s="9"/>
      <c r="AO3" s="9"/>
      <c r="AP3" s="9"/>
      <c r="AQ3" s="10"/>
      <c r="AR3" s="10"/>
      <c r="AS3" s="57" t="s">
        <v>22</v>
      </c>
      <c r="AT3" s="57" t="s">
        <v>23</v>
      </c>
      <c r="AU3" s="57" t="s">
        <v>14</v>
      </c>
      <c r="AV3" s="57" t="s">
        <v>54</v>
      </c>
      <c r="AW3" s="57" t="s">
        <v>44</v>
      </c>
      <c r="AX3" s="57" t="s">
        <v>22</v>
      </c>
      <c r="AY3" s="57" t="s">
        <v>23</v>
      </c>
      <c r="AZ3" s="57" t="s">
        <v>14</v>
      </c>
      <c r="BA3" s="57" t="s">
        <v>54</v>
      </c>
      <c r="BB3" s="57" t="s">
        <v>44</v>
      </c>
      <c r="BC3" s="57" t="s">
        <v>22</v>
      </c>
      <c r="BD3" s="57" t="s">
        <v>23</v>
      </c>
      <c r="BE3" s="57" t="s">
        <v>14</v>
      </c>
      <c r="BF3" s="57" t="s">
        <v>54</v>
      </c>
      <c r="BG3" s="57" t="s">
        <v>44</v>
      </c>
      <c r="BH3" s="79" t="s">
        <v>87</v>
      </c>
      <c r="BI3" s="13"/>
      <c r="BJ3" s="12"/>
      <c r="BK3" s="12"/>
      <c r="BL3" s="12"/>
      <c r="BM3" s="12"/>
      <c r="BN3" s="13"/>
      <c r="BO3" s="13"/>
      <c r="BP3" s="109" t="s">
        <v>22</v>
      </c>
      <c r="BQ3" s="109" t="s">
        <v>23</v>
      </c>
      <c r="BR3" s="109" t="s">
        <v>14</v>
      </c>
      <c r="BS3" s="109" t="s">
        <v>54</v>
      </c>
      <c r="BT3" s="109" t="s">
        <v>44</v>
      </c>
      <c r="BU3" s="109" t="s">
        <v>22</v>
      </c>
      <c r="BV3" s="109" t="s">
        <v>23</v>
      </c>
      <c r="BW3" s="109" t="s">
        <v>14</v>
      </c>
      <c r="BX3" s="109" t="s">
        <v>54</v>
      </c>
      <c r="BY3" s="109" t="s">
        <v>44</v>
      </c>
      <c r="BZ3" s="109" t="s">
        <v>22</v>
      </c>
      <c r="CA3" s="109" t="s">
        <v>23</v>
      </c>
      <c r="CB3" s="109" t="s">
        <v>14</v>
      </c>
      <c r="CC3" s="109" t="s">
        <v>54</v>
      </c>
      <c r="CD3" s="109" t="s">
        <v>44</v>
      </c>
      <c r="CE3" s="109" t="s">
        <v>87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22</v>
      </c>
      <c r="CR3" s="29" t="s">
        <v>23</v>
      </c>
      <c r="CS3" s="29" t="s">
        <v>14</v>
      </c>
      <c r="CT3" s="32" t="s">
        <v>54</v>
      </c>
      <c r="CU3" s="48" t="s">
        <v>44</v>
      </c>
      <c r="CV3" s="29" t="s">
        <v>22</v>
      </c>
      <c r="CW3" s="29" t="s">
        <v>23</v>
      </c>
      <c r="CX3" s="29" t="s">
        <v>14</v>
      </c>
      <c r="CY3" s="32" t="s">
        <v>54</v>
      </c>
      <c r="CZ3" s="48" t="s">
        <v>44</v>
      </c>
      <c r="DA3" s="29" t="s">
        <v>22</v>
      </c>
      <c r="DB3" s="29" t="s">
        <v>23</v>
      </c>
      <c r="DC3" s="29" t="s">
        <v>14</v>
      </c>
      <c r="DD3" s="32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28" t="s">
        <v>22</v>
      </c>
      <c r="DN3" s="28" t="s">
        <v>23</v>
      </c>
      <c r="DO3" s="28" t="s">
        <v>14</v>
      </c>
      <c r="DP3" s="33" t="s">
        <v>54</v>
      </c>
      <c r="DQ3" s="50" t="s">
        <v>44</v>
      </c>
      <c r="DR3" s="28" t="s">
        <v>22</v>
      </c>
      <c r="DS3" s="28" t="s">
        <v>23</v>
      </c>
      <c r="DT3" s="28" t="s">
        <v>14</v>
      </c>
      <c r="DU3" s="33" t="s">
        <v>54</v>
      </c>
      <c r="DV3" s="50" t="s">
        <v>44</v>
      </c>
      <c r="DW3" s="28" t="s">
        <v>22</v>
      </c>
      <c r="DX3" s="28" t="s">
        <v>23</v>
      </c>
      <c r="DY3" s="28" t="s">
        <v>14</v>
      </c>
      <c r="DZ3" s="33" t="s">
        <v>54</v>
      </c>
      <c r="EA3" s="50" t="s">
        <v>44</v>
      </c>
      <c r="EB3" s="13"/>
      <c r="EC3" s="12"/>
      <c r="ED3" s="12"/>
      <c r="EE3" s="12"/>
      <c r="EF3" s="12"/>
      <c r="EG3" s="13"/>
      <c r="EH3" s="13"/>
      <c r="EI3" s="29" t="s">
        <v>22</v>
      </c>
      <c r="EJ3" s="29" t="s">
        <v>23</v>
      </c>
      <c r="EK3" s="29" t="s">
        <v>14</v>
      </c>
      <c r="EL3" s="34" t="s">
        <v>54</v>
      </c>
      <c r="EM3" s="49" t="s">
        <v>44</v>
      </c>
      <c r="EN3" s="29" t="s">
        <v>22</v>
      </c>
      <c r="EO3" s="29" t="s">
        <v>23</v>
      </c>
      <c r="EP3" s="29" t="s">
        <v>14</v>
      </c>
      <c r="EQ3" s="34" t="s">
        <v>54</v>
      </c>
      <c r="ER3" s="49" t="s">
        <v>44</v>
      </c>
      <c r="ES3" s="29" t="s">
        <v>22</v>
      </c>
      <c r="ET3" s="29" t="s">
        <v>23</v>
      </c>
      <c r="EU3" s="29" t="s">
        <v>14</v>
      </c>
      <c r="EV3" s="34" t="s">
        <v>54</v>
      </c>
      <c r="EW3" s="49" t="s">
        <v>44</v>
      </c>
      <c r="EX3" s="10"/>
      <c r="EY3" s="9"/>
      <c r="EZ3" s="9"/>
      <c r="FA3" s="9"/>
      <c r="FB3" s="9"/>
      <c r="FC3" s="10"/>
      <c r="FD3" s="10"/>
      <c r="FE3" s="28" t="s">
        <v>22</v>
      </c>
      <c r="FF3" s="28" t="s">
        <v>23</v>
      </c>
      <c r="FG3" s="28" t="s">
        <v>14</v>
      </c>
      <c r="FH3" s="33" t="s">
        <v>54</v>
      </c>
      <c r="FI3" s="50" t="s">
        <v>44</v>
      </c>
      <c r="FJ3" s="28" t="s">
        <v>22</v>
      </c>
      <c r="FK3" s="28" t="s">
        <v>23</v>
      </c>
      <c r="FL3" s="28" t="s">
        <v>14</v>
      </c>
      <c r="FM3" s="33" t="s">
        <v>54</v>
      </c>
      <c r="FN3" s="50" t="s">
        <v>44</v>
      </c>
      <c r="FO3" s="28" t="s">
        <v>22</v>
      </c>
      <c r="FP3" s="28" t="s">
        <v>23</v>
      </c>
      <c r="FQ3" s="28" t="s">
        <v>14</v>
      </c>
      <c r="FR3" s="33" t="s">
        <v>54</v>
      </c>
      <c r="FS3" s="50" t="s">
        <v>44</v>
      </c>
      <c r="FT3" s="13"/>
      <c r="FU3" s="12"/>
      <c r="FV3" s="12"/>
      <c r="FW3" s="12"/>
      <c r="FX3" s="12"/>
      <c r="FY3" s="13"/>
      <c r="FZ3" s="13"/>
      <c r="GA3" s="29" t="s">
        <v>22</v>
      </c>
      <c r="GB3" s="29" t="s">
        <v>23</v>
      </c>
      <c r="GC3" s="29" t="s">
        <v>14</v>
      </c>
      <c r="GD3" s="34" t="s">
        <v>54</v>
      </c>
      <c r="GE3" s="49" t="s">
        <v>44</v>
      </c>
      <c r="GF3" s="29" t="s">
        <v>22</v>
      </c>
      <c r="GG3" s="29" t="s">
        <v>23</v>
      </c>
      <c r="GH3" s="29" t="s">
        <v>14</v>
      </c>
      <c r="GI3" s="34" t="s">
        <v>54</v>
      </c>
      <c r="GJ3" s="49" t="s">
        <v>44</v>
      </c>
      <c r="GK3" s="29" t="s">
        <v>22</v>
      </c>
      <c r="GL3" s="29" t="s">
        <v>23</v>
      </c>
      <c r="GM3" s="29" t="s">
        <v>14</v>
      </c>
      <c r="GN3" s="34" t="s">
        <v>54</v>
      </c>
      <c r="GO3" s="49" t="s">
        <v>44</v>
      </c>
      <c r="GP3" s="10"/>
      <c r="GQ3" s="9"/>
      <c r="GR3" s="9"/>
      <c r="GS3" s="9"/>
      <c r="GT3" s="9"/>
      <c r="GU3" s="10"/>
      <c r="GV3" s="10"/>
      <c r="GW3" s="28" t="s">
        <v>22</v>
      </c>
      <c r="GX3" s="28" t="s">
        <v>23</v>
      </c>
      <c r="GY3" s="28" t="s">
        <v>14</v>
      </c>
      <c r="GZ3" s="33" t="s">
        <v>54</v>
      </c>
      <c r="HA3" s="50" t="s">
        <v>44</v>
      </c>
      <c r="HB3" s="28" t="s">
        <v>22</v>
      </c>
      <c r="HC3" s="28" t="s">
        <v>23</v>
      </c>
      <c r="HD3" s="28" t="s">
        <v>14</v>
      </c>
      <c r="HE3" s="33" t="s">
        <v>54</v>
      </c>
      <c r="HF3" s="50" t="s">
        <v>44</v>
      </c>
      <c r="HG3" s="28" t="s">
        <v>22</v>
      </c>
      <c r="HH3" s="28" t="s">
        <v>23</v>
      </c>
      <c r="HI3" s="28" t="s">
        <v>14</v>
      </c>
      <c r="HJ3" s="33" t="s">
        <v>54</v>
      </c>
      <c r="HK3" s="50" t="s">
        <v>44</v>
      </c>
      <c r="HL3" s="13"/>
      <c r="HM3" s="12"/>
      <c r="HN3" s="12"/>
      <c r="HO3" s="12"/>
      <c r="HP3" s="12"/>
      <c r="HQ3" s="13"/>
      <c r="HR3" s="13"/>
      <c r="HS3" s="29" t="s">
        <v>22</v>
      </c>
      <c r="HT3" s="29" t="s">
        <v>23</v>
      </c>
      <c r="HU3" s="29" t="s">
        <v>14</v>
      </c>
      <c r="HV3" s="34" t="s">
        <v>54</v>
      </c>
      <c r="HW3" s="49" t="s">
        <v>44</v>
      </c>
      <c r="HX3" s="29" t="s">
        <v>22</v>
      </c>
      <c r="HY3" s="29" t="s">
        <v>23</v>
      </c>
      <c r="HZ3" s="29" t="s">
        <v>14</v>
      </c>
      <c r="IA3" s="34" t="s">
        <v>54</v>
      </c>
      <c r="IB3" s="49" t="s">
        <v>44</v>
      </c>
      <c r="IC3" s="29" t="s">
        <v>22</v>
      </c>
      <c r="ID3" s="29" t="s">
        <v>23</v>
      </c>
      <c r="IE3" s="29" t="s">
        <v>14</v>
      </c>
      <c r="IF3" s="34" t="s">
        <v>54</v>
      </c>
      <c r="IG3" s="49" t="s">
        <v>44</v>
      </c>
      <c r="IH3" s="10"/>
      <c r="II3" s="9"/>
      <c r="IJ3" s="9"/>
      <c r="IK3" s="9"/>
      <c r="IL3" s="9"/>
      <c r="IM3" s="10"/>
      <c r="IN3" s="10"/>
      <c r="IO3" s="28" t="s">
        <v>22</v>
      </c>
      <c r="IP3" s="28" t="s">
        <v>23</v>
      </c>
      <c r="IQ3" s="28" t="s">
        <v>14</v>
      </c>
      <c r="IR3" s="33" t="s">
        <v>54</v>
      </c>
      <c r="IS3" s="50" t="s">
        <v>44</v>
      </c>
      <c r="IT3" s="28" t="s">
        <v>22</v>
      </c>
      <c r="IU3" s="28" t="s">
        <v>23</v>
      </c>
      <c r="IV3" s="28" t="s">
        <v>14</v>
      </c>
      <c r="IW3" s="33" t="s">
        <v>54</v>
      </c>
      <c r="IX3" s="50" t="s">
        <v>44</v>
      </c>
      <c r="IY3" s="28" t="s">
        <v>22</v>
      </c>
      <c r="IZ3" s="28" t="s">
        <v>23</v>
      </c>
      <c r="JA3" s="28" t="s">
        <v>14</v>
      </c>
      <c r="JB3" s="33" t="s">
        <v>54</v>
      </c>
      <c r="JC3" s="50" t="s">
        <v>44</v>
      </c>
      <c r="JD3" s="13"/>
      <c r="JE3" s="12"/>
      <c r="JF3" s="12"/>
      <c r="JG3" s="12"/>
      <c r="JH3" s="12"/>
      <c r="JI3" s="13"/>
      <c r="JJ3" s="13"/>
      <c r="JK3" s="29" t="s">
        <v>22</v>
      </c>
      <c r="JL3" s="29" t="s">
        <v>23</v>
      </c>
      <c r="JM3" s="29" t="s">
        <v>14</v>
      </c>
      <c r="JN3" s="34" t="s">
        <v>54</v>
      </c>
      <c r="JO3" s="49" t="s">
        <v>44</v>
      </c>
      <c r="JP3" s="29" t="s">
        <v>22</v>
      </c>
      <c r="JQ3" s="29" t="s">
        <v>23</v>
      </c>
      <c r="JR3" s="29" t="s">
        <v>14</v>
      </c>
      <c r="JS3" s="34" t="s">
        <v>54</v>
      </c>
      <c r="JT3" s="49" t="s">
        <v>44</v>
      </c>
      <c r="JU3" s="29" t="s">
        <v>22</v>
      </c>
      <c r="JV3" s="29" t="s">
        <v>23</v>
      </c>
      <c r="JW3" s="29" t="s">
        <v>14</v>
      </c>
      <c r="JX3" s="34" t="s">
        <v>54</v>
      </c>
      <c r="JY3" s="49" t="s">
        <v>44</v>
      </c>
      <c r="JZ3" s="10"/>
      <c r="KA3" s="9"/>
      <c r="KB3" s="9"/>
      <c r="KC3" s="9"/>
      <c r="KD3" s="9"/>
      <c r="KE3" s="10"/>
      <c r="KF3" s="10"/>
      <c r="KG3" s="28" t="s">
        <v>22</v>
      </c>
      <c r="KH3" s="28" t="s">
        <v>23</v>
      </c>
      <c r="KI3" s="28" t="s">
        <v>14</v>
      </c>
      <c r="KJ3" s="33" t="s">
        <v>54</v>
      </c>
      <c r="KK3" s="50" t="s">
        <v>44</v>
      </c>
      <c r="KL3" s="28" t="s">
        <v>22</v>
      </c>
      <c r="KM3" s="28" t="s">
        <v>23</v>
      </c>
      <c r="KN3" s="28" t="s">
        <v>14</v>
      </c>
      <c r="KO3" s="33" t="s">
        <v>54</v>
      </c>
      <c r="KP3" s="50" t="s">
        <v>44</v>
      </c>
      <c r="KQ3" s="28" t="s">
        <v>22</v>
      </c>
      <c r="KR3" s="28" t="s">
        <v>23</v>
      </c>
      <c r="KS3" s="28" t="s">
        <v>14</v>
      </c>
      <c r="KT3" s="33" t="s">
        <v>54</v>
      </c>
      <c r="KU3" s="50" t="s">
        <v>44</v>
      </c>
      <c r="KV3" s="13"/>
      <c r="KW3" s="12"/>
      <c r="KX3" s="12"/>
      <c r="KY3" s="12"/>
      <c r="KZ3" s="12"/>
      <c r="LA3" s="13"/>
      <c r="LB3" s="13"/>
      <c r="LC3" s="29" t="s">
        <v>22</v>
      </c>
      <c r="LD3" s="29" t="s">
        <v>23</v>
      </c>
      <c r="LE3" s="29" t="s">
        <v>14</v>
      </c>
      <c r="LF3" s="34" t="s">
        <v>54</v>
      </c>
      <c r="LG3" s="49" t="s">
        <v>44</v>
      </c>
      <c r="LH3" s="29" t="s">
        <v>22</v>
      </c>
      <c r="LI3" s="29" t="s">
        <v>23</v>
      </c>
      <c r="LJ3" s="29" t="s">
        <v>14</v>
      </c>
      <c r="LK3" s="34" t="s">
        <v>54</v>
      </c>
      <c r="LL3" s="49" t="s">
        <v>44</v>
      </c>
      <c r="LM3" s="29" t="s">
        <v>22</v>
      </c>
      <c r="LN3" s="29" t="s">
        <v>23</v>
      </c>
      <c r="LO3" s="29" t="s">
        <v>14</v>
      </c>
      <c r="LP3" s="34" t="s">
        <v>54</v>
      </c>
      <c r="LQ3" s="49" t="s">
        <v>44</v>
      </c>
      <c r="LR3" s="10"/>
      <c r="LS3" s="9"/>
      <c r="LT3" s="9"/>
      <c r="LU3" s="9"/>
      <c r="LV3" s="9"/>
      <c r="LW3" s="10"/>
      <c r="LX3" s="10"/>
      <c r="LY3" s="28" t="s">
        <v>22</v>
      </c>
      <c r="LZ3" s="28" t="s">
        <v>23</v>
      </c>
      <c r="MA3" s="28" t="s">
        <v>14</v>
      </c>
      <c r="MB3" s="33" t="s">
        <v>54</v>
      </c>
      <c r="MC3" s="50" t="s">
        <v>44</v>
      </c>
      <c r="MD3" s="47" t="s">
        <v>22</v>
      </c>
      <c r="ME3" s="28" t="s">
        <v>23</v>
      </c>
      <c r="MF3" s="28" t="s">
        <v>14</v>
      </c>
      <c r="MG3" s="33" t="s">
        <v>54</v>
      </c>
      <c r="MH3" s="50" t="s">
        <v>44</v>
      </c>
      <c r="MI3" s="28" t="s">
        <v>22</v>
      </c>
      <c r="MJ3" s="28" t="s">
        <v>23</v>
      </c>
      <c r="MK3" s="28" t="s">
        <v>14</v>
      </c>
      <c r="ML3" s="33" t="s">
        <v>54</v>
      </c>
      <c r="MM3" s="50" t="s">
        <v>44</v>
      </c>
      <c r="MN3" s="13"/>
      <c r="MO3" s="12"/>
      <c r="MP3" s="12"/>
      <c r="MQ3" s="12"/>
      <c r="MR3" s="12"/>
      <c r="MS3" s="13"/>
      <c r="MT3" s="13"/>
      <c r="MU3" s="102" t="s">
        <v>22</v>
      </c>
      <c r="MV3" s="102" t="s">
        <v>23</v>
      </c>
      <c r="MW3" s="102" t="s">
        <v>14</v>
      </c>
      <c r="MX3" s="102" t="s">
        <v>24</v>
      </c>
      <c r="MY3" s="102" t="s">
        <v>44</v>
      </c>
      <c r="MZ3" s="102" t="s">
        <v>22</v>
      </c>
      <c r="NA3" s="102" t="s">
        <v>23</v>
      </c>
      <c r="NB3" s="102" t="s">
        <v>14</v>
      </c>
      <c r="NC3" s="102" t="s">
        <v>24</v>
      </c>
      <c r="ND3" s="102" t="s">
        <v>44</v>
      </c>
      <c r="NE3" s="102" t="s">
        <v>22</v>
      </c>
      <c r="NF3" s="102" t="s">
        <v>23</v>
      </c>
      <c r="NG3" s="102" t="s">
        <v>14</v>
      </c>
      <c r="NH3" s="102" t="s">
        <v>24</v>
      </c>
      <c r="NI3" s="102" t="s">
        <v>44</v>
      </c>
      <c r="NJ3" s="102" t="s">
        <v>87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IF(AND(G4&lt;&gt;"",H4&lt;&gt;""),SUMPRODUCT((G$4:G$11&lt;&gt;"")*(H$4:H$11&lt;&gt;"")*(E$4:E$11&gt;E4))+1,IF(H4&lt;&gt;"",SUMPRODUCT((I$4:I$11="No DD")*(E$4:E$11&gt;E4))+1+SUMPRODUCT((G$4:G$11&lt;&gt;"")*(H$4:H$11&lt;&gt;"")),""))</f>
        <v/>
      </c>
      <c r="B4" s="8" t="s">
        <v>143</v>
      </c>
      <c r="C4" s="4" t="s">
        <v>102</v>
      </c>
      <c r="D4" s="27" t="s">
        <v>101</v>
      </c>
      <c r="E4" s="15">
        <f t="shared" ref="E4:E10" si="0">SUM(K4:S4)</f>
        <v>168.34</v>
      </c>
      <c r="F4" s="3" t="str">
        <f t="shared" ref="F4:F10" si="1">IF(G4&lt;&gt;"","P","")</f>
        <v>P</v>
      </c>
      <c r="G4" s="125" t="str">
        <f>IF(OR(AND(AL4&gt;=AR$16,AL4&lt;&gt;"",AK4=""),AND(AP4&gt;=AR$16,AP4&lt;&gt;"",AK4=""),AND(BI4&gt;=BO$16,BI4&lt;&gt;"",BH4=""),AND(BM4&gt;=BO$16,BM4&lt;&gt;"",BH4=""),AND(CF4&gt;=CL$16,CF4&lt;&gt;"",CE4=""),AND(CJ4&gt;=CL$16,CJ4&lt;&gt;"",CE4=""),AND(DF4&gt;=DL$16,DF4&lt;&gt;""),AND(DJ4&gt;=DL$16,DJ4&lt;&gt;""),AND(EB4&gt;=EH$16,EB4&lt;&gt;""),AND(EF4&gt;=EH$16,EF4&lt;&gt;""),AND(EX4&gt;=FD$16,EX4&lt;&gt;""),AND(FB4&gt;=FD$16,FB4&lt;&gt;""),AND(FT4&gt;=FZ$16,FT4&lt;&gt;""),AND(FX4&gt;=FZ$16,FX4&lt;&gt;""),AND(GP4&gt;=GV$16,GP4&lt;&gt;""),AND(GT4&gt;=GV$16,GT4&lt;&gt;""),AND(HL4&gt;=HR$16,HL4&lt;&gt;""),AND(HP4&gt;=HR$16,HP4&lt;&gt;""),AND(IH4&gt;=IN$16,IH4&lt;&gt;""),AND(IL4&gt;=IN$16,IL4&lt;&gt;""),AND(JD4&gt;=JJ$16,JD4&lt;&gt;""),AND(JH4&gt;=JJ$16,JH4&lt;&gt;""),AND(JZ4&gt;=KF$16,JZ4&lt;&gt;""),AND(KD4&gt;=KF$16,KD4&lt;&gt;""),AND(KV4&gt;=LB$16,KV4&lt;&gt;""),AND(KZ4&gt;=LB$16,KZ4&lt;&gt;""),AND(LR4&gt;=LX$16,LR4&lt;&gt;""),AND(LV4&gt;=LX$16,LV4&lt;&gt;""),AND(MN4&gt;=MT$16,MN4&lt;&gt;""),AND(MR4&gt;=MT$16,MR4&lt;&gt;"")),"Merit",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Excellence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Worlds Team",IF(OR(AND(AL4&gt;=AR$13,AL4&lt;&gt;"",AK4=""),AND(AP4&gt;=AR$13,AP4&lt;&gt;"",AK4=""),AND(BI4&gt;=BO$13,BI4&lt;&gt;"",BH4=""),AND(BM4&gt;=BO$13,BM4&lt;&gt;"",BH4=""),AND(CF4&gt;=CL$13,CF4&lt;&gt;"",CE4=""),AND(CJ4&gt;=CL$13,CJ4&lt;&gt;"",CE4=""),AND(DF4&gt;=DL$13,DF4&lt;&gt;""),AND(DJ4&gt;=DL$13,DJ4&lt;&gt;""),AND(EB4&gt;=EH$13,EB4&lt;&gt;""),AND(EF4&gt;=EH$13,EF4&lt;&gt;""),AND(EX4&gt;=FD$13,EX4&lt;&gt;""),AND(FB4&gt;=FD$13,FB4&lt;&gt;""),AND(FT4&gt;=FZ$13,FT4&lt;&gt;""),AND(FX4&gt;=FZ$13,FX4&lt;&gt;""),AND(GP4&gt;=GV$13,GP4&lt;&gt;""),AND(GT4&gt;=GV$13,GT4&lt;&gt;""),AND(HL4&gt;=HR$13,HL4&lt;&gt;""),AND(HP4&gt;=HR$13,HP4&lt;&gt;""),AND(IH4&gt;=IN$13,IH4&lt;&gt;""),AND(IL4&gt;=IN$13,IL4&lt;&gt;""),AND(JD4&gt;=JJ$13,JD4&lt;&gt;""),AND(JH4&gt;=JJ$13,JH4&lt;&gt;""),AND(JZ4&gt;=KF$13,JZ4&lt;&gt;""),AND(KD4&gt;=KF$13,KD4&lt;&gt;""),AND(KV4&gt;=LB$13,KV4&lt;&gt;""),AND(KZ4&gt;=LB$13,KZ4&lt;&gt;""),AND(LR4&gt;=LX$13,LR4&lt;&gt;""),AND(LV4&gt;=LX$13,LV4&lt;&gt;""),AND(MN4&gt;=MT$13,MN4&lt;&gt;""),AND(MR4&gt;=MT$13,MR4&lt;&gt;"")),"National Team",""))))</f>
        <v>National Team</v>
      </c>
      <c r="H4" s="125" t="str">
        <f>IF(OR(AND(AN4&gt;=AR$20,AN4&lt;&gt;"",AK4=""),AND(AQ4&gt;=AR$20,AQ4&lt;&gt;"",AK4=""),AND(BK4&gt;=BO$20,BK4&lt;&gt;"",BH4=""),AND(BN4&gt;=BO$20,BN4&lt;&gt;"",BH4=""),AND(CH4&gt;=CL$20,CH4&lt;&gt;"",CE4=""),AND(CK4&gt;=CL$20,CE4&lt;&gt;"",CE4=""),AND(DH4&gt;=DL$20,DH4&lt;&gt;""),AND(DK4&gt;=DL$20,DK4&lt;&gt;""),AND(ED4&gt;=EH$20,ED4&lt;&gt;""),AND(EG4&gt;=EH$20,EG4&lt;&gt;""),AND(EZ4&gt;=FD$20,EZ4&lt;&gt;""),AND(FC4&gt;=FD$20,FC4&lt;&gt;""),AND(FV4&gt;=FZ$20,FV4&lt;&gt;""),AND(FY4&gt;=FZ$20,FY4&lt;&gt;""),AND(GR4&gt;=GV$20,GR4&lt;&gt;""),AND(GU4&gt;=GV$20,GU4&lt;&gt;""),AND(HN4&gt;=HR$20,HN4&lt;&gt;""),AND(HQ4&gt;=HR$20,HQ4&lt;&gt;""),AND(IJ4&gt;=IN$20,IJ4&lt;&gt;""),AND(IM4&gt;=IN$20,IM4&lt;&gt;""),AND(JF4&gt;=JJ$20,JF4&lt;&gt;""),AND(JI4&gt;=JJ$20,JI4&lt;&gt;""),AND(KB4&gt;=KF$20,KB4&lt;&gt;""),AND(KE4&gt;=KF$20,KE4&lt;&gt;""),AND(KX4&gt;=LB$20,KX4&lt;&gt;""),AND(LA4&gt;=LB$20,LA4&lt;&gt;""),AND(LT4&gt;=LX$20,LT4&lt;&gt;""),AND(LW4&gt;=LX$20,LW4&lt;&gt;""),AND(MP4&gt;=MT$20,MP4&lt;&gt;""),AND(MS4&gt;=MT$20,MS4&lt;&gt;"")),"Merit",IF(OR(AND(AN4&gt;=AR$19,AN4&lt;&gt;"",AK4=""),AND(AQ4&gt;=AR$19,AQ4&lt;&gt;"",AK4=""),AND(BK4&gt;=BO$19,BK4&lt;&gt;"",BH4=""),AND(BN4&gt;=BO$19,BN4&lt;&gt;"",BH4=""),AND(CH4&gt;=CL$19,CH4&lt;&gt;"",CE4=""),AND(CK4&gt;=CL$19,CE4&lt;&gt;"",CE4=""),AND(DH4&gt;=DL$19,DH4&lt;&gt;""),AND(DK4&gt;=DL$19,DK4&lt;&gt;""),AND(ED4&gt;=EH$19,ED4&lt;&gt;""),AND(EG4&gt;=EH$19,EG4&lt;&gt;""),AND(EZ4&gt;=FD$19,EZ4&lt;&gt;""),AND(FC4&gt;=FD$19,FC4&lt;&gt;""),AND(FV4&gt;=FZ$19,FV4&lt;&gt;""),AND(FY4&gt;=FZ$19,FY4&lt;&gt;""),AND(GR4&gt;=GV$19,GR4&lt;&gt;""),AND(GU4&gt;=GV$19,GU4&lt;&gt;""),AND(HN4&gt;=HR$19,HN4&lt;&gt;""),AND(HQ4&gt;=HR$19,HQ4&lt;&gt;""),AND(IJ4&gt;=IN$19,IJ4&lt;&gt;""),AND(IM4&gt;=IN$19,IM4&lt;&gt;""),AND(JF4&gt;=JJ$19,JF4&lt;&gt;""),AND(JI4&gt;=JJ$19,JI4&lt;&gt;""),AND(KB4&gt;=KF$19,KB4&lt;&gt;""),AND(KE4&gt;=KF$19,KE4&lt;&gt;""),AND(KX4&gt;=LB$19,KX4&lt;&gt;""),AND(LA4&gt;=LB$19,LA4&lt;&gt;""),AND(LT4&gt;=LX$19,LT4&lt;&gt;""),AND(LW4&gt;=LX$19,LW4&lt;&gt;""),AND(MP4&gt;=MT$19,MP4&lt;&gt;""),AND(MS4&gt;=MT$19,MS4&lt;&gt;"")),"Excellence",IF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"Worlds Team",IF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"National Team",""))))</f>
        <v/>
      </c>
      <c r="I4" s="126" t="str">
        <f t="shared" ref="I4:I10" si="2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OR(G4="Worlds Team",G4="Excellence",G4="Merit")),"P","")</f>
        <v/>
      </c>
      <c r="K4" s="14">
        <f t="shared" ref="K4:K10" si="3">MAX(AO4,BL4,CI4)</f>
        <v>76.45</v>
      </c>
      <c r="L4" s="14" t="str">
        <f t="shared" ref="L4:L10" si="4">IF(K4=0,"",IF(K4=CI4,$BP$1,IF(K4=BL4,$AS$1,IF(K4=AO4,$V$1,""))))</f>
        <v>2019 Nationals</v>
      </c>
      <c r="M4" s="14">
        <f t="shared" ref="M4:M10" si="5">IF($K4=$AO4,MAX(BJ4,CG4),IF($K4=$BL4,MAX(AM4,CG4),IF($K4=$CI4,MAX(AM4,BJ4),MAX(AM4,BJ4,CG4))))</f>
        <v>0</v>
      </c>
      <c r="N4" s="14" t="str">
        <f t="shared" ref="N4:N10" si="6">IF(M4=0,"",IF(AND(M4=CG4,$L4&lt;&gt;$BP$1),$BP$1,IF(AND(M4=BJ4,$L4&lt;&gt;$AS$1),$AS$1,IF(AND(M4=AM4,$L4&lt;&gt;$V$1),$V$1,""))))</f>
        <v/>
      </c>
      <c r="O4" s="14">
        <f t="shared" ref="O4:O10" si="7">IF($K4=$AO4,MAX(CH4,BK4),IF($K4=$BL4,MAX(AN4,CH4),IF($K4=$CI4,MAX(AN4,BK4),MAX(AN4,BK4,CH4))))</f>
        <v>0</v>
      </c>
      <c r="P4" s="14" t="str">
        <f t="shared" ref="P4:P10" si="8">IF(O4=0,"",IF(AND(O4=CH4,$L4&lt;&gt;$BP$1),$BP$1,IF(AND(O4=BK4,$L4&lt;&gt;$AS$1),$AS$1,IF(AND(O4=AN4,$L4&lt;&gt;$V$1),$V$1,""))))</f>
        <v/>
      </c>
      <c r="Q4" s="14">
        <f t="shared" ref="Q4:Q10" si="9">MAX(AQ4,BN4,CK4)</f>
        <v>50.349999999999994</v>
      </c>
      <c r="R4" s="14" t="str">
        <f t="shared" ref="R4:R10" si="10">IF(Q4=0,"",IF(Q4=CK4,$BP$1,IF(Q4=BN4,$AS$1,IF(Q4=AQ4,$V$1,""))))</f>
        <v>2019 Nationals</v>
      </c>
      <c r="S4" s="14">
        <f t="shared" ref="S4:S10" si="11">IF(MAX(CM4,CN4,CO4,CP4)&gt;0,MAX(CM4,CN4,CO4,CP4),"")</f>
        <v>41.540000000000006</v>
      </c>
      <c r="T4" s="25" t="str">
        <f t="shared" ref="T4:T10" si="12">IF(S4="","",IF(S4=CM4,"(Vol 1)",IF(S4=CN4,"(Vol 2)",IF(S4=CO4,"(Prelim)",IF(S4=CP4,"(Final)")))))</f>
        <v>(Vol 1)</v>
      </c>
      <c r="U4" s="14" t="str">
        <f t="shared" ref="U4:U10" si="13"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2020 World Cup AZE</v>
      </c>
      <c r="V4" s="39">
        <v>7.65</v>
      </c>
      <c r="W4" s="39">
        <v>7.35</v>
      </c>
      <c r="X4" s="39">
        <v>2.9</v>
      </c>
      <c r="Y4" s="39">
        <v>14.16</v>
      </c>
      <c r="Z4" s="39">
        <v>0</v>
      </c>
      <c r="AA4" s="39">
        <v>7.9</v>
      </c>
      <c r="AB4" s="39">
        <v>8.15</v>
      </c>
      <c r="AC4" s="39">
        <v>12.4</v>
      </c>
      <c r="AD4" s="39">
        <v>15.94</v>
      </c>
      <c r="AE4" s="39">
        <v>0</v>
      </c>
      <c r="AF4" s="39">
        <v>8.9499999999999993</v>
      </c>
      <c r="AG4" s="39">
        <v>9.4</v>
      </c>
      <c r="AH4" s="39">
        <v>14.2</v>
      </c>
      <c r="AI4" s="39">
        <v>17.8</v>
      </c>
      <c r="AJ4" s="39">
        <v>0</v>
      </c>
      <c r="AK4" s="80"/>
      <c r="AL4" s="11">
        <f t="shared" ref="AL4:AL10" si="14">IF(AC4&gt;0,AC4,"")</f>
        <v>12.4</v>
      </c>
      <c r="AM4" s="11">
        <f t="shared" ref="AM4:AM10" si="15">IF(SUM(V4:Y4)-Z4&gt;0,SUM(V4:Y4)-Z4,"")</f>
        <v>32.06</v>
      </c>
      <c r="AN4" s="11">
        <f t="shared" ref="AN4:AN10" si="16">IF(SUM(AA4:AD4)-AE4&gt;0,SUM(AA4:AD4)-AE4,"")</f>
        <v>44.39</v>
      </c>
      <c r="AO4" s="11">
        <f t="shared" ref="AO4:AO10" si="17">IF(SUM(AM4:AN4)&gt;0,SUM(AM4:AN4),"")</f>
        <v>76.45</v>
      </c>
      <c r="AP4" s="11">
        <f t="shared" ref="AP4:AP10" si="18">IF(AH4&gt;0,AH4,"")</f>
        <v>14.2</v>
      </c>
      <c r="AQ4" s="11">
        <f t="shared" ref="AQ4:AQ10" si="19">IF(SUM(AF4:AI4)-AJ4&gt;0,SUM(AF4:AI4)-AJ4,"")</f>
        <v>50.349999999999994</v>
      </c>
      <c r="AR4" s="11">
        <f t="shared" ref="AR4:AR10" si="20">IF(SUM(AO4,AQ4)&gt;0,SUM(AO4,AQ4),"")</f>
        <v>126.8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 t="shared" ref="BI4:BI10" si="21">IF(AZ4&gt;0,AZ4,"")</f>
        <v/>
      </c>
      <c r="BJ4" s="14" t="str">
        <f t="shared" ref="BJ4:BJ10" si="22">IF(SUM(AS4:AV4)-AW4&gt;0,SUM(AS4:AV4)-AW4,"")</f>
        <v/>
      </c>
      <c r="BK4" s="14" t="str">
        <f t="shared" ref="BK4:BK10" si="23">IF(SUM(AX4:BA4)-BB4&gt;0,SUM(AX4:BA4)-BB4,"")</f>
        <v/>
      </c>
      <c r="BL4" s="14" t="str">
        <f t="shared" ref="BL4:BL10" si="24">IF(SUM(BJ4:BK4)&gt;0,SUM(BJ4:BK4),"")</f>
        <v/>
      </c>
      <c r="BM4" s="14" t="str">
        <f t="shared" ref="BM4:BM10" si="25">IF(BE4&gt;0,BE4,"")</f>
        <v/>
      </c>
      <c r="BN4" s="14" t="str">
        <f t="shared" ref="BN4:BN10" si="26">IF(SUM(BC4:BF4)-BG4&gt;0,SUM(BC4:BF4)-BG4,"")</f>
        <v/>
      </c>
      <c r="BO4" s="14" t="str">
        <f t="shared" ref="BO4:BO10" si="27"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 t="shared" ref="CF4:CF10" si="28">IF(BW4&gt;0,BW4,"")</f>
        <v/>
      </c>
      <c r="CG4" s="11" t="str">
        <f t="shared" ref="CG4:CG10" si="29">IF(SUM(BP4:BS4)-BT4&gt;0,SUM(BP4:BS4)-BT4,"")</f>
        <v/>
      </c>
      <c r="CH4" s="11" t="str">
        <f t="shared" ref="CH4:CH10" si="30">IF(SUM(BU4:BX4)-BY4&gt;0,SUM(BU4:BX4)-BY4,"")</f>
        <v/>
      </c>
      <c r="CI4" s="11" t="str">
        <f t="shared" ref="CI4:CI10" si="31">IF(SUM(CG4:CH4)&gt;0,SUM(CG4:CH4),"")</f>
        <v/>
      </c>
      <c r="CJ4" s="11" t="str">
        <f t="shared" ref="CJ4:CJ10" si="32">IF(CB4&gt;0,CB4,"")</f>
        <v/>
      </c>
      <c r="CK4" s="11" t="str">
        <f t="shared" ref="CK4:CK10" si="33">IF(SUM(BZ4:CC4)-CD4&gt;0,SUM(BZ4:CC4)-CD4,"")</f>
        <v/>
      </c>
      <c r="CL4" s="11" t="str">
        <f t="shared" ref="CL4:CL10" si="34">IF(SUM(CI4,CK4)&gt;0,SUM(CI4,CK4),"")</f>
        <v/>
      </c>
      <c r="CM4" s="24">
        <f t="shared" ref="CM4:CM10" si="35">IF(MAX(DG4,EC4,EY4,FU4,GQ4,HM4,II4,JE4,KA4,KW4,LS4,MO4)-IF(M4="",0,M4)&gt;0.001,MAX(DG4,EC4,EY4,FU4,GQ4,HM4,II4,JE4,KA4,KW4,LS4,MO4)-IF(M4="",0,M4),"")</f>
        <v>41.540000000000006</v>
      </c>
      <c r="CN4" s="24">
        <f t="shared" ref="CN4:CN10" si="36">IF(MAX(DH4,ED4,EZ4,FV4,GR4,HN4,IJ4,JF4,KB4,KX4,LT4,MP4)-IF(O4="",0,O4)&gt;0.001,MAX(DH4,ED4,EZ4,FV4,GR4,HN4,IJ4,JF4,KB4,KX4,LT4,MP4)-IF(O4="",0,O4),"")</f>
        <v>24.97</v>
      </c>
      <c r="CO4" s="24" t="str">
        <f t="shared" ref="CO4:CO10" si="37">IF(MAX(DI4,EE4,FA4,FW4,GS4,HO4,IK4,JG4,KC4,KY4,LU4,MQ4)-IF(K4="",0,K4)&gt;0.001,MAX(DI4,EE4,FA4,FW4,GS4,HO4,IK4,JG4,KC4,KY4,LU4,MQ4)-IF(K4="",0,K4),"")</f>
        <v/>
      </c>
      <c r="CP4" s="24" t="str">
        <f t="shared" ref="CP4:CP10" si="38">IF(MAX(DK4,EG4,FC4,FY4,GU4,HQ4,IM4,JI4,KE4,LA4,LW4,MS4)-IF(Q4="",0,Q4)&gt;0.001,MAX(DK4,EG4,FC4,FY4,GU4,HQ4,IM4,JI4,KE4,LA4,LW4,MS4)-IF(Q4="",0,Q4),"")</f>
        <v/>
      </c>
      <c r="CQ4" s="37">
        <v>8.9</v>
      </c>
      <c r="CR4" s="37">
        <v>9.3000000000000007</v>
      </c>
      <c r="CS4" s="37">
        <v>4.8</v>
      </c>
      <c r="CT4" s="37">
        <v>18.54</v>
      </c>
      <c r="CU4" s="37">
        <v>0</v>
      </c>
      <c r="CV4" s="37">
        <v>3.95</v>
      </c>
      <c r="CW4" s="37">
        <v>4.5</v>
      </c>
      <c r="CX4" s="37">
        <v>8.1999999999999993</v>
      </c>
      <c r="CY4" s="37">
        <v>8.32</v>
      </c>
      <c r="CZ4" s="37">
        <v>0</v>
      </c>
      <c r="DA4" s="37">
        <v>5.95</v>
      </c>
      <c r="DB4" s="37">
        <v>6.7</v>
      </c>
      <c r="DC4" s="37">
        <v>10.3</v>
      </c>
      <c r="DD4" s="37">
        <v>13.16</v>
      </c>
      <c r="DE4" s="37">
        <v>0</v>
      </c>
      <c r="DF4" s="11">
        <f t="shared" ref="DF4:DF10" si="39">IF(CX4&gt;0,CX4,"")</f>
        <v>8.1999999999999993</v>
      </c>
      <c r="DG4" s="11">
        <f t="shared" ref="DG4:DG10" si="40">IF(SUM(CQ4:CT4)-CU4&gt;0,SUM(CQ4:CT4)-CU4,"")</f>
        <v>41.540000000000006</v>
      </c>
      <c r="DH4" s="11">
        <f t="shared" ref="DH4:DH10" si="41">IF(SUM(CV4:CY4)-CZ4&gt;0,SUM(CV4:CY4)-CZ4,"")</f>
        <v>24.97</v>
      </c>
      <c r="DI4" s="11">
        <f t="shared" ref="DI4:DI10" si="42">IF(SUM(DG4:DH4)&gt;0,SUM(DG4:DH4),"")</f>
        <v>66.510000000000005</v>
      </c>
      <c r="DJ4" s="11">
        <f t="shared" ref="DJ4:DJ10" si="43">IF(DC4&gt;0,DC4,"")</f>
        <v>10.3</v>
      </c>
      <c r="DK4" s="11">
        <f t="shared" ref="DK4:DK10" si="44">IF(SUM(DA4:DD4)-DE4&gt;0,SUM(DA4:DD4)-DE4,"")</f>
        <v>36.11</v>
      </c>
      <c r="DL4" s="11">
        <f t="shared" ref="DL4:DL10" si="45">IF(SUM(DI4,DK4)&gt;0,SUM(DI4,DK4),"")</f>
        <v>102.62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 t="shared" ref="EB4:EB10" si="46">IF(DT4&gt;0,DT4,"")</f>
        <v/>
      </c>
      <c r="EC4" s="14" t="str">
        <f t="shared" ref="EC4:EC10" si="47">IF(SUM(DM4:DP4)-DQ4&gt;0,SUM(DM4:DP4)-DQ4,"")</f>
        <v/>
      </c>
      <c r="ED4" s="14" t="str">
        <f t="shared" ref="ED4:ED10" si="48">IF(SUM(DR4:DU4)-DV4&gt;0,SUM(DR4:DU4)-DV4,"")</f>
        <v/>
      </c>
      <c r="EE4" s="14" t="str">
        <f t="shared" ref="EE4:EE10" si="49">IF(SUM(EC4:ED4)&gt;0,SUM(EC4:ED4),"")</f>
        <v/>
      </c>
      <c r="EF4" s="14" t="str">
        <f t="shared" ref="EF4:EF10" si="50">IF(DY4&gt;0,DY4,"")</f>
        <v/>
      </c>
      <c r="EG4" s="14" t="str">
        <f t="shared" ref="EG4:EG10" si="51">IF(SUM(DW4:DZ4)-EA4&gt;0,SUM(DW4:DZ4)-EA4,"")</f>
        <v/>
      </c>
      <c r="EH4" s="14" t="str">
        <f t="shared" ref="EH4:EH10" si="52"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 t="shared" ref="EX4:EX10" si="53">IF(EP4&gt;0,EP4,"")</f>
        <v/>
      </c>
      <c r="EY4" s="11" t="str">
        <f t="shared" ref="EY4:EY10" si="54">IF(SUM(EI4:EL4)-EM4&gt;0,SUM(EI4:EL4)-EM4,"")</f>
        <v/>
      </c>
      <c r="EZ4" s="11" t="str">
        <f t="shared" ref="EZ4:EZ10" si="55">IF(SUM(EN4:EQ4)-ER4&gt;0,SUM(EN4:EQ4)-ER4,"")</f>
        <v/>
      </c>
      <c r="FA4" s="11" t="str">
        <f t="shared" ref="FA4:FA10" si="56">IF(SUM(EY4:EZ4)&gt;0,SUM(EY4:EZ4),"")</f>
        <v/>
      </c>
      <c r="FB4" s="11" t="str">
        <f t="shared" ref="FB4:FB10" si="57">IF(EU4&gt;0,EU4,"")</f>
        <v/>
      </c>
      <c r="FC4" s="11" t="str">
        <f t="shared" ref="FC4:FC10" si="58">IF(SUM(ES4:EV4)-EW4&gt;0,SUM(ES4:EV4)-EW4,"")</f>
        <v/>
      </c>
      <c r="FD4" s="11" t="str">
        <f t="shared" ref="FD4:FD10" si="59"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 t="shared" ref="FT4:FT10" si="60">IF(FL4&gt;0,FL4,"")</f>
        <v/>
      </c>
      <c r="FU4" s="14" t="str">
        <f t="shared" ref="FU4:FU10" si="61">IF(SUM(FE4:FH4)-FI4&gt;0,SUM(FE4:FH4)-FI4,"")</f>
        <v/>
      </c>
      <c r="FV4" s="14" t="str">
        <f t="shared" ref="FV4:FV10" si="62">IF(SUM(FJ4:FM4)-FN4&gt;0,SUM(FJ4:FM4)-FN4,"")</f>
        <v/>
      </c>
      <c r="FW4" s="14" t="str">
        <f t="shared" ref="FW4:FW10" si="63">IF(SUM(FU4:FV4)&gt;0,SUM(FU4:FV4),"")</f>
        <v/>
      </c>
      <c r="FX4" s="14" t="str">
        <f t="shared" ref="FX4:FX10" si="64">IF(FQ4&gt;0,FQ4,"")</f>
        <v/>
      </c>
      <c r="FY4" s="14" t="str">
        <f t="shared" ref="FY4:FY10" si="65">IF(SUM(FO4:FR4)-FS4&gt;0,SUM(FO4:FR4)-FS4,"")</f>
        <v/>
      </c>
      <c r="FZ4" s="14" t="str">
        <f t="shared" ref="FZ4:FZ10" si="66"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 t="shared" ref="GP4:GP10" si="67">IF(GH4&gt;0,GH4,"")</f>
        <v/>
      </c>
      <c r="GQ4" s="11" t="str">
        <f t="shared" ref="GQ4:GQ10" si="68">IF(SUM(GA4:GD4)-GE4&gt;0,SUM(GA4:GD4)-GE4,"")</f>
        <v/>
      </c>
      <c r="GR4" s="11" t="str">
        <f t="shared" ref="GR4:GR10" si="69">IF(SUM(GF4:GI4)-GJ4&gt;0,SUM(GF4:GI4)-GJ4,"")</f>
        <v/>
      </c>
      <c r="GS4" s="11" t="str">
        <f t="shared" ref="GS4:GS10" si="70">IF(SUM(GQ4:GR4)&gt;0,SUM(GQ4:GR4),"")</f>
        <v/>
      </c>
      <c r="GT4" s="11" t="str">
        <f t="shared" ref="GT4:GT10" si="71">IF(GM4&gt;0,GM4,"")</f>
        <v/>
      </c>
      <c r="GU4" s="11" t="str">
        <f t="shared" ref="GU4:GU10" si="72">IF(SUM(GK4:GN4)-GO4&gt;0,SUM(GK4:GN4)-GO4,"")</f>
        <v/>
      </c>
      <c r="GV4" s="11" t="str">
        <f t="shared" ref="GV4:GV10" si="73"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 t="shared" ref="HL4:HL10" si="74">IF(HD4&gt;0,HD4,"")</f>
        <v/>
      </c>
      <c r="HM4" s="14" t="str">
        <f t="shared" ref="HM4:HM10" si="75">IF(SUM(GW4:GZ4)-HA4&gt;0,SUM(GW4:GZ4)-HA4,"")</f>
        <v/>
      </c>
      <c r="HN4" s="14" t="str">
        <f t="shared" ref="HN4:HN10" si="76">IF(SUM(HB4:HE4)-HF4&gt;0,SUM(HB4:HE4)-HF4,"")</f>
        <v/>
      </c>
      <c r="HO4" s="14" t="str">
        <f t="shared" ref="HO4:HO10" si="77">IF(SUM(HM4:HN4)&gt;0,SUM(HM4:HN4),"")</f>
        <v/>
      </c>
      <c r="HP4" s="14" t="str">
        <f t="shared" ref="HP4:HP10" si="78">IF(HI4&gt;0,HI4,"")</f>
        <v/>
      </c>
      <c r="HQ4" s="14" t="str">
        <f t="shared" ref="HQ4:HQ10" si="79">IF(SUM(HG4:HJ4)-HK4&gt;0,SUM(HG4:HJ4)-HK4,"")</f>
        <v/>
      </c>
      <c r="HR4" s="14" t="str">
        <f t="shared" ref="HR4:HR10" si="80"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 t="shared" ref="IH4:IH10" si="81">IF(HZ4&gt;0,HZ4,"")</f>
        <v/>
      </c>
      <c r="II4" s="11" t="str">
        <f t="shared" ref="II4:II10" si="82">IF(SUM(HS4:HV4)-HW4&gt;0,SUM(HS4:HV4)-HW4,"")</f>
        <v/>
      </c>
      <c r="IJ4" s="11" t="str">
        <f t="shared" ref="IJ4:IJ10" si="83">IF(SUM(HX4:IA4)-IB4&gt;0,SUM(HX4:IA4)-IB4,"")</f>
        <v/>
      </c>
      <c r="IK4" s="11" t="str">
        <f t="shared" ref="IK4:IK10" si="84">IF(SUM(II4:IJ4)&gt;0,SUM(II4:IJ4),"")</f>
        <v/>
      </c>
      <c r="IL4" s="11" t="str">
        <f t="shared" ref="IL4:IL10" si="85">IF(IE4&gt;0,IE4,"")</f>
        <v/>
      </c>
      <c r="IM4" s="11" t="str">
        <f t="shared" ref="IM4:IM10" si="86">IF(SUM(IC4:IF4)-IG4&gt;0,SUM(IC4:IF4)-IG4,"")</f>
        <v/>
      </c>
      <c r="IN4" s="11" t="str">
        <f t="shared" ref="IN4:IN10" si="87"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 t="shared" ref="JD4:JD10" si="88">IF(IV4&gt;0,IV4,"")</f>
        <v/>
      </c>
      <c r="JE4" s="14" t="str">
        <f t="shared" ref="JE4:JE10" si="89">IF(SUM(IO4:IR4)-IS4&gt;0,SUM(IO4:IR4)-IS4,"")</f>
        <v/>
      </c>
      <c r="JF4" s="14" t="str">
        <f t="shared" ref="JF4:JF10" si="90">IF(SUM(IT4:IW4)-IX4&gt;0,SUM(IT4:IW4)-IX4,"")</f>
        <v/>
      </c>
      <c r="JG4" s="14" t="str">
        <f t="shared" ref="JG4:JG10" si="91">IF(SUM(JE4:JF4)&gt;0,SUM(JE4:JF4),"")</f>
        <v/>
      </c>
      <c r="JH4" s="14" t="str">
        <f t="shared" ref="JH4:JH10" si="92">IF(JA4&gt;0,JA4,"")</f>
        <v/>
      </c>
      <c r="JI4" s="14" t="str">
        <f t="shared" ref="JI4:JI10" si="93">IF(SUM(IY4:JB4)-JC4&gt;0,SUM(IY4:JB4)-JC4,"")</f>
        <v/>
      </c>
      <c r="JJ4" s="14" t="str">
        <f t="shared" ref="JJ4:JJ10" si="94"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 t="shared" ref="JZ4:JZ10" si="95">IF(JR4&gt;0,JR4,"")</f>
        <v/>
      </c>
      <c r="KA4" s="11" t="str">
        <f t="shared" ref="KA4:KA10" si="96">IF(SUM(JK4:JN4)-JO4&gt;0,SUM(JK4:JN4)-JO4,"")</f>
        <v/>
      </c>
      <c r="KB4" s="11" t="str">
        <f t="shared" ref="KB4:KB10" si="97">IF(SUM(JP4:JS4)-JT4&gt;0,SUM(JP4:JS4)-JT4,"")</f>
        <v/>
      </c>
      <c r="KC4" s="11" t="str">
        <f t="shared" ref="KC4:KC10" si="98">IF(SUM(KA4:KB4)&gt;0,SUM(KA4:KB4),"")</f>
        <v/>
      </c>
      <c r="KD4" s="11" t="str">
        <f t="shared" ref="KD4:KD10" si="99">IF(JW4&gt;0,JW4,"")</f>
        <v/>
      </c>
      <c r="KE4" s="11" t="str">
        <f t="shared" ref="KE4:KE10" si="100">IF(SUM(JU4:JX4)-JY4&gt;0,SUM(JU4:JX4)-JY4,"")</f>
        <v/>
      </c>
      <c r="KF4" s="11" t="str">
        <f t="shared" ref="KF4:KF10" si="101"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 t="shared" ref="KV4:KV10" si="102">IF(KN4&gt;0,KN4,"")</f>
        <v/>
      </c>
      <c r="KW4" s="14" t="str">
        <f t="shared" ref="KW4:KW10" si="103">IF(SUM(KG4:KJ4)-KK4&gt;0,SUM(KG4:KJ4)-KK4,"")</f>
        <v/>
      </c>
      <c r="KX4" s="14" t="str">
        <f t="shared" ref="KX4:KX10" si="104">IF(SUM(KL4:KO4)-KP4&gt;0,SUM(KL4:KO4)-KP4,"")</f>
        <v/>
      </c>
      <c r="KY4" s="14" t="str">
        <f t="shared" ref="KY4:KY10" si="105">IF(SUM(KW4:KX4)&gt;0,SUM(KW4:KX4),"")</f>
        <v/>
      </c>
      <c r="KZ4" s="14" t="str">
        <f t="shared" ref="KZ4:KZ10" si="106">IF(KS4&gt;0,KS4,"")</f>
        <v/>
      </c>
      <c r="LA4" s="14" t="str">
        <f t="shared" ref="LA4:LA10" si="107">IF(SUM(KQ4:KT4)-KU4&gt;0,SUM(KQ4:KT4)-KU4,"")</f>
        <v/>
      </c>
      <c r="LB4" s="14" t="str">
        <f t="shared" ref="LB4:LB10" si="108"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 t="shared" ref="LR4:LR10" si="109">IF(LJ4&gt;0,LJ4,"")</f>
        <v/>
      </c>
      <c r="LS4" s="11" t="str">
        <f t="shared" ref="LS4:LS10" si="110">IF(SUM(LC4:LF4)-LG4&gt;0,SUM(LC4:LF4)-LG4,"")</f>
        <v/>
      </c>
      <c r="LT4" s="11" t="str">
        <f t="shared" ref="LT4:LT10" si="111">IF(SUM(LH4:LK4)-LL4&gt;0,SUM(LH4:LK4)-LL4,"")</f>
        <v/>
      </c>
      <c r="LU4" s="11" t="str">
        <f t="shared" ref="LU4:LU10" si="112">IF(SUM(LS4:LT4)&gt;0,SUM(LS4:LT4),"")</f>
        <v/>
      </c>
      <c r="LV4" s="11" t="str">
        <f t="shared" ref="LV4:LV10" si="113">IF(LO4&gt;0,LO4,"")</f>
        <v/>
      </c>
      <c r="LW4" s="11" t="str">
        <f t="shared" ref="LW4:LW10" si="114">IF(SUM(LM4:LP4)-LQ4&gt;0,SUM(LM4:LP4)-LQ4,"")</f>
        <v/>
      </c>
      <c r="LX4" s="11" t="str">
        <f t="shared" ref="LX4:LX10" si="115"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 t="shared" ref="MN4:MN10" si="116">IF(MF4&gt;0,MF4,"")</f>
        <v/>
      </c>
      <c r="MO4" s="14" t="str">
        <f t="shared" ref="MO4:MO10" si="117">IF(SUM(LY4:MB4)-MC4&gt;0,SUM(LY4:MB4)-MC4,"")</f>
        <v/>
      </c>
      <c r="MP4" s="14" t="str">
        <f t="shared" ref="MP4:MP10" si="118">IF(SUM(MD4:MG4)-MH4&gt;0,SUM(MD4:MG4)-MH4,"")</f>
        <v/>
      </c>
      <c r="MQ4" s="14" t="str">
        <f t="shared" ref="MQ4:MQ10" si="119">IF(SUM(MO4:MP4)&gt;0,SUM(MO4:MP4),"")</f>
        <v/>
      </c>
      <c r="MR4" s="14" t="str">
        <f t="shared" ref="MR4:MR10" si="120">IF(MK4&gt;0,MK4,"")</f>
        <v/>
      </c>
      <c r="MS4" s="14" t="str">
        <f t="shared" ref="MS4:MS10" si="121">IF(SUM(MI4:ML4)-MM4&gt;0,SUM(MI4:ML4)-MM4,"")</f>
        <v/>
      </c>
      <c r="MT4" s="14" t="str">
        <f t="shared" ref="MT4:MT10" si="122">IF(SUM(MQ4,MS4)&gt;0,SUM(MQ4,MS4),"")</f>
        <v/>
      </c>
      <c r="MU4" s="69">
        <f t="shared" ref="MU4:NI10" si="123">IF($CE4="P",BP4,(BP4+AS4)/2)</f>
        <v>0</v>
      </c>
      <c r="MV4" s="69">
        <f t="shared" si="123"/>
        <v>0</v>
      </c>
      <c r="MW4" s="69">
        <f t="shared" si="123"/>
        <v>0</v>
      </c>
      <c r="MX4" s="69">
        <f t="shared" si="123"/>
        <v>0</v>
      </c>
      <c r="MY4" s="69">
        <f t="shared" si="123"/>
        <v>0</v>
      </c>
      <c r="MZ4" s="69">
        <f t="shared" si="123"/>
        <v>0</v>
      </c>
      <c r="NA4" s="69">
        <f t="shared" si="123"/>
        <v>0</v>
      </c>
      <c r="NB4" s="69">
        <f t="shared" si="123"/>
        <v>0</v>
      </c>
      <c r="NC4" s="69">
        <f t="shared" si="123"/>
        <v>0</v>
      </c>
      <c r="ND4" s="69">
        <f t="shared" si="123"/>
        <v>0</v>
      </c>
      <c r="NE4" s="69">
        <f t="shared" si="123"/>
        <v>0</v>
      </c>
      <c r="NF4" s="69">
        <f t="shared" si="123"/>
        <v>0</v>
      </c>
      <c r="NG4" s="69">
        <f t="shared" si="123"/>
        <v>0</v>
      </c>
      <c r="NH4" s="69">
        <f t="shared" si="123"/>
        <v>0</v>
      </c>
      <c r="NI4" s="69">
        <f t="shared" si="123"/>
        <v>0</v>
      </c>
      <c r="NJ4" s="80" t="s">
        <v>88</v>
      </c>
      <c r="NK4" s="11" t="str">
        <f t="shared" ref="NK4:NK10" si="124">IF(NB4&gt;0,NB4,"")</f>
        <v/>
      </c>
      <c r="NL4" s="11" t="str">
        <f t="shared" ref="NL4:NL10" si="125">IF(SUM(MU4:MX4)-MY4&gt;0,SUM(MU4:MX4)-MY4,"")</f>
        <v/>
      </c>
      <c r="NM4" s="11" t="str">
        <f t="shared" ref="NM4:NM10" si="126">IF(SUM(MZ4:NC4)-ND4&gt;0,SUM(MZ4:NC4)-ND4,"")</f>
        <v/>
      </c>
      <c r="NN4" s="11" t="str">
        <f t="shared" ref="NN4:NN10" si="127">IF(SUM(NL4:NM4)&gt;0,SUM(NL4:NM4),"")</f>
        <v/>
      </c>
      <c r="NO4" s="11" t="str">
        <f t="shared" ref="NO4:NO10" si="128">IF(NG4&gt;0,NG4,"")</f>
        <v/>
      </c>
      <c r="NP4" s="11" t="str">
        <f t="shared" ref="NP4:NP10" si="129">IF(SUM(NE4:NH4)-NI4&gt;0,SUM(NE4:NH4)-NI4,"")</f>
        <v/>
      </c>
      <c r="NQ4" s="11" t="str">
        <f t="shared" ref="NQ4:NQ10" si="130">IF(SUM(NN4,NP4)&gt;0,SUM(NN4,NP4),"")</f>
        <v/>
      </c>
    </row>
    <row r="5" spans="1:381" x14ac:dyDescent="0.2">
      <c r="A5" s="5" t="str" cm="1">
        <f t="array" ref="A5">IF(AND(G5&lt;&gt;"",H5&lt;&gt;""),SUMPRODUCT((G$4:G$11&lt;&gt;"")*(H$4:H$11&lt;&gt;"")*(E$4:E$11&gt;E5))+1,IF(H5&lt;&gt;"",SUMPRODUCT((I$4:I$11="No DD")*(E$4:E$11&gt;E5))+1+SUMPRODUCT((G$4:G$11&lt;&gt;"")*(H$4:H$11&lt;&gt;"")),""))</f>
        <v/>
      </c>
      <c r="B5" s="8" t="s">
        <v>129</v>
      </c>
      <c r="C5" s="4" t="s">
        <v>6</v>
      </c>
      <c r="D5" s="27" t="s">
        <v>130</v>
      </c>
      <c r="E5" s="15">
        <f t="shared" si="0"/>
        <v>120.57</v>
      </c>
      <c r="F5" s="3" t="str">
        <f t="shared" si="1"/>
        <v/>
      </c>
      <c r="G5" s="125" t="str">
        <f>IF(OR(AND(AL5&gt;=AR$16,AL5&lt;&gt;"",AK5=""),AND(AP5&gt;=AR$16,AP5&lt;&gt;"",AK5=""),AND(BI5&gt;=BO$16,BI5&lt;&gt;"",BH5=""),AND(BM5&gt;=BO$16,BM5&lt;&gt;"",BH5=""),AND(CF5&gt;=CL$16,CF5&lt;&gt;"",CE5=""),AND(CJ5&gt;=CL$16,CJ5&lt;&gt;"",CE5=""),AND(DF5&gt;=DL$16,DF5&lt;&gt;""),AND(DJ5&gt;=DL$16,DJ5&lt;&gt;""),AND(EB5&gt;=EH$16,EB5&lt;&gt;""),AND(EF5&gt;=EH$16,EF5&lt;&gt;""),AND(EX5&gt;=FD$16,EX5&lt;&gt;""),AND(FB5&gt;=FD$16,FB5&lt;&gt;""),AND(FT5&gt;=FZ$16,FT5&lt;&gt;""),AND(FX5&gt;=FZ$16,FX5&lt;&gt;""),AND(GP5&gt;=GV$16,GP5&lt;&gt;""),AND(GT5&gt;=GV$16,GT5&lt;&gt;""),AND(HL5&gt;=HR$16,HL5&lt;&gt;""),AND(HP5&gt;=HR$16,HP5&lt;&gt;""),AND(IH5&gt;=IN$16,IH5&lt;&gt;""),AND(IL5&gt;=IN$16,IL5&lt;&gt;""),AND(JD5&gt;=JJ$16,JD5&lt;&gt;""),AND(JH5&gt;=JJ$16,JH5&lt;&gt;""),AND(JZ5&gt;=KF$16,JZ5&lt;&gt;""),AND(KD5&gt;=KF$16,KD5&lt;&gt;""),AND(KV5&gt;=LB$16,KV5&lt;&gt;""),AND(KZ5&gt;=LB$16,KZ5&lt;&gt;""),AND(LR5&gt;=LX$16,LR5&lt;&gt;""),AND(LV5&gt;=LX$16,LV5&lt;&gt;""),AND(MN5&gt;=MT$16,MN5&lt;&gt;""),AND(MR5&gt;=MT$16,MR5&lt;&gt;"")),"Merit",IF(OR(AND(AL5&gt;=AR$15,AL5&lt;&gt;"",AK5=""),AND(AP5&gt;=AR$15,AP5&lt;&gt;"",AK5=""),AND(BI5&gt;=BO$15,BI5&lt;&gt;"",BH5=""),AND(BM5&gt;=BO$15,BM5&lt;&gt;"",BH5=""),AND(CF5&gt;=CL$15,CF5&lt;&gt;"",CE5=""),AND(CJ5&gt;=CL$15,CJ5&lt;&gt;"",CE5=""),AND(DF5&gt;=DL$15,DF5&lt;&gt;""),AND(DJ5&gt;=DL$15,DJ5&lt;&gt;""),AND(EB5&gt;=EH$15,EB5&lt;&gt;""),AND(EF5&gt;=EH$15,EF5&lt;&gt;""),AND(EX5&gt;=FD$15,EX5&lt;&gt;""),AND(FB5&gt;=FD$15,FB5&lt;&gt;""),AND(FT5&gt;=FZ$15,FT5&lt;&gt;""),AND(FX5&gt;=FZ$15,FX5&lt;&gt;""),AND(GP5&gt;=GV$15,GP5&lt;&gt;""),AND(GT5&gt;=GV$15,GT5&lt;&gt;""),AND(HL5&gt;=HR$15,HL5&lt;&gt;""),AND(HP5&gt;=HR$15,HP5&lt;&gt;""),AND(IH5&gt;=IN$15,IH5&lt;&gt;""),AND(IL5&gt;=IN$15,IL5&lt;&gt;""),AND(JD5&gt;=JJ$15,JD5&lt;&gt;""),AND(JH5&gt;=JJ$15,JH5&lt;&gt;""),AND(JZ5&gt;=KF$15,JZ5&lt;&gt;""),AND(KD5&gt;=KF$15,KD5&lt;&gt;""),AND(KV5&gt;=LB$15,KV5&lt;&gt;""),AND(KZ5&gt;=LB$15,KZ5&lt;&gt;""),AND(LR5&gt;=LX$15,LR5&lt;&gt;""),AND(LV5&gt;=LX$15,LV5&lt;&gt;""),AND(MN5&gt;=MT$15,MN5&lt;&gt;""),AND(MR5&gt;=MT$15,MR5&lt;&gt;"")),"Excellence",IF(OR(AND(AL5&gt;=AR$14,AL5&lt;&gt;"",AK5=""),AND(AP5&gt;=AR$14,AP5&lt;&gt;"",AK5=""),AND(BI5&gt;=BO$14,BI5&lt;&gt;"",BH5=""),AND(BM5&gt;=BO$14,BM5&lt;&gt;"",BH5=""),AND(CF5&gt;=CL$14,CF5&lt;&gt;"",CE5=""),AND(CJ5&gt;=CL$14,CJ5&lt;&gt;"",CE5=""),AND(DF5&gt;=DL$14,DF5&lt;&gt;""),AND(DJ5&gt;=DL$14,DJ5&lt;&gt;""),AND(EB5&gt;=EH$14,EB5&lt;&gt;""),AND(EF5&gt;=EH$14,EF5&lt;&gt;""),AND(EX5&gt;=FD$14,EX5&lt;&gt;""),AND(FB5&gt;=FD$14,FB5&lt;&gt;""),AND(FT5&gt;=FZ$14,FT5&lt;&gt;""),AND(FX5&gt;=FZ$14,FX5&lt;&gt;""),AND(GP5&gt;=GV$14,GP5&lt;&gt;""),AND(GT5&gt;=GV$14,GT5&lt;&gt;""),AND(HL5&gt;=HR$14,HL5&lt;&gt;""),AND(HP5&gt;=HR$14,HP5&lt;&gt;""),AND(IH5&gt;=IN$14,IH5&lt;&gt;""),AND(IL5&gt;=IN$14,IL5&lt;&gt;""),AND(JD5&gt;=JJ$14,JD5&lt;&gt;""),AND(JH5&gt;=JJ$14,JH5&lt;&gt;""),AND(JZ5&gt;=KF$14,JZ5&lt;&gt;""),AND(KD5&gt;=KF$14,KD5&lt;&gt;""),AND(KV5&gt;=LB$14,KV5&lt;&gt;""),AND(KZ5&gt;=LB$14,KZ5&lt;&gt;""),AND(LR5&gt;=LX$14,LR5&lt;&gt;""),AND(LV5&gt;=LX$14,LV5&lt;&gt;""),AND(MN5&gt;=MT$14,MN5&lt;&gt;""),AND(MR5&gt;=MT$14,MR5&lt;&gt;"")),"Worlds Team",IF(OR(AND(AL5&gt;=AR$13,AL5&lt;&gt;"",AK5=""),AND(AP5&gt;=AR$13,AP5&lt;&gt;"",AK5=""),AND(BI5&gt;=BO$13,BI5&lt;&gt;"",BH5=""),AND(BM5&gt;=BO$13,BM5&lt;&gt;"",BH5=""),AND(CF5&gt;=CL$13,CF5&lt;&gt;"",CE5=""),AND(CJ5&gt;=CL$13,CJ5&lt;&gt;"",CE5=""),AND(DF5&gt;=DL$13,DF5&lt;&gt;""),AND(DJ5&gt;=DL$13,DJ5&lt;&gt;""),AND(EB5&gt;=EH$13,EB5&lt;&gt;""),AND(EF5&gt;=EH$13,EF5&lt;&gt;""),AND(EX5&gt;=FD$13,EX5&lt;&gt;""),AND(FB5&gt;=FD$13,FB5&lt;&gt;""),AND(FT5&gt;=FZ$13,FT5&lt;&gt;""),AND(FX5&gt;=FZ$13,FX5&lt;&gt;""),AND(GP5&gt;=GV$13,GP5&lt;&gt;""),AND(GT5&gt;=GV$13,GT5&lt;&gt;""),AND(HL5&gt;=HR$13,HL5&lt;&gt;""),AND(HP5&gt;=HR$13,HP5&lt;&gt;""),AND(IH5&gt;=IN$13,IH5&lt;&gt;""),AND(IL5&gt;=IN$13,IL5&lt;&gt;""),AND(JD5&gt;=JJ$13,JD5&lt;&gt;""),AND(JH5&gt;=JJ$13,JH5&lt;&gt;""),AND(JZ5&gt;=KF$13,JZ5&lt;&gt;""),AND(KD5&gt;=KF$13,KD5&lt;&gt;""),AND(KV5&gt;=LB$13,KV5&lt;&gt;""),AND(KZ5&gt;=LB$13,KZ5&lt;&gt;""),AND(LR5&gt;=LX$13,LR5&lt;&gt;""),AND(LV5&gt;=LX$13,LV5&lt;&gt;""),AND(MN5&gt;=MT$13,MN5&lt;&gt;""),AND(MR5&gt;=MT$13,MR5&lt;&gt;"")),"National Team",""))))</f>
        <v/>
      </c>
      <c r="H5" s="125" t="str">
        <f>IF(OR(AND(AN5&gt;=AR$20,AN5&lt;&gt;"",AK5=""),AND(AQ5&gt;=AR$20,AQ5&lt;&gt;"",AK5=""),AND(BK5&gt;=BO$20,BK5&lt;&gt;"",BH5=""),AND(BN5&gt;=BO$20,BN5&lt;&gt;"",BH5=""),AND(CH5&gt;=CL$20,CH5&lt;&gt;"",CE5=""),AND(CK5&gt;=CL$20,CE5&lt;&gt;"",CE5=""),AND(DH5&gt;=DL$20,DH5&lt;&gt;""),AND(DK5&gt;=DL$20,DK5&lt;&gt;""),AND(ED5&gt;=EH$20,ED5&lt;&gt;""),AND(EG5&gt;=EH$20,EG5&lt;&gt;""),AND(EZ5&gt;=FD$20,EZ5&lt;&gt;""),AND(FC5&gt;=FD$20,FC5&lt;&gt;""),AND(FV5&gt;=FZ$20,FV5&lt;&gt;""),AND(FY5&gt;=FZ$20,FY5&lt;&gt;""),AND(GR5&gt;=GV$20,GR5&lt;&gt;""),AND(GU5&gt;=GV$20,GU5&lt;&gt;""),AND(HN5&gt;=HR$20,HN5&lt;&gt;""),AND(HQ5&gt;=HR$20,HQ5&lt;&gt;""),AND(IJ5&gt;=IN$20,IJ5&lt;&gt;""),AND(IM5&gt;=IN$20,IM5&lt;&gt;""),AND(JF5&gt;=JJ$20,JF5&lt;&gt;""),AND(JI5&gt;=JJ$20,JI5&lt;&gt;""),AND(KB5&gt;=KF$20,KB5&lt;&gt;""),AND(KE5&gt;=KF$20,KE5&lt;&gt;""),AND(KX5&gt;=LB$20,KX5&lt;&gt;""),AND(LA5&gt;=LB$20,LA5&lt;&gt;""),AND(LT5&gt;=LX$20,LT5&lt;&gt;""),AND(LW5&gt;=LX$20,LW5&lt;&gt;""),AND(MP5&gt;=MT$20,MP5&lt;&gt;""),AND(MS5&gt;=MT$20,MS5&lt;&gt;"")),"Merit",IF(OR(AND(AN5&gt;=AR$19,AN5&lt;&gt;"",AK5=""),AND(AQ5&gt;=AR$19,AQ5&lt;&gt;"",AK5=""),AND(BK5&gt;=BO$19,BK5&lt;&gt;"",BH5=""),AND(BN5&gt;=BO$19,BN5&lt;&gt;"",BH5=""),AND(CH5&gt;=CL$19,CH5&lt;&gt;"",CE5=""),AND(CK5&gt;=CL$19,CE5&lt;&gt;"",CE5=""),AND(DH5&gt;=DL$19,DH5&lt;&gt;""),AND(DK5&gt;=DL$19,DK5&lt;&gt;""),AND(ED5&gt;=EH$19,ED5&lt;&gt;""),AND(EG5&gt;=EH$19,EG5&lt;&gt;""),AND(EZ5&gt;=FD$19,EZ5&lt;&gt;""),AND(FC5&gt;=FD$19,FC5&lt;&gt;""),AND(FV5&gt;=FZ$19,FV5&lt;&gt;""),AND(FY5&gt;=FZ$19,FY5&lt;&gt;""),AND(GR5&gt;=GV$19,GR5&lt;&gt;""),AND(GU5&gt;=GV$19,GU5&lt;&gt;""),AND(HN5&gt;=HR$19,HN5&lt;&gt;""),AND(HQ5&gt;=HR$19,HQ5&lt;&gt;""),AND(IJ5&gt;=IN$19,IJ5&lt;&gt;""),AND(IM5&gt;=IN$19,IM5&lt;&gt;""),AND(JF5&gt;=JJ$19,JF5&lt;&gt;""),AND(JI5&gt;=JJ$19,JI5&lt;&gt;""),AND(KB5&gt;=KF$19,KB5&lt;&gt;""),AND(KE5&gt;=KF$19,KE5&lt;&gt;""),AND(KX5&gt;=LB$19,KX5&lt;&gt;""),AND(LA5&gt;=LB$19,LA5&lt;&gt;""),AND(LT5&gt;=LX$19,LT5&lt;&gt;""),AND(LW5&gt;=LX$19,LW5&lt;&gt;""),AND(MP5&gt;=MT$19,MP5&lt;&gt;""),AND(MS5&gt;=MT$19,MS5&lt;&gt;"")),"Excellence",IF(OR(AND(AO5&gt;=AR$18,AO5&lt;&gt;"",AK5=""),AND(BL5&gt;=BO$18,BL5&lt;&gt;"",BH5=""),AND(CI5&gt;=CL$18,CI5&lt;&gt;"",CE5=""),AND(DI5&gt;=DL$18,DI5&lt;&gt;""),AND(EE5&gt;=EH$18,EE5&lt;&gt;""),AND(FA5&gt;=FD$18,FA5&lt;&gt;""),AND(FW5&gt;=FZ$18,FW5&lt;&gt;""),AND(GS5&gt;=GV$18,GS5&lt;&gt;""),AND(HO5&gt;=HR$18,HO5&lt;&gt;""),AND(IK5&gt;=IN$18,IK5&lt;&gt;""),AND(JG5&gt;=JJ$18,JG5&lt;&gt;""),AND(KC5&gt;=KF$18,KC5&lt;&gt;""),AND(KY5&gt;=LB$18,KY5&lt;&gt;""),AND(LU5&gt;=LX$18,LU5&lt;&gt;""),AND(MQ5&gt;=MT$18,MQ5&lt;&gt;"")),"Worlds Team",IF(OR(AND(AO5&gt;=AR$17,AO5&lt;&gt;"",AK5=""),AND(BL5&gt;=BO$17,BL5&lt;&gt;"",BH5=""),AND(CI5&gt;=CL$17,CI5&lt;&gt;"",CE5=""),AND(DI5&gt;=DL$17,DI5&lt;&gt;""),AND(EE5&gt;=EH$17,EE5&lt;&gt;""),AND(FA5&gt;=FD$17,FA5&lt;&gt;""),AND(FW5&gt;=FZ$17,FW5&lt;&gt;""),AND(GS5&gt;=GV$17,GS5&lt;&gt;""),AND(HO5&gt;=HR$17,HO5&lt;&gt;""),AND(IK5&gt;=IN$17,IK5&lt;&gt;""),AND(JG5&gt;=JJ$17,JG5&lt;&gt;""),AND(KC5&gt;=KF$17,KC5&lt;&gt;""),AND(KY5&gt;=LB$17,KY5&lt;&gt;""),AND(LU5&gt;=LX$17,LU5&lt;&gt;""),AND(MQ5&gt;=MT$17,MQ5&lt;&gt;"")),"National Team",""))))</f>
        <v/>
      </c>
      <c r="I5" s="126" t="str">
        <f t="shared" si="2"/>
        <v/>
      </c>
      <c r="J5" s="3" t="str">
        <f>IF(AND(OR(AND(AO5&gt;=AR$18,AO5&lt;&gt;"",AK5=""),AND(BL5&gt;=BO$18,BL5&lt;&gt;"",BH5=""),AND(CI5&gt;=CL$18,CI5&lt;&gt;"",CE5=""),AND(DI5&gt;=DL$18,DI5&lt;&gt;""),AND(EE5&gt;=EH$18,EE5&lt;&gt;""),AND(FA5&gt;=FD$18,FA5&lt;&gt;""),AND(FW5&gt;=FZ$18,FW5&lt;&gt;""),AND(GS5&gt;=GV$18,GS5&lt;&gt;""),AND(HO5&gt;=HR$18,HO5&lt;&gt;""),AND(IK5&gt;=IN$18,IK5&lt;&gt;""),AND(JG5&gt;=JJ$18,JG5&lt;&gt;""),AND(KC5&gt;=KF$18,KC5&lt;&gt;""),AND(KY5&gt;=LB$18,KY5&lt;&gt;""),AND(LU5&gt;=LX$18,LU5&lt;&gt;""),AND(MQ5&gt;=MT$18,MQ5&lt;&gt;"")),OR(G5="Worlds Team",G5="Excellence",G5="Merit")),"P","")</f>
        <v/>
      </c>
      <c r="K5" s="14">
        <f t="shared" si="3"/>
        <v>77.55</v>
      </c>
      <c r="L5" s="14" t="str">
        <f t="shared" si="4"/>
        <v>2019 Nationals</v>
      </c>
      <c r="M5" s="14">
        <f t="shared" si="5"/>
        <v>0</v>
      </c>
      <c r="N5" s="14" t="str">
        <f t="shared" si="6"/>
        <v/>
      </c>
      <c r="O5" s="14">
        <f t="shared" si="7"/>
        <v>0</v>
      </c>
      <c r="P5" s="14" t="str">
        <f t="shared" si="8"/>
        <v/>
      </c>
      <c r="Q5" s="14">
        <f t="shared" si="9"/>
        <v>43.02</v>
      </c>
      <c r="R5" s="14" t="str">
        <f t="shared" si="10"/>
        <v>2019 Nationals</v>
      </c>
      <c r="S5" s="14" t="str">
        <f t="shared" si="11"/>
        <v/>
      </c>
      <c r="T5" s="25" t="str">
        <f t="shared" si="12"/>
        <v/>
      </c>
      <c r="U5" s="14" t="str">
        <f t="shared" si="13"/>
        <v/>
      </c>
      <c r="V5" s="39">
        <v>8.1999999999999993</v>
      </c>
      <c r="W5" s="39">
        <v>9.1999999999999993</v>
      </c>
      <c r="X5" s="39">
        <v>4.3</v>
      </c>
      <c r="Y5" s="39">
        <v>14.16</v>
      </c>
      <c r="Z5" s="39">
        <v>0</v>
      </c>
      <c r="AA5" s="39">
        <v>7.65</v>
      </c>
      <c r="AB5" s="39">
        <v>9.1999999999999993</v>
      </c>
      <c r="AC5" s="39">
        <v>10.4</v>
      </c>
      <c r="AD5" s="39">
        <v>14.44</v>
      </c>
      <c r="AE5" s="39">
        <v>0</v>
      </c>
      <c r="AF5" s="39">
        <v>8.4</v>
      </c>
      <c r="AG5" s="39">
        <v>9.3000000000000007</v>
      </c>
      <c r="AH5" s="39">
        <v>10.6</v>
      </c>
      <c r="AI5" s="39">
        <v>14.72</v>
      </c>
      <c r="AJ5" s="39">
        <v>0</v>
      </c>
      <c r="AK5" s="80"/>
      <c r="AL5" s="11">
        <f t="shared" si="14"/>
        <v>10.4</v>
      </c>
      <c r="AM5" s="11">
        <f t="shared" si="15"/>
        <v>35.86</v>
      </c>
      <c r="AN5" s="11">
        <f t="shared" si="16"/>
        <v>41.69</v>
      </c>
      <c r="AO5" s="11">
        <f t="shared" si="17"/>
        <v>77.55</v>
      </c>
      <c r="AP5" s="11">
        <f t="shared" si="18"/>
        <v>10.6</v>
      </c>
      <c r="AQ5" s="11">
        <f t="shared" si="19"/>
        <v>43.02</v>
      </c>
      <c r="AR5" s="11">
        <f t="shared" si="20"/>
        <v>120.57</v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 t="shared" si="21"/>
        <v/>
      </c>
      <c r="BJ5" s="14" t="str">
        <f t="shared" si="22"/>
        <v/>
      </c>
      <c r="BK5" s="14" t="str">
        <f t="shared" si="23"/>
        <v/>
      </c>
      <c r="BL5" s="14" t="str">
        <f t="shared" si="24"/>
        <v/>
      </c>
      <c r="BM5" s="14" t="str">
        <f t="shared" si="25"/>
        <v/>
      </c>
      <c r="BN5" s="14" t="str">
        <f t="shared" si="26"/>
        <v/>
      </c>
      <c r="BO5" s="14" t="str">
        <f t="shared" si="27"/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 t="shared" si="28"/>
        <v/>
      </c>
      <c r="CG5" s="11" t="str">
        <f t="shared" si="29"/>
        <v/>
      </c>
      <c r="CH5" s="11" t="str">
        <f t="shared" si="30"/>
        <v/>
      </c>
      <c r="CI5" s="11" t="str">
        <f t="shared" si="31"/>
        <v/>
      </c>
      <c r="CJ5" s="11" t="str">
        <f t="shared" si="32"/>
        <v/>
      </c>
      <c r="CK5" s="11" t="str">
        <f t="shared" si="33"/>
        <v/>
      </c>
      <c r="CL5" s="11" t="str">
        <f t="shared" si="34"/>
        <v/>
      </c>
      <c r="CM5" s="24" t="str">
        <f t="shared" si="35"/>
        <v/>
      </c>
      <c r="CN5" s="24" t="str">
        <f t="shared" si="36"/>
        <v/>
      </c>
      <c r="CO5" s="24" t="str">
        <f t="shared" si="37"/>
        <v/>
      </c>
      <c r="CP5" s="24" t="str">
        <f t="shared" si="38"/>
        <v/>
      </c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11" t="str">
        <f t="shared" si="39"/>
        <v/>
      </c>
      <c r="DG5" s="11" t="str">
        <f t="shared" si="40"/>
        <v/>
      </c>
      <c r="DH5" s="11" t="str">
        <f t="shared" si="41"/>
        <v/>
      </c>
      <c r="DI5" s="11" t="str">
        <f t="shared" si="42"/>
        <v/>
      </c>
      <c r="DJ5" s="11" t="str">
        <f t="shared" si="43"/>
        <v/>
      </c>
      <c r="DK5" s="11" t="str">
        <f t="shared" si="44"/>
        <v/>
      </c>
      <c r="DL5" s="11" t="str">
        <f t="shared" si="45"/>
        <v/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 t="shared" si="46"/>
        <v/>
      </c>
      <c r="EC5" s="14" t="str">
        <f t="shared" si="47"/>
        <v/>
      </c>
      <c r="ED5" s="14" t="str">
        <f t="shared" si="48"/>
        <v/>
      </c>
      <c r="EE5" s="14" t="str">
        <f t="shared" si="49"/>
        <v/>
      </c>
      <c r="EF5" s="14" t="str">
        <f t="shared" si="50"/>
        <v/>
      </c>
      <c r="EG5" s="14" t="str">
        <f t="shared" si="51"/>
        <v/>
      </c>
      <c r="EH5" s="14" t="str">
        <f t="shared" si="52"/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 t="shared" si="53"/>
        <v/>
      </c>
      <c r="EY5" s="11" t="str">
        <f t="shared" si="54"/>
        <v/>
      </c>
      <c r="EZ5" s="11" t="str">
        <f t="shared" si="55"/>
        <v/>
      </c>
      <c r="FA5" s="11" t="str">
        <f t="shared" si="56"/>
        <v/>
      </c>
      <c r="FB5" s="11" t="str">
        <f t="shared" si="57"/>
        <v/>
      </c>
      <c r="FC5" s="11" t="str">
        <f t="shared" si="58"/>
        <v/>
      </c>
      <c r="FD5" s="11" t="str">
        <f t="shared" si="59"/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 t="shared" si="60"/>
        <v/>
      </c>
      <c r="FU5" s="14" t="str">
        <f t="shared" si="61"/>
        <v/>
      </c>
      <c r="FV5" s="14" t="str">
        <f t="shared" si="62"/>
        <v/>
      </c>
      <c r="FW5" s="14" t="str">
        <f t="shared" si="63"/>
        <v/>
      </c>
      <c r="FX5" s="14" t="str">
        <f t="shared" si="64"/>
        <v/>
      </c>
      <c r="FY5" s="14" t="str">
        <f t="shared" si="65"/>
        <v/>
      </c>
      <c r="FZ5" s="14" t="str">
        <f t="shared" si="66"/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 t="shared" si="67"/>
        <v/>
      </c>
      <c r="GQ5" s="11" t="str">
        <f t="shared" si="68"/>
        <v/>
      </c>
      <c r="GR5" s="11" t="str">
        <f t="shared" si="69"/>
        <v/>
      </c>
      <c r="GS5" s="11" t="str">
        <f t="shared" si="70"/>
        <v/>
      </c>
      <c r="GT5" s="11" t="str">
        <f t="shared" si="71"/>
        <v/>
      </c>
      <c r="GU5" s="11" t="str">
        <f t="shared" si="72"/>
        <v/>
      </c>
      <c r="GV5" s="11" t="str">
        <f t="shared" si="73"/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 t="shared" si="74"/>
        <v/>
      </c>
      <c r="HM5" s="14" t="str">
        <f t="shared" si="75"/>
        <v/>
      </c>
      <c r="HN5" s="14" t="str">
        <f t="shared" si="76"/>
        <v/>
      </c>
      <c r="HO5" s="14" t="str">
        <f t="shared" si="77"/>
        <v/>
      </c>
      <c r="HP5" s="14" t="str">
        <f t="shared" si="78"/>
        <v/>
      </c>
      <c r="HQ5" s="14" t="str">
        <f t="shared" si="79"/>
        <v/>
      </c>
      <c r="HR5" s="14" t="str">
        <f t="shared" si="80"/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 t="shared" si="81"/>
        <v/>
      </c>
      <c r="II5" s="11" t="str">
        <f t="shared" si="82"/>
        <v/>
      </c>
      <c r="IJ5" s="11" t="str">
        <f t="shared" si="83"/>
        <v/>
      </c>
      <c r="IK5" s="11" t="str">
        <f t="shared" si="84"/>
        <v/>
      </c>
      <c r="IL5" s="11" t="str">
        <f t="shared" si="85"/>
        <v/>
      </c>
      <c r="IM5" s="11" t="str">
        <f t="shared" si="86"/>
        <v/>
      </c>
      <c r="IN5" s="11" t="str">
        <f t="shared" si="87"/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 t="shared" si="88"/>
        <v/>
      </c>
      <c r="JE5" s="14" t="str">
        <f t="shared" si="89"/>
        <v/>
      </c>
      <c r="JF5" s="14" t="str">
        <f t="shared" si="90"/>
        <v/>
      </c>
      <c r="JG5" s="14" t="str">
        <f t="shared" si="91"/>
        <v/>
      </c>
      <c r="JH5" s="14" t="str">
        <f t="shared" si="92"/>
        <v/>
      </c>
      <c r="JI5" s="14" t="str">
        <f t="shared" si="93"/>
        <v/>
      </c>
      <c r="JJ5" s="14" t="str">
        <f t="shared" si="94"/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 t="shared" si="95"/>
        <v/>
      </c>
      <c r="KA5" s="11" t="str">
        <f t="shared" si="96"/>
        <v/>
      </c>
      <c r="KB5" s="11" t="str">
        <f t="shared" si="97"/>
        <v/>
      </c>
      <c r="KC5" s="11" t="str">
        <f t="shared" si="98"/>
        <v/>
      </c>
      <c r="KD5" s="11" t="str">
        <f t="shared" si="99"/>
        <v/>
      </c>
      <c r="KE5" s="11" t="str">
        <f t="shared" si="100"/>
        <v/>
      </c>
      <c r="KF5" s="11" t="str">
        <f t="shared" si="101"/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 t="shared" si="102"/>
        <v/>
      </c>
      <c r="KW5" s="14" t="str">
        <f t="shared" si="103"/>
        <v/>
      </c>
      <c r="KX5" s="14" t="str">
        <f t="shared" si="104"/>
        <v/>
      </c>
      <c r="KY5" s="14" t="str">
        <f t="shared" si="105"/>
        <v/>
      </c>
      <c r="KZ5" s="14" t="str">
        <f t="shared" si="106"/>
        <v/>
      </c>
      <c r="LA5" s="14" t="str">
        <f t="shared" si="107"/>
        <v/>
      </c>
      <c r="LB5" s="14" t="str">
        <f t="shared" si="108"/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 t="shared" si="109"/>
        <v/>
      </c>
      <c r="LS5" s="11" t="str">
        <f t="shared" si="110"/>
        <v/>
      </c>
      <c r="LT5" s="11" t="str">
        <f t="shared" si="111"/>
        <v/>
      </c>
      <c r="LU5" s="11" t="str">
        <f t="shared" si="112"/>
        <v/>
      </c>
      <c r="LV5" s="11" t="str">
        <f t="shared" si="113"/>
        <v/>
      </c>
      <c r="LW5" s="11" t="str">
        <f t="shared" si="114"/>
        <v/>
      </c>
      <c r="LX5" s="11" t="str">
        <f t="shared" si="115"/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 t="shared" si="116"/>
        <v/>
      </c>
      <c r="MO5" s="14" t="str">
        <f t="shared" si="117"/>
        <v/>
      </c>
      <c r="MP5" s="14" t="str">
        <f t="shared" si="118"/>
        <v/>
      </c>
      <c r="MQ5" s="14" t="str">
        <f t="shared" si="119"/>
        <v/>
      </c>
      <c r="MR5" s="14" t="str">
        <f t="shared" si="120"/>
        <v/>
      </c>
      <c r="MS5" s="14" t="str">
        <f t="shared" si="121"/>
        <v/>
      </c>
      <c r="MT5" s="14" t="str">
        <f t="shared" si="122"/>
        <v/>
      </c>
      <c r="MU5" s="69">
        <f t="shared" si="123"/>
        <v>0</v>
      </c>
      <c r="MV5" s="69">
        <f t="shared" si="123"/>
        <v>0</v>
      </c>
      <c r="MW5" s="69">
        <f t="shared" si="123"/>
        <v>0</v>
      </c>
      <c r="MX5" s="69">
        <f t="shared" si="123"/>
        <v>0</v>
      </c>
      <c r="MY5" s="69">
        <f t="shared" si="123"/>
        <v>0</v>
      </c>
      <c r="MZ5" s="69">
        <f t="shared" si="123"/>
        <v>0</v>
      </c>
      <c r="NA5" s="69">
        <f t="shared" si="123"/>
        <v>0</v>
      </c>
      <c r="NB5" s="69">
        <f t="shared" si="123"/>
        <v>0</v>
      </c>
      <c r="NC5" s="69">
        <f t="shared" si="123"/>
        <v>0</v>
      </c>
      <c r="ND5" s="69">
        <f t="shared" si="123"/>
        <v>0</v>
      </c>
      <c r="NE5" s="69">
        <f t="shared" si="123"/>
        <v>0</v>
      </c>
      <c r="NF5" s="69">
        <f t="shared" si="123"/>
        <v>0</v>
      </c>
      <c r="NG5" s="69">
        <f t="shared" si="123"/>
        <v>0</v>
      </c>
      <c r="NH5" s="69">
        <f t="shared" si="123"/>
        <v>0</v>
      </c>
      <c r="NI5" s="69">
        <f t="shared" si="123"/>
        <v>0</v>
      </c>
      <c r="NJ5" s="80" t="s">
        <v>88</v>
      </c>
      <c r="NK5" s="11" t="str">
        <f t="shared" si="124"/>
        <v/>
      </c>
      <c r="NL5" s="11" t="str">
        <f t="shared" si="125"/>
        <v/>
      </c>
      <c r="NM5" s="11" t="str">
        <f t="shared" si="126"/>
        <v/>
      </c>
      <c r="NN5" s="11" t="str">
        <f t="shared" si="127"/>
        <v/>
      </c>
      <c r="NO5" s="11" t="str">
        <f t="shared" si="128"/>
        <v/>
      </c>
      <c r="NP5" s="11" t="str">
        <f t="shared" si="129"/>
        <v/>
      </c>
      <c r="NQ5" s="11" t="str">
        <f t="shared" si="130"/>
        <v/>
      </c>
    </row>
    <row r="6" spans="1:381" x14ac:dyDescent="0.2">
      <c r="A6" s="5" t="str" cm="1">
        <f t="array" ref="A6">IF(AND(G6&lt;&gt;"",H6&lt;&gt;""),SUMPRODUCT((G$4:G$11&lt;&gt;"")*(H$4:H$11&lt;&gt;"")*(E$4:E$11&gt;E6))+1,IF(H6&lt;&gt;"",SUMPRODUCT((I$4:I$11="No DD")*(E$4:E$11&gt;E6))+1+SUMPRODUCT((G$4:G$11&lt;&gt;"")*(H$4:H$11&lt;&gt;"")),""))</f>
        <v/>
      </c>
      <c r="B6" s="8" t="s">
        <v>121</v>
      </c>
      <c r="C6" s="4" t="s">
        <v>3</v>
      </c>
      <c r="D6" s="27" t="s">
        <v>103</v>
      </c>
      <c r="E6" s="15">
        <f t="shared" si="0"/>
        <v>108.6</v>
      </c>
      <c r="F6" s="3" t="str">
        <f t="shared" si="1"/>
        <v/>
      </c>
      <c r="G6" s="125" t="str">
        <f>IF(OR(AND(AL6&gt;=AR$16,AL6&lt;&gt;"",AK6=""),AND(AP6&gt;=AR$16,AP6&lt;&gt;"",AK6=""),AND(BI6&gt;=BO$16,BI6&lt;&gt;"",BH6=""),AND(BM6&gt;=BO$16,BM6&lt;&gt;"",BH6=""),AND(CF6&gt;=CL$16,CF6&lt;&gt;"",CE6=""),AND(CJ6&gt;=CL$16,CJ6&lt;&gt;"",CE6=""),AND(DF6&gt;=DL$16,DF6&lt;&gt;""),AND(DJ6&gt;=DL$16,DJ6&lt;&gt;""),AND(EB6&gt;=EH$16,EB6&lt;&gt;""),AND(EF6&gt;=EH$16,EF6&lt;&gt;""),AND(EX6&gt;=FD$16,EX6&lt;&gt;""),AND(FB6&gt;=FD$16,FB6&lt;&gt;""),AND(FT6&gt;=FZ$16,FT6&lt;&gt;""),AND(FX6&gt;=FZ$16,FX6&lt;&gt;""),AND(GP6&gt;=GV$16,GP6&lt;&gt;""),AND(GT6&gt;=GV$16,GT6&lt;&gt;""),AND(HL6&gt;=HR$16,HL6&lt;&gt;""),AND(HP6&gt;=HR$16,HP6&lt;&gt;""),AND(IH6&gt;=IN$16,IH6&lt;&gt;""),AND(IL6&gt;=IN$16,IL6&lt;&gt;""),AND(JD6&gt;=JJ$16,JD6&lt;&gt;""),AND(JH6&gt;=JJ$16,JH6&lt;&gt;""),AND(JZ6&gt;=KF$16,JZ6&lt;&gt;""),AND(KD6&gt;=KF$16,KD6&lt;&gt;""),AND(KV6&gt;=LB$16,KV6&lt;&gt;""),AND(KZ6&gt;=LB$16,KZ6&lt;&gt;""),AND(LR6&gt;=LX$16,LR6&lt;&gt;""),AND(LV6&gt;=LX$16,LV6&lt;&gt;""),AND(MN6&gt;=MT$16,MN6&lt;&gt;""),AND(MR6&gt;=MT$16,MR6&lt;&gt;"")),"Merit",IF(OR(AND(AL6&gt;=AR$15,AL6&lt;&gt;"",AK6=""),AND(AP6&gt;=AR$15,AP6&lt;&gt;"",AK6=""),AND(BI6&gt;=BO$15,BI6&lt;&gt;"",BH6=""),AND(BM6&gt;=BO$15,BM6&lt;&gt;"",BH6=""),AND(CF6&gt;=CL$15,CF6&lt;&gt;"",CE6=""),AND(CJ6&gt;=CL$15,CJ6&lt;&gt;"",CE6=""),AND(DF6&gt;=DL$15,DF6&lt;&gt;""),AND(DJ6&gt;=DL$15,DJ6&lt;&gt;""),AND(EB6&gt;=EH$15,EB6&lt;&gt;""),AND(EF6&gt;=EH$15,EF6&lt;&gt;""),AND(EX6&gt;=FD$15,EX6&lt;&gt;""),AND(FB6&gt;=FD$15,FB6&lt;&gt;""),AND(FT6&gt;=FZ$15,FT6&lt;&gt;""),AND(FX6&gt;=FZ$15,FX6&lt;&gt;""),AND(GP6&gt;=GV$15,GP6&lt;&gt;""),AND(GT6&gt;=GV$15,GT6&lt;&gt;""),AND(HL6&gt;=HR$15,HL6&lt;&gt;""),AND(HP6&gt;=HR$15,HP6&lt;&gt;""),AND(IH6&gt;=IN$15,IH6&lt;&gt;""),AND(IL6&gt;=IN$15,IL6&lt;&gt;""),AND(JD6&gt;=JJ$15,JD6&lt;&gt;""),AND(JH6&gt;=JJ$15,JH6&lt;&gt;""),AND(JZ6&gt;=KF$15,JZ6&lt;&gt;""),AND(KD6&gt;=KF$15,KD6&lt;&gt;""),AND(KV6&gt;=LB$15,KV6&lt;&gt;""),AND(KZ6&gt;=LB$15,KZ6&lt;&gt;""),AND(LR6&gt;=LX$15,LR6&lt;&gt;""),AND(LV6&gt;=LX$15,LV6&lt;&gt;""),AND(MN6&gt;=MT$15,MN6&lt;&gt;""),AND(MR6&gt;=MT$15,MR6&lt;&gt;"")),"Excellence",IF(OR(AND(AL6&gt;=AR$14,AL6&lt;&gt;"",AK6=""),AND(AP6&gt;=AR$14,AP6&lt;&gt;"",AK6=""),AND(BI6&gt;=BO$14,BI6&lt;&gt;"",BH6=""),AND(BM6&gt;=BO$14,BM6&lt;&gt;"",BH6=""),AND(CF6&gt;=CL$14,CF6&lt;&gt;"",CE6=""),AND(CJ6&gt;=CL$14,CJ6&lt;&gt;"",CE6=""),AND(DF6&gt;=DL$14,DF6&lt;&gt;""),AND(DJ6&gt;=DL$14,DJ6&lt;&gt;""),AND(EB6&gt;=EH$14,EB6&lt;&gt;""),AND(EF6&gt;=EH$14,EF6&lt;&gt;""),AND(EX6&gt;=FD$14,EX6&lt;&gt;""),AND(FB6&gt;=FD$14,FB6&lt;&gt;""),AND(FT6&gt;=FZ$14,FT6&lt;&gt;""),AND(FX6&gt;=FZ$14,FX6&lt;&gt;""),AND(GP6&gt;=GV$14,GP6&lt;&gt;""),AND(GT6&gt;=GV$14,GT6&lt;&gt;""),AND(HL6&gt;=HR$14,HL6&lt;&gt;""),AND(HP6&gt;=HR$14,HP6&lt;&gt;""),AND(IH6&gt;=IN$14,IH6&lt;&gt;""),AND(IL6&gt;=IN$14,IL6&lt;&gt;""),AND(JD6&gt;=JJ$14,JD6&lt;&gt;""),AND(JH6&gt;=JJ$14,JH6&lt;&gt;""),AND(JZ6&gt;=KF$14,JZ6&lt;&gt;""),AND(KD6&gt;=KF$14,KD6&lt;&gt;""),AND(KV6&gt;=LB$14,KV6&lt;&gt;""),AND(KZ6&gt;=LB$14,KZ6&lt;&gt;""),AND(LR6&gt;=LX$14,LR6&lt;&gt;""),AND(LV6&gt;=LX$14,LV6&lt;&gt;""),AND(MN6&gt;=MT$14,MN6&lt;&gt;""),AND(MR6&gt;=MT$14,MR6&lt;&gt;"")),"Worlds Team",IF(OR(AND(AL6&gt;=AR$13,AL6&lt;&gt;"",AK6=""),AND(AP6&gt;=AR$13,AP6&lt;&gt;"",AK6=""),AND(BI6&gt;=BO$13,BI6&lt;&gt;"",BH6=""),AND(BM6&gt;=BO$13,BM6&lt;&gt;"",BH6=""),AND(CF6&gt;=CL$13,CF6&lt;&gt;"",CE6=""),AND(CJ6&gt;=CL$13,CJ6&lt;&gt;"",CE6=""),AND(DF6&gt;=DL$13,DF6&lt;&gt;""),AND(DJ6&gt;=DL$13,DJ6&lt;&gt;""),AND(EB6&gt;=EH$13,EB6&lt;&gt;""),AND(EF6&gt;=EH$13,EF6&lt;&gt;""),AND(EX6&gt;=FD$13,EX6&lt;&gt;""),AND(FB6&gt;=FD$13,FB6&lt;&gt;""),AND(FT6&gt;=FZ$13,FT6&lt;&gt;""),AND(FX6&gt;=FZ$13,FX6&lt;&gt;""),AND(GP6&gt;=GV$13,GP6&lt;&gt;""),AND(GT6&gt;=GV$13,GT6&lt;&gt;""),AND(HL6&gt;=HR$13,HL6&lt;&gt;""),AND(HP6&gt;=HR$13,HP6&lt;&gt;""),AND(IH6&gt;=IN$13,IH6&lt;&gt;""),AND(IL6&gt;=IN$13,IL6&lt;&gt;""),AND(JD6&gt;=JJ$13,JD6&lt;&gt;""),AND(JH6&gt;=JJ$13,JH6&lt;&gt;""),AND(JZ6&gt;=KF$13,JZ6&lt;&gt;""),AND(KD6&gt;=KF$13,KD6&lt;&gt;""),AND(KV6&gt;=LB$13,KV6&lt;&gt;""),AND(KZ6&gt;=LB$13,KZ6&lt;&gt;""),AND(LR6&gt;=LX$13,LR6&lt;&gt;""),AND(LV6&gt;=LX$13,LV6&lt;&gt;""),AND(MN6&gt;=MT$13,MN6&lt;&gt;""),AND(MR6&gt;=MT$13,MR6&lt;&gt;"")),"National Team",""))))</f>
        <v/>
      </c>
      <c r="H6" s="125" t="str">
        <f>IF(OR(AND(AN6&gt;=AR$20,AN6&lt;&gt;"",AK6=""),AND(AQ6&gt;=AR$20,AQ6&lt;&gt;"",AK6=""),AND(BK6&gt;=BO$20,BK6&lt;&gt;"",BH6=""),AND(BN6&gt;=BO$20,BN6&lt;&gt;"",BH6=""),AND(CH6&gt;=CL$20,CH6&lt;&gt;"",CE6=""),AND(CK6&gt;=CL$20,CE6&lt;&gt;"",CE6=""),AND(DH6&gt;=DL$20,DH6&lt;&gt;""),AND(DK6&gt;=DL$20,DK6&lt;&gt;""),AND(ED6&gt;=EH$20,ED6&lt;&gt;""),AND(EG6&gt;=EH$20,EG6&lt;&gt;""),AND(EZ6&gt;=FD$20,EZ6&lt;&gt;""),AND(FC6&gt;=FD$20,FC6&lt;&gt;""),AND(FV6&gt;=FZ$20,FV6&lt;&gt;""),AND(FY6&gt;=FZ$20,FY6&lt;&gt;""),AND(GR6&gt;=GV$20,GR6&lt;&gt;""),AND(GU6&gt;=GV$20,GU6&lt;&gt;""),AND(HN6&gt;=HR$20,HN6&lt;&gt;""),AND(HQ6&gt;=HR$20,HQ6&lt;&gt;""),AND(IJ6&gt;=IN$20,IJ6&lt;&gt;""),AND(IM6&gt;=IN$20,IM6&lt;&gt;""),AND(JF6&gt;=JJ$20,JF6&lt;&gt;""),AND(JI6&gt;=JJ$20,JI6&lt;&gt;""),AND(KB6&gt;=KF$20,KB6&lt;&gt;""),AND(KE6&gt;=KF$20,KE6&lt;&gt;""),AND(KX6&gt;=LB$20,KX6&lt;&gt;""),AND(LA6&gt;=LB$20,LA6&lt;&gt;""),AND(LT6&gt;=LX$20,LT6&lt;&gt;""),AND(LW6&gt;=LX$20,LW6&lt;&gt;""),AND(MP6&gt;=MT$20,MP6&lt;&gt;""),AND(MS6&gt;=MT$20,MS6&lt;&gt;"")),"Merit",IF(OR(AND(AN6&gt;=AR$19,AN6&lt;&gt;"",AK6=""),AND(AQ6&gt;=AR$19,AQ6&lt;&gt;"",AK6=""),AND(BK6&gt;=BO$19,BK6&lt;&gt;"",BH6=""),AND(BN6&gt;=BO$19,BN6&lt;&gt;"",BH6=""),AND(CH6&gt;=CL$19,CH6&lt;&gt;"",CE6=""),AND(CK6&gt;=CL$19,CE6&lt;&gt;"",CE6=""),AND(DH6&gt;=DL$19,DH6&lt;&gt;""),AND(DK6&gt;=DL$19,DK6&lt;&gt;""),AND(ED6&gt;=EH$19,ED6&lt;&gt;""),AND(EG6&gt;=EH$19,EG6&lt;&gt;""),AND(EZ6&gt;=FD$19,EZ6&lt;&gt;""),AND(FC6&gt;=FD$19,FC6&lt;&gt;""),AND(FV6&gt;=FZ$19,FV6&lt;&gt;""),AND(FY6&gt;=FZ$19,FY6&lt;&gt;""),AND(GR6&gt;=GV$19,GR6&lt;&gt;""),AND(GU6&gt;=GV$19,GU6&lt;&gt;""),AND(HN6&gt;=HR$19,HN6&lt;&gt;""),AND(HQ6&gt;=HR$19,HQ6&lt;&gt;""),AND(IJ6&gt;=IN$19,IJ6&lt;&gt;""),AND(IM6&gt;=IN$19,IM6&lt;&gt;""),AND(JF6&gt;=JJ$19,JF6&lt;&gt;""),AND(JI6&gt;=JJ$19,JI6&lt;&gt;""),AND(KB6&gt;=KF$19,KB6&lt;&gt;""),AND(KE6&gt;=KF$19,KE6&lt;&gt;""),AND(KX6&gt;=LB$19,KX6&lt;&gt;""),AND(LA6&gt;=LB$19,LA6&lt;&gt;""),AND(LT6&gt;=LX$19,LT6&lt;&gt;""),AND(LW6&gt;=LX$19,LW6&lt;&gt;""),AND(MP6&gt;=MT$19,MP6&lt;&gt;""),AND(MS6&gt;=MT$19,MS6&lt;&gt;"")),"Excellence",IF(OR(AND(AO6&gt;=AR$18,AO6&lt;&gt;"",AK6=""),AND(BL6&gt;=BO$18,BL6&lt;&gt;"",BH6=""),AND(CI6&gt;=CL$18,CI6&lt;&gt;"",CE6=""),AND(DI6&gt;=DL$18,DI6&lt;&gt;""),AND(EE6&gt;=EH$18,EE6&lt;&gt;""),AND(FA6&gt;=FD$18,FA6&lt;&gt;""),AND(FW6&gt;=FZ$18,FW6&lt;&gt;""),AND(GS6&gt;=GV$18,GS6&lt;&gt;""),AND(HO6&gt;=HR$18,HO6&lt;&gt;""),AND(IK6&gt;=IN$18,IK6&lt;&gt;""),AND(JG6&gt;=JJ$18,JG6&lt;&gt;""),AND(KC6&gt;=KF$18,KC6&lt;&gt;""),AND(KY6&gt;=LB$18,KY6&lt;&gt;""),AND(LU6&gt;=LX$18,LU6&lt;&gt;""),AND(MQ6&gt;=MT$18,MQ6&lt;&gt;"")),"Worlds Team",IF(OR(AND(AO6&gt;=AR$17,AO6&lt;&gt;"",AK6=""),AND(BL6&gt;=BO$17,BL6&lt;&gt;"",BH6=""),AND(CI6&gt;=CL$17,CI6&lt;&gt;"",CE6=""),AND(DI6&gt;=DL$17,DI6&lt;&gt;""),AND(EE6&gt;=EH$17,EE6&lt;&gt;""),AND(FA6&gt;=FD$17,FA6&lt;&gt;""),AND(FW6&gt;=FZ$17,FW6&lt;&gt;""),AND(GS6&gt;=GV$17,GS6&lt;&gt;""),AND(HO6&gt;=HR$17,HO6&lt;&gt;""),AND(IK6&gt;=IN$17,IK6&lt;&gt;""),AND(JG6&gt;=JJ$17,JG6&lt;&gt;""),AND(KC6&gt;=KF$17,KC6&lt;&gt;""),AND(KY6&gt;=LB$17,KY6&lt;&gt;""),AND(LU6&gt;=LX$17,LU6&lt;&gt;""),AND(MQ6&gt;=MT$17,MQ6&lt;&gt;"")),"National Team",""))))</f>
        <v/>
      </c>
      <c r="I6" s="126" t="str">
        <f t="shared" si="2"/>
        <v/>
      </c>
      <c r="J6" s="3" t="str">
        <f>IF(AND(OR(AND(AO6&gt;=AR$18,AO6&lt;&gt;"",AK6=""),AND(BL6&gt;=BO$18,BL6&lt;&gt;"",BH6=""),AND(CI6&gt;=CL$18,CI6&lt;&gt;"",CE6=""),AND(DI6&gt;=DL$18,DI6&lt;&gt;""),AND(EE6&gt;=EH$18,EE6&lt;&gt;""),AND(FA6&gt;=FD$18,FA6&lt;&gt;""),AND(FW6&gt;=FZ$18,FW6&lt;&gt;""),AND(GS6&gt;=GV$18,GS6&lt;&gt;""),AND(HO6&gt;=HR$18,HO6&lt;&gt;""),AND(IK6&gt;=IN$18,IK6&lt;&gt;""),AND(JG6&gt;=JJ$18,JG6&lt;&gt;""),AND(KC6&gt;=KF$18,KC6&lt;&gt;""),AND(KY6&gt;=LB$18,KY6&lt;&gt;""),AND(LU6&gt;=LX$18,LU6&lt;&gt;""),AND(MQ6&gt;=MT$18,MQ6&lt;&gt;"")),OR(G6="Worlds Team",G6="Excellence",G6="Merit")),"P","")</f>
        <v/>
      </c>
      <c r="K6" s="14">
        <f t="shared" si="3"/>
        <v>64.41</v>
      </c>
      <c r="L6" s="14" t="str">
        <f t="shared" si="4"/>
        <v>2019 Nationals</v>
      </c>
      <c r="M6" s="14">
        <f t="shared" si="5"/>
        <v>0</v>
      </c>
      <c r="N6" s="14" t="str">
        <f t="shared" si="6"/>
        <v/>
      </c>
      <c r="O6" s="14">
        <f t="shared" si="7"/>
        <v>0</v>
      </c>
      <c r="P6" s="14" t="str">
        <f t="shared" si="8"/>
        <v/>
      </c>
      <c r="Q6" s="14">
        <f t="shared" si="9"/>
        <v>44.19</v>
      </c>
      <c r="R6" s="14" t="str">
        <f t="shared" si="10"/>
        <v>2019 Nationals</v>
      </c>
      <c r="S6" s="14" t="str">
        <f t="shared" si="11"/>
        <v/>
      </c>
      <c r="T6" s="25" t="str">
        <f t="shared" si="12"/>
        <v/>
      </c>
      <c r="U6" s="14" t="str">
        <f t="shared" si="13"/>
        <v/>
      </c>
      <c r="V6" s="39">
        <v>4.5</v>
      </c>
      <c r="W6" s="39">
        <v>4.6500000000000004</v>
      </c>
      <c r="X6" s="39">
        <v>1.2</v>
      </c>
      <c r="Y6" s="39">
        <v>8.8000000000000007</v>
      </c>
      <c r="Z6" s="39">
        <v>0</v>
      </c>
      <c r="AA6" s="39">
        <v>7.45</v>
      </c>
      <c r="AB6" s="39">
        <v>9.25</v>
      </c>
      <c r="AC6" s="39">
        <v>11.6</v>
      </c>
      <c r="AD6" s="39">
        <v>16.96</v>
      </c>
      <c r="AE6" s="39">
        <v>0</v>
      </c>
      <c r="AF6" s="39">
        <v>7.9</v>
      </c>
      <c r="AG6" s="39">
        <v>9.15</v>
      </c>
      <c r="AH6" s="39">
        <v>10.6</v>
      </c>
      <c r="AI6" s="39">
        <v>16.54</v>
      </c>
      <c r="AJ6" s="39">
        <v>0</v>
      </c>
      <c r="AK6" s="80"/>
      <c r="AL6" s="11">
        <f t="shared" si="14"/>
        <v>11.6</v>
      </c>
      <c r="AM6" s="11">
        <f t="shared" si="15"/>
        <v>19.149999999999999</v>
      </c>
      <c r="AN6" s="11">
        <f t="shared" si="16"/>
        <v>45.26</v>
      </c>
      <c r="AO6" s="11">
        <f t="shared" si="17"/>
        <v>64.41</v>
      </c>
      <c r="AP6" s="11">
        <f t="shared" si="18"/>
        <v>10.6</v>
      </c>
      <c r="AQ6" s="11">
        <f t="shared" si="19"/>
        <v>44.19</v>
      </c>
      <c r="AR6" s="11">
        <f t="shared" si="20"/>
        <v>108.6</v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 t="shared" si="21"/>
        <v/>
      </c>
      <c r="BJ6" s="14" t="str">
        <f t="shared" si="22"/>
        <v/>
      </c>
      <c r="BK6" s="14" t="str">
        <f t="shared" si="23"/>
        <v/>
      </c>
      <c r="BL6" s="14" t="str">
        <f t="shared" si="24"/>
        <v/>
      </c>
      <c r="BM6" s="14" t="str">
        <f t="shared" si="25"/>
        <v/>
      </c>
      <c r="BN6" s="14" t="str">
        <f t="shared" si="26"/>
        <v/>
      </c>
      <c r="BO6" s="14" t="str">
        <f t="shared" si="27"/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 t="shared" si="28"/>
        <v/>
      </c>
      <c r="CG6" s="11" t="str">
        <f t="shared" si="29"/>
        <v/>
      </c>
      <c r="CH6" s="11" t="str">
        <f t="shared" si="30"/>
        <v/>
      </c>
      <c r="CI6" s="11" t="str">
        <f t="shared" si="31"/>
        <v/>
      </c>
      <c r="CJ6" s="11" t="str">
        <f t="shared" si="32"/>
        <v/>
      </c>
      <c r="CK6" s="11" t="str">
        <f t="shared" si="33"/>
        <v/>
      </c>
      <c r="CL6" s="11" t="str">
        <f t="shared" si="34"/>
        <v/>
      </c>
      <c r="CM6" s="24" t="str">
        <f t="shared" si="35"/>
        <v/>
      </c>
      <c r="CN6" s="24" t="str">
        <f t="shared" si="36"/>
        <v/>
      </c>
      <c r="CO6" s="24" t="str">
        <f t="shared" si="37"/>
        <v/>
      </c>
      <c r="CP6" s="24" t="str">
        <f t="shared" si="38"/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 t="shared" si="39"/>
        <v/>
      </c>
      <c r="DG6" s="11" t="str">
        <f t="shared" si="40"/>
        <v/>
      </c>
      <c r="DH6" s="11" t="str">
        <f t="shared" si="41"/>
        <v/>
      </c>
      <c r="DI6" s="11" t="str">
        <f t="shared" si="42"/>
        <v/>
      </c>
      <c r="DJ6" s="11" t="str">
        <f t="shared" si="43"/>
        <v/>
      </c>
      <c r="DK6" s="11" t="str">
        <f t="shared" si="44"/>
        <v/>
      </c>
      <c r="DL6" s="11" t="str">
        <f t="shared" si="45"/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 t="shared" si="46"/>
        <v/>
      </c>
      <c r="EC6" s="14" t="str">
        <f t="shared" si="47"/>
        <v/>
      </c>
      <c r="ED6" s="14" t="str">
        <f t="shared" si="48"/>
        <v/>
      </c>
      <c r="EE6" s="14" t="str">
        <f t="shared" si="49"/>
        <v/>
      </c>
      <c r="EF6" s="14" t="str">
        <f t="shared" si="50"/>
        <v/>
      </c>
      <c r="EG6" s="14" t="str">
        <f t="shared" si="51"/>
        <v/>
      </c>
      <c r="EH6" s="14" t="str">
        <f t="shared" si="52"/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 t="shared" si="53"/>
        <v/>
      </c>
      <c r="EY6" s="11" t="str">
        <f t="shared" si="54"/>
        <v/>
      </c>
      <c r="EZ6" s="11" t="str">
        <f t="shared" si="55"/>
        <v/>
      </c>
      <c r="FA6" s="11" t="str">
        <f t="shared" si="56"/>
        <v/>
      </c>
      <c r="FB6" s="11" t="str">
        <f t="shared" si="57"/>
        <v/>
      </c>
      <c r="FC6" s="11" t="str">
        <f t="shared" si="58"/>
        <v/>
      </c>
      <c r="FD6" s="11" t="str">
        <f t="shared" si="59"/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 t="shared" si="60"/>
        <v/>
      </c>
      <c r="FU6" s="14" t="str">
        <f t="shared" si="61"/>
        <v/>
      </c>
      <c r="FV6" s="14" t="str">
        <f t="shared" si="62"/>
        <v/>
      </c>
      <c r="FW6" s="14" t="str">
        <f t="shared" si="63"/>
        <v/>
      </c>
      <c r="FX6" s="14" t="str">
        <f t="shared" si="64"/>
        <v/>
      </c>
      <c r="FY6" s="14" t="str">
        <f t="shared" si="65"/>
        <v/>
      </c>
      <c r="FZ6" s="14" t="str">
        <f t="shared" si="66"/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 t="shared" si="67"/>
        <v/>
      </c>
      <c r="GQ6" s="11" t="str">
        <f t="shared" si="68"/>
        <v/>
      </c>
      <c r="GR6" s="11" t="str">
        <f t="shared" si="69"/>
        <v/>
      </c>
      <c r="GS6" s="11" t="str">
        <f t="shared" si="70"/>
        <v/>
      </c>
      <c r="GT6" s="11" t="str">
        <f t="shared" si="71"/>
        <v/>
      </c>
      <c r="GU6" s="11" t="str">
        <f t="shared" si="72"/>
        <v/>
      </c>
      <c r="GV6" s="11" t="str">
        <f t="shared" si="73"/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 t="shared" si="74"/>
        <v/>
      </c>
      <c r="HM6" s="14" t="str">
        <f t="shared" si="75"/>
        <v/>
      </c>
      <c r="HN6" s="14" t="str">
        <f t="shared" si="76"/>
        <v/>
      </c>
      <c r="HO6" s="14" t="str">
        <f t="shared" si="77"/>
        <v/>
      </c>
      <c r="HP6" s="14" t="str">
        <f t="shared" si="78"/>
        <v/>
      </c>
      <c r="HQ6" s="14" t="str">
        <f t="shared" si="79"/>
        <v/>
      </c>
      <c r="HR6" s="14" t="str">
        <f t="shared" si="80"/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 t="shared" si="81"/>
        <v/>
      </c>
      <c r="II6" s="11" t="str">
        <f t="shared" si="82"/>
        <v/>
      </c>
      <c r="IJ6" s="11" t="str">
        <f t="shared" si="83"/>
        <v/>
      </c>
      <c r="IK6" s="11" t="str">
        <f t="shared" si="84"/>
        <v/>
      </c>
      <c r="IL6" s="11" t="str">
        <f t="shared" si="85"/>
        <v/>
      </c>
      <c r="IM6" s="11" t="str">
        <f t="shared" si="86"/>
        <v/>
      </c>
      <c r="IN6" s="11" t="str">
        <f t="shared" si="87"/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 t="shared" si="88"/>
        <v/>
      </c>
      <c r="JE6" s="14" t="str">
        <f t="shared" si="89"/>
        <v/>
      </c>
      <c r="JF6" s="14" t="str">
        <f t="shared" si="90"/>
        <v/>
      </c>
      <c r="JG6" s="14" t="str">
        <f t="shared" si="91"/>
        <v/>
      </c>
      <c r="JH6" s="14" t="str">
        <f t="shared" si="92"/>
        <v/>
      </c>
      <c r="JI6" s="14" t="str">
        <f t="shared" si="93"/>
        <v/>
      </c>
      <c r="JJ6" s="14" t="str">
        <f t="shared" si="94"/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 t="shared" si="95"/>
        <v/>
      </c>
      <c r="KA6" s="11" t="str">
        <f t="shared" si="96"/>
        <v/>
      </c>
      <c r="KB6" s="11" t="str">
        <f t="shared" si="97"/>
        <v/>
      </c>
      <c r="KC6" s="11" t="str">
        <f t="shared" si="98"/>
        <v/>
      </c>
      <c r="KD6" s="11" t="str">
        <f t="shared" si="99"/>
        <v/>
      </c>
      <c r="KE6" s="11" t="str">
        <f t="shared" si="100"/>
        <v/>
      </c>
      <c r="KF6" s="11" t="str">
        <f t="shared" si="101"/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 t="shared" si="102"/>
        <v/>
      </c>
      <c r="KW6" s="14" t="str">
        <f t="shared" si="103"/>
        <v/>
      </c>
      <c r="KX6" s="14" t="str">
        <f t="shared" si="104"/>
        <v/>
      </c>
      <c r="KY6" s="14" t="str">
        <f t="shared" si="105"/>
        <v/>
      </c>
      <c r="KZ6" s="14" t="str">
        <f t="shared" si="106"/>
        <v/>
      </c>
      <c r="LA6" s="14" t="str">
        <f t="shared" si="107"/>
        <v/>
      </c>
      <c r="LB6" s="14" t="str">
        <f t="shared" si="108"/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 t="shared" si="109"/>
        <v/>
      </c>
      <c r="LS6" s="11" t="str">
        <f t="shared" si="110"/>
        <v/>
      </c>
      <c r="LT6" s="11" t="str">
        <f t="shared" si="111"/>
        <v/>
      </c>
      <c r="LU6" s="11" t="str">
        <f t="shared" si="112"/>
        <v/>
      </c>
      <c r="LV6" s="11" t="str">
        <f t="shared" si="113"/>
        <v/>
      </c>
      <c r="LW6" s="11" t="str">
        <f t="shared" si="114"/>
        <v/>
      </c>
      <c r="LX6" s="11" t="str">
        <f t="shared" si="115"/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 t="shared" si="116"/>
        <v/>
      </c>
      <c r="MO6" s="14" t="str">
        <f t="shared" si="117"/>
        <v/>
      </c>
      <c r="MP6" s="14" t="str">
        <f t="shared" si="118"/>
        <v/>
      </c>
      <c r="MQ6" s="14" t="str">
        <f t="shared" si="119"/>
        <v/>
      </c>
      <c r="MR6" s="14" t="str">
        <f t="shared" si="120"/>
        <v/>
      </c>
      <c r="MS6" s="14" t="str">
        <f t="shared" si="121"/>
        <v/>
      </c>
      <c r="MT6" s="14" t="str">
        <f t="shared" si="122"/>
        <v/>
      </c>
      <c r="MU6" s="69">
        <f t="shared" si="123"/>
        <v>0</v>
      </c>
      <c r="MV6" s="69">
        <f t="shared" si="123"/>
        <v>0</v>
      </c>
      <c r="MW6" s="69">
        <f t="shared" si="123"/>
        <v>0</v>
      </c>
      <c r="MX6" s="69">
        <f t="shared" si="123"/>
        <v>0</v>
      </c>
      <c r="MY6" s="69">
        <f t="shared" si="123"/>
        <v>0</v>
      </c>
      <c r="MZ6" s="69">
        <f t="shared" si="123"/>
        <v>0</v>
      </c>
      <c r="NA6" s="69">
        <f t="shared" si="123"/>
        <v>0</v>
      </c>
      <c r="NB6" s="69">
        <f t="shared" si="123"/>
        <v>0</v>
      </c>
      <c r="NC6" s="69">
        <f t="shared" si="123"/>
        <v>0</v>
      </c>
      <c r="ND6" s="69">
        <f t="shared" si="123"/>
        <v>0</v>
      </c>
      <c r="NE6" s="69">
        <f t="shared" si="123"/>
        <v>0</v>
      </c>
      <c r="NF6" s="69">
        <f t="shared" si="123"/>
        <v>0</v>
      </c>
      <c r="NG6" s="69">
        <f t="shared" si="123"/>
        <v>0</v>
      </c>
      <c r="NH6" s="69">
        <f t="shared" si="123"/>
        <v>0</v>
      </c>
      <c r="NI6" s="69">
        <f t="shared" si="123"/>
        <v>0</v>
      </c>
      <c r="NJ6" s="80" t="s">
        <v>88</v>
      </c>
      <c r="NK6" s="11" t="str">
        <f t="shared" si="124"/>
        <v/>
      </c>
      <c r="NL6" s="11" t="str">
        <f t="shared" si="125"/>
        <v/>
      </c>
      <c r="NM6" s="11" t="str">
        <f t="shared" si="126"/>
        <v/>
      </c>
      <c r="NN6" s="11" t="str">
        <f t="shared" si="127"/>
        <v/>
      </c>
      <c r="NO6" s="11" t="str">
        <f t="shared" si="128"/>
        <v/>
      </c>
      <c r="NP6" s="11" t="str">
        <f t="shared" si="129"/>
        <v/>
      </c>
      <c r="NQ6" s="11" t="str">
        <f t="shared" si="130"/>
        <v/>
      </c>
    </row>
    <row r="7" spans="1:381" x14ac:dyDescent="0.2">
      <c r="A7" s="5" t="str" cm="1">
        <f t="array" ref="A7">IF(AND(G7&lt;&gt;"",H7&lt;&gt;""),SUMPRODUCT((G$4:G$11&lt;&gt;"")*(H$4:H$11&lt;&gt;"")*(E$4:E$11&gt;E7))+1,IF(H7&lt;&gt;"",SUMPRODUCT((I$4:I$11="No DD")*(E$4:E$11&gt;E7))+1+SUMPRODUCT((G$4:G$11&lt;&gt;"")*(H$4:H$11&lt;&gt;"")),""))</f>
        <v/>
      </c>
      <c r="B7" s="8" t="s">
        <v>99</v>
      </c>
      <c r="C7" s="4" t="s">
        <v>98</v>
      </c>
      <c r="D7" s="27" t="s">
        <v>100</v>
      </c>
      <c r="E7" s="15">
        <f t="shared" si="0"/>
        <v>97.72</v>
      </c>
      <c r="F7" s="3" t="str">
        <f t="shared" si="1"/>
        <v/>
      </c>
      <c r="G7" s="125" t="str">
        <f>IF(OR(AND(AL7&gt;=AR$16,AL7&lt;&gt;"",AK7=""),AND(AP7&gt;=AR$16,AP7&lt;&gt;"",AK7=""),AND(BI7&gt;=BO$16,BI7&lt;&gt;"",BH7=""),AND(BM7&gt;=BO$16,BM7&lt;&gt;"",BH7=""),AND(CF7&gt;=CL$16,CF7&lt;&gt;"",CE7=""),AND(CJ7&gt;=CL$16,CJ7&lt;&gt;"",CE7=""),AND(DF7&gt;=DL$16,DF7&lt;&gt;""),AND(DJ7&gt;=DL$16,DJ7&lt;&gt;""),AND(EB7&gt;=EH$16,EB7&lt;&gt;""),AND(EF7&gt;=EH$16,EF7&lt;&gt;""),AND(EX7&gt;=FD$16,EX7&lt;&gt;""),AND(FB7&gt;=FD$16,FB7&lt;&gt;""),AND(FT7&gt;=FZ$16,FT7&lt;&gt;""),AND(FX7&gt;=FZ$16,FX7&lt;&gt;""),AND(GP7&gt;=GV$16,GP7&lt;&gt;""),AND(GT7&gt;=GV$16,GT7&lt;&gt;""),AND(HL7&gt;=HR$16,HL7&lt;&gt;""),AND(HP7&gt;=HR$16,HP7&lt;&gt;""),AND(IH7&gt;=IN$16,IH7&lt;&gt;""),AND(IL7&gt;=IN$16,IL7&lt;&gt;""),AND(JD7&gt;=JJ$16,JD7&lt;&gt;""),AND(JH7&gt;=JJ$16,JH7&lt;&gt;""),AND(JZ7&gt;=KF$16,JZ7&lt;&gt;""),AND(KD7&gt;=KF$16,KD7&lt;&gt;""),AND(KV7&gt;=LB$16,KV7&lt;&gt;""),AND(KZ7&gt;=LB$16,KZ7&lt;&gt;""),AND(LR7&gt;=LX$16,LR7&lt;&gt;""),AND(LV7&gt;=LX$16,LV7&lt;&gt;""),AND(MN7&gt;=MT$16,MN7&lt;&gt;""),AND(MR7&gt;=MT$16,MR7&lt;&gt;"")),"Merit",IF(OR(AND(AL7&gt;=AR$15,AL7&lt;&gt;"",AK7=""),AND(AP7&gt;=AR$15,AP7&lt;&gt;"",AK7=""),AND(BI7&gt;=BO$15,BI7&lt;&gt;"",BH7=""),AND(BM7&gt;=BO$15,BM7&lt;&gt;"",BH7=""),AND(CF7&gt;=CL$15,CF7&lt;&gt;"",CE7=""),AND(CJ7&gt;=CL$15,CJ7&lt;&gt;"",CE7=""),AND(DF7&gt;=DL$15,DF7&lt;&gt;""),AND(DJ7&gt;=DL$15,DJ7&lt;&gt;""),AND(EB7&gt;=EH$15,EB7&lt;&gt;""),AND(EF7&gt;=EH$15,EF7&lt;&gt;""),AND(EX7&gt;=FD$15,EX7&lt;&gt;""),AND(FB7&gt;=FD$15,FB7&lt;&gt;""),AND(FT7&gt;=FZ$15,FT7&lt;&gt;""),AND(FX7&gt;=FZ$15,FX7&lt;&gt;""),AND(GP7&gt;=GV$15,GP7&lt;&gt;""),AND(GT7&gt;=GV$15,GT7&lt;&gt;""),AND(HL7&gt;=HR$15,HL7&lt;&gt;""),AND(HP7&gt;=HR$15,HP7&lt;&gt;""),AND(IH7&gt;=IN$15,IH7&lt;&gt;""),AND(IL7&gt;=IN$15,IL7&lt;&gt;""),AND(JD7&gt;=JJ$15,JD7&lt;&gt;""),AND(JH7&gt;=JJ$15,JH7&lt;&gt;""),AND(JZ7&gt;=KF$15,JZ7&lt;&gt;""),AND(KD7&gt;=KF$15,KD7&lt;&gt;""),AND(KV7&gt;=LB$15,KV7&lt;&gt;""),AND(KZ7&gt;=LB$15,KZ7&lt;&gt;""),AND(LR7&gt;=LX$15,LR7&lt;&gt;""),AND(LV7&gt;=LX$15,LV7&lt;&gt;""),AND(MN7&gt;=MT$15,MN7&lt;&gt;""),AND(MR7&gt;=MT$15,MR7&lt;&gt;"")),"Excellence",IF(OR(AND(AL7&gt;=AR$14,AL7&lt;&gt;"",AK7=""),AND(AP7&gt;=AR$14,AP7&lt;&gt;"",AK7=""),AND(BI7&gt;=BO$14,BI7&lt;&gt;"",BH7=""),AND(BM7&gt;=BO$14,BM7&lt;&gt;"",BH7=""),AND(CF7&gt;=CL$14,CF7&lt;&gt;"",CE7=""),AND(CJ7&gt;=CL$14,CJ7&lt;&gt;"",CE7=""),AND(DF7&gt;=DL$14,DF7&lt;&gt;""),AND(DJ7&gt;=DL$14,DJ7&lt;&gt;""),AND(EB7&gt;=EH$14,EB7&lt;&gt;""),AND(EF7&gt;=EH$14,EF7&lt;&gt;""),AND(EX7&gt;=FD$14,EX7&lt;&gt;""),AND(FB7&gt;=FD$14,FB7&lt;&gt;""),AND(FT7&gt;=FZ$14,FT7&lt;&gt;""),AND(FX7&gt;=FZ$14,FX7&lt;&gt;""),AND(GP7&gt;=GV$14,GP7&lt;&gt;""),AND(GT7&gt;=GV$14,GT7&lt;&gt;""),AND(HL7&gt;=HR$14,HL7&lt;&gt;""),AND(HP7&gt;=HR$14,HP7&lt;&gt;""),AND(IH7&gt;=IN$14,IH7&lt;&gt;""),AND(IL7&gt;=IN$14,IL7&lt;&gt;""),AND(JD7&gt;=JJ$14,JD7&lt;&gt;""),AND(JH7&gt;=JJ$14,JH7&lt;&gt;""),AND(JZ7&gt;=KF$14,JZ7&lt;&gt;""),AND(KD7&gt;=KF$14,KD7&lt;&gt;""),AND(KV7&gt;=LB$14,KV7&lt;&gt;""),AND(KZ7&gt;=LB$14,KZ7&lt;&gt;""),AND(LR7&gt;=LX$14,LR7&lt;&gt;""),AND(LV7&gt;=LX$14,LV7&lt;&gt;""),AND(MN7&gt;=MT$14,MN7&lt;&gt;""),AND(MR7&gt;=MT$14,MR7&lt;&gt;"")),"Worlds Team",IF(OR(AND(AL7&gt;=AR$13,AL7&lt;&gt;"",AK7=""),AND(AP7&gt;=AR$13,AP7&lt;&gt;"",AK7=""),AND(BI7&gt;=BO$13,BI7&lt;&gt;"",BH7=""),AND(BM7&gt;=BO$13,BM7&lt;&gt;"",BH7=""),AND(CF7&gt;=CL$13,CF7&lt;&gt;"",CE7=""),AND(CJ7&gt;=CL$13,CJ7&lt;&gt;"",CE7=""),AND(DF7&gt;=DL$13,DF7&lt;&gt;""),AND(DJ7&gt;=DL$13,DJ7&lt;&gt;""),AND(EB7&gt;=EH$13,EB7&lt;&gt;""),AND(EF7&gt;=EH$13,EF7&lt;&gt;""),AND(EX7&gt;=FD$13,EX7&lt;&gt;""),AND(FB7&gt;=FD$13,FB7&lt;&gt;""),AND(FT7&gt;=FZ$13,FT7&lt;&gt;""),AND(FX7&gt;=FZ$13,FX7&lt;&gt;""),AND(GP7&gt;=GV$13,GP7&lt;&gt;""),AND(GT7&gt;=GV$13,GT7&lt;&gt;""),AND(HL7&gt;=HR$13,HL7&lt;&gt;""),AND(HP7&gt;=HR$13,HP7&lt;&gt;""),AND(IH7&gt;=IN$13,IH7&lt;&gt;""),AND(IL7&gt;=IN$13,IL7&lt;&gt;""),AND(JD7&gt;=JJ$13,JD7&lt;&gt;""),AND(JH7&gt;=JJ$13,JH7&lt;&gt;""),AND(JZ7&gt;=KF$13,JZ7&lt;&gt;""),AND(KD7&gt;=KF$13,KD7&lt;&gt;""),AND(KV7&gt;=LB$13,KV7&lt;&gt;""),AND(KZ7&gt;=LB$13,KZ7&lt;&gt;""),AND(LR7&gt;=LX$13,LR7&lt;&gt;""),AND(LV7&gt;=LX$13,LV7&lt;&gt;""),AND(MN7&gt;=MT$13,MN7&lt;&gt;""),AND(MR7&gt;=MT$13,MR7&lt;&gt;"")),"National Team",""))))</f>
        <v/>
      </c>
      <c r="H7" s="125" t="str">
        <f>IF(OR(AND(AN7&gt;=AR$20,AN7&lt;&gt;"",AK7=""),AND(AQ7&gt;=AR$20,AQ7&lt;&gt;"",AK7=""),AND(BK7&gt;=BO$20,BK7&lt;&gt;"",BH7=""),AND(BN7&gt;=BO$20,BN7&lt;&gt;"",BH7=""),AND(CH7&gt;=CL$20,CH7&lt;&gt;"",CE7=""),AND(CK7&gt;=CL$20,CE7&lt;&gt;"",CE7=""),AND(DH7&gt;=DL$20,DH7&lt;&gt;""),AND(DK7&gt;=DL$20,DK7&lt;&gt;""),AND(ED7&gt;=EH$20,ED7&lt;&gt;""),AND(EG7&gt;=EH$20,EG7&lt;&gt;""),AND(EZ7&gt;=FD$20,EZ7&lt;&gt;""),AND(FC7&gt;=FD$20,FC7&lt;&gt;""),AND(FV7&gt;=FZ$20,FV7&lt;&gt;""),AND(FY7&gt;=FZ$20,FY7&lt;&gt;""),AND(GR7&gt;=GV$20,GR7&lt;&gt;""),AND(GU7&gt;=GV$20,GU7&lt;&gt;""),AND(HN7&gt;=HR$20,HN7&lt;&gt;""),AND(HQ7&gt;=HR$20,HQ7&lt;&gt;""),AND(IJ7&gt;=IN$20,IJ7&lt;&gt;""),AND(IM7&gt;=IN$20,IM7&lt;&gt;""),AND(JF7&gt;=JJ$20,JF7&lt;&gt;""),AND(JI7&gt;=JJ$20,JI7&lt;&gt;""),AND(KB7&gt;=KF$20,KB7&lt;&gt;""),AND(KE7&gt;=KF$20,KE7&lt;&gt;""),AND(KX7&gt;=LB$20,KX7&lt;&gt;""),AND(LA7&gt;=LB$20,LA7&lt;&gt;""),AND(LT7&gt;=LX$20,LT7&lt;&gt;""),AND(LW7&gt;=LX$20,LW7&lt;&gt;""),AND(MP7&gt;=MT$20,MP7&lt;&gt;""),AND(MS7&gt;=MT$20,MS7&lt;&gt;"")),"Merit",IF(OR(AND(AN7&gt;=AR$19,AN7&lt;&gt;"",AK7=""),AND(AQ7&gt;=AR$19,AQ7&lt;&gt;"",AK7=""),AND(BK7&gt;=BO$19,BK7&lt;&gt;"",BH7=""),AND(BN7&gt;=BO$19,BN7&lt;&gt;"",BH7=""),AND(CH7&gt;=CL$19,CH7&lt;&gt;"",CE7=""),AND(CK7&gt;=CL$19,CE7&lt;&gt;"",CE7=""),AND(DH7&gt;=DL$19,DH7&lt;&gt;""),AND(DK7&gt;=DL$19,DK7&lt;&gt;""),AND(ED7&gt;=EH$19,ED7&lt;&gt;""),AND(EG7&gt;=EH$19,EG7&lt;&gt;""),AND(EZ7&gt;=FD$19,EZ7&lt;&gt;""),AND(FC7&gt;=FD$19,FC7&lt;&gt;""),AND(FV7&gt;=FZ$19,FV7&lt;&gt;""),AND(FY7&gt;=FZ$19,FY7&lt;&gt;""),AND(GR7&gt;=GV$19,GR7&lt;&gt;""),AND(GU7&gt;=GV$19,GU7&lt;&gt;""),AND(HN7&gt;=HR$19,HN7&lt;&gt;""),AND(HQ7&gt;=HR$19,HQ7&lt;&gt;""),AND(IJ7&gt;=IN$19,IJ7&lt;&gt;""),AND(IM7&gt;=IN$19,IM7&lt;&gt;""),AND(JF7&gt;=JJ$19,JF7&lt;&gt;""),AND(JI7&gt;=JJ$19,JI7&lt;&gt;""),AND(KB7&gt;=KF$19,KB7&lt;&gt;""),AND(KE7&gt;=KF$19,KE7&lt;&gt;""),AND(KX7&gt;=LB$19,KX7&lt;&gt;""),AND(LA7&gt;=LB$19,LA7&lt;&gt;""),AND(LT7&gt;=LX$19,LT7&lt;&gt;""),AND(LW7&gt;=LX$19,LW7&lt;&gt;""),AND(MP7&gt;=MT$19,MP7&lt;&gt;""),AND(MS7&gt;=MT$19,MS7&lt;&gt;"")),"Excellence",IF(OR(AND(AO7&gt;=AR$18,AO7&lt;&gt;"",AK7=""),AND(BL7&gt;=BO$18,BL7&lt;&gt;"",BH7=""),AND(CI7&gt;=CL$18,CI7&lt;&gt;"",CE7=""),AND(DI7&gt;=DL$18,DI7&lt;&gt;""),AND(EE7&gt;=EH$18,EE7&lt;&gt;""),AND(FA7&gt;=FD$18,FA7&lt;&gt;""),AND(FW7&gt;=FZ$18,FW7&lt;&gt;""),AND(GS7&gt;=GV$18,GS7&lt;&gt;""),AND(HO7&gt;=HR$18,HO7&lt;&gt;""),AND(IK7&gt;=IN$18,IK7&lt;&gt;""),AND(JG7&gt;=JJ$18,JG7&lt;&gt;""),AND(KC7&gt;=KF$18,KC7&lt;&gt;""),AND(KY7&gt;=LB$18,KY7&lt;&gt;""),AND(LU7&gt;=LX$18,LU7&lt;&gt;""),AND(MQ7&gt;=MT$18,MQ7&lt;&gt;"")),"Worlds Team",IF(OR(AND(AO7&gt;=AR$17,AO7&lt;&gt;"",AK7=""),AND(BL7&gt;=BO$17,BL7&lt;&gt;"",BH7=""),AND(CI7&gt;=CL$17,CI7&lt;&gt;"",CE7=""),AND(DI7&gt;=DL$17,DI7&lt;&gt;""),AND(EE7&gt;=EH$17,EE7&lt;&gt;""),AND(FA7&gt;=FD$17,FA7&lt;&gt;""),AND(FW7&gt;=FZ$17,FW7&lt;&gt;""),AND(GS7&gt;=GV$17,GS7&lt;&gt;""),AND(HO7&gt;=HR$17,HO7&lt;&gt;""),AND(IK7&gt;=IN$17,IK7&lt;&gt;""),AND(JG7&gt;=JJ$17,JG7&lt;&gt;""),AND(KC7&gt;=KF$17,KC7&lt;&gt;""),AND(KY7&gt;=LB$17,KY7&lt;&gt;""),AND(LU7&gt;=LX$17,LU7&lt;&gt;""),AND(MQ7&gt;=MT$17,MQ7&lt;&gt;"")),"National Team",""))))</f>
        <v/>
      </c>
      <c r="I7" s="126" t="str">
        <f t="shared" si="2"/>
        <v/>
      </c>
      <c r="J7" s="3" t="str">
        <f>IF(AND(OR(AND(AO7&gt;=AR$18,AO7&lt;&gt;"",AK7=""),AND(BL7&gt;=BO$18,BL7&lt;&gt;"",BH7=""),AND(CI7&gt;=CL$18,CI7&lt;&gt;"",CE7=""),AND(DI7&gt;=DL$18,DI7&lt;&gt;""),AND(EE7&gt;=EH$18,EE7&lt;&gt;""),AND(FA7&gt;=FD$18,FA7&lt;&gt;""),AND(FW7&gt;=FZ$18,FW7&lt;&gt;""),AND(GS7&gt;=GV$18,GS7&lt;&gt;""),AND(HO7&gt;=HR$18,HO7&lt;&gt;""),AND(IK7&gt;=IN$18,IK7&lt;&gt;""),AND(JG7&gt;=JJ$18,JG7&lt;&gt;""),AND(KC7&gt;=KF$18,KC7&lt;&gt;""),AND(KY7&gt;=LB$18,KY7&lt;&gt;""),AND(LU7&gt;=LX$18,LU7&lt;&gt;""),AND(MQ7&gt;=MT$18,MQ7&lt;&gt;"")),OR(G7="Worlds Team",G7="Excellence",G7="Merit")),"P","")</f>
        <v/>
      </c>
      <c r="K7" s="14">
        <f t="shared" si="3"/>
        <v>54.53</v>
      </c>
      <c r="L7" s="14" t="str">
        <f t="shared" si="4"/>
        <v>2019 Nationals</v>
      </c>
      <c r="M7" s="14">
        <f t="shared" si="5"/>
        <v>0</v>
      </c>
      <c r="N7" s="14" t="str">
        <f t="shared" si="6"/>
        <v/>
      </c>
      <c r="O7" s="14">
        <f t="shared" si="7"/>
        <v>0</v>
      </c>
      <c r="P7" s="14" t="str">
        <f t="shared" si="8"/>
        <v/>
      </c>
      <c r="Q7" s="14">
        <f t="shared" si="9"/>
        <v>43.190000000000005</v>
      </c>
      <c r="R7" s="14" t="str">
        <f t="shared" si="10"/>
        <v>2019 Nationals</v>
      </c>
      <c r="S7" s="14" t="str">
        <f t="shared" si="11"/>
        <v/>
      </c>
      <c r="T7" s="25" t="str">
        <f t="shared" si="12"/>
        <v/>
      </c>
      <c r="U7" s="14" t="str">
        <f t="shared" si="13"/>
        <v/>
      </c>
      <c r="V7" s="39">
        <v>9.1</v>
      </c>
      <c r="W7" s="39">
        <v>9.5500000000000007</v>
      </c>
      <c r="X7" s="39">
        <v>3.5</v>
      </c>
      <c r="Y7" s="39">
        <v>17.54</v>
      </c>
      <c r="Z7" s="39">
        <v>0</v>
      </c>
      <c r="AA7" s="39">
        <v>2.25</v>
      </c>
      <c r="AB7" s="39">
        <v>2.5499999999999998</v>
      </c>
      <c r="AC7" s="39">
        <v>4.9000000000000004</v>
      </c>
      <c r="AD7" s="39">
        <v>5.14</v>
      </c>
      <c r="AE7" s="39">
        <v>0</v>
      </c>
      <c r="AF7" s="39">
        <v>7.65</v>
      </c>
      <c r="AG7" s="39">
        <v>8.9</v>
      </c>
      <c r="AH7" s="39">
        <v>13.4</v>
      </c>
      <c r="AI7" s="39">
        <v>13.24</v>
      </c>
      <c r="AJ7" s="39">
        <v>0</v>
      </c>
      <c r="AK7" s="80"/>
      <c r="AL7" s="11">
        <f t="shared" si="14"/>
        <v>4.9000000000000004</v>
      </c>
      <c r="AM7" s="11">
        <f t="shared" si="15"/>
        <v>39.69</v>
      </c>
      <c r="AN7" s="11">
        <f t="shared" si="16"/>
        <v>14.84</v>
      </c>
      <c r="AO7" s="11">
        <f t="shared" si="17"/>
        <v>54.53</v>
      </c>
      <c r="AP7" s="11">
        <f t="shared" si="18"/>
        <v>13.4</v>
      </c>
      <c r="AQ7" s="11">
        <f t="shared" si="19"/>
        <v>43.190000000000005</v>
      </c>
      <c r="AR7" s="11">
        <f t="shared" si="20"/>
        <v>97.72</v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 t="shared" si="21"/>
        <v/>
      </c>
      <c r="BJ7" s="14" t="str">
        <f t="shared" si="22"/>
        <v/>
      </c>
      <c r="BK7" s="14" t="str">
        <f t="shared" si="23"/>
        <v/>
      </c>
      <c r="BL7" s="14" t="str">
        <f t="shared" si="24"/>
        <v/>
      </c>
      <c r="BM7" s="14" t="str">
        <f t="shared" si="25"/>
        <v/>
      </c>
      <c r="BN7" s="14" t="str">
        <f t="shared" si="26"/>
        <v/>
      </c>
      <c r="BO7" s="14" t="str">
        <f t="shared" si="27"/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 t="shared" si="28"/>
        <v/>
      </c>
      <c r="CG7" s="11" t="str">
        <f t="shared" si="29"/>
        <v/>
      </c>
      <c r="CH7" s="11" t="str">
        <f t="shared" si="30"/>
        <v/>
      </c>
      <c r="CI7" s="11" t="str">
        <f t="shared" si="31"/>
        <v/>
      </c>
      <c r="CJ7" s="11" t="str">
        <f t="shared" si="32"/>
        <v/>
      </c>
      <c r="CK7" s="11" t="str">
        <f t="shared" si="33"/>
        <v/>
      </c>
      <c r="CL7" s="11" t="str">
        <f t="shared" si="34"/>
        <v/>
      </c>
      <c r="CM7" s="24" t="str">
        <f t="shared" si="35"/>
        <v/>
      </c>
      <c r="CN7" s="24" t="str">
        <f t="shared" si="36"/>
        <v/>
      </c>
      <c r="CO7" s="24" t="str">
        <f t="shared" si="37"/>
        <v/>
      </c>
      <c r="CP7" s="24" t="str">
        <f t="shared" si="38"/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 t="shared" si="39"/>
        <v/>
      </c>
      <c r="DG7" s="11" t="str">
        <f t="shared" si="40"/>
        <v/>
      </c>
      <c r="DH7" s="11" t="str">
        <f t="shared" si="41"/>
        <v/>
      </c>
      <c r="DI7" s="11" t="str">
        <f t="shared" si="42"/>
        <v/>
      </c>
      <c r="DJ7" s="11" t="str">
        <f t="shared" si="43"/>
        <v/>
      </c>
      <c r="DK7" s="11" t="str">
        <f t="shared" si="44"/>
        <v/>
      </c>
      <c r="DL7" s="11" t="str">
        <f t="shared" si="45"/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 t="shared" si="46"/>
        <v/>
      </c>
      <c r="EC7" s="14" t="str">
        <f t="shared" si="47"/>
        <v/>
      </c>
      <c r="ED7" s="14" t="str">
        <f t="shared" si="48"/>
        <v/>
      </c>
      <c r="EE7" s="14" t="str">
        <f t="shared" si="49"/>
        <v/>
      </c>
      <c r="EF7" s="14" t="str">
        <f t="shared" si="50"/>
        <v/>
      </c>
      <c r="EG7" s="14" t="str">
        <f t="shared" si="51"/>
        <v/>
      </c>
      <c r="EH7" s="14" t="str">
        <f t="shared" si="52"/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 t="shared" si="53"/>
        <v/>
      </c>
      <c r="EY7" s="11" t="str">
        <f t="shared" si="54"/>
        <v/>
      </c>
      <c r="EZ7" s="11" t="str">
        <f t="shared" si="55"/>
        <v/>
      </c>
      <c r="FA7" s="11" t="str">
        <f t="shared" si="56"/>
        <v/>
      </c>
      <c r="FB7" s="11" t="str">
        <f t="shared" si="57"/>
        <v/>
      </c>
      <c r="FC7" s="11" t="str">
        <f t="shared" si="58"/>
        <v/>
      </c>
      <c r="FD7" s="11" t="str">
        <f t="shared" si="59"/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 t="shared" si="60"/>
        <v/>
      </c>
      <c r="FU7" s="14" t="str">
        <f t="shared" si="61"/>
        <v/>
      </c>
      <c r="FV7" s="14" t="str">
        <f t="shared" si="62"/>
        <v/>
      </c>
      <c r="FW7" s="14" t="str">
        <f t="shared" si="63"/>
        <v/>
      </c>
      <c r="FX7" s="14" t="str">
        <f t="shared" si="64"/>
        <v/>
      </c>
      <c r="FY7" s="14" t="str">
        <f t="shared" si="65"/>
        <v/>
      </c>
      <c r="FZ7" s="14" t="str">
        <f t="shared" si="66"/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 t="shared" si="67"/>
        <v/>
      </c>
      <c r="GQ7" s="11" t="str">
        <f t="shared" si="68"/>
        <v/>
      </c>
      <c r="GR7" s="11" t="str">
        <f t="shared" si="69"/>
        <v/>
      </c>
      <c r="GS7" s="11" t="str">
        <f t="shared" si="70"/>
        <v/>
      </c>
      <c r="GT7" s="11" t="str">
        <f t="shared" si="71"/>
        <v/>
      </c>
      <c r="GU7" s="11" t="str">
        <f t="shared" si="72"/>
        <v/>
      </c>
      <c r="GV7" s="11" t="str">
        <f t="shared" si="73"/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 t="shared" si="74"/>
        <v/>
      </c>
      <c r="HM7" s="14" t="str">
        <f t="shared" si="75"/>
        <v/>
      </c>
      <c r="HN7" s="14" t="str">
        <f t="shared" si="76"/>
        <v/>
      </c>
      <c r="HO7" s="14" t="str">
        <f t="shared" si="77"/>
        <v/>
      </c>
      <c r="HP7" s="14" t="str">
        <f t="shared" si="78"/>
        <v/>
      </c>
      <c r="HQ7" s="14" t="str">
        <f t="shared" si="79"/>
        <v/>
      </c>
      <c r="HR7" s="14" t="str">
        <f t="shared" si="80"/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 t="shared" si="81"/>
        <v/>
      </c>
      <c r="II7" s="11" t="str">
        <f t="shared" si="82"/>
        <v/>
      </c>
      <c r="IJ7" s="11" t="str">
        <f t="shared" si="83"/>
        <v/>
      </c>
      <c r="IK7" s="11" t="str">
        <f t="shared" si="84"/>
        <v/>
      </c>
      <c r="IL7" s="11" t="str">
        <f t="shared" si="85"/>
        <v/>
      </c>
      <c r="IM7" s="11" t="str">
        <f t="shared" si="86"/>
        <v/>
      </c>
      <c r="IN7" s="11" t="str">
        <f t="shared" si="87"/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 t="shared" si="88"/>
        <v/>
      </c>
      <c r="JE7" s="14" t="str">
        <f t="shared" si="89"/>
        <v/>
      </c>
      <c r="JF7" s="14" t="str">
        <f t="shared" si="90"/>
        <v/>
      </c>
      <c r="JG7" s="14" t="str">
        <f t="shared" si="91"/>
        <v/>
      </c>
      <c r="JH7" s="14" t="str">
        <f t="shared" si="92"/>
        <v/>
      </c>
      <c r="JI7" s="14" t="str">
        <f t="shared" si="93"/>
        <v/>
      </c>
      <c r="JJ7" s="14" t="str">
        <f t="shared" si="94"/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 t="shared" si="95"/>
        <v/>
      </c>
      <c r="KA7" s="11" t="str">
        <f t="shared" si="96"/>
        <v/>
      </c>
      <c r="KB7" s="11" t="str">
        <f t="shared" si="97"/>
        <v/>
      </c>
      <c r="KC7" s="11" t="str">
        <f t="shared" si="98"/>
        <v/>
      </c>
      <c r="KD7" s="11" t="str">
        <f t="shared" si="99"/>
        <v/>
      </c>
      <c r="KE7" s="11" t="str">
        <f t="shared" si="100"/>
        <v/>
      </c>
      <c r="KF7" s="11" t="str">
        <f t="shared" si="101"/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 t="shared" si="102"/>
        <v/>
      </c>
      <c r="KW7" s="14" t="str">
        <f t="shared" si="103"/>
        <v/>
      </c>
      <c r="KX7" s="14" t="str">
        <f t="shared" si="104"/>
        <v/>
      </c>
      <c r="KY7" s="14" t="str">
        <f t="shared" si="105"/>
        <v/>
      </c>
      <c r="KZ7" s="14" t="str">
        <f t="shared" si="106"/>
        <v/>
      </c>
      <c r="LA7" s="14" t="str">
        <f t="shared" si="107"/>
        <v/>
      </c>
      <c r="LB7" s="14" t="str">
        <f t="shared" si="108"/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 t="shared" si="109"/>
        <v/>
      </c>
      <c r="LS7" s="11" t="str">
        <f t="shared" si="110"/>
        <v/>
      </c>
      <c r="LT7" s="11" t="str">
        <f t="shared" si="111"/>
        <v/>
      </c>
      <c r="LU7" s="11" t="str">
        <f t="shared" si="112"/>
        <v/>
      </c>
      <c r="LV7" s="11" t="str">
        <f t="shared" si="113"/>
        <v/>
      </c>
      <c r="LW7" s="11" t="str">
        <f t="shared" si="114"/>
        <v/>
      </c>
      <c r="LX7" s="11" t="str">
        <f t="shared" si="115"/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 t="shared" si="116"/>
        <v/>
      </c>
      <c r="MO7" s="14" t="str">
        <f t="shared" si="117"/>
        <v/>
      </c>
      <c r="MP7" s="14" t="str">
        <f t="shared" si="118"/>
        <v/>
      </c>
      <c r="MQ7" s="14" t="str">
        <f t="shared" si="119"/>
        <v/>
      </c>
      <c r="MR7" s="14" t="str">
        <f t="shared" si="120"/>
        <v/>
      </c>
      <c r="MS7" s="14" t="str">
        <f t="shared" si="121"/>
        <v/>
      </c>
      <c r="MT7" s="14" t="str">
        <f t="shared" si="122"/>
        <v/>
      </c>
      <c r="MU7" s="69">
        <f t="shared" si="123"/>
        <v>0</v>
      </c>
      <c r="MV7" s="69">
        <f t="shared" si="123"/>
        <v>0</v>
      </c>
      <c r="MW7" s="69">
        <f t="shared" si="123"/>
        <v>0</v>
      </c>
      <c r="MX7" s="69">
        <f t="shared" si="123"/>
        <v>0</v>
      </c>
      <c r="MY7" s="69">
        <f t="shared" si="123"/>
        <v>0</v>
      </c>
      <c r="MZ7" s="69">
        <f t="shared" si="123"/>
        <v>0</v>
      </c>
      <c r="NA7" s="69">
        <f t="shared" si="123"/>
        <v>0</v>
      </c>
      <c r="NB7" s="69">
        <f t="shared" si="123"/>
        <v>0</v>
      </c>
      <c r="NC7" s="69">
        <f t="shared" si="123"/>
        <v>0</v>
      </c>
      <c r="ND7" s="69">
        <f t="shared" si="123"/>
        <v>0</v>
      </c>
      <c r="NE7" s="69">
        <f t="shared" si="123"/>
        <v>0</v>
      </c>
      <c r="NF7" s="69">
        <f t="shared" si="123"/>
        <v>0</v>
      </c>
      <c r="NG7" s="69">
        <f t="shared" si="123"/>
        <v>0</v>
      </c>
      <c r="NH7" s="69">
        <f t="shared" si="123"/>
        <v>0</v>
      </c>
      <c r="NI7" s="69">
        <f t="shared" si="123"/>
        <v>0</v>
      </c>
      <c r="NJ7" s="80" t="s">
        <v>88</v>
      </c>
      <c r="NK7" s="11" t="str">
        <f t="shared" si="124"/>
        <v/>
      </c>
      <c r="NL7" s="11" t="str">
        <f t="shared" si="125"/>
        <v/>
      </c>
      <c r="NM7" s="11" t="str">
        <f t="shared" si="126"/>
        <v/>
      </c>
      <c r="NN7" s="11" t="str">
        <f t="shared" si="127"/>
        <v/>
      </c>
      <c r="NO7" s="11" t="str">
        <f t="shared" si="128"/>
        <v/>
      </c>
      <c r="NP7" s="11" t="str">
        <f t="shared" si="129"/>
        <v/>
      </c>
      <c r="NQ7" s="11" t="str">
        <f t="shared" si="130"/>
        <v/>
      </c>
    </row>
    <row r="8" spans="1:381" x14ac:dyDescent="0.2">
      <c r="A8" s="5" t="str" cm="1">
        <f t="array" ref="A8">IF(AND(G8&lt;&gt;"",H8&lt;&gt;""),SUMPRODUCT((G$4:G$11&lt;&gt;"")*(H$4:H$11&lt;&gt;"")*(E$4:E$11&gt;E8))+1,IF(H8&lt;&gt;"",SUMPRODUCT((I$4:I$11="No DD")*(E$4:E$11&gt;E8))+1+SUMPRODUCT((G$4:G$11&lt;&gt;"")*(H$4:H$11&lt;&gt;"")),""))</f>
        <v/>
      </c>
      <c r="B8" s="8" t="s">
        <v>132</v>
      </c>
      <c r="C8" s="4" t="s">
        <v>5</v>
      </c>
      <c r="D8" s="27" t="s">
        <v>133</v>
      </c>
      <c r="E8" s="15">
        <f t="shared" si="0"/>
        <v>91.009999999999991</v>
      </c>
      <c r="F8" s="3" t="str">
        <f t="shared" si="1"/>
        <v/>
      </c>
      <c r="G8" s="125" t="str">
        <f>IF(OR(AND(AL8&gt;=AR$16,AL8&lt;&gt;"",AK8=""),AND(AP8&gt;=AR$16,AP8&lt;&gt;"",AK8=""),AND(BI8&gt;=BO$16,BI8&lt;&gt;"",BH8=""),AND(BM8&gt;=BO$16,BM8&lt;&gt;"",BH8=""),AND(CF8&gt;=CL$16,CF8&lt;&gt;"",CE8=""),AND(CJ8&gt;=CL$16,CJ8&lt;&gt;"",CE8=""),AND(DF8&gt;=DL$16,DF8&lt;&gt;""),AND(DJ8&gt;=DL$16,DJ8&lt;&gt;""),AND(EB8&gt;=EH$16,EB8&lt;&gt;""),AND(EF8&gt;=EH$16,EF8&lt;&gt;""),AND(EX8&gt;=FD$16,EX8&lt;&gt;""),AND(FB8&gt;=FD$16,FB8&lt;&gt;""),AND(FT8&gt;=FZ$16,FT8&lt;&gt;""),AND(FX8&gt;=FZ$16,FX8&lt;&gt;""),AND(GP8&gt;=GV$16,GP8&lt;&gt;""),AND(GT8&gt;=GV$16,GT8&lt;&gt;""),AND(HL8&gt;=HR$16,HL8&lt;&gt;""),AND(HP8&gt;=HR$16,HP8&lt;&gt;""),AND(IH8&gt;=IN$16,IH8&lt;&gt;""),AND(IL8&gt;=IN$16,IL8&lt;&gt;""),AND(JD8&gt;=JJ$16,JD8&lt;&gt;""),AND(JH8&gt;=JJ$16,JH8&lt;&gt;""),AND(JZ8&gt;=KF$16,JZ8&lt;&gt;""),AND(KD8&gt;=KF$16,KD8&lt;&gt;""),AND(KV8&gt;=LB$16,KV8&lt;&gt;""),AND(KZ8&gt;=LB$16,KZ8&lt;&gt;""),AND(LR8&gt;=LX$16,LR8&lt;&gt;""),AND(LV8&gt;=LX$16,LV8&lt;&gt;""),AND(MN8&gt;=MT$16,MN8&lt;&gt;""),AND(MR8&gt;=MT$16,MR8&lt;&gt;"")),"Merit",IF(OR(AND(AL8&gt;=AR$15,AL8&lt;&gt;"",AK8=""),AND(AP8&gt;=AR$15,AP8&lt;&gt;"",AK8=""),AND(BI8&gt;=BO$15,BI8&lt;&gt;"",BH8=""),AND(BM8&gt;=BO$15,BM8&lt;&gt;"",BH8=""),AND(CF8&gt;=CL$15,CF8&lt;&gt;"",CE8=""),AND(CJ8&gt;=CL$15,CJ8&lt;&gt;"",CE8=""),AND(DF8&gt;=DL$15,DF8&lt;&gt;""),AND(DJ8&gt;=DL$15,DJ8&lt;&gt;""),AND(EB8&gt;=EH$15,EB8&lt;&gt;""),AND(EF8&gt;=EH$15,EF8&lt;&gt;""),AND(EX8&gt;=FD$15,EX8&lt;&gt;""),AND(FB8&gt;=FD$15,FB8&lt;&gt;""),AND(FT8&gt;=FZ$15,FT8&lt;&gt;""),AND(FX8&gt;=FZ$15,FX8&lt;&gt;""),AND(GP8&gt;=GV$15,GP8&lt;&gt;""),AND(GT8&gt;=GV$15,GT8&lt;&gt;""),AND(HL8&gt;=HR$15,HL8&lt;&gt;""),AND(HP8&gt;=HR$15,HP8&lt;&gt;""),AND(IH8&gt;=IN$15,IH8&lt;&gt;""),AND(IL8&gt;=IN$15,IL8&lt;&gt;""),AND(JD8&gt;=JJ$15,JD8&lt;&gt;""),AND(JH8&gt;=JJ$15,JH8&lt;&gt;""),AND(JZ8&gt;=KF$15,JZ8&lt;&gt;""),AND(KD8&gt;=KF$15,KD8&lt;&gt;""),AND(KV8&gt;=LB$15,KV8&lt;&gt;""),AND(KZ8&gt;=LB$15,KZ8&lt;&gt;""),AND(LR8&gt;=LX$15,LR8&lt;&gt;""),AND(LV8&gt;=LX$15,LV8&lt;&gt;""),AND(MN8&gt;=MT$15,MN8&lt;&gt;""),AND(MR8&gt;=MT$15,MR8&lt;&gt;"")),"Excellence",IF(OR(AND(AL8&gt;=AR$14,AL8&lt;&gt;"",AK8=""),AND(AP8&gt;=AR$14,AP8&lt;&gt;"",AK8=""),AND(BI8&gt;=BO$14,BI8&lt;&gt;"",BH8=""),AND(BM8&gt;=BO$14,BM8&lt;&gt;"",BH8=""),AND(CF8&gt;=CL$14,CF8&lt;&gt;"",CE8=""),AND(CJ8&gt;=CL$14,CJ8&lt;&gt;"",CE8=""),AND(DF8&gt;=DL$14,DF8&lt;&gt;""),AND(DJ8&gt;=DL$14,DJ8&lt;&gt;""),AND(EB8&gt;=EH$14,EB8&lt;&gt;""),AND(EF8&gt;=EH$14,EF8&lt;&gt;""),AND(EX8&gt;=FD$14,EX8&lt;&gt;""),AND(FB8&gt;=FD$14,FB8&lt;&gt;""),AND(FT8&gt;=FZ$14,FT8&lt;&gt;""),AND(FX8&gt;=FZ$14,FX8&lt;&gt;""),AND(GP8&gt;=GV$14,GP8&lt;&gt;""),AND(GT8&gt;=GV$14,GT8&lt;&gt;""),AND(HL8&gt;=HR$14,HL8&lt;&gt;""),AND(HP8&gt;=HR$14,HP8&lt;&gt;""),AND(IH8&gt;=IN$14,IH8&lt;&gt;""),AND(IL8&gt;=IN$14,IL8&lt;&gt;""),AND(JD8&gt;=JJ$14,JD8&lt;&gt;""),AND(JH8&gt;=JJ$14,JH8&lt;&gt;""),AND(JZ8&gt;=KF$14,JZ8&lt;&gt;""),AND(KD8&gt;=KF$14,KD8&lt;&gt;""),AND(KV8&gt;=LB$14,KV8&lt;&gt;""),AND(KZ8&gt;=LB$14,KZ8&lt;&gt;""),AND(LR8&gt;=LX$14,LR8&lt;&gt;""),AND(LV8&gt;=LX$14,LV8&lt;&gt;""),AND(MN8&gt;=MT$14,MN8&lt;&gt;""),AND(MR8&gt;=MT$14,MR8&lt;&gt;"")),"Worlds Team",IF(OR(AND(AL8&gt;=AR$13,AL8&lt;&gt;"",AK8=""),AND(AP8&gt;=AR$13,AP8&lt;&gt;"",AK8=""),AND(BI8&gt;=BO$13,BI8&lt;&gt;"",BH8=""),AND(BM8&gt;=BO$13,BM8&lt;&gt;"",BH8=""),AND(CF8&gt;=CL$13,CF8&lt;&gt;"",CE8=""),AND(CJ8&gt;=CL$13,CJ8&lt;&gt;"",CE8=""),AND(DF8&gt;=DL$13,DF8&lt;&gt;""),AND(DJ8&gt;=DL$13,DJ8&lt;&gt;""),AND(EB8&gt;=EH$13,EB8&lt;&gt;""),AND(EF8&gt;=EH$13,EF8&lt;&gt;""),AND(EX8&gt;=FD$13,EX8&lt;&gt;""),AND(FB8&gt;=FD$13,FB8&lt;&gt;""),AND(FT8&gt;=FZ$13,FT8&lt;&gt;""),AND(FX8&gt;=FZ$13,FX8&lt;&gt;""),AND(GP8&gt;=GV$13,GP8&lt;&gt;""),AND(GT8&gt;=GV$13,GT8&lt;&gt;""),AND(HL8&gt;=HR$13,HL8&lt;&gt;""),AND(HP8&gt;=HR$13,HP8&lt;&gt;""),AND(IH8&gt;=IN$13,IH8&lt;&gt;""),AND(IL8&gt;=IN$13,IL8&lt;&gt;""),AND(JD8&gt;=JJ$13,JD8&lt;&gt;""),AND(JH8&gt;=JJ$13,JH8&lt;&gt;""),AND(JZ8&gt;=KF$13,JZ8&lt;&gt;""),AND(KD8&gt;=KF$13,KD8&lt;&gt;""),AND(KV8&gt;=LB$13,KV8&lt;&gt;""),AND(KZ8&gt;=LB$13,KZ8&lt;&gt;""),AND(LR8&gt;=LX$13,LR8&lt;&gt;""),AND(LV8&gt;=LX$13,LV8&lt;&gt;""),AND(MN8&gt;=MT$13,MN8&lt;&gt;""),AND(MR8&gt;=MT$13,MR8&lt;&gt;"")),"National Team",""))))</f>
        <v/>
      </c>
      <c r="H8" s="125" t="str">
        <f>IF(OR(AND(AN8&gt;=AR$20,AN8&lt;&gt;"",AK8=""),AND(AQ8&gt;=AR$20,AQ8&lt;&gt;"",AK8=""),AND(BK8&gt;=BO$20,BK8&lt;&gt;"",BH8=""),AND(BN8&gt;=BO$20,BN8&lt;&gt;"",BH8=""),AND(CH8&gt;=CL$20,CH8&lt;&gt;"",CE8=""),AND(CK8&gt;=CL$20,CE8&lt;&gt;"",CE8=""),AND(DH8&gt;=DL$20,DH8&lt;&gt;""),AND(DK8&gt;=DL$20,DK8&lt;&gt;""),AND(ED8&gt;=EH$20,ED8&lt;&gt;""),AND(EG8&gt;=EH$20,EG8&lt;&gt;""),AND(EZ8&gt;=FD$20,EZ8&lt;&gt;""),AND(FC8&gt;=FD$20,FC8&lt;&gt;""),AND(FV8&gt;=FZ$20,FV8&lt;&gt;""),AND(FY8&gt;=FZ$20,FY8&lt;&gt;""),AND(GR8&gt;=GV$20,GR8&lt;&gt;""),AND(GU8&gt;=GV$20,GU8&lt;&gt;""),AND(HN8&gt;=HR$20,HN8&lt;&gt;""),AND(HQ8&gt;=HR$20,HQ8&lt;&gt;""),AND(IJ8&gt;=IN$20,IJ8&lt;&gt;""),AND(IM8&gt;=IN$20,IM8&lt;&gt;""),AND(JF8&gt;=JJ$20,JF8&lt;&gt;""),AND(JI8&gt;=JJ$20,JI8&lt;&gt;""),AND(KB8&gt;=KF$20,KB8&lt;&gt;""),AND(KE8&gt;=KF$20,KE8&lt;&gt;""),AND(KX8&gt;=LB$20,KX8&lt;&gt;""),AND(LA8&gt;=LB$20,LA8&lt;&gt;""),AND(LT8&gt;=LX$20,LT8&lt;&gt;""),AND(LW8&gt;=LX$20,LW8&lt;&gt;""),AND(MP8&gt;=MT$20,MP8&lt;&gt;""),AND(MS8&gt;=MT$20,MS8&lt;&gt;"")),"Merit",IF(OR(AND(AN8&gt;=AR$19,AN8&lt;&gt;"",AK8=""),AND(AQ8&gt;=AR$19,AQ8&lt;&gt;"",AK8=""),AND(BK8&gt;=BO$19,BK8&lt;&gt;"",BH8=""),AND(BN8&gt;=BO$19,BN8&lt;&gt;"",BH8=""),AND(CH8&gt;=CL$19,CH8&lt;&gt;"",CE8=""),AND(CK8&gt;=CL$19,CE8&lt;&gt;"",CE8=""),AND(DH8&gt;=DL$19,DH8&lt;&gt;""),AND(DK8&gt;=DL$19,DK8&lt;&gt;""),AND(ED8&gt;=EH$19,ED8&lt;&gt;""),AND(EG8&gt;=EH$19,EG8&lt;&gt;""),AND(EZ8&gt;=FD$19,EZ8&lt;&gt;""),AND(FC8&gt;=FD$19,FC8&lt;&gt;""),AND(FV8&gt;=FZ$19,FV8&lt;&gt;""),AND(FY8&gt;=FZ$19,FY8&lt;&gt;""),AND(GR8&gt;=GV$19,GR8&lt;&gt;""),AND(GU8&gt;=GV$19,GU8&lt;&gt;""),AND(HN8&gt;=HR$19,HN8&lt;&gt;""),AND(HQ8&gt;=HR$19,HQ8&lt;&gt;""),AND(IJ8&gt;=IN$19,IJ8&lt;&gt;""),AND(IM8&gt;=IN$19,IM8&lt;&gt;""),AND(JF8&gt;=JJ$19,JF8&lt;&gt;""),AND(JI8&gt;=JJ$19,JI8&lt;&gt;""),AND(KB8&gt;=KF$19,KB8&lt;&gt;""),AND(KE8&gt;=KF$19,KE8&lt;&gt;""),AND(KX8&gt;=LB$19,KX8&lt;&gt;""),AND(LA8&gt;=LB$19,LA8&lt;&gt;""),AND(LT8&gt;=LX$19,LT8&lt;&gt;""),AND(LW8&gt;=LX$19,LW8&lt;&gt;""),AND(MP8&gt;=MT$19,MP8&lt;&gt;""),AND(MS8&gt;=MT$19,MS8&lt;&gt;"")),"Excellence",IF(OR(AND(AO8&gt;=AR$18,AO8&lt;&gt;"",AK8=""),AND(BL8&gt;=BO$18,BL8&lt;&gt;"",BH8=""),AND(CI8&gt;=CL$18,CI8&lt;&gt;"",CE8=""),AND(DI8&gt;=DL$18,DI8&lt;&gt;""),AND(EE8&gt;=EH$18,EE8&lt;&gt;""),AND(FA8&gt;=FD$18,FA8&lt;&gt;""),AND(FW8&gt;=FZ$18,FW8&lt;&gt;""),AND(GS8&gt;=GV$18,GS8&lt;&gt;""),AND(HO8&gt;=HR$18,HO8&lt;&gt;""),AND(IK8&gt;=IN$18,IK8&lt;&gt;""),AND(JG8&gt;=JJ$18,JG8&lt;&gt;""),AND(KC8&gt;=KF$18,KC8&lt;&gt;""),AND(KY8&gt;=LB$18,KY8&lt;&gt;""),AND(LU8&gt;=LX$18,LU8&lt;&gt;""),AND(MQ8&gt;=MT$18,MQ8&lt;&gt;"")),"Worlds Team",IF(OR(AND(AO8&gt;=AR$17,AO8&lt;&gt;"",AK8=""),AND(BL8&gt;=BO$17,BL8&lt;&gt;"",BH8=""),AND(CI8&gt;=CL$17,CI8&lt;&gt;"",CE8=""),AND(DI8&gt;=DL$17,DI8&lt;&gt;""),AND(EE8&gt;=EH$17,EE8&lt;&gt;""),AND(FA8&gt;=FD$17,FA8&lt;&gt;""),AND(FW8&gt;=FZ$17,FW8&lt;&gt;""),AND(GS8&gt;=GV$17,GS8&lt;&gt;""),AND(HO8&gt;=HR$17,HO8&lt;&gt;""),AND(IK8&gt;=IN$17,IK8&lt;&gt;""),AND(JG8&gt;=JJ$17,JG8&lt;&gt;""),AND(KC8&gt;=KF$17,KC8&lt;&gt;""),AND(KY8&gt;=LB$17,KY8&lt;&gt;""),AND(LU8&gt;=LX$17,LU8&lt;&gt;""),AND(MQ8&gt;=MT$17,MQ8&lt;&gt;"")),"National Team",""))))</f>
        <v/>
      </c>
      <c r="I8" s="126" t="str">
        <f t="shared" si="2"/>
        <v/>
      </c>
      <c r="J8" s="3" t="str">
        <f>IF(AND(OR(AND(AO8&gt;=AR$18,AO8&lt;&gt;"",AK8=""),AND(BL8&gt;=BO$18,BL8&lt;&gt;"",BH8=""),AND(CI8&gt;=CL$18,CI8&lt;&gt;"",CE8=""),AND(DI8&gt;=DL$18,DI8&lt;&gt;""),AND(EE8&gt;=EH$18,EE8&lt;&gt;""),AND(FA8&gt;=FD$18,FA8&lt;&gt;""),AND(FW8&gt;=FZ$18,FW8&lt;&gt;""),AND(GS8&gt;=GV$18,GS8&lt;&gt;""),AND(HO8&gt;=HR$18,HO8&lt;&gt;""),AND(IK8&gt;=IN$18,IK8&lt;&gt;""),AND(JG8&gt;=JJ$18,JG8&lt;&gt;""),AND(KC8&gt;=KF$18,KC8&lt;&gt;""),AND(KY8&gt;=LB$18,KY8&lt;&gt;""),AND(LU8&gt;=LX$18,LU8&lt;&gt;""),AND(MQ8&gt;=MT$18,MQ8&lt;&gt;"")),OR(G8="Worlds Team",G8="Excellence",G8="Merit")),"P","")</f>
        <v/>
      </c>
      <c r="K8" s="14">
        <f t="shared" si="3"/>
        <v>62.18</v>
      </c>
      <c r="L8" s="14" t="str">
        <f t="shared" si="4"/>
        <v>2019 Nationals</v>
      </c>
      <c r="M8" s="14">
        <f t="shared" si="5"/>
        <v>0</v>
      </c>
      <c r="N8" s="14" t="str">
        <f t="shared" si="6"/>
        <v/>
      </c>
      <c r="O8" s="14">
        <f t="shared" si="7"/>
        <v>0</v>
      </c>
      <c r="P8" s="14" t="str">
        <f t="shared" si="8"/>
        <v/>
      </c>
      <c r="Q8" s="14">
        <f t="shared" si="9"/>
        <v>28.83</v>
      </c>
      <c r="R8" s="14" t="str">
        <f t="shared" si="10"/>
        <v>2019 Nationals</v>
      </c>
      <c r="S8" s="14" t="str">
        <f t="shared" si="11"/>
        <v/>
      </c>
      <c r="T8" s="25" t="str">
        <f t="shared" si="12"/>
        <v/>
      </c>
      <c r="U8" s="14" t="str">
        <f t="shared" si="13"/>
        <v/>
      </c>
      <c r="V8" s="39">
        <v>8.75</v>
      </c>
      <c r="W8" s="39">
        <v>9.1</v>
      </c>
      <c r="X8" s="39">
        <v>4</v>
      </c>
      <c r="Y8" s="39">
        <v>17.2</v>
      </c>
      <c r="Z8" s="39">
        <v>0</v>
      </c>
      <c r="AA8" s="39">
        <v>4.2</v>
      </c>
      <c r="AB8" s="39">
        <v>4.6500000000000004</v>
      </c>
      <c r="AC8" s="39">
        <v>5.9</v>
      </c>
      <c r="AD8" s="39">
        <v>8.3800000000000008</v>
      </c>
      <c r="AE8" s="39">
        <v>0</v>
      </c>
      <c r="AF8" s="39">
        <v>4.95</v>
      </c>
      <c r="AG8" s="39">
        <v>5.5</v>
      </c>
      <c r="AH8" s="39">
        <v>7.3</v>
      </c>
      <c r="AI8" s="39">
        <v>11.08</v>
      </c>
      <c r="AJ8" s="39">
        <v>0</v>
      </c>
      <c r="AK8" s="80"/>
      <c r="AL8" s="11">
        <f t="shared" si="14"/>
        <v>5.9</v>
      </c>
      <c r="AM8" s="11">
        <f t="shared" si="15"/>
        <v>39.049999999999997</v>
      </c>
      <c r="AN8" s="11">
        <f t="shared" si="16"/>
        <v>23.130000000000003</v>
      </c>
      <c r="AO8" s="11">
        <f t="shared" si="17"/>
        <v>62.18</v>
      </c>
      <c r="AP8" s="11">
        <f t="shared" si="18"/>
        <v>7.3</v>
      </c>
      <c r="AQ8" s="11">
        <f t="shared" si="19"/>
        <v>28.83</v>
      </c>
      <c r="AR8" s="11">
        <f t="shared" si="20"/>
        <v>91.009999999999991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81"/>
      <c r="BI8" s="14" t="str">
        <f t="shared" si="21"/>
        <v/>
      </c>
      <c r="BJ8" s="14" t="str">
        <f t="shared" si="22"/>
        <v/>
      </c>
      <c r="BK8" s="14" t="str">
        <f t="shared" si="23"/>
        <v/>
      </c>
      <c r="BL8" s="14" t="str">
        <f t="shared" si="24"/>
        <v/>
      </c>
      <c r="BM8" s="14" t="str">
        <f t="shared" si="25"/>
        <v/>
      </c>
      <c r="BN8" s="14" t="str">
        <f t="shared" si="26"/>
        <v/>
      </c>
      <c r="BO8" s="14" t="str">
        <f t="shared" si="27"/>
        <v/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 t="shared" si="28"/>
        <v/>
      </c>
      <c r="CG8" s="11" t="str">
        <f t="shared" si="29"/>
        <v/>
      </c>
      <c r="CH8" s="11" t="str">
        <f t="shared" si="30"/>
        <v/>
      </c>
      <c r="CI8" s="11" t="str">
        <f t="shared" si="31"/>
        <v/>
      </c>
      <c r="CJ8" s="11" t="str">
        <f t="shared" si="32"/>
        <v/>
      </c>
      <c r="CK8" s="11" t="str">
        <f t="shared" si="33"/>
        <v/>
      </c>
      <c r="CL8" s="11" t="str">
        <f t="shared" si="34"/>
        <v/>
      </c>
      <c r="CM8" s="24" t="str">
        <f t="shared" si="35"/>
        <v/>
      </c>
      <c r="CN8" s="24" t="str">
        <f t="shared" si="36"/>
        <v/>
      </c>
      <c r="CO8" s="24" t="str">
        <f t="shared" si="37"/>
        <v/>
      </c>
      <c r="CP8" s="24" t="str">
        <f t="shared" si="38"/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 t="shared" si="39"/>
        <v/>
      </c>
      <c r="DG8" s="11" t="str">
        <f t="shared" si="40"/>
        <v/>
      </c>
      <c r="DH8" s="11" t="str">
        <f t="shared" si="41"/>
        <v/>
      </c>
      <c r="DI8" s="11" t="str">
        <f t="shared" si="42"/>
        <v/>
      </c>
      <c r="DJ8" s="11" t="str">
        <f t="shared" si="43"/>
        <v/>
      </c>
      <c r="DK8" s="11" t="str">
        <f t="shared" si="44"/>
        <v/>
      </c>
      <c r="DL8" s="11" t="str">
        <f t="shared" si="45"/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 t="shared" si="46"/>
        <v/>
      </c>
      <c r="EC8" s="14" t="str">
        <f t="shared" si="47"/>
        <v/>
      </c>
      <c r="ED8" s="14" t="str">
        <f t="shared" si="48"/>
        <v/>
      </c>
      <c r="EE8" s="14" t="str">
        <f t="shared" si="49"/>
        <v/>
      </c>
      <c r="EF8" s="14" t="str">
        <f t="shared" si="50"/>
        <v/>
      </c>
      <c r="EG8" s="14" t="str">
        <f t="shared" si="51"/>
        <v/>
      </c>
      <c r="EH8" s="14" t="str">
        <f t="shared" si="52"/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 t="shared" si="53"/>
        <v/>
      </c>
      <c r="EY8" s="11" t="str">
        <f t="shared" si="54"/>
        <v/>
      </c>
      <c r="EZ8" s="11" t="str">
        <f t="shared" si="55"/>
        <v/>
      </c>
      <c r="FA8" s="11" t="str">
        <f t="shared" si="56"/>
        <v/>
      </c>
      <c r="FB8" s="11" t="str">
        <f t="shared" si="57"/>
        <v/>
      </c>
      <c r="FC8" s="11" t="str">
        <f t="shared" si="58"/>
        <v/>
      </c>
      <c r="FD8" s="11" t="str">
        <f t="shared" si="59"/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 t="shared" si="60"/>
        <v/>
      </c>
      <c r="FU8" s="14" t="str">
        <f t="shared" si="61"/>
        <v/>
      </c>
      <c r="FV8" s="14" t="str">
        <f t="shared" si="62"/>
        <v/>
      </c>
      <c r="FW8" s="14" t="str">
        <f t="shared" si="63"/>
        <v/>
      </c>
      <c r="FX8" s="14" t="str">
        <f t="shared" si="64"/>
        <v/>
      </c>
      <c r="FY8" s="14" t="str">
        <f t="shared" si="65"/>
        <v/>
      </c>
      <c r="FZ8" s="14" t="str">
        <f t="shared" si="66"/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 t="shared" si="67"/>
        <v/>
      </c>
      <c r="GQ8" s="11" t="str">
        <f t="shared" si="68"/>
        <v/>
      </c>
      <c r="GR8" s="11" t="str">
        <f t="shared" si="69"/>
        <v/>
      </c>
      <c r="GS8" s="11" t="str">
        <f t="shared" si="70"/>
        <v/>
      </c>
      <c r="GT8" s="11" t="str">
        <f t="shared" si="71"/>
        <v/>
      </c>
      <c r="GU8" s="11" t="str">
        <f t="shared" si="72"/>
        <v/>
      </c>
      <c r="GV8" s="11" t="str">
        <f t="shared" si="73"/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 t="shared" si="74"/>
        <v/>
      </c>
      <c r="HM8" s="14" t="str">
        <f t="shared" si="75"/>
        <v/>
      </c>
      <c r="HN8" s="14" t="str">
        <f t="shared" si="76"/>
        <v/>
      </c>
      <c r="HO8" s="14" t="str">
        <f t="shared" si="77"/>
        <v/>
      </c>
      <c r="HP8" s="14" t="str">
        <f t="shared" si="78"/>
        <v/>
      </c>
      <c r="HQ8" s="14" t="str">
        <f t="shared" si="79"/>
        <v/>
      </c>
      <c r="HR8" s="14" t="str">
        <f t="shared" si="80"/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 t="shared" si="81"/>
        <v/>
      </c>
      <c r="II8" s="11" t="str">
        <f t="shared" si="82"/>
        <v/>
      </c>
      <c r="IJ8" s="11" t="str">
        <f t="shared" si="83"/>
        <v/>
      </c>
      <c r="IK8" s="11" t="str">
        <f t="shared" si="84"/>
        <v/>
      </c>
      <c r="IL8" s="11" t="str">
        <f t="shared" si="85"/>
        <v/>
      </c>
      <c r="IM8" s="11" t="str">
        <f t="shared" si="86"/>
        <v/>
      </c>
      <c r="IN8" s="11" t="str">
        <f t="shared" si="87"/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 t="shared" si="88"/>
        <v/>
      </c>
      <c r="JE8" s="14" t="str">
        <f t="shared" si="89"/>
        <v/>
      </c>
      <c r="JF8" s="14" t="str">
        <f t="shared" si="90"/>
        <v/>
      </c>
      <c r="JG8" s="14" t="str">
        <f t="shared" si="91"/>
        <v/>
      </c>
      <c r="JH8" s="14" t="str">
        <f t="shared" si="92"/>
        <v/>
      </c>
      <c r="JI8" s="14" t="str">
        <f t="shared" si="93"/>
        <v/>
      </c>
      <c r="JJ8" s="14" t="str">
        <f t="shared" si="94"/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 t="shared" si="95"/>
        <v/>
      </c>
      <c r="KA8" s="11" t="str">
        <f t="shared" si="96"/>
        <v/>
      </c>
      <c r="KB8" s="11" t="str">
        <f t="shared" si="97"/>
        <v/>
      </c>
      <c r="KC8" s="11" t="str">
        <f t="shared" si="98"/>
        <v/>
      </c>
      <c r="KD8" s="11" t="str">
        <f t="shared" si="99"/>
        <v/>
      </c>
      <c r="KE8" s="11" t="str">
        <f t="shared" si="100"/>
        <v/>
      </c>
      <c r="KF8" s="11" t="str">
        <f t="shared" si="101"/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 t="shared" si="102"/>
        <v/>
      </c>
      <c r="KW8" s="14" t="str">
        <f t="shared" si="103"/>
        <v/>
      </c>
      <c r="KX8" s="14" t="str">
        <f t="shared" si="104"/>
        <v/>
      </c>
      <c r="KY8" s="14" t="str">
        <f t="shared" si="105"/>
        <v/>
      </c>
      <c r="KZ8" s="14" t="str">
        <f t="shared" si="106"/>
        <v/>
      </c>
      <c r="LA8" s="14" t="str">
        <f t="shared" si="107"/>
        <v/>
      </c>
      <c r="LB8" s="14" t="str">
        <f t="shared" si="108"/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 t="shared" si="109"/>
        <v/>
      </c>
      <c r="LS8" s="11" t="str">
        <f t="shared" si="110"/>
        <v/>
      </c>
      <c r="LT8" s="11" t="str">
        <f t="shared" si="111"/>
        <v/>
      </c>
      <c r="LU8" s="11" t="str">
        <f t="shared" si="112"/>
        <v/>
      </c>
      <c r="LV8" s="11" t="str">
        <f t="shared" si="113"/>
        <v/>
      </c>
      <c r="LW8" s="11" t="str">
        <f t="shared" si="114"/>
        <v/>
      </c>
      <c r="LX8" s="11" t="str">
        <f t="shared" si="115"/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 t="shared" si="116"/>
        <v/>
      </c>
      <c r="MO8" s="14" t="str">
        <f t="shared" si="117"/>
        <v/>
      </c>
      <c r="MP8" s="14" t="str">
        <f t="shared" si="118"/>
        <v/>
      </c>
      <c r="MQ8" s="14" t="str">
        <f t="shared" si="119"/>
        <v/>
      </c>
      <c r="MR8" s="14" t="str">
        <f t="shared" si="120"/>
        <v/>
      </c>
      <c r="MS8" s="14" t="str">
        <f t="shared" si="121"/>
        <v/>
      </c>
      <c r="MT8" s="14" t="str">
        <f t="shared" si="122"/>
        <v/>
      </c>
      <c r="MU8" s="69">
        <f t="shared" si="123"/>
        <v>0</v>
      </c>
      <c r="MV8" s="69">
        <f t="shared" si="123"/>
        <v>0</v>
      </c>
      <c r="MW8" s="69">
        <f t="shared" si="123"/>
        <v>0</v>
      </c>
      <c r="MX8" s="69">
        <f t="shared" si="123"/>
        <v>0</v>
      </c>
      <c r="MY8" s="69">
        <f t="shared" si="123"/>
        <v>0</v>
      </c>
      <c r="MZ8" s="69">
        <f t="shared" si="123"/>
        <v>0</v>
      </c>
      <c r="NA8" s="69">
        <f t="shared" si="123"/>
        <v>0</v>
      </c>
      <c r="NB8" s="69">
        <f t="shared" si="123"/>
        <v>0</v>
      </c>
      <c r="NC8" s="69">
        <f t="shared" si="123"/>
        <v>0</v>
      </c>
      <c r="ND8" s="69">
        <f t="shared" si="123"/>
        <v>0</v>
      </c>
      <c r="NE8" s="69">
        <f t="shared" si="123"/>
        <v>0</v>
      </c>
      <c r="NF8" s="69">
        <f t="shared" si="123"/>
        <v>0</v>
      </c>
      <c r="NG8" s="69">
        <f t="shared" si="123"/>
        <v>0</v>
      </c>
      <c r="NH8" s="69">
        <f t="shared" si="123"/>
        <v>0</v>
      </c>
      <c r="NI8" s="69">
        <f t="shared" si="123"/>
        <v>0</v>
      </c>
      <c r="NJ8" s="80" t="s">
        <v>88</v>
      </c>
      <c r="NK8" s="11" t="str">
        <f t="shared" si="124"/>
        <v/>
      </c>
      <c r="NL8" s="11" t="str">
        <f t="shared" si="125"/>
        <v/>
      </c>
      <c r="NM8" s="11" t="str">
        <f t="shared" si="126"/>
        <v/>
      </c>
      <c r="NN8" s="11" t="str">
        <f t="shared" si="127"/>
        <v/>
      </c>
      <c r="NO8" s="11" t="str">
        <f t="shared" si="128"/>
        <v/>
      </c>
      <c r="NP8" s="11" t="str">
        <f t="shared" si="129"/>
        <v/>
      </c>
      <c r="NQ8" s="11" t="str">
        <f t="shared" si="130"/>
        <v/>
      </c>
    </row>
    <row r="9" spans="1:381" x14ac:dyDescent="0.2">
      <c r="A9" s="5" t="str" cm="1">
        <f t="array" ref="A9">IF(AND(G9&lt;&gt;"",H9&lt;&gt;""),SUMPRODUCT((G$4:G$11&lt;&gt;"")*(H$4:H$11&lt;&gt;"")*(E$4:E$11&gt;E9))+1,IF(H9&lt;&gt;"",SUMPRODUCT((I$4:I$11="No DD")*(E$4:E$11&gt;E9))+1+SUMPRODUCT((G$4:G$11&lt;&gt;"")*(H$4:H$11&lt;&gt;"")),""))</f>
        <v/>
      </c>
      <c r="B9" s="6" t="s">
        <v>131</v>
      </c>
      <c r="C9" s="7" t="s">
        <v>10</v>
      </c>
      <c r="D9" s="5" t="s">
        <v>91</v>
      </c>
      <c r="E9" s="15">
        <f t="shared" si="0"/>
        <v>79.649999999999991</v>
      </c>
      <c r="F9" s="3" t="str">
        <f t="shared" si="1"/>
        <v/>
      </c>
      <c r="G9" s="125" t="str">
        <f>IF(OR(AND(AL9&gt;=AR$16,AL9&lt;&gt;"",AK9=""),AND(AP9&gt;=AR$16,AP9&lt;&gt;"",AK9=""),AND(BI9&gt;=BO$16,BI9&lt;&gt;"",BH9=""),AND(BM9&gt;=BO$16,BM9&lt;&gt;"",BH9=""),AND(CF9&gt;=CL$16,CF9&lt;&gt;"",CE9=""),AND(CJ9&gt;=CL$16,CJ9&lt;&gt;"",CE9=""),AND(DF9&gt;=DL$16,DF9&lt;&gt;""),AND(DJ9&gt;=DL$16,DJ9&lt;&gt;""),AND(EB9&gt;=EH$16,EB9&lt;&gt;""),AND(EF9&gt;=EH$16,EF9&lt;&gt;""),AND(EX9&gt;=FD$16,EX9&lt;&gt;""),AND(FB9&gt;=FD$16,FB9&lt;&gt;""),AND(FT9&gt;=FZ$16,FT9&lt;&gt;""),AND(FX9&gt;=FZ$16,FX9&lt;&gt;""),AND(GP9&gt;=GV$16,GP9&lt;&gt;""),AND(GT9&gt;=GV$16,GT9&lt;&gt;""),AND(HL9&gt;=HR$16,HL9&lt;&gt;""),AND(HP9&gt;=HR$16,HP9&lt;&gt;""),AND(IH9&gt;=IN$16,IH9&lt;&gt;""),AND(IL9&gt;=IN$16,IL9&lt;&gt;""),AND(JD9&gt;=JJ$16,JD9&lt;&gt;""),AND(JH9&gt;=JJ$16,JH9&lt;&gt;""),AND(JZ9&gt;=KF$16,JZ9&lt;&gt;""),AND(KD9&gt;=KF$16,KD9&lt;&gt;""),AND(KV9&gt;=LB$16,KV9&lt;&gt;""),AND(KZ9&gt;=LB$16,KZ9&lt;&gt;""),AND(LR9&gt;=LX$16,LR9&lt;&gt;""),AND(LV9&gt;=LX$16,LV9&lt;&gt;""),AND(MN9&gt;=MT$16,MN9&lt;&gt;""),AND(MR9&gt;=MT$16,MR9&lt;&gt;"")),"Merit",IF(OR(AND(AL9&gt;=AR$15,AL9&lt;&gt;"",AK9=""),AND(AP9&gt;=AR$15,AP9&lt;&gt;"",AK9=""),AND(BI9&gt;=BO$15,BI9&lt;&gt;"",BH9=""),AND(BM9&gt;=BO$15,BM9&lt;&gt;"",BH9=""),AND(CF9&gt;=CL$15,CF9&lt;&gt;"",CE9=""),AND(CJ9&gt;=CL$15,CJ9&lt;&gt;"",CE9=""),AND(DF9&gt;=DL$15,DF9&lt;&gt;""),AND(DJ9&gt;=DL$15,DJ9&lt;&gt;""),AND(EB9&gt;=EH$15,EB9&lt;&gt;""),AND(EF9&gt;=EH$15,EF9&lt;&gt;""),AND(EX9&gt;=FD$15,EX9&lt;&gt;""),AND(FB9&gt;=FD$15,FB9&lt;&gt;""),AND(FT9&gt;=FZ$15,FT9&lt;&gt;""),AND(FX9&gt;=FZ$15,FX9&lt;&gt;""),AND(GP9&gt;=GV$15,GP9&lt;&gt;""),AND(GT9&gt;=GV$15,GT9&lt;&gt;""),AND(HL9&gt;=HR$15,HL9&lt;&gt;""),AND(HP9&gt;=HR$15,HP9&lt;&gt;""),AND(IH9&gt;=IN$15,IH9&lt;&gt;""),AND(IL9&gt;=IN$15,IL9&lt;&gt;""),AND(JD9&gt;=JJ$15,JD9&lt;&gt;""),AND(JH9&gt;=JJ$15,JH9&lt;&gt;""),AND(JZ9&gt;=KF$15,JZ9&lt;&gt;""),AND(KD9&gt;=KF$15,KD9&lt;&gt;""),AND(KV9&gt;=LB$15,KV9&lt;&gt;""),AND(KZ9&gt;=LB$15,KZ9&lt;&gt;""),AND(LR9&gt;=LX$15,LR9&lt;&gt;""),AND(LV9&gt;=LX$15,LV9&lt;&gt;""),AND(MN9&gt;=MT$15,MN9&lt;&gt;""),AND(MR9&gt;=MT$15,MR9&lt;&gt;"")),"Excellence",IF(OR(AND(AL9&gt;=AR$14,AL9&lt;&gt;"",AK9=""),AND(AP9&gt;=AR$14,AP9&lt;&gt;"",AK9=""),AND(BI9&gt;=BO$14,BI9&lt;&gt;"",BH9=""),AND(BM9&gt;=BO$14,BM9&lt;&gt;"",BH9=""),AND(CF9&gt;=CL$14,CF9&lt;&gt;"",CE9=""),AND(CJ9&gt;=CL$14,CJ9&lt;&gt;"",CE9=""),AND(DF9&gt;=DL$14,DF9&lt;&gt;""),AND(DJ9&gt;=DL$14,DJ9&lt;&gt;""),AND(EB9&gt;=EH$14,EB9&lt;&gt;""),AND(EF9&gt;=EH$14,EF9&lt;&gt;""),AND(EX9&gt;=FD$14,EX9&lt;&gt;""),AND(FB9&gt;=FD$14,FB9&lt;&gt;""),AND(FT9&gt;=FZ$14,FT9&lt;&gt;""),AND(FX9&gt;=FZ$14,FX9&lt;&gt;""),AND(GP9&gt;=GV$14,GP9&lt;&gt;""),AND(GT9&gt;=GV$14,GT9&lt;&gt;""),AND(HL9&gt;=HR$14,HL9&lt;&gt;""),AND(HP9&gt;=HR$14,HP9&lt;&gt;""),AND(IH9&gt;=IN$14,IH9&lt;&gt;""),AND(IL9&gt;=IN$14,IL9&lt;&gt;""),AND(JD9&gt;=JJ$14,JD9&lt;&gt;""),AND(JH9&gt;=JJ$14,JH9&lt;&gt;""),AND(JZ9&gt;=KF$14,JZ9&lt;&gt;""),AND(KD9&gt;=KF$14,KD9&lt;&gt;""),AND(KV9&gt;=LB$14,KV9&lt;&gt;""),AND(KZ9&gt;=LB$14,KZ9&lt;&gt;""),AND(LR9&gt;=LX$14,LR9&lt;&gt;""),AND(LV9&gt;=LX$14,LV9&lt;&gt;""),AND(MN9&gt;=MT$14,MN9&lt;&gt;""),AND(MR9&gt;=MT$14,MR9&lt;&gt;"")),"Worlds Team",IF(OR(AND(AL9&gt;=AR$13,AL9&lt;&gt;"",AK9=""),AND(AP9&gt;=AR$13,AP9&lt;&gt;"",AK9=""),AND(BI9&gt;=BO$13,BI9&lt;&gt;"",BH9=""),AND(BM9&gt;=BO$13,BM9&lt;&gt;"",BH9=""),AND(CF9&gt;=CL$13,CF9&lt;&gt;"",CE9=""),AND(CJ9&gt;=CL$13,CJ9&lt;&gt;"",CE9=""),AND(DF9&gt;=DL$13,DF9&lt;&gt;""),AND(DJ9&gt;=DL$13,DJ9&lt;&gt;""),AND(EB9&gt;=EH$13,EB9&lt;&gt;""),AND(EF9&gt;=EH$13,EF9&lt;&gt;""),AND(EX9&gt;=FD$13,EX9&lt;&gt;""),AND(FB9&gt;=FD$13,FB9&lt;&gt;""),AND(FT9&gt;=FZ$13,FT9&lt;&gt;""),AND(FX9&gt;=FZ$13,FX9&lt;&gt;""),AND(GP9&gt;=GV$13,GP9&lt;&gt;""),AND(GT9&gt;=GV$13,GT9&lt;&gt;""),AND(HL9&gt;=HR$13,HL9&lt;&gt;""),AND(HP9&gt;=HR$13,HP9&lt;&gt;""),AND(IH9&gt;=IN$13,IH9&lt;&gt;""),AND(IL9&gt;=IN$13,IL9&lt;&gt;""),AND(JD9&gt;=JJ$13,JD9&lt;&gt;""),AND(JH9&gt;=JJ$13,JH9&lt;&gt;""),AND(JZ9&gt;=KF$13,JZ9&lt;&gt;""),AND(KD9&gt;=KF$13,KD9&lt;&gt;""),AND(KV9&gt;=LB$13,KV9&lt;&gt;""),AND(KZ9&gt;=LB$13,KZ9&lt;&gt;""),AND(LR9&gt;=LX$13,LR9&lt;&gt;""),AND(LV9&gt;=LX$13,LV9&lt;&gt;""),AND(MN9&gt;=MT$13,MN9&lt;&gt;""),AND(MR9&gt;=MT$13,MR9&lt;&gt;"")),"National Team",""))))</f>
        <v/>
      </c>
      <c r="H9" s="125" t="str">
        <f>IF(OR(AND(AN9&gt;=AR$20,AN9&lt;&gt;"",AK9=""),AND(AQ9&gt;=AR$20,AQ9&lt;&gt;"",AK9=""),AND(BK9&gt;=BO$20,BK9&lt;&gt;"",BH9=""),AND(BN9&gt;=BO$20,BN9&lt;&gt;"",BH9=""),AND(CH9&gt;=CL$20,CH9&lt;&gt;"",CE9=""),AND(CK9&gt;=CL$20,CE9&lt;&gt;"",CE9=""),AND(DH9&gt;=DL$20,DH9&lt;&gt;""),AND(DK9&gt;=DL$20,DK9&lt;&gt;""),AND(ED9&gt;=EH$20,ED9&lt;&gt;""),AND(EG9&gt;=EH$20,EG9&lt;&gt;""),AND(EZ9&gt;=FD$20,EZ9&lt;&gt;""),AND(FC9&gt;=FD$20,FC9&lt;&gt;""),AND(FV9&gt;=FZ$20,FV9&lt;&gt;""),AND(FY9&gt;=FZ$20,FY9&lt;&gt;""),AND(GR9&gt;=GV$20,GR9&lt;&gt;""),AND(GU9&gt;=GV$20,GU9&lt;&gt;""),AND(HN9&gt;=HR$20,HN9&lt;&gt;""),AND(HQ9&gt;=HR$20,HQ9&lt;&gt;""),AND(IJ9&gt;=IN$20,IJ9&lt;&gt;""),AND(IM9&gt;=IN$20,IM9&lt;&gt;""),AND(JF9&gt;=JJ$20,JF9&lt;&gt;""),AND(JI9&gt;=JJ$20,JI9&lt;&gt;""),AND(KB9&gt;=KF$20,KB9&lt;&gt;""),AND(KE9&gt;=KF$20,KE9&lt;&gt;""),AND(KX9&gt;=LB$20,KX9&lt;&gt;""),AND(LA9&gt;=LB$20,LA9&lt;&gt;""),AND(LT9&gt;=LX$20,LT9&lt;&gt;""),AND(LW9&gt;=LX$20,LW9&lt;&gt;""),AND(MP9&gt;=MT$20,MP9&lt;&gt;""),AND(MS9&gt;=MT$20,MS9&lt;&gt;"")),"Merit",IF(OR(AND(AN9&gt;=AR$19,AN9&lt;&gt;"",AK9=""),AND(AQ9&gt;=AR$19,AQ9&lt;&gt;"",AK9=""),AND(BK9&gt;=BO$19,BK9&lt;&gt;"",BH9=""),AND(BN9&gt;=BO$19,BN9&lt;&gt;"",BH9=""),AND(CH9&gt;=CL$19,CH9&lt;&gt;"",CE9=""),AND(CK9&gt;=CL$19,CE9&lt;&gt;"",CE9=""),AND(DH9&gt;=DL$19,DH9&lt;&gt;""),AND(DK9&gt;=DL$19,DK9&lt;&gt;""),AND(ED9&gt;=EH$19,ED9&lt;&gt;""),AND(EG9&gt;=EH$19,EG9&lt;&gt;""),AND(EZ9&gt;=FD$19,EZ9&lt;&gt;""),AND(FC9&gt;=FD$19,FC9&lt;&gt;""),AND(FV9&gt;=FZ$19,FV9&lt;&gt;""),AND(FY9&gt;=FZ$19,FY9&lt;&gt;""),AND(GR9&gt;=GV$19,GR9&lt;&gt;""),AND(GU9&gt;=GV$19,GU9&lt;&gt;""),AND(HN9&gt;=HR$19,HN9&lt;&gt;""),AND(HQ9&gt;=HR$19,HQ9&lt;&gt;""),AND(IJ9&gt;=IN$19,IJ9&lt;&gt;""),AND(IM9&gt;=IN$19,IM9&lt;&gt;""),AND(JF9&gt;=JJ$19,JF9&lt;&gt;""),AND(JI9&gt;=JJ$19,JI9&lt;&gt;""),AND(KB9&gt;=KF$19,KB9&lt;&gt;""),AND(KE9&gt;=KF$19,KE9&lt;&gt;""),AND(KX9&gt;=LB$19,KX9&lt;&gt;""),AND(LA9&gt;=LB$19,LA9&lt;&gt;""),AND(LT9&gt;=LX$19,LT9&lt;&gt;""),AND(LW9&gt;=LX$19,LW9&lt;&gt;""),AND(MP9&gt;=MT$19,MP9&lt;&gt;""),AND(MS9&gt;=MT$19,MS9&lt;&gt;"")),"Excellence",IF(OR(AND(AO9&gt;=AR$18,AO9&lt;&gt;"",AK9=""),AND(BL9&gt;=BO$18,BL9&lt;&gt;"",BH9=""),AND(CI9&gt;=CL$18,CI9&lt;&gt;"",CE9=""),AND(DI9&gt;=DL$18,DI9&lt;&gt;""),AND(EE9&gt;=EH$18,EE9&lt;&gt;""),AND(FA9&gt;=FD$18,FA9&lt;&gt;""),AND(FW9&gt;=FZ$18,FW9&lt;&gt;""),AND(GS9&gt;=GV$18,GS9&lt;&gt;""),AND(HO9&gt;=HR$18,HO9&lt;&gt;""),AND(IK9&gt;=IN$18,IK9&lt;&gt;""),AND(JG9&gt;=JJ$18,JG9&lt;&gt;""),AND(KC9&gt;=KF$18,KC9&lt;&gt;""),AND(KY9&gt;=LB$18,KY9&lt;&gt;""),AND(LU9&gt;=LX$18,LU9&lt;&gt;""),AND(MQ9&gt;=MT$18,MQ9&lt;&gt;"")),"Worlds Team",IF(OR(AND(AO9&gt;=AR$17,AO9&lt;&gt;"",AK9=""),AND(BL9&gt;=BO$17,BL9&lt;&gt;"",BH9=""),AND(CI9&gt;=CL$17,CI9&lt;&gt;"",CE9=""),AND(DI9&gt;=DL$17,DI9&lt;&gt;""),AND(EE9&gt;=EH$17,EE9&lt;&gt;""),AND(FA9&gt;=FD$17,FA9&lt;&gt;""),AND(FW9&gt;=FZ$17,FW9&lt;&gt;""),AND(GS9&gt;=GV$17,GS9&lt;&gt;""),AND(HO9&gt;=HR$17,HO9&lt;&gt;""),AND(IK9&gt;=IN$17,IK9&lt;&gt;""),AND(JG9&gt;=JJ$17,JG9&lt;&gt;""),AND(KC9&gt;=KF$17,KC9&lt;&gt;""),AND(KY9&gt;=LB$17,KY9&lt;&gt;""),AND(LU9&gt;=LX$17,LU9&lt;&gt;""),AND(MQ9&gt;=MT$17,MQ9&lt;&gt;"")),"National Team",""))))</f>
        <v/>
      </c>
      <c r="I9" s="126" t="str">
        <f t="shared" si="2"/>
        <v/>
      </c>
      <c r="J9" s="3" t="str">
        <f>IF(AND(OR(AND(AO9&gt;=AR$18,AO9&lt;&gt;"",AK9=""),AND(BL9&gt;=BO$18,BL9&lt;&gt;"",BH9=""),AND(CI9&gt;=CL$18,CI9&lt;&gt;"",CE9=""),AND(DI9&gt;=DL$18,DI9&lt;&gt;""),AND(EE9&gt;=EH$18,EE9&lt;&gt;""),AND(FA9&gt;=FD$18,FA9&lt;&gt;""),AND(FW9&gt;=FZ$18,FW9&lt;&gt;""),AND(GS9&gt;=GV$18,GS9&lt;&gt;""),AND(HO9&gt;=HR$18,HO9&lt;&gt;""),AND(IK9&gt;=IN$18,IK9&lt;&gt;""),AND(JG9&gt;=JJ$18,JG9&lt;&gt;""),AND(KC9&gt;=KF$18,KC9&lt;&gt;""),AND(KY9&gt;=LB$18,KY9&lt;&gt;""),AND(LU9&gt;=LX$18,LU9&lt;&gt;""),AND(MQ9&gt;=MT$18,MQ9&lt;&gt;"")),OR(G9="Worlds Team",G9="Excellence",G9="Merit")),"P","")</f>
        <v/>
      </c>
      <c r="K9" s="14">
        <f t="shared" si="3"/>
        <v>74.509999999999991</v>
      </c>
      <c r="L9" s="14" t="str">
        <f t="shared" si="4"/>
        <v>2019 Nationals</v>
      </c>
      <c r="M9" s="14">
        <f t="shared" si="5"/>
        <v>0</v>
      </c>
      <c r="N9" s="14" t="str">
        <f t="shared" si="6"/>
        <v/>
      </c>
      <c r="O9" s="14">
        <f t="shared" si="7"/>
        <v>0</v>
      </c>
      <c r="P9" s="14" t="str">
        <f t="shared" si="8"/>
        <v/>
      </c>
      <c r="Q9" s="14">
        <f t="shared" si="9"/>
        <v>5.1400000000000006</v>
      </c>
      <c r="R9" s="14" t="str">
        <f t="shared" si="10"/>
        <v>2019 Nationals</v>
      </c>
      <c r="S9" s="14" t="str">
        <f t="shared" si="11"/>
        <v/>
      </c>
      <c r="T9" s="25" t="str">
        <f t="shared" si="12"/>
        <v/>
      </c>
      <c r="U9" s="14" t="str">
        <f t="shared" si="13"/>
        <v/>
      </c>
      <c r="V9" s="39">
        <v>6.55</v>
      </c>
      <c r="W9" s="39">
        <v>6.4</v>
      </c>
      <c r="X9" s="39">
        <v>1.3</v>
      </c>
      <c r="Y9" s="39">
        <v>11.72</v>
      </c>
      <c r="Z9" s="39">
        <v>0</v>
      </c>
      <c r="AA9" s="39">
        <v>8.15</v>
      </c>
      <c r="AB9" s="39">
        <v>8.9499999999999993</v>
      </c>
      <c r="AC9" s="39">
        <v>13.4</v>
      </c>
      <c r="AD9" s="39">
        <v>18.04</v>
      </c>
      <c r="AE9" s="39">
        <v>0</v>
      </c>
      <c r="AF9" s="39">
        <v>0.85</v>
      </c>
      <c r="AG9" s="39">
        <v>0.95</v>
      </c>
      <c r="AH9" s="39">
        <v>2</v>
      </c>
      <c r="AI9" s="39">
        <v>1.94</v>
      </c>
      <c r="AJ9" s="39">
        <v>0.6</v>
      </c>
      <c r="AK9" s="80"/>
      <c r="AL9" s="11">
        <f t="shared" si="14"/>
        <v>13.4</v>
      </c>
      <c r="AM9" s="11">
        <f t="shared" si="15"/>
        <v>25.97</v>
      </c>
      <c r="AN9" s="11">
        <f t="shared" si="16"/>
        <v>48.54</v>
      </c>
      <c r="AO9" s="11">
        <f t="shared" si="17"/>
        <v>74.509999999999991</v>
      </c>
      <c r="AP9" s="11">
        <f t="shared" si="18"/>
        <v>2</v>
      </c>
      <c r="AQ9" s="11">
        <f t="shared" si="19"/>
        <v>5.1400000000000006</v>
      </c>
      <c r="AR9" s="11">
        <f t="shared" si="20"/>
        <v>79.649999999999991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81"/>
      <c r="BI9" s="14" t="str">
        <f t="shared" si="21"/>
        <v/>
      </c>
      <c r="BJ9" s="14" t="str">
        <f t="shared" si="22"/>
        <v/>
      </c>
      <c r="BK9" s="14" t="str">
        <f t="shared" si="23"/>
        <v/>
      </c>
      <c r="BL9" s="14" t="str">
        <f t="shared" si="24"/>
        <v/>
      </c>
      <c r="BM9" s="14" t="str">
        <f t="shared" si="25"/>
        <v/>
      </c>
      <c r="BN9" s="14" t="str">
        <f t="shared" si="26"/>
        <v/>
      </c>
      <c r="BO9" s="14" t="str">
        <f t="shared" si="27"/>
        <v/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 t="shared" si="28"/>
        <v/>
      </c>
      <c r="CG9" s="11" t="str">
        <f t="shared" si="29"/>
        <v/>
      </c>
      <c r="CH9" s="11" t="str">
        <f t="shared" si="30"/>
        <v/>
      </c>
      <c r="CI9" s="11" t="str">
        <f t="shared" si="31"/>
        <v/>
      </c>
      <c r="CJ9" s="11" t="str">
        <f t="shared" si="32"/>
        <v/>
      </c>
      <c r="CK9" s="11" t="str">
        <f t="shared" si="33"/>
        <v/>
      </c>
      <c r="CL9" s="11" t="str">
        <f t="shared" si="34"/>
        <v/>
      </c>
      <c r="CM9" s="24" t="str">
        <f t="shared" si="35"/>
        <v/>
      </c>
      <c r="CN9" s="24" t="str">
        <f t="shared" si="36"/>
        <v/>
      </c>
      <c r="CO9" s="24" t="str">
        <f t="shared" si="37"/>
        <v/>
      </c>
      <c r="CP9" s="24" t="str">
        <f t="shared" si="38"/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 t="shared" si="39"/>
        <v/>
      </c>
      <c r="DG9" s="11" t="str">
        <f t="shared" si="40"/>
        <v/>
      </c>
      <c r="DH9" s="11" t="str">
        <f t="shared" si="41"/>
        <v/>
      </c>
      <c r="DI9" s="11" t="str">
        <f t="shared" si="42"/>
        <v/>
      </c>
      <c r="DJ9" s="11" t="str">
        <f t="shared" si="43"/>
        <v/>
      </c>
      <c r="DK9" s="11" t="str">
        <f t="shared" si="44"/>
        <v/>
      </c>
      <c r="DL9" s="11" t="str">
        <f t="shared" si="45"/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 t="shared" si="46"/>
        <v/>
      </c>
      <c r="EC9" s="14" t="str">
        <f t="shared" si="47"/>
        <v/>
      </c>
      <c r="ED9" s="14" t="str">
        <f t="shared" si="48"/>
        <v/>
      </c>
      <c r="EE9" s="14" t="str">
        <f t="shared" si="49"/>
        <v/>
      </c>
      <c r="EF9" s="14" t="str">
        <f t="shared" si="50"/>
        <v/>
      </c>
      <c r="EG9" s="14" t="str">
        <f t="shared" si="51"/>
        <v/>
      </c>
      <c r="EH9" s="14" t="str">
        <f t="shared" si="52"/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 t="shared" si="53"/>
        <v/>
      </c>
      <c r="EY9" s="11" t="str">
        <f t="shared" si="54"/>
        <v/>
      </c>
      <c r="EZ9" s="11" t="str">
        <f t="shared" si="55"/>
        <v/>
      </c>
      <c r="FA9" s="11" t="str">
        <f t="shared" si="56"/>
        <v/>
      </c>
      <c r="FB9" s="11" t="str">
        <f t="shared" si="57"/>
        <v/>
      </c>
      <c r="FC9" s="11" t="str">
        <f t="shared" si="58"/>
        <v/>
      </c>
      <c r="FD9" s="11" t="str">
        <f t="shared" si="59"/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 t="shared" si="60"/>
        <v/>
      </c>
      <c r="FU9" s="14" t="str">
        <f t="shared" si="61"/>
        <v/>
      </c>
      <c r="FV9" s="14" t="str">
        <f t="shared" si="62"/>
        <v/>
      </c>
      <c r="FW9" s="14" t="str">
        <f t="shared" si="63"/>
        <v/>
      </c>
      <c r="FX9" s="14" t="str">
        <f t="shared" si="64"/>
        <v/>
      </c>
      <c r="FY9" s="14" t="str">
        <f t="shared" si="65"/>
        <v/>
      </c>
      <c r="FZ9" s="14" t="str">
        <f t="shared" si="66"/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 t="shared" si="67"/>
        <v/>
      </c>
      <c r="GQ9" s="11" t="str">
        <f t="shared" si="68"/>
        <v/>
      </c>
      <c r="GR9" s="11" t="str">
        <f t="shared" si="69"/>
        <v/>
      </c>
      <c r="GS9" s="11" t="str">
        <f t="shared" si="70"/>
        <v/>
      </c>
      <c r="GT9" s="11" t="str">
        <f t="shared" si="71"/>
        <v/>
      </c>
      <c r="GU9" s="11" t="str">
        <f t="shared" si="72"/>
        <v/>
      </c>
      <c r="GV9" s="11" t="str">
        <f t="shared" si="73"/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 t="shared" si="74"/>
        <v/>
      </c>
      <c r="HM9" s="14" t="str">
        <f t="shared" si="75"/>
        <v/>
      </c>
      <c r="HN9" s="14" t="str">
        <f t="shared" si="76"/>
        <v/>
      </c>
      <c r="HO9" s="14" t="str">
        <f t="shared" si="77"/>
        <v/>
      </c>
      <c r="HP9" s="14" t="str">
        <f t="shared" si="78"/>
        <v/>
      </c>
      <c r="HQ9" s="14" t="str">
        <f t="shared" si="79"/>
        <v/>
      </c>
      <c r="HR9" s="14" t="str">
        <f t="shared" si="80"/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 t="shared" si="81"/>
        <v/>
      </c>
      <c r="II9" s="11" t="str">
        <f t="shared" si="82"/>
        <v/>
      </c>
      <c r="IJ9" s="11" t="str">
        <f t="shared" si="83"/>
        <v/>
      </c>
      <c r="IK9" s="11" t="str">
        <f t="shared" si="84"/>
        <v/>
      </c>
      <c r="IL9" s="11" t="str">
        <f t="shared" si="85"/>
        <v/>
      </c>
      <c r="IM9" s="11" t="str">
        <f t="shared" si="86"/>
        <v/>
      </c>
      <c r="IN9" s="11" t="str">
        <f t="shared" si="87"/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 t="shared" si="88"/>
        <v/>
      </c>
      <c r="JE9" s="14" t="str">
        <f t="shared" si="89"/>
        <v/>
      </c>
      <c r="JF9" s="14" t="str">
        <f t="shared" si="90"/>
        <v/>
      </c>
      <c r="JG9" s="14" t="str">
        <f t="shared" si="91"/>
        <v/>
      </c>
      <c r="JH9" s="14" t="str">
        <f t="shared" si="92"/>
        <v/>
      </c>
      <c r="JI9" s="14" t="str">
        <f t="shared" si="93"/>
        <v/>
      </c>
      <c r="JJ9" s="14" t="str">
        <f t="shared" si="94"/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 t="shared" si="95"/>
        <v/>
      </c>
      <c r="KA9" s="11" t="str">
        <f t="shared" si="96"/>
        <v/>
      </c>
      <c r="KB9" s="11" t="str">
        <f t="shared" si="97"/>
        <v/>
      </c>
      <c r="KC9" s="11" t="str">
        <f t="shared" si="98"/>
        <v/>
      </c>
      <c r="KD9" s="11" t="str">
        <f t="shared" si="99"/>
        <v/>
      </c>
      <c r="KE9" s="11" t="str">
        <f t="shared" si="100"/>
        <v/>
      </c>
      <c r="KF9" s="11" t="str">
        <f t="shared" si="101"/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 t="shared" si="102"/>
        <v/>
      </c>
      <c r="KW9" s="14" t="str">
        <f t="shared" si="103"/>
        <v/>
      </c>
      <c r="KX9" s="14" t="str">
        <f t="shared" si="104"/>
        <v/>
      </c>
      <c r="KY9" s="14" t="str">
        <f t="shared" si="105"/>
        <v/>
      </c>
      <c r="KZ9" s="14" t="str">
        <f t="shared" si="106"/>
        <v/>
      </c>
      <c r="LA9" s="14" t="str">
        <f t="shared" si="107"/>
        <v/>
      </c>
      <c r="LB9" s="14" t="str">
        <f t="shared" si="108"/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 t="shared" si="109"/>
        <v/>
      </c>
      <c r="LS9" s="11" t="str">
        <f t="shared" si="110"/>
        <v/>
      </c>
      <c r="LT9" s="11" t="str">
        <f t="shared" si="111"/>
        <v/>
      </c>
      <c r="LU9" s="11" t="str">
        <f t="shared" si="112"/>
        <v/>
      </c>
      <c r="LV9" s="11" t="str">
        <f t="shared" si="113"/>
        <v/>
      </c>
      <c r="LW9" s="11" t="str">
        <f t="shared" si="114"/>
        <v/>
      </c>
      <c r="LX9" s="11" t="str">
        <f t="shared" si="115"/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 t="shared" si="116"/>
        <v/>
      </c>
      <c r="MO9" s="14" t="str">
        <f t="shared" si="117"/>
        <v/>
      </c>
      <c r="MP9" s="14" t="str">
        <f t="shared" si="118"/>
        <v/>
      </c>
      <c r="MQ9" s="14" t="str">
        <f t="shared" si="119"/>
        <v/>
      </c>
      <c r="MR9" s="14" t="str">
        <f t="shared" si="120"/>
        <v/>
      </c>
      <c r="MS9" s="14" t="str">
        <f t="shared" si="121"/>
        <v/>
      </c>
      <c r="MT9" s="14" t="str">
        <f t="shared" si="122"/>
        <v/>
      </c>
      <c r="MU9" s="69">
        <f t="shared" si="123"/>
        <v>0</v>
      </c>
      <c r="MV9" s="69">
        <f t="shared" si="123"/>
        <v>0</v>
      </c>
      <c r="MW9" s="69">
        <f t="shared" si="123"/>
        <v>0</v>
      </c>
      <c r="MX9" s="69">
        <f t="shared" si="123"/>
        <v>0</v>
      </c>
      <c r="MY9" s="69">
        <f t="shared" si="123"/>
        <v>0</v>
      </c>
      <c r="MZ9" s="69">
        <f t="shared" si="123"/>
        <v>0</v>
      </c>
      <c r="NA9" s="69">
        <f t="shared" si="123"/>
        <v>0</v>
      </c>
      <c r="NB9" s="69">
        <f t="shared" si="123"/>
        <v>0</v>
      </c>
      <c r="NC9" s="69">
        <f t="shared" si="123"/>
        <v>0</v>
      </c>
      <c r="ND9" s="69">
        <f t="shared" si="123"/>
        <v>0</v>
      </c>
      <c r="NE9" s="69">
        <f t="shared" si="123"/>
        <v>0</v>
      </c>
      <c r="NF9" s="69">
        <f t="shared" si="123"/>
        <v>0</v>
      </c>
      <c r="NG9" s="69">
        <f t="shared" si="123"/>
        <v>0</v>
      </c>
      <c r="NH9" s="69">
        <f t="shared" si="123"/>
        <v>0</v>
      </c>
      <c r="NI9" s="69">
        <f t="shared" si="123"/>
        <v>0</v>
      </c>
      <c r="NJ9" s="80" t="s">
        <v>88</v>
      </c>
      <c r="NK9" s="11" t="str">
        <f t="shared" si="124"/>
        <v/>
      </c>
      <c r="NL9" s="11" t="str">
        <f t="shared" si="125"/>
        <v/>
      </c>
      <c r="NM9" s="11" t="str">
        <f t="shared" si="126"/>
        <v/>
      </c>
      <c r="NN9" s="11" t="str">
        <f t="shared" si="127"/>
        <v/>
      </c>
      <c r="NO9" s="11" t="str">
        <f t="shared" si="128"/>
        <v/>
      </c>
      <c r="NP9" s="11" t="str">
        <f t="shared" si="129"/>
        <v/>
      </c>
      <c r="NQ9" s="11" t="str">
        <f t="shared" si="130"/>
        <v/>
      </c>
    </row>
    <row r="10" spans="1:381" x14ac:dyDescent="0.2">
      <c r="A10" s="5" t="str" cm="1">
        <f t="array" ref="A10">IF(AND(G10&lt;&gt;"",H10&lt;&gt;""),SUMPRODUCT((G$4:G$11&lt;&gt;"")*(H$4:H$11&lt;&gt;"")*(E$4:E$11&gt;E10))+1,IF(H10&lt;&gt;"",SUMPRODUCT((I$4:I$11="No DD")*(E$4:E$11&gt;E10))+1+SUMPRODUCT((G$4:G$11&lt;&gt;"")*(H$4:H$11&lt;&gt;"")),""))</f>
        <v/>
      </c>
      <c r="B10" s="8" t="s">
        <v>123</v>
      </c>
      <c r="C10" s="4" t="s">
        <v>10</v>
      </c>
      <c r="D10" s="27" t="s">
        <v>122</v>
      </c>
      <c r="E10" s="15">
        <f t="shared" si="0"/>
        <v>45.620000000000005</v>
      </c>
      <c r="F10" s="3" t="str">
        <f t="shared" si="1"/>
        <v/>
      </c>
      <c r="G10" s="125" t="str">
        <f>IF(OR(AND(AL10&gt;=AR$16,AL10&lt;&gt;"",AK10=""),AND(AP10&gt;=AR$16,AP10&lt;&gt;"",AK10=""),AND(BI10&gt;=BO$16,BI10&lt;&gt;"",BH10=""),AND(BM10&gt;=BO$16,BM10&lt;&gt;"",BH10=""),AND(CF10&gt;=CL$16,CF10&lt;&gt;"",CE10=""),AND(CJ10&gt;=CL$16,CJ10&lt;&gt;"",CE10=""),AND(DF10&gt;=DL$16,DF10&lt;&gt;""),AND(DJ10&gt;=DL$16,DJ10&lt;&gt;""),AND(EB10&gt;=EH$16,EB10&lt;&gt;""),AND(EF10&gt;=EH$16,EF10&lt;&gt;""),AND(EX10&gt;=FD$16,EX10&lt;&gt;""),AND(FB10&gt;=FD$16,FB10&lt;&gt;""),AND(FT10&gt;=FZ$16,FT10&lt;&gt;""),AND(FX10&gt;=FZ$16,FX10&lt;&gt;""),AND(GP10&gt;=GV$16,GP10&lt;&gt;""),AND(GT10&gt;=GV$16,GT10&lt;&gt;""),AND(HL10&gt;=HR$16,HL10&lt;&gt;""),AND(HP10&gt;=HR$16,HP10&lt;&gt;""),AND(IH10&gt;=IN$16,IH10&lt;&gt;""),AND(IL10&gt;=IN$16,IL10&lt;&gt;""),AND(JD10&gt;=JJ$16,JD10&lt;&gt;""),AND(JH10&gt;=JJ$16,JH10&lt;&gt;""),AND(JZ10&gt;=KF$16,JZ10&lt;&gt;""),AND(KD10&gt;=KF$16,KD10&lt;&gt;""),AND(KV10&gt;=LB$16,KV10&lt;&gt;""),AND(KZ10&gt;=LB$16,KZ10&lt;&gt;""),AND(LR10&gt;=LX$16,LR10&lt;&gt;""),AND(LV10&gt;=LX$16,LV10&lt;&gt;""),AND(MN10&gt;=MT$16,MN10&lt;&gt;""),AND(MR10&gt;=MT$16,MR10&lt;&gt;"")),"Merit",IF(OR(AND(AL10&gt;=AR$15,AL10&lt;&gt;"",AK10=""),AND(AP10&gt;=AR$15,AP10&lt;&gt;"",AK10=""),AND(BI10&gt;=BO$15,BI10&lt;&gt;"",BH10=""),AND(BM10&gt;=BO$15,BM10&lt;&gt;"",BH10=""),AND(CF10&gt;=CL$15,CF10&lt;&gt;"",CE10=""),AND(CJ10&gt;=CL$15,CJ10&lt;&gt;"",CE10=""),AND(DF10&gt;=DL$15,DF10&lt;&gt;""),AND(DJ10&gt;=DL$15,DJ10&lt;&gt;""),AND(EB10&gt;=EH$15,EB10&lt;&gt;""),AND(EF10&gt;=EH$15,EF10&lt;&gt;""),AND(EX10&gt;=FD$15,EX10&lt;&gt;""),AND(FB10&gt;=FD$15,FB10&lt;&gt;""),AND(FT10&gt;=FZ$15,FT10&lt;&gt;""),AND(FX10&gt;=FZ$15,FX10&lt;&gt;""),AND(GP10&gt;=GV$15,GP10&lt;&gt;""),AND(GT10&gt;=GV$15,GT10&lt;&gt;""),AND(HL10&gt;=HR$15,HL10&lt;&gt;""),AND(HP10&gt;=HR$15,HP10&lt;&gt;""),AND(IH10&gt;=IN$15,IH10&lt;&gt;""),AND(IL10&gt;=IN$15,IL10&lt;&gt;""),AND(JD10&gt;=JJ$15,JD10&lt;&gt;""),AND(JH10&gt;=JJ$15,JH10&lt;&gt;""),AND(JZ10&gt;=KF$15,JZ10&lt;&gt;""),AND(KD10&gt;=KF$15,KD10&lt;&gt;""),AND(KV10&gt;=LB$15,KV10&lt;&gt;""),AND(KZ10&gt;=LB$15,KZ10&lt;&gt;""),AND(LR10&gt;=LX$15,LR10&lt;&gt;""),AND(LV10&gt;=LX$15,LV10&lt;&gt;""),AND(MN10&gt;=MT$15,MN10&lt;&gt;""),AND(MR10&gt;=MT$15,MR10&lt;&gt;"")),"Excellence",IF(OR(AND(AL10&gt;=AR$14,AL10&lt;&gt;"",AK10=""),AND(AP10&gt;=AR$14,AP10&lt;&gt;"",AK10=""),AND(BI10&gt;=BO$14,BI10&lt;&gt;"",BH10=""),AND(BM10&gt;=BO$14,BM10&lt;&gt;"",BH10=""),AND(CF10&gt;=CL$14,CF10&lt;&gt;"",CE10=""),AND(CJ10&gt;=CL$14,CJ10&lt;&gt;"",CE10=""),AND(DF10&gt;=DL$14,DF10&lt;&gt;""),AND(DJ10&gt;=DL$14,DJ10&lt;&gt;""),AND(EB10&gt;=EH$14,EB10&lt;&gt;""),AND(EF10&gt;=EH$14,EF10&lt;&gt;""),AND(EX10&gt;=FD$14,EX10&lt;&gt;""),AND(FB10&gt;=FD$14,FB10&lt;&gt;""),AND(FT10&gt;=FZ$14,FT10&lt;&gt;""),AND(FX10&gt;=FZ$14,FX10&lt;&gt;""),AND(GP10&gt;=GV$14,GP10&lt;&gt;""),AND(GT10&gt;=GV$14,GT10&lt;&gt;""),AND(HL10&gt;=HR$14,HL10&lt;&gt;""),AND(HP10&gt;=HR$14,HP10&lt;&gt;""),AND(IH10&gt;=IN$14,IH10&lt;&gt;""),AND(IL10&gt;=IN$14,IL10&lt;&gt;""),AND(JD10&gt;=JJ$14,JD10&lt;&gt;""),AND(JH10&gt;=JJ$14,JH10&lt;&gt;""),AND(JZ10&gt;=KF$14,JZ10&lt;&gt;""),AND(KD10&gt;=KF$14,KD10&lt;&gt;""),AND(KV10&gt;=LB$14,KV10&lt;&gt;""),AND(KZ10&gt;=LB$14,KZ10&lt;&gt;""),AND(LR10&gt;=LX$14,LR10&lt;&gt;""),AND(LV10&gt;=LX$14,LV10&lt;&gt;""),AND(MN10&gt;=MT$14,MN10&lt;&gt;""),AND(MR10&gt;=MT$14,MR10&lt;&gt;"")),"Worlds Team",IF(OR(AND(AL10&gt;=AR$13,AL10&lt;&gt;"",AK10=""),AND(AP10&gt;=AR$13,AP10&lt;&gt;"",AK10=""),AND(BI10&gt;=BO$13,BI10&lt;&gt;"",BH10=""),AND(BM10&gt;=BO$13,BM10&lt;&gt;"",BH10=""),AND(CF10&gt;=CL$13,CF10&lt;&gt;"",CE10=""),AND(CJ10&gt;=CL$13,CJ10&lt;&gt;"",CE10=""),AND(DF10&gt;=DL$13,DF10&lt;&gt;""),AND(DJ10&gt;=DL$13,DJ10&lt;&gt;""),AND(EB10&gt;=EH$13,EB10&lt;&gt;""),AND(EF10&gt;=EH$13,EF10&lt;&gt;""),AND(EX10&gt;=FD$13,EX10&lt;&gt;""),AND(FB10&gt;=FD$13,FB10&lt;&gt;""),AND(FT10&gt;=FZ$13,FT10&lt;&gt;""),AND(FX10&gt;=FZ$13,FX10&lt;&gt;""),AND(GP10&gt;=GV$13,GP10&lt;&gt;""),AND(GT10&gt;=GV$13,GT10&lt;&gt;""),AND(HL10&gt;=HR$13,HL10&lt;&gt;""),AND(HP10&gt;=HR$13,HP10&lt;&gt;""),AND(IH10&gt;=IN$13,IH10&lt;&gt;""),AND(IL10&gt;=IN$13,IL10&lt;&gt;""),AND(JD10&gt;=JJ$13,JD10&lt;&gt;""),AND(JH10&gt;=JJ$13,JH10&lt;&gt;""),AND(JZ10&gt;=KF$13,JZ10&lt;&gt;""),AND(KD10&gt;=KF$13,KD10&lt;&gt;""),AND(KV10&gt;=LB$13,KV10&lt;&gt;""),AND(KZ10&gt;=LB$13,KZ10&lt;&gt;""),AND(LR10&gt;=LX$13,LR10&lt;&gt;""),AND(LV10&gt;=LX$13,LV10&lt;&gt;""),AND(MN10&gt;=MT$13,MN10&lt;&gt;""),AND(MR10&gt;=MT$13,MR10&lt;&gt;"")),"National Team",""))))</f>
        <v/>
      </c>
      <c r="H10" s="125" t="str">
        <f>IF(OR(AND(AN10&gt;=AR$20,AN10&lt;&gt;"",AK10=""),AND(AQ10&gt;=AR$20,AQ10&lt;&gt;"",AK10=""),AND(BK10&gt;=BO$20,BK10&lt;&gt;"",BH10=""),AND(BN10&gt;=BO$20,BN10&lt;&gt;"",BH10=""),AND(CH10&gt;=CL$20,CH10&lt;&gt;"",CE10=""),AND(CK10&gt;=CL$20,CE10&lt;&gt;"",CE10=""),AND(DH10&gt;=DL$20,DH10&lt;&gt;""),AND(DK10&gt;=DL$20,DK10&lt;&gt;""),AND(ED10&gt;=EH$20,ED10&lt;&gt;""),AND(EG10&gt;=EH$20,EG10&lt;&gt;""),AND(EZ10&gt;=FD$20,EZ10&lt;&gt;""),AND(FC10&gt;=FD$20,FC10&lt;&gt;""),AND(FV10&gt;=FZ$20,FV10&lt;&gt;""),AND(FY10&gt;=FZ$20,FY10&lt;&gt;""),AND(GR10&gt;=GV$20,GR10&lt;&gt;""),AND(GU10&gt;=GV$20,GU10&lt;&gt;""),AND(HN10&gt;=HR$20,HN10&lt;&gt;""),AND(HQ10&gt;=HR$20,HQ10&lt;&gt;""),AND(IJ10&gt;=IN$20,IJ10&lt;&gt;""),AND(IM10&gt;=IN$20,IM10&lt;&gt;""),AND(JF10&gt;=JJ$20,JF10&lt;&gt;""),AND(JI10&gt;=JJ$20,JI10&lt;&gt;""),AND(KB10&gt;=KF$20,KB10&lt;&gt;""),AND(KE10&gt;=KF$20,KE10&lt;&gt;""),AND(KX10&gt;=LB$20,KX10&lt;&gt;""),AND(LA10&gt;=LB$20,LA10&lt;&gt;""),AND(LT10&gt;=LX$20,LT10&lt;&gt;""),AND(LW10&gt;=LX$20,LW10&lt;&gt;""),AND(MP10&gt;=MT$20,MP10&lt;&gt;""),AND(MS10&gt;=MT$20,MS10&lt;&gt;"")),"Merit",IF(OR(AND(AN10&gt;=AR$19,AN10&lt;&gt;"",AK10=""),AND(AQ10&gt;=AR$19,AQ10&lt;&gt;"",AK10=""),AND(BK10&gt;=BO$19,BK10&lt;&gt;"",BH10=""),AND(BN10&gt;=BO$19,BN10&lt;&gt;"",BH10=""),AND(CH10&gt;=CL$19,CH10&lt;&gt;"",CE10=""),AND(CK10&gt;=CL$19,CE10&lt;&gt;"",CE10=""),AND(DH10&gt;=DL$19,DH10&lt;&gt;""),AND(DK10&gt;=DL$19,DK10&lt;&gt;""),AND(ED10&gt;=EH$19,ED10&lt;&gt;""),AND(EG10&gt;=EH$19,EG10&lt;&gt;""),AND(EZ10&gt;=FD$19,EZ10&lt;&gt;""),AND(FC10&gt;=FD$19,FC10&lt;&gt;""),AND(FV10&gt;=FZ$19,FV10&lt;&gt;""),AND(FY10&gt;=FZ$19,FY10&lt;&gt;""),AND(GR10&gt;=GV$19,GR10&lt;&gt;""),AND(GU10&gt;=GV$19,GU10&lt;&gt;""),AND(HN10&gt;=HR$19,HN10&lt;&gt;""),AND(HQ10&gt;=HR$19,HQ10&lt;&gt;""),AND(IJ10&gt;=IN$19,IJ10&lt;&gt;""),AND(IM10&gt;=IN$19,IM10&lt;&gt;""),AND(JF10&gt;=JJ$19,JF10&lt;&gt;""),AND(JI10&gt;=JJ$19,JI10&lt;&gt;""),AND(KB10&gt;=KF$19,KB10&lt;&gt;""),AND(KE10&gt;=KF$19,KE10&lt;&gt;""),AND(KX10&gt;=LB$19,KX10&lt;&gt;""),AND(LA10&gt;=LB$19,LA10&lt;&gt;""),AND(LT10&gt;=LX$19,LT10&lt;&gt;""),AND(LW10&gt;=LX$19,LW10&lt;&gt;""),AND(MP10&gt;=MT$19,MP10&lt;&gt;""),AND(MS10&gt;=MT$19,MS10&lt;&gt;"")),"Excellence",IF(OR(AND(AO10&gt;=AR$18,AO10&lt;&gt;"",AK10=""),AND(BL10&gt;=BO$18,BL10&lt;&gt;"",BH10=""),AND(CI10&gt;=CL$18,CI10&lt;&gt;"",CE10=""),AND(DI10&gt;=DL$18,DI10&lt;&gt;""),AND(EE10&gt;=EH$18,EE10&lt;&gt;""),AND(FA10&gt;=FD$18,FA10&lt;&gt;""),AND(FW10&gt;=FZ$18,FW10&lt;&gt;""),AND(GS10&gt;=GV$18,GS10&lt;&gt;""),AND(HO10&gt;=HR$18,HO10&lt;&gt;""),AND(IK10&gt;=IN$18,IK10&lt;&gt;""),AND(JG10&gt;=JJ$18,JG10&lt;&gt;""),AND(KC10&gt;=KF$18,KC10&lt;&gt;""),AND(KY10&gt;=LB$18,KY10&lt;&gt;""),AND(LU10&gt;=LX$18,LU10&lt;&gt;""),AND(MQ10&gt;=MT$18,MQ10&lt;&gt;"")),"Worlds Team",IF(OR(AND(AO10&gt;=AR$17,AO10&lt;&gt;"",AK10=""),AND(BL10&gt;=BO$17,BL10&lt;&gt;"",BH10=""),AND(CI10&gt;=CL$17,CI10&lt;&gt;"",CE10=""),AND(DI10&gt;=DL$17,DI10&lt;&gt;""),AND(EE10&gt;=EH$17,EE10&lt;&gt;""),AND(FA10&gt;=FD$17,FA10&lt;&gt;""),AND(FW10&gt;=FZ$17,FW10&lt;&gt;""),AND(GS10&gt;=GV$17,GS10&lt;&gt;""),AND(HO10&gt;=HR$17,HO10&lt;&gt;""),AND(IK10&gt;=IN$17,IK10&lt;&gt;""),AND(JG10&gt;=JJ$17,JG10&lt;&gt;""),AND(KC10&gt;=KF$17,KC10&lt;&gt;""),AND(KY10&gt;=LB$17,KY10&lt;&gt;""),AND(LU10&gt;=LX$17,LU10&lt;&gt;""),AND(MQ10&gt;=MT$17,MQ10&lt;&gt;"")),"National Team",""))))</f>
        <v/>
      </c>
      <c r="I10" s="126" t="str">
        <f t="shared" si="2"/>
        <v/>
      </c>
      <c r="J10" s="3" t="str">
        <f>IF(AND(OR(AND(AO10&gt;=AR$18,AO10&lt;&gt;"",AK10=""),AND(BL10&gt;=BO$18,BL10&lt;&gt;"",BH10=""),AND(CI10&gt;=CL$18,CI10&lt;&gt;"",CE10=""),AND(DI10&gt;=DL$18,DI10&lt;&gt;""),AND(EE10&gt;=EH$18,EE10&lt;&gt;""),AND(FA10&gt;=FD$18,FA10&lt;&gt;""),AND(FW10&gt;=FZ$18,FW10&lt;&gt;""),AND(GS10&gt;=GV$18,GS10&lt;&gt;""),AND(HO10&gt;=HR$18,HO10&lt;&gt;""),AND(IK10&gt;=IN$18,IK10&lt;&gt;""),AND(JG10&gt;=JJ$18,JG10&lt;&gt;""),AND(KC10&gt;=KF$18,KC10&lt;&gt;""),AND(KY10&gt;=LB$18,KY10&lt;&gt;""),AND(LU10&gt;=LX$18,LU10&lt;&gt;""),AND(MQ10&gt;=MT$18,MQ10&lt;&gt;"")),OR(G10="Worlds Team",G10="Excellence",G10="Merit")),"P","")</f>
        <v/>
      </c>
      <c r="K10" s="14">
        <f t="shared" si="3"/>
        <v>45.620000000000005</v>
      </c>
      <c r="L10" s="14" t="str">
        <f t="shared" si="4"/>
        <v>2019 Nationals</v>
      </c>
      <c r="M10" s="14">
        <f t="shared" si="5"/>
        <v>0</v>
      </c>
      <c r="N10" s="14" t="str">
        <f t="shared" si="6"/>
        <v/>
      </c>
      <c r="O10" s="14">
        <f t="shared" si="7"/>
        <v>0</v>
      </c>
      <c r="P10" s="14" t="str">
        <f t="shared" si="8"/>
        <v/>
      </c>
      <c r="Q10" s="14">
        <f t="shared" si="9"/>
        <v>0</v>
      </c>
      <c r="R10" s="14" t="str">
        <f t="shared" si="10"/>
        <v/>
      </c>
      <c r="S10" s="14" t="str">
        <f t="shared" si="11"/>
        <v/>
      </c>
      <c r="T10" s="25" t="str">
        <f t="shared" si="12"/>
        <v/>
      </c>
      <c r="U10" s="14" t="str">
        <f t="shared" si="13"/>
        <v/>
      </c>
      <c r="V10" s="39">
        <v>8.6999999999999993</v>
      </c>
      <c r="W10" s="39">
        <v>9.1999999999999993</v>
      </c>
      <c r="X10" s="39">
        <v>3.2</v>
      </c>
      <c r="Y10" s="39">
        <v>15.26</v>
      </c>
      <c r="Z10" s="39">
        <v>0</v>
      </c>
      <c r="AA10" s="39">
        <v>1.6</v>
      </c>
      <c r="AB10" s="39">
        <v>1.8</v>
      </c>
      <c r="AC10" s="39">
        <v>2.7</v>
      </c>
      <c r="AD10" s="39">
        <v>3.16</v>
      </c>
      <c r="AE10" s="39">
        <v>0</v>
      </c>
      <c r="AF10" s="39"/>
      <c r="AG10" s="39"/>
      <c r="AH10" s="39"/>
      <c r="AI10" s="39"/>
      <c r="AJ10" s="39">
        <v>0</v>
      </c>
      <c r="AK10" s="80"/>
      <c r="AL10" s="11">
        <f t="shared" si="14"/>
        <v>2.7</v>
      </c>
      <c r="AM10" s="11">
        <f t="shared" si="15"/>
        <v>36.36</v>
      </c>
      <c r="AN10" s="11">
        <f t="shared" si="16"/>
        <v>9.2600000000000016</v>
      </c>
      <c r="AO10" s="11">
        <f t="shared" si="17"/>
        <v>45.620000000000005</v>
      </c>
      <c r="AP10" s="11" t="str">
        <f t="shared" si="18"/>
        <v/>
      </c>
      <c r="AQ10" s="11" t="str">
        <f t="shared" si="19"/>
        <v/>
      </c>
      <c r="AR10" s="11">
        <f t="shared" si="20"/>
        <v>45.620000000000005</v>
      </c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81"/>
      <c r="BI10" s="14" t="str">
        <f t="shared" si="21"/>
        <v/>
      </c>
      <c r="BJ10" s="14" t="str">
        <f t="shared" si="22"/>
        <v/>
      </c>
      <c r="BK10" s="14" t="str">
        <f t="shared" si="23"/>
        <v/>
      </c>
      <c r="BL10" s="14" t="str">
        <f t="shared" si="24"/>
        <v/>
      </c>
      <c r="BM10" s="14" t="str">
        <f t="shared" si="25"/>
        <v/>
      </c>
      <c r="BN10" s="14" t="str">
        <f t="shared" si="26"/>
        <v/>
      </c>
      <c r="BO10" s="14" t="str">
        <f t="shared" si="27"/>
        <v/>
      </c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80"/>
      <c r="CF10" s="11" t="str">
        <f t="shared" si="28"/>
        <v/>
      </c>
      <c r="CG10" s="11" t="str">
        <f t="shared" si="29"/>
        <v/>
      </c>
      <c r="CH10" s="11" t="str">
        <f t="shared" si="30"/>
        <v/>
      </c>
      <c r="CI10" s="11" t="str">
        <f t="shared" si="31"/>
        <v/>
      </c>
      <c r="CJ10" s="11" t="str">
        <f t="shared" si="32"/>
        <v/>
      </c>
      <c r="CK10" s="11" t="str">
        <f t="shared" si="33"/>
        <v/>
      </c>
      <c r="CL10" s="11" t="str">
        <f t="shared" si="34"/>
        <v/>
      </c>
      <c r="CM10" s="24" t="str">
        <f t="shared" si="35"/>
        <v/>
      </c>
      <c r="CN10" s="24" t="str">
        <f t="shared" si="36"/>
        <v/>
      </c>
      <c r="CO10" s="24" t="str">
        <f t="shared" si="37"/>
        <v/>
      </c>
      <c r="CP10" s="24" t="str">
        <f t="shared" si="38"/>
        <v/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11" t="str">
        <f t="shared" si="39"/>
        <v/>
      </c>
      <c r="DG10" s="11" t="str">
        <f t="shared" si="40"/>
        <v/>
      </c>
      <c r="DH10" s="11" t="str">
        <f t="shared" si="41"/>
        <v/>
      </c>
      <c r="DI10" s="11" t="str">
        <f t="shared" si="42"/>
        <v/>
      </c>
      <c r="DJ10" s="11" t="str">
        <f t="shared" si="43"/>
        <v/>
      </c>
      <c r="DK10" s="11" t="str">
        <f t="shared" si="44"/>
        <v/>
      </c>
      <c r="DL10" s="11" t="str">
        <f t="shared" si="45"/>
        <v/>
      </c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14" t="str">
        <f t="shared" si="46"/>
        <v/>
      </c>
      <c r="EC10" s="14" t="str">
        <f t="shared" si="47"/>
        <v/>
      </c>
      <c r="ED10" s="14" t="str">
        <f t="shared" si="48"/>
        <v/>
      </c>
      <c r="EE10" s="14" t="str">
        <f t="shared" si="49"/>
        <v/>
      </c>
      <c r="EF10" s="14" t="str">
        <f t="shared" si="50"/>
        <v/>
      </c>
      <c r="EG10" s="14" t="str">
        <f t="shared" si="51"/>
        <v/>
      </c>
      <c r="EH10" s="14" t="str">
        <f t="shared" si="52"/>
        <v/>
      </c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11" t="str">
        <f t="shared" si="53"/>
        <v/>
      </c>
      <c r="EY10" s="11" t="str">
        <f t="shared" si="54"/>
        <v/>
      </c>
      <c r="EZ10" s="11" t="str">
        <f t="shared" si="55"/>
        <v/>
      </c>
      <c r="FA10" s="11" t="str">
        <f t="shared" si="56"/>
        <v/>
      </c>
      <c r="FB10" s="11" t="str">
        <f t="shared" si="57"/>
        <v/>
      </c>
      <c r="FC10" s="11" t="str">
        <f t="shared" si="58"/>
        <v/>
      </c>
      <c r="FD10" s="11" t="str">
        <f t="shared" si="59"/>
        <v/>
      </c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14" t="str">
        <f t="shared" si="60"/>
        <v/>
      </c>
      <c r="FU10" s="14" t="str">
        <f t="shared" si="61"/>
        <v/>
      </c>
      <c r="FV10" s="14" t="str">
        <f t="shared" si="62"/>
        <v/>
      </c>
      <c r="FW10" s="14" t="str">
        <f t="shared" si="63"/>
        <v/>
      </c>
      <c r="FX10" s="14" t="str">
        <f t="shared" si="64"/>
        <v/>
      </c>
      <c r="FY10" s="14" t="str">
        <f t="shared" si="65"/>
        <v/>
      </c>
      <c r="FZ10" s="14" t="str">
        <f t="shared" si="66"/>
        <v/>
      </c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11" t="str">
        <f t="shared" si="67"/>
        <v/>
      </c>
      <c r="GQ10" s="11" t="str">
        <f t="shared" si="68"/>
        <v/>
      </c>
      <c r="GR10" s="11" t="str">
        <f t="shared" si="69"/>
        <v/>
      </c>
      <c r="GS10" s="11" t="str">
        <f t="shared" si="70"/>
        <v/>
      </c>
      <c r="GT10" s="11" t="str">
        <f t="shared" si="71"/>
        <v/>
      </c>
      <c r="GU10" s="11" t="str">
        <f t="shared" si="72"/>
        <v/>
      </c>
      <c r="GV10" s="11" t="str">
        <f t="shared" si="73"/>
        <v/>
      </c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14" t="str">
        <f t="shared" si="74"/>
        <v/>
      </c>
      <c r="HM10" s="14" t="str">
        <f t="shared" si="75"/>
        <v/>
      </c>
      <c r="HN10" s="14" t="str">
        <f t="shared" si="76"/>
        <v/>
      </c>
      <c r="HO10" s="14" t="str">
        <f t="shared" si="77"/>
        <v/>
      </c>
      <c r="HP10" s="14" t="str">
        <f t="shared" si="78"/>
        <v/>
      </c>
      <c r="HQ10" s="14" t="str">
        <f t="shared" si="79"/>
        <v/>
      </c>
      <c r="HR10" s="14" t="str">
        <f t="shared" si="80"/>
        <v/>
      </c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11" t="str">
        <f t="shared" si="81"/>
        <v/>
      </c>
      <c r="II10" s="11" t="str">
        <f t="shared" si="82"/>
        <v/>
      </c>
      <c r="IJ10" s="11" t="str">
        <f t="shared" si="83"/>
        <v/>
      </c>
      <c r="IK10" s="11" t="str">
        <f t="shared" si="84"/>
        <v/>
      </c>
      <c r="IL10" s="11" t="str">
        <f t="shared" si="85"/>
        <v/>
      </c>
      <c r="IM10" s="11" t="str">
        <f t="shared" si="86"/>
        <v/>
      </c>
      <c r="IN10" s="11" t="str">
        <f t="shared" si="87"/>
        <v/>
      </c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14" t="str">
        <f t="shared" si="88"/>
        <v/>
      </c>
      <c r="JE10" s="14" t="str">
        <f t="shared" si="89"/>
        <v/>
      </c>
      <c r="JF10" s="14" t="str">
        <f t="shared" si="90"/>
        <v/>
      </c>
      <c r="JG10" s="14" t="str">
        <f t="shared" si="91"/>
        <v/>
      </c>
      <c r="JH10" s="14" t="str">
        <f t="shared" si="92"/>
        <v/>
      </c>
      <c r="JI10" s="14" t="str">
        <f t="shared" si="93"/>
        <v/>
      </c>
      <c r="JJ10" s="14" t="str">
        <f t="shared" si="94"/>
        <v/>
      </c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11" t="str">
        <f t="shared" si="95"/>
        <v/>
      </c>
      <c r="KA10" s="11" t="str">
        <f t="shared" si="96"/>
        <v/>
      </c>
      <c r="KB10" s="11" t="str">
        <f t="shared" si="97"/>
        <v/>
      </c>
      <c r="KC10" s="11" t="str">
        <f t="shared" si="98"/>
        <v/>
      </c>
      <c r="KD10" s="11" t="str">
        <f t="shared" si="99"/>
        <v/>
      </c>
      <c r="KE10" s="11" t="str">
        <f t="shared" si="100"/>
        <v/>
      </c>
      <c r="KF10" s="11" t="str">
        <f t="shared" si="101"/>
        <v/>
      </c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14" t="str">
        <f t="shared" si="102"/>
        <v/>
      </c>
      <c r="KW10" s="14" t="str">
        <f t="shared" si="103"/>
        <v/>
      </c>
      <c r="KX10" s="14" t="str">
        <f t="shared" si="104"/>
        <v/>
      </c>
      <c r="KY10" s="14" t="str">
        <f t="shared" si="105"/>
        <v/>
      </c>
      <c r="KZ10" s="14" t="str">
        <f t="shared" si="106"/>
        <v/>
      </c>
      <c r="LA10" s="14" t="str">
        <f t="shared" si="107"/>
        <v/>
      </c>
      <c r="LB10" s="14" t="str">
        <f t="shared" si="108"/>
        <v/>
      </c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11" t="str">
        <f t="shared" si="109"/>
        <v/>
      </c>
      <c r="LS10" s="11" t="str">
        <f t="shared" si="110"/>
        <v/>
      </c>
      <c r="LT10" s="11" t="str">
        <f t="shared" si="111"/>
        <v/>
      </c>
      <c r="LU10" s="11" t="str">
        <f t="shared" si="112"/>
        <v/>
      </c>
      <c r="LV10" s="11" t="str">
        <f t="shared" si="113"/>
        <v/>
      </c>
      <c r="LW10" s="11" t="str">
        <f t="shared" si="114"/>
        <v/>
      </c>
      <c r="LX10" s="11" t="str">
        <f t="shared" si="115"/>
        <v/>
      </c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14" t="str">
        <f t="shared" si="116"/>
        <v/>
      </c>
      <c r="MO10" s="14" t="str">
        <f t="shared" si="117"/>
        <v/>
      </c>
      <c r="MP10" s="14" t="str">
        <f t="shared" si="118"/>
        <v/>
      </c>
      <c r="MQ10" s="14" t="str">
        <f t="shared" si="119"/>
        <v/>
      </c>
      <c r="MR10" s="14" t="str">
        <f t="shared" si="120"/>
        <v/>
      </c>
      <c r="MS10" s="14" t="str">
        <f t="shared" si="121"/>
        <v/>
      </c>
      <c r="MT10" s="14" t="str">
        <f t="shared" si="122"/>
        <v/>
      </c>
      <c r="MU10" s="69">
        <f t="shared" si="123"/>
        <v>0</v>
      </c>
      <c r="MV10" s="69">
        <f t="shared" si="123"/>
        <v>0</v>
      </c>
      <c r="MW10" s="69">
        <f t="shared" si="123"/>
        <v>0</v>
      </c>
      <c r="MX10" s="69">
        <f t="shared" si="123"/>
        <v>0</v>
      </c>
      <c r="MY10" s="69">
        <f t="shared" si="123"/>
        <v>0</v>
      </c>
      <c r="MZ10" s="69">
        <f t="shared" si="123"/>
        <v>0</v>
      </c>
      <c r="NA10" s="69">
        <f t="shared" si="123"/>
        <v>0</v>
      </c>
      <c r="NB10" s="69">
        <f t="shared" si="123"/>
        <v>0</v>
      </c>
      <c r="NC10" s="69">
        <f t="shared" si="123"/>
        <v>0</v>
      </c>
      <c r="ND10" s="69">
        <f t="shared" si="123"/>
        <v>0</v>
      </c>
      <c r="NE10" s="69">
        <f t="shared" si="123"/>
        <v>0</v>
      </c>
      <c r="NF10" s="69">
        <f t="shared" si="123"/>
        <v>0</v>
      </c>
      <c r="NG10" s="69">
        <f t="shared" si="123"/>
        <v>0</v>
      </c>
      <c r="NH10" s="69">
        <f t="shared" si="123"/>
        <v>0</v>
      </c>
      <c r="NI10" s="69">
        <f t="shared" si="123"/>
        <v>0</v>
      </c>
      <c r="NJ10" s="80" t="s">
        <v>88</v>
      </c>
      <c r="NK10" s="11" t="str">
        <f t="shared" si="124"/>
        <v/>
      </c>
      <c r="NL10" s="11" t="str">
        <f t="shared" si="125"/>
        <v/>
      </c>
      <c r="NM10" s="11" t="str">
        <f t="shared" si="126"/>
        <v/>
      </c>
      <c r="NN10" s="11" t="str">
        <f t="shared" si="127"/>
        <v/>
      </c>
      <c r="NO10" s="11" t="str">
        <f t="shared" si="128"/>
        <v/>
      </c>
      <c r="NP10" s="11" t="str">
        <f t="shared" si="129"/>
        <v/>
      </c>
      <c r="NQ10" s="11" t="str">
        <f t="shared" si="130"/>
        <v/>
      </c>
    </row>
    <row r="11" spans="1:381" x14ac:dyDescent="0.2">
      <c r="D11" s="1"/>
      <c r="T11" s="26"/>
    </row>
    <row r="13" spans="1:381" x14ac:dyDescent="0.2">
      <c r="B13" s="70" t="s">
        <v>78</v>
      </c>
      <c r="AL13" s="56"/>
      <c r="AR13" s="64">
        <v>13.5</v>
      </c>
      <c r="BI13" s="56"/>
      <c r="BO13" s="64">
        <v>13.5</v>
      </c>
      <c r="CF13" s="56"/>
      <c r="CL13" s="64">
        <v>13.5</v>
      </c>
      <c r="DF13" s="56"/>
      <c r="DL13" s="64">
        <v>13.5</v>
      </c>
      <c r="EB13" s="56"/>
      <c r="EH13" s="64">
        <v>13.5</v>
      </c>
      <c r="EX13" s="56"/>
      <c r="FD13" s="64">
        <v>13.5</v>
      </c>
      <c r="FT13" s="56"/>
      <c r="FZ13" s="64">
        <v>13.5</v>
      </c>
      <c r="GP13" s="56"/>
      <c r="GV13" s="64">
        <v>13.5</v>
      </c>
      <c r="HL13" s="56"/>
      <c r="HR13" s="64">
        <v>13.5</v>
      </c>
      <c r="IH13" s="56"/>
      <c r="IN13" s="64">
        <v>13.5</v>
      </c>
      <c r="JD13" s="56"/>
      <c r="JJ13" s="64">
        <v>13.5</v>
      </c>
      <c r="JZ13" s="56"/>
      <c r="KF13" s="64">
        <v>13.5</v>
      </c>
      <c r="KV13" s="56"/>
      <c r="LB13" s="64">
        <v>13.5</v>
      </c>
      <c r="LR13" s="56"/>
      <c r="LX13" s="64">
        <v>13.5</v>
      </c>
      <c r="MN13" s="56"/>
      <c r="MT13" s="64">
        <v>13.5</v>
      </c>
    </row>
    <row r="14" spans="1:381" x14ac:dyDescent="0.2">
      <c r="B14" s="91" t="s">
        <v>77</v>
      </c>
      <c r="AL14" s="56"/>
      <c r="AR14" s="93">
        <v>14.4</v>
      </c>
      <c r="BI14" s="56"/>
      <c r="BO14" s="93">
        <v>14.4</v>
      </c>
      <c r="CF14" s="56"/>
      <c r="CL14" s="93">
        <v>14.4</v>
      </c>
      <c r="DF14" s="56"/>
      <c r="DL14" s="93">
        <v>14.4</v>
      </c>
      <c r="EB14" s="56"/>
      <c r="EH14" s="93">
        <v>14.4</v>
      </c>
      <c r="EX14" s="56"/>
      <c r="FD14" s="93">
        <v>14.4</v>
      </c>
      <c r="FT14" s="56"/>
      <c r="FZ14" s="93">
        <v>14.4</v>
      </c>
      <c r="GP14" s="56"/>
      <c r="GV14" s="93">
        <v>14.4</v>
      </c>
      <c r="HL14" s="56"/>
      <c r="HR14" s="93">
        <v>14.4</v>
      </c>
      <c r="IH14" s="56"/>
      <c r="IN14" s="93">
        <v>14.4</v>
      </c>
      <c r="JD14" s="56"/>
      <c r="JJ14" s="93">
        <v>14.4</v>
      </c>
      <c r="JZ14" s="56"/>
      <c r="KF14" s="93">
        <v>14.4</v>
      </c>
      <c r="KV14" s="56"/>
      <c r="LB14" s="93">
        <v>14.4</v>
      </c>
      <c r="LR14" s="56"/>
      <c r="LX14" s="93">
        <v>14.4</v>
      </c>
      <c r="MN14" s="56"/>
      <c r="MT14" s="93">
        <v>14.4</v>
      </c>
    </row>
    <row r="15" spans="1:381" x14ac:dyDescent="0.2">
      <c r="A15" s="56"/>
      <c r="B15" s="92" t="s">
        <v>112</v>
      </c>
      <c r="C15" s="55"/>
      <c r="AL15" s="56"/>
      <c r="AR15" s="94">
        <v>14.4</v>
      </c>
      <c r="BI15" s="56"/>
      <c r="BO15" s="94">
        <v>15.4</v>
      </c>
      <c r="CF15" s="56"/>
      <c r="CL15" s="94">
        <v>15.4</v>
      </c>
      <c r="DF15" s="56"/>
      <c r="DL15" s="94">
        <v>15.4</v>
      </c>
      <c r="EB15" s="56"/>
      <c r="EH15" s="94">
        <v>15.4</v>
      </c>
      <c r="EX15" s="56"/>
      <c r="FD15" s="94">
        <v>15.4</v>
      </c>
      <c r="FT15" s="56"/>
      <c r="FZ15" s="94">
        <v>15.4</v>
      </c>
      <c r="GP15" s="56"/>
      <c r="GV15" s="94">
        <v>15.4</v>
      </c>
      <c r="HL15" s="56"/>
      <c r="HR15" s="94">
        <v>15.4</v>
      </c>
      <c r="IH15" s="56"/>
      <c r="IN15" s="94">
        <v>15.4</v>
      </c>
      <c r="JD15" s="56"/>
      <c r="JJ15" s="94">
        <v>15.4</v>
      </c>
      <c r="JZ15" s="56"/>
      <c r="KF15" s="94">
        <v>15.4</v>
      </c>
      <c r="KV15" s="56"/>
      <c r="LB15" s="94">
        <v>15.4</v>
      </c>
      <c r="LR15" s="56"/>
      <c r="LX15" s="94">
        <v>15.4</v>
      </c>
      <c r="MN15" s="56"/>
      <c r="MT15" s="94">
        <v>15.4</v>
      </c>
    </row>
    <row r="16" spans="1:381" x14ac:dyDescent="0.2">
      <c r="A16" s="56"/>
      <c r="B16" s="120" t="s">
        <v>161</v>
      </c>
      <c r="C16" s="55"/>
      <c r="AL16" s="56"/>
      <c r="AR16" s="121">
        <v>14.4</v>
      </c>
      <c r="BI16" s="56"/>
      <c r="BO16" s="121">
        <v>15.4</v>
      </c>
      <c r="CF16" s="56"/>
      <c r="CL16" s="121">
        <v>15.4</v>
      </c>
      <c r="DF16" s="56"/>
      <c r="DL16" s="121">
        <v>15.4</v>
      </c>
      <c r="EB16" s="56"/>
      <c r="EH16" s="121">
        <v>15.4</v>
      </c>
      <c r="EX16" s="56"/>
      <c r="FD16" s="121">
        <v>15.4</v>
      </c>
      <c r="FT16" s="56"/>
      <c r="FZ16" s="121">
        <v>15.4</v>
      </c>
      <c r="GP16" s="56"/>
      <c r="GV16" s="121">
        <v>15.4</v>
      </c>
      <c r="HL16" s="56"/>
      <c r="HR16" s="121">
        <v>15.4</v>
      </c>
      <c r="IH16" s="56"/>
      <c r="IN16" s="121">
        <v>15.4</v>
      </c>
      <c r="JD16" s="56"/>
      <c r="JJ16" s="121">
        <v>15.4</v>
      </c>
      <c r="JZ16" s="56"/>
      <c r="KF16" s="121">
        <v>15.4</v>
      </c>
      <c r="KV16" s="56"/>
      <c r="LB16" s="121">
        <v>15.4</v>
      </c>
      <c r="LR16" s="56"/>
      <c r="LX16" s="121">
        <v>15.4</v>
      </c>
      <c r="MN16" s="56"/>
      <c r="MT16" s="121">
        <v>15.4</v>
      </c>
    </row>
    <row r="17" spans="1:358" x14ac:dyDescent="0.2">
      <c r="A17" s="56"/>
      <c r="B17" s="118" t="s">
        <v>75</v>
      </c>
      <c r="C17" s="55"/>
      <c r="AL17" s="56"/>
      <c r="AR17" s="119">
        <v>87</v>
      </c>
      <c r="BI17" s="56"/>
      <c r="BO17" s="119">
        <v>87.7</v>
      </c>
      <c r="CF17" s="56"/>
      <c r="CL17" s="119">
        <v>87.7</v>
      </c>
      <c r="DF17" s="56"/>
      <c r="DL17" s="119">
        <v>87.7</v>
      </c>
      <c r="EB17" s="56"/>
      <c r="EH17" s="119">
        <v>87.7</v>
      </c>
      <c r="EX17" s="56"/>
      <c r="FD17" s="119">
        <v>87.7</v>
      </c>
      <c r="FT17" s="56"/>
      <c r="FZ17" s="119">
        <v>87.7</v>
      </c>
      <c r="GP17" s="56"/>
      <c r="GV17" s="119">
        <v>87.7</v>
      </c>
      <c r="HL17" s="56"/>
      <c r="HR17" s="119">
        <v>87.7</v>
      </c>
      <c r="IH17" s="56"/>
      <c r="IN17" s="119">
        <v>87.7</v>
      </c>
      <c r="JD17" s="56"/>
      <c r="JJ17" s="119">
        <v>87.7</v>
      </c>
      <c r="JZ17" s="56"/>
      <c r="KF17" s="119">
        <v>87.7</v>
      </c>
      <c r="KV17" s="56"/>
      <c r="LB17" s="119">
        <v>87.7</v>
      </c>
      <c r="LR17" s="56"/>
      <c r="LX17" s="119">
        <v>87.7</v>
      </c>
      <c r="MN17" s="56"/>
      <c r="MT17" s="119">
        <v>87.7</v>
      </c>
    </row>
    <row r="18" spans="1:358" x14ac:dyDescent="0.2">
      <c r="A18" s="56"/>
      <c r="B18" s="72" t="s">
        <v>76</v>
      </c>
      <c r="C18" s="55"/>
      <c r="AL18" s="56"/>
      <c r="AR18" s="66">
        <v>89</v>
      </c>
      <c r="BI18" s="56"/>
      <c r="BO18" s="66">
        <v>89.7</v>
      </c>
      <c r="CF18" s="56"/>
      <c r="CL18" s="66">
        <v>89.7</v>
      </c>
      <c r="DF18" s="56"/>
      <c r="DL18" s="66">
        <v>89.7</v>
      </c>
      <c r="EB18" s="56"/>
      <c r="EH18" s="66">
        <v>89.7</v>
      </c>
      <c r="EX18" s="56"/>
      <c r="FD18" s="66">
        <v>89.7</v>
      </c>
      <c r="FT18" s="56"/>
      <c r="FZ18" s="66">
        <v>89.7</v>
      </c>
      <c r="GP18" s="56"/>
      <c r="GV18" s="66">
        <v>89.7</v>
      </c>
      <c r="HL18" s="56"/>
      <c r="HR18" s="66">
        <v>89.7</v>
      </c>
      <c r="IH18" s="56"/>
      <c r="IN18" s="66">
        <v>89.7</v>
      </c>
      <c r="JD18" s="56"/>
      <c r="JJ18" s="66">
        <v>89.7</v>
      </c>
      <c r="JZ18" s="56"/>
      <c r="KF18" s="66">
        <v>89.7</v>
      </c>
      <c r="KV18" s="56"/>
      <c r="LB18" s="66">
        <v>89.7</v>
      </c>
      <c r="LR18" s="56"/>
      <c r="LX18" s="66">
        <v>89.7</v>
      </c>
      <c r="MN18" s="56"/>
      <c r="MT18" s="66">
        <v>89.7</v>
      </c>
    </row>
    <row r="19" spans="1:358" x14ac:dyDescent="0.2">
      <c r="A19" s="56"/>
      <c r="B19" s="116" t="s">
        <v>107</v>
      </c>
      <c r="C19" s="55"/>
      <c r="AL19" s="56"/>
      <c r="AQ19" s="130"/>
      <c r="AR19" s="117">
        <v>90</v>
      </c>
      <c r="BI19" s="56"/>
      <c r="BO19" s="117">
        <v>49</v>
      </c>
      <c r="CF19" s="56"/>
      <c r="CL19" s="117">
        <v>49</v>
      </c>
      <c r="DF19" s="56"/>
      <c r="DL19" s="117">
        <v>49</v>
      </c>
      <c r="EB19" s="56"/>
      <c r="EH19" s="117">
        <v>49</v>
      </c>
      <c r="EX19" s="56"/>
      <c r="FD19" s="117">
        <v>49</v>
      </c>
      <c r="FT19" s="56"/>
      <c r="FZ19" s="117">
        <v>49</v>
      </c>
      <c r="GP19" s="56"/>
      <c r="GV19" s="117">
        <v>49</v>
      </c>
      <c r="HL19" s="56"/>
      <c r="HR19" s="117">
        <v>49</v>
      </c>
      <c r="IH19" s="56"/>
      <c r="IN19" s="117">
        <v>49</v>
      </c>
      <c r="JD19" s="56"/>
      <c r="JJ19" s="117">
        <v>49</v>
      </c>
      <c r="JZ19" s="56"/>
      <c r="KF19" s="117">
        <v>49</v>
      </c>
      <c r="KV19" s="56"/>
      <c r="LB19" s="117">
        <v>49</v>
      </c>
      <c r="LR19" s="56"/>
      <c r="LX19" s="117">
        <v>49</v>
      </c>
      <c r="MN19" s="56"/>
      <c r="MT19" s="117">
        <v>49</v>
      </c>
    </row>
    <row r="20" spans="1:358" x14ac:dyDescent="0.2">
      <c r="A20" s="56"/>
      <c r="B20" s="74" t="s">
        <v>57</v>
      </c>
      <c r="C20" s="55"/>
      <c r="AL20" s="56"/>
      <c r="AR20" s="68">
        <v>91</v>
      </c>
      <c r="BI20" s="56"/>
      <c r="BO20" s="68">
        <v>50.2</v>
      </c>
      <c r="CF20" s="56"/>
      <c r="CL20" s="68">
        <v>50.2</v>
      </c>
      <c r="DF20" s="56"/>
      <c r="DL20" s="68">
        <v>50.2</v>
      </c>
      <c r="EB20" s="56"/>
      <c r="EH20" s="68">
        <v>50.2</v>
      </c>
      <c r="EX20" s="56"/>
      <c r="FD20" s="68">
        <v>50.2</v>
      </c>
      <c r="FT20" s="56"/>
      <c r="FZ20" s="68">
        <v>50.2</v>
      </c>
      <c r="GP20" s="56"/>
      <c r="GV20" s="68">
        <v>50.2</v>
      </c>
      <c r="HL20" s="56"/>
      <c r="HR20" s="68">
        <v>50.2</v>
      </c>
      <c r="IH20" s="56"/>
      <c r="IN20" s="68">
        <v>50.2</v>
      </c>
      <c r="JD20" s="56"/>
      <c r="JJ20" s="68">
        <v>50.2</v>
      </c>
      <c r="JZ20" s="56"/>
      <c r="KF20" s="68">
        <v>50.2</v>
      </c>
      <c r="KV20" s="56"/>
      <c r="LB20" s="68">
        <v>50.2</v>
      </c>
      <c r="LR20" s="56"/>
      <c r="LX20" s="68">
        <v>50.2</v>
      </c>
      <c r="MN20" s="56"/>
      <c r="MT20" s="68">
        <v>50.2</v>
      </c>
    </row>
    <row r="21" spans="1:358" x14ac:dyDescent="0.2">
      <c r="B21" s="82" t="s">
        <v>89</v>
      </c>
      <c r="C21" s="2"/>
      <c r="DG21" s="54"/>
    </row>
    <row r="22" spans="1:358" x14ac:dyDescent="0.2">
      <c r="A22" s="56"/>
      <c r="B22" s="56"/>
      <c r="C22" s="55"/>
    </row>
    <row r="23" spans="1:358" ht="17" x14ac:dyDescent="0.2">
      <c r="A23" s="56"/>
      <c r="B23" s="56"/>
      <c r="C23" s="55"/>
      <c r="S23" s="19"/>
      <c r="T23" s="19"/>
      <c r="U23" s="19"/>
    </row>
    <row r="24" spans="1:358" ht="17" x14ac:dyDescent="0.2">
      <c r="A24" s="56"/>
      <c r="B24" s="56"/>
      <c r="C24" s="55"/>
      <c r="S24" s="19"/>
      <c r="T24" s="19"/>
      <c r="U24" s="19"/>
    </row>
    <row r="25" spans="1:358" ht="17" x14ac:dyDescent="0.2"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</sheetData>
  <sheetProtection sheet="1" formatCells="0" formatColumns="0" formatRows="0"/>
  <autoFilter ref="A1:NQ10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10">
      <sortCondition descending="1" ref="F1:F11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10">
    <cfRule type="expression" dxfId="137" priority="3" stopIfTrue="1">
      <formula>IF($AK4&lt;&gt;"",1,0)</formula>
    </cfRule>
  </conditionalFormatting>
  <conditionalFormatting sqref="AS4:BO10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10">
    <cfRule type="expression" dxfId="127" priority="5" stopIfTrue="1">
      <formula>IF($CE4&lt;&gt;"",1,0)</formula>
    </cfRule>
  </conditionalFormatting>
  <conditionalFormatting sqref="AQ20:AQ1048576 AQ1:AQ18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AR$20</formula>
      <formula>1000</formula>
    </cfRule>
    <cfRule type="cellIs" dxfId="125" priority="37913" operator="between">
      <formula>AR$19</formula>
      <formula>AR$20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9">
    <cfRule type="cellIs" dxfId="123" priority="1" operator="between">
      <formula>AR$25</formula>
      <formula>1000</formula>
    </cfRule>
    <cfRule type="cellIs" dxfId="122" priority="2" operator="between">
      <formula>AR$24</formula>
      <formula>AR$25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39469" operator="between">
      <formula>AR$16</formula>
      <formula>1000</formula>
    </cfRule>
    <cfRule type="cellIs" dxfId="120" priority="39470" operator="between">
      <formula>AR$15</formula>
      <formula>AR$16</formula>
    </cfRule>
    <cfRule type="cellIs" dxfId="119" priority="39471" operator="between">
      <formula>AR$14</formula>
      <formula>AR$15</formula>
    </cfRule>
    <cfRule type="cellIs" dxfId="118" priority="39472" operator="between">
      <formula>AR$13</formula>
      <formula>AR$14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39649" operator="between">
      <formula>AR$20</formula>
      <formula>1000</formula>
    </cfRule>
    <cfRule type="cellIs" dxfId="116" priority="39650" operator="between">
      <formula>AR$19</formula>
      <formula>AR$20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39827" operator="between">
      <formula>AR$18</formula>
      <formula>1000</formula>
    </cfRule>
    <cfRule type="cellIs" dxfId="114" priority="39828" operator="between">
      <formula>AR$17</formula>
      <formula>AR$18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39917" operator="between">
      <formula>AR$16</formula>
      <formula>1000</formula>
    </cfRule>
    <cfRule type="cellIs" dxfId="112" priority="39918" operator="between">
      <formula>AR$15</formula>
      <formula>AR$16</formula>
    </cfRule>
    <cfRule type="cellIs" dxfId="111" priority="39919" operator="between">
      <formula>AR$14</formula>
      <formula>AR$15</formula>
    </cfRule>
    <cfRule type="cellIs" dxfId="110" priority="39920" operator="between">
      <formula>AR$13</formula>
      <formula>AR$14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381" width="10.83203125" hidden="1" customWidth="1"/>
  </cols>
  <sheetData>
    <row r="1" spans="1:38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0" t="s">
        <v>171</v>
      </c>
      <c r="G1" s="140" t="s">
        <v>167</v>
      </c>
      <c r="H1" s="140" t="s">
        <v>168</v>
      </c>
      <c r="I1" s="140" t="s">
        <v>16</v>
      </c>
      <c r="J1" s="140" t="s">
        <v>180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19</v>
      </c>
      <c r="P1" s="141" t="s">
        <v>55</v>
      </c>
      <c r="Q1" s="141" t="s">
        <v>20</v>
      </c>
      <c r="R1" s="141" t="s">
        <v>55</v>
      </c>
      <c r="S1" s="142" t="s">
        <v>21</v>
      </c>
      <c r="T1" s="141" t="s">
        <v>56</v>
      </c>
      <c r="U1" s="141" t="s">
        <v>55</v>
      </c>
      <c r="V1" s="137" t="s">
        <v>128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8" t="s">
        <v>160</v>
      </c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7" t="s">
        <v>182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9" t="s">
        <v>21</v>
      </c>
      <c r="CN1" s="139"/>
      <c r="CO1" s="139"/>
      <c r="CP1" s="139"/>
      <c r="CQ1" s="137" t="s">
        <v>146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7" t="s">
        <v>113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26</v>
      </c>
      <c r="W2" s="136"/>
      <c r="X2" s="136"/>
      <c r="Y2" s="136"/>
      <c r="Z2" s="136"/>
      <c r="AA2" s="136" t="s">
        <v>27</v>
      </c>
      <c r="AB2" s="136"/>
      <c r="AC2" s="136"/>
      <c r="AD2" s="136"/>
      <c r="AE2" s="136"/>
      <c r="AF2" s="136" t="s">
        <v>30</v>
      </c>
      <c r="AG2" s="136"/>
      <c r="AH2" s="136"/>
      <c r="AI2" s="136"/>
      <c r="AJ2" s="136"/>
      <c r="AK2" s="112"/>
      <c r="AL2" s="112" t="s">
        <v>104</v>
      </c>
      <c r="AM2" s="9" t="s">
        <v>28</v>
      </c>
      <c r="AN2" s="9" t="s">
        <v>29</v>
      </c>
      <c r="AO2" s="9" t="s">
        <v>31</v>
      </c>
      <c r="AP2" s="9" t="s">
        <v>126</v>
      </c>
      <c r="AQ2" s="9" t="s">
        <v>30</v>
      </c>
      <c r="AR2" s="9" t="s">
        <v>25</v>
      </c>
      <c r="AS2" s="135" t="s">
        <v>26</v>
      </c>
      <c r="AT2" s="135"/>
      <c r="AU2" s="135"/>
      <c r="AV2" s="135"/>
      <c r="AW2" s="135"/>
      <c r="AX2" s="135" t="s">
        <v>27</v>
      </c>
      <c r="AY2" s="135"/>
      <c r="AZ2" s="135"/>
      <c r="BA2" s="135"/>
      <c r="BB2" s="135"/>
      <c r="BC2" s="135" t="s">
        <v>30</v>
      </c>
      <c r="BD2" s="135"/>
      <c r="BE2" s="135"/>
      <c r="BF2" s="135"/>
      <c r="BG2" s="135"/>
      <c r="BH2" s="113"/>
      <c r="BI2" s="113" t="s">
        <v>104</v>
      </c>
      <c r="BJ2" s="12" t="s">
        <v>28</v>
      </c>
      <c r="BK2" s="12" t="s">
        <v>29</v>
      </c>
      <c r="BL2" s="12" t="s">
        <v>31</v>
      </c>
      <c r="BM2" s="12" t="s">
        <v>126</v>
      </c>
      <c r="BN2" s="12" t="s">
        <v>30</v>
      </c>
      <c r="BO2" s="12" t="s">
        <v>25</v>
      </c>
      <c r="BP2" s="136" t="s">
        <v>26</v>
      </c>
      <c r="BQ2" s="136"/>
      <c r="BR2" s="136"/>
      <c r="BS2" s="136"/>
      <c r="BT2" s="136"/>
      <c r="BU2" s="136" t="s">
        <v>27</v>
      </c>
      <c r="BV2" s="136"/>
      <c r="BW2" s="136"/>
      <c r="BX2" s="136"/>
      <c r="BY2" s="136"/>
      <c r="BZ2" s="136" t="s">
        <v>30</v>
      </c>
      <c r="CA2" s="136"/>
      <c r="CB2" s="136"/>
      <c r="CC2" s="136"/>
      <c r="CD2" s="136"/>
      <c r="CE2" s="112"/>
      <c r="CF2" s="112" t="s">
        <v>104</v>
      </c>
      <c r="CG2" s="9" t="s">
        <v>28</v>
      </c>
      <c r="CH2" s="9" t="s">
        <v>29</v>
      </c>
      <c r="CI2" s="9" t="s">
        <v>31</v>
      </c>
      <c r="CJ2" s="9" t="s">
        <v>126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6" t="s">
        <v>26</v>
      </c>
      <c r="CR2" s="136"/>
      <c r="CS2" s="136"/>
      <c r="CT2" s="136"/>
      <c r="CU2" s="136"/>
      <c r="CV2" s="136" t="s">
        <v>27</v>
      </c>
      <c r="CW2" s="136"/>
      <c r="CX2" s="136"/>
      <c r="CY2" s="136"/>
      <c r="CZ2" s="136"/>
      <c r="DA2" s="136" t="s">
        <v>30</v>
      </c>
      <c r="DB2" s="136"/>
      <c r="DC2" s="136"/>
      <c r="DD2" s="136"/>
      <c r="DE2" s="136"/>
      <c r="DF2" s="112" t="s">
        <v>104</v>
      </c>
      <c r="DG2" s="9" t="s">
        <v>28</v>
      </c>
      <c r="DH2" s="9" t="s">
        <v>29</v>
      </c>
      <c r="DI2" s="9" t="s">
        <v>31</v>
      </c>
      <c r="DJ2" s="9" t="s">
        <v>126</v>
      </c>
      <c r="DK2" s="9" t="s">
        <v>30</v>
      </c>
      <c r="DL2" s="9" t="s">
        <v>25</v>
      </c>
      <c r="DM2" s="135" t="s">
        <v>26</v>
      </c>
      <c r="DN2" s="135"/>
      <c r="DO2" s="135"/>
      <c r="DP2" s="135"/>
      <c r="DQ2" s="135"/>
      <c r="DR2" s="135" t="s">
        <v>27</v>
      </c>
      <c r="DS2" s="135"/>
      <c r="DT2" s="135"/>
      <c r="DU2" s="135"/>
      <c r="DV2" s="135"/>
      <c r="DW2" s="135" t="s">
        <v>30</v>
      </c>
      <c r="DX2" s="135"/>
      <c r="DY2" s="135"/>
      <c r="DZ2" s="135"/>
      <c r="EA2" s="135"/>
      <c r="EB2" s="113" t="s">
        <v>104</v>
      </c>
      <c r="EC2" s="12" t="s">
        <v>28</v>
      </c>
      <c r="ED2" s="12" t="s">
        <v>29</v>
      </c>
      <c r="EE2" s="12" t="s">
        <v>31</v>
      </c>
      <c r="EF2" s="12" t="s">
        <v>126</v>
      </c>
      <c r="EG2" s="12" t="s">
        <v>30</v>
      </c>
      <c r="EH2" s="12" t="s">
        <v>25</v>
      </c>
      <c r="EI2" s="136" t="s">
        <v>26</v>
      </c>
      <c r="EJ2" s="136"/>
      <c r="EK2" s="136"/>
      <c r="EL2" s="136"/>
      <c r="EM2" s="136"/>
      <c r="EN2" s="136" t="s">
        <v>27</v>
      </c>
      <c r="EO2" s="136"/>
      <c r="EP2" s="136"/>
      <c r="EQ2" s="136"/>
      <c r="ER2" s="136"/>
      <c r="ES2" s="136" t="s">
        <v>30</v>
      </c>
      <c r="ET2" s="136"/>
      <c r="EU2" s="136"/>
      <c r="EV2" s="136"/>
      <c r="EW2" s="136"/>
      <c r="EX2" s="112" t="s">
        <v>104</v>
      </c>
      <c r="EY2" s="9" t="s">
        <v>28</v>
      </c>
      <c r="EZ2" s="9" t="s">
        <v>29</v>
      </c>
      <c r="FA2" s="9" t="s">
        <v>31</v>
      </c>
      <c r="FB2" s="9" t="s">
        <v>126</v>
      </c>
      <c r="FC2" s="9" t="s">
        <v>30</v>
      </c>
      <c r="FD2" s="9" t="s">
        <v>25</v>
      </c>
      <c r="FE2" s="135" t="s">
        <v>26</v>
      </c>
      <c r="FF2" s="135"/>
      <c r="FG2" s="135"/>
      <c r="FH2" s="135"/>
      <c r="FI2" s="135"/>
      <c r="FJ2" s="135" t="s">
        <v>27</v>
      </c>
      <c r="FK2" s="135"/>
      <c r="FL2" s="135"/>
      <c r="FM2" s="135"/>
      <c r="FN2" s="135"/>
      <c r="FO2" s="135" t="s">
        <v>30</v>
      </c>
      <c r="FP2" s="135"/>
      <c r="FQ2" s="135"/>
      <c r="FR2" s="135"/>
      <c r="FS2" s="135"/>
      <c r="FT2" s="113" t="s">
        <v>104</v>
      </c>
      <c r="FU2" s="12" t="s">
        <v>28</v>
      </c>
      <c r="FV2" s="12" t="s">
        <v>29</v>
      </c>
      <c r="FW2" s="12" t="s">
        <v>31</v>
      </c>
      <c r="FX2" s="12" t="s">
        <v>126</v>
      </c>
      <c r="FY2" s="12" t="s">
        <v>30</v>
      </c>
      <c r="FZ2" s="12" t="s">
        <v>25</v>
      </c>
      <c r="GA2" s="136" t="s">
        <v>26</v>
      </c>
      <c r="GB2" s="136"/>
      <c r="GC2" s="136"/>
      <c r="GD2" s="136"/>
      <c r="GE2" s="136"/>
      <c r="GF2" s="136" t="s">
        <v>27</v>
      </c>
      <c r="GG2" s="136"/>
      <c r="GH2" s="136"/>
      <c r="GI2" s="136"/>
      <c r="GJ2" s="136"/>
      <c r="GK2" s="136" t="s">
        <v>30</v>
      </c>
      <c r="GL2" s="136"/>
      <c r="GM2" s="136"/>
      <c r="GN2" s="136"/>
      <c r="GO2" s="136"/>
      <c r="GP2" s="112" t="s">
        <v>104</v>
      </c>
      <c r="GQ2" s="9" t="s">
        <v>28</v>
      </c>
      <c r="GR2" s="9" t="s">
        <v>29</v>
      </c>
      <c r="GS2" s="9" t="s">
        <v>31</v>
      </c>
      <c r="GT2" s="9" t="s">
        <v>126</v>
      </c>
      <c r="GU2" s="9" t="s">
        <v>30</v>
      </c>
      <c r="GV2" s="9" t="s">
        <v>25</v>
      </c>
      <c r="GW2" s="135" t="s">
        <v>26</v>
      </c>
      <c r="GX2" s="135"/>
      <c r="GY2" s="135"/>
      <c r="GZ2" s="135"/>
      <c r="HA2" s="135"/>
      <c r="HB2" s="135" t="s">
        <v>27</v>
      </c>
      <c r="HC2" s="135"/>
      <c r="HD2" s="135"/>
      <c r="HE2" s="135"/>
      <c r="HF2" s="135"/>
      <c r="HG2" s="135" t="s">
        <v>30</v>
      </c>
      <c r="HH2" s="135"/>
      <c r="HI2" s="135"/>
      <c r="HJ2" s="135"/>
      <c r="HK2" s="135"/>
      <c r="HL2" s="113" t="s">
        <v>104</v>
      </c>
      <c r="HM2" s="12" t="s">
        <v>28</v>
      </c>
      <c r="HN2" s="12" t="s">
        <v>29</v>
      </c>
      <c r="HO2" s="12" t="s">
        <v>31</v>
      </c>
      <c r="HP2" s="12" t="s">
        <v>126</v>
      </c>
      <c r="HQ2" s="12" t="s">
        <v>30</v>
      </c>
      <c r="HR2" s="12" t="s">
        <v>25</v>
      </c>
      <c r="HS2" s="136" t="s">
        <v>26</v>
      </c>
      <c r="HT2" s="136"/>
      <c r="HU2" s="136"/>
      <c r="HV2" s="136"/>
      <c r="HW2" s="136"/>
      <c r="HX2" s="136" t="s">
        <v>27</v>
      </c>
      <c r="HY2" s="136"/>
      <c r="HZ2" s="136"/>
      <c r="IA2" s="136"/>
      <c r="IB2" s="136"/>
      <c r="IC2" s="136" t="s">
        <v>30</v>
      </c>
      <c r="ID2" s="136"/>
      <c r="IE2" s="136"/>
      <c r="IF2" s="136"/>
      <c r="IG2" s="136"/>
      <c r="IH2" s="112" t="s">
        <v>104</v>
      </c>
      <c r="II2" s="9" t="s">
        <v>28</v>
      </c>
      <c r="IJ2" s="9" t="s">
        <v>29</v>
      </c>
      <c r="IK2" s="9" t="s">
        <v>31</v>
      </c>
      <c r="IL2" s="9" t="s">
        <v>126</v>
      </c>
      <c r="IM2" s="9" t="s">
        <v>30</v>
      </c>
      <c r="IN2" s="9" t="s">
        <v>25</v>
      </c>
      <c r="IO2" s="135" t="s">
        <v>26</v>
      </c>
      <c r="IP2" s="135"/>
      <c r="IQ2" s="135"/>
      <c r="IR2" s="135"/>
      <c r="IS2" s="135"/>
      <c r="IT2" s="135" t="s">
        <v>27</v>
      </c>
      <c r="IU2" s="135"/>
      <c r="IV2" s="135"/>
      <c r="IW2" s="135"/>
      <c r="IX2" s="135"/>
      <c r="IY2" s="135" t="s">
        <v>30</v>
      </c>
      <c r="IZ2" s="135"/>
      <c r="JA2" s="135"/>
      <c r="JB2" s="135"/>
      <c r="JC2" s="135"/>
      <c r="JD2" s="113" t="s">
        <v>104</v>
      </c>
      <c r="JE2" s="12" t="s">
        <v>28</v>
      </c>
      <c r="JF2" s="12" t="s">
        <v>29</v>
      </c>
      <c r="JG2" s="12" t="s">
        <v>31</v>
      </c>
      <c r="JH2" s="12" t="s">
        <v>126</v>
      </c>
      <c r="JI2" s="12" t="s">
        <v>30</v>
      </c>
      <c r="JJ2" s="12" t="s">
        <v>25</v>
      </c>
      <c r="JK2" s="136" t="s">
        <v>26</v>
      </c>
      <c r="JL2" s="136"/>
      <c r="JM2" s="136"/>
      <c r="JN2" s="136"/>
      <c r="JO2" s="136"/>
      <c r="JP2" s="136" t="s">
        <v>27</v>
      </c>
      <c r="JQ2" s="136"/>
      <c r="JR2" s="136"/>
      <c r="JS2" s="136"/>
      <c r="JT2" s="136"/>
      <c r="JU2" s="136" t="s">
        <v>30</v>
      </c>
      <c r="JV2" s="136"/>
      <c r="JW2" s="136"/>
      <c r="JX2" s="136"/>
      <c r="JY2" s="136"/>
      <c r="JZ2" s="112" t="s">
        <v>104</v>
      </c>
      <c r="KA2" s="9" t="s">
        <v>28</v>
      </c>
      <c r="KB2" s="9" t="s">
        <v>29</v>
      </c>
      <c r="KC2" s="9" t="s">
        <v>31</v>
      </c>
      <c r="KD2" s="9" t="s">
        <v>126</v>
      </c>
      <c r="KE2" s="9" t="s">
        <v>30</v>
      </c>
      <c r="KF2" s="9" t="s">
        <v>25</v>
      </c>
      <c r="KG2" s="135" t="s">
        <v>26</v>
      </c>
      <c r="KH2" s="135"/>
      <c r="KI2" s="135"/>
      <c r="KJ2" s="135"/>
      <c r="KK2" s="135"/>
      <c r="KL2" s="135" t="s">
        <v>27</v>
      </c>
      <c r="KM2" s="135"/>
      <c r="KN2" s="135"/>
      <c r="KO2" s="135"/>
      <c r="KP2" s="135"/>
      <c r="KQ2" s="135" t="s">
        <v>30</v>
      </c>
      <c r="KR2" s="135"/>
      <c r="KS2" s="135"/>
      <c r="KT2" s="135"/>
      <c r="KU2" s="135"/>
      <c r="KV2" s="113" t="s">
        <v>104</v>
      </c>
      <c r="KW2" s="12" t="s">
        <v>28</v>
      </c>
      <c r="KX2" s="12" t="s">
        <v>29</v>
      </c>
      <c r="KY2" s="12" t="s">
        <v>31</v>
      </c>
      <c r="KZ2" s="12" t="s">
        <v>126</v>
      </c>
      <c r="LA2" s="12" t="s">
        <v>30</v>
      </c>
      <c r="LB2" s="12" t="s">
        <v>25</v>
      </c>
      <c r="LC2" s="136" t="s">
        <v>26</v>
      </c>
      <c r="LD2" s="136"/>
      <c r="LE2" s="136"/>
      <c r="LF2" s="136"/>
      <c r="LG2" s="136"/>
      <c r="LH2" s="136" t="s">
        <v>27</v>
      </c>
      <c r="LI2" s="136"/>
      <c r="LJ2" s="136"/>
      <c r="LK2" s="136"/>
      <c r="LL2" s="136"/>
      <c r="LM2" s="136" t="s">
        <v>30</v>
      </c>
      <c r="LN2" s="136"/>
      <c r="LO2" s="136"/>
      <c r="LP2" s="136"/>
      <c r="LQ2" s="136"/>
      <c r="LR2" s="112" t="s">
        <v>104</v>
      </c>
      <c r="LS2" s="9" t="s">
        <v>28</v>
      </c>
      <c r="LT2" s="9" t="s">
        <v>29</v>
      </c>
      <c r="LU2" s="9" t="s">
        <v>31</v>
      </c>
      <c r="LV2" s="9" t="s">
        <v>126</v>
      </c>
      <c r="LW2" s="9" t="s">
        <v>30</v>
      </c>
      <c r="LX2" s="9" t="s">
        <v>25</v>
      </c>
      <c r="LY2" s="135" t="s">
        <v>26</v>
      </c>
      <c r="LZ2" s="135"/>
      <c r="MA2" s="135"/>
      <c r="MB2" s="135"/>
      <c r="MC2" s="135"/>
      <c r="MD2" s="135" t="s">
        <v>27</v>
      </c>
      <c r="ME2" s="135"/>
      <c r="MF2" s="135"/>
      <c r="MG2" s="135"/>
      <c r="MH2" s="135"/>
      <c r="MI2" s="135" t="s">
        <v>30</v>
      </c>
      <c r="MJ2" s="135"/>
      <c r="MK2" s="135"/>
      <c r="ML2" s="135"/>
      <c r="MM2" s="135"/>
      <c r="MN2" s="113" t="s">
        <v>104</v>
      </c>
      <c r="MO2" s="12" t="s">
        <v>28</v>
      </c>
      <c r="MP2" s="12" t="s">
        <v>29</v>
      </c>
      <c r="MQ2" s="12" t="s">
        <v>31</v>
      </c>
      <c r="MR2" s="12" t="s">
        <v>126</v>
      </c>
      <c r="MS2" s="12" t="s">
        <v>30</v>
      </c>
      <c r="MT2" s="12" t="s">
        <v>25</v>
      </c>
      <c r="MU2" s="136" t="s">
        <v>26</v>
      </c>
      <c r="MV2" s="136"/>
      <c r="MW2" s="136"/>
      <c r="MX2" s="136"/>
      <c r="MY2" s="136"/>
      <c r="MZ2" s="136" t="s">
        <v>27</v>
      </c>
      <c r="NA2" s="136"/>
      <c r="NB2" s="136"/>
      <c r="NC2" s="136"/>
      <c r="ND2" s="136"/>
      <c r="NE2" s="136" t="s">
        <v>30</v>
      </c>
      <c r="NF2" s="136"/>
      <c r="NG2" s="136"/>
      <c r="NH2" s="136"/>
      <c r="NI2" s="136"/>
      <c r="NJ2" s="112"/>
      <c r="NK2" s="112" t="s">
        <v>104</v>
      </c>
      <c r="NL2" s="9" t="s">
        <v>28</v>
      </c>
      <c r="NM2" s="9" t="s">
        <v>29</v>
      </c>
      <c r="NN2" s="9" t="s">
        <v>31</v>
      </c>
      <c r="NO2" s="9" t="s">
        <v>126</v>
      </c>
      <c r="NP2" s="9" t="s">
        <v>30</v>
      </c>
      <c r="NQ2" s="9" t="s">
        <v>25</v>
      </c>
    </row>
    <row r="3" spans="1:381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112" t="s">
        <v>22</v>
      </c>
      <c r="W3" s="112" t="s">
        <v>23</v>
      </c>
      <c r="X3" s="112" t="s">
        <v>14</v>
      </c>
      <c r="Y3" s="112" t="s">
        <v>54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54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54</v>
      </c>
      <c r="AJ3" s="112" t="s">
        <v>44</v>
      </c>
      <c r="AK3" s="112" t="s">
        <v>87</v>
      </c>
      <c r="AL3" s="10"/>
      <c r="AM3" s="9"/>
      <c r="AN3" s="9"/>
      <c r="AO3" s="9"/>
      <c r="AP3" s="9"/>
      <c r="AQ3" s="10"/>
      <c r="AR3" s="10"/>
      <c r="AS3" s="113" t="s">
        <v>22</v>
      </c>
      <c r="AT3" s="113" t="s">
        <v>23</v>
      </c>
      <c r="AU3" s="113" t="s">
        <v>14</v>
      </c>
      <c r="AV3" s="113" t="s">
        <v>54</v>
      </c>
      <c r="AW3" s="113" t="s">
        <v>44</v>
      </c>
      <c r="AX3" s="113" t="s">
        <v>22</v>
      </c>
      <c r="AY3" s="113" t="s">
        <v>23</v>
      </c>
      <c r="AZ3" s="113" t="s">
        <v>14</v>
      </c>
      <c r="BA3" s="113" t="s">
        <v>54</v>
      </c>
      <c r="BB3" s="113" t="s">
        <v>44</v>
      </c>
      <c r="BC3" s="113" t="s">
        <v>22</v>
      </c>
      <c r="BD3" s="113" t="s">
        <v>23</v>
      </c>
      <c r="BE3" s="113" t="s">
        <v>14</v>
      </c>
      <c r="BF3" s="113" t="s">
        <v>54</v>
      </c>
      <c r="BG3" s="113" t="s">
        <v>44</v>
      </c>
      <c r="BH3" s="113" t="s">
        <v>87</v>
      </c>
      <c r="BI3" s="13"/>
      <c r="BJ3" s="12"/>
      <c r="BK3" s="12"/>
      <c r="BL3" s="12"/>
      <c r="BM3" s="12"/>
      <c r="BN3" s="13"/>
      <c r="BO3" s="13"/>
      <c r="BP3" s="112" t="s">
        <v>22</v>
      </c>
      <c r="BQ3" s="112" t="s">
        <v>23</v>
      </c>
      <c r="BR3" s="112" t="s">
        <v>14</v>
      </c>
      <c r="BS3" s="112" t="s">
        <v>54</v>
      </c>
      <c r="BT3" s="112" t="s">
        <v>44</v>
      </c>
      <c r="BU3" s="112" t="s">
        <v>22</v>
      </c>
      <c r="BV3" s="112" t="s">
        <v>23</v>
      </c>
      <c r="BW3" s="112" t="s">
        <v>14</v>
      </c>
      <c r="BX3" s="112" t="s">
        <v>54</v>
      </c>
      <c r="BY3" s="112" t="s">
        <v>44</v>
      </c>
      <c r="BZ3" s="112" t="s">
        <v>22</v>
      </c>
      <c r="CA3" s="112" t="s">
        <v>23</v>
      </c>
      <c r="CB3" s="112" t="s">
        <v>14</v>
      </c>
      <c r="CC3" s="112" t="s">
        <v>54</v>
      </c>
      <c r="CD3" s="112" t="s">
        <v>44</v>
      </c>
      <c r="CE3" s="112" t="s">
        <v>87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22</v>
      </c>
      <c r="CR3" s="112" t="s">
        <v>23</v>
      </c>
      <c r="CS3" s="112" t="s">
        <v>14</v>
      </c>
      <c r="CT3" s="48" t="s">
        <v>54</v>
      </c>
      <c r="CU3" s="48" t="s">
        <v>44</v>
      </c>
      <c r="CV3" s="112" t="s">
        <v>22</v>
      </c>
      <c r="CW3" s="112" t="s">
        <v>23</v>
      </c>
      <c r="CX3" s="112" t="s">
        <v>14</v>
      </c>
      <c r="CY3" s="48" t="s">
        <v>54</v>
      </c>
      <c r="CZ3" s="48" t="s">
        <v>44</v>
      </c>
      <c r="DA3" s="112" t="s">
        <v>22</v>
      </c>
      <c r="DB3" s="112" t="s">
        <v>23</v>
      </c>
      <c r="DC3" s="112" t="s">
        <v>14</v>
      </c>
      <c r="DD3" s="48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113" t="s">
        <v>22</v>
      </c>
      <c r="DN3" s="113" t="s">
        <v>23</v>
      </c>
      <c r="DO3" s="113" t="s">
        <v>14</v>
      </c>
      <c r="DP3" s="115" t="s">
        <v>54</v>
      </c>
      <c r="DQ3" s="115" t="s">
        <v>44</v>
      </c>
      <c r="DR3" s="113" t="s">
        <v>22</v>
      </c>
      <c r="DS3" s="113" t="s">
        <v>23</v>
      </c>
      <c r="DT3" s="113" t="s">
        <v>14</v>
      </c>
      <c r="DU3" s="115" t="s">
        <v>54</v>
      </c>
      <c r="DV3" s="115" t="s">
        <v>44</v>
      </c>
      <c r="DW3" s="113" t="s">
        <v>22</v>
      </c>
      <c r="DX3" s="113" t="s">
        <v>23</v>
      </c>
      <c r="DY3" s="113" t="s">
        <v>14</v>
      </c>
      <c r="DZ3" s="115" t="s">
        <v>54</v>
      </c>
      <c r="EA3" s="115" t="s">
        <v>44</v>
      </c>
      <c r="EB3" s="13"/>
      <c r="EC3" s="12"/>
      <c r="ED3" s="12"/>
      <c r="EE3" s="12"/>
      <c r="EF3" s="12"/>
      <c r="EG3" s="13"/>
      <c r="EH3" s="13"/>
      <c r="EI3" s="112" t="s">
        <v>22</v>
      </c>
      <c r="EJ3" s="112" t="s">
        <v>23</v>
      </c>
      <c r="EK3" s="112" t="s">
        <v>14</v>
      </c>
      <c r="EL3" s="114" t="s">
        <v>54</v>
      </c>
      <c r="EM3" s="114" t="s">
        <v>44</v>
      </c>
      <c r="EN3" s="112" t="s">
        <v>22</v>
      </c>
      <c r="EO3" s="112" t="s">
        <v>23</v>
      </c>
      <c r="EP3" s="112" t="s">
        <v>14</v>
      </c>
      <c r="EQ3" s="114" t="s">
        <v>54</v>
      </c>
      <c r="ER3" s="114" t="s">
        <v>44</v>
      </c>
      <c r="ES3" s="112" t="s">
        <v>22</v>
      </c>
      <c r="ET3" s="112" t="s">
        <v>23</v>
      </c>
      <c r="EU3" s="112" t="s">
        <v>14</v>
      </c>
      <c r="EV3" s="114" t="s">
        <v>54</v>
      </c>
      <c r="EW3" s="114" t="s">
        <v>44</v>
      </c>
      <c r="EX3" s="10"/>
      <c r="EY3" s="9"/>
      <c r="EZ3" s="9"/>
      <c r="FA3" s="9"/>
      <c r="FB3" s="9"/>
      <c r="FC3" s="10"/>
      <c r="FD3" s="10"/>
      <c r="FE3" s="113" t="s">
        <v>22</v>
      </c>
      <c r="FF3" s="113" t="s">
        <v>23</v>
      </c>
      <c r="FG3" s="113" t="s">
        <v>14</v>
      </c>
      <c r="FH3" s="115" t="s">
        <v>54</v>
      </c>
      <c r="FI3" s="115" t="s">
        <v>44</v>
      </c>
      <c r="FJ3" s="113" t="s">
        <v>22</v>
      </c>
      <c r="FK3" s="113" t="s">
        <v>23</v>
      </c>
      <c r="FL3" s="113" t="s">
        <v>14</v>
      </c>
      <c r="FM3" s="115" t="s">
        <v>54</v>
      </c>
      <c r="FN3" s="115" t="s">
        <v>44</v>
      </c>
      <c r="FO3" s="113" t="s">
        <v>22</v>
      </c>
      <c r="FP3" s="113" t="s">
        <v>23</v>
      </c>
      <c r="FQ3" s="113" t="s">
        <v>14</v>
      </c>
      <c r="FR3" s="115" t="s">
        <v>54</v>
      </c>
      <c r="FS3" s="115" t="s">
        <v>44</v>
      </c>
      <c r="FT3" s="13"/>
      <c r="FU3" s="12"/>
      <c r="FV3" s="12"/>
      <c r="FW3" s="12"/>
      <c r="FX3" s="12"/>
      <c r="FY3" s="13"/>
      <c r="FZ3" s="13"/>
      <c r="GA3" s="112" t="s">
        <v>22</v>
      </c>
      <c r="GB3" s="112" t="s">
        <v>23</v>
      </c>
      <c r="GC3" s="112" t="s">
        <v>14</v>
      </c>
      <c r="GD3" s="114" t="s">
        <v>54</v>
      </c>
      <c r="GE3" s="114" t="s">
        <v>44</v>
      </c>
      <c r="GF3" s="112" t="s">
        <v>22</v>
      </c>
      <c r="GG3" s="112" t="s">
        <v>23</v>
      </c>
      <c r="GH3" s="112" t="s">
        <v>14</v>
      </c>
      <c r="GI3" s="114" t="s">
        <v>54</v>
      </c>
      <c r="GJ3" s="114" t="s">
        <v>44</v>
      </c>
      <c r="GK3" s="112" t="s">
        <v>22</v>
      </c>
      <c r="GL3" s="112" t="s">
        <v>23</v>
      </c>
      <c r="GM3" s="112" t="s">
        <v>14</v>
      </c>
      <c r="GN3" s="114" t="s">
        <v>54</v>
      </c>
      <c r="GO3" s="114" t="s">
        <v>44</v>
      </c>
      <c r="GP3" s="10"/>
      <c r="GQ3" s="9"/>
      <c r="GR3" s="9"/>
      <c r="GS3" s="9"/>
      <c r="GT3" s="9"/>
      <c r="GU3" s="10"/>
      <c r="GV3" s="10"/>
      <c r="GW3" s="113" t="s">
        <v>22</v>
      </c>
      <c r="GX3" s="113" t="s">
        <v>23</v>
      </c>
      <c r="GY3" s="113" t="s">
        <v>14</v>
      </c>
      <c r="GZ3" s="115" t="s">
        <v>54</v>
      </c>
      <c r="HA3" s="115" t="s">
        <v>44</v>
      </c>
      <c r="HB3" s="113" t="s">
        <v>22</v>
      </c>
      <c r="HC3" s="113" t="s">
        <v>23</v>
      </c>
      <c r="HD3" s="113" t="s">
        <v>14</v>
      </c>
      <c r="HE3" s="115" t="s">
        <v>54</v>
      </c>
      <c r="HF3" s="115" t="s">
        <v>44</v>
      </c>
      <c r="HG3" s="113" t="s">
        <v>22</v>
      </c>
      <c r="HH3" s="113" t="s">
        <v>23</v>
      </c>
      <c r="HI3" s="113" t="s">
        <v>14</v>
      </c>
      <c r="HJ3" s="115" t="s">
        <v>54</v>
      </c>
      <c r="HK3" s="115" t="s">
        <v>44</v>
      </c>
      <c r="HL3" s="13"/>
      <c r="HM3" s="12"/>
      <c r="HN3" s="12"/>
      <c r="HO3" s="12"/>
      <c r="HP3" s="12"/>
      <c r="HQ3" s="13"/>
      <c r="HR3" s="13"/>
      <c r="HS3" s="112" t="s">
        <v>22</v>
      </c>
      <c r="HT3" s="112" t="s">
        <v>23</v>
      </c>
      <c r="HU3" s="112" t="s">
        <v>14</v>
      </c>
      <c r="HV3" s="114" t="s">
        <v>54</v>
      </c>
      <c r="HW3" s="114" t="s">
        <v>44</v>
      </c>
      <c r="HX3" s="112" t="s">
        <v>22</v>
      </c>
      <c r="HY3" s="112" t="s">
        <v>23</v>
      </c>
      <c r="HZ3" s="112" t="s">
        <v>14</v>
      </c>
      <c r="IA3" s="114" t="s">
        <v>54</v>
      </c>
      <c r="IB3" s="114" t="s">
        <v>44</v>
      </c>
      <c r="IC3" s="112" t="s">
        <v>22</v>
      </c>
      <c r="ID3" s="112" t="s">
        <v>23</v>
      </c>
      <c r="IE3" s="112" t="s">
        <v>14</v>
      </c>
      <c r="IF3" s="114" t="s">
        <v>54</v>
      </c>
      <c r="IG3" s="114" t="s">
        <v>44</v>
      </c>
      <c r="IH3" s="10"/>
      <c r="II3" s="9"/>
      <c r="IJ3" s="9"/>
      <c r="IK3" s="9"/>
      <c r="IL3" s="9"/>
      <c r="IM3" s="10"/>
      <c r="IN3" s="10"/>
      <c r="IO3" s="113" t="s">
        <v>22</v>
      </c>
      <c r="IP3" s="113" t="s">
        <v>23</v>
      </c>
      <c r="IQ3" s="113" t="s">
        <v>14</v>
      </c>
      <c r="IR3" s="115" t="s">
        <v>54</v>
      </c>
      <c r="IS3" s="115" t="s">
        <v>44</v>
      </c>
      <c r="IT3" s="113" t="s">
        <v>22</v>
      </c>
      <c r="IU3" s="113" t="s">
        <v>23</v>
      </c>
      <c r="IV3" s="113" t="s">
        <v>14</v>
      </c>
      <c r="IW3" s="115" t="s">
        <v>54</v>
      </c>
      <c r="IX3" s="115" t="s">
        <v>44</v>
      </c>
      <c r="IY3" s="113" t="s">
        <v>22</v>
      </c>
      <c r="IZ3" s="113" t="s">
        <v>23</v>
      </c>
      <c r="JA3" s="113" t="s">
        <v>14</v>
      </c>
      <c r="JB3" s="115" t="s">
        <v>54</v>
      </c>
      <c r="JC3" s="115" t="s">
        <v>44</v>
      </c>
      <c r="JD3" s="13"/>
      <c r="JE3" s="12"/>
      <c r="JF3" s="12"/>
      <c r="JG3" s="12"/>
      <c r="JH3" s="12"/>
      <c r="JI3" s="13"/>
      <c r="JJ3" s="13"/>
      <c r="JK3" s="112" t="s">
        <v>22</v>
      </c>
      <c r="JL3" s="112" t="s">
        <v>23</v>
      </c>
      <c r="JM3" s="112" t="s">
        <v>14</v>
      </c>
      <c r="JN3" s="114" t="s">
        <v>54</v>
      </c>
      <c r="JO3" s="114" t="s">
        <v>44</v>
      </c>
      <c r="JP3" s="112" t="s">
        <v>22</v>
      </c>
      <c r="JQ3" s="112" t="s">
        <v>23</v>
      </c>
      <c r="JR3" s="112" t="s">
        <v>14</v>
      </c>
      <c r="JS3" s="114" t="s">
        <v>54</v>
      </c>
      <c r="JT3" s="114" t="s">
        <v>44</v>
      </c>
      <c r="JU3" s="112" t="s">
        <v>22</v>
      </c>
      <c r="JV3" s="112" t="s">
        <v>23</v>
      </c>
      <c r="JW3" s="112" t="s">
        <v>14</v>
      </c>
      <c r="JX3" s="114" t="s">
        <v>54</v>
      </c>
      <c r="JY3" s="114" t="s">
        <v>44</v>
      </c>
      <c r="JZ3" s="10"/>
      <c r="KA3" s="9"/>
      <c r="KB3" s="9"/>
      <c r="KC3" s="9"/>
      <c r="KD3" s="9"/>
      <c r="KE3" s="10"/>
      <c r="KF3" s="10"/>
      <c r="KG3" s="113" t="s">
        <v>22</v>
      </c>
      <c r="KH3" s="113" t="s">
        <v>23</v>
      </c>
      <c r="KI3" s="113" t="s">
        <v>14</v>
      </c>
      <c r="KJ3" s="115" t="s">
        <v>54</v>
      </c>
      <c r="KK3" s="115" t="s">
        <v>44</v>
      </c>
      <c r="KL3" s="113" t="s">
        <v>22</v>
      </c>
      <c r="KM3" s="113" t="s">
        <v>23</v>
      </c>
      <c r="KN3" s="113" t="s">
        <v>14</v>
      </c>
      <c r="KO3" s="115" t="s">
        <v>54</v>
      </c>
      <c r="KP3" s="115" t="s">
        <v>44</v>
      </c>
      <c r="KQ3" s="113" t="s">
        <v>22</v>
      </c>
      <c r="KR3" s="113" t="s">
        <v>23</v>
      </c>
      <c r="KS3" s="113" t="s">
        <v>14</v>
      </c>
      <c r="KT3" s="115" t="s">
        <v>54</v>
      </c>
      <c r="KU3" s="115" t="s">
        <v>44</v>
      </c>
      <c r="KV3" s="13"/>
      <c r="KW3" s="12"/>
      <c r="KX3" s="12"/>
      <c r="KY3" s="12"/>
      <c r="KZ3" s="12"/>
      <c r="LA3" s="13"/>
      <c r="LB3" s="13"/>
      <c r="LC3" s="112" t="s">
        <v>22</v>
      </c>
      <c r="LD3" s="112" t="s">
        <v>23</v>
      </c>
      <c r="LE3" s="112" t="s">
        <v>14</v>
      </c>
      <c r="LF3" s="114" t="s">
        <v>54</v>
      </c>
      <c r="LG3" s="114" t="s">
        <v>44</v>
      </c>
      <c r="LH3" s="112" t="s">
        <v>22</v>
      </c>
      <c r="LI3" s="112" t="s">
        <v>23</v>
      </c>
      <c r="LJ3" s="112" t="s">
        <v>14</v>
      </c>
      <c r="LK3" s="114" t="s">
        <v>54</v>
      </c>
      <c r="LL3" s="114" t="s">
        <v>44</v>
      </c>
      <c r="LM3" s="112" t="s">
        <v>22</v>
      </c>
      <c r="LN3" s="112" t="s">
        <v>23</v>
      </c>
      <c r="LO3" s="112" t="s">
        <v>14</v>
      </c>
      <c r="LP3" s="114" t="s">
        <v>54</v>
      </c>
      <c r="LQ3" s="114" t="s">
        <v>44</v>
      </c>
      <c r="LR3" s="10"/>
      <c r="LS3" s="9"/>
      <c r="LT3" s="9"/>
      <c r="LU3" s="9"/>
      <c r="LV3" s="9"/>
      <c r="LW3" s="10"/>
      <c r="LX3" s="10"/>
      <c r="LY3" s="113" t="s">
        <v>22</v>
      </c>
      <c r="LZ3" s="113" t="s">
        <v>23</v>
      </c>
      <c r="MA3" s="113" t="s">
        <v>14</v>
      </c>
      <c r="MB3" s="115" t="s">
        <v>54</v>
      </c>
      <c r="MC3" s="115" t="s">
        <v>44</v>
      </c>
      <c r="MD3" s="113" t="s">
        <v>22</v>
      </c>
      <c r="ME3" s="113" t="s">
        <v>23</v>
      </c>
      <c r="MF3" s="113" t="s">
        <v>14</v>
      </c>
      <c r="MG3" s="115" t="s">
        <v>54</v>
      </c>
      <c r="MH3" s="115" t="s">
        <v>44</v>
      </c>
      <c r="MI3" s="113" t="s">
        <v>22</v>
      </c>
      <c r="MJ3" s="113" t="s">
        <v>23</v>
      </c>
      <c r="MK3" s="113" t="s">
        <v>14</v>
      </c>
      <c r="ML3" s="115" t="s">
        <v>54</v>
      </c>
      <c r="MM3" s="115" t="s">
        <v>44</v>
      </c>
      <c r="MN3" s="13"/>
      <c r="MO3" s="12"/>
      <c r="MP3" s="12"/>
      <c r="MQ3" s="12"/>
      <c r="MR3" s="12"/>
      <c r="MS3" s="13"/>
      <c r="MT3" s="13"/>
      <c r="MU3" s="112" t="s">
        <v>22</v>
      </c>
      <c r="MV3" s="112" t="s">
        <v>23</v>
      </c>
      <c r="MW3" s="112" t="s">
        <v>14</v>
      </c>
      <c r="MX3" s="112" t="s">
        <v>24</v>
      </c>
      <c r="MY3" s="112" t="s">
        <v>44</v>
      </c>
      <c r="MZ3" s="112" t="s">
        <v>22</v>
      </c>
      <c r="NA3" s="112" t="s">
        <v>23</v>
      </c>
      <c r="NB3" s="112" t="s">
        <v>14</v>
      </c>
      <c r="NC3" s="112" t="s">
        <v>24</v>
      </c>
      <c r="ND3" s="112" t="s">
        <v>44</v>
      </c>
      <c r="NE3" s="112" t="s">
        <v>22</v>
      </c>
      <c r="NF3" s="112" t="s">
        <v>23</v>
      </c>
      <c r="NG3" s="112" t="s">
        <v>14</v>
      </c>
      <c r="NH3" s="112" t="s">
        <v>24</v>
      </c>
      <c r="NI3" s="112" t="s">
        <v>44</v>
      </c>
      <c r="NJ3" s="112" t="s">
        <v>87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IF(AND(G4&lt;&gt;"",H4&lt;&gt;""),SUMPRODUCT((G$4:G$10&lt;&gt;"")*(H$4:H$10&lt;&gt;"")*(E$4:E$10&gt;E4))+1,IF(H4&lt;&gt;"",SUMPRODUCT((I$4:I$10="No DD")*(E$4:E$10&gt;E4))+1+SUMPRODUCT((G$4:G$10&lt;&gt;"")*(H$4:H$10&lt;&gt;"")),""))</f>
        <v>1</v>
      </c>
      <c r="B4" s="127" t="s">
        <v>134</v>
      </c>
      <c r="C4" s="5" t="s">
        <v>97</v>
      </c>
      <c r="D4" s="5" t="s">
        <v>135</v>
      </c>
      <c r="E4" s="15">
        <f t="shared" ref="E4:E9" si="0">SUM(K4:S4)</f>
        <v>91.580000000000013</v>
      </c>
      <c r="F4" s="3" t="str">
        <f t="shared" ref="F4:F9" si="1">IF(G4&lt;&gt;"","P","")</f>
        <v>P</v>
      </c>
      <c r="G4" s="125" t="str">
        <f>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Merit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Excellence",IF(OR(AND(AL4&gt;=AR$13,AL4&lt;&gt;"",AK4=""),AND(AP4&gt;=AR$13,AP4&lt;&gt;"",AK4=""),AND(BI4&gt;=BO$13,BI4&lt;&gt;"",BH4=""),AND(BM4&gt;=BO$13,BM4&lt;&gt;"",BH4=""),AND(CF4&gt;=CL$13,CF4&lt;&gt;"",CE4=""),AND(CJ4&gt;=CL$13,CJ4&lt;&gt;"",CE4=""),AND(DF4&gt;=DL$13,DF4&lt;&gt;""),AND(DJ4&gt;=DL$13,DJ4&lt;&gt;""),AND(EB4&gt;=EH$13,EB4&lt;&gt;""),AND(EF4&gt;=EH$13,EF4&lt;&gt;""),AND(EX4&gt;=FD$13,EX4&lt;&gt;""),AND(FB4&gt;=FD$13,FB4&lt;&gt;""),AND(FT4&gt;=FZ$13,FT4&lt;&gt;""),AND(FX4&gt;=FZ$13,FX4&lt;&gt;""),AND(GP4&gt;=GV$13,GP4&lt;&gt;""),AND(GT4&gt;=GV$13,GT4&lt;&gt;""),AND(HL4&gt;=HR$13,HL4&lt;&gt;""),AND(HP4&gt;=HR$13,HP4&lt;&gt;""),AND(IH4&gt;=IN$13,IH4&lt;&gt;""),AND(IL4&gt;=IN$13,IL4&lt;&gt;""),AND(JD4&gt;=JJ$13,JD4&lt;&gt;""),AND(JH4&gt;=JJ$13,JH4&lt;&gt;""),AND(JZ4&gt;=KF$13,JZ4&lt;&gt;""),AND(KD4&gt;=KF$13,KD4&lt;&gt;""),AND(KV4&gt;=LB$13,KV4&lt;&gt;""),AND(KZ4&gt;=LB$13,KZ4&lt;&gt;""),AND(LR4&gt;=LX$13,LR4&lt;&gt;""),AND(LV4&gt;=LX$13,LV4&lt;&gt;""),AND(MN4&gt;=MT$13,MN4&lt;&gt;""),AND(MR4&gt;=MT$13,MR4&lt;&gt;"")),"Worlds Team",IF(OR(AND(AL4&gt;=AR$12,AL4&lt;&gt;"",AK4=""),AND(AP4&gt;=AR$12,AP4&lt;&gt;"",AK4=""),AND(BI4&gt;=BO$12,BI4&lt;&gt;"",BH4=""),AND(BM4&gt;=BO$12,BM4&lt;&gt;"",BH4=""),AND(CF4&gt;=CL$12,CF4&lt;&gt;"",CE4=""),AND(CJ4&gt;=CL$12,CJ4&lt;&gt;"",CE4=""),AND(DF4&gt;=DL$12,DF4&lt;&gt;""),AND(DJ4&gt;=DL$12,DJ4&lt;&gt;""),AND(EB4&gt;=EH$12,EB4&lt;&gt;""),AND(EF4&gt;=EH$12,EF4&lt;&gt;""),AND(EX4&gt;=FD$12,EX4&lt;&gt;""),AND(FB4&gt;=FD$12,FB4&lt;&gt;""),AND(FT4&gt;=FZ$12,FT4&lt;&gt;""),AND(FX4&gt;=FZ$12,FX4&lt;&gt;""),AND(GP4&gt;=GV$12,GP4&lt;&gt;""),AND(GT4&gt;=GV$12,GT4&lt;&gt;""),AND(HL4&gt;=HR$12,HL4&lt;&gt;""),AND(HP4&gt;=HR$12,HP4&lt;&gt;""),AND(IH4&gt;=IN$12,IH4&lt;&gt;""),AND(IL4&gt;=IN$12,IL4&lt;&gt;""),AND(JD4&gt;=JJ$12,JD4&lt;&gt;""),AND(JH4&gt;=JJ$12,JH4&lt;&gt;""),AND(JZ4&gt;=KF$12,JZ4&lt;&gt;""),AND(KD4&gt;=KF$12,KD4&lt;&gt;""),AND(KV4&gt;=LB$12,KV4&lt;&gt;""),AND(KZ4&gt;=LB$12,KZ4&lt;&gt;""),AND(LR4&gt;=LX$12,LR4&lt;&gt;""),AND(LV4&gt;=LX$12,LV4&lt;&gt;""),AND(MN4&gt;=MT$12,MN4&lt;&gt;""),AND(MR4&gt;=MT$12,MR4&lt;&gt;"")),"National Team",""))))</f>
        <v>National Team</v>
      </c>
      <c r="H4" s="125" t="str">
        <f>IF(OR(AND(AN4&gt;=AR$19,AN4&lt;&gt;"",AK4=""),AND(AQ4&gt;=AR$19,AQ4&lt;&gt;"",AK4=""),AND(BK4&gt;=BO$19,BK4&lt;&gt;"",BH4=""),AND(BN4&gt;=BO$19,BN4&lt;&gt;"",BH4=""),AND(CH4&gt;=CL$19,CH4&lt;&gt;"",CE4=""),AND(CK4&gt;=CL$19,CE4&lt;&gt;"",CE4=""),AND(DH4&gt;=DL$19,DH4&lt;&gt;""),AND(DK4&gt;=DL$19,DK4&lt;&gt;""),AND(ED4&gt;=EH$19,ED4&lt;&gt;""),AND(EG4&gt;=EH$19,EG4&lt;&gt;""),AND(EZ4&gt;=FD$19,EZ4&lt;&gt;""),AND(FC4&gt;=FD$19,FC4&lt;&gt;""),AND(FV4&gt;=FZ$19,FV4&lt;&gt;""),AND(FY4&gt;=FZ$19,FY4&lt;&gt;""),AND(GR4&gt;=GV$19,GR4&lt;&gt;""),AND(GU4&gt;=GV$19,GU4&lt;&gt;""),AND(HN4&gt;=HR$19,HN4&lt;&gt;""),AND(HQ4&gt;=HR$19,HQ4&lt;&gt;""),AND(IJ4&gt;=IN$19,IJ4&lt;&gt;""),AND(IM4&gt;=IN$19,IM4&lt;&gt;""),AND(JF4&gt;=JJ$19,JF4&lt;&gt;""),AND(JI4&gt;=JJ$19,JI4&lt;&gt;""),AND(KB4&gt;=KF$19,KB4&lt;&gt;""),AND(KE4&gt;=KF$19,KE4&lt;&gt;""),AND(KX4&gt;=LB$19,KX4&lt;&gt;""),AND(LA4&gt;=LB$19,LA4&lt;&gt;""),AND(LT4&gt;=LX$19,LT4&lt;&gt;""),AND(LW4&gt;=LX$19,LW4&lt;&gt;""),AND(MP4&gt;=MT$19,MP4&lt;&gt;""),AND(MS4&gt;=MT$19,MS4&lt;&gt;"")),"Merit",IF(OR(AND(AN4&gt;=AR$18,AN4&lt;&gt;"",AK4=""),AND(AQ4&gt;=AR$18,AQ4&lt;&gt;"",AK4=""),AND(BK4&gt;=BO$18,BK4&lt;&gt;"",BH4=""),AND(BN4&gt;=BO$18,BN4&lt;&gt;"",BH4=""),AND(CH4&gt;=CL$18,CH4&lt;&gt;"",CE4=""),AND(CK4&gt;=CL$18,CE4&lt;&gt;"",CE4=""),AND(DH4&gt;=DL$18,DH4&lt;&gt;""),AND(DK4&gt;=DL$18,DK4&lt;&gt;""),AND(ED4&gt;=EH$18,ED4&lt;&gt;""),AND(EG4&gt;=EH$18,EG4&lt;&gt;""),AND(EZ4&gt;=FD$18,EZ4&lt;&gt;""),AND(FC4&gt;=FD$18,FC4&lt;&gt;""),AND(FV4&gt;=FZ$18,FV4&lt;&gt;""),AND(FY4&gt;=FZ$18,FY4&lt;&gt;""),AND(GR4&gt;=GV$18,GR4&lt;&gt;""),AND(GU4&gt;=GV$18,GU4&lt;&gt;""),AND(HN4&gt;=HR$18,HN4&lt;&gt;""),AND(HQ4&gt;=HR$18,HQ4&lt;&gt;""),AND(IJ4&gt;=IN$18,IJ4&lt;&gt;""),AND(IM4&gt;=IN$18,IM4&lt;&gt;""),AND(JF4&gt;=JJ$18,JF4&lt;&gt;""),AND(JI4&gt;=JJ$18,JI4&lt;&gt;""),AND(KB4&gt;=KF$18,KB4&lt;&gt;""),AND(KE4&gt;=KF$18,KE4&lt;&gt;""),AND(KX4&gt;=LB$18,KX4&lt;&gt;""),AND(LA4&gt;=LB$18,LA4&lt;&gt;""),AND(LT4&gt;=LX$18,LT4&lt;&gt;""),AND(LW4&gt;=LX$18,LW4&lt;&gt;""),AND(MP4&gt;=MT$18,MP4&lt;&gt;""),AND(MS4&gt;=MT$18,MS4&lt;&gt;"")),"Excellence",IF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"Worlds Team",IF(OR(AND(AO4&gt;=AR$16,AO4&lt;&gt;"",AK4=""),AND(BL4&gt;=BO$16,BL4&lt;&gt;"",BH4=""),AND(CI4&gt;=CL$16,CI4&lt;&gt;"",CE4=""),AND(DI4&gt;=DL$16,DI4&lt;&gt;""),AND(EE4&gt;=EH$16,EE4&lt;&gt;""),AND(FA4&gt;=FD$16,FA4&lt;&gt;""),AND(FW4&gt;=FZ$16,FW4&lt;&gt;""),AND(GS4&gt;=GV$16,GS4&lt;&gt;""),AND(HO4&gt;=HR$16,HO4&lt;&gt;""),AND(IK4&gt;=IN$16,IK4&lt;&gt;""),AND(JG4&gt;=JJ$16,JG4&lt;&gt;""),AND(KC4&gt;=KF$16,KC4&lt;&gt;""),AND(KY4&gt;=LB$16,KY4&lt;&gt;""),AND(LU4&gt;=LX$16,LU4&lt;&gt;""),AND(MQ4&gt;=MT$16,MQ4&lt;&gt;"")),"National Team",""))))</f>
        <v>Merit</v>
      </c>
      <c r="I4" s="126" t="str">
        <f t="shared" ref="I4:I9" si="2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OR(G4="Worlds Team",G4="Excellence",G4="Merit")),"P","")</f>
        <v/>
      </c>
      <c r="K4" s="14">
        <f t="shared" ref="K4:K9" si="3">MAX(AO4,BL4,CI4)</f>
        <v>86.330000000000013</v>
      </c>
      <c r="L4" s="14" t="str">
        <f t="shared" ref="L4:L9" si="4">IF(K4=0,"",IF(K4=CI4,$BP$1,IF(K4=BL4,$AS$1,IF(K4=AO4,$V$1,""))))</f>
        <v>2019 Nationals</v>
      </c>
      <c r="M4" s="14">
        <f t="shared" ref="M4:M9" si="5">IF($K4=$AO4,MAX(BJ4,CG4),IF($K4=$BL4,MAX(AM4,CG4),IF($K4=$CI4,MAX(AM4,BJ4),MAX(AM4,BJ4,CG4))))</f>
        <v>0</v>
      </c>
      <c r="N4" s="14" t="str">
        <f t="shared" ref="N4:N9" si="6">IF(M4=0,"",IF(AND(M4=CG4,$L4&lt;&gt;$BP$1),$BP$1,IF(AND(M4=BJ4,$L4&lt;&gt;$AS$1),$AS$1,IF(AND(M4=AM4,$L4&lt;&gt;$V$1),$V$1,""))))</f>
        <v/>
      </c>
      <c r="O4" s="14">
        <f t="shared" ref="O4:O9" si="7">IF($K4=$AO4,MAX(CH4,BK4),IF($K4=$BL4,MAX(AN4,CH4),IF($K4=$CI4,MAX(AN4,BK4),MAX(AN4,BK4,CH4))))</f>
        <v>0</v>
      </c>
      <c r="P4" s="14" t="str">
        <f t="shared" ref="P4:P9" si="8">IF(O4=0,"",IF(AND(O4=CH4,$L4&lt;&gt;$BP$1),$BP$1,IF(AND(O4=BK4,$L4&lt;&gt;$AS$1),$AS$1,IF(AND(O4=AN4,$L4&lt;&gt;$V$1),$V$1,""))))</f>
        <v/>
      </c>
      <c r="Q4" s="14">
        <f t="shared" ref="Q4:Q9" si="9">MAX(AQ4,BN4,CK4)</f>
        <v>5.25</v>
      </c>
      <c r="R4" s="14" t="str">
        <f t="shared" ref="R4:R9" si="10">IF(Q4=0,"",IF(Q4=CK4,$BP$1,IF(Q4=BN4,$AS$1,IF(Q4=AQ4,$V$1,""))))</f>
        <v>2019 Nationals</v>
      </c>
      <c r="S4" s="14" t="str">
        <f t="shared" ref="S4:S9" si="11">IF(MAX(CM4,CN4,CO4,CP4)&gt;0,MAX(CM4,CN4,CO4,CP4),"")</f>
        <v/>
      </c>
      <c r="T4" s="25" t="str">
        <f t="shared" ref="T4:T9" si="12">IF(S4="","",IF(S4=CM4,"(Vol 1)",IF(S4=CN4,"(Vol 2)",IF(S4=CO4,"(Prelim)",IF(S4=CP4,"(Final)")))))</f>
        <v/>
      </c>
      <c r="U4" s="14" t="str">
        <f t="shared" ref="U4:U9" si="13"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>
        <v>9.1</v>
      </c>
      <c r="W4" s="39">
        <v>9.25</v>
      </c>
      <c r="X4" s="39">
        <v>4.0999999999999996</v>
      </c>
      <c r="Y4" s="39">
        <v>18.18</v>
      </c>
      <c r="Z4" s="39">
        <v>0</v>
      </c>
      <c r="AA4" s="39">
        <v>8.5500000000000007</v>
      </c>
      <c r="AB4" s="39">
        <v>8.85</v>
      </c>
      <c r="AC4" s="39">
        <v>11.8</v>
      </c>
      <c r="AD4" s="39">
        <v>16.5</v>
      </c>
      <c r="AE4" s="39">
        <v>0</v>
      </c>
      <c r="AF4" s="39">
        <v>0.85</v>
      </c>
      <c r="AG4" s="39">
        <v>0.9</v>
      </c>
      <c r="AH4" s="39">
        <v>1.5</v>
      </c>
      <c r="AI4" s="39">
        <v>2</v>
      </c>
      <c r="AJ4" s="39">
        <v>0</v>
      </c>
      <c r="AK4" s="80"/>
      <c r="AL4" s="11">
        <f t="shared" ref="AL4:AL9" si="14">IF(AC4&gt;0,AC4,"")</f>
        <v>11.8</v>
      </c>
      <c r="AM4" s="11">
        <f t="shared" ref="AM4:AM9" si="15">IF(SUM(V4:Y4)-Z4&gt;0,SUM(V4:Y4)-Z4,"")</f>
        <v>40.630000000000003</v>
      </c>
      <c r="AN4" s="11">
        <f t="shared" ref="AN4:AN9" si="16">IF(SUM(AA4:AD4)-AE4&gt;0,SUM(AA4:AD4)-AE4,"")</f>
        <v>45.7</v>
      </c>
      <c r="AO4" s="11">
        <f t="shared" ref="AO4:AO9" si="17">IF(SUM(AM4:AN4)&gt;0,SUM(AM4:AN4),"")</f>
        <v>86.330000000000013</v>
      </c>
      <c r="AP4" s="11">
        <f t="shared" ref="AP4:AP9" si="18">IF(AH4&gt;0,AH4,"")</f>
        <v>1.5</v>
      </c>
      <c r="AQ4" s="11">
        <f t="shared" ref="AQ4:AQ9" si="19">IF(SUM(AF4:AI4)-AJ4&gt;0,SUM(AF4:AI4)-AJ4,"")</f>
        <v>5.25</v>
      </c>
      <c r="AR4" s="11">
        <f t="shared" ref="AR4:AR9" si="20">IF(SUM(AO4,AQ4)&gt;0,SUM(AO4,AQ4),"")</f>
        <v>91.580000000000013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 t="shared" ref="BI4:BI9" si="21">IF(AZ4&gt;0,AZ4,"")</f>
        <v/>
      </c>
      <c r="BJ4" s="14" t="str">
        <f t="shared" ref="BJ4:BJ9" si="22">IF(SUM(AS4:AV4)-AW4&gt;0,SUM(AS4:AV4)-AW4,"")</f>
        <v/>
      </c>
      <c r="BK4" s="14" t="str">
        <f t="shared" ref="BK4:BK9" si="23">IF(SUM(AX4:BA4)-BB4&gt;0,SUM(AX4:BA4)-BB4,"")</f>
        <v/>
      </c>
      <c r="BL4" s="14" t="str">
        <f t="shared" ref="BL4:BL9" si="24">IF(SUM(BJ4:BK4)&gt;0,SUM(BJ4:BK4),"")</f>
        <v/>
      </c>
      <c r="BM4" s="14" t="str">
        <f t="shared" ref="BM4:BM9" si="25">IF(BE4&gt;0,BE4,"")</f>
        <v/>
      </c>
      <c r="BN4" s="14" t="str">
        <f t="shared" ref="BN4:BN9" si="26">IF(SUM(BC4:BF4)-BG4&gt;0,SUM(BC4:BF4)-BG4,"")</f>
        <v/>
      </c>
      <c r="BO4" s="14" t="str">
        <f t="shared" ref="BO4:BO9" si="27"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 t="shared" ref="CF4:CF9" si="28">IF(BW4&gt;0,BW4,"")</f>
        <v/>
      </c>
      <c r="CG4" s="11" t="str">
        <f t="shared" ref="CG4:CG9" si="29">IF(SUM(BP4:BS4)-BT4&gt;0,SUM(BP4:BS4)-BT4,"")</f>
        <v/>
      </c>
      <c r="CH4" s="11" t="str">
        <f t="shared" ref="CH4:CH9" si="30">IF(SUM(BU4:BX4)-BY4&gt;0,SUM(BU4:BX4)-BY4,"")</f>
        <v/>
      </c>
      <c r="CI4" s="11" t="str">
        <f t="shared" ref="CI4:CI9" si="31">IF(SUM(CG4:CH4)&gt;0,SUM(CG4:CH4),"")</f>
        <v/>
      </c>
      <c r="CJ4" s="11" t="str">
        <f t="shared" ref="CJ4:CJ9" si="32">IF(CB4&gt;0,CB4,"")</f>
        <v/>
      </c>
      <c r="CK4" s="11" t="str">
        <f t="shared" ref="CK4:CK9" si="33">IF(SUM(BZ4:CC4)-CD4&gt;0,SUM(BZ4:CC4)-CD4,"")</f>
        <v/>
      </c>
      <c r="CL4" s="11" t="str">
        <f t="shared" ref="CL4:CL9" si="34">IF(SUM(CI4,CK4)&gt;0,SUM(CI4,CK4),"")</f>
        <v/>
      </c>
      <c r="CM4" s="24" t="str">
        <f t="shared" ref="CM4:CM9" si="35">IF(MAX(DG4,EC4,EY4,FU4,GQ4,HM4,II4,JE4,KA4,KW4,LS4,MO4)-IF(M4="",0,M4)&gt;0.001,MAX(DG4,EC4,EY4,FU4,GQ4,HM4,II4,JE4,KA4,KW4,LS4,MO4)-IF(M4="",0,M4),"")</f>
        <v/>
      </c>
      <c r="CN4" s="24" t="str">
        <f t="shared" ref="CN4:CN9" si="36">IF(MAX(DH4,ED4,EZ4,FV4,GR4,HN4,IJ4,JF4,KB4,KX4,LT4,MP4)-IF(O4="",0,O4)&gt;0.001,MAX(DH4,ED4,EZ4,FV4,GR4,HN4,IJ4,JF4,KB4,KX4,LT4,MP4)-IF(O4="",0,O4),"")</f>
        <v/>
      </c>
      <c r="CO4" s="24" t="str">
        <f t="shared" ref="CO4:CO9" si="37">IF(MAX(DI4,EE4,FA4,FW4,GS4,HO4,IK4,JG4,KC4,KY4,LU4,MQ4)-IF(K4="",0,K4)&gt;0.001,MAX(DI4,EE4,FA4,FW4,GS4,HO4,IK4,JG4,KC4,KY4,LU4,MQ4)-IF(K4="",0,K4),"")</f>
        <v/>
      </c>
      <c r="CP4" s="24" t="str">
        <f t="shared" ref="CP4:CP9" si="38"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 t="shared" ref="DF4:DF9" si="39">IF(CX4&gt;0,CX4,"")</f>
        <v/>
      </c>
      <c r="DG4" s="11" t="str">
        <f t="shared" ref="DG4:DG9" si="40">IF(SUM(CQ4:CT4)-CU4&gt;0,SUM(CQ4:CT4)-CU4,"")</f>
        <v/>
      </c>
      <c r="DH4" s="11" t="str">
        <f t="shared" ref="DH4:DH9" si="41">IF(SUM(CV4:CY4)-CZ4&gt;0,SUM(CV4:CY4)-CZ4,"")</f>
        <v/>
      </c>
      <c r="DI4" s="11" t="str">
        <f t="shared" ref="DI4:DI9" si="42">IF(SUM(DG4:DH4)&gt;0,SUM(DG4:DH4),"")</f>
        <v/>
      </c>
      <c r="DJ4" s="11" t="str">
        <f t="shared" ref="DJ4:DJ9" si="43">IF(DC4&gt;0,DC4,"")</f>
        <v/>
      </c>
      <c r="DK4" s="11" t="str">
        <f t="shared" ref="DK4:DK9" si="44">IF(SUM(DA4:DD4)-DE4&gt;0,SUM(DA4:DD4)-DE4,"")</f>
        <v/>
      </c>
      <c r="DL4" s="11" t="str">
        <f t="shared" ref="DL4:DL9" si="45"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 t="shared" ref="EB4:EB9" si="46">IF(DT4&gt;0,DT4,"")</f>
        <v/>
      </c>
      <c r="EC4" s="14" t="str">
        <f t="shared" ref="EC4:EC9" si="47">IF(SUM(DM4:DP4)-DQ4&gt;0,SUM(DM4:DP4)-DQ4,"")</f>
        <v/>
      </c>
      <c r="ED4" s="14" t="str">
        <f t="shared" ref="ED4:ED9" si="48">IF(SUM(DR4:DU4)-DV4&gt;0,SUM(DR4:DU4)-DV4,"")</f>
        <v/>
      </c>
      <c r="EE4" s="14" t="str">
        <f t="shared" ref="EE4:EE9" si="49">IF(SUM(EC4:ED4)&gt;0,SUM(EC4:ED4),"")</f>
        <v/>
      </c>
      <c r="EF4" s="14" t="str">
        <f t="shared" ref="EF4:EF9" si="50">IF(DY4&gt;0,DY4,"")</f>
        <v/>
      </c>
      <c r="EG4" s="14" t="str">
        <f t="shared" ref="EG4:EG9" si="51">IF(SUM(DW4:DZ4)-EA4&gt;0,SUM(DW4:DZ4)-EA4,"")</f>
        <v/>
      </c>
      <c r="EH4" s="14" t="str">
        <f t="shared" ref="EH4:EH9" si="52"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 t="shared" ref="EX4:EX9" si="53">IF(EP4&gt;0,EP4,"")</f>
        <v/>
      </c>
      <c r="EY4" s="11" t="str">
        <f t="shared" ref="EY4:EY9" si="54">IF(SUM(EI4:EL4)-EM4&gt;0,SUM(EI4:EL4)-EM4,"")</f>
        <v/>
      </c>
      <c r="EZ4" s="11" t="str">
        <f t="shared" ref="EZ4:EZ9" si="55">IF(SUM(EN4:EQ4)-ER4&gt;0,SUM(EN4:EQ4)-ER4,"")</f>
        <v/>
      </c>
      <c r="FA4" s="11" t="str">
        <f t="shared" ref="FA4:FA9" si="56">IF(SUM(EY4:EZ4)&gt;0,SUM(EY4:EZ4),"")</f>
        <v/>
      </c>
      <c r="FB4" s="11" t="str">
        <f t="shared" ref="FB4:FB9" si="57">IF(EU4&gt;0,EU4,"")</f>
        <v/>
      </c>
      <c r="FC4" s="11" t="str">
        <f t="shared" ref="FC4:FC9" si="58">IF(SUM(ES4:EV4)-EW4&gt;0,SUM(ES4:EV4)-EW4,"")</f>
        <v/>
      </c>
      <c r="FD4" s="11" t="str">
        <f t="shared" ref="FD4:FD9" si="59"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 t="shared" ref="FT4:FT9" si="60">IF(FL4&gt;0,FL4,"")</f>
        <v/>
      </c>
      <c r="FU4" s="14" t="str">
        <f t="shared" ref="FU4:FU9" si="61">IF(SUM(FE4:FH4)-FI4&gt;0,SUM(FE4:FH4)-FI4,"")</f>
        <v/>
      </c>
      <c r="FV4" s="14" t="str">
        <f t="shared" ref="FV4:FV9" si="62">IF(SUM(FJ4:FM4)-FN4&gt;0,SUM(FJ4:FM4)-FN4,"")</f>
        <v/>
      </c>
      <c r="FW4" s="14" t="str">
        <f t="shared" ref="FW4:FW9" si="63">IF(SUM(FU4:FV4)&gt;0,SUM(FU4:FV4),"")</f>
        <v/>
      </c>
      <c r="FX4" s="14" t="str">
        <f t="shared" ref="FX4:FX9" si="64">IF(FQ4&gt;0,FQ4,"")</f>
        <v/>
      </c>
      <c r="FY4" s="14" t="str">
        <f t="shared" ref="FY4:FY9" si="65">IF(SUM(FO4:FR4)-FS4&gt;0,SUM(FO4:FR4)-FS4,"")</f>
        <v/>
      </c>
      <c r="FZ4" s="14" t="str">
        <f t="shared" ref="FZ4:FZ9" si="66"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 t="shared" ref="GP4:GP9" si="67">IF(GH4&gt;0,GH4,"")</f>
        <v/>
      </c>
      <c r="GQ4" s="11" t="str">
        <f t="shared" ref="GQ4:GQ9" si="68">IF(SUM(GA4:GD4)-GE4&gt;0,SUM(GA4:GD4)-GE4,"")</f>
        <v/>
      </c>
      <c r="GR4" s="11" t="str">
        <f t="shared" ref="GR4:GR9" si="69">IF(SUM(GF4:GI4)-GJ4&gt;0,SUM(GF4:GI4)-GJ4,"")</f>
        <v/>
      </c>
      <c r="GS4" s="11" t="str">
        <f t="shared" ref="GS4:GS9" si="70">IF(SUM(GQ4:GR4)&gt;0,SUM(GQ4:GR4),"")</f>
        <v/>
      </c>
      <c r="GT4" s="11" t="str">
        <f t="shared" ref="GT4:GT9" si="71">IF(GM4&gt;0,GM4,"")</f>
        <v/>
      </c>
      <c r="GU4" s="11" t="str">
        <f t="shared" ref="GU4:GU9" si="72">IF(SUM(GK4:GN4)-GO4&gt;0,SUM(GK4:GN4)-GO4,"")</f>
        <v/>
      </c>
      <c r="GV4" s="11" t="str">
        <f t="shared" ref="GV4:GV9" si="73"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 t="shared" ref="HL4:HL9" si="74">IF(HD4&gt;0,HD4,"")</f>
        <v/>
      </c>
      <c r="HM4" s="14" t="str">
        <f t="shared" ref="HM4:HM9" si="75">IF(SUM(GW4:GZ4)-HA4&gt;0,SUM(GW4:GZ4)-HA4,"")</f>
        <v/>
      </c>
      <c r="HN4" s="14" t="str">
        <f t="shared" ref="HN4:HN9" si="76">IF(SUM(HB4:HE4)-HF4&gt;0,SUM(HB4:HE4)-HF4,"")</f>
        <v/>
      </c>
      <c r="HO4" s="14" t="str">
        <f t="shared" ref="HO4:HO9" si="77">IF(SUM(HM4:HN4)&gt;0,SUM(HM4:HN4),"")</f>
        <v/>
      </c>
      <c r="HP4" s="14" t="str">
        <f t="shared" ref="HP4:HP9" si="78">IF(HI4&gt;0,HI4,"")</f>
        <v/>
      </c>
      <c r="HQ4" s="14" t="str">
        <f t="shared" ref="HQ4:HQ9" si="79">IF(SUM(HG4:HJ4)-HK4&gt;0,SUM(HG4:HJ4)-HK4,"")</f>
        <v/>
      </c>
      <c r="HR4" s="14" t="str">
        <f t="shared" ref="HR4:HR9" si="80"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 t="shared" ref="IH4:IH9" si="81">IF(HZ4&gt;0,HZ4,"")</f>
        <v/>
      </c>
      <c r="II4" s="11" t="str">
        <f t="shared" ref="II4:II9" si="82">IF(SUM(HS4:HV4)-HW4&gt;0,SUM(HS4:HV4)-HW4,"")</f>
        <v/>
      </c>
      <c r="IJ4" s="11" t="str">
        <f t="shared" ref="IJ4:IJ9" si="83">IF(SUM(HX4:IA4)-IB4&gt;0,SUM(HX4:IA4)-IB4,"")</f>
        <v/>
      </c>
      <c r="IK4" s="11" t="str">
        <f t="shared" ref="IK4:IK9" si="84">IF(SUM(II4:IJ4)&gt;0,SUM(II4:IJ4),"")</f>
        <v/>
      </c>
      <c r="IL4" s="11" t="str">
        <f t="shared" ref="IL4:IL9" si="85">IF(IE4&gt;0,IE4,"")</f>
        <v/>
      </c>
      <c r="IM4" s="11" t="str">
        <f t="shared" ref="IM4:IM9" si="86">IF(SUM(IC4:IF4)-IG4&gt;0,SUM(IC4:IF4)-IG4,"")</f>
        <v/>
      </c>
      <c r="IN4" s="11" t="str">
        <f t="shared" ref="IN4:IN9" si="87"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 t="shared" ref="JD4:JD9" si="88">IF(IV4&gt;0,IV4,"")</f>
        <v/>
      </c>
      <c r="JE4" s="14" t="str">
        <f t="shared" ref="JE4:JE9" si="89">IF(SUM(IO4:IR4)-IS4&gt;0,SUM(IO4:IR4)-IS4,"")</f>
        <v/>
      </c>
      <c r="JF4" s="14" t="str">
        <f t="shared" ref="JF4:JF9" si="90">IF(SUM(IT4:IW4)-IX4&gt;0,SUM(IT4:IW4)-IX4,"")</f>
        <v/>
      </c>
      <c r="JG4" s="14" t="str">
        <f t="shared" ref="JG4:JG9" si="91">IF(SUM(JE4:JF4)&gt;0,SUM(JE4:JF4),"")</f>
        <v/>
      </c>
      <c r="JH4" s="14" t="str">
        <f t="shared" ref="JH4:JH9" si="92">IF(JA4&gt;0,JA4,"")</f>
        <v/>
      </c>
      <c r="JI4" s="14" t="str">
        <f t="shared" ref="JI4:JI9" si="93">IF(SUM(IY4:JB4)-JC4&gt;0,SUM(IY4:JB4)-JC4,"")</f>
        <v/>
      </c>
      <c r="JJ4" s="14" t="str">
        <f t="shared" ref="JJ4:JJ9" si="94"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 t="shared" ref="JZ4:JZ9" si="95">IF(JR4&gt;0,JR4,"")</f>
        <v/>
      </c>
      <c r="KA4" s="11" t="str">
        <f t="shared" ref="KA4:KA9" si="96">IF(SUM(JK4:JN4)-JO4&gt;0,SUM(JK4:JN4)-JO4,"")</f>
        <v/>
      </c>
      <c r="KB4" s="11" t="str">
        <f t="shared" ref="KB4:KB9" si="97">IF(SUM(JP4:JS4)-JT4&gt;0,SUM(JP4:JS4)-JT4,"")</f>
        <v/>
      </c>
      <c r="KC4" s="11" t="str">
        <f t="shared" ref="KC4:KC9" si="98">IF(SUM(KA4:KB4)&gt;0,SUM(KA4:KB4),"")</f>
        <v/>
      </c>
      <c r="KD4" s="11" t="str">
        <f t="shared" ref="KD4:KD9" si="99">IF(JW4&gt;0,JW4,"")</f>
        <v/>
      </c>
      <c r="KE4" s="11" t="str">
        <f t="shared" ref="KE4:KE9" si="100">IF(SUM(JU4:JX4)-JY4&gt;0,SUM(JU4:JX4)-JY4,"")</f>
        <v/>
      </c>
      <c r="KF4" s="11" t="str">
        <f t="shared" ref="KF4:KF9" si="101"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 t="shared" ref="KV4:KV9" si="102">IF(KN4&gt;0,KN4,"")</f>
        <v/>
      </c>
      <c r="KW4" s="14" t="str">
        <f t="shared" ref="KW4:KW9" si="103">IF(SUM(KG4:KJ4)-KK4&gt;0,SUM(KG4:KJ4)-KK4,"")</f>
        <v/>
      </c>
      <c r="KX4" s="14" t="str">
        <f t="shared" ref="KX4:KX9" si="104">IF(SUM(KL4:KO4)-KP4&gt;0,SUM(KL4:KO4)-KP4,"")</f>
        <v/>
      </c>
      <c r="KY4" s="14" t="str">
        <f t="shared" ref="KY4:KY9" si="105">IF(SUM(KW4:KX4)&gt;0,SUM(KW4:KX4),"")</f>
        <v/>
      </c>
      <c r="KZ4" s="14" t="str">
        <f t="shared" ref="KZ4:KZ9" si="106">IF(KS4&gt;0,KS4,"")</f>
        <v/>
      </c>
      <c r="LA4" s="14" t="str">
        <f t="shared" ref="LA4:LA9" si="107">IF(SUM(KQ4:KT4)-KU4&gt;0,SUM(KQ4:KT4)-KU4,"")</f>
        <v/>
      </c>
      <c r="LB4" s="14" t="str">
        <f t="shared" ref="LB4:LB9" si="108"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 t="shared" ref="LR4:LR9" si="109">IF(LJ4&gt;0,LJ4,"")</f>
        <v/>
      </c>
      <c r="LS4" s="11" t="str">
        <f t="shared" ref="LS4:LS9" si="110">IF(SUM(LC4:LF4)-LG4&gt;0,SUM(LC4:LF4)-LG4,"")</f>
        <v/>
      </c>
      <c r="LT4" s="11" t="str">
        <f t="shared" ref="LT4:LT9" si="111">IF(SUM(LH4:LK4)-LL4&gt;0,SUM(LH4:LK4)-LL4,"")</f>
        <v/>
      </c>
      <c r="LU4" s="11" t="str">
        <f t="shared" ref="LU4:LU9" si="112">IF(SUM(LS4:LT4)&gt;0,SUM(LS4:LT4),"")</f>
        <v/>
      </c>
      <c r="LV4" s="11" t="str">
        <f t="shared" ref="LV4:LV9" si="113">IF(LO4&gt;0,LO4,"")</f>
        <v/>
      </c>
      <c r="LW4" s="11" t="str">
        <f t="shared" ref="LW4:LW9" si="114">IF(SUM(LM4:LP4)-LQ4&gt;0,SUM(LM4:LP4)-LQ4,"")</f>
        <v/>
      </c>
      <c r="LX4" s="11" t="str">
        <f t="shared" ref="LX4:LX9" si="115"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 t="shared" ref="MN4:MN9" si="116">IF(MF4&gt;0,MF4,"")</f>
        <v/>
      </c>
      <c r="MO4" s="14" t="str">
        <f t="shared" ref="MO4:MO9" si="117">IF(SUM(LY4:MB4)-MC4&gt;0,SUM(LY4:MB4)-MC4,"")</f>
        <v/>
      </c>
      <c r="MP4" s="14" t="str">
        <f t="shared" ref="MP4:MP9" si="118">IF(SUM(MD4:MG4)-MH4&gt;0,SUM(MD4:MG4)-MH4,"")</f>
        <v/>
      </c>
      <c r="MQ4" s="14" t="str">
        <f t="shared" ref="MQ4:MQ9" si="119">IF(SUM(MO4:MP4)&gt;0,SUM(MO4:MP4),"")</f>
        <v/>
      </c>
      <c r="MR4" s="14" t="str">
        <f t="shared" ref="MR4:MR9" si="120">IF(MK4&gt;0,MK4,"")</f>
        <v/>
      </c>
      <c r="MS4" s="14" t="str">
        <f t="shared" ref="MS4:MS9" si="121">IF(SUM(MI4:ML4)-MM4&gt;0,SUM(MI4:ML4)-MM4,"")</f>
        <v/>
      </c>
      <c r="MT4" s="14" t="str">
        <f t="shared" ref="MT4:MT9" si="122">IF(SUM(MQ4,MS4)&gt;0,SUM(MQ4,MS4),"")</f>
        <v/>
      </c>
      <c r="MU4" s="69">
        <f t="shared" ref="MU4:MU9" si="123">IF($CE4="P",BP4,(BP4+AS4)/2)</f>
        <v>0</v>
      </c>
      <c r="MV4" s="69">
        <f t="shared" ref="MV4:MV9" si="124">IF($CE4="P",BQ4,(BQ4+AT4)/2)</f>
        <v>0</v>
      </c>
      <c r="MW4" s="69">
        <f t="shared" ref="MW4:MW9" si="125">IF($CE4="P",BR4,(BR4+AU4)/2)</f>
        <v>0</v>
      </c>
      <c r="MX4" s="69">
        <f t="shared" ref="MX4:MX9" si="126">IF($CE4="P",BS4,(BS4+AV4)/2)</f>
        <v>0</v>
      </c>
      <c r="MY4" s="69">
        <f t="shared" ref="MY4:MY9" si="127">IF($CE4="P",BT4,(BT4+AW4)/2)</f>
        <v>0</v>
      </c>
      <c r="MZ4" s="69">
        <f t="shared" ref="MZ4:MZ9" si="128">IF($CE4="P",BU4,(BU4+AX4)/2)</f>
        <v>0</v>
      </c>
      <c r="NA4" s="69">
        <f t="shared" ref="NA4:NA9" si="129">IF($CE4="P",BV4,(BV4+AY4)/2)</f>
        <v>0</v>
      </c>
      <c r="NB4" s="69">
        <f t="shared" ref="NB4:NB9" si="130">IF($CE4="P",BW4,(BW4+AZ4)/2)</f>
        <v>0</v>
      </c>
      <c r="NC4" s="69">
        <f t="shared" ref="NC4:NC9" si="131">IF($CE4="P",BX4,(BX4+BA4)/2)</f>
        <v>0</v>
      </c>
      <c r="ND4" s="69">
        <f t="shared" ref="ND4:ND9" si="132">IF($CE4="P",BY4,(BY4+BB4)/2)</f>
        <v>0</v>
      </c>
      <c r="NE4" s="69">
        <f t="shared" ref="NE4:NE9" si="133">IF($CE4="P",BZ4,(BZ4+BC4)/2)</f>
        <v>0</v>
      </c>
      <c r="NF4" s="69">
        <f t="shared" ref="NF4:NF9" si="134">IF($CE4="P",CA4,(CA4+BD4)/2)</f>
        <v>0</v>
      </c>
      <c r="NG4" s="69">
        <f t="shared" ref="NG4:NG9" si="135">IF($CE4="P",CB4,(CB4+BE4)/2)</f>
        <v>0</v>
      </c>
      <c r="NH4" s="69">
        <f t="shared" ref="NH4:NH9" si="136">IF($CE4="P",CC4,(CC4+BF4)/2)</f>
        <v>0</v>
      </c>
      <c r="NI4" s="69">
        <f t="shared" ref="NI4:NI9" si="137">IF($CE4="P",CD4,(CD4+BG4)/2)</f>
        <v>0</v>
      </c>
      <c r="NJ4" s="80" t="s">
        <v>88</v>
      </c>
      <c r="NK4" s="11" t="str">
        <f t="shared" ref="NK4:NK9" si="138">IF(NB4&gt;0,NB4,"")</f>
        <v/>
      </c>
      <c r="NL4" s="11" t="str">
        <f t="shared" ref="NL4:NL9" si="139">IF(SUM(MU4:MX4)-MY4&gt;0,SUM(MU4:MX4)-MY4,"")</f>
        <v/>
      </c>
      <c r="NM4" s="11" t="str">
        <f t="shared" ref="NM4:NM9" si="140">IF(SUM(MZ4:NC4)-ND4&gt;0,SUM(MZ4:NC4)-ND4,"")</f>
        <v/>
      </c>
      <c r="NN4" s="11" t="str">
        <f t="shared" ref="NN4:NN9" si="141">IF(SUM(NL4:NM4)&gt;0,SUM(NL4:NM4),"")</f>
        <v/>
      </c>
      <c r="NO4" s="11" t="str">
        <f t="shared" ref="NO4:NO9" si="142">IF(NG4&gt;0,NG4,"")</f>
        <v/>
      </c>
      <c r="NP4" s="11" t="str">
        <f t="shared" ref="NP4:NP9" si="143">IF(SUM(NE4:NH4)-NI4&gt;0,SUM(NE4:NH4)-NI4,"")</f>
        <v/>
      </c>
      <c r="NQ4" s="11" t="str">
        <f t="shared" ref="NQ4:NQ9" si="144">IF(SUM(NN4,NP4)&gt;0,SUM(NN4,NP4),"")</f>
        <v/>
      </c>
    </row>
    <row r="5" spans="1:381" x14ac:dyDescent="0.2">
      <c r="A5" s="5" t="str" cm="1">
        <f t="array" ref="A5">IF(AND(G5&lt;&gt;"",H5&lt;&gt;""),SUMPRODUCT((G$4:G$10&lt;&gt;"")*(H$4:H$10&lt;&gt;"")*(E$4:E$10&gt;E5))+1,IF(H5&lt;&gt;"",SUMPRODUCT((I$4:I$10="No DD")*(E$4:E$10&gt;E5))+1+SUMPRODUCT((G$4:G$10&lt;&gt;"")*(H$4:H$10&lt;&gt;"")),""))</f>
        <v/>
      </c>
      <c r="B5" s="127" t="s">
        <v>149</v>
      </c>
      <c r="C5" s="5" t="s">
        <v>148</v>
      </c>
      <c r="D5" s="5" t="s">
        <v>147</v>
      </c>
      <c r="E5" s="15">
        <f t="shared" si="0"/>
        <v>79.48</v>
      </c>
      <c r="F5" s="3" t="str">
        <f t="shared" si="1"/>
        <v>P</v>
      </c>
      <c r="G5" s="125" t="str">
        <f>IF(OR(AND(AL5&gt;=AR$15,AL5&lt;&gt;"",AK5=""),AND(AP5&gt;=AR$15,AP5&lt;&gt;"",AK5=""),AND(BI5&gt;=BO$15,BI5&lt;&gt;"",BH5=""),AND(BM5&gt;=BO$15,BM5&lt;&gt;"",BH5=""),AND(CF5&gt;=CL$15,CF5&lt;&gt;"",CE5=""),AND(CJ5&gt;=CL$15,CJ5&lt;&gt;"",CE5=""),AND(DF5&gt;=DL$15,DF5&lt;&gt;""),AND(DJ5&gt;=DL$15,DJ5&lt;&gt;""),AND(EB5&gt;=EH$15,EB5&lt;&gt;""),AND(EF5&gt;=EH$15,EF5&lt;&gt;""),AND(EX5&gt;=FD$15,EX5&lt;&gt;""),AND(FB5&gt;=FD$15,FB5&lt;&gt;""),AND(FT5&gt;=FZ$15,FT5&lt;&gt;""),AND(FX5&gt;=FZ$15,FX5&lt;&gt;""),AND(GP5&gt;=GV$15,GP5&lt;&gt;""),AND(GT5&gt;=GV$15,GT5&lt;&gt;""),AND(HL5&gt;=HR$15,HL5&lt;&gt;""),AND(HP5&gt;=HR$15,HP5&lt;&gt;""),AND(IH5&gt;=IN$15,IH5&lt;&gt;""),AND(IL5&gt;=IN$15,IL5&lt;&gt;""),AND(JD5&gt;=JJ$15,JD5&lt;&gt;""),AND(JH5&gt;=JJ$15,JH5&lt;&gt;""),AND(JZ5&gt;=KF$15,JZ5&lt;&gt;""),AND(KD5&gt;=KF$15,KD5&lt;&gt;""),AND(KV5&gt;=LB$15,KV5&lt;&gt;""),AND(KZ5&gt;=LB$15,KZ5&lt;&gt;""),AND(LR5&gt;=LX$15,LR5&lt;&gt;""),AND(LV5&gt;=LX$15,LV5&lt;&gt;""),AND(MN5&gt;=MT$15,MN5&lt;&gt;""),AND(MR5&gt;=MT$15,MR5&lt;&gt;"")),"Merit",IF(OR(AND(AL5&gt;=AR$14,AL5&lt;&gt;"",AK5=""),AND(AP5&gt;=AR$14,AP5&lt;&gt;"",AK5=""),AND(BI5&gt;=BO$14,BI5&lt;&gt;"",BH5=""),AND(BM5&gt;=BO$14,BM5&lt;&gt;"",BH5=""),AND(CF5&gt;=CL$14,CF5&lt;&gt;"",CE5=""),AND(CJ5&gt;=CL$14,CJ5&lt;&gt;"",CE5=""),AND(DF5&gt;=DL$14,DF5&lt;&gt;""),AND(DJ5&gt;=DL$14,DJ5&lt;&gt;""),AND(EB5&gt;=EH$14,EB5&lt;&gt;""),AND(EF5&gt;=EH$14,EF5&lt;&gt;""),AND(EX5&gt;=FD$14,EX5&lt;&gt;""),AND(FB5&gt;=FD$14,FB5&lt;&gt;""),AND(FT5&gt;=FZ$14,FT5&lt;&gt;""),AND(FX5&gt;=FZ$14,FX5&lt;&gt;""),AND(GP5&gt;=GV$14,GP5&lt;&gt;""),AND(GT5&gt;=GV$14,GT5&lt;&gt;""),AND(HL5&gt;=HR$14,HL5&lt;&gt;""),AND(HP5&gt;=HR$14,HP5&lt;&gt;""),AND(IH5&gt;=IN$14,IH5&lt;&gt;""),AND(IL5&gt;=IN$14,IL5&lt;&gt;""),AND(JD5&gt;=JJ$14,JD5&lt;&gt;""),AND(JH5&gt;=JJ$14,JH5&lt;&gt;""),AND(JZ5&gt;=KF$14,JZ5&lt;&gt;""),AND(KD5&gt;=KF$14,KD5&lt;&gt;""),AND(KV5&gt;=LB$14,KV5&lt;&gt;""),AND(KZ5&gt;=LB$14,KZ5&lt;&gt;""),AND(LR5&gt;=LX$14,LR5&lt;&gt;""),AND(LV5&gt;=LX$14,LV5&lt;&gt;""),AND(MN5&gt;=MT$14,MN5&lt;&gt;""),AND(MR5&gt;=MT$14,MR5&lt;&gt;"")),"Excellence",IF(OR(AND(AL5&gt;=AR$13,AL5&lt;&gt;"",AK5=""),AND(AP5&gt;=AR$13,AP5&lt;&gt;"",AK5=""),AND(BI5&gt;=BO$13,BI5&lt;&gt;"",BH5=""),AND(BM5&gt;=BO$13,BM5&lt;&gt;"",BH5=""),AND(CF5&gt;=CL$13,CF5&lt;&gt;"",CE5=""),AND(CJ5&gt;=CL$13,CJ5&lt;&gt;"",CE5=""),AND(DF5&gt;=DL$13,DF5&lt;&gt;""),AND(DJ5&gt;=DL$13,DJ5&lt;&gt;""),AND(EB5&gt;=EH$13,EB5&lt;&gt;""),AND(EF5&gt;=EH$13,EF5&lt;&gt;""),AND(EX5&gt;=FD$13,EX5&lt;&gt;""),AND(FB5&gt;=FD$13,FB5&lt;&gt;""),AND(FT5&gt;=FZ$13,FT5&lt;&gt;""),AND(FX5&gt;=FZ$13,FX5&lt;&gt;""),AND(GP5&gt;=GV$13,GP5&lt;&gt;""),AND(GT5&gt;=GV$13,GT5&lt;&gt;""),AND(HL5&gt;=HR$13,HL5&lt;&gt;""),AND(HP5&gt;=HR$13,HP5&lt;&gt;""),AND(IH5&gt;=IN$13,IH5&lt;&gt;""),AND(IL5&gt;=IN$13,IL5&lt;&gt;""),AND(JD5&gt;=JJ$13,JD5&lt;&gt;""),AND(JH5&gt;=JJ$13,JH5&lt;&gt;""),AND(JZ5&gt;=KF$13,JZ5&lt;&gt;""),AND(KD5&gt;=KF$13,KD5&lt;&gt;""),AND(KV5&gt;=LB$13,KV5&lt;&gt;""),AND(KZ5&gt;=LB$13,KZ5&lt;&gt;""),AND(LR5&gt;=LX$13,LR5&lt;&gt;""),AND(LV5&gt;=LX$13,LV5&lt;&gt;""),AND(MN5&gt;=MT$13,MN5&lt;&gt;""),AND(MR5&gt;=MT$13,MR5&lt;&gt;"")),"Worlds Team",IF(OR(AND(AL5&gt;=AR$12,AL5&lt;&gt;"",AK5=""),AND(AP5&gt;=AR$12,AP5&lt;&gt;"",AK5=""),AND(BI5&gt;=BO$12,BI5&lt;&gt;"",BH5=""),AND(BM5&gt;=BO$12,BM5&lt;&gt;"",BH5=""),AND(CF5&gt;=CL$12,CF5&lt;&gt;"",CE5=""),AND(CJ5&gt;=CL$12,CJ5&lt;&gt;"",CE5=""),AND(DF5&gt;=DL$12,DF5&lt;&gt;""),AND(DJ5&gt;=DL$12,DJ5&lt;&gt;""),AND(EB5&gt;=EH$12,EB5&lt;&gt;""),AND(EF5&gt;=EH$12,EF5&lt;&gt;""),AND(EX5&gt;=FD$12,EX5&lt;&gt;""),AND(FB5&gt;=FD$12,FB5&lt;&gt;""),AND(FT5&gt;=FZ$12,FT5&lt;&gt;""),AND(FX5&gt;=FZ$12,FX5&lt;&gt;""),AND(GP5&gt;=GV$12,GP5&lt;&gt;""),AND(GT5&gt;=GV$12,GT5&lt;&gt;""),AND(HL5&gt;=HR$12,HL5&lt;&gt;""),AND(HP5&gt;=HR$12,HP5&lt;&gt;""),AND(IH5&gt;=IN$12,IH5&lt;&gt;""),AND(IL5&gt;=IN$12,IL5&lt;&gt;""),AND(JD5&gt;=JJ$12,JD5&lt;&gt;""),AND(JH5&gt;=JJ$12,JH5&lt;&gt;""),AND(JZ5&gt;=KF$12,JZ5&lt;&gt;""),AND(KD5&gt;=KF$12,KD5&lt;&gt;""),AND(KV5&gt;=LB$12,KV5&lt;&gt;""),AND(KZ5&gt;=LB$12,KZ5&lt;&gt;""),AND(LR5&gt;=LX$12,LR5&lt;&gt;""),AND(LV5&gt;=LX$12,LV5&lt;&gt;""),AND(MN5&gt;=MT$12,MN5&lt;&gt;""),AND(MR5&gt;=MT$12,MR5&lt;&gt;"")),"National Team",""))))</f>
        <v>National Team</v>
      </c>
      <c r="H5" s="125" t="str">
        <f>IF(OR(AND(AN5&gt;=AR$19,AN5&lt;&gt;"",AK5=""),AND(AQ5&gt;=AR$19,AQ5&lt;&gt;"",AK5=""),AND(BK5&gt;=BO$19,BK5&lt;&gt;"",BH5=""),AND(BN5&gt;=BO$19,BN5&lt;&gt;"",BH5=""),AND(CH5&gt;=CL$19,CH5&lt;&gt;"",CE5=""),AND(CK5&gt;=CL$19,CE5&lt;&gt;"",CE5=""),AND(DH5&gt;=DL$19,DH5&lt;&gt;""),AND(DK5&gt;=DL$19,DK5&lt;&gt;""),AND(ED5&gt;=EH$19,ED5&lt;&gt;""),AND(EG5&gt;=EH$19,EG5&lt;&gt;""),AND(EZ5&gt;=FD$19,EZ5&lt;&gt;""),AND(FC5&gt;=FD$19,FC5&lt;&gt;""),AND(FV5&gt;=FZ$19,FV5&lt;&gt;""),AND(FY5&gt;=FZ$19,FY5&lt;&gt;""),AND(GR5&gt;=GV$19,GR5&lt;&gt;""),AND(GU5&gt;=GV$19,GU5&lt;&gt;""),AND(HN5&gt;=HR$19,HN5&lt;&gt;""),AND(HQ5&gt;=HR$19,HQ5&lt;&gt;""),AND(IJ5&gt;=IN$19,IJ5&lt;&gt;""),AND(IM5&gt;=IN$19,IM5&lt;&gt;""),AND(JF5&gt;=JJ$19,JF5&lt;&gt;""),AND(JI5&gt;=JJ$19,JI5&lt;&gt;""),AND(KB5&gt;=KF$19,KB5&lt;&gt;""),AND(KE5&gt;=KF$19,KE5&lt;&gt;""),AND(KX5&gt;=LB$19,KX5&lt;&gt;""),AND(LA5&gt;=LB$19,LA5&lt;&gt;""),AND(LT5&gt;=LX$19,LT5&lt;&gt;""),AND(LW5&gt;=LX$19,LW5&lt;&gt;""),AND(MP5&gt;=MT$19,MP5&lt;&gt;""),AND(MS5&gt;=MT$19,MS5&lt;&gt;"")),"Merit",IF(OR(AND(AN5&gt;=AR$18,AN5&lt;&gt;"",AK5=""),AND(AQ5&gt;=AR$18,AQ5&lt;&gt;"",AK5=""),AND(BK5&gt;=BO$18,BK5&lt;&gt;"",BH5=""),AND(BN5&gt;=BO$18,BN5&lt;&gt;"",BH5=""),AND(CH5&gt;=CL$18,CH5&lt;&gt;"",CE5=""),AND(CK5&gt;=CL$18,CE5&lt;&gt;"",CE5=""),AND(DH5&gt;=DL$18,DH5&lt;&gt;""),AND(DK5&gt;=DL$18,DK5&lt;&gt;""),AND(ED5&gt;=EH$18,ED5&lt;&gt;""),AND(EG5&gt;=EH$18,EG5&lt;&gt;""),AND(EZ5&gt;=FD$18,EZ5&lt;&gt;""),AND(FC5&gt;=FD$18,FC5&lt;&gt;""),AND(FV5&gt;=FZ$18,FV5&lt;&gt;""),AND(FY5&gt;=FZ$18,FY5&lt;&gt;""),AND(GR5&gt;=GV$18,GR5&lt;&gt;""),AND(GU5&gt;=GV$18,GU5&lt;&gt;""),AND(HN5&gt;=HR$18,HN5&lt;&gt;""),AND(HQ5&gt;=HR$18,HQ5&lt;&gt;""),AND(IJ5&gt;=IN$18,IJ5&lt;&gt;""),AND(IM5&gt;=IN$18,IM5&lt;&gt;""),AND(JF5&gt;=JJ$18,JF5&lt;&gt;""),AND(JI5&gt;=JJ$18,JI5&lt;&gt;""),AND(KB5&gt;=KF$18,KB5&lt;&gt;""),AND(KE5&gt;=KF$18,KE5&lt;&gt;""),AND(KX5&gt;=LB$18,KX5&lt;&gt;""),AND(LA5&gt;=LB$18,LA5&lt;&gt;""),AND(LT5&gt;=LX$18,LT5&lt;&gt;""),AND(LW5&gt;=LX$18,LW5&lt;&gt;""),AND(MP5&gt;=MT$18,MP5&lt;&gt;""),AND(MS5&gt;=MT$18,MS5&lt;&gt;"")),"Excellence",IF(OR(AND(AO5&gt;=AR$17,AO5&lt;&gt;"",AK5=""),AND(BL5&gt;=BO$17,BL5&lt;&gt;"",BH5=""),AND(CI5&gt;=CL$17,CI5&lt;&gt;"",CE5=""),AND(DI5&gt;=DL$17,DI5&lt;&gt;""),AND(EE5&gt;=EH$17,EE5&lt;&gt;""),AND(FA5&gt;=FD$17,FA5&lt;&gt;""),AND(FW5&gt;=FZ$17,FW5&lt;&gt;""),AND(GS5&gt;=GV$17,GS5&lt;&gt;""),AND(HO5&gt;=HR$17,HO5&lt;&gt;""),AND(IK5&gt;=IN$17,IK5&lt;&gt;""),AND(JG5&gt;=JJ$17,JG5&lt;&gt;""),AND(KC5&gt;=KF$17,KC5&lt;&gt;""),AND(KY5&gt;=LB$17,KY5&lt;&gt;""),AND(LU5&gt;=LX$17,LU5&lt;&gt;""),AND(MQ5&gt;=MT$17,MQ5&lt;&gt;"")),"Worlds Team",IF(OR(AND(AO5&gt;=AR$16,AO5&lt;&gt;"",AK5=""),AND(BL5&gt;=BO$16,BL5&lt;&gt;"",BH5=""),AND(CI5&gt;=CL$16,CI5&lt;&gt;"",CE5=""),AND(DI5&gt;=DL$16,DI5&lt;&gt;""),AND(EE5&gt;=EH$16,EE5&lt;&gt;""),AND(FA5&gt;=FD$16,FA5&lt;&gt;""),AND(FW5&gt;=FZ$16,FW5&lt;&gt;""),AND(GS5&gt;=GV$16,GS5&lt;&gt;""),AND(HO5&gt;=HR$16,HO5&lt;&gt;""),AND(IK5&gt;=IN$16,IK5&lt;&gt;""),AND(JG5&gt;=JJ$16,JG5&lt;&gt;""),AND(KC5&gt;=KF$16,KC5&lt;&gt;""),AND(KY5&gt;=LB$16,KY5&lt;&gt;""),AND(LU5&gt;=LX$16,LU5&lt;&gt;""),AND(MQ5&gt;=MT$16,MQ5&lt;&gt;"")),"National Team",""))))</f>
        <v/>
      </c>
      <c r="I5" s="126" t="str">
        <f t="shared" si="2"/>
        <v/>
      </c>
      <c r="J5" s="3" t="str">
        <f>IF(AND(OR(AND(AO5&gt;=AR$17,AO5&lt;&gt;"",AK5=""),AND(BL5&gt;=BO$17,BL5&lt;&gt;"",BH5=""),AND(CI5&gt;=CL$17,CI5&lt;&gt;"",CE5=""),AND(DI5&gt;=DL$17,DI5&lt;&gt;""),AND(EE5&gt;=EH$17,EE5&lt;&gt;""),AND(FA5&gt;=FD$17,FA5&lt;&gt;""),AND(FW5&gt;=FZ$17,FW5&lt;&gt;""),AND(GS5&gt;=GV$17,GS5&lt;&gt;""),AND(HO5&gt;=HR$17,HO5&lt;&gt;""),AND(IK5&gt;=IN$17,IK5&lt;&gt;""),AND(JG5&gt;=JJ$17,JG5&lt;&gt;""),AND(KC5&gt;=KF$17,KC5&lt;&gt;""),AND(KY5&gt;=LB$17,KY5&lt;&gt;""),AND(LU5&gt;=LX$17,LU5&lt;&gt;""),AND(MQ5&gt;=MT$17,MQ5&lt;&gt;"")),OR(G5="Worlds Team",G5="Excellence",G5="Merit")),"P","")</f>
        <v/>
      </c>
      <c r="K5" s="14">
        <f t="shared" si="3"/>
        <v>0</v>
      </c>
      <c r="L5" s="14" t="str">
        <f t="shared" si="4"/>
        <v/>
      </c>
      <c r="M5" s="14">
        <f t="shared" si="5"/>
        <v>0</v>
      </c>
      <c r="N5" s="14" t="str">
        <f t="shared" si="6"/>
        <v/>
      </c>
      <c r="O5" s="14">
        <f t="shared" si="7"/>
        <v>0</v>
      </c>
      <c r="P5" s="14" t="str">
        <f t="shared" si="8"/>
        <v/>
      </c>
      <c r="Q5" s="14">
        <f t="shared" si="9"/>
        <v>0</v>
      </c>
      <c r="R5" s="14" t="str">
        <f t="shared" si="10"/>
        <v/>
      </c>
      <c r="S5" s="14">
        <f t="shared" si="11"/>
        <v>79.48</v>
      </c>
      <c r="T5" s="25" t="str">
        <f t="shared" si="12"/>
        <v>(Prelim)</v>
      </c>
      <c r="U5" s="14" t="str">
        <f t="shared" si="13"/>
        <v>2020 World Cup AZE (Feb 16)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 t="shared" si="14"/>
        <v/>
      </c>
      <c r="AM5" s="11" t="str">
        <f t="shared" si="15"/>
        <v/>
      </c>
      <c r="AN5" s="11" t="str">
        <f t="shared" si="16"/>
        <v/>
      </c>
      <c r="AO5" s="11" t="str">
        <f t="shared" si="17"/>
        <v/>
      </c>
      <c r="AP5" s="11" t="str">
        <f t="shared" si="18"/>
        <v/>
      </c>
      <c r="AQ5" s="11" t="str">
        <f t="shared" si="19"/>
        <v/>
      </c>
      <c r="AR5" s="11" t="str">
        <f t="shared" si="20"/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 t="shared" si="21"/>
        <v/>
      </c>
      <c r="BJ5" s="14" t="str">
        <f t="shared" si="22"/>
        <v/>
      </c>
      <c r="BK5" s="14" t="str">
        <f t="shared" si="23"/>
        <v/>
      </c>
      <c r="BL5" s="14" t="str">
        <f t="shared" si="24"/>
        <v/>
      </c>
      <c r="BM5" s="14" t="str">
        <f t="shared" si="25"/>
        <v/>
      </c>
      <c r="BN5" s="14" t="str">
        <f t="shared" si="26"/>
        <v/>
      </c>
      <c r="BO5" s="14" t="str">
        <f t="shared" si="27"/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 t="shared" si="28"/>
        <v/>
      </c>
      <c r="CG5" s="11" t="str">
        <f t="shared" si="29"/>
        <v/>
      </c>
      <c r="CH5" s="11" t="str">
        <f t="shared" si="30"/>
        <v/>
      </c>
      <c r="CI5" s="11" t="str">
        <f t="shared" si="31"/>
        <v/>
      </c>
      <c r="CJ5" s="11" t="str">
        <f t="shared" si="32"/>
        <v/>
      </c>
      <c r="CK5" s="11" t="str">
        <f t="shared" si="33"/>
        <v/>
      </c>
      <c r="CL5" s="11" t="str">
        <f t="shared" si="34"/>
        <v/>
      </c>
      <c r="CM5" s="24">
        <f t="shared" si="35"/>
        <v>39.200000000000003</v>
      </c>
      <c r="CN5" s="24">
        <f t="shared" si="36"/>
        <v>40.28</v>
      </c>
      <c r="CO5" s="24">
        <f t="shared" si="37"/>
        <v>79.48</v>
      </c>
      <c r="CP5" s="24" t="str">
        <f t="shared" si="38"/>
        <v/>
      </c>
      <c r="CQ5" s="37">
        <v>8.85</v>
      </c>
      <c r="CR5" s="37">
        <v>9.65</v>
      </c>
      <c r="CS5" s="37">
        <v>3.8</v>
      </c>
      <c r="CT5" s="37">
        <v>16.899999999999999</v>
      </c>
      <c r="CU5" s="37">
        <v>0</v>
      </c>
      <c r="CV5" s="37">
        <v>7.85</v>
      </c>
      <c r="CW5" s="37">
        <v>9.35</v>
      </c>
      <c r="CX5" s="37">
        <v>11.6</v>
      </c>
      <c r="CY5" s="37">
        <v>11.48</v>
      </c>
      <c r="CZ5" s="37">
        <v>0</v>
      </c>
      <c r="DA5" s="37"/>
      <c r="DB5" s="37"/>
      <c r="DC5" s="37"/>
      <c r="DD5" s="37"/>
      <c r="DE5" s="37"/>
      <c r="DF5" s="11">
        <f t="shared" si="39"/>
        <v>11.6</v>
      </c>
      <c r="DG5" s="11">
        <f t="shared" si="40"/>
        <v>39.200000000000003</v>
      </c>
      <c r="DH5" s="11">
        <f t="shared" si="41"/>
        <v>40.28</v>
      </c>
      <c r="DI5" s="11">
        <f t="shared" si="42"/>
        <v>79.48</v>
      </c>
      <c r="DJ5" s="11" t="str">
        <f t="shared" si="43"/>
        <v/>
      </c>
      <c r="DK5" s="11" t="str">
        <f t="shared" si="44"/>
        <v/>
      </c>
      <c r="DL5" s="11">
        <f t="shared" si="45"/>
        <v>79.48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 t="shared" si="46"/>
        <v/>
      </c>
      <c r="EC5" s="14" t="str">
        <f t="shared" si="47"/>
        <v/>
      </c>
      <c r="ED5" s="14" t="str">
        <f t="shared" si="48"/>
        <v/>
      </c>
      <c r="EE5" s="14" t="str">
        <f t="shared" si="49"/>
        <v/>
      </c>
      <c r="EF5" s="14" t="str">
        <f t="shared" si="50"/>
        <v/>
      </c>
      <c r="EG5" s="14" t="str">
        <f t="shared" si="51"/>
        <v/>
      </c>
      <c r="EH5" s="14" t="str">
        <f t="shared" si="52"/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 t="shared" si="53"/>
        <v/>
      </c>
      <c r="EY5" s="11" t="str">
        <f t="shared" si="54"/>
        <v/>
      </c>
      <c r="EZ5" s="11" t="str">
        <f t="shared" si="55"/>
        <v/>
      </c>
      <c r="FA5" s="11" t="str">
        <f t="shared" si="56"/>
        <v/>
      </c>
      <c r="FB5" s="11" t="str">
        <f t="shared" si="57"/>
        <v/>
      </c>
      <c r="FC5" s="11" t="str">
        <f t="shared" si="58"/>
        <v/>
      </c>
      <c r="FD5" s="11" t="str">
        <f t="shared" si="59"/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 t="shared" si="60"/>
        <v/>
      </c>
      <c r="FU5" s="14" t="str">
        <f t="shared" si="61"/>
        <v/>
      </c>
      <c r="FV5" s="14" t="str">
        <f t="shared" si="62"/>
        <v/>
      </c>
      <c r="FW5" s="14" t="str">
        <f t="shared" si="63"/>
        <v/>
      </c>
      <c r="FX5" s="14" t="str">
        <f t="shared" si="64"/>
        <v/>
      </c>
      <c r="FY5" s="14" t="str">
        <f t="shared" si="65"/>
        <v/>
      </c>
      <c r="FZ5" s="14" t="str">
        <f t="shared" si="66"/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 t="shared" si="67"/>
        <v/>
      </c>
      <c r="GQ5" s="11" t="str">
        <f t="shared" si="68"/>
        <v/>
      </c>
      <c r="GR5" s="11" t="str">
        <f t="shared" si="69"/>
        <v/>
      </c>
      <c r="GS5" s="11" t="str">
        <f t="shared" si="70"/>
        <v/>
      </c>
      <c r="GT5" s="11" t="str">
        <f t="shared" si="71"/>
        <v/>
      </c>
      <c r="GU5" s="11" t="str">
        <f t="shared" si="72"/>
        <v/>
      </c>
      <c r="GV5" s="11" t="str">
        <f t="shared" si="73"/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 t="shared" si="74"/>
        <v/>
      </c>
      <c r="HM5" s="14" t="str">
        <f t="shared" si="75"/>
        <v/>
      </c>
      <c r="HN5" s="14" t="str">
        <f t="shared" si="76"/>
        <v/>
      </c>
      <c r="HO5" s="14" t="str">
        <f t="shared" si="77"/>
        <v/>
      </c>
      <c r="HP5" s="14" t="str">
        <f t="shared" si="78"/>
        <v/>
      </c>
      <c r="HQ5" s="14" t="str">
        <f t="shared" si="79"/>
        <v/>
      </c>
      <c r="HR5" s="14" t="str">
        <f t="shared" si="80"/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 t="shared" si="81"/>
        <v/>
      </c>
      <c r="II5" s="11" t="str">
        <f t="shared" si="82"/>
        <v/>
      </c>
      <c r="IJ5" s="11" t="str">
        <f t="shared" si="83"/>
        <v/>
      </c>
      <c r="IK5" s="11" t="str">
        <f t="shared" si="84"/>
        <v/>
      </c>
      <c r="IL5" s="11" t="str">
        <f t="shared" si="85"/>
        <v/>
      </c>
      <c r="IM5" s="11" t="str">
        <f t="shared" si="86"/>
        <v/>
      </c>
      <c r="IN5" s="11" t="str">
        <f t="shared" si="87"/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 t="shared" si="88"/>
        <v/>
      </c>
      <c r="JE5" s="14" t="str">
        <f t="shared" si="89"/>
        <v/>
      </c>
      <c r="JF5" s="14" t="str">
        <f t="shared" si="90"/>
        <v/>
      </c>
      <c r="JG5" s="14" t="str">
        <f t="shared" si="91"/>
        <v/>
      </c>
      <c r="JH5" s="14" t="str">
        <f t="shared" si="92"/>
        <v/>
      </c>
      <c r="JI5" s="14" t="str">
        <f t="shared" si="93"/>
        <v/>
      </c>
      <c r="JJ5" s="14" t="str">
        <f t="shared" si="94"/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 t="shared" si="95"/>
        <v/>
      </c>
      <c r="KA5" s="11" t="str">
        <f t="shared" si="96"/>
        <v/>
      </c>
      <c r="KB5" s="11" t="str">
        <f t="shared" si="97"/>
        <v/>
      </c>
      <c r="KC5" s="11" t="str">
        <f t="shared" si="98"/>
        <v/>
      </c>
      <c r="KD5" s="11" t="str">
        <f t="shared" si="99"/>
        <v/>
      </c>
      <c r="KE5" s="11" t="str">
        <f t="shared" si="100"/>
        <v/>
      </c>
      <c r="KF5" s="11" t="str">
        <f t="shared" si="101"/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 t="shared" si="102"/>
        <v/>
      </c>
      <c r="KW5" s="14" t="str">
        <f t="shared" si="103"/>
        <v/>
      </c>
      <c r="KX5" s="14" t="str">
        <f t="shared" si="104"/>
        <v/>
      </c>
      <c r="KY5" s="14" t="str">
        <f t="shared" si="105"/>
        <v/>
      </c>
      <c r="KZ5" s="14" t="str">
        <f t="shared" si="106"/>
        <v/>
      </c>
      <c r="LA5" s="14" t="str">
        <f t="shared" si="107"/>
        <v/>
      </c>
      <c r="LB5" s="14" t="str">
        <f t="shared" si="108"/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 t="shared" si="109"/>
        <v/>
      </c>
      <c r="LS5" s="11" t="str">
        <f t="shared" si="110"/>
        <v/>
      </c>
      <c r="LT5" s="11" t="str">
        <f t="shared" si="111"/>
        <v/>
      </c>
      <c r="LU5" s="11" t="str">
        <f t="shared" si="112"/>
        <v/>
      </c>
      <c r="LV5" s="11" t="str">
        <f t="shared" si="113"/>
        <v/>
      </c>
      <c r="LW5" s="11" t="str">
        <f t="shared" si="114"/>
        <v/>
      </c>
      <c r="LX5" s="11" t="str">
        <f t="shared" si="115"/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 t="shared" si="116"/>
        <v/>
      </c>
      <c r="MO5" s="14" t="str">
        <f t="shared" si="117"/>
        <v/>
      </c>
      <c r="MP5" s="14" t="str">
        <f t="shared" si="118"/>
        <v/>
      </c>
      <c r="MQ5" s="14" t="str">
        <f t="shared" si="119"/>
        <v/>
      </c>
      <c r="MR5" s="14" t="str">
        <f t="shared" si="120"/>
        <v/>
      </c>
      <c r="MS5" s="14" t="str">
        <f t="shared" si="121"/>
        <v/>
      </c>
      <c r="MT5" s="14" t="str">
        <f t="shared" si="122"/>
        <v/>
      </c>
      <c r="MU5" s="69">
        <f t="shared" si="123"/>
        <v>0</v>
      </c>
      <c r="MV5" s="69">
        <f t="shared" si="124"/>
        <v>0</v>
      </c>
      <c r="MW5" s="69">
        <f t="shared" si="125"/>
        <v>0</v>
      </c>
      <c r="MX5" s="69">
        <f t="shared" si="126"/>
        <v>0</v>
      </c>
      <c r="MY5" s="69">
        <f t="shared" si="127"/>
        <v>0</v>
      </c>
      <c r="MZ5" s="69">
        <f t="shared" si="128"/>
        <v>0</v>
      </c>
      <c r="NA5" s="69">
        <f t="shared" si="129"/>
        <v>0</v>
      </c>
      <c r="NB5" s="69">
        <f t="shared" si="130"/>
        <v>0</v>
      </c>
      <c r="NC5" s="69">
        <f t="shared" si="131"/>
        <v>0</v>
      </c>
      <c r="ND5" s="69">
        <f t="shared" si="132"/>
        <v>0</v>
      </c>
      <c r="NE5" s="69">
        <f t="shared" si="133"/>
        <v>0</v>
      </c>
      <c r="NF5" s="69">
        <f t="shared" si="134"/>
        <v>0</v>
      </c>
      <c r="NG5" s="69">
        <f t="shared" si="135"/>
        <v>0</v>
      </c>
      <c r="NH5" s="69">
        <f t="shared" si="136"/>
        <v>0</v>
      </c>
      <c r="NI5" s="69">
        <f t="shared" si="137"/>
        <v>0</v>
      </c>
      <c r="NJ5" s="80" t="s">
        <v>88</v>
      </c>
      <c r="NK5" s="11" t="str">
        <f t="shared" si="138"/>
        <v/>
      </c>
      <c r="NL5" s="11" t="str">
        <f t="shared" si="139"/>
        <v/>
      </c>
      <c r="NM5" s="11" t="str">
        <f t="shared" si="140"/>
        <v/>
      </c>
      <c r="NN5" s="11" t="str">
        <f t="shared" si="141"/>
        <v/>
      </c>
      <c r="NO5" s="11" t="str">
        <f t="shared" si="142"/>
        <v/>
      </c>
      <c r="NP5" s="11" t="str">
        <f t="shared" si="143"/>
        <v/>
      </c>
      <c r="NQ5" s="11" t="str">
        <f t="shared" si="144"/>
        <v/>
      </c>
    </row>
    <row r="6" spans="1:381" x14ac:dyDescent="0.2">
      <c r="A6" s="5" t="str" cm="1">
        <f t="array" ref="A6">IF(AND(G6&lt;&gt;"",H6&lt;&gt;""),SUMPRODUCT((G$4:G$10&lt;&gt;"")*(H$4:H$10&lt;&gt;"")*(E$4:E$10&gt;E6))+1,IF(H6&lt;&gt;"",SUMPRODUCT((I$4:I$10="No DD")*(E$4:E$10&gt;E6))+1+SUMPRODUCT((G$4:G$10&lt;&gt;"")*(H$4:H$10&lt;&gt;"")),""))</f>
        <v/>
      </c>
      <c r="B6" s="127" t="s">
        <v>141</v>
      </c>
      <c r="C6" s="5" t="s">
        <v>10</v>
      </c>
      <c r="D6" s="5" t="s">
        <v>138</v>
      </c>
      <c r="E6" s="15">
        <f t="shared" si="0"/>
        <v>124.94999999999999</v>
      </c>
      <c r="F6" s="3" t="str">
        <f t="shared" si="1"/>
        <v/>
      </c>
      <c r="G6" s="125" t="str">
        <f>IF(OR(AND(AL6&gt;=AR$15,AL6&lt;&gt;"",AK6=""),AND(AP6&gt;=AR$15,AP6&lt;&gt;"",AK6=""),AND(BI6&gt;=BO$15,BI6&lt;&gt;"",BH6=""),AND(BM6&gt;=BO$15,BM6&lt;&gt;"",BH6=""),AND(CF6&gt;=CL$15,CF6&lt;&gt;"",CE6=""),AND(CJ6&gt;=CL$15,CJ6&lt;&gt;"",CE6=""),AND(DF6&gt;=DL$15,DF6&lt;&gt;""),AND(DJ6&gt;=DL$15,DJ6&lt;&gt;""),AND(EB6&gt;=EH$15,EB6&lt;&gt;""),AND(EF6&gt;=EH$15,EF6&lt;&gt;""),AND(EX6&gt;=FD$15,EX6&lt;&gt;""),AND(FB6&gt;=FD$15,FB6&lt;&gt;""),AND(FT6&gt;=FZ$15,FT6&lt;&gt;""),AND(FX6&gt;=FZ$15,FX6&lt;&gt;""),AND(GP6&gt;=GV$15,GP6&lt;&gt;""),AND(GT6&gt;=GV$15,GT6&lt;&gt;""),AND(HL6&gt;=HR$15,HL6&lt;&gt;""),AND(HP6&gt;=HR$15,HP6&lt;&gt;""),AND(IH6&gt;=IN$15,IH6&lt;&gt;""),AND(IL6&gt;=IN$15,IL6&lt;&gt;""),AND(JD6&gt;=JJ$15,JD6&lt;&gt;""),AND(JH6&gt;=JJ$15,JH6&lt;&gt;""),AND(JZ6&gt;=KF$15,JZ6&lt;&gt;""),AND(KD6&gt;=KF$15,KD6&lt;&gt;""),AND(KV6&gt;=LB$15,KV6&lt;&gt;""),AND(KZ6&gt;=LB$15,KZ6&lt;&gt;""),AND(LR6&gt;=LX$15,LR6&lt;&gt;""),AND(LV6&gt;=LX$15,LV6&lt;&gt;""),AND(MN6&gt;=MT$15,MN6&lt;&gt;""),AND(MR6&gt;=MT$15,MR6&lt;&gt;"")),"Merit",IF(OR(AND(AL6&gt;=AR$14,AL6&lt;&gt;"",AK6=""),AND(AP6&gt;=AR$14,AP6&lt;&gt;"",AK6=""),AND(BI6&gt;=BO$14,BI6&lt;&gt;"",BH6=""),AND(BM6&gt;=BO$14,BM6&lt;&gt;"",BH6=""),AND(CF6&gt;=CL$14,CF6&lt;&gt;"",CE6=""),AND(CJ6&gt;=CL$14,CJ6&lt;&gt;"",CE6=""),AND(DF6&gt;=DL$14,DF6&lt;&gt;""),AND(DJ6&gt;=DL$14,DJ6&lt;&gt;""),AND(EB6&gt;=EH$14,EB6&lt;&gt;""),AND(EF6&gt;=EH$14,EF6&lt;&gt;""),AND(EX6&gt;=FD$14,EX6&lt;&gt;""),AND(FB6&gt;=FD$14,FB6&lt;&gt;""),AND(FT6&gt;=FZ$14,FT6&lt;&gt;""),AND(FX6&gt;=FZ$14,FX6&lt;&gt;""),AND(GP6&gt;=GV$14,GP6&lt;&gt;""),AND(GT6&gt;=GV$14,GT6&lt;&gt;""),AND(HL6&gt;=HR$14,HL6&lt;&gt;""),AND(HP6&gt;=HR$14,HP6&lt;&gt;""),AND(IH6&gt;=IN$14,IH6&lt;&gt;""),AND(IL6&gt;=IN$14,IL6&lt;&gt;""),AND(JD6&gt;=JJ$14,JD6&lt;&gt;""),AND(JH6&gt;=JJ$14,JH6&lt;&gt;""),AND(JZ6&gt;=KF$14,JZ6&lt;&gt;""),AND(KD6&gt;=KF$14,KD6&lt;&gt;""),AND(KV6&gt;=LB$14,KV6&lt;&gt;""),AND(KZ6&gt;=LB$14,KZ6&lt;&gt;""),AND(LR6&gt;=LX$14,LR6&lt;&gt;""),AND(LV6&gt;=LX$14,LV6&lt;&gt;""),AND(MN6&gt;=MT$14,MN6&lt;&gt;""),AND(MR6&gt;=MT$14,MR6&lt;&gt;"")),"Excellence",IF(OR(AND(AL6&gt;=AR$13,AL6&lt;&gt;"",AK6=""),AND(AP6&gt;=AR$13,AP6&lt;&gt;"",AK6=""),AND(BI6&gt;=BO$13,BI6&lt;&gt;"",BH6=""),AND(BM6&gt;=BO$13,BM6&lt;&gt;"",BH6=""),AND(CF6&gt;=CL$13,CF6&lt;&gt;"",CE6=""),AND(CJ6&gt;=CL$13,CJ6&lt;&gt;"",CE6=""),AND(DF6&gt;=DL$13,DF6&lt;&gt;""),AND(DJ6&gt;=DL$13,DJ6&lt;&gt;""),AND(EB6&gt;=EH$13,EB6&lt;&gt;""),AND(EF6&gt;=EH$13,EF6&lt;&gt;""),AND(EX6&gt;=FD$13,EX6&lt;&gt;""),AND(FB6&gt;=FD$13,FB6&lt;&gt;""),AND(FT6&gt;=FZ$13,FT6&lt;&gt;""),AND(FX6&gt;=FZ$13,FX6&lt;&gt;""),AND(GP6&gt;=GV$13,GP6&lt;&gt;""),AND(GT6&gt;=GV$13,GT6&lt;&gt;""),AND(HL6&gt;=HR$13,HL6&lt;&gt;""),AND(HP6&gt;=HR$13,HP6&lt;&gt;""),AND(IH6&gt;=IN$13,IH6&lt;&gt;""),AND(IL6&gt;=IN$13,IL6&lt;&gt;""),AND(JD6&gt;=JJ$13,JD6&lt;&gt;""),AND(JH6&gt;=JJ$13,JH6&lt;&gt;""),AND(JZ6&gt;=KF$13,JZ6&lt;&gt;""),AND(KD6&gt;=KF$13,KD6&lt;&gt;""),AND(KV6&gt;=LB$13,KV6&lt;&gt;""),AND(KZ6&gt;=LB$13,KZ6&lt;&gt;""),AND(LR6&gt;=LX$13,LR6&lt;&gt;""),AND(LV6&gt;=LX$13,LV6&lt;&gt;""),AND(MN6&gt;=MT$13,MN6&lt;&gt;""),AND(MR6&gt;=MT$13,MR6&lt;&gt;"")),"Worlds Team",IF(OR(AND(AL6&gt;=AR$12,AL6&lt;&gt;"",AK6=""),AND(AP6&gt;=AR$12,AP6&lt;&gt;"",AK6=""),AND(BI6&gt;=BO$12,BI6&lt;&gt;"",BH6=""),AND(BM6&gt;=BO$12,BM6&lt;&gt;"",BH6=""),AND(CF6&gt;=CL$12,CF6&lt;&gt;"",CE6=""),AND(CJ6&gt;=CL$12,CJ6&lt;&gt;"",CE6=""),AND(DF6&gt;=DL$12,DF6&lt;&gt;""),AND(DJ6&gt;=DL$12,DJ6&lt;&gt;""),AND(EB6&gt;=EH$12,EB6&lt;&gt;""),AND(EF6&gt;=EH$12,EF6&lt;&gt;""),AND(EX6&gt;=FD$12,EX6&lt;&gt;""),AND(FB6&gt;=FD$12,FB6&lt;&gt;""),AND(FT6&gt;=FZ$12,FT6&lt;&gt;""),AND(FX6&gt;=FZ$12,FX6&lt;&gt;""),AND(GP6&gt;=GV$12,GP6&lt;&gt;""),AND(GT6&gt;=GV$12,GT6&lt;&gt;""),AND(HL6&gt;=HR$12,HL6&lt;&gt;""),AND(HP6&gt;=HR$12,HP6&lt;&gt;""),AND(IH6&gt;=IN$12,IH6&lt;&gt;""),AND(IL6&gt;=IN$12,IL6&lt;&gt;""),AND(JD6&gt;=JJ$12,JD6&lt;&gt;""),AND(JH6&gt;=JJ$12,JH6&lt;&gt;""),AND(JZ6&gt;=KF$12,JZ6&lt;&gt;""),AND(KD6&gt;=KF$12,KD6&lt;&gt;""),AND(KV6&gt;=LB$12,KV6&lt;&gt;""),AND(KZ6&gt;=LB$12,KZ6&lt;&gt;""),AND(LR6&gt;=LX$12,LR6&lt;&gt;""),AND(LV6&gt;=LX$12,LV6&lt;&gt;""),AND(MN6&gt;=MT$12,MN6&lt;&gt;""),AND(MR6&gt;=MT$12,MR6&lt;&gt;"")),"National Team",""))))</f>
        <v/>
      </c>
      <c r="H6" s="125" t="str">
        <f>IF(OR(AND(AN6&gt;=AR$19,AN6&lt;&gt;"",AK6=""),AND(AQ6&gt;=AR$19,AQ6&lt;&gt;"",AK6=""),AND(BK6&gt;=BO$19,BK6&lt;&gt;"",BH6=""),AND(BN6&gt;=BO$19,BN6&lt;&gt;"",BH6=""),AND(CH6&gt;=CL$19,CH6&lt;&gt;"",CE6=""),AND(CK6&gt;=CL$19,CE6&lt;&gt;"",CE6=""),AND(DH6&gt;=DL$19,DH6&lt;&gt;""),AND(DK6&gt;=DL$19,DK6&lt;&gt;""),AND(ED6&gt;=EH$19,ED6&lt;&gt;""),AND(EG6&gt;=EH$19,EG6&lt;&gt;""),AND(EZ6&gt;=FD$19,EZ6&lt;&gt;""),AND(FC6&gt;=FD$19,FC6&lt;&gt;""),AND(FV6&gt;=FZ$19,FV6&lt;&gt;""),AND(FY6&gt;=FZ$19,FY6&lt;&gt;""),AND(GR6&gt;=GV$19,GR6&lt;&gt;""),AND(GU6&gt;=GV$19,GU6&lt;&gt;""),AND(HN6&gt;=HR$19,HN6&lt;&gt;""),AND(HQ6&gt;=HR$19,HQ6&lt;&gt;""),AND(IJ6&gt;=IN$19,IJ6&lt;&gt;""),AND(IM6&gt;=IN$19,IM6&lt;&gt;""),AND(JF6&gt;=JJ$19,JF6&lt;&gt;""),AND(JI6&gt;=JJ$19,JI6&lt;&gt;""),AND(KB6&gt;=KF$19,KB6&lt;&gt;""),AND(KE6&gt;=KF$19,KE6&lt;&gt;""),AND(KX6&gt;=LB$19,KX6&lt;&gt;""),AND(LA6&gt;=LB$19,LA6&lt;&gt;""),AND(LT6&gt;=LX$19,LT6&lt;&gt;""),AND(LW6&gt;=LX$19,LW6&lt;&gt;""),AND(MP6&gt;=MT$19,MP6&lt;&gt;""),AND(MS6&gt;=MT$19,MS6&lt;&gt;"")),"Merit",IF(OR(AND(AN6&gt;=AR$18,AN6&lt;&gt;"",AK6=""),AND(AQ6&gt;=AR$18,AQ6&lt;&gt;"",AK6=""),AND(BK6&gt;=BO$18,BK6&lt;&gt;"",BH6=""),AND(BN6&gt;=BO$18,BN6&lt;&gt;"",BH6=""),AND(CH6&gt;=CL$18,CH6&lt;&gt;"",CE6=""),AND(CK6&gt;=CL$18,CE6&lt;&gt;"",CE6=""),AND(DH6&gt;=DL$18,DH6&lt;&gt;""),AND(DK6&gt;=DL$18,DK6&lt;&gt;""),AND(ED6&gt;=EH$18,ED6&lt;&gt;""),AND(EG6&gt;=EH$18,EG6&lt;&gt;""),AND(EZ6&gt;=FD$18,EZ6&lt;&gt;""),AND(FC6&gt;=FD$18,FC6&lt;&gt;""),AND(FV6&gt;=FZ$18,FV6&lt;&gt;""),AND(FY6&gt;=FZ$18,FY6&lt;&gt;""),AND(GR6&gt;=GV$18,GR6&lt;&gt;""),AND(GU6&gt;=GV$18,GU6&lt;&gt;""),AND(HN6&gt;=HR$18,HN6&lt;&gt;""),AND(HQ6&gt;=HR$18,HQ6&lt;&gt;""),AND(IJ6&gt;=IN$18,IJ6&lt;&gt;""),AND(IM6&gt;=IN$18,IM6&lt;&gt;""),AND(JF6&gt;=JJ$18,JF6&lt;&gt;""),AND(JI6&gt;=JJ$18,JI6&lt;&gt;""),AND(KB6&gt;=KF$18,KB6&lt;&gt;""),AND(KE6&gt;=KF$18,KE6&lt;&gt;""),AND(KX6&gt;=LB$18,KX6&lt;&gt;""),AND(LA6&gt;=LB$18,LA6&lt;&gt;""),AND(LT6&gt;=LX$18,LT6&lt;&gt;""),AND(LW6&gt;=LX$18,LW6&lt;&gt;""),AND(MP6&gt;=MT$18,MP6&lt;&gt;""),AND(MS6&gt;=MT$18,MS6&lt;&gt;"")),"Excellence",IF(OR(AND(AO6&gt;=AR$17,AO6&lt;&gt;"",AK6=""),AND(BL6&gt;=BO$17,BL6&lt;&gt;"",BH6=""),AND(CI6&gt;=CL$17,CI6&lt;&gt;"",CE6=""),AND(DI6&gt;=DL$17,DI6&lt;&gt;""),AND(EE6&gt;=EH$17,EE6&lt;&gt;""),AND(FA6&gt;=FD$17,FA6&lt;&gt;""),AND(FW6&gt;=FZ$17,FW6&lt;&gt;""),AND(GS6&gt;=GV$17,GS6&lt;&gt;""),AND(HO6&gt;=HR$17,HO6&lt;&gt;""),AND(IK6&gt;=IN$17,IK6&lt;&gt;""),AND(JG6&gt;=JJ$17,JG6&lt;&gt;""),AND(KC6&gt;=KF$17,KC6&lt;&gt;""),AND(KY6&gt;=LB$17,KY6&lt;&gt;""),AND(LU6&gt;=LX$17,LU6&lt;&gt;""),AND(MQ6&gt;=MT$17,MQ6&lt;&gt;"")),"Worlds Team",IF(OR(AND(AO6&gt;=AR$16,AO6&lt;&gt;"",AK6=""),AND(BL6&gt;=BO$16,BL6&lt;&gt;"",BH6=""),AND(CI6&gt;=CL$16,CI6&lt;&gt;"",CE6=""),AND(DI6&gt;=DL$16,DI6&lt;&gt;""),AND(EE6&gt;=EH$16,EE6&lt;&gt;""),AND(FA6&gt;=FD$16,FA6&lt;&gt;""),AND(FW6&gt;=FZ$16,FW6&lt;&gt;""),AND(GS6&gt;=GV$16,GS6&lt;&gt;""),AND(HO6&gt;=HR$16,HO6&lt;&gt;""),AND(IK6&gt;=IN$16,IK6&lt;&gt;""),AND(JG6&gt;=JJ$16,JG6&lt;&gt;""),AND(KC6&gt;=KF$16,KC6&lt;&gt;""),AND(KY6&gt;=LB$16,KY6&lt;&gt;""),AND(LU6&gt;=LX$16,LU6&lt;&gt;""),AND(MQ6&gt;=MT$16,MQ6&lt;&gt;"")),"National Team",""))))</f>
        <v/>
      </c>
      <c r="I6" s="126" t="str">
        <f t="shared" si="2"/>
        <v/>
      </c>
      <c r="J6" s="3" t="str">
        <f>IF(AND(OR(AND(AO6&gt;=AR$17,AO6&lt;&gt;"",AK6=""),AND(BL6&gt;=BO$17,BL6&lt;&gt;"",BH6=""),AND(CI6&gt;=CL$17,CI6&lt;&gt;"",CE6=""),AND(DI6&gt;=DL$17,DI6&lt;&gt;""),AND(EE6&gt;=EH$17,EE6&lt;&gt;""),AND(FA6&gt;=FD$17,FA6&lt;&gt;""),AND(FW6&gt;=FZ$17,FW6&lt;&gt;""),AND(GS6&gt;=GV$17,GS6&lt;&gt;""),AND(HO6&gt;=HR$17,HO6&lt;&gt;""),AND(IK6&gt;=IN$17,IK6&lt;&gt;""),AND(JG6&gt;=JJ$17,JG6&lt;&gt;""),AND(KC6&gt;=KF$17,KC6&lt;&gt;""),AND(KY6&gt;=LB$17,KY6&lt;&gt;""),AND(LU6&gt;=LX$17,LU6&lt;&gt;""),AND(MQ6&gt;=MT$17,MQ6&lt;&gt;"")),OR(G6="Worlds Team",G6="Excellence",G6="Merit")),"P","")</f>
        <v/>
      </c>
      <c r="K6" s="14">
        <f t="shared" si="3"/>
        <v>81.919999999999987</v>
      </c>
      <c r="L6" s="14" t="str">
        <f t="shared" si="4"/>
        <v>2019 Nationals</v>
      </c>
      <c r="M6" s="14">
        <f t="shared" si="5"/>
        <v>0</v>
      </c>
      <c r="N6" s="14" t="str">
        <f t="shared" si="6"/>
        <v/>
      </c>
      <c r="O6" s="14">
        <f t="shared" si="7"/>
        <v>0</v>
      </c>
      <c r="P6" s="14" t="str">
        <f t="shared" si="8"/>
        <v/>
      </c>
      <c r="Q6" s="14">
        <f t="shared" si="9"/>
        <v>43.03</v>
      </c>
      <c r="R6" s="14" t="str">
        <f t="shared" si="10"/>
        <v>2019 Nationals</v>
      </c>
      <c r="S6" s="14" t="str">
        <f t="shared" si="11"/>
        <v/>
      </c>
      <c r="T6" s="25" t="str">
        <f t="shared" si="12"/>
        <v/>
      </c>
      <c r="U6" s="14" t="str">
        <f t="shared" si="13"/>
        <v/>
      </c>
      <c r="V6" s="39">
        <v>8.75</v>
      </c>
      <c r="W6" s="39">
        <v>9.3000000000000007</v>
      </c>
      <c r="X6" s="39">
        <v>2.9</v>
      </c>
      <c r="Y6" s="39">
        <v>16.62</v>
      </c>
      <c r="Z6" s="39">
        <v>0</v>
      </c>
      <c r="AA6" s="39">
        <v>8.1</v>
      </c>
      <c r="AB6" s="39">
        <v>9.0500000000000007</v>
      </c>
      <c r="AC6" s="39">
        <v>9.1999999999999993</v>
      </c>
      <c r="AD6" s="39">
        <v>18</v>
      </c>
      <c r="AE6" s="39">
        <v>0</v>
      </c>
      <c r="AF6" s="39">
        <v>7.4</v>
      </c>
      <c r="AG6" s="39">
        <v>9.15</v>
      </c>
      <c r="AH6" s="39">
        <v>9.1999999999999993</v>
      </c>
      <c r="AI6" s="39">
        <v>17.28</v>
      </c>
      <c r="AJ6" s="39">
        <v>0</v>
      </c>
      <c r="AK6" s="80"/>
      <c r="AL6" s="11">
        <f t="shared" si="14"/>
        <v>9.1999999999999993</v>
      </c>
      <c r="AM6" s="11">
        <f t="shared" si="15"/>
        <v>37.57</v>
      </c>
      <c r="AN6" s="11">
        <f t="shared" si="16"/>
        <v>44.349999999999994</v>
      </c>
      <c r="AO6" s="11">
        <f t="shared" si="17"/>
        <v>81.919999999999987</v>
      </c>
      <c r="AP6" s="11">
        <f t="shared" si="18"/>
        <v>9.1999999999999993</v>
      </c>
      <c r="AQ6" s="11">
        <f t="shared" si="19"/>
        <v>43.03</v>
      </c>
      <c r="AR6" s="11">
        <f t="shared" si="20"/>
        <v>124.94999999999999</v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 t="shared" si="21"/>
        <v/>
      </c>
      <c r="BJ6" s="14" t="str">
        <f t="shared" si="22"/>
        <v/>
      </c>
      <c r="BK6" s="14" t="str">
        <f t="shared" si="23"/>
        <v/>
      </c>
      <c r="BL6" s="14" t="str">
        <f t="shared" si="24"/>
        <v/>
      </c>
      <c r="BM6" s="14" t="str">
        <f t="shared" si="25"/>
        <v/>
      </c>
      <c r="BN6" s="14" t="str">
        <f t="shared" si="26"/>
        <v/>
      </c>
      <c r="BO6" s="14" t="str">
        <f t="shared" si="27"/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 t="shared" si="28"/>
        <v/>
      </c>
      <c r="CG6" s="11" t="str">
        <f t="shared" si="29"/>
        <v/>
      </c>
      <c r="CH6" s="11" t="str">
        <f t="shared" si="30"/>
        <v/>
      </c>
      <c r="CI6" s="11" t="str">
        <f t="shared" si="31"/>
        <v/>
      </c>
      <c r="CJ6" s="11" t="str">
        <f t="shared" si="32"/>
        <v/>
      </c>
      <c r="CK6" s="11" t="str">
        <f t="shared" si="33"/>
        <v/>
      </c>
      <c r="CL6" s="11" t="str">
        <f t="shared" si="34"/>
        <v/>
      </c>
      <c r="CM6" s="24" t="str">
        <f t="shared" si="35"/>
        <v/>
      </c>
      <c r="CN6" s="24" t="str">
        <f t="shared" si="36"/>
        <v/>
      </c>
      <c r="CO6" s="24" t="str">
        <f t="shared" si="37"/>
        <v/>
      </c>
      <c r="CP6" s="24" t="str">
        <f t="shared" si="38"/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 t="shared" si="39"/>
        <v/>
      </c>
      <c r="DG6" s="11" t="str">
        <f t="shared" si="40"/>
        <v/>
      </c>
      <c r="DH6" s="11" t="str">
        <f t="shared" si="41"/>
        <v/>
      </c>
      <c r="DI6" s="11" t="str">
        <f t="shared" si="42"/>
        <v/>
      </c>
      <c r="DJ6" s="11" t="str">
        <f t="shared" si="43"/>
        <v/>
      </c>
      <c r="DK6" s="11" t="str">
        <f t="shared" si="44"/>
        <v/>
      </c>
      <c r="DL6" s="11" t="str">
        <f t="shared" si="45"/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 t="shared" si="46"/>
        <v/>
      </c>
      <c r="EC6" s="14" t="str">
        <f t="shared" si="47"/>
        <v/>
      </c>
      <c r="ED6" s="14" t="str">
        <f t="shared" si="48"/>
        <v/>
      </c>
      <c r="EE6" s="14" t="str">
        <f t="shared" si="49"/>
        <v/>
      </c>
      <c r="EF6" s="14" t="str">
        <f t="shared" si="50"/>
        <v/>
      </c>
      <c r="EG6" s="14" t="str">
        <f t="shared" si="51"/>
        <v/>
      </c>
      <c r="EH6" s="14" t="str">
        <f t="shared" si="52"/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 t="shared" si="53"/>
        <v/>
      </c>
      <c r="EY6" s="11" t="str">
        <f t="shared" si="54"/>
        <v/>
      </c>
      <c r="EZ6" s="11" t="str">
        <f t="shared" si="55"/>
        <v/>
      </c>
      <c r="FA6" s="11" t="str">
        <f t="shared" si="56"/>
        <v/>
      </c>
      <c r="FB6" s="11" t="str">
        <f t="shared" si="57"/>
        <v/>
      </c>
      <c r="FC6" s="11" t="str">
        <f t="shared" si="58"/>
        <v/>
      </c>
      <c r="FD6" s="11" t="str">
        <f t="shared" si="59"/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 t="shared" si="60"/>
        <v/>
      </c>
      <c r="FU6" s="14" t="str">
        <f t="shared" si="61"/>
        <v/>
      </c>
      <c r="FV6" s="14" t="str">
        <f t="shared" si="62"/>
        <v/>
      </c>
      <c r="FW6" s="14" t="str">
        <f t="shared" si="63"/>
        <v/>
      </c>
      <c r="FX6" s="14" t="str">
        <f t="shared" si="64"/>
        <v/>
      </c>
      <c r="FY6" s="14" t="str">
        <f t="shared" si="65"/>
        <v/>
      </c>
      <c r="FZ6" s="14" t="str">
        <f t="shared" si="66"/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 t="shared" si="67"/>
        <v/>
      </c>
      <c r="GQ6" s="11" t="str">
        <f t="shared" si="68"/>
        <v/>
      </c>
      <c r="GR6" s="11" t="str">
        <f t="shared" si="69"/>
        <v/>
      </c>
      <c r="GS6" s="11" t="str">
        <f t="shared" si="70"/>
        <v/>
      </c>
      <c r="GT6" s="11" t="str">
        <f t="shared" si="71"/>
        <v/>
      </c>
      <c r="GU6" s="11" t="str">
        <f t="shared" si="72"/>
        <v/>
      </c>
      <c r="GV6" s="11" t="str">
        <f t="shared" si="73"/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 t="shared" si="74"/>
        <v/>
      </c>
      <c r="HM6" s="14" t="str">
        <f t="shared" si="75"/>
        <v/>
      </c>
      <c r="HN6" s="14" t="str">
        <f t="shared" si="76"/>
        <v/>
      </c>
      <c r="HO6" s="14" t="str">
        <f t="shared" si="77"/>
        <v/>
      </c>
      <c r="HP6" s="14" t="str">
        <f t="shared" si="78"/>
        <v/>
      </c>
      <c r="HQ6" s="14" t="str">
        <f t="shared" si="79"/>
        <v/>
      </c>
      <c r="HR6" s="14" t="str">
        <f t="shared" si="80"/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 t="shared" si="81"/>
        <v/>
      </c>
      <c r="II6" s="11" t="str">
        <f t="shared" si="82"/>
        <v/>
      </c>
      <c r="IJ6" s="11" t="str">
        <f t="shared" si="83"/>
        <v/>
      </c>
      <c r="IK6" s="11" t="str">
        <f t="shared" si="84"/>
        <v/>
      </c>
      <c r="IL6" s="11" t="str">
        <f t="shared" si="85"/>
        <v/>
      </c>
      <c r="IM6" s="11" t="str">
        <f t="shared" si="86"/>
        <v/>
      </c>
      <c r="IN6" s="11" t="str">
        <f t="shared" si="87"/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 t="shared" si="88"/>
        <v/>
      </c>
      <c r="JE6" s="14" t="str">
        <f t="shared" si="89"/>
        <v/>
      </c>
      <c r="JF6" s="14" t="str">
        <f t="shared" si="90"/>
        <v/>
      </c>
      <c r="JG6" s="14" t="str">
        <f t="shared" si="91"/>
        <v/>
      </c>
      <c r="JH6" s="14" t="str">
        <f t="shared" si="92"/>
        <v/>
      </c>
      <c r="JI6" s="14" t="str">
        <f t="shared" si="93"/>
        <v/>
      </c>
      <c r="JJ6" s="14" t="str">
        <f t="shared" si="94"/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 t="shared" si="95"/>
        <v/>
      </c>
      <c r="KA6" s="11" t="str">
        <f t="shared" si="96"/>
        <v/>
      </c>
      <c r="KB6" s="11" t="str">
        <f t="shared" si="97"/>
        <v/>
      </c>
      <c r="KC6" s="11" t="str">
        <f t="shared" si="98"/>
        <v/>
      </c>
      <c r="KD6" s="11" t="str">
        <f t="shared" si="99"/>
        <v/>
      </c>
      <c r="KE6" s="11" t="str">
        <f t="shared" si="100"/>
        <v/>
      </c>
      <c r="KF6" s="11" t="str">
        <f t="shared" si="101"/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 t="shared" si="102"/>
        <v/>
      </c>
      <c r="KW6" s="14" t="str">
        <f t="shared" si="103"/>
        <v/>
      </c>
      <c r="KX6" s="14" t="str">
        <f t="shared" si="104"/>
        <v/>
      </c>
      <c r="KY6" s="14" t="str">
        <f t="shared" si="105"/>
        <v/>
      </c>
      <c r="KZ6" s="14" t="str">
        <f t="shared" si="106"/>
        <v/>
      </c>
      <c r="LA6" s="14" t="str">
        <f t="shared" si="107"/>
        <v/>
      </c>
      <c r="LB6" s="14" t="str">
        <f t="shared" si="108"/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 t="shared" si="109"/>
        <v/>
      </c>
      <c r="LS6" s="11" t="str">
        <f t="shared" si="110"/>
        <v/>
      </c>
      <c r="LT6" s="11" t="str">
        <f t="shared" si="111"/>
        <v/>
      </c>
      <c r="LU6" s="11" t="str">
        <f t="shared" si="112"/>
        <v/>
      </c>
      <c r="LV6" s="11" t="str">
        <f t="shared" si="113"/>
        <v/>
      </c>
      <c r="LW6" s="11" t="str">
        <f t="shared" si="114"/>
        <v/>
      </c>
      <c r="LX6" s="11" t="str">
        <f t="shared" si="115"/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 t="shared" si="116"/>
        <v/>
      </c>
      <c r="MO6" s="14" t="str">
        <f t="shared" si="117"/>
        <v/>
      </c>
      <c r="MP6" s="14" t="str">
        <f t="shared" si="118"/>
        <v/>
      </c>
      <c r="MQ6" s="14" t="str">
        <f t="shared" si="119"/>
        <v/>
      </c>
      <c r="MR6" s="14" t="str">
        <f t="shared" si="120"/>
        <v/>
      </c>
      <c r="MS6" s="14" t="str">
        <f t="shared" si="121"/>
        <v/>
      </c>
      <c r="MT6" s="14" t="str">
        <f t="shared" si="122"/>
        <v/>
      </c>
      <c r="MU6" s="69">
        <f t="shared" si="123"/>
        <v>0</v>
      </c>
      <c r="MV6" s="69">
        <f t="shared" si="124"/>
        <v>0</v>
      </c>
      <c r="MW6" s="69">
        <f t="shared" si="125"/>
        <v>0</v>
      </c>
      <c r="MX6" s="69">
        <f t="shared" si="126"/>
        <v>0</v>
      </c>
      <c r="MY6" s="69">
        <f t="shared" si="127"/>
        <v>0</v>
      </c>
      <c r="MZ6" s="69">
        <f t="shared" si="128"/>
        <v>0</v>
      </c>
      <c r="NA6" s="69">
        <f t="shared" si="129"/>
        <v>0</v>
      </c>
      <c r="NB6" s="69">
        <f t="shared" si="130"/>
        <v>0</v>
      </c>
      <c r="NC6" s="69">
        <f t="shared" si="131"/>
        <v>0</v>
      </c>
      <c r="ND6" s="69">
        <f t="shared" si="132"/>
        <v>0</v>
      </c>
      <c r="NE6" s="69">
        <f t="shared" si="133"/>
        <v>0</v>
      </c>
      <c r="NF6" s="69">
        <f t="shared" si="134"/>
        <v>0</v>
      </c>
      <c r="NG6" s="69">
        <f t="shared" si="135"/>
        <v>0</v>
      </c>
      <c r="NH6" s="69">
        <f t="shared" si="136"/>
        <v>0</v>
      </c>
      <c r="NI6" s="69">
        <f t="shared" si="137"/>
        <v>0</v>
      </c>
      <c r="NJ6" s="80" t="s">
        <v>88</v>
      </c>
      <c r="NK6" s="11" t="str">
        <f t="shared" si="138"/>
        <v/>
      </c>
      <c r="NL6" s="11" t="str">
        <f t="shared" si="139"/>
        <v/>
      </c>
      <c r="NM6" s="11" t="str">
        <f t="shared" si="140"/>
        <v/>
      </c>
      <c r="NN6" s="11" t="str">
        <f t="shared" si="141"/>
        <v/>
      </c>
      <c r="NO6" s="11" t="str">
        <f t="shared" si="142"/>
        <v/>
      </c>
      <c r="NP6" s="11" t="str">
        <f t="shared" si="143"/>
        <v/>
      </c>
      <c r="NQ6" s="11" t="str">
        <f t="shared" si="144"/>
        <v/>
      </c>
    </row>
    <row r="7" spans="1:381" x14ac:dyDescent="0.2">
      <c r="A7" s="5" cm="1">
        <f t="array" ref="A7">IF(AND(G7&lt;&gt;"",H7&lt;&gt;""),SUMPRODUCT((G$4:G$10&lt;&gt;"")*(H$4:H$10&lt;&gt;"")*(E$4:E$10&gt;E7))+1,IF(H7&lt;&gt;"",SUMPRODUCT((I$4:I$10="No DD")*(E$4:E$10&gt;E7))+1+SUMPRODUCT((G$4:G$10&lt;&gt;"")*(H$4:H$10&lt;&gt;"")),""))</f>
        <v>2</v>
      </c>
      <c r="B7" s="127" t="s">
        <v>137</v>
      </c>
      <c r="C7" s="5" t="s">
        <v>3</v>
      </c>
      <c r="D7" s="5" t="s">
        <v>136</v>
      </c>
      <c r="E7" s="15">
        <f t="shared" si="0"/>
        <v>109.48999999999998</v>
      </c>
      <c r="F7" s="3" t="str">
        <f t="shared" si="1"/>
        <v/>
      </c>
      <c r="G7" s="125" t="str">
        <f>IF(OR(AND(AL7&gt;=AR$15,AL7&lt;&gt;"",AK7=""),AND(AP7&gt;=AR$15,AP7&lt;&gt;"",AK7=""),AND(BI7&gt;=BO$15,BI7&lt;&gt;"",BH7=""),AND(BM7&gt;=BO$15,BM7&lt;&gt;"",BH7=""),AND(CF7&gt;=CL$15,CF7&lt;&gt;"",CE7=""),AND(CJ7&gt;=CL$15,CJ7&lt;&gt;"",CE7=""),AND(DF7&gt;=DL$15,DF7&lt;&gt;""),AND(DJ7&gt;=DL$15,DJ7&lt;&gt;""),AND(EB7&gt;=EH$15,EB7&lt;&gt;""),AND(EF7&gt;=EH$15,EF7&lt;&gt;""),AND(EX7&gt;=FD$15,EX7&lt;&gt;""),AND(FB7&gt;=FD$15,FB7&lt;&gt;""),AND(FT7&gt;=FZ$15,FT7&lt;&gt;""),AND(FX7&gt;=FZ$15,FX7&lt;&gt;""),AND(GP7&gt;=GV$15,GP7&lt;&gt;""),AND(GT7&gt;=GV$15,GT7&lt;&gt;""),AND(HL7&gt;=HR$15,HL7&lt;&gt;""),AND(HP7&gt;=HR$15,HP7&lt;&gt;""),AND(IH7&gt;=IN$15,IH7&lt;&gt;""),AND(IL7&gt;=IN$15,IL7&lt;&gt;""),AND(JD7&gt;=JJ$15,JD7&lt;&gt;""),AND(JH7&gt;=JJ$15,JH7&lt;&gt;""),AND(JZ7&gt;=KF$15,JZ7&lt;&gt;""),AND(KD7&gt;=KF$15,KD7&lt;&gt;""),AND(KV7&gt;=LB$15,KV7&lt;&gt;""),AND(KZ7&gt;=LB$15,KZ7&lt;&gt;""),AND(LR7&gt;=LX$15,LR7&lt;&gt;""),AND(LV7&gt;=LX$15,LV7&lt;&gt;""),AND(MN7&gt;=MT$15,MN7&lt;&gt;""),AND(MR7&gt;=MT$15,MR7&lt;&gt;"")),"Merit",IF(OR(AND(AL7&gt;=AR$14,AL7&lt;&gt;"",AK7=""),AND(AP7&gt;=AR$14,AP7&lt;&gt;"",AK7=""),AND(BI7&gt;=BO$14,BI7&lt;&gt;"",BH7=""),AND(BM7&gt;=BO$14,BM7&lt;&gt;"",BH7=""),AND(CF7&gt;=CL$14,CF7&lt;&gt;"",CE7=""),AND(CJ7&gt;=CL$14,CJ7&lt;&gt;"",CE7=""),AND(DF7&gt;=DL$14,DF7&lt;&gt;""),AND(DJ7&gt;=DL$14,DJ7&lt;&gt;""),AND(EB7&gt;=EH$14,EB7&lt;&gt;""),AND(EF7&gt;=EH$14,EF7&lt;&gt;""),AND(EX7&gt;=FD$14,EX7&lt;&gt;""),AND(FB7&gt;=FD$14,FB7&lt;&gt;""),AND(FT7&gt;=FZ$14,FT7&lt;&gt;""),AND(FX7&gt;=FZ$14,FX7&lt;&gt;""),AND(GP7&gt;=GV$14,GP7&lt;&gt;""),AND(GT7&gt;=GV$14,GT7&lt;&gt;""),AND(HL7&gt;=HR$14,HL7&lt;&gt;""),AND(HP7&gt;=HR$14,HP7&lt;&gt;""),AND(IH7&gt;=IN$14,IH7&lt;&gt;""),AND(IL7&gt;=IN$14,IL7&lt;&gt;""),AND(JD7&gt;=JJ$14,JD7&lt;&gt;""),AND(JH7&gt;=JJ$14,JH7&lt;&gt;""),AND(JZ7&gt;=KF$14,JZ7&lt;&gt;""),AND(KD7&gt;=KF$14,KD7&lt;&gt;""),AND(KV7&gt;=LB$14,KV7&lt;&gt;""),AND(KZ7&gt;=LB$14,KZ7&lt;&gt;""),AND(LR7&gt;=LX$14,LR7&lt;&gt;""),AND(LV7&gt;=LX$14,LV7&lt;&gt;""),AND(MN7&gt;=MT$14,MN7&lt;&gt;""),AND(MR7&gt;=MT$14,MR7&lt;&gt;"")),"Excellence",IF(OR(AND(AL7&gt;=AR$13,AL7&lt;&gt;"",AK7=""),AND(AP7&gt;=AR$13,AP7&lt;&gt;"",AK7=""),AND(BI7&gt;=BO$13,BI7&lt;&gt;"",BH7=""),AND(BM7&gt;=BO$13,BM7&lt;&gt;"",BH7=""),AND(CF7&gt;=CL$13,CF7&lt;&gt;"",CE7=""),AND(CJ7&gt;=CL$13,CJ7&lt;&gt;"",CE7=""),AND(DF7&gt;=DL$13,DF7&lt;&gt;""),AND(DJ7&gt;=DL$13,DJ7&lt;&gt;""),AND(EB7&gt;=EH$13,EB7&lt;&gt;""),AND(EF7&gt;=EH$13,EF7&lt;&gt;""),AND(EX7&gt;=FD$13,EX7&lt;&gt;""),AND(FB7&gt;=FD$13,FB7&lt;&gt;""),AND(FT7&gt;=FZ$13,FT7&lt;&gt;""),AND(FX7&gt;=FZ$13,FX7&lt;&gt;""),AND(GP7&gt;=GV$13,GP7&lt;&gt;""),AND(GT7&gt;=GV$13,GT7&lt;&gt;""),AND(HL7&gt;=HR$13,HL7&lt;&gt;""),AND(HP7&gt;=HR$13,HP7&lt;&gt;""),AND(IH7&gt;=IN$13,IH7&lt;&gt;""),AND(IL7&gt;=IN$13,IL7&lt;&gt;""),AND(JD7&gt;=JJ$13,JD7&lt;&gt;""),AND(JH7&gt;=JJ$13,JH7&lt;&gt;""),AND(JZ7&gt;=KF$13,JZ7&lt;&gt;""),AND(KD7&gt;=KF$13,KD7&lt;&gt;""),AND(KV7&gt;=LB$13,KV7&lt;&gt;""),AND(KZ7&gt;=LB$13,KZ7&lt;&gt;""),AND(LR7&gt;=LX$13,LR7&lt;&gt;""),AND(LV7&gt;=LX$13,LV7&lt;&gt;""),AND(MN7&gt;=MT$13,MN7&lt;&gt;""),AND(MR7&gt;=MT$13,MR7&lt;&gt;"")),"Worlds Team",IF(OR(AND(AL7&gt;=AR$12,AL7&lt;&gt;"",AK7=""),AND(AP7&gt;=AR$12,AP7&lt;&gt;"",AK7=""),AND(BI7&gt;=BO$12,BI7&lt;&gt;"",BH7=""),AND(BM7&gt;=BO$12,BM7&lt;&gt;"",BH7=""),AND(CF7&gt;=CL$12,CF7&lt;&gt;"",CE7=""),AND(CJ7&gt;=CL$12,CJ7&lt;&gt;"",CE7=""),AND(DF7&gt;=DL$12,DF7&lt;&gt;""),AND(DJ7&gt;=DL$12,DJ7&lt;&gt;""),AND(EB7&gt;=EH$12,EB7&lt;&gt;""),AND(EF7&gt;=EH$12,EF7&lt;&gt;""),AND(EX7&gt;=FD$12,EX7&lt;&gt;""),AND(FB7&gt;=FD$12,FB7&lt;&gt;""),AND(FT7&gt;=FZ$12,FT7&lt;&gt;""),AND(FX7&gt;=FZ$12,FX7&lt;&gt;""),AND(GP7&gt;=GV$12,GP7&lt;&gt;""),AND(GT7&gt;=GV$12,GT7&lt;&gt;""),AND(HL7&gt;=HR$12,HL7&lt;&gt;""),AND(HP7&gt;=HR$12,HP7&lt;&gt;""),AND(IH7&gt;=IN$12,IH7&lt;&gt;""),AND(IL7&gt;=IN$12,IL7&lt;&gt;""),AND(JD7&gt;=JJ$12,JD7&lt;&gt;""),AND(JH7&gt;=JJ$12,JH7&lt;&gt;""),AND(JZ7&gt;=KF$12,JZ7&lt;&gt;""),AND(KD7&gt;=KF$12,KD7&lt;&gt;""),AND(KV7&gt;=LB$12,KV7&lt;&gt;""),AND(KZ7&gt;=LB$12,KZ7&lt;&gt;""),AND(LR7&gt;=LX$12,LR7&lt;&gt;""),AND(LV7&gt;=LX$12,LV7&lt;&gt;""),AND(MN7&gt;=MT$12,MN7&lt;&gt;""),AND(MR7&gt;=MT$12,MR7&lt;&gt;"")),"National Team",""))))</f>
        <v/>
      </c>
      <c r="H7" s="125" t="str">
        <f>IF(OR(AND(AN7&gt;=AR$19,AN7&lt;&gt;"",AK7=""),AND(AQ7&gt;=AR$19,AQ7&lt;&gt;"",AK7=""),AND(BK7&gt;=BO$19,BK7&lt;&gt;"",BH7=""),AND(BN7&gt;=BO$19,BN7&lt;&gt;"",BH7=""),AND(CH7&gt;=CL$19,CH7&lt;&gt;"",CE7=""),AND(CK7&gt;=CL$19,CE7&lt;&gt;"",CE7=""),AND(DH7&gt;=DL$19,DH7&lt;&gt;""),AND(DK7&gt;=DL$19,DK7&lt;&gt;""),AND(ED7&gt;=EH$19,ED7&lt;&gt;""),AND(EG7&gt;=EH$19,EG7&lt;&gt;""),AND(EZ7&gt;=FD$19,EZ7&lt;&gt;""),AND(FC7&gt;=FD$19,FC7&lt;&gt;""),AND(FV7&gt;=FZ$19,FV7&lt;&gt;""),AND(FY7&gt;=FZ$19,FY7&lt;&gt;""),AND(GR7&gt;=GV$19,GR7&lt;&gt;""),AND(GU7&gt;=GV$19,GU7&lt;&gt;""),AND(HN7&gt;=HR$19,HN7&lt;&gt;""),AND(HQ7&gt;=HR$19,HQ7&lt;&gt;""),AND(IJ7&gt;=IN$19,IJ7&lt;&gt;""),AND(IM7&gt;=IN$19,IM7&lt;&gt;""),AND(JF7&gt;=JJ$19,JF7&lt;&gt;""),AND(JI7&gt;=JJ$19,JI7&lt;&gt;""),AND(KB7&gt;=KF$19,KB7&lt;&gt;""),AND(KE7&gt;=KF$19,KE7&lt;&gt;""),AND(KX7&gt;=LB$19,KX7&lt;&gt;""),AND(LA7&gt;=LB$19,LA7&lt;&gt;""),AND(LT7&gt;=LX$19,LT7&lt;&gt;""),AND(LW7&gt;=LX$19,LW7&lt;&gt;""),AND(MP7&gt;=MT$19,MP7&lt;&gt;""),AND(MS7&gt;=MT$19,MS7&lt;&gt;"")),"Merit",IF(OR(AND(AN7&gt;=AR$18,AN7&lt;&gt;"",AK7=""),AND(AQ7&gt;=AR$18,AQ7&lt;&gt;"",AK7=""),AND(BK7&gt;=BO$18,BK7&lt;&gt;"",BH7=""),AND(BN7&gt;=BO$18,BN7&lt;&gt;"",BH7=""),AND(CH7&gt;=CL$18,CH7&lt;&gt;"",CE7=""),AND(CK7&gt;=CL$18,CE7&lt;&gt;"",CE7=""),AND(DH7&gt;=DL$18,DH7&lt;&gt;""),AND(DK7&gt;=DL$18,DK7&lt;&gt;""),AND(ED7&gt;=EH$18,ED7&lt;&gt;""),AND(EG7&gt;=EH$18,EG7&lt;&gt;""),AND(EZ7&gt;=FD$18,EZ7&lt;&gt;""),AND(FC7&gt;=FD$18,FC7&lt;&gt;""),AND(FV7&gt;=FZ$18,FV7&lt;&gt;""),AND(FY7&gt;=FZ$18,FY7&lt;&gt;""),AND(GR7&gt;=GV$18,GR7&lt;&gt;""),AND(GU7&gt;=GV$18,GU7&lt;&gt;""),AND(HN7&gt;=HR$18,HN7&lt;&gt;""),AND(HQ7&gt;=HR$18,HQ7&lt;&gt;""),AND(IJ7&gt;=IN$18,IJ7&lt;&gt;""),AND(IM7&gt;=IN$18,IM7&lt;&gt;""),AND(JF7&gt;=JJ$18,JF7&lt;&gt;""),AND(JI7&gt;=JJ$18,JI7&lt;&gt;""),AND(KB7&gt;=KF$18,KB7&lt;&gt;""),AND(KE7&gt;=KF$18,KE7&lt;&gt;""),AND(KX7&gt;=LB$18,KX7&lt;&gt;""),AND(LA7&gt;=LB$18,LA7&lt;&gt;""),AND(LT7&gt;=LX$18,LT7&lt;&gt;""),AND(LW7&gt;=LX$18,LW7&lt;&gt;""),AND(MP7&gt;=MT$18,MP7&lt;&gt;""),AND(MS7&gt;=MT$18,MS7&lt;&gt;"")),"Excellence",IF(OR(AND(AO7&gt;=AR$17,AO7&lt;&gt;"",AK7=""),AND(BL7&gt;=BO$17,BL7&lt;&gt;"",BH7=""),AND(CI7&gt;=CL$17,CI7&lt;&gt;"",CE7=""),AND(DI7&gt;=DL$17,DI7&lt;&gt;""),AND(EE7&gt;=EH$17,EE7&lt;&gt;""),AND(FA7&gt;=FD$17,FA7&lt;&gt;""),AND(FW7&gt;=FZ$17,FW7&lt;&gt;""),AND(GS7&gt;=GV$17,GS7&lt;&gt;""),AND(HO7&gt;=HR$17,HO7&lt;&gt;""),AND(IK7&gt;=IN$17,IK7&lt;&gt;""),AND(JG7&gt;=JJ$17,JG7&lt;&gt;""),AND(KC7&gt;=KF$17,KC7&lt;&gt;""),AND(KY7&gt;=LB$17,KY7&lt;&gt;""),AND(LU7&gt;=LX$17,LU7&lt;&gt;""),AND(MQ7&gt;=MT$17,MQ7&lt;&gt;"")),"Worlds Team",IF(OR(AND(AO7&gt;=AR$16,AO7&lt;&gt;"",AK7=""),AND(BL7&gt;=BO$16,BL7&lt;&gt;"",BH7=""),AND(CI7&gt;=CL$16,CI7&lt;&gt;"",CE7=""),AND(DI7&gt;=DL$16,DI7&lt;&gt;""),AND(EE7&gt;=EH$16,EE7&lt;&gt;""),AND(FA7&gt;=FD$16,FA7&lt;&gt;""),AND(FW7&gt;=FZ$16,FW7&lt;&gt;""),AND(GS7&gt;=GV$16,GS7&lt;&gt;""),AND(HO7&gt;=HR$16,HO7&lt;&gt;""),AND(IK7&gt;=IN$16,IK7&lt;&gt;""),AND(JG7&gt;=JJ$16,JG7&lt;&gt;""),AND(KC7&gt;=KF$16,KC7&lt;&gt;""),AND(KY7&gt;=LB$16,KY7&lt;&gt;""),AND(LU7&gt;=LX$16,LU7&lt;&gt;""),AND(MQ7&gt;=MT$16,MQ7&lt;&gt;"")),"National Team",""))))</f>
        <v>Merit</v>
      </c>
      <c r="I7" s="126" t="str">
        <f t="shared" si="2"/>
        <v>No DD</v>
      </c>
      <c r="J7" s="3" t="str">
        <f>IF(AND(OR(AND(AO7&gt;=AR$17,AO7&lt;&gt;"",AK7=""),AND(BL7&gt;=BO$17,BL7&lt;&gt;"",BH7=""),AND(CI7&gt;=CL$17,CI7&lt;&gt;"",CE7=""),AND(DI7&gt;=DL$17,DI7&lt;&gt;""),AND(EE7&gt;=EH$17,EE7&lt;&gt;""),AND(FA7&gt;=FD$17,FA7&lt;&gt;""),AND(FW7&gt;=FZ$17,FW7&lt;&gt;""),AND(GS7&gt;=GV$17,GS7&lt;&gt;""),AND(HO7&gt;=HR$17,HO7&lt;&gt;""),AND(IK7&gt;=IN$17,IK7&lt;&gt;""),AND(JG7&gt;=JJ$17,JG7&lt;&gt;""),AND(KC7&gt;=KF$17,KC7&lt;&gt;""),AND(KY7&gt;=LB$17,KY7&lt;&gt;""),AND(LU7&gt;=LX$17,LU7&lt;&gt;""),AND(MQ7&gt;=MT$17,MQ7&lt;&gt;"")),OR(G7="Worlds Team",G7="Excellence",G7="Merit")),"P","")</f>
        <v/>
      </c>
      <c r="K7" s="14">
        <f t="shared" si="3"/>
        <v>86.169999999999987</v>
      </c>
      <c r="L7" s="14" t="str">
        <f t="shared" si="4"/>
        <v>2019 Nationals</v>
      </c>
      <c r="M7" s="14">
        <f t="shared" si="5"/>
        <v>0</v>
      </c>
      <c r="N7" s="14" t="str">
        <f t="shared" si="6"/>
        <v/>
      </c>
      <c r="O7" s="14">
        <f t="shared" si="7"/>
        <v>0</v>
      </c>
      <c r="P7" s="14" t="str">
        <f t="shared" si="8"/>
        <v/>
      </c>
      <c r="Q7" s="14">
        <f t="shared" si="9"/>
        <v>23.32</v>
      </c>
      <c r="R7" s="14" t="str">
        <f t="shared" si="10"/>
        <v>2019 Nationals</v>
      </c>
      <c r="S7" s="14" t="str">
        <f t="shared" si="11"/>
        <v/>
      </c>
      <c r="T7" s="25" t="str">
        <f t="shared" si="12"/>
        <v/>
      </c>
      <c r="U7" s="14" t="str">
        <f t="shared" si="13"/>
        <v/>
      </c>
      <c r="V7" s="39">
        <v>8.85</v>
      </c>
      <c r="W7" s="39">
        <v>9.4499999999999993</v>
      </c>
      <c r="X7" s="39">
        <v>3.3</v>
      </c>
      <c r="Y7" s="39">
        <v>18.66</v>
      </c>
      <c r="Z7" s="39">
        <v>0</v>
      </c>
      <c r="AA7" s="39">
        <v>8</v>
      </c>
      <c r="AB7" s="39">
        <v>9.15</v>
      </c>
      <c r="AC7" s="39">
        <v>10.5</v>
      </c>
      <c r="AD7" s="39">
        <v>18.260000000000002</v>
      </c>
      <c r="AE7" s="39">
        <v>0</v>
      </c>
      <c r="AF7" s="39">
        <v>4</v>
      </c>
      <c r="AG7" s="39">
        <v>4.8</v>
      </c>
      <c r="AH7" s="39">
        <v>5.7</v>
      </c>
      <c r="AI7" s="39">
        <v>8.82</v>
      </c>
      <c r="AJ7" s="39">
        <v>0</v>
      </c>
      <c r="AK7" s="80"/>
      <c r="AL7" s="11">
        <f t="shared" si="14"/>
        <v>10.5</v>
      </c>
      <c r="AM7" s="11">
        <f t="shared" si="15"/>
        <v>40.26</v>
      </c>
      <c r="AN7" s="11">
        <f t="shared" si="16"/>
        <v>45.91</v>
      </c>
      <c r="AO7" s="11">
        <f t="shared" si="17"/>
        <v>86.169999999999987</v>
      </c>
      <c r="AP7" s="11">
        <f t="shared" si="18"/>
        <v>5.7</v>
      </c>
      <c r="AQ7" s="11">
        <f t="shared" si="19"/>
        <v>23.32</v>
      </c>
      <c r="AR7" s="11">
        <f t="shared" si="20"/>
        <v>109.48999999999998</v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 t="shared" si="21"/>
        <v/>
      </c>
      <c r="BJ7" s="14" t="str">
        <f t="shared" si="22"/>
        <v/>
      </c>
      <c r="BK7" s="14" t="str">
        <f t="shared" si="23"/>
        <v/>
      </c>
      <c r="BL7" s="14" t="str">
        <f t="shared" si="24"/>
        <v/>
      </c>
      <c r="BM7" s="14" t="str">
        <f t="shared" si="25"/>
        <v/>
      </c>
      <c r="BN7" s="14" t="str">
        <f t="shared" si="26"/>
        <v/>
      </c>
      <c r="BO7" s="14" t="str">
        <f t="shared" si="27"/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 t="shared" si="28"/>
        <v/>
      </c>
      <c r="CG7" s="11" t="str">
        <f t="shared" si="29"/>
        <v/>
      </c>
      <c r="CH7" s="11" t="str">
        <f t="shared" si="30"/>
        <v/>
      </c>
      <c r="CI7" s="11" t="str">
        <f t="shared" si="31"/>
        <v/>
      </c>
      <c r="CJ7" s="11" t="str">
        <f t="shared" si="32"/>
        <v/>
      </c>
      <c r="CK7" s="11" t="str">
        <f t="shared" si="33"/>
        <v/>
      </c>
      <c r="CL7" s="11" t="str">
        <f t="shared" si="34"/>
        <v/>
      </c>
      <c r="CM7" s="24" t="str">
        <f t="shared" si="35"/>
        <v/>
      </c>
      <c r="CN7" s="24" t="str">
        <f t="shared" si="36"/>
        <v/>
      </c>
      <c r="CO7" s="24" t="str">
        <f t="shared" si="37"/>
        <v/>
      </c>
      <c r="CP7" s="24" t="str">
        <f t="shared" si="38"/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 t="shared" si="39"/>
        <v/>
      </c>
      <c r="DG7" s="11" t="str">
        <f t="shared" si="40"/>
        <v/>
      </c>
      <c r="DH7" s="11" t="str">
        <f t="shared" si="41"/>
        <v/>
      </c>
      <c r="DI7" s="11" t="str">
        <f t="shared" si="42"/>
        <v/>
      </c>
      <c r="DJ7" s="11" t="str">
        <f t="shared" si="43"/>
        <v/>
      </c>
      <c r="DK7" s="11" t="str">
        <f t="shared" si="44"/>
        <v/>
      </c>
      <c r="DL7" s="11" t="str">
        <f t="shared" si="45"/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 t="shared" si="46"/>
        <v/>
      </c>
      <c r="EC7" s="14" t="str">
        <f t="shared" si="47"/>
        <v/>
      </c>
      <c r="ED7" s="14" t="str">
        <f t="shared" si="48"/>
        <v/>
      </c>
      <c r="EE7" s="14" t="str">
        <f t="shared" si="49"/>
        <v/>
      </c>
      <c r="EF7" s="14" t="str">
        <f t="shared" si="50"/>
        <v/>
      </c>
      <c r="EG7" s="14" t="str">
        <f t="shared" si="51"/>
        <v/>
      </c>
      <c r="EH7" s="14" t="str">
        <f t="shared" si="52"/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 t="shared" si="53"/>
        <v/>
      </c>
      <c r="EY7" s="11" t="str">
        <f t="shared" si="54"/>
        <v/>
      </c>
      <c r="EZ7" s="11" t="str">
        <f t="shared" si="55"/>
        <v/>
      </c>
      <c r="FA7" s="11" t="str">
        <f t="shared" si="56"/>
        <v/>
      </c>
      <c r="FB7" s="11" t="str">
        <f t="shared" si="57"/>
        <v/>
      </c>
      <c r="FC7" s="11" t="str">
        <f t="shared" si="58"/>
        <v/>
      </c>
      <c r="FD7" s="11" t="str">
        <f t="shared" si="59"/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 t="shared" si="60"/>
        <v/>
      </c>
      <c r="FU7" s="14" t="str">
        <f t="shared" si="61"/>
        <v/>
      </c>
      <c r="FV7" s="14" t="str">
        <f t="shared" si="62"/>
        <v/>
      </c>
      <c r="FW7" s="14" t="str">
        <f t="shared" si="63"/>
        <v/>
      </c>
      <c r="FX7" s="14" t="str">
        <f t="shared" si="64"/>
        <v/>
      </c>
      <c r="FY7" s="14" t="str">
        <f t="shared" si="65"/>
        <v/>
      </c>
      <c r="FZ7" s="14" t="str">
        <f t="shared" si="66"/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 t="shared" si="67"/>
        <v/>
      </c>
      <c r="GQ7" s="11" t="str">
        <f t="shared" si="68"/>
        <v/>
      </c>
      <c r="GR7" s="11" t="str">
        <f t="shared" si="69"/>
        <v/>
      </c>
      <c r="GS7" s="11" t="str">
        <f t="shared" si="70"/>
        <v/>
      </c>
      <c r="GT7" s="11" t="str">
        <f t="shared" si="71"/>
        <v/>
      </c>
      <c r="GU7" s="11" t="str">
        <f t="shared" si="72"/>
        <v/>
      </c>
      <c r="GV7" s="11" t="str">
        <f t="shared" si="73"/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 t="shared" si="74"/>
        <v/>
      </c>
      <c r="HM7" s="14" t="str">
        <f t="shared" si="75"/>
        <v/>
      </c>
      <c r="HN7" s="14" t="str">
        <f t="shared" si="76"/>
        <v/>
      </c>
      <c r="HO7" s="14" t="str">
        <f t="shared" si="77"/>
        <v/>
      </c>
      <c r="HP7" s="14" t="str">
        <f t="shared" si="78"/>
        <v/>
      </c>
      <c r="HQ7" s="14" t="str">
        <f t="shared" si="79"/>
        <v/>
      </c>
      <c r="HR7" s="14" t="str">
        <f t="shared" si="80"/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 t="shared" si="81"/>
        <v/>
      </c>
      <c r="II7" s="11" t="str">
        <f t="shared" si="82"/>
        <v/>
      </c>
      <c r="IJ7" s="11" t="str">
        <f t="shared" si="83"/>
        <v/>
      </c>
      <c r="IK7" s="11" t="str">
        <f t="shared" si="84"/>
        <v/>
      </c>
      <c r="IL7" s="11" t="str">
        <f t="shared" si="85"/>
        <v/>
      </c>
      <c r="IM7" s="11" t="str">
        <f t="shared" si="86"/>
        <v/>
      </c>
      <c r="IN7" s="11" t="str">
        <f t="shared" si="87"/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 t="shared" si="88"/>
        <v/>
      </c>
      <c r="JE7" s="14" t="str">
        <f t="shared" si="89"/>
        <v/>
      </c>
      <c r="JF7" s="14" t="str">
        <f t="shared" si="90"/>
        <v/>
      </c>
      <c r="JG7" s="14" t="str">
        <f t="shared" si="91"/>
        <v/>
      </c>
      <c r="JH7" s="14" t="str">
        <f t="shared" si="92"/>
        <v/>
      </c>
      <c r="JI7" s="14" t="str">
        <f t="shared" si="93"/>
        <v/>
      </c>
      <c r="JJ7" s="14" t="str">
        <f t="shared" si="94"/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 t="shared" si="95"/>
        <v/>
      </c>
      <c r="KA7" s="11" t="str">
        <f t="shared" si="96"/>
        <v/>
      </c>
      <c r="KB7" s="11" t="str">
        <f t="shared" si="97"/>
        <v/>
      </c>
      <c r="KC7" s="11" t="str">
        <f t="shared" si="98"/>
        <v/>
      </c>
      <c r="KD7" s="11" t="str">
        <f t="shared" si="99"/>
        <v/>
      </c>
      <c r="KE7" s="11" t="str">
        <f t="shared" si="100"/>
        <v/>
      </c>
      <c r="KF7" s="11" t="str">
        <f t="shared" si="101"/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 t="shared" si="102"/>
        <v/>
      </c>
      <c r="KW7" s="14" t="str">
        <f t="shared" si="103"/>
        <v/>
      </c>
      <c r="KX7" s="14" t="str">
        <f t="shared" si="104"/>
        <v/>
      </c>
      <c r="KY7" s="14" t="str">
        <f t="shared" si="105"/>
        <v/>
      </c>
      <c r="KZ7" s="14" t="str">
        <f t="shared" si="106"/>
        <v/>
      </c>
      <c r="LA7" s="14" t="str">
        <f t="shared" si="107"/>
        <v/>
      </c>
      <c r="LB7" s="14" t="str">
        <f t="shared" si="108"/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 t="shared" si="109"/>
        <v/>
      </c>
      <c r="LS7" s="11" t="str">
        <f t="shared" si="110"/>
        <v/>
      </c>
      <c r="LT7" s="11" t="str">
        <f t="shared" si="111"/>
        <v/>
      </c>
      <c r="LU7" s="11" t="str">
        <f t="shared" si="112"/>
        <v/>
      </c>
      <c r="LV7" s="11" t="str">
        <f t="shared" si="113"/>
        <v/>
      </c>
      <c r="LW7" s="11" t="str">
        <f t="shared" si="114"/>
        <v/>
      </c>
      <c r="LX7" s="11" t="str">
        <f t="shared" si="115"/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 t="shared" si="116"/>
        <v/>
      </c>
      <c r="MO7" s="14" t="str">
        <f t="shared" si="117"/>
        <v/>
      </c>
      <c r="MP7" s="14" t="str">
        <f t="shared" si="118"/>
        <v/>
      </c>
      <c r="MQ7" s="14" t="str">
        <f t="shared" si="119"/>
        <v/>
      </c>
      <c r="MR7" s="14" t="str">
        <f t="shared" si="120"/>
        <v/>
      </c>
      <c r="MS7" s="14" t="str">
        <f t="shared" si="121"/>
        <v/>
      </c>
      <c r="MT7" s="14" t="str">
        <f t="shared" si="122"/>
        <v/>
      </c>
      <c r="MU7" s="69">
        <f t="shared" si="123"/>
        <v>0</v>
      </c>
      <c r="MV7" s="69">
        <f t="shared" si="124"/>
        <v>0</v>
      </c>
      <c r="MW7" s="69">
        <f t="shared" si="125"/>
        <v>0</v>
      </c>
      <c r="MX7" s="69">
        <f t="shared" si="126"/>
        <v>0</v>
      </c>
      <c r="MY7" s="69">
        <f t="shared" si="127"/>
        <v>0</v>
      </c>
      <c r="MZ7" s="69">
        <f t="shared" si="128"/>
        <v>0</v>
      </c>
      <c r="NA7" s="69">
        <f t="shared" si="129"/>
        <v>0</v>
      </c>
      <c r="NB7" s="69">
        <f t="shared" si="130"/>
        <v>0</v>
      </c>
      <c r="NC7" s="69">
        <f t="shared" si="131"/>
        <v>0</v>
      </c>
      <c r="ND7" s="69">
        <f t="shared" si="132"/>
        <v>0</v>
      </c>
      <c r="NE7" s="69">
        <f t="shared" si="133"/>
        <v>0</v>
      </c>
      <c r="NF7" s="69">
        <f t="shared" si="134"/>
        <v>0</v>
      </c>
      <c r="NG7" s="69">
        <f t="shared" si="135"/>
        <v>0</v>
      </c>
      <c r="NH7" s="69">
        <f t="shared" si="136"/>
        <v>0</v>
      </c>
      <c r="NI7" s="69">
        <f t="shared" si="137"/>
        <v>0</v>
      </c>
      <c r="NJ7" s="80" t="s">
        <v>88</v>
      </c>
      <c r="NK7" s="11" t="str">
        <f t="shared" si="138"/>
        <v/>
      </c>
      <c r="NL7" s="11" t="str">
        <f t="shared" si="139"/>
        <v/>
      </c>
      <c r="NM7" s="11" t="str">
        <f t="shared" si="140"/>
        <v/>
      </c>
      <c r="NN7" s="11" t="str">
        <f t="shared" si="141"/>
        <v/>
      </c>
      <c r="NO7" s="11" t="str">
        <f t="shared" si="142"/>
        <v/>
      </c>
      <c r="NP7" s="11" t="str">
        <f t="shared" si="143"/>
        <v/>
      </c>
      <c r="NQ7" s="11" t="str">
        <f t="shared" si="144"/>
        <v/>
      </c>
    </row>
    <row r="8" spans="1:381" x14ac:dyDescent="0.2">
      <c r="A8" s="5" t="str" cm="1">
        <f t="array" ref="A8">IF(AND(G8&lt;&gt;"",H8&lt;&gt;""),SUMPRODUCT((G$4:G$10&lt;&gt;"")*(H$4:H$10&lt;&gt;"")*(E$4:E$10&gt;E8))+1,IF(H8&lt;&gt;"",SUMPRODUCT((I$4:I$10="No DD")*(E$4:E$10&gt;E8))+1+SUMPRODUCT((G$4:G$10&lt;&gt;"")*(H$4:H$10&lt;&gt;"")),""))</f>
        <v/>
      </c>
      <c r="B8" s="127" t="s">
        <v>140</v>
      </c>
      <c r="C8" s="5" t="s">
        <v>102</v>
      </c>
      <c r="D8" s="5" t="s">
        <v>139</v>
      </c>
      <c r="E8" s="15">
        <f t="shared" si="0"/>
        <v>98.980000000000018</v>
      </c>
      <c r="F8" s="3" t="str">
        <f t="shared" si="1"/>
        <v/>
      </c>
      <c r="G8" s="125" t="str">
        <f>IF(OR(AND(AL8&gt;=AR$15,AL8&lt;&gt;"",AK8=""),AND(AP8&gt;=AR$15,AP8&lt;&gt;"",AK8=""),AND(BI8&gt;=BO$15,BI8&lt;&gt;"",BH8=""),AND(BM8&gt;=BO$15,BM8&lt;&gt;"",BH8=""),AND(CF8&gt;=CL$15,CF8&lt;&gt;"",CE8=""),AND(CJ8&gt;=CL$15,CJ8&lt;&gt;"",CE8=""),AND(DF8&gt;=DL$15,DF8&lt;&gt;""),AND(DJ8&gt;=DL$15,DJ8&lt;&gt;""),AND(EB8&gt;=EH$15,EB8&lt;&gt;""),AND(EF8&gt;=EH$15,EF8&lt;&gt;""),AND(EX8&gt;=FD$15,EX8&lt;&gt;""),AND(FB8&gt;=FD$15,FB8&lt;&gt;""),AND(FT8&gt;=FZ$15,FT8&lt;&gt;""),AND(FX8&gt;=FZ$15,FX8&lt;&gt;""),AND(GP8&gt;=GV$15,GP8&lt;&gt;""),AND(GT8&gt;=GV$15,GT8&lt;&gt;""),AND(HL8&gt;=HR$15,HL8&lt;&gt;""),AND(HP8&gt;=HR$15,HP8&lt;&gt;""),AND(IH8&gt;=IN$15,IH8&lt;&gt;""),AND(IL8&gt;=IN$15,IL8&lt;&gt;""),AND(JD8&gt;=JJ$15,JD8&lt;&gt;""),AND(JH8&gt;=JJ$15,JH8&lt;&gt;""),AND(JZ8&gt;=KF$15,JZ8&lt;&gt;""),AND(KD8&gt;=KF$15,KD8&lt;&gt;""),AND(KV8&gt;=LB$15,KV8&lt;&gt;""),AND(KZ8&gt;=LB$15,KZ8&lt;&gt;""),AND(LR8&gt;=LX$15,LR8&lt;&gt;""),AND(LV8&gt;=LX$15,LV8&lt;&gt;""),AND(MN8&gt;=MT$15,MN8&lt;&gt;""),AND(MR8&gt;=MT$15,MR8&lt;&gt;"")),"Merit",IF(OR(AND(AL8&gt;=AR$14,AL8&lt;&gt;"",AK8=""),AND(AP8&gt;=AR$14,AP8&lt;&gt;"",AK8=""),AND(BI8&gt;=BO$14,BI8&lt;&gt;"",BH8=""),AND(BM8&gt;=BO$14,BM8&lt;&gt;"",BH8=""),AND(CF8&gt;=CL$14,CF8&lt;&gt;"",CE8=""),AND(CJ8&gt;=CL$14,CJ8&lt;&gt;"",CE8=""),AND(DF8&gt;=DL$14,DF8&lt;&gt;""),AND(DJ8&gt;=DL$14,DJ8&lt;&gt;""),AND(EB8&gt;=EH$14,EB8&lt;&gt;""),AND(EF8&gt;=EH$14,EF8&lt;&gt;""),AND(EX8&gt;=FD$14,EX8&lt;&gt;""),AND(FB8&gt;=FD$14,FB8&lt;&gt;""),AND(FT8&gt;=FZ$14,FT8&lt;&gt;""),AND(FX8&gt;=FZ$14,FX8&lt;&gt;""),AND(GP8&gt;=GV$14,GP8&lt;&gt;""),AND(GT8&gt;=GV$14,GT8&lt;&gt;""),AND(HL8&gt;=HR$14,HL8&lt;&gt;""),AND(HP8&gt;=HR$14,HP8&lt;&gt;""),AND(IH8&gt;=IN$14,IH8&lt;&gt;""),AND(IL8&gt;=IN$14,IL8&lt;&gt;""),AND(JD8&gt;=JJ$14,JD8&lt;&gt;""),AND(JH8&gt;=JJ$14,JH8&lt;&gt;""),AND(JZ8&gt;=KF$14,JZ8&lt;&gt;""),AND(KD8&gt;=KF$14,KD8&lt;&gt;""),AND(KV8&gt;=LB$14,KV8&lt;&gt;""),AND(KZ8&gt;=LB$14,KZ8&lt;&gt;""),AND(LR8&gt;=LX$14,LR8&lt;&gt;""),AND(LV8&gt;=LX$14,LV8&lt;&gt;""),AND(MN8&gt;=MT$14,MN8&lt;&gt;""),AND(MR8&gt;=MT$14,MR8&lt;&gt;"")),"Excellence",IF(OR(AND(AL8&gt;=AR$13,AL8&lt;&gt;"",AK8=""),AND(AP8&gt;=AR$13,AP8&lt;&gt;"",AK8=""),AND(BI8&gt;=BO$13,BI8&lt;&gt;"",BH8=""),AND(BM8&gt;=BO$13,BM8&lt;&gt;"",BH8=""),AND(CF8&gt;=CL$13,CF8&lt;&gt;"",CE8=""),AND(CJ8&gt;=CL$13,CJ8&lt;&gt;"",CE8=""),AND(DF8&gt;=DL$13,DF8&lt;&gt;""),AND(DJ8&gt;=DL$13,DJ8&lt;&gt;""),AND(EB8&gt;=EH$13,EB8&lt;&gt;""),AND(EF8&gt;=EH$13,EF8&lt;&gt;""),AND(EX8&gt;=FD$13,EX8&lt;&gt;""),AND(FB8&gt;=FD$13,FB8&lt;&gt;""),AND(FT8&gt;=FZ$13,FT8&lt;&gt;""),AND(FX8&gt;=FZ$13,FX8&lt;&gt;""),AND(GP8&gt;=GV$13,GP8&lt;&gt;""),AND(GT8&gt;=GV$13,GT8&lt;&gt;""),AND(HL8&gt;=HR$13,HL8&lt;&gt;""),AND(HP8&gt;=HR$13,HP8&lt;&gt;""),AND(IH8&gt;=IN$13,IH8&lt;&gt;""),AND(IL8&gt;=IN$13,IL8&lt;&gt;""),AND(JD8&gt;=JJ$13,JD8&lt;&gt;""),AND(JH8&gt;=JJ$13,JH8&lt;&gt;""),AND(JZ8&gt;=KF$13,JZ8&lt;&gt;""),AND(KD8&gt;=KF$13,KD8&lt;&gt;""),AND(KV8&gt;=LB$13,KV8&lt;&gt;""),AND(KZ8&gt;=LB$13,KZ8&lt;&gt;""),AND(LR8&gt;=LX$13,LR8&lt;&gt;""),AND(LV8&gt;=LX$13,LV8&lt;&gt;""),AND(MN8&gt;=MT$13,MN8&lt;&gt;""),AND(MR8&gt;=MT$13,MR8&lt;&gt;"")),"Worlds Team",IF(OR(AND(AL8&gt;=AR$12,AL8&lt;&gt;"",AK8=""),AND(AP8&gt;=AR$12,AP8&lt;&gt;"",AK8=""),AND(BI8&gt;=BO$12,BI8&lt;&gt;"",BH8=""),AND(BM8&gt;=BO$12,BM8&lt;&gt;"",BH8=""),AND(CF8&gt;=CL$12,CF8&lt;&gt;"",CE8=""),AND(CJ8&gt;=CL$12,CJ8&lt;&gt;"",CE8=""),AND(DF8&gt;=DL$12,DF8&lt;&gt;""),AND(DJ8&gt;=DL$12,DJ8&lt;&gt;""),AND(EB8&gt;=EH$12,EB8&lt;&gt;""),AND(EF8&gt;=EH$12,EF8&lt;&gt;""),AND(EX8&gt;=FD$12,EX8&lt;&gt;""),AND(FB8&gt;=FD$12,FB8&lt;&gt;""),AND(FT8&gt;=FZ$12,FT8&lt;&gt;""),AND(FX8&gt;=FZ$12,FX8&lt;&gt;""),AND(GP8&gt;=GV$12,GP8&lt;&gt;""),AND(GT8&gt;=GV$12,GT8&lt;&gt;""),AND(HL8&gt;=HR$12,HL8&lt;&gt;""),AND(HP8&gt;=HR$12,HP8&lt;&gt;""),AND(IH8&gt;=IN$12,IH8&lt;&gt;""),AND(IL8&gt;=IN$12,IL8&lt;&gt;""),AND(JD8&gt;=JJ$12,JD8&lt;&gt;""),AND(JH8&gt;=JJ$12,JH8&lt;&gt;""),AND(JZ8&gt;=KF$12,JZ8&lt;&gt;""),AND(KD8&gt;=KF$12,KD8&lt;&gt;""),AND(KV8&gt;=LB$12,KV8&lt;&gt;""),AND(KZ8&gt;=LB$12,KZ8&lt;&gt;""),AND(LR8&gt;=LX$12,LR8&lt;&gt;""),AND(LV8&gt;=LX$12,LV8&lt;&gt;""),AND(MN8&gt;=MT$12,MN8&lt;&gt;""),AND(MR8&gt;=MT$12,MR8&lt;&gt;"")),"National Team",""))))</f>
        <v/>
      </c>
      <c r="H8" s="125" t="str">
        <f>IF(OR(AND(AN8&gt;=AR$19,AN8&lt;&gt;"",AK8=""),AND(AQ8&gt;=AR$19,AQ8&lt;&gt;"",AK8=""),AND(BK8&gt;=BO$19,BK8&lt;&gt;"",BH8=""),AND(BN8&gt;=BO$19,BN8&lt;&gt;"",BH8=""),AND(CH8&gt;=CL$19,CH8&lt;&gt;"",CE8=""),AND(CK8&gt;=CL$19,CE8&lt;&gt;"",CE8=""),AND(DH8&gt;=DL$19,DH8&lt;&gt;""),AND(DK8&gt;=DL$19,DK8&lt;&gt;""),AND(ED8&gt;=EH$19,ED8&lt;&gt;""),AND(EG8&gt;=EH$19,EG8&lt;&gt;""),AND(EZ8&gt;=FD$19,EZ8&lt;&gt;""),AND(FC8&gt;=FD$19,FC8&lt;&gt;""),AND(FV8&gt;=FZ$19,FV8&lt;&gt;""),AND(FY8&gt;=FZ$19,FY8&lt;&gt;""),AND(GR8&gt;=GV$19,GR8&lt;&gt;""),AND(GU8&gt;=GV$19,GU8&lt;&gt;""),AND(HN8&gt;=HR$19,HN8&lt;&gt;""),AND(HQ8&gt;=HR$19,HQ8&lt;&gt;""),AND(IJ8&gt;=IN$19,IJ8&lt;&gt;""),AND(IM8&gt;=IN$19,IM8&lt;&gt;""),AND(JF8&gt;=JJ$19,JF8&lt;&gt;""),AND(JI8&gt;=JJ$19,JI8&lt;&gt;""),AND(KB8&gt;=KF$19,KB8&lt;&gt;""),AND(KE8&gt;=KF$19,KE8&lt;&gt;""),AND(KX8&gt;=LB$19,KX8&lt;&gt;""),AND(LA8&gt;=LB$19,LA8&lt;&gt;""),AND(LT8&gt;=LX$19,LT8&lt;&gt;""),AND(LW8&gt;=LX$19,LW8&lt;&gt;""),AND(MP8&gt;=MT$19,MP8&lt;&gt;""),AND(MS8&gt;=MT$19,MS8&lt;&gt;"")),"Merit",IF(OR(AND(AN8&gt;=AR$18,AN8&lt;&gt;"",AK8=""),AND(AQ8&gt;=AR$18,AQ8&lt;&gt;"",AK8=""),AND(BK8&gt;=BO$18,BK8&lt;&gt;"",BH8=""),AND(BN8&gt;=BO$18,BN8&lt;&gt;"",BH8=""),AND(CH8&gt;=CL$18,CH8&lt;&gt;"",CE8=""),AND(CK8&gt;=CL$18,CE8&lt;&gt;"",CE8=""),AND(DH8&gt;=DL$18,DH8&lt;&gt;""),AND(DK8&gt;=DL$18,DK8&lt;&gt;""),AND(ED8&gt;=EH$18,ED8&lt;&gt;""),AND(EG8&gt;=EH$18,EG8&lt;&gt;""),AND(EZ8&gt;=FD$18,EZ8&lt;&gt;""),AND(FC8&gt;=FD$18,FC8&lt;&gt;""),AND(FV8&gt;=FZ$18,FV8&lt;&gt;""),AND(FY8&gt;=FZ$18,FY8&lt;&gt;""),AND(GR8&gt;=GV$18,GR8&lt;&gt;""),AND(GU8&gt;=GV$18,GU8&lt;&gt;""),AND(HN8&gt;=HR$18,HN8&lt;&gt;""),AND(HQ8&gt;=HR$18,HQ8&lt;&gt;""),AND(IJ8&gt;=IN$18,IJ8&lt;&gt;""),AND(IM8&gt;=IN$18,IM8&lt;&gt;""),AND(JF8&gt;=JJ$18,JF8&lt;&gt;""),AND(JI8&gt;=JJ$18,JI8&lt;&gt;""),AND(KB8&gt;=KF$18,KB8&lt;&gt;""),AND(KE8&gt;=KF$18,KE8&lt;&gt;""),AND(KX8&gt;=LB$18,KX8&lt;&gt;""),AND(LA8&gt;=LB$18,LA8&lt;&gt;""),AND(LT8&gt;=LX$18,LT8&lt;&gt;""),AND(LW8&gt;=LX$18,LW8&lt;&gt;""),AND(MP8&gt;=MT$18,MP8&lt;&gt;""),AND(MS8&gt;=MT$18,MS8&lt;&gt;"")),"Excellence",IF(OR(AND(AO8&gt;=AR$17,AO8&lt;&gt;"",AK8=""),AND(BL8&gt;=BO$17,BL8&lt;&gt;"",BH8=""),AND(CI8&gt;=CL$17,CI8&lt;&gt;"",CE8=""),AND(DI8&gt;=DL$17,DI8&lt;&gt;""),AND(EE8&gt;=EH$17,EE8&lt;&gt;""),AND(FA8&gt;=FD$17,FA8&lt;&gt;""),AND(FW8&gt;=FZ$17,FW8&lt;&gt;""),AND(GS8&gt;=GV$17,GS8&lt;&gt;""),AND(HO8&gt;=HR$17,HO8&lt;&gt;""),AND(IK8&gt;=IN$17,IK8&lt;&gt;""),AND(JG8&gt;=JJ$17,JG8&lt;&gt;""),AND(KC8&gt;=KF$17,KC8&lt;&gt;""),AND(KY8&gt;=LB$17,KY8&lt;&gt;""),AND(LU8&gt;=LX$17,LU8&lt;&gt;""),AND(MQ8&gt;=MT$17,MQ8&lt;&gt;"")),"Worlds Team",IF(OR(AND(AO8&gt;=AR$16,AO8&lt;&gt;"",AK8=""),AND(BL8&gt;=BO$16,BL8&lt;&gt;"",BH8=""),AND(CI8&gt;=CL$16,CI8&lt;&gt;"",CE8=""),AND(DI8&gt;=DL$16,DI8&lt;&gt;""),AND(EE8&gt;=EH$16,EE8&lt;&gt;""),AND(FA8&gt;=FD$16,FA8&lt;&gt;""),AND(FW8&gt;=FZ$16,FW8&lt;&gt;""),AND(GS8&gt;=GV$16,GS8&lt;&gt;""),AND(HO8&gt;=HR$16,HO8&lt;&gt;""),AND(IK8&gt;=IN$16,IK8&lt;&gt;""),AND(JG8&gt;=JJ$16,JG8&lt;&gt;""),AND(KC8&gt;=KF$16,KC8&lt;&gt;""),AND(KY8&gt;=LB$16,KY8&lt;&gt;""),AND(LU8&gt;=LX$16,LU8&lt;&gt;""),AND(MQ8&gt;=MT$16,MQ8&lt;&gt;"")),"National Team",""))))</f>
        <v/>
      </c>
      <c r="I8" s="126" t="str">
        <f t="shared" si="2"/>
        <v/>
      </c>
      <c r="J8" s="3" t="str">
        <f>IF(AND(OR(AND(AO8&gt;=AR$17,AO8&lt;&gt;"",AK8=""),AND(BL8&gt;=BO$17,BL8&lt;&gt;"",BH8=""),AND(CI8&gt;=CL$17,CI8&lt;&gt;"",CE8=""),AND(DI8&gt;=DL$17,DI8&lt;&gt;""),AND(EE8&gt;=EH$17,EE8&lt;&gt;""),AND(FA8&gt;=FD$17,FA8&lt;&gt;""),AND(FW8&gt;=FZ$17,FW8&lt;&gt;""),AND(GS8&gt;=GV$17,GS8&lt;&gt;""),AND(HO8&gt;=HR$17,HO8&lt;&gt;""),AND(IK8&gt;=IN$17,IK8&lt;&gt;""),AND(JG8&gt;=JJ$17,JG8&lt;&gt;""),AND(KC8&gt;=KF$17,KC8&lt;&gt;""),AND(KY8&gt;=LB$17,KY8&lt;&gt;""),AND(LU8&gt;=LX$17,LU8&lt;&gt;""),AND(MQ8&gt;=MT$17,MQ8&lt;&gt;"")),OR(G8="Worlds Team",G8="Excellence",G8="Merit")),"P","")</f>
        <v/>
      </c>
      <c r="K8" s="14">
        <f t="shared" si="3"/>
        <v>53.95</v>
      </c>
      <c r="L8" s="14" t="str">
        <f t="shared" si="4"/>
        <v>2019 Nationals</v>
      </c>
      <c r="M8" s="14">
        <f t="shared" si="5"/>
        <v>0</v>
      </c>
      <c r="N8" s="14" t="str">
        <f t="shared" si="6"/>
        <v/>
      </c>
      <c r="O8" s="14">
        <f t="shared" si="7"/>
        <v>0</v>
      </c>
      <c r="P8" s="14" t="str">
        <f t="shared" si="8"/>
        <v/>
      </c>
      <c r="Q8" s="14">
        <f t="shared" si="9"/>
        <v>45.030000000000008</v>
      </c>
      <c r="R8" s="14" t="str">
        <f t="shared" si="10"/>
        <v>2019 Nationals</v>
      </c>
      <c r="S8" s="14" t="str">
        <f t="shared" si="11"/>
        <v/>
      </c>
      <c r="T8" s="25" t="str">
        <f t="shared" si="12"/>
        <v/>
      </c>
      <c r="U8" s="14" t="str">
        <f t="shared" si="13"/>
        <v/>
      </c>
      <c r="V8" s="39">
        <v>9.35</v>
      </c>
      <c r="W8" s="39">
        <v>9.5500000000000007</v>
      </c>
      <c r="X8" s="39">
        <v>3.2</v>
      </c>
      <c r="Y8" s="39">
        <v>18.600000000000001</v>
      </c>
      <c r="Z8" s="39">
        <v>0</v>
      </c>
      <c r="AA8" s="39">
        <v>2.2999999999999998</v>
      </c>
      <c r="AB8" s="39">
        <v>2.65</v>
      </c>
      <c r="AC8" s="39">
        <v>3.4</v>
      </c>
      <c r="AD8" s="39">
        <v>4.9000000000000004</v>
      </c>
      <c r="AE8" s="39">
        <v>0</v>
      </c>
      <c r="AF8" s="39">
        <v>8.0500000000000007</v>
      </c>
      <c r="AG8" s="39">
        <v>9.4</v>
      </c>
      <c r="AH8" s="39">
        <v>10.5</v>
      </c>
      <c r="AI8" s="39">
        <v>17.48</v>
      </c>
      <c r="AJ8" s="39">
        <v>0.4</v>
      </c>
      <c r="AK8" s="80"/>
      <c r="AL8" s="11">
        <f t="shared" si="14"/>
        <v>3.4</v>
      </c>
      <c r="AM8" s="11">
        <f t="shared" si="15"/>
        <v>40.700000000000003</v>
      </c>
      <c r="AN8" s="11">
        <f t="shared" si="16"/>
        <v>13.25</v>
      </c>
      <c r="AO8" s="11">
        <f t="shared" si="17"/>
        <v>53.95</v>
      </c>
      <c r="AP8" s="11">
        <f t="shared" si="18"/>
        <v>10.5</v>
      </c>
      <c r="AQ8" s="11">
        <f t="shared" si="19"/>
        <v>45.030000000000008</v>
      </c>
      <c r="AR8" s="11">
        <f t="shared" si="20"/>
        <v>98.980000000000018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81"/>
      <c r="BI8" s="14" t="str">
        <f t="shared" si="21"/>
        <v/>
      </c>
      <c r="BJ8" s="14" t="str">
        <f t="shared" si="22"/>
        <v/>
      </c>
      <c r="BK8" s="14" t="str">
        <f t="shared" si="23"/>
        <v/>
      </c>
      <c r="BL8" s="14" t="str">
        <f t="shared" si="24"/>
        <v/>
      </c>
      <c r="BM8" s="14" t="str">
        <f t="shared" si="25"/>
        <v/>
      </c>
      <c r="BN8" s="14" t="str">
        <f t="shared" si="26"/>
        <v/>
      </c>
      <c r="BO8" s="14" t="str">
        <f t="shared" si="27"/>
        <v/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 t="shared" si="28"/>
        <v/>
      </c>
      <c r="CG8" s="11" t="str">
        <f t="shared" si="29"/>
        <v/>
      </c>
      <c r="CH8" s="11" t="str">
        <f t="shared" si="30"/>
        <v/>
      </c>
      <c r="CI8" s="11" t="str">
        <f t="shared" si="31"/>
        <v/>
      </c>
      <c r="CJ8" s="11" t="str">
        <f t="shared" si="32"/>
        <v/>
      </c>
      <c r="CK8" s="11" t="str">
        <f t="shared" si="33"/>
        <v/>
      </c>
      <c r="CL8" s="11" t="str">
        <f t="shared" si="34"/>
        <v/>
      </c>
      <c r="CM8" s="24" t="str">
        <f t="shared" si="35"/>
        <v/>
      </c>
      <c r="CN8" s="24" t="str">
        <f t="shared" si="36"/>
        <v/>
      </c>
      <c r="CO8" s="24" t="str">
        <f t="shared" si="37"/>
        <v/>
      </c>
      <c r="CP8" s="24" t="str">
        <f t="shared" si="38"/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 t="shared" si="39"/>
        <v/>
      </c>
      <c r="DG8" s="11" t="str">
        <f t="shared" si="40"/>
        <v/>
      </c>
      <c r="DH8" s="11" t="str">
        <f t="shared" si="41"/>
        <v/>
      </c>
      <c r="DI8" s="11" t="str">
        <f t="shared" si="42"/>
        <v/>
      </c>
      <c r="DJ8" s="11" t="str">
        <f t="shared" si="43"/>
        <v/>
      </c>
      <c r="DK8" s="11" t="str">
        <f t="shared" si="44"/>
        <v/>
      </c>
      <c r="DL8" s="11" t="str">
        <f t="shared" si="45"/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 t="shared" si="46"/>
        <v/>
      </c>
      <c r="EC8" s="14" t="str">
        <f t="shared" si="47"/>
        <v/>
      </c>
      <c r="ED8" s="14" t="str">
        <f t="shared" si="48"/>
        <v/>
      </c>
      <c r="EE8" s="14" t="str">
        <f t="shared" si="49"/>
        <v/>
      </c>
      <c r="EF8" s="14" t="str">
        <f t="shared" si="50"/>
        <v/>
      </c>
      <c r="EG8" s="14" t="str">
        <f t="shared" si="51"/>
        <v/>
      </c>
      <c r="EH8" s="14" t="str">
        <f t="shared" si="52"/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 t="shared" si="53"/>
        <v/>
      </c>
      <c r="EY8" s="11" t="str">
        <f t="shared" si="54"/>
        <v/>
      </c>
      <c r="EZ8" s="11" t="str">
        <f t="shared" si="55"/>
        <v/>
      </c>
      <c r="FA8" s="11" t="str">
        <f t="shared" si="56"/>
        <v/>
      </c>
      <c r="FB8" s="11" t="str">
        <f t="shared" si="57"/>
        <v/>
      </c>
      <c r="FC8" s="11" t="str">
        <f t="shared" si="58"/>
        <v/>
      </c>
      <c r="FD8" s="11" t="str">
        <f t="shared" si="59"/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 t="shared" si="60"/>
        <v/>
      </c>
      <c r="FU8" s="14" t="str">
        <f t="shared" si="61"/>
        <v/>
      </c>
      <c r="FV8" s="14" t="str">
        <f t="shared" si="62"/>
        <v/>
      </c>
      <c r="FW8" s="14" t="str">
        <f t="shared" si="63"/>
        <v/>
      </c>
      <c r="FX8" s="14" t="str">
        <f t="shared" si="64"/>
        <v/>
      </c>
      <c r="FY8" s="14" t="str">
        <f t="shared" si="65"/>
        <v/>
      </c>
      <c r="FZ8" s="14" t="str">
        <f t="shared" si="66"/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 t="shared" si="67"/>
        <v/>
      </c>
      <c r="GQ8" s="11" t="str">
        <f t="shared" si="68"/>
        <v/>
      </c>
      <c r="GR8" s="11" t="str">
        <f t="shared" si="69"/>
        <v/>
      </c>
      <c r="GS8" s="11" t="str">
        <f t="shared" si="70"/>
        <v/>
      </c>
      <c r="GT8" s="11" t="str">
        <f t="shared" si="71"/>
        <v/>
      </c>
      <c r="GU8" s="11" t="str">
        <f t="shared" si="72"/>
        <v/>
      </c>
      <c r="GV8" s="11" t="str">
        <f t="shared" si="73"/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 t="shared" si="74"/>
        <v/>
      </c>
      <c r="HM8" s="14" t="str">
        <f t="shared" si="75"/>
        <v/>
      </c>
      <c r="HN8" s="14" t="str">
        <f t="shared" si="76"/>
        <v/>
      </c>
      <c r="HO8" s="14" t="str">
        <f t="shared" si="77"/>
        <v/>
      </c>
      <c r="HP8" s="14" t="str">
        <f t="shared" si="78"/>
        <v/>
      </c>
      <c r="HQ8" s="14" t="str">
        <f t="shared" si="79"/>
        <v/>
      </c>
      <c r="HR8" s="14" t="str">
        <f t="shared" si="80"/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 t="shared" si="81"/>
        <v/>
      </c>
      <c r="II8" s="11" t="str">
        <f t="shared" si="82"/>
        <v/>
      </c>
      <c r="IJ8" s="11" t="str">
        <f t="shared" si="83"/>
        <v/>
      </c>
      <c r="IK8" s="11" t="str">
        <f t="shared" si="84"/>
        <v/>
      </c>
      <c r="IL8" s="11" t="str">
        <f t="shared" si="85"/>
        <v/>
      </c>
      <c r="IM8" s="11" t="str">
        <f t="shared" si="86"/>
        <v/>
      </c>
      <c r="IN8" s="11" t="str">
        <f t="shared" si="87"/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 t="shared" si="88"/>
        <v/>
      </c>
      <c r="JE8" s="14" t="str">
        <f t="shared" si="89"/>
        <v/>
      </c>
      <c r="JF8" s="14" t="str">
        <f t="shared" si="90"/>
        <v/>
      </c>
      <c r="JG8" s="14" t="str">
        <f t="shared" si="91"/>
        <v/>
      </c>
      <c r="JH8" s="14" t="str">
        <f t="shared" si="92"/>
        <v/>
      </c>
      <c r="JI8" s="14" t="str">
        <f t="shared" si="93"/>
        <v/>
      </c>
      <c r="JJ8" s="14" t="str">
        <f t="shared" si="94"/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 t="shared" si="95"/>
        <v/>
      </c>
      <c r="KA8" s="11" t="str">
        <f t="shared" si="96"/>
        <v/>
      </c>
      <c r="KB8" s="11" t="str">
        <f t="shared" si="97"/>
        <v/>
      </c>
      <c r="KC8" s="11" t="str">
        <f t="shared" si="98"/>
        <v/>
      </c>
      <c r="KD8" s="11" t="str">
        <f t="shared" si="99"/>
        <v/>
      </c>
      <c r="KE8" s="11" t="str">
        <f t="shared" si="100"/>
        <v/>
      </c>
      <c r="KF8" s="11" t="str">
        <f t="shared" si="101"/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 t="shared" si="102"/>
        <v/>
      </c>
      <c r="KW8" s="14" t="str">
        <f t="shared" si="103"/>
        <v/>
      </c>
      <c r="KX8" s="14" t="str">
        <f t="shared" si="104"/>
        <v/>
      </c>
      <c r="KY8" s="14" t="str">
        <f t="shared" si="105"/>
        <v/>
      </c>
      <c r="KZ8" s="14" t="str">
        <f t="shared" si="106"/>
        <v/>
      </c>
      <c r="LA8" s="14" t="str">
        <f t="shared" si="107"/>
        <v/>
      </c>
      <c r="LB8" s="14" t="str">
        <f t="shared" si="108"/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 t="shared" si="109"/>
        <v/>
      </c>
      <c r="LS8" s="11" t="str">
        <f t="shared" si="110"/>
        <v/>
      </c>
      <c r="LT8" s="11" t="str">
        <f t="shared" si="111"/>
        <v/>
      </c>
      <c r="LU8" s="11" t="str">
        <f t="shared" si="112"/>
        <v/>
      </c>
      <c r="LV8" s="11" t="str">
        <f t="shared" si="113"/>
        <v/>
      </c>
      <c r="LW8" s="11" t="str">
        <f t="shared" si="114"/>
        <v/>
      </c>
      <c r="LX8" s="11" t="str">
        <f t="shared" si="115"/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 t="shared" si="116"/>
        <v/>
      </c>
      <c r="MO8" s="14" t="str">
        <f t="shared" si="117"/>
        <v/>
      </c>
      <c r="MP8" s="14" t="str">
        <f t="shared" si="118"/>
        <v/>
      </c>
      <c r="MQ8" s="14" t="str">
        <f t="shared" si="119"/>
        <v/>
      </c>
      <c r="MR8" s="14" t="str">
        <f t="shared" si="120"/>
        <v/>
      </c>
      <c r="MS8" s="14" t="str">
        <f t="shared" si="121"/>
        <v/>
      </c>
      <c r="MT8" s="14" t="str">
        <f t="shared" si="122"/>
        <v/>
      </c>
      <c r="MU8" s="69">
        <f t="shared" si="123"/>
        <v>0</v>
      </c>
      <c r="MV8" s="69">
        <f t="shared" si="124"/>
        <v>0</v>
      </c>
      <c r="MW8" s="69">
        <f t="shared" si="125"/>
        <v>0</v>
      </c>
      <c r="MX8" s="69">
        <f t="shared" si="126"/>
        <v>0</v>
      </c>
      <c r="MY8" s="69">
        <f t="shared" si="127"/>
        <v>0</v>
      </c>
      <c r="MZ8" s="69">
        <f t="shared" si="128"/>
        <v>0</v>
      </c>
      <c r="NA8" s="69">
        <f t="shared" si="129"/>
        <v>0</v>
      </c>
      <c r="NB8" s="69">
        <f t="shared" si="130"/>
        <v>0</v>
      </c>
      <c r="NC8" s="69">
        <f t="shared" si="131"/>
        <v>0</v>
      </c>
      <c r="ND8" s="69">
        <f t="shared" si="132"/>
        <v>0</v>
      </c>
      <c r="NE8" s="69">
        <f t="shared" si="133"/>
        <v>0</v>
      </c>
      <c r="NF8" s="69">
        <f t="shared" si="134"/>
        <v>0</v>
      </c>
      <c r="NG8" s="69">
        <f t="shared" si="135"/>
        <v>0</v>
      </c>
      <c r="NH8" s="69">
        <f t="shared" si="136"/>
        <v>0</v>
      </c>
      <c r="NI8" s="69">
        <f t="shared" si="137"/>
        <v>0</v>
      </c>
      <c r="NJ8" s="80" t="s">
        <v>88</v>
      </c>
      <c r="NK8" s="11" t="str">
        <f t="shared" si="138"/>
        <v/>
      </c>
      <c r="NL8" s="11" t="str">
        <f t="shared" si="139"/>
        <v/>
      </c>
      <c r="NM8" s="11" t="str">
        <f t="shared" si="140"/>
        <v/>
      </c>
      <c r="NN8" s="11" t="str">
        <f t="shared" si="141"/>
        <v/>
      </c>
      <c r="NO8" s="11" t="str">
        <f t="shared" si="142"/>
        <v/>
      </c>
      <c r="NP8" s="11" t="str">
        <f t="shared" si="143"/>
        <v/>
      </c>
      <c r="NQ8" s="11" t="str">
        <f t="shared" si="144"/>
        <v/>
      </c>
    </row>
    <row r="9" spans="1:381" x14ac:dyDescent="0.2">
      <c r="A9" s="5" cm="1">
        <f t="array" ref="A9">IF(AND(G9&lt;&gt;"",H9&lt;&gt;""),SUMPRODUCT((G$4:G$10&lt;&gt;"")*(H$4:H$10&lt;&gt;"")*(E$4:E$10&gt;E9))+1,IF(H9&lt;&gt;"",SUMPRODUCT((I$4:I$10="No DD")*(E$4:E$10&gt;E9))+1+SUMPRODUCT((G$4:G$10&lt;&gt;"")*(H$4:H$10&lt;&gt;"")),""))</f>
        <v>3</v>
      </c>
      <c r="B9" s="127" t="s">
        <v>125</v>
      </c>
      <c r="C9" s="5" t="s">
        <v>6</v>
      </c>
      <c r="D9" s="5" t="s">
        <v>124</v>
      </c>
      <c r="E9" s="15">
        <f t="shared" si="0"/>
        <v>92.72999999999999</v>
      </c>
      <c r="F9" s="3" t="str">
        <f t="shared" si="1"/>
        <v/>
      </c>
      <c r="G9" s="125" t="str">
        <f>IF(OR(AND(AL9&gt;=AR$15,AL9&lt;&gt;"",AK9=""),AND(AP9&gt;=AR$15,AP9&lt;&gt;"",AK9=""),AND(BI9&gt;=BO$15,BI9&lt;&gt;"",BH9=""),AND(BM9&gt;=BO$15,BM9&lt;&gt;"",BH9=""),AND(CF9&gt;=CL$15,CF9&lt;&gt;"",CE9=""),AND(CJ9&gt;=CL$15,CJ9&lt;&gt;"",CE9=""),AND(DF9&gt;=DL$15,DF9&lt;&gt;""),AND(DJ9&gt;=DL$15,DJ9&lt;&gt;""),AND(EB9&gt;=EH$15,EB9&lt;&gt;""),AND(EF9&gt;=EH$15,EF9&lt;&gt;""),AND(EX9&gt;=FD$15,EX9&lt;&gt;""),AND(FB9&gt;=FD$15,FB9&lt;&gt;""),AND(FT9&gt;=FZ$15,FT9&lt;&gt;""),AND(FX9&gt;=FZ$15,FX9&lt;&gt;""),AND(GP9&gt;=GV$15,GP9&lt;&gt;""),AND(GT9&gt;=GV$15,GT9&lt;&gt;""),AND(HL9&gt;=HR$15,HL9&lt;&gt;""),AND(HP9&gt;=HR$15,HP9&lt;&gt;""),AND(IH9&gt;=IN$15,IH9&lt;&gt;""),AND(IL9&gt;=IN$15,IL9&lt;&gt;""),AND(JD9&gt;=JJ$15,JD9&lt;&gt;""),AND(JH9&gt;=JJ$15,JH9&lt;&gt;""),AND(JZ9&gt;=KF$15,JZ9&lt;&gt;""),AND(KD9&gt;=KF$15,KD9&lt;&gt;""),AND(KV9&gt;=LB$15,KV9&lt;&gt;""),AND(KZ9&gt;=LB$15,KZ9&lt;&gt;""),AND(LR9&gt;=LX$15,LR9&lt;&gt;""),AND(LV9&gt;=LX$15,LV9&lt;&gt;""),AND(MN9&gt;=MT$15,MN9&lt;&gt;""),AND(MR9&gt;=MT$15,MR9&lt;&gt;"")),"Merit",IF(OR(AND(AL9&gt;=AR$14,AL9&lt;&gt;"",AK9=""),AND(AP9&gt;=AR$14,AP9&lt;&gt;"",AK9=""),AND(BI9&gt;=BO$14,BI9&lt;&gt;"",BH9=""),AND(BM9&gt;=BO$14,BM9&lt;&gt;"",BH9=""),AND(CF9&gt;=CL$14,CF9&lt;&gt;"",CE9=""),AND(CJ9&gt;=CL$14,CJ9&lt;&gt;"",CE9=""),AND(DF9&gt;=DL$14,DF9&lt;&gt;""),AND(DJ9&gt;=DL$14,DJ9&lt;&gt;""),AND(EB9&gt;=EH$14,EB9&lt;&gt;""),AND(EF9&gt;=EH$14,EF9&lt;&gt;""),AND(EX9&gt;=FD$14,EX9&lt;&gt;""),AND(FB9&gt;=FD$14,FB9&lt;&gt;""),AND(FT9&gt;=FZ$14,FT9&lt;&gt;""),AND(FX9&gt;=FZ$14,FX9&lt;&gt;""),AND(GP9&gt;=GV$14,GP9&lt;&gt;""),AND(GT9&gt;=GV$14,GT9&lt;&gt;""),AND(HL9&gt;=HR$14,HL9&lt;&gt;""),AND(HP9&gt;=HR$14,HP9&lt;&gt;""),AND(IH9&gt;=IN$14,IH9&lt;&gt;""),AND(IL9&gt;=IN$14,IL9&lt;&gt;""),AND(JD9&gt;=JJ$14,JD9&lt;&gt;""),AND(JH9&gt;=JJ$14,JH9&lt;&gt;""),AND(JZ9&gt;=KF$14,JZ9&lt;&gt;""),AND(KD9&gt;=KF$14,KD9&lt;&gt;""),AND(KV9&gt;=LB$14,KV9&lt;&gt;""),AND(KZ9&gt;=LB$14,KZ9&lt;&gt;""),AND(LR9&gt;=LX$14,LR9&lt;&gt;""),AND(LV9&gt;=LX$14,LV9&lt;&gt;""),AND(MN9&gt;=MT$14,MN9&lt;&gt;""),AND(MR9&gt;=MT$14,MR9&lt;&gt;"")),"Excellence",IF(OR(AND(AL9&gt;=AR$13,AL9&lt;&gt;"",AK9=""),AND(AP9&gt;=AR$13,AP9&lt;&gt;"",AK9=""),AND(BI9&gt;=BO$13,BI9&lt;&gt;"",BH9=""),AND(BM9&gt;=BO$13,BM9&lt;&gt;"",BH9=""),AND(CF9&gt;=CL$13,CF9&lt;&gt;"",CE9=""),AND(CJ9&gt;=CL$13,CJ9&lt;&gt;"",CE9=""),AND(DF9&gt;=DL$13,DF9&lt;&gt;""),AND(DJ9&gt;=DL$13,DJ9&lt;&gt;""),AND(EB9&gt;=EH$13,EB9&lt;&gt;""),AND(EF9&gt;=EH$13,EF9&lt;&gt;""),AND(EX9&gt;=FD$13,EX9&lt;&gt;""),AND(FB9&gt;=FD$13,FB9&lt;&gt;""),AND(FT9&gt;=FZ$13,FT9&lt;&gt;""),AND(FX9&gt;=FZ$13,FX9&lt;&gt;""),AND(GP9&gt;=GV$13,GP9&lt;&gt;""),AND(GT9&gt;=GV$13,GT9&lt;&gt;""),AND(HL9&gt;=HR$13,HL9&lt;&gt;""),AND(HP9&gt;=HR$13,HP9&lt;&gt;""),AND(IH9&gt;=IN$13,IH9&lt;&gt;""),AND(IL9&gt;=IN$13,IL9&lt;&gt;""),AND(JD9&gt;=JJ$13,JD9&lt;&gt;""),AND(JH9&gt;=JJ$13,JH9&lt;&gt;""),AND(JZ9&gt;=KF$13,JZ9&lt;&gt;""),AND(KD9&gt;=KF$13,KD9&lt;&gt;""),AND(KV9&gt;=LB$13,KV9&lt;&gt;""),AND(KZ9&gt;=LB$13,KZ9&lt;&gt;""),AND(LR9&gt;=LX$13,LR9&lt;&gt;""),AND(LV9&gt;=LX$13,LV9&lt;&gt;""),AND(MN9&gt;=MT$13,MN9&lt;&gt;""),AND(MR9&gt;=MT$13,MR9&lt;&gt;"")),"Worlds Team",IF(OR(AND(AL9&gt;=AR$12,AL9&lt;&gt;"",AK9=""),AND(AP9&gt;=AR$12,AP9&lt;&gt;"",AK9=""),AND(BI9&gt;=BO$12,BI9&lt;&gt;"",BH9=""),AND(BM9&gt;=BO$12,BM9&lt;&gt;"",BH9=""),AND(CF9&gt;=CL$12,CF9&lt;&gt;"",CE9=""),AND(CJ9&gt;=CL$12,CJ9&lt;&gt;"",CE9=""),AND(DF9&gt;=DL$12,DF9&lt;&gt;""),AND(DJ9&gt;=DL$12,DJ9&lt;&gt;""),AND(EB9&gt;=EH$12,EB9&lt;&gt;""),AND(EF9&gt;=EH$12,EF9&lt;&gt;""),AND(EX9&gt;=FD$12,EX9&lt;&gt;""),AND(FB9&gt;=FD$12,FB9&lt;&gt;""),AND(FT9&gt;=FZ$12,FT9&lt;&gt;""),AND(FX9&gt;=FZ$12,FX9&lt;&gt;""),AND(GP9&gt;=GV$12,GP9&lt;&gt;""),AND(GT9&gt;=GV$12,GT9&lt;&gt;""),AND(HL9&gt;=HR$12,HL9&lt;&gt;""),AND(HP9&gt;=HR$12,HP9&lt;&gt;""),AND(IH9&gt;=IN$12,IH9&lt;&gt;""),AND(IL9&gt;=IN$12,IL9&lt;&gt;""),AND(JD9&gt;=JJ$12,JD9&lt;&gt;""),AND(JH9&gt;=JJ$12,JH9&lt;&gt;""),AND(JZ9&gt;=KF$12,JZ9&lt;&gt;""),AND(KD9&gt;=KF$12,KD9&lt;&gt;""),AND(KV9&gt;=LB$12,KV9&lt;&gt;""),AND(KZ9&gt;=LB$12,KZ9&lt;&gt;""),AND(LR9&gt;=LX$12,LR9&lt;&gt;""),AND(LV9&gt;=LX$12,LV9&lt;&gt;""),AND(MN9&gt;=MT$12,MN9&lt;&gt;""),AND(MR9&gt;=MT$12,MR9&lt;&gt;"")),"National Team",""))))</f>
        <v/>
      </c>
      <c r="H9" s="125" t="str">
        <f>IF(OR(AND(AN9&gt;=AR$19,AN9&lt;&gt;"",AK9=""),AND(AQ9&gt;=AR$19,AQ9&lt;&gt;"",AK9=""),AND(BK9&gt;=BO$19,BK9&lt;&gt;"",BH9=""),AND(BN9&gt;=BO$19,BN9&lt;&gt;"",BH9=""),AND(CH9&gt;=CL$19,CH9&lt;&gt;"",CE9=""),AND(CK9&gt;=CL$19,CE9&lt;&gt;"",CE9=""),AND(DH9&gt;=DL$19,DH9&lt;&gt;""),AND(DK9&gt;=DL$19,DK9&lt;&gt;""),AND(ED9&gt;=EH$19,ED9&lt;&gt;""),AND(EG9&gt;=EH$19,EG9&lt;&gt;""),AND(EZ9&gt;=FD$19,EZ9&lt;&gt;""),AND(FC9&gt;=FD$19,FC9&lt;&gt;""),AND(FV9&gt;=FZ$19,FV9&lt;&gt;""),AND(FY9&gt;=FZ$19,FY9&lt;&gt;""),AND(GR9&gt;=GV$19,GR9&lt;&gt;""),AND(GU9&gt;=GV$19,GU9&lt;&gt;""),AND(HN9&gt;=HR$19,HN9&lt;&gt;""),AND(HQ9&gt;=HR$19,HQ9&lt;&gt;""),AND(IJ9&gt;=IN$19,IJ9&lt;&gt;""),AND(IM9&gt;=IN$19,IM9&lt;&gt;""),AND(JF9&gt;=JJ$19,JF9&lt;&gt;""),AND(JI9&gt;=JJ$19,JI9&lt;&gt;""),AND(KB9&gt;=KF$19,KB9&lt;&gt;""),AND(KE9&gt;=KF$19,KE9&lt;&gt;""),AND(KX9&gt;=LB$19,KX9&lt;&gt;""),AND(LA9&gt;=LB$19,LA9&lt;&gt;""),AND(LT9&gt;=LX$19,LT9&lt;&gt;""),AND(LW9&gt;=LX$19,LW9&lt;&gt;""),AND(MP9&gt;=MT$19,MP9&lt;&gt;""),AND(MS9&gt;=MT$19,MS9&lt;&gt;"")),"Merit",IF(OR(AND(AN9&gt;=AR$18,AN9&lt;&gt;"",AK9=""),AND(AQ9&gt;=AR$18,AQ9&lt;&gt;"",AK9=""),AND(BK9&gt;=BO$18,BK9&lt;&gt;"",BH9=""),AND(BN9&gt;=BO$18,BN9&lt;&gt;"",BH9=""),AND(CH9&gt;=CL$18,CH9&lt;&gt;"",CE9=""),AND(CK9&gt;=CL$18,CE9&lt;&gt;"",CE9=""),AND(DH9&gt;=DL$18,DH9&lt;&gt;""),AND(DK9&gt;=DL$18,DK9&lt;&gt;""),AND(ED9&gt;=EH$18,ED9&lt;&gt;""),AND(EG9&gt;=EH$18,EG9&lt;&gt;""),AND(EZ9&gt;=FD$18,EZ9&lt;&gt;""),AND(FC9&gt;=FD$18,FC9&lt;&gt;""),AND(FV9&gt;=FZ$18,FV9&lt;&gt;""),AND(FY9&gt;=FZ$18,FY9&lt;&gt;""),AND(GR9&gt;=GV$18,GR9&lt;&gt;""),AND(GU9&gt;=GV$18,GU9&lt;&gt;""),AND(HN9&gt;=HR$18,HN9&lt;&gt;""),AND(HQ9&gt;=HR$18,HQ9&lt;&gt;""),AND(IJ9&gt;=IN$18,IJ9&lt;&gt;""),AND(IM9&gt;=IN$18,IM9&lt;&gt;""),AND(JF9&gt;=JJ$18,JF9&lt;&gt;""),AND(JI9&gt;=JJ$18,JI9&lt;&gt;""),AND(KB9&gt;=KF$18,KB9&lt;&gt;""),AND(KE9&gt;=KF$18,KE9&lt;&gt;""),AND(KX9&gt;=LB$18,KX9&lt;&gt;""),AND(LA9&gt;=LB$18,LA9&lt;&gt;""),AND(LT9&gt;=LX$18,LT9&lt;&gt;""),AND(LW9&gt;=LX$18,LW9&lt;&gt;""),AND(MP9&gt;=MT$18,MP9&lt;&gt;""),AND(MS9&gt;=MT$18,MS9&lt;&gt;"")),"Excellence",IF(OR(AND(AO9&gt;=AR$17,AO9&lt;&gt;"",AK9=""),AND(BL9&gt;=BO$17,BL9&lt;&gt;"",BH9=""),AND(CI9&gt;=CL$17,CI9&lt;&gt;"",CE9=""),AND(DI9&gt;=DL$17,DI9&lt;&gt;""),AND(EE9&gt;=EH$17,EE9&lt;&gt;""),AND(FA9&gt;=FD$17,FA9&lt;&gt;""),AND(FW9&gt;=FZ$17,FW9&lt;&gt;""),AND(GS9&gt;=GV$17,GS9&lt;&gt;""),AND(HO9&gt;=HR$17,HO9&lt;&gt;""),AND(IK9&gt;=IN$17,IK9&lt;&gt;""),AND(JG9&gt;=JJ$17,JG9&lt;&gt;""),AND(KC9&gt;=KF$17,KC9&lt;&gt;""),AND(KY9&gt;=LB$17,KY9&lt;&gt;""),AND(LU9&gt;=LX$17,LU9&lt;&gt;""),AND(MQ9&gt;=MT$17,MQ9&lt;&gt;"")),"Worlds Team",IF(OR(AND(AO9&gt;=AR$16,AO9&lt;&gt;"",AK9=""),AND(BL9&gt;=BO$16,BL9&lt;&gt;"",BH9=""),AND(CI9&gt;=CL$16,CI9&lt;&gt;"",CE9=""),AND(DI9&gt;=DL$16,DI9&lt;&gt;""),AND(EE9&gt;=EH$16,EE9&lt;&gt;""),AND(FA9&gt;=FD$16,FA9&lt;&gt;""),AND(FW9&gt;=FZ$16,FW9&lt;&gt;""),AND(GS9&gt;=GV$16,GS9&lt;&gt;""),AND(HO9&gt;=HR$16,HO9&lt;&gt;""),AND(IK9&gt;=IN$16,IK9&lt;&gt;""),AND(JG9&gt;=JJ$16,JG9&lt;&gt;""),AND(KC9&gt;=KF$16,KC9&lt;&gt;""),AND(KY9&gt;=LB$16,KY9&lt;&gt;""),AND(LU9&gt;=LX$16,LU9&lt;&gt;""),AND(MQ9&gt;=MT$16,MQ9&lt;&gt;"")),"National Team",""))))</f>
        <v>Worlds Team</v>
      </c>
      <c r="I9" s="126" t="str">
        <f t="shared" si="2"/>
        <v>No DD</v>
      </c>
      <c r="J9" s="3" t="str">
        <f>IF(AND(OR(AND(AO9&gt;=AR$17,AO9&lt;&gt;"",AK9=""),AND(BL9&gt;=BO$17,BL9&lt;&gt;"",BH9=""),AND(CI9&gt;=CL$17,CI9&lt;&gt;"",CE9=""),AND(DI9&gt;=DL$17,DI9&lt;&gt;""),AND(EE9&gt;=EH$17,EE9&lt;&gt;""),AND(FA9&gt;=FD$17,FA9&lt;&gt;""),AND(FW9&gt;=FZ$17,FW9&lt;&gt;""),AND(GS9&gt;=GV$17,GS9&lt;&gt;""),AND(HO9&gt;=HR$17,HO9&lt;&gt;""),AND(IK9&gt;=IN$17,IK9&lt;&gt;""),AND(JG9&gt;=JJ$17,JG9&lt;&gt;""),AND(KC9&gt;=KF$17,KC9&lt;&gt;""),AND(KY9&gt;=LB$17,KY9&lt;&gt;""),AND(LU9&gt;=LX$17,LU9&lt;&gt;""),AND(MQ9&gt;=MT$17,MQ9&lt;&gt;"")),OR(G9="Worlds Team",G9="Excellence",G9="Merit")),"P","")</f>
        <v/>
      </c>
      <c r="K9" s="14">
        <f t="shared" si="3"/>
        <v>85.41</v>
      </c>
      <c r="L9" s="14" t="str">
        <f t="shared" si="4"/>
        <v>2019 Nationals</v>
      </c>
      <c r="M9" s="14">
        <f t="shared" si="5"/>
        <v>0</v>
      </c>
      <c r="N9" s="14" t="str">
        <f t="shared" si="6"/>
        <v/>
      </c>
      <c r="O9" s="14">
        <f t="shared" si="7"/>
        <v>0</v>
      </c>
      <c r="P9" s="14" t="str">
        <f t="shared" si="8"/>
        <v/>
      </c>
      <c r="Q9" s="14">
        <f t="shared" si="9"/>
        <v>7.32</v>
      </c>
      <c r="R9" s="14" t="str">
        <f t="shared" si="10"/>
        <v>2019 Nationals</v>
      </c>
      <c r="S9" s="14" t="str">
        <f t="shared" si="11"/>
        <v/>
      </c>
      <c r="T9" s="25" t="str">
        <f t="shared" si="12"/>
        <v/>
      </c>
      <c r="U9" s="14" t="str">
        <f t="shared" si="13"/>
        <v/>
      </c>
      <c r="V9" s="39">
        <v>8.85</v>
      </c>
      <c r="W9" s="39">
        <v>9.35</v>
      </c>
      <c r="X9" s="39">
        <v>3.2</v>
      </c>
      <c r="Y9" s="39">
        <v>19.12</v>
      </c>
      <c r="Z9" s="39">
        <v>0</v>
      </c>
      <c r="AA9" s="39">
        <v>7.8</v>
      </c>
      <c r="AB9" s="39">
        <v>9.0500000000000007</v>
      </c>
      <c r="AC9" s="39">
        <v>10.5</v>
      </c>
      <c r="AD9" s="39">
        <v>17.54</v>
      </c>
      <c r="AE9" s="39">
        <v>0</v>
      </c>
      <c r="AF9" s="39">
        <v>1.3</v>
      </c>
      <c r="AG9" s="39">
        <v>1.9</v>
      </c>
      <c r="AH9" s="39">
        <v>2.2999999999999998</v>
      </c>
      <c r="AI9" s="39">
        <v>1.82</v>
      </c>
      <c r="AJ9" s="39">
        <v>0</v>
      </c>
      <c r="AK9" s="80"/>
      <c r="AL9" s="11">
        <f t="shared" si="14"/>
        <v>10.5</v>
      </c>
      <c r="AM9" s="11">
        <f t="shared" si="15"/>
        <v>40.519999999999996</v>
      </c>
      <c r="AN9" s="11">
        <f t="shared" si="16"/>
        <v>44.89</v>
      </c>
      <c r="AO9" s="11">
        <f t="shared" si="17"/>
        <v>85.41</v>
      </c>
      <c r="AP9" s="11">
        <f t="shared" si="18"/>
        <v>2.2999999999999998</v>
      </c>
      <c r="AQ9" s="11">
        <f t="shared" si="19"/>
        <v>7.32</v>
      </c>
      <c r="AR9" s="11">
        <f t="shared" si="20"/>
        <v>92.72999999999999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81"/>
      <c r="BI9" s="14" t="str">
        <f t="shared" si="21"/>
        <v/>
      </c>
      <c r="BJ9" s="14" t="str">
        <f t="shared" si="22"/>
        <v/>
      </c>
      <c r="BK9" s="14" t="str">
        <f t="shared" si="23"/>
        <v/>
      </c>
      <c r="BL9" s="14" t="str">
        <f t="shared" si="24"/>
        <v/>
      </c>
      <c r="BM9" s="14" t="str">
        <f t="shared" si="25"/>
        <v/>
      </c>
      <c r="BN9" s="14" t="str">
        <f t="shared" si="26"/>
        <v/>
      </c>
      <c r="BO9" s="14" t="str">
        <f t="shared" si="27"/>
        <v/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 t="shared" si="28"/>
        <v/>
      </c>
      <c r="CG9" s="11" t="str">
        <f t="shared" si="29"/>
        <v/>
      </c>
      <c r="CH9" s="11" t="str">
        <f t="shared" si="30"/>
        <v/>
      </c>
      <c r="CI9" s="11" t="str">
        <f t="shared" si="31"/>
        <v/>
      </c>
      <c r="CJ9" s="11" t="str">
        <f t="shared" si="32"/>
        <v/>
      </c>
      <c r="CK9" s="11" t="str">
        <f t="shared" si="33"/>
        <v/>
      </c>
      <c r="CL9" s="11" t="str">
        <f t="shared" si="34"/>
        <v/>
      </c>
      <c r="CM9" s="24" t="str">
        <f t="shared" si="35"/>
        <v/>
      </c>
      <c r="CN9" s="24" t="str">
        <f t="shared" si="36"/>
        <v/>
      </c>
      <c r="CO9" s="24" t="str">
        <f t="shared" si="37"/>
        <v/>
      </c>
      <c r="CP9" s="24" t="str">
        <f t="shared" si="38"/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 t="shared" si="39"/>
        <v/>
      </c>
      <c r="DG9" s="11" t="str">
        <f t="shared" si="40"/>
        <v/>
      </c>
      <c r="DH9" s="11" t="str">
        <f t="shared" si="41"/>
        <v/>
      </c>
      <c r="DI9" s="11" t="str">
        <f t="shared" si="42"/>
        <v/>
      </c>
      <c r="DJ9" s="11" t="str">
        <f t="shared" si="43"/>
        <v/>
      </c>
      <c r="DK9" s="11" t="str">
        <f t="shared" si="44"/>
        <v/>
      </c>
      <c r="DL9" s="11" t="str">
        <f t="shared" si="45"/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 t="shared" si="46"/>
        <v/>
      </c>
      <c r="EC9" s="14" t="str">
        <f t="shared" si="47"/>
        <v/>
      </c>
      <c r="ED9" s="14" t="str">
        <f t="shared" si="48"/>
        <v/>
      </c>
      <c r="EE9" s="14" t="str">
        <f t="shared" si="49"/>
        <v/>
      </c>
      <c r="EF9" s="14" t="str">
        <f t="shared" si="50"/>
        <v/>
      </c>
      <c r="EG9" s="14" t="str">
        <f t="shared" si="51"/>
        <v/>
      </c>
      <c r="EH9" s="14" t="str">
        <f t="shared" si="52"/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 t="shared" si="53"/>
        <v/>
      </c>
      <c r="EY9" s="11" t="str">
        <f t="shared" si="54"/>
        <v/>
      </c>
      <c r="EZ9" s="11" t="str">
        <f t="shared" si="55"/>
        <v/>
      </c>
      <c r="FA9" s="11" t="str">
        <f t="shared" si="56"/>
        <v/>
      </c>
      <c r="FB9" s="11" t="str">
        <f t="shared" si="57"/>
        <v/>
      </c>
      <c r="FC9" s="11" t="str">
        <f t="shared" si="58"/>
        <v/>
      </c>
      <c r="FD9" s="11" t="str">
        <f t="shared" si="59"/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 t="shared" si="60"/>
        <v/>
      </c>
      <c r="FU9" s="14" t="str">
        <f t="shared" si="61"/>
        <v/>
      </c>
      <c r="FV9" s="14" t="str">
        <f t="shared" si="62"/>
        <v/>
      </c>
      <c r="FW9" s="14" t="str">
        <f t="shared" si="63"/>
        <v/>
      </c>
      <c r="FX9" s="14" t="str">
        <f t="shared" si="64"/>
        <v/>
      </c>
      <c r="FY9" s="14" t="str">
        <f t="shared" si="65"/>
        <v/>
      </c>
      <c r="FZ9" s="14" t="str">
        <f t="shared" si="66"/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 t="shared" si="67"/>
        <v/>
      </c>
      <c r="GQ9" s="11" t="str">
        <f t="shared" si="68"/>
        <v/>
      </c>
      <c r="GR9" s="11" t="str">
        <f t="shared" si="69"/>
        <v/>
      </c>
      <c r="GS9" s="11" t="str">
        <f t="shared" si="70"/>
        <v/>
      </c>
      <c r="GT9" s="11" t="str">
        <f t="shared" si="71"/>
        <v/>
      </c>
      <c r="GU9" s="11" t="str">
        <f t="shared" si="72"/>
        <v/>
      </c>
      <c r="GV9" s="11" t="str">
        <f t="shared" si="73"/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 t="shared" si="74"/>
        <v/>
      </c>
      <c r="HM9" s="14" t="str">
        <f t="shared" si="75"/>
        <v/>
      </c>
      <c r="HN9" s="14" t="str">
        <f t="shared" si="76"/>
        <v/>
      </c>
      <c r="HO9" s="14" t="str">
        <f t="shared" si="77"/>
        <v/>
      </c>
      <c r="HP9" s="14" t="str">
        <f t="shared" si="78"/>
        <v/>
      </c>
      <c r="HQ9" s="14" t="str">
        <f t="shared" si="79"/>
        <v/>
      </c>
      <c r="HR9" s="14" t="str">
        <f t="shared" si="80"/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 t="shared" si="81"/>
        <v/>
      </c>
      <c r="II9" s="11" t="str">
        <f t="shared" si="82"/>
        <v/>
      </c>
      <c r="IJ9" s="11" t="str">
        <f t="shared" si="83"/>
        <v/>
      </c>
      <c r="IK9" s="11" t="str">
        <f t="shared" si="84"/>
        <v/>
      </c>
      <c r="IL9" s="11" t="str">
        <f t="shared" si="85"/>
        <v/>
      </c>
      <c r="IM9" s="11" t="str">
        <f t="shared" si="86"/>
        <v/>
      </c>
      <c r="IN9" s="11" t="str">
        <f t="shared" si="87"/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 t="shared" si="88"/>
        <v/>
      </c>
      <c r="JE9" s="14" t="str">
        <f t="shared" si="89"/>
        <v/>
      </c>
      <c r="JF9" s="14" t="str">
        <f t="shared" si="90"/>
        <v/>
      </c>
      <c r="JG9" s="14" t="str">
        <f t="shared" si="91"/>
        <v/>
      </c>
      <c r="JH9" s="14" t="str">
        <f t="shared" si="92"/>
        <v/>
      </c>
      <c r="JI9" s="14" t="str">
        <f t="shared" si="93"/>
        <v/>
      </c>
      <c r="JJ9" s="14" t="str">
        <f t="shared" si="94"/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 t="shared" si="95"/>
        <v/>
      </c>
      <c r="KA9" s="11" t="str">
        <f t="shared" si="96"/>
        <v/>
      </c>
      <c r="KB9" s="11" t="str">
        <f t="shared" si="97"/>
        <v/>
      </c>
      <c r="KC9" s="11" t="str">
        <f t="shared" si="98"/>
        <v/>
      </c>
      <c r="KD9" s="11" t="str">
        <f t="shared" si="99"/>
        <v/>
      </c>
      <c r="KE9" s="11" t="str">
        <f t="shared" si="100"/>
        <v/>
      </c>
      <c r="KF9" s="11" t="str">
        <f t="shared" si="101"/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 t="shared" si="102"/>
        <v/>
      </c>
      <c r="KW9" s="14" t="str">
        <f t="shared" si="103"/>
        <v/>
      </c>
      <c r="KX9" s="14" t="str">
        <f t="shared" si="104"/>
        <v/>
      </c>
      <c r="KY9" s="14" t="str">
        <f t="shared" si="105"/>
        <v/>
      </c>
      <c r="KZ9" s="14" t="str">
        <f t="shared" si="106"/>
        <v/>
      </c>
      <c r="LA9" s="14" t="str">
        <f t="shared" si="107"/>
        <v/>
      </c>
      <c r="LB9" s="14" t="str">
        <f t="shared" si="108"/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 t="shared" si="109"/>
        <v/>
      </c>
      <c r="LS9" s="11" t="str">
        <f t="shared" si="110"/>
        <v/>
      </c>
      <c r="LT9" s="11" t="str">
        <f t="shared" si="111"/>
        <v/>
      </c>
      <c r="LU9" s="11" t="str">
        <f t="shared" si="112"/>
        <v/>
      </c>
      <c r="LV9" s="11" t="str">
        <f t="shared" si="113"/>
        <v/>
      </c>
      <c r="LW9" s="11" t="str">
        <f t="shared" si="114"/>
        <v/>
      </c>
      <c r="LX9" s="11" t="str">
        <f t="shared" si="115"/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 t="shared" si="116"/>
        <v/>
      </c>
      <c r="MO9" s="14" t="str">
        <f t="shared" si="117"/>
        <v/>
      </c>
      <c r="MP9" s="14" t="str">
        <f t="shared" si="118"/>
        <v/>
      </c>
      <c r="MQ9" s="14" t="str">
        <f t="shared" si="119"/>
        <v/>
      </c>
      <c r="MR9" s="14" t="str">
        <f t="shared" si="120"/>
        <v/>
      </c>
      <c r="MS9" s="14" t="str">
        <f t="shared" si="121"/>
        <v/>
      </c>
      <c r="MT9" s="14" t="str">
        <f t="shared" si="122"/>
        <v/>
      </c>
      <c r="MU9" s="69">
        <f t="shared" si="123"/>
        <v>0</v>
      </c>
      <c r="MV9" s="69">
        <f t="shared" si="124"/>
        <v>0</v>
      </c>
      <c r="MW9" s="69">
        <f t="shared" si="125"/>
        <v>0</v>
      </c>
      <c r="MX9" s="69">
        <f t="shared" si="126"/>
        <v>0</v>
      </c>
      <c r="MY9" s="69">
        <f t="shared" si="127"/>
        <v>0</v>
      </c>
      <c r="MZ9" s="69">
        <f t="shared" si="128"/>
        <v>0</v>
      </c>
      <c r="NA9" s="69">
        <f t="shared" si="129"/>
        <v>0</v>
      </c>
      <c r="NB9" s="69">
        <f t="shared" si="130"/>
        <v>0</v>
      </c>
      <c r="NC9" s="69">
        <f t="shared" si="131"/>
        <v>0</v>
      </c>
      <c r="ND9" s="69">
        <f t="shared" si="132"/>
        <v>0</v>
      </c>
      <c r="NE9" s="69">
        <f t="shared" si="133"/>
        <v>0</v>
      </c>
      <c r="NF9" s="69">
        <f t="shared" si="134"/>
        <v>0</v>
      </c>
      <c r="NG9" s="69">
        <f t="shared" si="135"/>
        <v>0</v>
      </c>
      <c r="NH9" s="69">
        <f t="shared" si="136"/>
        <v>0</v>
      </c>
      <c r="NI9" s="69">
        <f t="shared" si="137"/>
        <v>0</v>
      </c>
      <c r="NJ9" s="80" t="s">
        <v>88</v>
      </c>
      <c r="NK9" s="11" t="str">
        <f t="shared" si="138"/>
        <v/>
      </c>
      <c r="NL9" s="11" t="str">
        <f t="shared" si="139"/>
        <v/>
      </c>
      <c r="NM9" s="11" t="str">
        <f t="shared" si="140"/>
        <v/>
      </c>
      <c r="NN9" s="11" t="str">
        <f t="shared" si="141"/>
        <v/>
      </c>
      <c r="NO9" s="11" t="str">
        <f t="shared" si="142"/>
        <v/>
      </c>
      <c r="NP9" s="11" t="str">
        <f t="shared" si="143"/>
        <v/>
      </c>
      <c r="NQ9" s="11" t="str">
        <f t="shared" si="144"/>
        <v/>
      </c>
    </row>
    <row r="10" spans="1:381" x14ac:dyDescent="0.2">
      <c r="D10" s="1"/>
      <c r="T10" s="26"/>
    </row>
    <row r="12" spans="1:381" x14ac:dyDescent="0.2">
      <c r="B12" s="70" t="s">
        <v>78</v>
      </c>
      <c r="AL12" s="56"/>
      <c r="AR12" s="64">
        <v>11.2</v>
      </c>
      <c r="BI12" s="56"/>
      <c r="BO12" s="64">
        <v>11.2</v>
      </c>
      <c r="CF12" s="56"/>
      <c r="CL12" s="64">
        <v>11.2</v>
      </c>
      <c r="DF12" s="56"/>
      <c r="DL12" s="64">
        <v>11.2</v>
      </c>
      <c r="EB12" s="56"/>
      <c r="EH12" s="64">
        <v>11.2</v>
      </c>
      <c r="EX12" s="56"/>
      <c r="FD12" s="64">
        <v>11.2</v>
      </c>
      <c r="FT12" s="56"/>
      <c r="FZ12" s="64">
        <v>11.2</v>
      </c>
      <c r="GP12" s="56"/>
      <c r="GV12" s="64">
        <v>11.2</v>
      </c>
      <c r="HL12" s="56"/>
      <c r="HR12" s="64">
        <v>11.2</v>
      </c>
      <c r="IH12" s="56"/>
      <c r="IN12" s="64">
        <v>11.2</v>
      </c>
      <c r="JD12" s="56"/>
      <c r="JJ12" s="64">
        <v>11.2</v>
      </c>
      <c r="JZ12" s="56"/>
      <c r="KF12" s="64">
        <v>11.2</v>
      </c>
      <c r="KV12" s="56"/>
      <c r="LB12" s="64">
        <v>11.2</v>
      </c>
      <c r="LR12" s="56"/>
      <c r="LX12" s="64">
        <v>11.2</v>
      </c>
      <c r="MN12" s="56"/>
      <c r="MT12" s="64">
        <v>11.2</v>
      </c>
    </row>
    <row r="13" spans="1:381" x14ac:dyDescent="0.2">
      <c r="B13" s="91" t="s">
        <v>77</v>
      </c>
      <c r="AL13" s="56"/>
      <c r="AR13" s="93">
        <v>12.5</v>
      </c>
      <c r="BI13" s="56"/>
      <c r="BO13" s="93">
        <v>12</v>
      </c>
      <c r="CF13" s="56"/>
      <c r="CL13" s="93">
        <v>12</v>
      </c>
      <c r="DF13" s="56"/>
      <c r="DL13" s="93">
        <v>12.5</v>
      </c>
      <c r="EB13" s="56"/>
      <c r="EH13" s="93">
        <v>12</v>
      </c>
      <c r="EX13" s="56"/>
      <c r="FD13" s="93">
        <v>12</v>
      </c>
      <c r="FT13" s="56"/>
      <c r="FZ13" s="93">
        <v>12</v>
      </c>
      <c r="GP13" s="56"/>
      <c r="GV13" s="93">
        <v>12</v>
      </c>
      <c r="HL13" s="56"/>
      <c r="HR13" s="93">
        <v>12</v>
      </c>
      <c r="IH13" s="56"/>
      <c r="IN13" s="93">
        <v>12</v>
      </c>
      <c r="JD13" s="56"/>
      <c r="JJ13" s="93">
        <v>12</v>
      </c>
      <c r="JZ13" s="56"/>
      <c r="KF13" s="93">
        <v>12</v>
      </c>
      <c r="KV13" s="56"/>
      <c r="LB13" s="93">
        <v>12</v>
      </c>
      <c r="LR13" s="56"/>
      <c r="LX13" s="93">
        <v>12</v>
      </c>
      <c r="MN13" s="56"/>
      <c r="MT13" s="93">
        <v>12</v>
      </c>
    </row>
    <row r="14" spans="1:381" x14ac:dyDescent="0.2">
      <c r="A14" s="56"/>
      <c r="B14" s="92" t="s">
        <v>112</v>
      </c>
      <c r="C14" s="55"/>
      <c r="AL14" s="56"/>
      <c r="AR14" s="94">
        <v>12.5</v>
      </c>
      <c r="BI14" s="56"/>
      <c r="BO14" s="94">
        <v>12</v>
      </c>
      <c r="CF14" s="56"/>
      <c r="CL14" s="94">
        <v>12</v>
      </c>
      <c r="DF14" s="56"/>
      <c r="DL14" s="94">
        <v>12.5</v>
      </c>
      <c r="EB14" s="56"/>
      <c r="EH14" s="94">
        <v>12</v>
      </c>
      <c r="EX14" s="56"/>
      <c r="FD14" s="94">
        <v>12</v>
      </c>
      <c r="FT14" s="56"/>
      <c r="FZ14" s="94">
        <v>12</v>
      </c>
      <c r="GP14" s="56"/>
      <c r="GV14" s="94">
        <v>12</v>
      </c>
      <c r="HL14" s="56"/>
      <c r="HR14" s="94">
        <v>12</v>
      </c>
      <c r="IH14" s="56"/>
      <c r="IN14" s="94">
        <v>12</v>
      </c>
      <c r="JD14" s="56"/>
      <c r="JJ14" s="94">
        <v>12</v>
      </c>
      <c r="JZ14" s="56"/>
      <c r="KF14" s="94">
        <v>12</v>
      </c>
      <c r="KV14" s="56"/>
      <c r="LB14" s="94">
        <v>12</v>
      </c>
      <c r="LR14" s="56"/>
      <c r="LX14" s="94">
        <v>12</v>
      </c>
      <c r="MN14" s="56"/>
      <c r="MT14" s="94">
        <v>12</v>
      </c>
    </row>
    <row r="15" spans="1:381" x14ac:dyDescent="0.2">
      <c r="A15" s="56"/>
      <c r="B15" s="120" t="s">
        <v>161</v>
      </c>
      <c r="C15" s="55"/>
      <c r="AL15" s="56"/>
      <c r="AR15" s="121">
        <v>12.5</v>
      </c>
      <c r="BI15" s="56"/>
      <c r="BO15" s="121">
        <v>12</v>
      </c>
      <c r="CF15" s="56"/>
      <c r="CL15" s="121">
        <v>12</v>
      </c>
      <c r="DF15" s="56"/>
      <c r="DL15" s="121">
        <v>12.5</v>
      </c>
      <c r="EB15" s="56"/>
      <c r="EH15" s="121">
        <v>12</v>
      </c>
      <c r="EX15" s="56"/>
      <c r="FD15" s="121">
        <v>12</v>
      </c>
      <c r="FT15" s="56"/>
      <c r="FZ15" s="121">
        <v>12</v>
      </c>
      <c r="GP15" s="56"/>
      <c r="GV15" s="121">
        <v>12</v>
      </c>
      <c r="HL15" s="56"/>
      <c r="HR15" s="121">
        <v>12</v>
      </c>
      <c r="IH15" s="56"/>
      <c r="IN15" s="121">
        <v>12</v>
      </c>
      <c r="JD15" s="56"/>
      <c r="JJ15" s="121">
        <v>12</v>
      </c>
      <c r="JZ15" s="56"/>
      <c r="KF15" s="121">
        <v>12</v>
      </c>
      <c r="KV15" s="56"/>
      <c r="LB15" s="121">
        <v>12</v>
      </c>
      <c r="LR15" s="56"/>
      <c r="LX15" s="121">
        <v>12</v>
      </c>
      <c r="MN15" s="56"/>
      <c r="MT15" s="121">
        <v>12</v>
      </c>
    </row>
    <row r="16" spans="1:381" x14ac:dyDescent="0.2">
      <c r="A16" s="56"/>
      <c r="B16" s="118" t="s">
        <v>75</v>
      </c>
      <c r="C16" s="55"/>
      <c r="AL16" s="56"/>
      <c r="AR16" s="119">
        <v>82</v>
      </c>
      <c r="BI16" s="56"/>
      <c r="BO16" s="119">
        <v>81.400000000000006</v>
      </c>
      <c r="CF16" s="56"/>
      <c r="CL16" s="119">
        <v>81.400000000000006</v>
      </c>
      <c r="DF16" s="56"/>
      <c r="DL16" s="119">
        <v>82</v>
      </c>
      <c r="EB16" s="56"/>
      <c r="EH16" s="119">
        <v>81.400000000000006</v>
      </c>
      <c r="EX16" s="56"/>
      <c r="FD16" s="119">
        <v>81.400000000000006</v>
      </c>
      <c r="FT16" s="56"/>
      <c r="FZ16" s="119">
        <v>81.400000000000006</v>
      </c>
      <c r="GP16" s="56"/>
      <c r="GV16" s="119">
        <v>81.400000000000006</v>
      </c>
      <c r="HL16" s="56"/>
      <c r="HR16" s="119">
        <v>81.400000000000006</v>
      </c>
      <c r="IH16" s="56"/>
      <c r="IN16" s="119">
        <v>81.400000000000006</v>
      </c>
      <c r="JD16" s="56"/>
      <c r="JJ16" s="119">
        <v>81.400000000000006</v>
      </c>
      <c r="JZ16" s="56"/>
      <c r="KF16" s="119">
        <v>81.400000000000006</v>
      </c>
      <c r="KV16" s="56"/>
      <c r="LB16" s="119">
        <v>81.400000000000006</v>
      </c>
      <c r="LR16" s="56"/>
      <c r="LX16" s="119">
        <v>81.400000000000006</v>
      </c>
      <c r="MN16" s="56"/>
      <c r="MT16" s="119">
        <v>81.400000000000006</v>
      </c>
    </row>
    <row r="17" spans="1:358" x14ac:dyDescent="0.2">
      <c r="A17" s="56"/>
      <c r="B17" s="72" t="s">
        <v>76</v>
      </c>
      <c r="C17" s="55"/>
      <c r="AL17" s="56"/>
      <c r="AR17" s="66">
        <v>84</v>
      </c>
      <c r="BI17" s="56"/>
      <c r="BO17" s="66">
        <v>83.4</v>
      </c>
      <c r="CF17" s="56"/>
      <c r="CL17" s="66">
        <v>83.4</v>
      </c>
      <c r="DF17" s="56"/>
      <c r="DL17" s="66">
        <v>84</v>
      </c>
      <c r="EB17" s="56"/>
      <c r="EH17" s="66">
        <v>83.4</v>
      </c>
      <c r="EX17" s="56"/>
      <c r="FD17" s="66">
        <v>83.4</v>
      </c>
      <c r="FT17" s="56"/>
      <c r="FZ17" s="66">
        <v>83.4</v>
      </c>
      <c r="GP17" s="56"/>
      <c r="GV17" s="66">
        <v>83.4</v>
      </c>
      <c r="HL17" s="56"/>
      <c r="HR17" s="66">
        <v>83.4</v>
      </c>
      <c r="IH17" s="56"/>
      <c r="IN17" s="66">
        <v>83.4</v>
      </c>
      <c r="JD17" s="56"/>
      <c r="JJ17" s="66">
        <v>83.4</v>
      </c>
      <c r="JZ17" s="56"/>
      <c r="KF17" s="66">
        <v>83.4</v>
      </c>
      <c r="KV17" s="56"/>
      <c r="LB17" s="66">
        <v>83.4</v>
      </c>
      <c r="LR17" s="56"/>
      <c r="LX17" s="66">
        <v>83.4</v>
      </c>
      <c r="MN17" s="56"/>
      <c r="MT17" s="66">
        <v>83.4</v>
      </c>
    </row>
    <row r="18" spans="1:358" x14ac:dyDescent="0.2">
      <c r="A18" s="56"/>
      <c r="B18" s="116" t="s">
        <v>107</v>
      </c>
      <c r="C18" s="55"/>
      <c r="AL18" s="56"/>
      <c r="AQ18" t="s">
        <v>170</v>
      </c>
      <c r="AR18" s="117">
        <v>85</v>
      </c>
      <c r="BI18" s="56"/>
      <c r="BN18" s="129"/>
      <c r="BO18" s="117">
        <v>45.7</v>
      </c>
      <c r="CF18" s="56"/>
      <c r="CL18" s="117">
        <v>45.7</v>
      </c>
      <c r="DF18" s="56"/>
      <c r="DL18" s="117">
        <v>85</v>
      </c>
      <c r="EB18" s="56"/>
      <c r="EH18" s="117">
        <v>45.7</v>
      </c>
      <c r="EX18" s="56"/>
      <c r="FC18" s="130"/>
      <c r="FD18" s="117">
        <v>45.7</v>
      </c>
      <c r="FT18" s="56"/>
      <c r="FZ18" s="117">
        <v>45.7</v>
      </c>
      <c r="GP18" s="56"/>
      <c r="GV18" s="117">
        <v>45.7</v>
      </c>
      <c r="HL18" s="56"/>
      <c r="HR18" s="117">
        <v>45.7</v>
      </c>
      <c r="IH18" s="56"/>
      <c r="IN18" s="117">
        <v>45.7</v>
      </c>
      <c r="JD18" s="56"/>
      <c r="JJ18" s="117">
        <v>45.7</v>
      </c>
      <c r="JZ18" s="56"/>
      <c r="KF18" s="117">
        <v>45.7</v>
      </c>
      <c r="KV18" s="56"/>
      <c r="LB18" s="117">
        <v>45.7</v>
      </c>
      <c r="LR18" s="56"/>
      <c r="LX18" s="117">
        <v>45.7</v>
      </c>
      <c r="MN18" s="56"/>
      <c r="MT18" s="117">
        <v>45.7</v>
      </c>
    </row>
    <row r="19" spans="1:358" x14ac:dyDescent="0.2">
      <c r="A19" s="56"/>
      <c r="B19" s="74" t="s">
        <v>57</v>
      </c>
      <c r="C19" s="55"/>
      <c r="AL19" s="56"/>
      <c r="AQ19" t="s">
        <v>169</v>
      </c>
      <c r="AR19" s="68">
        <v>45.1</v>
      </c>
      <c r="BI19" s="56"/>
      <c r="BN19" s="130"/>
      <c r="BO19" s="68">
        <v>46.8</v>
      </c>
      <c r="CF19" s="56"/>
      <c r="CL19" s="68">
        <v>46.8</v>
      </c>
      <c r="DF19" s="56"/>
      <c r="DL19" s="68">
        <v>86</v>
      </c>
      <c r="EB19" s="56"/>
      <c r="EG19" s="130"/>
      <c r="EH19" s="68">
        <v>46.8</v>
      </c>
      <c r="EX19" s="56"/>
      <c r="FD19" s="68">
        <v>46.8</v>
      </c>
      <c r="FT19" s="56"/>
      <c r="FY19" s="133"/>
      <c r="FZ19" s="68">
        <v>46.8</v>
      </c>
      <c r="GP19" s="56"/>
      <c r="GV19" s="68">
        <v>46.8</v>
      </c>
      <c r="HL19" s="56"/>
      <c r="HR19" s="68">
        <v>46.8</v>
      </c>
      <c r="IH19" s="56"/>
      <c r="IN19" s="68">
        <v>46.8</v>
      </c>
      <c r="JD19" s="56"/>
      <c r="JJ19" s="68">
        <v>46.8</v>
      </c>
      <c r="JZ19" s="56"/>
      <c r="KF19" s="68">
        <v>46.8</v>
      </c>
      <c r="KV19" s="56"/>
      <c r="LB19" s="68">
        <v>46.8</v>
      </c>
      <c r="LR19" s="56"/>
      <c r="LX19" s="68">
        <v>46.8</v>
      </c>
      <c r="MN19" s="56"/>
      <c r="MT19" s="68">
        <v>46.8</v>
      </c>
    </row>
    <row r="20" spans="1:358" x14ac:dyDescent="0.2">
      <c r="B20" s="82" t="s">
        <v>89</v>
      </c>
      <c r="C20" s="2"/>
      <c r="DG20" s="54"/>
    </row>
    <row r="21" spans="1:358" x14ac:dyDescent="0.2">
      <c r="A21" s="56"/>
      <c r="B21" s="56"/>
      <c r="C21" s="55"/>
    </row>
    <row r="22" spans="1:358" ht="17" x14ac:dyDescent="0.2">
      <c r="A22" s="56"/>
      <c r="B22" s="56"/>
      <c r="C22" s="55"/>
      <c r="S22" s="19"/>
      <c r="T22" s="19"/>
      <c r="U22" s="19"/>
    </row>
    <row r="23" spans="1:358" ht="17" x14ac:dyDescent="0.2">
      <c r="A23" s="56"/>
      <c r="B23" s="56"/>
      <c r="C23" s="55"/>
      <c r="S23" s="19"/>
      <c r="T23" s="19"/>
      <c r="U23" s="19"/>
    </row>
    <row r="24" spans="1:358" ht="17" x14ac:dyDescent="0.2">
      <c r="S24" s="19"/>
      <c r="T24" s="19"/>
      <c r="U24" s="19"/>
    </row>
    <row r="25" spans="1:358" ht="17" x14ac:dyDescent="0.2"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</sheetData>
  <sheetProtection sheet="1" formatCells="0" formatColumns="0" formatRows="0"/>
  <autoFilter ref="A1:NQ9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12">
      <sortCondition descending="1" ref="F1:F13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9">
    <cfRule type="expression" dxfId="109" priority="7" stopIfTrue="1">
      <formula>IF($AK4&lt;&gt;"",1,0)</formula>
    </cfRule>
  </conditionalFormatting>
  <conditionalFormatting sqref="AS4:BO9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9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20:BN1048576 AQ1:AQ1048576 BN1:BN18 CK1:CK1048576 DK1:DK1048576 EG1:EG18 FC1:FC17 FY1:FY18 GU1:GU1048576 HQ1:HQ1048576 IM1:IM1048576 JI1:JI1048576 KE1:KE1048576 LA1:LA1048576 LW1:LW1048576 MS1:MS1048576 EG20:EG1048576 FC19:FC1048576 FY20:FY1048576">
    <cfRule type="cellIs" dxfId="97" priority="38252" operator="between">
      <formula>AR$19</formula>
      <formula>1000</formula>
    </cfRule>
    <cfRule type="cellIs" dxfId="96" priority="38253" operator="between">
      <formula>AR$18</formula>
      <formula>AR$19</formula>
    </cfRule>
  </conditionalFormatting>
  <conditionalFormatting sqref="EG19">
    <cfRule type="cellIs" dxfId="95" priority="3" operator="between">
      <formula>EH$21</formula>
      <formula>1000</formula>
    </cfRule>
    <cfRule type="cellIs" dxfId="94" priority="4" operator="between">
      <formula>EH$20</formula>
      <formula>EH$21</formula>
    </cfRule>
  </conditionalFormatting>
  <conditionalFormatting sqref="FC18">
    <cfRule type="cellIs" dxfId="93" priority="1" operator="between">
      <formula>FD$21</formula>
      <formula>1000</formula>
    </cfRule>
    <cfRule type="cellIs" dxfId="92" priority="2" operator="between">
      <formula>FD$20</formula>
      <formula>FD$21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1" priority="42114" operator="between">
      <formula>AR$15</formula>
      <formula>1000</formula>
    </cfRule>
    <cfRule type="cellIs" dxfId="10" priority="42115" operator="between">
      <formula>AR$14</formula>
      <formula>AR$15</formula>
    </cfRule>
    <cfRule type="cellIs" dxfId="9" priority="42116" operator="between">
      <formula>AR$13</formula>
      <formula>AR$14</formula>
    </cfRule>
    <cfRule type="cellIs" dxfId="8" priority="42117" operator="between">
      <formula>AR$12</formula>
      <formula>AR$13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7" priority="42294" operator="between">
      <formula>AR$19</formula>
      <formula>1000</formula>
    </cfRule>
    <cfRule type="cellIs" dxfId="6" priority="42295" operator="between">
      <formula>AR$18</formula>
      <formula>AR$19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5" priority="42384" operator="between">
      <formula>AR$17</formula>
      <formula>1000</formula>
    </cfRule>
    <cfRule type="cellIs" dxfId="4" priority="42385" operator="between">
      <formula>AR$16</formula>
      <formula>AR$17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3" priority="42474" operator="between">
      <formula>AR$15</formula>
      <formula>1000</formula>
    </cfRule>
    <cfRule type="cellIs" dxfId="2" priority="42475" operator="between">
      <formula>AR$14</formula>
      <formula>AR$15</formula>
    </cfRule>
    <cfRule type="cellIs" dxfId="1" priority="42476" operator="between">
      <formula>AR$13</formula>
      <formula>AR$14</formula>
    </cfRule>
    <cfRule type="cellIs" dxfId="0" priority="42477" operator="between">
      <formula>AR$12</formula>
      <formula>AR$13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180</v>
      </c>
      <c r="J1" s="141" t="s">
        <v>17</v>
      </c>
      <c r="K1" s="141" t="s">
        <v>55</v>
      </c>
      <c r="L1" s="141" t="s">
        <v>20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128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160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182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7" t="s">
        <v>113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1"/>
      <c r="K2" s="141"/>
      <c r="L2" s="141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126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126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126</v>
      </c>
      <c r="CC2" s="9" t="s">
        <v>30</v>
      </c>
      <c r="CD2" s="9" t="s">
        <v>25</v>
      </c>
      <c r="CE2" s="22" t="s">
        <v>31</v>
      </c>
      <c r="CF2" s="22" t="s">
        <v>30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4" t="s">
        <v>48</v>
      </c>
      <c r="CT2" s="144"/>
      <c r="CU2" s="144"/>
      <c r="CV2" s="144"/>
      <c r="CW2" s="58" t="s">
        <v>32</v>
      </c>
      <c r="CX2" s="9" t="s">
        <v>31</v>
      </c>
      <c r="CY2" s="9" t="s">
        <v>126</v>
      </c>
      <c r="CZ2" s="9" t="s">
        <v>30</v>
      </c>
      <c r="DA2" s="9" t="s">
        <v>25</v>
      </c>
      <c r="DB2" s="135" t="s">
        <v>43</v>
      </c>
      <c r="DC2" s="135"/>
      <c r="DD2" s="135"/>
      <c r="DE2" s="135"/>
      <c r="DF2" s="135" t="s">
        <v>46</v>
      </c>
      <c r="DG2" s="135"/>
      <c r="DH2" s="135"/>
      <c r="DI2" s="135"/>
      <c r="DJ2" s="135" t="s">
        <v>47</v>
      </c>
      <c r="DK2" s="135"/>
      <c r="DL2" s="135"/>
      <c r="DM2" s="135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126</v>
      </c>
      <c r="DU2" s="12" t="s">
        <v>30</v>
      </c>
      <c r="DV2" s="12" t="s">
        <v>25</v>
      </c>
      <c r="DW2" s="136" t="s">
        <v>43</v>
      </c>
      <c r="DX2" s="136"/>
      <c r="DY2" s="136"/>
      <c r="DZ2" s="136"/>
      <c r="EA2" s="136" t="s">
        <v>46</v>
      </c>
      <c r="EB2" s="136"/>
      <c r="EC2" s="136"/>
      <c r="ED2" s="136"/>
      <c r="EE2" s="136" t="s">
        <v>47</v>
      </c>
      <c r="EF2" s="136"/>
      <c r="EG2" s="136"/>
      <c r="EH2" s="136"/>
      <c r="EI2" s="144" t="s">
        <v>48</v>
      </c>
      <c r="EJ2" s="144"/>
      <c r="EK2" s="144"/>
      <c r="EL2" s="144"/>
      <c r="EM2" s="58" t="s">
        <v>32</v>
      </c>
      <c r="EN2" s="9" t="s">
        <v>31</v>
      </c>
      <c r="EO2" s="9" t="s">
        <v>126</v>
      </c>
      <c r="EP2" s="9" t="s">
        <v>30</v>
      </c>
      <c r="EQ2" s="9" t="s">
        <v>25</v>
      </c>
      <c r="ER2" s="135" t="s">
        <v>43</v>
      </c>
      <c r="ES2" s="135"/>
      <c r="ET2" s="135"/>
      <c r="EU2" s="135"/>
      <c r="EV2" s="135" t="s">
        <v>46</v>
      </c>
      <c r="EW2" s="135"/>
      <c r="EX2" s="135"/>
      <c r="EY2" s="135"/>
      <c r="EZ2" s="135" t="s">
        <v>47</v>
      </c>
      <c r="FA2" s="135"/>
      <c r="FB2" s="135"/>
      <c r="FC2" s="135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126</v>
      </c>
      <c r="FK2" s="12" t="s">
        <v>30</v>
      </c>
      <c r="FL2" s="12" t="s">
        <v>25</v>
      </c>
      <c r="FM2" s="136" t="s">
        <v>43</v>
      </c>
      <c r="FN2" s="136"/>
      <c r="FO2" s="136"/>
      <c r="FP2" s="136"/>
      <c r="FQ2" s="136" t="s">
        <v>46</v>
      </c>
      <c r="FR2" s="136"/>
      <c r="FS2" s="136"/>
      <c r="FT2" s="136"/>
      <c r="FU2" s="136" t="s">
        <v>47</v>
      </c>
      <c r="FV2" s="136"/>
      <c r="FW2" s="136"/>
      <c r="FX2" s="136"/>
      <c r="FY2" s="144" t="s">
        <v>48</v>
      </c>
      <c r="FZ2" s="144"/>
      <c r="GA2" s="144"/>
      <c r="GB2" s="144"/>
      <c r="GC2" s="21" t="s">
        <v>32</v>
      </c>
      <c r="GD2" s="9" t="s">
        <v>31</v>
      </c>
      <c r="GE2" s="9" t="s">
        <v>126</v>
      </c>
      <c r="GF2" s="9" t="s">
        <v>30</v>
      </c>
      <c r="GG2" s="9" t="s">
        <v>25</v>
      </c>
      <c r="GH2" s="135" t="s">
        <v>43</v>
      </c>
      <c r="GI2" s="135"/>
      <c r="GJ2" s="135"/>
      <c r="GK2" s="135"/>
      <c r="GL2" s="135" t="s">
        <v>46</v>
      </c>
      <c r="GM2" s="135"/>
      <c r="GN2" s="135"/>
      <c r="GO2" s="135"/>
      <c r="GP2" s="135" t="s">
        <v>47</v>
      </c>
      <c r="GQ2" s="135"/>
      <c r="GR2" s="135"/>
      <c r="GS2" s="135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126</v>
      </c>
      <c r="HA2" s="12" t="s">
        <v>30</v>
      </c>
      <c r="HB2" s="12" t="s">
        <v>25</v>
      </c>
      <c r="HC2" s="136" t="s">
        <v>43</v>
      </c>
      <c r="HD2" s="136"/>
      <c r="HE2" s="136"/>
      <c r="HF2" s="136"/>
      <c r="HG2" s="136" t="s">
        <v>46</v>
      </c>
      <c r="HH2" s="136"/>
      <c r="HI2" s="136"/>
      <c r="HJ2" s="136"/>
      <c r="HK2" s="136" t="s">
        <v>47</v>
      </c>
      <c r="HL2" s="136"/>
      <c r="HM2" s="136"/>
      <c r="HN2" s="136"/>
      <c r="HO2" s="144" t="s">
        <v>48</v>
      </c>
      <c r="HP2" s="144"/>
      <c r="HQ2" s="144"/>
      <c r="HR2" s="144"/>
      <c r="HS2" s="21" t="s">
        <v>32</v>
      </c>
      <c r="HT2" s="9" t="s">
        <v>31</v>
      </c>
      <c r="HU2" s="9" t="s">
        <v>126</v>
      </c>
      <c r="HV2" s="9" t="s">
        <v>30</v>
      </c>
      <c r="HW2" s="9" t="s">
        <v>25</v>
      </c>
      <c r="HX2" s="135" t="s">
        <v>43</v>
      </c>
      <c r="HY2" s="135"/>
      <c r="HZ2" s="135"/>
      <c r="IA2" s="135"/>
      <c r="IB2" s="135" t="s">
        <v>46</v>
      </c>
      <c r="IC2" s="135"/>
      <c r="ID2" s="135"/>
      <c r="IE2" s="135"/>
      <c r="IF2" s="135" t="s">
        <v>47</v>
      </c>
      <c r="IG2" s="135"/>
      <c r="IH2" s="135"/>
      <c r="II2" s="135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126</v>
      </c>
      <c r="IQ2" s="12" t="s">
        <v>30</v>
      </c>
      <c r="IR2" s="12" t="s">
        <v>25</v>
      </c>
      <c r="IS2" s="136" t="s">
        <v>43</v>
      </c>
      <c r="IT2" s="136"/>
      <c r="IU2" s="136"/>
      <c r="IV2" s="136"/>
      <c r="IW2" s="136" t="s">
        <v>46</v>
      </c>
      <c r="IX2" s="136"/>
      <c r="IY2" s="136"/>
      <c r="IZ2" s="136"/>
      <c r="JA2" s="136" t="s">
        <v>47</v>
      </c>
      <c r="JB2" s="136"/>
      <c r="JC2" s="136"/>
      <c r="JD2" s="136"/>
      <c r="JE2" s="144" t="s">
        <v>48</v>
      </c>
      <c r="JF2" s="144"/>
      <c r="JG2" s="144"/>
      <c r="JH2" s="144"/>
      <c r="JI2" s="21" t="s">
        <v>32</v>
      </c>
      <c r="JJ2" s="9" t="s">
        <v>31</v>
      </c>
      <c r="JK2" s="9" t="s">
        <v>126</v>
      </c>
      <c r="JL2" s="9" t="s">
        <v>30</v>
      </c>
      <c r="JM2" s="9" t="s">
        <v>25</v>
      </c>
      <c r="JN2" s="135" t="s">
        <v>43</v>
      </c>
      <c r="JO2" s="135"/>
      <c r="JP2" s="135"/>
      <c r="JQ2" s="135"/>
      <c r="JR2" s="135" t="s">
        <v>46</v>
      </c>
      <c r="JS2" s="135"/>
      <c r="JT2" s="135"/>
      <c r="JU2" s="135"/>
      <c r="JV2" s="135" t="s">
        <v>47</v>
      </c>
      <c r="JW2" s="135"/>
      <c r="JX2" s="135"/>
      <c r="JY2" s="135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126</v>
      </c>
      <c r="KG2" s="12" t="s">
        <v>30</v>
      </c>
      <c r="KH2" s="12" t="s">
        <v>25</v>
      </c>
      <c r="KI2" s="136" t="s">
        <v>43</v>
      </c>
      <c r="KJ2" s="136"/>
      <c r="KK2" s="136"/>
      <c r="KL2" s="136"/>
      <c r="KM2" s="136" t="s">
        <v>46</v>
      </c>
      <c r="KN2" s="136"/>
      <c r="KO2" s="136"/>
      <c r="KP2" s="136"/>
      <c r="KQ2" s="136" t="s">
        <v>47</v>
      </c>
      <c r="KR2" s="136"/>
      <c r="KS2" s="136"/>
      <c r="KT2" s="136"/>
      <c r="KU2" s="144" t="s">
        <v>48</v>
      </c>
      <c r="KV2" s="144"/>
      <c r="KW2" s="144"/>
      <c r="KX2" s="144"/>
      <c r="KY2" s="21" t="s">
        <v>32</v>
      </c>
      <c r="KZ2" s="9" t="s">
        <v>31</v>
      </c>
      <c r="LA2" s="9" t="s">
        <v>126</v>
      </c>
      <c r="LB2" s="9" t="s">
        <v>30</v>
      </c>
      <c r="LC2" s="9" t="s">
        <v>25</v>
      </c>
      <c r="LD2" s="135" t="s">
        <v>43</v>
      </c>
      <c r="LE2" s="135"/>
      <c r="LF2" s="135"/>
      <c r="LG2" s="135"/>
      <c r="LH2" s="135" t="s">
        <v>46</v>
      </c>
      <c r="LI2" s="135"/>
      <c r="LJ2" s="135"/>
      <c r="LK2" s="135"/>
      <c r="LL2" s="135" t="s">
        <v>47</v>
      </c>
      <c r="LM2" s="135"/>
      <c r="LN2" s="135"/>
      <c r="LO2" s="135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126</v>
      </c>
      <c r="LW2" s="12" t="s">
        <v>30</v>
      </c>
      <c r="LX2" s="12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126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1"/>
      <c r="K3" s="141"/>
      <c r="L3" s="141"/>
      <c r="M3" s="141"/>
      <c r="N3" s="142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87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142</v>
      </c>
      <c r="C4" s="7" t="s">
        <v>5</v>
      </c>
      <c r="D4" s="27">
        <v>2001</v>
      </c>
      <c r="E4" s="15">
        <f>SUM(J4:N4)</f>
        <v>133.80000000000001</v>
      </c>
      <c r="F4" s="3" t="str">
        <f>IF(OR(AND(AH4&gt;=AL$11,AI4&gt;=AL$15,AI4&lt;&gt;"",AG4=""),AND(BD4&gt;=BH$11,BE4&gt;=BH$15,BE4&lt;&gt;"",BC4=""),AND(BZ4&gt;=CD$11,CA4&gt;=CD$15,CA4&lt;&gt;"",BY4=""),AND(CW4&gt;=DA$11,CX4&gt;=DA$15,CX4&lt;&gt;""),AND(DR4&gt;=DV$11,DS4&gt;=DV$15,DS4&lt;&gt;""),AND(EM4&gt;=EQ$11,EN4&gt;=EQ$15,EN4&lt;&gt;""),AND(FH4&gt;=FL$11,FI4&gt;=FL$15,FI4&lt;&gt;""),AND(GC4&gt;=GG$11,GD4&gt;=GG$15,GD4&lt;&gt;""),AND(GX4&gt;=HB$11,GY4&gt;=HB$15,GY4&lt;&gt;""),AND(HS4&gt;=HW$11,HT4&gt;=HW$15,HT4&lt;&gt;""),AND(IN4&gt;=IR$11,IO4&gt;=IR$15,IO4&lt;&gt;""),AND(JI4&gt;=JM$11,JJ4&gt;=JM$15,JJ4&lt;&gt;""),AND(KD4&gt;=KH$11,KE4&gt;=KH$15,KE4&lt;&gt;""),AND(KY4&gt;=LC$11,KZ4&gt;=LC$15,KZ4&lt;&gt;""),AND(LT4&gt;=LX$11,LU4&gt;=LX$15,LU4&lt;&gt;"")),"P","")</f>
        <v>P</v>
      </c>
      <c r="G4" s="3" t="str">
        <f>IF(OR(AND(AI4&gt;=AL$15,AI4&lt;&gt;"",AG4=""),AND(BE4&gt;=BH$15,BE4&lt;&gt;"",BC4=""),AND(CA4&gt;=CD$15,CA4&lt;&gt;"",BY4=""),AND(CX4&gt;=DA$15,CX4&lt;&gt;""),AND(DS4&gt;=DV$15,DS4&lt;&gt;""),AND(EN4&gt;=EQ$15,EN4&lt;&gt;""),AND(FI4&gt;=FL$15,FI4&lt;&gt;""),AND(GD4&gt;=GG$15,GD4&lt;&gt;""),AND(GY4&gt;=HB$15,GY4&lt;&gt;""),AND(HT4&gt;=HW$15,HT4&lt;&gt;""),AND(IO4&gt;=IR$15,IO4&lt;&gt;""),AND(JJ4&gt;=JM$15,JJ4&lt;&gt;""),AND(KE4&gt;=KH$15,KE4&lt;&gt;""),AND(KZ4&gt;=LC$15,KZ4&lt;&gt;""),AND(LU4&gt;=LX$15,LU4&lt;&gt;"")),"P","")</f>
        <v>P</v>
      </c>
      <c r="H4" s="126" t="str">
        <f>IF(AND(G4="P",F4=""),"No DD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Merit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Excellence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Worlds Team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66.3</v>
      </c>
      <c r="K4" s="14" t="str">
        <f>IF(J4=0,"",IF(J4=CA4,$BI$1,IF(J4=BE4,$AM$1,IF(J4=AI4,$Q$1,""))))</f>
        <v>2019 Nationals</v>
      </c>
      <c r="L4" s="14">
        <f>MAX(AK4,BG4,CC4)</f>
        <v>67.5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25.9</v>
      </c>
      <c r="R4" s="45">
        <v>5.7</v>
      </c>
      <c r="S4" s="45">
        <v>0.3</v>
      </c>
      <c r="T4" s="45">
        <v>1</v>
      </c>
      <c r="U4" s="45">
        <v>27.9</v>
      </c>
      <c r="V4" s="45">
        <v>6.1</v>
      </c>
      <c r="W4" s="45">
        <v>0</v>
      </c>
      <c r="X4" s="45">
        <v>0</v>
      </c>
      <c r="Y4" s="45">
        <v>26.1</v>
      </c>
      <c r="Z4" s="45">
        <v>7.3</v>
      </c>
      <c r="AA4" s="45">
        <v>0</v>
      </c>
      <c r="AB4" s="45">
        <v>1</v>
      </c>
      <c r="AC4" s="45">
        <v>27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</v>
      </c>
      <c r="AI4" s="11">
        <f>IF(SUM(Q4:R4,T4:V4,X4)-S4-W4&gt;0,SUM(Q4:R4,T4:V4,X4)-S4-W4,"")</f>
        <v>66.3</v>
      </c>
      <c r="AJ4" s="11">
        <f>IF(SUM(Z4,AD4)&gt;0,SUM(R4,V4),"")</f>
        <v>11.8</v>
      </c>
      <c r="AK4" s="11">
        <f>IF(SUM(Y4:Z4,AB4:AD4,AF4)-SUM(AA4,AE4)&gt;0,SUM(Y4:Z4,AB4:AD4,AF4)-SUM(AA4,AE4),"")</f>
        <v>67.5</v>
      </c>
      <c r="AL4" s="11">
        <f>IF(SUM(AI4,AK4)&gt;0,SUM(AI4,AK4),"")</f>
        <v>133.80000000000001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8" si="0">IF($BY4="P",BI4,(BI4+AM4)/2)</f>
        <v>0</v>
      </c>
      <c r="LZ4" s="69">
        <f t="shared" si="0"/>
        <v>0</v>
      </c>
      <c r="MA4" s="69">
        <f t="shared" si="0"/>
        <v>0</v>
      </c>
      <c r="MB4" s="69">
        <f t="shared" si="0"/>
        <v>0</v>
      </c>
      <c r="MC4" s="69">
        <f t="shared" si="0"/>
        <v>0</v>
      </c>
      <c r="MD4" s="69">
        <f t="shared" si="0"/>
        <v>0</v>
      </c>
      <c r="ME4" s="69">
        <f t="shared" si="0"/>
        <v>0</v>
      </c>
      <c r="MF4" s="69">
        <f t="shared" si="0"/>
        <v>0</v>
      </c>
      <c r="MG4" s="69">
        <f t="shared" si="0"/>
        <v>0</v>
      </c>
      <c r="MH4" s="69">
        <f t="shared" si="0"/>
        <v>0</v>
      </c>
      <c r="MI4" s="69">
        <f t="shared" si="0"/>
        <v>0</v>
      </c>
      <c r="MJ4" s="69">
        <f t="shared" si="0"/>
        <v>0</v>
      </c>
      <c r="MK4" s="69">
        <f t="shared" si="0"/>
        <v>0</v>
      </c>
      <c r="ML4" s="69">
        <f t="shared" si="0"/>
        <v>0</v>
      </c>
      <c r="MM4" s="69">
        <f t="shared" si="0"/>
        <v>0</v>
      </c>
      <c r="MN4" s="69">
        <f t="shared" si="0"/>
        <v>0</v>
      </c>
      <c r="MO4" s="80" t="s">
        <v>88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175</v>
      </c>
      <c r="C5" s="7" t="s">
        <v>5</v>
      </c>
      <c r="D5" s="27">
        <v>2002</v>
      </c>
      <c r="E5" s="15">
        <f>SUM(J5:N5)</f>
        <v>127.10000000000001</v>
      </c>
      <c r="F5" s="3" t="str">
        <f>IF(OR(AND(AH5&gt;=AL$11,AI5&gt;=AL$15,AI5&lt;&gt;"",AG5=""),AND(BD5&gt;=BH$11,BE5&gt;=BH$15,BE5&lt;&gt;"",BC5=""),AND(BZ5&gt;=CD$11,CA5&gt;=CD$15,CA5&lt;&gt;"",BY5=""),AND(CW5&gt;=DA$11,CX5&gt;=DA$15,CX5&lt;&gt;""),AND(DR5&gt;=DV$11,DS5&gt;=DV$15,DS5&lt;&gt;""),AND(EM5&gt;=EQ$11,EN5&gt;=EQ$15,EN5&lt;&gt;""),AND(FH5&gt;=FL$11,FI5&gt;=FL$15,FI5&lt;&gt;""),AND(GC5&gt;=GG$11,GD5&gt;=GG$15,GD5&lt;&gt;""),AND(GX5&gt;=HB$11,GY5&gt;=HB$15,GY5&lt;&gt;""),AND(HS5&gt;=HW$11,HT5&gt;=HW$15,HT5&lt;&gt;""),AND(IN5&gt;=IR$11,IO5&gt;=IR$15,IO5&lt;&gt;""),AND(JI5&gt;=JM$11,JJ5&gt;=JM$15,JJ5&lt;&gt;""),AND(KD5&gt;=KH$11,KE5&gt;=KH$15,KE5&lt;&gt;""),AND(KY5&gt;=LC$11,KZ5&gt;=LC$15,KZ5&lt;&gt;""),AND(LT5&gt;=LX$11,LU5&gt;=LX$15,LU5&lt;&gt;"")),"P","")</f>
        <v>P</v>
      </c>
      <c r="G5" s="3" t="str">
        <f>IF(OR(AND(AI5&gt;=AL$15,AI5&lt;&gt;"",AG5=""),AND(BE5&gt;=BH$15,BE5&lt;&gt;"",BC5=""),AND(CA5&gt;=CD$15,CA5&lt;&gt;"",BY5=""),AND(CX5&gt;=DA$15,CX5&lt;&gt;""),AND(DS5&gt;=DV$15,DS5&lt;&gt;""),AND(EN5&gt;=EQ$15,EN5&lt;&gt;""),AND(FI5&gt;=FL$15,FI5&lt;&gt;""),AND(GD5&gt;=GG$15,GD5&lt;&gt;""),AND(GY5&gt;=HB$15,GY5&lt;&gt;""),AND(HT5&gt;=HW$15,HT5&lt;&gt;""),AND(IO5&gt;=IR$15,IO5&lt;&gt;""),AND(JJ5&gt;=JM$15,JJ5&lt;&gt;""),AND(KE5&gt;=KH$15,KE5&lt;&gt;""),AND(KZ5&gt;=LC$15,KZ5&lt;&gt;""),AND(LU5&gt;=LX$15,LU5&lt;&gt;"")),"P","")</f>
        <v>P</v>
      </c>
      <c r="H5" s="126" t="str">
        <f>IF(AND(G5="P",F5=""),"No DD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Merit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Excellence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Worlds Team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63.500000000000007</v>
      </c>
      <c r="K5" s="14" t="str">
        <f>IF(J5=0,"",IF(J5=CA5,$BI$1,IF(J5=BE5,$AM$1,IF(J5=AI5,$Q$1,""))))</f>
        <v>2021 2nd Virtual Technical Trial</v>
      </c>
      <c r="L5" s="14">
        <f>MAX(AK5,BG5,CC5)</f>
        <v>63.6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25.8</v>
      </c>
      <c r="R5" s="45">
        <v>5.5</v>
      </c>
      <c r="S5" s="45">
        <v>0</v>
      </c>
      <c r="T5" s="45">
        <v>0</v>
      </c>
      <c r="U5" s="45">
        <v>25.5</v>
      </c>
      <c r="V5" s="45">
        <v>5.4</v>
      </c>
      <c r="W5" s="45">
        <v>0</v>
      </c>
      <c r="X5" s="45">
        <v>1</v>
      </c>
      <c r="Y5" s="45">
        <v>25.7</v>
      </c>
      <c r="Z5" s="45">
        <v>5.3</v>
      </c>
      <c r="AA5" s="45">
        <v>0.3</v>
      </c>
      <c r="AB5" s="45">
        <v>0</v>
      </c>
      <c r="AC5" s="45">
        <v>25.5</v>
      </c>
      <c r="AD5" s="45">
        <v>6.1</v>
      </c>
      <c r="AE5" s="45">
        <v>0</v>
      </c>
      <c r="AF5" s="45">
        <v>1</v>
      </c>
      <c r="AG5" s="80"/>
      <c r="AH5" s="11">
        <f>IF(SUM(R5,V5)&gt;0,SUM(R5,V5),"")</f>
        <v>10.9</v>
      </c>
      <c r="AI5" s="11">
        <f>IF(SUM(Q5:R5,T5:V5,X5)-S5-W5&gt;0,SUM(Q5:R5,T5:V5,X5)-S5-W5,"")</f>
        <v>63.199999999999996</v>
      </c>
      <c r="AJ5" s="11">
        <f>IF(SUM(Z5,AD5)&gt;0,SUM(R5,V5),"")</f>
        <v>10.9</v>
      </c>
      <c r="AK5" s="11">
        <f>IF(SUM(Y5:Z5,AB5:AD5,AF5)-SUM(AA5,AE5)&gt;0,SUM(Y5:Z5,AB5:AD5,AF5)-SUM(AA5,AE5),"")</f>
        <v>63.300000000000004</v>
      </c>
      <c r="AL5" s="11">
        <f>IF(SUM(AI5,AK5)&gt;0,SUM(AI5,AK5),"")</f>
        <v>126.5</v>
      </c>
      <c r="AM5" s="38">
        <v>23.1</v>
      </c>
      <c r="AN5" s="38">
        <v>4.4000000000000004</v>
      </c>
      <c r="AO5" s="38">
        <v>0.6</v>
      </c>
      <c r="AP5" s="38">
        <v>0</v>
      </c>
      <c r="AQ5" s="38">
        <v>26.2</v>
      </c>
      <c r="AR5" s="38">
        <v>6.1</v>
      </c>
      <c r="AS5" s="38">
        <v>0</v>
      </c>
      <c r="AT5" s="38">
        <v>0</v>
      </c>
      <c r="AU5" s="38">
        <v>22.6</v>
      </c>
      <c r="AV5" s="38">
        <v>5.6</v>
      </c>
      <c r="AW5" s="38">
        <v>0.3</v>
      </c>
      <c r="AX5" s="38">
        <v>0</v>
      </c>
      <c r="AY5" s="38">
        <v>24.8</v>
      </c>
      <c r="AZ5" s="38">
        <v>5.9</v>
      </c>
      <c r="BA5" s="38">
        <v>0</v>
      </c>
      <c r="BB5" s="38">
        <v>0</v>
      </c>
      <c r="BC5" s="81"/>
      <c r="BD5" s="14">
        <f>IF(SUM(AN5,AR5)&gt;0,SUM(AN5,AR5),"")</f>
        <v>10.5</v>
      </c>
      <c r="BE5" s="14">
        <f>IF(SUM(AM5:AN5,AP5:AR5,AT5)-AO5-AS5&gt;0,SUM(AM5:AN5,AP5:AR5,AT5)-AO5-AS5,"")</f>
        <v>59.2</v>
      </c>
      <c r="BF5" s="14">
        <f>IF(SUM(AV5,AZ5)&gt;0,SUM(AV5,AZ5),"")</f>
        <v>11.5</v>
      </c>
      <c r="BG5" s="14">
        <f>IF(SUM(AU5:AV5,AX5:AZ5,BB5)-SUM(AW5,BA5)&gt;0,SUM(AU5:AV5,AX5:AZ5,BB5)-SUM(AW5,BA5),"")</f>
        <v>58.6</v>
      </c>
      <c r="BH5" s="14">
        <f>IF(SUM(BE5,BG5)&gt;0,SUM(BE5,BG5),"")</f>
        <v>117.80000000000001</v>
      </c>
      <c r="BI5" s="45">
        <v>27.2</v>
      </c>
      <c r="BJ5" s="45">
        <v>5.8</v>
      </c>
      <c r="BK5" s="45">
        <v>0</v>
      </c>
      <c r="BL5" s="45">
        <v>0</v>
      </c>
      <c r="BM5" s="45">
        <v>24.7</v>
      </c>
      <c r="BN5" s="45">
        <v>6.1</v>
      </c>
      <c r="BO5" s="45">
        <v>0.3</v>
      </c>
      <c r="BP5" s="45">
        <v>0</v>
      </c>
      <c r="BQ5" s="45">
        <v>25.8</v>
      </c>
      <c r="BR5" s="45">
        <v>5.4</v>
      </c>
      <c r="BS5" s="45">
        <v>0.1</v>
      </c>
      <c r="BT5" s="45">
        <v>0</v>
      </c>
      <c r="BU5" s="45">
        <v>26.4</v>
      </c>
      <c r="BV5" s="45">
        <v>6.1</v>
      </c>
      <c r="BW5" s="45">
        <v>0</v>
      </c>
      <c r="BX5" s="45">
        <v>0</v>
      </c>
      <c r="BY5" s="80"/>
      <c r="BZ5" s="11">
        <f>IF(SUM(BJ5,BN5)&gt;0,SUM(BJ5,BN5),"")</f>
        <v>11.899999999999999</v>
      </c>
      <c r="CA5" s="11">
        <f>IF(SUM(BI5:BJ5,BL5:BN5,BP5)-BK5-BO5&gt;0,SUM(BI5:BJ5,BL5:BN5,BP5)-BK5-BO5,"")</f>
        <v>63.500000000000007</v>
      </c>
      <c r="CB5" s="11">
        <f>IF(SUM(BR5,BV5)&gt;0,SUM(BR5,BV5),"")</f>
        <v>11.5</v>
      </c>
      <c r="CC5" s="11">
        <f>IF(SUM(BQ5:BR5,BT5:BV5,BX5)-SUM(BS5,BW5)&gt;0,SUM(BQ5:BR5,BT5:BV5,BX5)-SUM(BS5,BW5),"")</f>
        <v>63.6</v>
      </c>
      <c r="CD5" s="11">
        <f>IF(SUM(CA5,CC5)&gt;0,SUM(CA5,CC5),"")</f>
        <v>127.10000000000001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25.15</v>
      </c>
      <c r="LZ5" s="69">
        <f t="shared" si="0"/>
        <v>5.0999999999999996</v>
      </c>
      <c r="MA5" s="69">
        <f t="shared" si="0"/>
        <v>0.3</v>
      </c>
      <c r="MB5" s="69">
        <f t="shared" si="0"/>
        <v>0</v>
      </c>
      <c r="MC5" s="69">
        <f t="shared" si="0"/>
        <v>25.45</v>
      </c>
      <c r="MD5" s="69">
        <f t="shared" si="0"/>
        <v>6.1</v>
      </c>
      <c r="ME5" s="69">
        <f t="shared" si="0"/>
        <v>0.15</v>
      </c>
      <c r="MF5" s="69">
        <f t="shared" si="0"/>
        <v>0</v>
      </c>
      <c r="MG5" s="69">
        <f t="shared" si="0"/>
        <v>24.200000000000003</v>
      </c>
      <c r="MH5" s="69">
        <f t="shared" si="0"/>
        <v>5.5</v>
      </c>
      <c r="MI5" s="69">
        <f t="shared" si="0"/>
        <v>0.2</v>
      </c>
      <c r="MJ5" s="69">
        <f t="shared" si="0"/>
        <v>0</v>
      </c>
      <c r="MK5" s="69">
        <f t="shared" si="0"/>
        <v>25.6</v>
      </c>
      <c r="ML5" s="69">
        <f t="shared" si="0"/>
        <v>6</v>
      </c>
      <c r="MM5" s="69">
        <f t="shared" si="0"/>
        <v>0</v>
      </c>
      <c r="MN5" s="69">
        <f t="shared" si="0"/>
        <v>0</v>
      </c>
      <c r="MO5" s="80" t="s">
        <v>88</v>
      </c>
      <c r="MP5" s="11">
        <f>IF(SUM(LZ5,MD5)&gt;0,SUM(LZ5,MD5),"")</f>
        <v>11.2</v>
      </c>
      <c r="MQ5" s="11">
        <f>IF(SUM(LY5:LZ5,MB5:MD5,MF5)-MA5-ME5&gt;0,SUM(LY5:LZ5,MB5:MD5,MF5)-MA5-ME5,"")</f>
        <v>61.350000000000009</v>
      </c>
      <c r="MR5" s="11">
        <f>IF(SUM(MH5,ML5)&gt;0,SUM(MH5,ML5),"")</f>
        <v>11.5</v>
      </c>
      <c r="MS5" s="11">
        <f>IF(SUM(MG5:MH5,MJ5:ML5,MN5)-SUM(MI5,MM5)&gt;0,SUM(MG5:MH5,MJ5:ML5,MN5)-SUM(MI5,MM5),"")</f>
        <v>61.1</v>
      </c>
      <c r="MT5" s="11">
        <f>IF(SUM(MQ5,MS5)&gt;0,SUM(MQ5,MS5),"")</f>
        <v>122.45000000000002</v>
      </c>
    </row>
    <row r="6" spans="1:358" x14ac:dyDescent="0.2">
      <c r="A6" s="5" t="str">
        <f>IF(AND(F6="P",G6="P"),SUMPRODUCT((F$4:F$9="P")*(G$4:G$9="P")*(E$4:E$9&gt;E6))+1,IF(G6="P",SUMPRODUCT((F$4:F$9="")*(G$4:G$9="P")*(E$4:E$9&gt;E6))+1+SUMPRODUCT((F$4:F$9="P")*(G$4:G$9="P")),""))</f>
        <v/>
      </c>
      <c r="B6" s="8" t="s">
        <v>86</v>
      </c>
      <c r="C6" s="4" t="s">
        <v>3</v>
      </c>
      <c r="D6" s="27">
        <v>1996</v>
      </c>
      <c r="E6" s="15">
        <f>SUM(J6:N6)</f>
        <v>123.79999999999998</v>
      </c>
      <c r="F6" s="3" t="str">
        <f>IF(OR(AND(AH6&gt;=AL$11,AI6&gt;=AL$15,AI6&lt;&gt;"",AG6=""),AND(BD6&gt;=BH$11,BE6&gt;=BH$15,BE6&lt;&gt;"",BC6=""),AND(BZ6&gt;=CD$11,CA6&gt;=CD$15,CA6&lt;&gt;"",BY6=""),AND(CW6&gt;=DA$11,CX6&gt;=DA$15,CX6&lt;&gt;""),AND(DR6&gt;=DV$11,DS6&gt;=DV$15,DS6&lt;&gt;""),AND(EM6&gt;=EQ$11,EN6&gt;=EQ$15,EN6&lt;&gt;""),AND(FH6&gt;=FL$11,FI6&gt;=FL$15,FI6&lt;&gt;""),AND(GC6&gt;=GG$11,GD6&gt;=GG$15,GD6&lt;&gt;""),AND(GX6&gt;=HB$11,GY6&gt;=HB$15,GY6&lt;&gt;""),AND(HS6&gt;=HW$11,HT6&gt;=HW$15,HT6&lt;&gt;""),AND(IN6&gt;=IR$11,IO6&gt;=IR$15,IO6&lt;&gt;""),AND(JI6&gt;=JM$11,JJ6&gt;=JM$15,JJ6&lt;&gt;""),AND(KD6&gt;=KH$11,KE6&gt;=KH$15,KE6&lt;&gt;""),AND(KY6&gt;=LC$11,KZ6&gt;=LC$15,KZ6&lt;&gt;""),AND(LT6&gt;=LX$11,LU6&gt;=LX$15,LU6&lt;&gt;"")),"P","")</f>
        <v/>
      </c>
      <c r="G6" s="3" t="str">
        <f>IF(OR(AND(AI6&gt;=AL$15,AI6&lt;&gt;"",AG6=""),AND(BE6&gt;=BH$15,BE6&lt;&gt;"",BC6=""),AND(CA6&gt;=CD$15,CA6&lt;&gt;"",BY6=""),AND(CX6&gt;=DA$15,CX6&lt;&gt;""),AND(DS6&gt;=DV$15,DS6&lt;&gt;""),AND(EN6&gt;=EQ$15,EN6&lt;&gt;""),AND(FI6&gt;=FL$15,FI6&lt;&gt;""),AND(GD6&gt;=GG$15,GD6&lt;&gt;""),AND(GY6&gt;=HB$15,GY6&lt;&gt;""),AND(HT6&gt;=HW$15,HT6&lt;&gt;""),AND(IO6&gt;=IR$15,IO6&lt;&gt;""),AND(JJ6&gt;=JM$15,JJ6&lt;&gt;""),AND(KE6&gt;=KH$15,KE6&lt;&gt;""),AND(KZ6&gt;=LC$15,KZ6&lt;&gt;""),AND(LU6&gt;=LX$15,LU6&lt;&gt;"")),"P","")</f>
        <v/>
      </c>
      <c r="H6" s="126" t="str">
        <f>IF(AND(G6="P",F6=""),"No DD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Merit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Excellence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Worlds Team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National Team","")))))</f>
        <v/>
      </c>
      <c r="I6" s="3" t="str">
        <f>IF(OR(H6="Worlds Team",H6="Excellence",H6="Merit"),"P","")</f>
        <v/>
      </c>
      <c r="J6" s="14">
        <f>MAX(AI6,BE6,CA6)</f>
        <v>61.899999999999991</v>
      </c>
      <c r="K6" s="14" t="str">
        <f>IF(J6=0,"",IF(J6=CA6,$BI$1,IF(J6=BE6,$AM$1,IF(J6=AI6,$Q$1,""))))</f>
        <v>2019 Nationals</v>
      </c>
      <c r="L6" s="14">
        <f>MAX(AK6,BG6,CC6)</f>
        <v>61.9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9">
        <v>25.9</v>
      </c>
      <c r="R6" s="69">
        <v>5.4</v>
      </c>
      <c r="S6" s="69">
        <v>0.1</v>
      </c>
      <c r="T6" s="69">
        <v>0</v>
      </c>
      <c r="U6" s="69">
        <v>24.8</v>
      </c>
      <c r="V6" s="69">
        <v>5.9</v>
      </c>
      <c r="W6" s="69">
        <v>0</v>
      </c>
      <c r="X6" s="69">
        <v>0</v>
      </c>
      <c r="Y6" s="69">
        <v>25.3</v>
      </c>
      <c r="Z6" s="69">
        <v>6.2</v>
      </c>
      <c r="AA6" s="69">
        <v>0</v>
      </c>
      <c r="AB6" s="69">
        <v>0</v>
      </c>
      <c r="AC6" s="69">
        <v>24.5</v>
      </c>
      <c r="AD6" s="69">
        <v>5.9</v>
      </c>
      <c r="AE6" s="69">
        <v>0</v>
      </c>
      <c r="AF6" s="69">
        <v>0</v>
      </c>
      <c r="AG6" s="80"/>
      <c r="AH6" s="11">
        <f>IF(SUM(R6,V6)&gt;0,SUM(R6,V6),"")</f>
        <v>11.3</v>
      </c>
      <c r="AI6" s="11">
        <f>IF(SUM(Q6:R6,T6:V6,X6)-S6-W6&gt;0,SUM(Q6:R6,T6:V6,X6)-S6-W6,"")</f>
        <v>61.899999999999991</v>
      </c>
      <c r="AJ6" s="11">
        <f>IF(SUM(Z6,AD6)&gt;0,SUM(R6,V6),"")</f>
        <v>11.3</v>
      </c>
      <c r="AK6" s="11">
        <f>IF(SUM(Y6:Z6,AB6:AD6,AF6)-SUM(AA6,AE6)&gt;0,SUM(Y6:Z6,AB6:AD6,AF6)-SUM(AA6,AE6),"")</f>
        <v>61.9</v>
      </c>
      <c r="AL6" s="11">
        <f>IF(SUM(AI6,AK6)&gt;0,SUM(AI6,AK6),"")</f>
        <v>123.79999999999998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/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 t="shared" si="0"/>
        <v>0</v>
      </c>
      <c r="LZ6" s="69">
        <f t="shared" si="0"/>
        <v>0</v>
      </c>
      <c r="MA6" s="69">
        <f t="shared" si="0"/>
        <v>0</v>
      </c>
      <c r="MB6" s="69">
        <f t="shared" si="0"/>
        <v>0</v>
      </c>
      <c r="MC6" s="69">
        <f t="shared" si="0"/>
        <v>0</v>
      </c>
      <c r="MD6" s="69">
        <f t="shared" si="0"/>
        <v>0</v>
      </c>
      <c r="ME6" s="69">
        <f t="shared" si="0"/>
        <v>0</v>
      </c>
      <c r="MF6" s="69">
        <f t="shared" si="0"/>
        <v>0</v>
      </c>
      <c r="MG6" s="69">
        <f t="shared" si="0"/>
        <v>0</v>
      </c>
      <c r="MH6" s="69">
        <f t="shared" si="0"/>
        <v>0</v>
      </c>
      <c r="MI6" s="69">
        <f t="shared" si="0"/>
        <v>0</v>
      </c>
      <c r="MJ6" s="69">
        <f t="shared" si="0"/>
        <v>0</v>
      </c>
      <c r="MK6" s="69">
        <f t="shared" si="0"/>
        <v>0</v>
      </c>
      <c r="ML6" s="69">
        <f t="shared" si="0"/>
        <v>0</v>
      </c>
      <c r="MM6" s="69">
        <f t="shared" si="0"/>
        <v>0</v>
      </c>
      <c r="MN6" s="69">
        <f t="shared" si="0"/>
        <v>0</v>
      </c>
      <c r="MO6" s="80" t="s">
        <v>88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53</v>
      </c>
      <c r="C7" s="7" t="s">
        <v>5</v>
      </c>
      <c r="D7" s="27">
        <v>1997</v>
      </c>
      <c r="E7" s="15">
        <f>SUM(J7:N7)</f>
        <v>123.4</v>
      </c>
      <c r="F7" s="3" t="str">
        <f>IF(OR(AND(AH7&gt;=AL$11,AI7&gt;=AL$15,AI7&lt;&gt;"",AG7=""),AND(BD7&gt;=BH$11,BE7&gt;=BH$15,BE7&lt;&gt;"",BC7=""),AND(BZ7&gt;=CD$11,CA7&gt;=CD$15,CA7&lt;&gt;"",BY7=""),AND(CW7&gt;=DA$11,CX7&gt;=DA$15,CX7&lt;&gt;""),AND(DR7&gt;=DV$11,DS7&gt;=DV$15,DS7&lt;&gt;""),AND(EM7&gt;=EQ$11,EN7&gt;=EQ$15,EN7&lt;&gt;""),AND(FH7&gt;=FL$11,FI7&gt;=FL$15,FI7&lt;&gt;""),AND(GC7&gt;=GG$11,GD7&gt;=GG$15,GD7&lt;&gt;""),AND(GX7&gt;=HB$11,GY7&gt;=HB$15,GY7&lt;&gt;""),AND(HS7&gt;=HW$11,HT7&gt;=HW$15,HT7&lt;&gt;""),AND(IN7&gt;=IR$11,IO7&gt;=IR$15,IO7&lt;&gt;""),AND(JI7&gt;=JM$11,JJ7&gt;=JM$15,JJ7&lt;&gt;""),AND(KD7&gt;=KH$11,KE7&gt;=KH$15,KE7&lt;&gt;""),AND(KY7&gt;=LC$11,KZ7&gt;=LC$15,KZ7&lt;&gt;""),AND(LT7&gt;=LX$11,LU7&gt;=LX$15,LU7&lt;&gt;"")),"P","")</f>
        <v/>
      </c>
      <c r="G7" s="3" t="str">
        <f>IF(OR(AND(AI7&gt;=AL$15,AI7&lt;&gt;"",AG7=""),AND(BE7&gt;=BH$15,BE7&lt;&gt;"",BC7=""),AND(CA7&gt;=CD$15,CA7&lt;&gt;"",BY7=""),AND(CX7&gt;=DA$15,CX7&lt;&gt;""),AND(DS7&gt;=DV$15,DS7&lt;&gt;""),AND(EN7&gt;=EQ$15,EN7&lt;&gt;""),AND(FI7&gt;=FL$15,FI7&lt;&gt;""),AND(GD7&gt;=GG$15,GD7&lt;&gt;""),AND(GY7&gt;=HB$15,GY7&lt;&gt;""),AND(HT7&gt;=HW$15,HT7&lt;&gt;""),AND(IO7&gt;=IR$15,IO7&lt;&gt;""),AND(JJ7&gt;=JM$15,JJ7&lt;&gt;""),AND(KE7&gt;=KH$15,KE7&lt;&gt;""),AND(KZ7&gt;=LC$15,KZ7&lt;&gt;""),AND(LU7&gt;=LX$15,LU7&lt;&gt;"")),"P","")</f>
        <v/>
      </c>
      <c r="H7" s="126" t="str">
        <f>IF(AND(G7="P",F7=""),"No DD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Merit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Excellence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Worlds Team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National Team","")))))</f>
        <v/>
      </c>
      <c r="I7" s="3" t="str">
        <f>IF(OR(H7="Worlds Team",H7="Excellence",H7="Merit"),"P","")</f>
        <v/>
      </c>
      <c r="J7" s="14">
        <f>MAX(AI7,BE7,CA7)</f>
        <v>61.5</v>
      </c>
      <c r="K7" s="14" t="str">
        <f>IF(J7=0,"",IF(J7=CA7,$BI$1,IF(J7=BE7,$AM$1,IF(J7=AI7,$Q$1,""))))</f>
        <v>2021 2nd Virtual Technical Trial</v>
      </c>
      <c r="L7" s="14">
        <f>MAX(AK7,BG7,CC7)</f>
        <v>61.900000000000006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5">
        <v>22.6</v>
      </c>
      <c r="R7" s="45">
        <v>5.4</v>
      </c>
      <c r="S7" s="45">
        <v>0.1</v>
      </c>
      <c r="T7" s="45">
        <v>0</v>
      </c>
      <c r="U7" s="45">
        <v>23.7</v>
      </c>
      <c r="V7" s="45">
        <v>3.7</v>
      </c>
      <c r="W7" s="45">
        <v>0</v>
      </c>
      <c r="X7" s="45">
        <v>0</v>
      </c>
      <c r="Y7" s="45">
        <v>26.2</v>
      </c>
      <c r="Z7" s="45">
        <v>5.5</v>
      </c>
      <c r="AA7" s="45">
        <v>0</v>
      </c>
      <c r="AB7" s="45">
        <v>0</v>
      </c>
      <c r="AC7" s="45">
        <v>24.5</v>
      </c>
      <c r="AD7" s="45">
        <v>5.7</v>
      </c>
      <c r="AE7" s="45">
        <v>0</v>
      </c>
      <c r="AF7" s="45">
        <v>0</v>
      </c>
      <c r="AG7" s="80"/>
      <c r="AH7" s="11">
        <f>IF(SUM(R7,V7)&gt;0,SUM(R7,V7),"")</f>
        <v>9.1000000000000014</v>
      </c>
      <c r="AI7" s="11">
        <f>IF(SUM(Q7:R7,T7:V7,X7)-S7-W7&gt;0,SUM(Q7:R7,T7:V7,X7)-S7-W7,"")</f>
        <v>55.300000000000004</v>
      </c>
      <c r="AJ7" s="11">
        <f>IF(SUM(Z7,AD7)&gt;0,SUM(R7,V7),"")</f>
        <v>9.1000000000000014</v>
      </c>
      <c r="AK7" s="11">
        <f>IF(SUM(Y7:Z7,AB7:AD7,AF7)-SUM(AA7,AE7)&gt;0,SUM(Y7:Z7,AB7:AD7,AF7)-SUM(AA7,AE7),"")</f>
        <v>61.900000000000006</v>
      </c>
      <c r="AL7" s="11">
        <f>IF(SUM(AI7,AK7)&gt;0,SUM(AI7,AK7),"")</f>
        <v>117.20000000000002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5">
        <v>25.3</v>
      </c>
      <c r="BJ7" s="45">
        <v>5.8</v>
      </c>
      <c r="BK7" s="45">
        <v>0</v>
      </c>
      <c r="BL7" s="45">
        <v>0</v>
      </c>
      <c r="BM7" s="45">
        <v>24.5</v>
      </c>
      <c r="BN7" s="45">
        <v>5.9</v>
      </c>
      <c r="BO7" s="45">
        <v>0</v>
      </c>
      <c r="BP7" s="45">
        <v>0</v>
      </c>
      <c r="BQ7" s="45">
        <v>25.1</v>
      </c>
      <c r="BR7" s="45">
        <v>5.8</v>
      </c>
      <c r="BS7" s="45">
        <v>0</v>
      </c>
      <c r="BT7" s="45">
        <v>0</v>
      </c>
      <c r="BU7" s="45">
        <v>24.3</v>
      </c>
      <c r="BV7" s="45">
        <v>5.9</v>
      </c>
      <c r="BW7" s="45">
        <v>0</v>
      </c>
      <c r="BX7" s="45">
        <v>0</v>
      </c>
      <c r="BY7" s="80"/>
      <c r="BZ7" s="11">
        <f>IF(SUM(BJ7,BN7)&gt;0,SUM(BJ7,BN7),"")</f>
        <v>11.7</v>
      </c>
      <c r="CA7" s="11">
        <f>IF(SUM(BI7:BJ7,BL7:BN7,BP7)-BK7-BO7&gt;0,SUM(BI7:BJ7,BL7:BN7,BP7)-BK7-BO7,"")</f>
        <v>61.5</v>
      </c>
      <c r="CB7" s="11">
        <f>IF(SUM(BR7,BV7)&gt;0,SUM(BR7,BV7),"")</f>
        <v>11.7</v>
      </c>
      <c r="CC7" s="11">
        <f>IF(SUM(BQ7:BR7,BT7:BV7,BX7)-SUM(BS7,BW7)&gt;0,SUM(BQ7:BR7,BT7:BV7,BX7)-SUM(BS7,BW7),"")</f>
        <v>61.1</v>
      </c>
      <c r="CD7" s="11">
        <f>IF(SUM(CA7,CC7)&gt;0,SUM(CA7,CC7),"")</f>
        <v>122.6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/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 t="shared" si="0"/>
        <v>12.65</v>
      </c>
      <c r="LZ7" s="69">
        <f t="shared" si="0"/>
        <v>2.9</v>
      </c>
      <c r="MA7" s="69">
        <f t="shared" si="0"/>
        <v>0</v>
      </c>
      <c r="MB7" s="69">
        <f t="shared" si="0"/>
        <v>0</v>
      </c>
      <c r="MC7" s="69">
        <f t="shared" si="0"/>
        <v>12.25</v>
      </c>
      <c r="MD7" s="69">
        <f t="shared" si="0"/>
        <v>2.95</v>
      </c>
      <c r="ME7" s="69">
        <f t="shared" si="0"/>
        <v>0</v>
      </c>
      <c r="MF7" s="69">
        <f t="shared" si="0"/>
        <v>0</v>
      </c>
      <c r="MG7" s="69">
        <f t="shared" si="0"/>
        <v>12.55</v>
      </c>
      <c r="MH7" s="69">
        <f t="shared" si="0"/>
        <v>2.9</v>
      </c>
      <c r="MI7" s="69">
        <f t="shared" si="0"/>
        <v>0</v>
      </c>
      <c r="MJ7" s="69">
        <f t="shared" si="0"/>
        <v>0</v>
      </c>
      <c r="MK7" s="69">
        <f t="shared" si="0"/>
        <v>12.15</v>
      </c>
      <c r="ML7" s="69">
        <f t="shared" si="0"/>
        <v>2.95</v>
      </c>
      <c r="MM7" s="69">
        <f t="shared" si="0"/>
        <v>0</v>
      </c>
      <c r="MN7" s="69">
        <f t="shared" si="0"/>
        <v>0</v>
      </c>
      <c r="MO7" s="80" t="s">
        <v>88</v>
      </c>
      <c r="MP7" s="11">
        <f>IF(SUM(LZ7,MD7)&gt;0,SUM(LZ7,MD7),"")</f>
        <v>5.85</v>
      </c>
      <c r="MQ7" s="11">
        <f>IF(SUM(LY7:LZ7,MB7:MD7,MF7)-MA7-ME7&gt;0,SUM(LY7:LZ7,MB7:MD7,MF7)-MA7-ME7,"")</f>
        <v>30.75</v>
      </c>
      <c r="MR7" s="11">
        <f>IF(SUM(MH7,ML7)&gt;0,SUM(MH7,ML7),"")</f>
        <v>5.85</v>
      </c>
      <c r="MS7" s="11">
        <f>IF(SUM(MG7:MH7,MJ7:ML7,MN7)-SUM(MI7,MM7)&gt;0,SUM(MG7:MH7,MJ7:ML7,MN7)-SUM(MI7,MM7),"")</f>
        <v>30.55</v>
      </c>
      <c r="MT7" s="11">
        <f>IF(SUM(MQ7,MS7)&gt;0,SUM(MQ7,MS7),"")</f>
        <v>61.3</v>
      </c>
    </row>
    <row r="8" spans="1:358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8" t="s">
        <v>50</v>
      </c>
      <c r="C8" s="4" t="s">
        <v>5</v>
      </c>
      <c r="D8" s="27">
        <v>1998</v>
      </c>
      <c r="E8" s="15">
        <f>SUM(J8:N8)</f>
        <v>119.44999999999999</v>
      </c>
      <c r="F8" s="3" t="str">
        <f>IF(OR(AND(AH8&gt;=AL$11,AI8&gt;=AL$15,AI8&lt;&gt;"",AG8=""),AND(BD8&gt;=BH$11,BE8&gt;=BH$15,BE8&lt;&gt;"",BC8=""),AND(BZ8&gt;=CD$11,CA8&gt;=CD$15,CA8&lt;&gt;"",BY8=""),AND(CW8&gt;=DA$11,CX8&gt;=DA$15,CX8&lt;&gt;""),AND(DR8&gt;=DV$11,DS8&gt;=DV$15,DS8&lt;&gt;""),AND(EM8&gt;=EQ$11,EN8&gt;=EQ$15,EN8&lt;&gt;""),AND(FH8&gt;=FL$11,FI8&gt;=FL$15,FI8&lt;&gt;""),AND(GC8&gt;=GG$11,GD8&gt;=GG$15,GD8&lt;&gt;""),AND(GX8&gt;=HB$11,GY8&gt;=HB$15,GY8&lt;&gt;""),AND(HS8&gt;=HW$11,HT8&gt;=HW$15,HT8&lt;&gt;""),AND(IN8&gt;=IR$11,IO8&gt;=IR$15,IO8&lt;&gt;""),AND(JI8&gt;=JM$11,JJ8&gt;=JM$15,JJ8&lt;&gt;""),AND(KD8&gt;=KH$11,KE8&gt;=KH$15,KE8&lt;&gt;""),AND(KY8&gt;=LC$11,KZ8&gt;=LC$15,KZ8&lt;&gt;""),AND(LT8&gt;=LX$11,LU8&gt;=LX$15,LU8&lt;&gt;"")),"P","")</f>
        <v/>
      </c>
      <c r="G8" s="3" t="str">
        <f>IF(OR(AND(AI8&gt;=AL$15,AI8&lt;&gt;"",AG8=""),AND(BE8&gt;=BH$15,BE8&lt;&gt;"",BC8=""),AND(CA8&gt;=CD$15,CA8&lt;&gt;"",BY8=""),AND(CX8&gt;=DA$15,CX8&lt;&gt;""),AND(DS8&gt;=DV$15,DS8&lt;&gt;""),AND(EN8&gt;=EQ$15,EN8&lt;&gt;""),AND(FI8&gt;=FL$15,FI8&lt;&gt;""),AND(GD8&gt;=GG$15,GD8&lt;&gt;""),AND(GY8&gt;=HB$15,GY8&lt;&gt;""),AND(HT8&gt;=HW$15,HT8&lt;&gt;""),AND(IO8&gt;=IR$15,IO8&lt;&gt;""),AND(JJ8&gt;=JM$15,JJ8&lt;&gt;""),AND(KE8&gt;=KH$15,KE8&lt;&gt;""),AND(KZ8&gt;=LC$15,KZ8&lt;&gt;""),AND(LU8&gt;=LX$15,LU8&lt;&gt;"")),"P","")</f>
        <v/>
      </c>
      <c r="H8" s="126" t="str">
        <f>IF(AND(G8="P",F8=""),"No DD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Merit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Excellence",IF(OR(AND(AI8&gt;=AL$16,AI8&lt;&gt;"",AH8&gt;=AL$12,AH8&lt;&gt;"",AG8=""),AND(BE8&gt;=BH$16,BE8&lt;&gt;"",BD8&gt;=BH$12,BD8&lt;&gt;"",BC8=""),AND(CA8&gt;=CD$16,CA8&lt;&gt;"",BZ8&gt;=CD$12,BZ8&lt;&gt;"",BY8=""),AND(CX8&gt;=DA$16,CX8&lt;&gt;"",CW8&gt;=DA$12,CW8&lt;&gt;""),AND(DS8&gt;=DV$16,DS8&lt;&gt;"",DR8&gt;=DV$12,DR8&lt;&gt;""),AND(EN8&gt;=EQ$16,EN8&lt;&gt;"",EM8&gt;=EQ$12,EM8&lt;&gt;""),AND(FI8&gt;=FL$16,FI8&lt;&gt;"",FH8&gt;=FL$12,FH8&lt;&gt;""),AND(GD8&gt;=GG$16,GD8&lt;&gt;"",GC8&gt;=GG$12,GC8&lt;&gt;""),AND(GY8&gt;=HB$16,GY8&lt;&gt;"",GX8&gt;=HB$12,GX8&lt;&gt;""),AND(HT8&gt;=HW$16,HT8&lt;&gt;"",HS8&gt;=HW$12,HS8&lt;&gt;""),AND(IO8&gt;=IR$16,IO8&lt;&gt;"",IN8&gt;=IR$12,IN8&lt;&gt;""),AND(JJ8&gt;=JM$16,JJ8&lt;&gt;"",JI8&gt;=JM$12,JI8&lt;&gt;""),AND(KE8&gt;=KH$16,KE8&lt;&gt;"",KD8&gt;=KH$12,KD8&lt;&gt;""),AND(KZ8&gt;=LC$16,KZ8&lt;&gt;"",KY8&gt;=LC$12,KY8&lt;&gt;""),AND(LU8&gt;=LX$16,LU8&lt;&gt;"",LT8&gt;=LX$12,LT8&lt;&gt;"")),"Worlds Team",IF(OR(AND(AI8&gt;=AL$15,AI8&lt;&gt;"",AH8&gt;=AL$11,AH8&lt;&gt;"",AG8=""),AND(BE8&gt;=BH$15,BE8&lt;&gt;"",BD8&gt;=BH$11,BD8&lt;&gt;"",BC8=""),AND(CA8&gt;=CD$15,CA8&lt;&gt;"",BZ8&gt;=CD$11,BZ8&lt;&gt;"",BY8=""),AND(CX8&gt;=DA$15,CX8&lt;&gt;"",CW8&gt;=DA$11,CW8&lt;&gt;""),AND(DS8&gt;=DV$15,DS8&lt;&gt;"",DR8&gt;=DV$11,DR8&lt;&gt;""),AND(EN8&gt;=EQ$15,EN8&lt;&gt;"",EM8&gt;=EQ$11,EM8&lt;&gt;""),AND(FI8&gt;=FL$15,FI8&lt;&gt;"",FH8&gt;=FL$11,FH8&lt;&gt;""),AND(GD8&gt;=GG$15,GD8&lt;&gt;"",GC8&gt;=GG$11,GC8&lt;&gt;""),AND(GY8&gt;=HB$15,GY8&lt;&gt;"",GX8&gt;=HB$11,GX8&lt;&gt;""),AND(HT8&gt;=HW$15,HT8&lt;&gt;"",HS8&gt;=HW$11,HS8&lt;&gt;""),AND(IO8&gt;=IR$15,IO8&lt;&gt;"",IN8&gt;=IR$11,IN8&lt;&gt;""),AND(JJ8&gt;=JM$15,JJ8&lt;&gt;"",JI8&gt;=JM$11,JI8&lt;&gt;""),AND(KE8&gt;=KH$15,KE8&lt;&gt;"",KD8&gt;=KH$11,KD8&lt;&gt;""),AND(KZ8&gt;=LC$15,KZ8&lt;&gt;"",KY8&gt;=LC$11,KY8&lt;&gt;""),AND(LU8&gt;=LX$15,LU8&lt;&gt;"",LT8&gt;=LX$11,LT8&lt;&gt;"")),"National Team","")))))</f>
        <v/>
      </c>
      <c r="I8" s="3" t="str">
        <f>IF(OR(H8="Worlds Team",H8="Excellence",H8="Merit"),"P","")</f>
        <v/>
      </c>
      <c r="J8" s="14">
        <f>MAX(AI8,BE8,CA8)</f>
        <v>60.699999999999996</v>
      </c>
      <c r="K8" s="14" t="str">
        <f>IF(J8=0,"",IF(J8=CA8,$BI$1,IF(J8=BE8,$AM$1,IF(J8=AI8,$Q$1,""))))</f>
        <v>2019 Nationals</v>
      </c>
      <c r="L8" s="14">
        <f>MAX(AK8,BG8,CC8)</f>
        <v>58.75</v>
      </c>
      <c r="M8" s="14" t="str">
        <f>IF(L8=0,"",IF(J8=CC8,$BI$1,IF(L8=BG8,$AM$1,IF(L8=AK8,$Q$1,""))))</f>
        <v>2019 Nationals</v>
      </c>
      <c r="N8" s="14" t="str">
        <f>IF(MAX(CE8:CF8)&gt;0,MAX(CE8:CF8),"")</f>
        <v/>
      </c>
      <c r="O8" s="25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9">
        <v>24.75</v>
      </c>
      <c r="R8" s="69">
        <v>5.8000000000000007</v>
      </c>
      <c r="S8" s="69">
        <v>0</v>
      </c>
      <c r="T8" s="69">
        <v>1</v>
      </c>
      <c r="U8" s="69">
        <v>25.5</v>
      </c>
      <c r="V8" s="69">
        <v>5.3000000000000007</v>
      </c>
      <c r="W8" s="69">
        <v>1.65</v>
      </c>
      <c r="X8" s="69">
        <v>0</v>
      </c>
      <c r="Y8" s="69">
        <v>25.799999999999997</v>
      </c>
      <c r="Z8" s="69">
        <v>4.3</v>
      </c>
      <c r="AA8" s="69">
        <v>0</v>
      </c>
      <c r="AB8" s="69">
        <v>0.5</v>
      </c>
      <c r="AC8" s="69">
        <v>23.45</v>
      </c>
      <c r="AD8" s="69">
        <v>4.2</v>
      </c>
      <c r="AE8" s="69">
        <v>0</v>
      </c>
      <c r="AF8" s="69">
        <v>0.5</v>
      </c>
      <c r="AG8" s="80" t="s">
        <v>88</v>
      </c>
      <c r="AH8" s="11">
        <f>IF(SUM(R8,V8)&gt;0,SUM(R8,V8),"")</f>
        <v>11.100000000000001</v>
      </c>
      <c r="AI8" s="11">
        <f>IF(SUM(Q8:R8,T8:V8,X8)-S8-W8&gt;0,SUM(Q8:R8,T8:V8,X8)-S8-W8,"")</f>
        <v>60.699999999999996</v>
      </c>
      <c r="AJ8" s="11">
        <f>IF(SUM(Z8,AD8)&gt;0,SUM(R8,V8),"")</f>
        <v>11.100000000000001</v>
      </c>
      <c r="AK8" s="11">
        <f>IF(SUM(Y8:Z8,AB8:AD8,AF8)-SUM(AA8,AE8)&gt;0,SUM(Y8:Z8,AB8:AD8,AF8)-SUM(AA8,AE8),"")</f>
        <v>58.75</v>
      </c>
      <c r="AL8" s="11">
        <f>IF(SUM(AI8,AK8)&gt;0,SUM(AI8,AK8),"")</f>
        <v>119.44999999999999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81"/>
      <c r="BD8" s="14" t="str">
        <f>IF(SUM(AN8,AR8)&gt;0,SUM(AN8,AR8),"")</f>
        <v/>
      </c>
      <c r="BE8" s="14" t="str">
        <f>IF(SUM(AM8:AN8,AP8:AR8,AT8)-AO8-AS8&gt;0,SUM(AM8:AN8,AP8:AR8,AT8)-AO8-AS8,"")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IF(SUM(BI8:BJ8,BL8:BN8,BP8)-BK8-BO8&gt;0,SUM(BI8:BJ8,BL8:BN8,BP8)-BK8-BO8,"")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IF(MAX(CZ8,DU8,EP8,FK8,GF8,HA8,HV8,IQ8,JL8,KG8,LB8,LW8)-IF(L8="",0,L8)&gt;0.001,MAX(CZ8,DU8,EP8,FK8,GF8,HA8,HV8,IQ8,JL8,KG8,LB8,LW8)-IF(L8="",0,L8),"")</f>
        <v/>
      </c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/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 t="shared" si="0"/>
        <v>0</v>
      </c>
      <c r="LZ8" s="69">
        <f t="shared" si="0"/>
        <v>0</v>
      </c>
      <c r="MA8" s="69">
        <f t="shared" si="0"/>
        <v>0</v>
      </c>
      <c r="MB8" s="69">
        <f t="shared" si="0"/>
        <v>0</v>
      </c>
      <c r="MC8" s="69">
        <f t="shared" si="0"/>
        <v>0</v>
      </c>
      <c r="MD8" s="69">
        <f t="shared" si="0"/>
        <v>0</v>
      </c>
      <c r="ME8" s="69">
        <f t="shared" si="0"/>
        <v>0</v>
      </c>
      <c r="MF8" s="69">
        <f t="shared" si="0"/>
        <v>0</v>
      </c>
      <c r="MG8" s="69">
        <f t="shared" si="0"/>
        <v>0</v>
      </c>
      <c r="MH8" s="69">
        <f t="shared" si="0"/>
        <v>0</v>
      </c>
      <c r="MI8" s="69">
        <f t="shared" si="0"/>
        <v>0</v>
      </c>
      <c r="MJ8" s="69">
        <f t="shared" si="0"/>
        <v>0</v>
      </c>
      <c r="MK8" s="69">
        <f t="shared" si="0"/>
        <v>0</v>
      </c>
      <c r="ML8" s="69">
        <f t="shared" si="0"/>
        <v>0</v>
      </c>
      <c r="MM8" s="69">
        <f t="shared" si="0"/>
        <v>0</v>
      </c>
      <c r="MN8" s="69">
        <f t="shared" si="0"/>
        <v>0</v>
      </c>
      <c r="MO8" s="80" t="s">
        <v>88</v>
      </c>
      <c r="MP8" s="11" t="str">
        <f>IF(SUM(LZ8,MD8)&gt;0,SUM(LZ8,MD8),"")</f>
        <v/>
      </c>
      <c r="MQ8" s="11" t="str">
        <f>IF(SUM(LY8:LZ8,MB8:MD8,MF8)-MA8-ME8&gt;0,SUM(LY8:LZ8,MB8:MD8,MF8)-MA8-ME8,"")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D9" s="1"/>
    </row>
    <row r="11" spans="1:358" x14ac:dyDescent="0.2">
      <c r="B11" s="70" t="s">
        <v>78</v>
      </c>
      <c r="AH11" s="56"/>
      <c r="AL11" s="64">
        <v>11.8</v>
      </c>
      <c r="BD11" s="56"/>
      <c r="BH11" s="64">
        <v>10.3</v>
      </c>
      <c r="BZ11" s="56"/>
      <c r="CD11" s="64">
        <v>10.3</v>
      </c>
      <c r="CW11" s="56"/>
      <c r="DA11" s="64">
        <v>10.3</v>
      </c>
      <c r="DR11" s="56"/>
      <c r="DV11" s="64">
        <v>10.3</v>
      </c>
      <c r="EM11" s="56"/>
      <c r="EQ11" s="64">
        <v>10.3</v>
      </c>
      <c r="FH11" s="56"/>
      <c r="FL11" s="64">
        <v>10.3</v>
      </c>
      <c r="GC11" s="56"/>
      <c r="GG11" s="64">
        <v>10.3</v>
      </c>
      <c r="GX11" s="56"/>
      <c r="HB11" s="64">
        <v>10.3</v>
      </c>
      <c r="HS11" s="56"/>
      <c r="HW11" s="64">
        <v>10.3</v>
      </c>
      <c r="IN11" s="56"/>
      <c r="IR11" s="64">
        <v>10.3</v>
      </c>
      <c r="JI11" s="56"/>
      <c r="JM11" s="64">
        <v>10.3</v>
      </c>
      <c r="KD11" s="56"/>
      <c r="KH11" s="64">
        <v>10.3</v>
      </c>
      <c r="KY11" s="56"/>
      <c r="LC11" s="64">
        <v>10.3</v>
      </c>
      <c r="LT11" s="56"/>
      <c r="LX11" s="64">
        <v>10.3</v>
      </c>
    </row>
    <row r="12" spans="1:358" x14ac:dyDescent="0.2">
      <c r="B12" s="91" t="s">
        <v>77</v>
      </c>
      <c r="AH12" s="56"/>
      <c r="AL12" s="93">
        <v>11.8</v>
      </c>
      <c r="BD12" s="56"/>
      <c r="BH12" s="93">
        <v>11</v>
      </c>
      <c r="BZ12" s="56"/>
      <c r="CD12" s="93">
        <v>11</v>
      </c>
      <c r="CW12" s="56"/>
      <c r="DA12" s="93">
        <v>11</v>
      </c>
      <c r="DR12" s="56"/>
      <c r="DV12" s="93">
        <v>11</v>
      </c>
      <c r="EM12" s="56"/>
      <c r="EQ12" s="93">
        <v>11</v>
      </c>
      <c r="FH12" s="56"/>
      <c r="FL12" s="93">
        <v>11</v>
      </c>
      <c r="GC12" s="56"/>
      <c r="GG12" s="93">
        <v>11</v>
      </c>
      <c r="GX12" s="56"/>
      <c r="HB12" s="93">
        <v>11</v>
      </c>
      <c r="HS12" s="56"/>
      <c r="HW12" s="93">
        <v>11</v>
      </c>
      <c r="IN12" s="56"/>
      <c r="IR12" s="93">
        <v>11</v>
      </c>
      <c r="JI12" s="56"/>
      <c r="JM12" s="93">
        <v>11</v>
      </c>
      <c r="KD12" s="56"/>
      <c r="KH12" s="93">
        <v>11</v>
      </c>
      <c r="KY12" s="56"/>
      <c r="LC12" s="93">
        <v>11</v>
      </c>
      <c r="LT12" s="56"/>
      <c r="LX12" s="93">
        <v>11</v>
      </c>
    </row>
    <row r="13" spans="1:358" x14ac:dyDescent="0.2">
      <c r="A13" s="56"/>
      <c r="B13" s="92" t="s">
        <v>112</v>
      </c>
      <c r="C13" s="55"/>
      <c r="AH13" s="56"/>
      <c r="AL13" s="94">
        <v>11.8</v>
      </c>
      <c r="BD13" s="56"/>
      <c r="BH13" s="94">
        <v>12.7</v>
      </c>
      <c r="BZ13" s="56"/>
      <c r="CD13" s="94">
        <v>12.7</v>
      </c>
      <c r="CW13" s="56"/>
      <c r="DA13" s="94">
        <v>12.7</v>
      </c>
      <c r="DR13" s="56"/>
      <c r="DV13" s="94">
        <v>12.7</v>
      </c>
      <c r="EM13" s="56"/>
      <c r="EQ13" s="94">
        <v>12.7</v>
      </c>
      <c r="FH13" s="56"/>
      <c r="FL13" s="94">
        <v>12.7</v>
      </c>
      <c r="GC13" s="56"/>
      <c r="GG13" s="94">
        <v>12.7</v>
      </c>
      <c r="GX13" s="56"/>
      <c r="HB13" s="94">
        <v>12.7</v>
      </c>
      <c r="HS13" s="56"/>
      <c r="HW13" s="94">
        <v>12.7</v>
      </c>
      <c r="IN13" s="56"/>
      <c r="IR13" s="94">
        <v>12.7</v>
      </c>
      <c r="JI13" s="56"/>
      <c r="JM13" s="94">
        <v>12.7</v>
      </c>
      <c r="KD13" s="56"/>
      <c r="KH13" s="94">
        <v>12.7</v>
      </c>
      <c r="KY13" s="56"/>
      <c r="LC13" s="94">
        <v>12.7</v>
      </c>
      <c r="LT13" s="56"/>
      <c r="LX13" s="94">
        <v>12.7</v>
      </c>
    </row>
    <row r="14" spans="1:358" x14ac:dyDescent="0.2">
      <c r="A14" s="56"/>
      <c r="B14" s="120" t="s">
        <v>161</v>
      </c>
      <c r="C14" s="55"/>
      <c r="AH14" s="56"/>
      <c r="AL14" s="121">
        <v>11.8</v>
      </c>
      <c r="BD14" s="56"/>
      <c r="BH14" s="121">
        <v>15.2</v>
      </c>
      <c r="BZ14" s="56"/>
      <c r="CD14" s="121">
        <v>15.2</v>
      </c>
      <c r="CW14" s="56"/>
      <c r="DA14" s="121">
        <v>15.2</v>
      </c>
      <c r="DR14" s="56"/>
      <c r="DV14" s="121">
        <v>15.2</v>
      </c>
      <c r="EM14" s="56"/>
      <c r="EQ14" s="121">
        <v>15.2</v>
      </c>
      <c r="FH14" s="56"/>
      <c r="FL14" s="121">
        <v>15.2</v>
      </c>
      <c r="GC14" s="56"/>
      <c r="GG14" s="121">
        <v>15.2</v>
      </c>
      <c r="GX14" s="56"/>
      <c r="HB14" s="121">
        <v>15.2</v>
      </c>
      <c r="HS14" s="56"/>
      <c r="HW14" s="121">
        <v>15.2</v>
      </c>
      <c r="IN14" s="56"/>
      <c r="IR14" s="121">
        <v>15.2</v>
      </c>
      <c r="JI14" s="56"/>
      <c r="JM14" s="121">
        <v>15.2</v>
      </c>
      <c r="KD14" s="56"/>
      <c r="KH14" s="121">
        <v>15.2</v>
      </c>
      <c r="KY14" s="56"/>
      <c r="LC14" s="121">
        <v>15.2</v>
      </c>
      <c r="LT14" s="56"/>
      <c r="LX14" s="121">
        <v>15.2</v>
      </c>
    </row>
    <row r="15" spans="1:358" x14ac:dyDescent="0.2">
      <c r="A15" s="56"/>
      <c r="B15" s="118" t="s">
        <v>75</v>
      </c>
      <c r="C15" s="55"/>
      <c r="AH15" s="56"/>
      <c r="AL15" s="119">
        <v>62.8</v>
      </c>
      <c r="BD15" s="56"/>
      <c r="BH15" s="119">
        <v>62.8</v>
      </c>
      <c r="BZ15" s="56"/>
      <c r="CD15" s="119">
        <v>62.8</v>
      </c>
      <c r="CW15" s="56"/>
      <c r="DA15" s="119">
        <v>62.8</v>
      </c>
      <c r="DR15" s="56"/>
      <c r="DV15" s="119">
        <v>62.8</v>
      </c>
      <c r="EM15" s="56"/>
      <c r="EQ15" s="119">
        <v>62.8</v>
      </c>
      <c r="FH15" s="56"/>
      <c r="FL15" s="119">
        <v>62.8</v>
      </c>
      <c r="GC15" s="56"/>
      <c r="GG15" s="119">
        <v>62.8</v>
      </c>
      <c r="GX15" s="56"/>
      <c r="HB15" s="119">
        <v>62.8</v>
      </c>
      <c r="HS15" s="56"/>
      <c r="HW15" s="119">
        <v>62.8</v>
      </c>
      <c r="IN15" s="56"/>
      <c r="IR15" s="119">
        <v>62.8</v>
      </c>
      <c r="JI15" s="56"/>
      <c r="JM15" s="119">
        <v>62.8</v>
      </c>
      <c r="KD15" s="56"/>
      <c r="KH15" s="119">
        <v>62.8</v>
      </c>
      <c r="KY15" s="56"/>
      <c r="LC15" s="119">
        <v>62.8</v>
      </c>
      <c r="LT15" s="56"/>
      <c r="LX15" s="119">
        <v>62.8</v>
      </c>
    </row>
    <row r="16" spans="1:358" x14ac:dyDescent="0.2">
      <c r="A16" s="56"/>
      <c r="B16" s="72" t="s">
        <v>76</v>
      </c>
      <c r="C16" s="55"/>
      <c r="AH16" s="56"/>
      <c r="AL16" s="66">
        <v>65.900000000000006</v>
      </c>
      <c r="BD16" s="56"/>
      <c r="BH16" s="66">
        <v>65.599999999999994</v>
      </c>
      <c r="BZ16" s="56"/>
      <c r="CD16" s="66">
        <v>65.599999999999994</v>
      </c>
      <c r="CW16" s="56"/>
      <c r="DA16" s="66">
        <v>65.599999999999994</v>
      </c>
      <c r="DR16" s="56"/>
      <c r="DV16" s="66">
        <v>65.599999999999994</v>
      </c>
      <c r="EM16" s="56"/>
      <c r="EQ16" s="66">
        <v>65.599999999999994</v>
      </c>
      <c r="FH16" s="56"/>
      <c r="FL16" s="66">
        <v>65.599999999999994</v>
      </c>
      <c r="GC16" s="56"/>
      <c r="GG16" s="66">
        <v>65.599999999999994</v>
      </c>
      <c r="GX16" s="56"/>
      <c r="HB16" s="66">
        <v>65.599999999999994</v>
      </c>
      <c r="HS16" s="56"/>
      <c r="HW16" s="66">
        <v>65.599999999999994</v>
      </c>
      <c r="IN16" s="56"/>
      <c r="IR16" s="66">
        <v>65.599999999999994</v>
      </c>
      <c r="JI16" s="56"/>
      <c r="JM16" s="66">
        <v>65.599999999999994</v>
      </c>
      <c r="KD16" s="56"/>
      <c r="KH16" s="66">
        <v>65.599999999999994</v>
      </c>
      <c r="KY16" s="56"/>
      <c r="LC16" s="66">
        <v>65.599999999999994</v>
      </c>
      <c r="LT16" s="56"/>
      <c r="LX16" s="66">
        <v>65.599999999999994</v>
      </c>
    </row>
    <row r="17" spans="1:336" x14ac:dyDescent="0.2">
      <c r="A17" s="56"/>
      <c r="B17" s="116" t="s">
        <v>107</v>
      </c>
      <c r="C17" s="55"/>
      <c r="AH17" s="56"/>
      <c r="AL17" s="117">
        <v>69.7</v>
      </c>
      <c r="BD17" s="56"/>
      <c r="BH17" s="117">
        <v>67.900000000000006</v>
      </c>
      <c r="BZ17" s="56"/>
      <c r="CD17" s="117">
        <v>67.900000000000006</v>
      </c>
      <c r="CW17" s="56"/>
      <c r="DA17" s="117">
        <v>67.900000000000006</v>
      </c>
      <c r="DR17" s="56"/>
      <c r="DV17" s="117">
        <v>67.900000000000006</v>
      </c>
      <c r="EM17" s="56"/>
      <c r="EQ17" s="117">
        <v>67.900000000000006</v>
      </c>
      <c r="FH17" s="56"/>
      <c r="FL17" s="117">
        <v>67.900000000000006</v>
      </c>
      <c r="GC17" s="56"/>
      <c r="GG17" s="117">
        <v>67.900000000000006</v>
      </c>
      <c r="GX17" s="56"/>
      <c r="HB17" s="117">
        <v>67.900000000000006</v>
      </c>
      <c r="HS17" s="56"/>
      <c r="HW17" s="117">
        <v>67.900000000000006</v>
      </c>
      <c r="IN17" s="56"/>
      <c r="IR17" s="117">
        <v>67.900000000000006</v>
      </c>
      <c r="JI17" s="56"/>
      <c r="JM17" s="117">
        <v>67.900000000000006</v>
      </c>
      <c r="KD17" s="56"/>
      <c r="KH17" s="117">
        <v>67.900000000000006</v>
      </c>
      <c r="KY17" s="56"/>
      <c r="LC17" s="117">
        <v>67.900000000000006</v>
      </c>
      <c r="LT17" s="56"/>
      <c r="LX17" s="117">
        <v>67.900000000000006</v>
      </c>
    </row>
    <row r="18" spans="1:336" x14ac:dyDescent="0.2">
      <c r="A18" s="56"/>
      <c r="B18" s="74" t="s">
        <v>57</v>
      </c>
      <c r="C18" s="55"/>
      <c r="AH18" s="56"/>
      <c r="AL18" s="68">
        <v>72.2</v>
      </c>
      <c r="BD18" s="56"/>
      <c r="BH18" s="68">
        <v>71.599999999999994</v>
      </c>
      <c r="BZ18" s="56"/>
      <c r="CD18" s="68">
        <v>71.599999999999994</v>
      </c>
      <c r="CW18" s="56"/>
      <c r="DA18" s="68">
        <v>71.599999999999994</v>
      </c>
      <c r="DR18" s="56"/>
      <c r="DV18" s="68">
        <v>71.599999999999994</v>
      </c>
      <c r="EM18" s="56"/>
      <c r="EQ18" s="68">
        <v>71.599999999999994</v>
      </c>
      <c r="FH18" s="56"/>
      <c r="FL18" s="68">
        <v>71.599999999999994</v>
      </c>
      <c r="GC18" s="56"/>
      <c r="GG18" s="68">
        <v>71.599999999999994</v>
      </c>
      <c r="GX18" s="56"/>
      <c r="HB18" s="68">
        <v>71.599999999999994</v>
      </c>
      <c r="HS18" s="56"/>
      <c r="HW18" s="68">
        <v>71.599999999999994</v>
      </c>
      <c r="IN18" s="56"/>
      <c r="IR18" s="68">
        <v>71.599999999999994</v>
      </c>
      <c r="JI18" s="56"/>
      <c r="JM18" s="68">
        <v>71.599999999999994</v>
      </c>
      <c r="KD18" s="56"/>
      <c r="KH18" s="68">
        <v>71.599999999999994</v>
      </c>
      <c r="KY18" s="56"/>
      <c r="LC18" s="68">
        <v>71.599999999999994</v>
      </c>
      <c r="LT18" s="56"/>
      <c r="LX18" s="68">
        <v>71.599999999999994</v>
      </c>
    </row>
    <row r="19" spans="1:336" x14ac:dyDescent="0.2">
      <c r="B19" s="82" t="s">
        <v>89</v>
      </c>
      <c r="C19" s="2"/>
    </row>
    <row r="20" spans="1:336" x14ac:dyDescent="0.2">
      <c r="A20" s="56"/>
      <c r="B20" s="56"/>
      <c r="C20" s="55"/>
    </row>
    <row r="21" spans="1:336" ht="17" x14ac:dyDescent="0.2">
      <c r="A21" s="56"/>
      <c r="B21" s="56"/>
      <c r="C21" s="55"/>
      <c r="N21" s="19"/>
      <c r="O21" s="19"/>
      <c r="P21" s="19"/>
    </row>
    <row r="22" spans="1:336" ht="17" x14ac:dyDescent="0.2">
      <c r="A22" s="56"/>
      <c r="B22" s="56"/>
      <c r="C22" s="55"/>
      <c r="N22" s="19"/>
      <c r="O22" s="19"/>
      <c r="P22" s="19"/>
    </row>
    <row r="23" spans="1:336" ht="17" x14ac:dyDescent="0.2">
      <c r="N23" s="19"/>
      <c r="O23" s="19"/>
      <c r="P23" s="19"/>
    </row>
    <row r="24" spans="1:336" ht="17" x14ac:dyDescent="0.2">
      <c r="N24" s="19"/>
      <c r="O24" s="19"/>
      <c r="P24" s="19"/>
    </row>
    <row r="25" spans="1:336" ht="17" x14ac:dyDescent="0.2">
      <c r="N25" s="19"/>
      <c r="O25" s="19"/>
      <c r="P25" s="19"/>
    </row>
    <row r="26" spans="1:336" ht="17" x14ac:dyDescent="0.2">
      <c r="N26" s="19"/>
      <c r="O26" s="19"/>
      <c r="P26" s="19"/>
    </row>
    <row r="27" spans="1:336" ht="17" x14ac:dyDescent="0.2">
      <c r="N27" s="19"/>
      <c r="O27" s="19"/>
      <c r="P27" s="19"/>
    </row>
    <row r="28" spans="1:336" ht="17" x14ac:dyDescent="0.2">
      <c r="N28" s="19"/>
      <c r="O28" s="19"/>
      <c r="P28" s="19"/>
    </row>
    <row r="29" spans="1:336" ht="17" x14ac:dyDescent="0.2">
      <c r="N29" s="19"/>
      <c r="O29" s="19"/>
      <c r="P29" s="19"/>
    </row>
    <row r="30" spans="1:336" ht="17" x14ac:dyDescent="0.2">
      <c r="N30" s="19"/>
      <c r="O30" s="19"/>
      <c r="P30" s="19"/>
    </row>
    <row r="31" spans="1:336" ht="17" x14ac:dyDescent="0.2">
      <c r="N31" s="19"/>
      <c r="O31" s="19"/>
      <c r="P31" s="19"/>
    </row>
    <row r="32" spans="1:33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  <row r="40" spans="14:16" ht="17" x14ac:dyDescent="0.2">
      <c r="N40" s="19"/>
      <c r="O40" s="19"/>
      <c r="P40" s="19"/>
    </row>
  </sheetData>
  <sheetProtection sheet="1" formatCells="0" formatColumns="0" formatRows="0"/>
  <autoFilter ref="A1:MT7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8">
      <sortCondition descending="1" ref="F1:F9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8">
    <cfRule type="expression" dxfId="91" priority="1" stopIfTrue="1">
      <formula>IF($AG4&lt;&gt;"",1,0)</formula>
    </cfRule>
  </conditionalFormatting>
  <conditionalFormatting sqref="AM4:BH8">
    <cfRule type="expression" dxfId="90" priority="2" stopIfTrue="1">
      <formula>IF($BC4&lt;&gt;"",1,0)</formula>
    </cfRule>
  </conditionalFormatting>
  <conditionalFormatting sqref="K1:K1048576 M1:M1048576">
    <cfRule type="expression" dxfId="89" priority="36231">
      <formula>IF(K1=$BI$1,1,0)</formula>
    </cfRule>
    <cfRule type="expression" dxfId="88" priority="36232">
      <formula>IF(K1=$AM$1,1,0)</formula>
    </cfRule>
    <cfRule type="expression" dxfId="87" priority="36233">
      <formula>IF(K1=$Q$1,1,0)</formula>
    </cfRule>
  </conditionalFormatting>
  <conditionalFormatting sqref="BI4:CD8">
    <cfRule type="expression" dxfId="86" priority="3" stopIfTrue="1">
      <formula>IF($AG4&lt;&gt;"",1,0)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85" priority="89" operator="between">
      <formula>AL$14</formula>
      <formula>1000</formula>
    </cfRule>
    <cfRule type="cellIs" dxfId="84" priority="90" operator="between">
      <formula>AL$13</formula>
      <formula>AL$14</formula>
    </cfRule>
    <cfRule type="cellIs" dxfId="83" priority="91" operator="between">
      <formula>AL$12</formula>
      <formula>AL$13</formula>
    </cfRule>
    <cfRule type="cellIs" dxfId="82" priority="92" operator="between">
      <formula>AL$11</formula>
      <formula>AL$12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81" priority="210" operator="between">
      <formula>AL$18</formula>
      <formula>1000</formula>
    </cfRule>
    <cfRule type="cellIs" dxfId="80" priority="9028" operator="between">
      <formula>AL$17</formula>
      <formula>AL$18</formula>
    </cfRule>
    <cfRule type="cellIs" dxfId="79" priority="9029" operator="between">
      <formula>AL$16</formula>
      <formula>AL$17</formula>
    </cfRule>
    <cfRule type="cellIs" dxfId="78" priority="36222" operator="between">
      <formula>AL$15</formula>
      <formula>AL$16</formula>
    </cfRule>
  </conditionalFormatting>
  <conditionalFormatting sqref="A1:A1048576">
    <cfRule type="expression" dxfId="77" priority="38430">
      <formula>AND(G1="P",F1="")</formula>
    </cfRule>
  </conditionalFormatting>
  <conditionalFormatting sqref="H1:H1048576">
    <cfRule type="containsText" dxfId="76" priority="5" operator="containsText" text="No DD">
      <formula>NOT(ISERROR(SEARCH("No DD",H1)))</formula>
    </cfRule>
    <cfRule type="containsText" dxfId="75" priority="6" operator="containsText" text="Merit">
      <formula>NOT(ISERROR(SEARCH("Merit",H1)))</formula>
    </cfRule>
    <cfRule type="containsText" dxfId="74" priority="20" operator="containsText" text="Excellence">
      <formula>NOT(ISERROR(SEARCH("Excellence",H1)))</formula>
    </cfRule>
    <cfRule type="containsText" dxfId="73" priority="29" operator="containsText" text="Worlds Team">
      <formula>NOT(ISERROR(SEARCH("Worlds Team",H1)))</formula>
    </cfRule>
    <cfRule type="containsText" dxfId="72" priority="32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180</v>
      </c>
      <c r="J1" s="141" t="s">
        <v>17</v>
      </c>
      <c r="K1" s="141" t="s">
        <v>55</v>
      </c>
      <c r="L1" s="141" t="s">
        <v>20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128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160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182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7" t="s">
        <v>113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1"/>
      <c r="K2" s="141"/>
      <c r="L2" s="141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126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126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126</v>
      </c>
      <c r="CC2" s="9" t="s">
        <v>30</v>
      </c>
      <c r="CD2" s="9" t="s">
        <v>25</v>
      </c>
      <c r="CE2" s="22" t="s">
        <v>31</v>
      </c>
      <c r="CF2" s="22" t="s">
        <v>30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4" t="s">
        <v>48</v>
      </c>
      <c r="CT2" s="144"/>
      <c r="CU2" s="144"/>
      <c r="CV2" s="144"/>
      <c r="CW2" s="58" t="s">
        <v>32</v>
      </c>
      <c r="CX2" s="9" t="s">
        <v>31</v>
      </c>
      <c r="CY2" s="9" t="s">
        <v>126</v>
      </c>
      <c r="CZ2" s="9" t="s">
        <v>30</v>
      </c>
      <c r="DA2" s="9" t="s">
        <v>25</v>
      </c>
      <c r="DB2" s="135" t="s">
        <v>43</v>
      </c>
      <c r="DC2" s="135"/>
      <c r="DD2" s="135"/>
      <c r="DE2" s="135"/>
      <c r="DF2" s="135" t="s">
        <v>46</v>
      </c>
      <c r="DG2" s="135"/>
      <c r="DH2" s="135"/>
      <c r="DI2" s="135"/>
      <c r="DJ2" s="135" t="s">
        <v>47</v>
      </c>
      <c r="DK2" s="135"/>
      <c r="DL2" s="135"/>
      <c r="DM2" s="135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126</v>
      </c>
      <c r="DU2" s="12" t="s">
        <v>30</v>
      </c>
      <c r="DV2" s="12" t="s">
        <v>25</v>
      </c>
      <c r="DW2" s="136" t="s">
        <v>43</v>
      </c>
      <c r="DX2" s="136"/>
      <c r="DY2" s="136"/>
      <c r="DZ2" s="136"/>
      <c r="EA2" s="136" t="s">
        <v>46</v>
      </c>
      <c r="EB2" s="136"/>
      <c r="EC2" s="136"/>
      <c r="ED2" s="136"/>
      <c r="EE2" s="136" t="s">
        <v>47</v>
      </c>
      <c r="EF2" s="136"/>
      <c r="EG2" s="136"/>
      <c r="EH2" s="136"/>
      <c r="EI2" s="144" t="s">
        <v>48</v>
      </c>
      <c r="EJ2" s="144"/>
      <c r="EK2" s="144"/>
      <c r="EL2" s="144"/>
      <c r="EM2" s="58" t="s">
        <v>32</v>
      </c>
      <c r="EN2" s="9" t="s">
        <v>31</v>
      </c>
      <c r="EO2" s="9" t="s">
        <v>126</v>
      </c>
      <c r="EP2" s="9" t="s">
        <v>30</v>
      </c>
      <c r="EQ2" s="9" t="s">
        <v>25</v>
      </c>
      <c r="ER2" s="135" t="s">
        <v>43</v>
      </c>
      <c r="ES2" s="135"/>
      <c r="ET2" s="135"/>
      <c r="EU2" s="135"/>
      <c r="EV2" s="135" t="s">
        <v>46</v>
      </c>
      <c r="EW2" s="135"/>
      <c r="EX2" s="135"/>
      <c r="EY2" s="135"/>
      <c r="EZ2" s="135" t="s">
        <v>47</v>
      </c>
      <c r="FA2" s="135"/>
      <c r="FB2" s="135"/>
      <c r="FC2" s="135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126</v>
      </c>
      <c r="FK2" s="12" t="s">
        <v>30</v>
      </c>
      <c r="FL2" s="12" t="s">
        <v>25</v>
      </c>
      <c r="FM2" s="136" t="s">
        <v>43</v>
      </c>
      <c r="FN2" s="136"/>
      <c r="FO2" s="136"/>
      <c r="FP2" s="136"/>
      <c r="FQ2" s="136" t="s">
        <v>46</v>
      </c>
      <c r="FR2" s="136"/>
      <c r="FS2" s="136"/>
      <c r="FT2" s="136"/>
      <c r="FU2" s="136" t="s">
        <v>47</v>
      </c>
      <c r="FV2" s="136"/>
      <c r="FW2" s="136"/>
      <c r="FX2" s="136"/>
      <c r="FY2" s="144" t="s">
        <v>48</v>
      </c>
      <c r="FZ2" s="144"/>
      <c r="GA2" s="144"/>
      <c r="GB2" s="144"/>
      <c r="GC2" s="21" t="s">
        <v>32</v>
      </c>
      <c r="GD2" s="9" t="s">
        <v>31</v>
      </c>
      <c r="GE2" s="9" t="s">
        <v>126</v>
      </c>
      <c r="GF2" s="9" t="s">
        <v>30</v>
      </c>
      <c r="GG2" s="9" t="s">
        <v>25</v>
      </c>
      <c r="GH2" s="135" t="s">
        <v>43</v>
      </c>
      <c r="GI2" s="135"/>
      <c r="GJ2" s="135"/>
      <c r="GK2" s="135"/>
      <c r="GL2" s="135" t="s">
        <v>46</v>
      </c>
      <c r="GM2" s="135"/>
      <c r="GN2" s="135"/>
      <c r="GO2" s="135"/>
      <c r="GP2" s="135" t="s">
        <v>47</v>
      </c>
      <c r="GQ2" s="135"/>
      <c r="GR2" s="135"/>
      <c r="GS2" s="135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126</v>
      </c>
      <c r="HA2" s="12" t="s">
        <v>30</v>
      </c>
      <c r="HB2" s="12" t="s">
        <v>25</v>
      </c>
      <c r="HC2" s="136" t="s">
        <v>43</v>
      </c>
      <c r="HD2" s="136"/>
      <c r="HE2" s="136"/>
      <c r="HF2" s="136"/>
      <c r="HG2" s="136" t="s">
        <v>46</v>
      </c>
      <c r="HH2" s="136"/>
      <c r="HI2" s="136"/>
      <c r="HJ2" s="136"/>
      <c r="HK2" s="136" t="s">
        <v>47</v>
      </c>
      <c r="HL2" s="136"/>
      <c r="HM2" s="136"/>
      <c r="HN2" s="136"/>
      <c r="HO2" s="144" t="s">
        <v>48</v>
      </c>
      <c r="HP2" s="144"/>
      <c r="HQ2" s="144"/>
      <c r="HR2" s="144"/>
      <c r="HS2" s="21" t="s">
        <v>32</v>
      </c>
      <c r="HT2" s="9" t="s">
        <v>31</v>
      </c>
      <c r="HU2" s="9" t="s">
        <v>126</v>
      </c>
      <c r="HV2" s="9" t="s">
        <v>30</v>
      </c>
      <c r="HW2" s="9" t="s">
        <v>25</v>
      </c>
      <c r="HX2" s="135" t="s">
        <v>43</v>
      </c>
      <c r="HY2" s="135"/>
      <c r="HZ2" s="135"/>
      <c r="IA2" s="135"/>
      <c r="IB2" s="135" t="s">
        <v>46</v>
      </c>
      <c r="IC2" s="135"/>
      <c r="ID2" s="135"/>
      <c r="IE2" s="135"/>
      <c r="IF2" s="135" t="s">
        <v>47</v>
      </c>
      <c r="IG2" s="135"/>
      <c r="IH2" s="135"/>
      <c r="II2" s="135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126</v>
      </c>
      <c r="IQ2" s="12" t="s">
        <v>30</v>
      </c>
      <c r="IR2" s="12" t="s">
        <v>25</v>
      </c>
      <c r="IS2" s="136" t="s">
        <v>43</v>
      </c>
      <c r="IT2" s="136"/>
      <c r="IU2" s="136"/>
      <c r="IV2" s="136"/>
      <c r="IW2" s="136" t="s">
        <v>46</v>
      </c>
      <c r="IX2" s="136"/>
      <c r="IY2" s="136"/>
      <c r="IZ2" s="136"/>
      <c r="JA2" s="136" t="s">
        <v>47</v>
      </c>
      <c r="JB2" s="136"/>
      <c r="JC2" s="136"/>
      <c r="JD2" s="136"/>
      <c r="JE2" s="144" t="s">
        <v>48</v>
      </c>
      <c r="JF2" s="144"/>
      <c r="JG2" s="144"/>
      <c r="JH2" s="144"/>
      <c r="JI2" s="21" t="s">
        <v>32</v>
      </c>
      <c r="JJ2" s="9" t="s">
        <v>31</v>
      </c>
      <c r="JK2" s="9" t="s">
        <v>126</v>
      </c>
      <c r="JL2" s="9" t="s">
        <v>30</v>
      </c>
      <c r="JM2" s="9" t="s">
        <v>25</v>
      </c>
      <c r="JN2" s="135" t="s">
        <v>43</v>
      </c>
      <c r="JO2" s="135"/>
      <c r="JP2" s="135"/>
      <c r="JQ2" s="135"/>
      <c r="JR2" s="135" t="s">
        <v>46</v>
      </c>
      <c r="JS2" s="135"/>
      <c r="JT2" s="135"/>
      <c r="JU2" s="135"/>
      <c r="JV2" s="135" t="s">
        <v>47</v>
      </c>
      <c r="JW2" s="135"/>
      <c r="JX2" s="135"/>
      <c r="JY2" s="135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126</v>
      </c>
      <c r="KG2" s="12" t="s">
        <v>30</v>
      </c>
      <c r="KH2" s="12" t="s">
        <v>25</v>
      </c>
      <c r="KI2" s="136" t="s">
        <v>43</v>
      </c>
      <c r="KJ2" s="136"/>
      <c r="KK2" s="136"/>
      <c r="KL2" s="136"/>
      <c r="KM2" s="136" t="s">
        <v>46</v>
      </c>
      <c r="KN2" s="136"/>
      <c r="KO2" s="136"/>
      <c r="KP2" s="136"/>
      <c r="KQ2" s="136" t="s">
        <v>47</v>
      </c>
      <c r="KR2" s="136"/>
      <c r="KS2" s="136"/>
      <c r="KT2" s="136"/>
      <c r="KU2" s="144" t="s">
        <v>48</v>
      </c>
      <c r="KV2" s="144"/>
      <c r="KW2" s="144"/>
      <c r="KX2" s="144"/>
      <c r="KY2" s="21" t="s">
        <v>32</v>
      </c>
      <c r="KZ2" s="9" t="s">
        <v>31</v>
      </c>
      <c r="LA2" s="9" t="s">
        <v>126</v>
      </c>
      <c r="LB2" s="9" t="s">
        <v>30</v>
      </c>
      <c r="LC2" s="9" t="s">
        <v>25</v>
      </c>
      <c r="LD2" s="135" t="s">
        <v>43</v>
      </c>
      <c r="LE2" s="135"/>
      <c r="LF2" s="135"/>
      <c r="LG2" s="135"/>
      <c r="LH2" s="135" t="s">
        <v>46</v>
      </c>
      <c r="LI2" s="135"/>
      <c r="LJ2" s="135"/>
      <c r="LK2" s="135"/>
      <c r="LL2" s="135" t="s">
        <v>47</v>
      </c>
      <c r="LM2" s="135"/>
      <c r="LN2" s="135"/>
      <c r="LO2" s="135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126</v>
      </c>
      <c r="LW2" s="12" t="s">
        <v>30</v>
      </c>
      <c r="LX2" s="12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126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1"/>
      <c r="K3" s="141"/>
      <c r="L3" s="141"/>
      <c r="M3" s="141"/>
      <c r="N3" s="142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87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85</v>
      </c>
      <c r="C4" s="7" t="s">
        <v>3</v>
      </c>
      <c r="D4" s="27">
        <v>2000</v>
      </c>
      <c r="E4" s="15">
        <f>SUM(J4:N4)</f>
        <v>125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65.099999999999994</v>
      </c>
      <c r="K4" s="14" t="str">
        <f>IF(J4=0,"",IF(J4=CA4,$BI$1,IF(J4=BE4,$AM$1,IF(J4=AI4,$Q$1,""))))</f>
        <v>2019 Nationals</v>
      </c>
      <c r="L4" s="14">
        <f>MAX(AK4,BG4,CC4)</f>
        <v>59.9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26.5</v>
      </c>
      <c r="R4" s="41">
        <v>6.1</v>
      </c>
      <c r="S4" s="41">
        <v>0</v>
      </c>
      <c r="T4" s="41">
        <v>0</v>
      </c>
      <c r="U4" s="41">
        <v>28</v>
      </c>
      <c r="V4" s="41">
        <v>4.5</v>
      </c>
      <c r="W4" s="41">
        <v>0</v>
      </c>
      <c r="X4" s="41">
        <v>0</v>
      </c>
      <c r="Y4" s="41">
        <v>16.899999999999999</v>
      </c>
      <c r="Z4" s="41">
        <v>2.8</v>
      </c>
      <c r="AA4" s="41">
        <v>0</v>
      </c>
      <c r="AB4" s="41">
        <v>0</v>
      </c>
      <c r="AC4" s="41">
        <v>26.4</v>
      </c>
      <c r="AD4" s="41">
        <v>6.1</v>
      </c>
      <c r="AE4" s="41">
        <v>0</v>
      </c>
      <c r="AF4" s="41">
        <v>0</v>
      </c>
      <c r="AG4" s="80"/>
      <c r="AH4" s="11">
        <f>IF(SUM(R4,V4)&gt;0,SUM(R4,V4),"")</f>
        <v>10.6</v>
      </c>
      <c r="AI4" s="11">
        <f>IF(SUM(Q4:R4,T4:V4,X4)-S4-W4&gt;0,SUM(Q4:R4,T4:V4,X4)-S4-W4,"")</f>
        <v>65.099999999999994</v>
      </c>
      <c r="AJ4" s="11">
        <f>IF(SUM(Z4,AD4)&gt;0,SUM(Z4,AD4),"")</f>
        <v>8.8999999999999986</v>
      </c>
      <c r="AK4" s="11">
        <f>IF(SUM(Y4:Z4,AB4:AD4,AF4)-SUM(AA4,AE4)&gt;0,SUM(Y4:Z4,AB4:AD4,AF4)-SUM(AA4,AE4),"")</f>
        <v>52.199999999999996</v>
      </c>
      <c r="AL4" s="11">
        <f>IF(SUM(AI4,AK4)&gt;0,SUM(AI4,AK4),"")</f>
        <v>117.29999999999998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>
        <v>26.3</v>
      </c>
      <c r="BJ4" s="41">
        <v>3.6</v>
      </c>
      <c r="BK4" s="41">
        <v>0</v>
      </c>
      <c r="BL4" s="41">
        <v>0</v>
      </c>
      <c r="BM4" s="41">
        <v>26.2</v>
      </c>
      <c r="BN4" s="41">
        <v>4.5</v>
      </c>
      <c r="BO4" s="41">
        <v>0</v>
      </c>
      <c r="BP4" s="41">
        <v>0.3</v>
      </c>
      <c r="BQ4" s="41">
        <v>26.7</v>
      </c>
      <c r="BR4" s="41">
        <v>3.2</v>
      </c>
      <c r="BS4" s="41">
        <v>0.4</v>
      </c>
      <c r="BT4" s="41">
        <v>0</v>
      </c>
      <c r="BU4" s="41">
        <v>25.6</v>
      </c>
      <c r="BV4" s="41">
        <v>4.5</v>
      </c>
      <c r="BW4" s="41">
        <v>0</v>
      </c>
      <c r="BX4" s="41">
        <v>0.3</v>
      </c>
      <c r="BY4" s="80"/>
      <c r="BZ4" s="11">
        <f>IF(SUM(BJ4,BN4)&gt;0,SUM(BJ4,BN4),"")</f>
        <v>8.1</v>
      </c>
      <c r="CA4" s="11">
        <f>IF(SUM(BI4:BJ4,BL4:BN4,BP4)-BK4-BO4&gt;0,SUM(BI4:BJ4,BL4:BN4,BP4)-BK4-BO4,"")</f>
        <v>60.9</v>
      </c>
      <c r="CB4" s="11">
        <f>IF(SUM(BR4,BV4)&gt;0,SUM(BR4,BV4),"")</f>
        <v>7.7</v>
      </c>
      <c r="CC4" s="11">
        <f>IF(SUM(BQ4:BR4,BT4:BV4,BX4)-SUM(BS4,BW4)&gt;0,SUM(BQ4:BR4,BT4:BV4,BX4)-SUM(BS4,BW4),"")</f>
        <v>59.9</v>
      </c>
      <c r="CD4" s="11">
        <f>IF(SUM(CA4,CC4)&gt;0,SUM(CA4,CC4),"")</f>
        <v>120.8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7" si="0">IF($BY4="P",BI4,(BI4+AM4)/2)</f>
        <v>13.15</v>
      </c>
      <c r="LZ4" s="69">
        <f t="shared" si="0"/>
        <v>1.8</v>
      </c>
      <c r="MA4" s="69">
        <f t="shared" si="0"/>
        <v>0</v>
      </c>
      <c r="MB4" s="69">
        <f t="shared" si="0"/>
        <v>0</v>
      </c>
      <c r="MC4" s="69">
        <f t="shared" si="0"/>
        <v>13.1</v>
      </c>
      <c r="MD4" s="69">
        <f t="shared" si="0"/>
        <v>2.25</v>
      </c>
      <c r="ME4" s="69">
        <f t="shared" si="0"/>
        <v>0</v>
      </c>
      <c r="MF4" s="69">
        <f t="shared" si="0"/>
        <v>0.15</v>
      </c>
      <c r="MG4" s="69">
        <f t="shared" si="0"/>
        <v>13.35</v>
      </c>
      <c r="MH4" s="69">
        <f t="shared" si="0"/>
        <v>1.6</v>
      </c>
      <c r="MI4" s="69">
        <f t="shared" si="0"/>
        <v>0.2</v>
      </c>
      <c r="MJ4" s="69">
        <f t="shared" si="0"/>
        <v>0</v>
      </c>
      <c r="MK4" s="69">
        <f t="shared" si="0"/>
        <v>12.8</v>
      </c>
      <c r="ML4" s="69">
        <f t="shared" si="0"/>
        <v>2.25</v>
      </c>
      <c r="MM4" s="69">
        <f t="shared" si="0"/>
        <v>0</v>
      </c>
      <c r="MN4" s="69">
        <f t="shared" si="0"/>
        <v>0.15</v>
      </c>
      <c r="MO4" s="80" t="s">
        <v>88</v>
      </c>
      <c r="MP4" s="11">
        <f>IF(SUM(LZ4,MD4)&gt;0,SUM(LZ4,MD4),"")</f>
        <v>4.05</v>
      </c>
      <c r="MQ4" s="11">
        <f>IF(SUM(LY4:LZ4,MB4:MD4,MF4)-MA4-ME4&gt;0,SUM(LY4:LZ4,MB4:MD4,MF4)-MA4-ME4,"")</f>
        <v>30.45</v>
      </c>
      <c r="MR4" s="11">
        <f>IF(SUM(MH4,ML4)&gt;0,SUM(MH4,ML4),"")</f>
        <v>3.85</v>
      </c>
      <c r="MS4" s="11">
        <f>IF(SUM(MG4:MH4,MJ4:ML4,MN4)-SUM(MI4,MM4)&gt;0,SUM(MG4:MH4,MJ4:ML4,MN4)-SUM(MI4,MM4),"")</f>
        <v>29.95</v>
      </c>
      <c r="MT4" s="11">
        <f>IF(SUM(MQ4,MS4)&gt;0,SUM(MQ4,MS4),"")</f>
        <v>60.4</v>
      </c>
    </row>
    <row r="5" spans="1:358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192</v>
      </c>
      <c r="C5" s="7" t="s">
        <v>3</v>
      </c>
      <c r="D5" s="27">
        <v>2004</v>
      </c>
      <c r="E5" s="15">
        <f>SUM(J5:N5)</f>
        <v>123.79999999999998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>P</v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>P</v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62.199999999999996</v>
      </c>
      <c r="K5" s="14" t="str">
        <f>IF(J5=0,"",IF(J5=CA5,$BI$1,IF(J5=BE5,$AM$1,IF(J5=AI5,$Q$1,""))))</f>
        <v>2019 Nationals</v>
      </c>
      <c r="L5" s="14">
        <f>MAX(AK5,BG5,CC5)</f>
        <v>61.599999999999994</v>
      </c>
      <c r="M5" s="14" t="str">
        <f>IF(L5=0,"",IF(J5=CC5,$BI$1,IF(L5=BG5,$AM$1,IF(L5=AK5,$Q$1,""))))</f>
        <v>2019 Nationals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26.7</v>
      </c>
      <c r="R5" s="41">
        <v>3.8</v>
      </c>
      <c r="S5" s="41">
        <v>0</v>
      </c>
      <c r="T5" s="41">
        <v>0</v>
      </c>
      <c r="U5" s="41">
        <v>26.4</v>
      </c>
      <c r="V5" s="41">
        <v>4.3</v>
      </c>
      <c r="W5" s="41">
        <v>0</v>
      </c>
      <c r="X5" s="41">
        <v>1</v>
      </c>
      <c r="Y5" s="41">
        <v>27</v>
      </c>
      <c r="Z5" s="41">
        <v>3.6</v>
      </c>
      <c r="AA5" s="41">
        <v>0</v>
      </c>
      <c r="AB5" s="41">
        <v>0</v>
      </c>
      <c r="AC5" s="41">
        <v>25.7</v>
      </c>
      <c r="AD5" s="41">
        <v>4.3</v>
      </c>
      <c r="AE5" s="41">
        <v>0</v>
      </c>
      <c r="AF5" s="41">
        <v>1</v>
      </c>
      <c r="AG5" s="80"/>
      <c r="AH5" s="11">
        <f>IF(SUM(R5,V5)&gt;0,SUM(R5,V5),"")</f>
        <v>8.1</v>
      </c>
      <c r="AI5" s="11">
        <f>IF(SUM(Q5:R5,T5:V5,X5)-S5-W5&gt;0,SUM(Q5:R5,T5:V5,X5)-S5-W5,"")</f>
        <v>62.199999999999996</v>
      </c>
      <c r="AJ5" s="11">
        <f>IF(SUM(Z5,AD5)&gt;0,SUM(Z5,AD5),"")</f>
        <v>7.9</v>
      </c>
      <c r="AK5" s="11">
        <f>IF(SUM(Y5:Z5,AB5:AD5,AF5)-SUM(AA5,AE5)&gt;0,SUM(Y5:Z5,AB5:AD5,AF5)-SUM(AA5,AE5),"")</f>
        <v>61.599999999999994</v>
      </c>
      <c r="AL5" s="11">
        <f>IF(SUM(AI5,AK5)&gt;0,SUM(AI5,AK5),"")</f>
        <v>123.79999999999998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/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1">
        <v>25.6</v>
      </c>
      <c r="BJ5" s="41">
        <v>3.6</v>
      </c>
      <c r="BK5" s="41">
        <v>0</v>
      </c>
      <c r="BL5" s="41">
        <v>0</v>
      </c>
      <c r="BM5" s="41">
        <v>23.9</v>
      </c>
      <c r="BN5" s="41">
        <v>4.3</v>
      </c>
      <c r="BO5" s="41">
        <v>0</v>
      </c>
      <c r="BP5" s="41">
        <v>0.3</v>
      </c>
      <c r="BQ5" s="41">
        <v>25.6</v>
      </c>
      <c r="BR5" s="41">
        <v>3.2</v>
      </c>
      <c r="BS5" s="41">
        <v>0.4</v>
      </c>
      <c r="BT5" s="41">
        <v>0</v>
      </c>
      <c r="BU5" s="41">
        <v>24.9</v>
      </c>
      <c r="BV5" s="41">
        <v>4.3</v>
      </c>
      <c r="BW5" s="41">
        <v>0</v>
      </c>
      <c r="BX5" s="41">
        <v>0.3</v>
      </c>
      <c r="BY5" s="80"/>
      <c r="BZ5" s="11">
        <f>IF(SUM(BJ5,BN5)&gt;0,SUM(BJ5,BN5),"")</f>
        <v>7.9</v>
      </c>
      <c r="CA5" s="11">
        <f>IF(SUM(BI5:BJ5,BL5:BN5,BP5)-BK5-BO5&gt;0,SUM(BI5:BJ5,BL5:BN5,BP5)-BK5-BO5,"")</f>
        <v>57.699999999999996</v>
      </c>
      <c r="CB5" s="11"/>
      <c r="CC5" s="11">
        <f>IF(SUM(BQ5:BR5,BT5:BV5,BX5)-SUM(BS5,BW5)&gt;0,SUM(BQ5:BR5,BT5:BV5,BX5)-SUM(BS5,BW5),"")</f>
        <v>57.9</v>
      </c>
      <c r="CD5" s="11">
        <f>IF(SUM(CA5,CC5)&gt;0,SUM(CA5,CC5),"")</f>
        <v>115.6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12.8</v>
      </c>
      <c r="LZ5" s="69">
        <f t="shared" si="0"/>
        <v>1.8</v>
      </c>
      <c r="MA5" s="69">
        <f t="shared" si="0"/>
        <v>0</v>
      </c>
      <c r="MB5" s="69">
        <f t="shared" si="0"/>
        <v>0</v>
      </c>
      <c r="MC5" s="69">
        <f t="shared" si="0"/>
        <v>11.95</v>
      </c>
      <c r="MD5" s="69">
        <f t="shared" si="0"/>
        <v>2.15</v>
      </c>
      <c r="ME5" s="69">
        <f t="shared" si="0"/>
        <v>0</v>
      </c>
      <c r="MF5" s="69">
        <f t="shared" si="0"/>
        <v>0.15</v>
      </c>
      <c r="MG5" s="69">
        <f t="shared" si="0"/>
        <v>12.8</v>
      </c>
      <c r="MH5" s="69">
        <f t="shared" si="0"/>
        <v>1.6</v>
      </c>
      <c r="MI5" s="69">
        <f t="shared" si="0"/>
        <v>0.2</v>
      </c>
      <c r="MJ5" s="69">
        <f t="shared" si="0"/>
        <v>0</v>
      </c>
      <c r="MK5" s="69">
        <f t="shared" si="0"/>
        <v>12.45</v>
      </c>
      <c r="ML5" s="69">
        <f t="shared" si="0"/>
        <v>2.15</v>
      </c>
      <c r="MM5" s="69">
        <f t="shared" si="0"/>
        <v>0</v>
      </c>
      <c r="MN5" s="69">
        <f t="shared" si="0"/>
        <v>0.15</v>
      </c>
      <c r="MO5" s="80" t="s">
        <v>88</v>
      </c>
      <c r="MP5" s="11">
        <f>IF(SUM(LZ5,MD5)&gt;0,SUM(LZ5,MD5),"")</f>
        <v>3.95</v>
      </c>
      <c r="MQ5" s="11">
        <f>IF(SUM(LY5:LZ5,MB5:MD5,MF5)-MA5-ME5&gt;0,SUM(LY5:LZ5,MB5:MD5,MF5)-MA5-ME5,"")</f>
        <v>28.849999999999998</v>
      </c>
      <c r="MR5" s="11">
        <f>IF(SUM(MH5,ML5)&gt;0,SUM(MH5,ML5),"")</f>
        <v>3.75</v>
      </c>
      <c r="MS5" s="11">
        <f>IF(SUM(MG5:MH5,MJ5:ML5,MN5)-SUM(MI5,MM5)&gt;0,SUM(MG5:MH5,MJ5:ML5,MN5)-SUM(MI5,MM5),"")</f>
        <v>28.95</v>
      </c>
      <c r="MT5" s="11">
        <f>IF(SUM(MQ5,MS5)&gt;0,SUM(MQ5,MS5),"")</f>
        <v>57.8</v>
      </c>
    </row>
    <row r="6" spans="1:358" x14ac:dyDescent="0.2">
      <c r="A6" s="5">
        <f>IF(AND(F6="P",G6="P"),SUMPRODUCT((F$4:F$8="P")*(G$4:G$8="P")*(E$4:E$8&gt;E6))+1,IF(G6="P",SUMPRODUCT((F$4:F$8="")*(G$4:G$8="P")*(E$4:E$8&gt;E6))+1+SUMPRODUCT((F$4:F$8="P")*(G$4:G$8="P")),""))</f>
        <v>3</v>
      </c>
      <c r="B6" s="6" t="s">
        <v>158</v>
      </c>
      <c r="C6" s="7" t="s">
        <v>3</v>
      </c>
      <c r="D6" s="27">
        <v>2003</v>
      </c>
      <c r="E6" s="15">
        <f>SUM(J6:N6)</f>
        <v>89.8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>P</v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>P</v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63.599999999999994</v>
      </c>
      <c r="K6" s="14" t="str">
        <f>IF(J6=0,"",IF(J6=CA6,$BI$1,IF(J6=BE6,$AM$1,IF(J6=AI6,$Q$1,""))))</f>
        <v>2019 Nationals</v>
      </c>
      <c r="L6" s="14">
        <f>MAX(AK6,BG6,CC6)</f>
        <v>26.2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25</v>
      </c>
      <c r="R6" s="41">
        <v>6.1</v>
      </c>
      <c r="S6" s="41">
        <v>0</v>
      </c>
      <c r="T6" s="41">
        <v>1</v>
      </c>
      <c r="U6" s="41">
        <v>26.2</v>
      </c>
      <c r="V6" s="41">
        <v>4.3</v>
      </c>
      <c r="W6" s="41">
        <v>0</v>
      </c>
      <c r="X6" s="41">
        <v>1</v>
      </c>
      <c r="Y6" s="41">
        <v>23.3</v>
      </c>
      <c r="Z6" s="41">
        <v>2.9</v>
      </c>
      <c r="AA6" s="41">
        <v>0</v>
      </c>
      <c r="AB6" s="41">
        <v>0</v>
      </c>
      <c r="AC6" s="41"/>
      <c r="AD6" s="41"/>
      <c r="AE6" s="41"/>
      <c r="AF6" s="41"/>
      <c r="AG6" s="80"/>
      <c r="AH6" s="11">
        <f>IF(SUM(R6,V6)&gt;0,SUM(R6,V6),"")</f>
        <v>10.399999999999999</v>
      </c>
      <c r="AI6" s="11">
        <f>IF(SUM(Q6:R6,T6:V6,X6)-S6-W6&gt;0,SUM(Q6:R6,T6:V6,X6)-S6-W6,"")</f>
        <v>63.599999999999994</v>
      </c>
      <c r="AJ6" s="11">
        <f>IF(SUM(Z6,AD6)&gt;0,SUM(Z6,AD6),"")</f>
        <v>2.9</v>
      </c>
      <c r="AK6" s="11">
        <f>IF(SUM(Y6:Z6,AB6:AD6,AF6)-SUM(AA6,AE6)&gt;0,SUM(Y6:Z6,AB6:AD6,AF6)-SUM(AA6,AE6),"")</f>
        <v>26.2</v>
      </c>
      <c r="AL6" s="11">
        <f>IF(SUM(AI6,AK6)&gt;0,SUM(AI6,AK6),"")</f>
        <v>89.8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/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/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 t="shared" si="0"/>
        <v>0</v>
      </c>
      <c r="LZ6" s="69">
        <f t="shared" si="0"/>
        <v>0</v>
      </c>
      <c r="MA6" s="69">
        <f t="shared" si="0"/>
        <v>0</v>
      </c>
      <c r="MB6" s="69">
        <f t="shared" si="0"/>
        <v>0</v>
      </c>
      <c r="MC6" s="69">
        <f t="shared" si="0"/>
        <v>0</v>
      </c>
      <c r="MD6" s="69">
        <f t="shared" si="0"/>
        <v>0</v>
      </c>
      <c r="ME6" s="69">
        <f t="shared" si="0"/>
        <v>0</v>
      </c>
      <c r="MF6" s="69">
        <f t="shared" si="0"/>
        <v>0</v>
      </c>
      <c r="MG6" s="69">
        <f t="shared" si="0"/>
        <v>0</v>
      </c>
      <c r="MH6" s="69">
        <f t="shared" si="0"/>
        <v>0</v>
      </c>
      <c r="MI6" s="69">
        <f t="shared" si="0"/>
        <v>0</v>
      </c>
      <c r="MJ6" s="69">
        <f t="shared" si="0"/>
        <v>0</v>
      </c>
      <c r="MK6" s="69">
        <f t="shared" si="0"/>
        <v>0</v>
      </c>
      <c r="ML6" s="69">
        <f t="shared" si="0"/>
        <v>0</v>
      </c>
      <c r="MM6" s="69">
        <f t="shared" si="0"/>
        <v>0</v>
      </c>
      <c r="MN6" s="69">
        <f t="shared" si="0"/>
        <v>0</v>
      </c>
      <c r="MO6" s="80" t="s">
        <v>88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>
        <f>IF(AND(F7="P",G7="P"),SUMPRODUCT((F$4:F$8="P")*(G$4:G$8="P")*(E$4:E$8&gt;E7))+1,IF(G7="P",SUMPRODUCT((F$4:F$8="")*(G$4:G$8="P")*(E$4:E$8&gt;E7))+1+SUMPRODUCT((F$4:F$8="P")*(G$4:G$8="P")),""))</f>
        <v>4</v>
      </c>
      <c r="B7" s="6" t="s">
        <v>157</v>
      </c>
      <c r="C7" s="7" t="s">
        <v>3</v>
      </c>
      <c r="D7" s="27">
        <v>2003</v>
      </c>
      <c r="E7" s="15">
        <f>SUM(J7:N7)</f>
        <v>124.8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>P</v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>No DD</v>
      </c>
      <c r="I7" s="3" t="str">
        <f>IF(OR(H7="Worlds Team",H7="Excellence",H7="Merit"),"P","")</f>
        <v/>
      </c>
      <c r="J7" s="14">
        <f>MAX(AI7,BE7,CA7)</f>
        <v>62.5</v>
      </c>
      <c r="K7" s="14" t="str">
        <f>IF(J7=0,"",IF(J7=CA7,$BI$1,IF(J7=BE7,$AM$1,IF(J7=AI7,$Q$1,""))))</f>
        <v>2019 Nationals</v>
      </c>
      <c r="L7" s="14">
        <f>MAX(AK7,BG7,CC7)</f>
        <v>62.3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26.7</v>
      </c>
      <c r="R7" s="41">
        <v>3.6</v>
      </c>
      <c r="S7" s="41">
        <v>0</v>
      </c>
      <c r="T7" s="41">
        <v>0</v>
      </c>
      <c r="U7" s="41">
        <v>26.9</v>
      </c>
      <c r="V7" s="41">
        <v>4.3</v>
      </c>
      <c r="W7" s="41">
        <v>0</v>
      </c>
      <c r="X7" s="41">
        <v>1</v>
      </c>
      <c r="Y7" s="41">
        <v>27.2</v>
      </c>
      <c r="Z7" s="41">
        <v>3.6</v>
      </c>
      <c r="AA7" s="41">
        <v>0</v>
      </c>
      <c r="AB7" s="41">
        <v>0</v>
      </c>
      <c r="AC7" s="41">
        <v>26.2</v>
      </c>
      <c r="AD7" s="41">
        <v>4.3</v>
      </c>
      <c r="AE7" s="41">
        <v>0</v>
      </c>
      <c r="AF7" s="41">
        <v>1</v>
      </c>
      <c r="AG7" s="80"/>
      <c r="AH7" s="11">
        <f>IF(SUM(R7,V7)&gt;0,SUM(R7,V7),"")</f>
        <v>7.9</v>
      </c>
      <c r="AI7" s="11">
        <f>IF(SUM(Q7:R7,T7:V7,X7)-S7-W7&gt;0,SUM(Q7:R7,T7:V7,X7)-S7-W7,"")</f>
        <v>62.5</v>
      </c>
      <c r="AJ7" s="11">
        <f>IF(SUM(Z7,AD7)&gt;0,SUM(Z7,AD7),"")</f>
        <v>7.9</v>
      </c>
      <c r="AK7" s="11">
        <f>IF(SUM(Y7:Z7,AB7:AD7,AF7)-SUM(AA7,AE7)&gt;0,SUM(Y7:Z7,AB7:AD7,AF7)-SUM(AA7,AE7),"")</f>
        <v>62.3</v>
      </c>
      <c r="AL7" s="11">
        <f>IF(SUM(AI7,AK7)&gt;0,SUM(AI7,AK7),"")</f>
        <v>124.8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/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>
        <v>26</v>
      </c>
      <c r="BJ7" s="41">
        <v>3.6</v>
      </c>
      <c r="BK7" s="41">
        <v>0</v>
      </c>
      <c r="BL7" s="41">
        <v>0</v>
      </c>
      <c r="BM7" s="41">
        <v>24.2</v>
      </c>
      <c r="BN7" s="41">
        <v>4.5</v>
      </c>
      <c r="BO7" s="41">
        <v>0</v>
      </c>
      <c r="BP7" s="41">
        <v>0.3</v>
      </c>
      <c r="BQ7" s="41">
        <v>25.6</v>
      </c>
      <c r="BR7" s="41">
        <v>3.6</v>
      </c>
      <c r="BS7" s="41">
        <v>0</v>
      </c>
      <c r="BT7" s="41">
        <v>0</v>
      </c>
      <c r="BU7" s="41">
        <v>24.4</v>
      </c>
      <c r="BV7" s="41">
        <v>4.3</v>
      </c>
      <c r="BW7" s="41">
        <v>0</v>
      </c>
      <c r="BX7" s="41">
        <v>0.3</v>
      </c>
      <c r="BY7" s="80"/>
      <c r="BZ7" s="11">
        <f>IF(SUM(BJ7,BN7)&gt;0,SUM(BJ7,BN7),"")</f>
        <v>8.1</v>
      </c>
      <c r="CA7" s="11">
        <f>IF(SUM(BI7:BJ7,BL7:BN7,BP7)-BK7-BO7&gt;0,SUM(BI7:BJ7,BL7:BN7,BP7)-BK7-BO7,"")</f>
        <v>58.599999999999994</v>
      </c>
      <c r="CB7" s="11"/>
      <c r="CC7" s="11">
        <f>IF(SUM(BQ7:BR7,BT7:BV7,BX7)-SUM(BS7,BW7)&gt;0,SUM(BQ7:BR7,BT7:BV7,BX7)-SUM(BS7,BW7),"")</f>
        <v>58.199999999999996</v>
      </c>
      <c r="CD7" s="11">
        <f>IF(SUM(CA7,CC7)&gt;0,SUM(CA7,CC7),"")</f>
        <v>116.79999999999998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 t="shared" si="0"/>
        <v>13</v>
      </c>
      <c r="LZ7" s="69">
        <f t="shared" si="0"/>
        <v>1.8</v>
      </c>
      <c r="MA7" s="69">
        <f t="shared" si="0"/>
        <v>0</v>
      </c>
      <c r="MB7" s="69">
        <f t="shared" si="0"/>
        <v>0</v>
      </c>
      <c r="MC7" s="69">
        <f t="shared" si="0"/>
        <v>12.1</v>
      </c>
      <c r="MD7" s="69">
        <f t="shared" si="0"/>
        <v>2.25</v>
      </c>
      <c r="ME7" s="69">
        <f t="shared" si="0"/>
        <v>0</v>
      </c>
      <c r="MF7" s="69">
        <f t="shared" si="0"/>
        <v>0.15</v>
      </c>
      <c r="MG7" s="69">
        <f t="shared" si="0"/>
        <v>12.8</v>
      </c>
      <c r="MH7" s="69">
        <f t="shared" si="0"/>
        <v>1.8</v>
      </c>
      <c r="MI7" s="69">
        <f t="shared" si="0"/>
        <v>0</v>
      </c>
      <c r="MJ7" s="69">
        <f t="shared" si="0"/>
        <v>0</v>
      </c>
      <c r="MK7" s="69">
        <f t="shared" si="0"/>
        <v>12.2</v>
      </c>
      <c r="ML7" s="69">
        <f t="shared" si="0"/>
        <v>2.15</v>
      </c>
      <c r="MM7" s="69">
        <f t="shared" si="0"/>
        <v>0</v>
      </c>
      <c r="MN7" s="69">
        <f t="shared" si="0"/>
        <v>0.15</v>
      </c>
      <c r="MO7" s="80" t="s">
        <v>88</v>
      </c>
      <c r="MP7" s="11">
        <f>IF(SUM(LZ7,MD7)&gt;0,SUM(LZ7,MD7),"")</f>
        <v>4.05</v>
      </c>
      <c r="MQ7" s="11">
        <f>IF(SUM(LY7:LZ7,MB7:MD7,MF7)-MA7-ME7&gt;0,SUM(LY7:LZ7,MB7:MD7,MF7)-MA7-ME7,"")</f>
        <v>29.299999999999997</v>
      </c>
      <c r="MR7" s="11">
        <f>IF(SUM(MH7,ML7)&gt;0,SUM(MH7,ML7),"")</f>
        <v>3.95</v>
      </c>
      <c r="MS7" s="11">
        <f>IF(SUM(MG7:MH7,MJ7:ML7,MN7)-SUM(MI7,MM7)&gt;0,SUM(MG7:MH7,MJ7:ML7,MN7)-SUM(MI7,MM7),"")</f>
        <v>29.099999999999998</v>
      </c>
      <c r="MT7" s="11">
        <f>IF(SUM(MQ7,MS7)&gt;0,SUM(MQ7,MS7),"")</f>
        <v>58.399999999999991</v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78</v>
      </c>
      <c r="N10" s="19"/>
      <c r="O10" s="19"/>
      <c r="P10" s="19"/>
      <c r="AH10" s="56"/>
      <c r="AL10" s="64">
        <v>8.1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77</v>
      </c>
      <c r="N11" s="19"/>
      <c r="O11" s="19"/>
      <c r="P11" s="19"/>
      <c r="AH11" s="56"/>
      <c r="AL11" s="93">
        <v>9.5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112</v>
      </c>
      <c r="C12" s="55"/>
      <c r="N12" s="19"/>
      <c r="O12" s="19"/>
      <c r="P12" s="19"/>
      <c r="AH12" s="56"/>
      <c r="AL12" s="94">
        <v>9.5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161</v>
      </c>
      <c r="C13" s="55"/>
      <c r="N13" s="19"/>
      <c r="O13" s="19"/>
      <c r="P13" s="19"/>
      <c r="AH13" s="56"/>
      <c r="AL13" s="121">
        <v>9.5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75</v>
      </c>
      <c r="C14" s="55"/>
      <c r="N14" s="19"/>
      <c r="O14" s="19"/>
      <c r="P14" s="19"/>
      <c r="AH14" s="56"/>
      <c r="AL14" s="119">
        <v>60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76</v>
      </c>
      <c r="C15" s="55"/>
      <c r="N15" s="19"/>
      <c r="O15" s="19"/>
      <c r="P15" s="19"/>
      <c r="AH15" s="56"/>
      <c r="AL15" s="66">
        <v>61.5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107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57</v>
      </c>
      <c r="C17" s="55"/>
      <c r="N17" s="19"/>
      <c r="O17" s="19"/>
      <c r="P17" s="19"/>
      <c r="AH17" s="56"/>
      <c r="AL17" s="68">
        <v>65.400000000000006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89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7">
      <sortCondition descending="1" ref="F1:F8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7">
    <cfRule type="expression" dxfId="71" priority="1" stopIfTrue="1">
      <formula>IF($AG4&lt;&gt;"",1,0)</formula>
    </cfRule>
  </conditionalFormatting>
  <conditionalFormatting sqref="AM4:BH7">
    <cfRule type="expression" dxfId="70" priority="2" stopIfTrue="1">
      <formula>IF($BC4&lt;&gt;"",1,0)</formula>
    </cfRule>
  </conditionalFormatting>
  <conditionalFormatting sqref="M1:M1048576 K1:K1048576">
    <cfRule type="expression" dxfId="69" priority="36244">
      <formula>IF(K1=$BI$1,1,0)</formula>
    </cfRule>
    <cfRule type="expression" dxfId="68" priority="36245">
      <formula>IF(K1=$AM$1,1,0)</formula>
    </cfRule>
    <cfRule type="expression" dxfId="67" priority="36246">
      <formula>IF(K1=$Q$1,1,0)</formula>
    </cfRule>
  </conditionalFormatting>
  <conditionalFormatting sqref="BI4:CD7">
    <cfRule type="expression" dxfId="66" priority="3" stopIfTrue="1">
      <formula>IF($BY4&lt;&gt;"",1,0)</formula>
    </cfRule>
  </conditionalFormatting>
  <conditionalFormatting sqref="A1:A1048576">
    <cfRule type="expression" dxfId="65" priority="38431">
      <formula>AND(G1="P",F1="")</formula>
    </cfRule>
  </conditionalFormatting>
  <conditionalFormatting sqref="H1:H1048576">
    <cfRule type="containsText" dxfId="64" priority="5" operator="containsText" text="No DD">
      <formula>NOT(ISERROR(SEARCH("No DD",H1)))</formula>
    </cfRule>
    <cfRule type="containsText" dxfId="63" priority="6" operator="containsText" text="Merit">
      <formula>NOT(ISERROR(SEARCH("Merit",H1)))</formula>
    </cfRule>
    <cfRule type="containsText" dxfId="62" priority="14" operator="containsText" text="Excellence">
      <formula>NOT(ISERROR(SEARCH("Excellence",H1)))</formula>
    </cfRule>
    <cfRule type="containsText" dxfId="61" priority="15" operator="containsText" text="Worlds Team">
      <formula>NOT(ISERROR(SEARCH("Worlds Team",H1)))</formula>
    </cfRule>
    <cfRule type="containsText" dxfId="60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59" priority="38666" operator="between">
      <formula>AL$13</formula>
      <formula>1000</formula>
    </cfRule>
    <cfRule type="cellIs" dxfId="58" priority="38667" operator="between">
      <formula>AL$12</formula>
      <formula>AL$13</formula>
    </cfRule>
    <cfRule type="cellIs" dxfId="57" priority="38668" operator="between">
      <formula>AL$11</formula>
      <formula>AL$12</formula>
    </cfRule>
    <cfRule type="cellIs" dxfId="56" priority="38669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55" priority="38848" operator="between">
      <formula>AL$17</formula>
      <formula>1000</formula>
    </cfRule>
    <cfRule type="cellIs" dxfId="54" priority="38849" operator="between">
      <formula>AL$16</formula>
      <formula>AL$17</formula>
    </cfRule>
    <cfRule type="cellIs" dxfId="53" priority="38850" operator="between">
      <formula>AL$15</formula>
      <formula>AL$16</formula>
    </cfRule>
    <cfRule type="cellIs" dxfId="52" priority="3885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180</v>
      </c>
      <c r="J1" s="147" t="s">
        <v>109</v>
      </c>
      <c r="K1" s="141" t="s">
        <v>55</v>
      </c>
      <c r="L1" s="147" t="s">
        <v>108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128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160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182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50"/>
      <c r="FN1" s="150"/>
      <c r="FO1" s="150"/>
      <c r="FP1" s="150"/>
      <c r="FQ1" s="150"/>
      <c r="FR1" s="150"/>
      <c r="FS1" s="150"/>
      <c r="FT1" s="150"/>
      <c r="FU1" s="150"/>
      <c r="FV1" s="150"/>
      <c r="FW1" s="150"/>
      <c r="FX1" s="150"/>
      <c r="FY1" s="150"/>
      <c r="FZ1" s="150"/>
      <c r="GA1" s="150"/>
      <c r="GB1" s="150"/>
      <c r="GC1" s="150"/>
      <c r="GD1" s="150"/>
      <c r="GE1" s="150"/>
      <c r="GF1" s="150"/>
      <c r="GG1" s="150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50"/>
      <c r="HD1" s="150"/>
      <c r="HE1" s="150"/>
      <c r="HF1" s="150"/>
      <c r="HG1" s="150"/>
      <c r="HH1" s="150"/>
      <c r="HI1" s="150"/>
      <c r="HJ1" s="150"/>
      <c r="HK1" s="150"/>
      <c r="HL1" s="150"/>
      <c r="HM1" s="150"/>
      <c r="HN1" s="150"/>
      <c r="HO1" s="150"/>
      <c r="HP1" s="150"/>
      <c r="HQ1" s="150"/>
      <c r="HR1" s="150"/>
      <c r="HS1" s="150"/>
      <c r="HT1" s="150"/>
      <c r="HU1" s="150"/>
      <c r="HV1" s="150"/>
      <c r="HW1" s="150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50"/>
      <c r="IT1" s="150"/>
      <c r="IU1" s="150"/>
      <c r="IV1" s="150"/>
      <c r="IW1" s="150"/>
      <c r="IX1" s="150"/>
      <c r="IY1" s="150"/>
      <c r="IZ1" s="150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0"/>
      <c r="JM1" s="150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50"/>
      <c r="KJ1" s="150"/>
      <c r="KK1" s="150"/>
      <c r="KL1" s="150"/>
      <c r="KM1" s="150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0"/>
      <c r="KZ1" s="150"/>
      <c r="LA1" s="150"/>
      <c r="LB1" s="150"/>
      <c r="LC1" s="150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37" t="s">
        <v>113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7"/>
      <c r="K2" s="141"/>
      <c r="L2" s="147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78"/>
      <c r="AH2" s="87" t="s">
        <v>32</v>
      </c>
      <c r="AI2" s="9" t="s">
        <v>31</v>
      </c>
      <c r="AJ2" s="58" t="s">
        <v>126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9" t="s">
        <v>48</v>
      </c>
      <c r="AZ2" s="149"/>
      <c r="BA2" s="149"/>
      <c r="BB2" s="149"/>
      <c r="BC2" s="79"/>
      <c r="BD2" s="88" t="s">
        <v>32</v>
      </c>
      <c r="BE2" s="12" t="s">
        <v>31</v>
      </c>
      <c r="BF2" s="88" t="s">
        <v>126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126</v>
      </c>
      <c r="CC2" s="9" t="s">
        <v>30</v>
      </c>
      <c r="CD2" s="9" t="s">
        <v>25</v>
      </c>
      <c r="CE2" s="22" t="s">
        <v>111</v>
      </c>
      <c r="CF2" s="22" t="s">
        <v>110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87" t="s">
        <v>126</v>
      </c>
      <c r="CZ2" s="9" t="s">
        <v>30</v>
      </c>
      <c r="DA2" s="9" t="s">
        <v>25</v>
      </c>
      <c r="DB2" s="149" t="s">
        <v>43</v>
      </c>
      <c r="DC2" s="149"/>
      <c r="DD2" s="149"/>
      <c r="DE2" s="149"/>
      <c r="DF2" s="149" t="s">
        <v>46</v>
      </c>
      <c r="DG2" s="149"/>
      <c r="DH2" s="149"/>
      <c r="DI2" s="149"/>
      <c r="DJ2" s="149" t="s">
        <v>47</v>
      </c>
      <c r="DK2" s="149"/>
      <c r="DL2" s="149"/>
      <c r="DM2" s="149"/>
      <c r="DN2" s="149" t="s">
        <v>48</v>
      </c>
      <c r="DO2" s="149"/>
      <c r="DP2" s="149"/>
      <c r="DQ2" s="149"/>
      <c r="DR2" s="88" t="s">
        <v>32</v>
      </c>
      <c r="DS2" s="16" t="s">
        <v>31</v>
      </c>
      <c r="DT2" s="88" t="s">
        <v>126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87" t="s">
        <v>126</v>
      </c>
      <c r="EP2" s="17" t="s">
        <v>30</v>
      </c>
      <c r="EQ2" s="17" t="s">
        <v>25</v>
      </c>
      <c r="ER2" s="149" t="s">
        <v>43</v>
      </c>
      <c r="ES2" s="149"/>
      <c r="ET2" s="149"/>
      <c r="EU2" s="149"/>
      <c r="EV2" s="149" t="s">
        <v>46</v>
      </c>
      <c r="EW2" s="149"/>
      <c r="EX2" s="149"/>
      <c r="EY2" s="149"/>
      <c r="EZ2" s="149" t="s">
        <v>47</v>
      </c>
      <c r="FA2" s="149"/>
      <c r="FB2" s="149"/>
      <c r="FC2" s="149"/>
      <c r="FD2" s="149" t="s">
        <v>48</v>
      </c>
      <c r="FE2" s="149"/>
      <c r="FF2" s="149"/>
      <c r="FG2" s="149"/>
      <c r="FH2" s="88" t="s">
        <v>32</v>
      </c>
      <c r="FI2" s="16" t="s">
        <v>31</v>
      </c>
      <c r="FJ2" s="88" t="s">
        <v>126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87" t="s">
        <v>126</v>
      </c>
      <c r="GF2" s="17" t="s">
        <v>30</v>
      </c>
      <c r="GG2" s="17" t="s">
        <v>25</v>
      </c>
      <c r="GH2" s="149" t="s">
        <v>43</v>
      </c>
      <c r="GI2" s="149"/>
      <c r="GJ2" s="149"/>
      <c r="GK2" s="149"/>
      <c r="GL2" s="149" t="s">
        <v>46</v>
      </c>
      <c r="GM2" s="149"/>
      <c r="GN2" s="149"/>
      <c r="GO2" s="149"/>
      <c r="GP2" s="149" t="s">
        <v>47</v>
      </c>
      <c r="GQ2" s="149"/>
      <c r="GR2" s="149"/>
      <c r="GS2" s="149"/>
      <c r="GT2" s="149" t="s">
        <v>48</v>
      </c>
      <c r="GU2" s="149"/>
      <c r="GV2" s="149"/>
      <c r="GW2" s="149"/>
      <c r="GX2" s="89" t="s">
        <v>32</v>
      </c>
      <c r="GY2" s="16" t="s">
        <v>31</v>
      </c>
      <c r="GZ2" s="89" t="s">
        <v>126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90" t="s">
        <v>32</v>
      </c>
      <c r="HT2" s="17" t="s">
        <v>31</v>
      </c>
      <c r="HU2" s="90" t="s">
        <v>126</v>
      </c>
      <c r="HV2" s="17" t="s">
        <v>30</v>
      </c>
      <c r="HW2" s="17" t="s">
        <v>25</v>
      </c>
      <c r="HX2" s="149" t="s">
        <v>43</v>
      </c>
      <c r="HY2" s="149"/>
      <c r="HZ2" s="149"/>
      <c r="IA2" s="149"/>
      <c r="IB2" s="149" t="s">
        <v>46</v>
      </c>
      <c r="IC2" s="149"/>
      <c r="ID2" s="149"/>
      <c r="IE2" s="149"/>
      <c r="IF2" s="149" t="s">
        <v>47</v>
      </c>
      <c r="IG2" s="149"/>
      <c r="IH2" s="149"/>
      <c r="II2" s="149"/>
      <c r="IJ2" s="149" t="s">
        <v>48</v>
      </c>
      <c r="IK2" s="149"/>
      <c r="IL2" s="149"/>
      <c r="IM2" s="149"/>
      <c r="IN2" s="89" t="s">
        <v>32</v>
      </c>
      <c r="IO2" s="16" t="s">
        <v>31</v>
      </c>
      <c r="IP2" s="89" t="s">
        <v>126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90" t="s">
        <v>32</v>
      </c>
      <c r="JJ2" s="17" t="s">
        <v>31</v>
      </c>
      <c r="JK2" s="90" t="s">
        <v>126</v>
      </c>
      <c r="JL2" s="17" t="s">
        <v>30</v>
      </c>
      <c r="JM2" s="17" t="s">
        <v>25</v>
      </c>
      <c r="JN2" s="149" t="s">
        <v>43</v>
      </c>
      <c r="JO2" s="149"/>
      <c r="JP2" s="149"/>
      <c r="JQ2" s="149"/>
      <c r="JR2" s="149" t="s">
        <v>46</v>
      </c>
      <c r="JS2" s="149"/>
      <c r="JT2" s="149"/>
      <c r="JU2" s="149"/>
      <c r="JV2" s="149" t="s">
        <v>47</v>
      </c>
      <c r="JW2" s="149"/>
      <c r="JX2" s="149"/>
      <c r="JY2" s="149"/>
      <c r="JZ2" s="149" t="s">
        <v>48</v>
      </c>
      <c r="KA2" s="149"/>
      <c r="KB2" s="149"/>
      <c r="KC2" s="149"/>
      <c r="KD2" s="89" t="s">
        <v>32</v>
      </c>
      <c r="KE2" s="16" t="s">
        <v>31</v>
      </c>
      <c r="KF2" s="89" t="s">
        <v>126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90" t="s">
        <v>32</v>
      </c>
      <c r="KZ2" s="17" t="s">
        <v>31</v>
      </c>
      <c r="LA2" s="90" t="s">
        <v>126</v>
      </c>
      <c r="LB2" s="17" t="s">
        <v>30</v>
      </c>
      <c r="LC2" s="17" t="s">
        <v>25</v>
      </c>
      <c r="LD2" s="149" t="s">
        <v>43</v>
      </c>
      <c r="LE2" s="149"/>
      <c r="LF2" s="149"/>
      <c r="LG2" s="149"/>
      <c r="LH2" s="149" t="s">
        <v>46</v>
      </c>
      <c r="LI2" s="149"/>
      <c r="LJ2" s="149"/>
      <c r="LK2" s="149"/>
      <c r="LL2" s="149" t="s">
        <v>47</v>
      </c>
      <c r="LM2" s="149"/>
      <c r="LN2" s="149"/>
      <c r="LO2" s="149"/>
      <c r="LP2" s="149" t="s">
        <v>48</v>
      </c>
      <c r="LQ2" s="149"/>
      <c r="LR2" s="149"/>
      <c r="LS2" s="149"/>
      <c r="LT2" s="89" t="s">
        <v>32</v>
      </c>
      <c r="LU2" s="16" t="s">
        <v>31</v>
      </c>
      <c r="LV2" s="89" t="s">
        <v>126</v>
      </c>
      <c r="LW2" s="16" t="s">
        <v>30</v>
      </c>
      <c r="LX2" s="16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126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7"/>
      <c r="K3" s="141"/>
      <c r="L3" s="147"/>
      <c r="M3" s="141"/>
      <c r="N3" s="142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10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62" t="s">
        <v>22</v>
      </c>
      <c r="AZ3" s="62" t="s">
        <v>14</v>
      </c>
      <c r="BA3" s="62" t="s">
        <v>44</v>
      </c>
      <c r="BB3" s="62" t="s">
        <v>45</v>
      </c>
      <c r="BC3" s="79" t="s">
        <v>87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10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1" t="s">
        <v>22</v>
      </c>
      <c r="CT3" s="61" t="s">
        <v>14</v>
      </c>
      <c r="CU3" s="61" t="s">
        <v>44</v>
      </c>
      <c r="CV3" s="61" t="s">
        <v>45</v>
      </c>
      <c r="CW3" s="10"/>
      <c r="CX3" s="9"/>
      <c r="CY3" s="10"/>
      <c r="CZ3" s="10"/>
      <c r="DA3" s="10"/>
      <c r="DB3" s="62" t="s">
        <v>22</v>
      </c>
      <c r="DC3" s="62" t="s">
        <v>14</v>
      </c>
      <c r="DD3" s="62" t="s">
        <v>44</v>
      </c>
      <c r="DE3" s="62" t="s">
        <v>45</v>
      </c>
      <c r="DF3" s="62" t="s">
        <v>22</v>
      </c>
      <c r="DG3" s="62" t="s">
        <v>14</v>
      </c>
      <c r="DH3" s="62" t="s">
        <v>44</v>
      </c>
      <c r="DI3" s="62" t="s">
        <v>45</v>
      </c>
      <c r="DJ3" s="62" t="s">
        <v>22</v>
      </c>
      <c r="DK3" s="62" t="s">
        <v>14</v>
      </c>
      <c r="DL3" s="62" t="s">
        <v>44</v>
      </c>
      <c r="DM3" s="62" t="s">
        <v>45</v>
      </c>
      <c r="DN3" s="62" t="s">
        <v>22</v>
      </c>
      <c r="DO3" s="62" t="s">
        <v>14</v>
      </c>
      <c r="DP3" s="62" t="s">
        <v>44</v>
      </c>
      <c r="DQ3" s="62" t="s">
        <v>45</v>
      </c>
      <c r="DR3" s="13"/>
      <c r="DS3" s="16"/>
      <c r="DT3" s="13"/>
      <c r="DU3" s="16"/>
      <c r="DV3" s="16"/>
      <c r="DW3" s="61" t="s">
        <v>22</v>
      </c>
      <c r="DX3" s="61" t="s">
        <v>14</v>
      </c>
      <c r="DY3" s="61" t="s">
        <v>44</v>
      </c>
      <c r="DZ3" s="61" t="s">
        <v>45</v>
      </c>
      <c r="EA3" s="61" t="s">
        <v>22</v>
      </c>
      <c r="EB3" s="61" t="s">
        <v>14</v>
      </c>
      <c r="EC3" s="61" t="s">
        <v>44</v>
      </c>
      <c r="ED3" s="61" t="s">
        <v>45</v>
      </c>
      <c r="EE3" s="61" t="s">
        <v>22</v>
      </c>
      <c r="EF3" s="61" t="s">
        <v>14</v>
      </c>
      <c r="EG3" s="61" t="s">
        <v>44</v>
      </c>
      <c r="EH3" s="61" t="s">
        <v>45</v>
      </c>
      <c r="EI3" s="61" t="s">
        <v>22</v>
      </c>
      <c r="EJ3" s="61" t="s">
        <v>14</v>
      </c>
      <c r="EK3" s="61" t="s">
        <v>44</v>
      </c>
      <c r="EL3" s="61" t="s">
        <v>45</v>
      </c>
      <c r="EM3" s="10"/>
      <c r="EN3" s="17"/>
      <c r="EO3" s="10"/>
      <c r="EP3" s="17"/>
      <c r="EQ3" s="17"/>
      <c r="ER3" s="62" t="s">
        <v>22</v>
      </c>
      <c r="ES3" s="62" t="s">
        <v>14</v>
      </c>
      <c r="ET3" s="62" t="s">
        <v>44</v>
      </c>
      <c r="EU3" s="62" t="s">
        <v>45</v>
      </c>
      <c r="EV3" s="62" t="s">
        <v>22</v>
      </c>
      <c r="EW3" s="62" t="s">
        <v>14</v>
      </c>
      <c r="EX3" s="62" t="s">
        <v>44</v>
      </c>
      <c r="EY3" s="62" t="s">
        <v>45</v>
      </c>
      <c r="EZ3" s="62" t="s">
        <v>22</v>
      </c>
      <c r="FA3" s="62" t="s">
        <v>14</v>
      </c>
      <c r="FB3" s="62" t="s">
        <v>44</v>
      </c>
      <c r="FC3" s="62" t="s">
        <v>45</v>
      </c>
      <c r="FD3" s="62" t="s">
        <v>22</v>
      </c>
      <c r="FE3" s="62" t="s">
        <v>14</v>
      </c>
      <c r="FF3" s="62" t="s">
        <v>44</v>
      </c>
      <c r="FG3" s="62" t="s">
        <v>45</v>
      </c>
      <c r="FH3" s="13"/>
      <c r="FI3" s="16"/>
      <c r="FJ3" s="13"/>
      <c r="FK3" s="16"/>
      <c r="FL3" s="16"/>
      <c r="FM3" s="34" t="s">
        <v>22</v>
      </c>
      <c r="FN3" s="34" t="s">
        <v>14</v>
      </c>
      <c r="FO3" s="34" t="s">
        <v>44</v>
      </c>
      <c r="FP3" s="34" t="s">
        <v>45</v>
      </c>
      <c r="FQ3" s="34" t="s">
        <v>22</v>
      </c>
      <c r="FR3" s="34" t="s">
        <v>14</v>
      </c>
      <c r="FS3" s="34" t="s">
        <v>44</v>
      </c>
      <c r="FT3" s="34" t="s">
        <v>45</v>
      </c>
      <c r="FU3" s="34" t="s">
        <v>22</v>
      </c>
      <c r="FV3" s="34" t="s">
        <v>14</v>
      </c>
      <c r="FW3" s="34" t="s">
        <v>44</v>
      </c>
      <c r="FX3" s="34" t="s">
        <v>45</v>
      </c>
      <c r="FY3" s="34" t="s">
        <v>22</v>
      </c>
      <c r="FZ3" s="34" t="s">
        <v>14</v>
      </c>
      <c r="GA3" s="34" t="s">
        <v>44</v>
      </c>
      <c r="GB3" s="34" t="s">
        <v>45</v>
      </c>
      <c r="GC3" s="10"/>
      <c r="GD3" s="17"/>
      <c r="GE3" s="10"/>
      <c r="GF3" s="17"/>
      <c r="GG3" s="17"/>
      <c r="GH3" s="33" t="s">
        <v>22</v>
      </c>
      <c r="GI3" s="33" t="s">
        <v>14</v>
      </c>
      <c r="GJ3" s="33" t="s">
        <v>44</v>
      </c>
      <c r="GK3" s="33" t="s">
        <v>45</v>
      </c>
      <c r="GL3" s="33" t="s">
        <v>22</v>
      </c>
      <c r="GM3" s="33" t="s">
        <v>14</v>
      </c>
      <c r="GN3" s="33" t="s">
        <v>44</v>
      </c>
      <c r="GO3" s="33" t="s">
        <v>45</v>
      </c>
      <c r="GP3" s="33" t="s">
        <v>22</v>
      </c>
      <c r="GQ3" s="33" t="s">
        <v>14</v>
      </c>
      <c r="GR3" s="33" t="s">
        <v>44</v>
      </c>
      <c r="GS3" s="33" t="s">
        <v>45</v>
      </c>
      <c r="GT3" s="33" t="s">
        <v>22</v>
      </c>
      <c r="GU3" s="33" t="s">
        <v>14</v>
      </c>
      <c r="GV3" s="33" t="s">
        <v>44</v>
      </c>
      <c r="GW3" s="33" t="s">
        <v>45</v>
      </c>
      <c r="GX3" s="13"/>
      <c r="GY3" s="16"/>
      <c r="GZ3" s="13"/>
      <c r="HA3" s="16"/>
      <c r="HB3" s="16"/>
      <c r="HC3" s="34" t="s">
        <v>22</v>
      </c>
      <c r="HD3" s="34" t="s">
        <v>14</v>
      </c>
      <c r="HE3" s="34" t="s">
        <v>44</v>
      </c>
      <c r="HF3" s="34" t="s">
        <v>45</v>
      </c>
      <c r="HG3" s="34" t="s">
        <v>22</v>
      </c>
      <c r="HH3" s="34" t="s">
        <v>14</v>
      </c>
      <c r="HI3" s="34" t="s">
        <v>44</v>
      </c>
      <c r="HJ3" s="34" t="s">
        <v>45</v>
      </c>
      <c r="HK3" s="34" t="s">
        <v>22</v>
      </c>
      <c r="HL3" s="34" t="s">
        <v>14</v>
      </c>
      <c r="HM3" s="34" t="s">
        <v>44</v>
      </c>
      <c r="HN3" s="34" t="s">
        <v>45</v>
      </c>
      <c r="HO3" s="34" t="s">
        <v>22</v>
      </c>
      <c r="HP3" s="34" t="s">
        <v>14</v>
      </c>
      <c r="HQ3" s="34" t="s">
        <v>44</v>
      </c>
      <c r="HR3" s="34" t="s">
        <v>45</v>
      </c>
      <c r="HS3" s="10"/>
      <c r="HT3" s="17"/>
      <c r="HU3" s="10"/>
      <c r="HV3" s="17"/>
      <c r="HW3" s="17"/>
      <c r="HX3" s="33" t="s">
        <v>22</v>
      </c>
      <c r="HY3" s="33" t="s">
        <v>14</v>
      </c>
      <c r="HZ3" s="33" t="s">
        <v>44</v>
      </c>
      <c r="IA3" s="33" t="s">
        <v>45</v>
      </c>
      <c r="IB3" s="33" t="s">
        <v>22</v>
      </c>
      <c r="IC3" s="33" t="s">
        <v>14</v>
      </c>
      <c r="ID3" s="33" t="s">
        <v>44</v>
      </c>
      <c r="IE3" s="33" t="s">
        <v>45</v>
      </c>
      <c r="IF3" s="33" t="s">
        <v>22</v>
      </c>
      <c r="IG3" s="33" t="s">
        <v>14</v>
      </c>
      <c r="IH3" s="33" t="s">
        <v>44</v>
      </c>
      <c r="II3" s="33" t="s">
        <v>45</v>
      </c>
      <c r="IJ3" s="33" t="s">
        <v>22</v>
      </c>
      <c r="IK3" s="33" t="s">
        <v>14</v>
      </c>
      <c r="IL3" s="33" t="s">
        <v>44</v>
      </c>
      <c r="IM3" s="33" t="s">
        <v>45</v>
      </c>
      <c r="IN3" s="13"/>
      <c r="IO3" s="16"/>
      <c r="IP3" s="13"/>
      <c r="IQ3" s="16"/>
      <c r="IR3" s="16"/>
      <c r="IS3" s="34" t="s">
        <v>22</v>
      </c>
      <c r="IT3" s="34" t="s">
        <v>14</v>
      </c>
      <c r="IU3" s="34" t="s">
        <v>44</v>
      </c>
      <c r="IV3" s="34" t="s">
        <v>45</v>
      </c>
      <c r="IW3" s="34" t="s">
        <v>22</v>
      </c>
      <c r="IX3" s="34" t="s">
        <v>14</v>
      </c>
      <c r="IY3" s="34" t="s">
        <v>44</v>
      </c>
      <c r="IZ3" s="34" t="s">
        <v>45</v>
      </c>
      <c r="JA3" s="34" t="s">
        <v>22</v>
      </c>
      <c r="JB3" s="34" t="s">
        <v>14</v>
      </c>
      <c r="JC3" s="34" t="s">
        <v>44</v>
      </c>
      <c r="JD3" s="34" t="s">
        <v>45</v>
      </c>
      <c r="JE3" s="34" t="s">
        <v>22</v>
      </c>
      <c r="JF3" s="34" t="s">
        <v>14</v>
      </c>
      <c r="JG3" s="34" t="s">
        <v>44</v>
      </c>
      <c r="JH3" s="34" t="s">
        <v>45</v>
      </c>
      <c r="JI3" s="10"/>
      <c r="JJ3" s="17"/>
      <c r="JK3" s="10"/>
      <c r="JL3" s="17"/>
      <c r="JM3" s="17"/>
      <c r="JN3" s="33" t="s">
        <v>22</v>
      </c>
      <c r="JO3" s="33" t="s">
        <v>14</v>
      </c>
      <c r="JP3" s="33" t="s">
        <v>44</v>
      </c>
      <c r="JQ3" s="33" t="s">
        <v>45</v>
      </c>
      <c r="JR3" s="33" t="s">
        <v>22</v>
      </c>
      <c r="JS3" s="33" t="s">
        <v>14</v>
      </c>
      <c r="JT3" s="33" t="s">
        <v>44</v>
      </c>
      <c r="JU3" s="33" t="s">
        <v>45</v>
      </c>
      <c r="JV3" s="33" t="s">
        <v>22</v>
      </c>
      <c r="JW3" s="33" t="s">
        <v>14</v>
      </c>
      <c r="JX3" s="33" t="s">
        <v>44</v>
      </c>
      <c r="JY3" s="33" t="s">
        <v>45</v>
      </c>
      <c r="JZ3" s="33" t="s">
        <v>22</v>
      </c>
      <c r="KA3" s="33" t="s">
        <v>14</v>
      </c>
      <c r="KB3" s="33" t="s">
        <v>44</v>
      </c>
      <c r="KC3" s="33" t="s">
        <v>45</v>
      </c>
      <c r="KD3" s="13"/>
      <c r="KE3" s="16"/>
      <c r="KF3" s="13"/>
      <c r="KG3" s="16"/>
      <c r="KH3" s="16"/>
      <c r="KI3" s="34" t="s">
        <v>22</v>
      </c>
      <c r="KJ3" s="34" t="s">
        <v>14</v>
      </c>
      <c r="KK3" s="34" t="s">
        <v>44</v>
      </c>
      <c r="KL3" s="34" t="s">
        <v>45</v>
      </c>
      <c r="KM3" s="34" t="s">
        <v>22</v>
      </c>
      <c r="KN3" s="34" t="s">
        <v>14</v>
      </c>
      <c r="KO3" s="34" t="s">
        <v>44</v>
      </c>
      <c r="KP3" s="34" t="s">
        <v>45</v>
      </c>
      <c r="KQ3" s="34" t="s">
        <v>22</v>
      </c>
      <c r="KR3" s="34" t="s">
        <v>14</v>
      </c>
      <c r="KS3" s="34" t="s">
        <v>44</v>
      </c>
      <c r="KT3" s="34" t="s">
        <v>45</v>
      </c>
      <c r="KU3" s="34" t="s">
        <v>22</v>
      </c>
      <c r="KV3" s="34" t="s">
        <v>14</v>
      </c>
      <c r="KW3" s="34" t="s">
        <v>44</v>
      </c>
      <c r="KX3" s="34" t="s">
        <v>45</v>
      </c>
      <c r="KY3" s="10"/>
      <c r="KZ3" s="17"/>
      <c r="LA3" s="10"/>
      <c r="LB3" s="17"/>
      <c r="LC3" s="17"/>
      <c r="LD3" s="33" t="s">
        <v>22</v>
      </c>
      <c r="LE3" s="33" t="s">
        <v>14</v>
      </c>
      <c r="LF3" s="33" t="s">
        <v>44</v>
      </c>
      <c r="LG3" s="33" t="s">
        <v>45</v>
      </c>
      <c r="LH3" s="33" t="s">
        <v>22</v>
      </c>
      <c r="LI3" s="33" t="s">
        <v>14</v>
      </c>
      <c r="LJ3" s="33" t="s">
        <v>44</v>
      </c>
      <c r="LK3" s="33" t="s">
        <v>45</v>
      </c>
      <c r="LL3" s="33" t="s">
        <v>22</v>
      </c>
      <c r="LM3" s="33" t="s">
        <v>14</v>
      </c>
      <c r="LN3" s="33" t="s">
        <v>44</v>
      </c>
      <c r="LO3" s="33" t="s">
        <v>45</v>
      </c>
      <c r="LP3" s="33" t="s">
        <v>22</v>
      </c>
      <c r="LQ3" s="33" t="s">
        <v>14</v>
      </c>
      <c r="LR3" s="33" t="s">
        <v>44</v>
      </c>
      <c r="LS3" s="33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10"/>
      <c r="MS3" s="10"/>
      <c r="MT3" s="10"/>
    </row>
    <row r="4" spans="1:358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8" t="s">
        <v>183</v>
      </c>
      <c r="C4" s="4" t="s">
        <v>6</v>
      </c>
      <c r="D4" s="5">
        <v>2003</v>
      </c>
      <c r="E4" s="15">
        <f t="shared" ref="E4:E23" si="1">SUM(J4:N4)</f>
        <v>214.6</v>
      </c>
      <c r="F4" s="3" t="str">
        <f t="shared" ref="F4:F23" si="2"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 t="shared" ref="G4:G23" si="3"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26" t="str">
        <f t="shared" ref="H4:H23" si="4"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Excellence</v>
      </c>
      <c r="I4" s="3" t="str">
        <f t="shared" ref="I4:I23" si="5">IF(OR(H4="Worlds Team",H4="Excellence",H4="Merit"),"P","")</f>
        <v>P</v>
      </c>
      <c r="J4" s="14">
        <f t="shared" ref="J4:J23" si="6">MAX(AL4,BH4,CD4)</f>
        <v>145.5</v>
      </c>
      <c r="K4" s="14" t="str">
        <f t="shared" ref="K4:K23" si="7">IF(J4=0,"",IF(J4=CD4,$BI$1,IF(J4=BH4,$AM$1,IF(J4=AL4,$Q$1,""))))</f>
        <v>2021 2nd Virtual Technical Trial</v>
      </c>
      <c r="L4" s="14">
        <f t="shared" ref="L4:L23" si="8">IF(J4=AL4,MAX(BE4,BG4,CA4,CC4),IF(J4=BH4,MAX(AI4,AK4,CA4,CC4),MAX(AI4,AK4,BE4,BG4)))</f>
        <v>69.099999999999994</v>
      </c>
      <c r="M4" s="14" t="str">
        <f t="shared" ref="M4:M23" si="9">IF(L4=0,"",IF(AND(J4&lt;&gt;CD4,OR(L4=CA4,L4=CC4)),$BI$1,IF(AND(J4&lt;&gt;BH4,OR(L4=BG4,L4=BE4)),$AM$1,IF(OR(L4=AK4,L4=AI4),$Q$1,""))))</f>
        <v>2019 Nationals</v>
      </c>
      <c r="N4" s="14" t="str">
        <f t="shared" ref="N4:N23" si="10">IF(MAX(CE4:CF4)&gt;0,MAX(CE4:CF4),"")</f>
        <v/>
      </c>
      <c r="O4" s="25" t="str">
        <f t="shared" ref="O4:O23" si="11">IF(N4="","",IF(N4=CE4,"(4 Pass)",IF(N4=CF4,"(2 Pass)")))</f>
        <v/>
      </c>
      <c r="P4" s="14" t="str">
        <f t="shared" ref="P4:P23" si="12"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9">
        <v>27.6</v>
      </c>
      <c r="R4" s="69">
        <v>7.2</v>
      </c>
      <c r="S4" s="69">
        <v>0.9</v>
      </c>
      <c r="T4" s="69">
        <v>0</v>
      </c>
      <c r="U4" s="69">
        <v>28</v>
      </c>
      <c r="V4" s="69">
        <v>7.2</v>
      </c>
      <c r="W4" s="69">
        <v>0</v>
      </c>
      <c r="X4" s="69">
        <v>0</v>
      </c>
      <c r="Y4" s="69">
        <v>27.9</v>
      </c>
      <c r="Z4" s="69">
        <v>7.6</v>
      </c>
      <c r="AA4" s="69">
        <v>0.9</v>
      </c>
      <c r="AB4" s="69">
        <v>0</v>
      </c>
      <c r="AC4" s="69">
        <v>27.6</v>
      </c>
      <c r="AD4" s="69">
        <v>7.6</v>
      </c>
      <c r="AE4" s="69">
        <v>0.9</v>
      </c>
      <c r="AF4" s="69">
        <v>0</v>
      </c>
      <c r="AG4" s="80"/>
      <c r="AH4" s="11">
        <f t="shared" ref="AH4:AH23" si="13">IF(SUM(R4,V4)&gt;0,SUM(R4,V4),"")</f>
        <v>14.4</v>
      </c>
      <c r="AI4" s="11">
        <f t="shared" ref="AI4:AI23" si="14">IF(SUM(Q4:R4,T4:V4,X4)-SUM(S4,W4)&gt;0,SUM(Q4:R4,T4:V4,X4)-SUM(S4,W4),"")</f>
        <v>69.099999999999994</v>
      </c>
      <c r="AJ4" s="11">
        <f t="shared" ref="AJ4:AJ23" si="15">IF(SUM(Z4,AD4)&gt;0,SUM(Z4,AD4),"")</f>
        <v>15.2</v>
      </c>
      <c r="AK4" s="11">
        <f t="shared" ref="AK4:AK23" si="16">IF(SUM(Y4:Z4,AB4:AD4,AF4)-SUM(AA4,AE4)&gt;0,SUM(Y4:Z4,AB4:AD4,AF4)-SUM(AA4,AE4),"")</f>
        <v>68.900000000000006</v>
      </c>
      <c r="AL4" s="11">
        <f t="shared" ref="AL4:AL23" si="17">IF(SUM(AI4,AK4)&gt;0,SUM(AI4,AK4),"")</f>
        <v>138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 t="shared" ref="BD4:BD23" si="18">IF(SUM(AN4,AR4)&gt;0,SUM(AN4,AR4),"")</f>
        <v/>
      </c>
      <c r="BE4" s="14" t="str">
        <f t="shared" ref="BE4:BE23" si="19">IF(SUM(AM4:AN4,AP4:AR4,AT4)-SUM(AO4,AS4)&gt;0,SUM(AM4:AN4,AP4:AR4,AT4)-SUM(AO4,AS4),"")</f>
        <v/>
      </c>
      <c r="BF4" s="14" t="str">
        <f t="shared" ref="BF4:BF23" si="20">IF(SUM(AV4,AZ4)&gt;0,SUM(AV4,AZ4),"")</f>
        <v/>
      </c>
      <c r="BG4" s="14" t="str">
        <f t="shared" ref="BG4:BG23" si="21">IF(SUM(AU4:AV4,AX4:AZ4,BB4)-SUM(AW4,BA4)&gt;0,SUM(AU4:AV4,AX4:AZ4,BB4)-SUM(AW4,BA4),"")</f>
        <v/>
      </c>
      <c r="BH4" s="14" t="str">
        <f t="shared" ref="BH4:BH23" si="22">IF(SUM(BE4,BG4)&gt;0,SUM(BE4,BG4),"")</f>
        <v/>
      </c>
      <c r="BI4" s="69">
        <v>28.8</v>
      </c>
      <c r="BJ4" s="69">
        <v>8</v>
      </c>
      <c r="BK4" s="69">
        <v>0</v>
      </c>
      <c r="BL4" s="69">
        <v>0.3</v>
      </c>
      <c r="BM4" s="69">
        <v>28.6</v>
      </c>
      <c r="BN4" s="69">
        <v>8.4</v>
      </c>
      <c r="BO4" s="69">
        <v>0.9</v>
      </c>
      <c r="BP4" s="69">
        <v>0</v>
      </c>
      <c r="BQ4" s="69">
        <v>27.8</v>
      </c>
      <c r="BR4" s="69">
        <v>8.1</v>
      </c>
      <c r="BS4" s="69">
        <v>0</v>
      </c>
      <c r="BT4" s="69">
        <v>0</v>
      </c>
      <c r="BU4" s="69">
        <v>28</v>
      </c>
      <c r="BV4" s="69">
        <v>8.4</v>
      </c>
      <c r="BW4" s="69">
        <v>0.3</v>
      </c>
      <c r="BX4" s="69">
        <v>0.3</v>
      </c>
      <c r="BY4" s="80"/>
      <c r="BZ4" s="11">
        <f t="shared" ref="BZ4:BZ23" si="23">IF(SUM(BJ4,BN4)&gt;0,SUM(BJ4,BN4),"")</f>
        <v>16.399999999999999</v>
      </c>
      <c r="CA4" s="11">
        <f t="shared" ref="CA4:CA23" si="24">IF(SUM(BI4:BJ4,BL4:BN4,BP4)-SUM(BK4,BO4)&gt;0,SUM(BI4:BJ4,BL4:BN4,BP4)-SUM(BK4,BO4),"")</f>
        <v>73.199999999999989</v>
      </c>
      <c r="CB4" s="11">
        <f t="shared" ref="CB4:CB23" si="25">IF(SUM(BR4,BV4)&gt;0,SUM(BR4,BV4),"")</f>
        <v>16.5</v>
      </c>
      <c r="CC4" s="11">
        <f t="shared" ref="CC4:CC23" si="26">IF(SUM(BQ4:BR4,BT4:BV4,BX4)-SUM(BS4,BW4)&gt;0,SUM(BQ4:BR4,BT4:BV4,BX4)-SUM(BS4,BW4),"")</f>
        <v>72.3</v>
      </c>
      <c r="CD4" s="11">
        <f t="shared" ref="CD4:CD23" si="27">IF(SUM(CA4,CC4)&gt;0,SUM(CA4,CC4),"")</f>
        <v>145.5</v>
      </c>
      <c r="CE4" s="24" t="str">
        <f t="shared" ref="CE4:CE23" si="28">IF(MAX(DA4,DV4,EQ4,FL4,GG4,HB4,HW4,IR4,JM4,KH4,LC4,LX4)-IF(J4="",0,J4)&gt;0.001,MAX(DA4,DV4,EQ4,FL4,GG4,HB4,HW4,IR4,JM4,KH4,LC4,LX4)-IF(J4="",0,J4),"")</f>
        <v/>
      </c>
      <c r="CF4" s="24" t="str">
        <f t="shared" ref="CF4:CF23" si="29"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23" si="30">IF(SUM(CH4,CL4)&gt;0,SUM(CH4,CL4),"")</f>
        <v/>
      </c>
      <c r="CX4" s="11" t="str">
        <f t="shared" ref="CX4:CX23" si="31">IF(SUM(CG4:CH4,CJ4:CL4,CN4)-SUM(CI4,CM4)&gt;0,SUM(CG4:CH4,CJ4:CL4,CN4)-SUM(CI4,CM4),"")</f>
        <v/>
      </c>
      <c r="CY4" s="11" t="str">
        <f t="shared" ref="CY4:CY23" si="32">IF(SUM(CP4,CT4)&gt;0,SUM(CP4,CT4),"")</f>
        <v/>
      </c>
      <c r="CZ4" s="11" t="str">
        <f t="shared" ref="CZ4:CZ23" si="33">IF(SUM(CO4:CP4,CR4:CT4,CV4)-SUM(CQ4,CU4)&gt;0,SUM(CO4:CP4,CR4:CT4,CV4)-SUM(CQ4,CU4),"")</f>
        <v/>
      </c>
      <c r="DA4" s="11" t="str">
        <f t="shared" ref="DA4:DA23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23" si="35">IF(SUM(DC4,DG4)&gt;0,SUM(DC4,DG4),"")</f>
        <v/>
      </c>
      <c r="DS4" s="14" t="str">
        <f t="shared" ref="DS4:DS23" si="36">IF(SUM(DB4:DC4,DE4:DG4,DI4)-SUM(DD4,DH4)&gt;0,SUM(DB4:DC4,DE4:DG4,DI4)-SUM(DD4,DH4),"")</f>
        <v/>
      </c>
      <c r="DT4" s="14" t="str">
        <f t="shared" ref="DT4:DT23" si="37">IF(SUM(DK4,DO4)&gt;0,SUM(DK4,DO4),"")</f>
        <v/>
      </c>
      <c r="DU4" s="14" t="str">
        <f t="shared" ref="DU4:DU23" si="38">IF(SUM(DJ4:DK4,DM4:DO4,DQ4)-SUM(DL4,DP4)&gt;0,SUM(DJ4:DK4,DM4:DO4,DQ4)-SUM(DL4,DP4),"")</f>
        <v/>
      </c>
      <c r="DV4" s="14" t="str">
        <f t="shared" ref="DV4:DV23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23" si="40">IF(SUM(DX4,EB4)&gt;0,SUM(DX4,EB4),"")</f>
        <v/>
      </c>
      <c r="EN4" s="11" t="str">
        <f t="shared" ref="EN4:EN23" si="41">IF(SUM(DW4:DX4,DZ4:EB4,ED4)-SUM(DY4,EC4)&gt;0,SUM(DW4:DX4,DZ4:EB4,ED4)-SUM(DY4,EC4),"")</f>
        <v/>
      </c>
      <c r="EO4" s="11" t="str">
        <f t="shared" ref="EO4:EO23" si="42">IF(SUM(EF4,EJ4)&gt;0,SUM(EF4,EJ4),"")</f>
        <v/>
      </c>
      <c r="EP4" s="11" t="str">
        <f t="shared" ref="EP4:EP23" si="43">IF(SUM(EE4:EF4,EH4:EJ4,EL4)-SUM(EG4,EK4)&gt;0,SUM(EE4:EF4,EH4:EJ4,EL4)-SUM(EG4,EK4),"")</f>
        <v/>
      </c>
      <c r="EQ4" s="11" t="str">
        <f t="shared" ref="EQ4:EQ23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23" si="45">IF(SUM(ES4,EW4)&gt;0,SUM(ES4,EW4),"")</f>
        <v/>
      </c>
      <c r="FI4" s="14" t="str">
        <f t="shared" ref="FI4:FI23" si="46">IF(SUM(ER4:ES4,EU4:EW4,EY4)-SUM(ET4,EX4)&gt;0,SUM(ER4:ES4,EU4:EW4,EY4)-SUM(ET4,EX4),"")</f>
        <v/>
      </c>
      <c r="FJ4" s="14" t="str">
        <f t="shared" ref="FJ4:FJ23" si="47">IF(SUM(FA4,FE4)&gt;0,SUM(FA4,FE4),"")</f>
        <v/>
      </c>
      <c r="FK4" s="14" t="str">
        <f t="shared" ref="FK4:FK23" si="48">IF(SUM(EZ4:FA4,FC4:FE4,FG4)-SUM(FB4,FF4)&gt;0,SUM(EZ4:FA4,FC4:FE4,FG4)-SUM(FB4,FF4),"")</f>
        <v/>
      </c>
      <c r="FL4" s="14" t="str">
        <f t="shared" ref="FL4:FL23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23" si="50">IF(SUM(FN4,FR4)&gt;0,SUM(FN4,FR4),"")</f>
        <v/>
      </c>
      <c r="GD4" s="11" t="str">
        <f t="shared" ref="GD4:GD23" si="51">IF(SUM(FM4:FN4,FP4:FR4,FT4)-SUM(FO4,FS4)&gt;0,SUM(FM4:FN4,FP4:FR4,FT4)-SUM(FO4,FS4),"")</f>
        <v/>
      </c>
      <c r="GE4" s="11" t="str">
        <f t="shared" ref="GE4:GE23" si="52">IF(SUM(FV4,FZ4)&gt;0,SUM(FV4,FZ4),"")</f>
        <v/>
      </c>
      <c r="GF4" s="11" t="str">
        <f t="shared" ref="GF4:GF23" si="53">IF(SUM(FU4:FV4,FX4:FZ4,GB4)-SUM(FW4,GA4)&gt;0,SUM(FU4:FV4,FX4:FZ4,GB4)-SUM(FW4,GA4),"")</f>
        <v/>
      </c>
      <c r="GG4" s="11" t="str">
        <f t="shared" ref="GG4:GG23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23" si="55">IF(SUM(GI4,GM4)&gt;0,SUM(GI4,GM4),"")</f>
        <v/>
      </c>
      <c r="GY4" s="14" t="str">
        <f t="shared" ref="GY4:GY23" si="56">IF(SUM(GH4:GI4,GK4:GM4,GO4)-SUM(GJ4,GN4)&gt;0,SUM(GH4:GI4,GK4:GM4,GO4)-SUM(GJ4,GN4),"")</f>
        <v/>
      </c>
      <c r="GZ4" s="14" t="str">
        <f t="shared" ref="GZ4:GZ23" si="57">IF(SUM(GQ4,GU4)&gt;0,SUM(GQ4,GU4),"")</f>
        <v/>
      </c>
      <c r="HA4" s="14" t="str">
        <f t="shared" ref="HA4:HA23" si="58">IF(SUM(GP4:GQ4,GS4:GU4,GW4)-SUM(GR4,GV4)&gt;0,SUM(GP4:GQ4,GS4:GU4,GW4)-SUM(GR4,GV4),"")</f>
        <v/>
      </c>
      <c r="HB4" s="14" t="str">
        <f t="shared" ref="HB4:HB23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23" si="60">IF(SUM(HD4,HH4)&gt;0,SUM(HD4,HH4),"")</f>
        <v/>
      </c>
      <c r="HT4" s="11" t="str">
        <f t="shared" ref="HT4:HT23" si="61">IF(SUM(HC4:HD4,HF4:HH4,HJ4)-SUM(HE4,HI4)&gt;0,SUM(HC4:HD4,HF4:HH4,HJ4)-SUM(HE4,HI4),"")</f>
        <v/>
      </c>
      <c r="HU4" s="11" t="str">
        <f t="shared" ref="HU4:HU23" si="62">IF(SUM(HL4,HP4)&gt;0,SUM(HL4,HP4),"")</f>
        <v/>
      </c>
      <c r="HV4" s="11" t="str">
        <f t="shared" ref="HV4:HV23" si="63">IF(SUM(HK4:HL4,HN4:HP4,HR4)-SUM(HM4,HQ4)&gt;0,SUM(HK4:HL4,HN4:HP4,HR4)-SUM(HM4,HQ4),"")</f>
        <v/>
      </c>
      <c r="HW4" s="11" t="str">
        <f t="shared" ref="HW4:HW23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23" si="65">IF(SUM(HY4,IC4)&gt;0,SUM(HY4,IC4),"")</f>
        <v/>
      </c>
      <c r="IO4" s="14" t="str">
        <f t="shared" ref="IO4:IO23" si="66">IF(SUM(HX4:HY4,IA4:IC4,IE4)-SUM(HZ4,ID4)&gt;0,SUM(HX4:HY4,IA4:IC4,IE4)-SUM(HZ4,ID4),"")</f>
        <v/>
      </c>
      <c r="IP4" s="14" t="str">
        <f t="shared" ref="IP4:IP23" si="67">IF(SUM(IG4,IK4)&gt;0,SUM(IG4,IK4),"")</f>
        <v/>
      </c>
      <c r="IQ4" s="14" t="str">
        <f t="shared" ref="IQ4:IQ23" si="68">IF(SUM(IF4:IG4,II4:IK4,IM4)-SUM(IH4,IL4)&gt;0,SUM(IF4:IG4,II4:IK4,IM4)-SUM(IH4,IL4),"")</f>
        <v/>
      </c>
      <c r="IR4" s="14" t="str">
        <f t="shared" ref="IR4:IR23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23" si="70">IF(SUM(IT4,IX4)&gt;0,SUM(IT4,IX4),"")</f>
        <v/>
      </c>
      <c r="JJ4" s="11" t="str">
        <f t="shared" ref="JJ4:JJ23" si="71">IF(SUM(IS4:IT4,IV4:IX4,IZ4)-SUM(IU4,IY4)&gt;0,SUM(IS4:IT4,IV4:IX4,IZ4)-SUM(IU4,IY4),"")</f>
        <v/>
      </c>
      <c r="JK4" s="11" t="str">
        <f t="shared" ref="JK4:JK23" si="72">IF(SUM(JB4,JF4)&gt;0,SUM(JB4,JF4),"")</f>
        <v/>
      </c>
      <c r="JL4" s="11" t="str">
        <f t="shared" ref="JL4:JL23" si="73">IF(SUM(JA4:JB4,JD4:JF4,JH4)-SUM(JC4,JG4)&gt;0,SUM(JA4:JB4,JD4:JF4,JH4)-SUM(JC4,JG4),"")</f>
        <v/>
      </c>
      <c r="JM4" s="11" t="str">
        <f t="shared" ref="JM4:JM23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23" si="75">IF(SUM(JO4,JS4)&gt;0,SUM(JO4,JS4),"")</f>
        <v/>
      </c>
      <c r="KE4" s="14" t="str">
        <f t="shared" ref="KE4:KE23" si="76">IF(SUM(JN4:JO4,JQ4:JS4,JU4)-SUM(JP4,JT4)&gt;0,SUM(JN4:JO4,JQ4:JS4,JU4)-SUM(JP4,JT4),"")</f>
        <v/>
      </c>
      <c r="KF4" s="14" t="str">
        <f t="shared" ref="KF4:KF23" si="77">IF(SUM(JW4,KA4)&gt;0,SUM(JW4,KA4),"")</f>
        <v/>
      </c>
      <c r="KG4" s="14" t="str">
        <f t="shared" ref="KG4:KG23" si="78">IF(SUM(JV4:JW4,JY4:KA4,KC4)-SUM(JX4,KB4)&gt;0,SUM(JV4:JW4,JY4:KA4,KC4)-SUM(JX4,KB4),"")</f>
        <v/>
      </c>
      <c r="KH4" s="14" t="str">
        <f t="shared" ref="KH4:KH23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23" si="80">IF(SUM(KJ4,KN4)&gt;0,SUM(KJ4,KN4),"")</f>
        <v/>
      </c>
      <c r="KZ4" s="11" t="str">
        <f t="shared" ref="KZ4:KZ23" si="81">IF(SUM(KI4:KJ4,KL4:KN4,KP4)-SUM(KK4,KO4)&gt;0,SUM(KI4:KJ4,KL4:KN4,KP4)-SUM(KK4,KO4),"")</f>
        <v/>
      </c>
      <c r="LA4" s="11" t="str">
        <f t="shared" ref="LA4:LA23" si="82">IF(SUM(KR4,KV4)&gt;0,SUM(KR4,KV4),"")</f>
        <v/>
      </c>
      <c r="LB4" s="11" t="str">
        <f t="shared" ref="LB4:LB23" si="83">IF(SUM(KQ4:KR4,KT4:KV4,KX4)-SUM(KS4,KW4)&gt;0,SUM(KQ4:KR4,KT4:KV4,KX4)-SUM(KS4,KW4),"")</f>
        <v/>
      </c>
      <c r="LC4" s="11" t="str">
        <f t="shared" ref="LC4:LC23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23" si="85">IF(SUM(LE4,LI4)&gt;0,SUM(LE4,LI4),"")</f>
        <v/>
      </c>
      <c r="LU4" s="14" t="str">
        <f t="shared" ref="LU4:LU23" si="86">IF(SUM(LD4:LE4,LG4:LI4,LK4)-SUM(LF4,LJ4)&gt;0,SUM(LD4:LE4,LG4:LI4,LK4)-SUM(LF4,LJ4),"")</f>
        <v/>
      </c>
      <c r="LV4" s="14" t="str">
        <f t="shared" ref="LV4:LV23" si="87">IF(SUM(LM4,LQ4)&gt;0,SUM(LM4,LQ4),"")</f>
        <v/>
      </c>
      <c r="LW4" s="14" t="str">
        <f t="shared" ref="LW4:LW23" si="88">IF(SUM(LL4:LM4,LO4:LQ4,LS4)-SUM(LN4,LR4)&gt;0,SUM(LL4:LM4,LO4:LQ4,LS4)-SUM(LN4,LR4),"")</f>
        <v/>
      </c>
      <c r="LX4" s="14" t="str">
        <f t="shared" ref="LX4:LX23" si="89">IF(SUM(LU4,LW4)&gt;0,SUM(LU4,LW4),"")</f>
        <v/>
      </c>
      <c r="LY4" s="69">
        <f t="shared" ref="LY4:LY23" si="90">IF($BY4="P",BI4,(BI4+AM4)/2)</f>
        <v>14.4</v>
      </c>
      <c r="LZ4" s="69">
        <f t="shared" ref="LZ4:LZ23" si="91">IF($BY4="P",BJ4,(BJ4+AN4)/2)</f>
        <v>4</v>
      </c>
      <c r="MA4" s="69">
        <f t="shared" ref="MA4:MA23" si="92">IF($BY4="P",BK4,(BK4+AO4)/2)</f>
        <v>0</v>
      </c>
      <c r="MB4" s="69">
        <f t="shared" ref="MB4:MB23" si="93">IF($BY4="P",BL4,(BL4+AP4)/2)</f>
        <v>0.15</v>
      </c>
      <c r="MC4" s="69">
        <f t="shared" ref="MC4:MC23" si="94">IF($BY4="P",BM4,(BM4+AQ4)/2)</f>
        <v>14.3</v>
      </c>
      <c r="MD4" s="69">
        <f t="shared" ref="MD4:MD23" si="95">IF($BY4="P",BN4,(BN4+AR4)/2)</f>
        <v>4.2</v>
      </c>
      <c r="ME4" s="69">
        <f t="shared" ref="ME4:ME23" si="96">IF($BY4="P",BO4,(BO4+AS4)/2)</f>
        <v>0.45</v>
      </c>
      <c r="MF4" s="69">
        <f t="shared" ref="MF4:MF23" si="97">IF($BY4="P",BP4,(BP4+AT4)/2)</f>
        <v>0</v>
      </c>
      <c r="MG4" s="69">
        <f t="shared" ref="MG4:MG23" si="98">IF($BY4="P",BQ4,(BQ4+AU4)/2)</f>
        <v>13.9</v>
      </c>
      <c r="MH4" s="69">
        <f t="shared" ref="MH4:MH23" si="99">IF($BY4="P",BR4,(BR4+AV4)/2)</f>
        <v>4.05</v>
      </c>
      <c r="MI4" s="69">
        <f t="shared" ref="MI4:MI23" si="100">IF($BY4="P",BS4,(BS4+AW4)/2)</f>
        <v>0</v>
      </c>
      <c r="MJ4" s="69">
        <f t="shared" ref="MJ4:MJ23" si="101">IF($BY4="P",BT4,(BT4+AX4)/2)</f>
        <v>0</v>
      </c>
      <c r="MK4" s="69">
        <f t="shared" ref="MK4:MK23" si="102">IF($BY4="P",BU4,(BU4+AY4)/2)</f>
        <v>14</v>
      </c>
      <c r="ML4" s="69">
        <f t="shared" ref="ML4:ML23" si="103">IF($BY4="P",BV4,(BV4+AZ4)/2)</f>
        <v>4.2</v>
      </c>
      <c r="MM4" s="69">
        <f t="shared" ref="MM4:MM23" si="104">IF($BY4="P",BW4,(BW4+BA4)/2)</f>
        <v>0.15</v>
      </c>
      <c r="MN4" s="69">
        <f t="shared" ref="MN4:MN23" si="105">IF($BY4="P",BX4,(BX4+BB4)/2)</f>
        <v>0.15</v>
      </c>
      <c r="MO4" s="80" t="s">
        <v>88</v>
      </c>
      <c r="MP4" s="11">
        <f t="shared" ref="MP4:MP23" si="106">IF(SUM(LZ4,MD4)&gt;0,SUM(LZ4,MD4),"")</f>
        <v>8.1999999999999993</v>
      </c>
      <c r="MQ4" s="11">
        <f t="shared" ref="MQ4:MQ23" si="107">IF(SUM(LY4:LZ4,MB4:MD4,MF4)-SUM(MA4,ME4)&gt;0,SUM(LY4:LZ4,MB4:MD4,MF4)-SUM(MA4,ME4),"")</f>
        <v>36.599999999999994</v>
      </c>
      <c r="MR4" s="11">
        <f t="shared" ref="MR4:MR23" si="108">IF(SUM(MH4,ML4)&gt;0,SUM(MH4,ML4),"")</f>
        <v>8.25</v>
      </c>
      <c r="MS4" s="11">
        <f t="shared" ref="MS4:MS23" si="109">IF(SUM(MG4:MH4,MJ4:ML4,MN4)-SUM(MI4,MM4)&gt;0,SUM(MG4:MH4,MJ4:ML4,MN4)-SUM(MI4,MM4),"")</f>
        <v>36.15</v>
      </c>
      <c r="MT4" s="11">
        <f t="shared" ref="MT4:MT23" si="110">IF(SUM(MQ4,MS4)&gt;0,SUM(MQ4,MS4),"")</f>
        <v>72.75</v>
      </c>
    </row>
    <row r="5" spans="1:358" x14ac:dyDescent="0.2">
      <c r="A5" s="5">
        <f t="shared" si="0"/>
        <v>2</v>
      </c>
      <c r="B5" s="8" t="s">
        <v>159</v>
      </c>
      <c r="C5" s="4" t="s">
        <v>3</v>
      </c>
      <c r="D5" s="5">
        <v>2003</v>
      </c>
      <c r="E5" s="15">
        <f t="shared" si="1"/>
        <v>212.625</v>
      </c>
      <c r="F5" s="3" t="str">
        <f t="shared" si="2"/>
        <v>P</v>
      </c>
      <c r="G5" s="3" t="str">
        <f t="shared" si="3"/>
        <v>P</v>
      </c>
      <c r="H5" s="126" t="str">
        <f t="shared" si="4"/>
        <v>Excellence</v>
      </c>
      <c r="I5" s="3" t="str">
        <f t="shared" si="5"/>
        <v>P</v>
      </c>
      <c r="J5" s="14">
        <f t="shared" si="6"/>
        <v>140.625</v>
      </c>
      <c r="K5" s="14" t="str">
        <f t="shared" si="7"/>
        <v>2021 1st Virtual Technical Trial</v>
      </c>
      <c r="L5" s="14">
        <f t="shared" si="8"/>
        <v>72</v>
      </c>
      <c r="M5" s="14" t="str">
        <f t="shared" si="9"/>
        <v>2019 Nationals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25.2</v>
      </c>
      <c r="R5" s="69">
        <v>8.4</v>
      </c>
      <c r="S5" s="69">
        <v>1.2</v>
      </c>
      <c r="T5" s="69">
        <v>0</v>
      </c>
      <c r="U5" s="69">
        <v>27.8</v>
      </c>
      <c r="V5" s="69">
        <v>7.3</v>
      </c>
      <c r="W5" s="69">
        <v>0.9</v>
      </c>
      <c r="X5" s="69">
        <v>0</v>
      </c>
      <c r="Y5" s="69">
        <v>28.6</v>
      </c>
      <c r="Z5" s="69">
        <v>7.6</v>
      </c>
      <c r="AA5" s="69">
        <v>0.9</v>
      </c>
      <c r="AB5" s="69">
        <v>0</v>
      </c>
      <c r="AC5" s="69">
        <v>28.7</v>
      </c>
      <c r="AD5" s="69">
        <v>8</v>
      </c>
      <c r="AE5" s="69">
        <v>0</v>
      </c>
      <c r="AF5" s="69">
        <v>0</v>
      </c>
      <c r="AG5" s="80"/>
      <c r="AH5" s="11">
        <f t="shared" si="13"/>
        <v>15.7</v>
      </c>
      <c r="AI5" s="11">
        <f t="shared" si="14"/>
        <v>66.600000000000009</v>
      </c>
      <c r="AJ5" s="11">
        <f t="shared" si="15"/>
        <v>15.6</v>
      </c>
      <c r="AK5" s="11">
        <f t="shared" si="16"/>
        <v>72</v>
      </c>
      <c r="AL5" s="11">
        <f t="shared" si="17"/>
        <v>138.60000000000002</v>
      </c>
      <c r="AM5" s="38">
        <v>28.8</v>
      </c>
      <c r="AN5" s="38">
        <v>8</v>
      </c>
      <c r="AO5" s="38">
        <v>0.3</v>
      </c>
      <c r="AP5" s="38">
        <v>0.3</v>
      </c>
      <c r="AQ5" s="38">
        <v>28.824999999999999</v>
      </c>
      <c r="AR5" s="38">
        <v>8.4</v>
      </c>
      <c r="AS5" s="38">
        <v>0.3</v>
      </c>
      <c r="AT5" s="38">
        <v>0</v>
      </c>
      <c r="AU5" s="38">
        <v>26.774999999999999</v>
      </c>
      <c r="AV5" s="38">
        <v>5.6</v>
      </c>
      <c r="AW5" s="38">
        <v>0.7</v>
      </c>
      <c r="AX5" s="38">
        <v>0</v>
      </c>
      <c r="AY5" s="38">
        <v>28.225000000000001</v>
      </c>
      <c r="AZ5" s="38">
        <v>7.3</v>
      </c>
      <c r="BA5" s="38">
        <v>0.3</v>
      </c>
      <c r="BB5" s="38">
        <v>0</v>
      </c>
      <c r="BC5" s="81"/>
      <c r="BD5" s="14">
        <f t="shared" si="18"/>
        <v>16.399999999999999</v>
      </c>
      <c r="BE5" s="14">
        <f t="shared" si="19"/>
        <v>73.725000000000009</v>
      </c>
      <c r="BF5" s="14">
        <f t="shared" si="20"/>
        <v>12.899999999999999</v>
      </c>
      <c r="BG5" s="14">
        <f t="shared" si="21"/>
        <v>66.900000000000006</v>
      </c>
      <c r="BH5" s="14">
        <f t="shared" si="22"/>
        <v>140.625</v>
      </c>
      <c r="BI5" s="69">
        <v>25.2</v>
      </c>
      <c r="BJ5" s="69">
        <v>9.1999999999999993</v>
      </c>
      <c r="BK5" s="69">
        <v>1.2</v>
      </c>
      <c r="BL5" s="69">
        <v>0.3</v>
      </c>
      <c r="BM5" s="69">
        <v>27.8</v>
      </c>
      <c r="BN5" s="69">
        <v>9.1999999999999993</v>
      </c>
      <c r="BO5" s="69">
        <v>1.2</v>
      </c>
      <c r="BP5" s="69">
        <v>0.3</v>
      </c>
      <c r="BQ5" s="69">
        <v>25.6</v>
      </c>
      <c r="BR5" s="69">
        <v>8.1</v>
      </c>
      <c r="BS5" s="69">
        <v>0.3</v>
      </c>
      <c r="BT5" s="69">
        <v>0.3</v>
      </c>
      <c r="BU5" s="69">
        <v>27.7</v>
      </c>
      <c r="BV5" s="69">
        <v>8.1</v>
      </c>
      <c r="BW5" s="69">
        <v>0</v>
      </c>
      <c r="BX5" s="69">
        <v>0</v>
      </c>
      <c r="BY5" s="80"/>
      <c r="BZ5" s="11">
        <f t="shared" si="23"/>
        <v>18.399999999999999</v>
      </c>
      <c r="CA5" s="11">
        <f t="shared" si="24"/>
        <v>69.599999999999994</v>
      </c>
      <c r="CB5" s="11">
        <f t="shared" si="25"/>
        <v>16.2</v>
      </c>
      <c r="CC5" s="11">
        <f t="shared" si="26"/>
        <v>69.5</v>
      </c>
      <c r="CD5" s="11">
        <f t="shared" si="27"/>
        <v>139.1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27</v>
      </c>
      <c r="LZ5" s="69">
        <f t="shared" si="91"/>
        <v>8.6</v>
      </c>
      <c r="MA5" s="69">
        <f t="shared" si="92"/>
        <v>0.75</v>
      </c>
      <c r="MB5" s="69">
        <f t="shared" si="93"/>
        <v>0.3</v>
      </c>
      <c r="MC5" s="69">
        <f t="shared" si="94"/>
        <v>28.3125</v>
      </c>
      <c r="MD5" s="69">
        <f t="shared" si="95"/>
        <v>8.8000000000000007</v>
      </c>
      <c r="ME5" s="69">
        <f t="shared" si="96"/>
        <v>0.75</v>
      </c>
      <c r="MF5" s="69">
        <f t="shared" si="97"/>
        <v>0.15</v>
      </c>
      <c r="MG5" s="69">
        <f t="shared" si="98"/>
        <v>26.1875</v>
      </c>
      <c r="MH5" s="69">
        <f t="shared" si="99"/>
        <v>6.85</v>
      </c>
      <c r="MI5" s="69">
        <f t="shared" si="100"/>
        <v>0.5</v>
      </c>
      <c r="MJ5" s="69">
        <f t="shared" si="101"/>
        <v>0.15</v>
      </c>
      <c r="MK5" s="69">
        <f t="shared" si="102"/>
        <v>27.962499999999999</v>
      </c>
      <c r="ML5" s="69">
        <f t="shared" si="103"/>
        <v>7.6999999999999993</v>
      </c>
      <c r="MM5" s="69">
        <f t="shared" si="104"/>
        <v>0.15</v>
      </c>
      <c r="MN5" s="69">
        <f t="shared" si="105"/>
        <v>0</v>
      </c>
      <c r="MO5" s="80" t="s">
        <v>88</v>
      </c>
      <c r="MP5" s="11">
        <f t="shared" si="106"/>
        <v>17.399999999999999</v>
      </c>
      <c r="MQ5" s="11">
        <f t="shared" si="107"/>
        <v>71.662500000000009</v>
      </c>
      <c r="MR5" s="11">
        <f t="shared" si="108"/>
        <v>14.549999999999999</v>
      </c>
      <c r="MS5" s="11">
        <f t="shared" si="109"/>
        <v>68.199999999999989</v>
      </c>
      <c r="MT5" s="11">
        <f t="shared" si="110"/>
        <v>139.86250000000001</v>
      </c>
    </row>
    <row r="6" spans="1:358" x14ac:dyDescent="0.2">
      <c r="A6" s="5">
        <f t="shared" si="0"/>
        <v>3</v>
      </c>
      <c r="B6" s="8" t="s">
        <v>11</v>
      </c>
      <c r="C6" s="4" t="s">
        <v>5</v>
      </c>
      <c r="D6" s="5">
        <v>1994</v>
      </c>
      <c r="E6" s="15">
        <f t="shared" si="1"/>
        <v>210.7</v>
      </c>
      <c r="F6" s="3" t="str">
        <f t="shared" si="2"/>
        <v>P</v>
      </c>
      <c r="G6" s="3" t="str">
        <f t="shared" si="3"/>
        <v>P</v>
      </c>
      <c r="H6" s="126" t="str">
        <f t="shared" si="4"/>
        <v>National Team</v>
      </c>
      <c r="I6" s="3" t="str">
        <f t="shared" si="5"/>
        <v/>
      </c>
      <c r="J6" s="14">
        <f t="shared" si="6"/>
        <v>140.69999999999999</v>
      </c>
      <c r="K6" s="14" t="str">
        <f t="shared" si="7"/>
        <v>2019 Nationals</v>
      </c>
      <c r="L6" s="14">
        <f t="shared" si="8"/>
        <v>70</v>
      </c>
      <c r="M6" s="14" t="str">
        <f t="shared" si="9"/>
        <v>2021 1st Virtual Technical Trial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28.6</v>
      </c>
      <c r="R6" s="69">
        <v>7.3</v>
      </c>
      <c r="S6" s="69">
        <v>0</v>
      </c>
      <c r="T6" s="69">
        <v>0</v>
      </c>
      <c r="U6" s="69">
        <v>28.3</v>
      </c>
      <c r="V6" s="69">
        <v>8.4</v>
      </c>
      <c r="W6" s="69">
        <v>0.9</v>
      </c>
      <c r="X6" s="69">
        <v>0</v>
      </c>
      <c r="Y6" s="69">
        <v>28.2</v>
      </c>
      <c r="Z6" s="69">
        <v>7.2</v>
      </c>
      <c r="AA6" s="69">
        <v>0</v>
      </c>
      <c r="AB6" s="69">
        <v>0</v>
      </c>
      <c r="AC6" s="69">
        <v>28</v>
      </c>
      <c r="AD6" s="69">
        <v>6.8</v>
      </c>
      <c r="AE6" s="69">
        <v>1.2</v>
      </c>
      <c r="AF6" s="69">
        <v>0</v>
      </c>
      <c r="AG6" s="80"/>
      <c r="AH6" s="11">
        <f t="shared" si="13"/>
        <v>15.7</v>
      </c>
      <c r="AI6" s="11">
        <f t="shared" si="14"/>
        <v>71.7</v>
      </c>
      <c r="AJ6" s="11">
        <f t="shared" si="15"/>
        <v>14</v>
      </c>
      <c r="AK6" s="11">
        <f t="shared" si="16"/>
        <v>69</v>
      </c>
      <c r="AL6" s="11">
        <f t="shared" si="17"/>
        <v>140.69999999999999</v>
      </c>
      <c r="AM6" s="38">
        <v>27.9</v>
      </c>
      <c r="AN6" s="38">
        <v>7.6</v>
      </c>
      <c r="AO6" s="38">
        <v>0.3</v>
      </c>
      <c r="AP6" s="38">
        <v>0</v>
      </c>
      <c r="AQ6" s="38">
        <v>27.6</v>
      </c>
      <c r="AR6" s="38">
        <v>7.2</v>
      </c>
      <c r="AS6" s="38">
        <v>0</v>
      </c>
      <c r="AT6" s="38">
        <v>0</v>
      </c>
      <c r="AU6" s="38">
        <v>28</v>
      </c>
      <c r="AV6" s="38">
        <v>6.9</v>
      </c>
      <c r="AW6" s="38">
        <v>0</v>
      </c>
      <c r="AX6" s="38">
        <v>0</v>
      </c>
      <c r="AY6" s="38">
        <v>27</v>
      </c>
      <c r="AZ6" s="38">
        <v>7.2</v>
      </c>
      <c r="BA6" s="38">
        <v>0.3</v>
      </c>
      <c r="BB6" s="38">
        <v>0</v>
      </c>
      <c r="BC6" s="81"/>
      <c r="BD6" s="14">
        <f t="shared" si="18"/>
        <v>14.8</v>
      </c>
      <c r="BE6" s="14">
        <f t="shared" si="19"/>
        <v>70</v>
      </c>
      <c r="BF6" s="14">
        <f t="shared" si="20"/>
        <v>14.100000000000001</v>
      </c>
      <c r="BG6" s="14">
        <f t="shared" si="21"/>
        <v>68.8</v>
      </c>
      <c r="BH6" s="14">
        <f t="shared" si="22"/>
        <v>138.80000000000001</v>
      </c>
      <c r="BI6" s="69">
        <v>20.3</v>
      </c>
      <c r="BJ6" s="69">
        <v>4</v>
      </c>
      <c r="BK6" s="69">
        <v>0</v>
      </c>
      <c r="BL6" s="69">
        <v>0</v>
      </c>
      <c r="BM6" s="69">
        <v>28.2</v>
      </c>
      <c r="BN6" s="69">
        <v>7.2</v>
      </c>
      <c r="BO6" s="69">
        <v>0.3</v>
      </c>
      <c r="BP6" s="69">
        <v>0</v>
      </c>
      <c r="BQ6" s="69">
        <v>20.399999999999999</v>
      </c>
      <c r="BR6" s="69">
        <v>2.8</v>
      </c>
      <c r="BS6" s="69">
        <v>0</v>
      </c>
      <c r="BT6" s="69">
        <v>0</v>
      </c>
      <c r="BU6" s="69">
        <v>27.3</v>
      </c>
      <c r="BV6" s="69">
        <v>6.8</v>
      </c>
      <c r="BW6" s="69">
        <v>0.3</v>
      </c>
      <c r="BX6" s="69">
        <v>0</v>
      </c>
      <c r="BY6" s="80"/>
      <c r="BZ6" s="11">
        <f t="shared" si="23"/>
        <v>11.2</v>
      </c>
      <c r="CA6" s="11">
        <f t="shared" si="24"/>
        <v>59.400000000000006</v>
      </c>
      <c r="CB6" s="11">
        <f t="shared" si="25"/>
        <v>9.6</v>
      </c>
      <c r="CC6" s="11">
        <f t="shared" si="26"/>
        <v>57</v>
      </c>
      <c r="CD6" s="11">
        <f t="shared" si="27"/>
        <v>116.4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24.1</v>
      </c>
      <c r="LZ6" s="69">
        <f t="shared" si="91"/>
        <v>5.8</v>
      </c>
      <c r="MA6" s="69">
        <f t="shared" si="92"/>
        <v>0.15</v>
      </c>
      <c r="MB6" s="69">
        <f t="shared" si="93"/>
        <v>0</v>
      </c>
      <c r="MC6" s="69">
        <f t="shared" si="94"/>
        <v>27.9</v>
      </c>
      <c r="MD6" s="69">
        <f t="shared" si="95"/>
        <v>7.2</v>
      </c>
      <c r="ME6" s="69">
        <f t="shared" si="96"/>
        <v>0.15</v>
      </c>
      <c r="MF6" s="69">
        <f t="shared" si="97"/>
        <v>0</v>
      </c>
      <c r="MG6" s="69">
        <f t="shared" si="98"/>
        <v>24.2</v>
      </c>
      <c r="MH6" s="69">
        <f t="shared" si="99"/>
        <v>4.8499999999999996</v>
      </c>
      <c r="MI6" s="69">
        <f t="shared" si="100"/>
        <v>0</v>
      </c>
      <c r="MJ6" s="69">
        <f t="shared" si="101"/>
        <v>0</v>
      </c>
      <c r="MK6" s="69">
        <f t="shared" si="102"/>
        <v>27.15</v>
      </c>
      <c r="ML6" s="69">
        <f t="shared" si="103"/>
        <v>7</v>
      </c>
      <c r="MM6" s="69">
        <f t="shared" si="104"/>
        <v>0.3</v>
      </c>
      <c r="MN6" s="69">
        <f t="shared" si="105"/>
        <v>0</v>
      </c>
      <c r="MO6" s="80" t="s">
        <v>88</v>
      </c>
      <c r="MP6" s="11">
        <f t="shared" si="106"/>
        <v>13</v>
      </c>
      <c r="MQ6" s="11">
        <f t="shared" si="107"/>
        <v>64.7</v>
      </c>
      <c r="MR6" s="11">
        <f t="shared" si="108"/>
        <v>11.85</v>
      </c>
      <c r="MS6" s="11">
        <f t="shared" si="109"/>
        <v>62.9</v>
      </c>
      <c r="MT6" s="11">
        <f t="shared" si="110"/>
        <v>127.6</v>
      </c>
    </row>
    <row r="7" spans="1:358" x14ac:dyDescent="0.2">
      <c r="A7" s="5">
        <f t="shared" si="0"/>
        <v>4</v>
      </c>
      <c r="B7" s="8" t="s">
        <v>178</v>
      </c>
      <c r="C7" s="4" t="s">
        <v>5</v>
      </c>
      <c r="D7" s="5">
        <v>2003</v>
      </c>
      <c r="E7" s="15">
        <f t="shared" si="1"/>
        <v>207.09999999999997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137.89999999999998</v>
      </c>
      <c r="K7" s="14" t="str">
        <f t="shared" si="7"/>
        <v>2021 2nd Virtual Technical Trial</v>
      </c>
      <c r="L7" s="14">
        <f t="shared" si="8"/>
        <v>69.2</v>
      </c>
      <c r="M7" s="14" t="str">
        <f t="shared" si="9"/>
        <v>2019 Nationals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28.1</v>
      </c>
      <c r="R7" s="69">
        <v>6.4</v>
      </c>
      <c r="S7" s="69">
        <v>0</v>
      </c>
      <c r="T7" s="69">
        <v>0</v>
      </c>
      <c r="U7" s="69">
        <v>27.9</v>
      </c>
      <c r="V7" s="69">
        <v>6.8</v>
      </c>
      <c r="W7" s="69">
        <v>0</v>
      </c>
      <c r="X7" s="69">
        <v>0</v>
      </c>
      <c r="Y7" s="69">
        <v>27.8</v>
      </c>
      <c r="Z7" s="69">
        <v>6.8</v>
      </c>
      <c r="AA7" s="69">
        <v>0.9</v>
      </c>
      <c r="AB7" s="69">
        <v>0</v>
      </c>
      <c r="AC7" s="69">
        <v>27.9</v>
      </c>
      <c r="AD7" s="69">
        <v>6</v>
      </c>
      <c r="AE7" s="69">
        <v>0.9</v>
      </c>
      <c r="AF7" s="69">
        <v>0</v>
      </c>
      <c r="AG7" s="80"/>
      <c r="AH7" s="11">
        <f t="shared" si="13"/>
        <v>13.2</v>
      </c>
      <c r="AI7" s="11">
        <f t="shared" si="14"/>
        <v>69.2</v>
      </c>
      <c r="AJ7" s="11">
        <f t="shared" si="15"/>
        <v>12.8</v>
      </c>
      <c r="AK7" s="11">
        <f t="shared" si="16"/>
        <v>66.7</v>
      </c>
      <c r="AL7" s="11">
        <f t="shared" si="17"/>
        <v>135.9</v>
      </c>
      <c r="AM7" s="38">
        <v>28</v>
      </c>
      <c r="AN7" s="38">
        <v>6.8</v>
      </c>
      <c r="AO7" s="38">
        <v>1.2</v>
      </c>
      <c r="AP7" s="38">
        <v>0</v>
      </c>
      <c r="AQ7" s="38">
        <v>28.1</v>
      </c>
      <c r="AR7" s="38">
        <v>7.2</v>
      </c>
      <c r="AS7" s="38">
        <v>1.2</v>
      </c>
      <c r="AT7" s="38">
        <v>0</v>
      </c>
      <c r="AU7" s="38">
        <v>28.4</v>
      </c>
      <c r="AV7" s="38">
        <v>2.8</v>
      </c>
      <c r="AW7" s="38">
        <v>4.0999999999999996</v>
      </c>
      <c r="AX7" s="38">
        <v>0</v>
      </c>
      <c r="AY7" s="38">
        <v>27.8</v>
      </c>
      <c r="AZ7" s="38">
        <v>6</v>
      </c>
      <c r="BA7" s="38">
        <v>1.5</v>
      </c>
      <c r="BB7" s="38">
        <v>0</v>
      </c>
      <c r="BC7" s="81"/>
      <c r="BD7" s="14">
        <f t="shared" si="18"/>
        <v>14</v>
      </c>
      <c r="BE7" s="14">
        <f t="shared" si="19"/>
        <v>67.699999999999989</v>
      </c>
      <c r="BF7" s="14">
        <f t="shared" si="20"/>
        <v>8.8000000000000007</v>
      </c>
      <c r="BG7" s="14">
        <f t="shared" si="21"/>
        <v>59.4</v>
      </c>
      <c r="BH7" s="14">
        <f t="shared" si="22"/>
        <v>127.1</v>
      </c>
      <c r="BI7" s="69">
        <v>28.2</v>
      </c>
      <c r="BJ7" s="69">
        <v>7.6</v>
      </c>
      <c r="BK7" s="69">
        <v>1.2</v>
      </c>
      <c r="BL7" s="69">
        <v>0</v>
      </c>
      <c r="BM7" s="69">
        <v>28.7</v>
      </c>
      <c r="BN7" s="69">
        <v>7.2</v>
      </c>
      <c r="BO7" s="69">
        <v>0</v>
      </c>
      <c r="BP7" s="69">
        <v>0</v>
      </c>
      <c r="BQ7" s="69">
        <v>28.4</v>
      </c>
      <c r="BR7" s="69">
        <v>6</v>
      </c>
      <c r="BS7" s="69">
        <v>1.2</v>
      </c>
      <c r="BT7" s="69">
        <v>0</v>
      </c>
      <c r="BU7" s="69">
        <v>27.7</v>
      </c>
      <c r="BV7" s="69">
        <v>6.8</v>
      </c>
      <c r="BW7" s="69">
        <v>0.3</v>
      </c>
      <c r="BX7" s="69">
        <v>0</v>
      </c>
      <c r="BY7" s="80"/>
      <c r="BZ7" s="11">
        <f t="shared" si="23"/>
        <v>14.8</v>
      </c>
      <c r="CA7" s="11">
        <f t="shared" si="24"/>
        <v>70.5</v>
      </c>
      <c r="CB7" s="11">
        <f t="shared" si="25"/>
        <v>12.8</v>
      </c>
      <c r="CC7" s="11">
        <f t="shared" si="26"/>
        <v>67.399999999999991</v>
      </c>
      <c r="CD7" s="11">
        <f t="shared" si="27"/>
        <v>137.89999999999998</v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28.1</v>
      </c>
      <c r="LZ7" s="69">
        <f t="shared" si="91"/>
        <v>7.1999999999999993</v>
      </c>
      <c r="MA7" s="69">
        <f t="shared" si="92"/>
        <v>1.2</v>
      </c>
      <c r="MB7" s="69">
        <f t="shared" si="93"/>
        <v>0</v>
      </c>
      <c r="MC7" s="69">
        <f t="shared" si="94"/>
        <v>28.4</v>
      </c>
      <c r="MD7" s="69">
        <f t="shared" si="95"/>
        <v>7.2</v>
      </c>
      <c r="ME7" s="69">
        <f t="shared" si="96"/>
        <v>0.6</v>
      </c>
      <c r="MF7" s="69">
        <f t="shared" si="97"/>
        <v>0</v>
      </c>
      <c r="MG7" s="69">
        <f t="shared" si="98"/>
        <v>28.4</v>
      </c>
      <c r="MH7" s="69">
        <f t="shared" si="99"/>
        <v>4.4000000000000004</v>
      </c>
      <c r="MI7" s="69">
        <f t="shared" si="100"/>
        <v>2.65</v>
      </c>
      <c r="MJ7" s="69">
        <f t="shared" si="101"/>
        <v>0</v>
      </c>
      <c r="MK7" s="69">
        <f t="shared" si="102"/>
        <v>27.75</v>
      </c>
      <c r="ML7" s="69">
        <f t="shared" si="103"/>
        <v>6.4</v>
      </c>
      <c r="MM7" s="69">
        <f t="shared" si="104"/>
        <v>0.9</v>
      </c>
      <c r="MN7" s="69">
        <f t="shared" si="105"/>
        <v>0</v>
      </c>
      <c r="MO7" s="80" t="s">
        <v>88</v>
      </c>
      <c r="MP7" s="11">
        <f t="shared" si="106"/>
        <v>14.399999999999999</v>
      </c>
      <c r="MQ7" s="11">
        <f t="shared" si="107"/>
        <v>69.099999999999994</v>
      </c>
      <c r="MR7" s="11">
        <f t="shared" si="108"/>
        <v>10.8</v>
      </c>
      <c r="MS7" s="11">
        <f t="shared" si="109"/>
        <v>63.400000000000006</v>
      </c>
      <c r="MT7" s="11">
        <f t="shared" si="110"/>
        <v>132.5</v>
      </c>
    </row>
    <row r="8" spans="1:358" x14ac:dyDescent="0.2">
      <c r="A8" s="5">
        <f t="shared" si="0"/>
        <v>5</v>
      </c>
      <c r="B8" s="8" t="s">
        <v>175</v>
      </c>
      <c r="C8" s="4" t="s">
        <v>5</v>
      </c>
      <c r="D8" s="5">
        <v>2002</v>
      </c>
      <c r="E8" s="15">
        <f t="shared" si="1"/>
        <v>185.60000000000002</v>
      </c>
      <c r="F8" s="3" t="str">
        <f t="shared" si="2"/>
        <v>P</v>
      </c>
      <c r="G8" s="3" t="str">
        <f t="shared" si="3"/>
        <v>P</v>
      </c>
      <c r="H8" s="126" t="str">
        <f t="shared" si="4"/>
        <v>Worlds Team</v>
      </c>
      <c r="I8" s="3" t="str">
        <f t="shared" si="5"/>
        <v>P</v>
      </c>
      <c r="J8" s="14">
        <f t="shared" si="6"/>
        <v>114.20000000000002</v>
      </c>
      <c r="K8" s="14" t="str">
        <f t="shared" si="7"/>
        <v>2019 Nationals</v>
      </c>
      <c r="L8" s="14">
        <f t="shared" si="8"/>
        <v>71.400000000000006</v>
      </c>
      <c r="M8" s="14" t="str">
        <f t="shared" si="9"/>
        <v>2021 2nd Virtual Technical Trial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27.4</v>
      </c>
      <c r="R8" s="69">
        <v>7.2</v>
      </c>
      <c r="S8" s="69">
        <v>0.3</v>
      </c>
      <c r="T8" s="69">
        <v>0</v>
      </c>
      <c r="U8" s="69">
        <v>19.8</v>
      </c>
      <c r="V8" s="69">
        <v>3.2</v>
      </c>
      <c r="W8" s="69">
        <v>0.9</v>
      </c>
      <c r="X8" s="69">
        <v>0</v>
      </c>
      <c r="Y8" s="69">
        <v>27.9</v>
      </c>
      <c r="Z8" s="69">
        <v>7.6</v>
      </c>
      <c r="AA8" s="69">
        <v>0.3</v>
      </c>
      <c r="AB8" s="69">
        <v>0</v>
      </c>
      <c r="AC8" s="69">
        <v>20.2</v>
      </c>
      <c r="AD8" s="69">
        <v>2.4</v>
      </c>
      <c r="AE8" s="69">
        <v>0</v>
      </c>
      <c r="AF8" s="69">
        <v>0</v>
      </c>
      <c r="AG8" s="80"/>
      <c r="AH8" s="11">
        <f t="shared" si="13"/>
        <v>10.4</v>
      </c>
      <c r="AI8" s="11">
        <f t="shared" si="14"/>
        <v>56.400000000000006</v>
      </c>
      <c r="AJ8" s="11">
        <f t="shared" si="15"/>
        <v>10</v>
      </c>
      <c r="AK8" s="11">
        <f t="shared" si="16"/>
        <v>57.800000000000004</v>
      </c>
      <c r="AL8" s="11">
        <f t="shared" si="17"/>
        <v>114.20000000000002</v>
      </c>
      <c r="AM8" s="38">
        <v>28</v>
      </c>
      <c r="AN8" s="38">
        <v>6.8</v>
      </c>
      <c r="AO8" s="38">
        <v>0</v>
      </c>
      <c r="AP8" s="38">
        <v>0</v>
      </c>
      <c r="AQ8" s="38">
        <v>24.6</v>
      </c>
      <c r="AR8" s="38">
        <v>7.3</v>
      </c>
      <c r="AS8" s="38">
        <v>0.3</v>
      </c>
      <c r="AT8" s="38">
        <v>0</v>
      </c>
      <c r="AU8" s="38">
        <v>0</v>
      </c>
      <c r="AV8" s="38">
        <v>0</v>
      </c>
      <c r="AW8" s="38">
        <v>0</v>
      </c>
      <c r="AX8" s="38">
        <v>0</v>
      </c>
      <c r="AY8" s="38">
        <v>0</v>
      </c>
      <c r="AZ8" s="38">
        <v>0</v>
      </c>
      <c r="BA8" s="38">
        <v>0</v>
      </c>
      <c r="BB8" s="38">
        <v>0</v>
      </c>
      <c r="BC8" s="81"/>
      <c r="BD8" s="14">
        <f t="shared" si="18"/>
        <v>14.1</v>
      </c>
      <c r="BE8" s="14">
        <f t="shared" si="19"/>
        <v>66.400000000000006</v>
      </c>
      <c r="BF8" s="14" t="str">
        <f t="shared" si="20"/>
        <v/>
      </c>
      <c r="BG8" s="14" t="str">
        <f t="shared" si="21"/>
        <v/>
      </c>
      <c r="BH8" s="14">
        <f t="shared" si="22"/>
        <v>66.400000000000006</v>
      </c>
      <c r="BI8" s="69">
        <v>28.5</v>
      </c>
      <c r="BJ8" s="69">
        <v>7.2</v>
      </c>
      <c r="BK8" s="69">
        <v>0</v>
      </c>
      <c r="BL8" s="69">
        <v>0</v>
      </c>
      <c r="BM8" s="69">
        <v>28</v>
      </c>
      <c r="BN8" s="69">
        <v>7.7</v>
      </c>
      <c r="BO8" s="69">
        <v>0.3</v>
      </c>
      <c r="BP8" s="69">
        <v>0.3</v>
      </c>
      <c r="BQ8" s="69">
        <v>0</v>
      </c>
      <c r="BR8" s="69">
        <v>0</v>
      </c>
      <c r="BS8" s="69">
        <v>0</v>
      </c>
      <c r="BT8" s="69">
        <v>0</v>
      </c>
      <c r="BU8" s="69">
        <v>27.9</v>
      </c>
      <c r="BV8" s="69">
        <v>8.1</v>
      </c>
      <c r="BW8" s="69">
        <v>0.9</v>
      </c>
      <c r="BX8" s="69">
        <v>0</v>
      </c>
      <c r="BY8" s="80"/>
      <c r="BZ8" s="11">
        <f t="shared" si="23"/>
        <v>14.9</v>
      </c>
      <c r="CA8" s="11">
        <f t="shared" si="24"/>
        <v>71.400000000000006</v>
      </c>
      <c r="CB8" s="11">
        <f t="shared" si="25"/>
        <v>8.1</v>
      </c>
      <c r="CC8" s="11">
        <f t="shared" si="26"/>
        <v>35.1</v>
      </c>
      <c r="CD8" s="11">
        <f t="shared" si="27"/>
        <v>106.5</v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28.25</v>
      </c>
      <c r="LZ8" s="69">
        <f t="shared" si="91"/>
        <v>7</v>
      </c>
      <c r="MA8" s="69">
        <f t="shared" si="92"/>
        <v>0</v>
      </c>
      <c r="MB8" s="69">
        <f t="shared" si="93"/>
        <v>0</v>
      </c>
      <c r="MC8" s="69">
        <f t="shared" si="94"/>
        <v>26.3</v>
      </c>
      <c r="MD8" s="69">
        <f t="shared" si="95"/>
        <v>7.5</v>
      </c>
      <c r="ME8" s="69">
        <f t="shared" si="96"/>
        <v>0.3</v>
      </c>
      <c r="MF8" s="69">
        <f t="shared" si="97"/>
        <v>0.15</v>
      </c>
      <c r="MG8" s="69">
        <f t="shared" si="98"/>
        <v>0</v>
      </c>
      <c r="MH8" s="69">
        <f t="shared" si="99"/>
        <v>0</v>
      </c>
      <c r="MI8" s="69">
        <f t="shared" si="100"/>
        <v>0</v>
      </c>
      <c r="MJ8" s="69">
        <f t="shared" si="101"/>
        <v>0</v>
      </c>
      <c r="MK8" s="69">
        <f t="shared" si="102"/>
        <v>13.95</v>
      </c>
      <c r="ML8" s="69">
        <f t="shared" si="103"/>
        <v>4.05</v>
      </c>
      <c r="MM8" s="69">
        <f t="shared" si="104"/>
        <v>0.45</v>
      </c>
      <c r="MN8" s="69">
        <f t="shared" si="105"/>
        <v>0</v>
      </c>
      <c r="MO8" s="80" t="s">
        <v>88</v>
      </c>
      <c r="MP8" s="11">
        <f t="shared" si="106"/>
        <v>14.5</v>
      </c>
      <c r="MQ8" s="11">
        <f t="shared" si="107"/>
        <v>68.900000000000006</v>
      </c>
      <c r="MR8" s="11">
        <f t="shared" si="108"/>
        <v>4.05</v>
      </c>
      <c r="MS8" s="11">
        <f t="shared" si="109"/>
        <v>17.55</v>
      </c>
      <c r="MT8" s="11">
        <f t="shared" si="110"/>
        <v>86.45</v>
      </c>
    </row>
    <row r="9" spans="1:358" x14ac:dyDescent="0.2">
      <c r="A9" s="5">
        <f t="shared" si="0"/>
        <v>6</v>
      </c>
      <c r="B9" s="8" t="s">
        <v>12</v>
      </c>
      <c r="C9" s="4" t="s">
        <v>6</v>
      </c>
      <c r="D9" s="5">
        <v>1996</v>
      </c>
      <c r="E9" s="15">
        <f t="shared" si="1"/>
        <v>143.30000000000001</v>
      </c>
      <c r="F9" s="3" t="str">
        <f t="shared" si="2"/>
        <v>P</v>
      </c>
      <c r="G9" s="3" t="str">
        <f t="shared" si="3"/>
        <v>P</v>
      </c>
      <c r="H9" s="126" t="str">
        <f t="shared" si="4"/>
        <v>Excellence</v>
      </c>
      <c r="I9" s="3" t="str">
        <f t="shared" si="5"/>
        <v>P</v>
      </c>
      <c r="J9" s="14">
        <f t="shared" si="6"/>
        <v>143.30000000000001</v>
      </c>
      <c r="K9" s="14" t="str">
        <f t="shared" si="7"/>
        <v>2019 Nationals</v>
      </c>
      <c r="L9" s="14">
        <f t="shared" si="8"/>
        <v>0</v>
      </c>
      <c r="M9" s="14" t="str">
        <f t="shared" si="9"/>
        <v/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28.8</v>
      </c>
      <c r="R9" s="69">
        <v>8.8000000000000007</v>
      </c>
      <c r="S9" s="69">
        <v>0</v>
      </c>
      <c r="T9" s="69">
        <v>0</v>
      </c>
      <c r="U9" s="69">
        <v>28.6</v>
      </c>
      <c r="V9" s="69">
        <v>8.4</v>
      </c>
      <c r="W9" s="69">
        <v>0.9</v>
      </c>
      <c r="X9" s="69">
        <v>0</v>
      </c>
      <c r="Y9" s="69">
        <v>28.5</v>
      </c>
      <c r="Z9" s="69">
        <v>7.3</v>
      </c>
      <c r="AA9" s="69">
        <v>0</v>
      </c>
      <c r="AB9" s="69">
        <v>0</v>
      </c>
      <c r="AC9" s="69">
        <v>27.4</v>
      </c>
      <c r="AD9" s="69">
        <v>7.9</v>
      </c>
      <c r="AE9" s="69">
        <v>1.5</v>
      </c>
      <c r="AF9" s="69">
        <v>0</v>
      </c>
      <c r="AG9" s="80"/>
      <c r="AH9" s="11">
        <f t="shared" si="13"/>
        <v>17.200000000000003</v>
      </c>
      <c r="AI9" s="11">
        <f t="shared" si="14"/>
        <v>73.7</v>
      </c>
      <c r="AJ9" s="11">
        <f t="shared" si="15"/>
        <v>15.2</v>
      </c>
      <c r="AK9" s="11">
        <f t="shared" si="16"/>
        <v>69.599999999999994</v>
      </c>
      <c r="AL9" s="11">
        <f t="shared" si="17"/>
        <v>143.30000000000001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1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80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0</v>
      </c>
      <c r="LZ9" s="69">
        <f t="shared" si="91"/>
        <v>0</v>
      </c>
      <c r="MA9" s="69">
        <f t="shared" si="92"/>
        <v>0</v>
      </c>
      <c r="MB9" s="69">
        <f t="shared" si="93"/>
        <v>0</v>
      </c>
      <c r="MC9" s="69">
        <f t="shared" si="94"/>
        <v>0</v>
      </c>
      <c r="MD9" s="69">
        <f t="shared" si="95"/>
        <v>0</v>
      </c>
      <c r="ME9" s="69">
        <f t="shared" si="96"/>
        <v>0</v>
      </c>
      <c r="MF9" s="69">
        <f t="shared" si="97"/>
        <v>0</v>
      </c>
      <c r="MG9" s="69">
        <f t="shared" si="98"/>
        <v>0</v>
      </c>
      <c r="MH9" s="69">
        <f t="shared" si="99"/>
        <v>0</v>
      </c>
      <c r="MI9" s="69">
        <f t="shared" si="100"/>
        <v>0</v>
      </c>
      <c r="MJ9" s="69">
        <f t="shared" si="101"/>
        <v>0</v>
      </c>
      <c r="MK9" s="69">
        <f t="shared" si="102"/>
        <v>0</v>
      </c>
      <c r="ML9" s="69">
        <f t="shared" si="103"/>
        <v>0</v>
      </c>
      <c r="MM9" s="69">
        <f t="shared" si="104"/>
        <v>0</v>
      </c>
      <c r="MN9" s="69">
        <f t="shared" si="105"/>
        <v>0</v>
      </c>
      <c r="MO9" s="80" t="s">
        <v>88</v>
      </c>
      <c r="MP9" s="11" t="str">
        <f t="shared" si="106"/>
        <v/>
      </c>
      <c r="MQ9" s="11" t="str">
        <f t="shared" si="107"/>
        <v/>
      </c>
      <c r="MR9" s="11" t="str">
        <f t="shared" si="108"/>
        <v/>
      </c>
      <c r="MS9" s="11" t="str">
        <f t="shared" si="109"/>
        <v/>
      </c>
      <c r="MT9" s="11" t="str">
        <f t="shared" si="110"/>
        <v/>
      </c>
    </row>
    <row r="10" spans="1:358" x14ac:dyDescent="0.2">
      <c r="A10" s="5">
        <f t="shared" si="0"/>
        <v>7</v>
      </c>
      <c r="B10" s="8" t="s">
        <v>142</v>
      </c>
      <c r="C10" s="4" t="s">
        <v>5</v>
      </c>
      <c r="D10" s="5">
        <v>2001</v>
      </c>
      <c r="E10" s="15">
        <f t="shared" si="1"/>
        <v>142.79999999999998</v>
      </c>
      <c r="F10" s="3" t="str">
        <f t="shared" si="2"/>
        <v>P</v>
      </c>
      <c r="G10" s="3" t="str">
        <f t="shared" si="3"/>
        <v>P</v>
      </c>
      <c r="H10" s="126" t="str">
        <f t="shared" si="4"/>
        <v>Worlds Team</v>
      </c>
      <c r="I10" s="3" t="str">
        <f t="shared" si="5"/>
        <v>P</v>
      </c>
      <c r="J10" s="14">
        <f t="shared" si="6"/>
        <v>142.79999999999998</v>
      </c>
      <c r="K10" s="14" t="str">
        <f t="shared" si="7"/>
        <v>2019 Nationals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28.5</v>
      </c>
      <c r="R10" s="69">
        <v>8</v>
      </c>
      <c r="S10" s="69">
        <v>0</v>
      </c>
      <c r="T10" s="69">
        <v>0</v>
      </c>
      <c r="U10" s="69">
        <v>28.3</v>
      </c>
      <c r="V10" s="69">
        <v>8.4</v>
      </c>
      <c r="W10" s="69">
        <v>0.9</v>
      </c>
      <c r="X10" s="69">
        <v>0</v>
      </c>
      <c r="Y10" s="69">
        <v>27.9</v>
      </c>
      <c r="Z10" s="69">
        <v>7.2</v>
      </c>
      <c r="AA10" s="69">
        <v>0</v>
      </c>
      <c r="AB10" s="69">
        <v>0</v>
      </c>
      <c r="AC10" s="69">
        <v>28.7</v>
      </c>
      <c r="AD10" s="69">
        <v>7.6</v>
      </c>
      <c r="AE10" s="69">
        <v>0.9</v>
      </c>
      <c r="AF10" s="69">
        <v>0</v>
      </c>
      <c r="AG10" s="80"/>
      <c r="AH10" s="11">
        <f t="shared" si="13"/>
        <v>16.399999999999999</v>
      </c>
      <c r="AI10" s="11">
        <f t="shared" si="14"/>
        <v>72.3</v>
      </c>
      <c r="AJ10" s="11">
        <f t="shared" si="15"/>
        <v>14.8</v>
      </c>
      <c r="AK10" s="11">
        <f t="shared" si="16"/>
        <v>70.499999999999986</v>
      </c>
      <c r="AL10" s="11">
        <f t="shared" si="17"/>
        <v>142.79999999999998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80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0</v>
      </c>
      <c r="LZ10" s="69">
        <f t="shared" si="91"/>
        <v>0</v>
      </c>
      <c r="MA10" s="69">
        <f t="shared" si="92"/>
        <v>0</v>
      </c>
      <c r="MB10" s="69">
        <f t="shared" si="93"/>
        <v>0</v>
      </c>
      <c r="MC10" s="69">
        <f t="shared" si="94"/>
        <v>0</v>
      </c>
      <c r="MD10" s="69">
        <f t="shared" si="95"/>
        <v>0</v>
      </c>
      <c r="ME10" s="69">
        <f t="shared" si="96"/>
        <v>0</v>
      </c>
      <c r="MF10" s="69">
        <f t="shared" si="97"/>
        <v>0</v>
      </c>
      <c r="MG10" s="69">
        <f t="shared" si="98"/>
        <v>0</v>
      </c>
      <c r="MH10" s="69">
        <f t="shared" si="99"/>
        <v>0</v>
      </c>
      <c r="MI10" s="69">
        <f t="shared" si="100"/>
        <v>0</v>
      </c>
      <c r="MJ10" s="69">
        <f t="shared" si="101"/>
        <v>0</v>
      </c>
      <c r="MK10" s="69">
        <f t="shared" si="102"/>
        <v>0</v>
      </c>
      <c r="ML10" s="69">
        <f t="shared" si="103"/>
        <v>0</v>
      </c>
      <c r="MM10" s="69">
        <f t="shared" si="104"/>
        <v>0</v>
      </c>
      <c r="MN10" s="69">
        <f t="shared" si="105"/>
        <v>0</v>
      </c>
      <c r="MO10" s="80" t="s">
        <v>88</v>
      </c>
      <c r="MP10" s="11" t="str">
        <f t="shared" si="106"/>
        <v/>
      </c>
      <c r="MQ10" s="11" t="str">
        <f t="shared" si="107"/>
        <v/>
      </c>
      <c r="MR10" s="11" t="str">
        <f t="shared" si="108"/>
        <v/>
      </c>
      <c r="MS10" s="11" t="str">
        <f t="shared" si="109"/>
        <v/>
      </c>
      <c r="MT10" s="11" t="str">
        <f t="shared" si="110"/>
        <v/>
      </c>
    </row>
    <row r="11" spans="1:358" x14ac:dyDescent="0.2">
      <c r="A11" s="5">
        <f t="shared" si="0"/>
        <v>8</v>
      </c>
      <c r="B11" s="8" t="s">
        <v>115</v>
      </c>
      <c r="C11" s="4" t="s">
        <v>10</v>
      </c>
      <c r="D11" s="5">
        <v>2000</v>
      </c>
      <c r="E11" s="15">
        <f t="shared" si="1"/>
        <v>136.89999999999998</v>
      </c>
      <c r="F11" s="3" t="str">
        <f t="shared" si="2"/>
        <v>P</v>
      </c>
      <c r="G11" s="3" t="str">
        <f t="shared" si="3"/>
        <v>P</v>
      </c>
      <c r="H11" s="126" t="str">
        <f t="shared" si="4"/>
        <v>National Team</v>
      </c>
      <c r="I11" s="3" t="str">
        <f t="shared" si="5"/>
        <v/>
      </c>
      <c r="J11" s="14">
        <f t="shared" si="6"/>
        <v>136.89999999999998</v>
      </c>
      <c r="K11" s="14" t="str">
        <f t="shared" si="7"/>
        <v>2019 Nationals</v>
      </c>
      <c r="L11" s="14">
        <f t="shared" si="8"/>
        <v>0</v>
      </c>
      <c r="M11" s="14" t="str">
        <f t="shared" si="9"/>
        <v/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28.7</v>
      </c>
      <c r="R11" s="69">
        <v>8</v>
      </c>
      <c r="S11" s="69">
        <v>0</v>
      </c>
      <c r="T11" s="69">
        <v>0</v>
      </c>
      <c r="U11" s="69">
        <v>27.9</v>
      </c>
      <c r="V11" s="69">
        <v>7.6</v>
      </c>
      <c r="W11" s="69">
        <v>1.2</v>
      </c>
      <c r="X11" s="69">
        <v>0</v>
      </c>
      <c r="Y11" s="69">
        <v>28.5</v>
      </c>
      <c r="Z11" s="69">
        <v>8</v>
      </c>
      <c r="AA11" s="69">
        <v>0.9</v>
      </c>
      <c r="AB11" s="69">
        <v>0</v>
      </c>
      <c r="AC11" s="69">
        <v>24.4</v>
      </c>
      <c r="AD11" s="69">
        <v>7.4</v>
      </c>
      <c r="AE11" s="69">
        <v>1.5</v>
      </c>
      <c r="AF11" s="69">
        <v>0</v>
      </c>
      <c r="AG11" s="80"/>
      <c r="AH11" s="11">
        <f t="shared" si="13"/>
        <v>15.6</v>
      </c>
      <c r="AI11" s="11">
        <f t="shared" si="14"/>
        <v>70.999999999999986</v>
      </c>
      <c r="AJ11" s="11">
        <f t="shared" si="15"/>
        <v>15.4</v>
      </c>
      <c r="AK11" s="11">
        <f t="shared" si="16"/>
        <v>65.899999999999991</v>
      </c>
      <c r="AL11" s="11">
        <f t="shared" si="17"/>
        <v>136.89999999999998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1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80"/>
      <c r="BZ11" s="11" t="str">
        <f t="shared" si="23"/>
        <v/>
      </c>
      <c r="CA11" s="11" t="str">
        <f t="shared" si="24"/>
        <v/>
      </c>
      <c r="CB11" s="11" t="str">
        <f t="shared" si="25"/>
        <v/>
      </c>
      <c r="CC11" s="11" t="str">
        <f t="shared" si="26"/>
        <v/>
      </c>
      <c r="CD11" s="11" t="str">
        <f t="shared" si="27"/>
        <v/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0</v>
      </c>
      <c r="LZ11" s="69">
        <f t="shared" si="91"/>
        <v>0</v>
      </c>
      <c r="MA11" s="69">
        <f t="shared" si="92"/>
        <v>0</v>
      </c>
      <c r="MB11" s="69">
        <f t="shared" si="93"/>
        <v>0</v>
      </c>
      <c r="MC11" s="69">
        <f t="shared" si="94"/>
        <v>0</v>
      </c>
      <c r="MD11" s="69">
        <f t="shared" si="95"/>
        <v>0</v>
      </c>
      <c r="ME11" s="69">
        <f t="shared" si="96"/>
        <v>0</v>
      </c>
      <c r="MF11" s="69">
        <f t="shared" si="97"/>
        <v>0</v>
      </c>
      <c r="MG11" s="69">
        <f t="shared" si="98"/>
        <v>0</v>
      </c>
      <c r="MH11" s="69">
        <f t="shared" si="99"/>
        <v>0</v>
      </c>
      <c r="MI11" s="69">
        <f t="shared" si="100"/>
        <v>0</v>
      </c>
      <c r="MJ11" s="69">
        <f t="shared" si="101"/>
        <v>0</v>
      </c>
      <c r="MK11" s="69">
        <f t="shared" si="102"/>
        <v>0</v>
      </c>
      <c r="ML11" s="69">
        <f t="shared" si="103"/>
        <v>0</v>
      </c>
      <c r="MM11" s="69">
        <f t="shared" si="104"/>
        <v>0</v>
      </c>
      <c r="MN11" s="69">
        <f t="shared" si="105"/>
        <v>0</v>
      </c>
      <c r="MO11" s="80" t="s">
        <v>88</v>
      </c>
      <c r="MP11" s="11" t="str">
        <f t="shared" si="106"/>
        <v/>
      </c>
      <c r="MQ11" s="11" t="str">
        <f t="shared" si="107"/>
        <v/>
      </c>
      <c r="MR11" s="11" t="str">
        <f t="shared" si="108"/>
        <v/>
      </c>
      <c r="MS11" s="11" t="str">
        <f t="shared" si="109"/>
        <v/>
      </c>
      <c r="MT11" s="11" t="str">
        <f t="shared" si="110"/>
        <v/>
      </c>
    </row>
    <row r="12" spans="1:358" x14ac:dyDescent="0.2">
      <c r="A12" s="5" t="str">
        <f t="shared" si="0"/>
        <v/>
      </c>
      <c r="B12" s="8" t="s">
        <v>51</v>
      </c>
      <c r="C12" s="4" t="s">
        <v>10</v>
      </c>
      <c r="D12" s="5">
        <v>1998</v>
      </c>
      <c r="E12" s="15">
        <f t="shared" si="1"/>
        <v>204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134.10000000000002</v>
      </c>
      <c r="K12" s="14" t="str">
        <f t="shared" si="7"/>
        <v>2021 2nd Virtual Technical Trial</v>
      </c>
      <c r="L12" s="14">
        <f t="shared" si="8"/>
        <v>69.899999999999991</v>
      </c>
      <c r="M12" s="14" t="str">
        <f t="shared" si="9"/>
        <v>2021 1st Virtual Technical Trial</v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>
        <v>27.5</v>
      </c>
      <c r="R12" s="69">
        <v>3.7</v>
      </c>
      <c r="S12" s="69">
        <v>2.6</v>
      </c>
      <c r="T12" s="69">
        <v>0</v>
      </c>
      <c r="U12" s="69">
        <v>20.2</v>
      </c>
      <c r="V12" s="69">
        <v>2.8</v>
      </c>
      <c r="W12" s="69">
        <v>0</v>
      </c>
      <c r="X12" s="69">
        <v>0</v>
      </c>
      <c r="Y12" s="69"/>
      <c r="Z12" s="69"/>
      <c r="AA12" s="69"/>
      <c r="AB12" s="69"/>
      <c r="AC12" s="69"/>
      <c r="AD12" s="69"/>
      <c r="AE12" s="69"/>
      <c r="AF12" s="69"/>
      <c r="AG12" s="80"/>
      <c r="AH12" s="11">
        <f t="shared" si="13"/>
        <v>6.5</v>
      </c>
      <c r="AI12" s="11">
        <f t="shared" si="14"/>
        <v>51.599999999999994</v>
      </c>
      <c r="AJ12" s="11" t="str">
        <f t="shared" si="15"/>
        <v/>
      </c>
      <c r="AK12" s="11" t="str">
        <f t="shared" si="16"/>
        <v/>
      </c>
      <c r="AL12" s="11">
        <f t="shared" si="17"/>
        <v>51.599999999999994</v>
      </c>
      <c r="AM12" s="38">
        <v>27.4</v>
      </c>
      <c r="AN12" s="38">
        <v>7.6</v>
      </c>
      <c r="AO12" s="38">
        <v>0.9</v>
      </c>
      <c r="AP12" s="38">
        <v>0</v>
      </c>
      <c r="AQ12" s="38">
        <v>0</v>
      </c>
      <c r="AR12" s="38">
        <v>0</v>
      </c>
      <c r="AS12" s="38">
        <v>0</v>
      </c>
      <c r="AT12" s="38">
        <v>0</v>
      </c>
      <c r="AU12" s="38">
        <v>27.4</v>
      </c>
      <c r="AV12" s="38">
        <v>6.4</v>
      </c>
      <c r="AW12" s="38">
        <v>0</v>
      </c>
      <c r="AX12" s="38">
        <v>0</v>
      </c>
      <c r="AY12" s="38">
        <v>28.9</v>
      </c>
      <c r="AZ12" s="38">
        <v>7.2</v>
      </c>
      <c r="BA12" s="38">
        <v>0</v>
      </c>
      <c r="BB12" s="38">
        <v>0</v>
      </c>
      <c r="BC12" s="81"/>
      <c r="BD12" s="14">
        <f t="shared" si="18"/>
        <v>7.6</v>
      </c>
      <c r="BE12" s="14">
        <f t="shared" si="19"/>
        <v>34.1</v>
      </c>
      <c r="BF12" s="14">
        <f t="shared" si="20"/>
        <v>13.600000000000001</v>
      </c>
      <c r="BG12" s="14">
        <f t="shared" si="21"/>
        <v>69.899999999999991</v>
      </c>
      <c r="BH12" s="14">
        <f t="shared" si="22"/>
        <v>104</v>
      </c>
      <c r="BI12" s="69">
        <v>25.2</v>
      </c>
      <c r="BJ12" s="69">
        <v>8.4</v>
      </c>
      <c r="BK12" s="69">
        <v>1.2</v>
      </c>
      <c r="BL12" s="69">
        <v>0</v>
      </c>
      <c r="BM12" s="69">
        <v>28.1</v>
      </c>
      <c r="BN12" s="69">
        <v>6.8</v>
      </c>
      <c r="BO12" s="69">
        <v>0</v>
      </c>
      <c r="BP12" s="69">
        <v>0</v>
      </c>
      <c r="BQ12" s="69">
        <v>28.1</v>
      </c>
      <c r="BR12" s="69">
        <v>5.2</v>
      </c>
      <c r="BS12" s="69">
        <v>0.8</v>
      </c>
      <c r="BT12" s="69">
        <v>0</v>
      </c>
      <c r="BU12" s="69">
        <v>27.4</v>
      </c>
      <c r="BV12" s="69">
        <v>7.2</v>
      </c>
      <c r="BW12" s="69">
        <v>0.3</v>
      </c>
      <c r="BX12" s="69">
        <v>0</v>
      </c>
      <c r="BY12" s="80"/>
      <c r="BZ12" s="11">
        <f t="shared" si="23"/>
        <v>15.2</v>
      </c>
      <c r="CA12" s="11">
        <f t="shared" si="24"/>
        <v>67.3</v>
      </c>
      <c r="CB12" s="11">
        <f t="shared" si="25"/>
        <v>12.4</v>
      </c>
      <c r="CC12" s="11">
        <f t="shared" si="26"/>
        <v>66.800000000000011</v>
      </c>
      <c r="CD12" s="11">
        <f t="shared" si="27"/>
        <v>134.10000000000002</v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26.299999999999997</v>
      </c>
      <c r="LZ12" s="69">
        <f t="shared" si="91"/>
        <v>8</v>
      </c>
      <c r="MA12" s="69">
        <f t="shared" si="92"/>
        <v>1.05</v>
      </c>
      <c r="MB12" s="69">
        <f t="shared" si="93"/>
        <v>0</v>
      </c>
      <c r="MC12" s="69">
        <f t="shared" si="94"/>
        <v>14.05</v>
      </c>
      <c r="MD12" s="69">
        <f t="shared" si="95"/>
        <v>3.4</v>
      </c>
      <c r="ME12" s="69">
        <f t="shared" si="96"/>
        <v>0</v>
      </c>
      <c r="MF12" s="69">
        <f t="shared" si="97"/>
        <v>0</v>
      </c>
      <c r="MG12" s="69">
        <f t="shared" si="98"/>
        <v>27.75</v>
      </c>
      <c r="MH12" s="69">
        <f t="shared" si="99"/>
        <v>5.8000000000000007</v>
      </c>
      <c r="MI12" s="69">
        <f t="shared" si="100"/>
        <v>0.4</v>
      </c>
      <c r="MJ12" s="69">
        <f t="shared" si="101"/>
        <v>0</v>
      </c>
      <c r="MK12" s="69">
        <f t="shared" si="102"/>
        <v>28.15</v>
      </c>
      <c r="ML12" s="69">
        <f t="shared" si="103"/>
        <v>7.2</v>
      </c>
      <c r="MM12" s="69">
        <f t="shared" si="104"/>
        <v>0.15</v>
      </c>
      <c r="MN12" s="69">
        <f t="shared" si="105"/>
        <v>0</v>
      </c>
      <c r="MO12" s="80" t="s">
        <v>88</v>
      </c>
      <c r="MP12" s="11">
        <f t="shared" si="106"/>
        <v>11.4</v>
      </c>
      <c r="MQ12" s="11">
        <f t="shared" si="107"/>
        <v>50.699999999999996</v>
      </c>
      <c r="MR12" s="11">
        <f t="shared" si="108"/>
        <v>13</v>
      </c>
      <c r="MS12" s="11">
        <f t="shared" si="109"/>
        <v>68.349999999999994</v>
      </c>
      <c r="MT12" s="11">
        <f t="shared" si="110"/>
        <v>119.04999999999998</v>
      </c>
    </row>
    <row r="13" spans="1:358" x14ac:dyDescent="0.2">
      <c r="A13" s="5" t="str">
        <f t="shared" si="0"/>
        <v/>
      </c>
      <c r="B13" s="8" t="s">
        <v>184</v>
      </c>
      <c r="C13" s="4" t="s">
        <v>155</v>
      </c>
      <c r="D13" s="5">
        <v>2000</v>
      </c>
      <c r="E13" s="15">
        <f t="shared" si="1"/>
        <v>201.7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135.89999999999998</v>
      </c>
      <c r="K13" s="14" t="str">
        <f t="shared" si="7"/>
        <v>2019 Nationals</v>
      </c>
      <c r="L13" s="14">
        <f t="shared" si="8"/>
        <v>65.8</v>
      </c>
      <c r="M13" s="14" t="str">
        <f t="shared" si="9"/>
        <v>2021 2nd Virtual Technical Trial</v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>
        <v>28.5</v>
      </c>
      <c r="R13" s="69">
        <v>6.4</v>
      </c>
      <c r="S13" s="69">
        <v>0.9</v>
      </c>
      <c r="T13" s="69">
        <v>0</v>
      </c>
      <c r="U13" s="69">
        <v>28.2</v>
      </c>
      <c r="V13" s="69">
        <v>6.4</v>
      </c>
      <c r="W13" s="69">
        <v>0</v>
      </c>
      <c r="X13" s="69">
        <v>0</v>
      </c>
      <c r="Y13" s="69">
        <v>27.7</v>
      </c>
      <c r="Z13" s="69">
        <v>6</v>
      </c>
      <c r="AA13" s="69">
        <v>0.9</v>
      </c>
      <c r="AB13" s="69">
        <v>0</v>
      </c>
      <c r="AC13" s="69">
        <v>28.5</v>
      </c>
      <c r="AD13" s="69">
        <v>6</v>
      </c>
      <c r="AE13" s="69">
        <v>0</v>
      </c>
      <c r="AF13" s="69">
        <v>0</v>
      </c>
      <c r="AG13" s="80"/>
      <c r="AH13" s="11">
        <f t="shared" si="13"/>
        <v>12.8</v>
      </c>
      <c r="AI13" s="11">
        <f t="shared" si="14"/>
        <v>68.599999999999994</v>
      </c>
      <c r="AJ13" s="11">
        <f t="shared" si="15"/>
        <v>12</v>
      </c>
      <c r="AK13" s="11">
        <f t="shared" si="16"/>
        <v>67.3</v>
      </c>
      <c r="AL13" s="11">
        <f t="shared" si="17"/>
        <v>135.89999999999998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9">
        <v>27</v>
      </c>
      <c r="BJ13" s="69">
        <v>5.6</v>
      </c>
      <c r="BK13" s="69">
        <v>1.9</v>
      </c>
      <c r="BL13" s="69">
        <v>0</v>
      </c>
      <c r="BM13" s="69">
        <v>27.9</v>
      </c>
      <c r="BN13" s="69">
        <v>6</v>
      </c>
      <c r="BO13" s="69">
        <v>0.3</v>
      </c>
      <c r="BP13" s="69">
        <v>0</v>
      </c>
      <c r="BQ13" s="69">
        <v>28.4</v>
      </c>
      <c r="BR13" s="69">
        <v>7.2</v>
      </c>
      <c r="BS13" s="69">
        <v>0.3</v>
      </c>
      <c r="BT13" s="69">
        <v>0</v>
      </c>
      <c r="BU13" s="69">
        <v>24.5</v>
      </c>
      <c r="BV13" s="69">
        <v>7.2</v>
      </c>
      <c r="BW13" s="69">
        <v>1.2</v>
      </c>
      <c r="BX13" s="69">
        <v>0</v>
      </c>
      <c r="BY13" s="80"/>
      <c r="BZ13" s="11">
        <f t="shared" si="23"/>
        <v>11.6</v>
      </c>
      <c r="CA13" s="11">
        <f t="shared" si="24"/>
        <v>64.3</v>
      </c>
      <c r="CB13" s="11">
        <f t="shared" si="25"/>
        <v>14.4</v>
      </c>
      <c r="CC13" s="11">
        <f t="shared" si="26"/>
        <v>65.8</v>
      </c>
      <c r="CD13" s="11">
        <f t="shared" si="27"/>
        <v>130.1</v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13.5</v>
      </c>
      <c r="LZ13" s="69">
        <f t="shared" si="91"/>
        <v>2.8</v>
      </c>
      <c r="MA13" s="69">
        <f t="shared" si="92"/>
        <v>0.95</v>
      </c>
      <c r="MB13" s="69">
        <f t="shared" si="93"/>
        <v>0</v>
      </c>
      <c r="MC13" s="69">
        <f t="shared" si="94"/>
        <v>13.95</v>
      </c>
      <c r="MD13" s="69">
        <f t="shared" si="95"/>
        <v>3</v>
      </c>
      <c r="ME13" s="69">
        <f t="shared" si="96"/>
        <v>0.15</v>
      </c>
      <c r="MF13" s="69">
        <f t="shared" si="97"/>
        <v>0</v>
      </c>
      <c r="MG13" s="69">
        <f t="shared" si="98"/>
        <v>14.2</v>
      </c>
      <c r="MH13" s="69">
        <f t="shared" si="99"/>
        <v>3.6</v>
      </c>
      <c r="MI13" s="69">
        <f t="shared" si="100"/>
        <v>0.15</v>
      </c>
      <c r="MJ13" s="69">
        <f t="shared" si="101"/>
        <v>0</v>
      </c>
      <c r="MK13" s="69">
        <f t="shared" si="102"/>
        <v>12.25</v>
      </c>
      <c r="ML13" s="69">
        <f t="shared" si="103"/>
        <v>3.6</v>
      </c>
      <c r="MM13" s="69">
        <f t="shared" si="104"/>
        <v>0.6</v>
      </c>
      <c r="MN13" s="69">
        <f t="shared" si="105"/>
        <v>0</v>
      </c>
      <c r="MO13" s="80" t="s">
        <v>88</v>
      </c>
      <c r="MP13" s="11">
        <f t="shared" si="106"/>
        <v>5.8</v>
      </c>
      <c r="MQ13" s="11">
        <f t="shared" si="107"/>
        <v>32.15</v>
      </c>
      <c r="MR13" s="11">
        <f t="shared" si="108"/>
        <v>7.2</v>
      </c>
      <c r="MS13" s="11">
        <f t="shared" si="109"/>
        <v>32.9</v>
      </c>
      <c r="MT13" s="11">
        <f t="shared" si="110"/>
        <v>65.05</v>
      </c>
    </row>
    <row r="14" spans="1:358" x14ac:dyDescent="0.2">
      <c r="A14" s="5" t="str">
        <f t="shared" si="0"/>
        <v/>
      </c>
      <c r="B14" s="8" t="s">
        <v>185</v>
      </c>
      <c r="C14" s="4" t="s">
        <v>10</v>
      </c>
      <c r="D14" s="5">
        <v>2000</v>
      </c>
      <c r="E14" s="15">
        <f t="shared" si="1"/>
        <v>196.70000000000005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131.20000000000002</v>
      </c>
      <c r="K14" s="14" t="str">
        <f t="shared" si="7"/>
        <v>2021 1st Virtual Technical Trial</v>
      </c>
      <c r="L14" s="14">
        <f t="shared" si="8"/>
        <v>65.500000000000014</v>
      </c>
      <c r="M14" s="14" t="str">
        <f t="shared" si="9"/>
        <v>2021 2nd Virtual Technical Trial</v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>
        <v>27.9</v>
      </c>
      <c r="R14" s="69">
        <v>4.4000000000000004</v>
      </c>
      <c r="S14" s="69">
        <v>0</v>
      </c>
      <c r="T14" s="69">
        <v>0</v>
      </c>
      <c r="U14" s="69">
        <v>27.3</v>
      </c>
      <c r="V14" s="69">
        <v>5.2</v>
      </c>
      <c r="W14" s="69">
        <v>0</v>
      </c>
      <c r="X14" s="69">
        <v>0</v>
      </c>
      <c r="Y14" s="69">
        <v>28.3</v>
      </c>
      <c r="Z14" s="69">
        <v>3.5</v>
      </c>
      <c r="AA14" s="69">
        <v>0.3</v>
      </c>
      <c r="AB14" s="69">
        <v>0</v>
      </c>
      <c r="AC14" s="69">
        <v>29</v>
      </c>
      <c r="AD14" s="69">
        <v>3.7</v>
      </c>
      <c r="AE14" s="69">
        <v>0.9</v>
      </c>
      <c r="AF14" s="69">
        <v>0</v>
      </c>
      <c r="AG14" s="80"/>
      <c r="AH14" s="11">
        <f t="shared" si="13"/>
        <v>9.6000000000000014</v>
      </c>
      <c r="AI14" s="11">
        <f t="shared" si="14"/>
        <v>64.8</v>
      </c>
      <c r="AJ14" s="11">
        <f t="shared" si="15"/>
        <v>7.2</v>
      </c>
      <c r="AK14" s="11">
        <f t="shared" si="16"/>
        <v>63.3</v>
      </c>
      <c r="AL14" s="11">
        <f t="shared" si="17"/>
        <v>128.1</v>
      </c>
      <c r="AM14" s="38">
        <v>28</v>
      </c>
      <c r="AN14" s="38">
        <v>3</v>
      </c>
      <c r="AO14" s="38">
        <v>0.6</v>
      </c>
      <c r="AP14" s="38">
        <v>0</v>
      </c>
      <c r="AQ14" s="38">
        <v>27.2</v>
      </c>
      <c r="AR14" s="38">
        <v>6.4</v>
      </c>
      <c r="AS14" s="38">
        <v>0.3</v>
      </c>
      <c r="AT14" s="38">
        <v>0</v>
      </c>
      <c r="AU14" s="38">
        <v>28.1</v>
      </c>
      <c r="AV14" s="38">
        <v>6.4</v>
      </c>
      <c r="AW14" s="38">
        <v>0.3</v>
      </c>
      <c r="AX14" s="38">
        <v>0</v>
      </c>
      <c r="AY14" s="38">
        <v>28.1</v>
      </c>
      <c r="AZ14" s="38">
        <v>6.4</v>
      </c>
      <c r="BA14" s="38">
        <v>1.2</v>
      </c>
      <c r="BB14" s="38">
        <v>0</v>
      </c>
      <c r="BC14" s="81"/>
      <c r="BD14" s="14">
        <f t="shared" si="18"/>
        <v>9.4</v>
      </c>
      <c r="BE14" s="14">
        <f t="shared" si="19"/>
        <v>63.70000000000001</v>
      </c>
      <c r="BF14" s="14">
        <f t="shared" si="20"/>
        <v>12.8</v>
      </c>
      <c r="BG14" s="14">
        <f t="shared" si="21"/>
        <v>67.5</v>
      </c>
      <c r="BH14" s="14">
        <f t="shared" si="22"/>
        <v>131.20000000000002</v>
      </c>
      <c r="BI14" s="69">
        <v>25.6</v>
      </c>
      <c r="BJ14" s="69">
        <v>7.6</v>
      </c>
      <c r="BK14" s="69">
        <v>1.5</v>
      </c>
      <c r="BL14" s="69">
        <v>0</v>
      </c>
      <c r="BM14" s="69">
        <v>27.7</v>
      </c>
      <c r="BN14" s="69">
        <v>6.4</v>
      </c>
      <c r="BO14" s="69">
        <v>0.3</v>
      </c>
      <c r="BP14" s="69">
        <v>0</v>
      </c>
      <c r="BQ14" s="69">
        <v>26.8</v>
      </c>
      <c r="BR14" s="69">
        <v>6.4</v>
      </c>
      <c r="BS14" s="69">
        <v>0.3</v>
      </c>
      <c r="BT14" s="69">
        <v>0</v>
      </c>
      <c r="BU14" s="69">
        <v>28</v>
      </c>
      <c r="BV14" s="69">
        <v>2.4</v>
      </c>
      <c r="BW14" s="69">
        <v>3.9</v>
      </c>
      <c r="BX14" s="69">
        <v>0</v>
      </c>
      <c r="BY14" s="80"/>
      <c r="BZ14" s="11">
        <f t="shared" si="23"/>
        <v>14</v>
      </c>
      <c r="CA14" s="11">
        <f t="shared" si="24"/>
        <v>65.500000000000014</v>
      </c>
      <c r="CB14" s="11">
        <f t="shared" si="25"/>
        <v>8.8000000000000007</v>
      </c>
      <c r="CC14" s="11">
        <f t="shared" si="26"/>
        <v>59.4</v>
      </c>
      <c r="CD14" s="11">
        <f t="shared" si="27"/>
        <v>124.9</v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26.8</v>
      </c>
      <c r="LZ14" s="69">
        <f t="shared" si="91"/>
        <v>5.3</v>
      </c>
      <c r="MA14" s="69">
        <f t="shared" si="92"/>
        <v>1.05</v>
      </c>
      <c r="MB14" s="69">
        <f t="shared" si="93"/>
        <v>0</v>
      </c>
      <c r="MC14" s="69">
        <f t="shared" si="94"/>
        <v>27.45</v>
      </c>
      <c r="MD14" s="69">
        <f t="shared" si="95"/>
        <v>6.4</v>
      </c>
      <c r="ME14" s="69">
        <f t="shared" si="96"/>
        <v>0.3</v>
      </c>
      <c r="MF14" s="69">
        <f t="shared" si="97"/>
        <v>0</v>
      </c>
      <c r="MG14" s="69">
        <f t="shared" si="98"/>
        <v>27.450000000000003</v>
      </c>
      <c r="MH14" s="69">
        <f t="shared" si="99"/>
        <v>6.4</v>
      </c>
      <c r="MI14" s="69">
        <f t="shared" si="100"/>
        <v>0.3</v>
      </c>
      <c r="MJ14" s="69">
        <f t="shared" si="101"/>
        <v>0</v>
      </c>
      <c r="MK14" s="69">
        <f t="shared" si="102"/>
        <v>28.05</v>
      </c>
      <c r="ML14" s="69">
        <f t="shared" si="103"/>
        <v>4.4000000000000004</v>
      </c>
      <c r="MM14" s="69">
        <f t="shared" si="104"/>
        <v>2.5499999999999998</v>
      </c>
      <c r="MN14" s="69">
        <f t="shared" si="105"/>
        <v>0</v>
      </c>
      <c r="MO14" s="80" t="s">
        <v>88</v>
      </c>
      <c r="MP14" s="11">
        <f t="shared" si="106"/>
        <v>11.7</v>
      </c>
      <c r="MQ14" s="11">
        <f t="shared" si="107"/>
        <v>64.600000000000009</v>
      </c>
      <c r="MR14" s="11">
        <f t="shared" si="108"/>
        <v>10.8</v>
      </c>
      <c r="MS14" s="11">
        <f t="shared" si="109"/>
        <v>63.45000000000001</v>
      </c>
      <c r="MT14" s="11">
        <f t="shared" si="110"/>
        <v>128.05000000000001</v>
      </c>
    </row>
    <row r="15" spans="1:358" x14ac:dyDescent="0.2">
      <c r="A15" s="5" t="str">
        <f t="shared" si="0"/>
        <v/>
      </c>
      <c r="B15" s="8" t="s">
        <v>186</v>
      </c>
      <c r="C15" s="4" t="s">
        <v>6</v>
      </c>
      <c r="D15" s="5">
        <v>2003</v>
      </c>
      <c r="E15" s="15">
        <f t="shared" si="1"/>
        <v>191.2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123.9</v>
      </c>
      <c r="K15" s="14" t="str">
        <f t="shared" si="7"/>
        <v>2021 2nd Virtual Technical Trial</v>
      </c>
      <c r="L15" s="14">
        <f t="shared" si="8"/>
        <v>67.3</v>
      </c>
      <c r="M15" s="14" t="str">
        <f t="shared" si="9"/>
        <v>2019 Nationals</v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>
        <v>28</v>
      </c>
      <c r="R15" s="69">
        <v>6.4</v>
      </c>
      <c r="S15" s="69">
        <v>0</v>
      </c>
      <c r="T15" s="69">
        <v>0</v>
      </c>
      <c r="U15" s="69">
        <v>27.2</v>
      </c>
      <c r="V15" s="69">
        <v>6</v>
      </c>
      <c r="W15" s="69">
        <v>0.3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24.9</v>
      </c>
      <c r="AD15" s="69">
        <v>6.9</v>
      </c>
      <c r="AE15" s="69">
        <v>0.3</v>
      </c>
      <c r="AF15" s="69">
        <v>0</v>
      </c>
      <c r="AG15" s="80"/>
      <c r="AH15" s="11">
        <f t="shared" si="13"/>
        <v>12.4</v>
      </c>
      <c r="AI15" s="11">
        <f t="shared" si="14"/>
        <v>67.3</v>
      </c>
      <c r="AJ15" s="11">
        <f t="shared" si="15"/>
        <v>6.9</v>
      </c>
      <c r="AK15" s="11">
        <f t="shared" si="16"/>
        <v>31.499999999999996</v>
      </c>
      <c r="AL15" s="11">
        <f t="shared" si="17"/>
        <v>98.8</v>
      </c>
      <c r="AM15" s="38">
        <v>25.4</v>
      </c>
      <c r="AN15" s="38">
        <v>4.4000000000000004</v>
      </c>
      <c r="AO15" s="38">
        <v>0.9</v>
      </c>
      <c r="AP15" s="38">
        <v>0</v>
      </c>
      <c r="AQ15" s="38">
        <v>28.5</v>
      </c>
      <c r="AR15" s="38">
        <v>3.1</v>
      </c>
      <c r="AS15" s="38">
        <v>0.3</v>
      </c>
      <c r="AT15" s="38">
        <v>0</v>
      </c>
      <c r="AU15" s="38">
        <v>0</v>
      </c>
      <c r="AV15" s="38">
        <v>0</v>
      </c>
      <c r="AW15" s="38">
        <v>0</v>
      </c>
      <c r="AX15" s="38">
        <v>0</v>
      </c>
      <c r="AY15" s="38">
        <v>0</v>
      </c>
      <c r="AZ15" s="38">
        <v>0</v>
      </c>
      <c r="BA15" s="38">
        <v>0</v>
      </c>
      <c r="BB15" s="38">
        <v>0</v>
      </c>
      <c r="BC15" s="81"/>
      <c r="BD15" s="14">
        <f t="shared" si="18"/>
        <v>7.5</v>
      </c>
      <c r="BE15" s="14">
        <f t="shared" si="19"/>
        <v>60.199999999999996</v>
      </c>
      <c r="BF15" s="14" t="str">
        <f t="shared" si="20"/>
        <v/>
      </c>
      <c r="BG15" s="14" t="str">
        <f t="shared" si="21"/>
        <v/>
      </c>
      <c r="BH15" s="14">
        <f t="shared" si="22"/>
        <v>60.199999999999996</v>
      </c>
      <c r="BI15" s="69">
        <v>28.2</v>
      </c>
      <c r="BJ15" s="69">
        <v>7.2</v>
      </c>
      <c r="BK15" s="69">
        <v>0.9</v>
      </c>
      <c r="BL15" s="69">
        <v>0</v>
      </c>
      <c r="BM15" s="69">
        <v>20.100000000000001</v>
      </c>
      <c r="BN15" s="69">
        <v>3.2</v>
      </c>
      <c r="BO15" s="69">
        <v>0</v>
      </c>
      <c r="BP15" s="69">
        <v>0</v>
      </c>
      <c r="BQ15" s="69">
        <v>28</v>
      </c>
      <c r="BR15" s="69">
        <v>6.9</v>
      </c>
      <c r="BS15" s="69">
        <v>0</v>
      </c>
      <c r="BT15" s="69">
        <v>0</v>
      </c>
      <c r="BU15" s="69">
        <v>28.6</v>
      </c>
      <c r="BV15" s="69">
        <v>4.3</v>
      </c>
      <c r="BW15" s="69">
        <v>1.7</v>
      </c>
      <c r="BX15" s="69">
        <v>0</v>
      </c>
      <c r="BY15" s="80"/>
      <c r="BZ15" s="11">
        <f t="shared" si="23"/>
        <v>10.4</v>
      </c>
      <c r="CA15" s="11">
        <f t="shared" si="24"/>
        <v>57.800000000000004</v>
      </c>
      <c r="CB15" s="11">
        <f t="shared" si="25"/>
        <v>11.2</v>
      </c>
      <c r="CC15" s="11">
        <f t="shared" si="26"/>
        <v>66.099999999999994</v>
      </c>
      <c r="CD15" s="11">
        <f t="shared" si="27"/>
        <v>123.9</v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26.799999999999997</v>
      </c>
      <c r="LZ15" s="69">
        <f t="shared" si="91"/>
        <v>5.8000000000000007</v>
      </c>
      <c r="MA15" s="69">
        <f t="shared" si="92"/>
        <v>0.9</v>
      </c>
      <c r="MB15" s="69">
        <f t="shared" si="93"/>
        <v>0</v>
      </c>
      <c r="MC15" s="69">
        <f t="shared" si="94"/>
        <v>24.3</v>
      </c>
      <c r="MD15" s="69">
        <f t="shared" si="95"/>
        <v>3.1500000000000004</v>
      </c>
      <c r="ME15" s="69">
        <f t="shared" si="96"/>
        <v>0.15</v>
      </c>
      <c r="MF15" s="69">
        <f t="shared" si="97"/>
        <v>0</v>
      </c>
      <c r="MG15" s="69">
        <f t="shared" si="98"/>
        <v>14</v>
      </c>
      <c r="MH15" s="69">
        <f t="shared" si="99"/>
        <v>3.45</v>
      </c>
      <c r="MI15" s="69">
        <f t="shared" si="100"/>
        <v>0</v>
      </c>
      <c r="MJ15" s="69">
        <f t="shared" si="101"/>
        <v>0</v>
      </c>
      <c r="MK15" s="69">
        <f t="shared" si="102"/>
        <v>14.3</v>
      </c>
      <c r="ML15" s="69">
        <f t="shared" si="103"/>
        <v>2.15</v>
      </c>
      <c r="MM15" s="69">
        <f t="shared" si="104"/>
        <v>0.85</v>
      </c>
      <c r="MN15" s="69">
        <f t="shared" si="105"/>
        <v>0</v>
      </c>
      <c r="MO15" s="80" t="s">
        <v>88</v>
      </c>
      <c r="MP15" s="11">
        <f t="shared" si="106"/>
        <v>8.9500000000000011</v>
      </c>
      <c r="MQ15" s="11">
        <f t="shared" si="107"/>
        <v>58.999999999999993</v>
      </c>
      <c r="MR15" s="11">
        <f t="shared" si="108"/>
        <v>5.6</v>
      </c>
      <c r="MS15" s="11">
        <f t="shared" si="109"/>
        <v>33.049999999999997</v>
      </c>
      <c r="MT15" s="11">
        <f t="shared" si="110"/>
        <v>92.049999999999983</v>
      </c>
    </row>
    <row r="16" spans="1:358" x14ac:dyDescent="0.2">
      <c r="A16" s="5" t="str">
        <f t="shared" si="0"/>
        <v/>
      </c>
      <c r="B16" s="8" t="s">
        <v>83</v>
      </c>
      <c r="C16" s="4" t="s">
        <v>5</v>
      </c>
      <c r="D16" s="5">
        <v>1999</v>
      </c>
      <c r="E16" s="15">
        <f t="shared" si="1"/>
        <v>182.7</v>
      </c>
      <c r="F16" s="3" t="str">
        <f t="shared" si="2"/>
        <v/>
      </c>
      <c r="G16" s="3" t="str">
        <f t="shared" si="3"/>
        <v/>
      </c>
      <c r="H16" s="126" t="str">
        <f t="shared" si="4"/>
        <v/>
      </c>
      <c r="I16" s="3" t="str">
        <f t="shared" si="5"/>
        <v/>
      </c>
      <c r="J16" s="14">
        <f t="shared" si="6"/>
        <v>128</v>
      </c>
      <c r="K16" s="14" t="str">
        <f t="shared" si="7"/>
        <v>2019 Nationals</v>
      </c>
      <c r="L16" s="14">
        <f t="shared" si="8"/>
        <v>54.699999999999996</v>
      </c>
      <c r="M16" s="14" t="str">
        <f t="shared" si="9"/>
        <v>2021 1st Virtual Technical Trial</v>
      </c>
      <c r="N16" s="14" t="str">
        <f t="shared" si="10"/>
        <v/>
      </c>
      <c r="O16" s="25" t="str">
        <f t="shared" si="11"/>
        <v/>
      </c>
      <c r="P16" s="14" t="str">
        <f t="shared" si="12"/>
        <v/>
      </c>
      <c r="Q16" s="69">
        <v>28.2</v>
      </c>
      <c r="R16" s="69">
        <v>8</v>
      </c>
      <c r="S16" s="69">
        <v>1.2</v>
      </c>
      <c r="T16" s="69">
        <v>0</v>
      </c>
      <c r="U16" s="69">
        <v>20.399999999999999</v>
      </c>
      <c r="V16" s="69">
        <v>2.8</v>
      </c>
      <c r="W16" s="69">
        <v>0</v>
      </c>
      <c r="X16" s="69">
        <v>0</v>
      </c>
      <c r="Y16" s="69">
        <v>28.2</v>
      </c>
      <c r="Z16" s="69">
        <v>6.8</v>
      </c>
      <c r="AA16" s="69">
        <v>0.3</v>
      </c>
      <c r="AB16" s="69">
        <v>0</v>
      </c>
      <c r="AC16" s="69">
        <v>28.4</v>
      </c>
      <c r="AD16" s="69">
        <v>7.6</v>
      </c>
      <c r="AE16" s="69">
        <v>0.9</v>
      </c>
      <c r="AF16" s="69">
        <v>0</v>
      </c>
      <c r="AG16" s="80"/>
      <c r="AH16" s="11">
        <f t="shared" si="13"/>
        <v>10.8</v>
      </c>
      <c r="AI16" s="11">
        <f t="shared" si="14"/>
        <v>58.199999999999996</v>
      </c>
      <c r="AJ16" s="11">
        <f t="shared" si="15"/>
        <v>14.399999999999999</v>
      </c>
      <c r="AK16" s="11">
        <f t="shared" si="16"/>
        <v>69.8</v>
      </c>
      <c r="AL16" s="11">
        <f t="shared" si="17"/>
        <v>128</v>
      </c>
      <c r="AM16" s="38">
        <v>20.399999999999999</v>
      </c>
      <c r="AN16" s="38">
        <v>2.8</v>
      </c>
      <c r="AO16" s="38">
        <v>0.2</v>
      </c>
      <c r="AP16" s="38">
        <v>0</v>
      </c>
      <c r="AQ16" s="38">
        <v>27.6</v>
      </c>
      <c r="AR16" s="38">
        <v>5.6</v>
      </c>
      <c r="AS16" s="38">
        <v>1.5</v>
      </c>
      <c r="AT16" s="38">
        <v>0</v>
      </c>
      <c r="AU16" s="38">
        <v>0</v>
      </c>
      <c r="AV16" s="38">
        <v>0</v>
      </c>
      <c r="AW16" s="38">
        <v>0</v>
      </c>
      <c r="AX16" s="38">
        <v>0</v>
      </c>
      <c r="AY16" s="38">
        <v>0</v>
      </c>
      <c r="AZ16" s="38">
        <v>0</v>
      </c>
      <c r="BA16" s="38">
        <v>0</v>
      </c>
      <c r="BB16" s="38">
        <v>0</v>
      </c>
      <c r="BC16" s="81"/>
      <c r="BD16" s="14">
        <f t="shared" si="18"/>
        <v>8.3999999999999986</v>
      </c>
      <c r="BE16" s="14">
        <f t="shared" si="19"/>
        <v>54.699999999999996</v>
      </c>
      <c r="BF16" s="14" t="str">
        <f t="shared" si="20"/>
        <v/>
      </c>
      <c r="BG16" s="14" t="str">
        <f t="shared" si="21"/>
        <v/>
      </c>
      <c r="BH16" s="14">
        <f t="shared" si="22"/>
        <v>54.699999999999996</v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4" t="str">
        <f t="shared" si="28"/>
        <v/>
      </c>
      <c r="CF16" s="24" t="str">
        <f t="shared" si="29"/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9">
        <f t="shared" si="90"/>
        <v>10.199999999999999</v>
      </c>
      <c r="LZ16" s="69">
        <f t="shared" si="91"/>
        <v>1.4</v>
      </c>
      <c r="MA16" s="69">
        <f t="shared" si="92"/>
        <v>0.1</v>
      </c>
      <c r="MB16" s="69">
        <f t="shared" si="93"/>
        <v>0</v>
      </c>
      <c r="MC16" s="69">
        <f t="shared" si="94"/>
        <v>13.8</v>
      </c>
      <c r="MD16" s="69">
        <f t="shared" si="95"/>
        <v>2.8</v>
      </c>
      <c r="ME16" s="69">
        <f t="shared" si="96"/>
        <v>0.75</v>
      </c>
      <c r="MF16" s="69">
        <f t="shared" si="97"/>
        <v>0</v>
      </c>
      <c r="MG16" s="69">
        <f t="shared" si="98"/>
        <v>0</v>
      </c>
      <c r="MH16" s="69">
        <f t="shared" si="99"/>
        <v>0</v>
      </c>
      <c r="MI16" s="69">
        <f t="shared" si="100"/>
        <v>0</v>
      </c>
      <c r="MJ16" s="69">
        <f t="shared" si="101"/>
        <v>0</v>
      </c>
      <c r="MK16" s="69">
        <f t="shared" si="102"/>
        <v>0</v>
      </c>
      <c r="ML16" s="69">
        <f t="shared" si="103"/>
        <v>0</v>
      </c>
      <c r="MM16" s="69">
        <f t="shared" si="104"/>
        <v>0</v>
      </c>
      <c r="MN16" s="69">
        <f t="shared" si="105"/>
        <v>0</v>
      </c>
      <c r="MO16" s="80" t="s">
        <v>88</v>
      </c>
      <c r="MP16" s="11">
        <f t="shared" si="106"/>
        <v>4.1999999999999993</v>
      </c>
      <c r="MQ16" s="11">
        <f t="shared" si="107"/>
        <v>27.349999999999998</v>
      </c>
      <c r="MR16" s="11" t="str">
        <f t="shared" si="108"/>
        <v/>
      </c>
      <c r="MS16" s="11" t="str">
        <f t="shared" si="109"/>
        <v/>
      </c>
      <c r="MT16" s="11">
        <f t="shared" si="110"/>
        <v>27.349999999999998</v>
      </c>
    </row>
    <row r="17" spans="1:358" x14ac:dyDescent="0.2">
      <c r="A17" s="5">
        <f t="shared" si="0"/>
        <v>9</v>
      </c>
      <c r="B17" s="8" t="s">
        <v>119</v>
      </c>
      <c r="C17" s="4" t="s">
        <v>3</v>
      </c>
      <c r="D17" s="5">
        <v>2000</v>
      </c>
      <c r="E17" s="15">
        <f t="shared" si="1"/>
        <v>138.4</v>
      </c>
      <c r="F17" s="3" t="str">
        <f t="shared" si="2"/>
        <v/>
      </c>
      <c r="G17" s="3" t="str">
        <f t="shared" si="3"/>
        <v>P</v>
      </c>
      <c r="H17" s="126" t="str">
        <f t="shared" si="4"/>
        <v>No DD</v>
      </c>
      <c r="I17" s="3" t="str">
        <f t="shared" si="5"/>
        <v/>
      </c>
      <c r="J17" s="14">
        <f t="shared" si="6"/>
        <v>138.4</v>
      </c>
      <c r="K17" s="14" t="str">
        <f t="shared" si="7"/>
        <v>2019 Nationals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5" t="str">
        <f t="shared" si="11"/>
        <v/>
      </c>
      <c r="P17" s="14" t="str">
        <f t="shared" si="12"/>
        <v/>
      </c>
      <c r="Q17" s="69">
        <v>28</v>
      </c>
      <c r="R17" s="69">
        <v>7.2</v>
      </c>
      <c r="S17" s="69">
        <v>0.3</v>
      </c>
      <c r="T17" s="69">
        <v>0</v>
      </c>
      <c r="U17" s="69">
        <v>28.1</v>
      </c>
      <c r="V17" s="69">
        <v>7.2</v>
      </c>
      <c r="W17" s="69">
        <v>0.3</v>
      </c>
      <c r="X17" s="69">
        <v>0</v>
      </c>
      <c r="Y17" s="69">
        <v>28.2</v>
      </c>
      <c r="Z17" s="69">
        <v>7.6</v>
      </c>
      <c r="AA17" s="69">
        <v>1.2</v>
      </c>
      <c r="AB17" s="69">
        <v>0</v>
      </c>
      <c r="AC17" s="69">
        <v>27.4</v>
      </c>
      <c r="AD17" s="69">
        <v>6.8</v>
      </c>
      <c r="AE17" s="69">
        <v>0.3</v>
      </c>
      <c r="AF17" s="69">
        <v>0</v>
      </c>
      <c r="AG17" s="80"/>
      <c r="AH17" s="11">
        <f t="shared" si="13"/>
        <v>14.4</v>
      </c>
      <c r="AI17" s="11">
        <f t="shared" si="14"/>
        <v>69.900000000000006</v>
      </c>
      <c r="AJ17" s="11">
        <f t="shared" si="15"/>
        <v>14.399999999999999</v>
      </c>
      <c r="AK17" s="11">
        <f t="shared" si="16"/>
        <v>68.5</v>
      </c>
      <c r="AL17" s="11">
        <f t="shared" si="17"/>
        <v>138.4</v>
      </c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81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80"/>
      <c r="BZ17" s="11" t="str">
        <f t="shared" si="23"/>
        <v/>
      </c>
      <c r="CA17" s="11" t="str">
        <f t="shared" si="24"/>
        <v/>
      </c>
      <c r="CB17" s="11" t="str">
        <f t="shared" si="25"/>
        <v/>
      </c>
      <c r="CC17" s="11" t="str">
        <f t="shared" si="26"/>
        <v/>
      </c>
      <c r="CD17" s="11" t="str">
        <f t="shared" si="27"/>
        <v/>
      </c>
      <c r="CE17" s="24" t="str">
        <f t="shared" si="28"/>
        <v/>
      </c>
      <c r="CF17" s="24" t="str">
        <f t="shared" si="29"/>
        <v/>
      </c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9">
        <f t="shared" si="90"/>
        <v>0</v>
      </c>
      <c r="LZ17" s="69">
        <f t="shared" si="91"/>
        <v>0</v>
      </c>
      <c r="MA17" s="69">
        <f t="shared" si="92"/>
        <v>0</v>
      </c>
      <c r="MB17" s="69">
        <f t="shared" si="93"/>
        <v>0</v>
      </c>
      <c r="MC17" s="69">
        <f t="shared" si="94"/>
        <v>0</v>
      </c>
      <c r="MD17" s="69">
        <f t="shared" si="95"/>
        <v>0</v>
      </c>
      <c r="ME17" s="69">
        <f t="shared" si="96"/>
        <v>0</v>
      </c>
      <c r="MF17" s="69">
        <f t="shared" si="97"/>
        <v>0</v>
      </c>
      <c r="MG17" s="69">
        <f t="shared" si="98"/>
        <v>0</v>
      </c>
      <c r="MH17" s="69">
        <f t="shared" si="99"/>
        <v>0</v>
      </c>
      <c r="MI17" s="69">
        <f t="shared" si="100"/>
        <v>0</v>
      </c>
      <c r="MJ17" s="69">
        <f t="shared" si="101"/>
        <v>0</v>
      </c>
      <c r="MK17" s="69">
        <f t="shared" si="102"/>
        <v>0</v>
      </c>
      <c r="ML17" s="69">
        <f t="shared" si="103"/>
        <v>0</v>
      </c>
      <c r="MM17" s="69">
        <f t="shared" si="104"/>
        <v>0</v>
      </c>
      <c r="MN17" s="69">
        <f t="shared" si="105"/>
        <v>0</v>
      </c>
      <c r="MO17" s="80" t="s">
        <v>88</v>
      </c>
      <c r="MP17" s="11" t="str">
        <f t="shared" si="106"/>
        <v/>
      </c>
      <c r="MQ17" s="11" t="str">
        <f t="shared" si="107"/>
        <v/>
      </c>
      <c r="MR17" s="11" t="str">
        <f t="shared" si="108"/>
        <v/>
      </c>
      <c r="MS17" s="11" t="str">
        <f t="shared" si="109"/>
        <v/>
      </c>
      <c r="MT17" s="11" t="str">
        <f t="shared" si="110"/>
        <v/>
      </c>
    </row>
    <row r="18" spans="1:358" x14ac:dyDescent="0.2">
      <c r="A18" s="5">
        <f t="shared" si="0"/>
        <v>10</v>
      </c>
      <c r="B18" s="8" t="s">
        <v>81</v>
      </c>
      <c r="C18" s="4" t="s">
        <v>5</v>
      </c>
      <c r="D18" s="5">
        <v>1999</v>
      </c>
      <c r="E18" s="15">
        <f t="shared" si="1"/>
        <v>128.30000000000001</v>
      </c>
      <c r="F18" s="3" t="str">
        <f t="shared" si="2"/>
        <v/>
      </c>
      <c r="G18" s="3" t="str">
        <f t="shared" si="3"/>
        <v>P</v>
      </c>
      <c r="H18" s="126" t="str">
        <f t="shared" si="4"/>
        <v>No DD</v>
      </c>
      <c r="I18" s="3" t="str">
        <f t="shared" si="5"/>
        <v/>
      </c>
      <c r="J18" s="14">
        <f t="shared" si="6"/>
        <v>128.30000000000001</v>
      </c>
      <c r="K18" s="14" t="str">
        <f t="shared" si="7"/>
        <v>2019 Nationals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5" t="str">
        <f t="shared" si="11"/>
        <v/>
      </c>
      <c r="P18" s="14" t="str">
        <f t="shared" si="12"/>
        <v/>
      </c>
      <c r="Q18" s="69">
        <v>28.2</v>
      </c>
      <c r="R18" s="69">
        <v>7.2</v>
      </c>
      <c r="S18" s="69">
        <v>0.3</v>
      </c>
      <c r="T18" s="69">
        <v>0</v>
      </c>
      <c r="U18" s="69">
        <v>28.1</v>
      </c>
      <c r="V18" s="69">
        <v>7.6</v>
      </c>
      <c r="W18" s="69">
        <v>0</v>
      </c>
      <c r="X18" s="69">
        <v>0</v>
      </c>
      <c r="Y18" s="69">
        <v>20.3</v>
      </c>
      <c r="Z18" s="69">
        <v>2.8</v>
      </c>
      <c r="AA18" s="69">
        <v>0</v>
      </c>
      <c r="AB18" s="69">
        <v>0</v>
      </c>
      <c r="AC18" s="69">
        <v>28.4</v>
      </c>
      <c r="AD18" s="69">
        <v>6</v>
      </c>
      <c r="AE18" s="69"/>
      <c r="AF18" s="69"/>
      <c r="AG18" s="80"/>
      <c r="AH18" s="11">
        <f t="shared" si="13"/>
        <v>14.8</v>
      </c>
      <c r="AI18" s="11">
        <f t="shared" si="14"/>
        <v>70.8</v>
      </c>
      <c r="AJ18" s="11">
        <f t="shared" si="15"/>
        <v>8.8000000000000007</v>
      </c>
      <c r="AK18" s="11">
        <f t="shared" si="16"/>
        <v>57.5</v>
      </c>
      <c r="AL18" s="11">
        <f t="shared" si="17"/>
        <v>128.30000000000001</v>
      </c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81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80"/>
      <c r="BZ18" s="11" t="str">
        <f t="shared" si="23"/>
        <v/>
      </c>
      <c r="CA18" s="11" t="str">
        <f t="shared" si="24"/>
        <v/>
      </c>
      <c r="CB18" s="11" t="str">
        <f t="shared" si="25"/>
        <v/>
      </c>
      <c r="CC18" s="11" t="str">
        <f t="shared" si="26"/>
        <v/>
      </c>
      <c r="CD18" s="11" t="str">
        <f t="shared" si="27"/>
        <v/>
      </c>
      <c r="CE18" s="24" t="str">
        <f t="shared" si="28"/>
        <v/>
      </c>
      <c r="CF18" s="24" t="str">
        <f t="shared" si="29"/>
        <v/>
      </c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4"/>
      <c r="DX18" s="44"/>
      <c r="DY18" s="44"/>
      <c r="DZ18" s="44"/>
      <c r="EA18" s="44"/>
      <c r="EB18" s="44"/>
      <c r="EC18" s="44"/>
      <c r="ED18" s="44"/>
      <c r="EE18" s="44"/>
      <c r="EF18" s="44"/>
      <c r="EG18" s="44"/>
      <c r="EH18" s="44"/>
      <c r="EI18" s="44"/>
      <c r="EJ18" s="44"/>
      <c r="EK18" s="44"/>
      <c r="EL18" s="44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4"/>
      <c r="FN18" s="44"/>
      <c r="FO18" s="44"/>
      <c r="FP18" s="44"/>
      <c r="FQ18" s="44"/>
      <c r="FR18" s="44"/>
      <c r="FS18" s="44"/>
      <c r="FT18" s="44"/>
      <c r="FU18" s="44"/>
      <c r="FV18" s="44"/>
      <c r="FW18" s="44"/>
      <c r="FX18" s="44"/>
      <c r="FY18" s="44"/>
      <c r="FZ18" s="44"/>
      <c r="GA18" s="44"/>
      <c r="GB18" s="44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4"/>
      <c r="HD18" s="44"/>
      <c r="HE18" s="44"/>
      <c r="HF18" s="44"/>
      <c r="HG18" s="44"/>
      <c r="HH18" s="44"/>
      <c r="HI18" s="44"/>
      <c r="HJ18" s="44"/>
      <c r="HK18" s="44"/>
      <c r="HL18" s="44"/>
      <c r="HM18" s="44"/>
      <c r="HN18" s="44"/>
      <c r="HO18" s="44"/>
      <c r="HP18" s="44"/>
      <c r="HQ18" s="44"/>
      <c r="HR18" s="44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4"/>
      <c r="IT18" s="44"/>
      <c r="IU18" s="44"/>
      <c r="IV18" s="44"/>
      <c r="IW18" s="44"/>
      <c r="IX18" s="44"/>
      <c r="IY18" s="44"/>
      <c r="IZ18" s="44"/>
      <c r="JA18" s="44"/>
      <c r="JB18" s="44"/>
      <c r="JC18" s="44"/>
      <c r="JD18" s="44"/>
      <c r="JE18" s="44"/>
      <c r="JF18" s="44"/>
      <c r="JG18" s="44"/>
      <c r="JH18" s="44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4"/>
      <c r="KJ18" s="44"/>
      <c r="KK18" s="44"/>
      <c r="KL18" s="44"/>
      <c r="KM18" s="44"/>
      <c r="KN18" s="44"/>
      <c r="KO18" s="44"/>
      <c r="KP18" s="44"/>
      <c r="KQ18" s="44"/>
      <c r="KR18" s="44"/>
      <c r="KS18" s="44"/>
      <c r="KT18" s="44"/>
      <c r="KU18" s="44"/>
      <c r="KV18" s="44"/>
      <c r="KW18" s="44"/>
      <c r="KX18" s="44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9">
        <f t="shared" si="90"/>
        <v>0</v>
      </c>
      <c r="LZ18" s="69">
        <f t="shared" si="91"/>
        <v>0</v>
      </c>
      <c r="MA18" s="69">
        <f t="shared" si="92"/>
        <v>0</v>
      </c>
      <c r="MB18" s="69">
        <f t="shared" si="93"/>
        <v>0</v>
      </c>
      <c r="MC18" s="69">
        <f t="shared" si="94"/>
        <v>0</v>
      </c>
      <c r="MD18" s="69">
        <f t="shared" si="95"/>
        <v>0</v>
      </c>
      <c r="ME18" s="69">
        <f t="shared" si="96"/>
        <v>0</v>
      </c>
      <c r="MF18" s="69">
        <f t="shared" si="97"/>
        <v>0</v>
      </c>
      <c r="MG18" s="69">
        <f t="shared" si="98"/>
        <v>0</v>
      </c>
      <c r="MH18" s="69">
        <f t="shared" si="99"/>
        <v>0</v>
      </c>
      <c r="MI18" s="69">
        <f t="shared" si="100"/>
        <v>0</v>
      </c>
      <c r="MJ18" s="69">
        <f t="shared" si="101"/>
        <v>0</v>
      </c>
      <c r="MK18" s="69">
        <f t="shared" si="102"/>
        <v>0</v>
      </c>
      <c r="ML18" s="69">
        <f t="shared" si="103"/>
        <v>0</v>
      </c>
      <c r="MM18" s="69">
        <f t="shared" si="104"/>
        <v>0</v>
      </c>
      <c r="MN18" s="69">
        <f t="shared" si="105"/>
        <v>0</v>
      </c>
      <c r="MO18" s="80" t="s">
        <v>88</v>
      </c>
      <c r="MP18" s="11" t="str">
        <f t="shared" si="106"/>
        <v/>
      </c>
      <c r="MQ18" s="11" t="str">
        <f t="shared" si="107"/>
        <v/>
      </c>
      <c r="MR18" s="11" t="str">
        <f t="shared" si="108"/>
        <v/>
      </c>
      <c r="MS18" s="11" t="str">
        <f t="shared" si="109"/>
        <v/>
      </c>
      <c r="MT18" s="11" t="str">
        <f t="shared" si="110"/>
        <v/>
      </c>
    </row>
    <row r="19" spans="1:358" x14ac:dyDescent="0.2">
      <c r="A19" s="5" t="str">
        <f t="shared" si="0"/>
        <v/>
      </c>
      <c r="B19" s="8" t="s">
        <v>50</v>
      </c>
      <c r="C19" s="4" t="s">
        <v>5</v>
      </c>
      <c r="D19" s="5">
        <v>1998</v>
      </c>
      <c r="E19" s="15">
        <f t="shared" si="1"/>
        <v>124.10000000000001</v>
      </c>
      <c r="F19" s="3" t="str">
        <f t="shared" si="2"/>
        <v/>
      </c>
      <c r="G19" s="3" t="str">
        <f t="shared" si="3"/>
        <v/>
      </c>
      <c r="H19" s="126" t="str">
        <f t="shared" si="4"/>
        <v/>
      </c>
      <c r="I19" s="3" t="str">
        <f t="shared" si="5"/>
        <v/>
      </c>
      <c r="J19" s="14">
        <f t="shared" si="6"/>
        <v>124.10000000000001</v>
      </c>
      <c r="K19" s="14" t="str">
        <f t="shared" si="7"/>
        <v>2019 Nationals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5" t="str">
        <f t="shared" si="11"/>
        <v/>
      </c>
      <c r="P19" s="14" t="str">
        <f t="shared" si="12"/>
        <v/>
      </c>
      <c r="Q19" s="69">
        <v>27.65</v>
      </c>
      <c r="R19" s="69">
        <v>8.4</v>
      </c>
      <c r="S19" s="69">
        <v>0.3</v>
      </c>
      <c r="T19" s="69">
        <v>0</v>
      </c>
      <c r="U19" s="69">
        <v>27.1</v>
      </c>
      <c r="V19" s="69">
        <v>8.1</v>
      </c>
      <c r="W19" s="69">
        <v>0.3</v>
      </c>
      <c r="X19" s="69">
        <v>0</v>
      </c>
      <c r="Y19" s="69">
        <v>14.25</v>
      </c>
      <c r="Z19" s="69">
        <v>3.4</v>
      </c>
      <c r="AA19" s="69">
        <v>0.15</v>
      </c>
      <c r="AB19" s="69">
        <v>0</v>
      </c>
      <c r="AC19" s="69">
        <v>28.5</v>
      </c>
      <c r="AD19" s="69">
        <v>7.6</v>
      </c>
      <c r="AE19" s="69">
        <v>0.15</v>
      </c>
      <c r="AF19" s="69">
        <v>0</v>
      </c>
      <c r="AG19" s="80" t="s">
        <v>88</v>
      </c>
      <c r="AH19" s="11">
        <f t="shared" si="13"/>
        <v>16.5</v>
      </c>
      <c r="AI19" s="11">
        <f t="shared" si="14"/>
        <v>70.650000000000006</v>
      </c>
      <c r="AJ19" s="11">
        <f t="shared" si="15"/>
        <v>11</v>
      </c>
      <c r="AK19" s="11">
        <f t="shared" si="16"/>
        <v>53.45</v>
      </c>
      <c r="AL19" s="11">
        <f t="shared" si="17"/>
        <v>124.10000000000001</v>
      </c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81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80"/>
      <c r="BZ19" s="11" t="str">
        <f t="shared" si="23"/>
        <v/>
      </c>
      <c r="CA19" s="11" t="str">
        <f t="shared" si="24"/>
        <v/>
      </c>
      <c r="CB19" s="11" t="str">
        <f t="shared" si="25"/>
        <v/>
      </c>
      <c r="CC19" s="11" t="str">
        <f t="shared" si="26"/>
        <v/>
      </c>
      <c r="CD19" s="11" t="str">
        <f t="shared" si="27"/>
        <v/>
      </c>
      <c r="CE19" s="24" t="str">
        <f t="shared" si="28"/>
        <v/>
      </c>
      <c r="CF19" s="24" t="str">
        <f t="shared" si="29"/>
        <v/>
      </c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4"/>
      <c r="DX19" s="44"/>
      <c r="DY19" s="44"/>
      <c r="DZ19" s="44"/>
      <c r="EA19" s="44"/>
      <c r="EB19" s="44"/>
      <c r="EC19" s="44"/>
      <c r="ED19" s="44"/>
      <c r="EE19" s="44"/>
      <c r="EF19" s="44"/>
      <c r="EG19" s="44"/>
      <c r="EH19" s="44"/>
      <c r="EI19" s="44"/>
      <c r="EJ19" s="44"/>
      <c r="EK19" s="44"/>
      <c r="EL19" s="44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4"/>
      <c r="FN19" s="44"/>
      <c r="FO19" s="44"/>
      <c r="FP19" s="44"/>
      <c r="FQ19" s="44"/>
      <c r="FR19" s="44"/>
      <c r="FS19" s="44"/>
      <c r="FT19" s="44"/>
      <c r="FU19" s="44"/>
      <c r="FV19" s="44"/>
      <c r="FW19" s="44"/>
      <c r="FX19" s="44"/>
      <c r="FY19" s="44"/>
      <c r="FZ19" s="44"/>
      <c r="GA19" s="44"/>
      <c r="GB19" s="44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4"/>
      <c r="HD19" s="44"/>
      <c r="HE19" s="44"/>
      <c r="HF19" s="44"/>
      <c r="HG19" s="44"/>
      <c r="HH19" s="44"/>
      <c r="HI19" s="44"/>
      <c r="HJ19" s="44"/>
      <c r="HK19" s="44"/>
      <c r="HL19" s="44"/>
      <c r="HM19" s="44"/>
      <c r="HN19" s="44"/>
      <c r="HO19" s="44"/>
      <c r="HP19" s="44"/>
      <c r="HQ19" s="44"/>
      <c r="HR19" s="44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4"/>
      <c r="IT19" s="44"/>
      <c r="IU19" s="44"/>
      <c r="IV19" s="44"/>
      <c r="IW19" s="44"/>
      <c r="IX19" s="44"/>
      <c r="IY19" s="44"/>
      <c r="IZ19" s="44"/>
      <c r="JA19" s="44"/>
      <c r="JB19" s="44"/>
      <c r="JC19" s="44"/>
      <c r="JD19" s="44"/>
      <c r="JE19" s="44"/>
      <c r="JF19" s="44"/>
      <c r="JG19" s="44"/>
      <c r="JH19" s="44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4"/>
      <c r="KJ19" s="44"/>
      <c r="KK19" s="44"/>
      <c r="KL19" s="44"/>
      <c r="KM19" s="44"/>
      <c r="KN19" s="44"/>
      <c r="KO19" s="44"/>
      <c r="KP19" s="44"/>
      <c r="KQ19" s="44"/>
      <c r="KR19" s="44"/>
      <c r="KS19" s="44"/>
      <c r="KT19" s="44"/>
      <c r="KU19" s="44"/>
      <c r="KV19" s="44"/>
      <c r="KW19" s="44"/>
      <c r="KX19" s="44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9">
        <f t="shared" si="90"/>
        <v>0</v>
      </c>
      <c r="LZ19" s="69">
        <f t="shared" si="91"/>
        <v>0</v>
      </c>
      <c r="MA19" s="69">
        <f t="shared" si="92"/>
        <v>0</v>
      </c>
      <c r="MB19" s="69">
        <f t="shared" si="93"/>
        <v>0</v>
      </c>
      <c r="MC19" s="69">
        <f t="shared" si="94"/>
        <v>0</v>
      </c>
      <c r="MD19" s="69">
        <f t="shared" si="95"/>
        <v>0</v>
      </c>
      <c r="ME19" s="69">
        <f t="shared" si="96"/>
        <v>0</v>
      </c>
      <c r="MF19" s="69">
        <f t="shared" si="97"/>
        <v>0</v>
      </c>
      <c r="MG19" s="69">
        <f t="shared" si="98"/>
        <v>0</v>
      </c>
      <c r="MH19" s="69">
        <f t="shared" si="99"/>
        <v>0</v>
      </c>
      <c r="MI19" s="69">
        <f t="shared" si="100"/>
        <v>0</v>
      </c>
      <c r="MJ19" s="69">
        <f t="shared" si="101"/>
        <v>0</v>
      </c>
      <c r="MK19" s="69">
        <f t="shared" si="102"/>
        <v>0</v>
      </c>
      <c r="ML19" s="69">
        <f t="shared" si="103"/>
        <v>0</v>
      </c>
      <c r="MM19" s="69">
        <f t="shared" si="104"/>
        <v>0</v>
      </c>
      <c r="MN19" s="69">
        <f t="shared" si="105"/>
        <v>0</v>
      </c>
      <c r="MO19" s="80" t="s">
        <v>88</v>
      </c>
      <c r="MP19" s="11" t="str">
        <f t="shared" si="106"/>
        <v/>
      </c>
      <c r="MQ19" s="11" t="str">
        <f t="shared" si="107"/>
        <v/>
      </c>
      <c r="MR19" s="11" t="str">
        <f t="shared" si="108"/>
        <v/>
      </c>
      <c r="MS19" s="11" t="str">
        <f t="shared" si="109"/>
        <v/>
      </c>
      <c r="MT19" s="11" t="str">
        <f t="shared" si="110"/>
        <v/>
      </c>
    </row>
    <row r="20" spans="1:358" x14ac:dyDescent="0.2">
      <c r="A20" s="5" t="str">
        <f t="shared" si="0"/>
        <v/>
      </c>
      <c r="B20" s="8" t="s">
        <v>96</v>
      </c>
      <c r="C20" s="4" t="s">
        <v>6</v>
      </c>
      <c r="D20" s="5">
        <v>2001</v>
      </c>
      <c r="E20" s="15">
        <f t="shared" si="1"/>
        <v>121.30000000000001</v>
      </c>
      <c r="F20" s="3" t="str">
        <f t="shared" si="2"/>
        <v/>
      </c>
      <c r="G20" s="3" t="str">
        <f t="shared" si="3"/>
        <v/>
      </c>
      <c r="H20" s="126" t="str">
        <f t="shared" si="4"/>
        <v/>
      </c>
      <c r="I20" s="3" t="str">
        <f t="shared" si="5"/>
        <v/>
      </c>
      <c r="J20" s="14">
        <f t="shared" si="6"/>
        <v>121.30000000000001</v>
      </c>
      <c r="K20" s="14" t="str">
        <f t="shared" si="7"/>
        <v>2019 Nationals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5" t="str">
        <f t="shared" si="11"/>
        <v/>
      </c>
      <c r="P20" s="14" t="str">
        <f t="shared" si="12"/>
        <v/>
      </c>
      <c r="Q20" s="69">
        <v>25.2</v>
      </c>
      <c r="R20" s="69">
        <v>8</v>
      </c>
      <c r="S20" s="69">
        <v>0.9</v>
      </c>
      <c r="T20" s="69">
        <v>0</v>
      </c>
      <c r="U20" s="69">
        <v>27.8</v>
      </c>
      <c r="V20" s="69">
        <v>8.4</v>
      </c>
      <c r="W20" s="69">
        <v>1.2</v>
      </c>
      <c r="X20" s="69">
        <v>0</v>
      </c>
      <c r="Y20" s="69">
        <v>20.6</v>
      </c>
      <c r="Z20" s="69">
        <v>2.4</v>
      </c>
      <c r="AA20" s="69">
        <v>0</v>
      </c>
      <c r="AB20" s="69">
        <v>0</v>
      </c>
      <c r="AC20" s="69">
        <v>24.5</v>
      </c>
      <c r="AD20" s="69">
        <v>7.7</v>
      </c>
      <c r="AE20" s="69">
        <v>1.2</v>
      </c>
      <c r="AF20" s="69">
        <v>0</v>
      </c>
      <c r="AG20" s="80"/>
      <c r="AH20" s="11">
        <f t="shared" si="13"/>
        <v>16.399999999999999</v>
      </c>
      <c r="AI20" s="11">
        <f t="shared" si="14"/>
        <v>67.300000000000011</v>
      </c>
      <c r="AJ20" s="11">
        <f t="shared" si="15"/>
        <v>10.1</v>
      </c>
      <c r="AK20" s="11">
        <f t="shared" si="16"/>
        <v>54</v>
      </c>
      <c r="AL20" s="11">
        <f t="shared" si="17"/>
        <v>121.30000000000001</v>
      </c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81"/>
      <c r="BD20" s="14" t="str">
        <f t="shared" si="18"/>
        <v/>
      </c>
      <c r="BE20" s="14" t="str">
        <f t="shared" si="19"/>
        <v/>
      </c>
      <c r="BF20" s="14" t="str">
        <f t="shared" si="20"/>
        <v/>
      </c>
      <c r="BG20" s="14" t="str">
        <f t="shared" si="21"/>
        <v/>
      </c>
      <c r="BH20" s="14" t="str">
        <f t="shared" si="22"/>
        <v/>
      </c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80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4" t="str">
        <f t="shared" si="28"/>
        <v/>
      </c>
      <c r="CF20" s="24" t="str">
        <f t="shared" si="29"/>
        <v/>
      </c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4"/>
      <c r="IT20" s="44"/>
      <c r="IU20" s="44"/>
      <c r="IV20" s="44"/>
      <c r="IW20" s="44"/>
      <c r="IX20" s="44"/>
      <c r="IY20" s="44"/>
      <c r="IZ20" s="44"/>
      <c r="JA20" s="44"/>
      <c r="JB20" s="44"/>
      <c r="JC20" s="44"/>
      <c r="JD20" s="44"/>
      <c r="JE20" s="44"/>
      <c r="JF20" s="44"/>
      <c r="JG20" s="44"/>
      <c r="JH20" s="44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4"/>
      <c r="KJ20" s="44"/>
      <c r="KK20" s="44"/>
      <c r="KL20" s="44"/>
      <c r="KM20" s="44"/>
      <c r="KN20" s="44"/>
      <c r="KO20" s="44"/>
      <c r="KP20" s="44"/>
      <c r="KQ20" s="44"/>
      <c r="KR20" s="44"/>
      <c r="KS20" s="44"/>
      <c r="KT20" s="44"/>
      <c r="KU20" s="44"/>
      <c r="KV20" s="44"/>
      <c r="KW20" s="44"/>
      <c r="KX20" s="44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43"/>
      <c r="LE20" s="43"/>
      <c r="LF20" s="43"/>
      <c r="LG20" s="43"/>
      <c r="LH20" s="43"/>
      <c r="LI20" s="43"/>
      <c r="LJ20" s="43"/>
      <c r="LK20" s="43"/>
      <c r="LL20" s="43"/>
      <c r="LM20" s="43"/>
      <c r="LN20" s="43"/>
      <c r="LO20" s="43"/>
      <c r="LP20" s="43"/>
      <c r="LQ20" s="43"/>
      <c r="LR20" s="43"/>
      <c r="LS20" s="43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9">
        <f t="shared" si="90"/>
        <v>0</v>
      </c>
      <c r="LZ20" s="69">
        <f t="shared" si="91"/>
        <v>0</v>
      </c>
      <c r="MA20" s="69">
        <f t="shared" si="92"/>
        <v>0</v>
      </c>
      <c r="MB20" s="69">
        <f t="shared" si="93"/>
        <v>0</v>
      </c>
      <c r="MC20" s="69">
        <f t="shared" si="94"/>
        <v>0</v>
      </c>
      <c r="MD20" s="69">
        <f t="shared" si="95"/>
        <v>0</v>
      </c>
      <c r="ME20" s="69">
        <f t="shared" si="96"/>
        <v>0</v>
      </c>
      <c r="MF20" s="69">
        <f t="shared" si="97"/>
        <v>0</v>
      </c>
      <c r="MG20" s="69">
        <f t="shared" si="98"/>
        <v>0</v>
      </c>
      <c r="MH20" s="69">
        <f t="shared" si="99"/>
        <v>0</v>
      </c>
      <c r="MI20" s="69">
        <f t="shared" si="100"/>
        <v>0</v>
      </c>
      <c r="MJ20" s="69">
        <f t="shared" si="101"/>
        <v>0</v>
      </c>
      <c r="MK20" s="69">
        <f t="shared" si="102"/>
        <v>0</v>
      </c>
      <c r="ML20" s="69">
        <f t="shared" si="103"/>
        <v>0</v>
      </c>
      <c r="MM20" s="69">
        <f t="shared" si="104"/>
        <v>0</v>
      </c>
      <c r="MN20" s="69">
        <f t="shared" si="105"/>
        <v>0</v>
      </c>
      <c r="MO20" s="80" t="s">
        <v>88</v>
      </c>
      <c r="MP20" s="11" t="str">
        <f t="shared" si="106"/>
        <v/>
      </c>
      <c r="MQ20" s="11" t="str">
        <f t="shared" si="107"/>
        <v/>
      </c>
      <c r="MR20" s="11" t="str">
        <f t="shared" si="108"/>
        <v/>
      </c>
      <c r="MS20" s="11" t="str">
        <f t="shared" si="109"/>
        <v/>
      </c>
      <c r="MT20" s="11" t="str">
        <f t="shared" si="110"/>
        <v/>
      </c>
    </row>
    <row r="21" spans="1:358" x14ac:dyDescent="0.2">
      <c r="A21" s="5" t="str">
        <f t="shared" si="0"/>
        <v/>
      </c>
      <c r="B21" s="8" t="s">
        <v>187</v>
      </c>
      <c r="C21" s="4" t="s">
        <v>6</v>
      </c>
      <c r="D21" s="5">
        <v>2001</v>
      </c>
      <c r="E21" s="15">
        <f t="shared" si="1"/>
        <v>104.9</v>
      </c>
      <c r="F21" s="3" t="str">
        <f t="shared" si="2"/>
        <v/>
      </c>
      <c r="G21" s="3" t="str">
        <f t="shared" si="3"/>
        <v/>
      </c>
      <c r="H21" s="126" t="str">
        <f t="shared" si="4"/>
        <v/>
      </c>
      <c r="I21" s="3" t="str">
        <f t="shared" si="5"/>
        <v/>
      </c>
      <c r="J21" s="14">
        <f t="shared" si="6"/>
        <v>104.9</v>
      </c>
      <c r="K21" s="14" t="str">
        <f t="shared" si="7"/>
        <v>2021 2nd Virtual Technical Trial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5" t="str">
        <f t="shared" si="11"/>
        <v/>
      </c>
      <c r="P21" s="14" t="str">
        <f t="shared" si="12"/>
        <v/>
      </c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80"/>
      <c r="AH21" s="11" t="str">
        <f t="shared" si="13"/>
        <v/>
      </c>
      <c r="AI21" s="11" t="str">
        <f t="shared" si="14"/>
        <v/>
      </c>
      <c r="AJ21" s="11" t="str">
        <f t="shared" si="15"/>
        <v/>
      </c>
      <c r="AK21" s="11" t="str">
        <f t="shared" si="16"/>
        <v/>
      </c>
      <c r="AL21" s="11" t="str">
        <f t="shared" si="17"/>
        <v/>
      </c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81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9">
        <v>28.1</v>
      </c>
      <c r="BJ21" s="69">
        <v>4.8</v>
      </c>
      <c r="BK21" s="69">
        <v>2.7</v>
      </c>
      <c r="BL21" s="69">
        <v>0</v>
      </c>
      <c r="BM21" s="69">
        <v>27.6</v>
      </c>
      <c r="BN21" s="69">
        <v>3.8</v>
      </c>
      <c r="BO21" s="69">
        <v>3.7</v>
      </c>
      <c r="BP21" s="69">
        <v>0</v>
      </c>
      <c r="BQ21" s="69">
        <v>20.399999999999999</v>
      </c>
      <c r="BR21" s="69">
        <v>2.4</v>
      </c>
      <c r="BS21" s="69">
        <v>0</v>
      </c>
      <c r="BT21" s="69">
        <v>0</v>
      </c>
      <c r="BU21" s="69">
        <v>20.2</v>
      </c>
      <c r="BV21" s="69">
        <v>4</v>
      </c>
      <c r="BW21" s="69">
        <v>0</v>
      </c>
      <c r="BX21" s="69">
        <v>0</v>
      </c>
      <c r="BY21" s="80"/>
      <c r="BZ21" s="11">
        <f t="shared" si="23"/>
        <v>8.6</v>
      </c>
      <c r="CA21" s="11">
        <f t="shared" si="24"/>
        <v>57.9</v>
      </c>
      <c r="CB21" s="11">
        <f t="shared" si="25"/>
        <v>6.4</v>
      </c>
      <c r="CC21" s="11">
        <f t="shared" si="26"/>
        <v>47</v>
      </c>
      <c r="CD21" s="11">
        <f t="shared" si="27"/>
        <v>104.9</v>
      </c>
      <c r="CE21" s="24" t="str">
        <f t="shared" si="28"/>
        <v/>
      </c>
      <c r="CF21" s="24" t="str">
        <f t="shared" si="29"/>
        <v/>
      </c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4"/>
      <c r="DX21" s="44"/>
      <c r="DY21" s="44"/>
      <c r="DZ21" s="44"/>
      <c r="EA21" s="44"/>
      <c r="EB21" s="44"/>
      <c r="EC21" s="44"/>
      <c r="ED21" s="44"/>
      <c r="EE21" s="44"/>
      <c r="EF21" s="44"/>
      <c r="EG21" s="44"/>
      <c r="EH21" s="44"/>
      <c r="EI21" s="44"/>
      <c r="EJ21" s="44"/>
      <c r="EK21" s="44"/>
      <c r="EL21" s="44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4"/>
      <c r="FN21" s="44"/>
      <c r="FO21" s="44"/>
      <c r="FP21" s="44"/>
      <c r="FQ21" s="44"/>
      <c r="FR21" s="44"/>
      <c r="FS21" s="44"/>
      <c r="FT21" s="44"/>
      <c r="FU21" s="44"/>
      <c r="FV21" s="44"/>
      <c r="FW21" s="44"/>
      <c r="FX21" s="44"/>
      <c r="FY21" s="44"/>
      <c r="FZ21" s="44"/>
      <c r="GA21" s="44"/>
      <c r="GB21" s="44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4"/>
      <c r="HD21" s="44"/>
      <c r="HE21" s="44"/>
      <c r="HF21" s="44"/>
      <c r="HG21" s="44"/>
      <c r="HH21" s="44"/>
      <c r="HI21" s="44"/>
      <c r="HJ21" s="44"/>
      <c r="HK21" s="44"/>
      <c r="HL21" s="44"/>
      <c r="HM21" s="44"/>
      <c r="HN21" s="44"/>
      <c r="HO21" s="44"/>
      <c r="HP21" s="44"/>
      <c r="HQ21" s="44"/>
      <c r="HR21" s="44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4"/>
      <c r="IT21" s="44"/>
      <c r="IU21" s="44"/>
      <c r="IV21" s="44"/>
      <c r="IW21" s="44"/>
      <c r="IX21" s="44"/>
      <c r="IY21" s="44"/>
      <c r="IZ21" s="44"/>
      <c r="JA21" s="44"/>
      <c r="JB21" s="44"/>
      <c r="JC21" s="44"/>
      <c r="JD21" s="44"/>
      <c r="JE21" s="44"/>
      <c r="JF21" s="44"/>
      <c r="JG21" s="44"/>
      <c r="JH21" s="44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4"/>
      <c r="KJ21" s="44"/>
      <c r="KK21" s="44"/>
      <c r="KL21" s="44"/>
      <c r="KM21" s="44"/>
      <c r="KN21" s="44"/>
      <c r="KO21" s="44"/>
      <c r="KP21" s="44"/>
      <c r="KQ21" s="44"/>
      <c r="KR21" s="44"/>
      <c r="KS21" s="44"/>
      <c r="KT21" s="44"/>
      <c r="KU21" s="44"/>
      <c r="KV21" s="44"/>
      <c r="KW21" s="44"/>
      <c r="KX21" s="44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9">
        <f t="shared" si="90"/>
        <v>14.05</v>
      </c>
      <c r="LZ21" s="69">
        <f t="shared" si="91"/>
        <v>2.4</v>
      </c>
      <c r="MA21" s="69">
        <f t="shared" si="92"/>
        <v>1.35</v>
      </c>
      <c r="MB21" s="69">
        <f t="shared" si="93"/>
        <v>0</v>
      </c>
      <c r="MC21" s="69">
        <f t="shared" si="94"/>
        <v>13.8</v>
      </c>
      <c r="MD21" s="69">
        <f t="shared" si="95"/>
        <v>1.9</v>
      </c>
      <c r="ME21" s="69">
        <f t="shared" si="96"/>
        <v>1.85</v>
      </c>
      <c r="MF21" s="69">
        <f t="shared" si="97"/>
        <v>0</v>
      </c>
      <c r="MG21" s="69">
        <f t="shared" si="98"/>
        <v>10.199999999999999</v>
      </c>
      <c r="MH21" s="69">
        <f t="shared" si="99"/>
        <v>1.2</v>
      </c>
      <c r="MI21" s="69">
        <f t="shared" si="100"/>
        <v>0</v>
      </c>
      <c r="MJ21" s="69">
        <f t="shared" si="101"/>
        <v>0</v>
      </c>
      <c r="MK21" s="69">
        <f t="shared" si="102"/>
        <v>10.1</v>
      </c>
      <c r="ML21" s="69">
        <f t="shared" si="103"/>
        <v>2</v>
      </c>
      <c r="MM21" s="69">
        <f t="shared" si="104"/>
        <v>0</v>
      </c>
      <c r="MN21" s="69">
        <f t="shared" si="105"/>
        <v>0</v>
      </c>
      <c r="MO21" s="80" t="s">
        <v>88</v>
      </c>
      <c r="MP21" s="11">
        <f t="shared" si="106"/>
        <v>4.3</v>
      </c>
      <c r="MQ21" s="11">
        <f t="shared" si="107"/>
        <v>28.95</v>
      </c>
      <c r="MR21" s="11">
        <f t="shared" si="108"/>
        <v>3.2</v>
      </c>
      <c r="MS21" s="11">
        <f t="shared" si="109"/>
        <v>23.5</v>
      </c>
      <c r="MT21" s="11">
        <f t="shared" si="110"/>
        <v>52.45</v>
      </c>
    </row>
    <row r="22" spans="1:358" x14ac:dyDescent="0.2">
      <c r="A22" s="5" t="str">
        <f t="shared" si="0"/>
        <v/>
      </c>
      <c r="B22" s="8" t="s">
        <v>179</v>
      </c>
      <c r="C22" s="4" t="s">
        <v>6</v>
      </c>
      <c r="D22" s="5">
        <v>2002</v>
      </c>
      <c r="E22" s="15">
        <f t="shared" si="1"/>
        <v>94.4</v>
      </c>
      <c r="F22" s="3" t="str">
        <f t="shared" si="2"/>
        <v/>
      </c>
      <c r="G22" s="3" t="str">
        <f t="shared" si="3"/>
        <v/>
      </c>
      <c r="H22" s="126" t="str">
        <f t="shared" si="4"/>
        <v/>
      </c>
      <c r="I22" s="3" t="str">
        <f t="shared" si="5"/>
        <v/>
      </c>
      <c r="J22" s="14">
        <f t="shared" si="6"/>
        <v>61.400000000000006</v>
      </c>
      <c r="K22" s="14" t="str">
        <f t="shared" si="7"/>
        <v>2021 1st Virtual Technical Trial</v>
      </c>
      <c r="L22" s="14">
        <f t="shared" si="8"/>
        <v>33</v>
      </c>
      <c r="M22" s="14" t="str">
        <f t="shared" si="9"/>
        <v>2019 Nationals</v>
      </c>
      <c r="N22" s="14" t="str">
        <f t="shared" si="10"/>
        <v/>
      </c>
      <c r="O22" s="25" t="str">
        <f t="shared" si="11"/>
        <v/>
      </c>
      <c r="P22" s="14" t="str">
        <f t="shared" si="12"/>
        <v/>
      </c>
      <c r="Q22" s="69">
        <v>0</v>
      </c>
      <c r="R22" s="69">
        <v>0</v>
      </c>
      <c r="S22" s="69">
        <v>0</v>
      </c>
      <c r="T22" s="69">
        <v>0</v>
      </c>
      <c r="U22" s="69">
        <v>28.2</v>
      </c>
      <c r="V22" s="69">
        <v>6</v>
      </c>
      <c r="W22" s="69">
        <v>1.2</v>
      </c>
      <c r="X22" s="69">
        <v>0</v>
      </c>
      <c r="Y22" s="69"/>
      <c r="Z22" s="69"/>
      <c r="AA22" s="69"/>
      <c r="AB22" s="69"/>
      <c r="AC22" s="69"/>
      <c r="AD22" s="69"/>
      <c r="AE22" s="69"/>
      <c r="AF22" s="69"/>
      <c r="AG22" s="80"/>
      <c r="AH22" s="11">
        <f t="shared" si="13"/>
        <v>6</v>
      </c>
      <c r="AI22" s="11">
        <f t="shared" si="14"/>
        <v>33</v>
      </c>
      <c r="AJ22" s="11" t="str">
        <f t="shared" si="15"/>
        <v/>
      </c>
      <c r="AK22" s="11" t="str">
        <f t="shared" si="16"/>
        <v/>
      </c>
      <c r="AL22" s="11">
        <f t="shared" si="17"/>
        <v>33</v>
      </c>
      <c r="AM22" s="38">
        <v>27.5</v>
      </c>
      <c r="AN22" s="38">
        <v>6</v>
      </c>
      <c r="AO22" s="38">
        <v>0</v>
      </c>
      <c r="AP22" s="38">
        <v>0</v>
      </c>
      <c r="AQ22" s="38">
        <v>28</v>
      </c>
      <c r="AR22" s="38">
        <v>3.4</v>
      </c>
      <c r="AS22" s="38">
        <v>3.5</v>
      </c>
      <c r="AT22" s="38">
        <v>0</v>
      </c>
      <c r="AU22" s="38">
        <v>0</v>
      </c>
      <c r="AV22" s="38">
        <v>0</v>
      </c>
      <c r="AW22" s="38">
        <v>0</v>
      </c>
      <c r="AX22" s="38">
        <v>0</v>
      </c>
      <c r="AY22" s="38">
        <v>0</v>
      </c>
      <c r="AZ22" s="38">
        <v>0</v>
      </c>
      <c r="BA22" s="38">
        <v>0</v>
      </c>
      <c r="BB22" s="38">
        <v>0</v>
      </c>
      <c r="BC22" s="81"/>
      <c r="BD22" s="14">
        <f t="shared" si="18"/>
        <v>9.4</v>
      </c>
      <c r="BE22" s="14">
        <f t="shared" si="19"/>
        <v>61.400000000000006</v>
      </c>
      <c r="BF22" s="14" t="str">
        <f t="shared" si="20"/>
        <v/>
      </c>
      <c r="BG22" s="14" t="str">
        <f t="shared" si="21"/>
        <v/>
      </c>
      <c r="BH22" s="14">
        <f t="shared" si="22"/>
        <v>61.400000000000006</v>
      </c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80"/>
      <c r="BZ22" s="11" t="str">
        <f t="shared" si="23"/>
        <v/>
      </c>
      <c r="CA22" s="11" t="str">
        <f t="shared" si="24"/>
        <v/>
      </c>
      <c r="CB22" s="11" t="str">
        <f t="shared" si="25"/>
        <v/>
      </c>
      <c r="CC22" s="11" t="str">
        <f t="shared" si="26"/>
        <v/>
      </c>
      <c r="CD22" s="11" t="str">
        <f t="shared" si="27"/>
        <v/>
      </c>
      <c r="CE22" s="24" t="str">
        <f t="shared" si="28"/>
        <v/>
      </c>
      <c r="CF22" s="24" t="str">
        <f t="shared" si="29"/>
        <v/>
      </c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4"/>
      <c r="FN22" s="44"/>
      <c r="FO22" s="44"/>
      <c r="FP22" s="44"/>
      <c r="FQ22" s="44"/>
      <c r="FR22" s="44"/>
      <c r="FS22" s="44"/>
      <c r="FT22" s="44"/>
      <c r="FU22" s="44"/>
      <c r="FV22" s="44"/>
      <c r="FW22" s="44"/>
      <c r="FX22" s="44"/>
      <c r="FY22" s="44"/>
      <c r="FZ22" s="44"/>
      <c r="GA22" s="44"/>
      <c r="GB22" s="44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4"/>
      <c r="HD22" s="44"/>
      <c r="HE22" s="44"/>
      <c r="HF22" s="44"/>
      <c r="HG22" s="44"/>
      <c r="HH22" s="44"/>
      <c r="HI22" s="44"/>
      <c r="HJ22" s="44"/>
      <c r="HK22" s="44"/>
      <c r="HL22" s="44"/>
      <c r="HM22" s="44"/>
      <c r="HN22" s="44"/>
      <c r="HO22" s="44"/>
      <c r="HP22" s="44"/>
      <c r="HQ22" s="44"/>
      <c r="HR22" s="44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4"/>
      <c r="IT22" s="44"/>
      <c r="IU22" s="44"/>
      <c r="IV22" s="44"/>
      <c r="IW22" s="44"/>
      <c r="IX22" s="44"/>
      <c r="IY22" s="44"/>
      <c r="IZ22" s="44"/>
      <c r="JA22" s="44"/>
      <c r="JB22" s="44"/>
      <c r="JC22" s="44"/>
      <c r="JD22" s="44"/>
      <c r="JE22" s="44"/>
      <c r="JF22" s="44"/>
      <c r="JG22" s="44"/>
      <c r="JH22" s="44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4"/>
      <c r="KJ22" s="44"/>
      <c r="KK22" s="44"/>
      <c r="KL22" s="44"/>
      <c r="KM22" s="44"/>
      <c r="KN22" s="44"/>
      <c r="KO22" s="44"/>
      <c r="KP22" s="44"/>
      <c r="KQ22" s="44"/>
      <c r="KR22" s="44"/>
      <c r="KS22" s="44"/>
      <c r="KT22" s="44"/>
      <c r="KU22" s="44"/>
      <c r="KV22" s="44"/>
      <c r="KW22" s="44"/>
      <c r="KX22" s="44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9">
        <f t="shared" si="90"/>
        <v>13.75</v>
      </c>
      <c r="LZ22" s="69">
        <f t="shared" si="91"/>
        <v>3</v>
      </c>
      <c r="MA22" s="69">
        <f t="shared" si="92"/>
        <v>0</v>
      </c>
      <c r="MB22" s="69">
        <f t="shared" si="93"/>
        <v>0</v>
      </c>
      <c r="MC22" s="69">
        <f t="shared" si="94"/>
        <v>14</v>
      </c>
      <c r="MD22" s="69">
        <f t="shared" si="95"/>
        <v>1.7</v>
      </c>
      <c r="ME22" s="69">
        <f t="shared" si="96"/>
        <v>1.75</v>
      </c>
      <c r="MF22" s="69">
        <f t="shared" si="97"/>
        <v>0</v>
      </c>
      <c r="MG22" s="69">
        <f t="shared" si="98"/>
        <v>0</v>
      </c>
      <c r="MH22" s="69">
        <f t="shared" si="99"/>
        <v>0</v>
      </c>
      <c r="MI22" s="69">
        <f t="shared" si="100"/>
        <v>0</v>
      </c>
      <c r="MJ22" s="69">
        <f t="shared" si="101"/>
        <v>0</v>
      </c>
      <c r="MK22" s="69">
        <f t="shared" si="102"/>
        <v>0</v>
      </c>
      <c r="ML22" s="69">
        <f t="shared" si="103"/>
        <v>0</v>
      </c>
      <c r="MM22" s="69">
        <f t="shared" si="104"/>
        <v>0</v>
      </c>
      <c r="MN22" s="69">
        <f t="shared" si="105"/>
        <v>0</v>
      </c>
      <c r="MO22" s="80" t="s">
        <v>88</v>
      </c>
      <c r="MP22" s="11">
        <f t="shared" si="106"/>
        <v>4.7</v>
      </c>
      <c r="MQ22" s="11">
        <f t="shared" si="107"/>
        <v>30.700000000000003</v>
      </c>
      <c r="MR22" s="11" t="str">
        <f t="shared" si="108"/>
        <v/>
      </c>
      <c r="MS22" s="11" t="str">
        <f t="shared" si="109"/>
        <v/>
      </c>
      <c r="MT22" s="11">
        <f t="shared" si="110"/>
        <v>30.700000000000003</v>
      </c>
    </row>
    <row r="23" spans="1:358" x14ac:dyDescent="0.2">
      <c r="A23" s="5" t="str">
        <f t="shared" si="0"/>
        <v/>
      </c>
      <c r="B23" s="8" t="s">
        <v>52</v>
      </c>
      <c r="C23" s="4" t="s">
        <v>5</v>
      </c>
      <c r="D23" s="5">
        <v>1993</v>
      </c>
      <c r="E23" s="15">
        <f t="shared" si="1"/>
        <v>31.9</v>
      </c>
      <c r="F23" s="3" t="str">
        <f t="shared" si="2"/>
        <v/>
      </c>
      <c r="G23" s="3" t="str">
        <f t="shared" si="3"/>
        <v/>
      </c>
      <c r="H23" s="126" t="str">
        <f t="shared" si="4"/>
        <v/>
      </c>
      <c r="I23" s="3" t="str">
        <f t="shared" si="5"/>
        <v/>
      </c>
      <c r="J23" s="14">
        <f t="shared" si="6"/>
        <v>31.9</v>
      </c>
      <c r="K23" s="14" t="str">
        <f t="shared" si="7"/>
        <v>2019 Nationals</v>
      </c>
      <c r="L23" s="14">
        <f t="shared" si="8"/>
        <v>0</v>
      </c>
      <c r="M23" s="14" t="str">
        <f t="shared" si="9"/>
        <v/>
      </c>
      <c r="N23" s="14" t="str">
        <f t="shared" si="10"/>
        <v/>
      </c>
      <c r="O23" s="25" t="str">
        <f t="shared" si="11"/>
        <v/>
      </c>
      <c r="P23" s="14" t="str">
        <f t="shared" si="12"/>
        <v/>
      </c>
      <c r="Q23" s="69">
        <v>0</v>
      </c>
      <c r="R23" s="69">
        <v>0</v>
      </c>
      <c r="S23" s="69">
        <v>0</v>
      </c>
      <c r="T23" s="69">
        <v>0</v>
      </c>
      <c r="U23" s="69">
        <v>25.2</v>
      </c>
      <c r="V23" s="69">
        <v>7.6</v>
      </c>
      <c r="W23" s="69">
        <v>0.9</v>
      </c>
      <c r="X23" s="69">
        <v>0</v>
      </c>
      <c r="Y23" s="69"/>
      <c r="Z23" s="69"/>
      <c r="AA23" s="69"/>
      <c r="AB23" s="69"/>
      <c r="AC23" s="69"/>
      <c r="AD23" s="69"/>
      <c r="AE23" s="69"/>
      <c r="AF23" s="69"/>
      <c r="AG23" s="80"/>
      <c r="AH23" s="11">
        <f t="shared" si="13"/>
        <v>7.6</v>
      </c>
      <c r="AI23" s="11">
        <f t="shared" si="14"/>
        <v>31.9</v>
      </c>
      <c r="AJ23" s="11" t="str">
        <f t="shared" si="15"/>
        <v/>
      </c>
      <c r="AK23" s="11" t="str">
        <f t="shared" si="16"/>
        <v/>
      </c>
      <c r="AL23" s="11">
        <f t="shared" si="17"/>
        <v>31.9</v>
      </c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81"/>
      <c r="BD23" s="14" t="str">
        <f t="shared" si="18"/>
        <v/>
      </c>
      <c r="BE23" s="14" t="str">
        <f t="shared" si="19"/>
        <v/>
      </c>
      <c r="BF23" s="14" t="str">
        <f t="shared" si="20"/>
        <v/>
      </c>
      <c r="BG23" s="14" t="str">
        <f t="shared" si="21"/>
        <v/>
      </c>
      <c r="BH23" s="14" t="str">
        <f t="shared" si="22"/>
        <v/>
      </c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80"/>
      <c r="BZ23" s="11" t="str">
        <f t="shared" si="23"/>
        <v/>
      </c>
      <c r="CA23" s="11" t="str">
        <f t="shared" si="24"/>
        <v/>
      </c>
      <c r="CB23" s="11" t="str">
        <f t="shared" si="25"/>
        <v/>
      </c>
      <c r="CC23" s="11" t="str">
        <f t="shared" si="26"/>
        <v/>
      </c>
      <c r="CD23" s="11" t="str">
        <f t="shared" si="27"/>
        <v/>
      </c>
      <c r="CE23" s="24" t="str">
        <f t="shared" si="28"/>
        <v/>
      </c>
      <c r="CF23" s="24" t="str">
        <f t="shared" si="29"/>
        <v/>
      </c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11" t="str">
        <f t="shared" si="30"/>
        <v/>
      </c>
      <c r="CX23" s="11" t="str">
        <f t="shared" si="31"/>
        <v/>
      </c>
      <c r="CY23" s="11" t="str">
        <f t="shared" si="32"/>
        <v/>
      </c>
      <c r="CZ23" s="11" t="str">
        <f t="shared" si="33"/>
        <v/>
      </c>
      <c r="DA23" s="11" t="str">
        <f t="shared" si="34"/>
        <v/>
      </c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14" t="str">
        <f t="shared" si="35"/>
        <v/>
      </c>
      <c r="DS23" s="14" t="str">
        <f t="shared" si="36"/>
        <v/>
      </c>
      <c r="DT23" s="14" t="str">
        <f t="shared" si="37"/>
        <v/>
      </c>
      <c r="DU23" s="14" t="str">
        <f t="shared" si="38"/>
        <v/>
      </c>
      <c r="DV23" s="14" t="str">
        <f t="shared" si="39"/>
        <v/>
      </c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4"/>
      <c r="EI23" s="44"/>
      <c r="EJ23" s="44"/>
      <c r="EK23" s="44"/>
      <c r="EL23" s="44"/>
      <c r="EM23" s="11" t="str">
        <f t="shared" si="40"/>
        <v/>
      </c>
      <c r="EN23" s="11" t="str">
        <f t="shared" si="41"/>
        <v/>
      </c>
      <c r="EO23" s="11" t="str">
        <f t="shared" si="42"/>
        <v/>
      </c>
      <c r="EP23" s="11" t="str">
        <f t="shared" si="43"/>
        <v/>
      </c>
      <c r="EQ23" s="11" t="str">
        <f t="shared" si="44"/>
        <v/>
      </c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14" t="str">
        <f t="shared" si="45"/>
        <v/>
      </c>
      <c r="FI23" s="14" t="str">
        <f t="shared" si="46"/>
        <v/>
      </c>
      <c r="FJ23" s="14" t="str">
        <f t="shared" si="47"/>
        <v/>
      </c>
      <c r="FK23" s="14" t="str">
        <f t="shared" si="48"/>
        <v/>
      </c>
      <c r="FL23" s="14" t="str">
        <f t="shared" si="49"/>
        <v/>
      </c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11" t="str">
        <f t="shared" si="50"/>
        <v/>
      </c>
      <c r="GD23" s="11" t="str">
        <f t="shared" si="51"/>
        <v/>
      </c>
      <c r="GE23" s="11" t="str">
        <f t="shared" si="52"/>
        <v/>
      </c>
      <c r="GF23" s="11" t="str">
        <f t="shared" si="53"/>
        <v/>
      </c>
      <c r="GG23" s="11" t="str">
        <f t="shared" si="54"/>
        <v/>
      </c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14" t="str">
        <f t="shared" si="55"/>
        <v/>
      </c>
      <c r="GY23" s="14" t="str">
        <f t="shared" si="56"/>
        <v/>
      </c>
      <c r="GZ23" s="14" t="str">
        <f t="shared" si="57"/>
        <v/>
      </c>
      <c r="HA23" s="14" t="str">
        <f t="shared" si="58"/>
        <v/>
      </c>
      <c r="HB23" s="14" t="str">
        <f t="shared" si="59"/>
        <v/>
      </c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11" t="str">
        <f t="shared" si="60"/>
        <v/>
      </c>
      <c r="HT23" s="11" t="str">
        <f t="shared" si="61"/>
        <v/>
      </c>
      <c r="HU23" s="11" t="str">
        <f t="shared" si="62"/>
        <v/>
      </c>
      <c r="HV23" s="11" t="str">
        <f t="shared" si="63"/>
        <v/>
      </c>
      <c r="HW23" s="11" t="str">
        <f t="shared" si="64"/>
        <v/>
      </c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14" t="str">
        <f t="shared" si="65"/>
        <v/>
      </c>
      <c r="IO23" s="14" t="str">
        <f t="shared" si="66"/>
        <v/>
      </c>
      <c r="IP23" s="14" t="str">
        <f t="shared" si="67"/>
        <v/>
      </c>
      <c r="IQ23" s="14" t="str">
        <f t="shared" si="68"/>
        <v/>
      </c>
      <c r="IR23" s="14" t="str">
        <f t="shared" si="69"/>
        <v/>
      </c>
      <c r="IS23" s="44"/>
      <c r="IT23" s="44"/>
      <c r="IU23" s="44"/>
      <c r="IV23" s="44"/>
      <c r="IW23" s="44"/>
      <c r="IX23" s="44"/>
      <c r="IY23" s="44"/>
      <c r="IZ23" s="44"/>
      <c r="JA23" s="44"/>
      <c r="JB23" s="44"/>
      <c r="JC23" s="44"/>
      <c r="JD23" s="44"/>
      <c r="JE23" s="44"/>
      <c r="JF23" s="44"/>
      <c r="JG23" s="44"/>
      <c r="JH23" s="44"/>
      <c r="JI23" s="11" t="str">
        <f t="shared" si="70"/>
        <v/>
      </c>
      <c r="JJ23" s="11" t="str">
        <f t="shared" si="71"/>
        <v/>
      </c>
      <c r="JK23" s="11" t="str">
        <f t="shared" si="72"/>
        <v/>
      </c>
      <c r="JL23" s="11" t="str">
        <f t="shared" si="73"/>
        <v/>
      </c>
      <c r="JM23" s="11" t="str">
        <f t="shared" si="74"/>
        <v/>
      </c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14" t="str">
        <f t="shared" si="75"/>
        <v/>
      </c>
      <c r="KE23" s="14" t="str">
        <f t="shared" si="76"/>
        <v/>
      </c>
      <c r="KF23" s="14" t="str">
        <f t="shared" si="77"/>
        <v/>
      </c>
      <c r="KG23" s="14" t="str">
        <f t="shared" si="78"/>
        <v/>
      </c>
      <c r="KH23" s="14" t="str">
        <f t="shared" si="79"/>
        <v/>
      </c>
      <c r="KI23" s="44"/>
      <c r="KJ23" s="44"/>
      <c r="KK23" s="44"/>
      <c r="KL23" s="44"/>
      <c r="KM23" s="44"/>
      <c r="KN23" s="44"/>
      <c r="KO23" s="44"/>
      <c r="KP23" s="44"/>
      <c r="KQ23" s="44"/>
      <c r="KR23" s="44"/>
      <c r="KS23" s="44"/>
      <c r="KT23" s="44"/>
      <c r="KU23" s="44"/>
      <c r="KV23" s="44"/>
      <c r="KW23" s="44"/>
      <c r="KX23" s="44"/>
      <c r="KY23" s="11" t="str">
        <f t="shared" si="80"/>
        <v/>
      </c>
      <c r="KZ23" s="11" t="str">
        <f t="shared" si="81"/>
        <v/>
      </c>
      <c r="LA23" s="11" t="str">
        <f t="shared" si="82"/>
        <v/>
      </c>
      <c r="LB23" s="11" t="str">
        <f t="shared" si="83"/>
        <v/>
      </c>
      <c r="LC23" s="11" t="str">
        <f t="shared" si="84"/>
        <v/>
      </c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14" t="str">
        <f t="shared" si="85"/>
        <v/>
      </c>
      <c r="LU23" s="14" t="str">
        <f t="shared" si="86"/>
        <v/>
      </c>
      <c r="LV23" s="14" t="str">
        <f t="shared" si="87"/>
        <v/>
      </c>
      <c r="LW23" s="14" t="str">
        <f t="shared" si="88"/>
        <v/>
      </c>
      <c r="LX23" s="14" t="str">
        <f t="shared" si="89"/>
        <v/>
      </c>
      <c r="LY23" s="69">
        <f t="shared" si="90"/>
        <v>0</v>
      </c>
      <c r="LZ23" s="69">
        <f t="shared" si="91"/>
        <v>0</v>
      </c>
      <c r="MA23" s="69">
        <f t="shared" si="92"/>
        <v>0</v>
      </c>
      <c r="MB23" s="69">
        <f t="shared" si="93"/>
        <v>0</v>
      </c>
      <c r="MC23" s="69">
        <f t="shared" si="94"/>
        <v>0</v>
      </c>
      <c r="MD23" s="69">
        <f t="shared" si="95"/>
        <v>0</v>
      </c>
      <c r="ME23" s="69">
        <f t="shared" si="96"/>
        <v>0</v>
      </c>
      <c r="MF23" s="69">
        <f t="shared" si="97"/>
        <v>0</v>
      </c>
      <c r="MG23" s="69">
        <f t="shared" si="98"/>
        <v>0</v>
      </c>
      <c r="MH23" s="69">
        <f t="shared" si="99"/>
        <v>0</v>
      </c>
      <c r="MI23" s="69">
        <f t="shared" si="100"/>
        <v>0</v>
      </c>
      <c r="MJ23" s="69">
        <f t="shared" si="101"/>
        <v>0</v>
      </c>
      <c r="MK23" s="69">
        <f t="shared" si="102"/>
        <v>0</v>
      </c>
      <c r="ML23" s="69">
        <f t="shared" si="103"/>
        <v>0</v>
      </c>
      <c r="MM23" s="69">
        <f t="shared" si="104"/>
        <v>0</v>
      </c>
      <c r="MN23" s="69">
        <f t="shared" si="105"/>
        <v>0</v>
      </c>
      <c r="MO23" s="80" t="s">
        <v>88</v>
      </c>
      <c r="MP23" s="11" t="str">
        <f t="shared" si="106"/>
        <v/>
      </c>
      <c r="MQ23" s="11" t="str">
        <f t="shared" si="107"/>
        <v/>
      </c>
      <c r="MR23" s="11" t="str">
        <f t="shared" si="108"/>
        <v/>
      </c>
      <c r="MS23" s="11" t="str">
        <f t="shared" si="109"/>
        <v/>
      </c>
      <c r="MT23" s="11" t="str">
        <f t="shared" si="110"/>
        <v/>
      </c>
    </row>
    <row r="26" spans="1:358" x14ac:dyDescent="0.2">
      <c r="B26" s="70" t="s">
        <v>78</v>
      </c>
      <c r="AH26" s="56"/>
      <c r="AJ26" s="56"/>
      <c r="AL26" s="64">
        <v>15.6</v>
      </c>
      <c r="BD26" s="56"/>
      <c r="BF26" s="56"/>
      <c r="BH26" s="64">
        <v>14.4</v>
      </c>
      <c r="BZ26" s="56"/>
      <c r="CB26" s="56"/>
      <c r="CD26" s="64">
        <v>14.4</v>
      </c>
      <c r="CW26" s="56"/>
      <c r="CY26" s="56"/>
      <c r="DA26" s="64">
        <v>14.4</v>
      </c>
      <c r="DR26" s="56"/>
      <c r="DT26" s="56"/>
      <c r="DV26" s="64">
        <v>14.4</v>
      </c>
      <c r="EM26" s="56"/>
      <c r="EO26" s="56"/>
      <c r="EQ26" s="64">
        <v>14.4</v>
      </c>
      <c r="FH26" s="56"/>
      <c r="FJ26" s="56"/>
      <c r="FL26" s="64">
        <v>14.4</v>
      </c>
      <c r="GC26" s="56"/>
      <c r="GE26" s="56"/>
      <c r="GG26" s="64">
        <v>14.4</v>
      </c>
      <c r="GX26" s="56"/>
      <c r="GZ26" s="56"/>
      <c r="HB26" s="64">
        <v>14.4</v>
      </c>
      <c r="HS26" s="56"/>
      <c r="HU26" s="56"/>
      <c r="HW26" s="64">
        <v>14.4</v>
      </c>
      <c r="IN26" s="56"/>
      <c r="IP26" s="56"/>
      <c r="IR26" s="64">
        <v>14.4</v>
      </c>
      <c r="JI26" s="56"/>
      <c r="JK26" s="56"/>
      <c r="JM26" s="64">
        <v>14.4</v>
      </c>
      <c r="KD26" s="56"/>
      <c r="KF26" s="56"/>
      <c r="KH26" s="64">
        <v>14.4</v>
      </c>
      <c r="KY26" s="56"/>
      <c r="LA26" s="56"/>
      <c r="LC26" s="64">
        <v>14.4</v>
      </c>
      <c r="LT26" s="56"/>
      <c r="LV26" s="56"/>
      <c r="LX26" s="64">
        <v>14.4</v>
      </c>
    </row>
    <row r="27" spans="1:358" x14ac:dyDescent="0.2">
      <c r="B27" s="91" t="s">
        <v>77</v>
      </c>
      <c r="AH27" s="56"/>
      <c r="AJ27" s="56"/>
      <c r="AL27" s="104">
        <v>16</v>
      </c>
      <c r="BD27" s="56"/>
      <c r="BF27" s="56"/>
      <c r="BH27" s="104">
        <v>14.8</v>
      </c>
      <c r="BZ27" s="56"/>
      <c r="CB27" s="56"/>
      <c r="CD27" s="104">
        <v>14.8</v>
      </c>
      <c r="CW27" s="56"/>
      <c r="CY27" s="56"/>
      <c r="DA27" s="104">
        <v>14.8</v>
      </c>
      <c r="DR27" s="56"/>
      <c r="DT27" s="56"/>
      <c r="DV27" s="104">
        <v>14.8</v>
      </c>
      <c r="EM27" s="56"/>
      <c r="EO27" s="56"/>
      <c r="EQ27" s="104">
        <v>14.8</v>
      </c>
      <c r="FH27" s="56"/>
      <c r="FJ27" s="56"/>
      <c r="FL27" s="104">
        <v>14.8</v>
      </c>
      <c r="GC27" s="56"/>
      <c r="GE27" s="56"/>
      <c r="GG27" s="104">
        <v>14.8</v>
      </c>
      <c r="GX27" s="56"/>
      <c r="GZ27" s="56"/>
      <c r="HB27" s="104">
        <v>14.8</v>
      </c>
      <c r="HS27" s="56"/>
      <c r="HU27" s="56"/>
      <c r="HW27" s="104">
        <v>14.8</v>
      </c>
      <c r="IN27" s="56"/>
      <c r="IP27" s="56"/>
      <c r="IR27" s="104">
        <v>14.8</v>
      </c>
      <c r="JI27" s="56"/>
      <c r="JK27" s="56"/>
      <c r="JM27" s="104">
        <v>14.8</v>
      </c>
      <c r="KD27" s="56"/>
      <c r="KF27" s="56"/>
      <c r="KH27" s="104">
        <v>14.8</v>
      </c>
      <c r="KY27" s="56"/>
      <c r="LA27" s="56"/>
      <c r="LC27" s="104">
        <v>14.8</v>
      </c>
      <c r="LT27" s="56"/>
      <c r="LV27" s="56"/>
      <c r="LX27" s="104">
        <v>14.8</v>
      </c>
    </row>
    <row r="28" spans="1:358" x14ac:dyDescent="0.2">
      <c r="A28" s="56"/>
      <c r="B28" s="92" t="s">
        <v>112</v>
      </c>
      <c r="C28" s="55"/>
      <c r="AH28" s="56"/>
      <c r="AJ28" s="56"/>
      <c r="AK28" t="s">
        <v>169</v>
      </c>
      <c r="AL28" s="105">
        <v>17</v>
      </c>
      <c r="BD28" s="56"/>
      <c r="BF28" s="56"/>
      <c r="BG28" s="129"/>
      <c r="BH28" s="105">
        <v>15.6</v>
      </c>
      <c r="BZ28" s="56"/>
      <c r="CB28" s="56"/>
      <c r="CD28" s="105">
        <v>15.6</v>
      </c>
      <c r="CW28" s="56"/>
      <c r="CY28" s="56"/>
      <c r="DA28" s="105">
        <v>15.6</v>
      </c>
      <c r="DR28" s="56"/>
      <c r="DT28" s="56"/>
      <c r="DV28" s="105">
        <v>15.6</v>
      </c>
      <c r="EM28" s="56"/>
      <c r="EO28" s="56"/>
      <c r="EQ28" s="105">
        <v>15.6</v>
      </c>
      <c r="FH28" s="56"/>
      <c r="FJ28" s="56"/>
      <c r="FL28" s="105">
        <v>15.6</v>
      </c>
      <c r="GC28" s="56"/>
      <c r="GE28" s="56"/>
      <c r="GG28" s="105">
        <v>15.6</v>
      </c>
      <c r="GX28" s="56"/>
      <c r="GZ28" s="56"/>
      <c r="HB28" s="105">
        <v>15.6</v>
      </c>
      <c r="HS28" s="56"/>
      <c r="HU28" s="56"/>
      <c r="HW28" s="105">
        <v>15.6</v>
      </c>
      <c r="IN28" s="56"/>
      <c r="IP28" s="56"/>
      <c r="IR28" s="105">
        <v>15.6</v>
      </c>
      <c r="JI28" s="56"/>
      <c r="JK28" s="56"/>
      <c r="JM28" s="105">
        <v>15.6</v>
      </c>
      <c r="KD28" s="56"/>
      <c r="KF28" s="56"/>
      <c r="KH28" s="105">
        <v>15.6</v>
      </c>
      <c r="KY28" s="56"/>
      <c r="LA28" s="56"/>
      <c r="LC28" s="105">
        <v>15.6</v>
      </c>
      <c r="LT28" s="56"/>
      <c r="LV28" s="56"/>
      <c r="LX28" s="105">
        <v>15.6</v>
      </c>
    </row>
    <row r="29" spans="1:358" x14ac:dyDescent="0.2">
      <c r="A29" s="56"/>
      <c r="B29" s="71" t="s">
        <v>161</v>
      </c>
      <c r="C29" s="55"/>
      <c r="AH29" s="56"/>
      <c r="AJ29" s="56"/>
      <c r="AL29" s="65">
        <v>31.2</v>
      </c>
      <c r="BD29" s="56"/>
      <c r="BF29" s="56"/>
      <c r="BH29" s="65">
        <v>17.600000000000001</v>
      </c>
      <c r="BZ29" s="56"/>
      <c r="CB29" s="56"/>
      <c r="CD29" s="65">
        <v>17.600000000000001</v>
      </c>
      <c r="CW29" s="56"/>
      <c r="CY29" s="56"/>
      <c r="DA29" s="65">
        <v>17.600000000000001</v>
      </c>
      <c r="DR29" s="56"/>
      <c r="DT29" s="56"/>
      <c r="DV29" s="65">
        <v>17.600000000000001</v>
      </c>
      <c r="EM29" s="56"/>
      <c r="EO29" s="56"/>
      <c r="EP29" s="129"/>
      <c r="EQ29" s="65">
        <v>17.600000000000001</v>
      </c>
      <c r="FH29" s="56"/>
      <c r="FJ29" s="56"/>
      <c r="FL29" s="65">
        <v>17.600000000000001</v>
      </c>
      <c r="GC29" s="56"/>
      <c r="GE29" s="56"/>
      <c r="GG29" s="65">
        <v>17.600000000000001</v>
      </c>
      <c r="GX29" s="56"/>
      <c r="GZ29" s="56"/>
      <c r="HB29" s="65">
        <v>17.600000000000001</v>
      </c>
      <c r="HS29" s="56"/>
      <c r="HU29" s="56"/>
      <c r="HW29" s="65">
        <v>17.600000000000001</v>
      </c>
      <c r="IN29" s="56"/>
      <c r="IP29" s="56"/>
      <c r="IR29" s="65">
        <v>17.600000000000001</v>
      </c>
      <c r="JI29" s="56"/>
      <c r="JK29" s="56"/>
      <c r="JM29" s="65">
        <v>17.600000000000001</v>
      </c>
      <c r="KD29" s="56"/>
      <c r="KF29" s="56"/>
      <c r="KH29" s="65">
        <v>17.600000000000001</v>
      </c>
      <c r="KY29" s="56"/>
      <c r="LA29" s="56"/>
      <c r="LC29" s="65">
        <v>17.600000000000001</v>
      </c>
      <c r="LT29" s="56"/>
      <c r="LV29" s="56"/>
      <c r="LX29" s="65">
        <v>17.600000000000001</v>
      </c>
    </row>
    <row r="30" spans="1:358" x14ac:dyDescent="0.2">
      <c r="A30" s="56"/>
      <c r="B30" s="73" t="s">
        <v>75</v>
      </c>
      <c r="C30" s="55"/>
      <c r="AH30" s="56"/>
      <c r="AJ30" s="56"/>
      <c r="AL30" s="67">
        <v>69.5</v>
      </c>
      <c r="BD30" s="56"/>
      <c r="BF30" s="56"/>
      <c r="BH30" s="67">
        <v>69.599999999999994</v>
      </c>
      <c r="BZ30" s="56"/>
      <c r="CB30" s="56"/>
      <c r="CD30" s="67">
        <v>69.599999999999994</v>
      </c>
      <c r="CW30" s="56"/>
      <c r="CY30" s="56"/>
      <c r="DA30" s="67">
        <v>69.599999999999994</v>
      </c>
      <c r="DR30" s="56"/>
      <c r="DT30" s="56"/>
      <c r="DV30" s="67">
        <v>69.599999999999994</v>
      </c>
      <c r="EM30" s="56"/>
      <c r="EO30" s="56"/>
      <c r="EQ30" s="67">
        <v>69.599999999999994</v>
      </c>
      <c r="FH30" s="56"/>
      <c r="FJ30" s="56"/>
      <c r="FL30" s="67">
        <v>69.599999999999994</v>
      </c>
      <c r="GC30" s="56"/>
      <c r="GE30" s="56"/>
      <c r="GG30" s="67">
        <v>69.599999999999994</v>
      </c>
      <c r="GX30" s="56"/>
      <c r="GZ30" s="56"/>
      <c r="HB30" s="67">
        <v>69.599999999999994</v>
      </c>
      <c r="HS30" s="56"/>
      <c r="HU30" s="56"/>
      <c r="HW30" s="67">
        <v>69.599999999999994</v>
      </c>
      <c r="IN30" s="56"/>
      <c r="IP30" s="56"/>
      <c r="IR30" s="67">
        <v>69.599999999999994</v>
      </c>
      <c r="JI30" s="56"/>
      <c r="JK30" s="56"/>
      <c r="JM30" s="67">
        <v>69.599999999999994</v>
      </c>
      <c r="KD30" s="56"/>
      <c r="KF30" s="56"/>
      <c r="KH30" s="67">
        <v>69.599999999999994</v>
      </c>
      <c r="KY30" s="56"/>
      <c r="LA30" s="56"/>
      <c r="LC30" s="67">
        <v>69.599999999999994</v>
      </c>
      <c r="LT30" s="56"/>
      <c r="LV30" s="56"/>
      <c r="LX30" s="67">
        <v>69.599999999999994</v>
      </c>
    </row>
    <row r="31" spans="1:358" x14ac:dyDescent="0.2">
      <c r="A31" s="56"/>
      <c r="B31" s="72" t="s">
        <v>76</v>
      </c>
      <c r="C31" s="55"/>
      <c r="AH31" s="56"/>
      <c r="AJ31" s="56"/>
      <c r="AL31" s="66">
        <v>71</v>
      </c>
      <c r="BD31" s="56"/>
      <c r="BF31" s="56"/>
      <c r="BH31" s="66">
        <v>70.599999999999994</v>
      </c>
      <c r="BZ31" s="56"/>
      <c r="CB31" s="56"/>
      <c r="CD31" s="66">
        <v>70.599999999999994</v>
      </c>
      <c r="CW31" s="56"/>
      <c r="CY31" s="56"/>
      <c r="DA31" s="66">
        <v>70.599999999999994</v>
      </c>
      <c r="DR31" s="56"/>
      <c r="DT31" s="56"/>
      <c r="DV31" s="66">
        <v>70.599999999999994</v>
      </c>
      <c r="EM31" s="56"/>
      <c r="EO31" s="56"/>
      <c r="EQ31" s="66">
        <v>70.599999999999994</v>
      </c>
      <c r="FH31" s="56"/>
      <c r="FJ31" s="56"/>
      <c r="FL31" s="66">
        <v>70.599999999999994</v>
      </c>
      <c r="GC31" s="56"/>
      <c r="GE31" s="56"/>
      <c r="GG31" s="66">
        <v>70.599999999999994</v>
      </c>
      <c r="GX31" s="56"/>
      <c r="GZ31" s="56"/>
      <c r="HB31" s="66">
        <v>70.599999999999994</v>
      </c>
      <c r="HS31" s="56"/>
      <c r="HU31" s="56"/>
      <c r="HW31" s="66">
        <v>70.599999999999994</v>
      </c>
      <c r="IN31" s="56"/>
      <c r="IP31" s="56"/>
      <c r="IR31" s="66">
        <v>70.599999999999994</v>
      </c>
      <c r="JI31" s="56"/>
      <c r="JK31" s="56"/>
      <c r="JM31" s="66">
        <v>70.599999999999994</v>
      </c>
      <c r="KD31" s="56"/>
      <c r="KF31" s="56"/>
      <c r="KH31" s="66">
        <v>70.599999999999994</v>
      </c>
      <c r="KY31" s="56"/>
      <c r="LA31" s="56"/>
      <c r="LC31" s="66">
        <v>70.599999999999994</v>
      </c>
      <c r="LT31" s="56"/>
      <c r="LV31" s="56"/>
      <c r="LX31" s="66">
        <v>70.599999999999994</v>
      </c>
    </row>
    <row r="32" spans="1:358" x14ac:dyDescent="0.2">
      <c r="A32" s="56"/>
      <c r="B32" s="116" t="s">
        <v>107</v>
      </c>
      <c r="C32" s="55"/>
      <c r="AH32" s="56"/>
      <c r="AJ32" s="56"/>
      <c r="AK32" t="s">
        <v>169</v>
      </c>
      <c r="AL32" s="117">
        <v>73</v>
      </c>
      <c r="BD32" s="56"/>
      <c r="BF32" s="56"/>
      <c r="BG32" s="129"/>
      <c r="BH32" s="117">
        <v>72.599999999999994</v>
      </c>
      <c r="BZ32" s="56"/>
      <c r="CB32" s="56"/>
      <c r="CD32" s="117">
        <v>72.599999999999994</v>
      </c>
      <c r="CW32" s="56"/>
      <c r="CY32" s="56"/>
      <c r="DA32" s="117">
        <v>72.599999999999994</v>
      </c>
      <c r="DR32" s="56"/>
      <c r="DT32" s="56"/>
      <c r="DV32" s="117">
        <v>72.599999999999994</v>
      </c>
      <c r="EM32" s="56"/>
      <c r="EO32" s="56"/>
      <c r="EQ32" s="117">
        <v>72.599999999999994</v>
      </c>
      <c r="FH32" s="56"/>
      <c r="FJ32" s="56"/>
      <c r="FK32" s="129"/>
      <c r="FL32" s="117">
        <v>72.599999999999994</v>
      </c>
      <c r="GC32" s="56"/>
      <c r="GE32" s="56"/>
      <c r="GG32" s="117">
        <v>72.599999999999994</v>
      </c>
      <c r="GX32" s="56"/>
      <c r="GZ32" s="56"/>
      <c r="HB32" s="117">
        <v>72.599999999999994</v>
      </c>
      <c r="HS32" s="56"/>
      <c r="HU32" s="56"/>
      <c r="HW32" s="117">
        <v>72.599999999999994</v>
      </c>
      <c r="IN32" s="56"/>
      <c r="IP32" s="56"/>
      <c r="IR32" s="117">
        <v>72.599999999999994</v>
      </c>
      <c r="JI32" s="56"/>
      <c r="JK32" s="56"/>
      <c r="JM32" s="117">
        <v>72.599999999999994</v>
      </c>
      <c r="KD32" s="56"/>
      <c r="KF32" s="56"/>
      <c r="KH32" s="117">
        <v>72.599999999999994</v>
      </c>
      <c r="KY32" s="56"/>
      <c r="LA32" s="56"/>
      <c r="LC32" s="117">
        <v>72.599999999999994</v>
      </c>
      <c r="LT32" s="56"/>
      <c r="LV32" s="56"/>
      <c r="LX32" s="117">
        <v>72.599999999999994</v>
      </c>
    </row>
    <row r="33" spans="1:336" x14ac:dyDescent="0.2">
      <c r="A33" s="56"/>
      <c r="B33" s="74" t="s">
        <v>57</v>
      </c>
      <c r="C33" s="55"/>
      <c r="AH33" s="56"/>
      <c r="AJ33" s="56"/>
      <c r="AL33" s="68">
        <v>145</v>
      </c>
      <c r="BD33" s="56"/>
      <c r="BF33" s="56"/>
      <c r="BH33" s="68">
        <v>74.3</v>
      </c>
      <c r="BZ33" s="56"/>
      <c r="CB33" s="56"/>
      <c r="CD33" s="68">
        <v>74.3</v>
      </c>
      <c r="CW33" s="56"/>
      <c r="CY33" s="56"/>
      <c r="DA33" s="68">
        <v>74.3</v>
      </c>
      <c r="DR33" s="56"/>
      <c r="DT33" s="56"/>
      <c r="DV33" s="68">
        <v>74.3</v>
      </c>
      <c r="EM33" s="56"/>
      <c r="EO33" s="56"/>
      <c r="EP33" s="129"/>
      <c r="EQ33" s="68">
        <v>74.3</v>
      </c>
      <c r="FH33" s="56"/>
      <c r="FJ33" s="56"/>
      <c r="FL33" s="68">
        <v>74.3</v>
      </c>
      <c r="GC33" s="56"/>
      <c r="GE33" s="56"/>
      <c r="GG33" s="68">
        <v>74.3</v>
      </c>
      <c r="GX33" s="56"/>
      <c r="GZ33" s="56"/>
      <c r="HB33" s="68">
        <v>74.3</v>
      </c>
      <c r="HS33" s="56"/>
      <c r="HU33" s="56"/>
      <c r="HW33" s="68">
        <v>74.3</v>
      </c>
      <c r="IN33" s="56"/>
      <c r="IP33" s="56"/>
      <c r="IR33" s="68">
        <v>74.3</v>
      </c>
      <c r="JI33" s="56"/>
      <c r="JK33" s="56"/>
      <c r="JM33" s="68">
        <v>74.3</v>
      </c>
      <c r="KD33" s="56"/>
      <c r="KF33" s="56"/>
      <c r="KH33" s="68">
        <v>74.3</v>
      </c>
      <c r="KY33" s="56"/>
      <c r="LA33" s="56"/>
      <c r="LC33" s="68">
        <v>74.3</v>
      </c>
      <c r="LT33" s="56"/>
      <c r="LV33" s="56"/>
      <c r="LX33" s="68">
        <v>74.3</v>
      </c>
    </row>
    <row r="34" spans="1:336" x14ac:dyDescent="0.2">
      <c r="B34" s="82" t="s">
        <v>89</v>
      </c>
      <c r="C34" s="2"/>
      <c r="CX34" s="6"/>
      <c r="KE34" s="6"/>
    </row>
    <row r="35" spans="1:336" x14ac:dyDescent="0.2">
      <c r="A35" s="56"/>
      <c r="B35" s="56"/>
      <c r="C35" s="55"/>
    </row>
    <row r="36" spans="1:336" x14ac:dyDescent="0.2">
      <c r="A36" s="56"/>
      <c r="B36" s="56"/>
      <c r="C36" s="55"/>
    </row>
    <row r="37" spans="1:336" x14ac:dyDescent="0.2">
      <c r="A37" s="56"/>
      <c r="B37" s="56"/>
      <c r="C37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3">
      <sortCondition descending="1" ref="F1:F24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23">
    <cfRule type="expression" dxfId="51" priority="3" stopIfTrue="1">
      <formula>IF($BC4&lt;&gt;"",1,0)</formula>
    </cfRule>
  </conditionalFormatting>
  <conditionalFormatting sqref="Q4:AL23">
    <cfRule type="expression" dxfId="50" priority="1" stopIfTrue="1">
      <formula>IF($AG4&lt;&gt;"",1,0)</formula>
    </cfRule>
  </conditionalFormatting>
  <conditionalFormatting sqref="K1:K1048576 M1:M1048576">
    <cfRule type="expression" dxfId="49" priority="36335">
      <formula>IF(K1=$BI$1,1,0)</formula>
    </cfRule>
    <cfRule type="expression" dxfId="48" priority="36601">
      <formula>IF(K1=$AM$1,1,0)</formula>
    </cfRule>
    <cfRule type="expression" dxfId="47" priority="36602">
      <formula>IF(K1=$Q$1,1,0)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6" priority="29" operator="between">
      <formula>AL$29</formula>
      <formula>1000</formula>
    </cfRule>
    <cfRule type="cellIs" dxfId="45" priority="30" operator="between">
      <formula>AL$28</formula>
      <formula>AL$29</formula>
    </cfRule>
    <cfRule type="cellIs" dxfId="44" priority="137" operator="between">
      <formula>AL$27</formula>
      <formula>AL$28</formula>
    </cfRule>
    <cfRule type="cellIs" dxfId="43" priority="205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2" priority="8882" operator="between">
      <formula>AL$33</formula>
      <formula>1000</formula>
    </cfRule>
    <cfRule type="cellIs" dxfId="41" priority="36249" operator="between">
      <formula>AL$32</formula>
      <formula>AL$33</formula>
    </cfRule>
    <cfRule type="cellIs" dxfId="40" priority="36250" operator="between">
      <formula>AL$31</formula>
      <formula>AL$32</formula>
    </cfRule>
    <cfRule type="cellIs" dxfId="39" priority="36253" operator="between">
      <formula>AL$30</formula>
      <formula>AL$31</formula>
    </cfRule>
  </conditionalFormatting>
  <conditionalFormatting sqref="BI4:CD23">
    <cfRule type="expression" dxfId="38" priority="2" stopIfTrue="1">
      <formula>IF($BY4&lt;&gt;"",1,0)</formula>
    </cfRule>
  </conditionalFormatting>
  <conditionalFormatting sqref="A1:A1048576">
    <cfRule type="expression" dxfId="37" priority="38432">
      <formula>AND(G1="P",F1="")</formula>
    </cfRule>
  </conditionalFormatting>
  <conditionalFormatting sqref="H1:H1048576">
    <cfRule type="containsText" dxfId="36" priority="5" operator="containsText" text="No DD">
      <formula>NOT(ISERROR(SEARCH("No DD",H1)))</formula>
    </cfRule>
    <cfRule type="containsText" dxfId="35" priority="6" operator="containsText" text="Merit">
      <formula>NOT(ISERROR(SEARCH("Merit",H1)))</formula>
    </cfRule>
    <cfRule type="containsText" dxfId="34" priority="26" operator="containsText" text="Excellence">
      <formula>NOT(ISERROR(SEARCH("Excellence",H1)))</formula>
    </cfRule>
    <cfRule type="containsText" dxfId="33" priority="27" operator="containsText" text="Worlds Team">
      <formula>NOT(ISERROR(SEARCH("Worlds Team",H1)))</formula>
    </cfRule>
    <cfRule type="containsText" dxfId="32" priority="28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41</v>
      </c>
      <c r="C1" s="140" t="s">
        <v>0</v>
      </c>
      <c r="D1" s="140" t="s">
        <v>90</v>
      </c>
      <c r="E1" s="140" t="s">
        <v>2</v>
      </c>
      <c r="F1" s="146" t="s">
        <v>106</v>
      </c>
      <c r="G1" s="146" t="s">
        <v>15</v>
      </c>
      <c r="H1" s="140" t="s">
        <v>16</v>
      </c>
      <c r="I1" s="146" t="s">
        <v>180</v>
      </c>
      <c r="J1" s="147" t="s">
        <v>109</v>
      </c>
      <c r="K1" s="141" t="s">
        <v>55</v>
      </c>
      <c r="L1" s="147" t="s">
        <v>108</v>
      </c>
      <c r="M1" s="141" t="s">
        <v>55</v>
      </c>
      <c r="N1" s="142" t="s">
        <v>21</v>
      </c>
      <c r="O1" s="141" t="s">
        <v>56</v>
      </c>
      <c r="P1" s="141" t="s">
        <v>55</v>
      </c>
      <c r="Q1" s="137" t="s">
        <v>128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160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182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105</v>
      </c>
      <c r="CF1" s="139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50"/>
      <c r="FN1" s="150"/>
      <c r="FO1" s="150"/>
      <c r="FP1" s="150"/>
      <c r="FQ1" s="150"/>
      <c r="FR1" s="150"/>
      <c r="FS1" s="150"/>
      <c r="FT1" s="150"/>
      <c r="FU1" s="150"/>
      <c r="FV1" s="150"/>
      <c r="FW1" s="150"/>
      <c r="FX1" s="150"/>
      <c r="FY1" s="150"/>
      <c r="FZ1" s="150"/>
      <c r="GA1" s="150"/>
      <c r="GB1" s="150"/>
      <c r="GC1" s="150"/>
      <c r="GD1" s="150"/>
      <c r="GE1" s="150"/>
      <c r="GF1" s="150"/>
      <c r="GG1" s="150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50"/>
      <c r="HD1" s="150"/>
      <c r="HE1" s="150"/>
      <c r="HF1" s="150"/>
      <c r="HG1" s="150"/>
      <c r="HH1" s="150"/>
      <c r="HI1" s="150"/>
      <c r="HJ1" s="150"/>
      <c r="HK1" s="150"/>
      <c r="HL1" s="150"/>
      <c r="HM1" s="150"/>
      <c r="HN1" s="150"/>
      <c r="HO1" s="150"/>
      <c r="HP1" s="150"/>
      <c r="HQ1" s="150"/>
      <c r="HR1" s="150"/>
      <c r="HS1" s="150"/>
      <c r="HT1" s="150"/>
      <c r="HU1" s="150"/>
      <c r="HV1" s="150"/>
      <c r="HW1" s="150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50"/>
      <c r="IT1" s="150"/>
      <c r="IU1" s="150"/>
      <c r="IV1" s="150"/>
      <c r="IW1" s="150"/>
      <c r="IX1" s="150"/>
      <c r="IY1" s="150"/>
      <c r="IZ1" s="150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0"/>
      <c r="JM1" s="150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50"/>
      <c r="KJ1" s="150"/>
      <c r="KK1" s="150"/>
      <c r="KL1" s="150"/>
      <c r="KM1" s="150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0"/>
      <c r="KZ1" s="150"/>
      <c r="LA1" s="150"/>
      <c r="LB1" s="150"/>
      <c r="LC1" s="150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37" t="s">
        <v>113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7"/>
      <c r="K2" s="141"/>
      <c r="L2" s="147"/>
      <c r="M2" s="141"/>
      <c r="N2" s="142"/>
      <c r="O2" s="141"/>
      <c r="P2" s="141"/>
      <c r="Q2" s="136" t="s">
        <v>43</v>
      </c>
      <c r="R2" s="136"/>
      <c r="S2" s="136"/>
      <c r="T2" s="136"/>
      <c r="U2" s="136" t="s">
        <v>46</v>
      </c>
      <c r="V2" s="136"/>
      <c r="W2" s="136"/>
      <c r="X2" s="136"/>
      <c r="Y2" s="136" t="s">
        <v>47</v>
      </c>
      <c r="Z2" s="136"/>
      <c r="AA2" s="136"/>
      <c r="AB2" s="136"/>
      <c r="AC2" s="143" t="s">
        <v>48</v>
      </c>
      <c r="AD2" s="143"/>
      <c r="AE2" s="143"/>
      <c r="AF2" s="143"/>
      <c r="AG2" s="84"/>
      <c r="AH2" s="87" t="s">
        <v>32</v>
      </c>
      <c r="AI2" s="9" t="s">
        <v>31</v>
      </c>
      <c r="AJ2" s="109" t="s">
        <v>126</v>
      </c>
      <c r="AK2" s="9" t="s">
        <v>30</v>
      </c>
      <c r="AL2" s="9" t="s">
        <v>25</v>
      </c>
      <c r="AM2" s="135" t="s">
        <v>43</v>
      </c>
      <c r="AN2" s="135"/>
      <c r="AO2" s="135"/>
      <c r="AP2" s="135"/>
      <c r="AQ2" s="135" t="s">
        <v>46</v>
      </c>
      <c r="AR2" s="135"/>
      <c r="AS2" s="135"/>
      <c r="AT2" s="135"/>
      <c r="AU2" s="135" t="s">
        <v>47</v>
      </c>
      <c r="AV2" s="135"/>
      <c r="AW2" s="135"/>
      <c r="AX2" s="135"/>
      <c r="AY2" s="149" t="s">
        <v>48</v>
      </c>
      <c r="AZ2" s="149"/>
      <c r="BA2" s="149"/>
      <c r="BB2" s="149"/>
      <c r="BC2" s="83"/>
      <c r="BD2" s="88" t="s">
        <v>32</v>
      </c>
      <c r="BE2" s="12" t="s">
        <v>31</v>
      </c>
      <c r="BF2" s="110" t="s">
        <v>126</v>
      </c>
      <c r="BG2" s="12" t="s">
        <v>30</v>
      </c>
      <c r="BH2" s="12" t="s">
        <v>25</v>
      </c>
      <c r="BI2" s="136" t="s">
        <v>43</v>
      </c>
      <c r="BJ2" s="136"/>
      <c r="BK2" s="136"/>
      <c r="BL2" s="136"/>
      <c r="BM2" s="136" t="s">
        <v>46</v>
      </c>
      <c r="BN2" s="136"/>
      <c r="BO2" s="136"/>
      <c r="BP2" s="136"/>
      <c r="BQ2" s="136" t="s">
        <v>47</v>
      </c>
      <c r="BR2" s="136"/>
      <c r="BS2" s="136"/>
      <c r="BT2" s="136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126</v>
      </c>
      <c r="CC2" s="9" t="s">
        <v>30</v>
      </c>
      <c r="CD2" s="9" t="s">
        <v>25</v>
      </c>
      <c r="CE2" s="22" t="s">
        <v>111</v>
      </c>
      <c r="CF2" s="22" t="s">
        <v>110</v>
      </c>
      <c r="CG2" s="136" t="s">
        <v>43</v>
      </c>
      <c r="CH2" s="136"/>
      <c r="CI2" s="136"/>
      <c r="CJ2" s="136"/>
      <c r="CK2" s="136" t="s">
        <v>46</v>
      </c>
      <c r="CL2" s="136"/>
      <c r="CM2" s="136"/>
      <c r="CN2" s="136"/>
      <c r="CO2" s="136" t="s">
        <v>47</v>
      </c>
      <c r="CP2" s="136"/>
      <c r="CQ2" s="136"/>
      <c r="CR2" s="136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109" t="s">
        <v>126</v>
      </c>
      <c r="CZ2" s="9" t="s">
        <v>30</v>
      </c>
      <c r="DA2" s="9" t="s">
        <v>25</v>
      </c>
      <c r="DB2" s="149" t="s">
        <v>43</v>
      </c>
      <c r="DC2" s="149"/>
      <c r="DD2" s="149"/>
      <c r="DE2" s="149"/>
      <c r="DF2" s="149" t="s">
        <v>46</v>
      </c>
      <c r="DG2" s="149"/>
      <c r="DH2" s="149"/>
      <c r="DI2" s="149"/>
      <c r="DJ2" s="149" t="s">
        <v>47</v>
      </c>
      <c r="DK2" s="149"/>
      <c r="DL2" s="149"/>
      <c r="DM2" s="149"/>
      <c r="DN2" s="149" t="s">
        <v>48</v>
      </c>
      <c r="DO2" s="149"/>
      <c r="DP2" s="149"/>
      <c r="DQ2" s="149"/>
      <c r="DR2" s="88" t="s">
        <v>32</v>
      </c>
      <c r="DS2" s="16" t="s">
        <v>31</v>
      </c>
      <c r="DT2" s="110" t="s">
        <v>126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109" t="s">
        <v>126</v>
      </c>
      <c r="EP2" s="17" t="s">
        <v>30</v>
      </c>
      <c r="EQ2" s="17" t="s">
        <v>25</v>
      </c>
      <c r="ER2" s="149" t="s">
        <v>43</v>
      </c>
      <c r="ES2" s="149"/>
      <c r="ET2" s="149"/>
      <c r="EU2" s="149"/>
      <c r="EV2" s="149" t="s">
        <v>46</v>
      </c>
      <c r="EW2" s="149"/>
      <c r="EX2" s="149"/>
      <c r="EY2" s="149"/>
      <c r="EZ2" s="149" t="s">
        <v>47</v>
      </c>
      <c r="FA2" s="149"/>
      <c r="FB2" s="149"/>
      <c r="FC2" s="149"/>
      <c r="FD2" s="149" t="s">
        <v>48</v>
      </c>
      <c r="FE2" s="149"/>
      <c r="FF2" s="149"/>
      <c r="FG2" s="149"/>
      <c r="FH2" s="88" t="s">
        <v>32</v>
      </c>
      <c r="FI2" s="16" t="s">
        <v>31</v>
      </c>
      <c r="FJ2" s="110" t="s">
        <v>126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109" t="s">
        <v>126</v>
      </c>
      <c r="GF2" s="17" t="s">
        <v>30</v>
      </c>
      <c r="GG2" s="17" t="s">
        <v>25</v>
      </c>
      <c r="GH2" s="149" t="s">
        <v>43</v>
      </c>
      <c r="GI2" s="149"/>
      <c r="GJ2" s="149"/>
      <c r="GK2" s="149"/>
      <c r="GL2" s="149" t="s">
        <v>46</v>
      </c>
      <c r="GM2" s="149"/>
      <c r="GN2" s="149"/>
      <c r="GO2" s="149"/>
      <c r="GP2" s="149" t="s">
        <v>47</v>
      </c>
      <c r="GQ2" s="149"/>
      <c r="GR2" s="149"/>
      <c r="GS2" s="149"/>
      <c r="GT2" s="149" t="s">
        <v>48</v>
      </c>
      <c r="GU2" s="149"/>
      <c r="GV2" s="149"/>
      <c r="GW2" s="149"/>
      <c r="GX2" s="88" t="s">
        <v>32</v>
      </c>
      <c r="GY2" s="16" t="s">
        <v>31</v>
      </c>
      <c r="GZ2" s="110" t="s">
        <v>126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87" t="s">
        <v>32</v>
      </c>
      <c r="HT2" s="17" t="s">
        <v>31</v>
      </c>
      <c r="HU2" s="109" t="s">
        <v>126</v>
      </c>
      <c r="HV2" s="17" t="s">
        <v>30</v>
      </c>
      <c r="HW2" s="17" t="s">
        <v>25</v>
      </c>
      <c r="HX2" s="149" t="s">
        <v>43</v>
      </c>
      <c r="HY2" s="149"/>
      <c r="HZ2" s="149"/>
      <c r="IA2" s="149"/>
      <c r="IB2" s="149" t="s">
        <v>46</v>
      </c>
      <c r="IC2" s="149"/>
      <c r="ID2" s="149"/>
      <c r="IE2" s="149"/>
      <c r="IF2" s="149" t="s">
        <v>47</v>
      </c>
      <c r="IG2" s="149"/>
      <c r="IH2" s="149"/>
      <c r="II2" s="149"/>
      <c r="IJ2" s="149" t="s">
        <v>48</v>
      </c>
      <c r="IK2" s="149"/>
      <c r="IL2" s="149"/>
      <c r="IM2" s="149"/>
      <c r="IN2" s="88" t="s">
        <v>32</v>
      </c>
      <c r="IO2" s="16" t="s">
        <v>31</v>
      </c>
      <c r="IP2" s="110" t="s">
        <v>126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87" t="s">
        <v>32</v>
      </c>
      <c r="JJ2" s="17" t="s">
        <v>31</v>
      </c>
      <c r="JK2" s="109" t="s">
        <v>126</v>
      </c>
      <c r="JL2" s="17" t="s">
        <v>30</v>
      </c>
      <c r="JM2" s="17" t="s">
        <v>25</v>
      </c>
      <c r="JN2" s="149" t="s">
        <v>43</v>
      </c>
      <c r="JO2" s="149"/>
      <c r="JP2" s="149"/>
      <c r="JQ2" s="149"/>
      <c r="JR2" s="149" t="s">
        <v>46</v>
      </c>
      <c r="JS2" s="149"/>
      <c r="JT2" s="149"/>
      <c r="JU2" s="149"/>
      <c r="JV2" s="149" t="s">
        <v>47</v>
      </c>
      <c r="JW2" s="149"/>
      <c r="JX2" s="149"/>
      <c r="JY2" s="149"/>
      <c r="JZ2" s="149" t="s">
        <v>48</v>
      </c>
      <c r="KA2" s="149"/>
      <c r="KB2" s="149"/>
      <c r="KC2" s="149"/>
      <c r="KD2" s="88" t="s">
        <v>32</v>
      </c>
      <c r="KE2" s="16" t="s">
        <v>31</v>
      </c>
      <c r="KF2" s="110" t="s">
        <v>126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87" t="s">
        <v>32</v>
      </c>
      <c r="KZ2" s="17" t="s">
        <v>31</v>
      </c>
      <c r="LA2" s="109" t="s">
        <v>126</v>
      </c>
      <c r="LB2" s="17" t="s">
        <v>30</v>
      </c>
      <c r="LC2" s="17" t="s">
        <v>25</v>
      </c>
      <c r="LD2" s="149" t="s">
        <v>43</v>
      </c>
      <c r="LE2" s="149"/>
      <c r="LF2" s="149"/>
      <c r="LG2" s="149"/>
      <c r="LH2" s="149" t="s">
        <v>46</v>
      </c>
      <c r="LI2" s="149"/>
      <c r="LJ2" s="149"/>
      <c r="LK2" s="149"/>
      <c r="LL2" s="149" t="s">
        <v>47</v>
      </c>
      <c r="LM2" s="149"/>
      <c r="LN2" s="149"/>
      <c r="LO2" s="149"/>
      <c r="LP2" s="149" t="s">
        <v>48</v>
      </c>
      <c r="LQ2" s="149"/>
      <c r="LR2" s="149"/>
      <c r="LS2" s="149"/>
      <c r="LT2" s="88" t="s">
        <v>32</v>
      </c>
      <c r="LU2" s="16" t="s">
        <v>31</v>
      </c>
      <c r="LV2" s="110" t="s">
        <v>126</v>
      </c>
      <c r="LW2" s="16" t="s">
        <v>30</v>
      </c>
      <c r="LX2" s="16" t="s">
        <v>25</v>
      </c>
      <c r="LY2" s="136" t="s">
        <v>43</v>
      </c>
      <c r="LZ2" s="136"/>
      <c r="MA2" s="136"/>
      <c r="MB2" s="136"/>
      <c r="MC2" s="136" t="s">
        <v>46</v>
      </c>
      <c r="MD2" s="136"/>
      <c r="ME2" s="136"/>
      <c r="MF2" s="136"/>
      <c r="MG2" s="136" t="s">
        <v>47</v>
      </c>
      <c r="MH2" s="136"/>
      <c r="MI2" s="136"/>
      <c r="MJ2" s="136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126</v>
      </c>
      <c r="MS2" s="9" t="s">
        <v>30</v>
      </c>
      <c r="MT2" s="9" t="s">
        <v>25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7"/>
      <c r="K3" s="141"/>
      <c r="L3" s="147"/>
      <c r="M3" s="141"/>
      <c r="N3" s="142"/>
      <c r="O3" s="141"/>
      <c r="P3" s="141"/>
      <c r="Q3" s="84" t="s">
        <v>22</v>
      </c>
      <c r="R3" s="84" t="s">
        <v>14</v>
      </c>
      <c r="S3" s="84" t="s">
        <v>44</v>
      </c>
      <c r="T3" s="84" t="s">
        <v>45</v>
      </c>
      <c r="U3" s="84" t="s">
        <v>22</v>
      </c>
      <c r="V3" s="84" t="s">
        <v>14</v>
      </c>
      <c r="W3" s="84" t="s">
        <v>44</v>
      </c>
      <c r="X3" s="84" t="s">
        <v>45</v>
      </c>
      <c r="Y3" s="84" t="s">
        <v>22</v>
      </c>
      <c r="Z3" s="84" t="s">
        <v>14</v>
      </c>
      <c r="AA3" s="84" t="s">
        <v>44</v>
      </c>
      <c r="AB3" s="84" t="s">
        <v>45</v>
      </c>
      <c r="AC3" s="85" t="s">
        <v>22</v>
      </c>
      <c r="AD3" s="85" t="s">
        <v>14</v>
      </c>
      <c r="AE3" s="85" t="s">
        <v>44</v>
      </c>
      <c r="AF3" s="85" t="s">
        <v>45</v>
      </c>
      <c r="AG3" s="84" t="s">
        <v>87</v>
      </c>
      <c r="AH3" s="10"/>
      <c r="AI3" s="9"/>
      <c r="AJ3" s="10"/>
      <c r="AK3" s="10"/>
      <c r="AL3" s="10"/>
      <c r="AM3" s="83" t="s">
        <v>22</v>
      </c>
      <c r="AN3" s="83" t="s">
        <v>14</v>
      </c>
      <c r="AO3" s="83" t="s">
        <v>44</v>
      </c>
      <c r="AP3" s="83" t="s">
        <v>45</v>
      </c>
      <c r="AQ3" s="83" t="s">
        <v>22</v>
      </c>
      <c r="AR3" s="83" t="s">
        <v>14</v>
      </c>
      <c r="AS3" s="83" t="s">
        <v>44</v>
      </c>
      <c r="AT3" s="83" t="s">
        <v>45</v>
      </c>
      <c r="AU3" s="83" t="s">
        <v>22</v>
      </c>
      <c r="AV3" s="83" t="s">
        <v>14</v>
      </c>
      <c r="AW3" s="83" t="s">
        <v>44</v>
      </c>
      <c r="AX3" s="83" t="s">
        <v>45</v>
      </c>
      <c r="AY3" s="86" t="s">
        <v>22</v>
      </c>
      <c r="AZ3" s="86" t="s">
        <v>14</v>
      </c>
      <c r="BA3" s="86" t="s">
        <v>44</v>
      </c>
      <c r="BB3" s="86" t="s">
        <v>45</v>
      </c>
      <c r="BC3" s="83" t="s">
        <v>87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10"/>
      <c r="CC3" s="10"/>
      <c r="CD3" s="10"/>
      <c r="CE3" s="23"/>
      <c r="CF3" s="23"/>
      <c r="CG3" s="84" t="s">
        <v>22</v>
      </c>
      <c r="CH3" s="84" t="s">
        <v>14</v>
      </c>
      <c r="CI3" s="84" t="s">
        <v>44</v>
      </c>
      <c r="CJ3" s="84" t="s">
        <v>45</v>
      </c>
      <c r="CK3" s="84" t="s">
        <v>22</v>
      </c>
      <c r="CL3" s="84" t="s">
        <v>14</v>
      </c>
      <c r="CM3" s="84" t="s">
        <v>44</v>
      </c>
      <c r="CN3" s="84" t="s">
        <v>45</v>
      </c>
      <c r="CO3" s="84" t="s">
        <v>22</v>
      </c>
      <c r="CP3" s="84" t="s">
        <v>14</v>
      </c>
      <c r="CQ3" s="84" t="s">
        <v>44</v>
      </c>
      <c r="CR3" s="84" t="s">
        <v>45</v>
      </c>
      <c r="CS3" s="85" t="s">
        <v>22</v>
      </c>
      <c r="CT3" s="85" t="s">
        <v>14</v>
      </c>
      <c r="CU3" s="85" t="s">
        <v>44</v>
      </c>
      <c r="CV3" s="85" t="s">
        <v>45</v>
      </c>
      <c r="CW3" s="10"/>
      <c r="CX3" s="9"/>
      <c r="CY3" s="10"/>
      <c r="CZ3" s="10"/>
      <c r="DA3" s="10"/>
      <c r="DB3" s="86" t="s">
        <v>22</v>
      </c>
      <c r="DC3" s="86" t="s">
        <v>14</v>
      </c>
      <c r="DD3" s="86" t="s">
        <v>44</v>
      </c>
      <c r="DE3" s="86" t="s">
        <v>45</v>
      </c>
      <c r="DF3" s="86" t="s">
        <v>22</v>
      </c>
      <c r="DG3" s="86" t="s">
        <v>14</v>
      </c>
      <c r="DH3" s="86" t="s">
        <v>44</v>
      </c>
      <c r="DI3" s="86" t="s">
        <v>45</v>
      </c>
      <c r="DJ3" s="86" t="s">
        <v>22</v>
      </c>
      <c r="DK3" s="86" t="s">
        <v>14</v>
      </c>
      <c r="DL3" s="86" t="s">
        <v>44</v>
      </c>
      <c r="DM3" s="86" t="s">
        <v>45</v>
      </c>
      <c r="DN3" s="86" t="s">
        <v>22</v>
      </c>
      <c r="DO3" s="86" t="s">
        <v>14</v>
      </c>
      <c r="DP3" s="86" t="s">
        <v>44</v>
      </c>
      <c r="DQ3" s="86" t="s">
        <v>45</v>
      </c>
      <c r="DR3" s="13"/>
      <c r="DS3" s="16"/>
      <c r="DT3" s="13"/>
      <c r="DU3" s="16"/>
      <c r="DV3" s="16"/>
      <c r="DW3" s="85" t="s">
        <v>22</v>
      </c>
      <c r="DX3" s="85" t="s">
        <v>14</v>
      </c>
      <c r="DY3" s="85" t="s">
        <v>44</v>
      </c>
      <c r="DZ3" s="85" t="s">
        <v>45</v>
      </c>
      <c r="EA3" s="85" t="s">
        <v>22</v>
      </c>
      <c r="EB3" s="85" t="s">
        <v>14</v>
      </c>
      <c r="EC3" s="85" t="s">
        <v>44</v>
      </c>
      <c r="ED3" s="85" t="s">
        <v>45</v>
      </c>
      <c r="EE3" s="85" t="s">
        <v>22</v>
      </c>
      <c r="EF3" s="85" t="s">
        <v>14</v>
      </c>
      <c r="EG3" s="85" t="s">
        <v>44</v>
      </c>
      <c r="EH3" s="85" t="s">
        <v>45</v>
      </c>
      <c r="EI3" s="85" t="s">
        <v>22</v>
      </c>
      <c r="EJ3" s="85" t="s">
        <v>14</v>
      </c>
      <c r="EK3" s="85" t="s">
        <v>44</v>
      </c>
      <c r="EL3" s="85" t="s">
        <v>45</v>
      </c>
      <c r="EM3" s="10"/>
      <c r="EN3" s="17"/>
      <c r="EO3" s="10"/>
      <c r="EP3" s="17"/>
      <c r="EQ3" s="17"/>
      <c r="ER3" s="86" t="s">
        <v>22</v>
      </c>
      <c r="ES3" s="86" t="s">
        <v>14</v>
      </c>
      <c r="ET3" s="86" t="s">
        <v>44</v>
      </c>
      <c r="EU3" s="86" t="s">
        <v>45</v>
      </c>
      <c r="EV3" s="86" t="s">
        <v>22</v>
      </c>
      <c r="EW3" s="86" t="s">
        <v>14</v>
      </c>
      <c r="EX3" s="86" t="s">
        <v>44</v>
      </c>
      <c r="EY3" s="86" t="s">
        <v>45</v>
      </c>
      <c r="EZ3" s="86" t="s">
        <v>22</v>
      </c>
      <c r="FA3" s="86" t="s">
        <v>14</v>
      </c>
      <c r="FB3" s="86" t="s">
        <v>44</v>
      </c>
      <c r="FC3" s="86" t="s">
        <v>45</v>
      </c>
      <c r="FD3" s="86" t="s">
        <v>22</v>
      </c>
      <c r="FE3" s="86" t="s">
        <v>14</v>
      </c>
      <c r="FF3" s="86" t="s">
        <v>44</v>
      </c>
      <c r="FG3" s="86" t="s">
        <v>45</v>
      </c>
      <c r="FH3" s="13"/>
      <c r="FI3" s="16"/>
      <c r="FJ3" s="13"/>
      <c r="FK3" s="16"/>
      <c r="FL3" s="16"/>
      <c r="FM3" s="85" t="s">
        <v>22</v>
      </c>
      <c r="FN3" s="85" t="s">
        <v>14</v>
      </c>
      <c r="FO3" s="85" t="s">
        <v>44</v>
      </c>
      <c r="FP3" s="85" t="s">
        <v>45</v>
      </c>
      <c r="FQ3" s="85" t="s">
        <v>22</v>
      </c>
      <c r="FR3" s="85" t="s">
        <v>14</v>
      </c>
      <c r="FS3" s="85" t="s">
        <v>44</v>
      </c>
      <c r="FT3" s="85" t="s">
        <v>45</v>
      </c>
      <c r="FU3" s="85" t="s">
        <v>22</v>
      </c>
      <c r="FV3" s="85" t="s">
        <v>14</v>
      </c>
      <c r="FW3" s="85" t="s">
        <v>44</v>
      </c>
      <c r="FX3" s="85" t="s">
        <v>45</v>
      </c>
      <c r="FY3" s="85" t="s">
        <v>22</v>
      </c>
      <c r="FZ3" s="85" t="s">
        <v>14</v>
      </c>
      <c r="GA3" s="85" t="s">
        <v>44</v>
      </c>
      <c r="GB3" s="85" t="s">
        <v>45</v>
      </c>
      <c r="GC3" s="10"/>
      <c r="GD3" s="17"/>
      <c r="GE3" s="10"/>
      <c r="GF3" s="17"/>
      <c r="GG3" s="17"/>
      <c r="GH3" s="86" t="s">
        <v>22</v>
      </c>
      <c r="GI3" s="86" t="s">
        <v>14</v>
      </c>
      <c r="GJ3" s="86" t="s">
        <v>44</v>
      </c>
      <c r="GK3" s="86" t="s">
        <v>45</v>
      </c>
      <c r="GL3" s="86" t="s">
        <v>22</v>
      </c>
      <c r="GM3" s="86" t="s">
        <v>14</v>
      </c>
      <c r="GN3" s="86" t="s">
        <v>44</v>
      </c>
      <c r="GO3" s="86" t="s">
        <v>45</v>
      </c>
      <c r="GP3" s="86" t="s">
        <v>22</v>
      </c>
      <c r="GQ3" s="86" t="s">
        <v>14</v>
      </c>
      <c r="GR3" s="86" t="s">
        <v>44</v>
      </c>
      <c r="GS3" s="86" t="s">
        <v>45</v>
      </c>
      <c r="GT3" s="86" t="s">
        <v>22</v>
      </c>
      <c r="GU3" s="86" t="s">
        <v>14</v>
      </c>
      <c r="GV3" s="86" t="s">
        <v>44</v>
      </c>
      <c r="GW3" s="86" t="s">
        <v>45</v>
      </c>
      <c r="GX3" s="13"/>
      <c r="GY3" s="16"/>
      <c r="GZ3" s="13"/>
      <c r="HA3" s="16"/>
      <c r="HB3" s="16"/>
      <c r="HC3" s="85" t="s">
        <v>22</v>
      </c>
      <c r="HD3" s="85" t="s">
        <v>14</v>
      </c>
      <c r="HE3" s="85" t="s">
        <v>44</v>
      </c>
      <c r="HF3" s="85" t="s">
        <v>45</v>
      </c>
      <c r="HG3" s="85" t="s">
        <v>22</v>
      </c>
      <c r="HH3" s="85" t="s">
        <v>14</v>
      </c>
      <c r="HI3" s="85" t="s">
        <v>44</v>
      </c>
      <c r="HJ3" s="85" t="s">
        <v>45</v>
      </c>
      <c r="HK3" s="85" t="s">
        <v>22</v>
      </c>
      <c r="HL3" s="85" t="s">
        <v>14</v>
      </c>
      <c r="HM3" s="85" t="s">
        <v>44</v>
      </c>
      <c r="HN3" s="85" t="s">
        <v>45</v>
      </c>
      <c r="HO3" s="85" t="s">
        <v>22</v>
      </c>
      <c r="HP3" s="85" t="s">
        <v>14</v>
      </c>
      <c r="HQ3" s="85" t="s">
        <v>44</v>
      </c>
      <c r="HR3" s="85" t="s">
        <v>45</v>
      </c>
      <c r="HS3" s="10"/>
      <c r="HT3" s="17"/>
      <c r="HU3" s="10"/>
      <c r="HV3" s="17"/>
      <c r="HW3" s="17"/>
      <c r="HX3" s="86" t="s">
        <v>22</v>
      </c>
      <c r="HY3" s="86" t="s">
        <v>14</v>
      </c>
      <c r="HZ3" s="86" t="s">
        <v>44</v>
      </c>
      <c r="IA3" s="86" t="s">
        <v>45</v>
      </c>
      <c r="IB3" s="86" t="s">
        <v>22</v>
      </c>
      <c r="IC3" s="86" t="s">
        <v>14</v>
      </c>
      <c r="ID3" s="86" t="s">
        <v>44</v>
      </c>
      <c r="IE3" s="86" t="s">
        <v>45</v>
      </c>
      <c r="IF3" s="86" t="s">
        <v>22</v>
      </c>
      <c r="IG3" s="86" t="s">
        <v>14</v>
      </c>
      <c r="IH3" s="86" t="s">
        <v>44</v>
      </c>
      <c r="II3" s="86" t="s">
        <v>45</v>
      </c>
      <c r="IJ3" s="86" t="s">
        <v>22</v>
      </c>
      <c r="IK3" s="86" t="s">
        <v>14</v>
      </c>
      <c r="IL3" s="86" t="s">
        <v>44</v>
      </c>
      <c r="IM3" s="86" t="s">
        <v>45</v>
      </c>
      <c r="IN3" s="13"/>
      <c r="IO3" s="16"/>
      <c r="IP3" s="13"/>
      <c r="IQ3" s="16"/>
      <c r="IR3" s="16"/>
      <c r="IS3" s="85" t="s">
        <v>22</v>
      </c>
      <c r="IT3" s="85" t="s">
        <v>14</v>
      </c>
      <c r="IU3" s="85" t="s">
        <v>44</v>
      </c>
      <c r="IV3" s="85" t="s">
        <v>45</v>
      </c>
      <c r="IW3" s="85" t="s">
        <v>22</v>
      </c>
      <c r="IX3" s="85" t="s">
        <v>14</v>
      </c>
      <c r="IY3" s="85" t="s">
        <v>44</v>
      </c>
      <c r="IZ3" s="85" t="s">
        <v>45</v>
      </c>
      <c r="JA3" s="85" t="s">
        <v>22</v>
      </c>
      <c r="JB3" s="85" t="s">
        <v>14</v>
      </c>
      <c r="JC3" s="85" t="s">
        <v>44</v>
      </c>
      <c r="JD3" s="85" t="s">
        <v>45</v>
      </c>
      <c r="JE3" s="85" t="s">
        <v>22</v>
      </c>
      <c r="JF3" s="85" t="s">
        <v>14</v>
      </c>
      <c r="JG3" s="85" t="s">
        <v>44</v>
      </c>
      <c r="JH3" s="85" t="s">
        <v>45</v>
      </c>
      <c r="JI3" s="10"/>
      <c r="JJ3" s="17"/>
      <c r="JK3" s="10"/>
      <c r="JL3" s="17"/>
      <c r="JM3" s="17"/>
      <c r="JN3" s="86" t="s">
        <v>22</v>
      </c>
      <c r="JO3" s="86" t="s">
        <v>14</v>
      </c>
      <c r="JP3" s="86" t="s">
        <v>44</v>
      </c>
      <c r="JQ3" s="86" t="s">
        <v>45</v>
      </c>
      <c r="JR3" s="86" t="s">
        <v>22</v>
      </c>
      <c r="JS3" s="86" t="s">
        <v>14</v>
      </c>
      <c r="JT3" s="86" t="s">
        <v>44</v>
      </c>
      <c r="JU3" s="86" t="s">
        <v>45</v>
      </c>
      <c r="JV3" s="86" t="s">
        <v>22</v>
      </c>
      <c r="JW3" s="86" t="s">
        <v>14</v>
      </c>
      <c r="JX3" s="86" t="s">
        <v>44</v>
      </c>
      <c r="JY3" s="86" t="s">
        <v>45</v>
      </c>
      <c r="JZ3" s="86" t="s">
        <v>22</v>
      </c>
      <c r="KA3" s="86" t="s">
        <v>14</v>
      </c>
      <c r="KB3" s="86" t="s">
        <v>44</v>
      </c>
      <c r="KC3" s="86" t="s">
        <v>45</v>
      </c>
      <c r="KD3" s="13"/>
      <c r="KE3" s="16"/>
      <c r="KF3" s="13"/>
      <c r="KG3" s="16"/>
      <c r="KH3" s="16"/>
      <c r="KI3" s="85" t="s">
        <v>22</v>
      </c>
      <c r="KJ3" s="85" t="s">
        <v>14</v>
      </c>
      <c r="KK3" s="85" t="s">
        <v>44</v>
      </c>
      <c r="KL3" s="85" t="s">
        <v>45</v>
      </c>
      <c r="KM3" s="85" t="s">
        <v>22</v>
      </c>
      <c r="KN3" s="85" t="s">
        <v>14</v>
      </c>
      <c r="KO3" s="85" t="s">
        <v>44</v>
      </c>
      <c r="KP3" s="85" t="s">
        <v>45</v>
      </c>
      <c r="KQ3" s="85" t="s">
        <v>22</v>
      </c>
      <c r="KR3" s="85" t="s">
        <v>14</v>
      </c>
      <c r="KS3" s="85" t="s">
        <v>44</v>
      </c>
      <c r="KT3" s="85" t="s">
        <v>45</v>
      </c>
      <c r="KU3" s="85" t="s">
        <v>22</v>
      </c>
      <c r="KV3" s="85" t="s">
        <v>14</v>
      </c>
      <c r="KW3" s="85" t="s">
        <v>44</v>
      </c>
      <c r="KX3" s="85" t="s">
        <v>45</v>
      </c>
      <c r="KY3" s="10"/>
      <c r="KZ3" s="17"/>
      <c r="LA3" s="10"/>
      <c r="LB3" s="17"/>
      <c r="LC3" s="17"/>
      <c r="LD3" s="86" t="s">
        <v>22</v>
      </c>
      <c r="LE3" s="86" t="s">
        <v>14</v>
      </c>
      <c r="LF3" s="86" t="s">
        <v>44</v>
      </c>
      <c r="LG3" s="86" t="s">
        <v>45</v>
      </c>
      <c r="LH3" s="86" t="s">
        <v>22</v>
      </c>
      <c r="LI3" s="86" t="s">
        <v>14</v>
      </c>
      <c r="LJ3" s="86" t="s">
        <v>44</v>
      </c>
      <c r="LK3" s="86" t="s">
        <v>45</v>
      </c>
      <c r="LL3" s="86" t="s">
        <v>22</v>
      </c>
      <c r="LM3" s="86" t="s">
        <v>14</v>
      </c>
      <c r="LN3" s="86" t="s">
        <v>44</v>
      </c>
      <c r="LO3" s="86" t="s">
        <v>45</v>
      </c>
      <c r="LP3" s="86" t="s">
        <v>22</v>
      </c>
      <c r="LQ3" s="86" t="s">
        <v>14</v>
      </c>
      <c r="LR3" s="86" t="s">
        <v>44</v>
      </c>
      <c r="LS3" s="86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10"/>
      <c r="MS3" s="10"/>
      <c r="MT3" s="10"/>
    </row>
    <row r="4" spans="1:358" x14ac:dyDescent="0.2">
      <c r="A4" s="5">
        <f t="shared" ref="A4:A16" si="0">IF(AND(F4="P",G4="P"),SUMPRODUCT((F$4:F$17="P")*(G$4:G$17="P")*(E$4:E$17&gt;E4))+1,IF(G4="P",SUMPRODUCT((F$4:F$17="")*(G$4:G$17="P")*(E$4:E$17&gt;E4))+1+SUMPRODUCT((F$4:F$17="P")*(G$4:G$17="P")),""))</f>
        <v>1</v>
      </c>
      <c r="B4" s="8" t="s">
        <v>39</v>
      </c>
      <c r="C4" s="4" t="s">
        <v>10</v>
      </c>
      <c r="D4" s="5">
        <v>1998</v>
      </c>
      <c r="E4" s="15">
        <f t="shared" ref="E4:E16" si="1">SUM(J4:N4)</f>
        <v>203.30009999999999</v>
      </c>
      <c r="F4" s="3" t="str">
        <f t="shared" ref="F4:F16" si="2"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 t="shared" ref="G4:G16" si="3"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 t="shared" ref="H4:H16" si="4"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Excellence</v>
      </c>
      <c r="I4" s="3" t="str">
        <f t="shared" ref="I4:I16" si="5">IF(OR(H4="Worlds Team",H4="Excellence",H4="Merit"),"P","")</f>
        <v>P</v>
      </c>
      <c r="J4" s="14">
        <f t="shared" ref="J4:J16" si="6">MAX(AL4,BH4,CD4)</f>
        <v>136.20009999999999</v>
      </c>
      <c r="K4" s="14" t="str">
        <f t="shared" ref="K4:K16" si="7">IF(J4=0,"",IF(J4=CD4,$BI$1,IF(J4=BH4,$AM$1,IF(J4=AL4,$Q$1,""))))</f>
        <v>2019 Nationals</v>
      </c>
      <c r="L4" s="14">
        <f t="shared" ref="L4:L16" si="8">IF(J4=AL4,MAX(BE4,BG4,CA4,CC4),IF(J4=BH4,MAX(AI4,AK4,CA4,CC4),MAX(AI4,AK4,BE4,BG4)))</f>
        <v>67.099999999999994</v>
      </c>
      <c r="M4" s="14" t="str">
        <f t="shared" ref="M4:M16" si="9">IF(L4=0,"",IF(AND(J4&lt;&gt;CD4,OR(L4=CA4,L4=CC4)),$BI$1,IF(AND(J4&lt;&gt;BH4,OR(L4=BG4,L4=BE4)),$AM$1,IF(OR(L4=AK4,L4=AI4),$Q$1,""))))</f>
        <v>2021 1st Virtual Technical Trial</v>
      </c>
      <c r="N4" s="14" t="str">
        <f t="shared" ref="N4:N16" si="10">IF(MAX(CE4:CF4)&gt;0,MAX(CE4:CF4),"")</f>
        <v/>
      </c>
      <c r="O4" s="25" t="str">
        <f t="shared" ref="O4:O16" si="11">IF(N4="","",IF(N4=CE4,"(4 Pass)",IF(N4=CF4,"(2 Pass)")))</f>
        <v/>
      </c>
      <c r="P4" s="14" t="str">
        <f t="shared" ref="P4:P16" si="12"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9">
        <v>28.4</v>
      </c>
      <c r="R4" s="69">
        <v>6.8</v>
      </c>
      <c r="S4" s="69">
        <v>0</v>
      </c>
      <c r="T4" s="69">
        <v>0.3</v>
      </c>
      <c r="U4" s="69">
        <v>25</v>
      </c>
      <c r="V4" s="69">
        <v>6.4001000000000001</v>
      </c>
      <c r="W4" s="69">
        <v>0</v>
      </c>
      <c r="X4" s="69">
        <v>0.3</v>
      </c>
      <c r="Y4" s="69">
        <v>28.1</v>
      </c>
      <c r="Z4" s="69">
        <v>6</v>
      </c>
      <c r="AA4" s="69">
        <v>0.9</v>
      </c>
      <c r="AB4" s="69">
        <v>0.5</v>
      </c>
      <c r="AC4" s="69">
        <v>28.8</v>
      </c>
      <c r="AD4" s="69">
        <v>6</v>
      </c>
      <c r="AE4" s="69">
        <v>0</v>
      </c>
      <c r="AF4" s="69">
        <v>0.5</v>
      </c>
      <c r="AG4" s="80"/>
      <c r="AH4" s="11">
        <f t="shared" ref="AH4:AH16" si="13">IF(SUM(R4,V4)&gt;0,SUM(R4,V4),"")</f>
        <v>13.200099999999999</v>
      </c>
      <c r="AI4" s="11">
        <f t="shared" ref="AI4:AI16" si="14">IF(SUM(Q4:R4,T4:V4,X4)-SUM(S4,W4)&gt;0,SUM(Q4:R4,T4:V4,X4)-SUM(S4,W4),"")</f>
        <v>67.200099999999992</v>
      </c>
      <c r="AJ4" s="11">
        <f t="shared" ref="AJ4:AJ16" si="15">IF(SUM(Z4,AD4)&gt;0,SUM(Z4,AD4),"")</f>
        <v>12</v>
      </c>
      <c r="AK4" s="11">
        <f t="shared" ref="AK4:AK16" si="16">IF(SUM(Y4:Z4,AB4:AD4,AF4)-SUM(AA4,AE4)&gt;0,SUM(Y4:Z4,AB4:AD4,AF4)-SUM(AA4,AE4),"")</f>
        <v>69</v>
      </c>
      <c r="AL4" s="11">
        <f t="shared" ref="AL4:AL16" si="17">IF(SUM(AI4,AK4)&gt;0,SUM(AI4,AK4),"")</f>
        <v>136.20009999999999</v>
      </c>
      <c r="AM4" s="38">
        <v>28.3</v>
      </c>
      <c r="AN4" s="38">
        <v>5.2</v>
      </c>
      <c r="AO4" s="38">
        <v>0</v>
      </c>
      <c r="AP4" s="38">
        <v>0</v>
      </c>
      <c r="AQ4" s="38">
        <v>27.6</v>
      </c>
      <c r="AR4" s="38">
        <v>6</v>
      </c>
      <c r="AS4" s="38">
        <v>0</v>
      </c>
      <c r="AT4" s="38">
        <v>0</v>
      </c>
      <c r="AU4" s="38">
        <v>20.100000000000001</v>
      </c>
      <c r="AV4" s="38">
        <v>2.4</v>
      </c>
      <c r="AW4" s="38">
        <v>0</v>
      </c>
      <c r="AX4" s="38">
        <v>0</v>
      </c>
      <c r="AY4" s="38">
        <v>0</v>
      </c>
      <c r="AZ4" s="38">
        <v>0</v>
      </c>
      <c r="BA4" s="38">
        <v>0</v>
      </c>
      <c r="BB4" s="38">
        <v>0</v>
      </c>
      <c r="BC4" s="81"/>
      <c r="BD4" s="14">
        <f t="shared" ref="BD4:BD16" si="18">IF(SUM(AN4,AR4)&gt;0,SUM(AN4,AR4),"")</f>
        <v>11.2</v>
      </c>
      <c r="BE4" s="14">
        <f t="shared" ref="BE4:BE16" si="19">IF(SUM(AM4:AN4,AP4:AR4,AT4)-SUM(AO4,AS4)&gt;0,SUM(AM4:AN4,AP4:AR4,AT4)-SUM(AO4,AS4),"")</f>
        <v>67.099999999999994</v>
      </c>
      <c r="BF4" s="14">
        <f t="shared" ref="BF4:BF16" si="20">IF(SUM(AV4,AZ4)&gt;0,SUM(AV4,AZ4),"")</f>
        <v>2.4</v>
      </c>
      <c r="BG4" s="14">
        <f t="shared" ref="BG4:BG16" si="21">IF(SUM(AU4:AV4,AX4:AZ4,BB4)-SUM(AW4,BA4)&gt;0,SUM(AU4:AV4,AX4:AZ4,BB4)-SUM(AW4,BA4),"")</f>
        <v>22.5</v>
      </c>
      <c r="BH4" s="14">
        <f t="shared" ref="BH4:BH16" si="22">IF(SUM(BE4,BG4)&gt;0,SUM(BE4,BG4),"")</f>
        <v>89.6</v>
      </c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80"/>
      <c r="BZ4" s="11" t="str">
        <f t="shared" ref="BZ4:BZ16" si="23">IF(SUM(BJ4,BN4)&gt;0,SUM(BJ4,BN4),"")</f>
        <v/>
      </c>
      <c r="CA4" s="11" t="str">
        <f t="shared" ref="CA4:CA16" si="24">IF(SUM(BI4:BJ4,BL4:BN4,BP4)-SUM(BK4,BO4)&gt;0,SUM(BI4:BJ4,BL4:BN4,BP4)-SUM(BK4,BO4),"")</f>
        <v/>
      </c>
      <c r="CB4" s="11" t="str">
        <f t="shared" ref="CB4:CB16" si="25">IF(SUM(BR4,BV4)&gt;0,SUM(BR4,BV4),"")</f>
        <v/>
      </c>
      <c r="CC4" s="11" t="str">
        <f t="shared" ref="CC4:CC16" si="26">IF(SUM(BQ4:BR4,BT4:BV4,BX4)-SUM(BS4,BW4)&gt;0,SUM(BQ4:BR4,BT4:BV4,BX4)-SUM(BS4,BW4),"")</f>
        <v/>
      </c>
      <c r="CD4" s="11" t="str">
        <f t="shared" ref="CD4:CD16" si="27">IF(SUM(CA4,CC4)&gt;0,SUM(CA4,CC4),"")</f>
        <v/>
      </c>
      <c r="CE4" s="24" t="str">
        <f>IF(MAX(DA4,DV4,EQ4,FL4,GG4,HB4,HW4,IR4,JM4,KH4,LC4,LX4)-IF(J4="",0,J4)&gt;0.001,MAX(DA4,DV4,EQ4,FL4,GG4,HB4,HW4,IR4,JM4,KH4,LC4,LX4)-IF(J4="",0,J4),"")</f>
        <v/>
      </c>
      <c r="CF4" s="24" t="str">
        <f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16" si="28">IF(SUM(CH4,CL4)&gt;0,SUM(CH4,CL4),"")</f>
        <v/>
      </c>
      <c r="CX4" s="11" t="str">
        <f t="shared" ref="CX4:CX16" si="29">IF(SUM(CG4:CH4,CJ4:CL4,CN4)-SUM(CI4,CM4)&gt;0,SUM(CG4:CH4,CJ4:CL4,CN4)-SUM(CI4,CM4),"")</f>
        <v/>
      </c>
      <c r="CY4" s="11" t="str">
        <f t="shared" ref="CY4:CY16" si="30">IF(SUM(CP4,CT4)&gt;0,SUM(CP4,CT4),"")</f>
        <v/>
      </c>
      <c r="CZ4" s="11" t="str">
        <f t="shared" ref="CZ4:CZ16" si="31">IF(SUM(CO4:CP4,CR4:CT4,CV4)-SUM(CQ4,CU4)&gt;0,SUM(CO4:CP4,CR4:CT4,CV4)-SUM(CQ4,CU4),"")</f>
        <v/>
      </c>
      <c r="DA4" s="11" t="str">
        <f t="shared" ref="DA4:DA16" si="32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16" si="33">IF(SUM(DC4,DG4)&gt;0,SUM(DC4,DG4),"")</f>
        <v/>
      </c>
      <c r="DS4" s="14" t="str">
        <f t="shared" ref="DS4:DS16" si="34">IF(SUM(DB4:DC4,DE4:DG4,DI4)-SUM(DD4,DH4)&gt;0,SUM(DB4:DC4,DE4:DG4,DI4)-SUM(DD4,DH4),"")</f>
        <v/>
      </c>
      <c r="DT4" s="14" t="str">
        <f t="shared" ref="DT4:DT16" si="35">IF(SUM(DK4,DO4)&gt;0,SUM(DK4,DO4),"")</f>
        <v/>
      </c>
      <c r="DU4" s="14" t="str">
        <f t="shared" ref="DU4:DU16" si="36">IF(SUM(DJ4:DK4,DM4:DO4,DQ4)-SUM(DL4,DP4)&gt;0,SUM(DJ4:DK4,DM4:DO4,DQ4)-SUM(DL4,DP4),"")</f>
        <v/>
      </c>
      <c r="DV4" s="14" t="str">
        <f t="shared" ref="DV4:DV16" si="37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16" si="38">IF(SUM(DX4,EB4)&gt;0,SUM(DX4,EB4),"")</f>
        <v/>
      </c>
      <c r="EN4" s="11" t="str">
        <f t="shared" ref="EN4:EN16" si="39">IF(SUM(DW4:DX4,DZ4:EB4,ED4)-SUM(DY4,EC4)&gt;0,SUM(DW4:DX4,DZ4:EB4,ED4)-SUM(DY4,EC4),"")</f>
        <v/>
      </c>
      <c r="EO4" s="11" t="str">
        <f t="shared" ref="EO4:EO16" si="40">IF(SUM(EF4,EJ4)&gt;0,SUM(EF4,EJ4),"")</f>
        <v/>
      </c>
      <c r="EP4" s="11" t="str">
        <f t="shared" ref="EP4:EP16" si="41">IF(SUM(EE4:EF4,EH4:EJ4,EL4)-SUM(EG4,EK4)&gt;0,SUM(EE4:EF4,EH4:EJ4,EL4)-SUM(EG4,EK4),"")</f>
        <v/>
      </c>
      <c r="EQ4" s="11" t="str">
        <f t="shared" ref="EQ4:EQ16" si="42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16" si="43">IF(SUM(ES4,EW4)&gt;0,SUM(ES4,EW4),"")</f>
        <v/>
      </c>
      <c r="FI4" s="14" t="str">
        <f t="shared" ref="FI4:FI16" si="44">IF(SUM(ER4:ES4,EU4:EW4,EY4)-SUM(ET4,EX4)&gt;0,SUM(ER4:ES4,EU4:EW4,EY4)-SUM(ET4,EX4),"")</f>
        <v/>
      </c>
      <c r="FJ4" s="14" t="str">
        <f t="shared" ref="FJ4:FJ16" si="45">IF(SUM(FA4,FE4)&gt;0,SUM(FA4,FE4),"")</f>
        <v/>
      </c>
      <c r="FK4" s="14" t="str">
        <f t="shared" ref="FK4:FK16" si="46">IF(SUM(EZ4:FA4,FC4:FE4,FG4)-SUM(FB4,FF4)&gt;0,SUM(EZ4:FA4,FC4:FE4,FG4)-SUM(FB4,FF4),"")</f>
        <v/>
      </c>
      <c r="FL4" s="14" t="str">
        <f t="shared" ref="FL4:FL16" si="47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16" si="48">IF(SUM(FN4,FR4)&gt;0,SUM(FN4,FR4),"")</f>
        <v/>
      </c>
      <c r="GD4" s="11" t="str">
        <f t="shared" ref="GD4:GD16" si="49">IF(SUM(FM4:FN4,FP4:FR4,FT4)-SUM(FO4,FS4)&gt;0,SUM(FM4:FN4,FP4:FR4,FT4)-SUM(FO4,FS4),"")</f>
        <v/>
      </c>
      <c r="GE4" s="11" t="str">
        <f t="shared" ref="GE4:GE16" si="50">IF(SUM(FV4,FZ4)&gt;0,SUM(FV4,FZ4),"")</f>
        <v/>
      </c>
      <c r="GF4" s="11" t="str">
        <f t="shared" ref="GF4:GF16" si="51">IF(SUM(FU4:FV4,FX4:FZ4,GB4)-SUM(FW4,GA4)&gt;0,SUM(FU4:FV4,FX4:FZ4,GB4)-SUM(FW4,GA4),"")</f>
        <v/>
      </c>
      <c r="GG4" s="11" t="str">
        <f t="shared" ref="GG4:GG16" si="52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16" si="53">IF(SUM(GI4,GM4)&gt;0,SUM(GI4,GM4),"")</f>
        <v/>
      </c>
      <c r="GY4" s="14" t="str">
        <f t="shared" ref="GY4:GY16" si="54">IF(SUM(GH4:GI4,GK4:GM4,GO4)-SUM(GJ4,GN4)&gt;0,SUM(GH4:GI4,GK4:GM4,GO4)-SUM(GJ4,GN4),"")</f>
        <v/>
      </c>
      <c r="GZ4" s="14" t="str">
        <f t="shared" ref="GZ4:GZ16" si="55">IF(SUM(GQ4,GU4)&gt;0,SUM(GQ4,GU4),"")</f>
        <v/>
      </c>
      <c r="HA4" s="14" t="str">
        <f t="shared" ref="HA4:HA16" si="56">IF(SUM(GP4:GQ4,GS4:GU4,GW4)-SUM(GR4,GV4)&gt;0,SUM(GP4:GQ4,GS4:GU4,GW4)-SUM(GR4,GV4),"")</f>
        <v/>
      </c>
      <c r="HB4" s="14" t="str">
        <f t="shared" ref="HB4:HB16" si="57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16" si="58">IF(SUM(HD4,HH4)&gt;0,SUM(HD4,HH4),"")</f>
        <v/>
      </c>
      <c r="HT4" s="11" t="str">
        <f t="shared" ref="HT4:HT16" si="59">IF(SUM(HC4:HD4,HF4:HH4,HJ4)-SUM(HE4,HI4)&gt;0,SUM(HC4:HD4,HF4:HH4,HJ4)-SUM(HE4,HI4),"")</f>
        <v/>
      </c>
      <c r="HU4" s="11" t="str">
        <f t="shared" ref="HU4:HU16" si="60">IF(SUM(HL4,HP4)&gt;0,SUM(HL4,HP4),"")</f>
        <v/>
      </c>
      <c r="HV4" s="11" t="str">
        <f t="shared" ref="HV4:HV16" si="61">IF(SUM(HK4:HL4,HN4:HP4,HR4)-SUM(HM4,HQ4)&gt;0,SUM(HK4:HL4,HN4:HP4,HR4)-SUM(HM4,HQ4),"")</f>
        <v/>
      </c>
      <c r="HW4" s="11" t="str">
        <f t="shared" ref="HW4:HW16" si="62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16" si="63">IF(SUM(HY4,IC4)&gt;0,SUM(HY4,IC4),"")</f>
        <v/>
      </c>
      <c r="IO4" s="14" t="str">
        <f t="shared" ref="IO4:IO16" si="64">IF(SUM(HX4:HY4,IA4:IC4,IE4)-SUM(HZ4,ID4)&gt;0,SUM(HX4:HY4,IA4:IC4,IE4)-SUM(HZ4,ID4),"")</f>
        <v/>
      </c>
      <c r="IP4" s="14" t="str">
        <f t="shared" ref="IP4:IP16" si="65">IF(SUM(IG4,IK4)&gt;0,SUM(IG4,IK4),"")</f>
        <v/>
      </c>
      <c r="IQ4" s="14" t="str">
        <f t="shared" ref="IQ4:IQ16" si="66">IF(SUM(IF4:IG4,II4:IK4,IM4)-SUM(IH4,IL4)&gt;0,SUM(IF4:IG4,II4:IK4,IM4)-SUM(IH4,IL4),"")</f>
        <v/>
      </c>
      <c r="IR4" s="14" t="str">
        <f t="shared" ref="IR4:IR16" si="67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16" si="68">IF(SUM(IT4,IX4)&gt;0,SUM(IT4,IX4),"")</f>
        <v/>
      </c>
      <c r="JJ4" s="11" t="str">
        <f t="shared" ref="JJ4:JJ16" si="69">IF(SUM(IS4:IT4,IV4:IX4,IZ4)-SUM(IU4,IY4)&gt;0,SUM(IS4:IT4,IV4:IX4,IZ4)-SUM(IU4,IY4),"")</f>
        <v/>
      </c>
      <c r="JK4" s="11" t="str">
        <f t="shared" ref="JK4:JK16" si="70">IF(SUM(JB4,JF4)&gt;0,SUM(JB4,JF4),"")</f>
        <v/>
      </c>
      <c r="JL4" s="11" t="str">
        <f t="shared" ref="JL4:JL16" si="71">IF(SUM(JA4:JB4,JD4:JF4,JH4)-SUM(JC4,JG4)&gt;0,SUM(JA4:JB4,JD4:JF4,JH4)-SUM(JC4,JG4),"")</f>
        <v/>
      </c>
      <c r="JM4" s="11" t="str">
        <f t="shared" ref="JM4:JM16" si="72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16" si="73">IF(SUM(JO4,JS4)&gt;0,SUM(JO4,JS4),"")</f>
        <v/>
      </c>
      <c r="KE4" s="14" t="str">
        <f t="shared" ref="KE4:KE16" si="74">IF(SUM(JN4:JO4,JQ4:JS4,JU4)-SUM(JP4,JT4)&gt;0,SUM(JN4:JO4,JQ4:JS4,JU4)-SUM(JP4,JT4),"")</f>
        <v/>
      </c>
      <c r="KF4" s="14" t="str">
        <f t="shared" ref="KF4:KF16" si="75">IF(SUM(JW4,KA4)&gt;0,SUM(JW4,KA4),"")</f>
        <v/>
      </c>
      <c r="KG4" s="14" t="str">
        <f t="shared" ref="KG4:KG16" si="76">IF(SUM(JV4:JW4,JY4:KA4,KC4)-SUM(JX4,KB4)&gt;0,SUM(JV4:JW4,JY4:KA4,KC4)-SUM(JX4,KB4),"")</f>
        <v/>
      </c>
      <c r="KH4" s="14" t="str">
        <f t="shared" ref="KH4:KH16" si="77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16" si="78">IF(SUM(KJ4,KN4)&gt;0,SUM(KJ4,KN4),"")</f>
        <v/>
      </c>
      <c r="KZ4" s="11" t="str">
        <f t="shared" ref="KZ4:KZ16" si="79">IF(SUM(KI4:KJ4,KL4:KN4,KP4)-SUM(KK4,KO4)&gt;0,SUM(KI4:KJ4,KL4:KN4,KP4)-SUM(KK4,KO4),"")</f>
        <v/>
      </c>
      <c r="LA4" s="11" t="str">
        <f t="shared" ref="LA4:LA16" si="80">IF(SUM(KR4,KV4)&gt;0,SUM(KR4,KV4),"")</f>
        <v/>
      </c>
      <c r="LB4" s="11" t="str">
        <f t="shared" ref="LB4:LB16" si="81">IF(SUM(KQ4:KR4,KT4:KV4,KX4)-SUM(KS4,KW4)&gt;0,SUM(KQ4:KR4,KT4:KV4,KX4)-SUM(KS4,KW4),"")</f>
        <v/>
      </c>
      <c r="LC4" s="11" t="str">
        <f t="shared" ref="LC4:LC16" si="82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16" si="83">IF(SUM(LE4,LI4)&gt;0,SUM(LE4,LI4),"")</f>
        <v/>
      </c>
      <c r="LU4" s="14" t="str">
        <f t="shared" ref="LU4:LU16" si="84">IF(SUM(LD4:LE4,LG4:LI4,LK4)-SUM(LF4,LJ4)&gt;0,SUM(LD4:LE4,LG4:LI4,LK4)-SUM(LF4,LJ4),"")</f>
        <v/>
      </c>
      <c r="LV4" s="14" t="str">
        <f t="shared" ref="LV4:LV16" si="85">IF(SUM(LM4,LQ4)&gt;0,SUM(LM4,LQ4),"")</f>
        <v/>
      </c>
      <c r="LW4" s="14" t="str">
        <f t="shared" ref="LW4:LW16" si="86">IF(SUM(LL4:LM4,LO4:LQ4,LS4)-SUM(LN4,LR4)&gt;0,SUM(LL4:LM4,LO4:LQ4,LS4)-SUM(LN4,LR4),"")</f>
        <v/>
      </c>
      <c r="LX4" s="14" t="str">
        <f t="shared" ref="LX4:LX16" si="87">IF(SUM(LU4,LW4)&gt;0,SUM(LU4,LW4),"")</f>
        <v/>
      </c>
      <c r="LY4" s="69">
        <f t="shared" ref="LY4:LY16" si="88">IF($BY4="P",BI4,(BI4+AM4)/2)</f>
        <v>14.15</v>
      </c>
      <c r="LZ4" s="69">
        <f t="shared" ref="LZ4:LZ16" si="89">IF($BY4="P",BJ4,(BJ4+AN4)/2)</f>
        <v>2.6</v>
      </c>
      <c r="MA4" s="69">
        <f t="shared" ref="MA4:MA16" si="90">IF($BY4="P",BK4,(BK4+AO4)/2)</f>
        <v>0</v>
      </c>
      <c r="MB4" s="69">
        <f t="shared" ref="MB4:MB16" si="91">IF($BY4="P",BL4,(BL4+AP4)/2)</f>
        <v>0</v>
      </c>
      <c r="MC4" s="69">
        <f t="shared" ref="MC4:MC16" si="92">IF($BY4="P",BM4,(BM4+AQ4)/2)</f>
        <v>13.8</v>
      </c>
      <c r="MD4" s="69">
        <f t="shared" ref="MD4:MD16" si="93">IF($BY4="P",BN4,(BN4+AR4)/2)</f>
        <v>3</v>
      </c>
      <c r="ME4" s="69">
        <f t="shared" ref="ME4:ME16" si="94">IF($BY4="P",BO4,(BO4+AS4)/2)</f>
        <v>0</v>
      </c>
      <c r="MF4" s="69">
        <f t="shared" ref="MF4:MF16" si="95">IF($BY4="P",BP4,(BP4+AT4)/2)</f>
        <v>0</v>
      </c>
      <c r="MG4" s="69">
        <f t="shared" ref="MG4:MG16" si="96">IF($BY4="P",BQ4,(BQ4+AU4)/2)</f>
        <v>10.050000000000001</v>
      </c>
      <c r="MH4" s="69">
        <f t="shared" ref="MH4:MH16" si="97">IF($BY4="P",BR4,(BR4+AV4)/2)</f>
        <v>1.2</v>
      </c>
      <c r="MI4" s="69">
        <f t="shared" ref="MI4:MI16" si="98">IF($BY4="P",BS4,(BS4+AW4)/2)</f>
        <v>0</v>
      </c>
      <c r="MJ4" s="69">
        <f t="shared" ref="MJ4:MJ16" si="99">IF($BY4="P",BT4,(BT4+AX4)/2)</f>
        <v>0</v>
      </c>
      <c r="MK4" s="69">
        <f t="shared" ref="MK4:MK16" si="100">IF($BY4="P",BU4,(BU4+AY4)/2)</f>
        <v>0</v>
      </c>
      <c r="ML4" s="69">
        <f t="shared" ref="ML4:ML16" si="101">IF($BY4="P",BV4,(BV4+AZ4)/2)</f>
        <v>0</v>
      </c>
      <c r="MM4" s="69">
        <f t="shared" ref="MM4:MM16" si="102">IF($BY4="P",BW4,(BW4+BA4)/2)</f>
        <v>0</v>
      </c>
      <c r="MN4" s="69">
        <f t="shared" ref="MN4:MN16" si="103">IF($BY4="P",BX4,(BX4+BB4)/2)</f>
        <v>0</v>
      </c>
      <c r="MO4" s="80" t="s">
        <v>88</v>
      </c>
      <c r="MP4" s="11">
        <f t="shared" ref="MP4:MP16" si="104">IF(SUM(LZ4,MD4)&gt;0,SUM(LZ4,MD4),"")</f>
        <v>5.6</v>
      </c>
      <c r="MQ4" s="11">
        <f t="shared" ref="MQ4:MQ16" si="105">IF(SUM(LY4:LZ4,MB4:MD4,MF4)-SUM(MA4,ME4)&gt;0,SUM(LY4:LZ4,MB4:MD4,MF4)-SUM(MA4,ME4),"")</f>
        <v>33.549999999999997</v>
      </c>
      <c r="MR4" s="11">
        <f t="shared" ref="MR4:MR16" si="106">IF(SUM(MH4,ML4)&gt;0,SUM(MH4,ML4),"")</f>
        <v>1.2</v>
      </c>
      <c r="MS4" s="11">
        <f t="shared" ref="MS4:MS16" si="107">IF(SUM(MG4:MH4,MJ4:ML4,MN4)-SUM(MI4,MM4)&gt;0,SUM(MG4:MH4,MJ4:ML4,MN4)-SUM(MI4,MM4),"")</f>
        <v>11.25</v>
      </c>
      <c r="MT4" s="11">
        <f t="shared" ref="MT4:MT16" si="108">IF(SUM(MQ4,MS4)&gt;0,SUM(MQ4,MS4),"")</f>
        <v>44.8</v>
      </c>
    </row>
    <row r="5" spans="1:358" x14ac:dyDescent="0.2">
      <c r="A5" s="5">
        <f t="shared" si="0"/>
        <v>2</v>
      </c>
      <c r="B5" s="8" t="s">
        <v>153</v>
      </c>
      <c r="C5" s="4" t="s">
        <v>6</v>
      </c>
      <c r="D5" s="5">
        <v>2001</v>
      </c>
      <c r="E5" s="15">
        <f t="shared" si="1"/>
        <v>198.89999999999998</v>
      </c>
      <c r="F5" s="3" t="str">
        <f t="shared" si="2"/>
        <v>P</v>
      </c>
      <c r="G5" s="3" t="str">
        <f t="shared" si="3"/>
        <v>P</v>
      </c>
      <c r="H5" s="126" t="str">
        <f t="shared" si="4"/>
        <v>National Team</v>
      </c>
      <c r="I5" s="3" t="str">
        <f t="shared" si="5"/>
        <v/>
      </c>
      <c r="J5" s="14">
        <f t="shared" si="6"/>
        <v>132.19999999999999</v>
      </c>
      <c r="K5" s="14" t="str">
        <f t="shared" si="7"/>
        <v>2019 Nationals</v>
      </c>
      <c r="L5" s="14">
        <f t="shared" si="8"/>
        <v>66.7</v>
      </c>
      <c r="M5" s="14" t="str">
        <f t="shared" si="9"/>
        <v>2021 1st Virtual Technical Trial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28.2</v>
      </c>
      <c r="R5" s="69">
        <v>6.8</v>
      </c>
      <c r="S5" s="69">
        <v>0.9</v>
      </c>
      <c r="T5" s="69">
        <v>0</v>
      </c>
      <c r="U5" s="69">
        <v>28.5</v>
      </c>
      <c r="V5" s="69">
        <v>6.4</v>
      </c>
      <c r="W5" s="69">
        <v>0.9</v>
      </c>
      <c r="X5" s="69">
        <v>0</v>
      </c>
      <c r="Y5" s="69">
        <v>26.4</v>
      </c>
      <c r="Z5" s="69">
        <v>4.8</v>
      </c>
      <c r="AA5" s="69">
        <v>0.3</v>
      </c>
      <c r="AB5" s="69">
        <v>0</v>
      </c>
      <c r="AC5" s="69">
        <v>28.1</v>
      </c>
      <c r="AD5" s="69">
        <v>6</v>
      </c>
      <c r="AE5" s="69">
        <v>0.9</v>
      </c>
      <c r="AF5" s="69">
        <v>0</v>
      </c>
      <c r="AG5" s="80"/>
      <c r="AH5" s="11">
        <f t="shared" si="13"/>
        <v>13.2</v>
      </c>
      <c r="AI5" s="11">
        <f t="shared" si="14"/>
        <v>68.100000000000009</v>
      </c>
      <c r="AJ5" s="11">
        <f t="shared" si="15"/>
        <v>10.8</v>
      </c>
      <c r="AK5" s="11">
        <f t="shared" si="16"/>
        <v>64.099999999999994</v>
      </c>
      <c r="AL5" s="11">
        <f t="shared" si="17"/>
        <v>132.19999999999999</v>
      </c>
      <c r="AM5" s="38">
        <v>27.8</v>
      </c>
      <c r="AN5" s="38">
        <v>6.4</v>
      </c>
      <c r="AO5" s="38">
        <v>0.3</v>
      </c>
      <c r="AP5" s="38">
        <v>0</v>
      </c>
      <c r="AQ5" s="38">
        <v>27.9</v>
      </c>
      <c r="AR5" s="38">
        <v>5.2</v>
      </c>
      <c r="AS5" s="38">
        <v>0.3</v>
      </c>
      <c r="AT5" s="38">
        <v>0</v>
      </c>
      <c r="AU5" s="38">
        <v>0</v>
      </c>
      <c r="AV5" s="38">
        <v>0</v>
      </c>
      <c r="AW5" s="38">
        <v>0</v>
      </c>
      <c r="AX5" s="38">
        <v>0</v>
      </c>
      <c r="AY5" s="38">
        <v>0</v>
      </c>
      <c r="AZ5" s="38">
        <v>0</v>
      </c>
      <c r="BA5" s="38">
        <v>0</v>
      </c>
      <c r="BB5" s="38">
        <v>0</v>
      </c>
      <c r="BC5" s="81"/>
      <c r="BD5" s="14">
        <f t="shared" si="18"/>
        <v>11.600000000000001</v>
      </c>
      <c r="BE5" s="14">
        <f t="shared" si="19"/>
        <v>66.7</v>
      </c>
      <c r="BF5" s="14" t="str">
        <f t="shared" si="20"/>
        <v/>
      </c>
      <c r="BG5" s="14" t="str">
        <f t="shared" si="21"/>
        <v/>
      </c>
      <c r="BH5" s="14">
        <f t="shared" si="22"/>
        <v>66.7</v>
      </c>
      <c r="BI5" s="69">
        <v>19.8</v>
      </c>
      <c r="BJ5" s="69">
        <v>2.4</v>
      </c>
      <c r="BK5" s="69">
        <v>0</v>
      </c>
      <c r="BL5" s="69">
        <v>0</v>
      </c>
      <c r="BM5" s="69">
        <v>19.600000000000001</v>
      </c>
      <c r="BN5" s="69">
        <v>2.8</v>
      </c>
      <c r="BO5" s="69">
        <v>0</v>
      </c>
      <c r="BP5" s="69">
        <v>0</v>
      </c>
      <c r="BQ5" s="69">
        <v>27.9</v>
      </c>
      <c r="BR5" s="69">
        <v>4.3</v>
      </c>
      <c r="BS5" s="69">
        <v>0.4</v>
      </c>
      <c r="BT5" s="69">
        <v>0.3</v>
      </c>
      <c r="BU5" s="69">
        <v>27.1</v>
      </c>
      <c r="BV5" s="69">
        <v>5.2</v>
      </c>
      <c r="BW5" s="69">
        <v>0.9</v>
      </c>
      <c r="BX5" s="69">
        <v>0.3</v>
      </c>
      <c r="BY5" s="80"/>
      <c r="BZ5" s="11">
        <f t="shared" si="23"/>
        <v>5.1999999999999993</v>
      </c>
      <c r="CA5" s="11">
        <f t="shared" si="24"/>
        <v>44.599999999999994</v>
      </c>
      <c r="CB5" s="11">
        <f t="shared" si="25"/>
        <v>9.5</v>
      </c>
      <c r="CC5" s="11">
        <f t="shared" si="26"/>
        <v>63.8</v>
      </c>
      <c r="CD5" s="11">
        <f t="shared" si="27"/>
        <v>108.39999999999999</v>
      </c>
      <c r="CE5" s="24" t="str">
        <f>IF(MAX(DA5,DV5,EQ5,FL5,GG5,HB5,HW5,IR5,JM5,KH5,LC5,LX5)-IF(J5="",0,J5)&gt;0.001,MAX(DA5,DV5,EQ5,FL5,GG5,HB5,HW5,IR5,JM5,KH5,LC5,LX5)-IF(J5="",0,J5),"")</f>
        <v/>
      </c>
      <c r="CF5" s="24" t="str">
        <f>IF(MAX(CX5,CZ5,DS5,DU5,EN5,EP5,FI5,FK5,GD5,GF5,GY5,HA5,HT5,HV5,IO5,IQ5,JJ5,JL5,KE5,KG5,KZ5,LB5,LU5,LW5)-IF(L5="",0,L5)&gt;0.001,MAX(CX5,CZ5,DS5,DU5,EN5,EP5,FI5,FK5,GD5,GF5,GY5,HA5,HT5,HV5,IO5,IQ5,JJ5,JL5,KE5,KG5,KZ5,LB5,LU5,LW5)-IF(L5="",0,L5),"")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28"/>
        <v/>
      </c>
      <c r="CX5" s="11" t="str">
        <f t="shared" si="29"/>
        <v/>
      </c>
      <c r="CY5" s="11" t="str">
        <f t="shared" si="30"/>
        <v/>
      </c>
      <c r="CZ5" s="11" t="str">
        <f t="shared" si="31"/>
        <v/>
      </c>
      <c r="DA5" s="11" t="str">
        <f t="shared" si="32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3"/>
        <v/>
      </c>
      <c r="DS5" s="14" t="str">
        <f t="shared" si="34"/>
        <v/>
      </c>
      <c r="DT5" s="14" t="str">
        <f t="shared" si="35"/>
        <v/>
      </c>
      <c r="DU5" s="14" t="str">
        <f t="shared" si="36"/>
        <v/>
      </c>
      <c r="DV5" s="14" t="str">
        <f t="shared" si="37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38"/>
        <v/>
      </c>
      <c r="EN5" s="11" t="str">
        <f t="shared" si="39"/>
        <v/>
      </c>
      <c r="EO5" s="11" t="str">
        <f t="shared" si="40"/>
        <v/>
      </c>
      <c r="EP5" s="11" t="str">
        <f t="shared" si="41"/>
        <v/>
      </c>
      <c r="EQ5" s="11" t="str">
        <f t="shared" si="42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3"/>
        <v/>
      </c>
      <c r="FI5" s="14" t="str">
        <f t="shared" si="44"/>
        <v/>
      </c>
      <c r="FJ5" s="14" t="str">
        <f t="shared" si="45"/>
        <v/>
      </c>
      <c r="FK5" s="14" t="str">
        <f t="shared" si="46"/>
        <v/>
      </c>
      <c r="FL5" s="14" t="str">
        <f t="shared" si="47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48"/>
        <v/>
      </c>
      <c r="GD5" s="11" t="str">
        <f t="shared" si="49"/>
        <v/>
      </c>
      <c r="GE5" s="11" t="str">
        <f t="shared" si="50"/>
        <v/>
      </c>
      <c r="GF5" s="11" t="str">
        <f t="shared" si="51"/>
        <v/>
      </c>
      <c r="GG5" s="11" t="str">
        <f t="shared" si="52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3"/>
        <v/>
      </c>
      <c r="GY5" s="14" t="str">
        <f t="shared" si="54"/>
        <v/>
      </c>
      <c r="GZ5" s="14" t="str">
        <f t="shared" si="55"/>
        <v/>
      </c>
      <c r="HA5" s="14" t="str">
        <f t="shared" si="56"/>
        <v/>
      </c>
      <c r="HB5" s="14" t="str">
        <f t="shared" si="57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58"/>
        <v/>
      </c>
      <c r="HT5" s="11" t="str">
        <f t="shared" si="59"/>
        <v/>
      </c>
      <c r="HU5" s="11" t="str">
        <f t="shared" si="60"/>
        <v/>
      </c>
      <c r="HV5" s="11" t="str">
        <f t="shared" si="61"/>
        <v/>
      </c>
      <c r="HW5" s="11" t="str">
        <f t="shared" si="62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3"/>
        <v/>
      </c>
      <c r="IO5" s="14" t="str">
        <f t="shared" si="64"/>
        <v/>
      </c>
      <c r="IP5" s="14" t="str">
        <f t="shared" si="65"/>
        <v/>
      </c>
      <c r="IQ5" s="14" t="str">
        <f t="shared" si="66"/>
        <v/>
      </c>
      <c r="IR5" s="14" t="str">
        <f t="shared" si="67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68"/>
        <v/>
      </c>
      <c r="JJ5" s="11" t="str">
        <f t="shared" si="69"/>
        <v/>
      </c>
      <c r="JK5" s="11" t="str">
        <f t="shared" si="70"/>
        <v/>
      </c>
      <c r="JL5" s="11" t="str">
        <f t="shared" si="71"/>
        <v/>
      </c>
      <c r="JM5" s="11" t="str">
        <f t="shared" si="72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3"/>
        <v/>
      </c>
      <c r="KE5" s="14" t="str">
        <f t="shared" si="74"/>
        <v/>
      </c>
      <c r="KF5" s="14" t="str">
        <f t="shared" si="75"/>
        <v/>
      </c>
      <c r="KG5" s="14" t="str">
        <f t="shared" si="76"/>
        <v/>
      </c>
      <c r="KH5" s="14" t="str">
        <f t="shared" si="77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78"/>
        <v/>
      </c>
      <c r="KZ5" s="11" t="str">
        <f t="shared" si="79"/>
        <v/>
      </c>
      <c r="LA5" s="11" t="str">
        <f t="shared" si="80"/>
        <v/>
      </c>
      <c r="LB5" s="11" t="str">
        <f t="shared" si="81"/>
        <v/>
      </c>
      <c r="LC5" s="11" t="str">
        <f t="shared" si="82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3"/>
        <v/>
      </c>
      <c r="LU5" s="14" t="str">
        <f t="shared" si="84"/>
        <v/>
      </c>
      <c r="LV5" s="14" t="str">
        <f t="shared" si="85"/>
        <v/>
      </c>
      <c r="LW5" s="14" t="str">
        <f t="shared" si="86"/>
        <v/>
      </c>
      <c r="LX5" s="14" t="str">
        <f t="shared" si="87"/>
        <v/>
      </c>
      <c r="LY5" s="69">
        <f t="shared" si="88"/>
        <v>23.8</v>
      </c>
      <c r="LZ5" s="69">
        <f t="shared" si="89"/>
        <v>4.4000000000000004</v>
      </c>
      <c r="MA5" s="69">
        <f t="shared" si="90"/>
        <v>0.15</v>
      </c>
      <c r="MB5" s="69">
        <f t="shared" si="91"/>
        <v>0</v>
      </c>
      <c r="MC5" s="69">
        <f t="shared" si="92"/>
        <v>23.75</v>
      </c>
      <c r="MD5" s="69">
        <f t="shared" si="93"/>
        <v>4</v>
      </c>
      <c r="ME5" s="69">
        <f t="shared" si="94"/>
        <v>0.15</v>
      </c>
      <c r="MF5" s="69">
        <f t="shared" si="95"/>
        <v>0</v>
      </c>
      <c r="MG5" s="69">
        <f t="shared" si="96"/>
        <v>13.95</v>
      </c>
      <c r="MH5" s="69">
        <f t="shared" si="97"/>
        <v>2.15</v>
      </c>
      <c r="MI5" s="69">
        <f t="shared" si="98"/>
        <v>0.2</v>
      </c>
      <c r="MJ5" s="69">
        <f t="shared" si="99"/>
        <v>0.15</v>
      </c>
      <c r="MK5" s="69">
        <f t="shared" si="100"/>
        <v>13.55</v>
      </c>
      <c r="ML5" s="69">
        <f t="shared" si="101"/>
        <v>2.6</v>
      </c>
      <c r="MM5" s="69">
        <f t="shared" si="102"/>
        <v>0.45</v>
      </c>
      <c r="MN5" s="69">
        <f t="shared" si="103"/>
        <v>0.15</v>
      </c>
      <c r="MO5" s="80" t="s">
        <v>88</v>
      </c>
      <c r="MP5" s="11">
        <f t="shared" si="104"/>
        <v>8.4</v>
      </c>
      <c r="MQ5" s="11">
        <f t="shared" si="105"/>
        <v>55.650000000000006</v>
      </c>
      <c r="MR5" s="11">
        <f t="shared" si="106"/>
        <v>4.75</v>
      </c>
      <c r="MS5" s="11">
        <f t="shared" si="107"/>
        <v>31.9</v>
      </c>
      <c r="MT5" s="11">
        <f t="shared" si="108"/>
        <v>87.550000000000011</v>
      </c>
    </row>
    <row r="6" spans="1:358" x14ac:dyDescent="0.2">
      <c r="A6" s="5">
        <f t="shared" si="0"/>
        <v>3</v>
      </c>
      <c r="B6" s="8" t="s">
        <v>176</v>
      </c>
      <c r="C6" s="4" t="s">
        <v>5</v>
      </c>
      <c r="D6" s="5">
        <v>2003</v>
      </c>
      <c r="E6" s="15">
        <f t="shared" si="1"/>
        <v>197.70000000000002</v>
      </c>
      <c r="F6" s="3" t="str">
        <f t="shared" si="2"/>
        <v>P</v>
      </c>
      <c r="G6" s="3" t="str">
        <f t="shared" si="3"/>
        <v>P</v>
      </c>
      <c r="H6" s="126" t="str">
        <f t="shared" si="4"/>
        <v>National Team</v>
      </c>
      <c r="I6" s="3" t="str">
        <f t="shared" si="5"/>
        <v/>
      </c>
      <c r="J6" s="14">
        <f t="shared" si="6"/>
        <v>130.80000000000001</v>
      </c>
      <c r="K6" s="14" t="str">
        <f t="shared" si="7"/>
        <v>2021 1st Virtual Technical Trial</v>
      </c>
      <c r="L6" s="14">
        <f t="shared" si="8"/>
        <v>66.900000000000006</v>
      </c>
      <c r="M6" s="14" t="str">
        <f t="shared" si="9"/>
        <v>2021 2nd Virtual Technical Trial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19.8</v>
      </c>
      <c r="R6" s="69">
        <v>2.4</v>
      </c>
      <c r="S6" s="69">
        <v>0</v>
      </c>
      <c r="T6" s="69">
        <v>0</v>
      </c>
      <c r="U6" s="69">
        <v>27.9</v>
      </c>
      <c r="V6" s="69">
        <v>5.6</v>
      </c>
      <c r="W6" s="69">
        <v>0</v>
      </c>
      <c r="X6" s="69">
        <v>0</v>
      </c>
      <c r="Y6" s="69">
        <v>27.6</v>
      </c>
      <c r="Z6" s="69">
        <v>5.6</v>
      </c>
      <c r="AA6" s="69">
        <v>0.9</v>
      </c>
      <c r="AB6" s="69">
        <v>0</v>
      </c>
      <c r="AC6" s="69">
        <v>27.9</v>
      </c>
      <c r="AD6" s="69">
        <v>4.8</v>
      </c>
      <c r="AE6" s="69">
        <v>0</v>
      </c>
      <c r="AF6" s="69">
        <v>0</v>
      </c>
      <c r="AG6" s="80"/>
      <c r="AH6" s="11">
        <f t="shared" si="13"/>
        <v>8</v>
      </c>
      <c r="AI6" s="11">
        <f t="shared" si="14"/>
        <v>55.699999999999996</v>
      </c>
      <c r="AJ6" s="11">
        <f t="shared" si="15"/>
        <v>10.399999999999999</v>
      </c>
      <c r="AK6" s="11">
        <f t="shared" si="16"/>
        <v>65</v>
      </c>
      <c r="AL6" s="11">
        <f t="shared" si="17"/>
        <v>120.69999999999999</v>
      </c>
      <c r="AM6" s="38">
        <v>27.7</v>
      </c>
      <c r="AN6" s="38">
        <v>5.6</v>
      </c>
      <c r="AO6" s="38">
        <v>0</v>
      </c>
      <c r="AP6" s="38">
        <v>0</v>
      </c>
      <c r="AQ6" s="38">
        <v>27.1</v>
      </c>
      <c r="AR6" s="38">
        <v>6</v>
      </c>
      <c r="AS6" s="38">
        <v>0.9</v>
      </c>
      <c r="AT6" s="38">
        <v>0</v>
      </c>
      <c r="AU6" s="38">
        <v>27.3</v>
      </c>
      <c r="AV6" s="38">
        <v>5.6</v>
      </c>
      <c r="AW6" s="38">
        <v>0</v>
      </c>
      <c r="AX6" s="38">
        <v>0</v>
      </c>
      <c r="AY6" s="38">
        <v>27.6</v>
      </c>
      <c r="AZ6" s="38">
        <v>4.8</v>
      </c>
      <c r="BA6" s="38">
        <v>0</v>
      </c>
      <c r="BB6" s="38">
        <v>0</v>
      </c>
      <c r="BC6" s="81"/>
      <c r="BD6" s="14">
        <f t="shared" si="18"/>
        <v>11.6</v>
      </c>
      <c r="BE6" s="14">
        <f t="shared" si="19"/>
        <v>65.5</v>
      </c>
      <c r="BF6" s="14">
        <f t="shared" si="20"/>
        <v>10.399999999999999</v>
      </c>
      <c r="BG6" s="14">
        <f t="shared" si="21"/>
        <v>65.3</v>
      </c>
      <c r="BH6" s="14">
        <f t="shared" si="22"/>
        <v>130.80000000000001</v>
      </c>
      <c r="BI6" s="69">
        <v>28.1</v>
      </c>
      <c r="BJ6" s="69">
        <v>5.6</v>
      </c>
      <c r="BK6" s="69">
        <v>0</v>
      </c>
      <c r="BL6" s="69">
        <v>0</v>
      </c>
      <c r="BM6" s="69">
        <v>27.5</v>
      </c>
      <c r="BN6" s="69">
        <v>6</v>
      </c>
      <c r="BO6" s="69">
        <v>0.3</v>
      </c>
      <c r="BP6" s="69">
        <v>0</v>
      </c>
      <c r="BQ6" s="69">
        <v>27</v>
      </c>
      <c r="BR6" s="69">
        <v>5.6</v>
      </c>
      <c r="BS6" s="69">
        <v>0.9</v>
      </c>
      <c r="BT6" s="69">
        <v>0</v>
      </c>
      <c r="BU6" s="69">
        <v>26.5</v>
      </c>
      <c r="BV6" s="69">
        <v>4.4000000000000004</v>
      </c>
      <c r="BW6" s="69">
        <v>0</v>
      </c>
      <c r="BX6" s="69">
        <v>0</v>
      </c>
      <c r="BY6" s="80"/>
      <c r="BZ6" s="11">
        <f t="shared" si="23"/>
        <v>11.6</v>
      </c>
      <c r="CA6" s="11">
        <f t="shared" si="24"/>
        <v>66.900000000000006</v>
      </c>
      <c r="CB6" s="11">
        <f t="shared" si="25"/>
        <v>10</v>
      </c>
      <c r="CC6" s="11">
        <f t="shared" si="26"/>
        <v>62.6</v>
      </c>
      <c r="CD6" s="11">
        <f t="shared" si="27"/>
        <v>129.5</v>
      </c>
      <c r="CE6" s="24"/>
      <c r="CF6" s="2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28"/>
        <v/>
      </c>
      <c r="CX6" s="11" t="str">
        <f t="shared" si="29"/>
        <v/>
      </c>
      <c r="CY6" s="11" t="str">
        <f t="shared" si="30"/>
        <v/>
      </c>
      <c r="CZ6" s="11" t="str">
        <f t="shared" si="31"/>
        <v/>
      </c>
      <c r="DA6" s="11" t="str">
        <f t="shared" si="32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3"/>
        <v/>
      </c>
      <c r="DS6" s="14" t="str">
        <f t="shared" si="34"/>
        <v/>
      </c>
      <c r="DT6" s="14" t="str">
        <f t="shared" si="35"/>
        <v/>
      </c>
      <c r="DU6" s="14" t="str">
        <f t="shared" si="36"/>
        <v/>
      </c>
      <c r="DV6" s="14" t="str">
        <f t="shared" si="37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38"/>
        <v/>
      </c>
      <c r="EN6" s="11" t="str">
        <f t="shared" si="39"/>
        <v/>
      </c>
      <c r="EO6" s="11" t="str">
        <f t="shared" si="40"/>
        <v/>
      </c>
      <c r="EP6" s="11" t="str">
        <f t="shared" si="41"/>
        <v/>
      </c>
      <c r="EQ6" s="11" t="str">
        <f t="shared" si="42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3"/>
        <v/>
      </c>
      <c r="FI6" s="14" t="str">
        <f t="shared" si="44"/>
        <v/>
      </c>
      <c r="FJ6" s="14" t="str">
        <f t="shared" si="45"/>
        <v/>
      </c>
      <c r="FK6" s="14" t="str">
        <f t="shared" si="46"/>
        <v/>
      </c>
      <c r="FL6" s="14" t="str">
        <f t="shared" si="47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48"/>
        <v/>
      </c>
      <c r="GD6" s="11" t="str">
        <f t="shared" si="49"/>
        <v/>
      </c>
      <c r="GE6" s="11" t="str">
        <f t="shared" si="50"/>
        <v/>
      </c>
      <c r="GF6" s="11" t="str">
        <f t="shared" si="51"/>
        <v/>
      </c>
      <c r="GG6" s="11" t="str">
        <f t="shared" si="52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3"/>
        <v/>
      </c>
      <c r="GY6" s="14" t="str">
        <f t="shared" si="54"/>
        <v/>
      </c>
      <c r="GZ6" s="14" t="str">
        <f t="shared" si="55"/>
        <v/>
      </c>
      <c r="HA6" s="14" t="str">
        <f t="shared" si="56"/>
        <v/>
      </c>
      <c r="HB6" s="14" t="str">
        <f t="shared" si="57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58"/>
        <v/>
      </c>
      <c r="HT6" s="11" t="str">
        <f t="shared" si="59"/>
        <v/>
      </c>
      <c r="HU6" s="11" t="str">
        <f t="shared" si="60"/>
        <v/>
      </c>
      <c r="HV6" s="11" t="str">
        <f t="shared" si="61"/>
        <v/>
      </c>
      <c r="HW6" s="11" t="str">
        <f t="shared" si="62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3"/>
        <v/>
      </c>
      <c r="IO6" s="14" t="str">
        <f t="shared" si="64"/>
        <v/>
      </c>
      <c r="IP6" s="14" t="str">
        <f t="shared" si="65"/>
        <v/>
      </c>
      <c r="IQ6" s="14" t="str">
        <f t="shared" si="66"/>
        <v/>
      </c>
      <c r="IR6" s="14" t="str">
        <f t="shared" si="67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68"/>
        <v/>
      </c>
      <c r="JJ6" s="11" t="str">
        <f t="shared" si="69"/>
        <v/>
      </c>
      <c r="JK6" s="11" t="str">
        <f t="shared" si="70"/>
        <v/>
      </c>
      <c r="JL6" s="11" t="str">
        <f t="shared" si="71"/>
        <v/>
      </c>
      <c r="JM6" s="11" t="str">
        <f t="shared" si="72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3"/>
        <v/>
      </c>
      <c r="KE6" s="14" t="str">
        <f t="shared" si="74"/>
        <v/>
      </c>
      <c r="KF6" s="14" t="str">
        <f t="shared" si="75"/>
        <v/>
      </c>
      <c r="KG6" s="14" t="str">
        <f t="shared" si="76"/>
        <v/>
      </c>
      <c r="KH6" s="14" t="str">
        <f t="shared" si="77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78"/>
        <v/>
      </c>
      <c r="KZ6" s="11" t="str">
        <f t="shared" si="79"/>
        <v/>
      </c>
      <c r="LA6" s="11" t="str">
        <f t="shared" si="80"/>
        <v/>
      </c>
      <c r="LB6" s="11" t="str">
        <f t="shared" si="81"/>
        <v/>
      </c>
      <c r="LC6" s="11" t="str">
        <f t="shared" si="82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3"/>
        <v/>
      </c>
      <c r="LU6" s="14" t="str">
        <f t="shared" si="84"/>
        <v/>
      </c>
      <c r="LV6" s="14" t="str">
        <f t="shared" si="85"/>
        <v/>
      </c>
      <c r="LW6" s="14" t="str">
        <f t="shared" si="86"/>
        <v/>
      </c>
      <c r="LX6" s="14" t="str">
        <f t="shared" si="87"/>
        <v/>
      </c>
      <c r="LY6" s="69">
        <f t="shared" si="88"/>
        <v>27.9</v>
      </c>
      <c r="LZ6" s="69">
        <f t="shared" si="89"/>
        <v>5.6</v>
      </c>
      <c r="MA6" s="69">
        <f t="shared" si="90"/>
        <v>0</v>
      </c>
      <c r="MB6" s="69">
        <f t="shared" si="91"/>
        <v>0</v>
      </c>
      <c r="MC6" s="69">
        <f t="shared" si="92"/>
        <v>27.3</v>
      </c>
      <c r="MD6" s="69">
        <f t="shared" si="93"/>
        <v>6</v>
      </c>
      <c r="ME6" s="69">
        <f t="shared" si="94"/>
        <v>0.6</v>
      </c>
      <c r="MF6" s="69">
        <f t="shared" si="95"/>
        <v>0</v>
      </c>
      <c r="MG6" s="69">
        <f t="shared" si="96"/>
        <v>27.15</v>
      </c>
      <c r="MH6" s="69">
        <f t="shared" si="97"/>
        <v>5.6</v>
      </c>
      <c r="MI6" s="69">
        <f t="shared" si="98"/>
        <v>0.45</v>
      </c>
      <c r="MJ6" s="69">
        <f t="shared" si="99"/>
        <v>0</v>
      </c>
      <c r="MK6" s="69">
        <f t="shared" si="100"/>
        <v>27.05</v>
      </c>
      <c r="ML6" s="69">
        <f t="shared" si="101"/>
        <v>4.5999999999999996</v>
      </c>
      <c r="MM6" s="69">
        <f t="shared" si="102"/>
        <v>0</v>
      </c>
      <c r="MN6" s="69">
        <f t="shared" si="103"/>
        <v>0</v>
      </c>
      <c r="MO6" s="80" t="s">
        <v>88</v>
      </c>
      <c r="MP6" s="11">
        <f t="shared" si="104"/>
        <v>11.6</v>
      </c>
      <c r="MQ6" s="11">
        <f t="shared" si="105"/>
        <v>66.2</v>
      </c>
      <c r="MR6" s="11">
        <f t="shared" si="106"/>
        <v>10.199999999999999</v>
      </c>
      <c r="MS6" s="11">
        <f t="shared" si="107"/>
        <v>63.949999999999989</v>
      </c>
      <c r="MT6" s="11">
        <f t="shared" si="108"/>
        <v>130.14999999999998</v>
      </c>
    </row>
    <row r="7" spans="1:358" x14ac:dyDescent="0.2">
      <c r="A7" s="5">
        <f t="shared" si="0"/>
        <v>4</v>
      </c>
      <c r="B7" s="8" t="s">
        <v>177</v>
      </c>
      <c r="C7" s="4" t="s">
        <v>6</v>
      </c>
      <c r="D7" s="5">
        <v>1996</v>
      </c>
      <c r="E7" s="15">
        <f t="shared" si="1"/>
        <v>197.2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131.1</v>
      </c>
      <c r="K7" s="14" t="str">
        <f t="shared" si="7"/>
        <v>2021 2nd Virtual Technical Trial</v>
      </c>
      <c r="L7" s="14">
        <f t="shared" si="8"/>
        <v>66.099999999999994</v>
      </c>
      <c r="M7" s="14" t="str">
        <f t="shared" si="9"/>
        <v>2021 1st Virtual Technical Trial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28.1</v>
      </c>
      <c r="R7" s="69">
        <v>5.2</v>
      </c>
      <c r="S7" s="69">
        <v>0.9</v>
      </c>
      <c r="T7" s="69">
        <v>0</v>
      </c>
      <c r="U7" s="69">
        <v>27.7</v>
      </c>
      <c r="V7" s="69">
        <v>5.2</v>
      </c>
      <c r="W7" s="69">
        <v>0</v>
      </c>
      <c r="X7" s="69">
        <v>0.5</v>
      </c>
      <c r="Y7" s="69">
        <v>28.1</v>
      </c>
      <c r="Z7" s="69">
        <v>4.8</v>
      </c>
      <c r="AA7" s="69">
        <v>0</v>
      </c>
      <c r="AB7" s="69">
        <v>0</v>
      </c>
      <c r="AC7" s="69">
        <v>20</v>
      </c>
      <c r="AD7" s="69">
        <v>2.8</v>
      </c>
      <c r="AE7" s="69">
        <v>0</v>
      </c>
      <c r="AF7" s="69">
        <v>0</v>
      </c>
      <c r="AG7" s="80"/>
      <c r="AH7" s="11">
        <f t="shared" si="13"/>
        <v>10.4</v>
      </c>
      <c r="AI7" s="11">
        <f t="shared" si="14"/>
        <v>65.8</v>
      </c>
      <c r="AJ7" s="11">
        <f t="shared" si="15"/>
        <v>7.6</v>
      </c>
      <c r="AK7" s="11">
        <f t="shared" si="16"/>
        <v>55.699999999999996</v>
      </c>
      <c r="AL7" s="11">
        <f t="shared" si="17"/>
        <v>121.5</v>
      </c>
      <c r="AM7" s="38">
        <v>27.8</v>
      </c>
      <c r="AN7" s="38">
        <v>5.2</v>
      </c>
      <c r="AO7" s="38">
        <v>0</v>
      </c>
      <c r="AP7" s="38">
        <v>0</v>
      </c>
      <c r="AQ7" s="38">
        <v>27.5</v>
      </c>
      <c r="AR7" s="38">
        <v>5.6</v>
      </c>
      <c r="AS7" s="38">
        <v>0</v>
      </c>
      <c r="AT7" s="38">
        <v>0</v>
      </c>
      <c r="AU7" s="38">
        <v>27.5</v>
      </c>
      <c r="AV7" s="38">
        <v>4.4000000000000004</v>
      </c>
      <c r="AW7" s="38">
        <v>1.5</v>
      </c>
      <c r="AX7" s="38">
        <v>0</v>
      </c>
      <c r="AY7" s="38">
        <v>27.5</v>
      </c>
      <c r="AZ7" s="38">
        <v>5.2</v>
      </c>
      <c r="BA7" s="38">
        <v>0</v>
      </c>
      <c r="BB7" s="38">
        <v>0</v>
      </c>
      <c r="BC7" s="81"/>
      <c r="BD7" s="14">
        <f t="shared" si="18"/>
        <v>10.8</v>
      </c>
      <c r="BE7" s="14">
        <f t="shared" si="19"/>
        <v>66.099999999999994</v>
      </c>
      <c r="BF7" s="14">
        <f t="shared" si="20"/>
        <v>9.6000000000000014</v>
      </c>
      <c r="BG7" s="14">
        <f t="shared" si="21"/>
        <v>63.099999999999994</v>
      </c>
      <c r="BH7" s="14">
        <f t="shared" si="22"/>
        <v>129.19999999999999</v>
      </c>
      <c r="BI7" s="69">
        <v>27.4</v>
      </c>
      <c r="BJ7" s="69">
        <v>6</v>
      </c>
      <c r="BK7" s="69">
        <v>0.3</v>
      </c>
      <c r="BL7" s="69">
        <v>0</v>
      </c>
      <c r="BM7" s="69">
        <v>28.1</v>
      </c>
      <c r="BN7" s="69">
        <v>5.6</v>
      </c>
      <c r="BO7" s="69">
        <v>0</v>
      </c>
      <c r="BP7" s="69">
        <v>0</v>
      </c>
      <c r="BQ7" s="69">
        <v>27.4</v>
      </c>
      <c r="BR7" s="69">
        <v>4.8</v>
      </c>
      <c r="BS7" s="69">
        <v>0.3</v>
      </c>
      <c r="BT7" s="69">
        <v>0</v>
      </c>
      <c r="BU7" s="69">
        <v>27.6</v>
      </c>
      <c r="BV7" s="69">
        <v>4.8</v>
      </c>
      <c r="BW7" s="69">
        <v>0</v>
      </c>
      <c r="BX7" s="69">
        <v>0</v>
      </c>
      <c r="BY7" s="80"/>
      <c r="BZ7" s="11">
        <f t="shared" si="23"/>
        <v>11.6</v>
      </c>
      <c r="CA7" s="11">
        <f t="shared" si="24"/>
        <v>66.8</v>
      </c>
      <c r="CB7" s="11">
        <f t="shared" si="25"/>
        <v>9.6</v>
      </c>
      <c r="CC7" s="11">
        <f t="shared" si="26"/>
        <v>64.3</v>
      </c>
      <c r="CD7" s="11">
        <f t="shared" si="27"/>
        <v>131.1</v>
      </c>
      <c r="CE7" s="24"/>
      <c r="CF7" s="2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28"/>
        <v/>
      </c>
      <c r="CX7" s="11" t="str">
        <f t="shared" si="29"/>
        <v/>
      </c>
      <c r="CY7" s="11" t="str">
        <f t="shared" si="30"/>
        <v/>
      </c>
      <c r="CZ7" s="11" t="str">
        <f t="shared" si="31"/>
        <v/>
      </c>
      <c r="DA7" s="11" t="str">
        <f t="shared" si="32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3"/>
        <v/>
      </c>
      <c r="DS7" s="14" t="str">
        <f t="shared" si="34"/>
        <v/>
      </c>
      <c r="DT7" s="14" t="str">
        <f t="shared" si="35"/>
        <v/>
      </c>
      <c r="DU7" s="14" t="str">
        <f t="shared" si="36"/>
        <v/>
      </c>
      <c r="DV7" s="14" t="str">
        <f t="shared" si="37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38"/>
        <v/>
      </c>
      <c r="EN7" s="11" t="str">
        <f t="shared" si="39"/>
        <v/>
      </c>
      <c r="EO7" s="11" t="str">
        <f t="shared" si="40"/>
        <v/>
      </c>
      <c r="EP7" s="11" t="str">
        <f t="shared" si="41"/>
        <v/>
      </c>
      <c r="EQ7" s="11" t="str">
        <f t="shared" si="42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3"/>
        <v/>
      </c>
      <c r="FI7" s="14" t="str">
        <f t="shared" si="44"/>
        <v/>
      </c>
      <c r="FJ7" s="14" t="str">
        <f t="shared" si="45"/>
        <v/>
      </c>
      <c r="FK7" s="14" t="str">
        <f t="shared" si="46"/>
        <v/>
      </c>
      <c r="FL7" s="14" t="str">
        <f t="shared" si="47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48"/>
        <v/>
      </c>
      <c r="GD7" s="11" t="str">
        <f t="shared" si="49"/>
        <v/>
      </c>
      <c r="GE7" s="11" t="str">
        <f t="shared" si="50"/>
        <v/>
      </c>
      <c r="GF7" s="11" t="str">
        <f t="shared" si="51"/>
        <v/>
      </c>
      <c r="GG7" s="11" t="str">
        <f t="shared" si="52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3"/>
        <v/>
      </c>
      <c r="GY7" s="14" t="str">
        <f t="shared" si="54"/>
        <v/>
      </c>
      <c r="GZ7" s="14" t="str">
        <f t="shared" si="55"/>
        <v/>
      </c>
      <c r="HA7" s="14" t="str">
        <f t="shared" si="56"/>
        <v/>
      </c>
      <c r="HB7" s="14" t="str">
        <f t="shared" si="57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58"/>
        <v/>
      </c>
      <c r="HT7" s="11" t="str">
        <f t="shared" si="59"/>
        <v/>
      </c>
      <c r="HU7" s="11" t="str">
        <f t="shared" si="60"/>
        <v/>
      </c>
      <c r="HV7" s="11" t="str">
        <f t="shared" si="61"/>
        <v/>
      </c>
      <c r="HW7" s="11" t="str">
        <f t="shared" si="62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3"/>
        <v/>
      </c>
      <c r="IO7" s="14" t="str">
        <f t="shared" si="64"/>
        <v/>
      </c>
      <c r="IP7" s="14" t="str">
        <f t="shared" si="65"/>
        <v/>
      </c>
      <c r="IQ7" s="14" t="str">
        <f t="shared" si="66"/>
        <v/>
      </c>
      <c r="IR7" s="14" t="str">
        <f t="shared" si="67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68"/>
        <v/>
      </c>
      <c r="JJ7" s="11" t="str">
        <f t="shared" si="69"/>
        <v/>
      </c>
      <c r="JK7" s="11" t="str">
        <f t="shared" si="70"/>
        <v/>
      </c>
      <c r="JL7" s="11" t="str">
        <f t="shared" si="71"/>
        <v/>
      </c>
      <c r="JM7" s="11" t="str">
        <f t="shared" si="72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3"/>
        <v/>
      </c>
      <c r="KE7" s="14" t="str">
        <f t="shared" si="74"/>
        <v/>
      </c>
      <c r="KF7" s="14" t="str">
        <f t="shared" si="75"/>
        <v/>
      </c>
      <c r="KG7" s="14" t="str">
        <f t="shared" si="76"/>
        <v/>
      </c>
      <c r="KH7" s="14" t="str">
        <f t="shared" si="77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78"/>
        <v/>
      </c>
      <c r="KZ7" s="11" t="str">
        <f t="shared" si="79"/>
        <v/>
      </c>
      <c r="LA7" s="11" t="str">
        <f t="shared" si="80"/>
        <v/>
      </c>
      <c r="LB7" s="11" t="str">
        <f t="shared" si="81"/>
        <v/>
      </c>
      <c r="LC7" s="11" t="str">
        <f t="shared" si="82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3"/>
        <v/>
      </c>
      <c r="LU7" s="14" t="str">
        <f t="shared" si="84"/>
        <v/>
      </c>
      <c r="LV7" s="14" t="str">
        <f t="shared" si="85"/>
        <v/>
      </c>
      <c r="LW7" s="14" t="str">
        <f t="shared" si="86"/>
        <v/>
      </c>
      <c r="LX7" s="14" t="str">
        <f t="shared" si="87"/>
        <v/>
      </c>
      <c r="LY7" s="69">
        <f t="shared" si="88"/>
        <v>27.6</v>
      </c>
      <c r="LZ7" s="69">
        <f t="shared" si="89"/>
        <v>5.6</v>
      </c>
      <c r="MA7" s="69">
        <f t="shared" si="90"/>
        <v>0.15</v>
      </c>
      <c r="MB7" s="69">
        <f t="shared" si="91"/>
        <v>0</v>
      </c>
      <c r="MC7" s="69">
        <f t="shared" si="92"/>
        <v>27.8</v>
      </c>
      <c r="MD7" s="69">
        <f t="shared" si="93"/>
        <v>5.6</v>
      </c>
      <c r="ME7" s="69">
        <f t="shared" si="94"/>
        <v>0</v>
      </c>
      <c r="MF7" s="69">
        <f t="shared" si="95"/>
        <v>0</v>
      </c>
      <c r="MG7" s="69">
        <f t="shared" si="96"/>
        <v>27.45</v>
      </c>
      <c r="MH7" s="69">
        <f t="shared" si="97"/>
        <v>4.5999999999999996</v>
      </c>
      <c r="MI7" s="69">
        <f t="shared" si="98"/>
        <v>0.9</v>
      </c>
      <c r="MJ7" s="69">
        <f t="shared" si="99"/>
        <v>0</v>
      </c>
      <c r="MK7" s="69">
        <f t="shared" si="100"/>
        <v>27.55</v>
      </c>
      <c r="ML7" s="69">
        <f t="shared" si="101"/>
        <v>5</v>
      </c>
      <c r="MM7" s="69">
        <f t="shared" si="102"/>
        <v>0</v>
      </c>
      <c r="MN7" s="69">
        <f t="shared" si="103"/>
        <v>0</v>
      </c>
      <c r="MO7" s="80" t="s">
        <v>88</v>
      </c>
      <c r="MP7" s="11">
        <f t="shared" si="104"/>
        <v>11.2</v>
      </c>
      <c r="MQ7" s="11">
        <f t="shared" si="105"/>
        <v>66.449999999999989</v>
      </c>
      <c r="MR7" s="11">
        <f t="shared" si="106"/>
        <v>9.6</v>
      </c>
      <c r="MS7" s="11">
        <f t="shared" si="107"/>
        <v>63.699999999999996</v>
      </c>
      <c r="MT7" s="11">
        <f t="shared" si="108"/>
        <v>130.14999999999998</v>
      </c>
    </row>
    <row r="8" spans="1:358" x14ac:dyDescent="0.2">
      <c r="A8" s="5">
        <f t="shared" si="0"/>
        <v>5</v>
      </c>
      <c r="B8" s="8" t="s">
        <v>49</v>
      </c>
      <c r="C8" s="4" t="s">
        <v>3</v>
      </c>
      <c r="D8" s="5">
        <v>1994</v>
      </c>
      <c r="E8" s="15">
        <f t="shared" si="1"/>
        <v>175.20000000000002</v>
      </c>
      <c r="F8" s="3" t="str">
        <f t="shared" si="2"/>
        <v>P</v>
      </c>
      <c r="G8" s="3" t="str">
        <f t="shared" si="3"/>
        <v>P</v>
      </c>
      <c r="H8" s="126" t="str">
        <f t="shared" si="4"/>
        <v>Merit</v>
      </c>
      <c r="I8" s="3" t="str">
        <f t="shared" si="5"/>
        <v>P</v>
      </c>
      <c r="J8" s="14">
        <f t="shared" si="6"/>
        <v>139.60000000000002</v>
      </c>
      <c r="K8" s="14" t="str">
        <f t="shared" si="7"/>
        <v>2019 Nationals</v>
      </c>
      <c r="L8" s="14">
        <f t="shared" si="8"/>
        <v>35.6</v>
      </c>
      <c r="M8" s="14" t="str">
        <f t="shared" si="9"/>
        <v>2021 2nd Virtual Technical Trial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28.3</v>
      </c>
      <c r="R8" s="69">
        <v>7.2</v>
      </c>
      <c r="S8" s="69">
        <v>0</v>
      </c>
      <c r="T8" s="69">
        <v>0.3</v>
      </c>
      <c r="U8" s="69">
        <v>28.1</v>
      </c>
      <c r="V8" s="69">
        <v>6.8</v>
      </c>
      <c r="W8" s="69">
        <v>0</v>
      </c>
      <c r="X8" s="69">
        <v>0.5</v>
      </c>
      <c r="Y8" s="69">
        <v>28.8</v>
      </c>
      <c r="Z8" s="69">
        <v>6</v>
      </c>
      <c r="AA8" s="69">
        <v>0.3</v>
      </c>
      <c r="AB8" s="69">
        <v>0.3</v>
      </c>
      <c r="AC8" s="69">
        <v>27.4</v>
      </c>
      <c r="AD8" s="69">
        <v>6</v>
      </c>
      <c r="AE8" s="69">
        <v>0.3</v>
      </c>
      <c r="AF8" s="69">
        <v>0.5</v>
      </c>
      <c r="AG8" s="80"/>
      <c r="AH8" s="11">
        <f t="shared" si="13"/>
        <v>14</v>
      </c>
      <c r="AI8" s="11">
        <f t="shared" si="14"/>
        <v>71.2</v>
      </c>
      <c r="AJ8" s="11">
        <f t="shared" si="15"/>
        <v>12</v>
      </c>
      <c r="AK8" s="11">
        <f t="shared" si="16"/>
        <v>68.400000000000006</v>
      </c>
      <c r="AL8" s="11">
        <f t="shared" si="17"/>
        <v>139.60000000000002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81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69">
        <v>14.15</v>
      </c>
      <c r="BJ8" s="69">
        <v>3.6</v>
      </c>
      <c r="BK8" s="69">
        <v>0</v>
      </c>
      <c r="BL8" s="69">
        <v>0.15</v>
      </c>
      <c r="BM8" s="69">
        <v>14.05</v>
      </c>
      <c r="BN8" s="69">
        <v>3.4</v>
      </c>
      <c r="BO8" s="69">
        <v>0</v>
      </c>
      <c r="BP8" s="69">
        <v>0.25</v>
      </c>
      <c r="BQ8" s="69">
        <v>14.4</v>
      </c>
      <c r="BR8" s="69">
        <v>3</v>
      </c>
      <c r="BS8" s="69">
        <v>0.15</v>
      </c>
      <c r="BT8" s="69">
        <v>0.15</v>
      </c>
      <c r="BU8" s="69">
        <v>13.7</v>
      </c>
      <c r="BV8" s="69">
        <v>3</v>
      </c>
      <c r="BW8" s="69">
        <v>0.15</v>
      </c>
      <c r="BX8" s="69">
        <v>0.25</v>
      </c>
      <c r="BY8" s="80" t="s">
        <v>88</v>
      </c>
      <c r="BZ8" s="11">
        <f t="shared" si="23"/>
        <v>7</v>
      </c>
      <c r="CA8" s="11">
        <f t="shared" si="24"/>
        <v>35.6</v>
      </c>
      <c r="CB8" s="11">
        <f t="shared" si="25"/>
        <v>6</v>
      </c>
      <c r="CC8" s="11">
        <f t="shared" si="26"/>
        <v>34.200000000000003</v>
      </c>
      <c r="CD8" s="11">
        <f t="shared" si="27"/>
        <v>69.800000000000011</v>
      </c>
      <c r="CE8" s="24" t="str">
        <f>IF(MAX(DA8,DV8,EQ8,FL8,GG8,HB8,HW8,IR8,JM8,KH8,LC8,LX8)-IF(J8="",0,J8)&gt;0.001,MAX(DA8,DV8,EQ8,FL8,GG8,HB8,HW8,IR8,JM8,KH8,LC8,LX8)-IF(J8="",0,J8),"")</f>
        <v/>
      </c>
      <c r="CF8" s="24" t="str">
        <f>IF(MAX(CX8,CZ8,DS8,DU8,EN8,EP8,FI8,FK8,GD8,GF8,GY8,HA8,HT8,HV8,IO8,IQ8,JJ8,JL8,KE8,KG8,KZ8,LB8,LU8,LW8)-IF(L8="",0,L8)&gt;0.001,MAX(CX8,CZ8,DS8,DU8,EN8,EP8,FI8,FK8,GD8,GF8,GY8,HA8,HT8,HV8,IO8,IQ8,JJ8,JL8,KE8,KG8,KZ8,LB8,LU8,LW8)-IF(L8="",0,L8),"")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28"/>
        <v/>
      </c>
      <c r="CX8" s="11" t="str">
        <f t="shared" si="29"/>
        <v/>
      </c>
      <c r="CY8" s="11" t="str">
        <f t="shared" si="30"/>
        <v/>
      </c>
      <c r="CZ8" s="11" t="str">
        <f t="shared" si="31"/>
        <v/>
      </c>
      <c r="DA8" s="11" t="str">
        <f t="shared" si="32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3"/>
        <v/>
      </c>
      <c r="DS8" s="14" t="str">
        <f t="shared" si="34"/>
        <v/>
      </c>
      <c r="DT8" s="14" t="str">
        <f t="shared" si="35"/>
        <v/>
      </c>
      <c r="DU8" s="14" t="str">
        <f t="shared" si="36"/>
        <v/>
      </c>
      <c r="DV8" s="14" t="str">
        <f t="shared" si="37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38"/>
        <v/>
      </c>
      <c r="EN8" s="11" t="str">
        <f t="shared" si="39"/>
        <v/>
      </c>
      <c r="EO8" s="11" t="str">
        <f t="shared" si="40"/>
        <v/>
      </c>
      <c r="EP8" s="11" t="str">
        <f t="shared" si="41"/>
        <v/>
      </c>
      <c r="EQ8" s="11" t="str">
        <f t="shared" si="42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3"/>
        <v/>
      </c>
      <c r="FI8" s="14" t="str">
        <f t="shared" si="44"/>
        <v/>
      </c>
      <c r="FJ8" s="14" t="str">
        <f t="shared" si="45"/>
        <v/>
      </c>
      <c r="FK8" s="14" t="str">
        <f t="shared" si="46"/>
        <v/>
      </c>
      <c r="FL8" s="14" t="str">
        <f t="shared" si="47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48"/>
        <v/>
      </c>
      <c r="GD8" s="11" t="str">
        <f t="shared" si="49"/>
        <v/>
      </c>
      <c r="GE8" s="11" t="str">
        <f t="shared" si="50"/>
        <v/>
      </c>
      <c r="GF8" s="11" t="str">
        <f t="shared" si="51"/>
        <v/>
      </c>
      <c r="GG8" s="11" t="str">
        <f t="shared" si="52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3"/>
        <v/>
      </c>
      <c r="GY8" s="14" t="str">
        <f t="shared" si="54"/>
        <v/>
      </c>
      <c r="GZ8" s="14" t="str">
        <f t="shared" si="55"/>
        <v/>
      </c>
      <c r="HA8" s="14" t="str">
        <f t="shared" si="56"/>
        <v/>
      </c>
      <c r="HB8" s="14" t="str">
        <f t="shared" si="57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58"/>
        <v/>
      </c>
      <c r="HT8" s="11" t="str">
        <f t="shared" si="59"/>
        <v/>
      </c>
      <c r="HU8" s="11" t="str">
        <f t="shared" si="60"/>
        <v/>
      </c>
      <c r="HV8" s="11" t="str">
        <f t="shared" si="61"/>
        <v/>
      </c>
      <c r="HW8" s="11" t="str">
        <f t="shared" si="62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3"/>
        <v/>
      </c>
      <c r="IO8" s="14" t="str">
        <f t="shared" si="64"/>
        <v/>
      </c>
      <c r="IP8" s="14" t="str">
        <f t="shared" si="65"/>
        <v/>
      </c>
      <c r="IQ8" s="14" t="str">
        <f t="shared" si="66"/>
        <v/>
      </c>
      <c r="IR8" s="14" t="str">
        <f t="shared" si="67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68"/>
        <v/>
      </c>
      <c r="JJ8" s="11" t="str">
        <f t="shared" si="69"/>
        <v/>
      </c>
      <c r="JK8" s="11" t="str">
        <f t="shared" si="70"/>
        <v/>
      </c>
      <c r="JL8" s="11" t="str">
        <f t="shared" si="71"/>
        <v/>
      </c>
      <c r="JM8" s="11" t="str">
        <f t="shared" si="72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3"/>
        <v/>
      </c>
      <c r="KE8" s="14" t="str">
        <f t="shared" si="74"/>
        <v/>
      </c>
      <c r="KF8" s="14" t="str">
        <f t="shared" si="75"/>
        <v/>
      </c>
      <c r="KG8" s="14" t="str">
        <f t="shared" si="76"/>
        <v/>
      </c>
      <c r="KH8" s="14" t="str">
        <f t="shared" si="77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78"/>
        <v/>
      </c>
      <c r="KZ8" s="11" t="str">
        <f t="shared" si="79"/>
        <v/>
      </c>
      <c r="LA8" s="11" t="str">
        <f t="shared" si="80"/>
        <v/>
      </c>
      <c r="LB8" s="11" t="str">
        <f t="shared" si="81"/>
        <v/>
      </c>
      <c r="LC8" s="11" t="str">
        <f t="shared" si="82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3"/>
        <v/>
      </c>
      <c r="LU8" s="14" t="str">
        <f t="shared" si="84"/>
        <v/>
      </c>
      <c r="LV8" s="14" t="str">
        <f t="shared" si="85"/>
        <v/>
      </c>
      <c r="LW8" s="14" t="str">
        <f t="shared" si="86"/>
        <v/>
      </c>
      <c r="LX8" s="14" t="str">
        <f t="shared" si="87"/>
        <v/>
      </c>
      <c r="LY8" s="69">
        <f t="shared" si="88"/>
        <v>14.15</v>
      </c>
      <c r="LZ8" s="69">
        <f t="shared" si="89"/>
        <v>3.6</v>
      </c>
      <c r="MA8" s="69">
        <f t="shared" si="90"/>
        <v>0</v>
      </c>
      <c r="MB8" s="69">
        <f t="shared" si="91"/>
        <v>0.15</v>
      </c>
      <c r="MC8" s="69">
        <f t="shared" si="92"/>
        <v>14.05</v>
      </c>
      <c r="MD8" s="69">
        <f t="shared" si="93"/>
        <v>3.4</v>
      </c>
      <c r="ME8" s="69">
        <f t="shared" si="94"/>
        <v>0</v>
      </c>
      <c r="MF8" s="69">
        <f t="shared" si="95"/>
        <v>0.25</v>
      </c>
      <c r="MG8" s="69">
        <f t="shared" si="96"/>
        <v>14.4</v>
      </c>
      <c r="MH8" s="69">
        <f t="shared" si="97"/>
        <v>3</v>
      </c>
      <c r="MI8" s="69">
        <f t="shared" si="98"/>
        <v>0.15</v>
      </c>
      <c r="MJ8" s="69">
        <f t="shared" si="99"/>
        <v>0.15</v>
      </c>
      <c r="MK8" s="69">
        <f t="shared" si="100"/>
        <v>13.7</v>
      </c>
      <c r="ML8" s="69">
        <f t="shared" si="101"/>
        <v>3</v>
      </c>
      <c r="MM8" s="69">
        <f t="shared" si="102"/>
        <v>0.15</v>
      </c>
      <c r="MN8" s="69">
        <f t="shared" si="103"/>
        <v>0.25</v>
      </c>
      <c r="MO8" s="80" t="s">
        <v>88</v>
      </c>
      <c r="MP8" s="11">
        <f t="shared" si="104"/>
        <v>7</v>
      </c>
      <c r="MQ8" s="11">
        <f t="shared" si="105"/>
        <v>35.6</v>
      </c>
      <c r="MR8" s="11">
        <f t="shared" si="106"/>
        <v>6</v>
      </c>
      <c r="MS8" s="11">
        <f t="shared" si="107"/>
        <v>34.200000000000003</v>
      </c>
      <c r="MT8" s="11">
        <f t="shared" si="108"/>
        <v>69.800000000000011</v>
      </c>
    </row>
    <row r="9" spans="1:358" x14ac:dyDescent="0.2">
      <c r="A9" s="5" t="str">
        <f t="shared" si="0"/>
        <v/>
      </c>
      <c r="B9" s="8" t="s">
        <v>154</v>
      </c>
      <c r="C9" s="4" t="s">
        <v>6</v>
      </c>
      <c r="D9" s="5">
        <v>2001</v>
      </c>
      <c r="E9" s="15">
        <f t="shared" si="1"/>
        <v>193.7</v>
      </c>
      <c r="F9" s="3" t="str">
        <f t="shared" si="2"/>
        <v/>
      </c>
      <c r="G9" s="3" t="str">
        <f t="shared" si="3"/>
        <v/>
      </c>
      <c r="H9" s="126" t="str">
        <f t="shared" si="4"/>
        <v/>
      </c>
      <c r="I9" s="3" t="str">
        <f t="shared" si="5"/>
        <v/>
      </c>
      <c r="J9" s="14">
        <f t="shared" si="6"/>
        <v>129.29999999999998</v>
      </c>
      <c r="K9" s="14" t="str">
        <f t="shared" si="7"/>
        <v>2019 Nationals</v>
      </c>
      <c r="L9" s="14">
        <f t="shared" si="8"/>
        <v>64.399999999999991</v>
      </c>
      <c r="M9" s="14" t="str">
        <f t="shared" si="9"/>
        <v>2021 2nd Virtual Technical Trial</v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27.4</v>
      </c>
      <c r="R9" s="69">
        <v>4.8</v>
      </c>
      <c r="S9" s="69">
        <v>0</v>
      </c>
      <c r="T9" s="69">
        <v>0</v>
      </c>
      <c r="U9" s="69">
        <v>28.4</v>
      </c>
      <c r="V9" s="69">
        <v>5.6</v>
      </c>
      <c r="W9" s="69">
        <v>0</v>
      </c>
      <c r="X9" s="69">
        <v>0</v>
      </c>
      <c r="Y9" s="69">
        <v>27.3</v>
      </c>
      <c r="Z9" s="69">
        <v>4.8</v>
      </c>
      <c r="AA9" s="69">
        <v>0.9</v>
      </c>
      <c r="AB9" s="69">
        <v>0</v>
      </c>
      <c r="AC9" s="69">
        <v>27</v>
      </c>
      <c r="AD9" s="69">
        <v>5.2</v>
      </c>
      <c r="AE9" s="69">
        <v>0.3</v>
      </c>
      <c r="AF9" s="69">
        <v>0</v>
      </c>
      <c r="AG9" s="80"/>
      <c r="AH9" s="11">
        <f t="shared" si="13"/>
        <v>10.399999999999999</v>
      </c>
      <c r="AI9" s="11">
        <f t="shared" si="14"/>
        <v>66.199999999999989</v>
      </c>
      <c r="AJ9" s="11">
        <f t="shared" si="15"/>
        <v>10</v>
      </c>
      <c r="AK9" s="11">
        <f t="shared" si="16"/>
        <v>63.099999999999994</v>
      </c>
      <c r="AL9" s="11">
        <f t="shared" si="17"/>
        <v>129.29999999999998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1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9">
        <v>27.9</v>
      </c>
      <c r="BJ9" s="69">
        <v>5.6</v>
      </c>
      <c r="BK9" s="69">
        <v>0.9</v>
      </c>
      <c r="BL9" s="69">
        <v>0</v>
      </c>
      <c r="BM9" s="69">
        <v>27.4</v>
      </c>
      <c r="BN9" s="69">
        <v>5.2</v>
      </c>
      <c r="BO9" s="69">
        <v>0.9</v>
      </c>
      <c r="BP9" s="69">
        <v>0</v>
      </c>
      <c r="BQ9" s="69">
        <v>27.8</v>
      </c>
      <c r="BR9" s="69">
        <v>4.8</v>
      </c>
      <c r="BS9" s="69">
        <v>0.9</v>
      </c>
      <c r="BT9" s="69">
        <v>0</v>
      </c>
      <c r="BU9" s="69">
        <v>27.9</v>
      </c>
      <c r="BV9" s="69">
        <v>4.8</v>
      </c>
      <c r="BW9" s="69">
        <v>0</v>
      </c>
      <c r="BX9" s="69">
        <v>0</v>
      </c>
      <c r="BY9" s="80"/>
      <c r="BZ9" s="11">
        <f t="shared" si="23"/>
        <v>10.8</v>
      </c>
      <c r="CA9" s="11">
        <f t="shared" si="24"/>
        <v>64.3</v>
      </c>
      <c r="CB9" s="11">
        <f t="shared" si="25"/>
        <v>9.6</v>
      </c>
      <c r="CC9" s="11">
        <f t="shared" si="26"/>
        <v>64.399999999999991</v>
      </c>
      <c r="CD9" s="11">
        <f t="shared" si="27"/>
        <v>128.69999999999999</v>
      </c>
      <c r="CE9" s="24" t="str">
        <f>IF(MAX(DA9,DV9,EQ9,FL9,GG9,HB9,HW9,IR9,JM9,KH9,LC9,LX9)-IF(J9="",0,J9)&gt;0.001,MAX(DA9,DV9,EQ9,FL9,GG9,HB9,HW9,IR9,JM9,KH9,LC9,LX9)-IF(J9="",0,J9),"")</f>
        <v/>
      </c>
      <c r="CF9" s="24" t="str">
        <f>IF(MAX(CX9,CZ9,DS9,DU9,EN9,EP9,FI9,FK9,GD9,GF9,GY9,HA9,HT9,HV9,IO9,IQ9,JJ9,JL9,KE9,KG9,KZ9,LB9,LU9,LW9)-IF(L9="",0,L9)&gt;0.001,MAX(CX9,CZ9,DS9,DU9,EN9,EP9,FI9,FK9,GD9,GF9,GY9,HA9,HT9,HV9,IO9,IQ9,JJ9,JL9,KE9,KG9,KZ9,LB9,LU9,LW9)-IF(L9="",0,L9),"")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28"/>
        <v/>
      </c>
      <c r="CX9" s="11" t="str">
        <f t="shared" si="29"/>
        <v/>
      </c>
      <c r="CY9" s="11" t="str">
        <f t="shared" si="30"/>
        <v/>
      </c>
      <c r="CZ9" s="11" t="str">
        <f t="shared" si="31"/>
        <v/>
      </c>
      <c r="DA9" s="11" t="str">
        <f t="shared" si="32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3"/>
        <v/>
      </c>
      <c r="DS9" s="14" t="str">
        <f t="shared" si="34"/>
        <v/>
      </c>
      <c r="DT9" s="14" t="str">
        <f t="shared" si="35"/>
        <v/>
      </c>
      <c r="DU9" s="14" t="str">
        <f t="shared" si="36"/>
        <v/>
      </c>
      <c r="DV9" s="14" t="str">
        <f t="shared" si="37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38"/>
        <v/>
      </c>
      <c r="EN9" s="11" t="str">
        <f t="shared" si="39"/>
        <v/>
      </c>
      <c r="EO9" s="11" t="str">
        <f t="shared" si="40"/>
        <v/>
      </c>
      <c r="EP9" s="11" t="str">
        <f t="shared" si="41"/>
        <v/>
      </c>
      <c r="EQ9" s="11" t="str">
        <f t="shared" si="42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3"/>
        <v/>
      </c>
      <c r="FI9" s="14" t="str">
        <f t="shared" si="44"/>
        <v/>
      </c>
      <c r="FJ9" s="14" t="str">
        <f t="shared" si="45"/>
        <v/>
      </c>
      <c r="FK9" s="14" t="str">
        <f t="shared" si="46"/>
        <v/>
      </c>
      <c r="FL9" s="14" t="str">
        <f t="shared" si="47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48"/>
        <v/>
      </c>
      <c r="GD9" s="11" t="str">
        <f t="shared" si="49"/>
        <v/>
      </c>
      <c r="GE9" s="11" t="str">
        <f t="shared" si="50"/>
        <v/>
      </c>
      <c r="GF9" s="11" t="str">
        <f t="shared" si="51"/>
        <v/>
      </c>
      <c r="GG9" s="11" t="str">
        <f t="shared" si="52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3"/>
        <v/>
      </c>
      <c r="GY9" s="14" t="str">
        <f t="shared" si="54"/>
        <v/>
      </c>
      <c r="GZ9" s="14" t="str">
        <f t="shared" si="55"/>
        <v/>
      </c>
      <c r="HA9" s="14" t="str">
        <f t="shared" si="56"/>
        <v/>
      </c>
      <c r="HB9" s="14" t="str">
        <f t="shared" si="57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58"/>
        <v/>
      </c>
      <c r="HT9" s="11" t="str">
        <f t="shared" si="59"/>
        <v/>
      </c>
      <c r="HU9" s="11" t="str">
        <f t="shared" si="60"/>
        <v/>
      </c>
      <c r="HV9" s="11" t="str">
        <f t="shared" si="61"/>
        <v/>
      </c>
      <c r="HW9" s="11" t="str">
        <f t="shared" si="62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3"/>
        <v/>
      </c>
      <c r="IO9" s="14" t="str">
        <f t="shared" si="64"/>
        <v/>
      </c>
      <c r="IP9" s="14" t="str">
        <f t="shared" si="65"/>
        <v/>
      </c>
      <c r="IQ9" s="14" t="str">
        <f t="shared" si="66"/>
        <v/>
      </c>
      <c r="IR9" s="14" t="str">
        <f t="shared" si="67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68"/>
        <v/>
      </c>
      <c r="JJ9" s="11" t="str">
        <f t="shared" si="69"/>
        <v/>
      </c>
      <c r="JK9" s="11" t="str">
        <f t="shared" si="70"/>
        <v/>
      </c>
      <c r="JL9" s="11" t="str">
        <f t="shared" si="71"/>
        <v/>
      </c>
      <c r="JM9" s="11" t="str">
        <f t="shared" si="72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3"/>
        <v/>
      </c>
      <c r="KE9" s="14" t="str">
        <f t="shared" si="74"/>
        <v/>
      </c>
      <c r="KF9" s="14" t="str">
        <f t="shared" si="75"/>
        <v/>
      </c>
      <c r="KG9" s="14" t="str">
        <f t="shared" si="76"/>
        <v/>
      </c>
      <c r="KH9" s="14" t="str">
        <f t="shared" si="77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78"/>
        <v/>
      </c>
      <c r="KZ9" s="11" t="str">
        <f t="shared" si="79"/>
        <v/>
      </c>
      <c r="LA9" s="11" t="str">
        <f t="shared" si="80"/>
        <v/>
      </c>
      <c r="LB9" s="11" t="str">
        <f t="shared" si="81"/>
        <v/>
      </c>
      <c r="LC9" s="11" t="str">
        <f t="shared" si="82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3"/>
        <v/>
      </c>
      <c r="LU9" s="14" t="str">
        <f t="shared" si="84"/>
        <v/>
      </c>
      <c r="LV9" s="14" t="str">
        <f t="shared" si="85"/>
        <v/>
      </c>
      <c r="LW9" s="14" t="str">
        <f t="shared" si="86"/>
        <v/>
      </c>
      <c r="LX9" s="14" t="str">
        <f t="shared" si="87"/>
        <v/>
      </c>
      <c r="LY9" s="69">
        <f t="shared" si="88"/>
        <v>13.95</v>
      </c>
      <c r="LZ9" s="69">
        <f t="shared" si="89"/>
        <v>2.8</v>
      </c>
      <c r="MA9" s="69">
        <f t="shared" si="90"/>
        <v>0.45</v>
      </c>
      <c r="MB9" s="69">
        <f t="shared" si="91"/>
        <v>0</v>
      </c>
      <c r="MC9" s="69">
        <f t="shared" si="92"/>
        <v>13.7</v>
      </c>
      <c r="MD9" s="69">
        <f t="shared" si="93"/>
        <v>2.6</v>
      </c>
      <c r="ME9" s="69">
        <f t="shared" si="94"/>
        <v>0.45</v>
      </c>
      <c r="MF9" s="69">
        <f t="shared" si="95"/>
        <v>0</v>
      </c>
      <c r="MG9" s="69">
        <f t="shared" si="96"/>
        <v>13.9</v>
      </c>
      <c r="MH9" s="69">
        <f t="shared" si="97"/>
        <v>2.4</v>
      </c>
      <c r="MI9" s="69">
        <f t="shared" si="98"/>
        <v>0.45</v>
      </c>
      <c r="MJ9" s="69">
        <f t="shared" si="99"/>
        <v>0</v>
      </c>
      <c r="MK9" s="69">
        <f t="shared" si="100"/>
        <v>13.95</v>
      </c>
      <c r="ML9" s="69">
        <f t="shared" si="101"/>
        <v>2.4</v>
      </c>
      <c r="MM9" s="69">
        <f t="shared" si="102"/>
        <v>0</v>
      </c>
      <c r="MN9" s="69">
        <f t="shared" si="103"/>
        <v>0</v>
      </c>
      <c r="MO9" s="80" t="s">
        <v>88</v>
      </c>
      <c r="MP9" s="11">
        <f t="shared" si="104"/>
        <v>5.4</v>
      </c>
      <c r="MQ9" s="11">
        <f t="shared" si="105"/>
        <v>32.15</v>
      </c>
      <c r="MR9" s="11">
        <f t="shared" si="106"/>
        <v>4.8</v>
      </c>
      <c r="MS9" s="11">
        <f t="shared" si="107"/>
        <v>32.199999999999996</v>
      </c>
      <c r="MT9" s="11">
        <f t="shared" si="108"/>
        <v>64.349999999999994</v>
      </c>
    </row>
    <row r="10" spans="1:358" x14ac:dyDescent="0.2">
      <c r="A10" s="5" t="str">
        <f t="shared" si="0"/>
        <v/>
      </c>
      <c r="B10" s="8" t="s">
        <v>120</v>
      </c>
      <c r="C10" s="4" t="s">
        <v>5</v>
      </c>
      <c r="D10" s="5">
        <v>2000</v>
      </c>
      <c r="E10" s="15">
        <f t="shared" si="1"/>
        <v>193.39999999999998</v>
      </c>
      <c r="F10" s="3" t="str">
        <f t="shared" si="2"/>
        <v/>
      </c>
      <c r="G10" s="3" t="str">
        <f t="shared" si="3"/>
        <v/>
      </c>
      <c r="H10" s="126" t="str">
        <f t="shared" si="4"/>
        <v/>
      </c>
      <c r="I10" s="3" t="str">
        <f t="shared" si="5"/>
        <v/>
      </c>
      <c r="J10" s="14">
        <f t="shared" si="6"/>
        <v>126.69999999999999</v>
      </c>
      <c r="K10" s="14" t="str">
        <f t="shared" si="7"/>
        <v>2021 2nd Virtual Technical Trial</v>
      </c>
      <c r="L10" s="14">
        <f t="shared" si="8"/>
        <v>66.7</v>
      </c>
      <c r="M10" s="14" t="str">
        <f t="shared" si="9"/>
        <v>2019 Nationals</v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28.4</v>
      </c>
      <c r="R10" s="69">
        <v>6</v>
      </c>
      <c r="S10" s="69">
        <v>0</v>
      </c>
      <c r="T10" s="69">
        <v>0</v>
      </c>
      <c r="U10" s="69">
        <v>27</v>
      </c>
      <c r="V10" s="69">
        <v>5.6</v>
      </c>
      <c r="W10" s="69">
        <v>0.3</v>
      </c>
      <c r="X10" s="69">
        <v>0</v>
      </c>
      <c r="Y10" s="69">
        <v>19.8</v>
      </c>
      <c r="Z10" s="69">
        <v>2.4</v>
      </c>
      <c r="AA10" s="69">
        <v>0</v>
      </c>
      <c r="AB10" s="69">
        <v>0</v>
      </c>
      <c r="AC10" s="69">
        <v>27</v>
      </c>
      <c r="AD10" s="69">
        <v>2</v>
      </c>
      <c r="AE10" s="69">
        <v>4</v>
      </c>
      <c r="AF10" s="69">
        <v>0</v>
      </c>
      <c r="AG10" s="80"/>
      <c r="AH10" s="11">
        <f t="shared" si="13"/>
        <v>11.6</v>
      </c>
      <c r="AI10" s="11">
        <f t="shared" si="14"/>
        <v>66.7</v>
      </c>
      <c r="AJ10" s="11">
        <f t="shared" si="15"/>
        <v>4.4000000000000004</v>
      </c>
      <c r="AK10" s="11">
        <f t="shared" si="16"/>
        <v>47.2</v>
      </c>
      <c r="AL10" s="11">
        <f t="shared" si="17"/>
        <v>113.9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9">
        <v>27.3</v>
      </c>
      <c r="BJ10" s="69">
        <v>6</v>
      </c>
      <c r="BK10" s="69">
        <v>0.3</v>
      </c>
      <c r="BL10" s="69">
        <v>0</v>
      </c>
      <c r="BM10" s="69">
        <v>27.8</v>
      </c>
      <c r="BN10" s="69">
        <v>5.6</v>
      </c>
      <c r="BO10" s="69">
        <v>0</v>
      </c>
      <c r="BP10" s="69">
        <v>0</v>
      </c>
      <c r="BQ10" s="69">
        <v>28</v>
      </c>
      <c r="BR10" s="69">
        <v>5.2</v>
      </c>
      <c r="BS10" s="69">
        <v>0</v>
      </c>
      <c r="BT10" s="69">
        <v>0</v>
      </c>
      <c r="BU10" s="69">
        <v>27.5</v>
      </c>
      <c r="BV10" s="69">
        <v>2</v>
      </c>
      <c r="BW10" s="69">
        <v>2.4</v>
      </c>
      <c r="BX10" s="69">
        <v>0</v>
      </c>
      <c r="BY10" s="80"/>
      <c r="BZ10" s="11">
        <f t="shared" si="23"/>
        <v>11.6</v>
      </c>
      <c r="CA10" s="11">
        <f t="shared" si="24"/>
        <v>66.399999999999991</v>
      </c>
      <c r="CB10" s="11">
        <f t="shared" si="25"/>
        <v>7.2</v>
      </c>
      <c r="CC10" s="11">
        <f t="shared" si="26"/>
        <v>60.300000000000004</v>
      </c>
      <c r="CD10" s="11">
        <f t="shared" si="27"/>
        <v>126.69999999999999</v>
      </c>
      <c r="CE10" s="24"/>
      <c r="CF10" s="2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28"/>
        <v/>
      </c>
      <c r="CX10" s="11" t="str">
        <f t="shared" si="29"/>
        <v/>
      </c>
      <c r="CY10" s="11" t="str">
        <f t="shared" si="30"/>
        <v/>
      </c>
      <c r="CZ10" s="11" t="str">
        <f t="shared" si="31"/>
        <v/>
      </c>
      <c r="DA10" s="11" t="str">
        <f t="shared" si="32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3"/>
        <v/>
      </c>
      <c r="DS10" s="14" t="str">
        <f t="shared" si="34"/>
        <v/>
      </c>
      <c r="DT10" s="14" t="str">
        <f t="shared" si="35"/>
        <v/>
      </c>
      <c r="DU10" s="14" t="str">
        <f t="shared" si="36"/>
        <v/>
      </c>
      <c r="DV10" s="14" t="str">
        <f t="shared" si="37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38"/>
        <v/>
      </c>
      <c r="EN10" s="11" t="str">
        <f t="shared" si="39"/>
        <v/>
      </c>
      <c r="EO10" s="11" t="str">
        <f t="shared" si="40"/>
        <v/>
      </c>
      <c r="EP10" s="11" t="str">
        <f t="shared" si="41"/>
        <v/>
      </c>
      <c r="EQ10" s="11" t="str">
        <f t="shared" si="42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3"/>
        <v/>
      </c>
      <c r="FI10" s="14" t="str">
        <f t="shared" si="44"/>
        <v/>
      </c>
      <c r="FJ10" s="14" t="str">
        <f t="shared" si="45"/>
        <v/>
      </c>
      <c r="FK10" s="14" t="str">
        <f t="shared" si="46"/>
        <v/>
      </c>
      <c r="FL10" s="14" t="str">
        <f t="shared" si="47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48"/>
        <v/>
      </c>
      <c r="GD10" s="11" t="str">
        <f t="shared" si="49"/>
        <v/>
      </c>
      <c r="GE10" s="11" t="str">
        <f t="shared" si="50"/>
        <v/>
      </c>
      <c r="GF10" s="11" t="str">
        <f t="shared" si="51"/>
        <v/>
      </c>
      <c r="GG10" s="11" t="str">
        <f t="shared" si="52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3"/>
        <v/>
      </c>
      <c r="GY10" s="14" t="str">
        <f t="shared" si="54"/>
        <v/>
      </c>
      <c r="GZ10" s="14" t="str">
        <f t="shared" si="55"/>
        <v/>
      </c>
      <c r="HA10" s="14" t="str">
        <f t="shared" si="56"/>
        <v/>
      </c>
      <c r="HB10" s="14" t="str">
        <f t="shared" si="57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58"/>
        <v/>
      </c>
      <c r="HT10" s="11" t="str">
        <f t="shared" si="59"/>
        <v/>
      </c>
      <c r="HU10" s="11" t="str">
        <f t="shared" si="60"/>
        <v/>
      </c>
      <c r="HV10" s="11" t="str">
        <f t="shared" si="61"/>
        <v/>
      </c>
      <c r="HW10" s="11" t="str">
        <f t="shared" si="62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3"/>
        <v/>
      </c>
      <c r="IO10" s="14" t="str">
        <f t="shared" si="64"/>
        <v/>
      </c>
      <c r="IP10" s="14" t="str">
        <f t="shared" si="65"/>
        <v/>
      </c>
      <c r="IQ10" s="14" t="str">
        <f t="shared" si="66"/>
        <v/>
      </c>
      <c r="IR10" s="14" t="str">
        <f t="shared" si="67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68"/>
        <v/>
      </c>
      <c r="JJ10" s="11" t="str">
        <f t="shared" si="69"/>
        <v/>
      </c>
      <c r="JK10" s="11" t="str">
        <f t="shared" si="70"/>
        <v/>
      </c>
      <c r="JL10" s="11" t="str">
        <f t="shared" si="71"/>
        <v/>
      </c>
      <c r="JM10" s="11" t="str">
        <f t="shared" si="72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3"/>
        <v/>
      </c>
      <c r="KE10" s="14" t="str">
        <f t="shared" si="74"/>
        <v/>
      </c>
      <c r="KF10" s="14" t="str">
        <f t="shared" si="75"/>
        <v/>
      </c>
      <c r="KG10" s="14" t="str">
        <f t="shared" si="76"/>
        <v/>
      </c>
      <c r="KH10" s="14" t="str">
        <f t="shared" si="77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78"/>
        <v/>
      </c>
      <c r="KZ10" s="11" t="str">
        <f t="shared" si="79"/>
        <v/>
      </c>
      <c r="LA10" s="11" t="str">
        <f t="shared" si="80"/>
        <v/>
      </c>
      <c r="LB10" s="11" t="str">
        <f t="shared" si="81"/>
        <v/>
      </c>
      <c r="LC10" s="11" t="str">
        <f t="shared" si="82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3"/>
        <v/>
      </c>
      <c r="LU10" s="14" t="str">
        <f t="shared" si="84"/>
        <v/>
      </c>
      <c r="LV10" s="14" t="str">
        <f t="shared" si="85"/>
        <v/>
      </c>
      <c r="LW10" s="14" t="str">
        <f t="shared" si="86"/>
        <v/>
      </c>
      <c r="LX10" s="14" t="str">
        <f t="shared" si="87"/>
        <v/>
      </c>
      <c r="LY10" s="69">
        <f t="shared" si="88"/>
        <v>13.65</v>
      </c>
      <c r="LZ10" s="69">
        <f t="shared" si="89"/>
        <v>3</v>
      </c>
      <c r="MA10" s="69">
        <f t="shared" si="90"/>
        <v>0.15</v>
      </c>
      <c r="MB10" s="69">
        <f t="shared" si="91"/>
        <v>0</v>
      </c>
      <c r="MC10" s="69">
        <f t="shared" si="92"/>
        <v>13.9</v>
      </c>
      <c r="MD10" s="69">
        <f t="shared" si="93"/>
        <v>2.8</v>
      </c>
      <c r="ME10" s="69">
        <f t="shared" si="94"/>
        <v>0</v>
      </c>
      <c r="MF10" s="69">
        <f t="shared" si="95"/>
        <v>0</v>
      </c>
      <c r="MG10" s="69">
        <f t="shared" si="96"/>
        <v>14</v>
      </c>
      <c r="MH10" s="69">
        <f t="shared" si="97"/>
        <v>2.6</v>
      </c>
      <c r="MI10" s="69">
        <f t="shared" si="98"/>
        <v>0</v>
      </c>
      <c r="MJ10" s="69">
        <f t="shared" si="99"/>
        <v>0</v>
      </c>
      <c r="MK10" s="69">
        <f t="shared" si="100"/>
        <v>13.75</v>
      </c>
      <c r="ML10" s="69">
        <f t="shared" si="101"/>
        <v>1</v>
      </c>
      <c r="MM10" s="69">
        <f t="shared" si="102"/>
        <v>1.2</v>
      </c>
      <c r="MN10" s="69">
        <f t="shared" si="103"/>
        <v>0</v>
      </c>
      <c r="MO10" s="80" t="s">
        <v>88</v>
      </c>
      <c r="MP10" s="11">
        <f t="shared" si="104"/>
        <v>5.8</v>
      </c>
      <c r="MQ10" s="11">
        <f t="shared" si="105"/>
        <v>33.199999999999996</v>
      </c>
      <c r="MR10" s="11">
        <f t="shared" si="106"/>
        <v>3.6</v>
      </c>
      <c r="MS10" s="11">
        <f t="shared" si="107"/>
        <v>30.150000000000002</v>
      </c>
      <c r="MT10" s="11">
        <f t="shared" si="108"/>
        <v>63.349999999999994</v>
      </c>
    </row>
    <row r="11" spans="1:358" x14ac:dyDescent="0.2">
      <c r="A11" s="5" t="str">
        <f t="shared" si="0"/>
        <v/>
      </c>
      <c r="B11" s="8" t="s">
        <v>189</v>
      </c>
      <c r="C11" s="4" t="s">
        <v>6</v>
      </c>
      <c r="D11" s="5">
        <v>2003</v>
      </c>
      <c r="E11" s="15">
        <f t="shared" si="1"/>
        <v>191.39999999999998</v>
      </c>
      <c r="F11" s="3" t="str">
        <f t="shared" si="2"/>
        <v/>
      </c>
      <c r="G11" s="3" t="str">
        <f t="shared" si="3"/>
        <v/>
      </c>
      <c r="H11" s="126" t="str">
        <f t="shared" si="4"/>
        <v/>
      </c>
      <c r="I11" s="3" t="str">
        <f t="shared" si="5"/>
        <v/>
      </c>
      <c r="J11" s="14">
        <f t="shared" si="6"/>
        <v>127.6</v>
      </c>
      <c r="K11" s="14" t="str">
        <f t="shared" si="7"/>
        <v>2019 Nationals</v>
      </c>
      <c r="L11" s="14">
        <f t="shared" si="8"/>
        <v>63.8</v>
      </c>
      <c r="M11" s="14" t="str">
        <f t="shared" si="9"/>
        <v>2021 2nd Virtual Technical Trial</v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27.8</v>
      </c>
      <c r="R11" s="69">
        <v>3.4</v>
      </c>
      <c r="S11" s="69">
        <v>0.3</v>
      </c>
      <c r="T11" s="69">
        <v>0</v>
      </c>
      <c r="U11" s="69">
        <v>28.2</v>
      </c>
      <c r="V11" s="69">
        <v>3.3</v>
      </c>
      <c r="W11" s="69">
        <v>0</v>
      </c>
      <c r="X11" s="69">
        <v>0</v>
      </c>
      <c r="Y11" s="69">
        <v>28.6</v>
      </c>
      <c r="Z11" s="69">
        <v>3.1</v>
      </c>
      <c r="AA11" s="69">
        <v>0</v>
      </c>
      <c r="AB11" s="69">
        <v>0</v>
      </c>
      <c r="AC11" s="69">
        <v>28.3</v>
      </c>
      <c r="AD11" s="69">
        <v>5.2</v>
      </c>
      <c r="AE11" s="69">
        <v>0</v>
      </c>
      <c r="AF11" s="69">
        <v>0</v>
      </c>
      <c r="AG11" s="80"/>
      <c r="AH11" s="11">
        <f t="shared" si="13"/>
        <v>6.6999999999999993</v>
      </c>
      <c r="AI11" s="11">
        <f t="shared" si="14"/>
        <v>62.4</v>
      </c>
      <c r="AJ11" s="11">
        <f t="shared" si="15"/>
        <v>8.3000000000000007</v>
      </c>
      <c r="AK11" s="11">
        <f t="shared" si="16"/>
        <v>65.2</v>
      </c>
      <c r="AL11" s="11">
        <f t="shared" si="17"/>
        <v>127.6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1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9">
        <v>27.3</v>
      </c>
      <c r="BJ11" s="69">
        <v>6</v>
      </c>
      <c r="BK11" s="69">
        <v>0.9</v>
      </c>
      <c r="BL11" s="69">
        <v>0</v>
      </c>
      <c r="BM11" s="69">
        <v>25.2</v>
      </c>
      <c r="BN11" s="69">
        <v>5.6</v>
      </c>
      <c r="BO11" s="69">
        <v>0.3</v>
      </c>
      <c r="BP11" s="69">
        <v>0</v>
      </c>
      <c r="BQ11" s="69">
        <v>27.1</v>
      </c>
      <c r="BR11" s="69">
        <v>4.8</v>
      </c>
      <c r="BS11" s="69">
        <v>0.3</v>
      </c>
      <c r="BT11" s="69">
        <v>0</v>
      </c>
      <c r="BU11" s="69">
        <v>27.4</v>
      </c>
      <c r="BV11" s="69">
        <v>4.8</v>
      </c>
      <c r="BW11" s="69">
        <v>0</v>
      </c>
      <c r="BX11" s="69">
        <v>0</v>
      </c>
      <c r="BY11" s="80"/>
      <c r="BZ11" s="11">
        <f t="shared" si="23"/>
        <v>11.6</v>
      </c>
      <c r="CA11" s="11">
        <f t="shared" si="24"/>
        <v>62.899999999999991</v>
      </c>
      <c r="CB11" s="11">
        <f t="shared" si="25"/>
        <v>9.6</v>
      </c>
      <c r="CC11" s="11">
        <f t="shared" si="26"/>
        <v>63.8</v>
      </c>
      <c r="CD11" s="11">
        <f t="shared" si="27"/>
        <v>126.69999999999999</v>
      </c>
      <c r="CE11" s="24"/>
      <c r="CF11" s="2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28"/>
        <v/>
      </c>
      <c r="CX11" s="11" t="str">
        <f t="shared" si="29"/>
        <v/>
      </c>
      <c r="CY11" s="11" t="str">
        <f t="shared" si="30"/>
        <v/>
      </c>
      <c r="CZ11" s="11" t="str">
        <f t="shared" si="31"/>
        <v/>
      </c>
      <c r="DA11" s="11" t="str">
        <f t="shared" si="32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3"/>
        <v/>
      </c>
      <c r="DS11" s="14" t="str">
        <f t="shared" si="34"/>
        <v/>
      </c>
      <c r="DT11" s="14" t="str">
        <f t="shared" si="35"/>
        <v/>
      </c>
      <c r="DU11" s="14" t="str">
        <f t="shared" si="36"/>
        <v/>
      </c>
      <c r="DV11" s="14" t="str">
        <f t="shared" si="37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38"/>
        <v/>
      </c>
      <c r="EN11" s="11" t="str">
        <f t="shared" si="39"/>
        <v/>
      </c>
      <c r="EO11" s="11" t="str">
        <f t="shared" si="40"/>
        <v/>
      </c>
      <c r="EP11" s="11" t="str">
        <f t="shared" si="41"/>
        <v/>
      </c>
      <c r="EQ11" s="11" t="str">
        <f t="shared" si="42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3"/>
        <v/>
      </c>
      <c r="FI11" s="14" t="str">
        <f t="shared" si="44"/>
        <v/>
      </c>
      <c r="FJ11" s="14" t="str">
        <f t="shared" si="45"/>
        <v/>
      </c>
      <c r="FK11" s="14" t="str">
        <f t="shared" si="46"/>
        <v/>
      </c>
      <c r="FL11" s="14" t="str">
        <f t="shared" si="47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48"/>
        <v/>
      </c>
      <c r="GD11" s="11" t="str">
        <f t="shared" si="49"/>
        <v/>
      </c>
      <c r="GE11" s="11" t="str">
        <f t="shared" si="50"/>
        <v/>
      </c>
      <c r="GF11" s="11" t="str">
        <f t="shared" si="51"/>
        <v/>
      </c>
      <c r="GG11" s="11" t="str">
        <f t="shared" si="52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3"/>
        <v/>
      </c>
      <c r="GY11" s="14" t="str">
        <f t="shared" si="54"/>
        <v/>
      </c>
      <c r="GZ11" s="14" t="str">
        <f t="shared" si="55"/>
        <v/>
      </c>
      <c r="HA11" s="14" t="str">
        <f t="shared" si="56"/>
        <v/>
      </c>
      <c r="HB11" s="14" t="str">
        <f t="shared" si="57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58"/>
        <v/>
      </c>
      <c r="HT11" s="11" t="str">
        <f t="shared" si="59"/>
        <v/>
      </c>
      <c r="HU11" s="11" t="str">
        <f t="shared" si="60"/>
        <v/>
      </c>
      <c r="HV11" s="11" t="str">
        <f t="shared" si="61"/>
        <v/>
      </c>
      <c r="HW11" s="11" t="str">
        <f t="shared" si="62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3"/>
        <v/>
      </c>
      <c r="IO11" s="14" t="str">
        <f t="shared" si="64"/>
        <v/>
      </c>
      <c r="IP11" s="14" t="str">
        <f t="shared" si="65"/>
        <v/>
      </c>
      <c r="IQ11" s="14" t="str">
        <f t="shared" si="66"/>
        <v/>
      </c>
      <c r="IR11" s="14" t="str">
        <f t="shared" si="67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68"/>
        <v/>
      </c>
      <c r="JJ11" s="11" t="str">
        <f t="shared" si="69"/>
        <v/>
      </c>
      <c r="JK11" s="11" t="str">
        <f t="shared" si="70"/>
        <v/>
      </c>
      <c r="JL11" s="11" t="str">
        <f t="shared" si="71"/>
        <v/>
      </c>
      <c r="JM11" s="11" t="str">
        <f t="shared" si="72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3"/>
        <v/>
      </c>
      <c r="KE11" s="14" t="str">
        <f t="shared" si="74"/>
        <v/>
      </c>
      <c r="KF11" s="14" t="str">
        <f t="shared" si="75"/>
        <v/>
      </c>
      <c r="KG11" s="14" t="str">
        <f t="shared" si="76"/>
        <v/>
      </c>
      <c r="KH11" s="14" t="str">
        <f t="shared" si="77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78"/>
        <v/>
      </c>
      <c r="KZ11" s="11" t="str">
        <f t="shared" si="79"/>
        <v/>
      </c>
      <c r="LA11" s="11" t="str">
        <f t="shared" si="80"/>
        <v/>
      </c>
      <c r="LB11" s="11" t="str">
        <f t="shared" si="81"/>
        <v/>
      </c>
      <c r="LC11" s="11" t="str">
        <f t="shared" si="82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3"/>
        <v/>
      </c>
      <c r="LU11" s="14" t="str">
        <f t="shared" si="84"/>
        <v/>
      </c>
      <c r="LV11" s="14" t="str">
        <f t="shared" si="85"/>
        <v/>
      </c>
      <c r="LW11" s="14" t="str">
        <f t="shared" si="86"/>
        <v/>
      </c>
      <c r="LX11" s="14" t="str">
        <f t="shared" si="87"/>
        <v/>
      </c>
      <c r="LY11" s="69">
        <f t="shared" si="88"/>
        <v>13.65</v>
      </c>
      <c r="LZ11" s="69">
        <f t="shared" si="89"/>
        <v>3</v>
      </c>
      <c r="MA11" s="69">
        <f t="shared" si="90"/>
        <v>0.45</v>
      </c>
      <c r="MB11" s="69">
        <f t="shared" si="91"/>
        <v>0</v>
      </c>
      <c r="MC11" s="69">
        <f t="shared" si="92"/>
        <v>12.6</v>
      </c>
      <c r="MD11" s="69">
        <f t="shared" si="93"/>
        <v>2.8</v>
      </c>
      <c r="ME11" s="69">
        <f t="shared" si="94"/>
        <v>0.15</v>
      </c>
      <c r="MF11" s="69">
        <f t="shared" si="95"/>
        <v>0</v>
      </c>
      <c r="MG11" s="69">
        <f t="shared" si="96"/>
        <v>13.55</v>
      </c>
      <c r="MH11" s="69">
        <f t="shared" si="97"/>
        <v>2.4</v>
      </c>
      <c r="MI11" s="69">
        <f t="shared" si="98"/>
        <v>0.15</v>
      </c>
      <c r="MJ11" s="69">
        <f t="shared" si="99"/>
        <v>0</v>
      </c>
      <c r="MK11" s="69">
        <f t="shared" si="100"/>
        <v>13.7</v>
      </c>
      <c r="ML11" s="69">
        <f t="shared" si="101"/>
        <v>2.4</v>
      </c>
      <c r="MM11" s="69">
        <f t="shared" si="102"/>
        <v>0</v>
      </c>
      <c r="MN11" s="69">
        <f t="shared" si="103"/>
        <v>0</v>
      </c>
      <c r="MO11" s="80" t="s">
        <v>88</v>
      </c>
      <c r="MP11" s="11">
        <f t="shared" si="104"/>
        <v>5.8</v>
      </c>
      <c r="MQ11" s="11">
        <f t="shared" si="105"/>
        <v>31.449999999999996</v>
      </c>
      <c r="MR11" s="11">
        <f t="shared" si="106"/>
        <v>4.8</v>
      </c>
      <c r="MS11" s="11">
        <f t="shared" si="107"/>
        <v>31.9</v>
      </c>
      <c r="MT11" s="11">
        <f t="shared" si="108"/>
        <v>63.349999999999994</v>
      </c>
    </row>
    <row r="12" spans="1:358" x14ac:dyDescent="0.2">
      <c r="A12" s="5" t="str">
        <f t="shared" si="0"/>
        <v/>
      </c>
      <c r="B12" s="8" t="s">
        <v>188</v>
      </c>
      <c r="C12" s="4" t="s">
        <v>6</v>
      </c>
      <c r="D12" s="5">
        <v>2003</v>
      </c>
      <c r="E12" s="15">
        <f t="shared" si="1"/>
        <v>189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126.4</v>
      </c>
      <c r="K12" s="14" t="str">
        <f t="shared" si="7"/>
        <v>2019 Nationals</v>
      </c>
      <c r="L12" s="14">
        <f t="shared" si="8"/>
        <v>62.599999999999994</v>
      </c>
      <c r="M12" s="14" t="str">
        <f t="shared" si="9"/>
        <v>2021 2nd Virtual Technical Trial</v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>
        <v>27.9</v>
      </c>
      <c r="R12" s="69">
        <v>5.2</v>
      </c>
      <c r="S12" s="69">
        <v>0</v>
      </c>
      <c r="T12" s="69">
        <v>0</v>
      </c>
      <c r="U12" s="69">
        <v>27</v>
      </c>
      <c r="V12" s="69">
        <v>5.2</v>
      </c>
      <c r="W12" s="69">
        <v>1.8</v>
      </c>
      <c r="X12" s="69">
        <v>0.5</v>
      </c>
      <c r="Y12" s="69">
        <v>27.6</v>
      </c>
      <c r="Z12" s="69">
        <v>4</v>
      </c>
      <c r="AA12" s="69">
        <v>0.3</v>
      </c>
      <c r="AB12" s="69">
        <v>0</v>
      </c>
      <c r="AC12" s="69">
        <v>27.5</v>
      </c>
      <c r="AD12" s="69">
        <v>3.9</v>
      </c>
      <c r="AE12" s="69">
        <v>0.3</v>
      </c>
      <c r="AF12" s="69">
        <v>0</v>
      </c>
      <c r="AG12" s="80"/>
      <c r="AH12" s="11">
        <f t="shared" si="13"/>
        <v>10.4</v>
      </c>
      <c r="AI12" s="11">
        <f t="shared" si="14"/>
        <v>64</v>
      </c>
      <c r="AJ12" s="11">
        <f t="shared" si="15"/>
        <v>7.9</v>
      </c>
      <c r="AK12" s="11">
        <f t="shared" si="16"/>
        <v>62.4</v>
      </c>
      <c r="AL12" s="11">
        <f t="shared" si="17"/>
        <v>126.4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9">
        <v>24.9</v>
      </c>
      <c r="BJ12" s="69">
        <v>6</v>
      </c>
      <c r="BK12" s="69">
        <v>1.8</v>
      </c>
      <c r="BL12" s="69">
        <v>0</v>
      </c>
      <c r="BM12" s="69">
        <v>27.9</v>
      </c>
      <c r="BN12" s="69">
        <v>5.6</v>
      </c>
      <c r="BO12" s="69">
        <v>0</v>
      </c>
      <c r="BP12" s="69">
        <v>0</v>
      </c>
      <c r="BQ12" s="69">
        <v>19.8</v>
      </c>
      <c r="BR12" s="69">
        <v>2.4</v>
      </c>
      <c r="BS12" s="69">
        <v>0</v>
      </c>
      <c r="BT12" s="69">
        <v>0</v>
      </c>
      <c r="BU12" s="69">
        <v>27.7</v>
      </c>
      <c r="BV12" s="69">
        <v>5.2</v>
      </c>
      <c r="BW12" s="69">
        <v>0</v>
      </c>
      <c r="BX12" s="69">
        <v>0</v>
      </c>
      <c r="BY12" s="80"/>
      <c r="BZ12" s="11">
        <f t="shared" si="23"/>
        <v>11.6</v>
      </c>
      <c r="CA12" s="11">
        <f t="shared" si="24"/>
        <v>62.599999999999994</v>
      </c>
      <c r="CB12" s="11">
        <f t="shared" si="25"/>
        <v>7.6</v>
      </c>
      <c r="CC12" s="11">
        <f t="shared" si="26"/>
        <v>55.1</v>
      </c>
      <c r="CD12" s="11">
        <f t="shared" si="27"/>
        <v>117.69999999999999</v>
      </c>
      <c r="CE12" s="24"/>
      <c r="CF12" s="2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28"/>
        <v/>
      </c>
      <c r="CX12" s="11" t="str">
        <f t="shared" si="29"/>
        <v/>
      </c>
      <c r="CY12" s="11" t="str">
        <f t="shared" si="30"/>
        <v/>
      </c>
      <c r="CZ12" s="11" t="str">
        <f t="shared" si="31"/>
        <v/>
      </c>
      <c r="DA12" s="11" t="str">
        <f t="shared" si="32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3"/>
        <v/>
      </c>
      <c r="DS12" s="14" t="str">
        <f t="shared" si="34"/>
        <v/>
      </c>
      <c r="DT12" s="14" t="str">
        <f t="shared" si="35"/>
        <v/>
      </c>
      <c r="DU12" s="14" t="str">
        <f t="shared" si="36"/>
        <v/>
      </c>
      <c r="DV12" s="14" t="str">
        <f t="shared" si="37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38"/>
        <v/>
      </c>
      <c r="EN12" s="11" t="str">
        <f t="shared" si="39"/>
        <v/>
      </c>
      <c r="EO12" s="11" t="str">
        <f t="shared" si="40"/>
        <v/>
      </c>
      <c r="EP12" s="11" t="str">
        <f t="shared" si="41"/>
        <v/>
      </c>
      <c r="EQ12" s="11" t="str">
        <f t="shared" si="42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3"/>
        <v/>
      </c>
      <c r="FI12" s="14" t="str">
        <f t="shared" si="44"/>
        <v/>
      </c>
      <c r="FJ12" s="14" t="str">
        <f t="shared" si="45"/>
        <v/>
      </c>
      <c r="FK12" s="14" t="str">
        <f t="shared" si="46"/>
        <v/>
      </c>
      <c r="FL12" s="14" t="str">
        <f t="shared" si="47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48"/>
        <v/>
      </c>
      <c r="GD12" s="11" t="str">
        <f t="shared" si="49"/>
        <v/>
      </c>
      <c r="GE12" s="11" t="str">
        <f t="shared" si="50"/>
        <v/>
      </c>
      <c r="GF12" s="11" t="str">
        <f t="shared" si="51"/>
        <v/>
      </c>
      <c r="GG12" s="11" t="str">
        <f t="shared" si="52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3"/>
        <v/>
      </c>
      <c r="GY12" s="14" t="str">
        <f t="shared" si="54"/>
        <v/>
      </c>
      <c r="GZ12" s="14" t="str">
        <f t="shared" si="55"/>
        <v/>
      </c>
      <c r="HA12" s="14" t="str">
        <f t="shared" si="56"/>
        <v/>
      </c>
      <c r="HB12" s="14" t="str">
        <f t="shared" si="57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58"/>
        <v/>
      </c>
      <c r="HT12" s="11" t="str">
        <f t="shared" si="59"/>
        <v/>
      </c>
      <c r="HU12" s="11" t="str">
        <f t="shared" si="60"/>
        <v/>
      </c>
      <c r="HV12" s="11" t="str">
        <f t="shared" si="61"/>
        <v/>
      </c>
      <c r="HW12" s="11" t="str">
        <f t="shared" si="62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3"/>
        <v/>
      </c>
      <c r="IO12" s="14" t="str">
        <f t="shared" si="64"/>
        <v/>
      </c>
      <c r="IP12" s="14" t="str">
        <f t="shared" si="65"/>
        <v/>
      </c>
      <c r="IQ12" s="14" t="str">
        <f t="shared" si="66"/>
        <v/>
      </c>
      <c r="IR12" s="14" t="str">
        <f t="shared" si="67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68"/>
        <v/>
      </c>
      <c r="JJ12" s="11" t="str">
        <f t="shared" si="69"/>
        <v/>
      </c>
      <c r="JK12" s="11" t="str">
        <f t="shared" si="70"/>
        <v/>
      </c>
      <c r="JL12" s="11" t="str">
        <f t="shared" si="71"/>
        <v/>
      </c>
      <c r="JM12" s="11" t="str">
        <f t="shared" si="72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3"/>
        <v/>
      </c>
      <c r="KE12" s="14" t="str">
        <f t="shared" si="74"/>
        <v/>
      </c>
      <c r="KF12" s="14" t="str">
        <f t="shared" si="75"/>
        <v/>
      </c>
      <c r="KG12" s="14" t="str">
        <f t="shared" si="76"/>
        <v/>
      </c>
      <c r="KH12" s="14" t="str">
        <f t="shared" si="77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78"/>
        <v/>
      </c>
      <c r="KZ12" s="11" t="str">
        <f t="shared" si="79"/>
        <v/>
      </c>
      <c r="LA12" s="11" t="str">
        <f t="shared" si="80"/>
        <v/>
      </c>
      <c r="LB12" s="11" t="str">
        <f t="shared" si="81"/>
        <v/>
      </c>
      <c r="LC12" s="11" t="str">
        <f t="shared" si="82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3"/>
        <v/>
      </c>
      <c r="LU12" s="14" t="str">
        <f t="shared" si="84"/>
        <v/>
      </c>
      <c r="LV12" s="14" t="str">
        <f t="shared" si="85"/>
        <v/>
      </c>
      <c r="LW12" s="14" t="str">
        <f t="shared" si="86"/>
        <v/>
      </c>
      <c r="LX12" s="14" t="str">
        <f t="shared" si="87"/>
        <v/>
      </c>
      <c r="LY12" s="69">
        <f t="shared" si="88"/>
        <v>12.45</v>
      </c>
      <c r="LZ12" s="69">
        <f t="shared" si="89"/>
        <v>3</v>
      </c>
      <c r="MA12" s="69">
        <f t="shared" si="90"/>
        <v>0.9</v>
      </c>
      <c r="MB12" s="69">
        <f t="shared" si="91"/>
        <v>0</v>
      </c>
      <c r="MC12" s="69">
        <f t="shared" si="92"/>
        <v>13.95</v>
      </c>
      <c r="MD12" s="69">
        <f t="shared" si="93"/>
        <v>2.8</v>
      </c>
      <c r="ME12" s="69">
        <f t="shared" si="94"/>
        <v>0</v>
      </c>
      <c r="MF12" s="69">
        <f t="shared" si="95"/>
        <v>0</v>
      </c>
      <c r="MG12" s="69">
        <f t="shared" si="96"/>
        <v>9.9</v>
      </c>
      <c r="MH12" s="69">
        <f t="shared" si="97"/>
        <v>1.2</v>
      </c>
      <c r="MI12" s="69">
        <f t="shared" si="98"/>
        <v>0</v>
      </c>
      <c r="MJ12" s="69">
        <f t="shared" si="99"/>
        <v>0</v>
      </c>
      <c r="MK12" s="69">
        <f t="shared" si="100"/>
        <v>13.85</v>
      </c>
      <c r="ML12" s="69">
        <f t="shared" si="101"/>
        <v>2.6</v>
      </c>
      <c r="MM12" s="69">
        <f t="shared" si="102"/>
        <v>0</v>
      </c>
      <c r="MN12" s="69">
        <f t="shared" si="103"/>
        <v>0</v>
      </c>
      <c r="MO12" s="80" t="s">
        <v>88</v>
      </c>
      <c r="MP12" s="11">
        <f t="shared" si="104"/>
        <v>5.8</v>
      </c>
      <c r="MQ12" s="11">
        <f t="shared" si="105"/>
        <v>31.299999999999997</v>
      </c>
      <c r="MR12" s="11">
        <f t="shared" si="106"/>
        <v>3.8</v>
      </c>
      <c r="MS12" s="11">
        <f t="shared" si="107"/>
        <v>27.55</v>
      </c>
      <c r="MT12" s="11">
        <f t="shared" si="108"/>
        <v>58.849999999999994</v>
      </c>
    </row>
    <row r="13" spans="1:358" x14ac:dyDescent="0.2">
      <c r="A13" s="5" t="str">
        <f t="shared" si="0"/>
        <v/>
      </c>
      <c r="B13" s="8" t="s">
        <v>61</v>
      </c>
      <c r="C13" s="4" t="s">
        <v>62</v>
      </c>
      <c r="D13" s="5">
        <v>1998</v>
      </c>
      <c r="E13" s="15">
        <f t="shared" si="1"/>
        <v>133.1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133.1</v>
      </c>
      <c r="K13" s="14" t="str">
        <f t="shared" si="7"/>
        <v>2019 Nationals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>
        <v>28.2</v>
      </c>
      <c r="R13" s="69">
        <v>6.4</v>
      </c>
      <c r="S13" s="69">
        <v>0.3</v>
      </c>
      <c r="T13" s="69">
        <v>0</v>
      </c>
      <c r="U13" s="69">
        <v>28.2</v>
      </c>
      <c r="V13" s="69">
        <v>5.2</v>
      </c>
      <c r="W13" s="69">
        <v>1.2</v>
      </c>
      <c r="X13" s="69">
        <v>0</v>
      </c>
      <c r="Y13" s="69">
        <v>28.3</v>
      </c>
      <c r="Z13" s="69">
        <v>4.8</v>
      </c>
      <c r="AA13" s="69">
        <v>0</v>
      </c>
      <c r="AB13" s="69">
        <v>0</v>
      </c>
      <c r="AC13" s="69">
        <v>28.7</v>
      </c>
      <c r="AD13" s="69">
        <v>4.8</v>
      </c>
      <c r="AE13" s="69">
        <v>0</v>
      </c>
      <c r="AF13" s="69">
        <v>0</v>
      </c>
      <c r="AG13" s="80"/>
      <c r="AH13" s="11">
        <f t="shared" si="13"/>
        <v>11.600000000000001</v>
      </c>
      <c r="AI13" s="11">
        <f t="shared" si="14"/>
        <v>66.5</v>
      </c>
      <c r="AJ13" s="11">
        <f t="shared" si="15"/>
        <v>9.6</v>
      </c>
      <c r="AK13" s="11">
        <f t="shared" si="16"/>
        <v>66.599999999999994</v>
      </c>
      <c r="AL13" s="11">
        <f t="shared" si="17"/>
        <v>133.1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 t="shared" si="23"/>
        <v/>
      </c>
      <c r="CA13" s="11" t="str">
        <f t="shared" si="24"/>
        <v/>
      </c>
      <c r="CB13" s="11" t="str">
        <f t="shared" si="25"/>
        <v/>
      </c>
      <c r="CC13" s="11" t="str">
        <f t="shared" si="26"/>
        <v/>
      </c>
      <c r="CD13" s="11" t="str">
        <f t="shared" si="27"/>
        <v/>
      </c>
      <c r="CE13" s="24" t="str">
        <f>IF(MAX(DA13,DV13,EQ13,FL13,GG13,HB13,HW13,IR13,JM13,KH13,LC13,LX13)-IF(J13="",0,J13)&gt;0.001,MAX(DA13,DV13,EQ13,FL13,GG13,HB13,HW13,IR13,JM13,KH13,LC13,LX13)-IF(J13="",0,J13),"")</f>
        <v/>
      </c>
      <c r="CF13" s="24" t="str">
        <f>IF(MAX(CX13,CZ13,DS13,DU13,EN13,EP13,FI13,FK13,GD13,GF13,GY13,HA13,HT13,HV13,IO13,IQ13,JJ13,JL13,KE13,KG13,KZ13,LB13,LU13,LW13)-IF(L13="",0,L13)&gt;0.001,MAX(CX13,CZ13,DS13,DU13,EN13,EP13,FI13,FK13,GD13,GF13,GY13,HA13,HT13,HV13,IO13,IQ13,JJ13,JL13,KE13,KG13,KZ13,LB13,LU13,LW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28"/>
        <v/>
      </c>
      <c r="CX13" s="11" t="str">
        <f t="shared" si="29"/>
        <v/>
      </c>
      <c r="CY13" s="11" t="str">
        <f t="shared" si="30"/>
        <v/>
      </c>
      <c r="CZ13" s="11" t="str">
        <f t="shared" si="31"/>
        <v/>
      </c>
      <c r="DA13" s="11" t="str">
        <f t="shared" si="32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3"/>
        <v/>
      </c>
      <c r="DS13" s="14" t="str">
        <f t="shared" si="34"/>
        <v/>
      </c>
      <c r="DT13" s="14" t="str">
        <f t="shared" si="35"/>
        <v/>
      </c>
      <c r="DU13" s="14" t="str">
        <f t="shared" si="36"/>
        <v/>
      </c>
      <c r="DV13" s="14" t="str">
        <f t="shared" si="37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38"/>
        <v/>
      </c>
      <c r="EN13" s="11" t="str">
        <f t="shared" si="39"/>
        <v/>
      </c>
      <c r="EO13" s="11" t="str">
        <f t="shared" si="40"/>
        <v/>
      </c>
      <c r="EP13" s="11" t="str">
        <f t="shared" si="41"/>
        <v/>
      </c>
      <c r="EQ13" s="11" t="str">
        <f t="shared" si="42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3"/>
        <v/>
      </c>
      <c r="FI13" s="14" t="str">
        <f t="shared" si="44"/>
        <v/>
      </c>
      <c r="FJ13" s="14" t="str">
        <f t="shared" si="45"/>
        <v/>
      </c>
      <c r="FK13" s="14" t="str">
        <f t="shared" si="46"/>
        <v/>
      </c>
      <c r="FL13" s="14" t="str">
        <f t="shared" si="47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48"/>
        <v/>
      </c>
      <c r="GD13" s="11" t="str">
        <f t="shared" si="49"/>
        <v/>
      </c>
      <c r="GE13" s="11" t="str">
        <f t="shared" si="50"/>
        <v/>
      </c>
      <c r="GF13" s="11" t="str">
        <f t="shared" si="51"/>
        <v/>
      </c>
      <c r="GG13" s="11" t="str">
        <f t="shared" si="52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3"/>
        <v/>
      </c>
      <c r="GY13" s="14" t="str">
        <f t="shared" si="54"/>
        <v/>
      </c>
      <c r="GZ13" s="14" t="str">
        <f t="shared" si="55"/>
        <v/>
      </c>
      <c r="HA13" s="14" t="str">
        <f t="shared" si="56"/>
        <v/>
      </c>
      <c r="HB13" s="14" t="str">
        <f t="shared" si="57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58"/>
        <v/>
      </c>
      <c r="HT13" s="11" t="str">
        <f t="shared" si="59"/>
        <v/>
      </c>
      <c r="HU13" s="11" t="str">
        <f t="shared" si="60"/>
        <v/>
      </c>
      <c r="HV13" s="11" t="str">
        <f t="shared" si="61"/>
        <v/>
      </c>
      <c r="HW13" s="11" t="str">
        <f t="shared" si="62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3"/>
        <v/>
      </c>
      <c r="IO13" s="14" t="str">
        <f t="shared" si="64"/>
        <v/>
      </c>
      <c r="IP13" s="14" t="str">
        <f t="shared" si="65"/>
        <v/>
      </c>
      <c r="IQ13" s="14" t="str">
        <f t="shared" si="66"/>
        <v/>
      </c>
      <c r="IR13" s="14" t="str">
        <f t="shared" si="67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68"/>
        <v/>
      </c>
      <c r="JJ13" s="11" t="str">
        <f t="shared" si="69"/>
        <v/>
      </c>
      <c r="JK13" s="11" t="str">
        <f t="shared" si="70"/>
        <v/>
      </c>
      <c r="JL13" s="11" t="str">
        <f t="shared" si="71"/>
        <v/>
      </c>
      <c r="JM13" s="11" t="str">
        <f t="shared" si="72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3"/>
        <v/>
      </c>
      <c r="KE13" s="14" t="str">
        <f t="shared" si="74"/>
        <v/>
      </c>
      <c r="KF13" s="14" t="str">
        <f t="shared" si="75"/>
        <v/>
      </c>
      <c r="KG13" s="14" t="str">
        <f t="shared" si="76"/>
        <v/>
      </c>
      <c r="KH13" s="14" t="str">
        <f t="shared" si="77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78"/>
        <v/>
      </c>
      <c r="KZ13" s="11" t="str">
        <f t="shared" si="79"/>
        <v/>
      </c>
      <c r="LA13" s="11" t="str">
        <f t="shared" si="80"/>
        <v/>
      </c>
      <c r="LB13" s="11" t="str">
        <f t="shared" si="81"/>
        <v/>
      </c>
      <c r="LC13" s="11" t="str">
        <f t="shared" si="82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3"/>
        <v/>
      </c>
      <c r="LU13" s="14" t="str">
        <f t="shared" si="84"/>
        <v/>
      </c>
      <c r="LV13" s="14" t="str">
        <f t="shared" si="85"/>
        <v/>
      </c>
      <c r="LW13" s="14" t="str">
        <f t="shared" si="86"/>
        <v/>
      </c>
      <c r="LX13" s="14" t="str">
        <f t="shared" si="87"/>
        <v/>
      </c>
      <c r="LY13" s="69">
        <f t="shared" si="88"/>
        <v>0</v>
      </c>
      <c r="LZ13" s="69">
        <f t="shared" si="89"/>
        <v>0</v>
      </c>
      <c r="MA13" s="69">
        <f t="shared" si="90"/>
        <v>0</v>
      </c>
      <c r="MB13" s="69">
        <f t="shared" si="91"/>
        <v>0</v>
      </c>
      <c r="MC13" s="69">
        <f t="shared" si="92"/>
        <v>0</v>
      </c>
      <c r="MD13" s="69">
        <f t="shared" si="93"/>
        <v>0</v>
      </c>
      <c r="ME13" s="69">
        <f t="shared" si="94"/>
        <v>0</v>
      </c>
      <c r="MF13" s="69">
        <f t="shared" si="95"/>
        <v>0</v>
      </c>
      <c r="MG13" s="69">
        <f t="shared" si="96"/>
        <v>0</v>
      </c>
      <c r="MH13" s="69">
        <f t="shared" si="97"/>
        <v>0</v>
      </c>
      <c r="MI13" s="69">
        <f t="shared" si="98"/>
        <v>0</v>
      </c>
      <c r="MJ13" s="69">
        <f t="shared" si="99"/>
        <v>0</v>
      </c>
      <c r="MK13" s="69">
        <f t="shared" si="100"/>
        <v>0</v>
      </c>
      <c r="ML13" s="69">
        <f t="shared" si="101"/>
        <v>0</v>
      </c>
      <c r="MM13" s="69">
        <f t="shared" si="102"/>
        <v>0</v>
      </c>
      <c r="MN13" s="69">
        <f t="shared" si="103"/>
        <v>0</v>
      </c>
      <c r="MO13" s="80" t="s">
        <v>88</v>
      </c>
      <c r="MP13" s="11" t="str">
        <f t="shared" si="104"/>
        <v/>
      </c>
      <c r="MQ13" s="11" t="str">
        <f t="shared" si="105"/>
        <v/>
      </c>
      <c r="MR13" s="11" t="str">
        <f t="shared" si="106"/>
        <v/>
      </c>
      <c r="MS13" s="11" t="str">
        <f t="shared" si="107"/>
        <v/>
      </c>
      <c r="MT13" s="11" t="str">
        <f t="shared" si="108"/>
        <v/>
      </c>
    </row>
    <row r="14" spans="1:358" x14ac:dyDescent="0.2">
      <c r="A14" s="5" t="str">
        <f t="shared" si="0"/>
        <v/>
      </c>
      <c r="B14" s="8" t="s">
        <v>63</v>
      </c>
      <c r="C14" s="4" t="s">
        <v>62</v>
      </c>
      <c r="D14" s="5">
        <v>1999</v>
      </c>
      <c r="E14" s="15">
        <f t="shared" si="1"/>
        <v>130.60000000000002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130.60000000000002</v>
      </c>
      <c r="K14" s="14" t="str">
        <f t="shared" si="7"/>
        <v>2019 Nationals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>
        <v>28.3</v>
      </c>
      <c r="R14" s="69">
        <v>6</v>
      </c>
      <c r="S14" s="69">
        <v>0.3</v>
      </c>
      <c r="T14" s="69">
        <v>0</v>
      </c>
      <c r="U14" s="69">
        <v>25.6</v>
      </c>
      <c r="V14" s="69">
        <v>6.4</v>
      </c>
      <c r="W14" s="69">
        <v>0.3</v>
      </c>
      <c r="X14" s="69">
        <v>0</v>
      </c>
      <c r="Y14" s="69">
        <v>27</v>
      </c>
      <c r="Z14" s="69">
        <v>5.2</v>
      </c>
      <c r="AA14" s="69">
        <v>1.2</v>
      </c>
      <c r="AB14" s="69">
        <v>0.5</v>
      </c>
      <c r="AC14" s="69">
        <v>28.2</v>
      </c>
      <c r="AD14" s="69">
        <v>5.2</v>
      </c>
      <c r="AE14" s="69">
        <v>0</v>
      </c>
      <c r="AF14" s="69">
        <v>0</v>
      </c>
      <c r="AG14" s="80"/>
      <c r="AH14" s="11">
        <f t="shared" si="13"/>
        <v>12.4</v>
      </c>
      <c r="AI14" s="11">
        <f t="shared" si="14"/>
        <v>65.7</v>
      </c>
      <c r="AJ14" s="11">
        <f t="shared" si="15"/>
        <v>10.4</v>
      </c>
      <c r="AK14" s="11">
        <f t="shared" si="16"/>
        <v>64.900000000000006</v>
      </c>
      <c r="AL14" s="11">
        <f t="shared" si="17"/>
        <v>130.60000000000002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 t="shared" si="23"/>
        <v/>
      </c>
      <c r="CA14" s="11" t="str">
        <f t="shared" si="24"/>
        <v/>
      </c>
      <c r="CB14" s="11" t="str">
        <f t="shared" si="25"/>
        <v/>
      </c>
      <c r="CC14" s="11" t="str">
        <f t="shared" si="26"/>
        <v/>
      </c>
      <c r="CD14" s="11" t="str">
        <f t="shared" si="27"/>
        <v/>
      </c>
      <c r="CE14" s="24" t="str">
        <f>IF(MAX(DA14,DV14,EQ14,FL14,GG14,HB14,HW14,IR14,JM14,KH14,LC14,LX14)-IF(J14="",0,J14)&gt;0.001,MAX(DA14,DV14,EQ14,FL14,GG14,HB14,HW14,IR14,JM14,KH14,LC14,LX14)-IF(J14="",0,J14),"")</f>
        <v/>
      </c>
      <c r="CF14" s="24" t="str">
        <f>IF(MAX(CX14,CZ14,DS14,DU14,EN14,EP14,FI14,FK14,GD14,GF14,GY14,HA14,HT14,HV14,IO14,IQ14,JJ14,JL14,KE14,KG14,KZ14,LB14,LU14,LW14)-IF(L14="",0,L14)&gt;0.001,MAX(CX14,CZ14,DS14,DU14,EN14,EP14,FI14,FK14,GD14,GF14,GY14,HA14,HT14,HV14,IO14,IQ14,JJ14,JL14,KE14,KG14,KZ14,LB14,LU14,LW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28"/>
        <v/>
      </c>
      <c r="CX14" s="11" t="str">
        <f t="shared" si="29"/>
        <v/>
      </c>
      <c r="CY14" s="11" t="str">
        <f t="shared" si="30"/>
        <v/>
      </c>
      <c r="CZ14" s="11" t="str">
        <f t="shared" si="31"/>
        <v/>
      </c>
      <c r="DA14" s="11" t="str">
        <f t="shared" si="32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3"/>
        <v/>
      </c>
      <c r="DS14" s="14" t="str">
        <f t="shared" si="34"/>
        <v/>
      </c>
      <c r="DT14" s="14" t="str">
        <f t="shared" si="35"/>
        <v/>
      </c>
      <c r="DU14" s="14" t="str">
        <f t="shared" si="36"/>
        <v/>
      </c>
      <c r="DV14" s="14" t="str">
        <f t="shared" si="37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38"/>
        <v/>
      </c>
      <c r="EN14" s="11" t="str">
        <f t="shared" si="39"/>
        <v/>
      </c>
      <c r="EO14" s="11" t="str">
        <f t="shared" si="40"/>
        <v/>
      </c>
      <c r="EP14" s="11" t="str">
        <f t="shared" si="41"/>
        <v/>
      </c>
      <c r="EQ14" s="11" t="str">
        <f t="shared" si="42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3"/>
        <v/>
      </c>
      <c r="FI14" s="14" t="str">
        <f t="shared" si="44"/>
        <v/>
      </c>
      <c r="FJ14" s="14" t="str">
        <f t="shared" si="45"/>
        <v/>
      </c>
      <c r="FK14" s="14" t="str">
        <f t="shared" si="46"/>
        <v/>
      </c>
      <c r="FL14" s="14" t="str">
        <f t="shared" si="47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48"/>
        <v/>
      </c>
      <c r="GD14" s="11" t="str">
        <f t="shared" si="49"/>
        <v/>
      </c>
      <c r="GE14" s="11" t="str">
        <f t="shared" si="50"/>
        <v/>
      </c>
      <c r="GF14" s="11" t="str">
        <f t="shared" si="51"/>
        <v/>
      </c>
      <c r="GG14" s="11" t="str">
        <f t="shared" si="52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3"/>
        <v/>
      </c>
      <c r="GY14" s="14" t="str">
        <f t="shared" si="54"/>
        <v/>
      </c>
      <c r="GZ14" s="14" t="str">
        <f t="shared" si="55"/>
        <v/>
      </c>
      <c r="HA14" s="14" t="str">
        <f t="shared" si="56"/>
        <v/>
      </c>
      <c r="HB14" s="14" t="str">
        <f t="shared" si="57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58"/>
        <v/>
      </c>
      <c r="HT14" s="11" t="str">
        <f t="shared" si="59"/>
        <v/>
      </c>
      <c r="HU14" s="11" t="str">
        <f t="shared" si="60"/>
        <v/>
      </c>
      <c r="HV14" s="11" t="str">
        <f t="shared" si="61"/>
        <v/>
      </c>
      <c r="HW14" s="11" t="str">
        <f t="shared" si="62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3"/>
        <v/>
      </c>
      <c r="IO14" s="14" t="str">
        <f t="shared" si="64"/>
        <v/>
      </c>
      <c r="IP14" s="14" t="str">
        <f t="shared" si="65"/>
        <v/>
      </c>
      <c r="IQ14" s="14" t="str">
        <f t="shared" si="66"/>
        <v/>
      </c>
      <c r="IR14" s="14" t="str">
        <f t="shared" si="67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68"/>
        <v/>
      </c>
      <c r="JJ14" s="11" t="str">
        <f t="shared" si="69"/>
        <v/>
      </c>
      <c r="JK14" s="11" t="str">
        <f t="shared" si="70"/>
        <v/>
      </c>
      <c r="JL14" s="11" t="str">
        <f t="shared" si="71"/>
        <v/>
      </c>
      <c r="JM14" s="11" t="str">
        <f t="shared" si="72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3"/>
        <v/>
      </c>
      <c r="KE14" s="14" t="str">
        <f t="shared" si="74"/>
        <v/>
      </c>
      <c r="KF14" s="14" t="str">
        <f t="shared" si="75"/>
        <v/>
      </c>
      <c r="KG14" s="14" t="str">
        <f t="shared" si="76"/>
        <v/>
      </c>
      <c r="KH14" s="14" t="str">
        <f t="shared" si="77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78"/>
        <v/>
      </c>
      <c r="KZ14" s="11" t="str">
        <f t="shared" si="79"/>
        <v/>
      </c>
      <c r="LA14" s="11" t="str">
        <f t="shared" si="80"/>
        <v/>
      </c>
      <c r="LB14" s="11" t="str">
        <f t="shared" si="81"/>
        <v/>
      </c>
      <c r="LC14" s="11" t="str">
        <f t="shared" si="82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3"/>
        <v/>
      </c>
      <c r="LU14" s="14" t="str">
        <f t="shared" si="84"/>
        <v/>
      </c>
      <c r="LV14" s="14" t="str">
        <f t="shared" si="85"/>
        <v/>
      </c>
      <c r="LW14" s="14" t="str">
        <f t="shared" si="86"/>
        <v/>
      </c>
      <c r="LX14" s="14" t="str">
        <f t="shared" si="87"/>
        <v/>
      </c>
      <c r="LY14" s="69">
        <f t="shared" si="88"/>
        <v>0</v>
      </c>
      <c r="LZ14" s="69">
        <f t="shared" si="89"/>
        <v>0</v>
      </c>
      <c r="MA14" s="69">
        <f t="shared" si="90"/>
        <v>0</v>
      </c>
      <c r="MB14" s="69">
        <f t="shared" si="91"/>
        <v>0</v>
      </c>
      <c r="MC14" s="69">
        <f t="shared" si="92"/>
        <v>0</v>
      </c>
      <c r="MD14" s="69">
        <f t="shared" si="93"/>
        <v>0</v>
      </c>
      <c r="ME14" s="69">
        <f t="shared" si="94"/>
        <v>0</v>
      </c>
      <c r="MF14" s="69">
        <f t="shared" si="95"/>
        <v>0</v>
      </c>
      <c r="MG14" s="69">
        <f t="shared" si="96"/>
        <v>0</v>
      </c>
      <c r="MH14" s="69">
        <f t="shared" si="97"/>
        <v>0</v>
      </c>
      <c r="MI14" s="69">
        <f t="shared" si="98"/>
        <v>0</v>
      </c>
      <c r="MJ14" s="69">
        <f t="shared" si="99"/>
        <v>0</v>
      </c>
      <c r="MK14" s="69">
        <f t="shared" si="100"/>
        <v>0</v>
      </c>
      <c r="ML14" s="69">
        <f t="shared" si="101"/>
        <v>0</v>
      </c>
      <c r="MM14" s="69">
        <f t="shared" si="102"/>
        <v>0</v>
      </c>
      <c r="MN14" s="69">
        <f t="shared" si="103"/>
        <v>0</v>
      </c>
      <c r="MO14" s="80" t="s">
        <v>88</v>
      </c>
      <c r="MP14" s="11" t="str">
        <f t="shared" si="104"/>
        <v/>
      </c>
      <c r="MQ14" s="11" t="str">
        <f t="shared" si="105"/>
        <v/>
      </c>
      <c r="MR14" s="11" t="str">
        <f t="shared" si="106"/>
        <v/>
      </c>
      <c r="MS14" s="11" t="str">
        <f t="shared" si="107"/>
        <v/>
      </c>
      <c r="MT14" s="11" t="str">
        <f t="shared" si="108"/>
        <v/>
      </c>
    </row>
    <row r="15" spans="1:358" x14ac:dyDescent="0.2">
      <c r="A15" s="5" t="str">
        <f t="shared" si="0"/>
        <v/>
      </c>
      <c r="B15" s="8" t="s">
        <v>84</v>
      </c>
      <c r="C15" s="4" t="s">
        <v>5</v>
      </c>
      <c r="D15" s="5">
        <v>2000</v>
      </c>
      <c r="E15" s="15">
        <f t="shared" si="1"/>
        <v>129.25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129.25</v>
      </c>
      <c r="K15" s="14" t="str">
        <f t="shared" si="7"/>
        <v>2019 Nationals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>
        <v>27.85</v>
      </c>
      <c r="R15" s="69">
        <v>6</v>
      </c>
      <c r="S15" s="69">
        <v>0</v>
      </c>
      <c r="T15" s="69">
        <v>0</v>
      </c>
      <c r="U15" s="69">
        <v>28.6</v>
      </c>
      <c r="V15" s="69">
        <v>5.6</v>
      </c>
      <c r="W15" s="69">
        <v>0.45</v>
      </c>
      <c r="X15" s="69">
        <v>0</v>
      </c>
      <c r="Y15" s="69">
        <v>23.950000000000003</v>
      </c>
      <c r="Z15" s="69">
        <v>4</v>
      </c>
      <c r="AA15" s="69">
        <v>0</v>
      </c>
      <c r="AB15" s="69">
        <v>0</v>
      </c>
      <c r="AC15" s="69">
        <v>28.5</v>
      </c>
      <c r="AD15" s="69">
        <v>5.2</v>
      </c>
      <c r="AE15" s="69">
        <v>0</v>
      </c>
      <c r="AF15" s="69">
        <v>0</v>
      </c>
      <c r="AG15" s="80" t="s">
        <v>88</v>
      </c>
      <c r="AH15" s="11">
        <f t="shared" si="13"/>
        <v>11.6</v>
      </c>
      <c r="AI15" s="11">
        <f t="shared" si="14"/>
        <v>67.599999999999994</v>
      </c>
      <c r="AJ15" s="11">
        <f t="shared" si="15"/>
        <v>9.1999999999999993</v>
      </c>
      <c r="AK15" s="11">
        <f t="shared" si="16"/>
        <v>61.650000000000006</v>
      </c>
      <c r="AL15" s="11">
        <f t="shared" si="17"/>
        <v>129.25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 t="shared" si="18"/>
        <v/>
      </c>
      <c r="BE15" s="14" t="str">
        <f t="shared" si="19"/>
        <v/>
      </c>
      <c r="BF15" s="14" t="str">
        <f t="shared" si="20"/>
        <v/>
      </c>
      <c r="BG15" s="14" t="str">
        <f t="shared" si="21"/>
        <v/>
      </c>
      <c r="BH15" s="14" t="str">
        <f t="shared" si="22"/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4" t="str">
        <f>IF(MAX(DA15,DV15,EQ15,FL15,GG15,HB15,HW15,IR15,JM15,KH15,LC15,LX15)-IF(J15="",0,J15)&gt;0.001,MAX(DA15,DV15,EQ15,FL15,GG15,HB15,HW15,IR15,JM15,KH15,LC15,LX15)-IF(J15="",0,J15),"")</f>
        <v/>
      </c>
      <c r="CF15" s="24" t="str">
        <f>IF(MAX(CX15,CZ15,DS15,DU15,EN15,EP15,FI15,FK15,GD15,GF15,GY15,HA15,HT15,HV15,IO15,IQ15,JJ15,JL15,KE15,KG15,KZ15,LB15,LU15,LW15)-IF(L15="",0,L15)&gt;0.001,MAX(CX15,CZ15,DS15,DU15,EN15,EP15,FI15,FK15,GD15,GF15,GY15,HA15,HT15,HV15,IO15,IQ15,JJ15,JL15,KE15,KG15,KZ15,LB15,LU15,LW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28"/>
        <v/>
      </c>
      <c r="CX15" s="11" t="str">
        <f t="shared" si="29"/>
        <v/>
      </c>
      <c r="CY15" s="11" t="str">
        <f t="shared" si="30"/>
        <v/>
      </c>
      <c r="CZ15" s="11" t="str">
        <f t="shared" si="31"/>
        <v/>
      </c>
      <c r="DA15" s="11" t="str">
        <f t="shared" si="32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3"/>
        <v/>
      </c>
      <c r="DS15" s="14" t="str">
        <f t="shared" si="34"/>
        <v/>
      </c>
      <c r="DT15" s="14" t="str">
        <f t="shared" si="35"/>
        <v/>
      </c>
      <c r="DU15" s="14" t="str">
        <f t="shared" si="36"/>
        <v/>
      </c>
      <c r="DV15" s="14" t="str">
        <f t="shared" si="37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38"/>
        <v/>
      </c>
      <c r="EN15" s="11" t="str">
        <f t="shared" si="39"/>
        <v/>
      </c>
      <c r="EO15" s="11" t="str">
        <f t="shared" si="40"/>
        <v/>
      </c>
      <c r="EP15" s="11" t="str">
        <f t="shared" si="41"/>
        <v/>
      </c>
      <c r="EQ15" s="11" t="str">
        <f t="shared" si="42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3"/>
        <v/>
      </c>
      <c r="FI15" s="14" t="str">
        <f t="shared" si="44"/>
        <v/>
      </c>
      <c r="FJ15" s="14" t="str">
        <f t="shared" si="45"/>
        <v/>
      </c>
      <c r="FK15" s="14" t="str">
        <f t="shared" si="46"/>
        <v/>
      </c>
      <c r="FL15" s="14" t="str">
        <f t="shared" si="47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48"/>
        <v/>
      </c>
      <c r="GD15" s="11" t="str">
        <f t="shared" si="49"/>
        <v/>
      </c>
      <c r="GE15" s="11" t="str">
        <f t="shared" si="50"/>
        <v/>
      </c>
      <c r="GF15" s="11" t="str">
        <f t="shared" si="51"/>
        <v/>
      </c>
      <c r="GG15" s="11" t="str">
        <f t="shared" si="52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3"/>
        <v/>
      </c>
      <c r="GY15" s="14" t="str">
        <f t="shared" si="54"/>
        <v/>
      </c>
      <c r="GZ15" s="14" t="str">
        <f t="shared" si="55"/>
        <v/>
      </c>
      <c r="HA15" s="14" t="str">
        <f t="shared" si="56"/>
        <v/>
      </c>
      <c r="HB15" s="14" t="str">
        <f t="shared" si="57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58"/>
        <v/>
      </c>
      <c r="HT15" s="11" t="str">
        <f t="shared" si="59"/>
        <v/>
      </c>
      <c r="HU15" s="11" t="str">
        <f t="shared" si="60"/>
        <v/>
      </c>
      <c r="HV15" s="11" t="str">
        <f t="shared" si="61"/>
        <v/>
      </c>
      <c r="HW15" s="11" t="str">
        <f t="shared" si="62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3"/>
        <v/>
      </c>
      <c r="IO15" s="14" t="str">
        <f t="shared" si="64"/>
        <v/>
      </c>
      <c r="IP15" s="14" t="str">
        <f t="shared" si="65"/>
        <v/>
      </c>
      <c r="IQ15" s="14" t="str">
        <f t="shared" si="66"/>
        <v/>
      </c>
      <c r="IR15" s="14" t="str">
        <f t="shared" si="67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68"/>
        <v/>
      </c>
      <c r="JJ15" s="11" t="str">
        <f t="shared" si="69"/>
        <v/>
      </c>
      <c r="JK15" s="11" t="str">
        <f t="shared" si="70"/>
        <v/>
      </c>
      <c r="JL15" s="11" t="str">
        <f t="shared" si="71"/>
        <v/>
      </c>
      <c r="JM15" s="11" t="str">
        <f t="shared" si="72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3"/>
        <v/>
      </c>
      <c r="KE15" s="14" t="str">
        <f t="shared" si="74"/>
        <v/>
      </c>
      <c r="KF15" s="14" t="str">
        <f t="shared" si="75"/>
        <v/>
      </c>
      <c r="KG15" s="14" t="str">
        <f t="shared" si="76"/>
        <v/>
      </c>
      <c r="KH15" s="14" t="str">
        <f t="shared" si="77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78"/>
        <v/>
      </c>
      <c r="KZ15" s="11" t="str">
        <f t="shared" si="79"/>
        <v/>
      </c>
      <c r="LA15" s="11" t="str">
        <f t="shared" si="80"/>
        <v/>
      </c>
      <c r="LB15" s="11" t="str">
        <f t="shared" si="81"/>
        <v/>
      </c>
      <c r="LC15" s="11" t="str">
        <f t="shared" si="82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3"/>
        <v/>
      </c>
      <c r="LU15" s="14" t="str">
        <f t="shared" si="84"/>
        <v/>
      </c>
      <c r="LV15" s="14" t="str">
        <f t="shared" si="85"/>
        <v/>
      </c>
      <c r="LW15" s="14" t="str">
        <f t="shared" si="86"/>
        <v/>
      </c>
      <c r="LX15" s="14" t="str">
        <f t="shared" si="87"/>
        <v/>
      </c>
      <c r="LY15" s="69">
        <f t="shared" si="88"/>
        <v>0</v>
      </c>
      <c r="LZ15" s="69">
        <f t="shared" si="89"/>
        <v>0</v>
      </c>
      <c r="MA15" s="69">
        <f t="shared" si="90"/>
        <v>0</v>
      </c>
      <c r="MB15" s="69">
        <f t="shared" si="91"/>
        <v>0</v>
      </c>
      <c r="MC15" s="69">
        <f t="shared" si="92"/>
        <v>0</v>
      </c>
      <c r="MD15" s="69">
        <f t="shared" si="93"/>
        <v>0</v>
      </c>
      <c r="ME15" s="69">
        <f t="shared" si="94"/>
        <v>0</v>
      </c>
      <c r="MF15" s="69">
        <f t="shared" si="95"/>
        <v>0</v>
      </c>
      <c r="MG15" s="69">
        <f t="shared" si="96"/>
        <v>0</v>
      </c>
      <c r="MH15" s="69">
        <f t="shared" si="97"/>
        <v>0</v>
      </c>
      <c r="MI15" s="69">
        <f t="shared" si="98"/>
        <v>0</v>
      </c>
      <c r="MJ15" s="69">
        <f t="shared" si="99"/>
        <v>0</v>
      </c>
      <c r="MK15" s="69">
        <f t="shared" si="100"/>
        <v>0</v>
      </c>
      <c r="ML15" s="69">
        <f t="shared" si="101"/>
        <v>0</v>
      </c>
      <c r="MM15" s="69">
        <f t="shared" si="102"/>
        <v>0</v>
      </c>
      <c r="MN15" s="69">
        <f t="shared" si="103"/>
        <v>0</v>
      </c>
      <c r="MO15" s="80" t="s">
        <v>88</v>
      </c>
      <c r="MP15" s="11" t="str">
        <f t="shared" si="104"/>
        <v/>
      </c>
      <c r="MQ15" s="11" t="str">
        <f t="shared" si="105"/>
        <v/>
      </c>
      <c r="MR15" s="11" t="str">
        <f t="shared" si="106"/>
        <v/>
      </c>
      <c r="MS15" s="11" t="str">
        <f t="shared" si="107"/>
        <v/>
      </c>
      <c r="MT15" s="11" t="str">
        <f t="shared" si="108"/>
        <v/>
      </c>
    </row>
    <row r="16" spans="1:358" x14ac:dyDescent="0.2">
      <c r="A16" s="5">
        <f t="shared" si="0"/>
        <v>6</v>
      </c>
      <c r="B16" s="8" t="s">
        <v>80</v>
      </c>
      <c r="C16" s="4" t="s">
        <v>5</v>
      </c>
      <c r="D16" s="5">
        <v>1999</v>
      </c>
      <c r="E16" s="15">
        <f t="shared" si="1"/>
        <v>124.3</v>
      </c>
      <c r="F16" s="3" t="str">
        <f t="shared" si="2"/>
        <v/>
      </c>
      <c r="G16" s="3" t="str">
        <f t="shared" si="3"/>
        <v>P</v>
      </c>
      <c r="H16" s="126" t="str">
        <f t="shared" si="4"/>
        <v>No DD</v>
      </c>
      <c r="I16" s="3" t="str">
        <f t="shared" si="5"/>
        <v/>
      </c>
      <c r="J16" s="14">
        <f t="shared" si="6"/>
        <v>124.3</v>
      </c>
      <c r="K16" s="14" t="str">
        <f t="shared" si="7"/>
        <v>2019 Nationals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5" t="str">
        <f t="shared" si="11"/>
        <v/>
      </c>
      <c r="P16" s="14" t="str">
        <f t="shared" si="12"/>
        <v/>
      </c>
      <c r="Q16" s="69">
        <v>28.5</v>
      </c>
      <c r="R16" s="69">
        <v>5.6</v>
      </c>
      <c r="S16" s="69">
        <v>0</v>
      </c>
      <c r="T16" s="69">
        <v>0</v>
      </c>
      <c r="U16" s="69">
        <v>28.2</v>
      </c>
      <c r="V16" s="69">
        <v>5.6</v>
      </c>
      <c r="W16" s="69">
        <v>0</v>
      </c>
      <c r="X16" s="69">
        <v>0</v>
      </c>
      <c r="Y16" s="69">
        <v>19.600000000000001</v>
      </c>
      <c r="Z16" s="69">
        <v>3.6</v>
      </c>
      <c r="AA16" s="69">
        <v>0</v>
      </c>
      <c r="AB16" s="69">
        <v>0.5</v>
      </c>
      <c r="AC16" s="69">
        <v>27.5</v>
      </c>
      <c r="AD16" s="69">
        <v>5.2</v>
      </c>
      <c r="AE16" s="69">
        <v>0</v>
      </c>
      <c r="AF16" s="69">
        <v>0</v>
      </c>
      <c r="AG16" s="80"/>
      <c r="AH16" s="11">
        <f t="shared" si="13"/>
        <v>11.2</v>
      </c>
      <c r="AI16" s="11">
        <f t="shared" si="14"/>
        <v>67.899999999999991</v>
      </c>
      <c r="AJ16" s="11">
        <f t="shared" si="15"/>
        <v>8.8000000000000007</v>
      </c>
      <c r="AK16" s="11">
        <f t="shared" si="16"/>
        <v>56.400000000000006</v>
      </c>
      <c r="AL16" s="11">
        <f t="shared" si="17"/>
        <v>124.3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4" t="str">
        <f>IF(MAX(DA16,DV16,EQ16,FL16,GG16,HB16,HW16,IR16,JM16,KH16,LC16,LX16)-IF(J16="",0,J16)&gt;0.001,MAX(DA16,DV16,EQ16,FL16,GG16,HB16,HW16,IR16,JM16,KH16,LC16,LX16)-IF(J16="",0,J16),"")</f>
        <v/>
      </c>
      <c r="CF16" s="24" t="str">
        <f>IF(MAX(CX16,CZ16,DS16,DU16,EN16,EP16,FI16,FK16,GD16,GF16,GY16,HA16,HT16,HV16,IO16,IQ16,JJ16,JL16,KE16,KG16,KZ16,LB16,LU16,LW16)-IF(L16="",0,L16)&gt;0.001,MAX(CX16,CZ16,DS16,DU16,EN16,EP16,FI16,FK16,GD16,GF16,GY16,HA16,HT16,HV16,IO16,IQ16,JJ16,JL16,KE16,KG16,KZ16,LB16,LU16,LW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 t="shared" si="28"/>
        <v/>
      </c>
      <c r="CX16" s="11" t="str">
        <f t="shared" si="29"/>
        <v/>
      </c>
      <c r="CY16" s="11" t="str">
        <f t="shared" si="30"/>
        <v/>
      </c>
      <c r="CZ16" s="11" t="str">
        <f t="shared" si="31"/>
        <v/>
      </c>
      <c r="DA16" s="11" t="str">
        <f t="shared" si="32"/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 t="shared" si="33"/>
        <v/>
      </c>
      <c r="DS16" s="14" t="str">
        <f t="shared" si="34"/>
        <v/>
      </c>
      <c r="DT16" s="14" t="str">
        <f t="shared" si="35"/>
        <v/>
      </c>
      <c r="DU16" s="14" t="str">
        <f t="shared" si="36"/>
        <v/>
      </c>
      <c r="DV16" s="14" t="str">
        <f t="shared" si="37"/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 t="shared" si="38"/>
        <v/>
      </c>
      <c r="EN16" s="11" t="str">
        <f t="shared" si="39"/>
        <v/>
      </c>
      <c r="EO16" s="11" t="str">
        <f t="shared" si="40"/>
        <v/>
      </c>
      <c r="EP16" s="11" t="str">
        <f t="shared" si="41"/>
        <v/>
      </c>
      <c r="EQ16" s="11" t="str">
        <f t="shared" si="42"/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 t="shared" si="43"/>
        <v/>
      </c>
      <c r="FI16" s="14" t="str">
        <f t="shared" si="44"/>
        <v/>
      </c>
      <c r="FJ16" s="14" t="str">
        <f t="shared" si="45"/>
        <v/>
      </c>
      <c r="FK16" s="14" t="str">
        <f t="shared" si="46"/>
        <v/>
      </c>
      <c r="FL16" s="14" t="str">
        <f t="shared" si="47"/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 t="shared" si="48"/>
        <v/>
      </c>
      <c r="GD16" s="11" t="str">
        <f t="shared" si="49"/>
        <v/>
      </c>
      <c r="GE16" s="11" t="str">
        <f t="shared" si="50"/>
        <v/>
      </c>
      <c r="GF16" s="11" t="str">
        <f t="shared" si="51"/>
        <v/>
      </c>
      <c r="GG16" s="11" t="str">
        <f t="shared" si="52"/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 t="shared" si="53"/>
        <v/>
      </c>
      <c r="GY16" s="14" t="str">
        <f t="shared" si="54"/>
        <v/>
      </c>
      <c r="GZ16" s="14" t="str">
        <f t="shared" si="55"/>
        <v/>
      </c>
      <c r="HA16" s="14" t="str">
        <f t="shared" si="56"/>
        <v/>
      </c>
      <c r="HB16" s="14" t="str">
        <f t="shared" si="57"/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 t="shared" si="58"/>
        <v/>
      </c>
      <c r="HT16" s="11" t="str">
        <f t="shared" si="59"/>
        <v/>
      </c>
      <c r="HU16" s="11" t="str">
        <f t="shared" si="60"/>
        <v/>
      </c>
      <c r="HV16" s="11" t="str">
        <f t="shared" si="61"/>
        <v/>
      </c>
      <c r="HW16" s="11" t="str">
        <f t="shared" si="62"/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 t="shared" si="63"/>
        <v/>
      </c>
      <c r="IO16" s="14" t="str">
        <f t="shared" si="64"/>
        <v/>
      </c>
      <c r="IP16" s="14" t="str">
        <f t="shared" si="65"/>
        <v/>
      </c>
      <c r="IQ16" s="14" t="str">
        <f t="shared" si="66"/>
        <v/>
      </c>
      <c r="IR16" s="14" t="str">
        <f t="shared" si="67"/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 t="shared" si="68"/>
        <v/>
      </c>
      <c r="JJ16" s="11" t="str">
        <f t="shared" si="69"/>
        <v/>
      </c>
      <c r="JK16" s="11" t="str">
        <f t="shared" si="70"/>
        <v/>
      </c>
      <c r="JL16" s="11" t="str">
        <f t="shared" si="71"/>
        <v/>
      </c>
      <c r="JM16" s="11" t="str">
        <f t="shared" si="72"/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 t="shared" si="73"/>
        <v/>
      </c>
      <c r="KE16" s="14" t="str">
        <f t="shared" si="74"/>
        <v/>
      </c>
      <c r="KF16" s="14" t="str">
        <f t="shared" si="75"/>
        <v/>
      </c>
      <c r="KG16" s="14" t="str">
        <f t="shared" si="76"/>
        <v/>
      </c>
      <c r="KH16" s="14" t="str">
        <f t="shared" si="77"/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 t="shared" si="78"/>
        <v/>
      </c>
      <c r="KZ16" s="11" t="str">
        <f t="shared" si="79"/>
        <v/>
      </c>
      <c r="LA16" s="11" t="str">
        <f t="shared" si="80"/>
        <v/>
      </c>
      <c r="LB16" s="11" t="str">
        <f t="shared" si="81"/>
        <v/>
      </c>
      <c r="LC16" s="11" t="str">
        <f t="shared" si="82"/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 t="shared" si="83"/>
        <v/>
      </c>
      <c r="LU16" s="14" t="str">
        <f t="shared" si="84"/>
        <v/>
      </c>
      <c r="LV16" s="14" t="str">
        <f t="shared" si="85"/>
        <v/>
      </c>
      <c r="LW16" s="14" t="str">
        <f t="shared" si="86"/>
        <v/>
      </c>
      <c r="LX16" s="14" t="str">
        <f t="shared" si="87"/>
        <v/>
      </c>
      <c r="LY16" s="69">
        <f t="shared" si="88"/>
        <v>0</v>
      </c>
      <c r="LZ16" s="69">
        <f t="shared" si="89"/>
        <v>0</v>
      </c>
      <c r="MA16" s="69">
        <f t="shared" si="90"/>
        <v>0</v>
      </c>
      <c r="MB16" s="69">
        <f t="shared" si="91"/>
        <v>0</v>
      </c>
      <c r="MC16" s="69">
        <f t="shared" si="92"/>
        <v>0</v>
      </c>
      <c r="MD16" s="69">
        <f t="shared" si="93"/>
        <v>0</v>
      </c>
      <c r="ME16" s="69">
        <f t="shared" si="94"/>
        <v>0</v>
      </c>
      <c r="MF16" s="69">
        <f t="shared" si="95"/>
        <v>0</v>
      </c>
      <c r="MG16" s="69">
        <f t="shared" si="96"/>
        <v>0</v>
      </c>
      <c r="MH16" s="69">
        <f t="shared" si="97"/>
        <v>0</v>
      </c>
      <c r="MI16" s="69">
        <f t="shared" si="98"/>
        <v>0</v>
      </c>
      <c r="MJ16" s="69">
        <f t="shared" si="99"/>
        <v>0</v>
      </c>
      <c r="MK16" s="69">
        <f t="shared" si="100"/>
        <v>0</v>
      </c>
      <c r="ML16" s="69">
        <f t="shared" si="101"/>
        <v>0</v>
      </c>
      <c r="MM16" s="69">
        <f t="shared" si="102"/>
        <v>0</v>
      </c>
      <c r="MN16" s="69">
        <f t="shared" si="103"/>
        <v>0</v>
      </c>
      <c r="MO16" s="80" t="s">
        <v>88</v>
      </c>
      <c r="MP16" s="11" t="str">
        <f t="shared" si="104"/>
        <v/>
      </c>
      <c r="MQ16" s="11" t="str">
        <f t="shared" si="105"/>
        <v/>
      </c>
      <c r="MR16" s="11" t="str">
        <f t="shared" si="106"/>
        <v/>
      </c>
      <c r="MS16" s="11" t="str">
        <f t="shared" si="107"/>
        <v/>
      </c>
      <c r="MT16" s="11" t="str">
        <f t="shared" si="108"/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78</v>
      </c>
      <c r="AH19" s="54"/>
      <c r="AJ19" s="54"/>
      <c r="AL19" s="64">
        <v>11.6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77</v>
      </c>
      <c r="AH20" s="54"/>
      <c r="AJ20" s="54"/>
      <c r="AL20" s="93">
        <v>13.200100000000001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112</v>
      </c>
      <c r="C21" s="55"/>
      <c r="AK21" t="s">
        <v>169</v>
      </c>
      <c r="AL21" s="94">
        <v>13.200100000000001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161</v>
      </c>
      <c r="C22" s="55"/>
      <c r="AK22" s="129" t="s">
        <v>169</v>
      </c>
      <c r="AL22" s="65">
        <v>13.200100000000001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75</v>
      </c>
      <c r="C23" s="55"/>
      <c r="AH23" s="56"/>
      <c r="AJ23" s="56"/>
      <c r="AL23" s="67">
        <v>67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76</v>
      </c>
      <c r="C24" s="55"/>
      <c r="AH24" s="56"/>
      <c r="AJ24" s="56"/>
      <c r="AL24" s="66">
        <v>67.2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107</v>
      </c>
      <c r="C25" s="55"/>
      <c r="AH25" s="56"/>
      <c r="AJ25" s="56"/>
      <c r="AK25" t="s">
        <v>169</v>
      </c>
      <c r="AL25" s="117">
        <v>67.2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57</v>
      </c>
      <c r="C26" s="55"/>
      <c r="AH26" s="56"/>
      <c r="AJ26" s="56"/>
      <c r="AK26" s="129" t="s">
        <v>169</v>
      </c>
      <c r="AL26" s="68">
        <v>71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89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6">
      <sortCondition descending="1" ref="F1:F17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6">
    <cfRule type="expression" dxfId="31" priority="2" stopIfTrue="1">
      <formula>IF($BC4&lt;&gt;"",1,0)</formula>
    </cfRule>
  </conditionalFormatting>
  <conditionalFormatting sqref="Q4:AL16">
    <cfRule type="expression" dxfId="30" priority="1" stopIfTrue="1">
      <formula>IF($AG4&lt;&gt;"",1,0)</formula>
    </cfRule>
  </conditionalFormatting>
  <conditionalFormatting sqref="K1:K1048576 M1:M1048576">
    <cfRule type="expression" dxfId="29" priority="36484">
      <formula>IF(K1=$BI$1,1,0)</formula>
    </cfRule>
    <cfRule type="expression" dxfId="28" priority="36485">
      <formula>IF(K1=$AM$1,1,0)</formula>
    </cfRule>
    <cfRule type="expression" dxfId="27" priority="36486">
      <formula>IF(K1=$Q$1,1,0)</formula>
    </cfRule>
  </conditionalFormatting>
  <conditionalFormatting sqref="BI4:CD16">
    <cfRule type="expression" dxfId="26" priority="3" stopIfTrue="1">
      <formula>IF($BY4&lt;&gt;"",1,0)</formula>
    </cfRule>
  </conditionalFormatting>
  <conditionalFormatting sqref="A1:A1048576">
    <cfRule type="expression" dxfId="25" priority="38433">
      <formula>AND(G1="P",F1="")</formula>
    </cfRule>
  </conditionalFormatting>
  <conditionalFormatting sqref="H1:H1048576">
    <cfRule type="containsText" dxfId="24" priority="5" operator="containsText" text="No DD">
      <formula>NOT(ISERROR(SEARCH("No DD",H1)))</formula>
    </cfRule>
    <cfRule type="containsText" dxfId="23" priority="6" operator="containsText" text="Merit">
      <formula>NOT(ISERROR(SEARCH("Merit",H1)))</formula>
    </cfRule>
    <cfRule type="containsText" dxfId="22" priority="7" operator="containsText" text="Excellence">
      <formula>NOT(ISERROR(SEARCH("Excellence",H1)))</formula>
    </cfRule>
    <cfRule type="containsText" dxfId="21" priority="8" operator="containsText" text="Worlds Team">
      <formula>NOT(ISERROR(SEARCH("Worlds Team",H1)))</formula>
    </cfRule>
    <cfRule type="containsText" dxfId="20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19" priority="38460" operator="between">
      <formula>AL$22</formula>
      <formula>1000</formula>
    </cfRule>
    <cfRule type="cellIs" dxfId="18" priority="38461" operator="between">
      <formula>AL$21</formula>
      <formula>AL$22</formula>
    </cfRule>
    <cfRule type="cellIs" dxfId="17" priority="38462" operator="between">
      <formula>AL$20</formula>
      <formula>AL$21</formula>
    </cfRule>
    <cfRule type="cellIs" dxfId="16" priority="38463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15" priority="38640" operator="between">
      <formula>AL$26</formula>
      <formula>1000</formula>
    </cfRule>
    <cfRule type="cellIs" dxfId="14" priority="38641" operator="between">
      <formula>AL$25</formula>
      <formula>AL$26</formula>
    </cfRule>
    <cfRule type="cellIs" dxfId="13" priority="38642" operator="between">
      <formula>AL$24</formula>
      <formula>AL$25</formula>
    </cfRule>
    <cfRule type="cellIs" dxfId="12" priority="38643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2021-05-01T04:47:17Z</dcterms:modified>
</cp:coreProperties>
</file>