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8862A8CA-C723-A34B-8CDD-6C440869FE32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'SYN-M'!$A$1:$NQ$3</definedName>
    <definedName name="_xlnm._FilterDatabase" localSheetId="4" hidden="1">'SYN-W'!$A$1:$NQ$3</definedName>
    <definedName name="_xlnm._FilterDatabase" localSheetId="1" hidden="1">'TRA-M'!$A$1:$OQ$19</definedName>
    <definedName name="_xlnm._FilterDatabase" localSheetId="2" hidden="1">'TRA-W'!$A$1:$OQ$14</definedName>
    <definedName name="_xlnm._FilterDatabase" localSheetId="5" hidden="1">'TUM-M'!$A$1:$MT$5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4" i="14" l="1"/>
  <c r="AM4" i="14"/>
  <c r="AO4" i="14" s="1"/>
  <c r="AN4" i="14"/>
  <c r="AP4" i="14"/>
  <c r="AQ4" i="14"/>
  <c r="BI4" i="14"/>
  <c r="BJ4" i="14"/>
  <c r="BK4" i="14"/>
  <c r="BL4" i="14" s="1"/>
  <c r="BO4" i="14" s="1"/>
  <c r="BM4" i="14"/>
  <c r="BN4" i="14"/>
  <c r="CF4" i="14"/>
  <c r="CG4" i="14"/>
  <c r="CH4" i="14"/>
  <c r="CI4" i="14"/>
  <c r="CJ4" i="14"/>
  <c r="CK4" i="14"/>
  <c r="Q4" i="14" s="1"/>
  <c r="DF4" i="14"/>
  <c r="DG4" i="14"/>
  <c r="DH4" i="14"/>
  <c r="DJ4" i="14"/>
  <c r="DK4" i="14"/>
  <c r="EB4" i="14"/>
  <c r="EC4" i="14"/>
  <c r="ED4" i="14"/>
  <c r="EF4" i="14"/>
  <c r="EG4" i="14"/>
  <c r="EX4" i="14"/>
  <c r="EY4" i="14"/>
  <c r="EZ4" i="14"/>
  <c r="FA4" i="14" s="1"/>
  <c r="FB4" i="14"/>
  <c r="FC4" i="14"/>
  <c r="FT4" i="14"/>
  <c r="FU4" i="14"/>
  <c r="FV4" i="14"/>
  <c r="FX4" i="14"/>
  <c r="FY4" i="14"/>
  <c r="GP4" i="14"/>
  <c r="GQ4" i="14"/>
  <c r="GR4" i="14"/>
  <c r="GT4" i="14"/>
  <c r="GU4" i="14"/>
  <c r="HL4" i="14"/>
  <c r="HM4" i="14"/>
  <c r="HN4" i="14"/>
  <c r="HO4" i="14"/>
  <c r="HP4" i="14"/>
  <c r="HQ4" i="14"/>
  <c r="IH4" i="14"/>
  <c r="II4" i="14"/>
  <c r="IJ4" i="14"/>
  <c r="IL4" i="14"/>
  <c r="IM4" i="14"/>
  <c r="JD4" i="14"/>
  <c r="JE4" i="14"/>
  <c r="JF4" i="14"/>
  <c r="JH4" i="14"/>
  <c r="JI4" i="14"/>
  <c r="JZ4" i="14"/>
  <c r="KA4" i="14"/>
  <c r="KB4" i="14"/>
  <c r="KD4" i="14"/>
  <c r="KE4" i="14"/>
  <c r="KV4" i="14"/>
  <c r="KW4" i="14"/>
  <c r="KY4" i="14" s="1"/>
  <c r="LB4" i="14" s="1"/>
  <c r="KX4" i="14"/>
  <c r="KZ4" i="14"/>
  <c r="LA4" i="14"/>
  <c r="LR4" i="14"/>
  <c r="LS4" i="14"/>
  <c r="LT4" i="14"/>
  <c r="LU4" i="14" s="1"/>
  <c r="LV4" i="14"/>
  <c r="LW4" i="14"/>
  <c r="MN4" i="14"/>
  <c r="MO4" i="14"/>
  <c r="MP4" i="14"/>
  <c r="MR4" i="14"/>
  <c r="MS4" i="14"/>
  <c r="MU4" i="14"/>
  <c r="MV4" i="14"/>
  <c r="MW4" i="14"/>
  <c r="MX4" i="14"/>
  <c r="MY4" i="14"/>
  <c r="MZ4" i="14"/>
  <c r="NA4" i="14"/>
  <c r="NB4" i="14"/>
  <c r="NK4" i="14" s="1"/>
  <c r="NC4" i="14"/>
  <c r="ND4" i="14"/>
  <c r="NE4" i="14"/>
  <c r="NF4" i="14"/>
  <c r="NG4" i="14"/>
  <c r="NO4" i="14" s="1"/>
  <c r="NH4" i="14"/>
  <c r="NI4" i="14"/>
  <c r="AL5" i="9"/>
  <c r="AM5" i="9"/>
  <c r="AN5" i="9"/>
  <c r="AP5" i="9"/>
  <c r="AQ5" i="9"/>
  <c r="BI5" i="9"/>
  <c r="BJ5" i="9"/>
  <c r="BK5" i="9"/>
  <c r="BM5" i="9"/>
  <c r="BN5" i="9"/>
  <c r="CF5" i="9"/>
  <c r="CG5" i="9"/>
  <c r="CH5" i="9"/>
  <c r="CJ5" i="9"/>
  <c r="CK5" i="9"/>
  <c r="DF5" i="9"/>
  <c r="DG5" i="9"/>
  <c r="DH5" i="9"/>
  <c r="DJ5" i="9"/>
  <c r="DK5" i="9"/>
  <c r="EB5" i="9"/>
  <c r="EC5" i="9"/>
  <c r="ED5" i="9"/>
  <c r="EF5" i="9"/>
  <c r="EG5" i="9"/>
  <c r="EX5" i="9"/>
  <c r="EY5" i="9"/>
  <c r="EZ5" i="9"/>
  <c r="FB5" i="9"/>
  <c r="FC5" i="9"/>
  <c r="FT5" i="9"/>
  <c r="FU5" i="9"/>
  <c r="FV5" i="9"/>
  <c r="FX5" i="9"/>
  <c r="FY5" i="9"/>
  <c r="GP5" i="9"/>
  <c r="GQ5" i="9"/>
  <c r="GR5" i="9"/>
  <c r="GS5" i="9" s="1"/>
  <c r="GV5" i="9" s="1"/>
  <c r="GT5" i="9"/>
  <c r="GU5" i="9"/>
  <c r="HL5" i="9"/>
  <c r="HM5" i="9"/>
  <c r="HN5" i="9"/>
  <c r="HP5" i="9"/>
  <c r="HQ5" i="9"/>
  <c r="IH5" i="9"/>
  <c r="II5" i="9"/>
  <c r="IK5" i="9" s="1"/>
  <c r="IJ5" i="9"/>
  <c r="IL5" i="9"/>
  <c r="IM5" i="9"/>
  <c r="JD5" i="9"/>
  <c r="JE5" i="9"/>
  <c r="JF5" i="9"/>
  <c r="JH5" i="9"/>
  <c r="JI5" i="9"/>
  <c r="JZ5" i="9"/>
  <c r="KA5" i="9"/>
  <c r="KB5" i="9"/>
  <c r="KC5" i="9" s="1"/>
  <c r="KD5" i="9"/>
  <c r="KE5" i="9"/>
  <c r="KV5" i="9"/>
  <c r="KW5" i="9"/>
  <c r="KX5" i="9"/>
  <c r="KZ5" i="9"/>
  <c r="LA5" i="9"/>
  <c r="LR5" i="9"/>
  <c r="LS5" i="9"/>
  <c r="LT5" i="9"/>
  <c r="LV5" i="9"/>
  <c r="LW5" i="9"/>
  <c r="MN5" i="9"/>
  <c r="MO5" i="9"/>
  <c r="MP5" i="9"/>
  <c r="MQ5" i="9" s="1"/>
  <c r="MR5" i="9"/>
  <c r="MS5" i="9"/>
  <c r="MU5" i="9"/>
  <c r="MV5" i="9"/>
  <c r="MW5" i="9"/>
  <c r="MX5" i="9"/>
  <c r="MY5" i="9"/>
  <c r="MZ5" i="9"/>
  <c r="NA5" i="9"/>
  <c r="NB5" i="9"/>
  <c r="NK5" i="9" s="1"/>
  <c r="NC5" i="9"/>
  <c r="ND5" i="9"/>
  <c r="NE5" i="9"/>
  <c r="NF5" i="9"/>
  <c r="NG5" i="9"/>
  <c r="NH5" i="9"/>
  <c r="NI5" i="9"/>
  <c r="NO5" i="9"/>
  <c r="AL4" i="9"/>
  <c r="AM4" i="9"/>
  <c r="AN4" i="9"/>
  <c r="AP4" i="9"/>
  <c r="AQ4" i="9"/>
  <c r="BI4" i="9"/>
  <c r="BJ4" i="9"/>
  <c r="BK4" i="9"/>
  <c r="BM4" i="9"/>
  <c r="BN4" i="9"/>
  <c r="CF4" i="9"/>
  <c r="CG4" i="9"/>
  <c r="CI4" i="9" s="1"/>
  <c r="CH4" i="9"/>
  <c r="CJ4" i="9"/>
  <c r="CK4" i="9"/>
  <c r="DF4" i="9"/>
  <c r="DG4" i="9"/>
  <c r="DH4" i="9"/>
  <c r="DJ4" i="9"/>
  <c r="DK4" i="9"/>
  <c r="EB4" i="9"/>
  <c r="EC4" i="9"/>
  <c r="ED4" i="9"/>
  <c r="EF4" i="9"/>
  <c r="EG4" i="9"/>
  <c r="EX4" i="9"/>
  <c r="EY4" i="9"/>
  <c r="EZ4" i="9"/>
  <c r="FB4" i="9"/>
  <c r="FC4" i="9"/>
  <c r="FT4" i="9"/>
  <c r="FU4" i="9"/>
  <c r="FV4" i="9"/>
  <c r="FX4" i="9"/>
  <c r="FY4" i="9"/>
  <c r="GP4" i="9"/>
  <c r="GQ4" i="9"/>
  <c r="GR4" i="9"/>
  <c r="GT4" i="9"/>
  <c r="GU4" i="9"/>
  <c r="HL4" i="9"/>
  <c r="HM4" i="9"/>
  <c r="HN4" i="9"/>
  <c r="HP4" i="9"/>
  <c r="HQ4" i="9"/>
  <c r="IH4" i="9"/>
  <c r="II4" i="9"/>
  <c r="IJ4" i="9"/>
  <c r="IL4" i="9"/>
  <c r="IM4" i="9"/>
  <c r="JD4" i="9"/>
  <c r="JE4" i="9"/>
  <c r="JF4" i="9"/>
  <c r="JH4" i="9"/>
  <c r="JI4" i="9"/>
  <c r="JZ4" i="9"/>
  <c r="KA4" i="9"/>
  <c r="KC4" i="9" s="1"/>
  <c r="KB4" i="9"/>
  <c r="KD4" i="9"/>
  <c r="KE4" i="9"/>
  <c r="KV4" i="9"/>
  <c r="KW4" i="9"/>
  <c r="KX4" i="9"/>
  <c r="KZ4" i="9"/>
  <c r="LA4" i="9"/>
  <c r="LR4" i="9"/>
  <c r="LS4" i="9"/>
  <c r="LT4" i="9"/>
  <c r="LV4" i="9"/>
  <c r="LW4" i="9"/>
  <c r="MN4" i="9"/>
  <c r="MO4" i="9"/>
  <c r="MP4" i="9"/>
  <c r="MR4" i="9"/>
  <c r="MS4" i="9"/>
  <c r="MU4" i="9"/>
  <c r="MV4" i="9"/>
  <c r="MW4" i="9"/>
  <c r="MX4" i="9"/>
  <c r="MY4" i="9"/>
  <c r="MZ4" i="9"/>
  <c r="NA4" i="9"/>
  <c r="NB4" i="9"/>
  <c r="NK4" i="9" s="1"/>
  <c r="NC4" i="9"/>
  <c r="ND4" i="9"/>
  <c r="NE4" i="9"/>
  <c r="NF4" i="9"/>
  <c r="NG4" i="9"/>
  <c r="NO4" i="9" s="1"/>
  <c r="NH4" i="9"/>
  <c r="NI4" i="9"/>
  <c r="AH14" i="12"/>
  <c r="AI14" i="12"/>
  <c r="AJ14" i="12"/>
  <c r="AK14" i="12"/>
  <c r="BD14" i="12"/>
  <c r="BE14" i="12"/>
  <c r="BF14" i="12"/>
  <c r="BG14" i="12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FA5" i="9" l="1"/>
  <c r="BL4" i="9"/>
  <c r="KF5" i="9"/>
  <c r="MT5" i="9"/>
  <c r="CL4" i="9"/>
  <c r="FW4" i="9"/>
  <c r="FZ4" i="9" s="1"/>
  <c r="KY4" i="9"/>
  <c r="LB4" i="9" s="1"/>
  <c r="HO5" i="9"/>
  <c r="HR5" i="9" s="1"/>
  <c r="LU4" i="9"/>
  <c r="KF4" i="9"/>
  <c r="DI4" i="14"/>
  <c r="DL4" i="14" s="1"/>
  <c r="DI5" i="9"/>
  <c r="DL5" i="9" s="1"/>
  <c r="DI4" i="9"/>
  <c r="DL4" i="9" s="1"/>
  <c r="NP4" i="14"/>
  <c r="LX4" i="14"/>
  <c r="IK4" i="14"/>
  <c r="IN4" i="14" s="1"/>
  <c r="FW4" i="14"/>
  <c r="FZ4" i="14" s="1"/>
  <c r="BO4" i="9"/>
  <c r="FD5" i="9"/>
  <c r="MQ4" i="9"/>
  <c r="MT4" i="9" s="1"/>
  <c r="IN5" i="9"/>
  <c r="KY5" i="9"/>
  <c r="LB5" i="9" s="1"/>
  <c r="EE5" i="9"/>
  <c r="EH5" i="9" s="1"/>
  <c r="EE4" i="9"/>
  <c r="EH4" i="9" s="1"/>
  <c r="JG5" i="9"/>
  <c r="MQ4" i="14"/>
  <c r="MT4" i="14" s="1"/>
  <c r="KC4" i="14"/>
  <c r="KF4" i="14" s="1"/>
  <c r="JG4" i="14"/>
  <c r="JJ4" i="14" s="1"/>
  <c r="HR4" i="14"/>
  <c r="GS4" i="14"/>
  <c r="GV4" i="14" s="1"/>
  <c r="FD4" i="14"/>
  <c r="G4" i="14"/>
  <c r="F4" i="14" s="1"/>
  <c r="EE4" i="14"/>
  <c r="EH4" i="14" s="1"/>
  <c r="CL4" i="14"/>
  <c r="NL4" i="14"/>
  <c r="NM4" i="14"/>
  <c r="H4" i="14"/>
  <c r="CP4" i="14"/>
  <c r="R4" i="14"/>
  <c r="K4" i="14"/>
  <c r="AR4" i="14"/>
  <c r="LU5" i="9"/>
  <c r="LX5" i="9" s="1"/>
  <c r="JJ5" i="9"/>
  <c r="FW5" i="9"/>
  <c r="FZ5" i="9" s="1"/>
  <c r="CI5" i="9"/>
  <c r="CL5" i="9" s="1"/>
  <c r="Q5" i="9"/>
  <c r="R5" i="9" s="1"/>
  <c r="BL5" i="9"/>
  <c r="BO5" i="9" s="1"/>
  <c r="NM5" i="9"/>
  <c r="NL5" i="9"/>
  <c r="NP5" i="9"/>
  <c r="G5" i="9"/>
  <c r="F5" i="9" s="1"/>
  <c r="H5" i="9"/>
  <c r="AO5" i="9"/>
  <c r="HO4" i="9"/>
  <c r="HR4" i="9" s="1"/>
  <c r="GS4" i="9"/>
  <c r="GV4" i="9" s="1"/>
  <c r="NP4" i="9"/>
  <c r="FA4" i="9"/>
  <c r="FD4" i="9" s="1"/>
  <c r="JG4" i="9"/>
  <c r="JJ4" i="9" s="1"/>
  <c r="LX4" i="9"/>
  <c r="IK4" i="9"/>
  <c r="IN4" i="9" s="1"/>
  <c r="NL4" i="9"/>
  <c r="G4" i="9"/>
  <c r="F4" i="9" s="1"/>
  <c r="NM4" i="9"/>
  <c r="Q4" i="9"/>
  <c r="CP4" i="9" s="1"/>
  <c r="H4" i="9"/>
  <c r="AO4" i="9"/>
  <c r="KH14" i="12"/>
  <c r="LC14" i="12"/>
  <c r="JM14" i="12"/>
  <c r="HW14" i="12"/>
  <c r="GG14" i="12"/>
  <c r="EQ14" i="12"/>
  <c r="IR14" i="12"/>
  <c r="DA14" i="12"/>
  <c r="FL14" i="12"/>
  <c r="DV14" i="12"/>
  <c r="AL14" i="12"/>
  <c r="BH14" i="12"/>
  <c r="LX14" i="12"/>
  <c r="MR14" i="12"/>
  <c r="CD14" i="12"/>
  <c r="MP14" i="12"/>
  <c r="HB14" i="12"/>
  <c r="MQ14" i="12"/>
  <c r="MS14" i="12"/>
  <c r="F14" i="12"/>
  <c r="G14" i="12"/>
  <c r="J14" i="12"/>
  <c r="AH5" i="8"/>
  <c r="AI5" i="8"/>
  <c r="AJ5" i="8"/>
  <c r="AK5" i="8"/>
  <c r="BD5" i="8"/>
  <c r="BE5" i="8"/>
  <c r="BF5" i="8"/>
  <c r="BG5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NN4" i="9" l="1"/>
  <c r="NQ4" i="9" s="1"/>
  <c r="CP5" i="9"/>
  <c r="NN5" i="9"/>
  <c r="NQ5" i="9" s="1"/>
  <c r="J4" i="14"/>
  <c r="NN4" i="14"/>
  <c r="NQ4" i="14" s="1"/>
  <c r="I4" i="14"/>
  <c r="L4" i="14"/>
  <c r="M4" i="14"/>
  <c r="CO4" i="14"/>
  <c r="O4" i="14"/>
  <c r="A5" i="9" a="1"/>
  <c r="A5" i="9" s="1"/>
  <c r="K5" i="9"/>
  <c r="AR5" i="9"/>
  <c r="J5" i="9"/>
  <c r="I5" i="9"/>
  <c r="A4" i="9" a="1"/>
  <c r="A4" i="9" s="1"/>
  <c r="R4" i="9"/>
  <c r="K4" i="9"/>
  <c r="AR4" i="9"/>
  <c r="J4" i="9"/>
  <c r="I4" i="9"/>
  <c r="LC5" i="8"/>
  <c r="HW5" i="8"/>
  <c r="DA5" i="8"/>
  <c r="JM5" i="8"/>
  <c r="FL5" i="8"/>
  <c r="IR5" i="8"/>
  <c r="DV5" i="8"/>
  <c r="KH5" i="8"/>
  <c r="HB5" i="8"/>
  <c r="MT14" i="12"/>
  <c r="H14" i="12"/>
  <c r="I14" i="12" s="1"/>
  <c r="L14" i="12"/>
  <c r="CE14" i="12"/>
  <c r="K14" i="12"/>
  <c r="A14" i="12"/>
  <c r="CD5" i="8"/>
  <c r="BH5" i="8"/>
  <c r="MR5" i="8"/>
  <c r="MP5" i="8"/>
  <c r="LX5" i="8"/>
  <c r="GG5" i="8"/>
  <c r="EQ5" i="8"/>
  <c r="MS5" i="8"/>
  <c r="MQ5" i="8"/>
  <c r="L5" i="8"/>
  <c r="CF5" i="8" s="1"/>
  <c r="G5" i="8"/>
  <c r="F5" i="8"/>
  <c r="J5" i="8"/>
  <c r="AL5" i="8"/>
  <c r="CN4" i="14" l="1"/>
  <c r="P4" i="14"/>
  <c r="CM4" i="14"/>
  <c r="N4" i="14"/>
  <c r="L5" i="9"/>
  <c r="M5" i="9"/>
  <c r="CO5" i="9"/>
  <c r="O5" i="9"/>
  <c r="L4" i="9"/>
  <c r="M4" i="9"/>
  <c r="CO4" i="9"/>
  <c r="O4" i="9"/>
  <c r="A5" i="8"/>
  <c r="M14" i="12"/>
  <c r="CF14" i="12"/>
  <c r="N14" i="12" s="1"/>
  <c r="MT5" i="8"/>
  <c r="H5" i="8"/>
  <c r="I5" i="8" s="1"/>
  <c r="CE5" i="8"/>
  <c r="N5" i="8" s="1"/>
  <c r="K5" i="8"/>
  <c r="M5" i="8"/>
  <c r="S4" i="14" l="1"/>
  <c r="T4" i="14" s="1"/>
  <c r="CN5" i="9"/>
  <c r="P5" i="9"/>
  <c r="CM5" i="9"/>
  <c r="N5" i="9"/>
  <c r="CN4" i="9"/>
  <c r="P4" i="9"/>
  <c r="CM4" i="9"/>
  <c r="N4" i="9"/>
  <c r="E14" i="12"/>
  <c r="P14" i="12"/>
  <c r="O14" i="12"/>
  <c r="E5" i="8"/>
  <c r="O5" i="8"/>
  <c r="P5" i="8"/>
  <c r="S5" i="9" l="1"/>
  <c r="T5" i="9" s="1"/>
  <c r="E4" i="14"/>
  <c r="A4" i="14" s="1" a="1"/>
  <c r="A4" i="14" s="1"/>
  <c r="U4" i="14"/>
  <c r="S4" i="9"/>
  <c r="U4" i="9" s="1"/>
  <c r="BG16" i="12"/>
  <c r="BF16" i="12"/>
  <c r="BE16" i="12"/>
  <c r="BD16" i="12"/>
  <c r="BG15" i="12"/>
  <c r="BF15" i="12"/>
  <c r="BE15" i="12"/>
  <c r="BD15" i="12"/>
  <c r="BG12" i="12"/>
  <c r="BF12" i="12"/>
  <c r="BE12" i="12"/>
  <c r="BD12" i="12"/>
  <c r="BG13" i="12"/>
  <c r="BF13" i="12"/>
  <c r="BE13" i="12"/>
  <c r="BD13" i="12"/>
  <c r="BG11" i="12"/>
  <c r="BF11" i="12"/>
  <c r="BE11" i="12"/>
  <c r="BD11" i="12"/>
  <c r="BG10" i="12"/>
  <c r="BF10" i="12"/>
  <c r="BE10" i="12"/>
  <c r="BD10" i="12"/>
  <c r="BG9" i="12"/>
  <c r="BF9" i="12"/>
  <c r="BE9" i="12"/>
  <c r="BD9" i="12"/>
  <c r="BG6" i="12"/>
  <c r="BF6" i="12"/>
  <c r="BE6" i="12"/>
  <c r="BD6" i="12"/>
  <c r="BG7" i="12"/>
  <c r="BF7" i="12"/>
  <c r="BE7" i="12"/>
  <c r="BD7" i="12"/>
  <c r="BG8" i="12"/>
  <c r="BF8" i="12"/>
  <c r="BE8" i="12"/>
  <c r="BD8" i="12"/>
  <c r="BG5" i="12"/>
  <c r="BF5" i="12"/>
  <c r="BE5" i="12"/>
  <c r="BD5" i="12"/>
  <c r="BG4" i="12"/>
  <c r="BF4" i="12"/>
  <c r="BE4" i="12"/>
  <c r="BD4" i="12"/>
  <c r="AK16" i="12"/>
  <c r="AJ16" i="12"/>
  <c r="AI16" i="12"/>
  <c r="AH16" i="12"/>
  <c r="AK15" i="12"/>
  <c r="AJ15" i="12"/>
  <c r="AI15" i="12"/>
  <c r="AH15" i="12"/>
  <c r="AK12" i="12"/>
  <c r="AJ12" i="12"/>
  <c r="AI12" i="12"/>
  <c r="AH12" i="12"/>
  <c r="AK13" i="12"/>
  <c r="AJ13" i="12"/>
  <c r="AI13" i="12"/>
  <c r="AH13" i="12"/>
  <c r="AK11" i="12"/>
  <c r="AJ11" i="12"/>
  <c r="AI11" i="12"/>
  <c r="AH11" i="12"/>
  <c r="AK10" i="12"/>
  <c r="AJ10" i="12"/>
  <c r="AI10" i="12"/>
  <c r="AH10" i="12"/>
  <c r="AK9" i="12"/>
  <c r="AJ9" i="12"/>
  <c r="AI9" i="12"/>
  <c r="AH9" i="12"/>
  <c r="AK6" i="12"/>
  <c r="AJ6" i="12"/>
  <c r="AI6" i="12"/>
  <c r="AH6" i="12"/>
  <c r="AK7" i="12"/>
  <c r="AJ7" i="12"/>
  <c r="AI7" i="12"/>
  <c r="AH7" i="12"/>
  <c r="AK8" i="12"/>
  <c r="AJ8" i="12"/>
  <c r="AI8" i="12"/>
  <c r="AH8" i="12"/>
  <c r="AK5" i="12"/>
  <c r="AJ5" i="12"/>
  <c r="AI5" i="12"/>
  <c r="AH5" i="12"/>
  <c r="AK4" i="12"/>
  <c r="AJ4" i="12"/>
  <c r="AI4" i="12"/>
  <c r="AL4" i="12" s="1"/>
  <c r="AH4" i="12"/>
  <c r="BG13" i="6"/>
  <c r="BF13" i="6"/>
  <c r="BE13" i="6"/>
  <c r="BD13" i="6"/>
  <c r="BG15" i="6"/>
  <c r="BF15" i="6"/>
  <c r="BE15" i="6"/>
  <c r="BD15" i="6"/>
  <c r="BG12" i="6"/>
  <c r="BF12" i="6"/>
  <c r="BE12" i="6"/>
  <c r="BD12" i="6"/>
  <c r="BG14" i="6"/>
  <c r="BF14" i="6"/>
  <c r="BE14" i="6"/>
  <c r="BD14" i="6"/>
  <c r="BG9" i="6"/>
  <c r="BF9" i="6"/>
  <c r="BE9" i="6"/>
  <c r="BD9" i="6"/>
  <c r="BG10" i="6"/>
  <c r="BF10" i="6"/>
  <c r="BE10" i="6"/>
  <c r="BD10" i="6"/>
  <c r="BG8" i="6"/>
  <c r="BF8" i="6"/>
  <c r="BE8" i="6"/>
  <c r="BD8" i="6"/>
  <c r="BG11" i="6"/>
  <c r="BF11" i="6"/>
  <c r="BE11" i="6"/>
  <c r="BD11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3" i="6"/>
  <c r="AJ13" i="6"/>
  <c r="AI13" i="6"/>
  <c r="AH13" i="6"/>
  <c r="AK15" i="6"/>
  <c r="AJ15" i="6"/>
  <c r="AI15" i="6"/>
  <c r="AH15" i="6"/>
  <c r="AK12" i="6"/>
  <c r="AJ12" i="6"/>
  <c r="AI12" i="6"/>
  <c r="AH12" i="6"/>
  <c r="AK14" i="6"/>
  <c r="AJ14" i="6"/>
  <c r="AI14" i="6"/>
  <c r="AH14" i="6"/>
  <c r="AK9" i="6"/>
  <c r="AJ9" i="6"/>
  <c r="AI9" i="6"/>
  <c r="AH9" i="6"/>
  <c r="AK10" i="6"/>
  <c r="AJ10" i="6"/>
  <c r="AI10" i="6"/>
  <c r="AH10" i="6"/>
  <c r="AK8" i="6"/>
  <c r="AJ8" i="6"/>
  <c r="AI8" i="6"/>
  <c r="AH8" i="6"/>
  <c r="AK11" i="6"/>
  <c r="AJ11" i="6"/>
  <c r="AI11" i="6"/>
  <c r="AH11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7" i="8"/>
  <c r="BF7" i="8"/>
  <c r="BE7" i="8"/>
  <c r="BD7" i="8"/>
  <c r="BG6" i="8"/>
  <c r="BF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5" i="7"/>
  <c r="BF5" i="7"/>
  <c r="BE5" i="7"/>
  <c r="BD5" i="7"/>
  <c r="BG4" i="7"/>
  <c r="BF4" i="7"/>
  <c r="BE4" i="7"/>
  <c r="BD4" i="7"/>
  <c r="AK5" i="7"/>
  <c r="AJ5" i="7"/>
  <c r="AI5" i="7"/>
  <c r="AH5" i="7"/>
  <c r="AK4" i="7"/>
  <c r="AJ4" i="7"/>
  <c r="AI4" i="7"/>
  <c r="AH4" i="7"/>
  <c r="CB14" i="13"/>
  <c r="CA14" i="13"/>
  <c r="BY14" i="13"/>
  <c r="BX14" i="13"/>
  <c r="BW14" i="13"/>
  <c r="BV14" i="13"/>
  <c r="BU14" i="13"/>
  <c r="CB13" i="13"/>
  <c r="CA13" i="13"/>
  <c r="BY13" i="13"/>
  <c r="BX13" i="13"/>
  <c r="BW13" i="13"/>
  <c r="BV13" i="13"/>
  <c r="BU13" i="13"/>
  <c r="CB12" i="13"/>
  <c r="CA12" i="13"/>
  <c r="BY12" i="13"/>
  <c r="BX12" i="13"/>
  <c r="BW12" i="13"/>
  <c r="BV12" i="13"/>
  <c r="BU12" i="13"/>
  <c r="CB11" i="13"/>
  <c r="CA11" i="13"/>
  <c r="BY11" i="13"/>
  <c r="BX11" i="13"/>
  <c r="BW11" i="13"/>
  <c r="BV11" i="13"/>
  <c r="BU11" i="13"/>
  <c r="CB9" i="13"/>
  <c r="CA9" i="13"/>
  <c r="BY9" i="13"/>
  <c r="BX9" i="13"/>
  <c r="BW9" i="13"/>
  <c r="BV9" i="13"/>
  <c r="BU9" i="13"/>
  <c r="CB10" i="13"/>
  <c r="CA10" i="13"/>
  <c r="BY10" i="13"/>
  <c r="BX10" i="13"/>
  <c r="BW10" i="13"/>
  <c r="BV10" i="13"/>
  <c r="BU10" i="13"/>
  <c r="CB7" i="13"/>
  <c r="CA7" i="13"/>
  <c r="BY7" i="13"/>
  <c r="BX7" i="13"/>
  <c r="BW7" i="13"/>
  <c r="BV7" i="13"/>
  <c r="BU7" i="13"/>
  <c r="CB6" i="13"/>
  <c r="CA6" i="13"/>
  <c r="BY6" i="13"/>
  <c r="BX6" i="13"/>
  <c r="BW6" i="13"/>
  <c r="BV6" i="13"/>
  <c r="BU6" i="13"/>
  <c r="CB8" i="13"/>
  <c r="CA8" i="13"/>
  <c r="BY8" i="13"/>
  <c r="BX8" i="13"/>
  <c r="BW8" i="13"/>
  <c r="BV8" i="13"/>
  <c r="BU8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4" i="13"/>
  <c r="AW14" i="13"/>
  <c r="AU14" i="13"/>
  <c r="AT14" i="13"/>
  <c r="AS14" i="13"/>
  <c r="AR14" i="13"/>
  <c r="AQ14" i="13"/>
  <c r="AX13" i="13"/>
  <c r="AW13" i="13"/>
  <c r="AU13" i="13"/>
  <c r="AT13" i="13"/>
  <c r="AS13" i="13"/>
  <c r="AR13" i="13"/>
  <c r="AQ13" i="13"/>
  <c r="AX12" i="13"/>
  <c r="AW12" i="13"/>
  <c r="AU12" i="13"/>
  <c r="AT12" i="13"/>
  <c r="AS12" i="13"/>
  <c r="AR12" i="13"/>
  <c r="AQ12" i="13"/>
  <c r="AX11" i="13"/>
  <c r="AW11" i="13"/>
  <c r="AU11" i="13"/>
  <c r="AT11" i="13"/>
  <c r="AS11" i="13"/>
  <c r="AR11" i="13"/>
  <c r="AQ11" i="13"/>
  <c r="AX9" i="13"/>
  <c r="AW9" i="13"/>
  <c r="AU9" i="13"/>
  <c r="AT9" i="13"/>
  <c r="AS9" i="13"/>
  <c r="AR9" i="13"/>
  <c r="AQ9" i="13"/>
  <c r="AX10" i="13"/>
  <c r="AW10" i="13"/>
  <c r="AU10" i="13"/>
  <c r="AT10" i="13"/>
  <c r="AS10" i="13"/>
  <c r="AR10" i="13"/>
  <c r="AQ10" i="13"/>
  <c r="AX7" i="13"/>
  <c r="AW7" i="13"/>
  <c r="AU7" i="13"/>
  <c r="AT7" i="13"/>
  <c r="AS7" i="13"/>
  <c r="AR7" i="13"/>
  <c r="AQ7" i="13"/>
  <c r="AX6" i="13"/>
  <c r="AW6" i="13"/>
  <c r="AU6" i="13"/>
  <c r="AT6" i="13"/>
  <c r="AS6" i="13"/>
  <c r="AR6" i="13"/>
  <c r="AQ6" i="13"/>
  <c r="AX8" i="13"/>
  <c r="AW8" i="13"/>
  <c r="AU8" i="13"/>
  <c r="AT8" i="13"/>
  <c r="AS8" i="13"/>
  <c r="AR8" i="13"/>
  <c r="AQ8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18" i="4"/>
  <c r="CA18" i="4"/>
  <c r="BY18" i="4"/>
  <c r="BX18" i="4"/>
  <c r="BW18" i="4"/>
  <c r="BV18" i="4"/>
  <c r="BU18" i="4"/>
  <c r="CB20" i="4"/>
  <c r="CA20" i="4"/>
  <c r="BY20" i="4"/>
  <c r="BX20" i="4"/>
  <c r="BW20" i="4"/>
  <c r="BV20" i="4"/>
  <c r="BU20" i="4"/>
  <c r="CB17" i="4"/>
  <c r="CA17" i="4"/>
  <c r="BY17" i="4"/>
  <c r="BX17" i="4"/>
  <c r="BW17" i="4"/>
  <c r="BV17" i="4"/>
  <c r="BU17" i="4"/>
  <c r="CB16" i="4"/>
  <c r="CA16" i="4"/>
  <c r="BY16" i="4"/>
  <c r="BX16" i="4"/>
  <c r="BW16" i="4"/>
  <c r="BV16" i="4"/>
  <c r="BU16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2" i="4"/>
  <c r="CA12" i="4"/>
  <c r="BY12" i="4"/>
  <c r="BX12" i="4"/>
  <c r="BW12" i="4"/>
  <c r="BV12" i="4"/>
  <c r="BU12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14" i="4"/>
  <c r="CA14" i="4"/>
  <c r="BY14" i="4"/>
  <c r="BX14" i="4"/>
  <c r="BW14" i="4"/>
  <c r="BV14" i="4"/>
  <c r="BU14" i="4"/>
  <c r="CB11" i="4"/>
  <c r="CA11" i="4"/>
  <c r="BY11" i="4"/>
  <c r="BX11" i="4"/>
  <c r="BW11" i="4"/>
  <c r="BV11" i="4"/>
  <c r="BU11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6" i="4"/>
  <c r="CA6" i="4"/>
  <c r="BY6" i="4"/>
  <c r="BX6" i="4"/>
  <c r="BW6" i="4"/>
  <c r="BV6" i="4"/>
  <c r="BU6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18" i="4"/>
  <c r="AW18" i="4"/>
  <c r="AU18" i="4"/>
  <c r="AT18" i="4"/>
  <c r="AS18" i="4"/>
  <c r="AR18" i="4"/>
  <c r="AQ18" i="4"/>
  <c r="AX20" i="4"/>
  <c r="AW20" i="4"/>
  <c r="AU20" i="4"/>
  <c r="AT20" i="4"/>
  <c r="AS20" i="4"/>
  <c r="AR20" i="4"/>
  <c r="AQ20" i="4"/>
  <c r="AX17" i="4"/>
  <c r="AW17" i="4"/>
  <c r="AU17" i="4"/>
  <c r="AT17" i="4"/>
  <c r="AS17" i="4"/>
  <c r="AR17" i="4"/>
  <c r="AQ17" i="4"/>
  <c r="AX16" i="4"/>
  <c r="AW16" i="4"/>
  <c r="AU16" i="4"/>
  <c r="AT16" i="4"/>
  <c r="AS16" i="4"/>
  <c r="AR16" i="4"/>
  <c r="AQ16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2" i="4"/>
  <c r="AW12" i="4"/>
  <c r="AU12" i="4"/>
  <c r="AT12" i="4"/>
  <c r="AS12" i="4"/>
  <c r="AR12" i="4"/>
  <c r="AQ12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14" i="4"/>
  <c r="AW14" i="4"/>
  <c r="AU14" i="4"/>
  <c r="AT14" i="4"/>
  <c r="AS14" i="4"/>
  <c r="AR14" i="4"/>
  <c r="AQ14" i="4"/>
  <c r="AX11" i="4"/>
  <c r="AW11" i="4"/>
  <c r="AU11" i="4"/>
  <c r="AT11" i="4"/>
  <c r="AS11" i="4"/>
  <c r="AR11" i="4"/>
  <c r="AQ11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6" i="4"/>
  <c r="AW6" i="4"/>
  <c r="AU6" i="4"/>
  <c r="AT6" i="4"/>
  <c r="AS6" i="4"/>
  <c r="AR6" i="4"/>
  <c r="AQ6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U5" i="9" l="1"/>
  <c r="E5" i="9"/>
  <c r="T4" i="9"/>
  <c r="E4" i="9"/>
  <c r="AL6" i="12"/>
  <c r="AL10" i="12"/>
  <c r="AL13" i="12"/>
  <c r="BH4" i="12"/>
  <c r="BH8" i="12"/>
  <c r="AL5" i="7"/>
  <c r="BH5" i="7"/>
  <c r="AV9" i="4"/>
  <c r="AY9" i="4" s="1"/>
  <c r="AV19" i="4"/>
  <c r="AY19" i="4" s="1"/>
  <c r="AL7" i="12"/>
  <c r="AL12" i="12"/>
  <c r="AL16" i="12"/>
  <c r="BH5" i="12"/>
  <c r="BH7" i="12"/>
  <c r="BH11" i="12"/>
  <c r="AL5" i="6"/>
  <c r="BH5" i="6"/>
  <c r="BH6" i="6"/>
  <c r="BH11" i="6"/>
  <c r="BH10" i="6"/>
  <c r="BH14" i="6"/>
  <c r="BH4" i="6"/>
  <c r="BH6" i="8"/>
  <c r="AV6" i="13"/>
  <c r="BH12" i="12"/>
  <c r="BH15" i="6"/>
  <c r="BH4" i="8"/>
  <c r="BH7" i="8"/>
  <c r="BZ9" i="13"/>
  <c r="CC9" i="13" s="1"/>
  <c r="BZ14" i="13"/>
  <c r="CC14" i="13" s="1"/>
  <c r="AV8" i="13"/>
  <c r="AY8" i="13" s="1"/>
  <c r="BZ13" i="13"/>
  <c r="CC13" i="13" s="1"/>
  <c r="BZ10" i="13"/>
  <c r="CC10" i="13" s="1"/>
  <c r="AV5" i="4"/>
  <c r="AY5" i="4" s="1"/>
  <c r="BZ11" i="4"/>
  <c r="CC11" i="4" s="1"/>
  <c r="BZ17" i="4"/>
  <c r="CC17" i="4" s="1"/>
  <c r="BZ19" i="4"/>
  <c r="CC19" i="4" s="1"/>
  <c r="BH6" i="12"/>
  <c r="BH10" i="12"/>
  <c r="BH13" i="12"/>
  <c r="AL15" i="12"/>
  <c r="BH16" i="12"/>
  <c r="AL11" i="12"/>
  <c r="AL5" i="12"/>
  <c r="AL9" i="12"/>
  <c r="BH15" i="12"/>
  <c r="AL8" i="12"/>
  <c r="BH9" i="12"/>
  <c r="AL6" i="6"/>
  <c r="AL14" i="6"/>
  <c r="AL15" i="6"/>
  <c r="AL4" i="6"/>
  <c r="AL7" i="6"/>
  <c r="AL9" i="6"/>
  <c r="BH9" i="6"/>
  <c r="BH12" i="6"/>
  <c r="BH13" i="6"/>
  <c r="AL12" i="6"/>
  <c r="AL13" i="6"/>
  <c r="AL8" i="6"/>
  <c r="BH7" i="6"/>
  <c r="AL11" i="6"/>
  <c r="AL10" i="6"/>
  <c r="BH8" i="6"/>
  <c r="AL6" i="8"/>
  <c r="AL4" i="8"/>
  <c r="AL7" i="8"/>
  <c r="BH4" i="7"/>
  <c r="AL4" i="7"/>
  <c r="BZ12" i="13"/>
  <c r="CC12" i="13" s="1"/>
  <c r="AV11" i="13"/>
  <c r="AY11" i="13" s="1"/>
  <c r="AV13" i="13"/>
  <c r="AY13" i="13" s="1"/>
  <c r="BZ4" i="13"/>
  <c r="CC4" i="13" s="1"/>
  <c r="AV9" i="13"/>
  <c r="AY9" i="13" s="1"/>
  <c r="AV12" i="13"/>
  <c r="AY12" i="13" s="1"/>
  <c r="BZ6" i="13"/>
  <c r="CC6" i="13" s="1"/>
  <c r="AV4" i="13"/>
  <c r="AY4" i="13" s="1"/>
  <c r="AV10" i="13"/>
  <c r="AY10" i="13" s="1"/>
  <c r="AV7" i="13"/>
  <c r="AY7" i="13" s="1"/>
  <c r="BZ7" i="13"/>
  <c r="CC7" i="13" s="1"/>
  <c r="AY6" i="13"/>
  <c r="BZ11" i="13"/>
  <c r="CC11" i="13" s="1"/>
  <c r="AV5" i="13"/>
  <c r="AY5" i="13" s="1"/>
  <c r="AV14" i="13"/>
  <c r="AY14" i="13" s="1"/>
  <c r="BZ8" i="13"/>
  <c r="CC8" i="13" s="1"/>
  <c r="BZ5" i="13"/>
  <c r="CC5" i="13" s="1"/>
  <c r="AV7" i="4"/>
  <c r="AY7" i="4" s="1"/>
  <c r="AV4" i="4"/>
  <c r="AY4" i="4" s="1"/>
  <c r="BZ16" i="4"/>
  <c r="CC16" i="4" s="1"/>
  <c r="AV11" i="4"/>
  <c r="AY11" i="4" s="1"/>
  <c r="AV17" i="4"/>
  <c r="AY17" i="4" s="1"/>
  <c r="BZ6" i="4"/>
  <c r="CC6" i="4" s="1"/>
  <c r="BZ14" i="4"/>
  <c r="CC14" i="4" s="1"/>
  <c r="BZ10" i="4"/>
  <c r="CC10" i="4" s="1"/>
  <c r="AV8" i="4"/>
  <c r="AY8" i="4" s="1"/>
  <c r="AV16" i="4"/>
  <c r="AY16" i="4" s="1"/>
  <c r="BZ7" i="4"/>
  <c r="CC7" i="4" s="1"/>
  <c r="AV10" i="4"/>
  <c r="AY10" i="4" s="1"/>
  <c r="AV6" i="4"/>
  <c r="AY6" i="4" s="1"/>
  <c r="AV20" i="4"/>
  <c r="AY20" i="4" s="1"/>
  <c r="BZ8" i="4"/>
  <c r="CC8" i="4" s="1"/>
  <c r="BZ9" i="4"/>
  <c r="CC9" i="4" s="1"/>
  <c r="AV12" i="4"/>
  <c r="AY12" i="4" s="1"/>
  <c r="BZ5" i="4"/>
  <c r="CC5" i="4" s="1"/>
  <c r="BZ12" i="4"/>
  <c r="CC12" i="4" s="1"/>
  <c r="AV13" i="4"/>
  <c r="AY13" i="4" s="1"/>
  <c r="BZ4" i="4"/>
  <c r="CC4" i="4" s="1"/>
  <c r="BZ13" i="4"/>
  <c r="CC13" i="4" s="1"/>
  <c r="AV15" i="4"/>
  <c r="AY15" i="4" s="1"/>
  <c r="BZ15" i="4"/>
  <c r="CC15" i="4" s="1"/>
  <c r="BZ18" i="4"/>
  <c r="CC18" i="4" s="1"/>
  <c r="AV14" i="4"/>
  <c r="AY14" i="4" s="1"/>
  <c r="AV18" i="4"/>
  <c r="AY18" i="4" s="1"/>
  <c r="BZ20" i="4"/>
  <c r="CC20" i="4" s="1"/>
  <c r="FV20" i="4"/>
  <c r="FY20" i="4" s="1"/>
  <c r="JF20" i="4"/>
  <c r="JI20" i="4" s="1"/>
  <c r="Q20" i="4"/>
  <c r="R20" i="4" s="1"/>
  <c r="DD20" i="4"/>
  <c r="DG20" i="4" s="1"/>
  <c r="NL20" i="4"/>
  <c r="NO20" i="4" s="1"/>
  <c r="EZ20" i="4"/>
  <c r="FC20" i="4" s="1"/>
  <c r="KX20" i="4"/>
  <c r="LA20" i="4" s="1"/>
  <c r="ED20" i="4"/>
  <c r="EG20" i="4" s="1"/>
  <c r="KB20" i="4"/>
  <c r="KE20" i="4" s="1"/>
  <c r="OO20" i="4"/>
  <c r="MP20" i="4"/>
  <c r="MS20" i="4" s="1"/>
  <c r="LT20" i="4"/>
  <c r="LW20" i="4" s="1"/>
  <c r="IJ20" i="4"/>
  <c r="IM20" i="4" s="1"/>
  <c r="HN20" i="4"/>
  <c r="HQ20" i="4" s="1"/>
  <c r="GR20" i="4"/>
  <c r="GU20" i="4" s="1"/>
  <c r="OM20" i="4"/>
  <c r="OK20" i="4"/>
  <c r="G20" i="4"/>
  <c r="CY17" i="4"/>
  <c r="CZ17" i="4"/>
  <c r="DA17" i="4"/>
  <c r="DB17" i="4"/>
  <c r="DC17" i="4"/>
  <c r="DE17" i="4"/>
  <c r="DF17" i="4"/>
  <c r="EA17" i="4"/>
  <c r="EB17" i="4"/>
  <c r="EC17" i="4"/>
  <c r="EE17" i="4"/>
  <c r="EF17" i="4"/>
  <c r="EW17" i="4"/>
  <c r="EX17" i="4"/>
  <c r="EY17" i="4"/>
  <c r="FA17" i="4"/>
  <c r="FB17" i="4"/>
  <c r="FS17" i="4"/>
  <c r="FT17" i="4"/>
  <c r="FU17" i="4"/>
  <c r="FW17" i="4"/>
  <c r="FX17" i="4"/>
  <c r="GO17" i="4"/>
  <c r="GP17" i="4"/>
  <c r="GQ17" i="4"/>
  <c r="GS17" i="4"/>
  <c r="GT17" i="4"/>
  <c r="HK17" i="4"/>
  <c r="HL17" i="4"/>
  <c r="HM17" i="4"/>
  <c r="HO17" i="4"/>
  <c r="HP17" i="4"/>
  <c r="IG17" i="4"/>
  <c r="IH17" i="4"/>
  <c r="II17" i="4"/>
  <c r="IK17" i="4"/>
  <c r="IL17" i="4"/>
  <c r="JC17" i="4"/>
  <c r="JD17" i="4"/>
  <c r="JE17" i="4"/>
  <c r="JG17" i="4"/>
  <c r="JH17" i="4"/>
  <c r="JY17" i="4"/>
  <c r="JZ17" i="4"/>
  <c r="KA17" i="4"/>
  <c r="KC17" i="4"/>
  <c r="KD17" i="4"/>
  <c r="KU17" i="4"/>
  <c r="KV17" i="4"/>
  <c r="KW17" i="4"/>
  <c r="KY17" i="4"/>
  <c r="KZ17" i="4"/>
  <c r="LQ17" i="4"/>
  <c r="LR17" i="4"/>
  <c r="LS17" i="4"/>
  <c r="LU17" i="4"/>
  <c r="LV17" i="4"/>
  <c r="MM17" i="4"/>
  <c r="MN17" i="4"/>
  <c r="MO17" i="4"/>
  <c r="MQ17" i="4"/>
  <c r="MR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CY10" i="4"/>
  <c r="CZ10" i="4"/>
  <c r="DA10" i="4"/>
  <c r="DB10" i="4"/>
  <c r="DC10" i="4"/>
  <c r="DE10" i="4"/>
  <c r="DF10" i="4"/>
  <c r="EA10" i="4"/>
  <c r="EB10" i="4"/>
  <c r="EC10" i="4"/>
  <c r="EE10" i="4"/>
  <c r="EF10" i="4"/>
  <c r="EW10" i="4"/>
  <c r="EX10" i="4"/>
  <c r="EY10" i="4"/>
  <c r="FA10" i="4"/>
  <c r="FB10" i="4"/>
  <c r="FS10" i="4"/>
  <c r="FT10" i="4"/>
  <c r="FU10" i="4"/>
  <c r="FW10" i="4"/>
  <c r="FX10" i="4"/>
  <c r="GO10" i="4"/>
  <c r="GP10" i="4"/>
  <c r="GQ10" i="4"/>
  <c r="GS10" i="4"/>
  <c r="GT10" i="4"/>
  <c r="HK10" i="4"/>
  <c r="HL10" i="4"/>
  <c r="HM10" i="4"/>
  <c r="HO10" i="4"/>
  <c r="HP10" i="4"/>
  <c r="IG10" i="4"/>
  <c r="IH10" i="4"/>
  <c r="II10" i="4"/>
  <c r="IK10" i="4"/>
  <c r="IL10" i="4"/>
  <c r="JC10" i="4"/>
  <c r="JD10" i="4"/>
  <c r="JE10" i="4"/>
  <c r="JG10" i="4"/>
  <c r="JH10" i="4"/>
  <c r="JY10" i="4"/>
  <c r="JZ10" i="4"/>
  <c r="KA10" i="4"/>
  <c r="KC10" i="4"/>
  <c r="KD10" i="4"/>
  <c r="KU10" i="4"/>
  <c r="KV10" i="4"/>
  <c r="KW10" i="4"/>
  <c r="KY10" i="4"/>
  <c r="KZ10" i="4"/>
  <c r="LQ10" i="4"/>
  <c r="LR10" i="4"/>
  <c r="LS10" i="4"/>
  <c r="LU10" i="4"/>
  <c r="LV10" i="4"/>
  <c r="MM10" i="4"/>
  <c r="MN10" i="4"/>
  <c r="MO10" i="4"/>
  <c r="MQ10" i="4"/>
  <c r="MR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C10" i="4"/>
  <c r="OD10" i="4"/>
  <c r="OE10" i="4"/>
  <c r="OF10" i="4"/>
  <c r="OG10" i="4"/>
  <c r="OQ10" i="4" s="1"/>
  <c r="OH10" i="4"/>
  <c r="OI10" i="4"/>
  <c r="ON10" i="4"/>
  <c r="MR13" i="13"/>
  <c r="MQ13" i="13"/>
  <c r="MO13" i="13"/>
  <c r="MN13" i="13"/>
  <c r="MM13" i="13"/>
  <c r="MR14" i="13"/>
  <c r="MQ14" i="13"/>
  <c r="MO14" i="13"/>
  <c r="MN14" i="13"/>
  <c r="MM14" i="13"/>
  <c r="MR12" i="13"/>
  <c r="MQ12" i="13"/>
  <c r="MO12" i="13"/>
  <c r="MN12" i="13"/>
  <c r="MM12" i="13"/>
  <c r="MR11" i="13"/>
  <c r="MQ11" i="13"/>
  <c r="MO11" i="13"/>
  <c r="MN11" i="13"/>
  <c r="MM11" i="13"/>
  <c r="MR9" i="13"/>
  <c r="MQ9" i="13"/>
  <c r="MO9" i="13"/>
  <c r="MN9" i="13"/>
  <c r="MM9" i="13"/>
  <c r="MR10" i="13"/>
  <c r="MQ10" i="13"/>
  <c r="MO10" i="13"/>
  <c r="MN10" i="13"/>
  <c r="MM10" i="13"/>
  <c r="MR7" i="13"/>
  <c r="MQ7" i="13"/>
  <c r="MO7" i="13"/>
  <c r="MN7" i="13"/>
  <c r="MM7" i="13"/>
  <c r="MR6" i="13"/>
  <c r="MQ6" i="13"/>
  <c r="MO6" i="13"/>
  <c r="MN6" i="13"/>
  <c r="MM6" i="13"/>
  <c r="MR8" i="13"/>
  <c r="MQ8" i="13"/>
  <c r="MO8" i="13"/>
  <c r="MN8" i="13"/>
  <c r="MM8" i="13"/>
  <c r="MR5" i="13"/>
  <c r="MQ5" i="13"/>
  <c r="MO5" i="13"/>
  <c r="MN5" i="13"/>
  <c r="MM5" i="13"/>
  <c r="MR4" i="13"/>
  <c r="MQ4" i="13"/>
  <c r="MO4" i="13"/>
  <c r="MN4" i="13"/>
  <c r="MM4" i="13"/>
  <c r="LV13" i="13"/>
  <c r="LU13" i="13"/>
  <c r="LS13" i="13"/>
  <c r="LR13" i="13"/>
  <c r="LQ13" i="13"/>
  <c r="LV14" i="13"/>
  <c r="LU14" i="13"/>
  <c r="LS14" i="13"/>
  <c r="LR14" i="13"/>
  <c r="LQ14" i="13"/>
  <c r="LV12" i="13"/>
  <c r="LU12" i="13"/>
  <c r="LS12" i="13"/>
  <c r="LR12" i="13"/>
  <c r="LQ12" i="13"/>
  <c r="LV11" i="13"/>
  <c r="LU11" i="13"/>
  <c r="LS11" i="13"/>
  <c r="LR11" i="13"/>
  <c r="LQ11" i="13"/>
  <c r="LV9" i="13"/>
  <c r="LU9" i="13"/>
  <c r="LS9" i="13"/>
  <c r="LR9" i="13"/>
  <c r="LQ9" i="13"/>
  <c r="LV10" i="13"/>
  <c r="LU10" i="13"/>
  <c r="LS10" i="13"/>
  <c r="LR10" i="13"/>
  <c r="LQ10" i="13"/>
  <c r="LV7" i="13"/>
  <c r="LU7" i="13"/>
  <c r="LS7" i="13"/>
  <c r="LR7" i="13"/>
  <c r="LQ7" i="13"/>
  <c r="LV6" i="13"/>
  <c r="LU6" i="13"/>
  <c r="LS6" i="13"/>
  <c r="LR6" i="13"/>
  <c r="LQ6" i="13"/>
  <c r="LV8" i="13"/>
  <c r="LU8" i="13"/>
  <c r="LS8" i="13"/>
  <c r="LR8" i="13"/>
  <c r="LQ8" i="13"/>
  <c r="LV5" i="13"/>
  <c r="LU5" i="13"/>
  <c r="LS5" i="13"/>
  <c r="LR5" i="13"/>
  <c r="LQ5" i="13"/>
  <c r="LV4" i="13"/>
  <c r="LU4" i="13"/>
  <c r="LS4" i="13"/>
  <c r="LR4" i="13"/>
  <c r="LQ4" i="13"/>
  <c r="KZ13" i="13"/>
  <c r="KY13" i="13"/>
  <c r="KW13" i="13"/>
  <c r="KV13" i="13"/>
  <c r="KU13" i="13"/>
  <c r="KZ14" i="13"/>
  <c r="KY14" i="13"/>
  <c r="KW14" i="13"/>
  <c r="KV14" i="13"/>
  <c r="KU14" i="13"/>
  <c r="KZ12" i="13"/>
  <c r="KY12" i="13"/>
  <c r="KW12" i="13"/>
  <c r="KV12" i="13"/>
  <c r="KU12" i="13"/>
  <c r="KZ11" i="13"/>
  <c r="KY11" i="13"/>
  <c r="KW11" i="13"/>
  <c r="KV11" i="13"/>
  <c r="KU11" i="13"/>
  <c r="KZ9" i="13"/>
  <c r="KY9" i="13"/>
  <c r="KW9" i="13"/>
  <c r="KV9" i="13"/>
  <c r="KU9" i="13"/>
  <c r="KZ10" i="13"/>
  <c r="KY10" i="13"/>
  <c r="KW10" i="13"/>
  <c r="KV10" i="13"/>
  <c r="KU10" i="13"/>
  <c r="KZ7" i="13"/>
  <c r="KY7" i="13"/>
  <c r="KW7" i="13"/>
  <c r="KV7" i="13"/>
  <c r="KU7" i="13"/>
  <c r="KZ6" i="13"/>
  <c r="KY6" i="13"/>
  <c r="KW6" i="13"/>
  <c r="KV6" i="13"/>
  <c r="KU6" i="13"/>
  <c r="KZ8" i="13"/>
  <c r="KY8" i="13"/>
  <c r="KW8" i="13"/>
  <c r="KV8" i="13"/>
  <c r="KU8" i="13"/>
  <c r="KZ5" i="13"/>
  <c r="KY5" i="13"/>
  <c r="KW5" i="13"/>
  <c r="KV5" i="13"/>
  <c r="KU5" i="13"/>
  <c r="KZ4" i="13"/>
  <c r="KY4" i="13"/>
  <c r="KW4" i="13"/>
  <c r="KV4" i="13"/>
  <c r="KU4" i="13"/>
  <c r="KD13" i="13"/>
  <c r="KC13" i="13"/>
  <c r="KA13" i="13"/>
  <c r="JZ13" i="13"/>
  <c r="JY13" i="13"/>
  <c r="KD14" i="13"/>
  <c r="KC14" i="13"/>
  <c r="KA14" i="13"/>
  <c r="JZ14" i="13"/>
  <c r="JY14" i="13"/>
  <c r="KD12" i="13"/>
  <c r="KC12" i="13"/>
  <c r="KA12" i="13"/>
  <c r="JZ12" i="13"/>
  <c r="JY12" i="13"/>
  <c r="KD11" i="13"/>
  <c r="KC11" i="13"/>
  <c r="KA11" i="13"/>
  <c r="JZ11" i="13"/>
  <c r="JY11" i="13"/>
  <c r="KD9" i="13"/>
  <c r="KC9" i="13"/>
  <c r="KA9" i="13"/>
  <c r="JZ9" i="13"/>
  <c r="JY9" i="13"/>
  <c r="KD10" i="13"/>
  <c r="KC10" i="13"/>
  <c r="KA10" i="13"/>
  <c r="JZ10" i="13"/>
  <c r="JY10" i="13"/>
  <c r="KD7" i="13"/>
  <c r="KC7" i="13"/>
  <c r="KA7" i="13"/>
  <c r="JZ7" i="13"/>
  <c r="JY7" i="13"/>
  <c r="KD6" i="13"/>
  <c r="KC6" i="13"/>
  <c r="KA6" i="13"/>
  <c r="JZ6" i="13"/>
  <c r="JY6" i="13"/>
  <c r="KD8" i="13"/>
  <c r="KC8" i="13"/>
  <c r="KA8" i="13"/>
  <c r="JZ8" i="13"/>
  <c r="JY8" i="13"/>
  <c r="KD5" i="13"/>
  <c r="KC5" i="13"/>
  <c r="KA5" i="13"/>
  <c r="JZ5" i="13"/>
  <c r="JY5" i="13"/>
  <c r="KD4" i="13"/>
  <c r="KC4" i="13"/>
  <c r="KA4" i="13"/>
  <c r="JZ4" i="13"/>
  <c r="JY4" i="13"/>
  <c r="JH13" i="13"/>
  <c r="JG13" i="13"/>
  <c r="JE13" i="13"/>
  <c r="JD13" i="13"/>
  <c r="JC13" i="13"/>
  <c r="JH14" i="13"/>
  <c r="JG14" i="13"/>
  <c r="JE14" i="13"/>
  <c r="JD14" i="13"/>
  <c r="JC14" i="13"/>
  <c r="JH12" i="13"/>
  <c r="JG12" i="13"/>
  <c r="JE12" i="13"/>
  <c r="JD12" i="13"/>
  <c r="JC12" i="13"/>
  <c r="JH11" i="13"/>
  <c r="JG11" i="13"/>
  <c r="JE11" i="13"/>
  <c r="JD11" i="13"/>
  <c r="JC11" i="13"/>
  <c r="JH9" i="13"/>
  <c r="JG9" i="13"/>
  <c r="JE9" i="13"/>
  <c r="JD9" i="13"/>
  <c r="JC9" i="13"/>
  <c r="JH10" i="13"/>
  <c r="JG10" i="13"/>
  <c r="JE10" i="13"/>
  <c r="JD10" i="13"/>
  <c r="JC10" i="13"/>
  <c r="JH7" i="13"/>
  <c r="JG7" i="13"/>
  <c r="JE7" i="13"/>
  <c r="JD7" i="13"/>
  <c r="JC7" i="13"/>
  <c r="JH6" i="13"/>
  <c r="JG6" i="13"/>
  <c r="JE6" i="13"/>
  <c r="JD6" i="13"/>
  <c r="JC6" i="13"/>
  <c r="JH8" i="13"/>
  <c r="JG8" i="13"/>
  <c r="JE8" i="13"/>
  <c r="JD8" i="13"/>
  <c r="JC8" i="13"/>
  <c r="JH5" i="13"/>
  <c r="JG5" i="13"/>
  <c r="JE5" i="13"/>
  <c r="JD5" i="13"/>
  <c r="JC5" i="13"/>
  <c r="JH4" i="13"/>
  <c r="JG4" i="13"/>
  <c r="JE4" i="13"/>
  <c r="JD4" i="13"/>
  <c r="JC4" i="13"/>
  <c r="IL13" i="13"/>
  <c r="IK13" i="13"/>
  <c r="II13" i="13"/>
  <c r="IH13" i="13"/>
  <c r="IG13" i="13"/>
  <c r="IL14" i="13"/>
  <c r="IK14" i="13"/>
  <c r="II14" i="13"/>
  <c r="IH14" i="13"/>
  <c r="IG14" i="13"/>
  <c r="IL12" i="13"/>
  <c r="IK12" i="13"/>
  <c r="II12" i="13"/>
  <c r="IH12" i="13"/>
  <c r="IG12" i="13"/>
  <c r="IL11" i="13"/>
  <c r="IK11" i="13"/>
  <c r="II11" i="13"/>
  <c r="IH11" i="13"/>
  <c r="IG11" i="13"/>
  <c r="IL9" i="13"/>
  <c r="IK9" i="13"/>
  <c r="II9" i="13"/>
  <c r="IH9" i="13"/>
  <c r="IG9" i="13"/>
  <c r="IL10" i="13"/>
  <c r="IK10" i="13"/>
  <c r="II10" i="13"/>
  <c r="IH10" i="13"/>
  <c r="IG10" i="13"/>
  <c r="IL7" i="13"/>
  <c r="IK7" i="13"/>
  <c r="II7" i="13"/>
  <c r="IH7" i="13"/>
  <c r="IG7" i="13"/>
  <c r="IL6" i="13"/>
  <c r="IK6" i="13"/>
  <c r="II6" i="13"/>
  <c r="IH6" i="13"/>
  <c r="IG6" i="13"/>
  <c r="IL8" i="13"/>
  <c r="IK8" i="13"/>
  <c r="II8" i="13"/>
  <c r="IH8" i="13"/>
  <c r="IG8" i="13"/>
  <c r="IL5" i="13"/>
  <c r="IK5" i="13"/>
  <c r="II5" i="13"/>
  <c r="IH5" i="13"/>
  <c r="IG5" i="13"/>
  <c r="IL4" i="13"/>
  <c r="IK4" i="13"/>
  <c r="II4" i="13"/>
  <c r="IH4" i="13"/>
  <c r="IG4" i="13"/>
  <c r="HP13" i="13"/>
  <c r="HO13" i="13"/>
  <c r="HM13" i="13"/>
  <c r="HL13" i="13"/>
  <c r="HK13" i="13"/>
  <c r="HP14" i="13"/>
  <c r="HO14" i="13"/>
  <c r="HM14" i="13"/>
  <c r="HL14" i="13"/>
  <c r="HK14" i="13"/>
  <c r="HP12" i="13"/>
  <c r="HO12" i="13"/>
  <c r="HM12" i="13"/>
  <c r="HL12" i="13"/>
  <c r="HK12" i="13"/>
  <c r="HP11" i="13"/>
  <c r="HO11" i="13"/>
  <c r="HM11" i="13"/>
  <c r="HL11" i="13"/>
  <c r="HK11" i="13"/>
  <c r="HP9" i="13"/>
  <c r="HO9" i="13"/>
  <c r="HM9" i="13"/>
  <c r="HL9" i="13"/>
  <c r="HK9" i="13"/>
  <c r="HP10" i="13"/>
  <c r="HO10" i="13"/>
  <c r="HM10" i="13"/>
  <c r="HL10" i="13"/>
  <c r="HK10" i="13"/>
  <c r="HP7" i="13"/>
  <c r="HO7" i="13"/>
  <c r="HM7" i="13"/>
  <c r="HL7" i="13"/>
  <c r="HK7" i="13"/>
  <c r="HP6" i="13"/>
  <c r="HO6" i="13"/>
  <c r="HM6" i="13"/>
  <c r="HL6" i="13"/>
  <c r="HK6" i="13"/>
  <c r="HP8" i="13"/>
  <c r="HO8" i="13"/>
  <c r="HM8" i="13"/>
  <c r="HL8" i="13"/>
  <c r="HK8" i="13"/>
  <c r="HP5" i="13"/>
  <c r="HO5" i="13"/>
  <c r="HM5" i="13"/>
  <c r="HL5" i="13"/>
  <c r="HK5" i="13"/>
  <c r="HP4" i="13"/>
  <c r="HO4" i="13"/>
  <c r="HM4" i="13"/>
  <c r="HL4" i="13"/>
  <c r="HK4" i="13"/>
  <c r="GT13" i="13"/>
  <c r="GS13" i="13"/>
  <c r="GQ13" i="13"/>
  <c r="GP13" i="13"/>
  <c r="GO13" i="13"/>
  <c r="GT14" i="13"/>
  <c r="GS14" i="13"/>
  <c r="GQ14" i="13"/>
  <c r="GP14" i="13"/>
  <c r="GO14" i="13"/>
  <c r="GT12" i="13"/>
  <c r="GS12" i="13"/>
  <c r="GQ12" i="13"/>
  <c r="GP12" i="13"/>
  <c r="GO12" i="13"/>
  <c r="GT11" i="13"/>
  <c r="GS11" i="13"/>
  <c r="GQ11" i="13"/>
  <c r="GP11" i="13"/>
  <c r="GO11" i="13"/>
  <c r="GT9" i="13"/>
  <c r="GS9" i="13"/>
  <c r="GQ9" i="13"/>
  <c r="GP9" i="13"/>
  <c r="GO9" i="13"/>
  <c r="GT10" i="13"/>
  <c r="GS10" i="13"/>
  <c r="GQ10" i="13"/>
  <c r="GP10" i="13"/>
  <c r="GO10" i="13"/>
  <c r="GT7" i="13"/>
  <c r="GS7" i="13"/>
  <c r="GQ7" i="13"/>
  <c r="GP7" i="13"/>
  <c r="GO7" i="13"/>
  <c r="GT6" i="13"/>
  <c r="GS6" i="13"/>
  <c r="GQ6" i="13"/>
  <c r="GP6" i="13"/>
  <c r="GO6" i="13"/>
  <c r="GT8" i="13"/>
  <c r="GS8" i="13"/>
  <c r="GQ8" i="13"/>
  <c r="GP8" i="13"/>
  <c r="GO8" i="13"/>
  <c r="GT5" i="13"/>
  <c r="GS5" i="13"/>
  <c r="GQ5" i="13"/>
  <c r="GP5" i="13"/>
  <c r="GO5" i="13"/>
  <c r="GT4" i="13"/>
  <c r="GS4" i="13"/>
  <c r="GQ4" i="13"/>
  <c r="GP4" i="13"/>
  <c r="GO4" i="13"/>
  <c r="FX13" i="13"/>
  <c r="FW13" i="13"/>
  <c r="FU13" i="13"/>
  <c r="FT13" i="13"/>
  <c r="FS13" i="13"/>
  <c r="FX14" i="13"/>
  <c r="FW14" i="13"/>
  <c r="FU14" i="13"/>
  <c r="FT14" i="13"/>
  <c r="FS14" i="13"/>
  <c r="FX12" i="13"/>
  <c r="FW12" i="13"/>
  <c r="FU12" i="13"/>
  <c r="FT12" i="13"/>
  <c r="FS12" i="13"/>
  <c r="FX11" i="13"/>
  <c r="FW11" i="13"/>
  <c r="FU11" i="13"/>
  <c r="FT11" i="13"/>
  <c r="FS11" i="13"/>
  <c r="FX9" i="13"/>
  <c r="FW9" i="13"/>
  <c r="FU9" i="13"/>
  <c r="FT9" i="13"/>
  <c r="FS9" i="13"/>
  <c r="FX10" i="13"/>
  <c r="FW10" i="13"/>
  <c r="FU10" i="13"/>
  <c r="FT10" i="13"/>
  <c r="FS10" i="13"/>
  <c r="FX7" i="13"/>
  <c r="FW7" i="13"/>
  <c r="FU7" i="13"/>
  <c r="FT7" i="13"/>
  <c r="FS7" i="13"/>
  <c r="FX6" i="13"/>
  <c r="FW6" i="13"/>
  <c r="FU6" i="13"/>
  <c r="FT6" i="13"/>
  <c r="FS6" i="13"/>
  <c r="FX8" i="13"/>
  <c r="FW8" i="13"/>
  <c r="FU8" i="13"/>
  <c r="FT8" i="13"/>
  <c r="FS8" i="13"/>
  <c r="FX5" i="13"/>
  <c r="FW5" i="13"/>
  <c r="FU5" i="13"/>
  <c r="FT5" i="13"/>
  <c r="FS5" i="13"/>
  <c r="FX4" i="13"/>
  <c r="FW4" i="13"/>
  <c r="FU4" i="13"/>
  <c r="FT4" i="13"/>
  <c r="FS4" i="13"/>
  <c r="FB13" i="13"/>
  <c r="FA13" i="13"/>
  <c r="EY13" i="13"/>
  <c r="EX13" i="13"/>
  <c r="EW13" i="13"/>
  <c r="FB14" i="13"/>
  <c r="FA14" i="13"/>
  <c r="EY14" i="13"/>
  <c r="EX14" i="13"/>
  <c r="EW14" i="13"/>
  <c r="FB12" i="13"/>
  <c r="FA12" i="13"/>
  <c r="EY12" i="13"/>
  <c r="EX12" i="13"/>
  <c r="EW12" i="13"/>
  <c r="FB11" i="13"/>
  <c r="FA11" i="13"/>
  <c r="EY11" i="13"/>
  <c r="EX11" i="13"/>
  <c r="EW11" i="13"/>
  <c r="FB9" i="13"/>
  <c r="FA9" i="13"/>
  <c r="EY9" i="13"/>
  <c r="EX9" i="13"/>
  <c r="EW9" i="13"/>
  <c r="FB10" i="13"/>
  <c r="FA10" i="13"/>
  <c r="EY10" i="13"/>
  <c r="EX10" i="13"/>
  <c r="EW10" i="13"/>
  <c r="FB7" i="13"/>
  <c r="FA7" i="13"/>
  <c r="EY7" i="13"/>
  <c r="EX7" i="13"/>
  <c r="EW7" i="13"/>
  <c r="FB6" i="13"/>
  <c r="FA6" i="13"/>
  <c r="EY6" i="13"/>
  <c r="EX6" i="13"/>
  <c r="EW6" i="13"/>
  <c r="FB8" i="13"/>
  <c r="FA8" i="13"/>
  <c r="EY8" i="13"/>
  <c r="EX8" i="13"/>
  <c r="EW8" i="13"/>
  <c r="FB5" i="13"/>
  <c r="FA5" i="13"/>
  <c r="EY5" i="13"/>
  <c r="EX5" i="13"/>
  <c r="EW5" i="13"/>
  <c r="FB4" i="13"/>
  <c r="FA4" i="13"/>
  <c r="EY4" i="13"/>
  <c r="EX4" i="13"/>
  <c r="EW4" i="13"/>
  <c r="EF13" i="13"/>
  <c r="EE13" i="13"/>
  <c r="EC13" i="13"/>
  <c r="EB13" i="13"/>
  <c r="EA13" i="13"/>
  <c r="EF14" i="13"/>
  <c r="EE14" i="13"/>
  <c r="EC14" i="13"/>
  <c r="EB14" i="13"/>
  <c r="EA14" i="13"/>
  <c r="EF12" i="13"/>
  <c r="EE12" i="13"/>
  <c r="EC12" i="13"/>
  <c r="EB12" i="13"/>
  <c r="EA12" i="13"/>
  <c r="EF11" i="13"/>
  <c r="EE11" i="13"/>
  <c r="EC11" i="13"/>
  <c r="EB11" i="13"/>
  <c r="EA11" i="13"/>
  <c r="EF9" i="13"/>
  <c r="EE9" i="13"/>
  <c r="EC9" i="13"/>
  <c r="EB9" i="13"/>
  <c r="EA9" i="13"/>
  <c r="EF10" i="13"/>
  <c r="EE10" i="13"/>
  <c r="EC10" i="13"/>
  <c r="EB10" i="13"/>
  <c r="EA10" i="13"/>
  <c r="EF7" i="13"/>
  <c r="EE7" i="13"/>
  <c r="EC7" i="13"/>
  <c r="EB7" i="13"/>
  <c r="EA7" i="13"/>
  <c r="EF6" i="13"/>
  <c r="EE6" i="13"/>
  <c r="EC6" i="13"/>
  <c r="EB6" i="13"/>
  <c r="EA6" i="13"/>
  <c r="EF8" i="13"/>
  <c r="EE8" i="13"/>
  <c r="EC8" i="13"/>
  <c r="EB8" i="13"/>
  <c r="EA8" i="13"/>
  <c r="EF5" i="13"/>
  <c r="EE5" i="13"/>
  <c r="EC5" i="13"/>
  <c r="EB5" i="13"/>
  <c r="EA5" i="13"/>
  <c r="EF4" i="13"/>
  <c r="EE4" i="13"/>
  <c r="EC4" i="13"/>
  <c r="EB4" i="13"/>
  <c r="EA4" i="13"/>
  <c r="MR12" i="4"/>
  <c r="MQ12" i="4"/>
  <c r="MO12" i="4"/>
  <c r="MN12" i="4"/>
  <c r="MM12" i="4"/>
  <c r="MR18" i="4"/>
  <c r="MQ18" i="4"/>
  <c r="MO18" i="4"/>
  <c r="MN18" i="4"/>
  <c r="MM18" i="4"/>
  <c r="MR16" i="4"/>
  <c r="MQ16" i="4"/>
  <c r="MO16" i="4"/>
  <c r="MN16" i="4"/>
  <c r="MM16" i="4"/>
  <c r="MR13" i="4"/>
  <c r="MQ13" i="4"/>
  <c r="MO13" i="4"/>
  <c r="MN13" i="4"/>
  <c r="MM13" i="4"/>
  <c r="MR15" i="4"/>
  <c r="MQ15" i="4"/>
  <c r="MO15" i="4"/>
  <c r="MN15" i="4"/>
  <c r="MM15" i="4"/>
  <c r="MR14" i="4"/>
  <c r="MQ14" i="4"/>
  <c r="MO14" i="4"/>
  <c r="MN14" i="4"/>
  <c r="MM14" i="4"/>
  <c r="MR8" i="4"/>
  <c r="MQ8" i="4"/>
  <c r="MO8" i="4"/>
  <c r="MN8" i="4"/>
  <c r="MM8" i="4"/>
  <c r="MR11" i="4"/>
  <c r="MQ11" i="4"/>
  <c r="MO11" i="4"/>
  <c r="MN11" i="4"/>
  <c r="MM11" i="4"/>
  <c r="MR19" i="4"/>
  <c r="MQ19" i="4"/>
  <c r="MO19" i="4"/>
  <c r="MN19" i="4"/>
  <c r="MM19" i="4"/>
  <c r="MR9" i="4"/>
  <c r="MQ9" i="4"/>
  <c r="MO9" i="4"/>
  <c r="MN9" i="4"/>
  <c r="MM9" i="4"/>
  <c r="MR5" i="4"/>
  <c r="MQ5" i="4"/>
  <c r="MO5" i="4"/>
  <c r="MN5" i="4"/>
  <c r="MM5" i="4"/>
  <c r="MR6" i="4"/>
  <c r="MQ6" i="4"/>
  <c r="MO6" i="4"/>
  <c r="MN6" i="4"/>
  <c r="MM6" i="4"/>
  <c r="MR7" i="4"/>
  <c r="MQ7" i="4"/>
  <c r="MO7" i="4"/>
  <c r="MN7" i="4"/>
  <c r="MM7" i="4"/>
  <c r="MR4" i="4"/>
  <c r="MQ4" i="4"/>
  <c r="MO4" i="4"/>
  <c r="MN4" i="4"/>
  <c r="MM4" i="4"/>
  <c r="LV12" i="4"/>
  <c r="LU12" i="4"/>
  <c r="LS12" i="4"/>
  <c r="LR12" i="4"/>
  <c r="LQ12" i="4"/>
  <c r="LV18" i="4"/>
  <c r="LU18" i="4"/>
  <c r="LS18" i="4"/>
  <c r="LR18" i="4"/>
  <c r="LQ18" i="4"/>
  <c r="LV16" i="4"/>
  <c r="LU16" i="4"/>
  <c r="LS16" i="4"/>
  <c r="LR16" i="4"/>
  <c r="LQ16" i="4"/>
  <c r="LV13" i="4"/>
  <c r="LU13" i="4"/>
  <c r="LS13" i="4"/>
  <c r="LR13" i="4"/>
  <c r="LQ13" i="4"/>
  <c r="LV15" i="4"/>
  <c r="LU15" i="4"/>
  <c r="LS15" i="4"/>
  <c r="LR15" i="4"/>
  <c r="LQ15" i="4"/>
  <c r="LV14" i="4"/>
  <c r="LU14" i="4"/>
  <c r="LS14" i="4"/>
  <c r="LR14" i="4"/>
  <c r="LQ14" i="4"/>
  <c r="LV8" i="4"/>
  <c r="LU8" i="4"/>
  <c r="LS8" i="4"/>
  <c r="LR8" i="4"/>
  <c r="LQ8" i="4"/>
  <c r="LV11" i="4"/>
  <c r="LU11" i="4"/>
  <c r="LS11" i="4"/>
  <c r="LR11" i="4"/>
  <c r="LQ11" i="4"/>
  <c r="LV19" i="4"/>
  <c r="LU19" i="4"/>
  <c r="LS19" i="4"/>
  <c r="LR19" i="4"/>
  <c r="LQ19" i="4"/>
  <c r="LV9" i="4"/>
  <c r="LU9" i="4"/>
  <c r="LS9" i="4"/>
  <c r="LR9" i="4"/>
  <c r="LQ9" i="4"/>
  <c r="LV5" i="4"/>
  <c r="LU5" i="4"/>
  <c r="LS5" i="4"/>
  <c r="LR5" i="4"/>
  <c r="LQ5" i="4"/>
  <c r="LV6" i="4"/>
  <c r="LU6" i="4"/>
  <c r="LS6" i="4"/>
  <c r="LR6" i="4"/>
  <c r="LQ6" i="4"/>
  <c r="LV7" i="4"/>
  <c r="LU7" i="4"/>
  <c r="LS7" i="4"/>
  <c r="LR7" i="4"/>
  <c r="LQ7" i="4"/>
  <c r="LV4" i="4"/>
  <c r="LU4" i="4"/>
  <c r="LS4" i="4"/>
  <c r="LR4" i="4"/>
  <c r="LQ4" i="4"/>
  <c r="KZ12" i="4"/>
  <c r="KY12" i="4"/>
  <c r="KW12" i="4"/>
  <c r="KV12" i="4"/>
  <c r="KU12" i="4"/>
  <c r="KZ18" i="4"/>
  <c r="KY18" i="4"/>
  <c r="KW18" i="4"/>
  <c r="KV18" i="4"/>
  <c r="KU18" i="4"/>
  <c r="KZ16" i="4"/>
  <c r="KY16" i="4"/>
  <c r="KW16" i="4"/>
  <c r="KV16" i="4"/>
  <c r="KU16" i="4"/>
  <c r="KZ13" i="4"/>
  <c r="KY13" i="4"/>
  <c r="KW13" i="4"/>
  <c r="KV13" i="4"/>
  <c r="KU13" i="4"/>
  <c r="KZ15" i="4"/>
  <c r="KY15" i="4"/>
  <c r="KW15" i="4"/>
  <c r="KV15" i="4"/>
  <c r="KU15" i="4"/>
  <c r="KZ14" i="4"/>
  <c r="KY14" i="4"/>
  <c r="KW14" i="4"/>
  <c r="KV14" i="4"/>
  <c r="KU14" i="4"/>
  <c r="KZ8" i="4"/>
  <c r="KY8" i="4"/>
  <c r="KW8" i="4"/>
  <c r="KV8" i="4"/>
  <c r="KU8" i="4"/>
  <c r="KZ11" i="4"/>
  <c r="KY11" i="4"/>
  <c r="KW11" i="4"/>
  <c r="KV11" i="4"/>
  <c r="KU11" i="4"/>
  <c r="KZ19" i="4"/>
  <c r="KY19" i="4"/>
  <c r="KW19" i="4"/>
  <c r="KV19" i="4"/>
  <c r="KU19" i="4"/>
  <c r="KZ9" i="4"/>
  <c r="KY9" i="4"/>
  <c r="KW9" i="4"/>
  <c r="KV9" i="4"/>
  <c r="KU9" i="4"/>
  <c r="KZ5" i="4"/>
  <c r="KY5" i="4"/>
  <c r="KW5" i="4"/>
  <c r="KV5" i="4"/>
  <c r="KU5" i="4"/>
  <c r="KZ6" i="4"/>
  <c r="KY6" i="4"/>
  <c r="KW6" i="4"/>
  <c r="KV6" i="4"/>
  <c r="KU6" i="4"/>
  <c r="KZ7" i="4"/>
  <c r="KY7" i="4"/>
  <c r="KW7" i="4"/>
  <c r="KV7" i="4"/>
  <c r="KU7" i="4"/>
  <c r="KZ4" i="4"/>
  <c r="KY4" i="4"/>
  <c r="KW4" i="4"/>
  <c r="KV4" i="4"/>
  <c r="KU4" i="4"/>
  <c r="KD12" i="4"/>
  <c r="KC12" i="4"/>
  <c r="KA12" i="4"/>
  <c r="JZ12" i="4"/>
  <c r="JY12" i="4"/>
  <c r="KD18" i="4"/>
  <c r="KC18" i="4"/>
  <c r="KA18" i="4"/>
  <c r="JZ18" i="4"/>
  <c r="JY18" i="4"/>
  <c r="KD16" i="4"/>
  <c r="KC16" i="4"/>
  <c r="KA16" i="4"/>
  <c r="JZ16" i="4"/>
  <c r="JY16" i="4"/>
  <c r="KD13" i="4"/>
  <c r="KC13" i="4"/>
  <c r="KA13" i="4"/>
  <c r="JZ13" i="4"/>
  <c r="JY13" i="4"/>
  <c r="KD15" i="4"/>
  <c r="KC15" i="4"/>
  <c r="KA15" i="4"/>
  <c r="JZ15" i="4"/>
  <c r="JY15" i="4"/>
  <c r="KD14" i="4"/>
  <c r="KC14" i="4"/>
  <c r="KA14" i="4"/>
  <c r="JZ14" i="4"/>
  <c r="JY14" i="4"/>
  <c r="KD8" i="4"/>
  <c r="KC8" i="4"/>
  <c r="KA8" i="4"/>
  <c r="JZ8" i="4"/>
  <c r="JY8" i="4"/>
  <c r="KD11" i="4"/>
  <c r="KC11" i="4"/>
  <c r="KA11" i="4"/>
  <c r="JZ11" i="4"/>
  <c r="JY11" i="4"/>
  <c r="KD19" i="4"/>
  <c r="KC19" i="4"/>
  <c r="KA19" i="4"/>
  <c r="JZ19" i="4"/>
  <c r="JY19" i="4"/>
  <c r="KD9" i="4"/>
  <c r="KC9" i="4"/>
  <c r="KA9" i="4"/>
  <c r="JZ9" i="4"/>
  <c r="JY9" i="4"/>
  <c r="KD5" i="4"/>
  <c r="KC5" i="4"/>
  <c r="KA5" i="4"/>
  <c r="JZ5" i="4"/>
  <c r="JY5" i="4"/>
  <c r="KD6" i="4"/>
  <c r="KC6" i="4"/>
  <c r="KA6" i="4"/>
  <c r="JZ6" i="4"/>
  <c r="JY6" i="4"/>
  <c r="KD7" i="4"/>
  <c r="KC7" i="4"/>
  <c r="KA7" i="4"/>
  <c r="JZ7" i="4"/>
  <c r="JY7" i="4"/>
  <c r="KD4" i="4"/>
  <c r="KC4" i="4"/>
  <c r="KA4" i="4"/>
  <c r="JZ4" i="4"/>
  <c r="JY4" i="4"/>
  <c r="JH12" i="4"/>
  <c r="JG12" i="4"/>
  <c r="JE12" i="4"/>
  <c r="JD12" i="4"/>
  <c r="JC12" i="4"/>
  <c r="JH18" i="4"/>
  <c r="JG18" i="4"/>
  <c r="JE18" i="4"/>
  <c r="JD18" i="4"/>
  <c r="JC18" i="4"/>
  <c r="JH16" i="4"/>
  <c r="JG16" i="4"/>
  <c r="JE16" i="4"/>
  <c r="JD16" i="4"/>
  <c r="JC16" i="4"/>
  <c r="JH13" i="4"/>
  <c r="JG13" i="4"/>
  <c r="JE13" i="4"/>
  <c r="JD13" i="4"/>
  <c r="JC13" i="4"/>
  <c r="JH15" i="4"/>
  <c r="JG15" i="4"/>
  <c r="JE15" i="4"/>
  <c r="JD15" i="4"/>
  <c r="JC15" i="4"/>
  <c r="JH14" i="4"/>
  <c r="JG14" i="4"/>
  <c r="JE14" i="4"/>
  <c r="JD14" i="4"/>
  <c r="JC14" i="4"/>
  <c r="JH8" i="4"/>
  <c r="JG8" i="4"/>
  <c r="JE8" i="4"/>
  <c r="JD8" i="4"/>
  <c r="JC8" i="4"/>
  <c r="JH11" i="4"/>
  <c r="JG11" i="4"/>
  <c r="JE11" i="4"/>
  <c r="JD11" i="4"/>
  <c r="JC11" i="4"/>
  <c r="JH19" i="4"/>
  <c r="JG19" i="4"/>
  <c r="JE19" i="4"/>
  <c r="JD19" i="4"/>
  <c r="JC19" i="4"/>
  <c r="JH9" i="4"/>
  <c r="JG9" i="4"/>
  <c r="JE9" i="4"/>
  <c r="JD9" i="4"/>
  <c r="JC9" i="4"/>
  <c r="JH5" i="4"/>
  <c r="JG5" i="4"/>
  <c r="JE5" i="4"/>
  <c r="JD5" i="4"/>
  <c r="JC5" i="4"/>
  <c r="JH6" i="4"/>
  <c r="JG6" i="4"/>
  <c r="JE6" i="4"/>
  <c r="JD6" i="4"/>
  <c r="JC6" i="4"/>
  <c r="JH7" i="4"/>
  <c r="JG7" i="4"/>
  <c r="JE7" i="4"/>
  <c r="JD7" i="4"/>
  <c r="JC7" i="4"/>
  <c r="JH4" i="4"/>
  <c r="JG4" i="4"/>
  <c r="JE4" i="4"/>
  <c r="JD4" i="4"/>
  <c r="JC4" i="4"/>
  <c r="IL12" i="4"/>
  <c r="IK12" i="4"/>
  <c r="II12" i="4"/>
  <c r="IH12" i="4"/>
  <c r="IG12" i="4"/>
  <c r="IL18" i="4"/>
  <c r="IK18" i="4"/>
  <c r="II18" i="4"/>
  <c r="IH18" i="4"/>
  <c r="IG18" i="4"/>
  <c r="IL16" i="4"/>
  <c r="IK16" i="4"/>
  <c r="II16" i="4"/>
  <c r="IH16" i="4"/>
  <c r="IG16" i="4"/>
  <c r="IL13" i="4"/>
  <c r="IK13" i="4"/>
  <c r="II13" i="4"/>
  <c r="IH13" i="4"/>
  <c r="IG13" i="4"/>
  <c r="IL15" i="4"/>
  <c r="IK15" i="4"/>
  <c r="II15" i="4"/>
  <c r="IH15" i="4"/>
  <c r="IG15" i="4"/>
  <c r="IL14" i="4"/>
  <c r="IK14" i="4"/>
  <c r="II14" i="4"/>
  <c r="IH14" i="4"/>
  <c r="IG14" i="4"/>
  <c r="IL8" i="4"/>
  <c r="IK8" i="4"/>
  <c r="II8" i="4"/>
  <c r="IH8" i="4"/>
  <c r="IG8" i="4"/>
  <c r="IL11" i="4"/>
  <c r="IK11" i="4"/>
  <c r="II11" i="4"/>
  <c r="IH11" i="4"/>
  <c r="IG11" i="4"/>
  <c r="IL19" i="4"/>
  <c r="IK19" i="4"/>
  <c r="II19" i="4"/>
  <c r="IH19" i="4"/>
  <c r="IG19" i="4"/>
  <c r="IL9" i="4"/>
  <c r="IK9" i="4"/>
  <c r="II9" i="4"/>
  <c r="IH9" i="4"/>
  <c r="IG9" i="4"/>
  <c r="IL5" i="4"/>
  <c r="IK5" i="4"/>
  <c r="II5" i="4"/>
  <c r="IH5" i="4"/>
  <c r="IG5" i="4"/>
  <c r="IL6" i="4"/>
  <c r="IK6" i="4"/>
  <c r="II6" i="4"/>
  <c r="IH6" i="4"/>
  <c r="IG6" i="4"/>
  <c r="IL7" i="4"/>
  <c r="IK7" i="4"/>
  <c r="II7" i="4"/>
  <c r="IH7" i="4"/>
  <c r="IG7" i="4"/>
  <c r="IL4" i="4"/>
  <c r="IK4" i="4"/>
  <c r="II4" i="4"/>
  <c r="IH4" i="4"/>
  <c r="IG4" i="4"/>
  <c r="HP12" i="4"/>
  <c r="HO12" i="4"/>
  <c r="HM12" i="4"/>
  <c r="HL12" i="4"/>
  <c r="HK12" i="4"/>
  <c r="HP18" i="4"/>
  <c r="HO18" i="4"/>
  <c r="HM18" i="4"/>
  <c r="HL18" i="4"/>
  <c r="HK18" i="4"/>
  <c r="HP16" i="4"/>
  <c r="HO16" i="4"/>
  <c r="HM16" i="4"/>
  <c r="HL16" i="4"/>
  <c r="HK16" i="4"/>
  <c r="HP13" i="4"/>
  <c r="HO13" i="4"/>
  <c r="HM13" i="4"/>
  <c r="HL13" i="4"/>
  <c r="HK13" i="4"/>
  <c r="HP15" i="4"/>
  <c r="HO15" i="4"/>
  <c r="HM15" i="4"/>
  <c r="HL15" i="4"/>
  <c r="HK15" i="4"/>
  <c r="HP14" i="4"/>
  <c r="HO14" i="4"/>
  <c r="HM14" i="4"/>
  <c r="HL14" i="4"/>
  <c r="HK14" i="4"/>
  <c r="HP8" i="4"/>
  <c r="HO8" i="4"/>
  <c r="HM8" i="4"/>
  <c r="HL8" i="4"/>
  <c r="HK8" i="4"/>
  <c r="HP11" i="4"/>
  <c r="HO11" i="4"/>
  <c r="HM11" i="4"/>
  <c r="HL11" i="4"/>
  <c r="HK11" i="4"/>
  <c r="HP19" i="4"/>
  <c r="HO19" i="4"/>
  <c r="HM19" i="4"/>
  <c r="HL19" i="4"/>
  <c r="HK19" i="4"/>
  <c r="HP9" i="4"/>
  <c r="HO9" i="4"/>
  <c r="HM9" i="4"/>
  <c r="HL9" i="4"/>
  <c r="HK9" i="4"/>
  <c r="HP5" i="4"/>
  <c r="HO5" i="4"/>
  <c r="HM5" i="4"/>
  <c r="HL5" i="4"/>
  <c r="HK5" i="4"/>
  <c r="HP6" i="4"/>
  <c r="HO6" i="4"/>
  <c r="HM6" i="4"/>
  <c r="HL6" i="4"/>
  <c r="HK6" i="4"/>
  <c r="HP7" i="4"/>
  <c r="HO7" i="4"/>
  <c r="HM7" i="4"/>
  <c r="HL7" i="4"/>
  <c r="HK7" i="4"/>
  <c r="HP4" i="4"/>
  <c r="HO4" i="4"/>
  <c r="HM4" i="4"/>
  <c r="HL4" i="4"/>
  <c r="HK4" i="4"/>
  <c r="GT12" i="4"/>
  <c r="GS12" i="4"/>
  <c r="GQ12" i="4"/>
  <c r="GP12" i="4"/>
  <c r="GO12" i="4"/>
  <c r="GT18" i="4"/>
  <c r="GS18" i="4"/>
  <c r="GQ18" i="4"/>
  <c r="GP18" i="4"/>
  <c r="GO18" i="4"/>
  <c r="GT16" i="4"/>
  <c r="GS16" i="4"/>
  <c r="GQ16" i="4"/>
  <c r="GP16" i="4"/>
  <c r="GO16" i="4"/>
  <c r="GT13" i="4"/>
  <c r="GS13" i="4"/>
  <c r="GQ13" i="4"/>
  <c r="GP13" i="4"/>
  <c r="GO13" i="4"/>
  <c r="GT15" i="4"/>
  <c r="GS15" i="4"/>
  <c r="GQ15" i="4"/>
  <c r="GP15" i="4"/>
  <c r="GO15" i="4"/>
  <c r="GT14" i="4"/>
  <c r="GS14" i="4"/>
  <c r="GQ14" i="4"/>
  <c r="GP14" i="4"/>
  <c r="GO14" i="4"/>
  <c r="GT8" i="4"/>
  <c r="GS8" i="4"/>
  <c r="GQ8" i="4"/>
  <c r="GP8" i="4"/>
  <c r="GO8" i="4"/>
  <c r="GT11" i="4"/>
  <c r="GS11" i="4"/>
  <c r="GQ11" i="4"/>
  <c r="GP11" i="4"/>
  <c r="GO11" i="4"/>
  <c r="GT19" i="4"/>
  <c r="GS19" i="4"/>
  <c r="GQ19" i="4"/>
  <c r="GP19" i="4"/>
  <c r="GO19" i="4"/>
  <c r="GT9" i="4"/>
  <c r="GS9" i="4"/>
  <c r="GQ9" i="4"/>
  <c r="GP9" i="4"/>
  <c r="GO9" i="4"/>
  <c r="GT5" i="4"/>
  <c r="GS5" i="4"/>
  <c r="GQ5" i="4"/>
  <c r="GP5" i="4"/>
  <c r="GO5" i="4"/>
  <c r="GT6" i="4"/>
  <c r="GS6" i="4"/>
  <c r="GQ6" i="4"/>
  <c r="GP6" i="4"/>
  <c r="GO6" i="4"/>
  <c r="GT7" i="4"/>
  <c r="GS7" i="4"/>
  <c r="GQ7" i="4"/>
  <c r="GP7" i="4"/>
  <c r="GO7" i="4"/>
  <c r="GT4" i="4"/>
  <c r="GS4" i="4"/>
  <c r="GQ4" i="4"/>
  <c r="GP4" i="4"/>
  <c r="GO4" i="4"/>
  <c r="FX12" i="4"/>
  <c r="FW12" i="4"/>
  <c r="FU12" i="4"/>
  <c r="FT12" i="4"/>
  <c r="FS12" i="4"/>
  <c r="FX18" i="4"/>
  <c r="FW18" i="4"/>
  <c r="FU18" i="4"/>
  <c r="FT18" i="4"/>
  <c r="FS18" i="4"/>
  <c r="FX16" i="4"/>
  <c r="FW16" i="4"/>
  <c r="FU16" i="4"/>
  <c r="FT16" i="4"/>
  <c r="FS16" i="4"/>
  <c r="FX13" i="4"/>
  <c r="FW13" i="4"/>
  <c r="FU13" i="4"/>
  <c r="FT13" i="4"/>
  <c r="FS13" i="4"/>
  <c r="FX15" i="4"/>
  <c r="FW15" i="4"/>
  <c r="FU15" i="4"/>
  <c r="FT15" i="4"/>
  <c r="FS15" i="4"/>
  <c r="FX14" i="4"/>
  <c r="FW14" i="4"/>
  <c r="FU14" i="4"/>
  <c r="FT14" i="4"/>
  <c r="FS14" i="4"/>
  <c r="FX8" i="4"/>
  <c r="FW8" i="4"/>
  <c r="FU8" i="4"/>
  <c r="FT8" i="4"/>
  <c r="FS8" i="4"/>
  <c r="FX11" i="4"/>
  <c r="FW11" i="4"/>
  <c r="FU11" i="4"/>
  <c r="FT11" i="4"/>
  <c r="FS11" i="4"/>
  <c r="FX19" i="4"/>
  <c r="FW19" i="4"/>
  <c r="FU19" i="4"/>
  <c r="FT19" i="4"/>
  <c r="FS19" i="4"/>
  <c r="FX9" i="4"/>
  <c r="FW9" i="4"/>
  <c r="FU9" i="4"/>
  <c r="FT9" i="4"/>
  <c r="FS9" i="4"/>
  <c r="FX5" i="4"/>
  <c r="FW5" i="4"/>
  <c r="FU5" i="4"/>
  <c r="FT5" i="4"/>
  <c r="FS5" i="4"/>
  <c r="FX6" i="4"/>
  <c r="FW6" i="4"/>
  <c r="FU6" i="4"/>
  <c r="FT6" i="4"/>
  <c r="FS6" i="4"/>
  <c r="FX7" i="4"/>
  <c r="FW7" i="4"/>
  <c r="FU7" i="4"/>
  <c r="FT7" i="4"/>
  <c r="FS7" i="4"/>
  <c r="FX4" i="4"/>
  <c r="FW4" i="4"/>
  <c r="FU4" i="4"/>
  <c r="FT4" i="4"/>
  <c r="FS4" i="4"/>
  <c r="FB12" i="4"/>
  <c r="FA12" i="4"/>
  <c r="EY12" i="4"/>
  <c r="EX12" i="4"/>
  <c r="EW12" i="4"/>
  <c r="FB18" i="4"/>
  <c r="FA18" i="4"/>
  <c r="EY18" i="4"/>
  <c r="EX18" i="4"/>
  <c r="EW18" i="4"/>
  <c r="FB16" i="4"/>
  <c r="FA16" i="4"/>
  <c r="EY16" i="4"/>
  <c r="EX16" i="4"/>
  <c r="EW16" i="4"/>
  <c r="FB13" i="4"/>
  <c r="FA13" i="4"/>
  <c r="EY13" i="4"/>
  <c r="EX13" i="4"/>
  <c r="EW13" i="4"/>
  <c r="FB15" i="4"/>
  <c r="FA15" i="4"/>
  <c r="EY15" i="4"/>
  <c r="EX15" i="4"/>
  <c r="EW15" i="4"/>
  <c r="FB14" i="4"/>
  <c r="FA14" i="4"/>
  <c r="EY14" i="4"/>
  <c r="EX14" i="4"/>
  <c r="EW14" i="4"/>
  <c r="FB8" i="4"/>
  <c r="FA8" i="4"/>
  <c r="EY8" i="4"/>
  <c r="EX8" i="4"/>
  <c r="EW8" i="4"/>
  <c r="FB11" i="4"/>
  <c r="FA11" i="4"/>
  <c r="EY11" i="4"/>
  <c r="EX11" i="4"/>
  <c r="EW11" i="4"/>
  <c r="FB19" i="4"/>
  <c r="FA19" i="4"/>
  <c r="EY19" i="4"/>
  <c r="EX19" i="4"/>
  <c r="EW19" i="4"/>
  <c r="FB9" i="4"/>
  <c r="FA9" i="4"/>
  <c r="EY9" i="4"/>
  <c r="EX9" i="4"/>
  <c r="EW9" i="4"/>
  <c r="FB5" i="4"/>
  <c r="FA5" i="4"/>
  <c r="EY5" i="4"/>
  <c r="EX5" i="4"/>
  <c r="EW5" i="4"/>
  <c r="FB6" i="4"/>
  <c r="FA6" i="4"/>
  <c r="EY6" i="4"/>
  <c r="EX6" i="4"/>
  <c r="EW6" i="4"/>
  <c r="FB7" i="4"/>
  <c r="FA7" i="4"/>
  <c r="EY7" i="4"/>
  <c r="EX7" i="4"/>
  <c r="EW7" i="4"/>
  <c r="FB4" i="4"/>
  <c r="FA4" i="4"/>
  <c r="EY4" i="4"/>
  <c r="EX4" i="4"/>
  <c r="EW4" i="4"/>
  <c r="EF12" i="4"/>
  <c r="EE12" i="4"/>
  <c r="EC12" i="4"/>
  <c r="EB12" i="4"/>
  <c r="EA12" i="4"/>
  <c r="EF18" i="4"/>
  <c r="EE18" i="4"/>
  <c r="EC18" i="4"/>
  <c r="EB18" i="4"/>
  <c r="EA18" i="4"/>
  <c r="EF16" i="4"/>
  <c r="EE16" i="4"/>
  <c r="EC16" i="4"/>
  <c r="EB16" i="4"/>
  <c r="EA16" i="4"/>
  <c r="EF13" i="4"/>
  <c r="EE13" i="4"/>
  <c r="EC13" i="4"/>
  <c r="EB13" i="4"/>
  <c r="EA13" i="4"/>
  <c r="EF15" i="4"/>
  <c r="EE15" i="4"/>
  <c r="EC15" i="4"/>
  <c r="EB15" i="4"/>
  <c r="EA15" i="4"/>
  <c r="EF14" i="4"/>
  <c r="EE14" i="4"/>
  <c r="EC14" i="4"/>
  <c r="EB14" i="4"/>
  <c r="EA14" i="4"/>
  <c r="EF8" i="4"/>
  <c r="EE8" i="4"/>
  <c r="EC8" i="4"/>
  <c r="EB8" i="4"/>
  <c r="EA8" i="4"/>
  <c r="EF11" i="4"/>
  <c r="EE11" i="4"/>
  <c r="EC11" i="4"/>
  <c r="EB11" i="4"/>
  <c r="EA11" i="4"/>
  <c r="EF19" i="4"/>
  <c r="EE19" i="4"/>
  <c r="EC19" i="4"/>
  <c r="EB19" i="4"/>
  <c r="EA19" i="4"/>
  <c r="EF9" i="4"/>
  <c r="EE9" i="4"/>
  <c r="EC9" i="4"/>
  <c r="EB9" i="4"/>
  <c r="EA9" i="4"/>
  <c r="EF5" i="4"/>
  <c r="EE5" i="4"/>
  <c r="EC5" i="4"/>
  <c r="EB5" i="4"/>
  <c r="EA5" i="4"/>
  <c r="EF6" i="4"/>
  <c r="EE6" i="4"/>
  <c r="EC6" i="4"/>
  <c r="EB6" i="4"/>
  <c r="EA6" i="4"/>
  <c r="EF7" i="4"/>
  <c r="EE7" i="4"/>
  <c r="EC7" i="4"/>
  <c r="EB7" i="4"/>
  <c r="EA7" i="4"/>
  <c r="EF4" i="4"/>
  <c r="EE4" i="4"/>
  <c r="EC4" i="4"/>
  <c r="EB4" i="4"/>
  <c r="EA4" i="4"/>
  <c r="CB7" i="8"/>
  <c r="CB6" i="8"/>
  <c r="LB9" i="12"/>
  <c r="LA9" i="12"/>
  <c r="KZ9" i="12"/>
  <c r="KY9" i="12"/>
  <c r="LB12" i="12"/>
  <c r="LA12" i="12"/>
  <c r="KZ12" i="12"/>
  <c r="KY12" i="12"/>
  <c r="LB11" i="12"/>
  <c r="LA11" i="12"/>
  <c r="KZ11" i="12"/>
  <c r="KY11" i="12"/>
  <c r="LB5" i="12"/>
  <c r="LA5" i="12"/>
  <c r="KZ5" i="12"/>
  <c r="KY5" i="12"/>
  <c r="LB13" i="12"/>
  <c r="LA13" i="12"/>
  <c r="KZ13" i="12"/>
  <c r="KY13" i="12"/>
  <c r="LB10" i="12"/>
  <c r="LA10" i="12"/>
  <c r="KZ10" i="12"/>
  <c r="KY10" i="12"/>
  <c r="LB15" i="12"/>
  <c r="LA15" i="12"/>
  <c r="KZ15" i="12"/>
  <c r="KY15" i="12"/>
  <c r="LB4" i="12"/>
  <c r="LA4" i="12"/>
  <c r="KZ4" i="12"/>
  <c r="KY4" i="12"/>
  <c r="LB7" i="12"/>
  <c r="LA7" i="12"/>
  <c r="KZ7" i="12"/>
  <c r="KY7" i="12"/>
  <c r="LB6" i="12"/>
  <c r="LA6" i="12"/>
  <c r="KZ6" i="12"/>
  <c r="KY6" i="12"/>
  <c r="LB8" i="12"/>
  <c r="LA8" i="12"/>
  <c r="KZ8" i="12"/>
  <c r="KY8" i="12"/>
  <c r="LB16" i="12"/>
  <c r="LA16" i="12"/>
  <c r="KZ16" i="12"/>
  <c r="KY16" i="12"/>
  <c r="KG9" i="12"/>
  <c r="KF9" i="12"/>
  <c r="KE9" i="12"/>
  <c r="KD9" i="12"/>
  <c r="KG12" i="12"/>
  <c r="KF12" i="12"/>
  <c r="KE12" i="12"/>
  <c r="KD12" i="12"/>
  <c r="KG11" i="12"/>
  <c r="KF11" i="12"/>
  <c r="KE11" i="12"/>
  <c r="KD11" i="12"/>
  <c r="KG5" i="12"/>
  <c r="KF5" i="12"/>
  <c r="KE5" i="12"/>
  <c r="KD5" i="12"/>
  <c r="KG13" i="12"/>
  <c r="KF13" i="12"/>
  <c r="KE13" i="12"/>
  <c r="KD13" i="12"/>
  <c r="KG10" i="12"/>
  <c r="KF10" i="12"/>
  <c r="KE10" i="12"/>
  <c r="KD10" i="12"/>
  <c r="KG15" i="12"/>
  <c r="KF15" i="12"/>
  <c r="KE15" i="12"/>
  <c r="KD15" i="12"/>
  <c r="KG4" i="12"/>
  <c r="KF4" i="12"/>
  <c r="KE4" i="12"/>
  <c r="KD4" i="12"/>
  <c r="KG7" i="12"/>
  <c r="KF7" i="12"/>
  <c r="KE7" i="12"/>
  <c r="KD7" i="12"/>
  <c r="KG6" i="12"/>
  <c r="KF6" i="12"/>
  <c r="KE6" i="12"/>
  <c r="KD6" i="12"/>
  <c r="KG8" i="12"/>
  <c r="KF8" i="12"/>
  <c r="KE8" i="12"/>
  <c r="KD8" i="12"/>
  <c r="KG16" i="12"/>
  <c r="KF16" i="12"/>
  <c r="KE16" i="12"/>
  <c r="KD16" i="12"/>
  <c r="JL9" i="12"/>
  <c r="JK9" i="12"/>
  <c r="JJ9" i="12"/>
  <c r="JI9" i="12"/>
  <c r="JL12" i="12"/>
  <c r="JK12" i="12"/>
  <c r="JJ12" i="12"/>
  <c r="JI12" i="12"/>
  <c r="JL11" i="12"/>
  <c r="JK11" i="12"/>
  <c r="JJ11" i="12"/>
  <c r="JI11" i="12"/>
  <c r="JL5" i="12"/>
  <c r="JK5" i="12"/>
  <c r="JJ5" i="12"/>
  <c r="JI5" i="12"/>
  <c r="JL13" i="12"/>
  <c r="JK13" i="12"/>
  <c r="JJ13" i="12"/>
  <c r="JI13" i="12"/>
  <c r="JL10" i="12"/>
  <c r="JK10" i="12"/>
  <c r="JJ10" i="12"/>
  <c r="JI10" i="12"/>
  <c r="JL15" i="12"/>
  <c r="JK15" i="12"/>
  <c r="JJ15" i="12"/>
  <c r="JI15" i="12"/>
  <c r="JL4" i="12"/>
  <c r="JK4" i="12"/>
  <c r="JJ4" i="12"/>
  <c r="JI4" i="12"/>
  <c r="JL7" i="12"/>
  <c r="JK7" i="12"/>
  <c r="JJ7" i="12"/>
  <c r="JI7" i="12"/>
  <c r="JL6" i="12"/>
  <c r="JK6" i="12"/>
  <c r="JJ6" i="12"/>
  <c r="JI6" i="12"/>
  <c r="JL8" i="12"/>
  <c r="JK8" i="12"/>
  <c r="JJ8" i="12"/>
  <c r="JI8" i="12"/>
  <c r="JL16" i="12"/>
  <c r="JK16" i="12"/>
  <c r="JJ16" i="12"/>
  <c r="JI16" i="12"/>
  <c r="IQ9" i="12"/>
  <c r="IP9" i="12"/>
  <c r="IO9" i="12"/>
  <c r="IN9" i="12"/>
  <c r="IQ12" i="12"/>
  <c r="IP12" i="12"/>
  <c r="IO12" i="12"/>
  <c r="IN12" i="12"/>
  <c r="IQ11" i="12"/>
  <c r="IP11" i="12"/>
  <c r="IO11" i="12"/>
  <c r="IN11" i="12"/>
  <c r="IQ5" i="12"/>
  <c r="IP5" i="12"/>
  <c r="IO5" i="12"/>
  <c r="IN5" i="12"/>
  <c r="IQ13" i="12"/>
  <c r="IP13" i="12"/>
  <c r="IO13" i="12"/>
  <c r="IN13" i="12"/>
  <c r="IQ10" i="12"/>
  <c r="IP10" i="12"/>
  <c r="IO10" i="12"/>
  <c r="IN10" i="12"/>
  <c r="IQ15" i="12"/>
  <c r="IP15" i="12"/>
  <c r="IO15" i="12"/>
  <c r="IN15" i="12"/>
  <c r="IQ4" i="12"/>
  <c r="IP4" i="12"/>
  <c r="IO4" i="12"/>
  <c r="IN4" i="12"/>
  <c r="IQ7" i="12"/>
  <c r="IP7" i="12"/>
  <c r="IO7" i="12"/>
  <c r="IN7" i="12"/>
  <c r="IQ6" i="12"/>
  <c r="IP6" i="12"/>
  <c r="IO6" i="12"/>
  <c r="IN6" i="12"/>
  <c r="IQ8" i="12"/>
  <c r="IP8" i="12"/>
  <c r="IO8" i="12"/>
  <c r="IN8" i="12"/>
  <c r="IQ16" i="12"/>
  <c r="IP16" i="12"/>
  <c r="IO16" i="12"/>
  <c r="IN16" i="12"/>
  <c r="HV9" i="12"/>
  <c r="HU9" i="12"/>
  <c r="HT9" i="12"/>
  <c r="HS9" i="12"/>
  <c r="HV12" i="12"/>
  <c r="HU12" i="12"/>
  <c r="HT12" i="12"/>
  <c r="HS12" i="12"/>
  <c r="HV11" i="12"/>
  <c r="HU11" i="12"/>
  <c r="HT11" i="12"/>
  <c r="HS11" i="12"/>
  <c r="HV5" i="12"/>
  <c r="HU5" i="12"/>
  <c r="HT5" i="12"/>
  <c r="HS5" i="12"/>
  <c r="HV13" i="12"/>
  <c r="HU13" i="12"/>
  <c r="HT13" i="12"/>
  <c r="HS13" i="12"/>
  <c r="HV10" i="12"/>
  <c r="HU10" i="12"/>
  <c r="HT10" i="12"/>
  <c r="HS10" i="12"/>
  <c r="HV15" i="12"/>
  <c r="HU15" i="12"/>
  <c r="HT15" i="12"/>
  <c r="HS15" i="12"/>
  <c r="HV4" i="12"/>
  <c r="HU4" i="12"/>
  <c r="HT4" i="12"/>
  <c r="HS4" i="12"/>
  <c r="HV7" i="12"/>
  <c r="HU7" i="12"/>
  <c r="HT7" i="12"/>
  <c r="HS7" i="12"/>
  <c r="HV6" i="12"/>
  <c r="HU6" i="12"/>
  <c r="HT6" i="12"/>
  <c r="HS6" i="12"/>
  <c r="HV8" i="12"/>
  <c r="HU8" i="12"/>
  <c r="HT8" i="12"/>
  <c r="HS8" i="12"/>
  <c r="HV16" i="12"/>
  <c r="HU16" i="12"/>
  <c r="HT16" i="12"/>
  <c r="HS16" i="12"/>
  <c r="HA9" i="12"/>
  <c r="GZ9" i="12"/>
  <c r="GY9" i="12"/>
  <c r="GX9" i="12"/>
  <c r="HA12" i="12"/>
  <c r="GZ12" i="12"/>
  <c r="GY12" i="12"/>
  <c r="GX12" i="12"/>
  <c r="HA11" i="12"/>
  <c r="GZ11" i="12"/>
  <c r="GY11" i="12"/>
  <c r="GX11" i="12"/>
  <c r="HA5" i="12"/>
  <c r="GZ5" i="12"/>
  <c r="GY5" i="12"/>
  <c r="GX5" i="12"/>
  <c r="HA13" i="12"/>
  <c r="GZ13" i="12"/>
  <c r="GY13" i="12"/>
  <c r="GX13" i="12"/>
  <c r="HA10" i="12"/>
  <c r="GZ10" i="12"/>
  <c r="GY10" i="12"/>
  <c r="GX10" i="12"/>
  <c r="HA15" i="12"/>
  <c r="GZ15" i="12"/>
  <c r="GY15" i="12"/>
  <c r="GX15" i="12"/>
  <c r="HA4" i="12"/>
  <c r="GZ4" i="12"/>
  <c r="GY4" i="12"/>
  <c r="GX4" i="12"/>
  <c r="HA7" i="12"/>
  <c r="GZ7" i="12"/>
  <c r="GY7" i="12"/>
  <c r="GX7" i="12"/>
  <c r="HA6" i="12"/>
  <c r="GZ6" i="12"/>
  <c r="GY6" i="12"/>
  <c r="GX6" i="12"/>
  <c r="HA8" i="12"/>
  <c r="GZ8" i="12"/>
  <c r="GY8" i="12"/>
  <c r="GX8" i="12"/>
  <c r="HA16" i="12"/>
  <c r="GZ16" i="12"/>
  <c r="GY16" i="12"/>
  <c r="GX16" i="12"/>
  <c r="GF9" i="12"/>
  <c r="GE9" i="12"/>
  <c r="GD9" i="12"/>
  <c r="GC9" i="12"/>
  <c r="GF12" i="12"/>
  <c r="GE12" i="12"/>
  <c r="GD12" i="12"/>
  <c r="GC12" i="12"/>
  <c r="GF11" i="12"/>
  <c r="GE11" i="12"/>
  <c r="GD11" i="12"/>
  <c r="GC11" i="12"/>
  <c r="GF5" i="12"/>
  <c r="GE5" i="12"/>
  <c r="GD5" i="12"/>
  <c r="GC5" i="12"/>
  <c r="GF13" i="12"/>
  <c r="GE13" i="12"/>
  <c r="GD13" i="12"/>
  <c r="GC13" i="12"/>
  <c r="GF10" i="12"/>
  <c r="GE10" i="12"/>
  <c r="GD10" i="12"/>
  <c r="GC10" i="12"/>
  <c r="GF15" i="12"/>
  <c r="GE15" i="12"/>
  <c r="GD15" i="12"/>
  <c r="GC15" i="12"/>
  <c r="GF4" i="12"/>
  <c r="GE4" i="12"/>
  <c r="GD4" i="12"/>
  <c r="GC4" i="12"/>
  <c r="GF7" i="12"/>
  <c r="GE7" i="12"/>
  <c r="GD7" i="12"/>
  <c r="GC7" i="12"/>
  <c r="GF6" i="12"/>
  <c r="GE6" i="12"/>
  <c r="GD6" i="12"/>
  <c r="GC6" i="12"/>
  <c r="GF8" i="12"/>
  <c r="GE8" i="12"/>
  <c r="GD8" i="12"/>
  <c r="GC8" i="12"/>
  <c r="GF16" i="12"/>
  <c r="GE16" i="12"/>
  <c r="GD16" i="12"/>
  <c r="GC16" i="12"/>
  <c r="FK9" i="12"/>
  <c r="FJ9" i="12"/>
  <c r="FI9" i="12"/>
  <c r="FH9" i="12"/>
  <c r="FK12" i="12"/>
  <c r="FJ12" i="12"/>
  <c r="FI12" i="12"/>
  <c r="FH12" i="12"/>
  <c r="FK11" i="12"/>
  <c r="FJ11" i="12"/>
  <c r="FI11" i="12"/>
  <c r="FH11" i="12"/>
  <c r="FK5" i="12"/>
  <c r="FJ5" i="12"/>
  <c r="FI5" i="12"/>
  <c r="FH5" i="12"/>
  <c r="FK13" i="12"/>
  <c r="FJ13" i="12"/>
  <c r="FI13" i="12"/>
  <c r="FH13" i="12"/>
  <c r="FK10" i="12"/>
  <c r="FJ10" i="12"/>
  <c r="FI10" i="12"/>
  <c r="FH10" i="12"/>
  <c r="FK15" i="12"/>
  <c r="FJ15" i="12"/>
  <c r="FI15" i="12"/>
  <c r="FH15" i="12"/>
  <c r="FK4" i="12"/>
  <c r="FJ4" i="12"/>
  <c r="FI4" i="12"/>
  <c r="FH4" i="12"/>
  <c r="FK7" i="12"/>
  <c r="FJ7" i="12"/>
  <c r="FI7" i="12"/>
  <c r="FH7" i="12"/>
  <c r="FK6" i="12"/>
  <c r="FJ6" i="12"/>
  <c r="FI6" i="12"/>
  <c r="FH6" i="12"/>
  <c r="FK8" i="12"/>
  <c r="FJ8" i="12"/>
  <c r="FI8" i="12"/>
  <c r="FH8" i="12"/>
  <c r="FK16" i="12"/>
  <c r="FJ16" i="12"/>
  <c r="FI16" i="12"/>
  <c r="FH16" i="12"/>
  <c r="EP9" i="12"/>
  <c r="EO9" i="12"/>
  <c r="EN9" i="12"/>
  <c r="EM9" i="12"/>
  <c r="EP12" i="12"/>
  <c r="EO12" i="12"/>
  <c r="EN12" i="12"/>
  <c r="EM12" i="12"/>
  <c r="EP11" i="12"/>
  <c r="EO11" i="12"/>
  <c r="EN11" i="12"/>
  <c r="EM11" i="12"/>
  <c r="EP5" i="12"/>
  <c r="EO5" i="12"/>
  <c r="EN5" i="12"/>
  <c r="EM5" i="12"/>
  <c r="EP13" i="12"/>
  <c r="EO13" i="12"/>
  <c r="EN13" i="12"/>
  <c r="EM13" i="12"/>
  <c r="EP10" i="12"/>
  <c r="EO10" i="12"/>
  <c r="EN10" i="12"/>
  <c r="EM10" i="12"/>
  <c r="EP15" i="12"/>
  <c r="EO15" i="12"/>
  <c r="EN15" i="12"/>
  <c r="EM15" i="12"/>
  <c r="EP4" i="12"/>
  <c r="EO4" i="12"/>
  <c r="EN4" i="12"/>
  <c r="EM4" i="12"/>
  <c r="EP7" i="12"/>
  <c r="EO7" i="12"/>
  <c r="EN7" i="12"/>
  <c r="EM7" i="12"/>
  <c r="EP6" i="12"/>
  <c r="EO6" i="12"/>
  <c r="EN6" i="12"/>
  <c r="EM6" i="12"/>
  <c r="EP8" i="12"/>
  <c r="EO8" i="12"/>
  <c r="EN8" i="12"/>
  <c r="EM8" i="12"/>
  <c r="EP16" i="12"/>
  <c r="EO16" i="12"/>
  <c r="EN16" i="12"/>
  <c r="EM16" i="12"/>
  <c r="DU9" i="12"/>
  <c r="DT9" i="12"/>
  <c r="DS9" i="12"/>
  <c r="DR9" i="12"/>
  <c r="DU12" i="12"/>
  <c r="DT12" i="12"/>
  <c r="DS12" i="12"/>
  <c r="DR12" i="12"/>
  <c r="DU11" i="12"/>
  <c r="DT11" i="12"/>
  <c r="DS11" i="12"/>
  <c r="DR11" i="12"/>
  <c r="DU5" i="12"/>
  <c r="DT5" i="12"/>
  <c r="DS5" i="12"/>
  <c r="DR5" i="12"/>
  <c r="DU13" i="12"/>
  <c r="DT13" i="12"/>
  <c r="DS13" i="12"/>
  <c r="DR13" i="12"/>
  <c r="DU10" i="12"/>
  <c r="DT10" i="12"/>
  <c r="DS10" i="12"/>
  <c r="DR10" i="12"/>
  <c r="DU15" i="12"/>
  <c r="DT15" i="12"/>
  <c r="DS15" i="12"/>
  <c r="DR15" i="12"/>
  <c r="DU4" i="12"/>
  <c r="DT4" i="12"/>
  <c r="DS4" i="12"/>
  <c r="DR4" i="12"/>
  <c r="DU7" i="12"/>
  <c r="DT7" i="12"/>
  <c r="DS7" i="12"/>
  <c r="DR7" i="12"/>
  <c r="DU6" i="12"/>
  <c r="DT6" i="12"/>
  <c r="DS6" i="12"/>
  <c r="DR6" i="12"/>
  <c r="DU8" i="12"/>
  <c r="DT8" i="12"/>
  <c r="DS8" i="12"/>
  <c r="DR8" i="12"/>
  <c r="DU16" i="12"/>
  <c r="DT16" i="12"/>
  <c r="DS16" i="12"/>
  <c r="DR16" i="12"/>
  <c r="CZ9" i="12"/>
  <c r="CY9" i="12"/>
  <c r="CX9" i="12"/>
  <c r="CW9" i="12"/>
  <c r="CZ12" i="12"/>
  <c r="CY12" i="12"/>
  <c r="CX12" i="12"/>
  <c r="CW12" i="12"/>
  <c r="CZ11" i="12"/>
  <c r="CY11" i="12"/>
  <c r="CX11" i="12"/>
  <c r="CW11" i="12"/>
  <c r="CZ5" i="12"/>
  <c r="CY5" i="12"/>
  <c r="CX5" i="12"/>
  <c r="CW5" i="12"/>
  <c r="CZ13" i="12"/>
  <c r="CY13" i="12"/>
  <c r="CX13" i="12"/>
  <c r="CW13" i="12"/>
  <c r="CZ10" i="12"/>
  <c r="CY10" i="12"/>
  <c r="CX10" i="12"/>
  <c r="CW10" i="12"/>
  <c r="CZ15" i="12"/>
  <c r="CY15" i="12"/>
  <c r="CX15" i="12"/>
  <c r="CW15" i="12"/>
  <c r="CZ4" i="12"/>
  <c r="CY4" i="12"/>
  <c r="CX4" i="12"/>
  <c r="CW4" i="12"/>
  <c r="CZ7" i="12"/>
  <c r="CY7" i="12"/>
  <c r="CX7" i="12"/>
  <c r="CW7" i="12"/>
  <c r="CZ6" i="12"/>
  <c r="CY6" i="12"/>
  <c r="CX6" i="12"/>
  <c r="CW6" i="12"/>
  <c r="CZ8" i="12"/>
  <c r="CY8" i="12"/>
  <c r="CX8" i="12"/>
  <c r="CW8" i="12"/>
  <c r="CZ16" i="12"/>
  <c r="CY16" i="12"/>
  <c r="CX16" i="12"/>
  <c r="CW16" i="12"/>
  <c r="LB12" i="6"/>
  <c r="LA12" i="6"/>
  <c r="KZ12" i="6"/>
  <c r="KY12" i="6"/>
  <c r="LB15" i="6"/>
  <c r="LA15" i="6"/>
  <c r="KZ15" i="6"/>
  <c r="KY15" i="6"/>
  <c r="LB9" i="6"/>
  <c r="LA9" i="6"/>
  <c r="KZ9" i="6"/>
  <c r="KY9" i="6"/>
  <c r="LB10" i="6"/>
  <c r="LA10" i="6"/>
  <c r="KZ10" i="6"/>
  <c r="KY10" i="6"/>
  <c r="LB13" i="6"/>
  <c r="LA13" i="6"/>
  <c r="KZ13" i="6"/>
  <c r="KY13" i="6"/>
  <c r="LB14" i="6"/>
  <c r="LA14" i="6"/>
  <c r="KZ14" i="6"/>
  <c r="KY14" i="6"/>
  <c r="LB8" i="6"/>
  <c r="LA8" i="6"/>
  <c r="KZ8" i="6"/>
  <c r="KY8" i="6"/>
  <c r="LB6" i="6"/>
  <c r="LA6" i="6"/>
  <c r="KZ6" i="6"/>
  <c r="KY6" i="6"/>
  <c r="LB7" i="6"/>
  <c r="LA7" i="6"/>
  <c r="KZ7" i="6"/>
  <c r="KY7" i="6"/>
  <c r="LB11" i="6"/>
  <c r="LA11" i="6"/>
  <c r="KZ11" i="6"/>
  <c r="KY11" i="6"/>
  <c r="LB5" i="6"/>
  <c r="LA5" i="6"/>
  <c r="KZ5" i="6"/>
  <c r="KY5" i="6"/>
  <c r="LB4" i="6"/>
  <c r="LA4" i="6"/>
  <c r="KZ4" i="6"/>
  <c r="KY4" i="6"/>
  <c r="KG12" i="6"/>
  <c r="KF12" i="6"/>
  <c r="KE12" i="6"/>
  <c r="KD12" i="6"/>
  <c r="KG15" i="6"/>
  <c r="KF15" i="6"/>
  <c r="KE15" i="6"/>
  <c r="KD15" i="6"/>
  <c r="KG9" i="6"/>
  <c r="KF9" i="6"/>
  <c r="KE9" i="6"/>
  <c r="KD9" i="6"/>
  <c r="KG10" i="6"/>
  <c r="KF10" i="6"/>
  <c r="KE10" i="6"/>
  <c r="KD10" i="6"/>
  <c r="KG13" i="6"/>
  <c r="KF13" i="6"/>
  <c r="KE13" i="6"/>
  <c r="KD13" i="6"/>
  <c r="KG14" i="6"/>
  <c r="KF14" i="6"/>
  <c r="KE14" i="6"/>
  <c r="KD14" i="6"/>
  <c r="KG8" i="6"/>
  <c r="KF8" i="6"/>
  <c r="KE8" i="6"/>
  <c r="KD8" i="6"/>
  <c r="KG6" i="6"/>
  <c r="KF6" i="6"/>
  <c r="KE6" i="6"/>
  <c r="KD6" i="6"/>
  <c r="KG7" i="6"/>
  <c r="KF7" i="6"/>
  <c r="KE7" i="6"/>
  <c r="KD7" i="6"/>
  <c r="KG11" i="6"/>
  <c r="KF11" i="6"/>
  <c r="KE11" i="6"/>
  <c r="KD11" i="6"/>
  <c r="KG5" i="6"/>
  <c r="KF5" i="6"/>
  <c r="KE5" i="6"/>
  <c r="KD5" i="6"/>
  <c r="KG4" i="6"/>
  <c r="KF4" i="6"/>
  <c r="KE4" i="6"/>
  <c r="KD4" i="6"/>
  <c r="JL12" i="6"/>
  <c r="JK12" i="6"/>
  <c r="JJ12" i="6"/>
  <c r="JI12" i="6"/>
  <c r="JL15" i="6"/>
  <c r="JK15" i="6"/>
  <c r="JJ15" i="6"/>
  <c r="JI15" i="6"/>
  <c r="JL9" i="6"/>
  <c r="JK9" i="6"/>
  <c r="JJ9" i="6"/>
  <c r="JI9" i="6"/>
  <c r="JL10" i="6"/>
  <c r="JK10" i="6"/>
  <c r="JJ10" i="6"/>
  <c r="JI10" i="6"/>
  <c r="JL13" i="6"/>
  <c r="JK13" i="6"/>
  <c r="JJ13" i="6"/>
  <c r="JI13" i="6"/>
  <c r="JL14" i="6"/>
  <c r="JK14" i="6"/>
  <c r="JJ14" i="6"/>
  <c r="JI14" i="6"/>
  <c r="JL8" i="6"/>
  <c r="JK8" i="6"/>
  <c r="JJ8" i="6"/>
  <c r="JI8" i="6"/>
  <c r="JL6" i="6"/>
  <c r="JK6" i="6"/>
  <c r="JJ6" i="6"/>
  <c r="JI6" i="6"/>
  <c r="JL7" i="6"/>
  <c r="JK7" i="6"/>
  <c r="JJ7" i="6"/>
  <c r="JI7" i="6"/>
  <c r="JL11" i="6"/>
  <c r="JK11" i="6"/>
  <c r="JJ11" i="6"/>
  <c r="JI11" i="6"/>
  <c r="JL5" i="6"/>
  <c r="JK5" i="6"/>
  <c r="JJ5" i="6"/>
  <c r="JI5" i="6"/>
  <c r="JL4" i="6"/>
  <c r="JK4" i="6"/>
  <c r="JJ4" i="6"/>
  <c r="JI4" i="6"/>
  <c r="IQ12" i="6"/>
  <c r="IP12" i="6"/>
  <c r="IO12" i="6"/>
  <c r="IN12" i="6"/>
  <c r="IQ15" i="6"/>
  <c r="IP15" i="6"/>
  <c r="IO15" i="6"/>
  <c r="IN15" i="6"/>
  <c r="IQ9" i="6"/>
  <c r="IP9" i="6"/>
  <c r="IO9" i="6"/>
  <c r="IN9" i="6"/>
  <c r="IQ10" i="6"/>
  <c r="IP10" i="6"/>
  <c r="IO10" i="6"/>
  <c r="IN10" i="6"/>
  <c r="IQ13" i="6"/>
  <c r="IP13" i="6"/>
  <c r="IO13" i="6"/>
  <c r="IN13" i="6"/>
  <c r="IQ14" i="6"/>
  <c r="IP14" i="6"/>
  <c r="IO14" i="6"/>
  <c r="IN14" i="6"/>
  <c r="IQ8" i="6"/>
  <c r="IP8" i="6"/>
  <c r="IO8" i="6"/>
  <c r="IN8" i="6"/>
  <c r="IQ6" i="6"/>
  <c r="IP6" i="6"/>
  <c r="IO6" i="6"/>
  <c r="IN6" i="6"/>
  <c r="IQ7" i="6"/>
  <c r="IP7" i="6"/>
  <c r="IO7" i="6"/>
  <c r="IN7" i="6"/>
  <c r="IQ11" i="6"/>
  <c r="IP11" i="6"/>
  <c r="IO11" i="6"/>
  <c r="IN11" i="6"/>
  <c r="IQ5" i="6"/>
  <c r="IP5" i="6"/>
  <c r="IO5" i="6"/>
  <c r="IN5" i="6"/>
  <c r="IQ4" i="6"/>
  <c r="IP4" i="6"/>
  <c r="IO4" i="6"/>
  <c r="IN4" i="6"/>
  <c r="HV12" i="6"/>
  <c r="HU12" i="6"/>
  <c r="HT12" i="6"/>
  <c r="HS12" i="6"/>
  <c r="HV15" i="6"/>
  <c r="HU15" i="6"/>
  <c r="HT15" i="6"/>
  <c r="HS15" i="6"/>
  <c r="HV9" i="6"/>
  <c r="HU9" i="6"/>
  <c r="HT9" i="6"/>
  <c r="HS9" i="6"/>
  <c r="HV10" i="6"/>
  <c r="HU10" i="6"/>
  <c r="HT10" i="6"/>
  <c r="HS10" i="6"/>
  <c r="HV13" i="6"/>
  <c r="HU13" i="6"/>
  <c r="HT13" i="6"/>
  <c r="HS13" i="6"/>
  <c r="HV14" i="6"/>
  <c r="HU14" i="6"/>
  <c r="HT14" i="6"/>
  <c r="HS14" i="6"/>
  <c r="HV8" i="6"/>
  <c r="HU8" i="6"/>
  <c r="HT8" i="6"/>
  <c r="HS8" i="6"/>
  <c r="HV6" i="6"/>
  <c r="HU6" i="6"/>
  <c r="HT6" i="6"/>
  <c r="HS6" i="6"/>
  <c r="HV7" i="6"/>
  <c r="HU7" i="6"/>
  <c r="HT7" i="6"/>
  <c r="HS7" i="6"/>
  <c r="HV11" i="6"/>
  <c r="HU11" i="6"/>
  <c r="HT11" i="6"/>
  <c r="HS11" i="6"/>
  <c r="HV5" i="6"/>
  <c r="HU5" i="6"/>
  <c r="HT5" i="6"/>
  <c r="HS5" i="6"/>
  <c r="HV4" i="6"/>
  <c r="HU4" i="6"/>
  <c r="HT4" i="6"/>
  <c r="HS4" i="6"/>
  <c r="HA12" i="6"/>
  <c r="GZ12" i="6"/>
  <c r="GY12" i="6"/>
  <c r="GX12" i="6"/>
  <c r="HA15" i="6"/>
  <c r="GZ15" i="6"/>
  <c r="GY15" i="6"/>
  <c r="GX15" i="6"/>
  <c r="HA9" i="6"/>
  <c r="GZ9" i="6"/>
  <c r="GY9" i="6"/>
  <c r="GX9" i="6"/>
  <c r="HA10" i="6"/>
  <c r="GZ10" i="6"/>
  <c r="GY10" i="6"/>
  <c r="GX10" i="6"/>
  <c r="HA13" i="6"/>
  <c r="GZ13" i="6"/>
  <c r="GY13" i="6"/>
  <c r="GX13" i="6"/>
  <c r="HA14" i="6"/>
  <c r="GZ14" i="6"/>
  <c r="GY14" i="6"/>
  <c r="GX14" i="6"/>
  <c r="HA8" i="6"/>
  <c r="GZ8" i="6"/>
  <c r="GY8" i="6"/>
  <c r="GX8" i="6"/>
  <c r="HA6" i="6"/>
  <c r="GZ6" i="6"/>
  <c r="GY6" i="6"/>
  <c r="GX6" i="6"/>
  <c r="HA7" i="6"/>
  <c r="GZ7" i="6"/>
  <c r="GY7" i="6"/>
  <c r="GX7" i="6"/>
  <c r="HA11" i="6"/>
  <c r="GZ11" i="6"/>
  <c r="GY11" i="6"/>
  <c r="GX11" i="6"/>
  <c r="HA5" i="6"/>
  <c r="GZ5" i="6"/>
  <c r="GY5" i="6"/>
  <c r="GX5" i="6"/>
  <c r="HA4" i="6"/>
  <c r="GZ4" i="6"/>
  <c r="GY4" i="6"/>
  <c r="GX4" i="6"/>
  <c r="GF12" i="6"/>
  <c r="GE12" i="6"/>
  <c r="GD12" i="6"/>
  <c r="GC12" i="6"/>
  <c r="GF15" i="6"/>
  <c r="GE15" i="6"/>
  <c r="GD15" i="6"/>
  <c r="GC15" i="6"/>
  <c r="GF9" i="6"/>
  <c r="GE9" i="6"/>
  <c r="GD9" i="6"/>
  <c r="GC9" i="6"/>
  <c r="GF10" i="6"/>
  <c r="GE10" i="6"/>
  <c r="GD10" i="6"/>
  <c r="GC10" i="6"/>
  <c r="GF13" i="6"/>
  <c r="GE13" i="6"/>
  <c r="GD13" i="6"/>
  <c r="GC13" i="6"/>
  <c r="GF14" i="6"/>
  <c r="GE14" i="6"/>
  <c r="GD14" i="6"/>
  <c r="GC14" i="6"/>
  <c r="GF8" i="6"/>
  <c r="GE8" i="6"/>
  <c r="GD8" i="6"/>
  <c r="GC8" i="6"/>
  <c r="GF6" i="6"/>
  <c r="GE6" i="6"/>
  <c r="GD6" i="6"/>
  <c r="GC6" i="6"/>
  <c r="GF7" i="6"/>
  <c r="GE7" i="6"/>
  <c r="GD7" i="6"/>
  <c r="GC7" i="6"/>
  <c r="GF11" i="6"/>
  <c r="GE11" i="6"/>
  <c r="GD11" i="6"/>
  <c r="GC11" i="6"/>
  <c r="GF5" i="6"/>
  <c r="GE5" i="6"/>
  <c r="GD5" i="6"/>
  <c r="GC5" i="6"/>
  <c r="GF4" i="6"/>
  <c r="GE4" i="6"/>
  <c r="GD4" i="6"/>
  <c r="GC4" i="6"/>
  <c r="FK12" i="6"/>
  <c r="FJ12" i="6"/>
  <c r="FI12" i="6"/>
  <c r="FH12" i="6"/>
  <c r="FK15" i="6"/>
  <c r="FJ15" i="6"/>
  <c r="FI15" i="6"/>
  <c r="FH15" i="6"/>
  <c r="FK9" i="6"/>
  <c r="FJ9" i="6"/>
  <c r="FI9" i="6"/>
  <c r="FH9" i="6"/>
  <c r="FK10" i="6"/>
  <c r="FJ10" i="6"/>
  <c r="FI10" i="6"/>
  <c r="FH10" i="6"/>
  <c r="FK13" i="6"/>
  <c r="FJ13" i="6"/>
  <c r="FI13" i="6"/>
  <c r="FH13" i="6"/>
  <c r="FK14" i="6"/>
  <c r="FJ14" i="6"/>
  <c r="FI14" i="6"/>
  <c r="FH14" i="6"/>
  <c r="FK8" i="6"/>
  <c r="FJ8" i="6"/>
  <c r="FI8" i="6"/>
  <c r="FH8" i="6"/>
  <c r="FK6" i="6"/>
  <c r="FJ6" i="6"/>
  <c r="FI6" i="6"/>
  <c r="FH6" i="6"/>
  <c r="FK7" i="6"/>
  <c r="FJ7" i="6"/>
  <c r="FI7" i="6"/>
  <c r="FH7" i="6"/>
  <c r="FK11" i="6"/>
  <c r="FJ11" i="6"/>
  <c r="FI11" i="6"/>
  <c r="FH11" i="6"/>
  <c r="FK5" i="6"/>
  <c r="FJ5" i="6"/>
  <c r="FI5" i="6"/>
  <c r="FH5" i="6"/>
  <c r="FK4" i="6"/>
  <c r="FJ4" i="6"/>
  <c r="FI4" i="6"/>
  <c r="FH4" i="6"/>
  <c r="EP12" i="6"/>
  <c r="EO12" i="6"/>
  <c r="EN12" i="6"/>
  <c r="EM12" i="6"/>
  <c r="EP15" i="6"/>
  <c r="EO15" i="6"/>
  <c r="EN15" i="6"/>
  <c r="EM15" i="6"/>
  <c r="EP9" i="6"/>
  <c r="EO9" i="6"/>
  <c r="EN9" i="6"/>
  <c r="EM9" i="6"/>
  <c r="EP10" i="6"/>
  <c r="EO10" i="6"/>
  <c r="EN10" i="6"/>
  <c r="EM10" i="6"/>
  <c r="EP13" i="6"/>
  <c r="EO13" i="6"/>
  <c r="EN13" i="6"/>
  <c r="EM13" i="6"/>
  <c r="EP14" i="6"/>
  <c r="EO14" i="6"/>
  <c r="EN14" i="6"/>
  <c r="EM14" i="6"/>
  <c r="EP8" i="6"/>
  <c r="EO8" i="6"/>
  <c r="EN8" i="6"/>
  <c r="EM8" i="6"/>
  <c r="EP6" i="6"/>
  <c r="EO6" i="6"/>
  <c r="EN6" i="6"/>
  <c r="EM6" i="6"/>
  <c r="EP7" i="6"/>
  <c r="EO7" i="6"/>
  <c r="EN7" i="6"/>
  <c r="EM7" i="6"/>
  <c r="EP11" i="6"/>
  <c r="EO11" i="6"/>
  <c r="EN11" i="6"/>
  <c r="EM11" i="6"/>
  <c r="EP5" i="6"/>
  <c r="EO5" i="6"/>
  <c r="EN5" i="6"/>
  <c r="EM5" i="6"/>
  <c r="EP4" i="6"/>
  <c r="EO4" i="6"/>
  <c r="EN4" i="6"/>
  <c r="EM4" i="6"/>
  <c r="DU12" i="6"/>
  <c r="DT12" i="6"/>
  <c r="DS12" i="6"/>
  <c r="DR12" i="6"/>
  <c r="DU15" i="6"/>
  <c r="DT15" i="6"/>
  <c r="DS15" i="6"/>
  <c r="DR15" i="6"/>
  <c r="DU9" i="6"/>
  <c r="DT9" i="6"/>
  <c r="DS9" i="6"/>
  <c r="DR9" i="6"/>
  <c r="DU10" i="6"/>
  <c r="DT10" i="6"/>
  <c r="DS10" i="6"/>
  <c r="DR10" i="6"/>
  <c r="DU13" i="6"/>
  <c r="DT13" i="6"/>
  <c r="DS13" i="6"/>
  <c r="DR13" i="6"/>
  <c r="DU14" i="6"/>
  <c r="DT14" i="6"/>
  <c r="DS14" i="6"/>
  <c r="DR14" i="6"/>
  <c r="DU8" i="6"/>
  <c r="DT8" i="6"/>
  <c r="DS8" i="6"/>
  <c r="DR8" i="6"/>
  <c r="DU6" i="6"/>
  <c r="DT6" i="6"/>
  <c r="DS6" i="6"/>
  <c r="DR6" i="6"/>
  <c r="DU7" i="6"/>
  <c r="DT7" i="6"/>
  <c r="DS7" i="6"/>
  <c r="DR7" i="6"/>
  <c r="DU11" i="6"/>
  <c r="DT11" i="6"/>
  <c r="DS11" i="6"/>
  <c r="DR11" i="6"/>
  <c r="DU5" i="6"/>
  <c r="DT5" i="6"/>
  <c r="DS5" i="6"/>
  <c r="DR5" i="6"/>
  <c r="DU4" i="6"/>
  <c r="DT4" i="6"/>
  <c r="DS4" i="6"/>
  <c r="DR4" i="6"/>
  <c r="CZ12" i="6"/>
  <c r="CY12" i="6"/>
  <c r="CX12" i="6"/>
  <c r="CW12" i="6"/>
  <c r="CZ15" i="6"/>
  <c r="CY15" i="6"/>
  <c r="CX15" i="6"/>
  <c r="CW15" i="6"/>
  <c r="CZ9" i="6"/>
  <c r="CY9" i="6"/>
  <c r="CX9" i="6"/>
  <c r="CW9" i="6"/>
  <c r="CZ10" i="6"/>
  <c r="CY10" i="6"/>
  <c r="CX10" i="6"/>
  <c r="CW10" i="6"/>
  <c r="CZ13" i="6"/>
  <c r="CY13" i="6"/>
  <c r="CX13" i="6"/>
  <c r="CW13" i="6"/>
  <c r="CZ14" i="6"/>
  <c r="CY14" i="6"/>
  <c r="CX14" i="6"/>
  <c r="CW14" i="6"/>
  <c r="CZ8" i="6"/>
  <c r="CY8" i="6"/>
  <c r="CX8" i="6"/>
  <c r="CW8" i="6"/>
  <c r="CZ6" i="6"/>
  <c r="CY6" i="6"/>
  <c r="CX6" i="6"/>
  <c r="CW6" i="6"/>
  <c r="CZ7" i="6"/>
  <c r="CY7" i="6"/>
  <c r="CX7" i="6"/>
  <c r="CW7" i="6"/>
  <c r="CZ11" i="6"/>
  <c r="CY11" i="6"/>
  <c r="CX11" i="6"/>
  <c r="CW11" i="6"/>
  <c r="CZ5" i="6"/>
  <c r="CY5" i="6"/>
  <c r="CX5" i="6"/>
  <c r="CW5" i="6"/>
  <c r="CZ4" i="6"/>
  <c r="CY4" i="6"/>
  <c r="CX4" i="6"/>
  <c r="CW4" i="6"/>
  <c r="LB6" i="8"/>
  <c r="LA6" i="8"/>
  <c r="KZ6" i="8"/>
  <c r="KY6" i="8"/>
  <c r="LB7" i="8"/>
  <c r="LA7" i="8"/>
  <c r="KZ7" i="8"/>
  <c r="KY7" i="8"/>
  <c r="LB4" i="8"/>
  <c r="LA4" i="8"/>
  <c r="KZ4" i="8"/>
  <c r="KY4" i="8"/>
  <c r="KG6" i="8"/>
  <c r="KF6" i="8"/>
  <c r="KE6" i="8"/>
  <c r="KD6" i="8"/>
  <c r="KG7" i="8"/>
  <c r="KF7" i="8"/>
  <c r="KE7" i="8"/>
  <c r="KD7" i="8"/>
  <c r="KG4" i="8"/>
  <c r="KF4" i="8"/>
  <c r="KE4" i="8"/>
  <c r="KD4" i="8"/>
  <c r="JL6" i="8"/>
  <c r="JK6" i="8"/>
  <c r="JJ6" i="8"/>
  <c r="JI6" i="8"/>
  <c r="JL7" i="8"/>
  <c r="JK7" i="8"/>
  <c r="JJ7" i="8"/>
  <c r="JI7" i="8"/>
  <c r="JL4" i="8"/>
  <c r="JK4" i="8"/>
  <c r="JJ4" i="8"/>
  <c r="JI4" i="8"/>
  <c r="IQ6" i="8"/>
  <c r="IP6" i="8"/>
  <c r="IO6" i="8"/>
  <c r="IN6" i="8"/>
  <c r="IQ7" i="8"/>
  <c r="IP7" i="8"/>
  <c r="IO7" i="8"/>
  <c r="IN7" i="8"/>
  <c r="IQ4" i="8"/>
  <c r="IP4" i="8"/>
  <c r="IO4" i="8"/>
  <c r="IN4" i="8"/>
  <c r="HV6" i="8"/>
  <c r="HU6" i="8"/>
  <c r="HT6" i="8"/>
  <c r="HS6" i="8"/>
  <c r="HV7" i="8"/>
  <c r="HU7" i="8"/>
  <c r="HT7" i="8"/>
  <c r="HS7" i="8"/>
  <c r="HV4" i="8"/>
  <c r="HU4" i="8"/>
  <c r="HT4" i="8"/>
  <c r="HS4" i="8"/>
  <c r="HA6" i="8"/>
  <c r="GZ6" i="8"/>
  <c r="GY6" i="8"/>
  <c r="GX6" i="8"/>
  <c r="HA7" i="8"/>
  <c r="GZ7" i="8"/>
  <c r="GY7" i="8"/>
  <c r="GX7" i="8"/>
  <c r="HA4" i="8"/>
  <c r="GZ4" i="8"/>
  <c r="GY4" i="8"/>
  <c r="GX4" i="8"/>
  <c r="GF6" i="8"/>
  <c r="GE6" i="8"/>
  <c r="GD6" i="8"/>
  <c r="GC6" i="8"/>
  <c r="GF7" i="8"/>
  <c r="GE7" i="8"/>
  <c r="GD7" i="8"/>
  <c r="GC7" i="8"/>
  <c r="GF4" i="8"/>
  <c r="GE4" i="8"/>
  <c r="GD4" i="8"/>
  <c r="GC4" i="8"/>
  <c r="FK6" i="8"/>
  <c r="FJ6" i="8"/>
  <c r="FI6" i="8"/>
  <c r="FH6" i="8"/>
  <c r="FK7" i="8"/>
  <c r="FJ7" i="8"/>
  <c r="FI7" i="8"/>
  <c r="FH7" i="8"/>
  <c r="FK4" i="8"/>
  <c r="FJ4" i="8"/>
  <c r="FI4" i="8"/>
  <c r="FH4" i="8"/>
  <c r="EP6" i="8"/>
  <c r="EO6" i="8"/>
  <c r="EN6" i="8"/>
  <c r="EM6" i="8"/>
  <c r="EP7" i="8"/>
  <c r="EO7" i="8"/>
  <c r="EN7" i="8"/>
  <c r="EM7" i="8"/>
  <c r="EP4" i="8"/>
  <c r="EO4" i="8"/>
  <c r="EN4" i="8"/>
  <c r="EM4" i="8"/>
  <c r="DU6" i="8"/>
  <c r="DT6" i="8"/>
  <c r="DS6" i="8"/>
  <c r="DR6" i="8"/>
  <c r="DU7" i="8"/>
  <c r="DT7" i="8"/>
  <c r="DS7" i="8"/>
  <c r="DR7" i="8"/>
  <c r="DU4" i="8"/>
  <c r="DT4" i="8"/>
  <c r="DS4" i="8"/>
  <c r="DR4" i="8"/>
  <c r="CZ6" i="8"/>
  <c r="CY6" i="8"/>
  <c r="CX6" i="8"/>
  <c r="CW6" i="8"/>
  <c r="CZ7" i="8"/>
  <c r="CY7" i="8"/>
  <c r="CX7" i="8"/>
  <c r="CW7" i="8"/>
  <c r="CZ4" i="8"/>
  <c r="CY4" i="8"/>
  <c r="CX4" i="8"/>
  <c r="CW4" i="8"/>
  <c r="LB5" i="7"/>
  <c r="LA5" i="7"/>
  <c r="KZ5" i="7"/>
  <c r="KY5" i="7"/>
  <c r="LB4" i="7"/>
  <c r="LA4" i="7"/>
  <c r="KZ4" i="7"/>
  <c r="KY4" i="7"/>
  <c r="KG5" i="7"/>
  <c r="KF5" i="7"/>
  <c r="KE5" i="7"/>
  <c r="KD5" i="7"/>
  <c r="KG4" i="7"/>
  <c r="KF4" i="7"/>
  <c r="KE4" i="7"/>
  <c r="KD4" i="7"/>
  <c r="JL5" i="7"/>
  <c r="JK5" i="7"/>
  <c r="JJ5" i="7"/>
  <c r="JI5" i="7"/>
  <c r="JL4" i="7"/>
  <c r="JK4" i="7"/>
  <c r="JJ4" i="7"/>
  <c r="JI4" i="7"/>
  <c r="IQ5" i="7"/>
  <c r="IP5" i="7"/>
  <c r="IO5" i="7"/>
  <c r="IN5" i="7"/>
  <c r="IQ4" i="7"/>
  <c r="IP4" i="7"/>
  <c r="IO4" i="7"/>
  <c r="IN4" i="7"/>
  <c r="HV5" i="7"/>
  <c r="HU5" i="7"/>
  <c r="HT5" i="7"/>
  <c r="HS5" i="7"/>
  <c r="HV4" i="7"/>
  <c r="HU4" i="7"/>
  <c r="HT4" i="7"/>
  <c r="HS4" i="7"/>
  <c r="HA5" i="7"/>
  <c r="GY5" i="7"/>
  <c r="GX5" i="7"/>
  <c r="HA4" i="7"/>
  <c r="GY4" i="7"/>
  <c r="GX4" i="7"/>
  <c r="GF5" i="7"/>
  <c r="GE5" i="7"/>
  <c r="GD5" i="7"/>
  <c r="GC5" i="7"/>
  <c r="GF4" i="7"/>
  <c r="GE4" i="7"/>
  <c r="GD4" i="7"/>
  <c r="GC4" i="7"/>
  <c r="FK5" i="7"/>
  <c r="FJ5" i="7"/>
  <c r="FI5" i="7"/>
  <c r="FH5" i="7"/>
  <c r="FK4" i="7"/>
  <c r="FJ4" i="7"/>
  <c r="FI4" i="7"/>
  <c r="FH4" i="7"/>
  <c r="EP5" i="7"/>
  <c r="EO5" i="7"/>
  <c r="EN5" i="7"/>
  <c r="EM5" i="7"/>
  <c r="EP4" i="7"/>
  <c r="EO4" i="7"/>
  <c r="EN4" i="7"/>
  <c r="EM4" i="7"/>
  <c r="DU5" i="7"/>
  <c r="DT5" i="7"/>
  <c r="DS5" i="7"/>
  <c r="DR5" i="7"/>
  <c r="DU4" i="7"/>
  <c r="DT4" i="7"/>
  <c r="DS4" i="7"/>
  <c r="DR4" i="7"/>
  <c r="CZ5" i="7"/>
  <c r="CY5" i="7"/>
  <c r="CX5" i="7"/>
  <c r="CW5" i="7"/>
  <c r="CZ4" i="7"/>
  <c r="CY4" i="7"/>
  <c r="CX4" i="7"/>
  <c r="CW4" i="7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HW5" i="7" l="1"/>
  <c r="JM5" i="7"/>
  <c r="DV6" i="6"/>
  <c r="LC6" i="6"/>
  <c r="LC8" i="6"/>
  <c r="DK20" i="4"/>
  <c r="LC13" i="6"/>
  <c r="KX14" i="13"/>
  <c r="LA14" i="13" s="1"/>
  <c r="EQ4" i="6"/>
  <c r="LT9" i="13"/>
  <c r="LW9" i="13" s="1"/>
  <c r="EZ12" i="13"/>
  <c r="IJ7" i="13"/>
  <c r="IM7" i="13" s="1"/>
  <c r="JF5" i="13"/>
  <c r="JI5" i="13" s="1"/>
  <c r="JF14" i="13"/>
  <c r="JI14" i="13" s="1"/>
  <c r="FV14" i="13"/>
  <c r="FY14" i="13" s="1"/>
  <c r="GR9" i="13"/>
  <c r="GU9" i="13" s="1"/>
  <c r="JF10" i="13"/>
  <c r="JI10" i="13" s="1"/>
  <c r="EZ7" i="13"/>
  <c r="FC7" i="13" s="1"/>
  <c r="LC15" i="6"/>
  <c r="HN14" i="13"/>
  <c r="HQ14" i="13" s="1"/>
  <c r="JF6" i="13"/>
  <c r="JI6" i="13" s="1"/>
  <c r="KB4" i="13"/>
  <c r="KE4" i="13" s="1"/>
  <c r="K20" i="4"/>
  <c r="L20" i="4" s="1"/>
  <c r="DV6" i="8"/>
  <c r="JM6" i="8"/>
  <c r="JM7" i="8"/>
  <c r="IR4" i="7"/>
  <c r="KH4" i="7"/>
  <c r="MP10" i="13"/>
  <c r="MS10" i="13" s="1"/>
  <c r="DV7" i="8"/>
  <c r="GG4" i="7"/>
  <c r="FL5" i="7"/>
  <c r="LC5" i="7"/>
  <c r="ED9" i="13"/>
  <c r="EG9" i="13" s="1"/>
  <c r="HN8" i="13"/>
  <c r="HQ8" i="13" s="1"/>
  <c r="JF7" i="13"/>
  <c r="JI7" i="13" s="1"/>
  <c r="KB5" i="13"/>
  <c r="KE5" i="13" s="1"/>
  <c r="GR14" i="13"/>
  <c r="GU14" i="13" s="1"/>
  <c r="GR12" i="13"/>
  <c r="GU12" i="13" s="1"/>
  <c r="KB8" i="13"/>
  <c r="KE8" i="13" s="1"/>
  <c r="EZ5" i="13"/>
  <c r="FC5" i="13" s="1"/>
  <c r="KX5" i="13"/>
  <c r="LA5" i="13" s="1"/>
  <c r="FC12" i="13"/>
  <c r="FV12" i="13"/>
  <c r="FY12" i="13" s="1"/>
  <c r="ED12" i="13"/>
  <c r="EG12" i="13" s="1"/>
  <c r="IJ5" i="13"/>
  <c r="IM5" i="13" s="1"/>
  <c r="IJ14" i="13"/>
  <c r="IM14" i="13" s="1"/>
  <c r="LT16" i="4"/>
  <c r="LW16" i="4" s="1"/>
  <c r="FV6" i="13"/>
  <c r="FY6" i="13" s="1"/>
  <c r="HN10" i="13"/>
  <c r="HQ10" i="13" s="1"/>
  <c r="IJ8" i="13"/>
  <c r="IM8" i="13" s="1"/>
  <c r="KB7" i="13"/>
  <c r="KE7" i="13" s="1"/>
  <c r="EZ6" i="13"/>
  <c r="FC6" i="13" s="1"/>
  <c r="HN13" i="13"/>
  <c r="HQ13" i="13" s="1"/>
  <c r="KX9" i="13"/>
  <c r="LA9" i="13" s="1"/>
  <c r="GR8" i="13"/>
  <c r="GU8" i="13" s="1"/>
  <c r="MP12" i="13"/>
  <c r="MS12" i="13" s="1"/>
  <c r="EZ8" i="13"/>
  <c r="FC8" i="13" s="1"/>
  <c r="EZ13" i="13"/>
  <c r="FC13" i="13" s="1"/>
  <c r="FV11" i="13"/>
  <c r="FY11" i="13" s="1"/>
  <c r="KB12" i="13"/>
  <c r="KE12" i="13" s="1"/>
  <c r="HN5" i="13"/>
  <c r="HQ5" i="13" s="1"/>
  <c r="HN9" i="13"/>
  <c r="HQ9" i="13" s="1"/>
  <c r="MP11" i="13"/>
  <c r="MS11" i="13" s="1"/>
  <c r="EZ11" i="13"/>
  <c r="FC11" i="13" s="1"/>
  <c r="GR5" i="13"/>
  <c r="GU5" i="13" s="1"/>
  <c r="KX8" i="13"/>
  <c r="LA8" i="13" s="1"/>
  <c r="KX13" i="13"/>
  <c r="LA13" i="13" s="1"/>
  <c r="MP7" i="13"/>
  <c r="MS7" i="13" s="1"/>
  <c r="ED7" i="13"/>
  <c r="EG7" i="13" s="1"/>
  <c r="GR6" i="13"/>
  <c r="GU6" i="13" s="1"/>
  <c r="HN12" i="13"/>
  <c r="HQ12" i="13" s="1"/>
  <c r="IJ4" i="13"/>
  <c r="IM4" i="13" s="1"/>
  <c r="IJ10" i="13"/>
  <c r="IM10" i="13" s="1"/>
  <c r="LT7" i="13"/>
  <c r="LW7" i="13" s="1"/>
  <c r="MP5" i="13"/>
  <c r="MS5" i="13" s="1"/>
  <c r="MP14" i="13"/>
  <c r="MS14" i="13" s="1"/>
  <c r="EZ9" i="13"/>
  <c r="FC9" i="13" s="1"/>
  <c r="FV10" i="13"/>
  <c r="FY10" i="13" s="1"/>
  <c r="HN4" i="13"/>
  <c r="HQ4" i="13" s="1"/>
  <c r="LT4" i="13"/>
  <c r="LW4" i="13" s="1"/>
  <c r="ED5" i="13"/>
  <c r="EG5" i="13" s="1"/>
  <c r="ED14" i="13"/>
  <c r="EG14" i="13" s="1"/>
  <c r="EZ4" i="13"/>
  <c r="FC4" i="13" s="1"/>
  <c r="EZ10" i="13"/>
  <c r="FC10" i="13" s="1"/>
  <c r="FV5" i="13"/>
  <c r="FY5" i="13" s="1"/>
  <c r="FV7" i="13"/>
  <c r="FY7" i="13" s="1"/>
  <c r="GR4" i="13"/>
  <c r="GU4" i="13" s="1"/>
  <c r="JF8" i="13"/>
  <c r="JI8" i="13" s="1"/>
  <c r="JF13" i="13"/>
  <c r="JI13" i="13" s="1"/>
  <c r="KB9" i="13"/>
  <c r="KE9" i="13" s="1"/>
  <c r="KB14" i="13"/>
  <c r="KE14" i="13" s="1"/>
  <c r="KX6" i="13"/>
  <c r="LA6" i="13" s="1"/>
  <c r="LT11" i="13"/>
  <c r="LW11" i="13" s="1"/>
  <c r="HN7" i="13"/>
  <c r="HQ7" i="13" s="1"/>
  <c r="IJ12" i="13"/>
  <c r="IM12" i="13" s="1"/>
  <c r="KX10" i="13"/>
  <c r="LA10" i="13" s="1"/>
  <c r="LT5" i="13"/>
  <c r="LW5" i="13" s="1"/>
  <c r="MP4" i="13"/>
  <c r="MS4" i="13" s="1"/>
  <c r="ED10" i="13"/>
  <c r="EG10" i="13" s="1"/>
  <c r="EZ14" i="13"/>
  <c r="FC14" i="13" s="1"/>
  <c r="FV4" i="13"/>
  <c r="FY4" i="13" s="1"/>
  <c r="GR7" i="13"/>
  <c r="GU7" i="13" s="1"/>
  <c r="HN6" i="13"/>
  <c r="HQ6" i="13" s="1"/>
  <c r="IJ11" i="13"/>
  <c r="IM11" i="13" s="1"/>
  <c r="JF9" i="13"/>
  <c r="JI9" i="13" s="1"/>
  <c r="KX11" i="13"/>
  <c r="LA11" i="13" s="1"/>
  <c r="MP8" i="13"/>
  <c r="MS8" i="13" s="1"/>
  <c r="LT8" i="13"/>
  <c r="LW8" i="13" s="1"/>
  <c r="LT14" i="13"/>
  <c r="LW14" i="13" s="1"/>
  <c r="ED11" i="13"/>
  <c r="EG11" i="13" s="1"/>
  <c r="FV8" i="13"/>
  <c r="FY8" i="13" s="1"/>
  <c r="JF4" i="13"/>
  <c r="JI4" i="13" s="1"/>
  <c r="KB11" i="13"/>
  <c r="KE11" i="13" s="1"/>
  <c r="KX4" i="13"/>
  <c r="LA4" i="13" s="1"/>
  <c r="JF12" i="13"/>
  <c r="JI12" i="13" s="1"/>
  <c r="ED6" i="13"/>
  <c r="EG6" i="13" s="1"/>
  <c r="KX12" i="13"/>
  <c r="LA12" i="13" s="1"/>
  <c r="ED13" i="13"/>
  <c r="EG13" i="13" s="1"/>
  <c r="FV9" i="13"/>
  <c r="FY9" i="13" s="1"/>
  <c r="GR10" i="13"/>
  <c r="GU10" i="13" s="1"/>
  <c r="GR13" i="13"/>
  <c r="GU13" i="13" s="1"/>
  <c r="HN11" i="13"/>
  <c r="HQ11" i="13" s="1"/>
  <c r="IJ9" i="13"/>
  <c r="IM9" i="13" s="1"/>
  <c r="JF11" i="13"/>
  <c r="JI11" i="13" s="1"/>
  <c r="KB6" i="13"/>
  <c r="KE6" i="13" s="1"/>
  <c r="LT6" i="13"/>
  <c r="LW6" i="13" s="1"/>
  <c r="LT13" i="13"/>
  <c r="LW13" i="13" s="1"/>
  <c r="IJ6" i="13"/>
  <c r="IM6" i="13" s="1"/>
  <c r="MP9" i="13"/>
  <c r="MS9" i="13" s="1"/>
  <c r="FV13" i="13"/>
  <c r="FY13" i="13" s="1"/>
  <c r="GR11" i="13"/>
  <c r="GU11" i="13" s="1"/>
  <c r="IJ13" i="13"/>
  <c r="IM13" i="13" s="1"/>
  <c r="KB10" i="13"/>
  <c r="KE10" i="13" s="1"/>
  <c r="KB13" i="13"/>
  <c r="KE13" i="13" s="1"/>
  <c r="KX7" i="13"/>
  <c r="LA7" i="13" s="1"/>
  <c r="LT10" i="13"/>
  <c r="LW10" i="13" s="1"/>
  <c r="LT12" i="13"/>
  <c r="LW12" i="13" s="1"/>
  <c r="MP6" i="13"/>
  <c r="MS6" i="13" s="1"/>
  <c r="MP13" i="13"/>
  <c r="MS13" i="13" s="1"/>
  <c r="H20" i="4"/>
  <c r="A20" i="4" s="1" a="1"/>
  <c r="A20" i="4" s="1"/>
  <c r="OP20" i="4"/>
  <c r="J20" i="4"/>
  <c r="F20" i="4"/>
  <c r="LT17" i="4"/>
  <c r="LW17" i="4" s="1"/>
  <c r="FV10" i="4"/>
  <c r="LT4" i="4"/>
  <c r="LW4" i="4" s="1"/>
  <c r="EZ17" i="4"/>
  <c r="FC17" i="4" s="1"/>
  <c r="JF9" i="4"/>
  <c r="JI9" i="4" s="1"/>
  <c r="KX6" i="4"/>
  <c r="LA6" i="4" s="1"/>
  <c r="FV17" i="4"/>
  <c r="FY17" i="4" s="1"/>
  <c r="ED5" i="4"/>
  <c r="FV6" i="4"/>
  <c r="FY6" i="4" s="1"/>
  <c r="GR11" i="4"/>
  <c r="GU11" i="4" s="1"/>
  <c r="IJ18" i="4"/>
  <c r="IM18" i="4" s="1"/>
  <c r="Q17" i="4"/>
  <c r="R17" i="4" s="1"/>
  <c r="EZ5" i="4"/>
  <c r="FC5" i="4" s="1"/>
  <c r="FV12" i="4"/>
  <c r="FY12" i="4" s="1"/>
  <c r="ED7" i="4"/>
  <c r="EG7" i="4" s="1"/>
  <c r="LT19" i="4"/>
  <c r="LW19" i="4" s="1"/>
  <c r="Q10" i="4"/>
  <c r="DK10" i="4" s="1"/>
  <c r="FV5" i="4"/>
  <c r="FY5" i="4" s="1"/>
  <c r="IJ8" i="4"/>
  <c r="IM8" i="4" s="1"/>
  <c r="JF16" i="4"/>
  <c r="JI16" i="4" s="1"/>
  <c r="HN14" i="4"/>
  <c r="HQ14" i="4" s="1"/>
  <c r="LT9" i="4"/>
  <c r="LW9" i="4" s="1"/>
  <c r="KX19" i="4"/>
  <c r="LA19" i="4" s="1"/>
  <c r="ED13" i="4"/>
  <c r="EG13" i="4" s="1"/>
  <c r="EZ13" i="4"/>
  <c r="FC13" i="4" s="1"/>
  <c r="IJ16" i="4"/>
  <c r="IM16" i="4" s="1"/>
  <c r="JF18" i="4"/>
  <c r="JI18" i="4" s="1"/>
  <c r="ED15" i="4"/>
  <c r="EG15" i="4" s="1"/>
  <c r="EZ9" i="4"/>
  <c r="FC9" i="4" s="1"/>
  <c r="HN12" i="4"/>
  <c r="HQ12" i="4" s="1"/>
  <c r="GR8" i="4"/>
  <c r="GU8" i="4" s="1"/>
  <c r="HN6" i="4"/>
  <c r="HQ6" i="4" s="1"/>
  <c r="JF14" i="4"/>
  <c r="JI14" i="4" s="1"/>
  <c r="MP9" i="4"/>
  <c r="MS9" i="4" s="1"/>
  <c r="IJ6" i="4"/>
  <c r="IM6" i="4" s="1"/>
  <c r="KB14" i="4"/>
  <c r="KE14" i="4" s="1"/>
  <c r="KB12" i="4"/>
  <c r="KE12" i="4" s="1"/>
  <c r="KX5" i="4"/>
  <c r="LA5" i="4" s="1"/>
  <c r="LT18" i="4"/>
  <c r="LW18" i="4" s="1"/>
  <c r="KB10" i="4"/>
  <c r="KE10" i="4" s="1"/>
  <c r="EZ7" i="4"/>
  <c r="FC7" i="4" s="1"/>
  <c r="FV15" i="4"/>
  <c r="FY15" i="4" s="1"/>
  <c r="LT8" i="4"/>
  <c r="LW8" i="4" s="1"/>
  <c r="IJ10" i="4"/>
  <c r="IM10" i="4" s="1"/>
  <c r="JF17" i="4"/>
  <c r="JI17" i="4" s="1"/>
  <c r="ED12" i="4"/>
  <c r="EG12" i="4" s="1"/>
  <c r="EZ4" i="4"/>
  <c r="FC4" i="4" s="1"/>
  <c r="FV4" i="4"/>
  <c r="FY4" i="4" s="1"/>
  <c r="DD10" i="4"/>
  <c r="DG10" i="4" s="1"/>
  <c r="HN17" i="4"/>
  <c r="HQ17" i="4" s="1"/>
  <c r="ED19" i="4"/>
  <c r="EG19" i="4" s="1"/>
  <c r="EZ6" i="4"/>
  <c r="FC6" i="4" s="1"/>
  <c r="EZ19" i="4"/>
  <c r="FC19" i="4" s="1"/>
  <c r="FV13" i="4"/>
  <c r="FY13" i="4" s="1"/>
  <c r="GR9" i="4"/>
  <c r="GU9" i="4" s="1"/>
  <c r="GR16" i="4"/>
  <c r="GU16" i="4" s="1"/>
  <c r="JF19" i="4"/>
  <c r="JI19" i="4" s="1"/>
  <c r="KB18" i="4"/>
  <c r="KE18" i="4" s="1"/>
  <c r="KX12" i="4"/>
  <c r="LA12" i="4" s="1"/>
  <c r="MP19" i="4"/>
  <c r="MS19" i="4" s="1"/>
  <c r="EZ10" i="4"/>
  <c r="FC10" i="4" s="1"/>
  <c r="KB17" i="4"/>
  <c r="KE17" i="4" s="1"/>
  <c r="FV8" i="4"/>
  <c r="FY8" i="4" s="1"/>
  <c r="FV18" i="4"/>
  <c r="FY18" i="4" s="1"/>
  <c r="GR15" i="4"/>
  <c r="GU15" i="4" s="1"/>
  <c r="HN11" i="4"/>
  <c r="HQ11" i="4" s="1"/>
  <c r="KX11" i="4"/>
  <c r="LA11" i="4" s="1"/>
  <c r="LT14" i="4"/>
  <c r="LW14" i="4" s="1"/>
  <c r="DD17" i="4"/>
  <c r="DG17" i="4" s="1"/>
  <c r="NL17" i="4"/>
  <c r="NO17" i="4" s="1"/>
  <c r="MP17" i="4"/>
  <c r="MS17" i="4" s="1"/>
  <c r="KX17" i="4"/>
  <c r="LA17" i="4" s="1"/>
  <c r="IJ17" i="4"/>
  <c r="IM17" i="4" s="1"/>
  <c r="GR17" i="4"/>
  <c r="GU17" i="4" s="1"/>
  <c r="ED17" i="4"/>
  <c r="EG17" i="4" s="1"/>
  <c r="OM17" i="4"/>
  <c r="OO17" i="4"/>
  <c r="OK17" i="4"/>
  <c r="G17" i="4"/>
  <c r="KX7" i="4"/>
  <c r="LA7" i="4" s="1"/>
  <c r="KX10" i="4"/>
  <c r="LA10" i="4" s="1"/>
  <c r="ED10" i="4"/>
  <c r="EG10" i="4" s="1"/>
  <c r="GR13" i="4"/>
  <c r="GU13" i="4" s="1"/>
  <c r="KB19" i="4"/>
  <c r="KE19" i="4" s="1"/>
  <c r="KB16" i="4"/>
  <c r="KE16" i="4" s="1"/>
  <c r="GR10" i="4"/>
  <c r="GU10" i="4" s="1"/>
  <c r="EZ11" i="4"/>
  <c r="FC11" i="4" s="1"/>
  <c r="ED4" i="4"/>
  <c r="EG4" i="4" s="1"/>
  <c r="FV19" i="4"/>
  <c r="FY19" i="4" s="1"/>
  <c r="GR12" i="4"/>
  <c r="GU12" i="4" s="1"/>
  <c r="HN4" i="4"/>
  <c r="HQ4" i="4" s="1"/>
  <c r="HN5" i="4"/>
  <c r="HQ5" i="4" s="1"/>
  <c r="IJ13" i="4"/>
  <c r="IM13" i="4" s="1"/>
  <c r="IJ12" i="4"/>
  <c r="IM12" i="4" s="1"/>
  <c r="JF5" i="4"/>
  <c r="JI5" i="4" s="1"/>
  <c r="KB6" i="4"/>
  <c r="KE6" i="4" s="1"/>
  <c r="KB8" i="4"/>
  <c r="KE8" i="4" s="1"/>
  <c r="KB13" i="4"/>
  <c r="KE13" i="4" s="1"/>
  <c r="KX4" i="4"/>
  <c r="LA4" i="4" s="1"/>
  <c r="MP7" i="4"/>
  <c r="MS7" i="4" s="1"/>
  <c r="JF10" i="4"/>
  <c r="JI10" i="4" s="1"/>
  <c r="ED14" i="4"/>
  <c r="EG14" i="4" s="1"/>
  <c r="GR5" i="4"/>
  <c r="GU5" i="4" s="1"/>
  <c r="KB9" i="4"/>
  <c r="KE9" i="4" s="1"/>
  <c r="MP5" i="4"/>
  <c r="MS5" i="4" s="1"/>
  <c r="MP18" i="4"/>
  <c r="MS18" i="4" s="1"/>
  <c r="ED6" i="4"/>
  <c r="EG6" i="4" s="1"/>
  <c r="ED18" i="4"/>
  <c r="EG18" i="4" s="1"/>
  <c r="FV9" i="4"/>
  <c r="FY9" i="4" s="1"/>
  <c r="GR4" i="4"/>
  <c r="GU4" i="4" s="1"/>
  <c r="HN13" i="4"/>
  <c r="HQ13" i="4" s="1"/>
  <c r="HN16" i="4"/>
  <c r="HQ16" i="4" s="1"/>
  <c r="IJ9" i="4"/>
  <c r="IM9" i="4" s="1"/>
  <c r="IJ15" i="4"/>
  <c r="IM15" i="4" s="1"/>
  <c r="JF6" i="4"/>
  <c r="JI6" i="4" s="1"/>
  <c r="JF13" i="4"/>
  <c r="JI13" i="4" s="1"/>
  <c r="KB7" i="4"/>
  <c r="KE7" i="4" s="1"/>
  <c r="KB11" i="4"/>
  <c r="KE11" i="4" s="1"/>
  <c r="KB15" i="4"/>
  <c r="KE15" i="4" s="1"/>
  <c r="KX8" i="4"/>
  <c r="LA8" i="4" s="1"/>
  <c r="LT11" i="4"/>
  <c r="LW11" i="4" s="1"/>
  <c r="FY10" i="4"/>
  <c r="EZ12" i="4"/>
  <c r="FC12" i="4" s="1"/>
  <c r="GR19" i="4"/>
  <c r="GU19" i="4" s="1"/>
  <c r="GR14" i="4"/>
  <c r="GU14" i="4" s="1"/>
  <c r="HN8" i="4"/>
  <c r="HQ8" i="4" s="1"/>
  <c r="IJ11" i="4"/>
  <c r="IM11" i="4" s="1"/>
  <c r="JF8" i="4"/>
  <c r="JI8" i="4" s="1"/>
  <c r="KX9" i="4"/>
  <c r="LA9" i="4" s="1"/>
  <c r="MP6" i="4"/>
  <c r="MS6" i="4" s="1"/>
  <c r="MP13" i="4"/>
  <c r="MS13" i="4" s="1"/>
  <c r="MP12" i="4"/>
  <c r="MS12" i="4" s="1"/>
  <c r="MP10" i="4"/>
  <c r="MS10" i="4" s="1"/>
  <c r="NL10" i="4"/>
  <c r="NO10" i="4" s="1"/>
  <c r="LT10" i="4"/>
  <c r="LW10" i="4" s="1"/>
  <c r="HN10" i="4"/>
  <c r="HQ10" i="4" s="1"/>
  <c r="OO10" i="4"/>
  <c r="OM10" i="4"/>
  <c r="OK10" i="4"/>
  <c r="G10" i="4"/>
  <c r="F10" i="4" s="1"/>
  <c r="OR20" i="4"/>
  <c r="ED8" i="4"/>
  <c r="EG8" i="4" s="1"/>
  <c r="FV7" i="4"/>
  <c r="FY7" i="4" s="1"/>
  <c r="GR7" i="4"/>
  <c r="GU7" i="4" s="1"/>
  <c r="HN19" i="4"/>
  <c r="HQ19" i="4" s="1"/>
  <c r="IJ19" i="4"/>
  <c r="IM19" i="4" s="1"/>
  <c r="IJ14" i="4"/>
  <c r="IM14" i="4" s="1"/>
  <c r="JF4" i="4"/>
  <c r="JI4" i="4" s="1"/>
  <c r="JF11" i="4"/>
  <c r="JI11" i="4" s="1"/>
  <c r="JF15" i="4"/>
  <c r="JI15" i="4" s="1"/>
  <c r="KX14" i="4"/>
  <c r="LA14" i="4" s="1"/>
  <c r="LT5" i="4"/>
  <c r="LW5" i="4" s="1"/>
  <c r="MP14" i="4"/>
  <c r="MS14" i="4" s="1"/>
  <c r="ED9" i="4"/>
  <c r="EG9" i="4" s="1"/>
  <c r="ED16" i="4"/>
  <c r="EG16" i="4" s="1"/>
  <c r="EZ14" i="4"/>
  <c r="FC14" i="4" s="1"/>
  <c r="FV11" i="4"/>
  <c r="FY11" i="4" s="1"/>
  <c r="GR18" i="4"/>
  <c r="GU18" i="4" s="1"/>
  <c r="HN18" i="4"/>
  <c r="HQ18" i="4" s="1"/>
  <c r="KB4" i="4"/>
  <c r="KE4" i="4" s="1"/>
  <c r="KB5" i="4"/>
  <c r="KE5" i="4" s="1"/>
  <c r="KX13" i="4"/>
  <c r="LA13" i="4" s="1"/>
  <c r="KX16" i="4"/>
  <c r="LA16" i="4" s="1"/>
  <c r="LT15" i="4"/>
  <c r="LW15" i="4" s="1"/>
  <c r="ED11" i="4"/>
  <c r="EG11" i="4" s="1"/>
  <c r="FV14" i="4"/>
  <c r="FY14" i="4" s="1"/>
  <c r="HN7" i="4"/>
  <c r="HQ7" i="4" s="1"/>
  <c r="HN9" i="4"/>
  <c r="HQ9" i="4" s="1"/>
  <c r="IJ7" i="4"/>
  <c r="IM7" i="4" s="1"/>
  <c r="KX18" i="4"/>
  <c r="LA18" i="4" s="1"/>
  <c r="LT6" i="4"/>
  <c r="LW6" i="4" s="1"/>
  <c r="LT12" i="4"/>
  <c r="LW12" i="4" s="1"/>
  <c r="MP8" i="4"/>
  <c r="MS8" i="4" s="1"/>
  <c r="MP16" i="4"/>
  <c r="MS16" i="4" s="1"/>
  <c r="EZ8" i="4"/>
  <c r="FC8" i="4" s="1"/>
  <c r="EZ18" i="4"/>
  <c r="FC18" i="4" s="1"/>
  <c r="EZ16" i="4"/>
  <c r="FC16" i="4" s="1"/>
  <c r="FV16" i="4"/>
  <c r="FY16" i="4" s="1"/>
  <c r="HN15" i="4"/>
  <c r="HQ15" i="4" s="1"/>
  <c r="GR6" i="4"/>
  <c r="GU6" i="4" s="1"/>
  <c r="IJ4" i="4"/>
  <c r="IM4" i="4" s="1"/>
  <c r="IJ5" i="4"/>
  <c r="IM5" i="4" s="1"/>
  <c r="JF7" i="4"/>
  <c r="JI7" i="4" s="1"/>
  <c r="JF12" i="4"/>
  <c r="JI12" i="4" s="1"/>
  <c r="KX15" i="4"/>
  <c r="LA15" i="4" s="1"/>
  <c r="LT7" i="4"/>
  <c r="LW7" i="4" s="1"/>
  <c r="MP4" i="4"/>
  <c r="MS4" i="4" s="1"/>
  <c r="MP11" i="4"/>
  <c r="MS11" i="4" s="1"/>
  <c r="MP15" i="4"/>
  <c r="MS15" i="4" s="1"/>
  <c r="EG5" i="4"/>
  <c r="EZ15" i="4"/>
  <c r="FC15" i="4" s="1"/>
  <c r="LT13" i="4"/>
  <c r="LW13" i="4" s="1"/>
  <c r="ED8" i="13"/>
  <c r="EG8" i="13" s="1"/>
  <c r="ED4" i="13"/>
  <c r="EG4" i="13" s="1"/>
  <c r="J5" i="6"/>
  <c r="K5" i="6" s="1"/>
  <c r="EQ6" i="6"/>
  <c r="FL4" i="6"/>
  <c r="KH7" i="8"/>
  <c r="LC10" i="6"/>
  <c r="JM4" i="8"/>
  <c r="KH4" i="8"/>
  <c r="LC4" i="8"/>
  <c r="EQ5" i="7"/>
  <c r="HB4" i="7"/>
  <c r="KH8" i="12"/>
  <c r="KH7" i="12"/>
  <c r="KH12" i="12"/>
  <c r="LC4" i="12"/>
  <c r="FL8" i="12"/>
  <c r="FL7" i="12"/>
  <c r="HW11" i="12"/>
  <c r="IR8" i="12"/>
  <c r="IR5" i="12"/>
  <c r="EQ8" i="12"/>
  <c r="JM8" i="12"/>
  <c r="JM15" i="12"/>
  <c r="JM5" i="12"/>
  <c r="LC8" i="12"/>
  <c r="LC7" i="12"/>
  <c r="LC15" i="12"/>
  <c r="J14" i="6"/>
  <c r="CE14" i="6" s="1"/>
  <c r="DV4" i="8"/>
  <c r="FL4" i="8"/>
  <c r="DA8" i="12"/>
  <c r="DA15" i="12"/>
  <c r="DA10" i="12"/>
  <c r="DA5" i="12"/>
  <c r="J12" i="12"/>
  <c r="CE12" i="12" s="1"/>
  <c r="J11" i="12"/>
  <c r="K11" i="12" s="1"/>
  <c r="EQ7" i="12"/>
  <c r="DA11" i="12"/>
  <c r="DA9" i="12"/>
  <c r="DV8" i="12"/>
  <c r="DV7" i="12"/>
  <c r="DV15" i="12"/>
  <c r="DV10" i="12"/>
  <c r="DV5" i="12"/>
  <c r="EQ16" i="12"/>
  <c r="JM4" i="12"/>
  <c r="JM13" i="12"/>
  <c r="LX11" i="12"/>
  <c r="FL5" i="12"/>
  <c r="GG16" i="12"/>
  <c r="GG11" i="12"/>
  <c r="GG9" i="12"/>
  <c r="HB8" i="12"/>
  <c r="HB15" i="12"/>
  <c r="HB10" i="12"/>
  <c r="HB5" i="12"/>
  <c r="HW16" i="12"/>
  <c r="JM12" i="12"/>
  <c r="LC13" i="12"/>
  <c r="LC11" i="12"/>
  <c r="LC9" i="12"/>
  <c r="FL11" i="12"/>
  <c r="FL9" i="12"/>
  <c r="GG8" i="12"/>
  <c r="GG15" i="12"/>
  <c r="GG5" i="12"/>
  <c r="HB11" i="12"/>
  <c r="HB9" i="12"/>
  <c r="HW8" i="12"/>
  <c r="HW10" i="12"/>
  <c r="HW5" i="12"/>
  <c r="HW12" i="12"/>
  <c r="IR16" i="12"/>
  <c r="IR11" i="12"/>
  <c r="IR9" i="12"/>
  <c r="CD11" i="12"/>
  <c r="FL6" i="6"/>
  <c r="FL8" i="6"/>
  <c r="FL13" i="6"/>
  <c r="JM8" i="6"/>
  <c r="JM9" i="6"/>
  <c r="LC7" i="6"/>
  <c r="J10" i="6"/>
  <c r="K10" i="6" s="1"/>
  <c r="J9" i="6"/>
  <c r="K9" i="6" s="1"/>
  <c r="J6" i="6"/>
  <c r="CE6" i="6" s="1"/>
  <c r="J15" i="6"/>
  <c r="K15" i="6" s="1"/>
  <c r="GG10" i="6"/>
  <c r="HB11" i="6"/>
  <c r="HB10" i="6"/>
  <c r="HW10" i="6"/>
  <c r="IR10" i="6"/>
  <c r="LC11" i="6"/>
  <c r="DV11" i="6"/>
  <c r="DV10" i="6"/>
  <c r="DV12" i="6"/>
  <c r="EQ11" i="6"/>
  <c r="FL11" i="6"/>
  <c r="FL10" i="6"/>
  <c r="KH8" i="6"/>
  <c r="KH13" i="6"/>
  <c r="JM5" i="6"/>
  <c r="JM11" i="6"/>
  <c r="JM14" i="6"/>
  <c r="JM10" i="6"/>
  <c r="KH11" i="6"/>
  <c r="DA4" i="6"/>
  <c r="DA9" i="6"/>
  <c r="HW15" i="6"/>
  <c r="IR4" i="6"/>
  <c r="GG4" i="6"/>
  <c r="GG7" i="6"/>
  <c r="GG9" i="6"/>
  <c r="HW7" i="6"/>
  <c r="HW9" i="6"/>
  <c r="DA4" i="8"/>
  <c r="FL7" i="8"/>
  <c r="EQ4" i="8"/>
  <c r="DA4" i="7"/>
  <c r="GG5" i="7"/>
  <c r="HW4" i="7"/>
  <c r="KH5" i="7"/>
  <c r="LC4" i="7"/>
  <c r="DA5" i="6"/>
  <c r="GG10" i="12"/>
  <c r="IR12" i="12"/>
  <c r="EQ6" i="12"/>
  <c r="EQ4" i="12"/>
  <c r="EQ13" i="12"/>
  <c r="GG12" i="12"/>
  <c r="IR6" i="12"/>
  <c r="IR4" i="12"/>
  <c r="IR13" i="12"/>
  <c r="KH5" i="12"/>
  <c r="LC5" i="12"/>
  <c r="LC12" i="12"/>
  <c r="HW7" i="12"/>
  <c r="HW15" i="12"/>
  <c r="JM11" i="12"/>
  <c r="DV6" i="12"/>
  <c r="DV11" i="12"/>
  <c r="DV9" i="12"/>
  <c r="HW4" i="12"/>
  <c r="DA12" i="12"/>
  <c r="EQ5" i="12"/>
  <c r="FL16" i="12"/>
  <c r="FL6" i="12"/>
  <c r="FL4" i="12"/>
  <c r="FL13" i="12"/>
  <c r="IR15" i="12"/>
  <c r="JM7" i="12"/>
  <c r="KH4" i="12"/>
  <c r="KH13" i="12"/>
  <c r="KH11" i="12"/>
  <c r="DA16" i="12"/>
  <c r="DV4" i="12"/>
  <c r="DV12" i="12"/>
  <c r="EQ11" i="12"/>
  <c r="EQ9" i="12"/>
  <c r="HB16" i="12"/>
  <c r="HB12" i="12"/>
  <c r="HW13" i="12"/>
  <c r="KH15" i="12"/>
  <c r="KH10" i="12"/>
  <c r="LC10" i="12"/>
  <c r="DA6" i="12"/>
  <c r="DA4" i="12"/>
  <c r="DA13" i="12"/>
  <c r="DV13" i="12"/>
  <c r="FL15" i="12"/>
  <c r="FL10" i="12"/>
  <c r="GG7" i="12"/>
  <c r="HB6" i="12"/>
  <c r="HB4" i="12"/>
  <c r="HB13" i="12"/>
  <c r="HW6" i="12"/>
  <c r="HW9" i="12"/>
  <c r="JM10" i="12"/>
  <c r="IR10" i="12"/>
  <c r="KH16" i="12"/>
  <c r="LC16" i="12"/>
  <c r="EQ15" i="12"/>
  <c r="EQ10" i="12"/>
  <c r="GG6" i="12"/>
  <c r="GG4" i="12"/>
  <c r="GG13" i="12"/>
  <c r="JM16" i="12"/>
  <c r="KH6" i="12"/>
  <c r="LC6" i="12"/>
  <c r="FL12" i="12"/>
  <c r="IR7" i="12"/>
  <c r="DV16" i="12"/>
  <c r="EQ12" i="12"/>
  <c r="JM6" i="12"/>
  <c r="JM9" i="12"/>
  <c r="KH9" i="12"/>
  <c r="DA7" i="12"/>
  <c r="HB7" i="12"/>
  <c r="IR15" i="6"/>
  <c r="JM6" i="6"/>
  <c r="DA12" i="6"/>
  <c r="DV14" i="6"/>
  <c r="IR9" i="6"/>
  <c r="KH15" i="6"/>
  <c r="LC12" i="6"/>
  <c r="DA6" i="6"/>
  <c r="DA13" i="6"/>
  <c r="EQ14" i="6"/>
  <c r="EQ12" i="6"/>
  <c r="FL12" i="6"/>
  <c r="IR11" i="6"/>
  <c r="KH7" i="6"/>
  <c r="GG5" i="6"/>
  <c r="HW5" i="6"/>
  <c r="DA15" i="6"/>
  <c r="DV8" i="6"/>
  <c r="GG8" i="6"/>
  <c r="GG15" i="6"/>
  <c r="HB4" i="6"/>
  <c r="HB7" i="6"/>
  <c r="HB6" i="6"/>
  <c r="HB8" i="6"/>
  <c r="HB13" i="6"/>
  <c r="HB9" i="6"/>
  <c r="HB15" i="6"/>
  <c r="KH10" i="6"/>
  <c r="DA11" i="6"/>
  <c r="DA10" i="6"/>
  <c r="DV9" i="6"/>
  <c r="EQ9" i="6"/>
  <c r="IR6" i="6"/>
  <c r="IR12" i="6"/>
  <c r="DV4" i="6"/>
  <c r="DV13" i="6"/>
  <c r="EQ10" i="6"/>
  <c r="FL7" i="6"/>
  <c r="FL15" i="6"/>
  <c r="GG14" i="6"/>
  <c r="HW11" i="6"/>
  <c r="IR8" i="6"/>
  <c r="IR13" i="6"/>
  <c r="JM12" i="6"/>
  <c r="KH9" i="6"/>
  <c r="LC4" i="6"/>
  <c r="LC14" i="6"/>
  <c r="DA14" i="6"/>
  <c r="DV7" i="6"/>
  <c r="EQ5" i="6"/>
  <c r="FL9" i="6"/>
  <c r="GG6" i="6"/>
  <c r="GG12" i="6"/>
  <c r="HB5" i="6"/>
  <c r="HB14" i="6"/>
  <c r="HB12" i="6"/>
  <c r="IR7" i="6"/>
  <c r="GG13" i="6"/>
  <c r="HW14" i="6"/>
  <c r="JM13" i="6"/>
  <c r="KH5" i="6"/>
  <c r="DA7" i="6"/>
  <c r="DV5" i="6"/>
  <c r="DV15" i="6"/>
  <c r="EQ8" i="6"/>
  <c r="EQ13" i="6"/>
  <c r="FL5" i="6"/>
  <c r="HW4" i="6"/>
  <c r="HW6" i="6"/>
  <c r="HW12" i="6"/>
  <c r="JM4" i="6"/>
  <c r="JM7" i="6"/>
  <c r="JM15" i="6"/>
  <c r="KH14" i="6"/>
  <c r="LC9" i="6"/>
  <c r="DA8" i="6"/>
  <c r="EQ7" i="6"/>
  <c r="EQ15" i="6"/>
  <c r="FL14" i="6"/>
  <c r="GG11" i="6"/>
  <c r="HW8" i="6"/>
  <c r="HW13" i="6"/>
  <c r="IR5" i="6"/>
  <c r="KH4" i="6"/>
  <c r="KH6" i="6"/>
  <c r="KH12" i="6"/>
  <c r="IR14" i="6"/>
  <c r="LC5" i="6"/>
  <c r="GG4" i="8"/>
  <c r="HB4" i="8"/>
  <c r="HW4" i="8"/>
  <c r="IR4" i="8"/>
  <c r="EQ7" i="8"/>
  <c r="EQ6" i="8"/>
  <c r="IR7" i="8"/>
  <c r="IR6" i="8"/>
  <c r="DA7" i="8"/>
  <c r="DA6" i="8"/>
  <c r="HW7" i="8"/>
  <c r="HW6" i="8"/>
  <c r="LC7" i="8"/>
  <c r="LC6" i="8"/>
  <c r="FL6" i="8"/>
  <c r="GG7" i="8"/>
  <c r="GG6" i="8"/>
  <c r="HB7" i="8"/>
  <c r="HB6" i="8"/>
  <c r="KH6" i="8"/>
  <c r="DA5" i="7"/>
  <c r="DV4" i="7"/>
  <c r="FL4" i="7"/>
  <c r="DV5" i="7"/>
  <c r="EQ4" i="7"/>
  <c r="JM4" i="7"/>
  <c r="HB5" i="7"/>
  <c r="IR5" i="7"/>
  <c r="OO12" i="4"/>
  <c r="CD12" i="12"/>
  <c r="CD15" i="6"/>
  <c r="LX7" i="8"/>
  <c r="NL12" i="4"/>
  <c r="NO12" i="4" s="1"/>
  <c r="DD18" i="4"/>
  <c r="DG18" i="4" s="1"/>
  <c r="NL18" i="4"/>
  <c r="NO18" i="4" s="1"/>
  <c r="MR7" i="8"/>
  <c r="MP7" i="8"/>
  <c r="CD7" i="8"/>
  <c r="L7" i="8"/>
  <c r="CF7" i="8" s="1"/>
  <c r="MQ7" i="8"/>
  <c r="F7" i="8"/>
  <c r="J7" i="8"/>
  <c r="MS7" i="8"/>
  <c r="G7" i="8"/>
  <c r="OO18" i="4"/>
  <c r="OM18" i="4"/>
  <c r="OK18" i="4"/>
  <c r="Q18" i="4"/>
  <c r="DK18" i="4" s="1"/>
  <c r="G18" i="4"/>
  <c r="F18" i="4" s="1"/>
  <c r="DD12" i="4"/>
  <c r="DG12" i="4" s="1"/>
  <c r="OM12" i="4"/>
  <c r="OK12" i="4"/>
  <c r="Q12" i="4"/>
  <c r="DK12" i="4" s="1"/>
  <c r="G12" i="4"/>
  <c r="MP11" i="12"/>
  <c r="MR11" i="12"/>
  <c r="MS11" i="12"/>
  <c r="MQ11" i="12"/>
  <c r="F11" i="12"/>
  <c r="G11" i="12"/>
  <c r="LX12" i="12"/>
  <c r="MR12" i="12"/>
  <c r="MQ12" i="12"/>
  <c r="F12" i="12"/>
  <c r="MP12" i="12"/>
  <c r="MS12" i="12"/>
  <c r="G12" i="12"/>
  <c r="MR15" i="6"/>
  <c r="MP15" i="6"/>
  <c r="LX15" i="6"/>
  <c r="MS15" i="6"/>
  <c r="MQ15" i="6"/>
  <c r="G15" i="6"/>
  <c r="F15" i="6"/>
  <c r="MR6" i="6"/>
  <c r="MP6" i="6"/>
  <c r="LX6" i="6"/>
  <c r="MS6" i="6"/>
  <c r="CD6" i="6"/>
  <c r="MQ6" i="6"/>
  <c r="F6" i="6"/>
  <c r="G6" i="6"/>
  <c r="MP9" i="6"/>
  <c r="LX9" i="6"/>
  <c r="CD9" i="6"/>
  <c r="MS9" i="6"/>
  <c r="MQ9" i="6"/>
  <c r="MR9" i="6"/>
  <c r="F9" i="6"/>
  <c r="G9" i="6"/>
  <c r="CD14" i="6"/>
  <c r="CD10" i="6"/>
  <c r="MR10" i="6"/>
  <c r="MP10" i="6"/>
  <c r="LX10" i="6"/>
  <c r="MQ10" i="6"/>
  <c r="F10" i="6"/>
  <c r="MS10" i="6"/>
  <c r="G10" i="6"/>
  <c r="MR5" i="6"/>
  <c r="MR14" i="6"/>
  <c r="LX14" i="6"/>
  <c r="MQ14" i="6"/>
  <c r="MP14" i="6"/>
  <c r="F14" i="6"/>
  <c r="MS14" i="6"/>
  <c r="G14" i="6"/>
  <c r="CD5" i="6"/>
  <c r="LX5" i="6"/>
  <c r="MS5" i="6"/>
  <c r="MQ5" i="6"/>
  <c r="MP5" i="6"/>
  <c r="F5" i="6"/>
  <c r="G5" i="6"/>
  <c r="L15" i="6" l="1"/>
  <c r="M15" i="6" s="1"/>
  <c r="DJ20" i="4"/>
  <c r="O20" i="4"/>
  <c r="DI20" i="4" s="1"/>
  <c r="M20" i="4"/>
  <c r="N20" i="4" s="1"/>
  <c r="CE9" i="6"/>
  <c r="CE5" i="6"/>
  <c r="I20" i="4"/>
  <c r="J17" i="4"/>
  <c r="R10" i="4"/>
  <c r="DK17" i="4"/>
  <c r="H17" i="4"/>
  <c r="I17" i="4" s="1"/>
  <c r="K17" i="4"/>
  <c r="L17" i="4" s="1"/>
  <c r="OP17" i="4"/>
  <c r="F17" i="4"/>
  <c r="J12" i="4"/>
  <c r="K10" i="4"/>
  <c r="DJ10" i="4" s="1"/>
  <c r="H10" i="4"/>
  <c r="OP10" i="4"/>
  <c r="J10" i="4"/>
  <c r="CE11" i="12"/>
  <c r="K14" i="6"/>
  <c r="H18" i="4"/>
  <c r="I18" i="4" s="1"/>
  <c r="K12" i="12"/>
  <c r="L11" i="12"/>
  <c r="M11" i="12" s="1"/>
  <c r="CE10" i="6"/>
  <c r="L9" i="6"/>
  <c r="CF9" i="6" s="1"/>
  <c r="CE15" i="6"/>
  <c r="L6" i="6"/>
  <c r="M6" i="6" s="1"/>
  <c r="L14" i="6"/>
  <c r="M14" i="6" s="1"/>
  <c r="K6" i="6"/>
  <c r="L12" i="12"/>
  <c r="L5" i="6"/>
  <c r="M5" i="6" s="1"/>
  <c r="L10" i="6"/>
  <c r="M10" i="6" s="1"/>
  <c r="MT11" i="12"/>
  <c r="R18" i="4"/>
  <c r="OP12" i="4"/>
  <c r="K18" i="4"/>
  <c r="DJ18" i="4" s="1"/>
  <c r="MT7" i="8"/>
  <c r="H7" i="8"/>
  <c r="I7" i="8" s="1"/>
  <c r="CE7" i="8"/>
  <c r="N7" i="8" s="1"/>
  <c r="K7" i="8"/>
  <c r="M7" i="8"/>
  <c r="OP18" i="4"/>
  <c r="H12" i="4"/>
  <c r="A12" i="4" s="1" a="1"/>
  <c r="A12" i="4" s="1"/>
  <c r="J18" i="4"/>
  <c r="R12" i="4"/>
  <c r="K12" i="4"/>
  <c r="L12" i="4" s="1"/>
  <c r="F12" i="4"/>
  <c r="H11" i="12"/>
  <c r="I11" i="12" s="1"/>
  <c r="A11" i="12"/>
  <c r="H12" i="12"/>
  <c r="I12" i="12" s="1"/>
  <c r="MT12" i="12"/>
  <c r="A12" i="12"/>
  <c r="MT15" i="6"/>
  <c r="H15" i="6"/>
  <c r="I15" i="6" s="1"/>
  <c r="MT6" i="6"/>
  <c r="H6" i="6"/>
  <c r="I6" i="6" s="1"/>
  <c r="MT10" i="6"/>
  <c r="MT5" i="6"/>
  <c r="MT9" i="6"/>
  <c r="H9" i="6"/>
  <c r="I9" i="6" s="1"/>
  <c r="A9" i="6"/>
  <c r="H10" i="6"/>
  <c r="I10" i="6" s="1"/>
  <c r="A10" i="6"/>
  <c r="MT14" i="6"/>
  <c r="H14" i="6"/>
  <c r="I14" i="6" s="1"/>
  <c r="H5" i="6"/>
  <c r="I5" i="6" s="1"/>
  <c r="CF15" i="6" l="1"/>
  <c r="N15" i="6" s="1"/>
  <c r="P20" i="4"/>
  <c r="DH20" i="4"/>
  <c r="S20" i="4" s="1"/>
  <c r="CF14" i="6"/>
  <c r="N14" i="6" s="1"/>
  <c r="OS20" i="4"/>
  <c r="A17" i="4" a="1"/>
  <c r="A17" i="4" s="1"/>
  <c r="O10" i="4"/>
  <c r="P10" i="4" s="1"/>
  <c r="M10" i="4"/>
  <c r="L10" i="4"/>
  <c r="O17" i="4"/>
  <c r="P17" i="4" s="1"/>
  <c r="M17" i="4"/>
  <c r="N17" i="4" s="1"/>
  <c r="DJ17" i="4"/>
  <c r="I10" i="4"/>
  <c r="CF6" i="6"/>
  <c r="CF11" i="12"/>
  <c r="N11" i="12" s="1"/>
  <c r="P11" i="12" s="1"/>
  <c r="CF10" i="6"/>
  <c r="M9" i="6"/>
  <c r="A18" i="4" a="1"/>
  <c r="A18" i="4" s="1"/>
  <c r="M12" i="12"/>
  <c r="CF12" i="12"/>
  <c r="N12" i="12" s="1"/>
  <c r="CF5" i="6"/>
  <c r="O18" i="4"/>
  <c r="DI18" i="4" s="1"/>
  <c r="O12" i="4"/>
  <c r="P12" i="4" s="1"/>
  <c r="M18" i="4"/>
  <c r="DH18" i="4" s="1"/>
  <c r="M12" i="4"/>
  <c r="N12" i="4" s="1"/>
  <c r="L18" i="4"/>
  <c r="DJ12" i="4"/>
  <c r="E7" i="8"/>
  <c r="O7" i="8"/>
  <c r="P7" i="8"/>
  <c r="I12" i="4"/>
  <c r="N9" i="6"/>
  <c r="E20" i="4" l="1"/>
  <c r="N10" i="4"/>
  <c r="DI17" i="4"/>
  <c r="U20" i="4"/>
  <c r="T20" i="4"/>
  <c r="DH10" i="4"/>
  <c r="DI10" i="4"/>
  <c r="DH17" i="4"/>
  <c r="DH12" i="4"/>
  <c r="E11" i="12"/>
  <c r="O11" i="12"/>
  <c r="E12" i="12"/>
  <c r="N18" i="4"/>
  <c r="O12" i="12"/>
  <c r="P12" i="12"/>
  <c r="O14" i="6"/>
  <c r="P14" i="6"/>
  <c r="O15" i="6"/>
  <c r="P15" i="6"/>
  <c r="O9" i="6"/>
  <c r="P9" i="6"/>
  <c r="DI12" i="4"/>
  <c r="P18" i="4"/>
  <c r="N10" i="6"/>
  <c r="N5" i="6"/>
  <c r="P5" i="6" s="1"/>
  <c r="E9" i="6"/>
  <c r="N6" i="6"/>
  <c r="P6" i="6" s="1"/>
  <c r="S18" i="4"/>
  <c r="U18" i="4" s="1"/>
  <c r="E15" i="6"/>
  <c r="A15" i="6" s="1"/>
  <c r="E14" i="6"/>
  <c r="A14" i="6" s="1"/>
  <c r="S17" i="4" l="1"/>
  <c r="T17" i="4" s="1"/>
  <c r="S10" i="4"/>
  <c r="E10" i="4" s="1"/>
  <c r="S12" i="4"/>
  <c r="E12" i="4" s="1"/>
  <c r="O10" i="6"/>
  <c r="P10" i="6"/>
  <c r="O5" i="6"/>
  <c r="E6" i="6"/>
  <c r="O6" i="6"/>
  <c r="E10" i="6"/>
  <c r="E5" i="6"/>
  <c r="T18" i="4"/>
  <c r="E18" i="4"/>
  <c r="E17" i="4" l="1"/>
  <c r="U17" i="4"/>
  <c r="U10" i="4"/>
  <c r="T10" i="4"/>
  <c r="U12" i="4"/>
  <c r="T12" i="4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3" i="13"/>
  <c r="CZ13" i="13"/>
  <c r="DA13" i="13"/>
  <c r="DB13" i="13"/>
  <c r="DC13" i="13"/>
  <c r="DE13" i="13"/>
  <c r="DF13" i="13"/>
  <c r="NI13" i="13"/>
  <c r="NJ13" i="13"/>
  <c r="NK13" i="13"/>
  <c r="NM13" i="13"/>
  <c r="NN13" i="13"/>
  <c r="NP13" i="13"/>
  <c r="NQ13" i="13"/>
  <c r="NR13" i="13"/>
  <c r="NS13" i="13"/>
  <c r="NT13" i="13"/>
  <c r="NU13" i="13"/>
  <c r="NV13" i="13"/>
  <c r="NW13" i="13"/>
  <c r="OL13" i="13" s="1"/>
  <c r="NX13" i="13"/>
  <c r="NY13" i="13"/>
  <c r="NZ13" i="13"/>
  <c r="OA13" i="13"/>
  <c r="OB13" i="13"/>
  <c r="ON13" i="13" s="1"/>
  <c r="OC13" i="13"/>
  <c r="OD13" i="13"/>
  <c r="OE13" i="13"/>
  <c r="OF13" i="13"/>
  <c r="OG13" i="13"/>
  <c r="OQ13" i="13" s="1"/>
  <c r="OH13" i="13"/>
  <c r="OI13" i="13"/>
  <c r="CY13" i="4"/>
  <c r="CZ13" i="4"/>
  <c r="DA13" i="4"/>
  <c r="DB13" i="4"/>
  <c r="DC13" i="4"/>
  <c r="DE13" i="4"/>
  <c r="DF13" i="4"/>
  <c r="NI13" i="4"/>
  <c r="NJ13" i="4"/>
  <c r="NK13" i="4"/>
  <c r="NM13" i="4"/>
  <c r="NN13" i="4"/>
  <c r="NP13" i="4"/>
  <c r="NQ13" i="4"/>
  <c r="NR13" i="4"/>
  <c r="NS13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7" i="13"/>
  <c r="OH7" i="13"/>
  <c r="OG7" i="13"/>
  <c r="OQ7" i="13" s="1"/>
  <c r="OF7" i="13"/>
  <c r="OE7" i="13"/>
  <c r="OD7" i="13"/>
  <c r="OC7" i="13"/>
  <c r="OB7" i="13"/>
  <c r="ON7" i="13" s="1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9" i="4"/>
  <c r="CZ9" i="4"/>
  <c r="DA9" i="4"/>
  <c r="DB9" i="4"/>
  <c r="DC9" i="4"/>
  <c r="DE9" i="4"/>
  <c r="DF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9" i="4"/>
  <c r="CZ19" i="4"/>
  <c r="DA19" i="4"/>
  <c r="DB19" i="4"/>
  <c r="DC19" i="4"/>
  <c r="DE19" i="4"/>
  <c r="DF19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4" i="4"/>
  <c r="CZ14" i="4"/>
  <c r="DA14" i="4"/>
  <c r="DB14" i="4"/>
  <c r="DC14" i="4"/>
  <c r="DE14" i="4"/>
  <c r="DF14" i="4"/>
  <c r="CY16" i="4"/>
  <c r="CZ16" i="4"/>
  <c r="DA16" i="4"/>
  <c r="DB16" i="4"/>
  <c r="DC16" i="4"/>
  <c r="DE16" i="4"/>
  <c r="DF16" i="4"/>
  <c r="CY15" i="4"/>
  <c r="CZ15" i="4"/>
  <c r="DA15" i="4"/>
  <c r="DB15" i="4"/>
  <c r="DC15" i="4"/>
  <c r="DE15" i="4"/>
  <c r="DF15" i="4"/>
  <c r="DC4" i="4"/>
  <c r="DB4" i="4"/>
  <c r="CZ4" i="4"/>
  <c r="DA4" i="4"/>
  <c r="CY4" i="4"/>
  <c r="LT8" i="12"/>
  <c r="LU8" i="12"/>
  <c r="LV8" i="12"/>
  <c r="LW8" i="12"/>
  <c r="LT5" i="12"/>
  <c r="LU5" i="12"/>
  <c r="LV5" i="12"/>
  <c r="LW5" i="12"/>
  <c r="LT15" i="12"/>
  <c r="LU15" i="12"/>
  <c r="LV15" i="12"/>
  <c r="LW15" i="12"/>
  <c r="LT6" i="12"/>
  <c r="LU6" i="12"/>
  <c r="LV6" i="12"/>
  <c r="LW6" i="12"/>
  <c r="LT9" i="12"/>
  <c r="LU9" i="12"/>
  <c r="LV9" i="12"/>
  <c r="LW9" i="12"/>
  <c r="LT10" i="12"/>
  <c r="LU10" i="12"/>
  <c r="LV10" i="12"/>
  <c r="LW10" i="12"/>
  <c r="LT13" i="12"/>
  <c r="LU13" i="12"/>
  <c r="LV13" i="12"/>
  <c r="LW13" i="12"/>
  <c r="LV16" i="12"/>
  <c r="CB8" i="12"/>
  <c r="CB5" i="12"/>
  <c r="CB15" i="12"/>
  <c r="CB6" i="12"/>
  <c r="CB9" i="12"/>
  <c r="CB10" i="12"/>
  <c r="CB13" i="12"/>
  <c r="CB16" i="12"/>
  <c r="LV11" i="6"/>
  <c r="LV13" i="6"/>
  <c r="LV4" i="6"/>
  <c r="LV8" i="6"/>
  <c r="CB11" i="6"/>
  <c r="CB13" i="6"/>
  <c r="CB4" i="6"/>
  <c r="CB8" i="6"/>
  <c r="LV6" i="8"/>
  <c r="LV4" i="8"/>
  <c r="CB4" i="8"/>
  <c r="LV5" i="7"/>
  <c r="CB5" i="7"/>
  <c r="J4" i="12" l="1"/>
  <c r="CE4" i="12" s="1"/>
  <c r="J7" i="12"/>
  <c r="CE7" i="12" s="1"/>
  <c r="J7" i="6"/>
  <c r="J12" i="6"/>
  <c r="CD7" i="12"/>
  <c r="LX4" i="7"/>
  <c r="CD4" i="7"/>
  <c r="DD13" i="4"/>
  <c r="DG13" i="4" s="1"/>
  <c r="DD13" i="13"/>
  <c r="DG13" i="13" s="1"/>
  <c r="DD11" i="13"/>
  <c r="DG11" i="13" s="1"/>
  <c r="LX7" i="12"/>
  <c r="CD7" i="6"/>
  <c r="LX7" i="6"/>
  <c r="MR12" i="6"/>
  <c r="NL13" i="13"/>
  <c r="NO13" i="13" s="1"/>
  <c r="NL13" i="4"/>
  <c r="NO13" i="4" s="1"/>
  <c r="MP12" i="6"/>
  <c r="MR7" i="6"/>
  <c r="MP7" i="6"/>
  <c r="LX12" i="6"/>
  <c r="CD12" i="6"/>
  <c r="MQ12" i="6"/>
  <c r="F12" i="6"/>
  <c r="MS12" i="6"/>
  <c r="G12" i="6"/>
  <c r="MS7" i="6"/>
  <c r="MQ7" i="6"/>
  <c r="G7" i="6"/>
  <c r="F7" i="6"/>
  <c r="OO13" i="4"/>
  <c r="LX4" i="12"/>
  <c r="CD4" i="12"/>
  <c r="MQ4" i="12"/>
  <c r="MR4" i="12"/>
  <c r="MP4" i="12"/>
  <c r="F4" i="12"/>
  <c r="MS4" i="12"/>
  <c r="G4" i="12"/>
  <c r="MR7" i="12"/>
  <c r="MP7" i="12"/>
  <c r="MS7" i="12"/>
  <c r="F7" i="12"/>
  <c r="MQ7" i="12"/>
  <c r="G7" i="12"/>
  <c r="MR4" i="7"/>
  <c r="MP4" i="7"/>
  <c r="MQ4" i="7"/>
  <c r="MS4" i="7"/>
  <c r="L4" i="7"/>
  <c r="CF4" i="7" s="1"/>
  <c r="F4" i="7"/>
  <c r="J4" i="7"/>
  <c r="G4" i="7"/>
  <c r="NL11" i="13"/>
  <c r="NO11" i="13" s="1"/>
  <c r="OM11" i="13"/>
  <c r="Q11" i="13"/>
  <c r="DK11" i="13" s="1"/>
  <c r="OO11" i="13"/>
  <c r="OK11" i="13"/>
  <c r="G11" i="13"/>
  <c r="OK13" i="13"/>
  <c r="OM13" i="13"/>
  <c r="Q13" i="13"/>
  <c r="DK13" i="13" s="1"/>
  <c r="OO13" i="13"/>
  <c r="G13" i="13"/>
  <c r="F13" i="13" s="1"/>
  <c r="Q13" i="4"/>
  <c r="R13" i="4" s="1"/>
  <c r="OM13" i="4"/>
  <c r="OK13" i="4"/>
  <c r="G13" i="4"/>
  <c r="NL6" i="13"/>
  <c r="NO6" i="13" s="1"/>
  <c r="OO9" i="13"/>
  <c r="OR11" i="13"/>
  <c r="DD8" i="13"/>
  <c r="DG8" i="13" s="1"/>
  <c r="NL5" i="13"/>
  <c r="NO5" i="13" s="1"/>
  <c r="DD7" i="13"/>
  <c r="DG7" i="13" s="1"/>
  <c r="DD5" i="13"/>
  <c r="DG5" i="13" s="1"/>
  <c r="DD12" i="13"/>
  <c r="DG12" i="13" s="1"/>
  <c r="OO5" i="13"/>
  <c r="NL10" i="13"/>
  <c r="NO10" i="13" s="1"/>
  <c r="OO7" i="13"/>
  <c r="OO14" i="13"/>
  <c r="DD9" i="13"/>
  <c r="DG9" i="13" s="1"/>
  <c r="NL8" i="13"/>
  <c r="NO8" i="13" s="1"/>
  <c r="NL14" i="13"/>
  <c r="NO14" i="13" s="1"/>
  <c r="OR14" i="13"/>
  <c r="OR4" i="13"/>
  <c r="Q8" i="13"/>
  <c r="DK8" i="13" s="1"/>
  <c r="OR7" i="13"/>
  <c r="OR10" i="13"/>
  <c r="OK5" i="13"/>
  <c r="OK10" i="13"/>
  <c r="OM10" i="13"/>
  <c r="OM9" i="13"/>
  <c r="Q14" i="13"/>
  <c r="R14" i="13" s="1"/>
  <c r="Q5" i="13"/>
  <c r="R5" i="13" s="1"/>
  <c r="Q4" i="13"/>
  <c r="DK4" i="13" s="1"/>
  <c r="OM7" i="13"/>
  <c r="OR12" i="13"/>
  <c r="Q9" i="13"/>
  <c r="DK9" i="13" s="1"/>
  <c r="NL4" i="13"/>
  <c r="NO4" i="13" s="1"/>
  <c r="OK4" i="13"/>
  <c r="G8" i="13"/>
  <c r="F8" i="13" s="1"/>
  <c r="G6" i="13"/>
  <c r="F6" i="13" s="1"/>
  <c r="OK6" i="13"/>
  <c r="OO6" i="13"/>
  <c r="G7" i="13"/>
  <c r="F7" i="13" s="1"/>
  <c r="OK14" i="13"/>
  <c r="OR9" i="13"/>
  <c r="G10" i="13"/>
  <c r="F10" i="13" s="1"/>
  <c r="OO10" i="13"/>
  <c r="DD4" i="13"/>
  <c r="DG4" i="13" s="1"/>
  <c r="OM4" i="13"/>
  <c r="OO4" i="13"/>
  <c r="OR6" i="13"/>
  <c r="Q10" i="13"/>
  <c r="DK10" i="13" s="1"/>
  <c r="OR13" i="13"/>
  <c r="H4" i="13"/>
  <c r="OM5" i="13"/>
  <c r="OK8" i="13"/>
  <c r="Q6" i="13"/>
  <c r="R6" i="13" s="1"/>
  <c r="OR8" i="13"/>
  <c r="DD10" i="13"/>
  <c r="DG10" i="13" s="1"/>
  <c r="G12" i="13"/>
  <c r="F12" i="13" s="1"/>
  <c r="G9" i="13"/>
  <c r="F9" i="13" s="1"/>
  <c r="G4" i="13"/>
  <c r="F4" i="13" s="1"/>
  <c r="NL7" i="13"/>
  <c r="NO7" i="13" s="1"/>
  <c r="OK7" i="13"/>
  <c r="Q12" i="13"/>
  <c r="R12" i="13" s="1"/>
  <c r="G5" i="13"/>
  <c r="F5" i="13" s="1"/>
  <c r="OR5" i="13"/>
  <c r="OM8" i="13"/>
  <c r="OO8" i="13"/>
  <c r="DD6" i="13"/>
  <c r="DG6" i="13" s="1"/>
  <c r="OM6" i="13"/>
  <c r="Q7" i="13"/>
  <c r="R7" i="13" s="1"/>
  <c r="OM12" i="13"/>
  <c r="NL9" i="13"/>
  <c r="NO9" i="13" s="1"/>
  <c r="OK9" i="13"/>
  <c r="H5" i="13"/>
  <c r="ON6" i="13"/>
  <c r="DD14" i="13"/>
  <c r="DG14" i="13" s="1"/>
  <c r="NL12" i="13"/>
  <c r="NO12" i="13" s="1"/>
  <c r="OK12" i="13"/>
  <c r="G14" i="13"/>
  <c r="F14" i="13" s="1"/>
  <c r="OO12" i="13"/>
  <c r="OM14" i="13"/>
  <c r="OO15" i="4"/>
  <c r="OO16" i="4"/>
  <c r="OO14" i="4"/>
  <c r="OO5" i="4"/>
  <c r="OO11" i="4"/>
  <c r="OO7" i="4"/>
  <c r="OO9" i="4"/>
  <c r="OO6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OR4" i="4"/>
  <c r="OM16" i="4"/>
  <c r="OM14" i="4"/>
  <c r="OM5" i="4"/>
  <c r="OM8" i="4"/>
  <c r="OM19" i="4"/>
  <c r="OM11" i="4"/>
  <c r="OM7" i="4"/>
  <c r="OM9" i="4"/>
  <c r="OM6" i="4"/>
  <c r="OM4" i="4"/>
  <c r="DD4" i="4"/>
  <c r="OO8" i="4"/>
  <c r="OO19" i="4"/>
  <c r="OM15" i="4"/>
  <c r="OO4" i="4"/>
  <c r="DD6" i="4"/>
  <c r="DG6" i="4" s="1"/>
  <c r="DD5" i="4"/>
  <c r="DG5" i="4" s="1"/>
  <c r="DD14" i="4"/>
  <c r="DG14" i="4" s="1"/>
  <c r="DD7" i="4"/>
  <c r="DG7" i="4" s="1"/>
  <c r="DD15" i="4"/>
  <c r="DG15" i="4" s="1"/>
  <c r="DD11" i="4"/>
  <c r="DG11" i="4" s="1"/>
  <c r="DD16" i="4"/>
  <c r="DG16" i="4" s="1"/>
  <c r="DD19" i="4"/>
  <c r="DG19" i="4" s="1"/>
  <c r="DD8" i="4"/>
  <c r="DG8" i="4" s="1"/>
  <c r="DD9" i="4"/>
  <c r="DG9" i="4" s="1"/>
  <c r="LX15" i="12"/>
  <c r="LX8" i="12"/>
  <c r="LX13" i="12"/>
  <c r="LX9" i="12"/>
  <c r="LX10" i="12"/>
  <c r="LX6" i="12"/>
  <c r="LX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Y8" i="12"/>
  <c r="LY5" i="12"/>
  <c r="LY15" i="12"/>
  <c r="LY6" i="12"/>
  <c r="LY9" i="12"/>
  <c r="LY10" i="12"/>
  <c r="LY13" i="12"/>
  <c r="LY16" i="12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4" i="4"/>
  <c r="CC13" i="12"/>
  <c r="CA13" i="12"/>
  <c r="J13" i="12" s="1"/>
  <c r="CE13" i="12" s="1"/>
  <c r="BZ13" i="12"/>
  <c r="CC10" i="12"/>
  <c r="CA10" i="12"/>
  <c r="J10" i="12" s="1"/>
  <c r="CE10" i="12" s="1"/>
  <c r="BZ10" i="12"/>
  <c r="CC9" i="12"/>
  <c r="CA9" i="12"/>
  <c r="J9" i="12" s="1"/>
  <c r="CE9" i="12" s="1"/>
  <c r="BZ9" i="12"/>
  <c r="CC6" i="12"/>
  <c r="CA6" i="12"/>
  <c r="J6" i="12" s="1"/>
  <c r="CE6" i="12" s="1"/>
  <c r="BZ6" i="12"/>
  <c r="CC15" i="12"/>
  <c r="CA15" i="12"/>
  <c r="J15" i="12" s="1"/>
  <c r="CE15" i="12" s="1"/>
  <c r="BZ15" i="12"/>
  <c r="CC5" i="12"/>
  <c r="CA5" i="12"/>
  <c r="J5" i="12" s="1"/>
  <c r="CE5" i="12" s="1"/>
  <c r="BZ5" i="12"/>
  <c r="CC8" i="12"/>
  <c r="CA8" i="12"/>
  <c r="J8" i="12" s="1"/>
  <c r="CE8" i="12" s="1"/>
  <c r="BZ8" i="12"/>
  <c r="CC16" i="12"/>
  <c r="CA16" i="12"/>
  <c r="J16" i="12" s="1"/>
  <c r="BZ16" i="12"/>
  <c r="CC8" i="6"/>
  <c r="CA8" i="6"/>
  <c r="J8" i="6" s="1"/>
  <c r="BZ8" i="6"/>
  <c r="CC4" i="6"/>
  <c r="CA4" i="6"/>
  <c r="J4" i="6" s="1"/>
  <c r="BZ4" i="6"/>
  <c r="CC13" i="6"/>
  <c r="CA13" i="6"/>
  <c r="J13" i="6" s="1"/>
  <c r="BZ13" i="6"/>
  <c r="CC11" i="6"/>
  <c r="CA11" i="6"/>
  <c r="J11" i="6" s="1"/>
  <c r="BZ11" i="6"/>
  <c r="CC6" i="8"/>
  <c r="CA6" i="8"/>
  <c r="BZ6" i="8"/>
  <c r="CC4" i="8"/>
  <c r="CA4" i="8"/>
  <c r="BZ4" i="8"/>
  <c r="CC5" i="7"/>
  <c r="CA5" i="7"/>
  <c r="BZ5" i="7"/>
  <c r="NQ4" i="4"/>
  <c r="NR4" i="4"/>
  <c r="NS4" i="4"/>
  <c r="NT4" i="4"/>
  <c r="NQ6" i="4"/>
  <c r="NR6" i="4"/>
  <c r="NS6" i="4"/>
  <c r="NQ9" i="4"/>
  <c r="NR9" i="4"/>
  <c r="NS9" i="4"/>
  <c r="NQ7" i="4"/>
  <c r="NR7" i="4"/>
  <c r="NS7" i="4"/>
  <c r="NQ11" i="4"/>
  <c r="NR11" i="4"/>
  <c r="NS11" i="4"/>
  <c r="NQ19" i="4"/>
  <c r="NR19" i="4"/>
  <c r="NS19" i="4"/>
  <c r="NQ8" i="4"/>
  <c r="NR8" i="4"/>
  <c r="NS8" i="4"/>
  <c r="NQ5" i="4"/>
  <c r="NR5" i="4"/>
  <c r="NS5" i="4"/>
  <c r="NQ14" i="4"/>
  <c r="NR14" i="4"/>
  <c r="NS14" i="4"/>
  <c r="NQ16" i="4"/>
  <c r="NR16" i="4"/>
  <c r="NS16" i="4"/>
  <c r="NQ15" i="4"/>
  <c r="NR15" i="4"/>
  <c r="NS15" i="4"/>
  <c r="NP6" i="4"/>
  <c r="NP9" i="4"/>
  <c r="NP7" i="4"/>
  <c r="NP11" i="4"/>
  <c r="NP19" i="4"/>
  <c r="NP8" i="4"/>
  <c r="NP5" i="4"/>
  <c r="NP14" i="4"/>
  <c r="NP16" i="4"/>
  <c r="NP15" i="4"/>
  <c r="K4" i="6" l="1"/>
  <c r="K10" i="12"/>
  <c r="K5" i="12"/>
  <c r="K6" i="12"/>
  <c r="K13" i="12"/>
  <c r="K15" i="12"/>
  <c r="K9" i="12"/>
  <c r="K16" i="12"/>
  <c r="K8" i="12"/>
  <c r="K7" i="12"/>
  <c r="L7" i="12"/>
  <c r="M7" i="12" s="1"/>
  <c r="L4" i="12"/>
  <c r="M4" i="12" s="1"/>
  <c r="K4" i="12"/>
  <c r="K11" i="6"/>
  <c r="K13" i="6"/>
  <c r="K8" i="6"/>
  <c r="K12" i="6"/>
  <c r="L12" i="6"/>
  <c r="CE12" i="6"/>
  <c r="CE7" i="6"/>
  <c r="K7" i="6"/>
  <c r="L7" i="6"/>
  <c r="H11" i="13"/>
  <c r="R4" i="13"/>
  <c r="DK5" i="13"/>
  <c r="J13" i="4"/>
  <c r="R8" i="13"/>
  <c r="DK7" i="13"/>
  <c r="OP14" i="13"/>
  <c r="K13" i="4"/>
  <c r="DJ13" i="4" s="1"/>
  <c r="K13" i="13"/>
  <c r="M13" i="13" s="1"/>
  <c r="K11" i="13"/>
  <c r="DJ11" i="13" s="1"/>
  <c r="H10" i="13"/>
  <c r="I10" i="13" s="1"/>
  <c r="R9" i="13"/>
  <c r="OP9" i="13"/>
  <c r="MT4" i="12"/>
  <c r="MT12" i="6"/>
  <c r="H13" i="13"/>
  <c r="A13" i="13" s="1" a="1"/>
  <c r="A13" i="13" s="1"/>
  <c r="K7" i="13"/>
  <c r="OP13" i="4"/>
  <c r="H13" i="4"/>
  <c r="I13" i="4" s="1"/>
  <c r="DK13" i="4"/>
  <c r="MT7" i="6"/>
  <c r="H12" i="6"/>
  <c r="I12" i="6" s="1"/>
  <c r="A12" i="6"/>
  <c r="H7" i="6"/>
  <c r="I7" i="6" s="1"/>
  <c r="MT7" i="12"/>
  <c r="OP13" i="13"/>
  <c r="R11" i="13"/>
  <c r="H4" i="12"/>
  <c r="I4" i="12" s="1"/>
  <c r="H7" i="12"/>
  <c r="I7" i="12" s="1"/>
  <c r="MT4" i="7"/>
  <c r="H4" i="7"/>
  <c r="I4" i="7" s="1"/>
  <c r="CE4" i="7"/>
  <c r="N4" i="7" s="1"/>
  <c r="K4" i="7"/>
  <c r="M4" i="7"/>
  <c r="OP11" i="13"/>
  <c r="J11" i="13"/>
  <c r="F11" i="13"/>
  <c r="R13" i="13"/>
  <c r="K8" i="13"/>
  <c r="O8" i="13" s="1"/>
  <c r="P8" i="13" s="1"/>
  <c r="J13" i="13"/>
  <c r="DK14" i="13"/>
  <c r="OP5" i="13"/>
  <c r="OS5" i="13" s="1"/>
  <c r="F13" i="4"/>
  <c r="DK6" i="13"/>
  <c r="OP10" i="13"/>
  <c r="OK8" i="4"/>
  <c r="OP8" i="4" s="1"/>
  <c r="OK19" i="4"/>
  <c r="OP19" i="4" s="1"/>
  <c r="K10" i="13"/>
  <c r="O10" i="13" s="1"/>
  <c r="P10" i="13" s="1"/>
  <c r="K5" i="13"/>
  <c r="O5" i="13" s="1"/>
  <c r="P5" i="13" s="1"/>
  <c r="K12" i="13"/>
  <c r="M12" i="13" s="1"/>
  <c r="H14" i="13"/>
  <c r="I14" i="13" s="1"/>
  <c r="K14" i="13"/>
  <c r="K9" i="13"/>
  <c r="DJ9" i="13" s="1"/>
  <c r="K4" i="13"/>
  <c r="L4" i="13" s="1"/>
  <c r="K6" i="13"/>
  <c r="DJ6" i="13" s="1"/>
  <c r="OP7" i="13"/>
  <c r="J10" i="13"/>
  <c r="OK16" i="4"/>
  <c r="OP16" i="4" s="1"/>
  <c r="MR13" i="12"/>
  <c r="MR16" i="12"/>
  <c r="J4" i="13"/>
  <c r="I4" i="13"/>
  <c r="I5" i="13"/>
  <c r="R10" i="13"/>
  <c r="J6" i="13"/>
  <c r="OP4" i="13"/>
  <c r="OS4" i="13" s="1"/>
  <c r="J8" i="13"/>
  <c r="H6" i="13"/>
  <c r="I6" i="13" s="1"/>
  <c r="OP6" i="13"/>
  <c r="OP8" i="13"/>
  <c r="J5" i="13"/>
  <c r="H8" i="13"/>
  <c r="I8" i="13" s="1"/>
  <c r="DK12" i="13"/>
  <c r="OP12" i="13"/>
  <c r="H9" i="13"/>
  <c r="J7" i="13"/>
  <c r="H7" i="13"/>
  <c r="H12" i="13"/>
  <c r="J12" i="13"/>
  <c r="J14" i="13"/>
  <c r="J9" i="13"/>
  <c r="OK5" i="4"/>
  <c r="OP5" i="4" s="1"/>
  <c r="OK7" i="4"/>
  <c r="OP7" i="4" s="1"/>
  <c r="OK14" i="4"/>
  <c r="OP14" i="4" s="1"/>
  <c r="OK4" i="4"/>
  <c r="OP4" i="4" s="1"/>
  <c r="OS4" i="4" s="1"/>
  <c r="OK15" i="4"/>
  <c r="OP15" i="4" s="1"/>
  <c r="OK9" i="4"/>
  <c r="OP9" i="4" s="1"/>
  <c r="OK11" i="4"/>
  <c r="OP11" i="4" s="1"/>
  <c r="OK6" i="4"/>
  <c r="OP6" i="4" s="1"/>
  <c r="MR6" i="8"/>
  <c r="MR4" i="8"/>
  <c r="MR5" i="7"/>
  <c r="CD13" i="6"/>
  <c r="L13" i="6" s="1"/>
  <c r="MR8" i="6"/>
  <c r="MR4" i="6"/>
  <c r="MR13" i="6"/>
  <c r="MR11" i="6"/>
  <c r="MQ5" i="12"/>
  <c r="MQ15" i="12"/>
  <c r="MQ8" i="12"/>
  <c r="MR8" i="12"/>
  <c r="MP8" i="12"/>
  <c r="MQ13" i="12"/>
  <c r="MR5" i="12"/>
  <c r="MP5" i="12"/>
  <c r="MQ10" i="12"/>
  <c r="MR15" i="12"/>
  <c r="MP15" i="12"/>
  <c r="MQ9" i="12"/>
  <c r="MP13" i="12"/>
  <c r="MS10" i="12"/>
  <c r="MS13" i="12"/>
  <c r="MS8" i="12"/>
  <c r="MS5" i="12"/>
  <c r="MS15" i="12"/>
  <c r="MQ6" i="12"/>
  <c r="MR6" i="12"/>
  <c r="MP6" i="12"/>
  <c r="MR9" i="12"/>
  <c r="MP9" i="12"/>
  <c r="MS6" i="12"/>
  <c r="MR10" i="12"/>
  <c r="MP10" i="12"/>
  <c r="MS9" i="12"/>
  <c r="CD8" i="12"/>
  <c r="L8" i="12" s="1"/>
  <c r="CD15" i="12"/>
  <c r="L15" i="12" s="1"/>
  <c r="CD6" i="12"/>
  <c r="L6" i="12" s="1"/>
  <c r="CD10" i="12"/>
  <c r="L10" i="12" s="1"/>
  <c r="CD11" i="6"/>
  <c r="L11" i="6" s="1"/>
  <c r="CD8" i="6"/>
  <c r="L8" i="6" s="1"/>
  <c r="CD6" i="8"/>
  <c r="CD4" i="8"/>
  <c r="CD9" i="12"/>
  <c r="L9" i="12" s="1"/>
  <c r="CD13" i="12"/>
  <c r="L13" i="12" s="1"/>
  <c r="CD16" i="12"/>
  <c r="L16" i="12" s="1"/>
  <c r="CD5" i="12"/>
  <c r="L5" i="12" s="1"/>
  <c r="CD4" i="6"/>
  <c r="L4" i="6" s="1"/>
  <c r="M4" i="6" s="1"/>
  <c r="CD5" i="7"/>
  <c r="DF4" i="4"/>
  <c r="DE4" i="4"/>
  <c r="LT4" i="6"/>
  <c r="LU4" i="6"/>
  <c r="CE4" i="6" s="1"/>
  <c r="LW4" i="6"/>
  <c r="LT6" i="8"/>
  <c r="LU6" i="8"/>
  <c r="LW6" i="8"/>
  <c r="NI15" i="4"/>
  <c r="NJ15" i="4"/>
  <c r="NK15" i="4"/>
  <c r="NM15" i="4"/>
  <c r="NN15" i="4"/>
  <c r="I11" i="13" l="1"/>
  <c r="M15" i="12"/>
  <c r="CF15" i="12"/>
  <c r="M8" i="12"/>
  <c r="CF8" i="12"/>
  <c r="M6" i="12"/>
  <c r="CF6" i="12"/>
  <c r="CF4" i="12"/>
  <c r="N4" i="12" s="1"/>
  <c r="E4" i="12" s="1"/>
  <c r="M10" i="12"/>
  <c r="CF10" i="12"/>
  <c r="M9" i="12"/>
  <c r="CF9" i="12"/>
  <c r="M5" i="12"/>
  <c r="CF5" i="12"/>
  <c r="CF7" i="12"/>
  <c r="N7" i="12" s="1"/>
  <c r="M13" i="12"/>
  <c r="CF13" i="12"/>
  <c r="N13" i="12" s="1"/>
  <c r="M16" i="12"/>
  <c r="M13" i="6"/>
  <c r="M11" i="6"/>
  <c r="M8" i="6"/>
  <c r="M12" i="6"/>
  <c r="CF12" i="6"/>
  <c r="M7" i="6"/>
  <c r="CF7" i="6"/>
  <c r="OS5" i="4"/>
  <c r="DJ10" i="13"/>
  <c r="L13" i="13"/>
  <c r="N13" i="13" s="1"/>
  <c r="M13" i="4"/>
  <c r="DH13" i="4" s="1"/>
  <c r="OS6" i="4"/>
  <c r="O13" i="4"/>
  <c r="P13" i="4" s="1"/>
  <c r="L13" i="4"/>
  <c r="DJ13" i="13"/>
  <c r="OS6" i="13"/>
  <c r="OS7" i="13"/>
  <c r="OS11" i="13"/>
  <c r="OS13" i="4"/>
  <c r="O13" i="13"/>
  <c r="O11" i="13"/>
  <c r="M11" i="13"/>
  <c r="L11" i="13"/>
  <c r="OS13" i="13"/>
  <c r="L10" i="13"/>
  <c r="M10" i="13"/>
  <c r="DH10" i="13" s="1"/>
  <c r="OS14" i="13"/>
  <c r="M9" i="13"/>
  <c r="DH9" i="13" s="1"/>
  <c r="L9" i="13"/>
  <c r="DJ8" i="13"/>
  <c r="M8" i="13"/>
  <c r="DH8" i="13" s="1"/>
  <c r="L8" i="13"/>
  <c r="M5" i="13"/>
  <c r="DH5" i="13" s="1"/>
  <c r="L6" i="13"/>
  <c r="M6" i="13"/>
  <c r="DH6" i="13" s="1"/>
  <c r="M4" i="13"/>
  <c r="DH4" i="13" s="1"/>
  <c r="DJ4" i="13"/>
  <c r="I13" i="13"/>
  <c r="A13" i="4" a="1"/>
  <c r="A13" i="4" s="1"/>
  <c r="OS14" i="4"/>
  <c r="O12" i="13"/>
  <c r="P12" i="13" s="1"/>
  <c r="E4" i="7"/>
  <c r="O4" i="7"/>
  <c r="P4" i="7"/>
  <c r="DH13" i="13"/>
  <c r="DJ12" i="13"/>
  <c r="O4" i="13"/>
  <c r="L5" i="13"/>
  <c r="L12" i="13"/>
  <c r="N12" i="13" s="1"/>
  <c r="O9" i="13"/>
  <c r="P9" i="13" s="1"/>
  <c r="OS16" i="4"/>
  <c r="MT13" i="12"/>
  <c r="MT15" i="12"/>
  <c r="MT5" i="12"/>
  <c r="DJ5" i="13"/>
  <c r="O6" i="13"/>
  <c r="OS12" i="13"/>
  <c r="OS15" i="4"/>
  <c r="MT9" i="12"/>
  <c r="G4" i="6"/>
  <c r="F4" i="6"/>
  <c r="OS8" i="13"/>
  <c r="OS9" i="13"/>
  <c r="OS10" i="13"/>
  <c r="OS7" i="4"/>
  <c r="OS8" i="4"/>
  <c r="OS9" i="4"/>
  <c r="OS10" i="4"/>
  <c r="OS11" i="4"/>
  <c r="OS12" i="4"/>
  <c r="OS17" i="4"/>
  <c r="OS19" i="4"/>
  <c r="OS18" i="4"/>
  <c r="DH12" i="13"/>
  <c r="DI8" i="13"/>
  <c r="DI5" i="13"/>
  <c r="O14" i="13"/>
  <c r="P14" i="13" s="1"/>
  <c r="M14" i="13"/>
  <c r="L14" i="13"/>
  <c r="DJ14" i="13"/>
  <c r="I7" i="13"/>
  <c r="M7" i="13"/>
  <c r="L7" i="13"/>
  <c r="DJ7" i="13"/>
  <c r="O7" i="13"/>
  <c r="P7" i="13" s="1"/>
  <c r="I9" i="13"/>
  <c r="DI10" i="13"/>
  <c r="I12" i="13"/>
  <c r="G15" i="4"/>
  <c r="F15" i="4" s="1"/>
  <c r="Q15" i="4"/>
  <c r="R15" i="4" s="1"/>
  <c r="DG4" i="4"/>
  <c r="MT8" i="12"/>
  <c r="MT10" i="12"/>
  <c r="MT6" i="12"/>
  <c r="G6" i="8"/>
  <c r="J6" i="8"/>
  <c r="K6" i="8" s="1"/>
  <c r="L6" i="8"/>
  <c r="F6" i="8"/>
  <c r="LX4" i="6"/>
  <c r="CF4" i="6" s="1"/>
  <c r="LX6" i="8"/>
  <c r="MP6" i="8"/>
  <c r="MQ6" i="8"/>
  <c r="MS6" i="8"/>
  <c r="NL15" i="4"/>
  <c r="NO15" i="4" s="1"/>
  <c r="O7" i="12" l="1"/>
  <c r="P7" i="12"/>
  <c r="O13" i="12"/>
  <c r="P13" i="12"/>
  <c r="E7" i="12"/>
  <c r="P4" i="12"/>
  <c r="O4" i="12"/>
  <c r="N4" i="13"/>
  <c r="DI13" i="4"/>
  <c r="S13" i="4" s="1"/>
  <c r="N13" i="4"/>
  <c r="N11" i="13"/>
  <c r="DI4" i="13"/>
  <c r="S4" i="13" s="1"/>
  <c r="U4" i="13" s="1"/>
  <c r="P4" i="13"/>
  <c r="DI11" i="13"/>
  <c r="P11" i="13"/>
  <c r="DI13" i="13"/>
  <c r="S13" i="13" s="1"/>
  <c r="P13" i="13"/>
  <c r="DI6" i="13"/>
  <c r="S6" i="13" s="1"/>
  <c r="P6" i="13"/>
  <c r="N12" i="6"/>
  <c r="N7" i="6"/>
  <c r="DH11" i="13"/>
  <c r="N10" i="13"/>
  <c r="N9" i="13"/>
  <c r="DI9" i="13"/>
  <c r="S9" i="13" s="1"/>
  <c r="T9" i="13" s="1"/>
  <c r="N8" i="13"/>
  <c r="N5" i="13"/>
  <c r="N6" i="13"/>
  <c r="H6" i="8"/>
  <c r="I6" i="8" s="1"/>
  <c r="DI12" i="13"/>
  <c r="S12" i="13" s="1"/>
  <c r="H4" i="6"/>
  <c r="I4" i="6" s="1"/>
  <c r="DK15" i="4"/>
  <c r="K15" i="4"/>
  <c r="O15" i="4" s="1"/>
  <c r="P15" i="4" s="1"/>
  <c r="J15" i="4"/>
  <c r="S8" i="13"/>
  <c r="N14" i="13"/>
  <c r="DH14" i="13"/>
  <c r="S10" i="13"/>
  <c r="DI14" i="13"/>
  <c r="S5" i="13"/>
  <c r="DI7" i="13"/>
  <c r="DH7" i="13"/>
  <c r="N7" i="13"/>
  <c r="H15" i="4"/>
  <c r="A15" i="4" s="1" a="1"/>
  <c r="A15" i="4" s="1"/>
  <c r="M6" i="8"/>
  <c r="MT6" i="8"/>
  <c r="CF6" i="8"/>
  <c r="CE6" i="8"/>
  <c r="O7" i="6" l="1"/>
  <c r="P7" i="6"/>
  <c r="O12" i="6"/>
  <c r="P12" i="6"/>
  <c r="S11" i="13"/>
  <c r="T11" i="13" s="1"/>
  <c r="E12" i="6"/>
  <c r="E7" i="6"/>
  <c r="E12" i="13"/>
  <c r="E9" i="13"/>
  <c r="E8" i="13"/>
  <c r="E5" i="13"/>
  <c r="E6" i="13"/>
  <c r="T13" i="13"/>
  <c r="U13" i="13"/>
  <c r="E13" i="13"/>
  <c r="T13" i="4"/>
  <c r="U13" i="4"/>
  <c r="E13" i="4"/>
  <c r="U9" i="13"/>
  <c r="T8" i="13"/>
  <c r="U8" i="13"/>
  <c r="U6" i="13"/>
  <c r="U12" i="13"/>
  <c r="T6" i="13"/>
  <c r="T4" i="13"/>
  <c r="E4" i="13"/>
  <c r="T12" i="13"/>
  <c r="T10" i="13"/>
  <c r="U10" i="13"/>
  <c r="S14" i="13"/>
  <c r="U5" i="13"/>
  <c r="T5" i="13"/>
  <c r="E10" i="13"/>
  <c r="S7" i="13"/>
  <c r="I15" i="4"/>
  <c r="M15" i="4"/>
  <c r="L15" i="4"/>
  <c r="DJ15" i="4"/>
  <c r="N6" i="8"/>
  <c r="E6" i="8" s="1"/>
  <c r="E11" i="13" l="1"/>
  <c r="U11" i="13"/>
  <c r="N15" i="4"/>
  <c r="U7" i="13"/>
  <c r="T7" i="13"/>
  <c r="U14" i="13"/>
  <c r="T14" i="13"/>
  <c r="E7" i="13"/>
  <c r="E14" i="13"/>
  <c r="DH15" i="4"/>
  <c r="DI15" i="4"/>
  <c r="N4" i="6"/>
  <c r="P4" i="6" s="1"/>
  <c r="O6" i="8"/>
  <c r="P6" i="8"/>
  <c r="A11" i="13" l="1" a="1"/>
  <c r="A11" i="13" s="1"/>
  <c r="E4" i="6"/>
  <c r="O4" i="6"/>
  <c r="A9" i="13" a="1"/>
  <c r="A9" i="13" s="1"/>
  <c r="A10" i="13" a="1"/>
  <c r="A10" i="13" s="1"/>
  <c r="A7" i="13" a="1"/>
  <c r="A7" i="13" s="1"/>
  <c r="A8" i="13" a="1"/>
  <c r="A8" i="13" s="1"/>
  <c r="A4" i="13" a="1"/>
  <c r="A4" i="13" s="1"/>
  <c r="A5" i="13" a="1"/>
  <c r="A5" i="13" s="1"/>
  <c r="A6" i="13" a="1"/>
  <c r="A6" i="13" s="1"/>
  <c r="A14" i="13" a="1"/>
  <c r="A14" i="13" s="1"/>
  <c r="A12" i="13" a="1"/>
  <c r="A12" i="13" s="1"/>
  <c r="S15" i="4"/>
  <c r="E15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5" i="4"/>
  <c r="T15" i="4"/>
  <c r="NI5" i="4"/>
  <c r="NJ5" i="4"/>
  <c r="NK5" i="4"/>
  <c r="NM5" i="4"/>
  <c r="NN5" i="4"/>
  <c r="G5" i="4" l="1"/>
  <c r="F5" i="4" s="1"/>
  <c r="G10" i="12"/>
  <c r="F10" i="12"/>
  <c r="F6" i="12"/>
  <c r="G6" i="12"/>
  <c r="Q5" i="4"/>
  <c r="R5" i="4" s="1"/>
  <c r="NL5" i="4"/>
  <c r="NO5" i="4" s="1"/>
  <c r="H10" i="12" l="1"/>
  <c r="I10" i="12" s="1"/>
  <c r="H6" i="12"/>
  <c r="I6" i="12" s="1"/>
  <c r="K5" i="4"/>
  <c r="O5" i="4" s="1"/>
  <c r="P5" i="4" s="1"/>
  <c r="J5" i="4"/>
  <c r="H5" i="4"/>
  <c r="DK5" i="4"/>
  <c r="DJ5" i="4" l="1"/>
  <c r="I5" i="4"/>
  <c r="M5" i="4"/>
  <c r="L5" i="4"/>
  <c r="N5" i="4" l="1"/>
  <c r="DH5" i="4"/>
  <c r="DI5" i="4"/>
  <c r="N10" i="12"/>
  <c r="O10" i="12" l="1"/>
  <c r="P10" i="12"/>
  <c r="N6" i="12"/>
  <c r="S5" i="4"/>
  <c r="T5" i="4" s="1"/>
  <c r="E10" i="12"/>
  <c r="O6" i="12" l="1"/>
  <c r="P6" i="12"/>
  <c r="E6" i="12"/>
  <c r="E5" i="4"/>
  <c r="U5" i="4"/>
  <c r="K4" i="4" l="1"/>
  <c r="O4" i="4" s="1"/>
  <c r="P4" i="4" s="1"/>
  <c r="K11" i="4"/>
  <c r="K19" i="4" l="1"/>
  <c r="O19" i="4" s="1"/>
  <c r="P19" i="4" s="1"/>
  <c r="K7" i="4"/>
  <c r="O7" i="4" s="1"/>
  <c r="P7" i="4" s="1"/>
  <c r="K9" i="4"/>
  <c r="O9" i="4" s="1"/>
  <c r="P9" i="4" s="1"/>
  <c r="K14" i="4"/>
  <c r="O14" i="4" s="1"/>
  <c r="P14" i="4" s="1"/>
  <c r="K16" i="4"/>
  <c r="O16" i="4" s="1"/>
  <c r="P16" i="4" s="1"/>
  <c r="K8" i="4"/>
  <c r="O8" i="4" s="1"/>
  <c r="P8" i="4" s="1"/>
  <c r="K6" i="4"/>
  <c r="O6" i="4" s="1"/>
  <c r="P6" i="4" s="1"/>
  <c r="O11" i="4"/>
  <c r="P11" i="4" s="1"/>
  <c r="M4" i="4"/>
  <c r="NM14" i="4" l="1"/>
  <c r="NM16" i="4"/>
  <c r="NM19" i="4"/>
  <c r="NM8" i="4"/>
  <c r="NM7" i="4"/>
  <c r="NM11" i="4"/>
  <c r="NM9" i="4"/>
  <c r="NM6" i="4"/>
  <c r="NM4" i="4"/>
  <c r="G13" i="12" l="1"/>
  <c r="F13" i="12" l="1"/>
  <c r="NI14" i="4"/>
  <c r="G14" i="4" s="1"/>
  <c r="F14" i="4" s="1"/>
  <c r="NJ14" i="4"/>
  <c r="NK14" i="4"/>
  <c r="NN14" i="4"/>
  <c r="H13" i="12" l="1"/>
  <c r="I13" i="12" s="1"/>
  <c r="Q14" i="4"/>
  <c r="R14" i="4" s="1"/>
  <c r="H14" i="4"/>
  <c r="I14" i="4" s="1"/>
  <c r="NL14" i="4"/>
  <c r="NO14" i="4" l="1"/>
  <c r="J14" i="4"/>
  <c r="A14" i="4" a="1"/>
  <c r="A14" i="4" s="1"/>
  <c r="DK14" i="4"/>
  <c r="E13" i="12"/>
  <c r="M14" i="4" l="1"/>
  <c r="L14" i="4"/>
  <c r="DJ14" i="4"/>
  <c r="MP8" i="6"/>
  <c r="MP11" i="6"/>
  <c r="MP4" i="8"/>
  <c r="MQ16" i="12"/>
  <c r="MS16" i="12"/>
  <c r="MS13" i="6"/>
  <c r="MP4" i="6"/>
  <c r="MP13" i="6"/>
  <c r="MQ8" i="6"/>
  <c r="MS11" i="6"/>
  <c r="MQ11" i="6"/>
  <c r="MS8" i="6"/>
  <c r="MS4" i="6"/>
  <c r="MQ13" i="6"/>
  <c r="MQ4" i="8"/>
  <c r="MS4" i="8"/>
  <c r="MS5" i="7"/>
  <c r="MQ5" i="7"/>
  <c r="MP5" i="7"/>
  <c r="MP16" i="12"/>
  <c r="MQ4" i="6"/>
  <c r="N14" i="4" l="1"/>
  <c r="DI14" i="4"/>
  <c r="DH14" i="4"/>
  <c r="MT5" i="7"/>
  <c r="MT8" i="6"/>
  <c r="MT16" i="12"/>
  <c r="MT11" i="6"/>
  <c r="MT13" i="6"/>
  <c r="MT4" i="8"/>
  <c r="MT4" i="6"/>
  <c r="LT8" i="6"/>
  <c r="LT13" i="6"/>
  <c r="LT11" i="6"/>
  <c r="S14" i="4" l="1"/>
  <c r="E14" i="4" s="1"/>
  <c r="LT16" i="12"/>
  <c r="U14" i="4" l="1"/>
  <c r="T14" i="4"/>
  <c r="LU4" i="8"/>
  <c r="G4" i="8" s="1"/>
  <c r="LU5" i="7"/>
  <c r="G15" i="12"/>
  <c r="G8" i="12"/>
  <c r="LW16" i="12"/>
  <c r="LU16" i="12"/>
  <c r="CE16" i="12" s="1"/>
  <c r="G9" i="12"/>
  <c r="G5" i="12"/>
  <c r="G16" i="12" l="1"/>
  <c r="F15" i="12"/>
  <c r="F16" i="12"/>
  <c r="F9" i="12"/>
  <c r="F8" i="12"/>
  <c r="F5" i="12"/>
  <c r="G5" i="7"/>
  <c r="J5" i="7"/>
  <c r="K5" i="7" s="1"/>
  <c r="J4" i="8"/>
  <c r="K4" i="8" s="1"/>
  <c r="LX16" i="12"/>
  <c r="CF16" i="12" s="1"/>
  <c r="H16" i="12" l="1"/>
  <c r="I16" i="12" s="1"/>
  <c r="H15" i="12"/>
  <c r="I15" i="12" s="1"/>
  <c r="H9" i="12"/>
  <c r="I9" i="12" s="1"/>
  <c r="H8" i="12"/>
  <c r="I8" i="12" s="1"/>
  <c r="H5" i="12"/>
  <c r="I5" i="12" s="1"/>
  <c r="N5" i="12" l="1"/>
  <c r="O5" i="12" l="1"/>
  <c r="P5" i="12"/>
  <c r="E5" i="12"/>
  <c r="N8" i="12"/>
  <c r="N16" i="12"/>
  <c r="N9" i="12"/>
  <c r="P8" i="12" l="1"/>
  <c r="O8" i="12"/>
  <c r="N15" i="12"/>
  <c r="O9" i="12"/>
  <c r="P9" i="12"/>
  <c r="O16" i="12"/>
  <c r="P16" i="12"/>
  <c r="E8" i="12"/>
  <c r="E9" i="12"/>
  <c r="E16" i="12"/>
  <c r="O15" i="12" l="1"/>
  <c r="P15" i="12"/>
  <c r="E15" i="12"/>
  <c r="A4" i="12"/>
  <c r="A7" i="12"/>
  <c r="A6" i="12"/>
  <c r="A10" i="12"/>
  <c r="A13" i="12"/>
  <c r="A16" i="12"/>
  <c r="A5" i="12"/>
  <c r="A8" i="12"/>
  <c r="A15" i="12"/>
  <c r="A9" i="12"/>
  <c r="LW8" i="6"/>
  <c r="LU8" i="6"/>
  <c r="CE8" i="6" s="1"/>
  <c r="LW11" i="6"/>
  <c r="LU11" i="6"/>
  <c r="CE11" i="6" s="1"/>
  <c r="LW13" i="6"/>
  <c r="LU13" i="6"/>
  <c r="CE13" i="6" s="1"/>
  <c r="D54" i="11" l="1"/>
  <c r="C50" i="11"/>
  <c r="C57" i="11"/>
  <c r="C51" i="11"/>
  <c r="C52" i="11"/>
  <c r="C53" i="11"/>
  <c r="C54" i="11"/>
  <c r="C55" i="11"/>
  <c r="C56" i="11"/>
  <c r="G13" i="6"/>
  <c r="F13" i="6"/>
  <c r="G8" i="6"/>
  <c r="F8" i="6"/>
  <c r="G11" i="6"/>
  <c r="F11" i="6"/>
  <c r="D51" i="11"/>
  <c r="D56" i="11"/>
  <c r="D57" i="11"/>
  <c r="D50" i="11"/>
  <c r="D52" i="11"/>
  <c r="D53" i="11"/>
  <c r="D55" i="11"/>
  <c r="LX8" i="6"/>
  <c r="CF8" i="6" s="1"/>
  <c r="LX13" i="6"/>
  <c r="CF13" i="6" s="1"/>
  <c r="LX11" i="6"/>
  <c r="CF11" i="6" s="1"/>
  <c r="H11" i="6" l="1"/>
  <c r="I11" i="6" s="1"/>
  <c r="H8" i="6"/>
  <c r="I8" i="6" s="1"/>
  <c r="H13" i="6"/>
  <c r="I13" i="6" s="1"/>
  <c r="NI4" i="4"/>
  <c r="G4" i="4" s="1"/>
  <c r="F4" i="4" s="1"/>
  <c r="NI6" i="4"/>
  <c r="G6" i="4" s="1"/>
  <c r="F6" i="4" s="1"/>
  <c r="NI9" i="4"/>
  <c r="G9" i="4" s="1"/>
  <c r="F9" i="4" s="1"/>
  <c r="NI11" i="4"/>
  <c r="G11" i="4" s="1"/>
  <c r="NI8" i="4"/>
  <c r="G8" i="4" s="1"/>
  <c r="F8" i="4" s="1"/>
  <c r="NI7" i="4"/>
  <c r="G7" i="4" s="1"/>
  <c r="F7" i="4" s="1"/>
  <c r="NI19" i="4"/>
  <c r="G19" i="4" s="1"/>
  <c r="F19" i="4" s="1"/>
  <c r="NI16" i="4"/>
  <c r="G16" i="4" s="1"/>
  <c r="F16" i="4" s="1"/>
  <c r="F11" i="4" l="1"/>
  <c r="L4" i="8"/>
  <c r="M4" i="8" s="1"/>
  <c r="L5" i="7"/>
  <c r="M5" i="7" s="1"/>
  <c r="Q6" i="4" l="1"/>
  <c r="R6" i="4" s="1"/>
  <c r="Q4" i="4"/>
  <c r="R4" i="4" s="1"/>
  <c r="Q9" i="4"/>
  <c r="R9" i="4" s="1"/>
  <c r="Q16" i="4"/>
  <c r="R16" i="4" s="1"/>
  <c r="Q11" i="4"/>
  <c r="R11" i="4" s="1"/>
  <c r="Q7" i="4"/>
  <c r="R7" i="4" s="1"/>
  <c r="Q8" i="4"/>
  <c r="R8" i="4" s="1"/>
  <c r="Q19" i="4"/>
  <c r="R19" i="4" s="1"/>
  <c r="CE5" i="7" l="1"/>
  <c r="CE4" i="8"/>
  <c r="M7" i="4" l="1"/>
  <c r="L7" i="4"/>
  <c r="L8" i="4"/>
  <c r="M8" i="4"/>
  <c r="L11" i="4"/>
  <c r="M11" i="4"/>
  <c r="M16" i="4"/>
  <c r="L16" i="4"/>
  <c r="L4" i="4"/>
  <c r="M9" i="4"/>
  <c r="L9" i="4"/>
  <c r="M19" i="4"/>
  <c r="L19" i="4"/>
  <c r="L6" i="4"/>
  <c r="M6" i="4"/>
  <c r="N11" i="4" l="1"/>
  <c r="N6" i="4"/>
  <c r="N16" i="4"/>
  <c r="N8" i="4"/>
  <c r="N9" i="4"/>
  <c r="N4" i="4"/>
  <c r="N19" i="4"/>
  <c r="N7" i="4"/>
  <c r="NJ4" i="4" l="1"/>
  <c r="NK4" i="4"/>
  <c r="NN4" i="4"/>
  <c r="DI4" i="4" l="1"/>
  <c r="H4" i="4"/>
  <c r="DH4" i="4"/>
  <c r="DK4" i="4"/>
  <c r="NL4" i="4"/>
  <c r="J4" i="4" s="1"/>
  <c r="I4" i="4" l="1"/>
  <c r="NO4" i="4"/>
  <c r="DJ4" i="4"/>
  <c r="S4" i="4" l="1"/>
  <c r="U4" i="4" s="1"/>
  <c r="T4" i="4" l="1"/>
  <c r="E4" i="4"/>
  <c r="LW4" i="8" l="1"/>
  <c r="LT4" i="8"/>
  <c r="F4" i="8" l="1"/>
  <c r="CF4" i="8"/>
  <c r="LX4" i="8"/>
  <c r="NN11" i="4"/>
  <c r="NK11" i="4"/>
  <c r="NJ11" i="4"/>
  <c r="NN16" i="4"/>
  <c r="NK16" i="4"/>
  <c r="NJ16" i="4"/>
  <c r="H4" i="8" l="1"/>
  <c r="I4" i="8" s="1"/>
  <c r="DI16" i="4"/>
  <c r="DI11" i="4"/>
  <c r="DH16" i="4"/>
  <c r="DK16" i="4"/>
  <c r="DH11" i="4"/>
  <c r="DK11" i="4"/>
  <c r="NL16" i="4"/>
  <c r="NL11" i="4"/>
  <c r="H16" i="4" l="1"/>
  <c r="J16" i="4"/>
  <c r="H11" i="4"/>
  <c r="J11" i="4"/>
  <c r="NO11" i="4"/>
  <c r="NO16" i="4"/>
  <c r="DJ11" i="4"/>
  <c r="DJ16" i="4"/>
  <c r="I11" i="4" l="1"/>
  <c r="I16" i="4"/>
  <c r="A16" i="4" a="1"/>
  <c r="A16" i="4" s="1"/>
  <c r="S16" i="4"/>
  <c r="U16" i="4" s="1"/>
  <c r="N13" i="6"/>
  <c r="P13" i="6" s="1"/>
  <c r="O13" i="6" l="1"/>
  <c r="T16" i="4"/>
  <c r="E16" i="4"/>
  <c r="N4" i="8"/>
  <c r="P4" i="8" s="1"/>
  <c r="E13" i="6"/>
  <c r="NJ8" i="4"/>
  <c r="NK8" i="4"/>
  <c r="NN8" i="4"/>
  <c r="NJ6" i="4"/>
  <c r="NK6" i="4"/>
  <c r="NN6" i="4"/>
  <c r="NJ9" i="4"/>
  <c r="NK9" i="4"/>
  <c r="NN9" i="4"/>
  <c r="NJ7" i="4"/>
  <c r="NK7" i="4"/>
  <c r="NN7" i="4"/>
  <c r="NJ19" i="4"/>
  <c r="NK19" i="4"/>
  <c r="NN19" i="4"/>
  <c r="LW5" i="7"/>
  <c r="LT5" i="7"/>
  <c r="F5" i="7" l="1"/>
  <c r="O4" i="8"/>
  <c r="DI7" i="4"/>
  <c r="DK9" i="4"/>
  <c r="DH9" i="4"/>
  <c r="CF5" i="7"/>
  <c r="DK6" i="4"/>
  <c r="DH6" i="4"/>
  <c r="DH8" i="4"/>
  <c r="DK19" i="4"/>
  <c r="DH19" i="4"/>
  <c r="DK7" i="4"/>
  <c r="DH7" i="4"/>
  <c r="DI9" i="4"/>
  <c r="DI6" i="4"/>
  <c r="DK8" i="4"/>
  <c r="DI19" i="4"/>
  <c r="DI8" i="4"/>
  <c r="S11" i="4"/>
  <c r="U11" i="4" s="1"/>
  <c r="E4" i="8"/>
  <c r="A7" i="8" s="1"/>
  <c r="NL8" i="4"/>
  <c r="NL19" i="4"/>
  <c r="NL9" i="4"/>
  <c r="LX5" i="7"/>
  <c r="NL7" i="4"/>
  <c r="NL6" i="4"/>
  <c r="H5" i="7" l="1"/>
  <c r="I5" i="7" s="1"/>
  <c r="H7" i="4"/>
  <c r="I7" i="4" s="1"/>
  <c r="J7" i="4"/>
  <c r="H19" i="4"/>
  <c r="I19" i="4" s="1"/>
  <c r="J19" i="4"/>
  <c r="H9" i="4"/>
  <c r="I9" i="4" s="1"/>
  <c r="J9" i="4"/>
  <c r="H8" i="4"/>
  <c r="I8" i="4" s="1"/>
  <c r="J8" i="4"/>
  <c r="H6" i="4"/>
  <c r="J6" i="4"/>
  <c r="NO8" i="4"/>
  <c r="NO7" i="4"/>
  <c r="NO9" i="4"/>
  <c r="NO6" i="4"/>
  <c r="NO19" i="4"/>
  <c r="A5" i="7"/>
  <c r="N5" i="7"/>
  <c r="P5" i="7" s="1"/>
  <c r="DJ9" i="4"/>
  <c r="DJ8" i="4"/>
  <c r="DJ19" i="4"/>
  <c r="DJ6" i="4"/>
  <c r="DJ7" i="4"/>
  <c r="T11" i="4"/>
  <c r="E11" i="4"/>
  <c r="I6" i="4" l="1"/>
  <c r="O5" i="7"/>
  <c r="E5" i="7"/>
  <c r="A4" i="7" s="1"/>
  <c r="N11" i="6"/>
  <c r="P11" i="6" s="1"/>
  <c r="O11" i="6" l="1"/>
  <c r="N8" i="6"/>
  <c r="P8" i="6" s="1"/>
  <c r="S9" i="4"/>
  <c r="U9" i="4" s="1"/>
  <c r="E11" i="6"/>
  <c r="S19" i="4"/>
  <c r="U19" i="4" s="1"/>
  <c r="S7" i="4"/>
  <c r="U7" i="4" s="1"/>
  <c r="O8" i="6" l="1"/>
  <c r="T9" i="4"/>
  <c r="E9" i="4"/>
  <c r="S6" i="4"/>
  <c r="U6" i="4" s="1"/>
  <c r="S8" i="4"/>
  <c r="U8" i="4" s="1"/>
  <c r="T7" i="4"/>
  <c r="E7" i="4"/>
  <c r="T19" i="4"/>
  <c r="E19" i="4"/>
  <c r="E8" i="6"/>
  <c r="A7" i="6" s="1"/>
  <c r="A5" i="6" l="1"/>
  <c r="A6" i="6"/>
  <c r="A4" i="6"/>
  <c r="A6" i="8"/>
  <c r="A8" i="6"/>
  <c r="A11" i="6"/>
  <c r="A13" i="6"/>
  <c r="T8" i="4"/>
  <c r="E8" i="4"/>
  <c r="T6" i="4"/>
  <c r="E6" i="4"/>
  <c r="A8" i="4" l="1" a="1"/>
  <c r="A8" i="4" s="1"/>
  <c r="A5" i="4" a="1"/>
  <c r="A5" i="4" s="1"/>
  <c r="A10" i="4" a="1"/>
  <c r="A10" i="4" s="1"/>
  <c r="C19" i="11"/>
  <c r="A19" i="4" a="1"/>
  <c r="A19" i="4" s="1"/>
  <c r="A9" i="4" a="1"/>
  <c r="A9" i="4" s="1"/>
  <c r="A4" i="4" a="1"/>
  <c r="A4" i="4" s="1"/>
  <c r="A7" i="4" a="1"/>
  <c r="A7" i="4" s="1"/>
  <c r="C42" i="11"/>
  <c r="C43" i="11"/>
  <c r="C44" i="11"/>
  <c r="C45" i="11"/>
  <c r="C46" i="11"/>
  <c r="C47" i="11"/>
  <c r="C48" i="11"/>
  <c r="C49" i="11"/>
  <c r="A6" i="4" a="1"/>
  <c r="A6" i="4" s="1"/>
  <c r="A11" i="4" a="1"/>
  <c r="A11" i="4" s="1"/>
  <c r="D43" i="11"/>
  <c r="D44" i="11"/>
  <c r="D45" i="11"/>
  <c r="D49" i="11"/>
  <c r="D42" i="11"/>
  <c r="D46" i="11"/>
  <c r="D47" i="11"/>
  <c r="D48" i="11"/>
  <c r="A4" i="8"/>
  <c r="C26" i="1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<sst xmlns="http://schemas.openxmlformats.org/spreadsheetml/2006/main" count="3818" uniqueCount="160">
  <si>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</si>
  <si>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</si>
  <si>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</si>
  <si>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</si>
  <si>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</si>
  <si>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</si>
  <si>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</si>
  <si>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</si>
  <si>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</si>
  <si>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</si>
  <si>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</si>
  <si>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</si>
  <si>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</si>
  <si>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</si>
  <si>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</si>
  <si>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</si>
  <si>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</si>
  <si>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</si>
  <si>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</si>
  <si>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</si>
  <si>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</si>
  <si>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</si>
  <si>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</si>
  <si>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</si>
  <si>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</si>
  <si>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</si>
  <si>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</si>
  <si>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</si>
  <si>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</si>
  <si>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</si>
  <si>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</si>
  <si>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</si>
  <si>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</si>
  <si>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</si>
  <si>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</si>
  <si>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</si>
  <si>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</si>
  <si>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</si>
  <si>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</si>
  <si>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</si>
  <si>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</si>
  <si>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</si>
  <si>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</si>
  <si>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</si>
  <si>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</si>
  <si>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</si>
  <si>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LEFAIVRE, Justin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</si>
  <si>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</si>
  <si>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</si>
  <si>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</si>
  <si>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</si>
  <si>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</si>
  <si>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</si>
  <si>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</si>
  <si>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</si>
  <si>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</si>
  <si>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</si>
  <si>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</si>
  <si>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</si>
  <si>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</si>
  <si>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</si>
  <si>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</si>
  <si>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</si>
  <si>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</si>
  <si>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</si>
  <si>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</si>
  <si>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</si>
  <si>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</si>
  <si>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</si>
  <si>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</si>
  <si>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</si>
  <si>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</si>
  <si>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HIPEL, Zoe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</si>
  <si>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</si>
  <si>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</si>
  <si>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</si>
  <si>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</si>
  <si>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</si>
  <si>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</si>
  <si>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</si>
  <si>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</si>
  <si>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</si>
  <si>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</si>
  <si>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</si>
  <si>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</si>
  <si>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</si>
  <si>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</si>
  <si>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</si>
  <si>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THEODORE, Craig</t>
  </si>
  <si>
    <t>MADIGAN, Mariah</t>
  </si>
  <si>
    <t>BERTHIAUME, Sara-Jade</t>
  </si>
  <si>
    <t>KYFIUK, MacKenzie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</si>
  <si>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</si>
  <si>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</si>
  <si>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</si>
  <si>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</si>
  <si>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</si>
  <si>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</si>
  <si>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</si>
  <si>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</si>
  <si>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</si>
  <si>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</si>
  <si>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</si>
  <si>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</si>
  <si>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</si>
  <si>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</si>
  <si>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</si>
  <si>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</si>
  <si>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</si>
  <si>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</si>
  <si>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</si>
  <si>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</si>
  <si>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</si>
  <si>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</si>
  <si>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</si>
  <si>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</si>
  <si>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</si>
  <si>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</si>
  <si>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</si>
  <si>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</si>
  <si>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</si>
  <si>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</si>
  <si>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</si>
  <si>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</si>
  <si>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</si>
  <si>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</si>
  <si>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</si>
  <si>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</si>
  <si>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</si>
  <si>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</si>
  <si>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</si>
  <si>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</si>
  <si>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Best 4 Pass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</si>
  <si>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</si>
  <si>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</si>
  <si>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</si>
  <si>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</si>
  <si>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</si>
  <si>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</si>
  <si>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DUFOUR, Karine</t>
  </si>
  <si>
    <t>2021 World Cup ITA/Olympic Technical Trial (June 4/9)</t>
  </si>
  <si>
    <t>2021 Canadian Championships</t>
  </si>
  <si>
    <t>DONG, Helen</t>
  </si>
  <si>
    <t>DAWSON, David</t>
  </si>
  <si>
    <t>SOEHN, Kalena</t>
  </si>
  <si>
    <t>2021 Worlds</t>
  </si>
  <si>
    <t>2021 World Championships (Nov 18)</t>
  </si>
  <si>
    <t>2021 World Championships Prelim + Semifinals (Nov 20)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</si>
  <si>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</si>
  <si>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</si>
  <si>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</si>
  <si>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</si>
  <si>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</si>
  <si>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</si>
  <si>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</si>
  <si>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</si>
  <si>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</si>
  <si>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</si>
  <si>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Finals (Nov 21)</t>
  </si>
  <si>
    <t>2021 World Championships All-Around Team Finals (Nov 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</si>
</sst>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0" fontId="0" fillId="4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1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1"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s="126" t="s">
        <v>13</v>
      </c>
      <c r="E1" s="52"/>
      <c r="F1" s="52"/>
      <c r="J1" s="52"/>
      <c r="K1" s="52"/>
      <c r="L1" s="52"/>
    </row>
    <row r="2" spans="1:12" x14ac:dyDescent="0.2">
      <c r="A2" s="10" t="s">
        <v>57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Excellence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CRANHAM, Jacob</v>
      </c>
      <c r="D7" s="122" t="str">
        <f>IF(B7&gt;MAX('TRA-M'!A:A),"",INDEX('TRA-M'!I:I,MATCH(B7,'TRA-M'!A:A,0)))</f>
        <v>Worlds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CARISSE, Jesse</v>
      </c>
      <c r="D8" s="122" t="str">
        <f>IF(B8&gt;MAX('TRA-M'!A:A),"",INDEX('TRA-M'!I:I,MATCH(B8,'TRA-M'!A:A,0)))</f>
        <v>National Team</v>
      </c>
      <c r="G8" s="53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22" t="str">
        <f>IF(B9&gt;MAX('TRA-M'!A:A),"",INDEX('TRA-M'!I:I,MATCH(B9,'TRA-M'!A:A,0)))</f>
        <v/>
      </c>
    </row>
    <row r="10" spans="1:12" x14ac:dyDescent="0.2">
      <c r="A10" s="13" t="s">
        <v>60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MÉTHOT, Sophiane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TAM, Rachel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SMITH, Samantha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BERTHIAUME, Sara-Jade</v>
      </c>
      <c r="D15" s="128" t="str">
        <f>IF(B7&gt;MAX('TRA-W'!A:A),"",INDEX('TRA-W'!I:I,MATCH(B7,'TRA-W'!A:A,0)))</f>
        <v>National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MADIGAN, Mariah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BONHAM, Maja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61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x14ac:dyDescent="0.2">
      <c r="A22" s="13" t="s">
        <v>62</v>
      </c>
      <c r="B22" s="13">
        <v>1</v>
      </c>
      <c r="C22" s="13" t="str">
        <f>IF(B2&gt;MAX('SYN-W'!A:A),"",INDEX('SYN-W'!B:B,MATCH(B2,'SYN-W'!A:A,0)))</f>
        <v>MÉTHOT &amp; MILETTE</v>
      </c>
      <c r="D22" s="123" t="str">
        <f>IF(B2&gt;MAX('SYN-W'!A:A),"",INDEX('SYN-W'!I:I,MATCH(B2,'SYN-W'!A:A,0)))</f>
        <v>National Team</v>
      </c>
    </row>
    <row r="23" spans="1:10" hidden="1" x14ac:dyDescent="0.2">
      <c r="A23" s="13"/>
      <c r="B23" s="13">
        <v>2</v>
      </c>
      <c r="C23" s="13" t="str">
        <f>IF(B3&gt;MAX('SYN-W'!A:A),"",INDEX('SYN-W'!B:B,MATCH(B3,'SYN-W'!A:A,0)))</f>
        <v/>
      </c>
      <c r="D23" s="128" t="str">
        <f>IF(B3&gt;MAX('SYN-W'!A:A),"",INDEX('SYN-W'!I:I,MATCH(B3,'SYN-W'!A:A,0)))</f>
        <v/>
      </c>
    </row>
    <row r="24" spans="1:10" hidden="1" x14ac:dyDescent="0.2">
      <c r="A24" s="13"/>
      <c r="B24" s="13">
        <v>3</v>
      </c>
      <c r="C24" s="13" t="str">
        <f>IF(B4&gt;MAX('SYN-W'!A:A),"",INDEX('SYN-W'!B:B,MATCH(B4,'SYN-W'!A:A,0)))</f>
        <v/>
      </c>
      <c r="D24" s="128" t="str">
        <f>IF(B4&gt;MAX('SYN-W'!A:A),"",INDEX('SYN-W'!I:I,MATCH(B4,'SYN-W'!A:A,0)))</f>
        <v/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63</v>
      </c>
      <c r="B26" s="10">
        <v>1</v>
      </c>
      <c r="C26" s="10" t="str">
        <f>IF(B2&gt;MAX('TUM-M'!A:A),"",INDEX('TUM-M'!B:B,MATCH(B2,'TUM-M'!A:A,0)))</f>
        <v>PEDERSEN, Mitchel</v>
      </c>
      <c r="D26" s="122" t="str">
        <f>IF(B2&gt;MAX('TUM-M'!A:A),"",INDEX('TUM-M'!H:H,MATCH(B2,'TUM-M'!A:A,0)))</f>
        <v>National Team</v>
      </c>
    </row>
    <row r="27" spans="1:10" hidden="1" x14ac:dyDescent="0.2">
      <c r="A27" s="10"/>
      <c r="B27" s="10">
        <v>2</v>
      </c>
      <c r="C27" s="10" t="str">
        <f>IF(B3&gt;MAX('TUM-M'!A:A),"",INDEX('TUM-M'!B:B,MATCH(B3,'TUM-M'!A:A,0)))</f>
        <v/>
      </c>
      <c r="D27" s="122" t="str">
        <f>IF(B3&gt;MAX('TUM-M'!A:A),"",INDEX('TUM-M'!H:H,MATCH(B3,'TUM-M'!A:A,0)))</f>
        <v/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64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National Team</v>
      </c>
    </row>
    <row r="35" spans="1:4" hidden="1" x14ac:dyDescent="0.2">
      <c r="A35" s="13"/>
      <c r="B35" s="13">
        <v>2</v>
      </c>
      <c r="C35" s="13" t="str">
        <f>IF(B3&gt;MAX('TUM-W'!A:A),"",INDEX('TUM-W'!B:B,MATCH(B3,'TUM-W'!A:A,0)))</f>
        <v/>
      </c>
      <c r="D35" s="123" t="str">
        <f>IF(B3&gt;MAX('TUM-W'!A:A),"",INDEX('TUM-W'!H:H,MATCH(B3,'TUM-W'!A:A,0)))</f>
        <v/>
      </c>
    </row>
    <row r="36" spans="1:4" hidden="1" x14ac:dyDescent="0.2">
      <c r="A36" s="13"/>
      <c r="B36" s="13">
        <v>3</v>
      </c>
      <c r="C36" s="13" t="str">
        <f>IF(B4&gt;MAX('TUM-W'!A:A),"",INDEX('TUM-W'!B:B,MATCH(B4,'TUM-W'!A:A,0)))</f>
        <v/>
      </c>
      <c r="D36" s="123" t="str">
        <f>IF(B4&gt;MAX('TUM-W'!A:A),"",INDEX('TUM-W'!H:H,MATCH(B4,'TUM-W'!A:A,0)))</f>
        <v/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65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PEDERSEN, Mitchel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hidden="1" x14ac:dyDescent="0.2">
      <c r="A46" s="10"/>
      <c r="B46" s="10">
        <v>5</v>
      </c>
      <c r="C46" s="10" t="str">
        <f>IF(B6&gt;MAX('DMT-M'!A:A),"",INDEX('DMT-M'!B:B,MATCH(B6,'DMT-M'!A:A,0)))</f>
        <v/>
      </c>
      <c r="D46" s="122" t="str">
        <f>IF(B6&gt;MAX('DMT-M'!A:A),"",INDEX('DMT-M'!H:H,MATCH(B6,'DMT-M'!A:A,0)))</f>
        <v/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122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122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122" t="str">
        <f>IF(B9&gt;MAX('DMT-M'!A:A),"",INDEX('DMT-M'!H:H,MATCH(B9,'DMT-M'!A:A,0)))</f>
        <v/>
      </c>
    </row>
    <row r="50" spans="1:5" x14ac:dyDescent="0.2">
      <c r="A50" s="13" t="s">
        <v>66</v>
      </c>
      <c r="B50" s="13">
        <v>1</v>
      </c>
      <c r="C50" s="13" t="str">
        <f>IF(B2&gt;MAX('DMT-W'!A:A),"",INDEX('DMT-W'!B:B,MATCH(B2,'DMT-W'!A:A,0)))</f>
        <v>BROWN, Hannah</v>
      </c>
      <c r="D50" s="123" t="str">
        <f>IF(B2&gt;MAX('DMT-W'!A:A),"",INDEX('DMT-W'!H:H,MATCH(B2,'DMT-W'!A:A,0)))</f>
        <v>Worlds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METHERAL,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Worlds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PHANEUF, Zoe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ROUX, Laurence</v>
      </c>
      <c r="D54" s="134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HOWELL, Kayla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54</v>
      </c>
    </row>
    <row r="60" spans="1:5" x14ac:dyDescent="0.2">
      <c r="B60" s="52" t="s">
        <v>52</v>
      </c>
    </row>
    <row r="61" spans="1:5" x14ac:dyDescent="0.2">
      <c r="B61" s="52" t="s">
        <v>53</v>
      </c>
    </row>
    <row r="62" spans="1:5" x14ac:dyDescent="0.2">
      <c r="B62" s="26" t="s">
        <v>79</v>
      </c>
      <c r="D62" s="52" t="s">
        <v>77</v>
      </c>
    </row>
    <row r="63" spans="1:5" x14ac:dyDescent="0.2">
      <c r="B63" s="26" t="s">
        <v>93</v>
      </c>
      <c r="D63" s="52" t="s">
        <v>77</v>
      </c>
      <c r="E63" t="s">
        <v>77</v>
      </c>
    </row>
    <row r="64" spans="1:5" x14ac:dyDescent="0.2">
      <c r="B64" s="52" t="s">
        <v>78</v>
      </c>
      <c r="D64" s="52"/>
    </row>
    <row r="65" spans="1:4" x14ac:dyDescent="0.2">
      <c r="B65" s="52" t="s">
        <v>94</v>
      </c>
      <c r="D65" s="52"/>
    </row>
    <row r="66" spans="1:4" x14ac:dyDescent="0.2">
      <c r="A66" t="s">
        <v>59</v>
      </c>
      <c r="B66" s="135">
        <v>44523</v>
      </c>
      <c r="C66" s="135"/>
    </row>
    <row r="67" spans="1:4" x14ac:dyDescent="0.2">
      <c r="B67" s="107" t="s">
        <v>145</v>
      </c>
    </row>
    <row r="68" spans="1:4" x14ac:dyDescent="0.2">
      <c r="B68" s="107"/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0" priority="1" operator="containsText" text="No DD">
      <formula>NOT(ISERROR(SEARCH("No DD",D2)))</formula>
    </cfRule>
    <cfRule type="containsText" dxfId="209" priority="4" operator="containsText" text="Merit">
      <formula>NOT(ISERROR(SEARCH("Merit",D2)))</formula>
    </cfRule>
    <cfRule type="containsText" dxfId="208" priority="5" operator="containsText" text="Excellence">
      <formula>NOT(ISERROR(SEARCH("Excellence",D2)))</formula>
    </cfRule>
    <cfRule type="containsText" dxfId="207" priority="6" operator="containsText" text="Worlds Team">
      <formula>NOT(ISERROR(SEARCH("Worlds Team",D2)))</formula>
    </cfRule>
    <cfRule type="containsText" dxfId="20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141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140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 t="s">
        <v>146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 t="s">
        <v>159</v>
      </c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77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76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09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35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36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35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36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35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36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35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36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35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36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35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36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0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35" t="s">
        <v>19</v>
      </c>
      <c r="W3" s="35" t="s">
        <v>20</v>
      </c>
      <c r="X3" s="35" t="s">
        <v>11</v>
      </c>
      <c r="Y3" s="35" t="s">
        <v>21</v>
      </c>
      <c r="Z3" s="46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35" t="s">
        <v>19</v>
      </c>
      <c r="AG3" s="35" t="s">
        <v>20</v>
      </c>
      <c r="AH3" s="35" t="s">
        <v>11</v>
      </c>
      <c r="AI3" s="35" t="s">
        <v>21</v>
      </c>
      <c r="AJ3" s="46" t="s">
        <v>40</v>
      </c>
      <c r="AK3" s="35" t="s">
        <v>19</v>
      </c>
      <c r="AL3" s="35" t="s">
        <v>20</v>
      </c>
      <c r="AM3" s="35" t="s">
        <v>11</v>
      </c>
      <c r="AN3" s="35" t="s">
        <v>21</v>
      </c>
      <c r="AO3" s="46" t="s">
        <v>40</v>
      </c>
      <c r="AP3" s="77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19</v>
      </c>
      <c r="BA3" s="36" t="s">
        <v>20</v>
      </c>
      <c r="BB3" s="36" t="s">
        <v>11</v>
      </c>
      <c r="BC3" s="36" t="s">
        <v>21</v>
      </c>
      <c r="BD3" s="47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36" t="s">
        <v>19</v>
      </c>
      <c r="BK3" s="36" t="s">
        <v>20</v>
      </c>
      <c r="BL3" s="36" t="s">
        <v>11</v>
      </c>
      <c r="BM3" s="36" t="s">
        <v>21</v>
      </c>
      <c r="BN3" s="47" t="s">
        <v>40</v>
      </c>
      <c r="BO3" s="36" t="s">
        <v>19</v>
      </c>
      <c r="BP3" s="36" t="s">
        <v>20</v>
      </c>
      <c r="BQ3" s="36" t="s">
        <v>11</v>
      </c>
      <c r="BR3" s="47" t="s">
        <v>21</v>
      </c>
      <c r="BS3" s="36" t="s">
        <v>40</v>
      </c>
      <c r="BT3" s="76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19</v>
      </c>
      <c r="CE3" s="109" t="s">
        <v>20</v>
      </c>
      <c r="CF3" s="109" t="s">
        <v>11</v>
      </c>
      <c r="CG3" s="109" t="s">
        <v>21</v>
      </c>
      <c r="CH3" s="109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09" t="s">
        <v>19</v>
      </c>
      <c r="CO3" s="109" t="s">
        <v>20</v>
      </c>
      <c r="CP3" s="109" t="s">
        <v>11</v>
      </c>
      <c r="CQ3" s="109" t="s">
        <v>21</v>
      </c>
      <c r="CR3" s="109" t="s">
        <v>40</v>
      </c>
      <c r="CS3" s="109" t="s">
        <v>19</v>
      </c>
      <c r="CT3" s="109" t="s">
        <v>20</v>
      </c>
      <c r="CU3" s="109" t="s">
        <v>11</v>
      </c>
      <c r="CV3" s="109" t="s">
        <v>21</v>
      </c>
      <c r="CW3" s="109" t="s">
        <v>40</v>
      </c>
      <c r="CX3" s="109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19</v>
      </c>
      <c r="DM3" s="35" t="s">
        <v>20</v>
      </c>
      <c r="DN3" s="35" t="s">
        <v>11</v>
      </c>
      <c r="DO3" s="35" t="s">
        <v>21</v>
      </c>
      <c r="DP3" s="46" t="s">
        <v>40</v>
      </c>
      <c r="DQ3" s="35" t="s">
        <v>19</v>
      </c>
      <c r="DR3" s="35" t="s">
        <v>20</v>
      </c>
      <c r="DS3" s="35" t="s">
        <v>11</v>
      </c>
      <c r="DT3" s="35" t="s">
        <v>21</v>
      </c>
      <c r="DU3" s="46" t="s">
        <v>40</v>
      </c>
      <c r="DV3" s="35" t="s">
        <v>19</v>
      </c>
      <c r="DW3" s="35" t="s">
        <v>20</v>
      </c>
      <c r="DX3" s="35" t="s">
        <v>11</v>
      </c>
      <c r="DY3" s="35" t="s">
        <v>21</v>
      </c>
      <c r="DZ3" s="46" t="s">
        <v>40</v>
      </c>
      <c r="EA3" s="10"/>
      <c r="EB3" s="9"/>
      <c r="EC3" s="9"/>
      <c r="ED3" s="9"/>
      <c r="EE3" s="9"/>
      <c r="EF3" s="10"/>
      <c r="EG3" s="10"/>
      <c r="EH3" s="36" t="s">
        <v>19</v>
      </c>
      <c r="EI3" s="36" t="s">
        <v>20</v>
      </c>
      <c r="EJ3" s="36" t="s">
        <v>11</v>
      </c>
      <c r="EK3" s="36" t="s">
        <v>21</v>
      </c>
      <c r="EL3" s="47" t="s">
        <v>40</v>
      </c>
      <c r="EM3" s="36" t="s">
        <v>19</v>
      </c>
      <c r="EN3" s="36" t="s">
        <v>20</v>
      </c>
      <c r="EO3" s="36" t="s">
        <v>11</v>
      </c>
      <c r="EP3" s="36" t="s">
        <v>21</v>
      </c>
      <c r="EQ3" s="47" t="s">
        <v>40</v>
      </c>
      <c r="ER3" s="36" t="s">
        <v>19</v>
      </c>
      <c r="ES3" s="36" t="s">
        <v>20</v>
      </c>
      <c r="ET3" s="36" t="s">
        <v>11</v>
      </c>
      <c r="EU3" s="36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35" t="s">
        <v>19</v>
      </c>
      <c r="FE3" s="35" t="s">
        <v>20</v>
      </c>
      <c r="FF3" s="35" t="s">
        <v>11</v>
      </c>
      <c r="FG3" s="35" t="s">
        <v>21</v>
      </c>
      <c r="FH3" s="46" t="s">
        <v>40</v>
      </c>
      <c r="FI3" s="35" t="s">
        <v>19</v>
      </c>
      <c r="FJ3" s="35" t="s">
        <v>20</v>
      </c>
      <c r="FK3" s="35" t="s">
        <v>11</v>
      </c>
      <c r="FL3" s="35" t="s">
        <v>21</v>
      </c>
      <c r="FM3" s="46" t="s">
        <v>40</v>
      </c>
      <c r="FN3" s="35" t="s">
        <v>19</v>
      </c>
      <c r="FO3" s="35" t="s">
        <v>20</v>
      </c>
      <c r="FP3" s="35" t="s">
        <v>11</v>
      </c>
      <c r="FQ3" s="35" t="s">
        <v>21</v>
      </c>
      <c r="FR3" s="46" t="s">
        <v>40</v>
      </c>
      <c r="FS3" s="10"/>
      <c r="FT3" s="9"/>
      <c r="FU3" s="9"/>
      <c r="FV3" s="9"/>
      <c r="FW3" s="9"/>
      <c r="FX3" s="10"/>
      <c r="FY3" s="10"/>
      <c r="FZ3" s="36" t="s">
        <v>19</v>
      </c>
      <c r="GA3" s="36" t="s">
        <v>20</v>
      </c>
      <c r="GB3" s="36" t="s">
        <v>11</v>
      </c>
      <c r="GC3" s="36" t="s">
        <v>21</v>
      </c>
      <c r="GD3" s="47" t="s">
        <v>40</v>
      </c>
      <c r="GE3" s="36" t="s">
        <v>19</v>
      </c>
      <c r="GF3" s="36" t="s">
        <v>20</v>
      </c>
      <c r="GG3" s="36" t="s">
        <v>11</v>
      </c>
      <c r="GH3" s="36" t="s">
        <v>21</v>
      </c>
      <c r="GI3" s="47" t="s">
        <v>40</v>
      </c>
      <c r="GJ3" s="36" t="s">
        <v>19</v>
      </c>
      <c r="GK3" s="36" t="s">
        <v>20</v>
      </c>
      <c r="GL3" s="36" t="s">
        <v>11</v>
      </c>
      <c r="GM3" s="36" t="s">
        <v>21</v>
      </c>
      <c r="GN3" s="47" t="s">
        <v>40</v>
      </c>
      <c r="GO3" s="13"/>
      <c r="GP3" s="12"/>
      <c r="GQ3" s="12"/>
      <c r="GR3" s="12"/>
      <c r="GS3" s="12"/>
      <c r="GT3" s="13"/>
      <c r="GU3" s="13"/>
      <c r="GV3" s="35" t="s">
        <v>19</v>
      </c>
      <c r="GW3" s="35" t="s">
        <v>20</v>
      </c>
      <c r="GX3" s="35" t="s">
        <v>11</v>
      </c>
      <c r="GY3" s="35" t="s">
        <v>21</v>
      </c>
      <c r="GZ3" s="46" t="s">
        <v>40</v>
      </c>
      <c r="HA3" s="35" t="s">
        <v>19</v>
      </c>
      <c r="HB3" s="35" t="s">
        <v>20</v>
      </c>
      <c r="HC3" s="35" t="s">
        <v>11</v>
      </c>
      <c r="HD3" s="35" t="s">
        <v>21</v>
      </c>
      <c r="HE3" s="46" t="s">
        <v>40</v>
      </c>
      <c r="HF3" s="35" t="s">
        <v>19</v>
      </c>
      <c r="HG3" s="35" t="s">
        <v>20</v>
      </c>
      <c r="HH3" s="35" t="s">
        <v>11</v>
      </c>
      <c r="HI3" s="35" t="s">
        <v>21</v>
      </c>
      <c r="HJ3" s="46" t="s">
        <v>40</v>
      </c>
      <c r="HK3" s="10"/>
      <c r="HL3" s="9"/>
      <c r="HM3" s="9"/>
      <c r="HN3" s="9"/>
      <c r="HO3" s="9"/>
      <c r="HP3" s="10"/>
      <c r="HQ3" s="10"/>
      <c r="HR3" s="36" t="s">
        <v>19</v>
      </c>
      <c r="HS3" s="36" t="s">
        <v>20</v>
      </c>
      <c r="HT3" s="36" t="s">
        <v>11</v>
      </c>
      <c r="HU3" s="36" t="s">
        <v>21</v>
      </c>
      <c r="HV3" s="47" t="s">
        <v>40</v>
      </c>
      <c r="HW3" s="36" t="s">
        <v>19</v>
      </c>
      <c r="HX3" s="36" t="s">
        <v>20</v>
      </c>
      <c r="HY3" s="36" t="s">
        <v>11</v>
      </c>
      <c r="HZ3" s="36" t="s">
        <v>21</v>
      </c>
      <c r="IA3" s="47" t="s">
        <v>40</v>
      </c>
      <c r="IB3" s="36" t="s">
        <v>19</v>
      </c>
      <c r="IC3" s="36" t="s">
        <v>20</v>
      </c>
      <c r="ID3" s="36" t="s">
        <v>11</v>
      </c>
      <c r="IE3" s="36" t="s">
        <v>21</v>
      </c>
      <c r="IF3" s="47" t="s">
        <v>40</v>
      </c>
      <c r="IG3" s="13"/>
      <c r="IH3" s="12"/>
      <c r="II3" s="12"/>
      <c r="IJ3" s="12"/>
      <c r="IK3" s="12"/>
      <c r="IL3" s="13"/>
      <c r="IM3" s="13"/>
      <c r="IN3" s="35" t="s">
        <v>19</v>
      </c>
      <c r="IO3" s="35" t="s">
        <v>20</v>
      </c>
      <c r="IP3" s="35" t="s">
        <v>11</v>
      </c>
      <c r="IQ3" s="35" t="s">
        <v>21</v>
      </c>
      <c r="IR3" s="46" t="s">
        <v>40</v>
      </c>
      <c r="IS3" s="35" t="s">
        <v>19</v>
      </c>
      <c r="IT3" s="35" t="s">
        <v>20</v>
      </c>
      <c r="IU3" s="35" t="s">
        <v>11</v>
      </c>
      <c r="IV3" s="35" t="s">
        <v>21</v>
      </c>
      <c r="IW3" s="46" t="s">
        <v>40</v>
      </c>
      <c r="IX3" s="35" t="s">
        <v>19</v>
      </c>
      <c r="IY3" s="35" t="s">
        <v>20</v>
      </c>
      <c r="IZ3" s="35" t="s">
        <v>11</v>
      </c>
      <c r="JA3" s="35" t="s">
        <v>21</v>
      </c>
      <c r="JB3" s="46" t="s">
        <v>40</v>
      </c>
      <c r="JC3" s="10"/>
      <c r="JD3" s="9"/>
      <c r="JE3" s="9"/>
      <c r="JF3" s="9"/>
      <c r="JG3" s="9"/>
      <c r="JH3" s="10"/>
      <c r="JI3" s="10"/>
      <c r="JJ3" s="36" t="s">
        <v>19</v>
      </c>
      <c r="JK3" s="36" t="s">
        <v>20</v>
      </c>
      <c r="JL3" s="36" t="s">
        <v>11</v>
      </c>
      <c r="JM3" s="36" t="s">
        <v>21</v>
      </c>
      <c r="JN3" s="47" t="s">
        <v>40</v>
      </c>
      <c r="JO3" s="36" t="s">
        <v>19</v>
      </c>
      <c r="JP3" s="36" t="s">
        <v>20</v>
      </c>
      <c r="JQ3" s="36" t="s">
        <v>11</v>
      </c>
      <c r="JR3" s="36" t="s">
        <v>21</v>
      </c>
      <c r="JS3" s="47" t="s">
        <v>40</v>
      </c>
      <c r="JT3" s="36" t="s">
        <v>19</v>
      </c>
      <c r="JU3" s="36" t="s">
        <v>20</v>
      </c>
      <c r="JV3" s="36" t="s">
        <v>11</v>
      </c>
      <c r="JW3" s="36" t="s">
        <v>21</v>
      </c>
      <c r="JX3" s="47" t="s">
        <v>40</v>
      </c>
      <c r="JY3" s="13"/>
      <c r="JZ3" s="12"/>
      <c r="KA3" s="12"/>
      <c r="KB3" s="12"/>
      <c r="KC3" s="12"/>
      <c r="KD3" s="13"/>
      <c r="KE3" s="13"/>
      <c r="KF3" s="35" t="s">
        <v>19</v>
      </c>
      <c r="KG3" s="35" t="s">
        <v>20</v>
      </c>
      <c r="KH3" s="35" t="s">
        <v>11</v>
      </c>
      <c r="KI3" s="35" t="s">
        <v>21</v>
      </c>
      <c r="KJ3" s="46" t="s">
        <v>40</v>
      </c>
      <c r="KK3" s="35" t="s">
        <v>19</v>
      </c>
      <c r="KL3" s="35" t="s">
        <v>20</v>
      </c>
      <c r="KM3" s="35" t="s">
        <v>11</v>
      </c>
      <c r="KN3" s="35" t="s">
        <v>21</v>
      </c>
      <c r="KO3" s="46" t="s">
        <v>40</v>
      </c>
      <c r="KP3" s="35" t="s">
        <v>19</v>
      </c>
      <c r="KQ3" s="35" t="s">
        <v>20</v>
      </c>
      <c r="KR3" s="35" t="s">
        <v>11</v>
      </c>
      <c r="KS3" s="35" t="s">
        <v>21</v>
      </c>
      <c r="KT3" s="46" t="s">
        <v>40</v>
      </c>
      <c r="KU3" s="10"/>
      <c r="KV3" s="9"/>
      <c r="KW3" s="9"/>
      <c r="KX3" s="9"/>
      <c r="KY3" s="9"/>
      <c r="KZ3" s="10"/>
      <c r="LA3" s="10"/>
      <c r="LB3" s="36" t="s">
        <v>19</v>
      </c>
      <c r="LC3" s="36" t="s">
        <v>20</v>
      </c>
      <c r="LD3" s="36" t="s">
        <v>11</v>
      </c>
      <c r="LE3" s="36" t="s">
        <v>21</v>
      </c>
      <c r="LF3" s="47" t="s">
        <v>40</v>
      </c>
      <c r="LG3" s="36" t="s">
        <v>19</v>
      </c>
      <c r="LH3" s="36" t="s">
        <v>20</v>
      </c>
      <c r="LI3" s="36" t="s">
        <v>11</v>
      </c>
      <c r="LJ3" s="36" t="s">
        <v>21</v>
      </c>
      <c r="LK3" s="47" t="s">
        <v>40</v>
      </c>
      <c r="LL3" s="36" t="s">
        <v>19</v>
      </c>
      <c r="LM3" s="36" t="s">
        <v>20</v>
      </c>
      <c r="LN3" s="36" t="s">
        <v>11</v>
      </c>
      <c r="LO3" s="36" t="s">
        <v>21</v>
      </c>
      <c r="LP3" s="47" t="s">
        <v>40</v>
      </c>
      <c r="LQ3" s="13"/>
      <c r="LR3" s="12"/>
      <c r="LS3" s="12"/>
      <c r="LT3" s="12"/>
      <c r="LU3" s="12"/>
      <c r="LV3" s="13"/>
      <c r="LW3" s="13"/>
      <c r="LX3" s="35" t="s">
        <v>19</v>
      </c>
      <c r="LY3" s="35" t="s">
        <v>20</v>
      </c>
      <c r="LZ3" s="35" t="s">
        <v>11</v>
      </c>
      <c r="MA3" s="35" t="s">
        <v>21</v>
      </c>
      <c r="MB3" s="46" t="s">
        <v>40</v>
      </c>
      <c r="MC3" s="35" t="s">
        <v>19</v>
      </c>
      <c r="MD3" s="35" t="s">
        <v>20</v>
      </c>
      <c r="ME3" s="35" t="s">
        <v>11</v>
      </c>
      <c r="MF3" s="35" t="s">
        <v>21</v>
      </c>
      <c r="MG3" s="46" t="s">
        <v>40</v>
      </c>
      <c r="MH3" s="35" t="s">
        <v>19</v>
      </c>
      <c r="MI3" s="35" t="s">
        <v>20</v>
      </c>
      <c r="MJ3" s="35" t="s">
        <v>11</v>
      </c>
      <c r="MK3" s="35" t="s">
        <v>21</v>
      </c>
      <c r="ML3" s="46" t="s">
        <v>40</v>
      </c>
      <c r="MM3" s="10"/>
      <c r="MN3" s="9"/>
      <c r="MO3" s="9"/>
      <c r="MP3" s="9"/>
      <c r="MQ3" s="9"/>
      <c r="MR3" s="10"/>
      <c r="MS3" s="10"/>
      <c r="MT3" s="36" t="s">
        <v>19</v>
      </c>
      <c r="MU3" s="36" t="s">
        <v>20</v>
      </c>
      <c r="MV3" s="36" t="s">
        <v>11</v>
      </c>
      <c r="MW3" s="36" t="s">
        <v>21</v>
      </c>
      <c r="MX3" s="47" t="s">
        <v>40</v>
      </c>
      <c r="MY3" s="36" t="s">
        <v>19</v>
      </c>
      <c r="MZ3" s="36" t="s">
        <v>20</v>
      </c>
      <c r="NA3" s="36" t="s">
        <v>11</v>
      </c>
      <c r="NB3" s="36" t="s">
        <v>21</v>
      </c>
      <c r="NC3" s="47" t="s">
        <v>40</v>
      </c>
      <c r="ND3" s="36" t="s">
        <v>19</v>
      </c>
      <c r="NE3" s="36" t="s">
        <v>20</v>
      </c>
      <c r="NF3" s="36" t="s">
        <v>11</v>
      </c>
      <c r="NG3" s="36" t="s">
        <v>21</v>
      </c>
      <c r="NH3" s="47" t="s">
        <v>40</v>
      </c>
      <c r="NI3" s="13"/>
      <c r="NJ3" s="12"/>
      <c r="NK3" s="12"/>
      <c r="NL3" s="12"/>
      <c r="NM3" s="12"/>
      <c r="NN3" s="13"/>
      <c r="NO3" s="13"/>
      <c r="NP3" s="102" t="s">
        <v>19</v>
      </c>
      <c r="NQ3" s="102" t="s">
        <v>20</v>
      </c>
      <c r="NR3" s="102" t="s">
        <v>11</v>
      </c>
      <c r="NS3" s="102" t="s">
        <v>21</v>
      </c>
      <c r="NT3" s="10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02" t="s">
        <v>19</v>
      </c>
      <c r="OA3" s="102" t="s">
        <v>20</v>
      </c>
      <c r="OB3" s="102" t="s">
        <v>11</v>
      </c>
      <c r="OC3" s="102" t="s">
        <v>21</v>
      </c>
      <c r="OD3" s="102" t="s">
        <v>40</v>
      </c>
      <c r="OE3" s="102" t="s">
        <v>19</v>
      </c>
      <c r="OF3" s="102" t="s">
        <v>20</v>
      </c>
      <c r="OG3" s="102" t="s">
        <v>11</v>
      </c>
      <c r="OH3" s="102" t="s">
        <v>21</v>
      </c>
      <c r="OI3" s="102" t="s">
        <v>40</v>
      </c>
      <c r="OJ3" s="10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IF(AND(G4&lt;&gt;"",H4&lt;&gt;""),SUMPRODUCT((G$4:G$21&lt;&gt;"")*(H$4:H$21&lt;&gt;"")*(E$4:E$21&gt;E4))+1,IF(H4&lt;&gt;"",SUMPRODUCT((I$4:I$21="No DD")*(E$4:E$21&gt;E4))+1+SUMPRODUCT((G$4:G$21&lt;&gt;"")*(H$4:H$21&lt;&gt;"")),""))</f>
        <v>1</v>
      </c>
      <c r="B4" s="6" t="s">
        <v>80</v>
      </c>
      <c r="C4" s="7" t="s">
        <v>9</v>
      </c>
      <c r="D4" s="7">
        <v>2001</v>
      </c>
      <c r="E4" s="15">
        <f>SUM(K4:S4)</f>
        <v>280.08499999999998</v>
      </c>
      <c r="F4" s="3" t="str">
        <f>IF(G4&lt;&gt;"","P","")</f>
        <v>P</v>
      </c>
      <c r="G4" s="125" t="str">
        <f>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Merit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Excellence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Worlds Team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National Team",""))))</f>
        <v>Merit</v>
      </c>
      <c r="H4" s="125" t="str">
        <f>IF(OR(AND(AS4&gt;=AY$30,AS4&lt;&gt;"",AP4=""),AND(AU4&gt;=AY$30,AU4&lt;&gt;"",AP4=""),AND(AX4&gt;=AY$30,AX4&lt;&gt;"",AP4=""),AND(BW4&gt;=CC$30,BW4&lt;&gt;"",BT4=""),AND(BY4&gt;=CC$30,BY4&lt;&gt;"",BT4=""),AND(CB4&gt;=CC$30,CB4&lt;&gt;"",BT4=""),AND(DA4&gt;=DG$30,DA4&lt;&gt;"",CX4=""),AND(DC4&gt;=DG$30,DC4&lt;&gt;"",CX4=""),AND(DF4&gt;=DG$30,DF4&lt;&gt;"",CX4=""),AND(EC4&gt;=EG$30,EC4&lt;&gt;""),AND(EF4&gt;=EG$30,EF4&lt;&gt;""),AND(EY4&gt;=FC$30,EY4&lt;&gt;""),AND(FB4&gt;=FC$30,FB4&lt;&gt;""),AND(FU4&gt;=FY$30,FU4&lt;&gt;""),AND(FX4&gt;=FY$30,FX4&lt;&gt;""),AND(GQ4&gt;=GU$30,GQ4&lt;&gt;""),AND(GT4&gt;=GU$30,GT4&lt;&gt;""),AND(HM4&gt;=HQ$30,HM4&lt;&gt;""),AND(HP4&gt;=HQ$30,HP4&lt;&gt;""),AND(II4&gt;=IM$30,II4&lt;&gt;""),AND(IL4&gt;=IM$30,IL4&lt;&gt;""),AND(JE4&gt;=JI$30,JE4&lt;&gt;""),AND(JH4&gt;=JI$30,JH4&lt;&gt;""),AND(KA4&gt;=KE$30,KA4&lt;&gt;""),AND(KD4&gt;=KE$30,KD4&lt;&gt;""),AND(KW4&gt;=LA$30,KW4&lt;&gt;""),AND(KZ4&gt;=LA$30,KZ4&lt;&gt;""),AND(LS4&gt;=LW$30,LS4&lt;&gt;""),AND(LV4&gt;=LW$30,LV4&lt;&gt;""),AND(MO4&gt;=MS$30,MO4&lt;&gt;""),AND(MR4&gt;=MS$30,MR4&lt;&gt;""),AND(NK4&gt;=NO$30,NK4&lt;&gt;""),AND(NN4&gt;=NO$30,NN4&lt;&gt;"")),"Merit",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Excellence",IF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"Worlds Team",IF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Excellence</v>
      </c>
      <c r="J4" s="3" t="str">
        <f>IF(AND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OR(G4="Worlds Team",G4="Excellence",G4="Merit")),"P","")</f>
        <v>P</v>
      </c>
      <c r="K4" s="14">
        <f>IF(MAX(AV4,BZ4,DD4)&gt;0,MAX(AV4,BZ4,DD4),0)</f>
        <v>110.75999999999999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52.155000000000001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56.745000000000005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59.36</v>
      </c>
      <c r="R4" s="14" t="str">
        <f>IF(Q4=0,"",IF(Q4=DF4,$CD$1,IF(Q4=CB4,$AZ$1,IF(Q4=AX4,$V$1,""))))</f>
        <v>2021 2nd Virtual Technical Trial</v>
      </c>
      <c r="S4" s="14">
        <f>IF(MAX(DH4,DI4,DJ4,DK4)&gt;0,MAX(DH4,DI4,DJ4,DK4),"")</f>
        <v>1.0649999999999977</v>
      </c>
      <c r="T4" s="25" t="str">
        <f>IF(S4="","",IF(S4=DH4,"(Vol 1)",IF(S4=DI4,"(Vol 2)",IF(S4=DJ4,"(Prelim)",IF(S4=DK4,"(Final)")))))</f>
        <v>(Vol 2)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2021 World Cup ITA/Olympic Technical Trial (June 4/9)</v>
      </c>
      <c r="V4" s="69">
        <v>18.8</v>
      </c>
      <c r="W4" s="69">
        <v>8.5</v>
      </c>
      <c r="X4" s="69">
        <v>6.1</v>
      </c>
      <c r="Y4" s="69">
        <v>18.329999999999998</v>
      </c>
      <c r="Z4" s="69">
        <v>0</v>
      </c>
      <c r="AA4" s="69">
        <v>16.3</v>
      </c>
      <c r="AB4" s="69">
        <v>8.4</v>
      </c>
      <c r="AC4" s="69">
        <v>15.2</v>
      </c>
      <c r="AD4" s="69">
        <v>16.844999999999999</v>
      </c>
      <c r="AE4" s="69">
        <v>0</v>
      </c>
      <c r="AF4" s="69">
        <v>16.600000000000001</v>
      </c>
      <c r="AG4" s="69">
        <v>9.1</v>
      </c>
      <c r="AH4" s="69">
        <v>16.2</v>
      </c>
      <c r="AI4" s="69">
        <v>17.13</v>
      </c>
      <c r="AJ4" s="69">
        <v>0</v>
      </c>
      <c r="AK4" s="69">
        <v>16.8</v>
      </c>
      <c r="AL4" s="69">
        <v>9.1</v>
      </c>
      <c r="AM4" s="69">
        <v>16.2</v>
      </c>
      <c r="AN4" s="69">
        <v>17.260000000000002</v>
      </c>
      <c r="AO4" s="69">
        <v>0</v>
      </c>
      <c r="AP4" s="80"/>
      <c r="AQ4" s="11">
        <f>IF(SUM(V4:Y4)-Z4&gt;0,SUM(V4:Y4)-Z4,"")</f>
        <v>51.73</v>
      </c>
      <c r="AR4" s="11">
        <f>IF(AC4&gt;0,AC4,"")</f>
        <v>15.2</v>
      </c>
      <c r="AS4" s="11">
        <f>IF(SUM(AA4:AD4)-AE4&gt;0,SUM(AA4:AD4)-AE4,"")</f>
        <v>56.745000000000005</v>
      </c>
      <c r="AT4" s="11">
        <f>IF(AH4&gt;0,AH4,"")</f>
        <v>16.2</v>
      </c>
      <c r="AU4" s="11">
        <f>IF(SUM(AF4:AI4)-AJ4&gt;0,SUM(AF4:AI4)-AJ4,"")</f>
        <v>59.03</v>
      </c>
      <c r="AV4" s="11">
        <f>IF(AQ4="",IF(MAX(AS4,AU4)&gt;0,MAX(AS4,AU4),""),MAX(AS4,AU4)+AQ4)</f>
        <v>110.75999999999999</v>
      </c>
      <c r="AW4" s="11">
        <f>IF(AM4&gt;0,AM4,"")</f>
        <v>16.2</v>
      </c>
      <c r="AX4" s="11">
        <f>IF(SUM(AK4:AN4)-AO4&gt;0,SUM(AK4:AN4)-AO4,"")</f>
        <v>59.36</v>
      </c>
      <c r="AY4" s="11">
        <f>IF(SUM(AV4,AX4)&gt;0,SUM(AV4,AX4),"")</f>
        <v>170.12</v>
      </c>
      <c r="AZ4" s="75">
        <v>18.850000000000001</v>
      </c>
      <c r="BA4" s="75">
        <v>9</v>
      </c>
      <c r="BB4" s="75">
        <v>5.9</v>
      </c>
      <c r="BC4" s="75">
        <v>18.405000000000001</v>
      </c>
      <c r="BD4" s="75">
        <v>0</v>
      </c>
      <c r="BE4" s="75">
        <v>15</v>
      </c>
      <c r="BF4" s="75">
        <v>7.7750000000000004</v>
      </c>
      <c r="BG4" s="75">
        <v>13.75</v>
      </c>
      <c r="BH4" s="75">
        <v>15.302499999999998</v>
      </c>
      <c r="BI4" s="75">
        <v>0</v>
      </c>
      <c r="BJ4" s="75">
        <v>10</v>
      </c>
      <c r="BK4" s="75">
        <v>5.3999999999999995</v>
      </c>
      <c r="BL4" s="75">
        <v>9.7999999999999989</v>
      </c>
      <c r="BM4" s="75">
        <v>10.385</v>
      </c>
      <c r="BN4" s="75">
        <v>0</v>
      </c>
      <c r="BO4" s="75">
        <v>12</v>
      </c>
      <c r="BP4" s="75">
        <v>6.3</v>
      </c>
      <c r="BQ4" s="75">
        <v>11.45</v>
      </c>
      <c r="BR4" s="75">
        <v>12.270000000000001</v>
      </c>
      <c r="BS4" s="75">
        <v>0</v>
      </c>
      <c r="BT4" s="81" t="s">
        <v>74</v>
      </c>
      <c r="BU4" s="14">
        <f>IF(SUM(AZ4:BC4)-BD4&gt;0,SUM(AZ4:BC4)-BD4,"")</f>
        <v>52.155000000000001</v>
      </c>
      <c r="BV4" s="14">
        <f>IF(BG4&gt;0,BG4,"")</f>
        <v>13.75</v>
      </c>
      <c r="BW4" s="14">
        <f>IF(SUM(BE4:BH4)-BI4&gt;0,SUM(BE4:BH4)-BI4,"")</f>
        <v>51.827500000000001</v>
      </c>
      <c r="BX4" s="14">
        <f>IF(BL4&gt;0,BL4,"")</f>
        <v>9.7999999999999989</v>
      </c>
      <c r="BY4" s="14">
        <f>IF(SUM(BJ4:BM4)-BN4&gt;0,SUM(BJ4:BM4)-BN4,"")</f>
        <v>35.584999999999994</v>
      </c>
      <c r="BZ4" s="14">
        <f>IF(BU4="",IF(MAX(BW4,BY4)&gt;0,MAX(BW4,BY4),""),MAX(BW4,BY4)+BU4)</f>
        <v>103.9825</v>
      </c>
      <c r="CA4" s="14">
        <f>IF(BQ4&gt;0,BQ4,"")</f>
        <v>11.45</v>
      </c>
      <c r="CB4" s="14">
        <f>IF(SUM(BO4:BR4)-BS4&gt;0,SUM(BO4:BR4)-BS4,"")</f>
        <v>42.02</v>
      </c>
      <c r="CC4" s="14">
        <f>IF(SUM(BZ4,CB4)&gt;0,SUM(BZ4,CB4),"")</f>
        <v>146.0025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 t="str">
        <f>IF(MAX(EB4,EX4,FT4,GP4,HL4,IH4,JD4,JZ4,KV4,LR4,MN4,NJ4)-IF(M4="",0,M4)&gt;0.001,MAX(EB4,EX4,FT4,GP4,HL4,IH4,JD4,JZ4,KV4,LR4,MN4,NJ4)-IF(M4="",0,M4),"")</f>
        <v/>
      </c>
      <c r="DI4" s="24">
        <f>IF(MAX(EC4,EY4,FU4,GQ4,HM4,II4,JE4,KA4,KW4,LS4,MO4,NK4)-IF(O4="",0,O4)&gt;0.001,MAX(EC4,EY4,FU4,GQ4,HM4,II4,JE4,KA4,KW4,LS4,MO4,NK4)-IF(O4="",0,O4),"")</f>
        <v>1.0649999999999977</v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18.3</v>
      </c>
      <c r="DM4" s="37">
        <v>8.6999999999999993</v>
      </c>
      <c r="DN4" s="37">
        <v>5.9</v>
      </c>
      <c r="DO4" s="37">
        <v>17.84</v>
      </c>
      <c r="DP4" s="37">
        <v>0</v>
      </c>
      <c r="DQ4" s="37">
        <v>15.5</v>
      </c>
      <c r="DR4" s="37">
        <v>8.6999999999999993</v>
      </c>
      <c r="DS4" s="37">
        <v>17.100000000000001</v>
      </c>
      <c r="DT4" s="37">
        <v>16.510000000000002</v>
      </c>
      <c r="DU4" s="37">
        <v>0</v>
      </c>
      <c r="DV4" s="37"/>
      <c r="DW4" s="37"/>
      <c r="DX4" s="37"/>
      <c r="DY4" s="37"/>
      <c r="DZ4" s="37"/>
      <c r="EA4" s="11">
        <f>IF(DS4&gt;0,DS4,"")</f>
        <v>17.100000000000001</v>
      </c>
      <c r="EB4" s="11">
        <f>IF(SUM(DL4:DO4)-DP4&gt;0,SUM(DL4:DO4)-DP4,"")</f>
        <v>50.739999999999995</v>
      </c>
      <c r="EC4" s="11">
        <f>IF(SUM(DQ4:DT4)-DU4&gt;0,SUM(DQ4:DT4)-DU4,"")</f>
        <v>57.81</v>
      </c>
      <c r="ED4" s="11">
        <f>IF(SUM(EB4:EC4)&gt;0,SUM(EB4:EC4),"")</f>
        <v>108.55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108.55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9.4250000000000007</v>
      </c>
      <c r="NQ4" s="69">
        <f>IF($CX4="P",CE4,(CE4+BA4)/2)</f>
        <v>4.5</v>
      </c>
      <c r="NR4" s="69">
        <f>IF($CX4="P",CF4,(CF4+BB4)/2)</f>
        <v>2.95</v>
      </c>
      <c r="NS4" s="69">
        <f>IF($CX4="P",CG4,(CG4+BC4)/2)</f>
        <v>9.2025000000000006</v>
      </c>
      <c r="NT4" s="69">
        <f>IF($CX4="P",CH4,(CH4+BD4)/2)</f>
        <v>0</v>
      </c>
      <c r="NU4" s="69">
        <f>IF($CX4="P",CI4,(CI4+BE4)/2)</f>
        <v>7.5</v>
      </c>
      <c r="NV4" s="69">
        <f>IF($CX4="P",CJ4,(CJ4+BF4)/2)</f>
        <v>3.8875000000000002</v>
      </c>
      <c r="NW4" s="69">
        <f>IF($CX4="P",CK4,(CK4+BG4)/2)</f>
        <v>6.875</v>
      </c>
      <c r="NX4" s="69">
        <f>IF($CX4="P",CL4,(CL4+BH4)/2)</f>
        <v>7.6512499999999992</v>
      </c>
      <c r="NY4" s="69">
        <f>IF($CX4="P",CM4,(CM4+BI4)/2)</f>
        <v>0</v>
      </c>
      <c r="NZ4" s="69">
        <f>IF($CX4="P",CN4,(CN4+BJ4)/2)</f>
        <v>5</v>
      </c>
      <c r="OA4" s="69">
        <f>IF($CX4="P",CO4,(CO4+BK4)/2)</f>
        <v>2.6999999999999997</v>
      </c>
      <c r="OB4" s="69">
        <f>IF($CX4="P",CP4,(CP4+BL4)/2)</f>
        <v>4.8999999999999995</v>
      </c>
      <c r="OC4" s="69">
        <f>IF($CX4="P",CQ4,(CQ4+BM4)/2)</f>
        <v>5.1924999999999999</v>
      </c>
      <c r="OD4" s="69">
        <f>IF($CX4="P",CR4,(CR4+BN4)/2)</f>
        <v>0</v>
      </c>
      <c r="OE4" s="69">
        <f>IF($CX4="P",CS4,(CS4+BO4)/2)</f>
        <v>6</v>
      </c>
      <c r="OF4" s="69">
        <f>IF($CX4="P",CT4,(CT4+BP4)/2)</f>
        <v>3.15</v>
      </c>
      <c r="OG4" s="69">
        <f>IF($CX4="P",CU4,(CU4+BQ4)/2)</f>
        <v>5.7249999999999996</v>
      </c>
      <c r="OH4" s="69">
        <f>IF($CX4="P",CV4,(CV4+BR4)/2)</f>
        <v>6.1350000000000007</v>
      </c>
      <c r="OI4" s="69">
        <f>IF($CX4="P",CW4,(CW4+BS4)/2)</f>
        <v>0</v>
      </c>
      <c r="OJ4" s="80" t="s">
        <v>74</v>
      </c>
      <c r="OK4" s="11">
        <f>IF(SUM(NP4:NS4)-NT4&gt;0,SUM(NP4:NS4)-NT4,"")</f>
        <v>26.077500000000001</v>
      </c>
      <c r="OL4" s="11">
        <f>IF(NW4&gt;0,NW4,"")</f>
        <v>6.875</v>
      </c>
      <c r="OM4" s="11">
        <f>IF(SUM(NU4:NX4)-NY4&gt;0,SUM(NU4:NX4)-NY4,"")</f>
        <v>25.91375</v>
      </c>
      <c r="ON4" s="11">
        <f>IF(OB4&gt;0,OB4,"")</f>
        <v>4.8999999999999995</v>
      </c>
      <c r="OO4" s="11">
        <f>IF(SUM(NZ4:OC4)-OD4&gt;0,SUM(NZ4:OC4)-OD4,"")</f>
        <v>17.792499999999997</v>
      </c>
      <c r="OP4" s="11">
        <f>IF(OR(OK4&lt;&gt;"",OM4&lt;&gt;"",OO4&lt;&gt;""),OK4+MAX(OM4,OO4),"")</f>
        <v>51.991250000000001</v>
      </c>
      <c r="OQ4" s="11">
        <f>IF(OG4&gt;0,OG4,"")</f>
        <v>5.7249999999999996</v>
      </c>
      <c r="OR4" s="11">
        <f t="shared" ref="OR4:OR19" si="0">IF(SUM(OE4:OH4)-OI4&gt;0,SUM(OE4:OH4)-OI4,"")</f>
        <v>21.01</v>
      </c>
      <c r="OS4" s="11">
        <f>IF(SUM(OP4,OR4)&gt;0,SUM(OP4,OR4),"")</f>
        <v>73.001249999999999</v>
      </c>
    </row>
    <row r="5" spans="1:409" x14ac:dyDescent="0.2">
      <c r="A5" s="5" cm="1">
        <f t="array" ref="A5">IF(AND(G5&lt;&gt;"",H5&lt;&gt;""),SUMPRODUCT((G$4:G$21&lt;&gt;"")*(H$4:H$21&lt;&gt;"")*(E$4:E$21&gt;E5))+1,IF(H5&lt;&gt;"",SUMPRODUCT((I$4:I$21="No DD")*(E$4:E$21&gt;E5))+1+SUMPRODUCT((G$4:G$21&lt;&gt;"")*(H$4:H$21&lt;&gt;"")),""))</f>
        <v>2</v>
      </c>
      <c r="B5" s="6" t="s">
        <v>95</v>
      </c>
      <c r="C5" s="7" t="s">
        <v>9</v>
      </c>
      <c r="D5" s="27">
        <v>2001</v>
      </c>
      <c r="E5" s="15">
        <f>SUM(K5:S5)</f>
        <v>277.29000000000002</v>
      </c>
      <c r="F5" s="3" t="str">
        <f>IF(G5&lt;&gt;"","P","")</f>
        <v>P</v>
      </c>
      <c r="G5" s="125" t="str">
        <f>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Merit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Excellence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Worlds Team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National Team",""))))</f>
        <v>Merit</v>
      </c>
      <c r="H5" s="125" t="str">
        <f>IF(OR(AND(AS5&gt;=AY$30,AS5&lt;&gt;"",AP5=""),AND(AU5&gt;=AY$30,AU5&lt;&gt;"",AP5=""),AND(AX5&gt;=AY$30,AX5&lt;&gt;"",AP5=""),AND(BW5&gt;=CC$30,BW5&lt;&gt;"",BT5=""),AND(BY5&gt;=CC$30,BY5&lt;&gt;"",BT5=""),AND(CB5&gt;=CC$30,CB5&lt;&gt;"",BT5=""),AND(DA5&gt;=DG$30,DA5&lt;&gt;"",CX5=""),AND(DC5&gt;=DG$30,DC5&lt;&gt;"",CX5=""),AND(DF5&gt;=DG$30,DF5&lt;&gt;"",CX5=""),AND(EC5&gt;=EG$30,EC5&lt;&gt;""),AND(EF5&gt;=EG$30,EF5&lt;&gt;""),AND(EY5&gt;=FC$30,EY5&lt;&gt;""),AND(FB5&gt;=FC$30,FB5&lt;&gt;""),AND(FU5&gt;=FY$30,FU5&lt;&gt;""),AND(FX5&gt;=FY$30,FX5&lt;&gt;""),AND(GQ5&gt;=GU$30,GQ5&lt;&gt;""),AND(GT5&gt;=GU$30,GT5&lt;&gt;""),AND(HM5&gt;=HQ$30,HM5&lt;&gt;""),AND(HP5&gt;=HQ$30,HP5&lt;&gt;""),AND(II5&gt;=IM$30,II5&lt;&gt;""),AND(IL5&gt;=IM$30,IL5&lt;&gt;""),AND(JE5&gt;=JI$30,JE5&lt;&gt;""),AND(JH5&gt;=JI$30,JH5&lt;&gt;""),AND(KA5&gt;=KE$30,KA5&lt;&gt;""),AND(KD5&gt;=KE$30,KD5&lt;&gt;""),AND(KW5&gt;=LA$30,KW5&lt;&gt;""),AND(KZ5&gt;=LA$30,KZ5&lt;&gt;""),AND(LS5&gt;=LW$30,LS5&lt;&gt;""),AND(LV5&gt;=LW$30,LV5&lt;&gt;""),AND(MO5&gt;=MS$30,MO5&lt;&gt;""),AND(MR5&gt;=MS$30,MR5&lt;&gt;""),AND(NK5&gt;=NO$30,NK5&lt;&gt;""),AND(NN5&gt;=NO$30,NN5&lt;&gt;"")),"Merit",IF(OR(AND(AS5&gt;=AY$29,AS5&lt;&gt;"",AP5=""),AND(AU5&gt;=AY$29,AU5&lt;&gt;"",AP5=""),AND(AX5&gt;=AY$29,AX5&lt;&gt;"",AP5=""),AND(BW5&gt;=CC$29,BW5&lt;&gt;"",BT5=""),AND(BY5&gt;=CC$29,BY5&lt;&gt;"",BT5=""),AND(CB5&gt;=CC$29,CB5&lt;&gt;"",BT5=""),AND(DA5&gt;=DG$29,DA5&lt;&gt;"",CX5=""),AND(DC5&gt;=DG$29,DC5&lt;&gt;"",CX5=""),AND(DF5&gt;=DG$29,DF5&lt;&gt;"",CX5=""),AND(EC5&gt;=EG$29,EC5&lt;&gt;""),AND(EF5&gt;=EG$29,EF5&lt;&gt;""),AND(EY5&gt;=FC$29,EY5&lt;&gt;""),AND(FB5&gt;=FC$29,FB5&lt;&gt;""),AND(FU5&gt;=FY$29,FU5&lt;&gt;""),AND(FX5&gt;=FY$29,FX5&lt;&gt;""),AND(GQ5&gt;=GU$29,GQ5&lt;&gt;""),AND(GT5&gt;=GU$29,GT5&lt;&gt;""),AND(HM5&gt;=HQ$29,HM5&lt;&gt;""),AND(HP5&gt;=HQ$29,HP5&lt;&gt;""),AND(II5&gt;=IM$29,II5&lt;&gt;""),AND(IL5&gt;=IM$29,IL5&lt;&gt;""),AND(JE5&gt;=JI$29,JE5&lt;&gt;""),AND(JH5&gt;=JI$29,JH5&lt;&gt;""),AND(KA5&gt;=KE$29,KA5&lt;&gt;""),AND(KD5&gt;=KE$29,KD5&lt;&gt;""),AND(KW5&gt;=LA$29,KW5&lt;&gt;""),AND(KZ5&gt;=LA$29,KZ5&lt;&gt;""),AND(LS5&gt;=LW$29,LS5&lt;&gt;""),AND(LV5&gt;=LW$29,LV5&lt;&gt;""),AND(MO5&gt;=MS$29,MO5&lt;&gt;""),AND(MR5&gt;=MS$29,MR5&lt;&gt;""),AND(NK5&gt;=NO$29,NK5&lt;&gt;""),AND(NN5&gt;=NO$29,NN5&lt;&gt;"")),"Excellence",IF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"Worlds Team",IF(OR(AND(AV5&gt;=AY$27,AV5&lt;&gt;"",AP5=""),AND(BZ5&gt;=CC$27,BZ5&lt;&gt;"",BT5=""),AND(DD5&gt;=DG$27,DD5&lt;&gt;"",CX5=""),AND(ED5&gt;=EG$27,ED5&lt;&gt;""),AND(EZ5&gt;=FC$27,EZ5&lt;&gt;""),AND(FV5&gt;=FY$27,FV5&lt;&gt;""),AND(GR5&gt;=GU$27,GR5&lt;&gt;""),AND(HN5&gt;=HQ$27,HN5&lt;&gt;""),AND(IJ5&gt;=IM$27,IJ5&lt;&gt;""),AND(JF5&gt;=JI$27,JF5&lt;&gt;""),AND(KB5&gt;=KE$27,KB5&lt;&gt;""),AND(KX5&gt;=LA$27,KX5&lt;&gt;""),AND(LT5&gt;=LW$27,LT5&lt;&gt;""),AND(MP5&gt;=MS$27,MP5&lt;&gt;""),AND(NL5&gt;=NO$27,NL5&lt;&gt;"")),"National Team",""))))</f>
        <v>Excellence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Excellence</v>
      </c>
      <c r="J5" s="3" t="str">
        <f>IF(AND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OR(G5="Worlds Team",G5="Excellence",G5="Merit")),"P","")</f>
        <v>P</v>
      </c>
      <c r="K5" s="14">
        <f>IF(MAX(AV5,BZ5,DD5)&gt;0,MAX(AV5,BZ5,DD5),0)</f>
        <v>109.22499999999999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48.36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58.6</v>
      </c>
      <c r="P5" s="14" t="str">
        <f>IF(O5=0,"",IF(OR(O5=DC5,O5=DA5),$CD$1,IF(OR(O5=BY5,O5=BW5),$AZ$1,IF(OR(O5=AU5,O5=AS5),$V$1,""))))</f>
        <v>2021 Elite Canada</v>
      </c>
      <c r="Q5" s="14">
        <f>MAX(AX5,CB5,DF5)</f>
        <v>58.885000000000005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2.220000000000006</v>
      </c>
      <c r="T5" s="25" t="str">
        <f>IF(S5="","",IF(S5=DH5,"(Vol 1)",IF(S5=DI5,"(Vol 2)",IF(S5=DJ5,"(Prelim)",IF(S5=DK5,"(Final)")))))</f>
        <v>(Vol 1)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17.7</v>
      </c>
      <c r="W5" s="69">
        <v>8.9</v>
      </c>
      <c r="X5" s="69">
        <v>4.4000000000000004</v>
      </c>
      <c r="Y5" s="69">
        <v>17.36</v>
      </c>
      <c r="Z5" s="69">
        <v>0</v>
      </c>
      <c r="AA5" s="69">
        <v>15.5</v>
      </c>
      <c r="AB5" s="69">
        <v>8.5</v>
      </c>
      <c r="AC5" s="69">
        <v>14.8</v>
      </c>
      <c r="AD5" s="69">
        <v>17.079999999999998</v>
      </c>
      <c r="AE5" s="69">
        <v>0</v>
      </c>
      <c r="AF5" s="69">
        <v>15.7</v>
      </c>
      <c r="AG5" s="69">
        <v>9.4</v>
      </c>
      <c r="AH5" s="69">
        <v>15</v>
      </c>
      <c r="AI5" s="69">
        <v>17.11</v>
      </c>
      <c r="AJ5" s="69">
        <v>0</v>
      </c>
      <c r="AK5" s="69">
        <v>16.2</v>
      </c>
      <c r="AL5" s="69">
        <v>9.4</v>
      </c>
      <c r="AM5" s="69">
        <v>14.6</v>
      </c>
      <c r="AN5" s="69">
        <v>17.38</v>
      </c>
      <c r="AO5" s="69">
        <v>0</v>
      </c>
      <c r="AP5" s="80"/>
      <c r="AQ5" s="11">
        <f>IF(SUM(V5:Y5)-Z5&gt;0,SUM(V5:Y5)-Z5,"")</f>
        <v>48.36</v>
      </c>
      <c r="AR5" s="11">
        <f>IF(AC5&gt;0,AC5,"")</f>
        <v>14.8</v>
      </c>
      <c r="AS5" s="11">
        <f>IF(SUM(AA5:AD5)-AE5&gt;0,SUM(AA5:AD5)-AE5,"")</f>
        <v>55.879999999999995</v>
      </c>
      <c r="AT5" s="11">
        <f>IF(AH5&gt;0,AH5,"")</f>
        <v>15</v>
      </c>
      <c r="AU5" s="11">
        <f>IF(SUM(AF5:AI5)-AJ5&gt;0,SUM(AF5:AI5)-AJ5,"")</f>
        <v>57.21</v>
      </c>
      <c r="AV5" s="11">
        <f>IF(AQ5="",IF(MAX(AS5,AU5)&gt;0,MAX(AS5,AU5),""),MAX(AS5,AU5)+AQ5)</f>
        <v>105.57</v>
      </c>
      <c r="AW5" s="11">
        <f>IF(AM5&gt;0,AM5,"")</f>
        <v>14.6</v>
      </c>
      <c r="AX5" s="11">
        <f>IF(SUM(AK5:AN5)-AO5&gt;0,SUM(AK5:AN5)-AO5,"")</f>
        <v>57.58</v>
      </c>
      <c r="AY5" s="11">
        <f>IF(SUM(AV5,AX5)&gt;0,SUM(AV5,AX5),"")</f>
        <v>163.14999999999998</v>
      </c>
      <c r="AZ5" s="75">
        <v>6</v>
      </c>
      <c r="BA5" s="75">
        <v>2.8</v>
      </c>
      <c r="BB5" s="75">
        <v>0</v>
      </c>
      <c r="BC5" s="75">
        <v>5.83</v>
      </c>
      <c r="BD5" s="75">
        <v>0.2</v>
      </c>
      <c r="BE5" s="75">
        <v>16.2</v>
      </c>
      <c r="BF5" s="75">
        <v>9.1</v>
      </c>
      <c r="BG5" s="75">
        <v>15.6</v>
      </c>
      <c r="BH5" s="75">
        <v>17.25</v>
      </c>
      <c r="BI5" s="75">
        <v>0</v>
      </c>
      <c r="BJ5" s="75">
        <v>16.5</v>
      </c>
      <c r="BK5" s="75">
        <v>9.1</v>
      </c>
      <c r="BL5" s="75">
        <v>15.6</v>
      </c>
      <c r="BM5" s="75">
        <v>17.399999999999999</v>
      </c>
      <c r="BN5" s="75">
        <v>0</v>
      </c>
      <c r="BO5" s="75"/>
      <c r="BP5" s="75"/>
      <c r="BQ5" s="75"/>
      <c r="BR5" s="75"/>
      <c r="BS5" s="75"/>
      <c r="BT5" s="81"/>
      <c r="BU5" s="14">
        <f>IF(SUM(AZ5:BC5)-BD5&gt;0,SUM(AZ5:BC5)-BD5,"")</f>
        <v>14.430000000000001</v>
      </c>
      <c r="BV5" s="14">
        <f>IF(BG5&gt;0,BG5,"")</f>
        <v>15.6</v>
      </c>
      <c r="BW5" s="14">
        <f>IF(SUM(BE5:BH5)-BI5&gt;0,SUM(BE5:BH5)-BI5,"")</f>
        <v>58.15</v>
      </c>
      <c r="BX5" s="14">
        <f>IF(BL5&gt;0,BL5,"")</f>
        <v>15.6</v>
      </c>
      <c r="BY5" s="14">
        <f>IF(SUM(BJ5:BM5)-BN5&gt;0,SUM(BJ5:BM5)-BN5,"")</f>
        <v>58.6</v>
      </c>
      <c r="BZ5" s="14">
        <f>IF(BU5="",IF(MAX(BW5,BY5)&gt;0,MAX(BW5,BY5),""),MAX(BW5,BY5)+BU5)</f>
        <v>73.03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73.03</v>
      </c>
      <c r="CD5" s="69">
        <v>18.5</v>
      </c>
      <c r="CE5" s="69">
        <v>9.4</v>
      </c>
      <c r="CF5" s="69">
        <v>5</v>
      </c>
      <c r="CG5" s="69">
        <v>18.405000000000001</v>
      </c>
      <c r="CH5" s="69">
        <v>0</v>
      </c>
      <c r="CI5" s="69">
        <v>15.8</v>
      </c>
      <c r="CJ5" s="69">
        <v>9.1</v>
      </c>
      <c r="CK5" s="69">
        <v>15</v>
      </c>
      <c r="CL5" s="69">
        <v>16.75</v>
      </c>
      <c r="CM5" s="69">
        <v>0</v>
      </c>
      <c r="CN5" s="69">
        <v>16.100000000000001</v>
      </c>
      <c r="CO5" s="69">
        <v>9</v>
      </c>
      <c r="CP5" s="69">
        <v>15.6</v>
      </c>
      <c r="CQ5" s="69">
        <v>17.22</v>
      </c>
      <c r="CR5" s="69">
        <v>0</v>
      </c>
      <c r="CS5" s="69">
        <v>16.7</v>
      </c>
      <c r="CT5" s="69">
        <v>9.4</v>
      </c>
      <c r="CU5" s="69">
        <v>15.6</v>
      </c>
      <c r="CV5" s="69">
        <v>17.184999999999999</v>
      </c>
      <c r="CW5" s="69">
        <v>0</v>
      </c>
      <c r="CX5" s="80"/>
      <c r="CY5" s="11">
        <f>IF(SUM(CD5:CG5)-CH5&gt;0,SUM(CD5:CG5)-CH5,"")</f>
        <v>51.305</v>
      </c>
      <c r="CZ5" s="11">
        <f>IF(CK5&gt;0,CK5,"")</f>
        <v>15</v>
      </c>
      <c r="DA5" s="11">
        <f>IF(SUM(CI5:CL5)-CM5&gt;0,SUM(CI5:CL5)-CM5,"")</f>
        <v>56.65</v>
      </c>
      <c r="DB5" s="11">
        <f>IF(CP5&gt;0,CP5,"")</f>
        <v>15.6</v>
      </c>
      <c r="DC5" s="11">
        <f>IF(SUM(CN5:CQ5)-CR5&gt;0,SUM(CN5:CQ5)-CR5,"")</f>
        <v>57.92</v>
      </c>
      <c r="DD5" s="11">
        <f>IF(CY5="",IF(MAX(DA5,DC5)&gt;0,MAX(DA5,DC5),""),MAX(DA5,DC5)+CY5)</f>
        <v>109.22499999999999</v>
      </c>
      <c r="DE5" s="11">
        <f>IF(CU5&gt;0,CU5,"")</f>
        <v>15.6</v>
      </c>
      <c r="DF5" s="11">
        <f>IF(SUM(CS5:CV5)-CW5&gt;0,SUM(CS5:CV5)-CW5,"")</f>
        <v>58.885000000000005</v>
      </c>
      <c r="DG5" s="11">
        <f>IF(SUM(DD5,DF5)&gt;0,SUM(DD5,DF5),"")</f>
        <v>168.11</v>
      </c>
      <c r="DH5" s="24">
        <f>IF(MAX(EB5,EX5,FT5,GP5,HL5,IH5,JD5,JZ5,KV5,LR5,MN5,NJ5)-IF(M5="",0,M5)&gt;0.001,MAX(EB5,EX5,FT5,GP5,HL5,IH5,JD5,JZ5,KV5,LR5,MN5,NJ5)-IF(M5="",0,M5),"")</f>
        <v>2.220000000000006</v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>
        <v>17.600000000000001</v>
      </c>
      <c r="DM5" s="37">
        <v>9.3000000000000007</v>
      </c>
      <c r="DN5" s="37">
        <v>5.4</v>
      </c>
      <c r="DO5" s="37">
        <v>18.28</v>
      </c>
      <c r="DP5" s="37">
        <v>0</v>
      </c>
      <c r="DQ5" s="37">
        <v>15.8</v>
      </c>
      <c r="DR5" s="37">
        <v>9.4</v>
      </c>
      <c r="DS5" s="37">
        <v>15.6</v>
      </c>
      <c r="DT5" s="37">
        <v>17.399999999999999</v>
      </c>
      <c r="DU5" s="37">
        <v>0.6</v>
      </c>
      <c r="DV5" s="37">
        <v>14.8</v>
      </c>
      <c r="DW5" s="37">
        <v>8.9</v>
      </c>
      <c r="DX5" s="37">
        <v>15.6</v>
      </c>
      <c r="DY5" s="37">
        <v>17.079999999999998</v>
      </c>
      <c r="DZ5" s="37">
        <v>0</v>
      </c>
      <c r="EA5" s="11">
        <f>IF(DS5&gt;0,DS5,"")</f>
        <v>15.6</v>
      </c>
      <c r="EB5" s="11">
        <f>IF(SUM(DL5:DO5)-DP5&gt;0,SUM(DL5:DO5)-DP5,"")</f>
        <v>50.580000000000005</v>
      </c>
      <c r="EC5" s="11">
        <f>IF(SUM(DQ5:DT5)-DU5&gt;0,SUM(DQ5:DT5)-DU5,"")</f>
        <v>57.6</v>
      </c>
      <c r="ED5" s="11">
        <f>IF(SUM(EB5:EC5)&gt;0,SUM(EB5:EC5),"")</f>
        <v>108.18</v>
      </c>
      <c r="EE5" s="11">
        <f>IF(DX5&gt;0,DX5,"")</f>
        <v>15.6</v>
      </c>
      <c r="EF5" s="11">
        <f>IF(SUM(DV5:DY5)-DZ5&gt;0,SUM(DV5:DY5)-DZ5,"")</f>
        <v>56.38</v>
      </c>
      <c r="EG5" s="11">
        <f>IF(SUM(ED5,EF5)&gt;0,SUM(ED5,EF5),"")</f>
        <v>164.56</v>
      </c>
      <c r="EH5" s="38">
        <v>17.7</v>
      </c>
      <c r="EI5" s="38">
        <v>9.5</v>
      </c>
      <c r="EJ5" s="38">
        <v>5</v>
      </c>
      <c r="EK5" s="38">
        <v>17.73</v>
      </c>
      <c r="EL5" s="38">
        <v>0</v>
      </c>
      <c r="EM5" s="38">
        <v>14.9</v>
      </c>
      <c r="EN5" s="38">
        <v>9.1999999999999993</v>
      </c>
      <c r="EO5" s="38">
        <v>15.4</v>
      </c>
      <c r="EP5" s="38">
        <v>16.43</v>
      </c>
      <c r="EQ5" s="38"/>
      <c r="ER5" s="38"/>
      <c r="ES5" s="38"/>
      <c r="ET5" s="38"/>
      <c r="EU5" s="38"/>
      <c r="EV5" s="38"/>
      <c r="EW5" s="14">
        <f>IF(EO5&gt;0,EO5,"")</f>
        <v>15.4</v>
      </c>
      <c r="EX5" s="14">
        <f>IF(SUM(EH5:EK5)-EL5&gt;0,SUM(EH5:EK5)-EL5,"")</f>
        <v>49.930000000000007</v>
      </c>
      <c r="EY5" s="14">
        <f>IF(SUM(EM5:EP5)-EQ5&gt;0,SUM(EM5:EP5)-EQ5,"")</f>
        <v>55.93</v>
      </c>
      <c r="EZ5" s="14">
        <f>IF(SUM(EX5:EY5)&gt;0,SUM(EX5:EY5),"")</f>
        <v>105.86000000000001</v>
      </c>
      <c r="FA5" s="14" t="str">
        <f>IF(ET5&gt;0,ET5,"")</f>
        <v/>
      </c>
      <c r="FB5" s="14" t="str">
        <f>IF(SUM(ER5:EU5)-EV5&gt;0,SUM(ER5:EU5)-EV5,"")</f>
        <v/>
      </c>
      <c r="FC5" s="14">
        <f>IF(SUM(EZ5,FB5)&gt;0,SUM(EZ5,FB5),"")</f>
        <v>105.86000000000001</v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>
        <v>14.8</v>
      </c>
      <c r="FO5" s="37">
        <v>9.4</v>
      </c>
      <c r="FP5" s="37">
        <v>15.6</v>
      </c>
      <c r="FQ5" s="37">
        <v>16.614999999999998</v>
      </c>
      <c r="FR5" s="37">
        <v>0</v>
      </c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>
        <f>IF(FP5&gt;0,FP5,"")</f>
        <v>15.6</v>
      </c>
      <c r="FX5" s="11">
        <f>IF(SUM(FN5:FQ5)-FR5&gt;0,SUM(FN5:FQ5)-FR5,"")</f>
        <v>56.415000000000006</v>
      </c>
      <c r="FY5" s="11">
        <f>IF(SUM(FV5,FX5)&gt;0,SUM(FV5,FX5),"")</f>
        <v>56.415000000000006</v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12.25</v>
      </c>
      <c r="NQ5" s="69">
        <f>IF($CX5="P",CE5,(CE5+BA5)/2)</f>
        <v>6.1</v>
      </c>
      <c r="NR5" s="69">
        <f>IF($CX5="P",CF5,(CF5+BB5)/2)</f>
        <v>2.5</v>
      </c>
      <c r="NS5" s="69">
        <f>IF($CX5="P",CG5,(CG5+BC5)/2)</f>
        <v>12.1175</v>
      </c>
      <c r="NT5" s="69">
        <f>IF($CX5="P",CH5,(CH5+BD5)/2)</f>
        <v>0.1</v>
      </c>
      <c r="NU5" s="69">
        <f>IF($CX5="P",CI5,(CI5+BE5)/2)</f>
        <v>16</v>
      </c>
      <c r="NV5" s="69">
        <f>IF($CX5="P",CJ5,(CJ5+BF5)/2)</f>
        <v>9.1</v>
      </c>
      <c r="NW5" s="69">
        <f>IF($CX5="P",CK5,(CK5+BG5)/2)</f>
        <v>15.3</v>
      </c>
      <c r="NX5" s="69">
        <f>IF($CX5="P",CL5,(CL5+BH5)/2)</f>
        <v>17</v>
      </c>
      <c r="NY5" s="69">
        <f>IF($CX5="P",CM5,(CM5+BI5)/2)</f>
        <v>0</v>
      </c>
      <c r="NZ5" s="69">
        <f>IF($CX5="P",CN5,(CN5+BJ5)/2)</f>
        <v>16.3</v>
      </c>
      <c r="OA5" s="69">
        <f>IF($CX5="P",CO5,(CO5+BK5)/2)</f>
        <v>9.0500000000000007</v>
      </c>
      <c r="OB5" s="69">
        <f>IF($CX5="P",CP5,(CP5+BL5)/2)</f>
        <v>15.6</v>
      </c>
      <c r="OC5" s="69">
        <f>IF($CX5="P",CQ5,(CQ5+BM5)/2)</f>
        <v>17.309999999999999</v>
      </c>
      <c r="OD5" s="69">
        <f>IF($CX5="P",CR5,(CR5+BN5)/2)</f>
        <v>0</v>
      </c>
      <c r="OE5" s="69">
        <f>IF($CX5="P",CS5,(CS5+BO5)/2)</f>
        <v>8.35</v>
      </c>
      <c r="OF5" s="69">
        <f>IF($CX5="P",CT5,(CT5+BP5)/2)</f>
        <v>4.7</v>
      </c>
      <c r="OG5" s="69">
        <f>IF($CX5="P",CU5,(CU5+BQ5)/2)</f>
        <v>7.8</v>
      </c>
      <c r="OH5" s="69">
        <f>IF($CX5="P",CV5,(CV5+BR5)/2)</f>
        <v>8.5924999999999994</v>
      </c>
      <c r="OI5" s="69">
        <f>IF($CX5="P",CW5,(CW5+BS5)/2)</f>
        <v>0</v>
      </c>
      <c r="OJ5" s="80" t="s">
        <v>74</v>
      </c>
      <c r="OK5" s="11">
        <f>IF(SUM(NP5:NS5)-NT5&gt;0,SUM(NP5:NS5)-NT5,"")</f>
        <v>32.8675</v>
      </c>
      <c r="OL5" s="11">
        <f>IF(NW5&gt;0,NW5,"")</f>
        <v>15.3</v>
      </c>
      <c r="OM5" s="11">
        <f>IF(SUM(NU5:NX5)-NY5&gt;0,SUM(NU5:NX5)-NY5,"")</f>
        <v>57.400000000000006</v>
      </c>
      <c r="ON5" s="11">
        <f>IF(OB5&gt;0,OB5,"")</f>
        <v>15.6</v>
      </c>
      <c r="OO5" s="11">
        <f>IF(SUM(NZ5:OC5)-OD5&gt;0,SUM(NZ5:OC5)-OD5,"")</f>
        <v>58.260000000000005</v>
      </c>
      <c r="OP5" s="11">
        <f>IF(OR(OK5&lt;&gt;"",OM5&lt;&gt;"",OO5&lt;&gt;""),OK5+MAX(OM5,OO5),"")</f>
        <v>91.127499999999998</v>
      </c>
      <c r="OQ5" s="11">
        <f>IF(OG5&gt;0,OG5,"")</f>
        <v>7.8</v>
      </c>
      <c r="OR5" s="11">
        <f t="shared" si="0"/>
        <v>29.442500000000003</v>
      </c>
      <c r="OS5" s="11">
        <f t="shared" ref="OS5:OS19" si="1">IF(SUM(OP5,OR5)&gt;0,SUM(OP5,OR5),"")</f>
        <v>120.57</v>
      </c>
    </row>
    <row r="6" spans="1:409" x14ac:dyDescent="0.2">
      <c r="A6" s="5" cm="1">
        <f t="array" ref="A6">IF(AND(G6&lt;&gt;"",H6&lt;&gt;""),SUMPRODUCT((G$4:G$21&lt;&gt;"")*(H$4:H$21&lt;&gt;"")*(E$4:E$21&gt;E6))+1,IF(H6&lt;&gt;"",SUMPRODUCT((I$4:I$21="No DD")*(E$4:E$21&gt;E6))+1+SUMPRODUCT((G$4:G$21&lt;&gt;"")*(H$4:H$21&lt;&gt;"")),""))</f>
        <v>3</v>
      </c>
      <c r="B6" s="8" t="s">
        <v>4</v>
      </c>
      <c r="C6" s="4" t="s">
        <v>5</v>
      </c>
      <c r="D6" s="5">
        <v>1992</v>
      </c>
      <c r="E6" s="15">
        <f>SUM(K6:S6)</f>
        <v>274.63499999999999</v>
      </c>
      <c r="F6" s="3" t="str">
        <f>IF(G6&lt;&gt;"","P","")</f>
        <v>P</v>
      </c>
      <c r="G6" s="125" t="str">
        <f>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Merit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Excellence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Worlds Team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National Team",""))))</f>
        <v>Merit</v>
      </c>
      <c r="H6" s="125" t="str">
        <f>IF(OR(AND(AS6&gt;=AY$30,AS6&lt;&gt;"",AP6=""),AND(AU6&gt;=AY$30,AU6&lt;&gt;"",AP6=""),AND(AX6&gt;=AY$30,AX6&lt;&gt;"",AP6=""),AND(BW6&gt;=CC$30,BW6&lt;&gt;"",BT6=""),AND(BY6&gt;=CC$30,BY6&lt;&gt;"",BT6=""),AND(CB6&gt;=CC$30,CB6&lt;&gt;"",BT6=""),AND(DA6&gt;=DG$30,DA6&lt;&gt;"",CX6=""),AND(DC6&gt;=DG$30,DC6&lt;&gt;"",CX6=""),AND(DF6&gt;=DG$30,DF6&lt;&gt;"",CX6=""),AND(EC6&gt;=EG$30,EC6&lt;&gt;""),AND(EF6&gt;=EG$30,EF6&lt;&gt;""),AND(EY6&gt;=FC$30,EY6&lt;&gt;""),AND(FB6&gt;=FC$30,FB6&lt;&gt;""),AND(FU6&gt;=FY$30,FU6&lt;&gt;""),AND(FX6&gt;=FY$30,FX6&lt;&gt;""),AND(GQ6&gt;=GU$30,GQ6&lt;&gt;""),AND(GT6&gt;=GU$30,GT6&lt;&gt;""),AND(HM6&gt;=HQ$30,HM6&lt;&gt;""),AND(HP6&gt;=HQ$30,HP6&lt;&gt;""),AND(II6&gt;=IM$30,II6&lt;&gt;""),AND(IL6&gt;=IM$30,IL6&lt;&gt;""),AND(JE6&gt;=JI$30,JE6&lt;&gt;""),AND(JH6&gt;=JI$30,JH6&lt;&gt;""),AND(KA6&gt;=KE$30,KA6&lt;&gt;""),AND(KD6&gt;=KE$30,KD6&lt;&gt;""),AND(KW6&gt;=LA$30,KW6&lt;&gt;""),AND(KZ6&gt;=LA$30,KZ6&lt;&gt;""),AND(LS6&gt;=LW$30,LS6&lt;&gt;""),AND(LV6&gt;=LW$30,LV6&lt;&gt;""),AND(MO6&gt;=MS$30,MO6&lt;&gt;""),AND(MR6&gt;=MS$30,MR6&lt;&gt;""),AND(NK6&gt;=NO$30,NK6&lt;&gt;""),AND(NN6&gt;=NO$30,NN6&lt;&gt;"")),"Merit",IF(OR(AND(AS6&gt;=AY$29,AS6&lt;&gt;"",AP6=""),AND(AU6&gt;=AY$29,AU6&lt;&gt;"",AP6=""),AND(AX6&gt;=AY$29,AX6&lt;&gt;"",AP6=""),AND(BW6&gt;=CC$29,BW6&lt;&gt;"",BT6=""),AND(BY6&gt;=CC$29,BY6&lt;&gt;"",BT6=""),AND(CB6&gt;=CC$29,CB6&lt;&gt;"",BT6=""),AND(DA6&gt;=DG$29,DA6&lt;&gt;"",CX6=""),AND(DC6&gt;=DG$29,DC6&lt;&gt;"",CX6=""),AND(DF6&gt;=DG$29,DF6&lt;&gt;"",CX6=""),AND(EC6&gt;=EG$29,EC6&lt;&gt;""),AND(EF6&gt;=EG$29,EF6&lt;&gt;""),AND(EY6&gt;=FC$29,EY6&lt;&gt;""),AND(FB6&gt;=FC$29,FB6&lt;&gt;""),AND(FU6&gt;=FY$29,FU6&lt;&gt;""),AND(FX6&gt;=FY$29,FX6&lt;&gt;""),AND(GQ6&gt;=GU$29,GQ6&lt;&gt;""),AND(GT6&gt;=GU$29,GT6&lt;&gt;""),AND(HM6&gt;=HQ$29,HM6&lt;&gt;""),AND(HP6&gt;=HQ$29,HP6&lt;&gt;""),AND(II6&gt;=IM$29,II6&lt;&gt;""),AND(IL6&gt;=IM$29,IL6&lt;&gt;""),AND(JE6&gt;=JI$29,JE6&lt;&gt;""),AND(JH6&gt;=JI$29,JH6&lt;&gt;""),AND(KA6&gt;=KE$29,KA6&lt;&gt;""),AND(KD6&gt;=KE$29,KD6&lt;&gt;""),AND(KW6&gt;=LA$29,KW6&lt;&gt;""),AND(KZ6&gt;=LA$29,KZ6&lt;&gt;""),AND(LS6&gt;=LW$29,LS6&lt;&gt;""),AND(LV6&gt;=LW$29,LV6&lt;&gt;""),AND(MO6&gt;=MS$29,MO6&lt;&gt;""),AND(MR6&gt;=MS$29,MR6&lt;&gt;""),AND(NK6&gt;=NO$29,NK6&lt;&gt;""),AND(NN6&gt;=NO$29,NN6&lt;&gt;"")),"Excellence",IF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"Worlds Team",IF(OR(AND(AV6&gt;=AY$27,AV6&lt;&gt;"",AP6=""),AND(BZ6&gt;=CC$27,BZ6&lt;&gt;"",BT6=""),AND(DD6&gt;=DG$27,DD6&lt;&gt;"",CX6=""),AND(ED6&gt;=EG$27,ED6&lt;&gt;""),AND(EZ6&gt;=FC$27,EZ6&lt;&gt;""),AND(FV6&gt;=FY$27,FV6&lt;&gt;""),AND(GR6&gt;=GU$27,GR6&lt;&gt;""),AND(HN6&gt;=HQ$27,HN6&lt;&gt;""),AND(IJ6&gt;=IM$27,IJ6&lt;&gt;""),AND(JF6&gt;=JI$27,JF6&lt;&gt;""),AND(KB6&gt;=KE$27,KB6&lt;&gt;""),AND(KX6&gt;=LA$27,KX6&lt;&gt;""),AND(LT6&gt;=LW$27,LT6&lt;&gt;""),AND(MP6&gt;=MS$27,MP6&lt;&gt;""),AND(NL6&gt;=NO$27,NL6&lt;&gt;"")),"National Team",""))))</f>
        <v>Worlds Team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Worlds Team</v>
      </c>
      <c r="J6" s="3" t="str">
        <f>IF(AND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OR(G6="Worlds Team",G6="Excellence",G6="Merit")),"P","")</f>
        <v>P</v>
      </c>
      <c r="K6" s="14">
        <f>IF(MAX(AV6,BZ6,DD6)&gt;0,MAX(AV6,BZ6,DD6),0)</f>
        <v>108.41999999999999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49.875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57.89500000000001</v>
      </c>
      <c r="P6" s="14" t="str">
        <f>IF(O6=0,"",IF(OR(O6=DC6,O6=DA6),$CD$1,IF(OR(O6=BY6,O6=BW6),$AZ$1,IF(OR(O6=AU6,O6=AS6),$V$1,""))))</f>
        <v>2021 Canadian Championships</v>
      </c>
      <c r="Q6" s="14">
        <f>MAX(AX6,CB6,DF6)</f>
        <v>57.510000000000005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0.93500000000000227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80"/>
      <c r="AQ6" s="11" t="str">
        <f>IF(SUM(V6:Y6)-Z6&gt;0,SUM(V6:Y6)-Z6,"")</f>
        <v/>
      </c>
      <c r="AR6" s="11" t="str">
        <f>IF(AC6&gt;0,AC6,"")</f>
        <v/>
      </c>
      <c r="AS6" s="11" t="str">
        <f>IF(SUM(AA6:AD6)-AE6&gt;0,SUM(AA6:AD6)-AE6,"")</f>
        <v/>
      </c>
      <c r="AT6" s="11" t="str">
        <f>IF(AH6&gt;0,AH6,"")</f>
        <v/>
      </c>
      <c r="AU6" s="11" t="str">
        <f>IF(SUM(AF6:AI6)-AJ6&gt;0,SUM(AF6:AI6)-AJ6,"")</f>
        <v/>
      </c>
      <c r="AV6" s="11" t="str">
        <f>IF(AQ6="",IF(MAX(AS6,AU6)&gt;0,MAX(AS6,AU6),""),MAX(AS6,AU6)+AQ6)</f>
        <v/>
      </c>
      <c r="AW6" s="11" t="str">
        <f>IF(AM6&gt;0,AM6,"")</f>
        <v/>
      </c>
      <c r="AX6" s="11" t="str">
        <f>IF(SUM(AK6:AN6)-AO6&gt;0,SUM(AK6:AN6)-AO6,"")</f>
        <v/>
      </c>
      <c r="AY6" s="11" t="str">
        <f>IF(SUM(AV6,AX6)&gt;0,SUM(AV6,AX6),"")</f>
        <v/>
      </c>
      <c r="AZ6" s="75">
        <v>17.7</v>
      </c>
      <c r="BA6" s="75">
        <v>9.4</v>
      </c>
      <c r="BB6" s="75">
        <v>5.8</v>
      </c>
      <c r="BC6" s="75">
        <v>16.975000000000001</v>
      </c>
      <c r="BD6" s="75">
        <v>0</v>
      </c>
      <c r="BE6" s="75">
        <v>16.899999999999999</v>
      </c>
      <c r="BF6" s="75">
        <v>9.1999999999999993</v>
      </c>
      <c r="BG6" s="75">
        <v>15.2</v>
      </c>
      <c r="BH6" s="75">
        <v>16.225000000000001</v>
      </c>
      <c r="BI6" s="75">
        <v>0</v>
      </c>
      <c r="BJ6" s="75">
        <v>17</v>
      </c>
      <c r="BK6" s="75">
        <v>9.3000000000000007</v>
      </c>
      <c r="BL6" s="75">
        <v>15.2</v>
      </c>
      <c r="BM6" s="75">
        <v>16.11</v>
      </c>
      <c r="BN6" s="75">
        <v>0</v>
      </c>
      <c r="BO6" s="75">
        <v>14.9</v>
      </c>
      <c r="BP6" s="75">
        <v>9.3000000000000007</v>
      </c>
      <c r="BQ6" s="75">
        <v>15.6</v>
      </c>
      <c r="BR6" s="75">
        <v>16.04</v>
      </c>
      <c r="BS6" s="75">
        <v>0</v>
      </c>
      <c r="BT6" s="81"/>
      <c r="BU6" s="14">
        <f>IF(SUM(AZ6:BC6)-BD6&gt;0,SUM(AZ6:BC6)-BD6,"")</f>
        <v>49.875</v>
      </c>
      <c r="BV6" s="14">
        <f>IF(BG6&gt;0,BG6,"")</f>
        <v>15.2</v>
      </c>
      <c r="BW6" s="14">
        <f>IF(SUM(BE6:BH6)-BI6&gt;0,SUM(BE6:BH6)-BI6,"")</f>
        <v>57.524999999999999</v>
      </c>
      <c r="BX6" s="14">
        <f>IF(BL6&gt;0,BL6,"")</f>
        <v>15.2</v>
      </c>
      <c r="BY6" s="14">
        <f>IF(SUM(BJ6:BM6)-BN6&gt;0,SUM(BJ6:BM6)-BN6,"")</f>
        <v>57.61</v>
      </c>
      <c r="BZ6" s="14">
        <f>IF(BU6="",IF(MAX(BW6,BY6)&gt;0,MAX(BW6,BY6),""),MAX(BW6,BY6)+BU6)</f>
        <v>107.485</v>
      </c>
      <c r="CA6" s="14">
        <f>IF(BQ6&gt;0,BQ6,"")</f>
        <v>15.6</v>
      </c>
      <c r="CB6" s="14">
        <f>IF(SUM(BO6:BR6)-BS6&gt;0,SUM(BO6:BR6)-BS6,"")</f>
        <v>55.84</v>
      </c>
      <c r="CC6" s="14">
        <f>IF(SUM(BZ6,CB6)&gt;0,SUM(BZ6,CB6),"")</f>
        <v>163.32499999999999</v>
      </c>
      <c r="CD6" s="69">
        <v>18.399999999999999</v>
      </c>
      <c r="CE6" s="69">
        <v>9</v>
      </c>
      <c r="CF6" s="69">
        <v>5.8</v>
      </c>
      <c r="CG6" s="69">
        <v>17.309999999999999</v>
      </c>
      <c r="CH6" s="69">
        <v>0</v>
      </c>
      <c r="CI6" s="69">
        <v>16.8</v>
      </c>
      <c r="CJ6" s="69">
        <v>9.1999999999999993</v>
      </c>
      <c r="CK6" s="69">
        <v>15</v>
      </c>
      <c r="CL6" s="69">
        <v>16.91</v>
      </c>
      <c r="CM6" s="69">
        <v>0</v>
      </c>
      <c r="CN6" s="69">
        <v>17.100000000000001</v>
      </c>
      <c r="CO6" s="69">
        <v>9.3000000000000007</v>
      </c>
      <c r="CP6" s="69">
        <v>15</v>
      </c>
      <c r="CQ6" s="69">
        <v>16.495000000000001</v>
      </c>
      <c r="CR6" s="69">
        <v>0</v>
      </c>
      <c r="CS6" s="69">
        <v>17.100000000000001</v>
      </c>
      <c r="CT6" s="69">
        <v>9</v>
      </c>
      <c r="CU6" s="69">
        <v>15</v>
      </c>
      <c r="CV6" s="69">
        <v>16.41</v>
      </c>
      <c r="CW6" s="69">
        <v>0</v>
      </c>
      <c r="CX6" s="80"/>
      <c r="CY6" s="11">
        <f>IF(SUM(CD6:CG6)-CH6&gt;0,SUM(CD6:CG6)-CH6,"")</f>
        <v>50.509999999999991</v>
      </c>
      <c r="CZ6" s="11">
        <f>IF(CK6&gt;0,CK6,"")</f>
        <v>15</v>
      </c>
      <c r="DA6" s="11">
        <f>IF(SUM(CI6:CL6)-CM6&gt;0,SUM(CI6:CL6)-CM6,"")</f>
        <v>57.91</v>
      </c>
      <c r="DB6" s="11">
        <f>IF(CP6&gt;0,CP6,"")</f>
        <v>15</v>
      </c>
      <c r="DC6" s="11">
        <f>IF(SUM(CN6:CQ6)-CR6&gt;0,SUM(CN6:CQ6)-CR6,"")</f>
        <v>57.89500000000001</v>
      </c>
      <c r="DD6" s="11">
        <f>IF(CY6="",IF(MAX(DA6,DC6)&gt;0,MAX(DA6,DC6),""),MAX(DA6,DC6)+CY6)</f>
        <v>108.41999999999999</v>
      </c>
      <c r="DE6" s="11">
        <f>IF(CU6&gt;0,CU6,"")</f>
        <v>15</v>
      </c>
      <c r="DF6" s="11">
        <f>IF(SUM(CS6:CV6)-CW6&gt;0,SUM(CS6:CV6)-CW6,"")</f>
        <v>57.510000000000005</v>
      </c>
      <c r="DG6" s="11">
        <f>IF(SUM(DD6,DF6)&gt;0,SUM(DD6,DF6),"")</f>
        <v>165.93</v>
      </c>
      <c r="DH6" s="24">
        <f>IF(MAX(EB6,EX6,FT6,GP6,HL6,IH6,JD6,JZ6,KV6,LR6,MN6,NJ6)-IF(M6="",0,M6)&gt;0.001,MAX(EB6,EX6,FT6,GP6,HL6,IH6,JD6,JZ6,KV6,LR6,MN6,NJ6)-IF(M6="",0,M6),"")</f>
        <v>0.93500000000000227</v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18.8</v>
      </c>
      <c r="DM6" s="37">
        <v>9.4</v>
      </c>
      <c r="DN6" s="37">
        <v>5.8</v>
      </c>
      <c r="DO6" s="37">
        <v>16.809999999999999</v>
      </c>
      <c r="DP6" s="37">
        <v>0</v>
      </c>
      <c r="DQ6" s="37">
        <v>17</v>
      </c>
      <c r="DR6" s="37">
        <v>9.6</v>
      </c>
      <c r="DS6" s="37">
        <v>15</v>
      </c>
      <c r="DT6" s="37">
        <v>15.76</v>
      </c>
      <c r="DU6" s="37">
        <v>0</v>
      </c>
      <c r="DV6" s="37">
        <v>16.600000000000001</v>
      </c>
      <c r="DW6" s="37">
        <v>9.4</v>
      </c>
      <c r="DX6" s="37">
        <v>15</v>
      </c>
      <c r="DY6" s="37">
        <v>15.994999999999999</v>
      </c>
      <c r="DZ6" s="37">
        <v>0</v>
      </c>
      <c r="EA6" s="11">
        <f>IF(DS6&gt;0,DS6,"")</f>
        <v>15</v>
      </c>
      <c r="EB6" s="11">
        <f>IF(SUM(DL6:DO6)-DP6&gt;0,SUM(DL6:DO6)-DP6,"")</f>
        <v>50.81</v>
      </c>
      <c r="EC6" s="11">
        <f>IF(SUM(DQ6:DT6)-DU6&gt;0,SUM(DQ6:DT6)-DU6,"")</f>
        <v>57.36</v>
      </c>
      <c r="ED6" s="11">
        <f>IF(SUM(EB6:EC6)&gt;0,SUM(EB6:EC6),"")</f>
        <v>108.17</v>
      </c>
      <c r="EE6" s="11">
        <f>IF(DX6&gt;0,DX6,"")</f>
        <v>15</v>
      </c>
      <c r="EF6" s="11">
        <f>IF(SUM(DV6:DY6)-DZ6&gt;0,SUM(DV6:DY6)-DZ6,"")</f>
        <v>56.994999999999997</v>
      </c>
      <c r="EG6" s="11">
        <f>IF(SUM(ED6,EF6)&gt;0,SUM(ED6,EF6),"")</f>
        <v>165.16499999999999</v>
      </c>
      <c r="EH6" s="38">
        <v>17.3</v>
      </c>
      <c r="EI6" s="38">
        <v>9.6</v>
      </c>
      <c r="EJ6" s="38">
        <v>6.6</v>
      </c>
      <c r="EK6" s="38">
        <v>17.22</v>
      </c>
      <c r="EL6" s="38">
        <v>0</v>
      </c>
      <c r="EM6" s="38">
        <v>14.1</v>
      </c>
      <c r="EN6" s="38">
        <v>8.6999999999999993</v>
      </c>
      <c r="EO6" s="38">
        <v>15.9</v>
      </c>
      <c r="EP6" s="38">
        <v>15.9</v>
      </c>
      <c r="EQ6" s="38"/>
      <c r="ER6" s="38"/>
      <c r="ES6" s="38"/>
      <c r="ET6" s="38"/>
      <c r="EU6" s="38"/>
      <c r="EV6" s="38"/>
      <c r="EW6" s="14">
        <f>IF(EO6&gt;0,EO6,"")</f>
        <v>15.9</v>
      </c>
      <c r="EX6" s="14">
        <f>IF(SUM(EH6:EK6)-EL6&gt;0,SUM(EH6:EK6)-EL6,"")</f>
        <v>50.72</v>
      </c>
      <c r="EY6" s="14">
        <f>IF(SUM(EM6:EP6)-EQ6&gt;0,SUM(EM6:EP6)-EQ6,"")</f>
        <v>54.599999999999994</v>
      </c>
      <c r="EZ6" s="14">
        <f>IF(SUM(EX6:EY6)&gt;0,SUM(EX6:EY6),"")</f>
        <v>105.32</v>
      </c>
      <c r="FA6" s="14" t="str">
        <f>IF(ET6&gt;0,ET6,"")</f>
        <v/>
      </c>
      <c r="FB6" s="14" t="str">
        <f>IF(SUM(ER6:EU6)-EV6&gt;0,SUM(ER6:EU6)-EV6,"")</f>
        <v/>
      </c>
      <c r="FC6" s="14">
        <f>IF(SUM(EZ6,FB6)&gt;0,SUM(EZ6,FB6),"")</f>
        <v>105.32</v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18.049999999999997</v>
      </c>
      <c r="NQ6" s="69">
        <f>IF($CX6="P",CE6,(CE6+BA6)/2)</f>
        <v>9.1999999999999993</v>
      </c>
      <c r="NR6" s="69">
        <f>IF($CX6="P",CF6,(CF6+BB6)/2)</f>
        <v>5.8</v>
      </c>
      <c r="NS6" s="69">
        <f>IF($CX6="P",CG6,(CG6+BC6)/2)</f>
        <v>17.142499999999998</v>
      </c>
      <c r="NT6" s="69">
        <f>IF($CX6="P",CH6,(CH6+BD6)/2)</f>
        <v>0</v>
      </c>
      <c r="NU6" s="69">
        <f>IF($CX6="P",CI6,(CI6+BE6)/2)</f>
        <v>16.850000000000001</v>
      </c>
      <c r="NV6" s="69">
        <f>IF($CX6="P",CJ6,(CJ6+BF6)/2)</f>
        <v>9.1999999999999993</v>
      </c>
      <c r="NW6" s="69">
        <f>IF($CX6="P",CK6,(CK6+BG6)/2)</f>
        <v>15.1</v>
      </c>
      <c r="NX6" s="69">
        <f>IF($CX6="P",CL6,(CL6+BH6)/2)</f>
        <v>16.567500000000003</v>
      </c>
      <c r="NY6" s="69">
        <f>IF($CX6="P",CM6,(CM6+BI6)/2)</f>
        <v>0</v>
      </c>
      <c r="NZ6" s="69">
        <f>IF($CX6="P",CN6,(CN6+BJ6)/2)</f>
        <v>17.05</v>
      </c>
      <c r="OA6" s="69">
        <f>IF($CX6="P",CO6,(CO6+BK6)/2)</f>
        <v>9.3000000000000007</v>
      </c>
      <c r="OB6" s="69">
        <f>IF($CX6="P",CP6,(CP6+BL6)/2)</f>
        <v>15.1</v>
      </c>
      <c r="OC6" s="69">
        <f>IF($CX6="P",CQ6,(CQ6+BM6)/2)</f>
        <v>16.302500000000002</v>
      </c>
      <c r="OD6" s="69">
        <f>IF($CX6="P",CR6,(CR6+BN6)/2)</f>
        <v>0</v>
      </c>
      <c r="OE6" s="69">
        <f>IF($CX6="P",CS6,(CS6+BO6)/2)</f>
        <v>16</v>
      </c>
      <c r="OF6" s="69">
        <f>IF($CX6="P",CT6,(CT6+BP6)/2)</f>
        <v>9.15</v>
      </c>
      <c r="OG6" s="69">
        <f>IF($CX6="P",CU6,(CU6+BQ6)/2)</f>
        <v>15.3</v>
      </c>
      <c r="OH6" s="69">
        <f>IF($CX6="P",CV6,(CV6+BR6)/2)</f>
        <v>16.225000000000001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50.192499999999995</v>
      </c>
      <c r="OL6" s="11">
        <f>IF(NW6&gt;0,NW6,"")</f>
        <v>15.1</v>
      </c>
      <c r="OM6" s="11">
        <f>IF(SUM(NU6:NX6)-NY6&gt;0,SUM(NU6:NX6)-NY6,"")</f>
        <v>57.717500000000001</v>
      </c>
      <c r="ON6" s="11">
        <f>IF(OB6&gt;0,OB6,"")</f>
        <v>15.1</v>
      </c>
      <c r="OO6" s="11">
        <f>IF(SUM(NZ6:OC6)-OD6&gt;0,SUM(NZ6:OC6)-OD6,"")</f>
        <v>57.752500000000005</v>
      </c>
      <c r="OP6" s="11">
        <f>IF(OR(OK6&lt;&gt;"",OM6&lt;&gt;"",OO6&lt;&gt;""),OK6+MAX(OM6,OO6),"")</f>
        <v>107.94499999999999</v>
      </c>
      <c r="OQ6" s="11">
        <f>IF(OG6&gt;0,OG6,"")</f>
        <v>15.3</v>
      </c>
      <c r="OR6" s="11">
        <f t="shared" si="0"/>
        <v>56.675000000000004</v>
      </c>
      <c r="OS6" s="11">
        <f t="shared" si="1"/>
        <v>164.62</v>
      </c>
    </row>
    <row r="7" spans="1:409" x14ac:dyDescent="0.2">
      <c r="A7" s="5" cm="1">
        <f t="array" ref="A7">IF(AND(G7&lt;&gt;"",H7&lt;&gt;""),SUMPRODUCT((G$4:G$21&lt;&gt;"")*(H$4:H$21&lt;&gt;"")*(E$4:E$21&gt;E7))+1,IF(H7&lt;&gt;"",SUMPRODUCT((I$4:I$21="No DD")*(E$4:E$21&gt;E7))+1+SUMPRODUCT((G$4:G$21&lt;&gt;"")*(H$4:H$21&lt;&gt;"")),""))</f>
        <v>4</v>
      </c>
      <c r="B7" s="6" t="s">
        <v>8</v>
      </c>
      <c r="C7" s="7" t="s">
        <v>3</v>
      </c>
      <c r="D7" s="27">
        <v>1997</v>
      </c>
      <c r="E7" s="15">
        <f>SUM(K7:S7)</f>
        <v>273.77999999999997</v>
      </c>
      <c r="F7" s="3" t="str">
        <f>IF(G7&lt;&gt;"","P","")</f>
        <v>P</v>
      </c>
      <c r="G7" s="125" t="str">
        <f>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Merit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Excellence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Worlds Team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National Team",""))))</f>
        <v>Merit</v>
      </c>
      <c r="H7" s="125" t="str">
        <f>IF(OR(AND(AS7&gt;=AY$30,AS7&lt;&gt;"",AP7=""),AND(AU7&gt;=AY$30,AU7&lt;&gt;"",AP7=""),AND(AX7&gt;=AY$30,AX7&lt;&gt;"",AP7=""),AND(BW7&gt;=CC$30,BW7&lt;&gt;"",BT7=""),AND(BY7&gt;=CC$30,BY7&lt;&gt;"",BT7=""),AND(CB7&gt;=CC$30,CB7&lt;&gt;"",BT7=""),AND(DA7&gt;=DG$30,DA7&lt;&gt;"",CX7=""),AND(DC7&gt;=DG$30,DC7&lt;&gt;"",CX7=""),AND(DF7&gt;=DG$30,DF7&lt;&gt;"",CX7=""),AND(EC7&gt;=EG$30,EC7&lt;&gt;""),AND(EF7&gt;=EG$30,EF7&lt;&gt;""),AND(EY7&gt;=FC$30,EY7&lt;&gt;""),AND(FB7&gt;=FC$30,FB7&lt;&gt;""),AND(FU7&gt;=FY$30,FU7&lt;&gt;""),AND(FX7&gt;=FY$30,FX7&lt;&gt;""),AND(GQ7&gt;=GU$30,GQ7&lt;&gt;""),AND(GT7&gt;=GU$30,GT7&lt;&gt;""),AND(HM7&gt;=HQ$30,HM7&lt;&gt;""),AND(HP7&gt;=HQ$30,HP7&lt;&gt;""),AND(II7&gt;=IM$30,II7&lt;&gt;""),AND(IL7&gt;=IM$30,IL7&lt;&gt;""),AND(JE7&gt;=JI$30,JE7&lt;&gt;""),AND(JH7&gt;=JI$30,JH7&lt;&gt;""),AND(KA7&gt;=KE$30,KA7&lt;&gt;""),AND(KD7&gt;=KE$30,KD7&lt;&gt;""),AND(KW7&gt;=LA$30,KW7&lt;&gt;""),AND(KZ7&gt;=LA$30,KZ7&lt;&gt;""),AND(LS7&gt;=LW$30,LS7&lt;&gt;""),AND(LV7&gt;=LW$30,LV7&lt;&gt;""),AND(MO7&gt;=MS$30,MO7&lt;&gt;""),AND(MR7&gt;=MS$30,MR7&lt;&gt;""),AND(NK7&gt;=NO$30,NK7&lt;&gt;""),AND(NN7&gt;=NO$30,NN7&lt;&gt;"")),"Merit",IF(OR(AND(AS7&gt;=AY$29,AS7&lt;&gt;"",AP7=""),AND(AU7&gt;=AY$29,AU7&lt;&gt;"",AP7=""),AND(AX7&gt;=AY$29,AX7&lt;&gt;"",AP7=""),AND(BW7&gt;=CC$29,BW7&lt;&gt;"",BT7=""),AND(BY7&gt;=CC$29,BY7&lt;&gt;"",BT7=""),AND(CB7&gt;=CC$29,CB7&lt;&gt;"",BT7=""),AND(DA7&gt;=DG$29,DA7&lt;&gt;"",CX7=""),AND(DC7&gt;=DG$29,DC7&lt;&gt;"",CX7=""),AND(DF7&gt;=DG$29,DF7&lt;&gt;"",CX7=""),AND(EC7&gt;=EG$29,EC7&lt;&gt;""),AND(EF7&gt;=EG$29,EF7&lt;&gt;""),AND(EY7&gt;=FC$29,EY7&lt;&gt;""),AND(FB7&gt;=FC$29,FB7&lt;&gt;""),AND(FU7&gt;=FY$29,FU7&lt;&gt;""),AND(FX7&gt;=FY$29,FX7&lt;&gt;""),AND(GQ7&gt;=GU$29,GQ7&lt;&gt;""),AND(GT7&gt;=GU$29,GT7&lt;&gt;""),AND(HM7&gt;=HQ$29,HM7&lt;&gt;""),AND(HP7&gt;=HQ$29,HP7&lt;&gt;""),AND(II7&gt;=IM$29,II7&lt;&gt;""),AND(IL7&gt;=IM$29,IL7&lt;&gt;""),AND(JE7&gt;=JI$29,JE7&lt;&gt;""),AND(JH7&gt;=JI$29,JH7&lt;&gt;""),AND(KA7&gt;=KE$29,KA7&lt;&gt;""),AND(KD7&gt;=KE$29,KD7&lt;&gt;""),AND(KW7&gt;=LA$29,KW7&lt;&gt;""),AND(KZ7&gt;=LA$29,KZ7&lt;&gt;""),AND(LS7&gt;=LW$29,LS7&lt;&gt;""),AND(LV7&gt;=LW$29,LV7&lt;&gt;""),AND(MO7&gt;=MS$29,MO7&lt;&gt;""),AND(MR7&gt;=MS$29,MR7&lt;&gt;""),AND(NK7&gt;=NO$29,NK7&lt;&gt;""),AND(NN7&gt;=NO$29,NN7&lt;&gt;"")),"Excellence",IF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"Worlds Team",IF(OR(AND(AV7&gt;=AY$27,AV7&lt;&gt;"",AP7=""),AND(BZ7&gt;=CC$27,BZ7&lt;&gt;"",BT7=""),AND(DD7&gt;=DG$27,DD7&lt;&gt;"",CX7=""),AND(ED7&gt;=EG$27,ED7&lt;&gt;""),AND(EZ7&gt;=FC$27,EZ7&lt;&gt;""),AND(FV7&gt;=FY$27,FV7&lt;&gt;""),AND(GR7&gt;=GU$27,GR7&lt;&gt;""),AND(HN7&gt;=HQ$27,HN7&lt;&gt;""),AND(IJ7&gt;=IM$27,IJ7&lt;&gt;""),AND(JF7&gt;=JI$27,JF7&lt;&gt;""),AND(KB7&gt;=KE$27,KB7&lt;&gt;""),AND(KX7&gt;=LA$27,KX7&lt;&gt;""),AND(LT7&gt;=LW$27,LT7&lt;&gt;""),AND(MP7&gt;=MS$27,MP7&lt;&gt;""),AND(NL7&gt;=NO$27,NL7&lt;&gt;"")),"National Team",""))))</f>
        <v>Worlds Team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Worlds Team</v>
      </c>
      <c r="J7" s="3" t="str">
        <f>IF(AND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OR(G7="Worlds Team",G7="Excellence",G7="Merit")),"P","")</f>
        <v>P</v>
      </c>
      <c r="K7" s="14">
        <f>IF(MAX(AV7,BZ7,DD7)&gt;0,MAX(AV7,BZ7,DD7),0)</f>
        <v>107.795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50.730000000000004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57.36</v>
      </c>
      <c r="P7" s="14" t="str">
        <f>IF(O7=0,"",IF(OR(O7=DC7,O7=DA7),$CD$1,IF(OR(O7=BY7,O7=BW7),$AZ$1,IF(OR(O7=AU7,O7=AS7),$V$1,""))))</f>
        <v>2021 2nd Virtual Technical Trial</v>
      </c>
      <c r="Q7" s="14">
        <f>MAX(AX7,CB7,DF7)</f>
        <v>57.894999999999996</v>
      </c>
      <c r="R7" s="14" t="str">
        <f>IF(Q7=0,"",IF(Q7=DF7,$CD$1,IF(Q7=CB7,$AZ$1,IF(Q7=AX7,$V$1,""))))</f>
        <v>2021 Elite Canada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17.8</v>
      </c>
      <c r="W7" s="69">
        <v>9.1999999999999993</v>
      </c>
      <c r="X7" s="69">
        <v>5.2</v>
      </c>
      <c r="Y7" s="69">
        <v>17.579999999999998</v>
      </c>
      <c r="Z7" s="69">
        <v>0</v>
      </c>
      <c r="AA7" s="69">
        <v>9.1</v>
      </c>
      <c r="AB7" s="69">
        <v>5.7</v>
      </c>
      <c r="AC7" s="69">
        <v>10</v>
      </c>
      <c r="AD7" s="69">
        <v>10.07</v>
      </c>
      <c r="AE7" s="69">
        <v>0</v>
      </c>
      <c r="AF7" s="69">
        <v>15.2</v>
      </c>
      <c r="AG7" s="69">
        <v>9.1999999999999993</v>
      </c>
      <c r="AH7" s="69">
        <v>16.2</v>
      </c>
      <c r="AI7" s="69">
        <v>16.760000000000002</v>
      </c>
      <c r="AJ7" s="69">
        <v>0</v>
      </c>
      <c r="AK7" s="69">
        <v>4.5999999999999996</v>
      </c>
      <c r="AL7" s="69">
        <v>2.5</v>
      </c>
      <c r="AM7" s="69">
        <v>5.5</v>
      </c>
      <c r="AN7" s="69">
        <v>5.2850000000000001</v>
      </c>
      <c r="AO7" s="69">
        <v>0</v>
      </c>
      <c r="AP7" s="80"/>
      <c r="AQ7" s="11">
        <f>IF(SUM(V7:Y7)-Z7&gt;0,SUM(V7:Y7)-Z7,"")</f>
        <v>49.78</v>
      </c>
      <c r="AR7" s="11">
        <f>IF(AC7&gt;0,AC7,"")</f>
        <v>10</v>
      </c>
      <c r="AS7" s="11">
        <f>IF(SUM(AA7:AD7)-AE7&gt;0,SUM(AA7:AD7)-AE7,"")</f>
        <v>34.870000000000005</v>
      </c>
      <c r="AT7" s="11">
        <f>IF(AH7&gt;0,AH7,"")</f>
        <v>16.2</v>
      </c>
      <c r="AU7" s="11">
        <f>IF(SUM(AF7:AI7)-AJ7&gt;0,SUM(AF7:AI7)-AJ7,"")</f>
        <v>57.36</v>
      </c>
      <c r="AV7" s="11">
        <f>IF(AQ7="",IF(MAX(AS7,AU7)&gt;0,MAX(AS7,AU7),""),MAX(AS7,AU7)+AQ7)</f>
        <v>107.14</v>
      </c>
      <c r="AW7" s="11">
        <f>IF(AM7&gt;0,AM7,"")</f>
        <v>5.5</v>
      </c>
      <c r="AX7" s="11">
        <f>IF(SUM(AK7:AN7)-AO7&gt;0,SUM(AK7:AN7)-AO7,"")</f>
        <v>17.884999999999998</v>
      </c>
      <c r="AY7" s="11">
        <f>IF(SUM(AV7,AX7)&gt;0,SUM(AV7,AX7),"")</f>
        <v>125.02500000000001</v>
      </c>
      <c r="AZ7" s="75">
        <v>18.2</v>
      </c>
      <c r="BA7" s="75">
        <v>9.6</v>
      </c>
      <c r="BB7" s="75">
        <v>5.2</v>
      </c>
      <c r="BC7" s="75">
        <v>17.73</v>
      </c>
      <c r="BD7" s="75">
        <v>0</v>
      </c>
      <c r="BE7" s="75">
        <v>3.3</v>
      </c>
      <c r="BF7" s="75">
        <v>1.7</v>
      </c>
      <c r="BG7" s="75">
        <v>3.8</v>
      </c>
      <c r="BH7" s="75">
        <v>3.63</v>
      </c>
      <c r="BI7" s="75">
        <v>0</v>
      </c>
      <c r="BJ7" s="75">
        <v>6.5</v>
      </c>
      <c r="BK7" s="75">
        <v>3.8</v>
      </c>
      <c r="BL7" s="75">
        <v>7.1</v>
      </c>
      <c r="BM7" s="75">
        <v>7.08</v>
      </c>
      <c r="BN7" s="75">
        <v>0</v>
      </c>
      <c r="BO7" s="75">
        <v>15.9</v>
      </c>
      <c r="BP7" s="75">
        <v>9.3000000000000007</v>
      </c>
      <c r="BQ7" s="75">
        <v>15.8</v>
      </c>
      <c r="BR7" s="75">
        <v>16.895</v>
      </c>
      <c r="BS7" s="75">
        <v>0</v>
      </c>
      <c r="BT7" s="81"/>
      <c r="BU7" s="14">
        <f>IF(SUM(AZ7:BC7)-BD7&gt;0,SUM(AZ7:BC7)-BD7,"")</f>
        <v>50.730000000000004</v>
      </c>
      <c r="BV7" s="14">
        <f>IF(BG7&gt;0,BG7,"")</f>
        <v>3.8</v>
      </c>
      <c r="BW7" s="14">
        <f>IF(SUM(BE7:BH7)-BI7&gt;0,SUM(BE7:BH7)-BI7,"")</f>
        <v>12.43</v>
      </c>
      <c r="BX7" s="14">
        <f>IF(BL7&gt;0,BL7,"")</f>
        <v>7.1</v>
      </c>
      <c r="BY7" s="14">
        <f>IF(SUM(BJ7:BM7)-BN7&gt;0,SUM(BJ7:BM7)-BN7,"")</f>
        <v>24.479999999999997</v>
      </c>
      <c r="BZ7" s="14">
        <f>IF(BU7="",IF(MAX(BW7,BY7)&gt;0,MAX(BW7,BY7),""),MAX(BW7,BY7)+BU7)</f>
        <v>75.210000000000008</v>
      </c>
      <c r="CA7" s="14">
        <f>IF(BQ7&gt;0,BQ7,"")</f>
        <v>15.8</v>
      </c>
      <c r="CB7" s="14">
        <f>IF(SUM(BO7:BR7)-BS7&gt;0,SUM(BO7:BR7)-BS7,"")</f>
        <v>57.894999999999996</v>
      </c>
      <c r="CC7" s="14">
        <f>IF(SUM(BZ7,CB7)&gt;0,SUM(BZ7,CB7),"")</f>
        <v>133.10500000000002</v>
      </c>
      <c r="CD7" s="69">
        <v>18.2</v>
      </c>
      <c r="CE7" s="69">
        <v>9.6</v>
      </c>
      <c r="CF7" s="69">
        <v>5.2</v>
      </c>
      <c r="CG7" s="69">
        <v>17.864999999999998</v>
      </c>
      <c r="CH7" s="69">
        <v>0</v>
      </c>
      <c r="CI7" s="69">
        <v>14.6</v>
      </c>
      <c r="CJ7" s="69">
        <v>9.3000000000000007</v>
      </c>
      <c r="CK7" s="69">
        <v>16.2</v>
      </c>
      <c r="CL7" s="69">
        <v>16.63</v>
      </c>
      <c r="CM7" s="69">
        <v>0</v>
      </c>
      <c r="CN7" s="69">
        <v>14.8</v>
      </c>
      <c r="CO7" s="69">
        <v>9.1999999999999993</v>
      </c>
      <c r="CP7" s="69">
        <v>16.2</v>
      </c>
      <c r="CQ7" s="69">
        <v>16.73</v>
      </c>
      <c r="CR7" s="69">
        <v>0</v>
      </c>
      <c r="CS7" s="69">
        <v>1.7</v>
      </c>
      <c r="CT7" s="69">
        <v>1</v>
      </c>
      <c r="CU7" s="69">
        <v>2</v>
      </c>
      <c r="CV7" s="69">
        <v>1.8</v>
      </c>
      <c r="CW7" s="69">
        <v>0.2</v>
      </c>
      <c r="CX7" s="80"/>
      <c r="CY7" s="11">
        <f>IF(SUM(CD7:CG7)-CH7&gt;0,SUM(CD7:CG7)-CH7,"")</f>
        <v>50.864999999999995</v>
      </c>
      <c r="CZ7" s="11">
        <f>IF(CK7&gt;0,CK7,"")</f>
        <v>16.2</v>
      </c>
      <c r="DA7" s="11">
        <f>IF(SUM(CI7:CL7)-CM7&gt;0,SUM(CI7:CL7)-CM7,"")</f>
        <v>56.72999999999999</v>
      </c>
      <c r="DB7" s="11">
        <f>IF(CP7&gt;0,CP7,"")</f>
        <v>16.2</v>
      </c>
      <c r="DC7" s="11">
        <f>IF(SUM(CN7:CQ7)-CR7&gt;0,SUM(CN7:CQ7)-CR7,"")</f>
        <v>56.930000000000007</v>
      </c>
      <c r="DD7" s="11">
        <f>IF(CY7="",IF(MAX(DA7,DC7)&gt;0,MAX(DA7,DC7),""),MAX(DA7,DC7)+CY7)</f>
        <v>107.795</v>
      </c>
      <c r="DE7" s="11">
        <f>IF(CU7&gt;0,CU7,"")</f>
        <v>2</v>
      </c>
      <c r="DF7" s="11">
        <f>IF(SUM(CS7:CV7)-CW7&gt;0,SUM(CS7:CV7)-CW7,"")</f>
        <v>6.3</v>
      </c>
      <c r="DG7" s="11">
        <f>IF(SUM(DD7,DF7)&gt;0,SUM(DD7,DF7),"")</f>
        <v>114.095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>
        <v>16.3</v>
      </c>
      <c r="EI7" s="38">
        <v>9.3000000000000007</v>
      </c>
      <c r="EJ7" s="38">
        <v>5.2</v>
      </c>
      <c r="EK7" s="38">
        <v>16.585000000000001</v>
      </c>
      <c r="EL7" s="38">
        <v>0</v>
      </c>
      <c r="EM7" s="38">
        <v>13.8</v>
      </c>
      <c r="EN7" s="38">
        <v>9.1999999999999993</v>
      </c>
      <c r="EO7" s="38">
        <v>15.6</v>
      </c>
      <c r="EP7" s="38">
        <v>15.6</v>
      </c>
      <c r="EQ7" s="38"/>
      <c r="ER7" s="38"/>
      <c r="ES7" s="38"/>
      <c r="ET7" s="38"/>
      <c r="EU7" s="38"/>
      <c r="EV7" s="38"/>
      <c r="EW7" s="14">
        <f>IF(EO7&gt;0,EO7,"")</f>
        <v>15.6</v>
      </c>
      <c r="EX7" s="14">
        <f>IF(SUM(EH7:EK7)-EL7&gt;0,SUM(EH7:EK7)-EL7,"")</f>
        <v>47.385000000000005</v>
      </c>
      <c r="EY7" s="14">
        <f>IF(SUM(EM7:EP7)-EQ7&gt;0,SUM(EM7:EP7)-EQ7,"")</f>
        <v>54.2</v>
      </c>
      <c r="EZ7" s="14">
        <f>IF(SUM(EX7:EY7)&gt;0,SUM(EX7:EY7),"")</f>
        <v>101.58500000000001</v>
      </c>
      <c r="FA7" s="14" t="str">
        <f>IF(ET7&gt;0,ET7,"")</f>
        <v/>
      </c>
      <c r="FB7" s="14" t="str">
        <f>IF(SUM(ER7:EU7)-EV7&gt;0,SUM(ER7:EU7)-EV7,"")</f>
        <v/>
      </c>
      <c r="FC7" s="14">
        <f>IF(SUM(EZ7,FB7)&gt;0,SUM(EZ7,FB7),"")</f>
        <v>101.58500000000001</v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18.2</v>
      </c>
      <c r="NQ7" s="69">
        <f>IF($CX7="P",CE7,(CE7+BA7)/2)</f>
        <v>9.6</v>
      </c>
      <c r="NR7" s="69">
        <f>IF($CX7="P",CF7,(CF7+BB7)/2)</f>
        <v>5.2</v>
      </c>
      <c r="NS7" s="69">
        <f>IF($CX7="P",CG7,(CG7+BC7)/2)</f>
        <v>17.797499999999999</v>
      </c>
      <c r="NT7" s="69">
        <f>IF($CX7="P",CH7,(CH7+BD7)/2)</f>
        <v>0</v>
      </c>
      <c r="NU7" s="69">
        <f>IF($CX7="P",CI7,(CI7+BE7)/2)</f>
        <v>8.9499999999999993</v>
      </c>
      <c r="NV7" s="69">
        <f>IF($CX7="P",CJ7,(CJ7+BF7)/2)</f>
        <v>5.5</v>
      </c>
      <c r="NW7" s="69">
        <f>IF($CX7="P",CK7,(CK7+BG7)/2)</f>
        <v>10</v>
      </c>
      <c r="NX7" s="69">
        <f>IF($CX7="P",CL7,(CL7+BH7)/2)</f>
        <v>10.129999999999999</v>
      </c>
      <c r="NY7" s="69">
        <f>IF($CX7="P",CM7,(CM7+BI7)/2)</f>
        <v>0</v>
      </c>
      <c r="NZ7" s="69">
        <f>IF($CX7="P",CN7,(CN7+BJ7)/2)</f>
        <v>10.65</v>
      </c>
      <c r="OA7" s="69">
        <f>IF($CX7="P",CO7,(CO7+BK7)/2)</f>
        <v>6.5</v>
      </c>
      <c r="OB7" s="69">
        <f>IF($CX7="P",CP7,(CP7+BL7)/2)</f>
        <v>11.649999999999999</v>
      </c>
      <c r="OC7" s="69">
        <f>IF($CX7="P",CQ7,(CQ7+BM7)/2)</f>
        <v>11.905000000000001</v>
      </c>
      <c r="OD7" s="69">
        <f>IF($CX7="P",CR7,(CR7+BN7)/2)</f>
        <v>0</v>
      </c>
      <c r="OE7" s="69">
        <f>IF($CX7="P",CS7,(CS7+BO7)/2)</f>
        <v>8.8000000000000007</v>
      </c>
      <c r="OF7" s="69">
        <f>IF($CX7="P",CT7,(CT7+BP7)/2)</f>
        <v>5.15</v>
      </c>
      <c r="OG7" s="69">
        <f>IF($CX7="P",CU7,(CU7+BQ7)/2)</f>
        <v>8.9</v>
      </c>
      <c r="OH7" s="69">
        <f>IF($CX7="P",CV7,(CV7+BR7)/2)</f>
        <v>9.3475000000000001</v>
      </c>
      <c r="OI7" s="69">
        <f>IF($CX7="P",CW7,(CW7+BS7)/2)</f>
        <v>0.1</v>
      </c>
      <c r="OJ7" s="80" t="s">
        <v>74</v>
      </c>
      <c r="OK7" s="11">
        <f>IF(SUM(NP7:NS7)-NT7&gt;0,SUM(NP7:NS7)-NT7,"")</f>
        <v>50.797499999999999</v>
      </c>
      <c r="OL7" s="11">
        <f>IF(NW7&gt;0,NW7,"")</f>
        <v>10</v>
      </c>
      <c r="OM7" s="11">
        <f>IF(SUM(NU7:NX7)-NY7&gt;0,SUM(NU7:NX7)-NY7,"")</f>
        <v>34.58</v>
      </c>
      <c r="ON7" s="11">
        <f>IF(OB7&gt;0,OB7,"")</f>
        <v>11.649999999999999</v>
      </c>
      <c r="OO7" s="11">
        <f>IF(SUM(NZ7:OC7)-OD7&gt;0,SUM(NZ7:OC7)-OD7,"")</f>
        <v>40.704999999999998</v>
      </c>
      <c r="OP7" s="11">
        <f>IF(OR(OK7&lt;&gt;"",OM7&lt;&gt;"",OO7&lt;&gt;""),OK7+MAX(OM7,OO7),"")</f>
        <v>91.502499999999998</v>
      </c>
      <c r="OQ7" s="11">
        <f>IF(OG7&gt;0,OG7,"")</f>
        <v>8.9</v>
      </c>
      <c r="OR7" s="11">
        <f t="shared" si="0"/>
        <v>32.097500000000004</v>
      </c>
      <c r="OS7" s="11">
        <f t="shared" si="1"/>
        <v>123.6</v>
      </c>
    </row>
    <row r="8" spans="1:409" x14ac:dyDescent="0.2">
      <c r="A8" s="5" cm="1">
        <f t="array" ref="A8">IF(AND(G8&lt;&gt;"",H8&lt;&gt;""),SUMPRODUCT((G$4:G$21&lt;&gt;"")*(H$4:H$21&lt;&gt;"")*(E$4:E$21&gt;E8))+1,IF(H8&lt;&gt;"",SUMPRODUCT((I$4:I$21="No DD")*(E$4:E$21&gt;E8))+1+SUMPRODUCT((G$4:G$21&lt;&gt;"")*(H$4:H$21&lt;&gt;"")),""))</f>
        <v>5</v>
      </c>
      <c r="B8" s="8" t="s">
        <v>38</v>
      </c>
      <c r="C8" s="4" t="s">
        <v>6</v>
      </c>
      <c r="D8" s="7">
        <v>1995</v>
      </c>
      <c r="E8" s="15">
        <f>SUM(K8:S8)</f>
        <v>269.79500000000002</v>
      </c>
      <c r="F8" s="3" t="str">
        <f>IF(G8&lt;&gt;"","P","")</f>
        <v>P</v>
      </c>
      <c r="G8" s="125" t="str">
        <f>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Merit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Excellence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Worlds Team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National Team",""))))</f>
        <v>Merit</v>
      </c>
      <c r="H8" s="125" t="str">
        <f>IF(OR(AND(AS8&gt;=AY$30,AS8&lt;&gt;"",AP8=""),AND(AU8&gt;=AY$30,AU8&lt;&gt;"",AP8=""),AND(AX8&gt;=AY$30,AX8&lt;&gt;"",AP8=""),AND(BW8&gt;=CC$30,BW8&lt;&gt;"",BT8=""),AND(BY8&gt;=CC$30,BY8&lt;&gt;"",BT8=""),AND(CB8&gt;=CC$30,CB8&lt;&gt;"",BT8=""),AND(DA8&gt;=DG$30,DA8&lt;&gt;"",CX8=""),AND(DC8&gt;=DG$30,DC8&lt;&gt;"",CX8=""),AND(DF8&gt;=DG$30,DF8&lt;&gt;"",CX8=""),AND(EC8&gt;=EG$30,EC8&lt;&gt;""),AND(EF8&gt;=EG$30,EF8&lt;&gt;""),AND(EY8&gt;=FC$30,EY8&lt;&gt;""),AND(FB8&gt;=FC$30,FB8&lt;&gt;""),AND(FU8&gt;=FY$30,FU8&lt;&gt;""),AND(FX8&gt;=FY$30,FX8&lt;&gt;""),AND(GQ8&gt;=GU$30,GQ8&lt;&gt;""),AND(GT8&gt;=GU$30,GT8&lt;&gt;""),AND(HM8&gt;=HQ$30,HM8&lt;&gt;""),AND(HP8&gt;=HQ$30,HP8&lt;&gt;""),AND(II8&gt;=IM$30,II8&lt;&gt;""),AND(IL8&gt;=IM$30,IL8&lt;&gt;""),AND(JE8&gt;=JI$30,JE8&lt;&gt;""),AND(JH8&gt;=JI$30,JH8&lt;&gt;""),AND(KA8&gt;=KE$30,KA8&lt;&gt;""),AND(KD8&gt;=KE$30,KD8&lt;&gt;""),AND(KW8&gt;=LA$30,KW8&lt;&gt;""),AND(KZ8&gt;=LA$30,KZ8&lt;&gt;""),AND(LS8&gt;=LW$30,LS8&lt;&gt;""),AND(LV8&gt;=LW$30,LV8&lt;&gt;""),AND(MO8&gt;=MS$30,MO8&lt;&gt;""),AND(MR8&gt;=MS$30,MR8&lt;&gt;""),AND(NK8&gt;=NO$30,NK8&lt;&gt;""),AND(NN8&gt;=NO$30,NN8&lt;&gt;"")),"Merit",IF(OR(AND(AS8&gt;=AY$29,AS8&lt;&gt;"",AP8=""),AND(AU8&gt;=AY$29,AU8&lt;&gt;"",AP8=""),AND(AX8&gt;=AY$29,AX8&lt;&gt;"",AP8=""),AND(BW8&gt;=CC$29,BW8&lt;&gt;"",BT8=""),AND(BY8&gt;=CC$29,BY8&lt;&gt;"",BT8=""),AND(CB8&gt;=CC$29,CB8&lt;&gt;"",BT8=""),AND(DA8&gt;=DG$29,DA8&lt;&gt;"",CX8=""),AND(DC8&gt;=DG$29,DC8&lt;&gt;"",CX8=""),AND(DF8&gt;=DG$29,DF8&lt;&gt;"",CX8=""),AND(EC8&gt;=EG$29,EC8&lt;&gt;""),AND(EF8&gt;=EG$29,EF8&lt;&gt;""),AND(EY8&gt;=FC$29,EY8&lt;&gt;""),AND(FB8&gt;=FC$29,FB8&lt;&gt;""),AND(FU8&gt;=FY$29,FU8&lt;&gt;""),AND(FX8&gt;=FY$29,FX8&lt;&gt;""),AND(GQ8&gt;=GU$29,GQ8&lt;&gt;""),AND(GT8&gt;=GU$29,GT8&lt;&gt;""),AND(HM8&gt;=HQ$29,HM8&lt;&gt;""),AND(HP8&gt;=HQ$29,HP8&lt;&gt;""),AND(II8&gt;=IM$29,II8&lt;&gt;""),AND(IL8&gt;=IM$29,IL8&lt;&gt;""),AND(JE8&gt;=JI$29,JE8&lt;&gt;""),AND(JH8&gt;=JI$29,JH8&lt;&gt;""),AND(KA8&gt;=KE$29,KA8&lt;&gt;""),AND(KD8&gt;=KE$29,KD8&lt;&gt;""),AND(KW8&gt;=LA$29,KW8&lt;&gt;""),AND(KZ8&gt;=LA$29,KZ8&lt;&gt;""),AND(LS8&gt;=LW$29,LS8&lt;&gt;""),AND(LV8&gt;=LW$29,LV8&lt;&gt;""),AND(MO8&gt;=MS$29,MO8&lt;&gt;""),AND(MR8&gt;=MS$29,MR8&lt;&gt;""),AND(NK8&gt;=NO$29,NK8&lt;&gt;""),AND(NN8&gt;=NO$29,NN8&lt;&gt;"")),"Excellence",IF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"Worlds Team",IF(OR(AND(AV8&gt;=AY$27,AV8&lt;&gt;"",AP8=""),AND(BZ8&gt;=CC$27,BZ8&lt;&gt;"",BT8=""),AND(DD8&gt;=DG$27,DD8&lt;&gt;"",CX8=""),AND(ED8&gt;=EG$27,ED8&lt;&gt;""),AND(EZ8&gt;=FC$27,EZ8&lt;&gt;""),AND(FV8&gt;=FY$27,FV8&lt;&gt;""),AND(GR8&gt;=GU$27,GR8&lt;&gt;""),AND(HN8&gt;=HQ$27,HN8&lt;&gt;""),AND(IJ8&gt;=IM$27,IJ8&lt;&gt;""),AND(JF8&gt;=JI$27,JF8&lt;&gt;""),AND(KB8&gt;=KE$27,KB8&lt;&gt;""),AND(KX8&gt;=LA$27,KX8&lt;&gt;""),AND(LT8&gt;=LW$27,LT8&lt;&gt;""),AND(MP8&gt;=MS$27,MP8&lt;&gt;""),AND(NL8&gt;=NO$27,NL8&lt;&gt;"")),"National Team",""))))</f>
        <v>Worlds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Worlds Team</v>
      </c>
      <c r="J8" s="3" t="str">
        <f>IF(AND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OR(G8="Worlds Team",G8="Excellence",G8="Merit")),"P","")</f>
        <v>P</v>
      </c>
      <c r="K8" s="14">
        <f>IF(MAX(AV8,BZ8,DD8)&gt;0,MAX(AV8,BZ8,DD8),0)</f>
        <v>107.13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49.960000000000008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56.4</v>
      </c>
      <c r="P8" s="14" t="str">
        <f>IF(O8=0,"",IF(OR(O8=DC8,O8=DA8),$CD$1,IF(OR(O8=BY8,O8=BW8),$AZ$1,IF(OR(O8=AU8,O8=AS8),$V$1,""))))</f>
        <v>2021 Elite Canada</v>
      </c>
      <c r="Q8" s="14">
        <f>MAX(AX8,CB8,DF8)</f>
        <v>56.304999999999993</v>
      </c>
      <c r="R8" s="14" t="str">
        <f>IF(Q8=0,"",IF(Q8=DF8,$CD$1,IF(Q8=CB8,$AZ$1,IF(Q8=AX8,$V$1,""))))</f>
        <v>2021 Elite Canada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17.899999999999999</v>
      </c>
      <c r="W8" s="69">
        <v>9.5</v>
      </c>
      <c r="X8" s="69">
        <v>5.4</v>
      </c>
      <c r="Y8" s="69">
        <v>16.920000000000002</v>
      </c>
      <c r="Z8" s="69">
        <v>0</v>
      </c>
      <c r="AA8" s="69">
        <v>5.7</v>
      </c>
      <c r="AB8" s="69">
        <v>3.3</v>
      </c>
      <c r="AC8" s="69">
        <v>6.7</v>
      </c>
      <c r="AD8" s="69">
        <v>6.6849999999999996</v>
      </c>
      <c r="AE8" s="69">
        <v>0</v>
      </c>
      <c r="AF8" s="69">
        <v>13.8</v>
      </c>
      <c r="AG8" s="69">
        <v>8.8000000000000007</v>
      </c>
      <c r="AH8" s="69">
        <v>11</v>
      </c>
      <c r="AI8" s="69">
        <v>15.94</v>
      </c>
      <c r="AJ8" s="69">
        <v>2.5</v>
      </c>
      <c r="AK8" s="69">
        <v>13.4</v>
      </c>
      <c r="AL8" s="69">
        <v>9.6</v>
      </c>
      <c r="AM8" s="69">
        <v>15.6</v>
      </c>
      <c r="AN8" s="69">
        <v>15.725</v>
      </c>
      <c r="AO8" s="69">
        <v>0</v>
      </c>
      <c r="AP8" s="80"/>
      <c r="AQ8" s="11">
        <f>IF(SUM(V8:Y8)-Z8&gt;0,SUM(V8:Y8)-Z8,"")</f>
        <v>49.72</v>
      </c>
      <c r="AR8" s="11">
        <f>IF(AC8&gt;0,AC8,"")</f>
        <v>6.7</v>
      </c>
      <c r="AS8" s="11">
        <f>IF(SUM(AA8:AD8)-AE8&gt;0,SUM(AA8:AD8)-AE8,"")</f>
        <v>22.384999999999998</v>
      </c>
      <c r="AT8" s="11">
        <f>IF(AH8&gt;0,AH8,"")</f>
        <v>11</v>
      </c>
      <c r="AU8" s="11">
        <f>IF(SUM(AF8:AI8)-AJ8&gt;0,SUM(AF8:AI8)-AJ8,"")</f>
        <v>47.04</v>
      </c>
      <c r="AV8" s="11">
        <f>IF(AQ8="",IF(MAX(AS8,AU8)&gt;0,MAX(AS8,AU8),""),MAX(AS8,AU8)+AQ8)</f>
        <v>96.759999999999991</v>
      </c>
      <c r="AW8" s="11">
        <f>IF(AM8&gt;0,AM8,"")</f>
        <v>15.6</v>
      </c>
      <c r="AX8" s="11">
        <f>IF(SUM(AK8:AN8)-AO8&gt;0,SUM(AK8:AN8)-AO8,"")</f>
        <v>54.325000000000003</v>
      </c>
      <c r="AY8" s="11">
        <f>IF(SUM(AV8,AX8)&gt;0,SUM(AV8,AX8),"")</f>
        <v>151.08499999999998</v>
      </c>
      <c r="AZ8" s="63">
        <v>17.8</v>
      </c>
      <c r="BA8" s="63">
        <v>9.3000000000000007</v>
      </c>
      <c r="BB8" s="63">
        <v>5.6</v>
      </c>
      <c r="BC8" s="63">
        <v>17.260000000000002</v>
      </c>
      <c r="BD8" s="63">
        <v>0</v>
      </c>
      <c r="BE8" s="63">
        <v>15</v>
      </c>
      <c r="BF8" s="63">
        <v>9.1999999999999993</v>
      </c>
      <c r="BG8" s="63">
        <v>15</v>
      </c>
      <c r="BH8" s="63">
        <v>15.86</v>
      </c>
      <c r="BI8" s="63">
        <v>0</v>
      </c>
      <c r="BJ8" s="63">
        <v>15.3</v>
      </c>
      <c r="BK8" s="63">
        <v>9.1</v>
      </c>
      <c r="BL8" s="63">
        <v>15.4</v>
      </c>
      <c r="BM8" s="63">
        <v>16.600000000000001</v>
      </c>
      <c r="BN8" s="63">
        <v>0</v>
      </c>
      <c r="BO8" s="63">
        <v>15.7</v>
      </c>
      <c r="BP8" s="63">
        <v>9.1</v>
      </c>
      <c r="BQ8" s="63">
        <v>15</v>
      </c>
      <c r="BR8" s="63">
        <v>16.504999999999999</v>
      </c>
      <c r="BS8" s="63">
        <v>0</v>
      </c>
      <c r="BT8" s="81"/>
      <c r="BU8" s="14">
        <f>IF(SUM(AZ8:BC8)-BD8&gt;0,SUM(AZ8:BC8)-BD8,"")</f>
        <v>49.960000000000008</v>
      </c>
      <c r="BV8" s="14">
        <f>IF(BG8&gt;0,BG8,"")</f>
        <v>15</v>
      </c>
      <c r="BW8" s="14">
        <f>IF(SUM(BE8:BH8)-BI8&gt;0,SUM(BE8:BH8)-BI8,"")</f>
        <v>55.06</v>
      </c>
      <c r="BX8" s="14">
        <f>IF(BL8&gt;0,BL8,"")</f>
        <v>15.4</v>
      </c>
      <c r="BY8" s="14">
        <f>IF(SUM(BJ8:BM8)-BN8&gt;0,SUM(BJ8:BM8)-BN8,"")</f>
        <v>56.4</v>
      </c>
      <c r="BZ8" s="14">
        <f>IF(BU8="",IF(MAX(BW8,BY8)&gt;0,MAX(BW8,BY8),""),MAX(BW8,BY8)+BU8)</f>
        <v>106.36000000000001</v>
      </c>
      <c r="CA8" s="14">
        <f>IF(BQ8&gt;0,BQ8,"")</f>
        <v>15</v>
      </c>
      <c r="CB8" s="14">
        <f>IF(SUM(BO8:BR8)-BS8&gt;0,SUM(BO8:BR8)-BS8,"")</f>
        <v>56.304999999999993</v>
      </c>
      <c r="CC8" s="14">
        <f>IF(SUM(BZ8,CB8)&gt;0,SUM(BZ8,CB8),"")</f>
        <v>162.66500000000002</v>
      </c>
      <c r="CD8" s="69">
        <v>18</v>
      </c>
      <c r="CE8" s="69">
        <v>9.1999999999999993</v>
      </c>
      <c r="CF8" s="69">
        <v>5.6</v>
      </c>
      <c r="CG8" s="69">
        <v>17.5</v>
      </c>
      <c r="CH8" s="69">
        <v>0</v>
      </c>
      <c r="CI8" s="69">
        <v>15.5</v>
      </c>
      <c r="CJ8" s="69">
        <v>9.3000000000000007</v>
      </c>
      <c r="CK8" s="69">
        <v>15</v>
      </c>
      <c r="CL8" s="69">
        <v>16.565000000000001</v>
      </c>
      <c r="CM8" s="69">
        <v>0</v>
      </c>
      <c r="CN8" s="69">
        <v>15.5</v>
      </c>
      <c r="CO8" s="69">
        <v>9.1</v>
      </c>
      <c r="CP8" s="69">
        <v>15.4</v>
      </c>
      <c r="CQ8" s="69">
        <v>16.829999999999998</v>
      </c>
      <c r="CR8" s="69">
        <v>0</v>
      </c>
      <c r="CS8" s="69">
        <v>15.4</v>
      </c>
      <c r="CT8" s="69">
        <v>8.6999999999999993</v>
      </c>
      <c r="CU8" s="69">
        <v>13.4</v>
      </c>
      <c r="CV8" s="69">
        <v>16.350000000000001</v>
      </c>
      <c r="CW8" s="69">
        <v>0.1</v>
      </c>
      <c r="CX8" s="80"/>
      <c r="CY8" s="11">
        <f>IF(SUM(CD8:CG8)-CH8&gt;0,SUM(CD8:CG8)-CH8,"")</f>
        <v>50.3</v>
      </c>
      <c r="CZ8" s="11">
        <f>IF(CK8&gt;0,CK8,"")</f>
        <v>15</v>
      </c>
      <c r="DA8" s="11">
        <f>IF(SUM(CI8:CL8)-CM8&gt;0,SUM(CI8:CL8)-CM8,"")</f>
        <v>56.364999999999995</v>
      </c>
      <c r="DB8" s="11">
        <f>IF(CP8&gt;0,CP8,"")</f>
        <v>15.4</v>
      </c>
      <c r="DC8" s="11">
        <f>IF(SUM(CN8:CQ8)-CR8&gt;0,SUM(CN8:CQ8)-CR8,"")</f>
        <v>56.83</v>
      </c>
      <c r="DD8" s="11">
        <f>IF(CY8="",IF(MAX(DA8,DC8)&gt;0,MAX(DA8,DC8),""),MAX(DA8,DC8)+CY8)</f>
        <v>107.13</v>
      </c>
      <c r="DE8" s="11">
        <f>IF(CU8&gt;0,CU8,"")</f>
        <v>13.4</v>
      </c>
      <c r="DF8" s="11">
        <f>IF(SUM(CS8:CV8)-CW8&gt;0,SUM(CS8:CV8)-CW8,"")</f>
        <v>53.75</v>
      </c>
      <c r="DG8" s="11">
        <f>IF(SUM(DD8,DF8)&gt;0,SUM(DD8,DF8),"")</f>
        <v>160.88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>
        <v>16.899999999999999</v>
      </c>
      <c r="EI8" s="38">
        <v>9.6</v>
      </c>
      <c r="EJ8" s="38">
        <v>5.6</v>
      </c>
      <c r="EK8" s="38">
        <v>16.335000000000001</v>
      </c>
      <c r="EL8" s="38">
        <v>0</v>
      </c>
      <c r="EM8" s="38">
        <v>14</v>
      </c>
      <c r="EN8" s="38">
        <v>9.5</v>
      </c>
      <c r="EO8" s="38">
        <v>15</v>
      </c>
      <c r="EP8" s="38">
        <v>15.64</v>
      </c>
      <c r="EQ8" s="38"/>
      <c r="ER8" s="38"/>
      <c r="ES8" s="38"/>
      <c r="ET8" s="38"/>
      <c r="EU8" s="38"/>
      <c r="EV8" s="38"/>
      <c r="EW8" s="14">
        <f>IF(EO8&gt;0,EO8,"")</f>
        <v>15</v>
      </c>
      <c r="EX8" s="14">
        <f>IF(SUM(EH8:EK8)-EL8&gt;0,SUM(EH8:EK8)-EL8,"")</f>
        <v>48.435000000000002</v>
      </c>
      <c r="EY8" s="14">
        <f>IF(SUM(EM8:EP8)-EQ8&gt;0,SUM(EM8:EP8)-EQ8,"")</f>
        <v>54.14</v>
      </c>
      <c r="EZ8" s="14">
        <f>IF(SUM(EX8:EY8)&gt;0,SUM(EX8:EY8),"")</f>
        <v>102.575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102.575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17.899999999999999</v>
      </c>
      <c r="NQ8" s="69">
        <f>IF($CX8="P",CE8,(CE8+BA8)/2)</f>
        <v>9.25</v>
      </c>
      <c r="NR8" s="69">
        <f>IF($CX8="P",CF8,(CF8+BB8)/2)</f>
        <v>5.6</v>
      </c>
      <c r="NS8" s="69">
        <f>IF($CX8="P",CG8,(CG8+BC8)/2)</f>
        <v>17.380000000000003</v>
      </c>
      <c r="NT8" s="69">
        <f>IF($CX8="P",CH8,(CH8+BD8)/2)</f>
        <v>0</v>
      </c>
      <c r="NU8" s="69">
        <f>IF($CX8="P",CI8,(CI8+BE8)/2)</f>
        <v>15.25</v>
      </c>
      <c r="NV8" s="69">
        <f>IF($CX8="P",CJ8,(CJ8+BF8)/2)</f>
        <v>9.25</v>
      </c>
      <c r="NW8" s="69">
        <f>IF($CX8="P",CK8,(CK8+BG8)/2)</f>
        <v>15</v>
      </c>
      <c r="NX8" s="69">
        <f>IF($CX8="P",CL8,(CL8+BH8)/2)</f>
        <v>16.212499999999999</v>
      </c>
      <c r="NY8" s="69">
        <f>IF($CX8="P",CM8,(CM8+BI8)/2)</f>
        <v>0</v>
      </c>
      <c r="NZ8" s="69">
        <f>IF($CX8="P",CN8,(CN8+BJ8)/2)</f>
        <v>15.4</v>
      </c>
      <c r="OA8" s="69">
        <f>IF($CX8="P",CO8,(CO8+BK8)/2)</f>
        <v>9.1</v>
      </c>
      <c r="OB8" s="69">
        <f>IF($CX8="P",CP8,(CP8+BL8)/2)</f>
        <v>15.4</v>
      </c>
      <c r="OC8" s="69">
        <f>IF($CX8="P",CQ8,(CQ8+BM8)/2)</f>
        <v>16.715</v>
      </c>
      <c r="OD8" s="69">
        <f>IF($CX8="P",CR8,(CR8+BN8)/2)</f>
        <v>0</v>
      </c>
      <c r="OE8" s="69">
        <f>IF($CX8="P",CS8,(CS8+BO8)/2)</f>
        <v>15.55</v>
      </c>
      <c r="OF8" s="69">
        <f>IF($CX8="P",CT8,(CT8+BP8)/2)</f>
        <v>8.8999999999999986</v>
      </c>
      <c r="OG8" s="69">
        <f>IF($CX8="P",CU8,(CU8+BQ8)/2)</f>
        <v>14.2</v>
      </c>
      <c r="OH8" s="69">
        <f>IF($CX8="P",CV8,(CV8+BR8)/2)</f>
        <v>16.427500000000002</v>
      </c>
      <c r="OI8" s="69">
        <f>IF($CX8="P",CW8,(CW8+BS8)/2)</f>
        <v>0.05</v>
      </c>
      <c r="OJ8" s="80" t="s">
        <v>74</v>
      </c>
      <c r="OK8" s="11">
        <f>IF(SUM(NP8:NS8)-NT8&gt;0,SUM(NP8:NS8)-NT8,"")</f>
        <v>50.13</v>
      </c>
      <c r="OL8" s="11">
        <f>IF(NW8&gt;0,NW8,"")</f>
        <v>15</v>
      </c>
      <c r="OM8" s="11">
        <f>IF(SUM(NU8:NX8)-NY8&gt;0,SUM(NU8:NX8)-NY8,"")</f>
        <v>55.712499999999999</v>
      </c>
      <c r="ON8" s="11">
        <f>IF(OB8&gt;0,OB8,"")</f>
        <v>15.4</v>
      </c>
      <c r="OO8" s="11">
        <f>IF(SUM(NZ8:OC8)-OD8&gt;0,SUM(NZ8:OC8)-OD8,"")</f>
        <v>56.614999999999995</v>
      </c>
      <c r="OP8" s="11">
        <f>IF(OR(OK8&lt;&gt;"",OM8&lt;&gt;"",OO8&lt;&gt;""),OK8+MAX(OM8,OO8),"")</f>
        <v>106.745</v>
      </c>
      <c r="OQ8" s="11">
        <f>IF(OG8&gt;0,OG8,"")</f>
        <v>14.2</v>
      </c>
      <c r="OR8" s="11">
        <f t="shared" si="0"/>
        <v>55.027500000000003</v>
      </c>
      <c r="OS8" s="11">
        <f t="shared" si="1"/>
        <v>161.77250000000001</v>
      </c>
    </row>
    <row r="9" spans="1:409" x14ac:dyDescent="0.2">
      <c r="A9" s="5" cm="1">
        <f t="array" ref="A9">IF(AND(G9&lt;&gt;"",H9&lt;&gt;""),SUMPRODUCT((G$4:G$21&lt;&gt;"")*(H$4:H$21&lt;&gt;"")*(E$4:E$21&gt;E9))+1,IF(H9&lt;&gt;"",SUMPRODUCT((I$4:I$21="No DD")*(E$4:E$21&gt;E9))+1+SUMPRODUCT((G$4:G$21&lt;&gt;"")*(H$4:H$21&lt;&gt;"")),""))</f>
        <v>6</v>
      </c>
      <c r="B9" s="6" t="s">
        <v>7</v>
      </c>
      <c r="C9" s="7" t="s">
        <v>3</v>
      </c>
      <c r="D9" s="5">
        <v>1994</v>
      </c>
      <c r="E9" s="15">
        <f>SUM(K9:S9)</f>
        <v>268.94</v>
      </c>
      <c r="F9" s="3" t="str">
        <f>IF(G9&lt;&gt;"","P","")</f>
        <v>P</v>
      </c>
      <c r="G9" s="125" t="str">
        <f>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Merit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Excellence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Worlds Team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National Team",""))))</f>
        <v>Merit</v>
      </c>
      <c r="H9" s="125" t="str">
        <f>IF(OR(AND(AS9&gt;=AY$30,AS9&lt;&gt;"",AP9=""),AND(AU9&gt;=AY$30,AU9&lt;&gt;"",AP9=""),AND(AX9&gt;=AY$30,AX9&lt;&gt;"",AP9=""),AND(BW9&gt;=CC$30,BW9&lt;&gt;"",BT9=""),AND(BY9&gt;=CC$30,BY9&lt;&gt;"",BT9=""),AND(CB9&gt;=CC$30,CB9&lt;&gt;"",BT9=""),AND(DA9&gt;=DG$30,DA9&lt;&gt;"",CX9=""),AND(DC9&gt;=DG$30,DC9&lt;&gt;"",CX9=""),AND(DF9&gt;=DG$30,DF9&lt;&gt;"",CX9=""),AND(EC9&gt;=EG$30,EC9&lt;&gt;""),AND(EF9&gt;=EG$30,EF9&lt;&gt;""),AND(EY9&gt;=FC$30,EY9&lt;&gt;""),AND(FB9&gt;=FC$30,FB9&lt;&gt;""),AND(FU9&gt;=FY$30,FU9&lt;&gt;""),AND(FX9&gt;=FY$30,FX9&lt;&gt;""),AND(GQ9&gt;=GU$30,GQ9&lt;&gt;""),AND(GT9&gt;=GU$30,GT9&lt;&gt;""),AND(HM9&gt;=HQ$30,HM9&lt;&gt;""),AND(HP9&gt;=HQ$30,HP9&lt;&gt;""),AND(II9&gt;=IM$30,II9&lt;&gt;""),AND(IL9&gt;=IM$30,IL9&lt;&gt;""),AND(JE9&gt;=JI$30,JE9&lt;&gt;""),AND(JH9&gt;=JI$30,JH9&lt;&gt;""),AND(KA9&gt;=KE$30,KA9&lt;&gt;""),AND(KD9&gt;=KE$30,KD9&lt;&gt;""),AND(KW9&gt;=LA$30,KW9&lt;&gt;""),AND(KZ9&gt;=LA$30,KZ9&lt;&gt;""),AND(LS9&gt;=LW$30,LS9&lt;&gt;""),AND(LV9&gt;=LW$30,LV9&lt;&gt;""),AND(MO9&gt;=MS$30,MO9&lt;&gt;""),AND(MR9&gt;=MS$30,MR9&lt;&gt;""),AND(NK9&gt;=NO$30,NK9&lt;&gt;""),AND(NN9&gt;=NO$30,NN9&lt;&gt;"")),"Merit",IF(OR(AND(AS9&gt;=AY$29,AS9&lt;&gt;"",AP9=""),AND(AU9&gt;=AY$29,AU9&lt;&gt;"",AP9=""),AND(AX9&gt;=AY$29,AX9&lt;&gt;"",AP9=""),AND(BW9&gt;=CC$29,BW9&lt;&gt;"",BT9=""),AND(BY9&gt;=CC$29,BY9&lt;&gt;"",BT9=""),AND(CB9&gt;=CC$29,CB9&lt;&gt;"",BT9=""),AND(DA9&gt;=DG$29,DA9&lt;&gt;"",CX9=""),AND(DC9&gt;=DG$29,DC9&lt;&gt;"",CX9=""),AND(DF9&gt;=DG$29,DF9&lt;&gt;"",CX9=""),AND(EC9&gt;=EG$29,EC9&lt;&gt;""),AND(EF9&gt;=EG$29,EF9&lt;&gt;""),AND(EY9&gt;=FC$29,EY9&lt;&gt;""),AND(FB9&gt;=FC$29,FB9&lt;&gt;""),AND(FU9&gt;=FY$29,FU9&lt;&gt;""),AND(FX9&gt;=FY$29,FX9&lt;&gt;""),AND(GQ9&gt;=GU$29,GQ9&lt;&gt;""),AND(GT9&gt;=GU$29,GT9&lt;&gt;""),AND(HM9&gt;=HQ$29,HM9&lt;&gt;""),AND(HP9&gt;=HQ$29,HP9&lt;&gt;""),AND(II9&gt;=IM$29,II9&lt;&gt;""),AND(IL9&gt;=IM$29,IL9&lt;&gt;""),AND(JE9&gt;=JI$29,JE9&lt;&gt;""),AND(JH9&gt;=JI$29,JH9&lt;&gt;""),AND(KA9&gt;=KE$29,KA9&lt;&gt;""),AND(KD9&gt;=KE$29,KD9&lt;&gt;""),AND(KW9&gt;=LA$29,KW9&lt;&gt;""),AND(KZ9&gt;=LA$29,KZ9&lt;&gt;""),AND(LS9&gt;=LW$29,LS9&lt;&gt;""),AND(LV9&gt;=LW$29,LV9&lt;&gt;""),AND(MO9&gt;=MS$29,MO9&lt;&gt;""),AND(MR9&gt;=MS$29,MR9&lt;&gt;""),AND(NK9&gt;=NO$29,NK9&lt;&gt;""),AND(NN9&gt;=NO$29,NN9&lt;&gt;"")),"Excellence",IF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"Worlds Team",IF(OR(AND(AV9&gt;=AY$27,AV9&lt;&gt;"",AP9=""),AND(BZ9&gt;=CC$27,BZ9&lt;&gt;"",BT9=""),AND(DD9&gt;=DG$27,DD9&lt;&gt;"",CX9=""),AND(ED9&gt;=EG$27,ED9&lt;&gt;""),AND(EZ9&gt;=FC$27,EZ9&lt;&gt;""),AND(FV9&gt;=FY$27,FV9&lt;&gt;""),AND(GR9&gt;=GU$27,GR9&lt;&gt;""),AND(HN9&gt;=HQ$27,HN9&lt;&gt;""),AND(IJ9&gt;=IM$27,IJ9&lt;&gt;""),AND(JF9&gt;=JI$27,JF9&lt;&gt;""),AND(KB9&gt;=KE$27,KB9&lt;&gt;""),AND(KX9&gt;=LA$27,KX9&lt;&gt;""),AND(LT9&gt;=LW$27,LT9&lt;&gt;""),AND(MP9&gt;=MS$27,MP9&lt;&gt;""),AND(NL9&gt;=NO$27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Worlds Team</v>
      </c>
      <c r="J9" s="3" t="str">
        <f>IF(AND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OR(G9="Worlds Team",G9="Excellence",G9="Merit")),"P","")</f>
        <v>P</v>
      </c>
      <c r="K9" s="14">
        <f>IF(MAX(AV9,BZ9,DD9)&gt;0,MAX(AV9,BZ9,DD9),0)</f>
        <v>105.64500000000001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49.43</v>
      </c>
      <c r="N9" s="14" t="str">
        <f>IF(M9=0,"",IF(AND(M9=CY9,$L9&lt;&gt;$CD$1),$CD$1,IF(AND(M9=BU9,$L9&lt;&gt;$AZ$1),$AZ$1,IF(AND(M9=AQ9,$L9&lt;&gt;$V$1),$V$1,""))))</f>
        <v>2021 2nd Virtual Technical Trial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57.125</v>
      </c>
      <c r="P9" s="14" t="str">
        <f>IF(O9=0,"",IF(OR(O9=DC9,O9=DA9),$CD$1,IF(OR(O9=BY9,O9=BW9),$AZ$1,IF(OR(O9=AU9,O9=AS9),$V$1,""))))</f>
        <v>2021 Elite Canada</v>
      </c>
      <c r="Q9" s="14">
        <f>MAX(AX9,CB9,DF9)</f>
        <v>56.74</v>
      </c>
      <c r="R9" s="14" t="str">
        <f>IF(Q9=0,"",IF(Q9=DF9,$CD$1,IF(Q9=CB9,$AZ$1,IF(Q9=AX9,$V$1,""))))</f>
        <v>2021 Canadian Championships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17.399999999999999</v>
      </c>
      <c r="W9" s="69">
        <v>8.9</v>
      </c>
      <c r="X9" s="69">
        <v>5.6</v>
      </c>
      <c r="Y9" s="69">
        <v>17.53</v>
      </c>
      <c r="Z9" s="69">
        <v>0</v>
      </c>
      <c r="AA9" s="69">
        <v>15</v>
      </c>
      <c r="AB9" s="69">
        <v>9</v>
      </c>
      <c r="AC9" s="69">
        <v>15.4</v>
      </c>
      <c r="AD9" s="69">
        <v>15.86</v>
      </c>
      <c r="AE9" s="69">
        <v>0</v>
      </c>
      <c r="AF9" s="69">
        <v>6.3</v>
      </c>
      <c r="AG9" s="69">
        <v>3.4</v>
      </c>
      <c r="AH9" s="69">
        <v>6.5</v>
      </c>
      <c r="AI9" s="69">
        <v>6.93</v>
      </c>
      <c r="AJ9" s="69">
        <v>0</v>
      </c>
      <c r="AK9" s="69">
        <v>15.7</v>
      </c>
      <c r="AL9" s="69">
        <v>8.9</v>
      </c>
      <c r="AM9" s="69">
        <v>15</v>
      </c>
      <c r="AN9" s="69">
        <v>16.190000000000001</v>
      </c>
      <c r="AO9" s="69">
        <v>0</v>
      </c>
      <c r="AP9" s="80"/>
      <c r="AQ9" s="11">
        <f>IF(SUM(V9:Y9)-Z9&gt;0,SUM(V9:Y9)-Z9,"")</f>
        <v>49.43</v>
      </c>
      <c r="AR9" s="11">
        <f>IF(AC9&gt;0,AC9,"")</f>
        <v>15.4</v>
      </c>
      <c r="AS9" s="11">
        <f>IF(SUM(AA9:AD9)-AE9&gt;0,SUM(AA9:AD9)-AE9,"")</f>
        <v>55.26</v>
      </c>
      <c r="AT9" s="11">
        <f>IF(AH9&gt;0,AH9,"")</f>
        <v>6.5</v>
      </c>
      <c r="AU9" s="11">
        <f>IF(SUM(AF9:AI9)-AJ9&gt;0,SUM(AF9:AI9)-AJ9,"")</f>
        <v>23.13</v>
      </c>
      <c r="AV9" s="11">
        <f>IF(AQ9="",IF(MAX(AS9,AU9)&gt;0,MAX(AS9,AU9),""),MAX(AS9,AU9)+AQ9)</f>
        <v>104.69</v>
      </c>
      <c r="AW9" s="11">
        <f>IF(AM9&gt;0,AM9,"")</f>
        <v>15</v>
      </c>
      <c r="AX9" s="11">
        <f>IF(SUM(AK9:AN9)-AO9&gt;0,SUM(AK9:AN9)-AO9,"")</f>
        <v>55.790000000000006</v>
      </c>
      <c r="AY9" s="11">
        <f>IF(SUM(AV9,AX9)&gt;0,SUM(AV9,AX9),"")</f>
        <v>160.48000000000002</v>
      </c>
      <c r="AZ9" s="75">
        <v>7.2</v>
      </c>
      <c r="BA9" s="75">
        <v>3.3</v>
      </c>
      <c r="BB9" s="75">
        <v>0</v>
      </c>
      <c r="BC9" s="75">
        <v>7.08</v>
      </c>
      <c r="BD9" s="75">
        <v>0</v>
      </c>
      <c r="BE9" s="75">
        <v>16</v>
      </c>
      <c r="BF9" s="75">
        <v>9.3000000000000007</v>
      </c>
      <c r="BG9" s="75">
        <v>15.4</v>
      </c>
      <c r="BH9" s="75">
        <v>16.425000000000001</v>
      </c>
      <c r="BI9" s="75">
        <v>0</v>
      </c>
      <c r="BJ9" s="75">
        <v>15.6</v>
      </c>
      <c r="BK9" s="75">
        <v>9</v>
      </c>
      <c r="BL9" s="75">
        <v>14.4</v>
      </c>
      <c r="BM9" s="75">
        <v>16.164999999999999</v>
      </c>
      <c r="BN9" s="75">
        <v>0</v>
      </c>
      <c r="BO9" s="75"/>
      <c r="BP9" s="75"/>
      <c r="BQ9" s="75"/>
      <c r="BR9" s="75"/>
      <c r="BS9" s="75"/>
      <c r="BT9" s="81"/>
      <c r="BU9" s="14">
        <f>IF(SUM(AZ9:BC9)-BD9&gt;0,SUM(AZ9:BC9)-BD9,"")</f>
        <v>17.579999999999998</v>
      </c>
      <c r="BV9" s="14">
        <f>IF(BG9&gt;0,BG9,"")</f>
        <v>15.4</v>
      </c>
      <c r="BW9" s="14">
        <f>IF(SUM(BE9:BH9)-BI9&gt;0,SUM(BE9:BH9)-BI9,"")</f>
        <v>57.125</v>
      </c>
      <c r="BX9" s="14">
        <f>IF(BL9&gt;0,BL9,"")</f>
        <v>14.4</v>
      </c>
      <c r="BY9" s="14">
        <f>IF(SUM(BJ9:BM9)-BN9&gt;0,SUM(BJ9:BM9)-BN9,"")</f>
        <v>55.164999999999999</v>
      </c>
      <c r="BZ9" s="14">
        <f>IF(BU9="",IF(MAX(BW9,BY9)&gt;0,MAX(BW9,BY9),""),MAX(BW9,BY9)+BU9)</f>
        <v>74.704999999999998</v>
      </c>
      <c r="CA9" s="14" t="str">
        <f>IF(BQ9&gt;0,BQ9,"")</f>
        <v/>
      </c>
      <c r="CB9" s="14" t="str">
        <f>IF(SUM(BO9:BR9)-BS9&gt;0,SUM(BO9:BR9)-BS9,"")</f>
        <v/>
      </c>
      <c r="CC9" s="14">
        <f>IF(SUM(BZ9,CB9)&gt;0,SUM(BZ9,CB9),"")</f>
        <v>74.704999999999998</v>
      </c>
      <c r="CD9" s="69">
        <v>17.7</v>
      </c>
      <c r="CE9" s="69">
        <v>8.6999999999999993</v>
      </c>
      <c r="CF9" s="69">
        <v>5.6</v>
      </c>
      <c r="CG9" s="69">
        <v>17.34</v>
      </c>
      <c r="CH9" s="69">
        <v>0</v>
      </c>
      <c r="CI9" s="69">
        <v>4.8</v>
      </c>
      <c r="CJ9" s="69">
        <v>2.6</v>
      </c>
      <c r="CK9" s="69">
        <v>5.0999999999999996</v>
      </c>
      <c r="CL9" s="69">
        <v>5.335</v>
      </c>
      <c r="CM9" s="69">
        <v>0</v>
      </c>
      <c r="CN9" s="69">
        <v>15.8</v>
      </c>
      <c r="CO9" s="69">
        <v>8.6999999999999993</v>
      </c>
      <c r="CP9" s="69">
        <v>15.4</v>
      </c>
      <c r="CQ9" s="69">
        <v>16.405000000000001</v>
      </c>
      <c r="CR9" s="69">
        <v>0</v>
      </c>
      <c r="CS9" s="69">
        <v>15.7</v>
      </c>
      <c r="CT9" s="69">
        <v>9</v>
      </c>
      <c r="CU9" s="69">
        <v>15.5</v>
      </c>
      <c r="CV9" s="69">
        <v>16.54</v>
      </c>
      <c r="CW9" s="69">
        <v>0</v>
      </c>
      <c r="CX9" s="80"/>
      <c r="CY9" s="11">
        <f>IF(SUM(CD9:CG9)-CH9&gt;0,SUM(CD9:CG9)-CH9,"")</f>
        <v>49.34</v>
      </c>
      <c r="CZ9" s="11">
        <f>IF(CK9&gt;0,CK9,"")</f>
        <v>5.0999999999999996</v>
      </c>
      <c r="DA9" s="11">
        <f>IF(SUM(CI9:CL9)-CM9&gt;0,SUM(CI9:CL9)-CM9,"")</f>
        <v>17.835000000000001</v>
      </c>
      <c r="DB9" s="11">
        <f>IF(CP9&gt;0,CP9,"")</f>
        <v>15.4</v>
      </c>
      <c r="DC9" s="11">
        <f>IF(SUM(CN9:CQ9)-CR9&gt;0,SUM(CN9:CQ9)-CR9,"")</f>
        <v>56.305</v>
      </c>
      <c r="DD9" s="11">
        <f>IF(CY9="",IF(MAX(DA9,DC9)&gt;0,MAX(DA9,DC9),""),MAX(DA9,DC9)+CY9)</f>
        <v>105.64500000000001</v>
      </c>
      <c r="DE9" s="11">
        <f>IF(CU9&gt;0,CU9,"")</f>
        <v>15.5</v>
      </c>
      <c r="DF9" s="11">
        <f>IF(SUM(CS9:CV9)-CW9&gt;0,SUM(CS9:CV9)-CW9,"")</f>
        <v>56.74</v>
      </c>
      <c r="DG9" s="11">
        <f>IF(SUM(DD9,DF9)&gt;0,SUM(DD9,DF9),"")</f>
        <v>162.38500000000002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>
        <v>16.2</v>
      </c>
      <c r="DM9" s="37">
        <v>8.9</v>
      </c>
      <c r="DN9" s="37">
        <v>5.6</v>
      </c>
      <c r="DO9" s="37">
        <v>17.114999999999998</v>
      </c>
      <c r="DP9" s="37">
        <v>0</v>
      </c>
      <c r="DQ9" s="37">
        <v>6.4</v>
      </c>
      <c r="DR9" s="37">
        <v>3.4</v>
      </c>
      <c r="DS9" s="37">
        <v>6.5</v>
      </c>
      <c r="DT9" s="37">
        <v>6.89</v>
      </c>
      <c r="DU9" s="37">
        <v>0</v>
      </c>
      <c r="DV9" s="37">
        <v>15.4</v>
      </c>
      <c r="DW9" s="37">
        <v>9.3000000000000007</v>
      </c>
      <c r="DX9" s="37">
        <v>14.8</v>
      </c>
      <c r="DY9" s="37">
        <v>16.21</v>
      </c>
      <c r="DZ9" s="37">
        <v>0</v>
      </c>
      <c r="EA9" s="11">
        <f>IF(DS9&gt;0,DS9,"")</f>
        <v>6.5</v>
      </c>
      <c r="EB9" s="11">
        <f>IF(SUM(DL9:DO9)-DP9&gt;0,SUM(DL9:DO9)-DP9,"")</f>
        <v>47.814999999999998</v>
      </c>
      <c r="EC9" s="11">
        <f>IF(SUM(DQ9:DT9)-DU9&gt;0,SUM(DQ9:DT9)-DU9,"")</f>
        <v>23.19</v>
      </c>
      <c r="ED9" s="11">
        <f>IF(SUM(EB9:EC9)&gt;0,SUM(EB9:EC9),"")</f>
        <v>71.004999999999995</v>
      </c>
      <c r="EE9" s="11">
        <f>IF(DX9&gt;0,DX9,"")</f>
        <v>14.8</v>
      </c>
      <c r="EF9" s="11">
        <f>IF(SUM(DV9:DY9)-DZ9&gt;0,SUM(DV9:DY9)-DZ9,"")</f>
        <v>55.71</v>
      </c>
      <c r="EG9" s="11">
        <f>IF(SUM(ED9,EF9)&gt;0,SUM(ED9,EF9),"")</f>
        <v>126.715</v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12.45</v>
      </c>
      <c r="NQ9" s="69">
        <f>IF($CX9="P",CE9,(CE9+BA9)/2)</f>
        <v>6</v>
      </c>
      <c r="NR9" s="69">
        <f>IF($CX9="P",CF9,(CF9+BB9)/2)</f>
        <v>2.8</v>
      </c>
      <c r="NS9" s="69">
        <f>IF($CX9="P",CG9,(CG9+BC9)/2)</f>
        <v>12.21</v>
      </c>
      <c r="NT9" s="69">
        <f>IF($CX9="P",CH9,(CH9+BD9)/2)</f>
        <v>0</v>
      </c>
      <c r="NU9" s="69">
        <f>IF($CX9="P",CI9,(CI9+BE9)/2)</f>
        <v>10.4</v>
      </c>
      <c r="NV9" s="69">
        <f>IF($CX9="P",CJ9,(CJ9+BF9)/2)</f>
        <v>5.95</v>
      </c>
      <c r="NW9" s="69">
        <f>IF($CX9="P",CK9,(CK9+BG9)/2)</f>
        <v>10.25</v>
      </c>
      <c r="NX9" s="69">
        <f>IF($CX9="P",CL9,(CL9+BH9)/2)</f>
        <v>10.88</v>
      </c>
      <c r="NY9" s="69">
        <f>IF($CX9="P",CM9,(CM9+BI9)/2)</f>
        <v>0</v>
      </c>
      <c r="NZ9" s="69">
        <f>IF($CX9="P",CN9,(CN9+BJ9)/2)</f>
        <v>15.7</v>
      </c>
      <c r="OA9" s="69">
        <f>IF($CX9="P",CO9,(CO9+BK9)/2)</f>
        <v>8.85</v>
      </c>
      <c r="OB9" s="69">
        <f>IF($CX9="P",CP9,(CP9+BL9)/2)</f>
        <v>14.9</v>
      </c>
      <c r="OC9" s="69">
        <f>IF($CX9="P",CQ9,(CQ9+BM9)/2)</f>
        <v>16.285</v>
      </c>
      <c r="OD9" s="69">
        <f>IF($CX9="P",CR9,(CR9+BN9)/2)</f>
        <v>0</v>
      </c>
      <c r="OE9" s="69">
        <f>IF($CX9="P",CS9,(CS9+BO9)/2)</f>
        <v>7.85</v>
      </c>
      <c r="OF9" s="69">
        <f>IF($CX9="P",CT9,(CT9+BP9)/2)</f>
        <v>4.5</v>
      </c>
      <c r="OG9" s="69">
        <f>IF($CX9="P",CU9,(CU9+BQ9)/2)</f>
        <v>7.75</v>
      </c>
      <c r="OH9" s="69">
        <f>IF($CX9="P",CV9,(CV9+BR9)/2)</f>
        <v>8.27</v>
      </c>
      <c r="OI9" s="69">
        <f>IF($CX9="P",CW9,(CW9+BS9)/2)</f>
        <v>0</v>
      </c>
      <c r="OJ9" s="80" t="s">
        <v>74</v>
      </c>
      <c r="OK9" s="11">
        <f>IF(SUM(NP9:NS9)-NT9&gt;0,SUM(NP9:NS9)-NT9,"")</f>
        <v>33.46</v>
      </c>
      <c r="OL9" s="11">
        <f>IF(NW9&gt;0,NW9,"")</f>
        <v>10.25</v>
      </c>
      <c r="OM9" s="11">
        <f>IF(SUM(NU9:NX9)-NY9&gt;0,SUM(NU9:NX9)-NY9,"")</f>
        <v>37.480000000000004</v>
      </c>
      <c r="ON9" s="11">
        <f>IF(OB9&gt;0,OB9,"")</f>
        <v>14.9</v>
      </c>
      <c r="OO9" s="11">
        <f>IF(SUM(NZ9:OC9)-OD9&gt;0,SUM(NZ9:OC9)-OD9,"")</f>
        <v>55.734999999999999</v>
      </c>
      <c r="OP9" s="11">
        <f>IF(OR(OK9&lt;&gt;"",OM9&lt;&gt;"",OO9&lt;&gt;""),OK9+MAX(OM9,OO9),"")</f>
        <v>89.194999999999993</v>
      </c>
      <c r="OQ9" s="11">
        <f>IF(OG9&gt;0,OG9,"")</f>
        <v>7.75</v>
      </c>
      <c r="OR9" s="11">
        <f t="shared" si="0"/>
        <v>28.37</v>
      </c>
      <c r="OS9" s="11">
        <f t="shared" si="1"/>
        <v>117.565</v>
      </c>
    </row>
    <row r="10" spans="1:409" x14ac:dyDescent="0.2">
      <c r="A10" s="5" cm="1">
        <f t="array" ref="A10">IF(AND(G10&lt;&gt;"",H10&lt;&gt;""),SUMPRODUCT((G$4:G$21&lt;&gt;"")*(H$4:H$21&lt;&gt;"")*(E$4:E$21&gt;E10))+1,IF(H10&lt;&gt;"",SUMPRODUCT((I$4:I$21="No DD")*(E$4:E$21&gt;E10))+1+SUMPRODUCT((G$4:G$21&lt;&gt;"")*(H$4:H$21&lt;&gt;"")),""))</f>
        <v>7</v>
      </c>
      <c r="B10" s="6" t="s">
        <v>135</v>
      </c>
      <c r="C10" s="7" t="s">
        <v>3</v>
      </c>
      <c r="D10" s="5">
        <v>1988</v>
      </c>
      <c r="E10" s="15">
        <f>SUM(K10:S10)</f>
        <v>261.51</v>
      </c>
      <c r="F10" s="3" t="str">
        <f>IF(G10&lt;&gt;"","P","")</f>
        <v>P</v>
      </c>
      <c r="G10" s="125" t="str">
        <f>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Merit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Excellence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Worlds Team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National Team",""))))</f>
        <v>National Team</v>
      </c>
      <c r="H10" s="125" t="str">
        <f>IF(OR(AND(AS10&gt;=AY$30,AS10&lt;&gt;"",AP10=""),AND(AU10&gt;=AY$30,AU10&lt;&gt;"",AP10=""),AND(AX10&gt;=AY$30,AX10&lt;&gt;"",AP10=""),AND(BW10&gt;=CC$30,BW10&lt;&gt;"",BT10=""),AND(BY10&gt;=CC$30,BY10&lt;&gt;"",BT10=""),AND(CB10&gt;=CC$30,CB10&lt;&gt;"",BT10=""),AND(DA10&gt;=DG$30,DA10&lt;&gt;"",CX10=""),AND(DC10&gt;=DG$30,DC10&lt;&gt;"",CX10=""),AND(DF10&gt;=DG$30,DF10&lt;&gt;"",CX10=""),AND(EC10&gt;=EG$30,EC10&lt;&gt;""),AND(EF10&gt;=EG$30,EF10&lt;&gt;""),AND(EY10&gt;=FC$30,EY10&lt;&gt;""),AND(FB10&gt;=FC$30,FB10&lt;&gt;""),AND(FU10&gt;=FY$30,FU10&lt;&gt;""),AND(FX10&gt;=FY$30,FX10&lt;&gt;""),AND(GQ10&gt;=GU$30,GQ10&lt;&gt;""),AND(GT10&gt;=GU$30,GT10&lt;&gt;""),AND(HM10&gt;=HQ$30,HM10&lt;&gt;""),AND(HP10&gt;=HQ$30,HP10&lt;&gt;""),AND(II10&gt;=IM$30,II10&lt;&gt;""),AND(IL10&gt;=IM$30,IL10&lt;&gt;""),AND(JE10&gt;=JI$30,JE10&lt;&gt;""),AND(JH10&gt;=JI$30,JH10&lt;&gt;""),AND(KA10&gt;=KE$30,KA10&lt;&gt;""),AND(KD10&gt;=KE$30,KD10&lt;&gt;""),AND(KW10&gt;=LA$30,KW10&lt;&gt;""),AND(KZ10&gt;=LA$30,KZ10&lt;&gt;""),AND(LS10&gt;=LW$30,LS10&lt;&gt;""),AND(LV10&gt;=LW$30,LV10&lt;&gt;""),AND(MO10&gt;=MS$30,MO10&lt;&gt;""),AND(MR10&gt;=MS$30,MR10&lt;&gt;""),AND(NK10&gt;=NO$30,NK10&lt;&gt;""),AND(NN10&gt;=NO$30,NN10&lt;&gt;"")),"Merit",IF(OR(AND(AS10&gt;=AY$29,AS10&lt;&gt;"",AP10=""),AND(AU10&gt;=AY$29,AU10&lt;&gt;"",AP10=""),AND(AX10&gt;=AY$29,AX10&lt;&gt;"",AP10=""),AND(BW10&gt;=CC$29,BW10&lt;&gt;"",BT10=""),AND(BY10&gt;=CC$29,BY10&lt;&gt;"",BT10=""),AND(CB10&gt;=CC$29,CB10&lt;&gt;"",BT10=""),AND(DA10&gt;=DG$29,DA10&lt;&gt;"",CX10=""),AND(DC10&gt;=DG$29,DC10&lt;&gt;"",CX10=""),AND(DF10&gt;=DG$29,DF10&lt;&gt;"",CX10=""),AND(EC10&gt;=EG$29,EC10&lt;&gt;""),AND(EF10&gt;=EG$29,EF10&lt;&gt;""),AND(EY10&gt;=FC$29,EY10&lt;&gt;""),AND(FB10&gt;=FC$29,FB10&lt;&gt;""),AND(FU10&gt;=FY$29,FU10&lt;&gt;""),AND(FX10&gt;=FY$29,FX10&lt;&gt;""),AND(GQ10&gt;=GU$29,GQ10&lt;&gt;""),AND(GT10&gt;=GU$29,GT10&lt;&gt;""),AND(HM10&gt;=HQ$29,HM10&lt;&gt;""),AND(HP10&gt;=HQ$29,HP10&lt;&gt;""),AND(II10&gt;=IM$29,II10&lt;&gt;""),AND(IL10&gt;=IM$29,IL10&lt;&gt;""),AND(JE10&gt;=JI$29,JE10&lt;&gt;""),AND(JH10&gt;=JI$29,JH10&lt;&gt;""),AND(KA10&gt;=KE$29,KA10&lt;&gt;""),AND(KD10&gt;=KE$29,KD10&lt;&gt;""),AND(KW10&gt;=LA$29,KW10&lt;&gt;""),AND(KZ10&gt;=LA$29,KZ10&lt;&gt;""),AND(LS10&gt;=LW$29,LS10&lt;&gt;""),AND(LV10&gt;=LW$29,LV10&lt;&gt;""),AND(MO10&gt;=MS$29,MO10&lt;&gt;""),AND(MR10&gt;=MS$29,MR10&lt;&gt;""),AND(NK10&gt;=NO$29,NK10&lt;&gt;""),AND(NN10&gt;=NO$29,NN10&lt;&gt;"")),"Excellence",IF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"Worlds Team",IF(OR(AND(AV10&gt;=AY$27,AV10&lt;&gt;"",AP10=""),AND(BZ10&gt;=CC$27,BZ10&lt;&gt;"",BT10=""),AND(DD10&gt;=DG$27,DD10&lt;&gt;"",CX10=""),AND(ED10&gt;=EG$27,ED10&lt;&gt;""),AND(EZ10&gt;=FC$27,EZ10&lt;&gt;""),AND(FV10&gt;=FY$27,FV10&lt;&gt;""),AND(GR10&gt;=GU$27,GR10&lt;&gt;""),AND(HN10&gt;=HQ$27,HN10&lt;&gt;""),AND(IJ10&gt;=IM$27,IJ10&lt;&gt;""),AND(JF10&gt;=JI$27,JF10&lt;&gt;""),AND(KB10&gt;=KE$27,KB10&lt;&gt;""),AND(KX10&gt;=LA$27,KX10&lt;&gt;""),AND(LT10&gt;=LW$27,LT10&lt;&gt;""),AND(MP10&gt;=MS$27,MP10&lt;&gt;""),AND(NL10&gt;=NO$27,NL10&lt;&gt;"")),"National Team",""))))</f>
        <v>National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OR(G10="Worlds Team",G10="Excellence",G10="Merit")),"P","")</f>
        <v/>
      </c>
      <c r="K10" s="14">
        <f>IF(MAX(AV10,BZ10,DD10)&gt;0,MAX(AV10,BZ10,DD10),0)</f>
        <v>104.33000000000001</v>
      </c>
      <c r="L10" s="14" t="str">
        <f>IF(K10=0,"",IF(K10=DD10,$CD$1,IF(K10=BZ10,$AZ$1,IF(K10=AV10,$V$1,""))))</f>
        <v>2021 Canadian Championships</v>
      </c>
      <c r="M10" s="14">
        <f>IF($K10=$AV10,MAX(BU10,CY10),IF($K10=$BZ10,MAX(AQ10,CY10),IF($K10=$DD10,MAX(AQ10,BU10),MAX(AQ10,BU10,CY10))))</f>
        <v>48.04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54.8</v>
      </c>
      <c r="P10" s="14" t="str">
        <f>IF(O10=0,"",IF(OR(O10=DC10,O10=DA10),$CD$1,IF(OR(O10=BY10,O10=BW10),$AZ$1,IF(OR(O10=AU10,O10=AS10),$V$1,""))))</f>
        <v>2021 Elite Canada</v>
      </c>
      <c r="Q10" s="14">
        <f>MAX(AX10,CB10,DF10)</f>
        <v>54.34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80"/>
      <c r="AQ10" s="11" t="str">
        <f>IF(SUM(V10:Y10)-Z10&gt;0,SUM(V10:Y10)-Z10,"")</f>
        <v/>
      </c>
      <c r="AR10" s="11" t="str">
        <f>IF(AC10&gt;0,AC10,"")</f>
        <v/>
      </c>
      <c r="AS10" s="11" t="str">
        <f>IF(SUM(AA10:AD10)-AE10&gt;0,SUM(AA10:AD10)-AE10,"")</f>
        <v/>
      </c>
      <c r="AT10" s="11" t="str">
        <f>IF(AH10&gt;0,AH10,"")</f>
        <v/>
      </c>
      <c r="AU10" s="11" t="str">
        <f>IF(SUM(AF10:AI10)-AJ10&gt;0,SUM(AF10:AI10)-AJ10,"")</f>
        <v/>
      </c>
      <c r="AV10" s="11" t="str">
        <f>IF(AQ10="",IF(MAX(AS10,AU10)&gt;0,MAX(AS10,AU10),""),MAX(AS10,AU10)+AQ10)</f>
        <v/>
      </c>
      <c r="AW10" s="11" t="str">
        <f>IF(AM10&gt;0,AM10,"")</f>
        <v/>
      </c>
      <c r="AX10" s="11" t="str">
        <f>IF(SUM(AK10:AN10)-AO10&gt;0,SUM(AK10:AN10)-AO10,"")</f>
        <v/>
      </c>
      <c r="AY10" s="11" t="str">
        <f>IF(SUM(AV10,AX10)&gt;0,SUM(AV10,AX10),"")</f>
        <v/>
      </c>
      <c r="AZ10" s="75">
        <v>16.600000000000001</v>
      </c>
      <c r="BA10" s="75">
        <v>9.5</v>
      </c>
      <c r="BB10" s="75">
        <v>5.4</v>
      </c>
      <c r="BC10" s="75">
        <v>16.54</v>
      </c>
      <c r="BD10" s="75">
        <v>0</v>
      </c>
      <c r="BE10" s="75">
        <v>9</v>
      </c>
      <c r="BF10" s="75">
        <v>5.5</v>
      </c>
      <c r="BG10" s="75">
        <v>9.1999999999999993</v>
      </c>
      <c r="BH10" s="75">
        <v>9.2850000000000001</v>
      </c>
      <c r="BI10" s="75">
        <v>0</v>
      </c>
      <c r="BJ10" s="75">
        <v>14.8</v>
      </c>
      <c r="BK10" s="75">
        <v>9.6</v>
      </c>
      <c r="BL10" s="75">
        <v>15.2</v>
      </c>
      <c r="BM10" s="75">
        <v>15.2</v>
      </c>
      <c r="BN10" s="75">
        <v>0</v>
      </c>
      <c r="BO10" s="75">
        <v>14.5</v>
      </c>
      <c r="BP10" s="75">
        <v>9</v>
      </c>
      <c r="BQ10" s="75">
        <v>15.2</v>
      </c>
      <c r="BR10" s="75">
        <v>15.07</v>
      </c>
      <c r="BS10" s="75">
        <v>0</v>
      </c>
      <c r="BT10" s="81"/>
      <c r="BU10" s="14">
        <f>IF(SUM(AZ10:BC10)-BD10&gt;0,SUM(AZ10:BC10)-BD10,"")</f>
        <v>48.04</v>
      </c>
      <c r="BV10" s="14">
        <f>IF(BG10&gt;0,BG10,"")</f>
        <v>9.1999999999999993</v>
      </c>
      <c r="BW10" s="14">
        <f>IF(SUM(BE10:BH10)-BI10&gt;0,SUM(BE10:BH10)-BI10,"")</f>
        <v>32.984999999999999</v>
      </c>
      <c r="BX10" s="14">
        <f>IF(BL10&gt;0,BL10,"")</f>
        <v>15.2</v>
      </c>
      <c r="BY10" s="14">
        <f>IF(SUM(BJ10:BM10)-BN10&gt;0,SUM(BJ10:BM10)-BN10,"")</f>
        <v>54.8</v>
      </c>
      <c r="BZ10" s="14">
        <f>IF(BU10="",IF(MAX(BW10,BY10)&gt;0,MAX(BW10,BY10),""),MAX(BW10,BY10)+BU10)</f>
        <v>102.84</v>
      </c>
      <c r="CA10" s="14">
        <f>IF(BQ10&gt;0,BQ10,"")</f>
        <v>15.2</v>
      </c>
      <c r="CB10" s="14">
        <f>IF(SUM(BO10:BR10)-BS10&gt;0,SUM(BO10:BR10)-BS10,"")</f>
        <v>53.77</v>
      </c>
      <c r="CC10" s="14">
        <f>IF(SUM(BZ10,CB10)&gt;0,SUM(BZ10,CB10),"")</f>
        <v>156.61000000000001</v>
      </c>
      <c r="CD10" s="69">
        <v>17.600000000000001</v>
      </c>
      <c r="CE10" s="69">
        <v>9.6</v>
      </c>
      <c r="CF10" s="69">
        <v>5.4</v>
      </c>
      <c r="CG10" s="69">
        <v>16.425000000000001</v>
      </c>
      <c r="CH10" s="69">
        <v>0</v>
      </c>
      <c r="CI10" s="69">
        <v>14.4</v>
      </c>
      <c r="CJ10" s="69">
        <v>9</v>
      </c>
      <c r="CK10" s="69">
        <v>15.2</v>
      </c>
      <c r="CL10" s="69">
        <v>15.025</v>
      </c>
      <c r="CM10" s="69">
        <v>0</v>
      </c>
      <c r="CN10" s="69">
        <v>15.2</v>
      </c>
      <c r="CO10" s="69">
        <v>9.5</v>
      </c>
      <c r="CP10" s="69">
        <v>15.2</v>
      </c>
      <c r="CQ10" s="69">
        <v>15.404999999999999</v>
      </c>
      <c r="CR10" s="69">
        <v>0</v>
      </c>
      <c r="CS10" s="69">
        <v>14.7</v>
      </c>
      <c r="CT10" s="69">
        <v>9.3000000000000007</v>
      </c>
      <c r="CU10" s="69">
        <v>15.2</v>
      </c>
      <c r="CV10" s="69">
        <v>15.14</v>
      </c>
      <c r="CW10" s="69">
        <v>0</v>
      </c>
      <c r="CX10" s="80"/>
      <c r="CY10" s="11">
        <f>IF(SUM(CD10:CG10)-CH10&gt;0,SUM(CD10:CG10)-CH10,"")</f>
        <v>49.025000000000006</v>
      </c>
      <c r="CZ10" s="11">
        <f>IF(CK10&gt;0,CK10,"")</f>
        <v>15.2</v>
      </c>
      <c r="DA10" s="11">
        <f>IF(SUM(CI10:CL10)-CM10&gt;0,SUM(CI10:CL10)-CM10,"")</f>
        <v>53.624999999999993</v>
      </c>
      <c r="DB10" s="11">
        <f>IF(CP10&gt;0,CP10,"")</f>
        <v>15.2</v>
      </c>
      <c r="DC10" s="11">
        <f>IF(SUM(CN10:CQ10)-CR10&gt;0,SUM(CN10:CQ10)-CR10,"")</f>
        <v>55.305</v>
      </c>
      <c r="DD10" s="11">
        <f>IF(CY10="",IF(MAX(DA10,DC10)&gt;0,MAX(DA10,DC10),""),MAX(DA10,DC10)+CY10)</f>
        <v>104.33000000000001</v>
      </c>
      <c r="DE10" s="11">
        <f>IF(CU10&gt;0,CU10,"")</f>
        <v>15.2</v>
      </c>
      <c r="DF10" s="11">
        <f>IF(SUM(CS10:CV10)-CW10&gt;0,SUM(CS10:CV10)-CW10,"")</f>
        <v>54.34</v>
      </c>
      <c r="DG10" s="11">
        <f>IF(SUM(DD10,DF10)&gt;0,SUM(DD10,DF10),"")</f>
        <v>158.67000000000002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17.100000000000001</v>
      </c>
      <c r="NQ10" s="69">
        <f>IF($CX10="P",CE10,(CE10+BA10)/2)</f>
        <v>9.5500000000000007</v>
      </c>
      <c r="NR10" s="69">
        <f>IF($CX10="P",CF10,(CF10+BB10)/2)</f>
        <v>5.4</v>
      </c>
      <c r="NS10" s="69">
        <f>IF($CX10="P",CG10,(CG10+BC10)/2)</f>
        <v>16.482500000000002</v>
      </c>
      <c r="NT10" s="69">
        <f>IF($CX10="P",CH10,(CH10+BD10)/2)</f>
        <v>0</v>
      </c>
      <c r="NU10" s="69">
        <f>IF($CX10="P",CI10,(CI10+BE10)/2)</f>
        <v>11.7</v>
      </c>
      <c r="NV10" s="69">
        <f>IF($CX10="P",CJ10,(CJ10+BF10)/2)</f>
        <v>7.25</v>
      </c>
      <c r="NW10" s="69">
        <f>IF($CX10="P",CK10,(CK10+BG10)/2)</f>
        <v>12.2</v>
      </c>
      <c r="NX10" s="69">
        <f>IF($CX10="P",CL10,(CL10+BH10)/2)</f>
        <v>12.155000000000001</v>
      </c>
      <c r="NY10" s="69">
        <f>IF($CX10="P",CM10,(CM10+BI10)/2)</f>
        <v>0</v>
      </c>
      <c r="NZ10" s="69">
        <f>IF($CX10="P",CN10,(CN10+BJ10)/2)</f>
        <v>15</v>
      </c>
      <c r="OA10" s="69">
        <f>IF($CX10="P",CO10,(CO10+BK10)/2)</f>
        <v>9.5500000000000007</v>
      </c>
      <c r="OB10" s="69">
        <f>IF($CX10="P",CP10,(CP10+BL10)/2)</f>
        <v>15.2</v>
      </c>
      <c r="OC10" s="69">
        <f>IF($CX10="P",CQ10,(CQ10+BM10)/2)</f>
        <v>15.302499999999998</v>
      </c>
      <c r="OD10" s="69">
        <f>IF($CX10="P",CR10,(CR10+BN10)/2)</f>
        <v>0</v>
      </c>
      <c r="OE10" s="69">
        <f>IF($CX10="P",CS10,(CS10+BO10)/2)</f>
        <v>14.6</v>
      </c>
      <c r="OF10" s="69">
        <f>IF($CX10="P",CT10,(CT10+BP10)/2)</f>
        <v>9.15</v>
      </c>
      <c r="OG10" s="69">
        <f>IF($CX10="P",CU10,(CU10+BQ10)/2)</f>
        <v>15.2</v>
      </c>
      <c r="OH10" s="69">
        <f>IF($CX10="P",CV10,(CV10+BR10)/2)</f>
        <v>15.105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48.532500000000006</v>
      </c>
      <c r="OL10" s="11">
        <f>IF(NW10&gt;0,NW10,"")</f>
        <v>12.2</v>
      </c>
      <c r="OM10" s="11">
        <f>IF(SUM(NU10:NX10)-NY10&gt;0,SUM(NU10:NX10)-NY10,"")</f>
        <v>43.305</v>
      </c>
      <c r="ON10" s="11">
        <f>IF(OB10&gt;0,OB10,"")</f>
        <v>15.2</v>
      </c>
      <c r="OO10" s="11">
        <f>IF(SUM(NZ10:OC10)-OD10&gt;0,SUM(NZ10:OC10)-OD10,"")</f>
        <v>55.052499999999995</v>
      </c>
      <c r="OP10" s="11">
        <f>IF(OR(OK10&lt;&gt;"",OM10&lt;&gt;"",OO10&lt;&gt;""),OK10+MAX(OM10,OO10),"")</f>
        <v>103.58500000000001</v>
      </c>
      <c r="OQ10" s="11">
        <f>IF(OG10&gt;0,OG10,"")</f>
        <v>15.2</v>
      </c>
      <c r="OR10" s="11">
        <f t="shared" si="0"/>
        <v>54.055000000000007</v>
      </c>
      <c r="OS10" s="11">
        <f t="shared" si="1"/>
        <v>157.64000000000001</v>
      </c>
    </row>
    <row r="11" spans="1:409" x14ac:dyDescent="0.2">
      <c r="A11" s="5" t="str" cm="1">
        <f t="array" ref="A11">IF(AND(G11&lt;&gt;"",H11&lt;&gt;""),SUMPRODUCT((G$4:G$21&lt;&gt;"")*(H$4:H$21&lt;&gt;"")*(E$4:E$21&gt;E11))+1,IF(H11&lt;&gt;"",SUMPRODUCT((I$4:I$21="No DD")*(E$4:E$21&gt;E11))+1+SUMPRODUCT((G$4:G$21&lt;&gt;"")*(H$4:H$21&lt;&gt;"")),""))</f>
        <v/>
      </c>
      <c r="B11" s="6" t="s">
        <v>71</v>
      </c>
      <c r="C11" s="7" t="s">
        <v>5</v>
      </c>
      <c r="D11" s="27">
        <v>1999</v>
      </c>
      <c r="E11" s="15">
        <f>SUM(K11:S11)</f>
        <v>258.54000000000002</v>
      </c>
      <c r="F11" s="3" t="str">
        <f>IF(G11&lt;&gt;"","P","")</f>
        <v>P</v>
      </c>
      <c r="G11" s="125" t="str">
        <f>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Merit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Excellence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Worlds Team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National Team",""))))</f>
        <v>National Team</v>
      </c>
      <c r="H11" s="125" t="str">
        <f>IF(OR(AND(AS11&gt;=AY$30,AS11&lt;&gt;"",AP11=""),AND(AU11&gt;=AY$30,AU11&lt;&gt;"",AP11=""),AND(AX11&gt;=AY$30,AX11&lt;&gt;"",AP11=""),AND(BW11&gt;=CC$30,BW11&lt;&gt;"",BT11=""),AND(BY11&gt;=CC$30,BY11&lt;&gt;"",BT11=""),AND(CB11&gt;=CC$30,CB11&lt;&gt;"",BT11=""),AND(DA11&gt;=DG$30,DA11&lt;&gt;"",CX11=""),AND(DC11&gt;=DG$30,DC11&lt;&gt;"",CX11=""),AND(DF11&gt;=DG$30,DF11&lt;&gt;"",CX11=""),AND(EC11&gt;=EG$30,EC11&lt;&gt;""),AND(EF11&gt;=EG$30,EF11&lt;&gt;""),AND(EY11&gt;=FC$30,EY11&lt;&gt;""),AND(FB11&gt;=FC$30,FB11&lt;&gt;""),AND(FU11&gt;=FY$30,FU11&lt;&gt;""),AND(FX11&gt;=FY$30,FX11&lt;&gt;""),AND(GQ11&gt;=GU$30,GQ11&lt;&gt;""),AND(GT11&gt;=GU$30,GT11&lt;&gt;""),AND(HM11&gt;=HQ$30,HM11&lt;&gt;""),AND(HP11&gt;=HQ$30,HP11&lt;&gt;""),AND(II11&gt;=IM$30,II11&lt;&gt;""),AND(IL11&gt;=IM$30,IL11&lt;&gt;""),AND(JE11&gt;=JI$30,JE11&lt;&gt;""),AND(JH11&gt;=JI$30,JH11&lt;&gt;""),AND(KA11&gt;=KE$30,KA11&lt;&gt;""),AND(KD11&gt;=KE$30,KD11&lt;&gt;""),AND(KW11&gt;=LA$30,KW11&lt;&gt;""),AND(KZ11&gt;=LA$30,KZ11&lt;&gt;""),AND(LS11&gt;=LW$30,LS11&lt;&gt;""),AND(LV11&gt;=LW$30,LV11&lt;&gt;""),AND(MO11&gt;=MS$30,MO11&lt;&gt;""),AND(MR11&gt;=MS$30,MR11&lt;&gt;""),AND(NK11&gt;=NO$30,NK11&lt;&gt;""),AND(NN11&gt;=NO$30,NN11&lt;&gt;"")),"Merit",IF(OR(AND(AS11&gt;=AY$29,AS11&lt;&gt;"",AP11=""),AND(AU11&gt;=AY$29,AU11&lt;&gt;"",AP11=""),AND(AX11&gt;=AY$29,AX11&lt;&gt;"",AP11=""),AND(BW11&gt;=CC$29,BW11&lt;&gt;"",BT11=""),AND(BY11&gt;=CC$29,BY11&lt;&gt;"",BT11=""),AND(CB11&gt;=CC$29,CB11&lt;&gt;"",BT11=""),AND(DA11&gt;=DG$29,DA11&lt;&gt;"",CX11=""),AND(DC11&gt;=DG$29,DC11&lt;&gt;"",CX11=""),AND(DF11&gt;=DG$29,DF11&lt;&gt;"",CX11=""),AND(EC11&gt;=EG$29,EC11&lt;&gt;""),AND(EF11&gt;=EG$29,EF11&lt;&gt;""),AND(EY11&gt;=FC$29,EY11&lt;&gt;""),AND(FB11&gt;=FC$29,FB11&lt;&gt;""),AND(FU11&gt;=FY$29,FU11&lt;&gt;""),AND(FX11&gt;=FY$29,FX11&lt;&gt;""),AND(GQ11&gt;=GU$29,GQ11&lt;&gt;""),AND(GT11&gt;=GU$29,GT11&lt;&gt;""),AND(HM11&gt;=HQ$29,HM11&lt;&gt;""),AND(HP11&gt;=HQ$29,HP11&lt;&gt;""),AND(II11&gt;=IM$29,II11&lt;&gt;""),AND(IL11&gt;=IM$29,IL11&lt;&gt;""),AND(JE11&gt;=JI$29,JE11&lt;&gt;""),AND(JH11&gt;=JI$29,JH11&lt;&gt;""),AND(KA11&gt;=KE$29,KA11&lt;&gt;""),AND(KD11&gt;=KE$29,KD11&lt;&gt;""),AND(KW11&gt;=LA$29,KW11&lt;&gt;""),AND(KZ11&gt;=LA$29,KZ11&lt;&gt;""),AND(LS11&gt;=LW$29,LS11&lt;&gt;""),AND(LV11&gt;=LW$29,LV11&lt;&gt;""),AND(MO11&gt;=MS$29,MO11&lt;&gt;""),AND(MR11&gt;=MS$29,MR11&lt;&gt;""),AND(NK11&gt;=NO$29,NK11&lt;&gt;""),AND(NN11&gt;=NO$29,NN11&lt;&gt;"")),"Excellence",IF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"Worlds Team",IF(OR(AND(AV11&gt;=AY$27,AV11&lt;&gt;"",AP11=""),AND(BZ11&gt;=CC$27,BZ11&lt;&gt;"",BT11=""),AND(DD11&gt;=DG$27,DD11&lt;&gt;"",CX11=""),AND(ED11&gt;=EG$27,ED11&lt;&gt;""),AND(EZ11&gt;=FC$27,EZ11&lt;&gt;""),AND(FV11&gt;=FY$27,FV11&lt;&gt;""),AND(GR11&gt;=GU$27,GR11&lt;&gt;""),AND(HN11&gt;=HQ$27,HN11&lt;&gt;""),AND(IJ11&gt;=IM$27,IJ11&lt;&gt;""),AND(JF11&gt;=JI$27,JF11&lt;&gt;""),AND(KB11&gt;=KE$27,KB11&lt;&gt;""),AND(KX11&gt;=LA$27,KX11&lt;&gt;""),AND(LT11&gt;=LW$27,LT11&lt;&gt;""),AND(MP11&gt;=MS$27,MP11&lt;&gt;""),AND(NL11&gt;=NO$27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OR(G11="Worlds Team",G11="Excellence",G11="Merit")),"P","")</f>
        <v/>
      </c>
      <c r="K11" s="14">
        <f>IF(MAX(AV11,BZ11,DD11)&gt;0,MAX(AV11,BZ11,DD11),0)</f>
        <v>102.69</v>
      </c>
      <c r="L11" s="14" t="str">
        <f>IF(K11=0,"",IF(K11=DD11,$CD$1,IF(K11=BZ11,$AZ$1,IF(K11=AV11,$V$1,""))))</f>
        <v>2021 2nd Virtual Technical Trial</v>
      </c>
      <c r="M11" s="14">
        <f>IF($K11=$AV11,MAX(BU11,CY11),IF($K11=$BZ11,MAX(AQ11,CY11),IF($K11=$DD11,MAX(AQ11,BU11),MAX(AQ11,BU11,CY11))))</f>
        <v>47.42</v>
      </c>
      <c r="N11" s="14" t="str">
        <f>IF(M11=0,"",IF(AND(M11=CY11,$L11&lt;&gt;$CD$1),$CD$1,IF(AND(M11=BU11,$L11&lt;&gt;$AZ$1),$AZ$1,IF(AND(M11=AQ11,$L11&lt;&gt;$V$1),$V$1,""))))</f>
        <v>2021 Elite Canada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53.500000000000007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54.930000000000007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16.7</v>
      </c>
      <c r="W11" s="69">
        <v>9.5</v>
      </c>
      <c r="X11" s="69">
        <v>5.2</v>
      </c>
      <c r="Y11" s="69">
        <v>16.23</v>
      </c>
      <c r="Z11" s="69">
        <v>0</v>
      </c>
      <c r="AA11" s="69">
        <v>15.2</v>
      </c>
      <c r="AB11" s="69">
        <v>9.3000000000000007</v>
      </c>
      <c r="AC11" s="69">
        <v>14.6</v>
      </c>
      <c r="AD11" s="69">
        <v>15.96</v>
      </c>
      <c r="AE11" s="69">
        <v>0</v>
      </c>
      <c r="AF11" s="69">
        <v>3</v>
      </c>
      <c r="AG11" s="69">
        <v>1.9</v>
      </c>
      <c r="AH11" s="69">
        <v>3</v>
      </c>
      <c r="AI11" s="69">
        <v>3.32</v>
      </c>
      <c r="AJ11" s="69">
        <v>0</v>
      </c>
      <c r="AK11" s="69">
        <v>15.3</v>
      </c>
      <c r="AL11" s="69">
        <v>9.3000000000000007</v>
      </c>
      <c r="AM11" s="69">
        <v>14.6</v>
      </c>
      <c r="AN11" s="69">
        <v>15.73</v>
      </c>
      <c r="AO11" s="69">
        <v>0</v>
      </c>
      <c r="AP11" s="80"/>
      <c r="AQ11" s="11">
        <f>IF(SUM(V11:Y11)-Z11&gt;0,SUM(V11:Y11)-Z11,"")</f>
        <v>47.629999999999995</v>
      </c>
      <c r="AR11" s="11">
        <f>IF(AC11&gt;0,AC11,"")</f>
        <v>14.6</v>
      </c>
      <c r="AS11" s="11">
        <f>IF(SUM(AA11:AD11)-AE11&gt;0,SUM(AA11:AD11)-AE11,"")</f>
        <v>55.06</v>
      </c>
      <c r="AT11" s="11">
        <f>IF(AH11&gt;0,AH11,"")</f>
        <v>3</v>
      </c>
      <c r="AU11" s="11">
        <f>IF(SUM(AF11:AI11)-AJ11&gt;0,SUM(AF11:AI11)-AJ11,"")</f>
        <v>11.22</v>
      </c>
      <c r="AV11" s="11">
        <f>IF(AQ11="",IF(MAX(AS11,AU11)&gt;0,MAX(AS11,AU11),""),MAX(AS11,AU11)+AQ11)</f>
        <v>102.69</v>
      </c>
      <c r="AW11" s="11">
        <f>IF(AM11&gt;0,AM11,"")</f>
        <v>14.6</v>
      </c>
      <c r="AX11" s="11">
        <f>IF(SUM(AK11:AN11)-AO11&gt;0,SUM(AK11:AN11)-AO11,"")</f>
        <v>54.930000000000007</v>
      </c>
      <c r="AY11" s="11">
        <f>IF(SUM(AV11,AX11)&gt;0,SUM(AV11,AX11),"")</f>
        <v>157.62</v>
      </c>
      <c r="AZ11" s="75">
        <v>16.3</v>
      </c>
      <c r="BA11" s="75">
        <v>9.5</v>
      </c>
      <c r="BB11" s="75">
        <v>5.6</v>
      </c>
      <c r="BC11" s="75">
        <v>16.02</v>
      </c>
      <c r="BD11" s="75">
        <v>0</v>
      </c>
      <c r="BE11" s="75">
        <v>14.8</v>
      </c>
      <c r="BF11" s="75">
        <v>9.4</v>
      </c>
      <c r="BG11" s="75">
        <v>14.2</v>
      </c>
      <c r="BH11" s="75">
        <v>15.1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11.3</v>
      </c>
      <c r="BP11" s="75">
        <v>8.4</v>
      </c>
      <c r="BQ11" s="75">
        <v>6.7</v>
      </c>
      <c r="BR11" s="75">
        <v>6.13</v>
      </c>
      <c r="BS11" s="75">
        <v>0</v>
      </c>
      <c r="BT11" s="81"/>
      <c r="BU11" s="14">
        <f>IF(SUM(AZ11:BC11)-BD11&gt;0,SUM(AZ11:BC11)-BD11,"")</f>
        <v>47.42</v>
      </c>
      <c r="BV11" s="14">
        <f>IF(BG11&gt;0,BG11,"")</f>
        <v>14.2</v>
      </c>
      <c r="BW11" s="14">
        <f>IF(SUM(BE11:BH11)-BI11&gt;0,SUM(BE11:BH11)-BI11,"")</f>
        <v>53.500000000000007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100.92000000000002</v>
      </c>
      <c r="CA11" s="14">
        <f>IF(BQ11&gt;0,BQ11,"")</f>
        <v>6.7</v>
      </c>
      <c r="CB11" s="14">
        <f>IF(SUM(BO11:BR11)-BS11&gt;0,SUM(BO11:BR11)-BS11,"")</f>
        <v>32.53</v>
      </c>
      <c r="CC11" s="14">
        <f>IF(SUM(BZ11,CB11)&gt;0,SUM(BZ11,CB11),"")</f>
        <v>133.45000000000002</v>
      </c>
      <c r="CD11" s="69">
        <v>14.4</v>
      </c>
      <c r="CE11" s="69">
        <v>8.1999999999999993</v>
      </c>
      <c r="CF11" s="69">
        <v>3.4</v>
      </c>
      <c r="CG11" s="69">
        <v>15.835000000000001</v>
      </c>
      <c r="CH11" s="69">
        <v>0</v>
      </c>
      <c r="CI11" s="69">
        <v>4.5</v>
      </c>
      <c r="CJ11" s="69">
        <v>2.9</v>
      </c>
      <c r="CK11" s="69">
        <v>5.0999999999999996</v>
      </c>
      <c r="CL11" s="69">
        <v>4.8650000000000002</v>
      </c>
      <c r="CM11" s="69">
        <v>0</v>
      </c>
      <c r="CN11" s="69">
        <v>4.3</v>
      </c>
      <c r="CO11" s="69">
        <v>2.9</v>
      </c>
      <c r="CP11" s="69">
        <v>5.0999999999999996</v>
      </c>
      <c r="CQ11" s="69">
        <v>5.05</v>
      </c>
      <c r="CR11" s="69">
        <v>0</v>
      </c>
      <c r="CS11" s="69"/>
      <c r="CT11" s="69"/>
      <c r="CU11" s="69"/>
      <c r="CV11" s="69"/>
      <c r="CW11" s="69"/>
      <c r="CX11" s="80"/>
      <c r="CY11" s="11">
        <f>IF(SUM(CD11:CG11)-CH11&gt;0,SUM(CD11:CG11)-CH11,"")</f>
        <v>41.835000000000001</v>
      </c>
      <c r="CZ11" s="11">
        <f>IF(CK11&gt;0,CK11,"")</f>
        <v>5.0999999999999996</v>
      </c>
      <c r="DA11" s="11">
        <f>IF(SUM(CI11:CL11)-CM11&gt;0,SUM(CI11:CL11)-CM11,"")</f>
        <v>17.365000000000002</v>
      </c>
      <c r="DB11" s="11">
        <f>IF(CP11&gt;0,CP11,"")</f>
        <v>5.0999999999999996</v>
      </c>
      <c r="DC11" s="11">
        <f>IF(SUM(CN11:CQ11)-CR11&gt;0,SUM(CN11:CQ11)-CR11,"")</f>
        <v>17.349999999999998</v>
      </c>
      <c r="DD11" s="11">
        <f>IF(CY11="",IF(MAX(DA11,DC11)&gt;0,MAX(DA11,DC11),""),MAX(DA11,DC11)+CY11)</f>
        <v>59.2</v>
      </c>
      <c r="DE11" s="11" t="str">
        <f>IF(CU11&gt;0,CU11,"")</f>
        <v/>
      </c>
      <c r="DF11" s="11" t="str">
        <f>IF(SUM(CS11:CV11)-CW11&gt;0,SUM(CS11:CV11)-CW11,"")</f>
        <v/>
      </c>
      <c r="DG11" s="11">
        <f>IF(SUM(DD11,DF11)&gt;0,SUM(DD11,DF11),"")</f>
        <v>59.2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15.350000000000001</v>
      </c>
      <c r="NQ11" s="69">
        <f>IF($CX11="P",CE11,(CE11+BA11)/2)</f>
        <v>8.85</v>
      </c>
      <c r="NR11" s="69">
        <f>IF($CX11="P",CF11,(CF11+BB11)/2)</f>
        <v>4.5</v>
      </c>
      <c r="NS11" s="69">
        <f>IF($CX11="P",CG11,(CG11+BC11)/2)</f>
        <v>15.9275</v>
      </c>
      <c r="NT11" s="69">
        <f>IF($CX11="P",CH11,(CH11+BD11)/2)</f>
        <v>0</v>
      </c>
      <c r="NU11" s="69">
        <f>IF($CX11="P",CI11,(CI11+BE11)/2)</f>
        <v>9.65</v>
      </c>
      <c r="NV11" s="69">
        <f>IF($CX11="P",CJ11,(CJ11+BF11)/2)</f>
        <v>6.15</v>
      </c>
      <c r="NW11" s="69">
        <f>IF($CX11="P",CK11,(CK11+BG11)/2)</f>
        <v>9.6499999999999986</v>
      </c>
      <c r="NX11" s="69">
        <f>IF($CX11="P",CL11,(CL11+BH11)/2)</f>
        <v>9.9824999999999999</v>
      </c>
      <c r="NY11" s="69">
        <f>IF($CX11="P",CM11,(CM11+BI11)/2)</f>
        <v>0</v>
      </c>
      <c r="NZ11" s="69">
        <f>IF($CX11="P",CN11,(CN11+BJ11)/2)</f>
        <v>2.15</v>
      </c>
      <c r="OA11" s="69">
        <f>IF($CX11="P",CO11,(CO11+BK11)/2)</f>
        <v>1.45</v>
      </c>
      <c r="OB11" s="69">
        <f>IF($CX11="P",CP11,(CP11+BL11)/2)</f>
        <v>2.5499999999999998</v>
      </c>
      <c r="OC11" s="69">
        <f>IF($CX11="P",CQ11,(CQ11+BM11)/2)</f>
        <v>2.5249999999999999</v>
      </c>
      <c r="OD11" s="69">
        <f>IF($CX11="P",CR11,(CR11+BN11)/2)</f>
        <v>0</v>
      </c>
      <c r="OE11" s="69">
        <f>IF($CX11="P",CS11,(CS11+BO11)/2)</f>
        <v>5.65</v>
      </c>
      <c r="OF11" s="69">
        <f>IF($CX11="P",CT11,(CT11+BP11)/2)</f>
        <v>4.2</v>
      </c>
      <c r="OG11" s="69">
        <f>IF($CX11="P",CU11,(CU11+BQ11)/2)</f>
        <v>3.35</v>
      </c>
      <c r="OH11" s="69">
        <f>IF($CX11="P",CV11,(CV11+BR11)/2)</f>
        <v>3.0649999999999999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44.627500000000005</v>
      </c>
      <c r="OL11" s="11">
        <f>IF(NW11&gt;0,NW11,"")</f>
        <v>9.6499999999999986</v>
      </c>
      <c r="OM11" s="11">
        <f>IF(SUM(NU11:NX11)-NY11&gt;0,SUM(NU11:NX11)-NY11,"")</f>
        <v>35.432499999999997</v>
      </c>
      <c r="ON11" s="11">
        <f>IF(OB11&gt;0,OB11,"")</f>
        <v>2.5499999999999998</v>
      </c>
      <c r="OO11" s="11">
        <f>IF(SUM(NZ11:OC11)-OD11&gt;0,SUM(NZ11:OC11)-OD11,"")</f>
        <v>8.6749999999999989</v>
      </c>
      <c r="OP11" s="11">
        <f>IF(OR(OK11&lt;&gt;"",OM11&lt;&gt;"",OO11&lt;&gt;""),OK11+MAX(OM11,OO11),"")</f>
        <v>80.06</v>
      </c>
      <c r="OQ11" s="11">
        <f>IF(OG11&gt;0,OG11,"")</f>
        <v>3.35</v>
      </c>
      <c r="OR11" s="11">
        <f t="shared" si="0"/>
        <v>16.265000000000001</v>
      </c>
      <c r="OS11" s="11">
        <f t="shared" si="1"/>
        <v>96.325000000000003</v>
      </c>
    </row>
    <row r="12" spans="1:409" x14ac:dyDescent="0.2">
      <c r="A12" s="5" t="str" cm="1">
        <f t="array" ref="A12">IF(AND(G12&lt;&gt;"",H12&lt;&gt;""),SUMPRODUCT((G$4:G$21&lt;&gt;"")*(H$4:H$21&lt;&gt;"")*(E$4:E$21&gt;E12))+1,IF(H12&lt;&gt;"",SUMPRODUCT((I$4:I$21="No DD")*(E$4:E$21&gt;E12))+1+SUMPRODUCT((G$4:G$21&lt;&gt;"")*(H$4:H$21&lt;&gt;"")),""))</f>
        <v/>
      </c>
      <c r="B12" s="6" t="s">
        <v>129</v>
      </c>
      <c r="C12" s="7" t="s">
        <v>6</v>
      </c>
      <c r="D12" s="5">
        <v>2001</v>
      </c>
      <c r="E12" s="15">
        <f>SUM(K12:S12)</f>
        <v>252.04999999999998</v>
      </c>
      <c r="F12" s="3" t="str">
        <f>IF(G12&lt;&gt;"","P","")</f>
        <v>P</v>
      </c>
      <c r="G12" s="125" t="str">
        <f>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Merit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Excellence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Worlds Team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National Team",""))))</f>
        <v>National Team</v>
      </c>
      <c r="H12" s="125" t="str">
        <f>IF(OR(AND(AS12&gt;=AY$30,AS12&lt;&gt;"",AP12=""),AND(AU12&gt;=AY$30,AU12&lt;&gt;"",AP12=""),AND(AX12&gt;=AY$30,AX12&lt;&gt;"",AP12=""),AND(BW12&gt;=CC$30,BW12&lt;&gt;"",BT12=""),AND(BY12&gt;=CC$30,BY12&lt;&gt;"",BT12=""),AND(CB12&gt;=CC$30,CB12&lt;&gt;"",BT12=""),AND(DA12&gt;=DG$30,DA12&lt;&gt;"",CX12=""),AND(DC12&gt;=DG$30,DC12&lt;&gt;"",CX12=""),AND(DF12&gt;=DG$30,DF12&lt;&gt;"",CX12=""),AND(EC12&gt;=EG$30,EC12&lt;&gt;""),AND(EF12&gt;=EG$30,EF12&lt;&gt;""),AND(EY12&gt;=FC$30,EY12&lt;&gt;""),AND(FB12&gt;=FC$30,FB12&lt;&gt;""),AND(FU12&gt;=FY$30,FU12&lt;&gt;""),AND(FX12&gt;=FY$30,FX12&lt;&gt;""),AND(GQ12&gt;=GU$30,GQ12&lt;&gt;""),AND(GT12&gt;=GU$30,GT12&lt;&gt;""),AND(HM12&gt;=HQ$30,HM12&lt;&gt;""),AND(HP12&gt;=HQ$30,HP12&lt;&gt;""),AND(II12&gt;=IM$30,II12&lt;&gt;""),AND(IL12&gt;=IM$30,IL12&lt;&gt;""),AND(JE12&gt;=JI$30,JE12&lt;&gt;""),AND(JH12&gt;=JI$30,JH12&lt;&gt;""),AND(KA12&gt;=KE$30,KA12&lt;&gt;""),AND(KD12&gt;=KE$30,KD12&lt;&gt;""),AND(KW12&gt;=LA$30,KW12&lt;&gt;""),AND(KZ12&gt;=LA$30,KZ12&lt;&gt;""),AND(LS12&gt;=LW$30,LS12&lt;&gt;""),AND(LV12&gt;=LW$30,LV12&lt;&gt;""),AND(MO12&gt;=MS$30,MO12&lt;&gt;""),AND(MR12&gt;=MS$30,MR12&lt;&gt;""),AND(NK12&gt;=NO$30,NK12&lt;&gt;""),AND(NN12&gt;=NO$30,NN12&lt;&gt;"")),"Merit",IF(OR(AND(AS12&gt;=AY$29,AS12&lt;&gt;"",AP12=""),AND(AU12&gt;=AY$29,AU12&lt;&gt;"",AP12=""),AND(AX12&gt;=AY$29,AX12&lt;&gt;"",AP12=""),AND(BW12&gt;=CC$29,BW12&lt;&gt;"",BT12=""),AND(BY12&gt;=CC$29,BY12&lt;&gt;"",BT12=""),AND(CB12&gt;=CC$29,CB12&lt;&gt;"",BT12=""),AND(DA12&gt;=DG$29,DA12&lt;&gt;"",CX12=""),AND(DC12&gt;=DG$29,DC12&lt;&gt;"",CX12=""),AND(DF12&gt;=DG$29,DF12&lt;&gt;"",CX12=""),AND(EC12&gt;=EG$29,EC12&lt;&gt;""),AND(EF12&gt;=EG$29,EF12&lt;&gt;""),AND(EY12&gt;=FC$29,EY12&lt;&gt;""),AND(FB12&gt;=FC$29,FB12&lt;&gt;""),AND(FU12&gt;=FY$29,FU12&lt;&gt;""),AND(FX12&gt;=FY$29,FX12&lt;&gt;""),AND(GQ12&gt;=GU$29,GQ12&lt;&gt;""),AND(GT12&gt;=GU$29,GT12&lt;&gt;""),AND(HM12&gt;=HQ$29,HM12&lt;&gt;""),AND(HP12&gt;=HQ$29,HP12&lt;&gt;""),AND(II12&gt;=IM$29,II12&lt;&gt;""),AND(IL12&gt;=IM$29,IL12&lt;&gt;""),AND(JE12&gt;=JI$29,JE12&lt;&gt;""),AND(JH12&gt;=JI$29,JH12&lt;&gt;""),AND(KA12&gt;=KE$29,KA12&lt;&gt;""),AND(KD12&gt;=KE$29,KD12&lt;&gt;""),AND(KW12&gt;=LA$29,KW12&lt;&gt;""),AND(KZ12&gt;=LA$29,KZ12&lt;&gt;""),AND(LS12&gt;=LW$29,LS12&lt;&gt;""),AND(LV12&gt;=LW$29,LV12&lt;&gt;""),AND(MO12&gt;=MS$29,MO12&lt;&gt;""),AND(MR12&gt;=MS$29,MR12&lt;&gt;""),AND(NK12&gt;=NO$29,NK12&lt;&gt;""),AND(NN12&gt;=NO$29,NN12&lt;&gt;"")),"Excellence",IF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"Worlds Team",IF(OR(AND(AV12&gt;=AY$27,AV12&lt;&gt;"",AP12=""),AND(BZ12&gt;=CC$27,BZ12&lt;&gt;"",BT12=""),AND(DD12&gt;=DG$27,DD12&lt;&gt;"",CX12=""),AND(ED12&gt;=EG$27,ED12&lt;&gt;""),AND(EZ12&gt;=FC$27,EZ12&lt;&gt;""),AND(FV12&gt;=FY$27,FV12&lt;&gt;""),AND(GR12&gt;=GU$27,GR12&lt;&gt;""),AND(HN12&gt;=HQ$27,HN12&lt;&gt;""),AND(IJ12&gt;=IM$27,IJ12&lt;&gt;""),AND(JF12&gt;=JI$27,JF12&lt;&gt;""),AND(KB12&gt;=KE$27,KB12&lt;&gt;""),AND(KX12&gt;=LA$27,KX12&lt;&gt;""),AND(LT12&gt;=LW$27,LT12&lt;&gt;""),AND(MP12&gt;=MS$27,MP12&lt;&gt;""),AND(NL12&gt;=NO$27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OR(G12="Worlds Team",G12="Excellence",G12="Merit")),"P","")</f>
        <v/>
      </c>
      <c r="K12" s="14">
        <f>IF(MAX(AV12,BZ12,DD12)&gt;0,MAX(AV12,BZ12,DD12),0)</f>
        <v>100.87</v>
      </c>
      <c r="L12" s="14" t="str">
        <f>IF(K12=0,"",IF(K12=DD12,$CD$1,IF(K12=BZ12,$AZ$1,IF(K12=AV12,$V$1,""))))</f>
        <v>2021 Canadian Championships</v>
      </c>
      <c r="M12" s="14">
        <f>IF($K12=$AV12,MAX(BU12,CY12),IF($K12=$BZ12,MAX(AQ12,CY12),IF($K12=$DD12,MAX(AQ12,BU12),MAX(AQ12,BU12,CY12))))</f>
        <v>44.995000000000005</v>
      </c>
      <c r="N12" s="14" t="str">
        <f>IF(M12=0,"",IF(AND(M12=CY12,$L12&lt;&gt;$CD$1),$CD$1,IF(AND(M12=BU12,$L12&lt;&gt;$AZ$1),$AZ$1,IF(AND(M12=AQ12,$L12&lt;&gt;$V$1),$V$1,""))))</f>
        <v>2021 Elite Canada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53.894999999999996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52.29</v>
      </c>
      <c r="R12" s="14" t="str">
        <f>IF(Q12=0,"",IF(Q12=DF12,$CD$1,IF(Q12=CB12,$AZ$1,IF(Q12=AX12,$V$1,""))))</f>
        <v>2021 2nd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14.6</v>
      </c>
      <c r="W12" s="69">
        <v>8.3000000000000007</v>
      </c>
      <c r="X12" s="69">
        <v>1.7</v>
      </c>
      <c r="Y12" s="69">
        <v>15.17</v>
      </c>
      <c r="Z12" s="69">
        <v>2</v>
      </c>
      <c r="AA12" s="69">
        <v>12.9</v>
      </c>
      <c r="AB12" s="69">
        <v>9.4</v>
      </c>
      <c r="AC12" s="69">
        <v>13.8</v>
      </c>
      <c r="AD12" s="69">
        <v>16.07</v>
      </c>
      <c r="AE12" s="69">
        <v>0</v>
      </c>
      <c r="AF12" s="69">
        <v>2.2999999999999998</v>
      </c>
      <c r="AG12" s="69">
        <v>1.6</v>
      </c>
      <c r="AH12" s="69">
        <v>3.2</v>
      </c>
      <c r="AI12" s="69">
        <v>3.5649999999999999</v>
      </c>
      <c r="AJ12" s="69">
        <v>0</v>
      </c>
      <c r="AK12" s="69">
        <v>13.5</v>
      </c>
      <c r="AL12" s="69">
        <v>9.1999999999999993</v>
      </c>
      <c r="AM12" s="69">
        <v>13.8</v>
      </c>
      <c r="AN12" s="69">
        <v>15.79</v>
      </c>
      <c r="AO12" s="69">
        <v>0</v>
      </c>
      <c r="AP12" s="80"/>
      <c r="AQ12" s="11">
        <f>IF(SUM(V12:Y12)-Z12&gt;0,SUM(V12:Y12)-Z12,"")</f>
        <v>37.769999999999996</v>
      </c>
      <c r="AR12" s="11">
        <f>IF(AC12&gt;0,AC12,"")</f>
        <v>13.8</v>
      </c>
      <c r="AS12" s="11">
        <f>IF(SUM(AA12:AD12)-AE12&gt;0,SUM(AA12:AD12)-AE12,"")</f>
        <v>52.17</v>
      </c>
      <c r="AT12" s="11">
        <f>IF(AH12&gt;0,AH12,"")</f>
        <v>3.2</v>
      </c>
      <c r="AU12" s="11">
        <f>IF(SUM(AF12:AI12)-AJ12&gt;0,SUM(AF12:AI12)-AJ12,"")</f>
        <v>10.664999999999999</v>
      </c>
      <c r="AV12" s="11">
        <f>IF(AQ12="",IF(MAX(AS12,AU12)&gt;0,MAX(AS12,AU12),""),MAX(AS12,AU12)+AQ12)</f>
        <v>89.94</v>
      </c>
      <c r="AW12" s="11">
        <f>IF(AM12&gt;0,AM12,"")</f>
        <v>13.8</v>
      </c>
      <c r="AX12" s="11">
        <f>IF(SUM(AK12:AN12)-AO12&gt;0,SUM(AK12:AN12)-AO12,"")</f>
        <v>52.29</v>
      </c>
      <c r="AY12" s="11">
        <f>IF(SUM(AV12,AX12)&gt;0,SUM(AV12,AX12),"")</f>
        <v>142.22999999999999</v>
      </c>
      <c r="AZ12" s="75">
        <v>14.8</v>
      </c>
      <c r="BA12" s="75">
        <v>9</v>
      </c>
      <c r="BB12" s="75">
        <v>4.5</v>
      </c>
      <c r="BC12" s="75">
        <v>16.695</v>
      </c>
      <c r="BD12" s="75">
        <v>0</v>
      </c>
      <c r="BE12" s="75">
        <v>14</v>
      </c>
      <c r="BF12" s="75">
        <v>9.1</v>
      </c>
      <c r="BG12" s="75">
        <v>14.4</v>
      </c>
      <c r="BH12" s="75">
        <v>16.395</v>
      </c>
      <c r="BI12" s="75">
        <v>0</v>
      </c>
      <c r="BJ12" s="75">
        <v>2.8</v>
      </c>
      <c r="BK12" s="75">
        <v>1.7</v>
      </c>
      <c r="BL12" s="75">
        <v>3.2</v>
      </c>
      <c r="BM12" s="75">
        <v>3.4550000000000001</v>
      </c>
      <c r="BN12" s="75">
        <v>0</v>
      </c>
      <c r="BO12" s="75">
        <v>4.3</v>
      </c>
      <c r="BP12" s="75">
        <v>3</v>
      </c>
      <c r="BQ12" s="75">
        <v>3.8</v>
      </c>
      <c r="BR12" s="75">
        <v>4.95</v>
      </c>
      <c r="BS12" s="75">
        <v>0</v>
      </c>
      <c r="BT12" s="81"/>
      <c r="BU12" s="14">
        <f>IF(SUM(AZ12:BC12)-BD12&gt;0,SUM(AZ12:BC12)-BD12,"")</f>
        <v>44.995000000000005</v>
      </c>
      <c r="BV12" s="14">
        <f>IF(BG12&gt;0,BG12,"")</f>
        <v>14.4</v>
      </c>
      <c r="BW12" s="14">
        <f>IF(SUM(BE12:BH12)-BI12&gt;0,SUM(BE12:BH12)-BI12,"")</f>
        <v>53.894999999999996</v>
      </c>
      <c r="BX12" s="14">
        <f>IF(BL12&gt;0,BL12,"")</f>
        <v>3.2</v>
      </c>
      <c r="BY12" s="14">
        <f>IF(SUM(BJ12:BM12)-BN12&gt;0,SUM(BJ12:BM12)-BN12,"")</f>
        <v>11.155000000000001</v>
      </c>
      <c r="BZ12" s="14">
        <f>IF(BU12="",IF(MAX(BW12,BY12)&gt;0,MAX(BW12,BY12),""),MAX(BW12,BY12)+BU12)</f>
        <v>98.89</v>
      </c>
      <c r="CA12" s="14">
        <f>IF(BQ12&gt;0,BQ12,"")</f>
        <v>3.8</v>
      </c>
      <c r="CB12" s="14">
        <f>IF(SUM(BO12:BR12)-BS12&gt;0,SUM(BO12:BR12)-BS12,"")</f>
        <v>16.05</v>
      </c>
      <c r="CC12" s="14">
        <f>IF(SUM(BZ12,CB12)&gt;0,SUM(BZ12,CB12),"")</f>
        <v>114.94</v>
      </c>
      <c r="CD12" s="69">
        <v>17.899999999999999</v>
      </c>
      <c r="CE12" s="69">
        <v>9.6999999999999993</v>
      </c>
      <c r="CF12" s="69">
        <v>3.7</v>
      </c>
      <c r="CG12" s="69">
        <v>16.79</v>
      </c>
      <c r="CH12" s="69">
        <v>0</v>
      </c>
      <c r="CI12" s="69">
        <v>6.6</v>
      </c>
      <c r="CJ12" s="69">
        <v>4.7</v>
      </c>
      <c r="CK12" s="69">
        <v>6.8</v>
      </c>
      <c r="CL12" s="69">
        <v>8.0250000000000004</v>
      </c>
      <c r="CM12" s="69">
        <v>0</v>
      </c>
      <c r="CN12" s="69">
        <v>13.8</v>
      </c>
      <c r="CO12" s="69">
        <v>8.8000000000000007</v>
      </c>
      <c r="CP12" s="69">
        <v>14.2</v>
      </c>
      <c r="CQ12" s="69">
        <v>15.98</v>
      </c>
      <c r="CR12" s="69">
        <v>0</v>
      </c>
      <c r="CS12" s="69">
        <v>12.2</v>
      </c>
      <c r="CT12" s="69">
        <v>7.9</v>
      </c>
      <c r="CU12" s="69">
        <v>11.9</v>
      </c>
      <c r="CV12" s="69">
        <v>14.44</v>
      </c>
      <c r="CW12" s="69">
        <v>0</v>
      </c>
      <c r="CX12" s="80"/>
      <c r="CY12" s="11">
        <f>IF(SUM(CD12:CG12)-CH12&gt;0,SUM(CD12:CG12)-CH12,"")</f>
        <v>48.089999999999996</v>
      </c>
      <c r="CZ12" s="11">
        <f>IF(CK12&gt;0,CK12,"")</f>
        <v>6.8</v>
      </c>
      <c r="DA12" s="11">
        <f>IF(SUM(CI12:CL12)-CM12&gt;0,SUM(CI12:CL12)-CM12,"")</f>
        <v>26.125</v>
      </c>
      <c r="DB12" s="11">
        <f>IF(CP12&gt;0,CP12,"")</f>
        <v>14.2</v>
      </c>
      <c r="DC12" s="11">
        <f>IF(SUM(CN12:CQ12)-CR12&gt;0,SUM(CN12:CQ12)-CR12,"")</f>
        <v>52.78</v>
      </c>
      <c r="DD12" s="11">
        <f>IF(CY12="",IF(MAX(DA12,DC12)&gt;0,MAX(DA12,DC12),""),MAX(DA12,DC12)+CY12)</f>
        <v>100.87</v>
      </c>
      <c r="DE12" s="11">
        <f>IF(CU12&gt;0,CU12,"")</f>
        <v>11.9</v>
      </c>
      <c r="DF12" s="11">
        <f>IF(SUM(CS12:CV12)-CW12&gt;0,SUM(CS12:CV12)-CW12,"")</f>
        <v>46.44</v>
      </c>
      <c r="DG12" s="11">
        <f>IF(SUM(DD12,DF12)&gt;0,SUM(DD12,DF12),"")</f>
        <v>147.31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16.350000000000001</v>
      </c>
      <c r="NQ12" s="69">
        <f>IF($CX12="P",CE12,(CE12+BA12)/2)</f>
        <v>9.35</v>
      </c>
      <c r="NR12" s="69">
        <f>IF($CX12="P",CF12,(CF12+BB12)/2)</f>
        <v>4.0999999999999996</v>
      </c>
      <c r="NS12" s="69">
        <f>IF($CX12="P",CG12,(CG12+BC12)/2)</f>
        <v>16.7425</v>
      </c>
      <c r="NT12" s="69">
        <f>IF($CX12="P",CH12,(CH12+BD12)/2)</f>
        <v>0</v>
      </c>
      <c r="NU12" s="69">
        <f>IF($CX12="P",CI12,(CI12+BE12)/2)</f>
        <v>10.3</v>
      </c>
      <c r="NV12" s="69">
        <f>IF($CX12="P",CJ12,(CJ12+BF12)/2)</f>
        <v>6.9</v>
      </c>
      <c r="NW12" s="69">
        <f>IF($CX12="P",CK12,(CK12+BG12)/2)</f>
        <v>10.6</v>
      </c>
      <c r="NX12" s="69">
        <f>IF($CX12="P",CL12,(CL12+BH12)/2)</f>
        <v>12.21</v>
      </c>
      <c r="NY12" s="69">
        <f>IF($CX12="P",CM12,(CM12+BI12)/2)</f>
        <v>0</v>
      </c>
      <c r="NZ12" s="69">
        <f>IF($CX12="P",CN12,(CN12+BJ12)/2)</f>
        <v>8.3000000000000007</v>
      </c>
      <c r="OA12" s="69">
        <f>IF($CX12="P",CO12,(CO12+BK12)/2)</f>
        <v>5.25</v>
      </c>
      <c r="OB12" s="69">
        <f>IF($CX12="P",CP12,(CP12+BL12)/2)</f>
        <v>8.6999999999999993</v>
      </c>
      <c r="OC12" s="69">
        <f>IF($CX12="P",CQ12,(CQ12+BM12)/2)</f>
        <v>9.7175000000000011</v>
      </c>
      <c r="OD12" s="69">
        <f>IF($CX12="P",CR12,(CR12+BN12)/2)</f>
        <v>0</v>
      </c>
      <c r="OE12" s="69">
        <f>IF($CX12="P",CS12,(CS12+BO12)/2)</f>
        <v>8.25</v>
      </c>
      <c r="OF12" s="69">
        <f>IF($CX12="P",CT12,(CT12+BP12)/2)</f>
        <v>5.45</v>
      </c>
      <c r="OG12" s="69">
        <f>IF($CX12="P",CU12,(CU12+BQ12)/2)</f>
        <v>7.85</v>
      </c>
      <c r="OH12" s="69">
        <f>IF($CX12="P",CV12,(CV12+BR12)/2)</f>
        <v>9.6950000000000003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46.542500000000004</v>
      </c>
      <c r="OL12" s="11">
        <f>IF(NW12&gt;0,NW12,"")</f>
        <v>10.6</v>
      </c>
      <c r="OM12" s="11">
        <f>IF(SUM(NU12:NX12)-NY12&gt;0,SUM(NU12:NX12)-NY12,"")</f>
        <v>40.010000000000005</v>
      </c>
      <c r="ON12" s="11">
        <f>IF(OB12&gt;0,OB12,"")</f>
        <v>8.6999999999999993</v>
      </c>
      <c r="OO12" s="11">
        <f>IF(SUM(NZ12:OC12)-OD12&gt;0,SUM(NZ12:OC12)-OD12,"")</f>
        <v>31.967500000000001</v>
      </c>
      <c r="OP12" s="11">
        <f>IF(OR(OK12&lt;&gt;"",OM12&lt;&gt;"",OO12&lt;&gt;""),OK12+MAX(OM12,OO12),"")</f>
        <v>86.552500000000009</v>
      </c>
      <c r="OQ12" s="11">
        <f>IF(OG12&gt;0,OG12,"")</f>
        <v>7.85</v>
      </c>
      <c r="OR12" s="11">
        <f t="shared" si="0"/>
        <v>31.244999999999997</v>
      </c>
      <c r="OS12" s="11">
        <f t="shared" si="1"/>
        <v>117.79750000000001</v>
      </c>
    </row>
    <row r="13" spans="1:409" x14ac:dyDescent="0.2">
      <c r="A13" s="5" t="str" cm="1">
        <f t="array" ref="A13">IF(AND(G13&lt;&gt;"",H13&lt;&gt;""),SUMPRODUCT((G$4:G$21&lt;&gt;"")*(H$4:H$21&lt;&gt;"")*(E$4:E$21&gt;E13))+1,IF(H13&lt;&gt;"",SUMPRODUCT((I$4:I$21="No DD")*(E$4:E$21&gt;E13))+1+SUMPRODUCT((G$4:G$21&lt;&gt;"")*(H$4:H$21&lt;&gt;"")),""))</f>
        <v/>
      </c>
      <c r="B13" s="6" t="s">
        <v>111</v>
      </c>
      <c r="C13" s="7" t="s">
        <v>3</v>
      </c>
      <c r="D13" s="27">
        <v>2003</v>
      </c>
      <c r="E13" s="15">
        <f>SUM(K13:S13)</f>
        <v>251.89499999999998</v>
      </c>
      <c r="F13" s="3" t="str">
        <f>IF(G13&lt;&gt;"","P","")</f>
        <v>P</v>
      </c>
      <c r="G13" s="125" t="str">
        <f>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Merit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Excellence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Worlds Team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National Team",""))))</f>
        <v>National Team</v>
      </c>
      <c r="H13" s="125" t="str">
        <f>IF(OR(AND(AS13&gt;=AY$30,AS13&lt;&gt;"",AP13=""),AND(AU13&gt;=AY$30,AU13&lt;&gt;"",AP13=""),AND(AX13&gt;=AY$30,AX13&lt;&gt;"",AP13=""),AND(BW13&gt;=CC$30,BW13&lt;&gt;"",BT13=""),AND(BY13&gt;=CC$30,BY13&lt;&gt;"",BT13=""),AND(CB13&gt;=CC$30,CB13&lt;&gt;"",BT13=""),AND(DA13&gt;=DG$30,DA13&lt;&gt;"",CX13=""),AND(DC13&gt;=DG$30,DC13&lt;&gt;"",CX13=""),AND(DF13&gt;=DG$30,DF13&lt;&gt;"",CX13=""),AND(EC13&gt;=EG$30,EC13&lt;&gt;""),AND(EF13&gt;=EG$30,EF13&lt;&gt;""),AND(EY13&gt;=FC$30,EY13&lt;&gt;""),AND(FB13&gt;=FC$30,FB13&lt;&gt;""),AND(FU13&gt;=FY$30,FU13&lt;&gt;""),AND(FX13&gt;=FY$30,FX13&lt;&gt;""),AND(GQ13&gt;=GU$30,GQ13&lt;&gt;""),AND(GT13&gt;=GU$30,GT13&lt;&gt;""),AND(HM13&gt;=HQ$30,HM13&lt;&gt;""),AND(HP13&gt;=HQ$30,HP13&lt;&gt;""),AND(II13&gt;=IM$30,II13&lt;&gt;""),AND(IL13&gt;=IM$30,IL13&lt;&gt;""),AND(JE13&gt;=JI$30,JE13&lt;&gt;""),AND(JH13&gt;=JI$30,JH13&lt;&gt;""),AND(KA13&gt;=KE$30,KA13&lt;&gt;""),AND(KD13&gt;=KE$30,KD13&lt;&gt;""),AND(KW13&gt;=LA$30,KW13&lt;&gt;""),AND(KZ13&gt;=LA$30,KZ13&lt;&gt;""),AND(LS13&gt;=LW$30,LS13&lt;&gt;""),AND(LV13&gt;=LW$30,LV13&lt;&gt;""),AND(MO13&gt;=MS$30,MO13&lt;&gt;""),AND(MR13&gt;=MS$30,MR13&lt;&gt;""),AND(NK13&gt;=NO$30,NK13&lt;&gt;""),AND(NN13&gt;=NO$30,NN13&lt;&gt;"")),"Merit",IF(OR(AND(AS13&gt;=AY$29,AS13&lt;&gt;"",AP13=""),AND(AU13&gt;=AY$29,AU13&lt;&gt;"",AP13=""),AND(AX13&gt;=AY$29,AX13&lt;&gt;"",AP13=""),AND(BW13&gt;=CC$29,BW13&lt;&gt;"",BT13=""),AND(BY13&gt;=CC$29,BY13&lt;&gt;"",BT13=""),AND(CB13&gt;=CC$29,CB13&lt;&gt;"",BT13=""),AND(DA13&gt;=DG$29,DA13&lt;&gt;"",CX13=""),AND(DC13&gt;=DG$29,DC13&lt;&gt;"",CX13=""),AND(DF13&gt;=DG$29,DF13&lt;&gt;"",CX13=""),AND(EC13&gt;=EG$29,EC13&lt;&gt;""),AND(EF13&gt;=EG$29,EF13&lt;&gt;""),AND(EY13&gt;=FC$29,EY13&lt;&gt;""),AND(FB13&gt;=FC$29,FB13&lt;&gt;""),AND(FU13&gt;=FY$29,FU13&lt;&gt;""),AND(FX13&gt;=FY$29,FX13&lt;&gt;""),AND(GQ13&gt;=GU$29,GQ13&lt;&gt;""),AND(GT13&gt;=GU$29,GT13&lt;&gt;""),AND(HM13&gt;=HQ$29,HM13&lt;&gt;""),AND(HP13&gt;=HQ$29,HP13&lt;&gt;""),AND(II13&gt;=IM$29,II13&lt;&gt;""),AND(IL13&gt;=IM$29,IL13&lt;&gt;""),AND(JE13&gt;=JI$29,JE13&lt;&gt;""),AND(JH13&gt;=JI$29,JH13&lt;&gt;""),AND(KA13&gt;=KE$29,KA13&lt;&gt;""),AND(KD13&gt;=KE$29,KD13&lt;&gt;""),AND(KW13&gt;=LA$29,KW13&lt;&gt;""),AND(KZ13&gt;=LA$29,KZ13&lt;&gt;""),AND(LS13&gt;=LW$29,LS13&lt;&gt;""),AND(LV13&gt;=LW$29,LV13&lt;&gt;""),AND(MO13&gt;=MS$29,MO13&lt;&gt;""),AND(MR13&gt;=MS$29,MR13&lt;&gt;""),AND(NK13&gt;=NO$29,NK13&lt;&gt;""),AND(NN13&gt;=NO$29,NN13&lt;&gt;"")),"Excellence",IF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"Worlds Team",IF(OR(AND(AV13&gt;=AY$27,AV13&lt;&gt;"",AP13=""),AND(BZ13&gt;=CC$27,BZ13&lt;&gt;"",BT13=""),AND(DD13&gt;=DG$27,DD13&lt;&gt;"",CX13=""),AND(ED13&gt;=EG$27,ED13&lt;&gt;""),AND(EZ13&gt;=FC$27,EZ13&lt;&gt;""),AND(FV13&gt;=FY$27,FV13&lt;&gt;""),AND(GR13&gt;=GU$27,GR13&lt;&gt;""),AND(HN13&gt;=HQ$27,HN13&lt;&gt;""),AND(IJ13&gt;=IM$27,IJ13&lt;&gt;""),AND(JF13&gt;=JI$27,JF13&lt;&gt;""),AND(KB13&gt;=KE$27,KB13&lt;&gt;""),AND(KX13&gt;=LA$27,KX13&lt;&gt;""),AND(LT13&gt;=LW$27,LT13&lt;&gt;""),AND(MP13&gt;=MS$27,MP13&lt;&gt;""),AND(NL13&gt;=NO$27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OR(G13="Worlds Team",G13="Excellence",G13="Merit")),"P","")</f>
        <v/>
      </c>
      <c r="K13" s="14">
        <f>IF(MAX(AV13,BZ13,DD13)&gt;0,MAX(AV13,BZ13,DD13),0)</f>
        <v>100.485</v>
      </c>
      <c r="L13" s="14" t="str">
        <f>IF(K13=0,"",IF(K13=DD13,$CD$1,IF(K13=BZ13,$AZ$1,IF(K13=AV13,$V$1,""))))</f>
        <v>2021 2nd Virtual Technical Trial</v>
      </c>
      <c r="M13" s="14">
        <f>IF($K13=$AV13,MAX(BU13,CY13),IF($K13=$BZ13,MAX(AQ13,CY13),IF($K13=$DD13,MAX(AQ13,BU13),MAX(AQ13,BU13,CY13))))</f>
        <v>45.96</v>
      </c>
      <c r="N13" s="14" t="str">
        <f>IF(M13=0,"",IF(AND(M13=CY13,$L13&lt;&gt;$CD$1),$CD$1,IF(AND(M13=BU13,$L13&lt;&gt;$AZ$1),$AZ$1,IF(AND(M13=AQ13,$L13&lt;&gt;$V$1),$V$1,""))))</f>
        <v>2021 Elite Canada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53.53</v>
      </c>
      <c r="P13" s="14" t="str">
        <f>IF(O13=0,"",IF(OR(O13=DC13,O13=DA13),$CD$1,IF(OR(O13=BY13,O13=BW13),$AZ$1,IF(OR(O13=AU13,O13=AS13),$V$1,""))))</f>
        <v>2021 Canadian Championships</v>
      </c>
      <c r="Q13" s="14">
        <f>MAX(AX13,CB13,DF13)</f>
        <v>51.919999999999995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16.899999999999999</v>
      </c>
      <c r="W13" s="69">
        <v>9.1999999999999993</v>
      </c>
      <c r="X13" s="69">
        <v>5.2</v>
      </c>
      <c r="Y13" s="69">
        <v>16.11</v>
      </c>
      <c r="Z13" s="69">
        <v>0</v>
      </c>
      <c r="AA13" s="69">
        <v>13.8</v>
      </c>
      <c r="AB13" s="69">
        <v>9.1999999999999993</v>
      </c>
      <c r="AC13" s="69">
        <v>14.4</v>
      </c>
      <c r="AD13" s="69">
        <v>15.675000000000001</v>
      </c>
      <c r="AE13" s="69">
        <v>0</v>
      </c>
      <c r="AF13" s="69">
        <v>4</v>
      </c>
      <c r="AG13" s="69">
        <v>2.4</v>
      </c>
      <c r="AH13" s="69">
        <v>5.0999999999999996</v>
      </c>
      <c r="AI13" s="69">
        <v>5</v>
      </c>
      <c r="AJ13" s="69">
        <v>0</v>
      </c>
      <c r="AK13" s="69">
        <v>4</v>
      </c>
      <c r="AL13" s="69">
        <v>2.5</v>
      </c>
      <c r="AM13" s="69">
        <v>5.0999999999999996</v>
      </c>
      <c r="AN13" s="69">
        <v>4.8849999999999998</v>
      </c>
      <c r="AO13" s="69">
        <v>0</v>
      </c>
      <c r="AP13" s="80"/>
      <c r="AQ13" s="11">
        <f>IF(SUM(V13:Y13)-Z13&gt;0,SUM(V13:Y13)-Z13,"")</f>
        <v>47.41</v>
      </c>
      <c r="AR13" s="11">
        <f>IF(AC13&gt;0,AC13,"")</f>
        <v>14.4</v>
      </c>
      <c r="AS13" s="11">
        <f>IF(SUM(AA13:AD13)-AE13&gt;0,SUM(AA13:AD13)-AE13,"")</f>
        <v>53.075000000000003</v>
      </c>
      <c r="AT13" s="11">
        <f>IF(AH13&gt;0,AH13,"")</f>
        <v>5.0999999999999996</v>
      </c>
      <c r="AU13" s="11">
        <f>IF(SUM(AF13:AI13)-AJ13&gt;0,SUM(AF13:AI13)-AJ13,"")</f>
        <v>16.5</v>
      </c>
      <c r="AV13" s="11">
        <f>IF(AQ13="",IF(MAX(AS13,AU13)&gt;0,MAX(AS13,AU13),""),MAX(AS13,AU13)+AQ13)</f>
        <v>100.485</v>
      </c>
      <c r="AW13" s="11">
        <f>IF(AM13&gt;0,AM13,"")</f>
        <v>5.0999999999999996</v>
      </c>
      <c r="AX13" s="11">
        <f>IF(SUM(AK13:AN13)-AO13&gt;0,SUM(AK13:AN13)-AO13,"")</f>
        <v>16.484999999999999</v>
      </c>
      <c r="AY13" s="11">
        <f>IF(SUM(AV13,AX13)&gt;0,SUM(AV13,AX13),"")</f>
        <v>116.97</v>
      </c>
      <c r="AZ13" s="75">
        <v>15.4</v>
      </c>
      <c r="BA13" s="75">
        <v>8.9</v>
      </c>
      <c r="BB13" s="75">
        <v>5.2</v>
      </c>
      <c r="BC13" s="75">
        <v>16.46</v>
      </c>
      <c r="BD13" s="75">
        <v>0</v>
      </c>
      <c r="BE13" s="75">
        <v>14</v>
      </c>
      <c r="BF13" s="75">
        <v>8.8000000000000007</v>
      </c>
      <c r="BG13" s="75">
        <v>14.4</v>
      </c>
      <c r="BH13" s="75">
        <v>15.945</v>
      </c>
      <c r="BI13" s="75">
        <v>0</v>
      </c>
      <c r="BJ13" s="75">
        <v>13.2</v>
      </c>
      <c r="BK13" s="75">
        <v>8.6999999999999993</v>
      </c>
      <c r="BL13" s="75">
        <v>14.4</v>
      </c>
      <c r="BM13" s="75">
        <v>15.88</v>
      </c>
      <c r="BN13" s="75">
        <v>0</v>
      </c>
      <c r="BO13" s="75">
        <v>10.8</v>
      </c>
      <c r="BP13" s="75">
        <v>8.3000000000000007</v>
      </c>
      <c r="BQ13" s="75">
        <v>14.4</v>
      </c>
      <c r="BR13" s="75">
        <v>16.024999999999999</v>
      </c>
      <c r="BS13" s="75">
        <v>0</v>
      </c>
      <c r="BT13" s="81"/>
      <c r="BU13" s="14">
        <f>IF(SUM(AZ13:BC13)-BD13&gt;0,SUM(AZ13:BC13)-BD13,"")</f>
        <v>45.96</v>
      </c>
      <c r="BV13" s="14">
        <f>IF(BG13&gt;0,BG13,"")</f>
        <v>14.4</v>
      </c>
      <c r="BW13" s="14">
        <f>IF(SUM(BE13:BH13)-BI13&gt;0,SUM(BE13:BH13)-BI13,"")</f>
        <v>53.145000000000003</v>
      </c>
      <c r="BX13" s="14">
        <f>IF(BL13&gt;0,BL13,"")</f>
        <v>14.4</v>
      </c>
      <c r="BY13" s="14">
        <f>IF(SUM(BJ13:BM13)-BN13&gt;0,SUM(BJ13:BM13)-BN13,"")</f>
        <v>52.18</v>
      </c>
      <c r="BZ13" s="14">
        <f>IF(BU13="",IF(MAX(BW13,BY13)&gt;0,MAX(BW13,BY13),""),MAX(BW13,BY13)+BU13)</f>
        <v>99.105000000000004</v>
      </c>
      <c r="CA13" s="14">
        <f>IF(BQ13&gt;0,BQ13,"")</f>
        <v>14.4</v>
      </c>
      <c r="CB13" s="14">
        <f>IF(SUM(BO13:BR13)-BS13&gt;0,SUM(BO13:BR13)-BS13,"")</f>
        <v>49.524999999999999</v>
      </c>
      <c r="CC13" s="14">
        <f>IF(SUM(BZ13,CB13)&gt;0,SUM(BZ13,CB13),"")</f>
        <v>148.63</v>
      </c>
      <c r="CD13" s="69">
        <v>15.4</v>
      </c>
      <c r="CE13" s="69">
        <v>8.1999999999999993</v>
      </c>
      <c r="CF13" s="69">
        <v>3.8</v>
      </c>
      <c r="CG13" s="69">
        <v>14.565</v>
      </c>
      <c r="CH13" s="69">
        <v>0</v>
      </c>
      <c r="CI13" s="69">
        <v>14.3</v>
      </c>
      <c r="CJ13" s="69">
        <v>9</v>
      </c>
      <c r="CK13" s="69">
        <v>14.4</v>
      </c>
      <c r="CL13" s="69">
        <v>15.83</v>
      </c>
      <c r="CM13" s="69">
        <v>0</v>
      </c>
      <c r="CN13" s="69">
        <v>2.9</v>
      </c>
      <c r="CO13" s="69">
        <v>1.7</v>
      </c>
      <c r="CP13" s="69">
        <v>3.4</v>
      </c>
      <c r="CQ13" s="69">
        <v>3.4</v>
      </c>
      <c r="CR13" s="69">
        <v>0</v>
      </c>
      <c r="CS13" s="69">
        <v>13.4</v>
      </c>
      <c r="CT13" s="69">
        <v>8.5</v>
      </c>
      <c r="CU13" s="69">
        <v>14.4</v>
      </c>
      <c r="CV13" s="69">
        <v>15.62</v>
      </c>
      <c r="CW13" s="69">
        <v>0</v>
      </c>
      <c r="CX13" s="80"/>
      <c r="CY13" s="11">
        <f>IF(SUM(CD13:CG13)-CH13&gt;0,SUM(CD13:CG13)-CH13,"")</f>
        <v>41.965000000000003</v>
      </c>
      <c r="CZ13" s="11">
        <f>IF(CK13&gt;0,CK13,"")</f>
        <v>14.4</v>
      </c>
      <c r="DA13" s="11">
        <f>IF(SUM(CI13:CL13)-CM13&gt;0,SUM(CI13:CL13)-CM13,"")</f>
        <v>53.53</v>
      </c>
      <c r="DB13" s="11">
        <f>IF(CP13&gt;0,CP13,"")</f>
        <v>3.4</v>
      </c>
      <c r="DC13" s="11">
        <f>IF(SUM(CN13:CQ13)-CR13&gt;0,SUM(CN13:CQ13)-CR13,"")</f>
        <v>11.4</v>
      </c>
      <c r="DD13" s="11">
        <f>IF(CY13="",IF(MAX(DA13,DC13)&gt;0,MAX(DA13,DC13),""),MAX(DA13,DC13)+CY13)</f>
        <v>95.495000000000005</v>
      </c>
      <c r="DE13" s="11">
        <f>IF(CU13&gt;0,CU13,"")</f>
        <v>14.4</v>
      </c>
      <c r="DF13" s="11">
        <f>IF(SUM(CS13:CV13)-CW13&gt;0,SUM(CS13:CV13)-CW13,"")</f>
        <v>51.919999999999995</v>
      </c>
      <c r="DG13" s="11">
        <f>IF(SUM(DD13,DF13)&gt;0,SUM(DD13,DF13),"")</f>
        <v>147.41499999999999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15.4</v>
      </c>
      <c r="NQ13" s="69">
        <f>IF($CX13="P",CE13,(CE13+BA13)/2)</f>
        <v>8.5500000000000007</v>
      </c>
      <c r="NR13" s="69">
        <f>IF($CX13="P",CF13,(CF13+BB13)/2)</f>
        <v>4.5</v>
      </c>
      <c r="NS13" s="69">
        <f>IF($CX13="P",CG13,(CG13+BC13)/2)</f>
        <v>15.512499999999999</v>
      </c>
      <c r="NT13" s="69">
        <f>IF($CX13="P",CH13,(CH13+BD13)/2)</f>
        <v>0</v>
      </c>
      <c r="NU13" s="69">
        <f>IF($CX13="P",CI13,(CI13+BE13)/2)</f>
        <v>14.15</v>
      </c>
      <c r="NV13" s="69">
        <f>IF($CX13="P",CJ13,(CJ13+BF13)/2)</f>
        <v>8.9</v>
      </c>
      <c r="NW13" s="69">
        <f>IF($CX13="P",CK13,(CK13+BG13)/2)</f>
        <v>14.4</v>
      </c>
      <c r="NX13" s="69">
        <f>IF($CX13="P",CL13,(CL13+BH13)/2)</f>
        <v>15.887499999999999</v>
      </c>
      <c r="NY13" s="69">
        <f>IF($CX13="P",CM13,(CM13+BI13)/2)</f>
        <v>0</v>
      </c>
      <c r="NZ13" s="69">
        <f>IF($CX13="P",CN13,(CN13+BJ13)/2)</f>
        <v>8.0499999999999989</v>
      </c>
      <c r="OA13" s="69">
        <f>IF($CX13="P",CO13,(CO13+BK13)/2)</f>
        <v>5.1999999999999993</v>
      </c>
      <c r="OB13" s="69">
        <f>IF($CX13="P",CP13,(CP13+BL13)/2)</f>
        <v>8.9</v>
      </c>
      <c r="OC13" s="69">
        <f>IF($CX13="P",CQ13,(CQ13+BM13)/2)</f>
        <v>9.64</v>
      </c>
      <c r="OD13" s="69">
        <f>IF($CX13="P",CR13,(CR13+BN13)/2)</f>
        <v>0</v>
      </c>
      <c r="OE13" s="69">
        <f>IF($CX13="P",CS13,(CS13+BO13)/2)</f>
        <v>12.100000000000001</v>
      </c>
      <c r="OF13" s="69">
        <f>IF($CX13="P",CT13,(CT13+BP13)/2)</f>
        <v>8.4</v>
      </c>
      <c r="OG13" s="69">
        <f>IF($CX13="P",CU13,(CU13+BQ13)/2)</f>
        <v>14.4</v>
      </c>
      <c r="OH13" s="69">
        <f>IF($CX13="P",CV13,(CV13+BR13)/2)</f>
        <v>15.822499999999998</v>
      </c>
      <c r="OI13" s="69">
        <f>IF($CX13="P",CW13,(CW13+BS13)/2)</f>
        <v>0</v>
      </c>
      <c r="OJ13" s="80" t="s">
        <v>74</v>
      </c>
      <c r="OK13" s="11">
        <f>IF(SUM(NP13:NS13)-NT13&gt;0,SUM(NP13:NS13)-NT13,"")</f>
        <v>43.962500000000006</v>
      </c>
      <c r="OL13" s="11">
        <f>IF(NW13&gt;0,NW13,"")</f>
        <v>14.4</v>
      </c>
      <c r="OM13" s="11">
        <f>IF(SUM(NU13:NX13)-NY13&gt;0,SUM(NU13:NX13)-NY13,"")</f>
        <v>53.337500000000006</v>
      </c>
      <c r="ON13" s="11">
        <f>IF(OB13&gt;0,OB13,"")</f>
        <v>8.9</v>
      </c>
      <c r="OO13" s="11">
        <f>IF(SUM(NZ13:OC13)-OD13&gt;0,SUM(NZ13:OC13)-OD13,"")</f>
        <v>31.79</v>
      </c>
      <c r="OP13" s="11">
        <f>IF(OR(OK13&lt;&gt;"",OM13&lt;&gt;"",OO13&lt;&gt;""),OK13+MAX(OM13,OO13),"")</f>
        <v>97.300000000000011</v>
      </c>
      <c r="OQ13" s="11">
        <f>IF(OG13&gt;0,OG13,"")</f>
        <v>14.4</v>
      </c>
      <c r="OR13" s="11">
        <f t="shared" si="0"/>
        <v>50.722499999999997</v>
      </c>
      <c r="OS13" s="11">
        <f t="shared" si="1"/>
        <v>148.02250000000001</v>
      </c>
    </row>
    <row r="14" spans="1:409" x14ac:dyDescent="0.2">
      <c r="A14" s="5" t="str" cm="1">
        <f t="array" ref="A14">IF(AND(G14&lt;&gt;"",H14&lt;&gt;""),SUMPRODUCT((G$4:G$21&lt;&gt;"")*(H$4:H$21&lt;&gt;"")*(E$4:E$21&gt;E14))+1,IF(H14&lt;&gt;"",SUMPRODUCT((I$4:I$21="No DD")*(E$4:E$21&gt;E14))+1+SUMPRODUCT((G$4:G$21&lt;&gt;"")*(H$4:H$21&lt;&gt;"")),""))</f>
        <v/>
      </c>
      <c r="B14" s="6" t="s">
        <v>88</v>
      </c>
      <c r="C14" s="7" t="s">
        <v>5</v>
      </c>
      <c r="D14" s="27">
        <v>1991</v>
      </c>
      <c r="E14" s="15">
        <f>SUM(K14:S14)</f>
        <v>251.29</v>
      </c>
      <c r="F14" s="3" t="str">
        <f>IF(G14&lt;&gt;"","P","")</f>
        <v>P</v>
      </c>
      <c r="G14" s="125" t="str">
        <f>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Merit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Excellence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Worlds Team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National Team",""))))</f>
        <v>National Team</v>
      </c>
      <c r="H14" s="125" t="str">
        <f>IF(OR(AND(AS14&gt;=AY$30,AS14&lt;&gt;"",AP14=""),AND(AU14&gt;=AY$30,AU14&lt;&gt;"",AP14=""),AND(AX14&gt;=AY$30,AX14&lt;&gt;"",AP14=""),AND(BW14&gt;=CC$30,BW14&lt;&gt;"",BT14=""),AND(BY14&gt;=CC$30,BY14&lt;&gt;"",BT14=""),AND(CB14&gt;=CC$30,CB14&lt;&gt;"",BT14=""),AND(DA14&gt;=DG$30,DA14&lt;&gt;"",CX14=""),AND(DC14&gt;=DG$30,DC14&lt;&gt;"",CX14=""),AND(DF14&gt;=DG$30,DF14&lt;&gt;"",CX14=""),AND(EC14&gt;=EG$30,EC14&lt;&gt;""),AND(EF14&gt;=EG$30,EF14&lt;&gt;""),AND(EY14&gt;=FC$30,EY14&lt;&gt;""),AND(FB14&gt;=FC$30,FB14&lt;&gt;""),AND(FU14&gt;=FY$30,FU14&lt;&gt;""),AND(FX14&gt;=FY$30,FX14&lt;&gt;""),AND(GQ14&gt;=GU$30,GQ14&lt;&gt;""),AND(GT14&gt;=GU$30,GT14&lt;&gt;""),AND(HM14&gt;=HQ$30,HM14&lt;&gt;""),AND(HP14&gt;=HQ$30,HP14&lt;&gt;""),AND(II14&gt;=IM$30,II14&lt;&gt;""),AND(IL14&gt;=IM$30,IL14&lt;&gt;""),AND(JE14&gt;=JI$30,JE14&lt;&gt;""),AND(JH14&gt;=JI$30,JH14&lt;&gt;""),AND(KA14&gt;=KE$30,KA14&lt;&gt;""),AND(KD14&gt;=KE$30,KD14&lt;&gt;""),AND(KW14&gt;=LA$30,KW14&lt;&gt;""),AND(KZ14&gt;=LA$30,KZ14&lt;&gt;""),AND(LS14&gt;=LW$30,LS14&lt;&gt;""),AND(LV14&gt;=LW$30,LV14&lt;&gt;""),AND(MO14&gt;=MS$30,MO14&lt;&gt;""),AND(MR14&gt;=MS$30,MR14&lt;&gt;""),AND(NK14&gt;=NO$30,NK14&lt;&gt;""),AND(NN14&gt;=NO$30,NN14&lt;&gt;"")),"Merit",IF(OR(AND(AS14&gt;=AY$29,AS14&lt;&gt;"",AP14=""),AND(AU14&gt;=AY$29,AU14&lt;&gt;"",AP14=""),AND(AX14&gt;=AY$29,AX14&lt;&gt;"",AP14=""),AND(BW14&gt;=CC$29,BW14&lt;&gt;"",BT14=""),AND(BY14&gt;=CC$29,BY14&lt;&gt;"",BT14=""),AND(CB14&gt;=CC$29,CB14&lt;&gt;"",BT14=""),AND(DA14&gt;=DG$29,DA14&lt;&gt;"",CX14=""),AND(DC14&gt;=DG$29,DC14&lt;&gt;"",CX14=""),AND(DF14&gt;=DG$29,DF14&lt;&gt;"",CX14=""),AND(EC14&gt;=EG$29,EC14&lt;&gt;""),AND(EF14&gt;=EG$29,EF14&lt;&gt;""),AND(EY14&gt;=FC$29,EY14&lt;&gt;""),AND(FB14&gt;=FC$29,FB14&lt;&gt;""),AND(FU14&gt;=FY$29,FU14&lt;&gt;""),AND(FX14&gt;=FY$29,FX14&lt;&gt;""),AND(GQ14&gt;=GU$29,GQ14&lt;&gt;""),AND(GT14&gt;=GU$29,GT14&lt;&gt;""),AND(HM14&gt;=HQ$29,HM14&lt;&gt;""),AND(HP14&gt;=HQ$29,HP14&lt;&gt;""),AND(II14&gt;=IM$29,II14&lt;&gt;""),AND(IL14&gt;=IM$29,IL14&lt;&gt;""),AND(JE14&gt;=JI$29,JE14&lt;&gt;""),AND(JH14&gt;=JI$29,JH14&lt;&gt;""),AND(KA14&gt;=KE$29,KA14&lt;&gt;""),AND(KD14&gt;=KE$29,KD14&lt;&gt;""),AND(KW14&gt;=LA$29,KW14&lt;&gt;""),AND(KZ14&gt;=LA$29,KZ14&lt;&gt;""),AND(LS14&gt;=LW$29,LS14&lt;&gt;""),AND(LV14&gt;=LW$29,LV14&lt;&gt;""),AND(MO14&gt;=MS$29,MO14&lt;&gt;""),AND(MR14&gt;=MS$29,MR14&lt;&gt;""),AND(NK14&gt;=NO$29,NK14&lt;&gt;""),AND(NN14&gt;=NO$29,NN14&lt;&gt;"")),"Excellence",IF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"Worlds Team",IF(OR(AND(AV14&gt;=AY$27,AV14&lt;&gt;"",AP14=""),AND(BZ14&gt;=CC$27,BZ14&lt;&gt;"",BT14=""),AND(DD14&gt;=DG$27,DD14&lt;&gt;"",CX14=""),AND(ED14&gt;=EG$27,ED14&lt;&gt;""),AND(EZ14&gt;=FC$27,EZ14&lt;&gt;""),AND(FV14&gt;=FY$27,FV14&lt;&gt;""),AND(GR14&gt;=GU$27,GR14&lt;&gt;""),AND(HN14&gt;=HQ$27,HN14&lt;&gt;""),AND(IJ14&gt;=IM$27,IJ14&lt;&gt;""),AND(JF14&gt;=JI$27,JF14&lt;&gt;""),AND(KB14&gt;=KE$27,KB14&lt;&gt;""),AND(KX14&gt;=LA$27,KX14&lt;&gt;""),AND(LT14&gt;=LW$27,LT14&lt;&gt;""),AND(MP14&gt;=MS$27,MP14&lt;&gt;""),AND(NL14&gt;=NO$27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OR(G14="Worlds Team",G14="Excellence",G14="Merit")),"P","")</f>
        <v/>
      </c>
      <c r="K14" s="14">
        <f>IF(MAX(AV14,BZ14,DD14)&gt;0,MAX(AV14,BZ14,DD14),0)</f>
        <v>101.50999999999999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47.265000000000001</v>
      </c>
      <c r="N14" s="14" t="str">
        <f>IF(M14=0,"",IF(AND(M14=CY14,$L14&lt;&gt;$CD$1),$CD$1,IF(AND(M14=BU14,$L14&lt;&gt;$AZ$1),$AZ$1,IF(AND(M14=AQ14,$L14&lt;&gt;$V$1),$V$1,""))))</f>
        <v>2021 Elite Canada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47.085000000000001</v>
      </c>
      <c r="P14" s="14" t="str">
        <f>IF(O14=0,"",IF(OR(O14=DC14,O14=DA14),$CD$1,IF(OR(O14=BY14,O14=BW14),$AZ$1,IF(OR(O14=AU14,O14=AS14),$V$1,""))))</f>
        <v>2021 Canadian Championships</v>
      </c>
      <c r="Q14" s="14">
        <f>MAX(AX14,CB14,DF14)</f>
        <v>55.43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15.9</v>
      </c>
      <c r="W14" s="69">
        <v>8.9</v>
      </c>
      <c r="X14" s="69">
        <v>5.2</v>
      </c>
      <c r="Y14" s="69">
        <v>17.68</v>
      </c>
      <c r="Z14" s="69">
        <v>0</v>
      </c>
      <c r="AA14" s="69">
        <v>7.2</v>
      </c>
      <c r="AB14" s="69">
        <v>4.5</v>
      </c>
      <c r="AC14" s="69">
        <v>6.8</v>
      </c>
      <c r="AD14" s="69">
        <v>8.76</v>
      </c>
      <c r="AE14" s="69">
        <v>0</v>
      </c>
      <c r="AF14" s="69">
        <v>13.3</v>
      </c>
      <c r="AG14" s="69">
        <v>9.1999999999999993</v>
      </c>
      <c r="AH14" s="69">
        <v>14.4</v>
      </c>
      <c r="AI14" s="69">
        <v>16.93</v>
      </c>
      <c r="AJ14" s="69">
        <v>0</v>
      </c>
      <c r="AK14" s="69">
        <v>14.9</v>
      </c>
      <c r="AL14" s="69">
        <v>9.1</v>
      </c>
      <c r="AM14" s="69">
        <v>14.4</v>
      </c>
      <c r="AN14" s="69">
        <v>17.03</v>
      </c>
      <c r="AO14" s="69">
        <v>0</v>
      </c>
      <c r="AP14" s="80"/>
      <c r="AQ14" s="11">
        <f>IF(SUM(V14:Y14)-Z14&gt;0,SUM(V14:Y14)-Z14,"")</f>
        <v>47.68</v>
      </c>
      <c r="AR14" s="11">
        <f>IF(AC14&gt;0,AC14,"")</f>
        <v>6.8</v>
      </c>
      <c r="AS14" s="11">
        <f>IF(SUM(AA14:AD14)-AE14&gt;0,SUM(AA14:AD14)-AE14,"")</f>
        <v>27.259999999999998</v>
      </c>
      <c r="AT14" s="11">
        <f>IF(AH14&gt;0,AH14,"")</f>
        <v>14.4</v>
      </c>
      <c r="AU14" s="11">
        <f>IF(SUM(AF14:AI14)-AJ14&gt;0,SUM(AF14:AI14)-AJ14,"")</f>
        <v>53.83</v>
      </c>
      <c r="AV14" s="11">
        <f>IF(AQ14="",IF(MAX(AS14,AU14)&gt;0,MAX(AS14,AU14),""),MAX(AS14,AU14)+AQ14)</f>
        <v>101.50999999999999</v>
      </c>
      <c r="AW14" s="11">
        <f>IF(AM14&gt;0,AM14,"")</f>
        <v>14.4</v>
      </c>
      <c r="AX14" s="11">
        <f>IF(SUM(AK14:AN14)-AO14&gt;0,SUM(AK14:AN14)-AO14,"")</f>
        <v>55.43</v>
      </c>
      <c r="AY14" s="11">
        <f>IF(SUM(AV14,AX14)&gt;0,SUM(AV14,AX14),"")</f>
        <v>156.94</v>
      </c>
      <c r="AZ14" s="75">
        <v>15.3</v>
      </c>
      <c r="BA14" s="75">
        <v>9.3000000000000007</v>
      </c>
      <c r="BB14" s="75">
        <v>5.2</v>
      </c>
      <c r="BC14" s="75">
        <v>17.465</v>
      </c>
      <c r="BD14" s="75">
        <v>0</v>
      </c>
      <c r="BE14" s="75">
        <v>4.2</v>
      </c>
      <c r="BF14" s="75">
        <v>2.9</v>
      </c>
      <c r="BG14" s="75">
        <v>3.7</v>
      </c>
      <c r="BH14" s="75">
        <v>5.33</v>
      </c>
      <c r="BI14" s="75">
        <v>0</v>
      </c>
      <c r="BJ14" s="75">
        <v>1.4</v>
      </c>
      <c r="BK14" s="75">
        <v>1</v>
      </c>
      <c r="BL14" s="75">
        <v>2</v>
      </c>
      <c r="BM14" s="75">
        <v>1.8</v>
      </c>
      <c r="BN14" s="75">
        <v>0</v>
      </c>
      <c r="BO14" s="75"/>
      <c r="BP14" s="75"/>
      <c r="BQ14" s="75"/>
      <c r="BR14" s="75"/>
      <c r="BS14" s="75"/>
      <c r="BT14" s="81"/>
      <c r="BU14" s="14">
        <f>IF(SUM(AZ14:BC14)-BD14&gt;0,SUM(AZ14:BC14)-BD14,"")</f>
        <v>47.265000000000001</v>
      </c>
      <c r="BV14" s="14">
        <f>IF(BG14&gt;0,BG14,"")</f>
        <v>3.7</v>
      </c>
      <c r="BW14" s="14">
        <f>IF(SUM(BE14:BH14)-BI14&gt;0,SUM(BE14:BH14)-BI14,"")</f>
        <v>16.130000000000003</v>
      </c>
      <c r="BX14" s="14">
        <f>IF(BL14&gt;0,BL14,"")</f>
        <v>2</v>
      </c>
      <c r="BY14" s="14">
        <f>IF(SUM(BJ14:BM14)-BN14&gt;0,SUM(BJ14:BM14)-BN14,"")</f>
        <v>6.2</v>
      </c>
      <c r="BZ14" s="14">
        <f>IF(BU14="",IF(MAX(BW14,BY14)&gt;0,MAX(BW14,BY14),""),MAX(BW14,BY14)+BU14)</f>
        <v>63.395000000000003</v>
      </c>
      <c r="CA14" s="14" t="str">
        <f>IF(BQ14&gt;0,BQ14,"")</f>
        <v/>
      </c>
      <c r="CB14" s="14" t="str">
        <f>IF(SUM(BO14:BR14)-BS14&gt;0,SUM(BO14:BR14)-BS14,"")</f>
        <v/>
      </c>
      <c r="CC14" s="14">
        <f>IF(SUM(BZ14,CB14)&gt;0,SUM(BZ14,CB14),"")</f>
        <v>63.395000000000003</v>
      </c>
      <c r="CD14" s="69">
        <v>8.6</v>
      </c>
      <c r="CE14" s="69">
        <v>4.5999999999999996</v>
      </c>
      <c r="CF14" s="69">
        <v>0</v>
      </c>
      <c r="CG14" s="69">
        <v>9.2200000000000006</v>
      </c>
      <c r="CH14" s="69">
        <v>0</v>
      </c>
      <c r="CI14" s="69">
        <v>11.6</v>
      </c>
      <c r="CJ14" s="69">
        <v>8.1</v>
      </c>
      <c r="CK14" s="69">
        <v>12.5</v>
      </c>
      <c r="CL14" s="69">
        <v>14.885</v>
      </c>
      <c r="CM14" s="69">
        <v>0</v>
      </c>
      <c r="CN14" s="69">
        <v>2.4</v>
      </c>
      <c r="CO14" s="69">
        <v>1.8</v>
      </c>
      <c r="CP14" s="69">
        <v>2.5</v>
      </c>
      <c r="CQ14" s="69">
        <v>3.68</v>
      </c>
      <c r="CR14" s="69">
        <v>0</v>
      </c>
      <c r="CS14" s="69"/>
      <c r="CT14" s="69"/>
      <c r="CU14" s="69"/>
      <c r="CV14" s="69"/>
      <c r="CW14" s="69"/>
      <c r="CX14" s="80"/>
      <c r="CY14" s="11">
        <f>IF(SUM(CD14:CG14)-CH14&gt;0,SUM(CD14:CG14)-CH14,"")</f>
        <v>22.42</v>
      </c>
      <c r="CZ14" s="11">
        <f>IF(CK14&gt;0,CK14,"")</f>
        <v>12.5</v>
      </c>
      <c r="DA14" s="11">
        <f>IF(SUM(CI14:CL14)-CM14&gt;0,SUM(CI14:CL14)-CM14,"")</f>
        <v>47.085000000000001</v>
      </c>
      <c r="DB14" s="11">
        <f>IF(CP14&gt;0,CP14,"")</f>
        <v>2.5</v>
      </c>
      <c r="DC14" s="11">
        <f>IF(SUM(CN14:CQ14)-CR14&gt;0,SUM(CN14:CQ14)-CR14,"")</f>
        <v>10.38</v>
      </c>
      <c r="DD14" s="11">
        <f>IF(CY14="",IF(MAX(DA14,DC14)&gt;0,MAX(DA14,DC14),""),MAX(DA14,DC14)+CY14)</f>
        <v>69.504999999999995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69.504999999999995</v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11.95</v>
      </c>
      <c r="NQ14" s="69">
        <f>IF($CX14="P",CE14,(CE14+BA14)/2)</f>
        <v>6.95</v>
      </c>
      <c r="NR14" s="69">
        <f>IF($CX14="P",CF14,(CF14+BB14)/2)</f>
        <v>2.6</v>
      </c>
      <c r="NS14" s="69">
        <f>IF($CX14="P",CG14,(CG14+BC14)/2)</f>
        <v>13.342500000000001</v>
      </c>
      <c r="NT14" s="69">
        <f>IF($CX14="P",CH14,(CH14+BD14)/2)</f>
        <v>0</v>
      </c>
      <c r="NU14" s="69">
        <f>IF($CX14="P",CI14,(CI14+BE14)/2)</f>
        <v>7.9</v>
      </c>
      <c r="NV14" s="69">
        <f>IF($CX14="P",CJ14,(CJ14+BF14)/2)</f>
        <v>5.5</v>
      </c>
      <c r="NW14" s="69">
        <f>IF($CX14="P",CK14,(CK14+BG14)/2)</f>
        <v>8.1</v>
      </c>
      <c r="NX14" s="69">
        <f>IF($CX14="P",CL14,(CL14+BH14)/2)</f>
        <v>10.1075</v>
      </c>
      <c r="NY14" s="69">
        <f>IF($CX14="P",CM14,(CM14+BI14)/2)</f>
        <v>0</v>
      </c>
      <c r="NZ14" s="69">
        <f>IF($CX14="P",CN14,(CN14+BJ14)/2)</f>
        <v>1.9</v>
      </c>
      <c r="OA14" s="69">
        <f>IF($CX14="P",CO14,(CO14+BK14)/2)</f>
        <v>1.4</v>
      </c>
      <c r="OB14" s="69">
        <f>IF($CX14="P",CP14,(CP14+BL14)/2)</f>
        <v>2.25</v>
      </c>
      <c r="OC14" s="69">
        <f>IF($CX14="P",CQ14,(CQ14+BM14)/2)</f>
        <v>2.74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>
        <f>IF(SUM(NP14:NS14)-NT14&gt;0,SUM(NP14:NS14)-NT14,"")</f>
        <v>34.842500000000001</v>
      </c>
      <c r="OL14" s="11">
        <f>IF(NW14&gt;0,NW14,"")</f>
        <v>8.1</v>
      </c>
      <c r="OM14" s="11">
        <f>IF(SUM(NU14:NX14)-NY14&gt;0,SUM(NU14:NX14)-NY14,"")</f>
        <v>31.607500000000002</v>
      </c>
      <c r="ON14" s="11">
        <f>IF(OB14&gt;0,OB14,"")</f>
        <v>2.25</v>
      </c>
      <c r="OO14" s="11">
        <f>IF(SUM(NZ14:OC14)-OD14&gt;0,SUM(NZ14:OC14)-OD14,"")</f>
        <v>8.2899999999999991</v>
      </c>
      <c r="OP14" s="11">
        <f>IF(OR(OK14&lt;&gt;"",OM14&lt;&gt;"",OO14&lt;&gt;""),OK14+MAX(OM14,OO14),"")</f>
        <v>66.45</v>
      </c>
      <c r="OQ14" s="11" t="str">
        <f>IF(OG14&gt;0,OG14,"")</f>
        <v/>
      </c>
      <c r="OR14" s="11" t="str">
        <f t="shared" si="0"/>
        <v/>
      </c>
      <c r="OS14" s="11">
        <f t="shared" si="1"/>
        <v>66.45</v>
      </c>
    </row>
    <row r="15" spans="1:409" x14ac:dyDescent="0.2">
      <c r="A15" s="5" t="str" cm="1">
        <f t="array" ref="A15">IF(AND(G15&lt;&gt;"",H15&lt;&gt;""),SUMPRODUCT((G$4:G$21&lt;&gt;"")*(H$4:H$21&lt;&gt;"")*(E$4:E$21&gt;E15))+1,IF(H15&lt;&gt;"",SUMPRODUCT((I$4:I$21="No DD")*(E$4:E$21&gt;E15))+1+SUMPRODUCT((G$4:G$21&lt;&gt;"")*(H$4:H$21&lt;&gt;"")),""))</f>
        <v/>
      </c>
      <c r="B15" s="6" t="s">
        <v>99</v>
      </c>
      <c r="C15" s="7" t="s">
        <v>98</v>
      </c>
      <c r="D15" s="27">
        <v>2001</v>
      </c>
      <c r="E15" s="15">
        <f>SUM(K15:S15)</f>
        <v>241.7</v>
      </c>
      <c r="F15" s="3" t="str">
        <f>IF(G15&lt;&gt;"","P","")</f>
        <v>P</v>
      </c>
      <c r="G15" s="125" t="str">
        <f>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Merit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Excellence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Worlds Team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National Team",""))))</f>
        <v>National Team</v>
      </c>
      <c r="H15" s="125" t="str">
        <f>IF(OR(AND(AS15&gt;=AY$30,AS15&lt;&gt;"",AP15=""),AND(AU15&gt;=AY$30,AU15&lt;&gt;"",AP15=""),AND(AX15&gt;=AY$30,AX15&lt;&gt;"",AP15=""),AND(BW15&gt;=CC$30,BW15&lt;&gt;"",BT15=""),AND(BY15&gt;=CC$30,BY15&lt;&gt;"",BT15=""),AND(CB15&gt;=CC$30,CB15&lt;&gt;"",BT15=""),AND(DA15&gt;=DG$30,DA15&lt;&gt;"",CX15=""),AND(DC15&gt;=DG$30,DC15&lt;&gt;"",CX15=""),AND(DF15&gt;=DG$30,DF15&lt;&gt;"",CX15=""),AND(EC15&gt;=EG$30,EC15&lt;&gt;""),AND(EF15&gt;=EG$30,EF15&lt;&gt;""),AND(EY15&gt;=FC$30,EY15&lt;&gt;""),AND(FB15&gt;=FC$30,FB15&lt;&gt;""),AND(FU15&gt;=FY$30,FU15&lt;&gt;""),AND(FX15&gt;=FY$30,FX15&lt;&gt;""),AND(GQ15&gt;=GU$30,GQ15&lt;&gt;""),AND(GT15&gt;=GU$30,GT15&lt;&gt;""),AND(HM15&gt;=HQ$30,HM15&lt;&gt;""),AND(HP15&gt;=HQ$30,HP15&lt;&gt;""),AND(II15&gt;=IM$30,II15&lt;&gt;""),AND(IL15&gt;=IM$30,IL15&lt;&gt;""),AND(JE15&gt;=JI$30,JE15&lt;&gt;""),AND(JH15&gt;=JI$30,JH15&lt;&gt;""),AND(KA15&gt;=KE$30,KA15&lt;&gt;""),AND(KD15&gt;=KE$30,KD15&lt;&gt;""),AND(KW15&gt;=LA$30,KW15&lt;&gt;""),AND(KZ15&gt;=LA$30,KZ15&lt;&gt;""),AND(LS15&gt;=LW$30,LS15&lt;&gt;""),AND(LV15&gt;=LW$30,LV15&lt;&gt;""),AND(MO15&gt;=MS$30,MO15&lt;&gt;""),AND(MR15&gt;=MS$30,MR15&lt;&gt;""),AND(NK15&gt;=NO$30,NK15&lt;&gt;""),AND(NN15&gt;=NO$30,NN15&lt;&gt;"")),"Merit",IF(OR(AND(AS15&gt;=AY$29,AS15&lt;&gt;"",AP15=""),AND(AU15&gt;=AY$29,AU15&lt;&gt;"",AP15=""),AND(AX15&gt;=AY$29,AX15&lt;&gt;"",AP15=""),AND(BW15&gt;=CC$29,BW15&lt;&gt;"",BT15=""),AND(BY15&gt;=CC$29,BY15&lt;&gt;"",BT15=""),AND(CB15&gt;=CC$29,CB15&lt;&gt;"",BT15=""),AND(DA15&gt;=DG$29,DA15&lt;&gt;"",CX15=""),AND(DC15&gt;=DG$29,DC15&lt;&gt;"",CX15=""),AND(DF15&gt;=DG$29,DF15&lt;&gt;"",CX15=""),AND(EC15&gt;=EG$29,EC15&lt;&gt;""),AND(EF15&gt;=EG$29,EF15&lt;&gt;""),AND(EY15&gt;=FC$29,EY15&lt;&gt;""),AND(FB15&gt;=FC$29,FB15&lt;&gt;""),AND(FU15&gt;=FY$29,FU15&lt;&gt;""),AND(FX15&gt;=FY$29,FX15&lt;&gt;""),AND(GQ15&gt;=GU$29,GQ15&lt;&gt;""),AND(GT15&gt;=GU$29,GT15&lt;&gt;""),AND(HM15&gt;=HQ$29,HM15&lt;&gt;""),AND(HP15&gt;=HQ$29,HP15&lt;&gt;""),AND(II15&gt;=IM$29,II15&lt;&gt;""),AND(IL15&gt;=IM$29,IL15&lt;&gt;""),AND(JE15&gt;=JI$29,JE15&lt;&gt;""),AND(JH15&gt;=JI$29,JH15&lt;&gt;""),AND(KA15&gt;=KE$29,KA15&lt;&gt;""),AND(KD15&gt;=KE$29,KD15&lt;&gt;""),AND(KW15&gt;=LA$29,KW15&lt;&gt;""),AND(KZ15&gt;=LA$29,KZ15&lt;&gt;""),AND(LS15&gt;=LW$29,LS15&lt;&gt;""),AND(LV15&gt;=LW$29,LV15&lt;&gt;""),AND(MO15&gt;=MS$29,MO15&lt;&gt;""),AND(MR15&gt;=MS$29,MR15&lt;&gt;""),AND(NK15&gt;=NO$29,NK15&lt;&gt;""),AND(NN15&gt;=NO$29,NN15&lt;&gt;"")),"Excellence",IF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"Worlds Team",IF(OR(AND(AV15&gt;=AY$27,AV15&lt;&gt;"",AP15=""),AND(BZ15&gt;=CC$27,BZ15&lt;&gt;"",BT15=""),AND(DD15&gt;=DG$27,DD15&lt;&gt;"",CX15=""),AND(ED15&gt;=EG$27,ED15&lt;&gt;""),AND(EZ15&gt;=FC$27,EZ15&lt;&gt;""),AND(FV15&gt;=FY$27,FV15&lt;&gt;""),AND(GR15&gt;=GU$27,GR15&lt;&gt;""),AND(HN15&gt;=HQ$27,HN15&lt;&gt;""),AND(IJ15&gt;=IM$27,IJ15&lt;&gt;""),AND(JF15&gt;=JI$27,JF15&lt;&gt;""),AND(KB15&gt;=KE$27,KB15&lt;&gt;""),AND(KX15&gt;=LA$27,KX15&lt;&gt;""),AND(LT15&gt;=LW$27,LT15&lt;&gt;""),AND(MP15&gt;=MS$27,MP15&lt;&gt;""),AND(NL15&gt;=NO$27,NL15&lt;&gt;"")),"National Team",""))))</f>
        <v/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OR(G15="Worlds Team",G15="Excellence",G15="Merit")),"P","")</f>
        <v/>
      </c>
      <c r="K15" s="14">
        <f>IF(MAX(AV15,BZ15,DD15)&gt;0,MAX(AV15,BZ15,DD15),0)</f>
        <v>88.495000000000005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47.025000000000006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51.854999999999997</v>
      </c>
      <c r="P15" s="14" t="str">
        <f>IF(O15=0,"",IF(OR(O15=DC15,O15=DA15),$CD$1,IF(OR(O15=BY15,O15=BW15),$AZ$1,IF(OR(O15=AU15,O15=AS15),$V$1,""))))</f>
        <v>2021 2nd Virtual Technical Trial</v>
      </c>
      <c r="Q15" s="14">
        <f>MAX(AX15,CB15,DF15)</f>
        <v>54.325000000000003</v>
      </c>
      <c r="R15" s="14" t="str">
        <f>IF(Q15=0,"",IF(Q15=DF15,$CD$1,IF(Q15=CB15,$AZ$1,IF(Q15=AX15,$V$1,""))))</f>
        <v>2021 2nd Virtual Technical Trial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13</v>
      </c>
      <c r="W15" s="69">
        <v>6.8</v>
      </c>
      <c r="X15" s="69">
        <v>2.1</v>
      </c>
      <c r="Y15" s="69">
        <v>13.39</v>
      </c>
      <c r="Z15" s="69">
        <v>0</v>
      </c>
      <c r="AA15" s="69">
        <v>14</v>
      </c>
      <c r="AB15" s="69">
        <v>8.9</v>
      </c>
      <c r="AC15" s="69">
        <v>15</v>
      </c>
      <c r="AD15" s="69">
        <v>15.305</v>
      </c>
      <c r="AE15" s="69">
        <v>0</v>
      </c>
      <c r="AF15" s="69">
        <v>12.2</v>
      </c>
      <c r="AG15" s="69">
        <v>9.1999999999999993</v>
      </c>
      <c r="AH15" s="69">
        <v>15</v>
      </c>
      <c r="AI15" s="69">
        <v>15.455</v>
      </c>
      <c r="AJ15" s="69">
        <v>0</v>
      </c>
      <c r="AK15" s="69">
        <v>15.2</v>
      </c>
      <c r="AL15" s="69">
        <v>9.3000000000000007</v>
      </c>
      <c r="AM15" s="69">
        <v>14.4</v>
      </c>
      <c r="AN15" s="69">
        <v>15.425000000000001</v>
      </c>
      <c r="AO15" s="69">
        <v>0</v>
      </c>
      <c r="AP15" s="80"/>
      <c r="AQ15" s="11">
        <f>IF(SUM(V15:Y15)-Z15&gt;0,SUM(V15:Y15)-Z15,"")</f>
        <v>35.290000000000006</v>
      </c>
      <c r="AR15" s="11">
        <f>IF(AC15&gt;0,AC15,"")</f>
        <v>15</v>
      </c>
      <c r="AS15" s="11">
        <f>IF(SUM(AA15:AD15)-AE15&gt;0,SUM(AA15:AD15)-AE15,"")</f>
        <v>53.204999999999998</v>
      </c>
      <c r="AT15" s="11">
        <f>IF(AH15&gt;0,AH15,"")</f>
        <v>15</v>
      </c>
      <c r="AU15" s="11">
        <f>IF(SUM(AF15:AI15)-AJ15&gt;0,SUM(AF15:AI15)-AJ15,"")</f>
        <v>51.854999999999997</v>
      </c>
      <c r="AV15" s="11">
        <f>IF(AQ15="",IF(MAX(AS15,AU15)&gt;0,MAX(AS15,AU15),""),MAX(AS15,AU15)+AQ15)</f>
        <v>88.495000000000005</v>
      </c>
      <c r="AW15" s="11">
        <f>IF(AM15&gt;0,AM15,"")</f>
        <v>14.4</v>
      </c>
      <c r="AX15" s="11">
        <f>IF(SUM(AK15:AN15)-AO15&gt;0,SUM(AK15:AN15)-AO15,"")</f>
        <v>54.325000000000003</v>
      </c>
      <c r="AY15" s="11">
        <f>IF(SUM(AV15,AX15)&gt;0,SUM(AV15,AX15),"")</f>
        <v>142.82</v>
      </c>
      <c r="AZ15" s="75">
        <v>16.600000000000001</v>
      </c>
      <c r="BA15" s="75">
        <v>9.1999999999999993</v>
      </c>
      <c r="BB15" s="75">
        <v>5</v>
      </c>
      <c r="BC15" s="75">
        <v>16.225000000000001</v>
      </c>
      <c r="BD15" s="75">
        <v>0</v>
      </c>
      <c r="BE15" s="75">
        <v>5.3</v>
      </c>
      <c r="BF15" s="75">
        <v>3.4</v>
      </c>
      <c r="BG15" s="75">
        <v>6.3</v>
      </c>
      <c r="BH15" s="75">
        <v>6.37</v>
      </c>
      <c r="BI15" s="75">
        <v>0</v>
      </c>
      <c r="BJ15" s="75">
        <v>3.9</v>
      </c>
      <c r="BK15" s="75">
        <v>2.6</v>
      </c>
      <c r="BL15" s="75">
        <v>4.9000000000000004</v>
      </c>
      <c r="BM15" s="75">
        <v>4.835</v>
      </c>
      <c r="BN15" s="75">
        <v>0</v>
      </c>
      <c r="BO15" s="75"/>
      <c r="BP15" s="75"/>
      <c r="BQ15" s="75"/>
      <c r="BR15" s="75"/>
      <c r="BS15" s="75"/>
      <c r="BT15" s="81"/>
      <c r="BU15" s="14">
        <f>IF(SUM(AZ15:BC15)-BD15&gt;0,SUM(AZ15:BC15)-BD15,"")</f>
        <v>47.025000000000006</v>
      </c>
      <c r="BV15" s="14">
        <f>IF(BG15&gt;0,BG15,"")</f>
        <v>6.3</v>
      </c>
      <c r="BW15" s="14">
        <f>IF(SUM(BE15:BH15)-BI15&gt;0,SUM(BE15:BH15)-BI15,"")</f>
        <v>21.37</v>
      </c>
      <c r="BX15" s="14">
        <f>IF(BL15&gt;0,BL15,"")</f>
        <v>4.9000000000000004</v>
      </c>
      <c r="BY15" s="14">
        <f>IF(SUM(BJ15:BM15)-BN15&gt;0,SUM(BJ15:BM15)-BN15,"")</f>
        <v>16.234999999999999</v>
      </c>
      <c r="BZ15" s="14">
        <f>IF(BU15="",IF(MAX(BW15,BY15)&gt;0,MAX(BW15,BY15),""),MAX(BW15,BY15)+BU15)</f>
        <v>68.39500000000001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68.39500000000001</v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8.3000000000000007</v>
      </c>
      <c r="NQ15" s="69">
        <f>IF($CX15="P",CE15,(CE15+BA15)/2)</f>
        <v>4.5999999999999996</v>
      </c>
      <c r="NR15" s="69">
        <f>IF($CX15="P",CF15,(CF15+BB15)/2)</f>
        <v>2.5</v>
      </c>
      <c r="NS15" s="69">
        <f>IF($CX15="P",CG15,(CG15+BC15)/2)</f>
        <v>8.1125000000000007</v>
      </c>
      <c r="NT15" s="69">
        <f>IF($CX15="P",CH15,(CH15+BD15)/2)</f>
        <v>0</v>
      </c>
      <c r="NU15" s="69">
        <f>IF($CX15="P",CI15,(CI15+BE15)/2)</f>
        <v>2.65</v>
      </c>
      <c r="NV15" s="69">
        <f>IF($CX15="P",CJ15,(CJ15+BF15)/2)</f>
        <v>1.7</v>
      </c>
      <c r="NW15" s="69">
        <f>IF($CX15="P",CK15,(CK15+BG15)/2)</f>
        <v>3.15</v>
      </c>
      <c r="NX15" s="69">
        <f>IF($CX15="P",CL15,(CL15+BH15)/2)</f>
        <v>3.1850000000000001</v>
      </c>
      <c r="NY15" s="69">
        <f>IF($CX15="P",CM15,(CM15+BI15)/2)</f>
        <v>0</v>
      </c>
      <c r="NZ15" s="69">
        <f>IF($CX15="P",CN15,(CN15+BJ15)/2)</f>
        <v>1.95</v>
      </c>
      <c r="OA15" s="69">
        <f>IF($CX15="P",CO15,(CO15+BK15)/2)</f>
        <v>1.3</v>
      </c>
      <c r="OB15" s="69">
        <f>IF($CX15="P",CP15,(CP15+BL15)/2)</f>
        <v>2.4500000000000002</v>
      </c>
      <c r="OC15" s="69">
        <f>IF($CX15="P",CQ15,(CQ15+BM15)/2)</f>
        <v>2.4175</v>
      </c>
      <c r="OD15" s="69">
        <f>IF($CX15="P",CR15,(CR15+BN15)/2)</f>
        <v>0</v>
      </c>
      <c r="OE15" s="69">
        <f>IF($CX15="P",CS15,(CS15+BO15)/2)</f>
        <v>0</v>
      </c>
      <c r="OF15" s="69">
        <f>IF($CX15="P",CT15,(CT15+BP15)/2)</f>
        <v>0</v>
      </c>
      <c r="OG15" s="69">
        <f>IF($CX15="P",CU15,(CU15+BQ15)/2)</f>
        <v>0</v>
      </c>
      <c r="OH15" s="69">
        <f>IF($CX15="P",CV15,(CV15+BR15)/2)</f>
        <v>0</v>
      </c>
      <c r="OI15" s="69">
        <f>IF($CX15="P",CW15,(CW15+BS15)/2)</f>
        <v>0</v>
      </c>
      <c r="OJ15" s="80" t="s">
        <v>74</v>
      </c>
      <c r="OK15" s="11">
        <f>IF(SUM(NP15:NS15)-NT15&gt;0,SUM(NP15:NS15)-NT15,"")</f>
        <v>23.512500000000003</v>
      </c>
      <c r="OL15" s="11">
        <f>IF(NW15&gt;0,NW15,"")</f>
        <v>3.15</v>
      </c>
      <c r="OM15" s="11">
        <f>IF(SUM(NU15:NX15)-NY15&gt;0,SUM(NU15:NX15)-NY15,"")</f>
        <v>10.685</v>
      </c>
      <c r="ON15" s="11">
        <f>IF(OB15&gt;0,OB15,"")</f>
        <v>2.4500000000000002</v>
      </c>
      <c r="OO15" s="11">
        <f>IF(SUM(NZ15:OC15)-OD15&gt;0,SUM(NZ15:OC15)-OD15,"")</f>
        <v>8.1174999999999997</v>
      </c>
      <c r="OP15" s="11">
        <f>IF(OR(OK15&lt;&gt;"",OM15&lt;&gt;"",OO15&lt;&gt;""),OK15+MAX(OM15,OO15),"")</f>
        <v>34.197500000000005</v>
      </c>
      <c r="OQ15" s="11" t="str">
        <f>IF(OG15&gt;0,OG15,"")</f>
        <v/>
      </c>
      <c r="OR15" s="11" t="str">
        <f t="shared" si="0"/>
        <v/>
      </c>
      <c r="OS15" s="11">
        <f t="shared" si="1"/>
        <v>34.197500000000005</v>
      </c>
    </row>
    <row r="16" spans="1:409" x14ac:dyDescent="0.2">
      <c r="A16" s="5" t="str" cm="1">
        <f t="array" ref="A16">IF(AND(G16&lt;&gt;"",H16&lt;&gt;""),SUMPRODUCT((G$4:G$21&lt;&gt;"")*(H$4:H$21&lt;&gt;"")*(E$4:E$21&gt;E16))+1,IF(H16&lt;&gt;"",SUMPRODUCT((I$4:I$21="No DD")*(E$4:E$21&gt;E16))+1+SUMPRODUCT((G$4:G$21&lt;&gt;"")*(H$4:H$21&lt;&gt;"")),""))</f>
        <v/>
      </c>
      <c r="B16" s="6" t="s">
        <v>46</v>
      </c>
      <c r="C16" s="7" t="s">
        <v>9</v>
      </c>
      <c r="D16" s="27">
        <v>1998</v>
      </c>
      <c r="E16" s="15">
        <f>SUM(K16:S16)</f>
        <v>252.02500000000003</v>
      </c>
      <c r="F16" s="3" t="str">
        <f>IF(G16&lt;&gt;"","P","")</f>
        <v/>
      </c>
      <c r="G16" s="125" t="str">
        <f>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Merit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Excellence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Worlds Team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National Team",""))))</f>
        <v/>
      </c>
      <c r="H16" s="125" t="str">
        <f>IF(OR(AND(AS16&gt;=AY$30,AS16&lt;&gt;"",AP16=""),AND(AU16&gt;=AY$30,AU16&lt;&gt;"",AP16=""),AND(AX16&gt;=AY$30,AX16&lt;&gt;"",AP16=""),AND(BW16&gt;=CC$30,BW16&lt;&gt;"",BT16=""),AND(BY16&gt;=CC$30,BY16&lt;&gt;"",BT16=""),AND(CB16&gt;=CC$30,CB16&lt;&gt;"",BT16=""),AND(DA16&gt;=DG$30,DA16&lt;&gt;"",CX16=""),AND(DC16&gt;=DG$30,DC16&lt;&gt;"",CX16=""),AND(DF16&gt;=DG$30,DF16&lt;&gt;"",CX16=""),AND(EC16&gt;=EG$30,EC16&lt;&gt;""),AND(EF16&gt;=EG$30,EF16&lt;&gt;""),AND(EY16&gt;=FC$30,EY16&lt;&gt;""),AND(FB16&gt;=FC$30,FB16&lt;&gt;""),AND(FU16&gt;=FY$30,FU16&lt;&gt;""),AND(FX16&gt;=FY$30,FX16&lt;&gt;""),AND(GQ16&gt;=GU$30,GQ16&lt;&gt;""),AND(GT16&gt;=GU$30,GT16&lt;&gt;""),AND(HM16&gt;=HQ$30,HM16&lt;&gt;""),AND(HP16&gt;=HQ$30,HP16&lt;&gt;""),AND(II16&gt;=IM$30,II16&lt;&gt;""),AND(IL16&gt;=IM$30,IL16&lt;&gt;""),AND(JE16&gt;=JI$30,JE16&lt;&gt;""),AND(JH16&gt;=JI$30,JH16&lt;&gt;""),AND(KA16&gt;=KE$30,KA16&lt;&gt;""),AND(KD16&gt;=KE$30,KD16&lt;&gt;""),AND(KW16&gt;=LA$30,KW16&lt;&gt;""),AND(KZ16&gt;=LA$30,KZ16&lt;&gt;""),AND(LS16&gt;=LW$30,LS16&lt;&gt;""),AND(LV16&gt;=LW$30,LV16&lt;&gt;""),AND(MO16&gt;=MS$30,MO16&lt;&gt;""),AND(MR16&gt;=MS$30,MR16&lt;&gt;""),AND(NK16&gt;=NO$30,NK16&lt;&gt;""),AND(NN16&gt;=NO$30,NN16&lt;&gt;"")),"Merit",IF(OR(AND(AS16&gt;=AY$29,AS16&lt;&gt;"",AP16=""),AND(AU16&gt;=AY$29,AU16&lt;&gt;"",AP16=""),AND(AX16&gt;=AY$29,AX16&lt;&gt;"",AP16=""),AND(BW16&gt;=CC$29,BW16&lt;&gt;"",BT16=""),AND(BY16&gt;=CC$29,BY16&lt;&gt;"",BT16=""),AND(CB16&gt;=CC$29,CB16&lt;&gt;"",BT16=""),AND(DA16&gt;=DG$29,DA16&lt;&gt;"",CX16=""),AND(DC16&gt;=DG$29,DC16&lt;&gt;"",CX16=""),AND(DF16&gt;=DG$29,DF16&lt;&gt;"",CX16=""),AND(EC16&gt;=EG$29,EC16&lt;&gt;""),AND(EF16&gt;=EG$29,EF16&lt;&gt;""),AND(EY16&gt;=FC$29,EY16&lt;&gt;""),AND(FB16&gt;=FC$29,FB16&lt;&gt;""),AND(FU16&gt;=FY$29,FU16&lt;&gt;""),AND(FX16&gt;=FY$29,FX16&lt;&gt;""),AND(GQ16&gt;=GU$29,GQ16&lt;&gt;""),AND(GT16&gt;=GU$29,GT16&lt;&gt;""),AND(HM16&gt;=HQ$29,HM16&lt;&gt;""),AND(HP16&gt;=HQ$29,HP16&lt;&gt;""),AND(II16&gt;=IM$29,II16&lt;&gt;""),AND(IL16&gt;=IM$29,IL16&lt;&gt;""),AND(JE16&gt;=JI$29,JE16&lt;&gt;""),AND(JH16&gt;=JI$29,JH16&lt;&gt;""),AND(KA16&gt;=KE$29,KA16&lt;&gt;""),AND(KD16&gt;=KE$29,KD16&lt;&gt;""),AND(KW16&gt;=LA$29,KW16&lt;&gt;""),AND(KZ16&gt;=LA$29,KZ16&lt;&gt;""),AND(LS16&gt;=LW$29,LS16&lt;&gt;""),AND(LV16&gt;=LW$29,LV16&lt;&gt;""),AND(MO16&gt;=MS$29,MO16&lt;&gt;""),AND(MR16&gt;=MS$29,MR16&lt;&gt;""),AND(NK16&gt;=NO$29,NK16&lt;&gt;""),AND(NN16&gt;=NO$29,NN16&lt;&gt;"")),"Excellence",IF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"Worlds Team",IF(OR(AND(AV16&gt;=AY$27,AV16&lt;&gt;"",AP16=""),AND(BZ16&gt;=CC$27,BZ16&lt;&gt;"",BT16=""),AND(DD16&gt;=DG$27,DD16&lt;&gt;"",CX16=""),AND(ED16&gt;=EG$27,ED16&lt;&gt;""),AND(EZ16&gt;=FC$27,EZ16&lt;&gt;""),AND(FV16&gt;=FY$27,FV16&lt;&gt;""),AND(GR16&gt;=GU$27,GR16&lt;&gt;""),AND(HN16&gt;=HQ$27,HN16&lt;&gt;""),AND(IJ16&gt;=IM$27,IJ16&lt;&gt;""),AND(JF16&gt;=JI$27,JF16&lt;&gt;""),AND(KB16&gt;=KE$27,KB16&lt;&gt;""),AND(KX16&gt;=LA$27,KX16&lt;&gt;""),AND(LT16&gt;=LW$27,LT16&lt;&gt;""),AND(MP16&gt;=MS$27,MP16&lt;&gt;""),AND(NL16&gt;=NO$27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OR(G16="Worlds Team",G16="Excellence",G16="Merit")),"P","")</f>
        <v/>
      </c>
      <c r="K16" s="14">
        <f>IF(MAX(AV16,BZ16,DD16)&gt;0,MAX(AV16,BZ16,DD16),0)</f>
        <v>100.62</v>
      </c>
      <c r="L16" s="14" t="str">
        <f>IF(K16=0,"",IF(K16=DD16,$CD$1,IF(K16=BZ16,$AZ$1,IF(K16=AV16,$V$1,""))))</f>
        <v>2021 2nd Virtual Technical Trial</v>
      </c>
      <c r="M16" s="14">
        <f>IF($K16=$AV16,MAX(BU16,CY16),IF($K16=$BZ16,MAX(AQ16,CY16),IF($K16=$DD16,MAX(AQ16,BU16),MAX(AQ16,BU16,CY16))))</f>
        <v>47.895000000000003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49.515000000000001</v>
      </c>
      <c r="P16" s="14" t="str">
        <f>IF(O16=0,"",IF(OR(O16=DC16,O16=DA16),$CD$1,IF(OR(O16=BY16,O16=BW16),$AZ$1,IF(OR(O16=AU16,O16=AS16),$V$1,""))))</f>
        <v>2021 Elite Canada</v>
      </c>
      <c r="Q16" s="14">
        <f>MAX(AX16,CB16,DF16)</f>
        <v>53.995000000000005</v>
      </c>
      <c r="R16" s="14" t="str">
        <f>IF(Q16=0,"",IF(Q16=DF16,$CD$1,IF(Q16=CB16,$AZ$1,IF(Q16=AX16,$V$1,""))))</f>
        <v>2021 2nd Virtual Technical Trial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18.100000000000001</v>
      </c>
      <c r="W16" s="69">
        <v>9.1999999999999993</v>
      </c>
      <c r="X16" s="69">
        <v>4.0999999999999996</v>
      </c>
      <c r="Y16" s="69">
        <v>16.690000000000001</v>
      </c>
      <c r="Z16" s="69">
        <v>0</v>
      </c>
      <c r="AA16" s="69">
        <v>14.6</v>
      </c>
      <c r="AB16" s="69">
        <v>8.9</v>
      </c>
      <c r="AC16" s="69">
        <v>13.5</v>
      </c>
      <c r="AD16" s="69">
        <v>15.53</v>
      </c>
      <c r="AE16" s="69">
        <v>0</v>
      </c>
      <c r="AF16" s="69">
        <v>1.2</v>
      </c>
      <c r="AG16" s="69">
        <v>0.8</v>
      </c>
      <c r="AH16" s="69">
        <v>1.7</v>
      </c>
      <c r="AI16" s="69">
        <v>1.7649999999999999</v>
      </c>
      <c r="AJ16" s="69">
        <v>0</v>
      </c>
      <c r="AK16" s="69">
        <v>15.5</v>
      </c>
      <c r="AL16" s="69">
        <v>9.1999999999999993</v>
      </c>
      <c r="AM16" s="69">
        <v>13.5</v>
      </c>
      <c r="AN16" s="69">
        <v>15.795</v>
      </c>
      <c r="AO16" s="69">
        <v>0</v>
      </c>
      <c r="AP16" s="80"/>
      <c r="AQ16" s="11">
        <f>IF(SUM(V16:Y16)-Z16&gt;0,SUM(V16:Y16)-Z16,"")</f>
        <v>48.09</v>
      </c>
      <c r="AR16" s="11">
        <f>IF(AC16&gt;0,AC16,"")</f>
        <v>13.5</v>
      </c>
      <c r="AS16" s="11">
        <f>IF(SUM(AA16:AD16)-AE16&gt;0,SUM(AA16:AD16)-AE16,"")</f>
        <v>52.53</v>
      </c>
      <c r="AT16" s="11">
        <f>IF(AH16&gt;0,AH16,"")</f>
        <v>1.7</v>
      </c>
      <c r="AU16" s="11">
        <f>IF(SUM(AF16:AI16)-AJ16&gt;0,SUM(AF16:AI16)-AJ16,"")</f>
        <v>5.4649999999999999</v>
      </c>
      <c r="AV16" s="11">
        <f>IF(AQ16="",IF(MAX(AS16,AU16)&gt;0,MAX(AS16,AU16),""),MAX(AS16,AU16)+AQ16)</f>
        <v>100.62</v>
      </c>
      <c r="AW16" s="11">
        <f>IF(AM16&gt;0,AM16,"")</f>
        <v>13.5</v>
      </c>
      <c r="AX16" s="11">
        <f>IF(SUM(AK16:AN16)-AO16&gt;0,SUM(AK16:AN16)-AO16,"")</f>
        <v>53.995000000000005</v>
      </c>
      <c r="AY16" s="11">
        <f>IF(SUM(AV16,AX16)&gt;0,SUM(AV16,AX16),"")</f>
        <v>154.61500000000001</v>
      </c>
      <c r="AZ16" s="75">
        <v>16.7</v>
      </c>
      <c r="BA16" s="75">
        <v>9.4</v>
      </c>
      <c r="BB16" s="75">
        <v>4.0999999999999996</v>
      </c>
      <c r="BC16" s="75">
        <v>16.05</v>
      </c>
      <c r="BD16" s="75">
        <v>0</v>
      </c>
      <c r="BE16" s="75">
        <v>13.8</v>
      </c>
      <c r="BF16" s="75">
        <v>8.6999999999999993</v>
      </c>
      <c r="BG16" s="75">
        <v>11.8</v>
      </c>
      <c r="BH16" s="75">
        <v>15.215</v>
      </c>
      <c r="BI16" s="75">
        <v>0</v>
      </c>
      <c r="BJ16" s="75">
        <v>10.6</v>
      </c>
      <c r="BK16" s="75">
        <v>6.5</v>
      </c>
      <c r="BL16" s="75">
        <v>9.1999999999999993</v>
      </c>
      <c r="BM16" s="75">
        <v>10.7</v>
      </c>
      <c r="BN16" s="75">
        <v>0</v>
      </c>
      <c r="BO16" s="75">
        <v>14.5</v>
      </c>
      <c r="BP16" s="75">
        <v>9</v>
      </c>
      <c r="BQ16" s="75">
        <v>13.3</v>
      </c>
      <c r="BR16" s="75">
        <v>15.62</v>
      </c>
      <c r="BS16" s="75">
        <v>0</v>
      </c>
      <c r="BT16" s="81"/>
      <c r="BU16" s="14">
        <f>IF(SUM(AZ16:BC16)-BD16&gt;0,SUM(AZ16:BC16)-BD16,"")</f>
        <v>46.25</v>
      </c>
      <c r="BV16" s="14">
        <f>IF(BG16&gt;0,BG16,"")</f>
        <v>11.8</v>
      </c>
      <c r="BW16" s="14">
        <f>IF(SUM(BE16:BH16)-BI16&gt;0,SUM(BE16:BH16)-BI16,"")</f>
        <v>49.515000000000001</v>
      </c>
      <c r="BX16" s="14">
        <f>IF(BL16&gt;0,BL16,"")</f>
        <v>9.1999999999999993</v>
      </c>
      <c r="BY16" s="14">
        <f>IF(SUM(BJ16:BM16)-BN16&gt;0,SUM(BJ16:BM16)-BN16,"")</f>
        <v>37</v>
      </c>
      <c r="BZ16" s="14">
        <f>IF(BU16="",IF(MAX(BW16,BY16)&gt;0,MAX(BW16,BY16),""),MAX(BW16,BY16)+BU16)</f>
        <v>95.765000000000001</v>
      </c>
      <c r="CA16" s="14">
        <f>IF(BQ16&gt;0,BQ16,"")</f>
        <v>13.3</v>
      </c>
      <c r="CB16" s="14">
        <f>IF(SUM(BO16:BR16)-BS16&gt;0,SUM(BO16:BR16)-BS16,"")</f>
        <v>52.419999999999995</v>
      </c>
      <c r="CC16" s="14">
        <f>IF(SUM(BZ16,CB16)&gt;0,SUM(BZ16,CB16),"")</f>
        <v>148.185</v>
      </c>
      <c r="CD16" s="69">
        <v>18</v>
      </c>
      <c r="CE16" s="69">
        <v>9.5</v>
      </c>
      <c r="CF16" s="69">
        <v>4.0999999999999996</v>
      </c>
      <c r="CG16" s="69">
        <v>16.295000000000002</v>
      </c>
      <c r="CH16" s="69">
        <v>0</v>
      </c>
      <c r="CI16" s="69">
        <v>4.0999999999999996</v>
      </c>
      <c r="CJ16" s="69">
        <v>2.8</v>
      </c>
      <c r="CK16" s="69">
        <v>4.5999999999999996</v>
      </c>
      <c r="CL16" s="69">
        <v>4.8250000000000002</v>
      </c>
      <c r="CM16" s="69">
        <v>0</v>
      </c>
      <c r="CN16" s="69">
        <v>2.7</v>
      </c>
      <c r="CO16" s="69">
        <v>1.9</v>
      </c>
      <c r="CP16" s="69">
        <v>3.1</v>
      </c>
      <c r="CQ16" s="69">
        <v>3.28</v>
      </c>
      <c r="CR16" s="69">
        <v>0</v>
      </c>
      <c r="CS16" s="69"/>
      <c r="CT16" s="69"/>
      <c r="CU16" s="69"/>
      <c r="CV16" s="69"/>
      <c r="CW16" s="69"/>
      <c r="CX16" s="80"/>
      <c r="CY16" s="11">
        <f>IF(SUM(CD16:CG16)-CH16&gt;0,SUM(CD16:CG16)-CH16,"")</f>
        <v>47.895000000000003</v>
      </c>
      <c r="CZ16" s="11">
        <f>IF(CK16&gt;0,CK16,"")</f>
        <v>4.5999999999999996</v>
      </c>
      <c r="DA16" s="11">
        <f>IF(SUM(CI16:CL16)-CM16&gt;0,SUM(CI16:CL16)-CM16,"")</f>
        <v>16.324999999999999</v>
      </c>
      <c r="DB16" s="11">
        <f>IF(CP16&gt;0,CP16,"")</f>
        <v>3.1</v>
      </c>
      <c r="DC16" s="11">
        <f>IF(SUM(CN16:CQ16)-CR16&gt;0,SUM(CN16:CQ16)-CR16,"")</f>
        <v>10.979999999999999</v>
      </c>
      <c r="DD16" s="11">
        <f>IF(CY16="",IF(MAX(DA16,DC16)&gt;0,MAX(DA16,DC16),""),MAX(DA16,DC16)+CY16)</f>
        <v>64.22</v>
      </c>
      <c r="DE16" s="11" t="str">
        <f>IF(CU16&gt;0,CU16,"")</f>
        <v/>
      </c>
      <c r="DF16" s="11" t="str">
        <f>IF(SUM(CS16:CV16)-CW16&gt;0,SUM(CS16:CV16)-CW16,"")</f>
        <v/>
      </c>
      <c r="DG16" s="11">
        <f>IF(SUM(DD16,DF16)&gt;0,SUM(DD16,DF16),"")</f>
        <v>64.22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17.350000000000001</v>
      </c>
      <c r="NQ16" s="69">
        <f>IF($CX16="P",CE16,(CE16+BA16)/2)</f>
        <v>9.4499999999999993</v>
      </c>
      <c r="NR16" s="69">
        <f>IF($CX16="P",CF16,(CF16+BB16)/2)</f>
        <v>4.0999999999999996</v>
      </c>
      <c r="NS16" s="69">
        <f>IF($CX16="P",CG16,(CG16+BC16)/2)</f>
        <v>16.172499999999999</v>
      </c>
      <c r="NT16" s="69">
        <f>IF($CX16="P",CH16,(CH16+BD16)/2)</f>
        <v>0</v>
      </c>
      <c r="NU16" s="69">
        <f>IF($CX16="P",CI16,(CI16+BE16)/2)</f>
        <v>8.9499999999999993</v>
      </c>
      <c r="NV16" s="69">
        <f>IF($CX16="P",CJ16,(CJ16+BF16)/2)</f>
        <v>5.75</v>
      </c>
      <c r="NW16" s="69">
        <f>IF($CX16="P",CK16,(CK16+BG16)/2)</f>
        <v>8.1999999999999993</v>
      </c>
      <c r="NX16" s="69">
        <f>IF($CX16="P",CL16,(CL16+BH16)/2)</f>
        <v>10.02</v>
      </c>
      <c r="NY16" s="69">
        <f>IF($CX16="P",CM16,(CM16+BI16)/2)</f>
        <v>0</v>
      </c>
      <c r="NZ16" s="69">
        <f>IF($CX16="P",CN16,(CN16+BJ16)/2)</f>
        <v>6.65</v>
      </c>
      <c r="OA16" s="69">
        <f>IF($CX16="P",CO16,(CO16+BK16)/2)</f>
        <v>4.2</v>
      </c>
      <c r="OB16" s="69">
        <f>IF($CX16="P",CP16,(CP16+BL16)/2)</f>
        <v>6.1499999999999995</v>
      </c>
      <c r="OC16" s="69">
        <f>IF($CX16="P",CQ16,(CQ16+BM16)/2)</f>
        <v>6.9899999999999993</v>
      </c>
      <c r="OD16" s="69">
        <f>IF($CX16="P",CR16,(CR16+BN16)/2)</f>
        <v>0</v>
      </c>
      <c r="OE16" s="69">
        <f>IF($CX16="P",CS16,(CS16+BO16)/2)</f>
        <v>7.25</v>
      </c>
      <c r="OF16" s="69">
        <f>IF($CX16="P",CT16,(CT16+BP16)/2)</f>
        <v>4.5</v>
      </c>
      <c r="OG16" s="69">
        <f>IF($CX16="P",CU16,(CU16+BQ16)/2)</f>
        <v>6.65</v>
      </c>
      <c r="OH16" s="69">
        <f>IF($CX16="P",CV16,(CV16+BR16)/2)</f>
        <v>7.81</v>
      </c>
      <c r="OI16" s="69">
        <f>IF($CX16="P",CW16,(CW16+BS16)/2)</f>
        <v>0</v>
      </c>
      <c r="OJ16" s="80" t="s">
        <v>74</v>
      </c>
      <c r="OK16" s="11">
        <f>IF(SUM(NP16:NS16)-NT16&gt;0,SUM(NP16:NS16)-NT16,"")</f>
        <v>47.072499999999998</v>
      </c>
      <c r="OL16" s="11">
        <f>IF(NW16&gt;0,NW16,"")</f>
        <v>8.1999999999999993</v>
      </c>
      <c r="OM16" s="11">
        <f>IF(SUM(NU16:NX16)-NY16&gt;0,SUM(NU16:NX16)-NY16,"")</f>
        <v>32.92</v>
      </c>
      <c r="ON16" s="11">
        <f>IF(OB16&gt;0,OB16,"")</f>
        <v>6.1499999999999995</v>
      </c>
      <c r="OO16" s="11">
        <f>IF(SUM(NZ16:OC16)-OD16&gt;0,SUM(NZ16:OC16)-OD16,"")</f>
        <v>23.99</v>
      </c>
      <c r="OP16" s="11">
        <f>IF(OR(OK16&lt;&gt;"",OM16&lt;&gt;"",OO16&lt;&gt;""),OK16+MAX(OM16,OO16),"")</f>
        <v>79.992500000000007</v>
      </c>
      <c r="OQ16" s="11">
        <f>IF(OG16&gt;0,OG16,"")</f>
        <v>6.65</v>
      </c>
      <c r="OR16" s="11">
        <f t="shared" si="0"/>
        <v>26.209999999999997</v>
      </c>
      <c r="OS16" s="11">
        <f t="shared" si="1"/>
        <v>106.2025</v>
      </c>
    </row>
    <row r="17" spans="1:409" x14ac:dyDescent="0.2">
      <c r="A17" s="5" t="str" cm="1">
        <f t="array" ref="A17">IF(AND(G17&lt;&gt;"",H17&lt;&gt;""),SUMPRODUCT((G$4:G$21&lt;&gt;"")*(H$4:H$21&lt;&gt;"")*(E$4:E$21&gt;E17))+1,IF(H17&lt;&gt;"",SUMPRODUCT((I$4:I$21="No DD")*(E$4:E$21&gt;E17))+1+SUMPRODUCT((G$4:G$21&lt;&gt;"")*(H$4:H$21&lt;&gt;"")),""))</f>
        <v/>
      </c>
      <c r="B17" s="6" t="s">
        <v>117</v>
      </c>
      <c r="C17" s="7" t="s">
        <v>5</v>
      </c>
      <c r="D17" s="5">
        <v>2003</v>
      </c>
      <c r="E17" s="15">
        <f>SUM(K17:S17)</f>
        <v>242.38</v>
      </c>
      <c r="F17" s="3" t="str">
        <f>IF(G17&lt;&gt;"","P","")</f>
        <v/>
      </c>
      <c r="G17" s="125" t="str">
        <f>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Merit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Excellence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Worlds Team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National Team",""))))</f>
        <v/>
      </c>
      <c r="H17" s="125" t="str">
        <f>IF(OR(AND(AS17&gt;=AY$30,AS17&lt;&gt;"",AP17=""),AND(AU17&gt;=AY$30,AU17&lt;&gt;"",AP17=""),AND(AX17&gt;=AY$30,AX17&lt;&gt;"",AP17=""),AND(BW17&gt;=CC$30,BW17&lt;&gt;"",BT17=""),AND(BY17&gt;=CC$30,BY17&lt;&gt;"",BT17=""),AND(CB17&gt;=CC$30,CB17&lt;&gt;"",BT17=""),AND(DA17&gt;=DG$30,DA17&lt;&gt;"",CX17=""),AND(DC17&gt;=DG$30,DC17&lt;&gt;"",CX17=""),AND(DF17&gt;=DG$30,DF17&lt;&gt;"",CX17=""),AND(EC17&gt;=EG$30,EC17&lt;&gt;""),AND(EF17&gt;=EG$30,EF17&lt;&gt;""),AND(EY17&gt;=FC$30,EY17&lt;&gt;""),AND(FB17&gt;=FC$30,FB17&lt;&gt;""),AND(FU17&gt;=FY$30,FU17&lt;&gt;""),AND(FX17&gt;=FY$30,FX17&lt;&gt;""),AND(GQ17&gt;=GU$30,GQ17&lt;&gt;""),AND(GT17&gt;=GU$30,GT17&lt;&gt;""),AND(HM17&gt;=HQ$30,HM17&lt;&gt;""),AND(HP17&gt;=HQ$30,HP17&lt;&gt;""),AND(II17&gt;=IM$30,II17&lt;&gt;""),AND(IL17&gt;=IM$30,IL17&lt;&gt;""),AND(JE17&gt;=JI$30,JE17&lt;&gt;""),AND(JH17&gt;=JI$30,JH17&lt;&gt;""),AND(KA17&gt;=KE$30,KA17&lt;&gt;""),AND(KD17&gt;=KE$30,KD17&lt;&gt;""),AND(KW17&gt;=LA$30,KW17&lt;&gt;""),AND(KZ17&gt;=LA$30,KZ17&lt;&gt;""),AND(LS17&gt;=LW$30,LS17&lt;&gt;""),AND(LV17&gt;=LW$30,LV17&lt;&gt;""),AND(MO17&gt;=MS$30,MO17&lt;&gt;""),AND(MR17&gt;=MS$30,MR17&lt;&gt;""),AND(NK17&gt;=NO$30,NK17&lt;&gt;""),AND(NN17&gt;=NO$30,NN17&lt;&gt;"")),"Merit",IF(OR(AND(AS17&gt;=AY$29,AS17&lt;&gt;"",AP17=""),AND(AU17&gt;=AY$29,AU17&lt;&gt;"",AP17=""),AND(AX17&gt;=AY$29,AX17&lt;&gt;"",AP17=""),AND(BW17&gt;=CC$29,BW17&lt;&gt;"",BT17=""),AND(BY17&gt;=CC$29,BY17&lt;&gt;"",BT17=""),AND(CB17&gt;=CC$29,CB17&lt;&gt;"",BT17=""),AND(DA17&gt;=DG$29,DA17&lt;&gt;"",CX17=""),AND(DC17&gt;=DG$29,DC17&lt;&gt;"",CX17=""),AND(DF17&gt;=DG$29,DF17&lt;&gt;"",CX17=""),AND(EC17&gt;=EG$29,EC17&lt;&gt;""),AND(EF17&gt;=EG$29,EF17&lt;&gt;""),AND(EY17&gt;=FC$29,EY17&lt;&gt;""),AND(FB17&gt;=FC$29,FB17&lt;&gt;""),AND(FU17&gt;=FY$29,FU17&lt;&gt;""),AND(FX17&gt;=FY$29,FX17&lt;&gt;""),AND(GQ17&gt;=GU$29,GQ17&lt;&gt;""),AND(GT17&gt;=GU$29,GT17&lt;&gt;""),AND(HM17&gt;=HQ$29,HM17&lt;&gt;""),AND(HP17&gt;=HQ$29,HP17&lt;&gt;""),AND(II17&gt;=IM$29,II17&lt;&gt;""),AND(IL17&gt;=IM$29,IL17&lt;&gt;""),AND(JE17&gt;=JI$29,JE17&lt;&gt;""),AND(JH17&gt;=JI$29,JH17&lt;&gt;""),AND(KA17&gt;=KE$29,KA17&lt;&gt;""),AND(KD17&gt;=KE$29,KD17&lt;&gt;""),AND(KW17&gt;=LA$29,KW17&lt;&gt;""),AND(KZ17&gt;=LA$29,KZ17&lt;&gt;""),AND(LS17&gt;=LW$29,LS17&lt;&gt;""),AND(LV17&gt;=LW$29,LV17&lt;&gt;""),AND(MO17&gt;=MS$29,MO17&lt;&gt;""),AND(MR17&gt;=MS$29,MR17&lt;&gt;""),AND(NK17&gt;=NO$29,NK17&lt;&gt;""),AND(NN17&gt;=NO$29,NN17&lt;&gt;"")),"Excellence",IF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"Worlds Team",IF(OR(AND(AV17&gt;=AY$27,AV17&lt;&gt;"",AP17=""),AND(BZ17&gt;=CC$27,BZ17&lt;&gt;"",BT17=""),AND(DD17&gt;=DG$27,DD17&lt;&gt;"",CX17=""),AND(ED17&gt;=EG$27,ED17&lt;&gt;""),AND(EZ17&gt;=FC$27,EZ17&lt;&gt;""),AND(FV17&gt;=FY$27,FV17&lt;&gt;""),AND(GR17&gt;=GU$27,GR17&lt;&gt;""),AND(HN17&gt;=HQ$27,HN17&lt;&gt;""),AND(IJ17&gt;=IM$27,IJ17&lt;&gt;""),AND(JF17&gt;=JI$27,JF17&lt;&gt;""),AND(KB17&gt;=KE$27,KB17&lt;&gt;""),AND(KX17&gt;=LA$27,KX17&lt;&gt;""),AND(LT17&gt;=LW$27,LT17&lt;&gt;""),AND(MP17&gt;=MS$27,MP17&lt;&gt;""),AND(NL17&gt;=NO$27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OR(G17="Worlds Team",G17="Excellence",G17="Merit")),"P","")</f>
        <v/>
      </c>
      <c r="K17" s="14">
        <f>IF(MAX(AV17,BZ17,DD17)&gt;0,MAX(AV17,BZ17,DD17),0)</f>
        <v>96.715000000000003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45.884999999999998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50.65</v>
      </c>
      <c r="P17" s="14" t="str">
        <f>IF(O17=0,"",IF(OR(O17=DC17,O17=DA17),$CD$1,IF(OR(O17=BY17,O17=BW17),$AZ$1,IF(OR(O17=AU17,O17=AS17),$V$1,""))))</f>
        <v>2021 Elite Canada</v>
      </c>
      <c r="Q17" s="14">
        <f>MAX(AX17,CB17,DF17)</f>
        <v>49.13</v>
      </c>
      <c r="R17" s="14" t="str">
        <f>IF(Q17=0,"",IF(Q17=DF17,$CD$1,IF(Q17=CB17,$AZ$1,IF(Q17=AX17,$V$1,""))))</f>
        <v>2021 Elite Canada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17.3</v>
      </c>
      <c r="W17" s="69">
        <v>9.6999999999999993</v>
      </c>
      <c r="X17" s="69">
        <v>2.9</v>
      </c>
      <c r="Y17" s="69">
        <v>14.96</v>
      </c>
      <c r="Z17" s="69">
        <v>0</v>
      </c>
      <c r="AA17" s="69">
        <v>8.3000000000000007</v>
      </c>
      <c r="AB17" s="69">
        <v>5.5</v>
      </c>
      <c r="AC17" s="69">
        <v>8.3000000000000007</v>
      </c>
      <c r="AD17" s="69">
        <v>8.68</v>
      </c>
      <c r="AE17" s="69">
        <v>0</v>
      </c>
      <c r="AF17" s="69"/>
      <c r="AG17" s="69"/>
      <c r="AH17" s="69"/>
      <c r="AI17" s="69"/>
      <c r="AJ17" s="69"/>
      <c r="AK17" s="69">
        <v>8.6</v>
      </c>
      <c r="AL17" s="69">
        <v>5.7</v>
      </c>
      <c r="AM17" s="69">
        <v>8.3000000000000007</v>
      </c>
      <c r="AN17" s="69">
        <v>8.76</v>
      </c>
      <c r="AO17" s="69">
        <v>0</v>
      </c>
      <c r="AP17" s="80"/>
      <c r="AQ17" s="11">
        <f>IF(SUM(V17:Y17)-Z17&gt;0,SUM(V17:Y17)-Z17,"")</f>
        <v>44.86</v>
      </c>
      <c r="AR17" s="11">
        <f>IF(AC17&gt;0,AC17,"")</f>
        <v>8.3000000000000007</v>
      </c>
      <c r="AS17" s="11">
        <f>IF(SUM(AA17:AD17)-AE17&gt;0,SUM(AA17:AD17)-AE17,"")</f>
        <v>30.78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75.64</v>
      </c>
      <c r="AW17" s="11">
        <f>IF(AM17&gt;0,AM17,"")</f>
        <v>8.3000000000000007</v>
      </c>
      <c r="AX17" s="11">
        <f>IF(SUM(AK17:AN17)-AO17&gt;0,SUM(AK17:AN17)-AO17,"")</f>
        <v>31.36</v>
      </c>
      <c r="AY17" s="11">
        <f>IF(SUM(AV17,AX17)&gt;0,SUM(AV17,AX17),"")</f>
        <v>107</v>
      </c>
      <c r="AZ17" s="75">
        <v>16</v>
      </c>
      <c r="BA17" s="75">
        <v>9.1999999999999993</v>
      </c>
      <c r="BB17" s="75">
        <v>5.2</v>
      </c>
      <c r="BC17" s="75">
        <v>14.965</v>
      </c>
      <c r="BD17" s="75">
        <v>0</v>
      </c>
      <c r="BE17" s="75">
        <v>13.4</v>
      </c>
      <c r="BF17" s="75">
        <v>9</v>
      </c>
      <c r="BG17" s="75">
        <v>13.5</v>
      </c>
      <c r="BH17" s="75">
        <v>14.75</v>
      </c>
      <c r="BI17" s="75">
        <v>0</v>
      </c>
      <c r="BJ17" s="75">
        <v>14.2</v>
      </c>
      <c r="BK17" s="75">
        <v>9</v>
      </c>
      <c r="BL17" s="75">
        <v>13.5</v>
      </c>
      <c r="BM17" s="75">
        <v>14.65</v>
      </c>
      <c r="BN17" s="75">
        <v>0</v>
      </c>
      <c r="BO17" s="75">
        <v>13.7</v>
      </c>
      <c r="BP17" s="75">
        <v>8.9</v>
      </c>
      <c r="BQ17" s="75">
        <v>12.1</v>
      </c>
      <c r="BR17" s="75">
        <v>14.43</v>
      </c>
      <c r="BS17" s="75">
        <v>0</v>
      </c>
      <c r="BT17" s="81"/>
      <c r="BU17" s="14">
        <f>IF(SUM(AZ17:BC17)-BD17&gt;0,SUM(AZ17:BC17)-BD17,"")</f>
        <v>45.364999999999995</v>
      </c>
      <c r="BV17" s="14">
        <f>IF(BG17&gt;0,BG17,"")</f>
        <v>13.5</v>
      </c>
      <c r="BW17" s="14">
        <f>IF(SUM(BE17:BH17)-BI17&gt;0,SUM(BE17:BH17)-BI17,"")</f>
        <v>50.65</v>
      </c>
      <c r="BX17" s="14">
        <f>IF(BL17&gt;0,BL17,"")</f>
        <v>13.5</v>
      </c>
      <c r="BY17" s="14">
        <f>IF(SUM(BJ17:BM17)-BN17&gt;0,SUM(BJ17:BM17)-BN17,"")</f>
        <v>51.35</v>
      </c>
      <c r="BZ17" s="14">
        <f>IF(BU17="",IF(MAX(BW17,BY17)&gt;0,MAX(BW17,BY17),""),MAX(BW17,BY17)+BU17)</f>
        <v>96.715000000000003</v>
      </c>
      <c r="CA17" s="14">
        <f>IF(BQ17&gt;0,BQ17,"")</f>
        <v>12.1</v>
      </c>
      <c r="CB17" s="14">
        <f>IF(SUM(BO17:BR17)-BS17&gt;0,SUM(BO17:BR17)-BS17,"")</f>
        <v>49.13</v>
      </c>
      <c r="CC17" s="14">
        <f>IF(SUM(BZ17,CB17)&gt;0,SUM(BZ17,CB17),"")</f>
        <v>145.845</v>
      </c>
      <c r="CD17" s="69">
        <v>16</v>
      </c>
      <c r="CE17" s="69">
        <v>9.3000000000000007</v>
      </c>
      <c r="CF17" s="69">
        <v>5.2</v>
      </c>
      <c r="CG17" s="69">
        <v>15.385</v>
      </c>
      <c r="CH17" s="69">
        <v>0</v>
      </c>
      <c r="CI17" s="69">
        <v>10.199999999999999</v>
      </c>
      <c r="CJ17" s="69">
        <v>6.6</v>
      </c>
      <c r="CK17" s="69">
        <v>9.6</v>
      </c>
      <c r="CL17" s="69">
        <v>12.215</v>
      </c>
      <c r="CM17" s="69">
        <v>0</v>
      </c>
      <c r="CN17" s="69">
        <v>9.8000000000000007</v>
      </c>
      <c r="CO17" s="69">
        <v>6.6</v>
      </c>
      <c r="CP17" s="69">
        <v>9.6</v>
      </c>
      <c r="CQ17" s="69">
        <v>10.914999999999999</v>
      </c>
      <c r="CR17" s="69">
        <v>0</v>
      </c>
      <c r="CS17" s="69">
        <v>2.8</v>
      </c>
      <c r="CT17" s="69">
        <v>1.8</v>
      </c>
      <c r="CU17" s="69">
        <v>2.7</v>
      </c>
      <c r="CV17" s="69">
        <v>3.15</v>
      </c>
      <c r="CW17" s="69">
        <v>0</v>
      </c>
      <c r="CX17" s="80"/>
      <c r="CY17" s="11">
        <f>IF(SUM(CD17:CG17)-CH17&gt;0,SUM(CD17:CG17)-CH17,"")</f>
        <v>45.884999999999998</v>
      </c>
      <c r="CZ17" s="11">
        <f>IF(CK17&gt;0,CK17,"")</f>
        <v>9.6</v>
      </c>
      <c r="DA17" s="11">
        <f>IF(SUM(CI17:CL17)-CM17&gt;0,SUM(CI17:CL17)-CM17,"")</f>
        <v>38.614999999999995</v>
      </c>
      <c r="DB17" s="11">
        <f>IF(CP17&gt;0,CP17,"")</f>
        <v>9.6</v>
      </c>
      <c r="DC17" s="11">
        <f>IF(SUM(CN17:CQ17)-CR17&gt;0,SUM(CN17:CQ17)-CR17,"")</f>
        <v>36.914999999999999</v>
      </c>
      <c r="DD17" s="11">
        <f>IF(CY17="",IF(MAX(DA17,DC17)&gt;0,MAX(DA17,DC17),""),MAX(DA17,DC17)+CY17)</f>
        <v>84.5</v>
      </c>
      <c r="DE17" s="11">
        <f>IF(CU17&gt;0,CU17,"")</f>
        <v>2.7</v>
      </c>
      <c r="DF17" s="11">
        <f>IF(SUM(CS17:CV17)-CW17&gt;0,SUM(CS17:CV17)-CW17,"")</f>
        <v>10.45</v>
      </c>
      <c r="DG17" s="11">
        <f>IF(SUM(DD17,DF17)&gt;0,SUM(DD17,DF17),"")</f>
        <v>94.95</v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16</v>
      </c>
      <c r="NQ17" s="69">
        <f>IF($CX17="P",CE17,(CE17+BA17)/2)</f>
        <v>9.25</v>
      </c>
      <c r="NR17" s="69">
        <f>IF($CX17="P",CF17,(CF17+BB17)/2)</f>
        <v>5.2</v>
      </c>
      <c r="NS17" s="69">
        <f>IF($CX17="P",CG17,(CG17+BC17)/2)</f>
        <v>15.175000000000001</v>
      </c>
      <c r="NT17" s="69">
        <f>IF($CX17="P",CH17,(CH17+BD17)/2)</f>
        <v>0</v>
      </c>
      <c r="NU17" s="69">
        <f>IF($CX17="P",CI17,(CI17+BE17)/2)</f>
        <v>11.8</v>
      </c>
      <c r="NV17" s="69">
        <f>IF($CX17="P",CJ17,(CJ17+BF17)/2)</f>
        <v>7.8</v>
      </c>
      <c r="NW17" s="69">
        <f>IF($CX17="P",CK17,(CK17+BG17)/2)</f>
        <v>11.55</v>
      </c>
      <c r="NX17" s="69">
        <f>IF($CX17="P",CL17,(CL17+BH17)/2)</f>
        <v>13.4825</v>
      </c>
      <c r="NY17" s="69">
        <f>IF($CX17="P",CM17,(CM17+BI17)/2)</f>
        <v>0</v>
      </c>
      <c r="NZ17" s="69">
        <f>IF($CX17="P",CN17,(CN17+BJ17)/2)</f>
        <v>12</v>
      </c>
      <c r="OA17" s="69">
        <f>IF($CX17="P",CO17,(CO17+BK17)/2)</f>
        <v>7.8</v>
      </c>
      <c r="OB17" s="69">
        <f>IF($CX17="P",CP17,(CP17+BL17)/2)</f>
        <v>11.55</v>
      </c>
      <c r="OC17" s="69">
        <f>IF($CX17="P",CQ17,(CQ17+BM17)/2)</f>
        <v>12.782499999999999</v>
      </c>
      <c r="OD17" s="69">
        <f>IF($CX17="P",CR17,(CR17+BN17)/2)</f>
        <v>0</v>
      </c>
      <c r="OE17" s="69">
        <f>IF($CX17="P",CS17,(CS17+BO17)/2)</f>
        <v>8.25</v>
      </c>
      <c r="OF17" s="69">
        <f>IF($CX17="P",CT17,(CT17+BP17)/2)</f>
        <v>5.3500000000000005</v>
      </c>
      <c r="OG17" s="69">
        <f>IF($CX17="P",CU17,(CU17+BQ17)/2)</f>
        <v>7.4</v>
      </c>
      <c r="OH17" s="69">
        <f>IF($CX17="P",CV17,(CV17+BR17)/2)</f>
        <v>8.7899999999999991</v>
      </c>
      <c r="OI17" s="69">
        <f>IF($CX17="P",CW17,(CW17+BS17)/2)</f>
        <v>0</v>
      </c>
      <c r="OJ17" s="80" t="s">
        <v>74</v>
      </c>
      <c r="OK17" s="11">
        <f>IF(SUM(NP17:NS17)-NT17&gt;0,SUM(NP17:NS17)-NT17,"")</f>
        <v>45.625</v>
      </c>
      <c r="OL17" s="11">
        <f>IF(NW17&gt;0,NW17,"")</f>
        <v>11.55</v>
      </c>
      <c r="OM17" s="11">
        <f>IF(SUM(NU17:NX17)-NY17&gt;0,SUM(NU17:NX17)-NY17,"")</f>
        <v>44.6325</v>
      </c>
      <c r="ON17" s="11">
        <f>IF(OB17&gt;0,OB17,"")</f>
        <v>11.55</v>
      </c>
      <c r="OO17" s="11">
        <f>IF(SUM(NZ17:OC17)-OD17&gt;0,SUM(NZ17:OC17)-OD17,"")</f>
        <v>44.1325</v>
      </c>
      <c r="OP17" s="11">
        <f>IF(OR(OK17&lt;&gt;"",OM17&lt;&gt;"",OO17&lt;&gt;""),OK17+MAX(OM17,OO17),"")</f>
        <v>90.257499999999993</v>
      </c>
      <c r="OQ17" s="11">
        <f>IF(OG17&gt;0,OG17,"")</f>
        <v>7.4</v>
      </c>
      <c r="OR17" s="11">
        <f t="shared" si="0"/>
        <v>29.79</v>
      </c>
      <c r="OS17" s="11">
        <f t="shared" si="1"/>
        <v>120.04749999999999</v>
      </c>
    </row>
    <row r="18" spans="1:409" x14ac:dyDescent="0.2">
      <c r="A18" s="5" t="str" cm="1">
        <f t="array" ref="A18">IF(AND(G18&lt;&gt;"",H18&lt;&gt;""),SUMPRODUCT((G$4:G$21&lt;&gt;"")*(H$4:H$21&lt;&gt;"")*(E$4:E$21&gt;E18))+1,IF(H18&lt;&gt;"",SUMPRODUCT((I$4:I$21="No DD")*(E$4:E$21&gt;E18))+1+SUMPRODUCT((G$4:G$21&lt;&gt;"")*(H$4:H$21&lt;&gt;"")),""))</f>
        <v/>
      </c>
      <c r="B18" s="6" t="s">
        <v>130</v>
      </c>
      <c r="C18" s="7" t="s">
        <v>9</v>
      </c>
      <c r="D18" s="5">
        <v>2004</v>
      </c>
      <c r="E18" s="15">
        <f>SUM(K18:S18)</f>
        <v>217.815</v>
      </c>
      <c r="F18" s="3" t="str">
        <f>IF(G18&lt;&gt;"","P","")</f>
        <v/>
      </c>
      <c r="G18" s="125" t="str">
        <f>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Merit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Excellence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Worlds Team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National Team",""))))</f>
        <v/>
      </c>
      <c r="H18" s="125" t="str">
        <f>IF(OR(AND(AS18&gt;=AY$30,AS18&lt;&gt;"",AP18=""),AND(AU18&gt;=AY$30,AU18&lt;&gt;"",AP18=""),AND(AX18&gt;=AY$30,AX18&lt;&gt;"",AP18=""),AND(BW18&gt;=CC$30,BW18&lt;&gt;"",BT18=""),AND(BY18&gt;=CC$30,BY18&lt;&gt;"",BT18=""),AND(CB18&gt;=CC$30,CB18&lt;&gt;"",BT18=""),AND(DA18&gt;=DG$30,DA18&lt;&gt;"",CX18=""),AND(DC18&gt;=DG$30,DC18&lt;&gt;"",CX18=""),AND(DF18&gt;=DG$30,DF18&lt;&gt;"",CX18=""),AND(EC18&gt;=EG$30,EC18&lt;&gt;""),AND(EF18&gt;=EG$30,EF18&lt;&gt;""),AND(EY18&gt;=FC$30,EY18&lt;&gt;""),AND(FB18&gt;=FC$30,FB18&lt;&gt;""),AND(FU18&gt;=FY$30,FU18&lt;&gt;""),AND(FX18&gt;=FY$30,FX18&lt;&gt;""),AND(GQ18&gt;=GU$30,GQ18&lt;&gt;""),AND(GT18&gt;=GU$30,GT18&lt;&gt;""),AND(HM18&gt;=HQ$30,HM18&lt;&gt;""),AND(HP18&gt;=HQ$30,HP18&lt;&gt;""),AND(II18&gt;=IM$30,II18&lt;&gt;""),AND(IL18&gt;=IM$30,IL18&lt;&gt;""),AND(JE18&gt;=JI$30,JE18&lt;&gt;""),AND(JH18&gt;=JI$30,JH18&lt;&gt;""),AND(KA18&gt;=KE$30,KA18&lt;&gt;""),AND(KD18&gt;=KE$30,KD18&lt;&gt;""),AND(KW18&gt;=LA$30,KW18&lt;&gt;""),AND(KZ18&gt;=LA$30,KZ18&lt;&gt;""),AND(LS18&gt;=LW$30,LS18&lt;&gt;""),AND(LV18&gt;=LW$30,LV18&lt;&gt;""),AND(MO18&gt;=MS$30,MO18&lt;&gt;""),AND(MR18&gt;=MS$30,MR18&lt;&gt;""),AND(NK18&gt;=NO$30,NK18&lt;&gt;""),AND(NN18&gt;=NO$30,NN18&lt;&gt;"")),"Merit",IF(OR(AND(AS18&gt;=AY$29,AS18&lt;&gt;"",AP18=""),AND(AU18&gt;=AY$29,AU18&lt;&gt;"",AP18=""),AND(AX18&gt;=AY$29,AX18&lt;&gt;"",AP18=""),AND(BW18&gt;=CC$29,BW18&lt;&gt;"",BT18=""),AND(BY18&gt;=CC$29,BY18&lt;&gt;"",BT18=""),AND(CB18&gt;=CC$29,CB18&lt;&gt;"",BT18=""),AND(DA18&gt;=DG$29,DA18&lt;&gt;"",CX18=""),AND(DC18&gt;=DG$29,DC18&lt;&gt;"",CX18=""),AND(DF18&gt;=DG$29,DF18&lt;&gt;"",CX18=""),AND(EC18&gt;=EG$29,EC18&lt;&gt;""),AND(EF18&gt;=EG$29,EF18&lt;&gt;""),AND(EY18&gt;=FC$29,EY18&lt;&gt;""),AND(FB18&gt;=FC$29,FB18&lt;&gt;""),AND(FU18&gt;=FY$29,FU18&lt;&gt;""),AND(FX18&gt;=FY$29,FX18&lt;&gt;""),AND(GQ18&gt;=GU$29,GQ18&lt;&gt;""),AND(GT18&gt;=GU$29,GT18&lt;&gt;""),AND(HM18&gt;=HQ$29,HM18&lt;&gt;""),AND(HP18&gt;=HQ$29,HP18&lt;&gt;""),AND(II18&gt;=IM$29,II18&lt;&gt;""),AND(IL18&gt;=IM$29,IL18&lt;&gt;""),AND(JE18&gt;=JI$29,JE18&lt;&gt;""),AND(JH18&gt;=JI$29,JH18&lt;&gt;""),AND(KA18&gt;=KE$29,KA18&lt;&gt;""),AND(KD18&gt;=KE$29,KD18&lt;&gt;""),AND(KW18&gt;=LA$29,KW18&lt;&gt;""),AND(KZ18&gt;=LA$29,KZ18&lt;&gt;""),AND(LS18&gt;=LW$29,LS18&lt;&gt;""),AND(LV18&gt;=LW$29,LV18&lt;&gt;""),AND(MO18&gt;=MS$29,MO18&lt;&gt;""),AND(MR18&gt;=MS$29,MR18&lt;&gt;""),AND(NK18&gt;=NO$29,NK18&lt;&gt;""),AND(NN18&gt;=NO$29,NN18&lt;&gt;"")),"Excellence",IF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"Worlds Team",IF(OR(AND(AV18&gt;=AY$27,AV18&lt;&gt;"",AP18=""),AND(BZ18&gt;=CC$27,BZ18&lt;&gt;"",BT18=""),AND(DD18&gt;=DG$27,DD18&lt;&gt;"",CX18=""),AND(ED18&gt;=EG$27,ED18&lt;&gt;""),AND(EZ18&gt;=FC$27,EZ18&lt;&gt;""),AND(FV18&gt;=FY$27,FV18&lt;&gt;""),AND(GR18&gt;=GU$27,GR18&lt;&gt;""),AND(HN18&gt;=HQ$27,HN18&lt;&gt;""),AND(IJ18&gt;=IM$27,IJ18&lt;&gt;""),AND(JF18&gt;=JI$27,JF18&lt;&gt;""),AND(KB18&gt;=KE$27,KB18&lt;&gt;""),AND(KX18&gt;=LA$27,KX18&lt;&gt;""),AND(LT18&gt;=LW$27,LT18&lt;&gt;""),AND(MP18&gt;=MS$27,MP18&lt;&gt;""),AND(NL18&gt;=NO$27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OR(G18="Worlds Team",G18="Excellence",G18="Merit")),"P","")</f>
        <v/>
      </c>
      <c r="K18" s="14">
        <f>IF(MAX(AV18,BZ18,DD18)&gt;0,MAX(AV18,BZ18,DD18),0)</f>
        <v>96.43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45.739999999999995</v>
      </c>
      <c r="N18" s="14" t="str">
        <f>IF(M18=0,"",IF(AND(M18=CY18,$L18&lt;&gt;$CD$1),$CD$1,IF(AND(M18=BU18,$L18&lt;&gt;$AZ$1),$AZ$1,IF(AND(M18=AQ18,$L18&lt;&gt;$V$1),$V$1,""))))</f>
        <v>2021 2nd Virtual Technical Trial</v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38.155000000000001</v>
      </c>
      <c r="P18" s="14" t="str">
        <f>IF(O18=0,"",IF(OR(O18=DC18,O18=DA18),$CD$1,IF(OR(O18=BY18,O18=BW18),$AZ$1,IF(OR(O18=AU18,O18=AS18),$V$1,""))))</f>
        <v>2021 Canadian Championships</v>
      </c>
      <c r="Q18" s="14">
        <f>MAX(AX18,CB18,DF18)</f>
        <v>37.489999999999995</v>
      </c>
      <c r="R18" s="14" t="str">
        <f>IF(Q18=0,"",IF(Q18=DF18,$CD$1,IF(Q18=CB18,$AZ$1,IF(Q18=AX18,$V$1,""))))</f>
        <v>2021 2nd Virtual Technical Trial</v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>
        <v>16.899999999999999</v>
      </c>
      <c r="W18" s="69">
        <v>9.4</v>
      </c>
      <c r="X18" s="69">
        <v>3.5</v>
      </c>
      <c r="Y18" s="69">
        <v>15.94</v>
      </c>
      <c r="Z18" s="69">
        <v>0</v>
      </c>
      <c r="AA18" s="69">
        <v>1.6</v>
      </c>
      <c r="AB18" s="69">
        <v>0.9</v>
      </c>
      <c r="AC18" s="69">
        <v>1.7</v>
      </c>
      <c r="AD18" s="69">
        <v>1.615</v>
      </c>
      <c r="AE18" s="69">
        <v>0</v>
      </c>
      <c r="AF18" s="69">
        <v>5.8</v>
      </c>
      <c r="AG18" s="69">
        <v>3.4</v>
      </c>
      <c r="AH18" s="69">
        <v>5.4</v>
      </c>
      <c r="AI18" s="69">
        <v>6.03</v>
      </c>
      <c r="AJ18" s="69">
        <v>0</v>
      </c>
      <c r="AK18" s="69">
        <v>10.9</v>
      </c>
      <c r="AL18" s="69">
        <v>6.5</v>
      </c>
      <c r="AM18" s="69">
        <v>9.4</v>
      </c>
      <c r="AN18" s="69">
        <v>10.69</v>
      </c>
      <c r="AO18" s="69">
        <v>0</v>
      </c>
      <c r="AP18" s="80"/>
      <c r="AQ18" s="11">
        <f>IF(SUM(V18:Y18)-Z18&gt;0,SUM(V18:Y18)-Z18,"")</f>
        <v>45.739999999999995</v>
      </c>
      <c r="AR18" s="11">
        <f>IF(AC18&gt;0,AC18,"")</f>
        <v>1.7</v>
      </c>
      <c r="AS18" s="11">
        <f>IF(SUM(AA18:AD18)-AE18&gt;0,SUM(AA18:AD18)-AE18,"")</f>
        <v>5.8150000000000004</v>
      </c>
      <c r="AT18" s="11">
        <f>IF(AH18&gt;0,AH18,"")</f>
        <v>5.4</v>
      </c>
      <c r="AU18" s="11">
        <f>IF(SUM(AF18:AI18)-AJ18&gt;0,SUM(AF18:AI18)-AJ18,"")</f>
        <v>20.63</v>
      </c>
      <c r="AV18" s="11">
        <f>IF(AQ18="",IF(MAX(AS18,AU18)&gt;0,MAX(AS18,AU18),""),MAX(AS18,AU18)+AQ18)</f>
        <v>66.36999999999999</v>
      </c>
      <c r="AW18" s="11">
        <f>IF(AM18&gt;0,AM18,"")</f>
        <v>9.4</v>
      </c>
      <c r="AX18" s="11">
        <f>IF(SUM(AK18:AN18)-AO18&gt;0,SUM(AK18:AN18)-AO18,"")</f>
        <v>37.489999999999995</v>
      </c>
      <c r="AY18" s="11">
        <f>IF(SUM(AV18,AX18)&gt;0,SUM(AV18,AX18),"")</f>
        <v>103.85999999999999</v>
      </c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81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9">
        <v>16</v>
      </c>
      <c r="CE18" s="69">
        <v>9.3000000000000007</v>
      </c>
      <c r="CF18" s="69">
        <v>3.3</v>
      </c>
      <c r="CG18" s="69">
        <v>15.77</v>
      </c>
      <c r="CH18" s="69">
        <v>0</v>
      </c>
      <c r="CI18" s="69">
        <v>10.9</v>
      </c>
      <c r="CJ18" s="69">
        <v>7.3</v>
      </c>
      <c r="CK18" s="69">
        <v>8.3000000000000007</v>
      </c>
      <c r="CL18" s="69">
        <v>11.654999999999999</v>
      </c>
      <c r="CM18" s="69">
        <v>0</v>
      </c>
      <c r="CN18" s="69">
        <v>15</v>
      </c>
      <c r="CO18" s="69">
        <v>9.3000000000000007</v>
      </c>
      <c r="CP18" s="69">
        <v>13.1</v>
      </c>
      <c r="CQ18" s="69">
        <v>15.06</v>
      </c>
      <c r="CR18" s="69">
        <v>0.4</v>
      </c>
      <c r="CS18" s="69">
        <v>5.9</v>
      </c>
      <c r="CT18" s="69">
        <v>3.9</v>
      </c>
      <c r="CU18" s="69">
        <v>5.4</v>
      </c>
      <c r="CV18" s="69">
        <v>6.085</v>
      </c>
      <c r="CW18" s="69">
        <v>0</v>
      </c>
      <c r="CX18" s="80"/>
      <c r="CY18" s="11">
        <f>IF(SUM(CD18:CG18)-CH18&gt;0,SUM(CD18:CG18)-CH18,"")</f>
        <v>44.370000000000005</v>
      </c>
      <c r="CZ18" s="11">
        <f>IF(CK18&gt;0,CK18,"")</f>
        <v>8.3000000000000007</v>
      </c>
      <c r="DA18" s="11">
        <f>IF(SUM(CI18:CL18)-CM18&gt;0,SUM(CI18:CL18)-CM18,"")</f>
        <v>38.155000000000001</v>
      </c>
      <c r="DB18" s="11">
        <f>IF(CP18&gt;0,CP18,"")</f>
        <v>13.1</v>
      </c>
      <c r="DC18" s="11">
        <f>IF(SUM(CN18:CQ18)-CR18&gt;0,SUM(CN18:CQ18)-CR18,"")</f>
        <v>52.06</v>
      </c>
      <c r="DD18" s="11">
        <f>IF(CY18="",IF(MAX(DA18,DC18)&gt;0,MAX(DA18,DC18),""),MAX(DA18,DC18)+CY18)</f>
        <v>96.43</v>
      </c>
      <c r="DE18" s="11">
        <f>IF(CU18&gt;0,CU18,"")</f>
        <v>5.4</v>
      </c>
      <c r="DF18" s="11">
        <f>IF(SUM(CS18:CV18)-CW18&gt;0,SUM(CS18:CV18)-CW18,"")</f>
        <v>21.285</v>
      </c>
      <c r="DG18" s="11">
        <f>IF(SUM(DD18,DF18)&gt;0,SUM(DD18,DF18),"")</f>
        <v>117.715</v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8</v>
      </c>
      <c r="NQ18" s="69">
        <f>IF($CX18="P",CE18,(CE18+BA18)/2)</f>
        <v>4.6500000000000004</v>
      </c>
      <c r="NR18" s="69">
        <f>IF($CX18="P",CF18,(CF18+BB18)/2)</f>
        <v>1.65</v>
      </c>
      <c r="NS18" s="69">
        <f>IF($CX18="P",CG18,(CG18+BC18)/2)</f>
        <v>7.8849999999999998</v>
      </c>
      <c r="NT18" s="69">
        <f>IF($CX18="P",CH18,(CH18+BD18)/2)</f>
        <v>0</v>
      </c>
      <c r="NU18" s="69">
        <f>IF($CX18="P",CI18,(CI18+BE18)/2)</f>
        <v>5.45</v>
      </c>
      <c r="NV18" s="69">
        <f>IF($CX18="P",CJ18,(CJ18+BF18)/2)</f>
        <v>3.65</v>
      </c>
      <c r="NW18" s="69">
        <f>IF($CX18="P",CK18,(CK18+BG18)/2)</f>
        <v>4.1500000000000004</v>
      </c>
      <c r="NX18" s="69">
        <f>IF($CX18="P",CL18,(CL18+BH18)/2)</f>
        <v>5.8274999999999997</v>
      </c>
      <c r="NY18" s="69">
        <f>IF($CX18="P",CM18,(CM18+BI18)/2)</f>
        <v>0</v>
      </c>
      <c r="NZ18" s="69">
        <f>IF($CX18="P",CN18,(CN18+BJ18)/2)</f>
        <v>7.5</v>
      </c>
      <c r="OA18" s="69">
        <f>IF($CX18="P",CO18,(CO18+BK18)/2)</f>
        <v>4.6500000000000004</v>
      </c>
      <c r="OB18" s="69">
        <f>IF($CX18="P",CP18,(CP18+BL18)/2)</f>
        <v>6.55</v>
      </c>
      <c r="OC18" s="69">
        <f>IF($CX18="P",CQ18,(CQ18+BM18)/2)</f>
        <v>7.53</v>
      </c>
      <c r="OD18" s="69">
        <f>IF($CX18="P",CR18,(CR18+BN18)/2)</f>
        <v>0.2</v>
      </c>
      <c r="OE18" s="69">
        <f>IF($CX18="P",CS18,(CS18+BO18)/2)</f>
        <v>2.95</v>
      </c>
      <c r="OF18" s="69">
        <f>IF($CX18="P",CT18,(CT18+BP18)/2)</f>
        <v>1.95</v>
      </c>
      <c r="OG18" s="69">
        <f>IF($CX18="P",CU18,(CU18+BQ18)/2)</f>
        <v>2.7</v>
      </c>
      <c r="OH18" s="69">
        <f>IF($CX18="P",CV18,(CV18+BR18)/2)</f>
        <v>3.0425</v>
      </c>
      <c r="OI18" s="69">
        <f>IF($CX18="P",CW18,(CW18+BS18)/2)</f>
        <v>0</v>
      </c>
      <c r="OJ18" s="80" t="s">
        <v>74</v>
      </c>
      <c r="OK18" s="11">
        <f>IF(SUM(NP18:NS18)-NT18&gt;0,SUM(NP18:NS18)-NT18,"")</f>
        <v>22.185000000000002</v>
      </c>
      <c r="OL18" s="11">
        <f>IF(NW18&gt;0,NW18,"")</f>
        <v>4.1500000000000004</v>
      </c>
      <c r="OM18" s="11">
        <f>IF(SUM(NU18:NX18)-NY18&gt;0,SUM(NU18:NX18)-NY18,"")</f>
        <v>19.077500000000001</v>
      </c>
      <c r="ON18" s="11">
        <f>IF(OB18&gt;0,OB18,"")</f>
        <v>6.55</v>
      </c>
      <c r="OO18" s="11">
        <f>IF(SUM(NZ18:OC18)-OD18&gt;0,SUM(NZ18:OC18)-OD18,"")</f>
        <v>26.03</v>
      </c>
      <c r="OP18" s="11">
        <f>IF(OR(OK18&lt;&gt;"",OM18&lt;&gt;"",OO18&lt;&gt;""),OK18+MAX(OM18,OO18),"")</f>
        <v>48.215000000000003</v>
      </c>
      <c r="OQ18" s="11">
        <f>IF(OG18&gt;0,OG18,"")</f>
        <v>2.7</v>
      </c>
      <c r="OR18" s="11">
        <f t="shared" si="0"/>
        <v>10.6425</v>
      </c>
      <c r="OS18" s="11">
        <f t="shared" si="1"/>
        <v>58.857500000000002</v>
      </c>
    </row>
    <row r="19" spans="1:409" x14ac:dyDescent="0.2">
      <c r="A19" s="5" t="str" cm="1">
        <f t="array" ref="A19">IF(AND(G19&lt;&gt;"",H19&lt;&gt;""),SUMPRODUCT((G$4:G$21&lt;&gt;"")*(H$4:H$21&lt;&gt;"")*(E$4:E$21&gt;E19))+1,IF(H19&lt;&gt;"",SUMPRODUCT((I$4:I$21="No DD")*(E$4:E$21&gt;E19))+1+SUMPRODUCT((G$4:G$21&lt;&gt;"")*(H$4:H$21&lt;&gt;"")),""))</f>
        <v/>
      </c>
      <c r="B19" s="6" t="s">
        <v>120</v>
      </c>
      <c r="C19" s="7" t="s">
        <v>9</v>
      </c>
      <c r="D19" s="5">
        <v>2000</v>
      </c>
      <c r="E19" s="15">
        <f>SUM(K19:S19)</f>
        <v>208.995</v>
      </c>
      <c r="F19" s="3" t="str">
        <f>IF(G19&lt;&gt;"","P","")</f>
        <v/>
      </c>
      <c r="G19" s="125" t="str">
        <f>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Merit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Excellence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Worlds Team",IF(OR(AND(AR19&gt;=AY$23,AR19&lt;&gt;"",AP19=""),AND(AT19&gt;=AY$23,AT19&lt;&gt;"",AP19=""),AND(AW19&gt;=AY$23,AW19&lt;&gt;"",AP19=""),AND(BV19&gt;=CC$23,BV19&lt;&gt;"",BT19=""),AND(BX19&gt;=CC$23,BX19&lt;&gt;"",BT19=""),AND(CA19&gt;=CC$23,CA19&lt;&gt;"",BT19=""),AND(CZ19&gt;=DG$23,CZ19&lt;&gt;"",CX19=""),AND(DB19&gt;=DG$23,DB19&lt;&gt;"",CX19=""),AND(DE19&gt;=DG$23,DE19&lt;&gt;"",CX19=""),AND(EA19&gt;=EG$23,EA19&lt;&gt;""),AND(EE19&gt;=EG$23,EE19&lt;&gt;""),AND(EW19&gt;=FC$23,EW19&lt;&gt;""),AND(FA19&gt;=FC$23,FA19&lt;&gt;""),AND(FS19&gt;=FY$23,FS19&lt;&gt;""),AND(FW19&gt;=FY$23,FW19&lt;&gt;""),AND(GO19&gt;=GU$23,GO19&lt;&gt;""),AND(GS19&gt;=GU$23,GS19&lt;&gt;""),AND(HK19&gt;=HQ$23,HK19&lt;&gt;""),AND(HO19&gt;=HQ$23,HO19&lt;&gt;""),AND(IG19&gt;=IM$23,IG19&lt;&gt;""),AND(IK19&gt;=IM$23,IK19&lt;&gt;""),AND(JC19&gt;=JI$23,JC19&lt;&gt;""),AND(JG19&gt;=JI$23,JG19&lt;&gt;""),AND(JY19&gt;=KE$23,JY19&lt;&gt;""),AND(KC19&gt;=KE$23,KC19&lt;&gt;""),AND(KU19&gt;=LA$23,KU19&lt;&gt;""),AND(KY19&gt;=LA$23,KY19&lt;&gt;""),AND(LQ19&gt;=LW$23,LQ19&lt;&gt;""),AND(LU19&gt;=LW$23,LU19&lt;&gt;""),AND(MM19&gt;=MS$23,MM19&lt;&gt;""),AND(MQ19&gt;=MS$23,MQ19&lt;&gt;""),AND(NI19&gt;=NO$23,NI19&lt;&gt;""),AND(NM19&gt;=NO$23,NM19&lt;&gt;"")),"National Team",""))))</f>
        <v/>
      </c>
      <c r="H19" s="125" t="str">
        <f>IF(OR(AND(AS19&gt;=AY$30,AS19&lt;&gt;"",AP19=""),AND(AU19&gt;=AY$30,AU19&lt;&gt;"",AP19=""),AND(AX19&gt;=AY$30,AX19&lt;&gt;"",AP19=""),AND(BW19&gt;=CC$30,BW19&lt;&gt;"",BT19=""),AND(BY19&gt;=CC$30,BY19&lt;&gt;"",BT19=""),AND(CB19&gt;=CC$30,CB19&lt;&gt;"",BT19=""),AND(DA19&gt;=DG$30,DA19&lt;&gt;"",CX19=""),AND(DC19&gt;=DG$30,DC19&lt;&gt;"",CX19=""),AND(DF19&gt;=DG$30,DF19&lt;&gt;"",CX19=""),AND(EC19&gt;=EG$30,EC19&lt;&gt;""),AND(EF19&gt;=EG$30,EF19&lt;&gt;""),AND(EY19&gt;=FC$30,EY19&lt;&gt;""),AND(FB19&gt;=FC$30,FB19&lt;&gt;""),AND(FU19&gt;=FY$30,FU19&lt;&gt;""),AND(FX19&gt;=FY$30,FX19&lt;&gt;""),AND(GQ19&gt;=GU$30,GQ19&lt;&gt;""),AND(GT19&gt;=GU$30,GT19&lt;&gt;""),AND(HM19&gt;=HQ$30,HM19&lt;&gt;""),AND(HP19&gt;=HQ$30,HP19&lt;&gt;""),AND(II19&gt;=IM$30,II19&lt;&gt;""),AND(IL19&gt;=IM$30,IL19&lt;&gt;""),AND(JE19&gt;=JI$30,JE19&lt;&gt;""),AND(JH19&gt;=JI$30,JH19&lt;&gt;""),AND(KA19&gt;=KE$30,KA19&lt;&gt;""),AND(KD19&gt;=KE$30,KD19&lt;&gt;""),AND(KW19&gt;=LA$30,KW19&lt;&gt;""),AND(KZ19&gt;=LA$30,KZ19&lt;&gt;""),AND(LS19&gt;=LW$30,LS19&lt;&gt;""),AND(LV19&gt;=LW$30,LV19&lt;&gt;""),AND(MO19&gt;=MS$30,MO19&lt;&gt;""),AND(MR19&gt;=MS$30,MR19&lt;&gt;""),AND(NK19&gt;=NO$30,NK19&lt;&gt;""),AND(NN19&gt;=NO$30,NN19&lt;&gt;"")),"Merit",IF(OR(AND(AS19&gt;=AY$29,AS19&lt;&gt;"",AP19=""),AND(AU19&gt;=AY$29,AU19&lt;&gt;"",AP19=""),AND(AX19&gt;=AY$29,AX19&lt;&gt;"",AP19=""),AND(BW19&gt;=CC$29,BW19&lt;&gt;"",BT19=""),AND(BY19&gt;=CC$29,BY19&lt;&gt;"",BT19=""),AND(CB19&gt;=CC$29,CB19&lt;&gt;"",BT19=""),AND(DA19&gt;=DG$29,DA19&lt;&gt;"",CX19=""),AND(DC19&gt;=DG$29,DC19&lt;&gt;"",CX19=""),AND(DF19&gt;=DG$29,DF19&lt;&gt;"",CX19=""),AND(EC19&gt;=EG$29,EC19&lt;&gt;""),AND(EF19&gt;=EG$29,EF19&lt;&gt;""),AND(EY19&gt;=FC$29,EY19&lt;&gt;""),AND(FB19&gt;=FC$29,FB19&lt;&gt;""),AND(FU19&gt;=FY$29,FU19&lt;&gt;""),AND(FX19&gt;=FY$29,FX19&lt;&gt;""),AND(GQ19&gt;=GU$29,GQ19&lt;&gt;""),AND(GT19&gt;=GU$29,GT19&lt;&gt;""),AND(HM19&gt;=HQ$29,HM19&lt;&gt;""),AND(HP19&gt;=HQ$29,HP19&lt;&gt;""),AND(II19&gt;=IM$29,II19&lt;&gt;""),AND(IL19&gt;=IM$29,IL19&lt;&gt;""),AND(JE19&gt;=JI$29,JE19&lt;&gt;""),AND(JH19&gt;=JI$29,JH19&lt;&gt;""),AND(KA19&gt;=KE$29,KA19&lt;&gt;""),AND(KD19&gt;=KE$29,KD19&lt;&gt;""),AND(KW19&gt;=LA$29,KW19&lt;&gt;""),AND(KZ19&gt;=LA$29,KZ19&lt;&gt;""),AND(LS19&gt;=LW$29,LS19&lt;&gt;""),AND(LV19&gt;=LW$29,LV19&lt;&gt;""),AND(MO19&gt;=MS$29,MO19&lt;&gt;""),AND(MR19&gt;=MS$29,MR19&lt;&gt;""),AND(NK19&gt;=NO$29,NK19&lt;&gt;""),AND(NN19&gt;=NO$29,NN19&lt;&gt;"")),"Excellence",IF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"Worlds Team",IF(OR(AND(AV19&gt;=AY$27,AV19&lt;&gt;"",AP19=""),AND(BZ19&gt;=CC$27,BZ19&lt;&gt;"",BT19=""),AND(DD19&gt;=DG$27,DD19&lt;&gt;"",CX19=""),AND(ED19&gt;=EG$27,ED19&lt;&gt;""),AND(EZ19&gt;=FC$27,EZ19&lt;&gt;""),AND(FV19&gt;=FY$27,FV19&lt;&gt;""),AND(GR19&gt;=GU$27,GR19&lt;&gt;""),AND(HN19&gt;=HQ$27,HN19&lt;&gt;""),AND(IJ19&gt;=IM$27,IJ19&lt;&gt;""),AND(JF19&gt;=JI$27,JF19&lt;&gt;""),AND(KB19&gt;=KE$27,KB19&lt;&gt;""),AND(KX19&gt;=LA$27,KX19&lt;&gt;""),AND(LT19&gt;=LW$27,LT19&lt;&gt;""),AND(MP19&gt;=MS$27,MP19&lt;&gt;""),AND(NL19&gt;=NO$27,NL19&lt;&gt;"")),"National Team",""))))</f>
        <v/>
      </c>
      <c r="I19" s="12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OR(G19="Worlds Team",G19="Excellence",G19="Merit")),"P","")</f>
        <v/>
      </c>
      <c r="K19" s="14">
        <f>IF(MAX(AV19,BZ19,DD19)&gt;0,MAX(AV19,BZ19,DD19),0)</f>
        <v>100.80500000000001</v>
      </c>
      <c r="L19" s="14" t="str">
        <f>IF(K19=0,"",IF(K19=DD19,$CD$1,IF(K19=BZ19,$AZ$1,IF(K19=AV19,$V$1,""))))</f>
        <v>2021 2nd Virtual Technical Trial</v>
      </c>
      <c r="M19" s="14">
        <f>IF($K19=$AV19,MAX(BU19,CY19),IF($K19=$BZ19,MAX(AQ19,CY19),IF($K19=$DD19,MAX(AQ19,BU19),MAX(AQ19,BU19,CY19))))</f>
        <v>37.185000000000002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IF(K19-N(AQ19)=AS19,MAX(AU19,BW19,BY19,DA19,DC19),IF(K19-N(AQ19)=AU19,MAX(AS19,BW19,BY19,DA19,DC19),IF(K19-N(BU19)=BW19,MAX(AS19,AU19,BY19,DA19,DC19),IF(K19-N(BU19)=BY19,MAX(AS19,AU19,BW19,DA19,DC19),IF(K19-N(CY19)=DA19,MAX(AS19,AU19,BW19,BY19,DC19),IF(K19-N(CY19)=DC19,MAX(AS19,AU19,BW19,BY19,DA19),MAX(AS19,AU19,BW19,BY19,DA19,DC19)))))))</f>
        <v>15.795000000000002</v>
      </c>
      <c r="P19" s="14" t="str">
        <f>IF(O19=0,"",IF(OR(O19=DC19,O19=DA19),$CD$1,IF(OR(O19=BY19,O19=BW19),$AZ$1,IF(OR(O19=AU19,O19=AS19),$V$1,""))))</f>
        <v>2021 2nd Virtual Technical Trial</v>
      </c>
      <c r="Q19" s="14">
        <f>MAX(AX19,CB19,DF19)</f>
        <v>55.209999999999994</v>
      </c>
      <c r="R19" s="14" t="str">
        <f>IF(Q19=0,"",IF(Q19=DF19,$CD$1,IF(Q19=CB19,$AZ$1,IF(Q19=AX19,$V$1,""))))</f>
        <v>2021 2nd Virtual Technical Trial</v>
      </c>
      <c r="S19" s="14" t="str">
        <f>IF(MAX(DH19,DI19,DJ19,DK19)&gt;0,MAX(DH19,DI19,DJ19,DK19),"")</f>
        <v/>
      </c>
      <c r="T19" s="25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9">
        <v>17.7</v>
      </c>
      <c r="W19" s="69">
        <v>9</v>
      </c>
      <c r="X19" s="69">
        <v>4.0999999999999996</v>
      </c>
      <c r="Y19" s="69">
        <v>17.745000000000001</v>
      </c>
      <c r="Z19" s="69">
        <v>0</v>
      </c>
      <c r="AA19" s="69">
        <v>16.2</v>
      </c>
      <c r="AB19" s="69">
        <v>8.6</v>
      </c>
      <c r="AC19" s="69">
        <v>12.2</v>
      </c>
      <c r="AD19" s="69">
        <v>16.559999999999999</v>
      </c>
      <c r="AE19" s="69">
        <v>1.3</v>
      </c>
      <c r="AF19" s="69">
        <v>4.9000000000000004</v>
      </c>
      <c r="AG19" s="69">
        <v>2.2000000000000002</v>
      </c>
      <c r="AH19" s="69">
        <v>3.5</v>
      </c>
      <c r="AI19" s="69">
        <v>5.1950000000000003</v>
      </c>
      <c r="AJ19" s="69">
        <v>0</v>
      </c>
      <c r="AK19" s="69">
        <v>16.2</v>
      </c>
      <c r="AL19" s="69">
        <v>8.6999999999999993</v>
      </c>
      <c r="AM19" s="69">
        <v>13.7</v>
      </c>
      <c r="AN19" s="69">
        <v>16.61</v>
      </c>
      <c r="AO19" s="69">
        <v>0</v>
      </c>
      <c r="AP19" s="80"/>
      <c r="AQ19" s="11">
        <f>IF(SUM(V19:Y19)-Z19&gt;0,SUM(V19:Y19)-Z19,"")</f>
        <v>48.545000000000002</v>
      </c>
      <c r="AR19" s="11">
        <f>IF(AC19&gt;0,AC19,"")</f>
        <v>12.2</v>
      </c>
      <c r="AS19" s="11">
        <f>IF(SUM(AA19:AD19)-AE19&gt;0,SUM(AA19:AD19)-AE19,"")</f>
        <v>52.260000000000005</v>
      </c>
      <c r="AT19" s="11">
        <f>IF(AH19&gt;0,AH19,"")</f>
        <v>3.5</v>
      </c>
      <c r="AU19" s="11">
        <f>IF(SUM(AF19:AI19)-AJ19&gt;0,SUM(AF19:AI19)-AJ19,"")</f>
        <v>15.795000000000002</v>
      </c>
      <c r="AV19" s="11">
        <f>IF(AQ19="",IF(MAX(AS19,AU19)&gt;0,MAX(AS19,AU19),""),MAX(AS19,AU19)+AQ19)</f>
        <v>100.80500000000001</v>
      </c>
      <c r="AW19" s="11">
        <f>IF(AM19&gt;0,AM19,"")</f>
        <v>13.7</v>
      </c>
      <c r="AX19" s="11">
        <f>IF(SUM(AK19:AN19)-AO19&gt;0,SUM(AK19:AN19)-AO19,"")</f>
        <v>55.209999999999994</v>
      </c>
      <c r="AY19" s="11">
        <f>IF(SUM(AV19,AX19)&gt;0,SUM(AV19,AX19),"")</f>
        <v>156.01499999999999</v>
      </c>
      <c r="AZ19" s="75">
        <v>13.5</v>
      </c>
      <c r="BA19" s="75">
        <v>7.3</v>
      </c>
      <c r="BB19" s="75">
        <v>2.2999999999999998</v>
      </c>
      <c r="BC19" s="75">
        <v>14.085000000000001</v>
      </c>
      <c r="BD19" s="75">
        <v>0</v>
      </c>
      <c r="BE19" s="75">
        <v>0</v>
      </c>
      <c r="BF19" s="75">
        <v>0</v>
      </c>
      <c r="BG19" s="75">
        <v>0</v>
      </c>
      <c r="BH19" s="75">
        <v>0</v>
      </c>
      <c r="BI19" s="75">
        <v>0</v>
      </c>
      <c r="BJ19" s="75">
        <v>3.3</v>
      </c>
      <c r="BK19" s="75">
        <v>1.9</v>
      </c>
      <c r="BL19" s="75">
        <v>3.4</v>
      </c>
      <c r="BM19" s="75">
        <v>3.5649999999999999</v>
      </c>
      <c r="BN19" s="75">
        <v>0</v>
      </c>
      <c r="BO19" s="75"/>
      <c r="BP19" s="75"/>
      <c r="BQ19" s="75"/>
      <c r="BR19" s="75"/>
      <c r="BS19" s="75"/>
      <c r="BT19" s="81"/>
      <c r="BU19" s="14">
        <f>IF(SUM(AZ19:BC19)-BD19&gt;0,SUM(AZ19:BC19)-BD19,"")</f>
        <v>37.185000000000002</v>
      </c>
      <c r="BV19" s="14" t="str">
        <f>IF(BG19&gt;0,BG19,"")</f>
        <v/>
      </c>
      <c r="BW19" s="14" t="str">
        <f>IF(SUM(BE19:BH19)-BI19&gt;0,SUM(BE19:BH19)-BI19,"")</f>
        <v/>
      </c>
      <c r="BX19" s="14">
        <f>IF(BL19&gt;0,BL19,"")</f>
        <v>3.4</v>
      </c>
      <c r="BY19" s="14">
        <f>IF(SUM(BJ19:BM19)-BN19&gt;0,SUM(BJ19:BM19)-BN19,"")</f>
        <v>12.164999999999999</v>
      </c>
      <c r="BZ19" s="14">
        <f>IF(BU19="",IF(MAX(BW19,BY19)&gt;0,MAX(BW19,BY19),""),MAX(BW19,BY19)+BU19)</f>
        <v>49.35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49.35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4" t="str">
        <f>IF(MAX(EB19,EX19,FT19,GP19,HL19,IH19,JD19,JZ19,KV19,LR19,MN19,NJ19)-IF(M19="",0,M19)&gt;0.001,MAX(EB19,EX19,FT19,GP19,HL19,IH19,JD19,JZ19,KV19,LR19,MN19,NJ19)-IF(M19="",0,M19),"")</f>
        <v/>
      </c>
      <c r="DI19" s="24" t="str">
        <f>IF(MAX(EC19,EY19,FU19,GQ19,HM19,II19,JE19,KA19,KW19,LS19,MO19,NK19)-IF(O19="",0,O19)&gt;0.001,MAX(EC19,EY19,FU19,GQ19,HM19,II19,JE19,KA19,KW19,LS19,MO19,NK19)-IF(O19="",0,O19),"")</f>
        <v/>
      </c>
      <c r="DJ19" s="24" t="str">
        <f>IF(MAX(ED19,EZ19,FV19,GR19,HN19,IJ19,JF19,KB19,KX19,LT19,MP19,NL19)-IF(K19="",0,K19)&gt;0.001,MAX(ED19,EZ19,FV19,GR19,HN19,IJ19,JF19,KB19,KX19,LT19,MP19,NL19)-IF(K19="",0,K19),"")</f>
        <v/>
      </c>
      <c r="DK19" s="24" t="str">
        <f>IF(MAX(EF19,FB19,FX19,GT19,HP19,IL19,JH19,KD19,KZ19,LV19,MR19,NN19)-IF(Q19="",0,Q19)&gt;0.001,MAX(EF19,FB19,FX19,GT19,HP19,IL19,JH19,KD19,KZ19,LV19,MR19,NN19)-IF(Q19="",0,Q19),"")</f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9">
        <f>IF($CX19="P",CD19,(CD19+AZ19)/2)</f>
        <v>6.75</v>
      </c>
      <c r="NQ19" s="69">
        <f>IF($CX19="P",CE19,(CE19+BA19)/2)</f>
        <v>3.65</v>
      </c>
      <c r="NR19" s="69">
        <f>IF($CX19="P",CF19,(CF19+BB19)/2)</f>
        <v>1.1499999999999999</v>
      </c>
      <c r="NS19" s="69">
        <f>IF($CX19="P",CG19,(CG19+BC19)/2)</f>
        <v>7.0425000000000004</v>
      </c>
      <c r="NT19" s="69">
        <f>IF($CX19="P",CH19,(CH19+BD19)/2)</f>
        <v>0</v>
      </c>
      <c r="NU19" s="69">
        <f>IF($CX19="P",CI19,(CI19+BE19)/2)</f>
        <v>0</v>
      </c>
      <c r="NV19" s="69">
        <f>IF($CX19="P",CJ19,(CJ19+BF19)/2)</f>
        <v>0</v>
      </c>
      <c r="NW19" s="69">
        <f>IF($CX19="P",CK19,(CK19+BG19)/2)</f>
        <v>0</v>
      </c>
      <c r="NX19" s="69">
        <f>IF($CX19="P",CL19,(CL19+BH19)/2)</f>
        <v>0</v>
      </c>
      <c r="NY19" s="69">
        <f>IF($CX19="P",CM19,(CM19+BI19)/2)</f>
        <v>0</v>
      </c>
      <c r="NZ19" s="69">
        <f>IF($CX19="P",CN19,(CN19+BJ19)/2)</f>
        <v>1.65</v>
      </c>
      <c r="OA19" s="69">
        <f>IF($CX19="P",CO19,(CO19+BK19)/2)</f>
        <v>0.95</v>
      </c>
      <c r="OB19" s="69">
        <f>IF($CX19="P",CP19,(CP19+BL19)/2)</f>
        <v>1.7</v>
      </c>
      <c r="OC19" s="69">
        <f>IF($CX19="P",CQ19,(CQ19+BM19)/2)</f>
        <v>1.7825</v>
      </c>
      <c r="OD19" s="69">
        <f>IF($CX19="P",CR19,(CR19+BN19)/2)</f>
        <v>0</v>
      </c>
      <c r="OE19" s="69">
        <f>IF($CX19="P",CS19,(CS19+BO19)/2)</f>
        <v>0</v>
      </c>
      <c r="OF19" s="69">
        <f>IF($CX19="P",CT19,(CT19+BP19)/2)</f>
        <v>0</v>
      </c>
      <c r="OG19" s="69">
        <f>IF($CX19="P",CU19,(CU19+BQ19)/2)</f>
        <v>0</v>
      </c>
      <c r="OH19" s="69">
        <f>IF($CX19="P",CV19,(CV19+BR19)/2)</f>
        <v>0</v>
      </c>
      <c r="OI19" s="69">
        <f>IF($CX19="P",CW19,(CW19+BS19)/2)</f>
        <v>0</v>
      </c>
      <c r="OJ19" s="80" t="s">
        <v>74</v>
      </c>
      <c r="OK19" s="11">
        <f>IF(SUM(NP19:NS19)-NT19&gt;0,SUM(NP19:NS19)-NT19,"")</f>
        <v>18.592500000000001</v>
      </c>
      <c r="OL19" s="11" t="str">
        <f>IF(NW19&gt;0,NW19,"")</f>
        <v/>
      </c>
      <c r="OM19" s="11" t="str">
        <f>IF(SUM(NU19:NX19)-NY19&gt;0,SUM(NU19:NX19)-NY19,"")</f>
        <v/>
      </c>
      <c r="ON19" s="11">
        <f>IF(OB19&gt;0,OB19,"")</f>
        <v>1.7</v>
      </c>
      <c r="OO19" s="11">
        <f>IF(SUM(NZ19:OC19)-OD19&gt;0,SUM(NZ19:OC19)-OD19,"")</f>
        <v>6.0824999999999996</v>
      </c>
      <c r="OP19" s="11">
        <f>IF(OR(OK19&lt;&gt;"",OM19&lt;&gt;"",OO19&lt;&gt;""),OK19+MAX(OM19,OO19),"")</f>
        <v>24.675000000000001</v>
      </c>
      <c r="OQ19" s="11" t="str">
        <f>IF(OG19&gt;0,OG19,"")</f>
        <v/>
      </c>
      <c r="OR19" s="11" t="str">
        <f t="shared" si="0"/>
        <v/>
      </c>
      <c r="OS19" s="11">
        <f t="shared" si="1"/>
        <v>24.675000000000001</v>
      </c>
    </row>
    <row r="20" spans="1:409" x14ac:dyDescent="0.2">
      <c r="A20" s="5" t="str" cm="1">
        <f t="array" ref="A20">IF(AND(G20&lt;&gt;"",H20&lt;&gt;""),SUMPRODUCT((G$4:G$21&lt;&gt;"")*(H$4:H$21&lt;&gt;"")*(E$4:E$21&gt;E20))+1,IF(H20&lt;&gt;"",SUMPRODUCT((I$4:I$21="No DD")*(E$4:E$21&gt;E20))+1+SUMPRODUCT((G$4:G$21&lt;&gt;"")*(H$4:H$21&lt;&gt;"")),""))</f>
        <v/>
      </c>
      <c r="B20" s="6" t="s">
        <v>136</v>
      </c>
      <c r="C20" s="7" t="s">
        <v>9</v>
      </c>
      <c r="D20" s="5">
        <v>2002</v>
      </c>
      <c r="E20" s="15">
        <f>SUM(K20:S20)</f>
        <v>207.26499999999999</v>
      </c>
      <c r="F20" s="3" t="str">
        <f>IF(G20&lt;&gt;"","P","")</f>
        <v/>
      </c>
      <c r="G20" s="125" t="str">
        <f>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Merit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Excellence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Worlds Team",IF(OR(AND(AR20&gt;=AY$23,AR20&lt;&gt;"",AP20=""),AND(AT20&gt;=AY$23,AT20&lt;&gt;"",AP20=""),AND(AW20&gt;=AY$23,AW20&lt;&gt;"",AP20=""),AND(BV20&gt;=CC$23,BV20&lt;&gt;"",BT20=""),AND(BX20&gt;=CC$23,BX20&lt;&gt;"",BT20=""),AND(CA20&gt;=CC$23,CA20&lt;&gt;"",BT20=""),AND(CZ20&gt;=DG$23,CZ20&lt;&gt;"",CX20=""),AND(DB20&gt;=DG$23,DB20&lt;&gt;"",CX20=""),AND(DE20&gt;=DG$23,DE20&lt;&gt;"",CX20=""),AND(EA20&gt;=EG$23,EA20&lt;&gt;""),AND(EE20&gt;=EG$23,EE20&lt;&gt;""),AND(EW20&gt;=FC$23,EW20&lt;&gt;""),AND(FA20&gt;=FC$23,FA20&lt;&gt;""),AND(FS20&gt;=FY$23,FS20&lt;&gt;""),AND(FW20&gt;=FY$23,FW20&lt;&gt;""),AND(GO20&gt;=GU$23,GO20&lt;&gt;""),AND(GS20&gt;=GU$23,GS20&lt;&gt;""),AND(HK20&gt;=HQ$23,HK20&lt;&gt;""),AND(HO20&gt;=HQ$23,HO20&lt;&gt;""),AND(IG20&gt;=IM$23,IG20&lt;&gt;""),AND(IK20&gt;=IM$23,IK20&lt;&gt;""),AND(JC20&gt;=JI$23,JC20&lt;&gt;""),AND(JG20&gt;=JI$23,JG20&lt;&gt;""),AND(JY20&gt;=KE$23,JY20&lt;&gt;""),AND(KC20&gt;=KE$23,KC20&lt;&gt;""),AND(KU20&gt;=LA$23,KU20&lt;&gt;""),AND(KY20&gt;=LA$23,KY20&lt;&gt;""),AND(LQ20&gt;=LW$23,LQ20&lt;&gt;""),AND(LU20&gt;=LW$23,LU20&lt;&gt;""),AND(MM20&gt;=MS$23,MM20&lt;&gt;""),AND(MQ20&gt;=MS$23,MQ20&lt;&gt;""),AND(NI20&gt;=NO$23,NI20&lt;&gt;""),AND(NM20&gt;=NO$23,NM20&lt;&gt;"")),"National Team",""))))</f>
        <v/>
      </c>
      <c r="H20" s="125" t="str">
        <f>IF(OR(AND(AS20&gt;=AY$30,AS20&lt;&gt;"",AP20=""),AND(AU20&gt;=AY$30,AU20&lt;&gt;"",AP20=""),AND(AX20&gt;=AY$30,AX20&lt;&gt;"",AP20=""),AND(BW20&gt;=CC$30,BW20&lt;&gt;"",BT20=""),AND(BY20&gt;=CC$30,BY20&lt;&gt;"",BT20=""),AND(CB20&gt;=CC$30,CB20&lt;&gt;"",BT20=""),AND(DA20&gt;=DG$30,DA20&lt;&gt;"",CX20=""),AND(DC20&gt;=DG$30,DC20&lt;&gt;"",CX20=""),AND(DF20&gt;=DG$30,DF20&lt;&gt;"",CX20=""),AND(EC20&gt;=EG$30,EC20&lt;&gt;""),AND(EF20&gt;=EG$30,EF20&lt;&gt;""),AND(EY20&gt;=FC$30,EY20&lt;&gt;""),AND(FB20&gt;=FC$30,FB20&lt;&gt;""),AND(FU20&gt;=FY$30,FU20&lt;&gt;""),AND(FX20&gt;=FY$30,FX20&lt;&gt;""),AND(GQ20&gt;=GU$30,GQ20&lt;&gt;""),AND(GT20&gt;=GU$30,GT20&lt;&gt;""),AND(HM20&gt;=HQ$30,HM20&lt;&gt;""),AND(HP20&gt;=HQ$30,HP20&lt;&gt;""),AND(II20&gt;=IM$30,II20&lt;&gt;""),AND(IL20&gt;=IM$30,IL20&lt;&gt;""),AND(JE20&gt;=JI$30,JE20&lt;&gt;""),AND(JH20&gt;=JI$30,JH20&lt;&gt;""),AND(KA20&gt;=KE$30,KA20&lt;&gt;""),AND(KD20&gt;=KE$30,KD20&lt;&gt;""),AND(KW20&gt;=LA$30,KW20&lt;&gt;""),AND(KZ20&gt;=LA$30,KZ20&lt;&gt;""),AND(LS20&gt;=LW$30,LS20&lt;&gt;""),AND(LV20&gt;=LW$30,LV20&lt;&gt;""),AND(MO20&gt;=MS$30,MO20&lt;&gt;""),AND(MR20&gt;=MS$30,MR20&lt;&gt;""),AND(NK20&gt;=NO$30,NK20&lt;&gt;""),AND(NN20&gt;=NO$30,NN20&lt;&gt;"")),"Merit",IF(OR(AND(AS20&gt;=AY$29,AS20&lt;&gt;"",AP20=""),AND(AU20&gt;=AY$29,AU20&lt;&gt;"",AP20=""),AND(AX20&gt;=AY$29,AX20&lt;&gt;"",AP20=""),AND(BW20&gt;=CC$29,BW20&lt;&gt;"",BT20=""),AND(BY20&gt;=CC$29,BY20&lt;&gt;"",BT20=""),AND(CB20&gt;=CC$29,CB20&lt;&gt;"",BT20=""),AND(DA20&gt;=DG$29,DA20&lt;&gt;"",CX20=""),AND(DC20&gt;=DG$29,DC20&lt;&gt;"",CX20=""),AND(DF20&gt;=DG$29,DF20&lt;&gt;"",CX20=""),AND(EC20&gt;=EG$29,EC20&lt;&gt;""),AND(EF20&gt;=EG$29,EF20&lt;&gt;""),AND(EY20&gt;=FC$29,EY20&lt;&gt;""),AND(FB20&gt;=FC$29,FB20&lt;&gt;""),AND(FU20&gt;=FY$29,FU20&lt;&gt;""),AND(FX20&gt;=FY$29,FX20&lt;&gt;""),AND(GQ20&gt;=GU$29,GQ20&lt;&gt;""),AND(GT20&gt;=GU$29,GT20&lt;&gt;""),AND(HM20&gt;=HQ$29,HM20&lt;&gt;""),AND(HP20&gt;=HQ$29,HP20&lt;&gt;""),AND(II20&gt;=IM$29,II20&lt;&gt;""),AND(IL20&gt;=IM$29,IL20&lt;&gt;""),AND(JE20&gt;=JI$29,JE20&lt;&gt;""),AND(JH20&gt;=JI$29,JH20&lt;&gt;""),AND(KA20&gt;=KE$29,KA20&lt;&gt;""),AND(KD20&gt;=KE$29,KD20&lt;&gt;""),AND(KW20&gt;=LA$29,KW20&lt;&gt;""),AND(KZ20&gt;=LA$29,KZ20&lt;&gt;""),AND(LS20&gt;=LW$29,LS20&lt;&gt;""),AND(LV20&gt;=LW$29,LV20&lt;&gt;""),AND(MO20&gt;=MS$29,MO20&lt;&gt;""),AND(MR20&gt;=MS$29,MR20&lt;&gt;""),AND(NK20&gt;=NO$29,NK20&lt;&gt;""),AND(NN20&gt;=NO$29,NN20&lt;&gt;"")),"Excellence",IF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"Worlds Team",IF(OR(AND(AV20&gt;=AY$27,AV20&lt;&gt;"",AP20=""),AND(BZ20&gt;=CC$27,BZ20&lt;&gt;"",BT20=""),AND(DD20&gt;=DG$27,DD20&lt;&gt;"",CX20=""),AND(ED20&gt;=EG$27,ED20&lt;&gt;""),AND(EZ20&gt;=FC$27,EZ20&lt;&gt;""),AND(FV20&gt;=FY$27,FV20&lt;&gt;""),AND(GR20&gt;=GU$27,GR20&lt;&gt;""),AND(HN20&gt;=HQ$27,HN20&lt;&gt;""),AND(IJ20&gt;=IM$27,IJ20&lt;&gt;""),AND(JF20&gt;=JI$27,JF20&lt;&gt;""),AND(KB20&gt;=KE$27,KB20&lt;&gt;""),AND(KX20&gt;=LA$27,KX20&lt;&gt;""),AND(LT20&gt;=LW$27,LT20&lt;&gt;""),AND(MP20&gt;=MS$27,MP20&lt;&gt;""),AND(NL20&gt;=NO$27,NL20&lt;&gt;"")),"National Team",""))))</f>
        <v/>
      </c>
      <c r="I20" s="12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OR(G20="Worlds Team",G20="Excellence",G20="Merit")),"P","")</f>
        <v/>
      </c>
      <c r="K20" s="14">
        <f>IF(MAX(AV20,BZ20,DD20)&gt;0,MAX(AV20,BZ20,DD20),0)</f>
        <v>96.63</v>
      </c>
      <c r="L20" s="14" t="str">
        <f>IF(K20=0,"",IF(K20=DD20,$CD$1,IF(K20=BZ20,$AZ$1,IF(K20=AV20,$V$1,""))))</f>
        <v>2021 Elite Canada</v>
      </c>
      <c r="M20" s="14">
        <f>IF($K20=$AV20,MAX(BU20,CY20),IF($K20=$BZ20,MAX(AQ20,CY20),IF($K20=$DD20,MAX(AQ20,BU20),MAX(AQ20,BU20,CY20))))</f>
        <v>33.974999999999994</v>
      </c>
      <c r="N20" s="14" t="str">
        <f>IF(M20=0,"",IF(AND(M20=CY20,$L20&lt;&gt;$CD$1),$CD$1,IF(AND(M20=BU20,$L20&lt;&gt;$AZ$1),$AZ$1,IF(AND(M20=AQ20,$L20&lt;&gt;$V$1),$V$1,""))))</f>
        <v>2021 Canadian Championships</v>
      </c>
      <c r="O20" s="14">
        <f>IF(K20-N(AQ20)=AS20,MAX(AU20,BW20,BY20,DA20,DC20),IF(K20-N(AQ20)=AU20,MAX(AS20,BW20,BY20,DA20,DC20),IF(K20-N(BU20)=BW20,MAX(AS20,AU20,BY20,DA20,DC20),IF(K20-N(BU20)=BY20,MAX(AS20,AU20,BW20,DA20,DC20),IF(K20-N(CY20)=DA20,MAX(AS20,AU20,BW20,BY20,DC20),IF(K20-N(CY20)=DC20,MAX(AS20,AU20,BW20,BY20,DA20),MAX(AS20,AU20,BW20,BY20,DA20,DC20)))))))</f>
        <v>43.92</v>
      </c>
      <c r="P20" s="14" t="str">
        <f>IF(O20=0,"",IF(OR(O20=DC20,O20=DA20),$CD$1,IF(OR(O20=BY20,O20=BW20),$AZ$1,IF(OR(O20=AU20,O20=AS20),$V$1,""))))</f>
        <v>2021 Canadian Championships</v>
      </c>
      <c r="Q20" s="14">
        <f>MAX(AX20,CB20,DF20)</f>
        <v>32.74</v>
      </c>
      <c r="R20" s="14" t="str">
        <f>IF(Q20=0,"",IF(Q20=DF20,$CD$1,IF(Q20=CB20,$AZ$1,IF(Q20=AX20,$V$1,""))))</f>
        <v>2021 Elite Canada</v>
      </c>
      <c r="S20" s="14" t="str">
        <f>IF(MAX(DH20,DI20,DJ20,DK20)&gt;0,MAX(DH20,DI20,DJ20,DK20),"")</f>
        <v/>
      </c>
      <c r="T20" s="25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75">
        <v>16.600000000000001</v>
      </c>
      <c r="BA20" s="75">
        <v>9.1999999999999993</v>
      </c>
      <c r="BB20" s="75">
        <v>2.7</v>
      </c>
      <c r="BC20" s="75">
        <v>16.8</v>
      </c>
      <c r="BD20" s="75">
        <v>0</v>
      </c>
      <c r="BE20" s="75">
        <v>14.1</v>
      </c>
      <c r="BF20" s="75">
        <v>8.9</v>
      </c>
      <c r="BG20" s="75">
        <v>12.6</v>
      </c>
      <c r="BH20" s="75">
        <v>15.73</v>
      </c>
      <c r="BI20" s="75">
        <v>0</v>
      </c>
      <c r="BJ20" s="75">
        <v>1.4</v>
      </c>
      <c r="BK20" s="75">
        <v>0.8</v>
      </c>
      <c r="BL20" s="75">
        <v>2</v>
      </c>
      <c r="BM20" s="75">
        <v>1.7350000000000001</v>
      </c>
      <c r="BN20" s="75">
        <v>0</v>
      </c>
      <c r="BO20" s="75">
        <v>9</v>
      </c>
      <c r="BP20" s="75">
        <v>5.4</v>
      </c>
      <c r="BQ20" s="75">
        <v>8.6</v>
      </c>
      <c r="BR20" s="75">
        <v>9.74</v>
      </c>
      <c r="BS20" s="75">
        <v>0</v>
      </c>
      <c r="BT20" s="81"/>
      <c r="BU20" s="14">
        <f>IF(SUM(AZ20:BC20)-BD20&gt;0,SUM(AZ20:BC20)-BD20,"")</f>
        <v>45.3</v>
      </c>
      <c r="BV20" s="14">
        <f>IF(BG20&gt;0,BG20,"")</f>
        <v>12.6</v>
      </c>
      <c r="BW20" s="14">
        <f>IF(SUM(BE20:BH20)-BI20&gt;0,SUM(BE20:BH20)-BI20,"")</f>
        <v>51.33</v>
      </c>
      <c r="BX20" s="14">
        <f>IF(BL20&gt;0,BL20,"")</f>
        <v>2</v>
      </c>
      <c r="BY20" s="14">
        <f>IF(SUM(BJ20:BM20)-BN20&gt;0,SUM(BJ20:BM20)-BN20,"")</f>
        <v>5.9350000000000005</v>
      </c>
      <c r="BZ20" s="14">
        <f>IF(BU20="",IF(MAX(BW20,BY20)&gt;0,MAX(BW20,BY20),""),MAX(BW20,BY20)+BU20)</f>
        <v>96.63</v>
      </c>
      <c r="CA20" s="14">
        <f>IF(BQ20&gt;0,BQ20,"")</f>
        <v>8.6</v>
      </c>
      <c r="CB20" s="14">
        <f>IF(SUM(BO20:BR20)-BS20&gt;0,SUM(BO20:BR20)-BS20,"")</f>
        <v>32.74</v>
      </c>
      <c r="CC20" s="14">
        <f>IF(SUM(BZ20,CB20)&gt;0,SUM(BZ20,CB20),"")</f>
        <v>129.37</v>
      </c>
      <c r="CD20" s="69">
        <v>12.4</v>
      </c>
      <c r="CE20" s="69">
        <v>7</v>
      </c>
      <c r="CF20" s="69">
        <v>0.9</v>
      </c>
      <c r="CG20" s="69">
        <v>13.675000000000001</v>
      </c>
      <c r="CH20" s="69">
        <v>0</v>
      </c>
      <c r="CI20" s="69">
        <v>1.4</v>
      </c>
      <c r="CJ20" s="69">
        <v>1</v>
      </c>
      <c r="CK20" s="69">
        <v>2</v>
      </c>
      <c r="CL20" s="69">
        <v>1.7150000000000001</v>
      </c>
      <c r="CM20" s="69">
        <v>0</v>
      </c>
      <c r="CN20" s="69">
        <v>12</v>
      </c>
      <c r="CO20" s="69">
        <v>7.7</v>
      </c>
      <c r="CP20" s="69">
        <v>11</v>
      </c>
      <c r="CQ20" s="69">
        <v>13.22</v>
      </c>
      <c r="CR20" s="69">
        <v>0</v>
      </c>
      <c r="CS20" s="69">
        <v>4.4000000000000004</v>
      </c>
      <c r="CT20" s="69">
        <v>2.8</v>
      </c>
      <c r="CU20" s="69">
        <v>4.5</v>
      </c>
      <c r="CV20" s="69">
        <v>5.03</v>
      </c>
      <c r="CW20" s="69">
        <v>0</v>
      </c>
      <c r="CX20" s="80"/>
      <c r="CY20" s="11">
        <f>IF(SUM(CD20:CG20)-CH20&gt;0,SUM(CD20:CG20)-CH20,"")</f>
        <v>33.974999999999994</v>
      </c>
      <c r="CZ20" s="11">
        <f>IF(CK20&gt;0,CK20,"")</f>
        <v>2</v>
      </c>
      <c r="DA20" s="11">
        <f>IF(SUM(CI20:CL20)-CM20&gt;0,SUM(CI20:CL20)-CM20,"")</f>
        <v>6.1150000000000002</v>
      </c>
      <c r="DB20" s="11">
        <f>IF(CP20&gt;0,CP20,"")</f>
        <v>11</v>
      </c>
      <c r="DC20" s="11">
        <f>IF(SUM(CN20:CQ20)-CR20&gt;0,SUM(CN20:CQ20)-CR20,"")</f>
        <v>43.92</v>
      </c>
      <c r="DD20" s="11">
        <f>IF(CY20="",IF(MAX(DA20,DC20)&gt;0,MAX(DA20,DC20),""),MAX(DA20,DC20)+CY20)</f>
        <v>77.894999999999996</v>
      </c>
      <c r="DE20" s="11">
        <f>IF(CU20&gt;0,CU20,"")</f>
        <v>4.5</v>
      </c>
      <c r="DF20" s="11">
        <f>IF(SUM(CS20:CV20)-CW20&gt;0,SUM(CS20:CV20)-CW20,"")</f>
        <v>16.73</v>
      </c>
      <c r="DG20" s="11">
        <f>IF(SUM(DD20,DF20)&gt;0,SUM(DD20,DF20),"")</f>
        <v>94.625</v>
      </c>
      <c r="DH20" s="24" t="str">
        <f>IF(MAX(EB20,EX20,FT20,GP20,HL20,IH20,JD20,JZ20,KV20,LR20,MN20,NJ20)-IF(M20="",0,M20)&gt;0.001,MAX(EB20,EX20,FT20,GP20,HL20,IH20,JD20,JZ20,KV20,LR20,MN20,NJ20)-IF(M20="",0,M20),"")</f>
        <v/>
      </c>
      <c r="DI20" s="24" t="str">
        <f>IF(MAX(EC20,EY20,FU20,GQ20,HM20,II20,JE20,KA20,KW20,LS20,MO20,NK20)-IF(O20="",0,O20)&gt;0.001,MAX(EC20,EY20,FU20,GQ20,HM20,II20,JE20,KA20,KW20,LS20,MO20,NK20)-IF(O20="",0,O20),"")</f>
        <v/>
      </c>
      <c r="DJ20" s="24" t="str">
        <f>IF(MAX(ED20,EZ20,FV20,GR20,HN20,IJ20,JF20,KB20,KX20,LT20,MP20,NL20)-IF(K20="",0,K20)&gt;0.001,MAX(ED20,EZ20,FV20,GR20,HN20,IJ20,JF20,KB20,KX20,LT20,MP20,NL20)-IF(K20="",0,K20),"")</f>
        <v/>
      </c>
      <c r="DK20" s="24" t="str">
        <f>IF(MAX(EF20,FB20,FX20,GT20,HP20,IL20,JH20,KD20,KZ20,LV20,MR20,NN20)-IF(Q20="",0,Q20)&gt;0.001,MAX(EF20,FB20,FX20,GT20,HP20,IL20,JH20,KD20,KZ20,LV20,MR20,NN20)-IF(Q20="",0,Q20),"")</f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9">
        <f>IF($CX20="P",CD20,(CD20+AZ20)/2)</f>
        <v>14.5</v>
      </c>
      <c r="NQ20" s="69">
        <f>IF($CX20="P",CE20,(CE20+BA20)/2)</f>
        <v>8.1</v>
      </c>
      <c r="NR20" s="69">
        <f>IF($CX20="P",CF20,(CF20+BB20)/2)</f>
        <v>1.8</v>
      </c>
      <c r="NS20" s="69">
        <f>IF($CX20="P",CG20,(CG20+BC20)/2)</f>
        <v>15.237500000000001</v>
      </c>
      <c r="NT20" s="69">
        <f>IF($CX20="P",CH20,(CH20+BD20)/2)</f>
        <v>0</v>
      </c>
      <c r="NU20" s="69">
        <f>IF($CX20="P",CI20,(CI20+BE20)/2)</f>
        <v>7.75</v>
      </c>
      <c r="NV20" s="69">
        <f>IF($CX20="P",CJ20,(CJ20+BF20)/2)</f>
        <v>4.95</v>
      </c>
      <c r="NW20" s="69">
        <f>IF($CX20="P",CK20,(CK20+BG20)/2)</f>
        <v>7.3</v>
      </c>
      <c r="NX20" s="69">
        <f>IF($CX20="P",CL20,(CL20+BH20)/2)</f>
        <v>8.7225000000000001</v>
      </c>
      <c r="NY20" s="69">
        <f>IF($CX20="P",CM20,(CM20+BI20)/2)</f>
        <v>0</v>
      </c>
      <c r="NZ20" s="69">
        <f>IF($CX20="P",CN20,(CN20+BJ20)/2)</f>
        <v>6.7</v>
      </c>
      <c r="OA20" s="69">
        <f>IF($CX20="P",CO20,(CO20+BK20)/2)</f>
        <v>4.25</v>
      </c>
      <c r="OB20" s="69">
        <f>IF($CX20="P",CP20,(CP20+BL20)/2)</f>
        <v>6.5</v>
      </c>
      <c r="OC20" s="69">
        <f>IF($CX20="P",CQ20,(CQ20+BM20)/2)</f>
        <v>7.4775</v>
      </c>
      <c r="OD20" s="69">
        <f>IF($CX20="P",CR20,(CR20+BN20)/2)</f>
        <v>0</v>
      </c>
      <c r="OE20" s="69">
        <f>IF($CX20="P",CS20,(CS20+BO20)/2)</f>
        <v>6.7</v>
      </c>
      <c r="OF20" s="69">
        <f>IF($CX20="P",CT20,(CT20+BP20)/2)</f>
        <v>4.0999999999999996</v>
      </c>
      <c r="OG20" s="69">
        <f>IF($CX20="P",CU20,(CU20+BQ20)/2)</f>
        <v>6.55</v>
      </c>
      <c r="OH20" s="69">
        <f>IF($CX20="P",CV20,(CV20+BR20)/2)</f>
        <v>7.3849999999999998</v>
      </c>
      <c r="OI20" s="69">
        <f>IF($CX20="P",CW20,(CW20+BS20)/2)</f>
        <v>0</v>
      </c>
      <c r="OJ20" s="80" t="s">
        <v>74</v>
      </c>
      <c r="OK20" s="11">
        <f>IF(SUM(NP20:NS20)-NT20&gt;0,SUM(NP20:NS20)-NT20,"")</f>
        <v>39.637500000000003</v>
      </c>
      <c r="OL20" s="11">
        <f>IF(NW20&gt;0,NW20,"")</f>
        <v>7.3</v>
      </c>
      <c r="OM20" s="11">
        <f>IF(SUM(NU20:NX20)-NY20&gt;0,SUM(NU20:NX20)-NY20,"")</f>
        <v>28.7225</v>
      </c>
      <c r="ON20" s="11">
        <f>IF(OB20&gt;0,OB20,"")</f>
        <v>6.5</v>
      </c>
      <c r="OO20" s="11">
        <f>IF(SUM(NZ20:OC20)-OD20&gt;0,SUM(NZ20:OC20)-OD20,"")</f>
        <v>24.927499999999998</v>
      </c>
      <c r="OP20" s="11">
        <f>IF(OR(OK20&lt;&gt;"",OM20&lt;&gt;"",OO20&lt;&gt;""),OK20+MAX(OM20,OO20),"")</f>
        <v>68.36</v>
      </c>
      <c r="OQ20" s="11">
        <f>IF(OG20&gt;0,OG20,"")</f>
        <v>6.55</v>
      </c>
      <c r="OR20" s="11">
        <f t="shared" ref="OR20" si="2">IF(SUM(OE20:OH20)-OI20&gt;0,SUM(OE20:OH20)-OI20,"")</f>
        <v>24.734999999999999</v>
      </c>
      <c r="OS20" s="11">
        <f t="shared" ref="OS20" si="3">IF(SUM(OP20,OR20)&gt;0,SUM(OP20,OR20),"")</f>
        <v>93.094999999999999</v>
      </c>
    </row>
    <row r="21" spans="1:409" x14ac:dyDescent="0.2">
      <c r="B21" s="6"/>
      <c r="D21" s="1"/>
    </row>
    <row r="22" spans="1:409" x14ac:dyDescent="0.2">
      <c r="H22" s="125"/>
      <c r="J22" s="125"/>
    </row>
    <row r="23" spans="1:409" x14ac:dyDescent="0.2">
      <c r="B23" s="70" t="s">
        <v>70</v>
      </c>
      <c r="C23" s="56"/>
      <c r="H23" s="3"/>
      <c r="AR23" s="124"/>
      <c r="AS23" s="124"/>
      <c r="AT23" s="124"/>
      <c r="AW23" s="54"/>
      <c r="AY23" s="64">
        <v>14.4</v>
      </c>
      <c r="BV23" s="124"/>
      <c r="BW23" s="124"/>
      <c r="BX23" s="124"/>
      <c r="CA23" s="54"/>
      <c r="CC23" s="64">
        <v>14.4</v>
      </c>
      <c r="CZ23" s="124"/>
      <c r="DA23" s="124"/>
      <c r="DB23" s="124"/>
      <c r="DE23" s="54"/>
      <c r="DG23" s="64">
        <v>14.4</v>
      </c>
      <c r="EA23" s="56"/>
      <c r="EE23" s="54"/>
      <c r="EG23" s="64">
        <v>14.4</v>
      </c>
      <c r="EW23" s="56"/>
      <c r="FA23" s="54"/>
      <c r="FC23" s="64">
        <v>14.4</v>
      </c>
      <c r="FS23" s="56"/>
      <c r="FW23" s="54"/>
      <c r="FY23" s="64">
        <v>14.4</v>
      </c>
      <c r="GO23" s="56"/>
      <c r="GS23" s="54"/>
      <c r="GU23" s="64">
        <v>14.4</v>
      </c>
      <c r="HK23" s="56"/>
      <c r="HO23" s="54"/>
      <c r="HQ23" s="64">
        <v>14.4</v>
      </c>
      <c r="IG23" s="56"/>
      <c r="IK23" s="54"/>
      <c r="IM23" s="64">
        <v>14.4</v>
      </c>
      <c r="JC23" s="56"/>
      <c r="JG23" s="54"/>
      <c r="JI23" s="64">
        <v>14.4</v>
      </c>
      <c r="JY23" s="56"/>
      <c r="KC23" s="54"/>
      <c r="KE23" s="64">
        <v>14.4</v>
      </c>
      <c r="KU23" s="56"/>
      <c r="KY23" s="54"/>
      <c r="LA23" s="64">
        <v>14.4</v>
      </c>
      <c r="LQ23" s="56"/>
      <c r="LU23" s="54"/>
      <c r="LW23" s="64">
        <v>14.4</v>
      </c>
      <c r="MM23" s="56"/>
      <c r="MQ23" s="54"/>
      <c r="MS23" s="64">
        <v>14.4</v>
      </c>
      <c r="NI23" s="56"/>
      <c r="NM23" s="54"/>
      <c r="NO23" s="64">
        <v>14.4</v>
      </c>
    </row>
    <row r="24" spans="1:409" x14ac:dyDescent="0.2">
      <c r="B24" s="91" t="s">
        <v>69</v>
      </c>
      <c r="C24" s="56"/>
      <c r="AR24" s="124"/>
      <c r="AS24" s="124"/>
      <c r="AT24" s="124"/>
      <c r="AW24" s="54"/>
      <c r="AY24" s="106">
        <v>15.4</v>
      </c>
      <c r="BV24" s="124"/>
      <c r="BW24" s="124"/>
      <c r="BX24" s="124"/>
      <c r="CA24" s="54"/>
      <c r="CC24" s="106">
        <v>15.4</v>
      </c>
      <c r="CZ24" s="124"/>
      <c r="DA24" s="124"/>
      <c r="DB24" s="124"/>
      <c r="DE24" s="54"/>
      <c r="DG24" s="106">
        <v>15.4</v>
      </c>
      <c r="EA24" s="56"/>
      <c r="EE24" s="54"/>
      <c r="EG24" s="106">
        <v>15.4</v>
      </c>
      <c r="EW24" s="56"/>
      <c r="FA24" s="54"/>
      <c r="FC24" s="106">
        <v>15.4</v>
      </c>
      <c r="FS24" s="56"/>
      <c r="FW24" s="54"/>
      <c r="FY24" s="106">
        <v>15.4</v>
      </c>
      <c r="GO24" s="56"/>
      <c r="GS24" s="54"/>
      <c r="GU24" s="106">
        <v>15.4</v>
      </c>
      <c r="HK24" s="56"/>
      <c r="HO24" s="54"/>
      <c r="HQ24" s="106">
        <v>15.4</v>
      </c>
      <c r="IG24" s="56"/>
      <c r="IK24" s="54"/>
      <c r="IM24" s="106">
        <v>15.4</v>
      </c>
      <c r="JC24" s="56"/>
      <c r="JG24" s="54"/>
      <c r="JI24" s="106">
        <v>15.4</v>
      </c>
      <c r="JY24" s="56"/>
      <c r="KC24" s="54"/>
      <c r="KE24" s="106">
        <v>15.4</v>
      </c>
      <c r="KU24" s="56"/>
      <c r="KY24" s="54"/>
      <c r="LA24" s="106">
        <v>15.4</v>
      </c>
      <c r="LQ24" s="56"/>
      <c r="LU24" s="54"/>
      <c r="LW24" s="106">
        <v>15.4</v>
      </c>
      <c r="MM24" s="56"/>
      <c r="MQ24" s="54"/>
      <c r="MS24" s="106">
        <v>15.4</v>
      </c>
      <c r="NI24" s="56"/>
      <c r="NM24" s="54"/>
      <c r="NO24" s="106">
        <v>15.4</v>
      </c>
    </row>
    <row r="25" spans="1:409" x14ac:dyDescent="0.2">
      <c r="A25" s="56"/>
      <c r="B25" s="92" t="s">
        <v>86</v>
      </c>
      <c r="C25" s="56"/>
      <c r="AR25" s="124"/>
      <c r="AS25" s="124"/>
      <c r="AT25" s="124"/>
      <c r="AV25" s="54"/>
      <c r="AW25" s="54"/>
      <c r="AX25" s="54"/>
      <c r="AY25" s="94">
        <v>15.4</v>
      </c>
      <c r="BV25" s="124"/>
      <c r="BW25" s="124"/>
      <c r="BX25" s="124"/>
      <c r="CA25" s="54"/>
      <c r="CC25" s="94">
        <v>15.4</v>
      </c>
      <c r="CZ25" s="124"/>
      <c r="DA25" s="124"/>
      <c r="DB25" s="124"/>
      <c r="DD25" s="54"/>
      <c r="DE25" s="54"/>
      <c r="DF25" s="54"/>
      <c r="DG25" s="94">
        <v>15.4</v>
      </c>
      <c r="EA25" s="56"/>
      <c r="EE25" s="54"/>
      <c r="EG25" s="94">
        <v>15.4</v>
      </c>
      <c r="EW25" s="56"/>
      <c r="FA25" s="54"/>
      <c r="FC25" s="94">
        <v>15.4</v>
      </c>
      <c r="FS25" s="56"/>
      <c r="FW25" s="54"/>
      <c r="FY25" s="94">
        <v>15.4</v>
      </c>
      <c r="GO25" s="56"/>
      <c r="GS25" s="54"/>
      <c r="GU25" s="94">
        <v>15.4</v>
      </c>
      <c r="HK25" s="56"/>
      <c r="HO25" s="54"/>
      <c r="HQ25" s="94">
        <v>15.4</v>
      </c>
      <c r="IG25" s="56"/>
      <c r="IK25" s="54"/>
      <c r="IM25" s="94">
        <v>15.4</v>
      </c>
      <c r="JC25" s="56"/>
      <c r="JG25" s="54"/>
      <c r="JI25" s="94">
        <v>15.4</v>
      </c>
      <c r="JY25" s="56"/>
      <c r="KC25" s="54"/>
      <c r="KE25" s="94">
        <v>15.4</v>
      </c>
      <c r="KU25" s="56"/>
      <c r="KY25" s="54"/>
      <c r="LA25" s="94">
        <v>15.4</v>
      </c>
      <c r="LQ25" s="56"/>
      <c r="LU25" s="54"/>
      <c r="LW25" s="94">
        <v>15.4</v>
      </c>
      <c r="MM25" s="56"/>
      <c r="MQ25" s="54"/>
      <c r="MS25" s="94">
        <v>15.4</v>
      </c>
      <c r="NI25" s="56"/>
      <c r="NM25" s="54"/>
      <c r="NO25" s="94">
        <v>15.4</v>
      </c>
    </row>
    <row r="26" spans="1:409" x14ac:dyDescent="0.2">
      <c r="A26" s="56"/>
      <c r="B26" s="120" t="s">
        <v>102</v>
      </c>
      <c r="C26" s="56"/>
      <c r="AR26" s="124"/>
      <c r="AS26" s="124"/>
      <c r="AT26" s="124"/>
      <c r="AV26" s="54"/>
      <c r="AW26" s="54"/>
      <c r="AX26" s="54"/>
      <c r="AY26" s="121">
        <v>15.4</v>
      </c>
      <c r="BV26" s="124"/>
      <c r="BW26" s="124"/>
      <c r="BX26" s="124"/>
      <c r="CA26" s="54"/>
      <c r="CC26" s="121">
        <v>15.4</v>
      </c>
      <c r="CZ26" s="124"/>
      <c r="DA26" s="124"/>
      <c r="DB26" s="124"/>
      <c r="DD26" s="54"/>
      <c r="DE26" s="54"/>
      <c r="DF26" s="54"/>
      <c r="DG26" s="121">
        <v>15.4</v>
      </c>
      <c r="EA26" s="56"/>
      <c r="EE26" s="54"/>
      <c r="EG26" s="121">
        <v>15.4</v>
      </c>
      <c r="EW26" s="56"/>
      <c r="FA26" s="54"/>
      <c r="FC26" s="121">
        <v>15.4</v>
      </c>
      <c r="FS26" s="56"/>
      <c r="FW26" s="54"/>
      <c r="FY26" s="121">
        <v>15.4</v>
      </c>
      <c r="GO26" s="56"/>
      <c r="GS26" s="54"/>
      <c r="GU26" s="121">
        <v>15.4</v>
      </c>
      <c r="HK26" s="56"/>
      <c r="HO26" s="54"/>
      <c r="HQ26" s="121">
        <v>15.4</v>
      </c>
      <c r="IG26" s="56"/>
      <c r="IK26" s="54"/>
      <c r="IM26" s="121">
        <v>15.4</v>
      </c>
      <c r="JC26" s="56"/>
      <c r="JG26" s="54"/>
      <c r="JI26" s="121">
        <v>15.4</v>
      </c>
      <c r="JY26" s="56"/>
      <c r="KC26" s="54"/>
      <c r="KE26" s="121">
        <v>15.4</v>
      </c>
      <c r="KU26" s="56"/>
      <c r="KY26" s="54"/>
      <c r="LA26" s="121">
        <v>15.4</v>
      </c>
      <c r="LQ26" s="56"/>
      <c r="LU26" s="54"/>
      <c r="LW26" s="121">
        <v>15.4</v>
      </c>
      <c r="MM26" s="56"/>
      <c r="MQ26" s="54"/>
      <c r="MS26" s="121">
        <v>15.4</v>
      </c>
      <c r="NI26" s="56"/>
      <c r="NM26" s="54"/>
      <c r="NO26" s="121">
        <v>15.4</v>
      </c>
    </row>
    <row r="27" spans="1:409" x14ac:dyDescent="0.2">
      <c r="A27" s="56"/>
      <c r="B27" s="118" t="s">
        <v>67</v>
      </c>
      <c r="C27" s="56"/>
      <c r="O27" s="2"/>
      <c r="AR27" s="124"/>
      <c r="AS27" s="124"/>
      <c r="AT27" s="124"/>
      <c r="AV27" s="54"/>
      <c r="AW27" s="54"/>
      <c r="AX27" s="54"/>
      <c r="AY27" s="119">
        <v>103</v>
      </c>
      <c r="BV27" s="124"/>
      <c r="BW27" s="124"/>
      <c r="BX27" s="124"/>
      <c r="CA27" s="54"/>
      <c r="CC27" s="119">
        <v>103</v>
      </c>
      <c r="CZ27" s="124"/>
      <c r="DA27" s="124"/>
      <c r="DB27" s="124"/>
      <c r="DD27" s="54"/>
      <c r="DE27" s="54"/>
      <c r="DF27" s="54"/>
      <c r="DG27" s="119">
        <v>103</v>
      </c>
      <c r="EA27" s="56"/>
      <c r="EE27" s="54"/>
      <c r="EG27" s="119">
        <v>103</v>
      </c>
      <c r="EW27" s="56"/>
      <c r="FA27" s="54"/>
      <c r="FC27" s="119">
        <v>103</v>
      </c>
      <c r="FS27" s="56"/>
      <c r="FW27" s="54"/>
      <c r="FY27" s="119">
        <v>103</v>
      </c>
      <c r="GO27" s="56"/>
      <c r="GS27" s="54"/>
      <c r="GU27" s="119">
        <v>103</v>
      </c>
      <c r="HK27" s="56"/>
      <c r="HO27" s="54"/>
      <c r="HQ27" s="119">
        <v>103</v>
      </c>
      <c r="IG27" s="56"/>
      <c r="IK27" s="54"/>
      <c r="IM27" s="119">
        <v>103</v>
      </c>
      <c r="JC27" s="56"/>
      <c r="JG27" s="54"/>
      <c r="JI27" s="119">
        <v>103</v>
      </c>
      <c r="JY27" s="56"/>
      <c r="KC27" s="54"/>
      <c r="KE27" s="119">
        <v>103</v>
      </c>
      <c r="KU27" s="56"/>
      <c r="KY27" s="54"/>
      <c r="LA27" s="119">
        <v>103</v>
      </c>
      <c r="LQ27" s="56"/>
      <c r="LU27" s="54"/>
      <c r="LW27" s="119">
        <v>103</v>
      </c>
      <c r="MM27" s="56"/>
      <c r="MQ27" s="54"/>
      <c r="MS27" s="119">
        <v>103</v>
      </c>
      <c r="NI27" s="56"/>
      <c r="NM27" s="54"/>
      <c r="NO27" s="119">
        <v>103</v>
      </c>
    </row>
    <row r="28" spans="1:409" x14ac:dyDescent="0.2">
      <c r="A28" s="56"/>
      <c r="B28" s="72" t="s">
        <v>68</v>
      </c>
      <c r="C28" s="56"/>
      <c r="O28" s="2"/>
      <c r="AR28" s="124"/>
      <c r="AS28" s="124"/>
      <c r="AT28" s="124"/>
      <c r="AV28" s="54"/>
      <c r="AW28" s="54"/>
      <c r="AX28" s="54"/>
      <c r="AY28" s="66">
        <v>105</v>
      </c>
      <c r="BV28" s="124"/>
      <c r="BW28" s="124"/>
      <c r="BX28" s="124"/>
      <c r="CA28" s="54"/>
      <c r="CC28" s="66">
        <v>105</v>
      </c>
      <c r="CZ28" s="124"/>
      <c r="DA28" s="124"/>
      <c r="DB28" s="124"/>
      <c r="DD28" s="54"/>
      <c r="DE28" s="54"/>
      <c r="DF28" s="54"/>
      <c r="DG28" s="66">
        <v>105</v>
      </c>
      <c r="EA28" s="56"/>
      <c r="EE28" s="54"/>
      <c r="EG28" s="66">
        <v>105</v>
      </c>
      <c r="EW28" s="56"/>
      <c r="FA28" s="54"/>
      <c r="FC28" s="66">
        <v>105</v>
      </c>
      <c r="FS28" s="56"/>
      <c r="FW28" s="54"/>
      <c r="FY28" s="66">
        <v>105</v>
      </c>
      <c r="GO28" s="56"/>
      <c r="GS28" s="54"/>
      <c r="GU28" s="66">
        <v>105</v>
      </c>
      <c r="HK28" s="56"/>
      <c r="HO28" s="54"/>
      <c r="HQ28" s="66">
        <v>105</v>
      </c>
      <c r="IG28" s="56"/>
      <c r="IK28" s="54"/>
      <c r="IM28" s="66">
        <v>105</v>
      </c>
      <c r="JC28" s="56"/>
      <c r="JG28" s="54"/>
      <c r="JI28" s="66">
        <v>105</v>
      </c>
      <c r="JY28" s="56"/>
      <c r="KC28" s="54"/>
      <c r="KE28" s="66">
        <v>105</v>
      </c>
      <c r="KU28" s="56"/>
      <c r="KY28" s="54"/>
      <c r="LA28" s="66">
        <v>105</v>
      </c>
      <c r="LQ28" s="56"/>
      <c r="LU28" s="54"/>
      <c r="LW28" s="66">
        <v>105</v>
      </c>
      <c r="MM28" s="56"/>
      <c r="MQ28" s="54"/>
      <c r="MS28" s="66">
        <v>105</v>
      </c>
      <c r="NI28" s="56"/>
      <c r="NM28" s="54"/>
      <c r="NO28" s="66">
        <v>105</v>
      </c>
    </row>
    <row r="29" spans="1:409" x14ac:dyDescent="0.2">
      <c r="A29" s="56"/>
      <c r="B29" s="116" t="s">
        <v>84</v>
      </c>
      <c r="C29" s="56"/>
      <c r="AR29" s="124"/>
      <c r="AS29" s="124"/>
      <c r="AT29" s="124"/>
      <c r="AV29" s="54"/>
      <c r="AW29" s="54"/>
      <c r="AX29" s="130"/>
      <c r="AY29" s="117">
        <v>58</v>
      </c>
      <c r="BV29" s="124"/>
      <c r="BW29" s="124"/>
      <c r="BX29" s="124"/>
      <c r="CA29" s="54"/>
      <c r="CB29" s="129"/>
      <c r="CC29" s="117">
        <v>58</v>
      </c>
      <c r="CZ29" s="124"/>
      <c r="DA29" s="124"/>
      <c r="DB29" s="124"/>
      <c r="DD29" s="54"/>
      <c r="DE29" s="54"/>
      <c r="DF29" s="54"/>
      <c r="DG29" s="117">
        <v>58</v>
      </c>
      <c r="EA29" s="56"/>
      <c r="EE29" s="54"/>
      <c r="EF29" s="129"/>
      <c r="EG29" s="117">
        <v>58</v>
      </c>
      <c r="EW29" s="56"/>
      <c r="FA29" s="54"/>
      <c r="FC29" s="117">
        <v>58</v>
      </c>
      <c r="FS29" s="56"/>
      <c r="FW29" s="54"/>
      <c r="FY29" s="117">
        <v>58</v>
      </c>
      <c r="GO29" s="56"/>
      <c r="GS29" s="54"/>
      <c r="GT29" s="129"/>
      <c r="GU29" s="117">
        <v>58</v>
      </c>
      <c r="HK29" s="56"/>
      <c r="HO29" s="54"/>
      <c r="HP29" s="129"/>
      <c r="HQ29" s="117">
        <v>58</v>
      </c>
      <c r="IG29" s="56"/>
      <c r="IK29" s="54"/>
      <c r="IL29" s="129"/>
      <c r="IM29" s="117">
        <v>58</v>
      </c>
      <c r="JC29" s="56"/>
      <c r="JG29" s="54"/>
      <c r="JI29" s="117">
        <v>58</v>
      </c>
      <c r="JY29" s="56"/>
      <c r="KC29" s="54"/>
      <c r="KE29" s="117">
        <v>58</v>
      </c>
      <c r="KU29" s="56"/>
      <c r="KY29" s="54"/>
      <c r="LA29" s="117">
        <v>58</v>
      </c>
      <c r="LQ29" s="56"/>
      <c r="LU29" s="54"/>
      <c r="LW29" s="117">
        <v>58</v>
      </c>
      <c r="MM29" s="56"/>
      <c r="MQ29" s="54"/>
      <c r="MS29" s="117">
        <v>58</v>
      </c>
      <c r="NI29" s="56"/>
      <c r="NM29" s="54"/>
      <c r="NO29" s="117">
        <v>58</v>
      </c>
    </row>
    <row r="30" spans="1:409" x14ac:dyDescent="0.2">
      <c r="A30" s="56"/>
      <c r="B30" s="74" t="s">
        <v>51</v>
      </c>
      <c r="C30" s="56"/>
      <c r="O30" s="2"/>
      <c r="AR30" s="124"/>
      <c r="AS30" s="124"/>
      <c r="AT30" s="124"/>
      <c r="AV30" s="54"/>
      <c r="AW30" s="54"/>
      <c r="AX30" s="54"/>
      <c r="AY30" s="68">
        <v>59.4</v>
      </c>
      <c r="BV30" s="124"/>
      <c r="BW30" s="124"/>
      <c r="BX30" s="124"/>
      <c r="CA30" s="54"/>
      <c r="CC30" s="68">
        <v>59.4</v>
      </c>
      <c r="CZ30" s="124"/>
      <c r="DA30" s="124"/>
      <c r="DB30" s="124"/>
      <c r="DD30" s="54"/>
      <c r="DE30" s="54"/>
      <c r="DF30" s="54"/>
      <c r="DG30" s="68">
        <v>59.4</v>
      </c>
      <c r="EA30" s="56"/>
      <c r="EE30" s="54"/>
      <c r="EG30" s="68">
        <v>59.4</v>
      </c>
      <c r="EW30" s="56"/>
      <c r="FA30" s="54"/>
      <c r="FC30" s="68">
        <v>59.4</v>
      </c>
      <c r="FS30" s="56"/>
      <c r="FW30" s="54"/>
      <c r="FY30" s="68">
        <v>59.4</v>
      </c>
      <c r="GO30" s="56"/>
      <c r="GS30" s="54"/>
      <c r="GU30" s="68">
        <v>59.4</v>
      </c>
      <c r="HK30" s="56"/>
      <c r="HO30" s="54"/>
      <c r="HQ30" s="68">
        <v>59.4</v>
      </c>
      <c r="IG30" s="56"/>
      <c r="IK30" s="54"/>
      <c r="IL30" s="129"/>
      <c r="IM30" s="68">
        <v>59.4</v>
      </c>
      <c r="JC30" s="56"/>
      <c r="JG30" s="54"/>
      <c r="JI30" s="68">
        <v>59.4</v>
      </c>
      <c r="JY30" s="56"/>
      <c r="KC30" s="54"/>
      <c r="KE30" s="68">
        <v>59.4</v>
      </c>
      <c r="KU30" s="56"/>
      <c r="KY30" s="54"/>
      <c r="LA30" s="68">
        <v>59.4</v>
      </c>
      <c r="LQ30" s="56"/>
      <c r="LU30" s="54"/>
      <c r="LW30" s="68">
        <v>59.4</v>
      </c>
      <c r="MM30" s="56"/>
      <c r="MQ30" s="54"/>
      <c r="MS30" s="68">
        <v>59.4</v>
      </c>
      <c r="NI30" s="56"/>
      <c r="NM30" s="54"/>
      <c r="NO30" s="68">
        <v>59.4</v>
      </c>
    </row>
    <row r="31" spans="1:409" x14ac:dyDescent="0.2">
      <c r="B31" s="82" t="s">
        <v>75</v>
      </c>
      <c r="C31" s="2"/>
      <c r="AU31" s="54"/>
      <c r="AV31" s="54"/>
      <c r="AX31" s="54"/>
      <c r="DC31" s="54"/>
      <c r="DD31" s="54"/>
      <c r="DF31" s="54"/>
      <c r="EX31" s="54"/>
    </row>
    <row r="32" spans="1:409" x14ac:dyDescent="0.2">
      <c r="A32" s="56"/>
      <c r="B32" s="56"/>
      <c r="C32" s="55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:110" ht="17" x14ac:dyDescent="0.2">
      <c r="A33" s="56"/>
      <c r="B33" s="56"/>
      <c r="C33" s="55"/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:110" ht="17" x14ac:dyDescent="0.2">
      <c r="A34" s="56"/>
      <c r="B34" s="56"/>
      <c r="C34" s="55"/>
      <c r="S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:110" ht="17" x14ac:dyDescent="0.2"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:110" ht="17" x14ac:dyDescent="0.2">
      <c r="S36" s="19"/>
      <c r="T36" s="19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110" ht="17" x14ac:dyDescent="0.2"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110" ht="17" x14ac:dyDescent="0.2">
      <c r="S38" s="19"/>
      <c r="T38" s="19"/>
      <c r="U38" s="19"/>
    </row>
    <row r="39" spans="1:110" ht="17" x14ac:dyDescent="0.2">
      <c r="S39" s="19"/>
      <c r="T39" s="19"/>
      <c r="U39" s="19"/>
    </row>
    <row r="40" spans="1:110" ht="17" x14ac:dyDescent="0.2">
      <c r="S40" s="19"/>
      <c r="T40" s="19"/>
      <c r="U40" s="19"/>
    </row>
    <row r="41" spans="1:110" ht="17" x14ac:dyDescent="0.2">
      <c r="S41" s="19"/>
      <c r="T41" s="19"/>
      <c r="U41" s="19"/>
    </row>
    <row r="42" spans="1:110" ht="17" x14ac:dyDescent="0.2">
      <c r="S42" s="19"/>
      <c r="T42" s="19"/>
      <c r="U42" s="19"/>
    </row>
    <row r="43" spans="1:110" ht="17" x14ac:dyDescent="0.2">
      <c r="S43" s="19"/>
      <c r="T43" s="19"/>
      <c r="U43" s="19"/>
    </row>
    <row r="44" spans="1:110" ht="17" x14ac:dyDescent="0.2">
      <c r="S44" s="19"/>
      <c r="T44" s="19"/>
      <c r="U44" s="19"/>
    </row>
    <row r="45" spans="1:110" ht="17" x14ac:dyDescent="0.2">
      <c r="S45" s="19"/>
      <c r="T45" s="19"/>
      <c r="U45" s="19"/>
    </row>
    <row r="46" spans="1:110" ht="17" x14ac:dyDescent="0.2">
      <c r="S46" s="19"/>
      <c r="T46" s="19"/>
      <c r="U46" s="19"/>
    </row>
    <row r="47" spans="1:110" ht="17" x14ac:dyDescent="0.2">
      <c r="S47" s="19"/>
      <c r="T47" s="19"/>
      <c r="U47" s="19"/>
    </row>
    <row r="48" spans="1:110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</sheetData>
  <sheetProtection sheet="1" formatCells="0" formatColumns="0" formatRows="0"/>
  <autoFilter ref="A1:OQ1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0">
      <sortCondition descending="1" ref="F1:F21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205" priority="4" operator="containsText" text="No DD">
      <formula>NOT(ISERROR(SEARCH("No DD",I1)))</formula>
    </cfRule>
    <cfRule type="containsText" dxfId="204" priority="5" operator="containsText" text="Merit">
      <formula>NOT(ISERROR(SEARCH("Merit",I1)))</formula>
    </cfRule>
    <cfRule type="containsText" dxfId="203" priority="6" operator="containsText" text="Excellence">
      <formula>NOT(ISERROR(SEARCH("Excellence",I1)))</formula>
    </cfRule>
    <cfRule type="containsText" dxfId="202" priority="7" operator="containsText" text="Worlds Team">
      <formula>NOT(ISERROR(SEARCH("Worlds Team",I1)))</formula>
    </cfRule>
    <cfRule type="containsText" dxfId="201" priority="8" operator="containsText" text="National Team">
      <formula>NOT(ISERROR(SEARCH("National Team",I1)))</formula>
    </cfRule>
  </conditionalFormatting>
  <conditionalFormatting sqref="V4:AY20">
    <cfRule type="expression" dxfId="200" priority="1" stopIfTrue="1">
      <formula>IF($AP4&lt;&gt;"",1,0)</formula>
    </cfRule>
  </conditionalFormatting>
  <conditionalFormatting sqref="AZ4:CC20">
    <cfRule type="expression" dxfId="199" priority="2" stopIfTrue="1">
      <formula>IF($BT4&lt;&gt;"",1,0)</formula>
    </cfRule>
  </conditionalFormatting>
  <conditionalFormatting sqref="N1:N1048576 R1:R1048576 L1:L1048576 P1:P1048576">
    <cfRule type="expression" dxfId="198" priority="9">
      <formula>IF(L1=$CD$1,1,0)</formula>
    </cfRule>
    <cfRule type="expression" dxfId="197" priority="10">
      <formula>IF(L1=$AZ$1,1,0)</formula>
    </cfRule>
    <cfRule type="expression" dxfId="196" priority="11">
      <formula>IF(L1=$V$1,1,0)</formula>
    </cfRule>
  </conditionalFormatting>
  <conditionalFormatting sqref="A1:A1048576">
    <cfRule type="expression" dxfId="195" priority="37338">
      <formula>AND(H1&lt;&gt;"",G1="")</formula>
    </cfRule>
  </conditionalFormatting>
  <conditionalFormatting sqref="CD4:DG20">
    <cfRule type="expression" dxfId="194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3" priority="50870" operator="between">
      <formula>AY$30</formula>
      <formula>1000</formula>
    </cfRule>
    <cfRule type="cellIs" dxfId="192" priority="50871" operator="between">
      <formula>AY$29</formula>
      <formula>AY$30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1" priority="50960" operator="between">
      <formula>AY$28</formula>
      <formula>1000</formula>
    </cfRule>
    <cfRule type="cellIs" dxfId="190" priority="50961" operator="between">
      <formula>AY$27</formula>
      <formula>AY$28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89" priority="51050" operator="between">
      <formula>AY$30</formula>
      <formula>1000</formula>
    </cfRule>
    <cfRule type="cellIs" dxfId="188" priority="51051" operator="between">
      <formula>AY$29</formula>
      <formula>AY$30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87" priority="51140" operator="between">
      <formula>EG$26</formula>
      <formula>1000</formula>
    </cfRule>
    <cfRule type="cellIs" dxfId="186" priority="51141" operator="between">
      <formula>EG$25</formula>
      <formula>EG$26</formula>
    </cfRule>
    <cfRule type="cellIs" dxfId="185" priority="51142" operator="between">
      <formula>EG$24</formula>
      <formula>EG$25</formula>
    </cfRule>
    <cfRule type="cellIs" dxfId="184" priority="51143" operator="between">
      <formula>EG$23</formula>
      <formula>EG$24</formula>
    </cfRule>
  </conditionalFormatting>
  <conditionalFormatting sqref="AR1:AR1048576 BV1:BV1048576 CZ1:CZ1048576">
    <cfRule type="cellIs" dxfId="183" priority="51284" operator="between">
      <formula>AY$26</formula>
      <formula>1000</formula>
    </cfRule>
    <cfRule type="cellIs" dxfId="182" priority="51285" operator="between">
      <formula>AY$25</formula>
      <formula>AY$26</formula>
    </cfRule>
    <cfRule type="cellIs" dxfId="181" priority="51286" operator="between">
      <formula>AY$24</formula>
      <formula>AY$25</formula>
    </cfRule>
    <cfRule type="cellIs" dxfId="180" priority="51287" operator="between">
      <formula>AY$23</formula>
      <formula>AY$24</formula>
    </cfRule>
  </conditionalFormatting>
  <conditionalFormatting sqref="AS1:AS1048576 BW1:BW1048576 DA1:DA1048576">
    <cfRule type="cellIs" dxfId="179" priority="51320" operator="between">
      <formula>AY$30</formula>
      <formula>1000</formula>
    </cfRule>
    <cfRule type="cellIs" dxfId="178" priority="51321" operator="between">
      <formula>AY$29</formula>
      <formula>AY$30</formula>
    </cfRule>
  </conditionalFormatting>
  <conditionalFormatting sqref="AT1:AT1048576 BX1:BX1048576 DB1:DB1048576">
    <cfRule type="cellIs" dxfId="177" priority="51338" operator="between">
      <formula>AY$26</formula>
      <formula>1000</formula>
    </cfRule>
    <cfRule type="cellIs" dxfId="176" priority="51339" operator="between">
      <formula>AY$25</formula>
      <formula>AY$26</formula>
    </cfRule>
    <cfRule type="cellIs" dxfId="175" priority="51340" operator="between">
      <formula>AY$24</formula>
      <formula>AY$25</formula>
    </cfRule>
    <cfRule type="cellIs" dxfId="174" priority="51341" operator="between">
      <formula>AY$23</formula>
      <formula>AY$24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3" priority="51374" operator="between">
      <formula>AY$26</formula>
      <formula>1000</formula>
    </cfRule>
    <cfRule type="cellIs" dxfId="172" priority="51375" operator="between">
      <formula>AY$25</formula>
      <formula>AY$26</formula>
    </cfRule>
    <cfRule type="cellIs" dxfId="171" priority="51376" operator="between">
      <formula>AY$24</formula>
      <formula>AY$25</formula>
    </cfRule>
    <cfRule type="cellIs" dxfId="170" priority="51377" operator="between">
      <formula>AY$23</formula>
      <formula>AY$24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196" width="10.83203125" hidden="1" customWidth="1"/>
    <col min="197" max="203" width="10.83203125" customWidth="1"/>
    <col min="204" max="218" width="10.83203125" hidden="1" customWidth="1"/>
    <col min="219" max="225" width="10.83203125" customWidth="1"/>
    <col min="226" max="240" width="10.83203125" hidden="1" customWidth="1"/>
    <col min="241" max="247" width="10.83203125" customWidth="1"/>
    <col min="248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141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140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 t="s">
        <v>134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 t="s">
        <v>147</v>
      </c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 t="s">
        <v>148</v>
      </c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 t="s">
        <v>158</v>
      </c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 t="s">
        <v>159</v>
      </c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112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113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12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112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113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112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113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112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113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112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113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112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113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112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113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1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21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21</v>
      </c>
      <c r="AJ3" s="112" t="s">
        <v>40</v>
      </c>
      <c r="AK3" s="112" t="s">
        <v>19</v>
      </c>
      <c r="AL3" s="112" t="s">
        <v>20</v>
      </c>
      <c r="AM3" s="112" t="s">
        <v>11</v>
      </c>
      <c r="AN3" s="112" t="s">
        <v>21</v>
      </c>
      <c r="AO3" s="112" t="s">
        <v>40</v>
      </c>
      <c r="AP3" s="112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19</v>
      </c>
      <c r="BA3" s="113" t="s">
        <v>20</v>
      </c>
      <c r="BB3" s="113" t="s">
        <v>11</v>
      </c>
      <c r="BC3" s="113" t="s">
        <v>21</v>
      </c>
      <c r="BD3" s="113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113" t="s">
        <v>19</v>
      </c>
      <c r="BK3" s="113" t="s">
        <v>20</v>
      </c>
      <c r="BL3" s="113" t="s">
        <v>11</v>
      </c>
      <c r="BM3" s="113" t="s">
        <v>21</v>
      </c>
      <c r="BN3" s="113" t="s">
        <v>40</v>
      </c>
      <c r="BO3" s="113" t="s">
        <v>19</v>
      </c>
      <c r="BP3" s="113" t="s">
        <v>20</v>
      </c>
      <c r="BQ3" s="113" t="s">
        <v>11</v>
      </c>
      <c r="BR3" s="113" t="s">
        <v>21</v>
      </c>
      <c r="BS3" s="113" t="s">
        <v>40</v>
      </c>
      <c r="BT3" s="113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19</v>
      </c>
      <c r="CE3" s="112" t="s">
        <v>20</v>
      </c>
      <c r="CF3" s="112" t="s">
        <v>11</v>
      </c>
      <c r="CG3" s="112" t="s">
        <v>21</v>
      </c>
      <c r="CH3" s="112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12" t="s">
        <v>19</v>
      </c>
      <c r="CO3" s="112" t="s">
        <v>20</v>
      </c>
      <c r="CP3" s="112" t="s">
        <v>11</v>
      </c>
      <c r="CQ3" s="112" t="s">
        <v>21</v>
      </c>
      <c r="CR3" s="112" t="s">
        <v>40</v>
      </c>
      <c r="CS3" s="112" t="s">
        <v>19</v>
      </c>
      <c r="CT3" s="112" t="s">
        <v>20</v>
      </c>
      <c r="CU3" s="112" t="s">
        <v>11</v>
      </c>
      <c r="CV3" s="112" t="s">
        <v>21</v>
      </c>
      <c r="CW3" s="112" t="s">
        <v>40</v>
      </c>
      <c r="CX3" s="112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19</v>
      </c>
      <c r="DM3" s="112" t="s">
        <v>20</v>
      </c>
      <c r="DN3" s="112" t="s">
        <v>11</v>
      </c>
      <c r="DO3" s="112" t="s">
        <v>21</v>
      </c>
      <c r="DP3" s="112" t="s">
        <v>40</v>
      </c>
      <c r="DQ3" s="112" t="s">
        <v>19</v>
      </c>
      <c r="DR3" s="112" t="s">
        <v>20</v>
      </c>
      <c r="DS3" s="112" t="s">
        <v>11</v>
      </c>
      <c r="DT3" s="112" t="s">
        <v>21</v>
      </c>
      <c r="DU3" s="112" t="s">
        <v>40</v>
      </c>
      <c r="DV3" s="112" t="s">
        <v>19</v>
      </c>
      <c r="DW3" s="112" t="s">
        <v>20</v>
      </c>
      <c r="DX3" s="112" t="s">
        <v>11</v>
      </c>
      <c r="DY3" s="112" t="s">
        <v>21</v>
      </c>
      <c r="DZ3" s="112" t="s">
        <v>40</v>
      </c>
      <c r="EA3" s="10"/>
      <c r="EB3" s="9"/>
      <c r="EC3" s="9"/>
      <c r="ED3" s="9"/>
      <c r="EE3" s="9"/>
      <c r="EF3" s="10"/>
      <c r="EG3" s="10"/>
      <c r="EH3" s="113" t="s">
        <v>19</v>
      </c>
      <c r="EI3" s="113" t="s">
        <v>20</v>
      </c>
      <c r="EJ3" s="113" t="s">
        <v>11</v>
      </c>
      <c r="EK3" s="113" t="s">
        <v>21</v>
      </c>
      <c r="EL3" s="113" t="s">
        <v>40</v>
      </c>
      <c r="EM3" s="113" t="s">
        <v>19</v>
      </c>
      <c r="EN3" s="113" t="s">
        <v>20</v>
      </c>
      <c r="EO3" s="113" t="s">
        <v>11</v>
      </c>
      <c r="EP3" s="113" t="s">
        <v>21</v>
      </c>
      <c r="EQ3" s="113" t="s">
        <v>40</v>
      </c>
      <c r="ER3" s="113" t="s">
        <v>19</v>
      </c>
      <c r="ES3" s="113" t="s">
        <v>20</v>
      </c>
      <c r="ET3" s="113" t="s">
        <v>11</v>
      </c>
      <c r="EU3" s="113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112" t="s">
        <v>19</v>
      </c>
      <c r="FE3" s="112" t="s">
        <v>20</v>
      </c>
      <c r="FF3" s="112" t="s">
        <v>11</v>
      </c>
      <c r="FG3" s="112" t="s">
        <v>21</v>
      </c>
      <c r="FH3" s="112" t="s">
        <v>40</v>
      </c>
      <c r="FI3" s="112" t="s">
        <v>19</v>
      </c>
      <c r="FJ3" s="112" t="s">
        <v>20</v>
      </c>
      <c r="FK3" s="112" t="s">
        <v>11</v>
      </c>
      <c r="FL3" s="112" t="s">
        <v>21</v>
      </c>
      <c r="FM3" s="112" t="s">
        <v>40</v>
      </c>
      <c r="FN3" s="112" t="s">
        <v>19</v>
      </c>
      <c r="FO3" s="112" t="s">
        <v>20</v>
      </c>
      <c r="FP3" s="112" t="s">
        <v>11</v>
      </c>
      <c r="FQ3" s="112" t="s">
        <v>21</v>
      </c>
      <c r="FR3" s="112" t="s">
        <v>40</v>
      </c>
      <c r="FS3" s="10"/>
      <c r="FT3" s="9"/>
      <c r="FU3" s="9"/>
      <c r="FV3" s="9"/>
      <c r="FW3" s="9"/>
      <c r="FX3" s="10"/>
      <c r="FY3" s="10"/>
      <c r="FZ3" s="113" t="s">
        <v>19</v>
      </c>
      <c r="GA3" s="113" t="s">
        <v>20</v>
      </c>
      <c r="GB3" s="113" t="s">
        <v>11</v>
      </c>
      <c r="GC3" s="113" t="s">
        <v>21</v>
      </c>
      <c r="GD3" s="113" t="s">
        <v>40</v>
      </c>
      <c r="GE3" s="113" t="s">
        <v>19</v>
      </c>
      <c r="GF3" s="113" t="s">
        <v>20</v>
      </c>
      <c r="GG3" s="113" t="s">
        <v>11</v>
      </c>
      <c r="GH3" s="113" t="s">
        <v>21</v>
      </c>
      <c r="GI3" s="113" t="s">
        <v>40</v>
      </c>
      <c r="GJ3" s="113" t="s">
        <v>19</v>
      </c>
      <c r="GK3" s="113" t="s">
        <v>20</v>
      </c>
      <c r="GL3" s="113" t="s">
        <v>11</v>
      </c>
      <c r="GM3" s="113" t="s">
        <v>21</v>
      </c>
      <c r="GN3" s="113" t="s">
        <v>40</v>
      </c>
      <c r="GO3" s="13"/>
      <c r="GP3" s="12"/>
      <c r="GQ3" s="12"/>
      <c r="GR3" s="12"/>
      <c r="GS3" s="12"/>
      <c r="GT3" s="13"/>
      <c r="GU3" s="13"/>
      <c r="GV3" s="112" t="s">
        <v>19</v>
      </c>
      <c r="GW3" s="112" t="s">
        <v>20</v>
      </c>
      <c r="GX3" s="112" t="s">
        <v>11</v>
      </c>
      <c r="GY3" s="112" t="s">
        <v>21</v>
      </c>
      <c r="GZ3" s="112" t="s">
        <v>40</v>
      </c>
      <c r="HA3" s="112" t="s">
        <v>19</v>
      </c>
      <c r="HB3" s="112" t="s">
        <v>20</v>
      </c>
      <c r="HC3" s="112" t="s">
        <v>11</v>
      </c>
      <c r="HD3" s="112" t="s">
        <v>21</v>
      </c>
      <c r="HE3" s="112" t="s">
        <v>40</v>
      </c>
      <c r="HF3" s="112" t="s">
        <v>19</v>
      </c>
      <c r="HG3" s="112" t="s">
        <v>20</v>
      </c>
      <c r="HH3" s="112" t="s">
        <v>11</v>
      </c>
      <c r="HI3" s="112" t="s">
        <v>21</v>
      </c>
      <c r="HJ3" s="112" t="s">
        <v>40</v>
      </c>
      <c r="HK3" s="10"/>
      <c r="HL3" s="9"/>
      <c r="HM3" s="9"/>
      <c r="HN3" s="9"/>
      <c r="HO3" s="9"/>
      <c r="HP3" s="10"/>
      <c r="HQ3" s="10"/>
      <c r="HR3" s="113" t="s">
        <v>19</v>
      </c>
      <c r="HS3" s="113" t="s">
        <v>20</v>
      </c>
      <c r="HT3" s="113" t="s">
        <v>11</v>
      </c>
      <c r="HU3" s="113" t="s">
        <v>21</v>
      </c>
      <c r="HV3" s="113" t="s">
        <v>40</v>
      </c>
      <c r="HW3" s="113" t="s">
        <v>19</v>
      </c>
      <c r="HX3" s="113" t="s">
        <v>20</v>
      </c>
      <c r="HY3" s="113" t="s">
        <v>11</v>
      </c>
      <c r="HZ3" s="113" t="s">
        <v>21</v>
      </c>
      <c r="IA3" s="113" t="s">
        <v>40</v>
      </c>
      <c r="IB3" s="113" t="s">
        <v>19</v>
      </c>
      <c r="IC3" s="113" t="s">
        <v>20</v>
      </c>
      <c r="ID3" s="113" t="s">
        <v>11</v>
      </c>
      <c r="IE3" s="113" t="s">
        <v>21</v>
      </c>
      <c r="IF3" s="113" t="s">
        <v>40</v>
      </c>
      <c r="IG3" s="13"/>
      <c r="IH3" s="12"/>
      <c r="II3" s="12"/>
      <c r="IJ3" s="12"/>
      <c r="IK3" s="12"/>
      <c r="IL3" s="13"/>
      <c r="IM3" s="13"/>
      <c r="IN3" s="112" t="s">
        <v>19</v>
      </c>
      <c r="IO3" s="112" t="s">
        <v>20</v>
      </c>
      <c r="IP3" s="112" t="s">
        <v>11</v>
      </c>
      <c r="IQ3" s="112" t="s">
        <v>21</v>
      </c>
      <c r="IR3" s="112" t="s">
        <v>40</v>
      </c>
      <c r="IS3" s="112" t="s">
        <v>19</v>
      </c>
      <c r="IT3" s="112" t="s">
        <v>20</v>
      </c>
      <c r="IU3" s="112" t="s">
        <v>11</v>
      </c>
      <c r="IV3" s="112" t="s">
        <v>21</v>
      </c>
      <c r="IW3" s="112" t="s">
        <v>40</v>
      </c>
      <c r="IX3" s="112" t="s">
        <v>19</v>
      </c>
      <c r="IY3" s="112" t="s">
        <v>20</v>
      </c>
      <c r="IZ3" s="112" t="s">
        <v>11</v>
      </c>
      <c r="JA3" s="112" t="s">
        <v>21</v>
      </c>
      <c r="JB3" s="112" t="s">
        <v>40</v>
      </c>
      <c r="JC3" s="10"/>
      <c r="JD3" s="9"/>
      <c r="JE3" s="9"/>
      <c r="JF3" s="9"/>
      <c r="JG3" s="9"/>
      <c r="JH3" s="10"/>
      <c r="JI3" s="10"/>
      <c r="JJ3" s="113" t="s">
        <v>19</v>
      </c>
      <c r="JK3" s="113" t="s">
        <v>20</v>
      </c>
      <c r="JL3" s="113" t="s">
        <v>11</v>
      </c>
      <c r="JM3" s="113" t="s">
        <v>21</v>
      </c>
      <c r="JN3" s="113" t="s">
        <v>40</v>
      </c>
      <c r="JO3" s="113" t="s">
        <v>19</v>
      </c>
      <c r="JP3" s="113" t="s">
        <v>20</v>
      </c>
      <c r="JQ3" s="113" t="s">
        <v>11</v>
      </c>
      <c r="JR3" s="113" t="s">
        <v>21</v>
      </c>
      <c r="JS3" s="113" t="s">
        <v>40</v>
      </c>
      <c r="JT3" s="113" t="s">
        <v>19</v>
      </c>
      <c r="JU3" s="113" t="s">
        <v>20</v>
      </c>
      <c r="JV3" s="113" t="s">
        <v>11</v>
      </c>
      <c r="JW3" s="113" t="s">
        <v>21</v>
      </c>
      <c r="JX3" s="113" t="s">
        <v>40</v>
      </c>
      <c r="JY3" s="13"/>
      <c r="JZ3" s="12"/>
      <c r="KA3" s="12"/>
      <c r="KB3" s="12"/>
      <c r="KC3" s="12"/>
      <c r="KD3" s="13"/>
      <c r="KE3" s="13"/>
      <c r="KF3" s="112" t="s">
        <v>19</v>
      </c>
      <c r="KG3" s="112" t="s">
        <v>20</v>
      </c>
      <c r="KH3" s="112" t="s">
        <v>11</v>
      </c>
      <c r="KI3" s="112" t="s">
        <v>21</v>
      </c>
      <c r="KJ3" s="112" t="s">
        <v>40</v>
      </c>
      <c r="KK3" s="112" t="s">
        <v>19</v>
      </c>
      <c r="KL3" s="112" t="s">
        <v>20</v>
      </c>
      <c r="KM3" s="112" t="s">
        <v>11</v>
      </c>
      <c r="KN3" s="112" t="s">
        <v>21</v>
      </c>
      <c r="KO3" s="112" t="s">
        <v>40</v>
      </c>
      <c r="KP3" s="112" t="s">
        <v>19</v>
      </c>
      <c r="KQ3" s="112" t="s">
        <v>20</v>
      </c>
      <c r="KR3" s="112" t="s">
        <v>11</v>
      </c>
      <c r="KS3" s="112" t="s">
        <v>21</v>
      </c>
      <c r="KT3" s="112" t="s">
        <v>40</v>
      </c>
      <c r="KU3" s="10"/>
      <c r="KV3" s="9"/>
      <c r="KW3" s="9"/>
      <c r="KX3" s="9"/>
      <c r="KY3" s="9"/>
      <c r="KZ3" s="10"/>
      <c r="LA3" s="10"/>
      <c r="LB3" s="113" t="s">
        <v>19</v>
      </c>
      <c r="LC3" s="113" t="s">
        <v>20</v>
      </c>
      <c r="LD3" s="113" t="s">
        <v>11</v>
      </c>
      <c r="LE3" s="113" t="s">
        <v>21</v>
      </c>
      <c r="LF3" s="113" t="s">
        <v>40</v>
      </c>
      <c r="LG3" s="113" t="s">
        <v>19</v>
      </c>
      <c r="LH3" s="113" t="s">
        <v>20</v>
      </c>
      <c r="LI3" s="113" t="s">
        <v>11</v>
      </c>
      <c r="LJ3" s="113" t="s">
        <v>21</v>
      </c>
      <c r="LK3" s="113" t="s">
        <v>40</v>
      </c>
      <c r="LL3" s="113" t="s">
        <v>19</v>
      </c>
      <c r="LM3" s="113" t="s">
        <v>20</v>
      </c>
      <c r="LN3" s="113" t="s">
        <v>11</v>
      </c>
      <c r="LO3" s="113" t="s">
        <v>21</v>
      </c>
      <c r="LP3" s="113" t="s">
        <v>40</v>
      </c>
      <c r="LQ3" s="13"/>
      <c r="LR3" s="12"/>
      <c r="LS3" s="12"/>
      <c r="LT3" s="12"/>
      <c r="LU3" s="12"/>
      <c r="LV3" s="13"/>
      <c r="LW3" s="13"/>
      <c r="LX3" s="112" t="s">
        <v>19</v>
      </c>
      <c r="LY3" s="112" t="s">
        <v>20</v>
      </c>
      <c r="LZ3" s="112" t="s">
        <v>11</v>
      </c>
      <c r="MA3" s="112" t="s">
        <v>21</v>
      </c>
      <c r="MB3" s="112" t="s">
        <v>40</v>
      </c>
      <c r="MC3" s="112" t="s">
        <v>19</v>
      </c>
      <c r="MD3" s="112" t="s">
        <v>20</v>
      </c>
      <c r="ME3" s="112" t="s">
        <v>11</v>
      </c>
      <c r="MF3" s="112" t="s">
        <v>21</v>
      </c>
      <c r="MG3" s="112" t="s">
        <v>40</v>
      </c>
      <c r="MH3" s="112" t="s">
        <v>19</v>
      </c>
      <c r="MI3" s="112" t="s">
        <v>20</v>
      </c>
      <c r="MJ3" s="112" t="s">
        <v>11</v>
      </c>
      <c r="MK3" s="112" t="s">
        <v>21</v>
      </c>
      <c r="ML3" s="112" t="s">
        <v>40</v>
      </c>
      <c r="MM3" s="10"/>
      <c r="MN3" s="9"/>
      <c r="MO3" s="9"/>
      <c r="MP3" s="9"/>
      <c r="MQ3" s="9"/>
      <c r="MR3" s="10"/>
      <c r="MS3" s="10"/>
      <c r="MT3" s="113" t="s">
        <v>19</v>
      </c>
      <c r="MU3" s="113" t="s">
        <v>20</v>
      </c>
      <c r="MV3" s="113" t="s">
        <v>11</v>
      </c>
      <c r="MW3" s="113" t="s">
        <v>21</v>
      </c>
      <c r="MX3" s="113" t="s">
        <v>40</v>
      </c>
      <c r="MY3" s="113" t="s">
        <v>19</v>
      </c>
      <c r="MZ3" s="113" t="s">
        <v>20</v>
      </c>
      <c r="NA3" s="113" t="s">
        <v>11</v>
      </c>
      <c r="NB3" s="113" t="s">
        <v>21</v>
      </c>
      <c r="NC3" s="113" t="s">
        <v>40</v>
      </c>
      <c r="ND3" s="113" t="s">
        <v>19</v>
      </c>
      <c r="NE3" s="113" t="s">
        <v>20</v>
      </c>
      <c r="NF3" s="113" t="s">
        <v>11</v>
      </c>
      <c r="NG3" s="113" t="s">
        <v>21</v>
      </c>
      <c r="NH3" s="113" t="s">
        <v>40</v>
      </c>
      <c r="NI3" s="13"/>
      <c r="NJ3" s="12"/>
      <c r="NK3" s="12"/>
      <c r="NL3" s="12"/>
      <c r="NM3" s="12"/>
      <c r="NN3" s="13"/>
      <c r="NO3" s="13"/>
      <c r="NP3" s="112" t="s">
        <v>19</v>
      </c>
      <c r="NQ3" s="112" t="s">
        <v>20</v>
      </c>
      <c r="NR3" s="112" t="s">
        <v>11</v>
      </c>
      <c r="NS3" s="112" t="s">
        <v>21</v>
      </c>
      <c r="NT3" s="11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12" t="s">
        <v>19</v>
      </c>
      <c r="OA3" s="112" t="s">
        <v>20</v>
      </c>
      <c r="OB3" s="112" t="s">
        <v>11</v>
      </c>
      <c r="OC3" s="112" t="s">
        <v>21</v>
      </c>
      <c r="OD3" s="112" t="s">
        <v>40</v>
      </c>
      <c r="OE3" s="112" t="s">
        <v>19</v>
      </c>
      <c r="OF3" s="112" t="s">
        <v>20</v>
      </c>
      <c r="OG3" s="112" t="s">
        <v>11</v>
      </c>
      <c r="OH3" s="112" t="s">
        <v>21</v>
      </c>
      <c r="OI3" s="112" t="s">
        <v>40</v>
      </c>
      <c r="OJ3" s="11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>1</v>
      </c>
      <c r="B4" s="127" t="s">
        <v>35</v>
      </c>
      <c r="C4" s="5" t="s">
        <v>3</v>
      </c>
      <c r="D4" s="5">
        <v>1988</v>
      </c>
      <c r="E4" s="15">
        <f>SUM(K4:S4)</f>
        <v>266.74499999999995</v>
      </c>
      <c r="F4" s="3" t="str">
        <f>IF(G4&lt;&gt;"","P","")</f>
        <v>P</v>
      </c>
      <c r="G4" s="125" t="str">
        <f>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Merit",IF(OR(AND(AR4&gt;=AY$19,AR4&lt;&gt;"",AP4=""),AND(AT4&gt;=AY$19,AT4&lt;&gt;"",AP4=""),AND(AW4&gt;=AY$19,AW4&lt;&gt;"",AP4=""),AND(BV4&gt;=CC$19,BV4&lt;&gt;"",BT4=""),AND(BX4&gt;=CC$19,BX4&lt;&gt;"",BT4=""),AND(CA4&gt;=CC$19,CA4&lt;&gt;"",BT4=""),AND(CZ4&gt;=DG$19,CZ4&lt;&gt;"",CX4=""),AND(DB4&gt;=DG$19,DB4&lt;&gt;"",CX4=""),AND(DE4&gt;=DG$19,DE4&lt;&gt;"",CX4=""),AND(EA4&gt;=EG$19,EA4&lt;&gt;""),AND(EE4&gt;=EG$19,EE4&lt;&gt;""),AND(EW4&gt;=FC$19,EW4&lt;&gt;""),AND(FA4&gt;=FC$19,FA4&lt;&gt;""),AND(FS4&gt;=FY$19,FS4&lt;&gt;""),AND(FW4&gt;=FY$19,FW4&lt;&gt;""),AND(GO4&gt;=GU$19,GO4&lt;&gt;""),AND(GS4&gt;=GU$19,GS4&lt;&gt;""),AND(HK4&gt;=HQ$19,HK4&lt;&gt;""),AND(HO4&gt;=HQ$19,HO4&lt;&gt;""),AND(IG4&gt;=IM$19,IG4&lt;&gt;""),AND(IK4&gt;=IM$19,IK4&lt;&gt;""),AND(JC4&gt;=JI$19,JC4&lt;&gt;""),AND(JG4&gt;=JI$19,JG4&lt;&gt;""),AND(JY4&gt;=KE$19,JY4&lt;&gt;""),AND(KC4&gt;=KE$19,KC4&lt;&gt;""),AND(KU4&gt;=LA$19,KU4&lt;&gt;""),AND(KY4&gt;=LA$19,KY4&lt;&gt;""),AND(LQ4&gt;=LW$19,LQ4&lt;&gt;""),AND(LU4&gt;=LW$19,LU4&lt;&gt;""),AND(MM4&gt;=MS$19,MM4&lt;&gt;""),AND(MQ4&gt;=MS$19,MQ4&lt;&gt;""),AND(NI4&gt;=NO$19,NI4&lt;&gt;""),AND(NM4&gt;=NO$19,NM4&lt;&gt;"")),"Excellence",IF(OR(AND(AR4&gt;=AY$18,AR4&lt;&gt;"",AP4=""),AND(AT4&gt;=AY$18,AT4&lt;&gt;"",AP4=""),AND(AW4&gt;=AY$18,AW4&lt;&gt;"",AP4=""),AND(BV4&gt;=CC$18,BV4&lt;&gt;"",BT4=""),AND(BX4&gt;=CC$18,BX4&lt;&gt;"",BT4=""),AND(CA4&gt;=CC$18,CA4&lt;&gt;"",BT4=""),AND(CZ4&gt;=DG$18,CZ4&lt;&gt;"",CX4=""),AND(DB4&gt;=DG$18,DB4&lt;&gt;"",CX4=""),AND(DE4&gt;=DG$18,DE4&lt;&gt;"",CX4=""),AND(EA4&gt;=EG$18,EA4&lt;&gt;""),AND(EE4&gt;=EG$18,EE4&lt;&gt;""),AND(EW4&gt;=FC$18,EW4&lt;&gt;""),AND(FA4&gt;=FC$18,FA4&lt;&gt;""),AND(FS4&gt;=FY$18,FS4&lt;&gt;""),AND(FW4&gt;=FY$18,FW4&lt;&gt;""),AND(GO4&gt;=GU$18,GO4&lt;&gt;""),AND(GS4&gt;=GU$18,GS4&lt;&gt;""),AND(HK4&gt;=HQ$18,HK4&lt;&gt;""),AND(HO4&gt;=HQ$18,HO4&lt;&gt;""),AND(IG4&gt;=IM$18,IG4&lt;&gt;""),AND(IK4&gt;=IM$18,IK4&lt;&gt;""),AND(JC4&gt;=JI$18,JC4&lt;&gt;""),AND(JG4&gt;=JI$18,JG4&lt;&gt;""),AND(JY4&gt;=KE$18,JY4&lt;&gt;""),AND(KC4&gt;=KE$18,KC4&lt;&gt;""),AND(KU4&gt;=LA$18,KU4&lt;&gt;""),AND(KY4&gt;=LA$18,KY4&lt;&gt;""),AND(LQ4&gt;=LW$18,LQ4&lt;&gt;""),AND(LU4&gt;=LW$18,LU4&lt;&gt;""),AND(MM4&gt;=MS$18,MM4&lt;&gt;""),AND(MQ4&gt;=MS$18,MQ4&lt;&gt;""),AND(NI4&gt;=NO$18,NI4&lt;&gt;""),AND(NM4&gt;=NO$18,NM4&lt;&gt;"")),"Worlds Team",IF(OR(AND(AR4&gt;=AY$17,AR4&lt;&gt;"",AP4=""),AND(AT4&gt;=AY$17,AT4&lt;&gt;"",AP4=""),AND(AW4&gt;=AY$17,AW4&lt;&gt;"",AP4=""),AND(BV4&gt;=CC$17,BV4&lt;&gt;"",BT4=""),AND(BX4&gt;=CC$17,BX4&lt;&gt;"",BT4=""),AND(CA4&gt;=CC$17,CA4&lt;&gt;"",BT4=""),AND(CZ4&gt;=DG$17,CZ4&lt;&gt;"",CX4=""),AND(DB4&gt;=DG$17,DB4&lt;&gt;"",CX4=""),AND(DE4&gt;=DG$17,DE4&lt;&gt;"",CX4=""),AND(EA4&gt;=EG$17,EA4&lt;&gt;""),AND(EE4&gt;=EG$17,EE4&lt;&gt;""),AND(EW4&gt;=FC$17,EW4&lt;&gt;""),AND(FA4&gt;=FC$17,FA4&lt;&gt;""),AND(FS4&gt;=FY$17,FS4&lt;&gt;""),AND(FW4&gt;=FY$17,FW4&lt;&gt;""),AND(GO4&gt;=GU$17,GO4&lt;&gt;""),AND(GS4&gt;=GU$17,GS4&lt;&gt;""),AND(HK4&gt;=HQ$17,HK4&lt;&gt;""),AND(HO4&gt;=HQ$17,HO4&lt;&gt;""),AND(IG4&gt;=IM$17,IG4&lt;&gt;""),AND(IK4&gt;=IM$17,IK4&lt;&gt;""),AND(JC4&gt;=JI$17,JC4&lt;&gt;""),AND(JG4&gt;=JI$17,JG4&lt;&gt;""),AND(JY4&gt;=KE$17,JY4&lt;&gt;""),AND(KC4&gt;=KE$17,KC4&lt;&gt;""),AND(KU4&gt;=LA$17,KU4&lt;&gt;""),AND(KY4&gt;=LA$17,KY4&lt;&gt;""),AND(LQ4&gt;=LW$17,LQ4&lt;&gt;""),AND(LU4&gt;=LW$17,LU4&lt;&gt;""),AND(MM4&gt;=MS$17,MM4&lt;&gt;""),AND(MQ4&gt;=MS$17,MQ4&lt;&gt;""),AND(NI4&gt;=NO$17,NI4&lt;&gt;""),AND(NM4&gt;=NO$17,NM4&lt;&gt;"")),"National Team",""))))</f>
        <v>Merit</v>
      </c>
      <c r="H4" s="125" t="str">
        <f>IF(OR(AND(AS4&gt;=AY$24,AS4&lt;&gt;"",AP4=""),AND(AU4&gt;=AY$24,AU4&lt;&gt;"",AP4=""),AND(AX4&gt;=AY$24,AX4&lt;&gt;"",AP4=""),AND(BW4&gt;=CC$24,BW4&lt;&gt;"",BT4=""),AND(BY4&gt;=CC$24,BY4&lt;&gt;"",BT4=""),AND(CB4&gt;=CC$24,CB4&lt;&gt;"",BT4=""),AND(DA4&gt;=DG$24,DA4&lt;&gt;"",CX4=""),AND(DC4&gt;=DG$24,DC4&lt;&gt;"",CX4=""),AND(DF4&gt;=DG$24,DF4&lt;&gt;"",CX4=""),AND(EC4&gt;=EG$24,EC4&lt;&gt;""),AND(EF4&gt;=EG$24,EF4&lt;&gt;""),AND(EY4&gt;=FC$24,EY4&lt;&gt;""),AND(FB4&gt;=FC$24,FB4&lt;&gt;""),AND(FU4&gt;=FY$24,FU4&lt;&gt;""),AND(FX4&gt;=FY$24,FX4&lt;&gt;""),AND(GQ4&gt;=GU$24,GQ4&lt;&gt;""),AND(GT4&gt;=GU$24,GT4&lt;&gt;""),AND(HM4&gt;=HQ$24,HM4&lt;&gt;""),AND(HP4&gt;=HQ$24,HP4&lt;&gt;""),AND(II4&gt;=IM$24,II4&lt;&gt;""),AND(IL4&gt;=IM$24,IL4&lt;&gt;""),AND(JE4&gt;=JI$24,JE4&lt;&gt;""),AND(JH4&gt;=JI$24,JH4&lt;&gt;""),AND(KA4&gt;=KE$24,KA4&lt;&gt;""),AND(KD4&gt;=KE$24,KD4&lt;&gt;""),AND(KW4&gt;=LA$24,KW4&lt;&gt;""),AND(KZ4&gt;=LA$24,KZ4&lt;&gt;""),AND(LS4&gt;=LW$24,LS4&lt;&gt;""),AND(LV4&gt;=LW$24,LV4&lt;&gt;""),AND(MO4&gt;=MS$24,MO4&lt;&gt;""),AND(MR4&gt;=MS$24,MR4&lt;&gt;""),AND(NK4&gt;=NO$24,NK4&lt;&gt;""),AND(NN4&gt;=NO$24,NN4&lt;&gt;"")),"Merit",IF(OR(AND(AS4&gt;=AY$23,AS4&lt;&gt;"",AP4=""),AND(AU4&gt;=AY$23,AU4&lt;&gt;"",AP4=""),AND(AX4&gt;=AY$23,AX4&lt;&gt;"",AP4=""),AND(BW4&gt;=CC$23,BW4&lt;&gt;"",BT4=""),AND(BY4&gt;=CC$23,BY4&lt;&gt;"",BT4=""),AND(CB4&gt;=CC$23,CB4&lt;&gt;"",BT4=""),AND(DA4&gt;=DG$23,DA4&lt;&gt;"",CX4=""),AND(DC4&gt;=DG$23,DC4&lt;&gt;"",CX4=""),AND(DF4&gt;=DG$23,DF4&lt;&gt;"",CX4=""),AND(EC4&gt;=EG$23,EC4&lt;&gt;""),AND(EF4&gt;=EG$23,EF4&lt;&gt;""),AND(EY4&gt;=FC$23,EY4&lt;&gt;""),AND(FB4&gt;=FC$23,FB4&lt;&gt;""),AND(FU4&gt;=FY$23,FU4&lt;&gt;""),AND(FX4&gt;=FY$23,FX4&lt;&gt;""),AND(GQ4&gt;=GU$23,GQ4&lt;&gt;""),AND(GT4&gt;=GU$23,GT4&lt;&gt;""),AND(HM4&gt;=HQ$23,HM4&lt;&gt;""),AND(HP4&gt;=HQ$23,HP4&lt;&gt;""),AND(II4&gt;=IM$23,II4&lt;&gt;""),AND(IL4&gt;=IM$23,IL4&lt;&gt;""),AND(JE4&gt;=JI$23,JE4&lt;&gt;""),AND(JH4&gt;=JI$23,JH4&lt;&gt;""),AND(KA4&gt;=KE$23,KA4&lt;&gt;""),AND(KD4&gt;=KE$23,KD4&lt;&gt;""),AND(KW4&gt;=LA$23,KW4&lt;&gt;""),AND(KZ4&gt;=LA$23,KZ4&lt;&gt;""),AND(LS4&gt;=LW$23,LS4&lt;&gt;""),AND(LV4&gt;=LW$23,LV4&lt;&gt;""),AND(MO4&gt;=MS$23,MO4&lt;&gt;""),AND(MR4&gt;=MS$23,MR4&lt;&gt;""),AND(NK4&gt;=NO$23,NK4&lt;&gt;""),AND(NN4&gt;=NO$23,NN4&lt;&gt;"")),"Excellence",IF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"Worlds Team",IF(OR(AND(AV4&gt;=AY$21,AV4&lt;&gt;"",AP4=""),AND(BZ4&gt;=CC$21,BZ4&lt;&gt;"",BT4=""),AND(DD4&gt;=DG$21,DD4&lt;&gt;"",CX4=""),AND(ED4&gt;=EG$21,ED4&lt;&gt;""),AND(EZ4&gt;=FC$21,EZ4&lt;&gt;""),AND(FV4&gt;=FY$21,FV4&lt;&gt;""),AND(GR4&gt;=GU$21,GR4&lt;&gt;""),AND(HN4&gt;=HQ$21,HN4&lt;&gt;""),AND(IJ4&gt;=IM$21,IJ4&lt;&gt;""),AND(JF4&gt;=JI$21,JF4&lt;&gt;""),AND(KB4&gt;=KE$21,KB4&lt;&gt;""),AND(KX4&gt;=LA$21,KX4&lt;&gt;""),AND(LT4&gt;=LW$21,LT4&lt;&gt;""),AND(MP4&gt;=MS$21,MP4&lt;&gt;""),AND(NL4&gt;=NO$21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OR(G4="Worlds Team",G4="Excellence",G4="Merit")),"P","")</f>
        <v>P</v>
      </c>
      <c r="K4" s="14">
        <f>IF(MAX(AV4,BZ4,DD4)&gt;0,MAX(AV4,BZ4,DD4),0)</f>
        <v>106.65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48.795000000000002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55.84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54.994999999999997</v>
      </c>
      <c r="R4" s="14" t="str">
        <f>IF(Q4=0,"",IF(Q4=DF4,$CD$1,IF(Q4=CB4,$AZ$1,IF(Q4=AX4,$V$1,""))))</f>
        <v>2021 Elite Canada</v>
      </c>
      <c r="S4" s="14">
        <f>IF(MAX(DH4,DI4,DJ4,DK4)&gt;0,MAX(DH4,DI4,DJ4,DK4),"")</f>
        <v>0.46499999999999631</v>
      </c>
      <c r="T4" s="25" t="str">
        <f>IF(S4="","",IF(S4=DH4,"(Vol 1)",IF(S4=DI4,"(Vol 2)",IF(S4=DJ4,"(Prelim)",IF(S4=DK4,"(Final)")))))</f>
        <v>(Final)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2020 Olympic Games (July 30, 2021)</v>
      </c>
      <c r="V4" s="69">
        <v>18.5</v>
      </c>
      <c r="W4" s="69">
        <v>9.8000000000000007</v>
      </c>
      <c r="X4" s="69">
        <v>4.8</v>
      </c>
      <c r="Y4" s="69">
        <v>16.895</v>
      </c>
      <c r="Z4" s="69">
        <v>0</v>
      </c>
      <c r="AA4" s="69">
        <v>15.6</v>
      </c>
      <c r="AB4" s="69">
        <v>9.5</v>
      </c>
      <c r="AC4" s="69">
        <v>14.9</v>
      </c>
      <c r="AD4" s="69">
        <v>15.84</v>
      </c>
      <c r="AE4" s="69">
        <v>0</v>
      </c>
      <c r="AF4" s="69">
        <v>16.399999999999999</v>
      </c>
      <c r="AG4" s="69">
        <v>9.6</v>
      </c>
      <c r="AH4" s="69">
        <v>14.9</v>
      </c>
      <c r="AI4" s="69">
        <v>15.755000000000001</v>
      </c>
      <c r="AJ4" s="69">
        <v>0</v>
      </c>
      <c r="AK4" s="69">
        <v>16.100000000000001</v>
      </c>
      <c r="AL4" s="69">
        <v>9.4</v>
      </c>
      <c r="AM4" s="69">
        <v>13.8</v>
      </c>
      <c r="AN4" s="69">
        <v>15.545</v>
      </c>
      <c r="AO4" s="69">
        <v>0</v>
      </c>
      <c r="AP4" s="80"/>
      <c r="AQ4" s="11">
        <f>IF(SUM(V4:Y4)-Z4&gt;0,SUM(V4:Y4)-Z4,"")</f>
        <v>49.995000000000005</v>
      </c>
      <c r="AR4" s="11">
        <f>IF(AC4&gt;0,AC4,"")</f>
        <v>14.9</v>
      </c>
      <c r="AS4" s="11">
        <f>IF(SUM(AA4:AD4)-AE4&gt;0,SUM(AA4:AD4)-AE4,"")</f>
        <v>55.84</v>
      </c>
      <c r="AT4" s="11">
        <f>IF(AH4&gt;0,AH4,"")</f>
        <v>14.9</v>
      </c>
      <c r="AU4" s="11">
        <f>IF(SUM(AF4:AI4)-AJ4&gt;0,SUM(AF4:AI4)-AJ4,"")</f>
        <v>56.655000000000001</v>
      </c>
      <c r="AV4" s="11">
        <f>IF(AQ4="",IF(MAX(AS4,AU4)&gt;0,MAX(AS4,AU4),""),MAX(AS4,AU4)+AQ4)</f>
        <v>106.65</v>
      </c>
      <c r="AW4" s="11">
        <f>IF(AM4&gt;0,AM4,"")</f>
        <v>13.8</v>
      </c>
      <c r="AX4" s="11">
        <f>IF(SUM(AK4:AN4)-AO4&gt;0,SUM(AK4:AN4)-AO4,"")</f>
        <v>54.844999999999999</v>
      </c>
      <c r="AY4" s="11">
        <f>IF(SUM(AV4,AX4)&gt;0,SUM(AV4,AX4),"")</f>
        <v>161.495</v>
      </c>
      <c r="AZ4" s="75">
        <v>18.100000000000001</v>
      </c>
      <c r="BA4" s="75">
        <v>9.3000000000000007</v>
      </c>
      <c r="BB4" s="75">
        <v>4.7</v>
      </c>
      <c r="BC4" s="75">
        <v>16.695</v>
      </c>
      <c r="BD4" s="75">
        <v>0</v>
      </c>
      <c r="BE4" s="75">
        <v>15.5</v>
      </c>
      <c r="BF4" s="75">
        <v>8.3000000000000007</v>
      </c>
      <c r="BG4" s="75">
        <v>11.8</v>
      </c>
      <c r="BH4" s="75">
        <v>16.395</v>
      </c>
      <c r="BI4" s="75">
        <v>0</v>
      </c>
      <c r="BJ4" s="75">
        <v>15.9</v>
      </c>
      <c r="BK4" s="75">
        <v>9.1999999999999993</v>
      </c>
      <c r="BL4" s="75">
        <v>13.3</v>
      </c>
      <c r="BM4" s="75">
        <v>15.93</v>
      </c>
      <c r="BN4" s="75">
        <v>0</v>
      </c>
      <c r="BO4" s="75">
        <v>16.5</v>
      </c>
      <c r="BP4" s="75">
        <v>9.3000000000000007</v>
      </c>
      <c r="BQ4" s="75">
        <v>13.6</v>
      </c>
      <c r="BR4" s="75">
        <v>15.595000000000001</v>
      </c>
      <c r="BS4" s="75">
        <v>0</v>
      </c>
      <c r="BT4" s="81"/>
      <c r="BU4" s="14">
        <f>IF(SUM(AZ4:BC4)-BD4&gt;0,SUM(AZ4:BC4)-BD4,"")</f>
        <v>48.795000000000002</v>
      </c>
      <c r="BV4" s="14">
        <f>IF(BG4&gt;0,BG4,"")</f>
        <v>11.8</v>
      </c>
      <c r="BW4" s="14">
        <f>IF(SUM(BE4:BH4)-BI4&gt;0,SUM(BE4:BH4)-BI4,"")</f>
        <v>51.995000000000005</v>
      </c>
      <c r="BX4" s="14">
        <f>IF(BL4&gt;0,BL4,"")</f>
        <v>13.3</v>
      </c>
      <c r="BY4" s="14">
        <f>IF(SUM(BJ4:BM4)-BN4&gt;0,SUM(BJ4:BM4)-BN4,"")</f>
        <v>54.330000000000005</v>
      </c>
      <c r="BZ4" s="14">
        <f>IF(BU4="",IF(MAX(BW4,BY4)&gt;0,MAX(BW4,BY4),""),MAX(BW4,BY4)+BU4)</f>
        <v>103.125</v>
      </c>
      <c r="CA4" s="14">
        <f>IF(BQ4&gt;0,BQ4,"")</f>
        <v>13.6</v>
      </c>
      <c r="CB4" s="14">
        <f>IF(SUM(BO4:BR4)-BS4&gt;0,SUM(BO4:BR4)-BS4,"")</f>
        <v>54.994999999999997</v>
      </c>
      <c r="CC4" s="14">
        <f>IF(SUM(BZ4,CB4)&gt;0,SUM(BZ4,CB4),"")</f>
        <v>158.12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>
        <f>IF(MAX(EB4,EX4,FT4,GP4,HL4,IH4,JD4,JZ4,KV4,LR4,MN4,NJ4)-IF(M4="",0,M4)&gt;0.001,MAX(EB4,EX4,FT4,GP4,HL4,IH4,JD4,JZ4,KV4,LR4,MN4,NJ4)-IF(M4="",0,M4),"")</f>
        <v>4.49999999999946E-2</v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>
        <f>IF(MAX(EF4,FB4,FX4,GT4,HP4,IL4,JH4,KD4,KZ4,LV4,MR4,NN4)-IF(Q4="",0,Q4)&gt;0.001,MAX(EF4,FB4,FX4,GT4,HP4,IL4,JH4,KD4,KZ4,LV4,MR4,NN4)-IF(Q4="",0,Q4),"")</f>
        <v>0.46499999999999631</v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8">
        <v>18.100000000000001</v>
      </c>
      <c r="EI4" s="38">
        <v>9.4</v>
      </c>
      <c r="EJ4" s="38">
        <v>4.8</v>
      </c>
      <c r="EK4" s="38">
        <v>16.54</v>
      </c>
      <c r="EL4" s="38">
        <v>0</v>
      </c>
      <c r="EM4" s="38">
        <v>15.5</v>
      </c>
      <c r="EN4" s="38">
        <v>9.5</v>
      </c>
      <c r="EO4" s="38">
        <v>14.9</v>
      </c>
      <c r="EP4" s="38">
        <v>15.695</v>
      </c>
      <c r="EQ4" s="38">
        <v>0</v>
      </c>
      <c r="ER4" s="38">
        <v>15.6</v>
      </c>
      <c r="ES4" s="38">
        <v>9.1999999999999993</v>
      </c>
      <c r="ET4" s="38">
        <v>14.9</v>
      </c>
      <c r="EU4" s="38">
        <v>15.76</v>
      </c>
      <c r="EV4" s="38">
        <v>0</v>
      </c>
      <c r="EW4" s="14">
        <f>IF(EO4&gt;0,EO4,"")</f>
        <v>14.9</v>
      </c>
      <c r="EX4" s="14">
        <f>IF(SUM(EH4:EK4)-EL4&gt;0,SUM(EH4:EK4)-EL4,"")</f>
        <v>48.839999999999996</v>
      </c>
      <c r="EY4" s="14">
        <f>IF(SUM(EM4:EP4)-EQ4&gt;0,SUM(EM4:EP4)-EQ4,"")</f>
        <v>55.594999999999999</v>
      </c>
      <c r="EZ4" s="14">
        <f>IF(SUM(EX4:EY4)&gt;0,SUM(EX4:EY4),"")</f>
        <v>104.435</v>
      </c>
      <c r="FA4" s="14">
        <f>IF(ET4&gt;0,ET4,"")</f>
        <v>14.9</v>
      </c>
      <c r="FB4" s="14">
        <f>IF(SUM(ER4:EU4)-EV4&gt;0,SUM(ER4:EU4)-EV4,"")</f>
        <v>55.459999999999994</v>
      </c>
      <c r="FC4" s="14">
        <f>IF(SUM(EZ4,FB4)&gt;0,SUM(EZ4,FB4),"")</f>
        <v>159.89499999999998</v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9.0500000000000007</v>
      </c>
      <c r="NQ4" s="69">
        <f>IF($CX4="P",CE4,(CE4+BA4)/2)</f>
        <v>4.6500000000000004</v>
      </c>
      <c r="NR4" s="69">
        <f>IF($CX4="P",CF4,(CF4+BB4)/2)</f>
        <v>2.35</v>
      </c>
      <c r="NS4" s="69">
        <f>IF($CX4="P",CG4,(CG4+BC4)/2)</f>
        <v>8.3475000000000001</v>
      </c>
      <c r="NT4" s="69">
        <f>IF($CX4="P",CH4,(CH4+BD4)/2)</f>
        <v>0</v>
      </c>
      <c r="NU4" s="69">
        <f>IF($CX4="P",CI4,(CI4+BE4)/2)</f>
        <v>7.75</v>
      </c>
      <c r="NV4" s="69">
        <f>IF($CX4="P",CJ4,(CJ4+BF4)/2)</f>
        <v>4.1500000000000004</v>
      </c>
      <c r="NW4" s="69">
        <f>IF($CX4="P",CK4,(CK4+BG4)/2)</f>
        <v>5.9</v>
      </c>
      <c r="NX4" s="69">
        <f>IF($CX4="P",CL4,(CL4+BH4)/2)</f>
        <v>8.1974999999999998</v>
      </c>
      <c r="NY4" s="69">
        <f>IF($CX4="P",CM4,(CM4+BI4)/2)</f>
        <v>0</v>
      </c>
      <c r="NZ4" s="69">
        <f>IF($CX4="P",CN4,(CN4+BJ4)/2)</f>
        <v>7.95</v>
      </c>
      <c r="OA4" s="69">
        <f>IF($CX4="P",CO4,(CO4+BK4)/2)</f>
        <v>4.5999999999999996</v>
      </c>
      <c r="OB4" s="69">
        <f>IF($CX4="P",CP4,(CP4+BL4)/2)</f>
        <v>6.65</v>
      </c>
      <c r="OC4" s="69">
        <f>IF($CX4="P",CQ4,(CQ4+BM4)/2)</f>
        <v>7.9649999999999999</v>
      </c>
      <c r="OD4" s="69">
        <f>IF($CX4="P",CR4,(CR4+BN4)/2)</f>
        <v>0</v>
      </c>
      <c r="OE4" s="69">
        <f>IF($CX4="P",CS4,(CS4+BO4)/2)</f>
        <v>8.25</v>
      </c>
      <c r="OF4" s="69">
        <f>IF($CX4="P",CT4,(CT4+BP4)/2)</f>
        <v>4.6500000000000004</v>
      </c>
      <c r="OG4" s="69">
        <f>IF($CX4="P",CU4,(CU4+BQ4)/2)</f>
        <v>6.8</v>
      </c>
      <c r="OH4" s="69">
        <f>IF($CX4="P",CV4,(CV4+BR4)/2)</f>
        <v>7.7975000000000003</v>
      </c>
      <c r="OI4" s="69">
        <f>IF($CX4="P",CW4,(CW4+BS4)/2)</f>
        <v>0</v>
      </c>
      <c r="OJ4" s="80" t="s">
        <v>74</v>
      </c>
      <c r="OK4" s="11">
        <f>IF(SUM(NP4:NS4)-NT4&gt;0,SUM(NP4:NS4)-NT4,"")</f>
        <v>24.397500000000001</v>
      </c>
      <c r="OL4" s="11">
        <f>IF(NW4&gt;0,NW4,"")</f>
        <v>5.9</v>
      </c>
      <c r="OM4" s="11">
        <f>IF(SUM(NU4:NX4)-NY4&gt;0,SUM(NU4:NX4)-NY4,"")</f>
        <v>25.997500000000002</v>
      </c>
      <c r="ON4" s="11">
        <f>IF(OB4&gt;0,OB4,"")</f>
        <v>6.65</v>
      </c>
      <c r="OO4" s="11">
        <f>IF(SUM(NZ4:OC4)-OD4&gt;0,SUM(NZ4:OC4)-OD4,"")</f>
        <v>27.165000000000003</v>
      </c>
      <c r="OP4" s="11">
        <f>IF(OR(OK4&lt;&gt;"",OM4&lt;&gt;"",OO4&lt;&gt;""),OK4+MAX(OM4,OO4),"")</f>
        <v>51.5625</v>
      </c>
      <c r="OQ4" s="11">
        <f>IF(OG4&gt;0,OG4,"")</f>
        <v>6.8</v>
      </c>
      <c r="OR4" s="11">
        <f t="shared" ref="OR4:OR14" si="0">IF(SUM(OE4:OH4)-OI4&gt;0,SUM(OE4:OH4)-OI4,"")</f>
        <v>27.497499999999999</v>
      </c>
      <c r="OS4" s="11">
        <f>IF(SUM(OP4,OR4)&gt;0,SUM(OP4,OR4),"")</f>
        <v>79.06</v>
      </c>
    </row>
    <row r="5" spans="1:409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2</v>
      </c>
      <c r="B5" s="127" t="s">
        <v>31</v>
      </c>
      <c r="C5" s="5" t="s">
        <v>9</v>
      </c>
      <c r="D5" s="5">
        <v>1997</v>
      </c>
      <c r="E5" s="15">
        <f>SUM(K5:S5)</f>
        <v>263.58999999999997</v>
      </c>
      <c r="F5" s="3" t="str">
        <f>IF(G5&lt;&gt;"","P","")</f>
        <v>P</v>
      </c>
      <c r="G5" s="125" t="str">
        <f>IF(OR(AND(AR5&gt;=AY$20,AR5&lt;&gt;"",AP5=""),AND(AT5&gt;=AY$20,AT5&lt;&gt;"",AP5=""),AND(AW5&gt;=AY$20,AW5&lt;&gt;"",AP5=""),AND(BV5&gt;=CC$20,BV5&lt;&gt;"",BT5=""),AND(BX5&gt;=CC$20,BX5&lt;&gt;"",BT5=""),AND(CA5&gt;=CC$20,CA5&lt;&gt;"",BT5=""),AND(CZ5&gt;=DG$20,CZ5&lt;&gt;"",CX5=""),AND(DB5&gt;=DG$20,DB5&lt;&gt;"",CX5=""),AND(DE5&gt;=DG$20,DE5&lt;&gt;"",CX5=""),AND(EA5&gt;=EG$20,EA5&lt;&gt;""),AND(EE5&gt;=EG$20,EE5&lt;&gt;""),AND(EW5&gt;=FC$20,EW5&lt;&gt;""),AND(FA5&gt;=FC$20,FA5&lt;&gt;""),AND(FS5&gt;=FY$20,FS5&lt;&gt;""),AND(FW5&gt;=FY$20,FW5&lt;&gt;""),AND(GO5&gt;=GU$20,GO5&lt;&gt;""),AND(GS5&gt;=GU$20,GS5&lt;&gt;""),AND(HK5&gt;=HQ$20,HK5&lt;&gt;""),AND(HO5&gt;=HQ$20,HO5&lt;&gt;""),AND(IG5&gt;=IM$20,IG5&lt;&gt;""),AND(IK5&gt;=IM$20,IK5&lt;&gt;""),AND(JC5&gt;=JI$20,JC5&lt;&gt;""),AND(JG5&gt;=JI$20,JG5&lt;&gt;""),AND(JY5&gt;=KE$20,JY5&lt;&gt;""),AND(KC5&gt;=KE$20,KC5&lt;&gt;""),AND(KU5&gt;=LA$20,KU5&lt;&gt;""),AND(KY5&gt;=LA$20,KY5&lt;&gt;""),AND(LQ5&gt;=LW$20,LQ5&lt;&gt;""),AND(LU5&gt;=LW$20,LU5&lt;&gt;""),AND(MM5&gt;=MS$20,MM5&lt;&gt;""),AND(MQ5&gt;=MS$20,MQ5&lt;&gt;""),AND(NI5&gt;=NO$20,NI5&lt;&gt;""),AND(NM5&gt;=NO$20,NM5&lt;&gt;"")),"Merit",IF(OR(AND(AR5&gt;=AY$19,AR5&lt;&gt;"",AP5=""),AND(AT5&gt;=AY$19,AT5&lt;&gt;"",AP5=""),AND(AW5&gt;=AY$19,AW5&lt;&gt;"",AP5=""),AND(BV5&gt;=CC$19,BV5&lt;&gt;"",BT5=""),AND(BX5&gt;=CC$19,BX5&lt;&gt;"",BT5=""),AND(CA5&gt;=CC$19,CA5&lt;&gt;"",BT5=""),AND(CZ5&gt;=DG$19,CZ5&lt;&gt;"",CX5=""),AND(DB5&gt;=DG$19,DB5&lt;&gt;"",CX5=""),AND(DE5&gt;=DG$19,DE5&lt;&gt;"",CX5=""),AND(EA5&gt;=EG$19,EA5&lt;&gt;""),AND(EE5&gt;=EG$19,EE5&lt;&gt;""),AND(EW5&gt;=FC$19,EW5&lt;&gt;""),AND(FA5&gt;=FC$19,FA5&lt;&gt;""),AND(FS5&gt;=FY$19,FS5&lt;&gt;""),AND(FW5&gt;=FY$19,FW5&lt;&gt;""),AND(GO5&gt;=GU$19,GO5&lt;&gt;""),AND(GS5&gt;=GU$19,GS5&lt;&gt;""),AND(HK5&gt;=HQ$19,HK5&lt;&gt;""),AND(HO5&gt;=HQ$19,HO5&lt;&gt;""),AND(IG5&gt;=IM$19,IG5&lt;&gt;""),AND(IK5&gt;=IM$19,IK5&lt;&gt;""),AND(JC5&gt;=JI$19,JC5&lt;&gt;""),AND(JG5&gt;=JI$19,JG5&lt;&gt;""),AND(JY5&gt;=KE$19,JY5&lt;&gt;""),AND(KC5&gt;=KE$19,KC5&lt;&gt;""),AND(KU5&gt;=LA$19,KU5&lt;&gt;""),AND(KY5&gt;=LA$19,KY5&lt;&gt;""),AND(LQ5&gt;=LW$19,LQ5&lt;&gt;""),AND(LU5&gt;=LW$19,LU5&lt;&gt;""),AND(MM5&gt;=MS$19,MM5&lt;&gt;""),AND(MQ5&gt;=MS$19,MQ5&lt;&gt;""),AND(NI5&gt;=NO$19,NI5&lt;&gt;""),AND(NM5&gt;=NO$19,NM5&lt;&gt;"")),"Excellence",IF(OR(AND(AR5&gt;=AY$18,AR5&lt;&gt;"",AP5=""),AND(AT5&gt;=AY$18,AT5&lt;&gt;"",AP5=""),AND(AW5&gt;=AY$18,AW5&lt;&gt;"",AP5=""),AND(BV5&gt;=CC$18,BV5&lt;&gt;"",BT5=""),AND(BX5&gt;=CC$18,BX5&lt;&gt;"",BT5=""),AND(CA5&gt;=CC$18,CA5&lt;&gt;"",BT5=""),AND(CZ5&gt;=DG$18,CZ5&lt;&gt;"",CX5=""),AND(DB5&gt;=DG$18,DB5&lt;&gt;"",CX5=""),AND(DE5&gt;=DG$18,DE5&lt;&gt;"",CX5=""),AND(EA5&gt;=EG$18,EA5&lt;&gt;""),AND(EE5&gt;=EG$18,EE5&lt;&gt;""),AND(EW5&gt;=FC$18,EW5&lt;&gt;""),AND(FA5&gt;=FC$18,FA5&lt;&gt;""),AND(FS5&gt;=FY$18,FS5&lt;&gt;""),AND(FW5&gt;=FY$18,FW5&lt;&gt;""),AND(GO5&gt;=GU$18,GO5&lt;&gt;""),AND(GS5&gt;=GU$18,GS5&lt;&gt;""),AND(HK5&gt;=HQ$18,HK5&lt;&gt;""),AND(HO5&gt;=HQ$18,HO5&lt;&gt;""),AND(IG5&gt;=IM$18,IG5&lt;&gt;""),AND(IK5&gt;=IM$18,IK5&lt;&gt;""),AND(JC5&gt;=JI$18,JC5&lt;&gt;""),AND(JG5&gt;=JI$18,JG5&lt;&gt;""),AND(JY5&gt;=KE$18,JY5&lt;&gt;""),AND(KC5&gt;=KE$18,KC5&lt;&gt;""),AND(KU5&gt;=LA$18,KU5&lt;&gt;""),AND(KY5&gt;=LA$18,KY5&lt;&gt;""),AND(LQ5&gt;=LW$18,LQ5&lt;&gt;""),AND(LU5&gt;=LW$18,LU5&lt;&gt;""),AND(MM5&gt;=MS$18,MM5&lt;&gt;""),AND(MQ5&gt;=MS$18,MQ5&lt;&gt;""),AND(NI5&gt;=NO$18,NI5&lt;&gt;""),AND(NM5&gt;=NO$18,NM5&lt;&gt;"")),"Worlds Team",IF(OR(AND(AR5&gt;=AY$17,AR5&lt;&gt;"",AP5=""),AND(AT5&gt;=AY$17,AT5&lt;&gt;"",AP5=""),AND(AW5&gt;=AY$17,AW5&lt;&gt;"",AP5=""),AND(BV5&gt;=CC$17,BV5&lt;&gt;"",BT5=""),AND(BX5&gt;=CC$17,BX5&lt;&gt;"",BT5=""),AND(CA5&gt;=CC$17,CA5&lt;&gt;"",BT5=""),AND(CZ5&gt;=DG$17,CZ5&lt;&gt;"",CX5=""),AND(DB5&gt;=DG$17,DB5&lt;&gt;"",CX5=""),AND(DE5&gt;=DG$17,DE5&lt;&gt;"",CX5=""),AND(EA5&gt;=EG$17,EA5&lt;&gt;""),AND(EE5&gt;=EG$17,EE5&lt;&gt;""),AND(EW5&gt;=FC$17,EW5&lt;&gt;""),AND(FA5&gt;=FC$17,FA5&lt;&gt;""),AND(FS5&gt;=FY$17,FS5&lt;&gt;""),AND(FW5&gt;=FY$17,FW5&lt;&gt;""),AND(GO5&gt;=GU$17,GO5&lt;&gt;""),AND(GS5&gt;=GU$17,GS5&lt;&gt;""),AND(HK5&gt;=HQ$17,HK5&lt;&gt;""),AND(HO5&gt;=HQ$17,HO5&lt;&gt;""),AND(IG5&gt;=IM$17,IG5&lt;&gt;""),AND(IK5&gt;=IM$17,IK5&lt;&gt;""),AND(JC5&gt;=JI$17,JC5&lt;&gt;""),AND(JG5&gt;=JI$17,JG5&lt;&gt;""),AND(JY5&gt;=KE$17,JY5&lt;&gt;""),AND(KC5&gt;=KE$17,KC5&lt;&gt;""),AND(KU5&gt;=LA$17,KU5&lt;&gt;""),AND(KY5&gt;=LA$17,KY5&lt;&gt;""),AND(LQ5&gt;=LW$17,LQ5&lt;&gt;""),AND(LU5&gt;=LW$17,LU5&lt;&gt;""),AND(MM5&gt;=MS$17,MM5&lt;&gt;""),AND(MQ5&gt;=MS$17,MQ5&lt;&gt;""),AND(NI5&gt;=NO$17,NI5&lt;&gt;""),AND(NM5&gt;=NO$17,NM5&lt;&gt;"")),"National Team",""))))</f>
        <v>Merit</v>
      </c>
      <c r="H5" s="125" t="str">
        <f>IF(OR(AND(AS5&gt;=AY$24,AS5&lt;&gt;"",AP5=""),AND(AU5&gt;=AY$24,AU5&lt;&gt;"",AP5=""),AND(AX5&gt;=AY$24,AX5&lt;&gt;"",AP5=""),AND(BW5&gt;=CC$24,BW5&lt;&gt;"",BT5=""),AND(BY5&gt;=CC$24,BY5&lt;&gt;"",BT5=""),AND(CB5&gt;=CC$24,CB5&lt;&gt;"",BT5=""),AND(DA5&gt;=DG$24,DA5&lt;&gt;"",CX5=""),AND(DC5&gt;=DG$24,DC5&lt;&gt;"",CX5=""),AND(DF5&gt;=DG$24,DF5&lt;&gt;"",CX5=""),AND(EC5&gt;=EG$24,EC5&lt;&gt;""),AND(EF5&gt;=EG$24,EF5&lt;&gt;""),AND(EY5&gt;=FC$24,EY5&lt;&gt;""),AND(FB5&gt;=FC$24,FB5&lt;&gt;""),AND(FU5&gt;=FY$24,FU5&lt;&gt;""),AND(FX5&gt;=FY$24,FX5&lt;&gt;""),AND(GQ5&gt;=GU$24,GQ5&lt;&gt;""),AND(GT5&gt;=GU$24,GT5&lt;&gt;""),AND(HM5&gt;=HQ$24,HM5&lt;&gt;""),AND(HP5&gt;=HQ$24,HP5&lt;&gt;""),AND(II5&gt;=IM$24,II5&lt;&gt;""),AND(IL5&gt;=IM$24,IL5&lt;&gt;""),AND(JE5&gt;=JI$24,JE5&lt;&gt;""),AND(JH5&gt;=JI$24,JH5&lt;&gt;""),AND(KA5&gt;=KE$24,KA5&lt;&gt;""),AND(KD5&gt;=KE$24,KD5&lt;&gt;""),AND(KW5&gt;=LA$24,KW5&lt;&gt;""),AND(KZ5&gt;=LA$24,KZ5&lt;&gt;""),AND(LS5&gt;=LW$24,LS5&lt;&gt;""),AND(LV5&gt;=LW$24,LV5&lt;&gt;""),AND(MO5&gt;=MS$24,MO5&lt;&gt;""),AND(MR5&gt;=MS$24,MR5&lt;&gt;""),AND(NK5&gt;=NO$24,NK5&lt;&gt;""),AND(NN5&gt;=NO$24,NN5&lt;&gt;"")),"Merit",IF(OR(AND(AS5&gt;=AY$23,AS5&lt;&gt;"",AP5=""),AND(AU5&gt;=AY$23,AU5&lt;&gt;"",AP5=""),AND(AX5&gt;=AY$23,AX5&lt;&gt;"",AP5=""),AND(BW5&gt;=CC$23,BW5&lt;&gt;"",BT5=""),AND(BY5&gt;=CC$23,BY5&lt;&gt;"",BT5=""),AND(CB5&gt;=CC$23,CB5&lt;&gt;"",BT5=""),AND(DA5&gt;=DG$23,DA5&lt;&gt;"",CX5=""),AND(DC5&gt;=DG$23,DC5&lt;&gt;"",CX5=""),AND(DF5&gt;=DG$23,DF5&lt;&gt;"",CX5=""),AND(EC5&gt;=EG$23,EC5&lt;&gt;""),AND(EF5&gt;=EG$23,EF5&lt;&gt;""),AND(EY5&gt;=FC$23,EY5&lt;&gt;""),AND(FB5&gt;=FC$23,FB5&lt;&gt;""),AND(FU5&gt;=FY$23,FU5&lt;&gt;""),AND(FX5&gt;=FY$23,FX5&lt;&gt;""),AND(GQ5&gt;=GU$23,GQ5&lt;&gt;""),AND(GT5&gt;=GU$23,GT5&lt;&gt;""),AND(HM5&gt;=HQ$23,HM5&lt;&gt;""),AND(HP5&gt;=HQ$23,HP5&lt;&gt;""),AND(II5&gt;=IM$23,II5&lt;&gt;""),AND(IL5&gt;=IM$23,IL5&lt;&gt;""),AND(JE5&gt;=JI$23,JE5&lt;&gt;""),AND(JH5&gt;=JI$23,JH5&lt;&gt;""),AND(KA5&gt;=KE$23,KA5&lt;&gt;""),AND(KD5&gt;=KE$23,KD5&lt;&gt;""),AND(KW5&gt;=LA$23,KW5&lt;&gt;""),AND(KZ5&gt;=LA$23,KZ5&lt;&gt;""),AND(LS5&gt;=LW$23,LS5&lt;&gt;""),AND(LV5&gt;=LW$23,LV5&lt;&gt;""),AND(MO5&gt;=MS$23,MO5&lt;&gt;""),AND(MR5&gt;=MS$23,MR5&lt;&gt;""),AND(NK5&gt;=NO$23,NK5&lt;&gt;""),AND(NN5&gt;=NO$23,NN5&lt;&gt;"")),"Excellence",IF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"Worlds Team",IF(OR(AND(AV5&gt;=AY$21,AV5&lt;&gt;"",AP5=""),AND(BZ5&gt;=CC$21,BZ5&lt;&gt;"",BT5=""),AND(DD5&gt;=DG$21,DD5&lt;&gt;"",CX5=""),AND(ED5&gt;=EG$21,ED5&lt;&gt;""),AND(EZ5&gt;=FC$21,EZ5&lt;&gt;""),AND(FV5&gt;=FY$21,FV5&lt;&gt;""),AND(GR5&gt;=GU$21,GR5&lt;&gt;""),AND(HN5&gt;=HQ$21,HN5&lt;&gt;""),AND(IJ5&gt;=IM$21,IJ5&lt;&gt;""),AND(JF5&gt;=JI$21,JF5&lt;&gt;""),AND(KB5&gt;=KE$21,KB5&lt;&gt;""),AND(KX5&gt;=LA$21,KX5&lt;&gt;""),AND(LT5&gt;=LW$21,LT5&lt;&gt;""),AND(MP5&gt;=MS$21,MP5&lt;&gt;""),AND(NL5&gt;=NO$21,NL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Merit</v>
      </c>
      <c r="J5" s="3" t="str">
        <f>IF(AND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OR(G5="Worlds Team",G5="Excellence",G5="Merit")),"P","")</f>
        <v>P</v>
      </c>
      <c r="K5" s="14">
        <f>IF(MAX(AV5,BZ5,DD5)&gt;0,MAX(AV5,BZ5,DD5),0)</f>
        <v>104.28999999999999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49.344999999999999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54.555000000000007</v>
      </c>
      <c r="P5" s="14" t="str">
        <f>IF(O5=0,"",IF(OR(O5=DC5,O5=DA5),$CD$1,IF(OR(O5=BY5,O5=BW5),$AZ$1,IF(OR(O5=AU5,O5=AS5),$V$1,""))))</f>
        <v>2021 Canadian Championships</v>
      </c>
      <c r="Q5" s="14">
        <f>MAX(AX5,CB5,DF5)</f>
        <v>54.519999999999996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0.88000000000000256</v>
      </c>
      <c r="T5" s="25" t="str">
        <f>IF(S5="","",IF(S5=DH5,"(Vol 1)",IF(S5=DI5,"(Vol 2)",IF(S5=DJ5,"(Prelim)",IF(S5=DK5,"(Final)")))))</f>
        <v>(Final)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18.399999999999999</v>
      </c>
      <c r="W5" s="69">
        <v>9.5</v>
      </c>
      <c r="X5" s="69">
        <v>4.5999999999999996</v>
      </c>
      <c r="Y5" s="69">
        <v>16.844999999999999</v>
      </c>
      <c r="Z5" s="69">
        <v>0</v>
      </c>
      <c r="AA5" s="69">
        <v>16.2</v>
      </c>
      <c r="AB5" s="69">
        <v>8.8000000000000007</v>
      </c>
      <c r="AC5" s="69">
        <v>13.2</v>
      </c>
      <c r="AD5" s="69">
        <v>15.795</v>
      </c>
      <c r="AE5" s="69">
        <v>0</v>
      </c>
      <c r="AF5" s="69">
        <v>16.100000000000001</v>
      </c>
      <c r="AG5" s="69">
        <v>9</v>
      </c>
      <c r="AH5" s="69">
        <v>14</v>
      </c>
      <c r="AI5" s="69">
        <v>15.295</v>
      </c>
      <c r="AJ5" s="69">
        <v>0</v>
      </c>
      <c r="AK5" s="69">
        <v>16.100000000000001</v>
      </c>
      <c r="AL5" s="69">
        <v>8.9</v>
      </c>
      <c r="AM5" s="69">
        <v>13.8</v>
      </c>
      <c r="AN5" s="69">
        <v>15.08</v>
      </c>
      <c r="AO5" s="69">
        <v>0</v>
      </c>
      <c r="AP5" s="80"/>
      <c r="AQ5" s="11">
        <f>IF(SUM(V5:Y5)-Z5&gt;0,SUM(V5:Y5)-Z5,"")</f>
        <v>49.344999999999999</v>
      </c>
      <c r="AR5" s="11">
        <f>IF(AC5&gt;0,AC5,"")</f>
        <v>13.2</v>
      </c>
      <c r="AS5" s="11">
        <f>IF(SUM(AA5:AD5)-AE5&gt;0,SUM(AA5:AD5)-AE5,"")</f>
        <v>53.995000000000005</v>
      </c>
      <c r="AT5" s="11">
        <f>IF(AH5&gt;0,AH5,"")</f>
        <v>14</v>
      </c>
      <c r="AU5" s="11">
        <f>IF(SUM(AF5:AI5)-AJ5&gt;0,SUM(AF5:AI5)-AJ5,"")</f>
        <v>54.395000000000003</v>
      </c>
      <c r="AV5" s="11">
        <f>IF(AQ5="",IF(MAX(AS5,AU5)&gt;0,MAX(AS5,AU5),""),MAX(AS5,AU5)+AQ5)</f>
        <v>103.74000000000001</v>
      </c>
      <c r="AW5" s="11">
        <f>IF(AM5&gt;0,AM5,"")</f>
        <v>13.8</v>
      </c>
      <c r="AX5" s="11">
        <f>IF(SUM(AK5:AN5)-AO5&gt;0,SUM(AK5:AN5)-AO5,"")</f>
        <v>53.879999999999995</v>
      </c>
      <c r="AY5" s="11">
        <f>IF(SUM(AV5,AX5)&gt;0,SUM(AV5,AX5),"")</f>
        <v>157.62</v>
      </c>
      <c r="AZ5" s="75">
        <v>18.299999999999997</v>
      </c>
      <c r="BA5" s="75">
        <v>9.4499999999999993</v>
      </c>
      <c r="BB5" s="75">
        <v>4.5999999999999996</v>
      </c>
      <c r="BC5" s="75">
        <v>16.862499999999997</v>
      </c>
      <c r="BD5" s="75">
        <v>0</v>
      </c>
      <c r="BE5" s="75">
        <v>16.399999999999999</v>
      </c>
      <c r="BF5" s="75">
        <v>8.9750000000000014</v>
      </c>
      <c r="BG5" s="75">
        <v>13.3</v>
      </c>
      <c r="BH5" s="75">
        <v>15.657499999999999</v>
      </c>
      <c r="BI5" s="75">
        <v>0</v>
      </c>
      <c r="BJ5" s="75">
        <v>12.05</v>
      </c>
      <c r="BK5" s="75">
        <v>6.8</v>
      </c>
      <c r="BL5" s="75">
        <v>10.8</v>
      </c>
      <c r="BM5" s="75">
        <v>11.727499999999999</v>
      </c>
      <c r="BN5" s="75">
        <v>0</v>
      </c>
      <c r="BO5" s="75">
        <v>15.15</v>
      </c>
      <c r="BP5" s="75">
        <v>9.1999999999999993</v>
      </c>
      <c r="BQ5" s="75">
        <v>13.45</v>
      </c>
      <c r="BR5" s="75">
        <v>15.18</v>
      </c>
      <c r="BS5" s="75">
        <v>0</v>
      </c>
      <c r="BT5" s="81" t="s">
        <v>74</v>
      </c>
      <c r="BU5" s="14">
        <f>IF(SUM(AZ5:BC5)-BD5&gt;0,SUM(AZ5:BC5)-BD5,"")</f>
        <v>49.212499999999991</v>
      </c>
      <c r="BV5" s="14">
        <f>IF(BG5&gt;0,BG5,"")</f>
        <v>13.3</v>
      </c>
      <c r="BW5" s="14">
        <f>IF(SUM(BE5:BH5)-BI5&gt;0,SUM(BE5:BH5)-BI5,"")</f>
        <v>54.332499999999996</v>
      </c>
      <c r="BX5" s="14">
        <f>IF(BL5&gt;0,BL5,"")</f>
        <v>10.8</v>
      </c>
      <c r="BY5" s="14">
        <f>IF(SUM(BJ5:BM5)-BN5&gt;0,SUM(BJ5:BM5)-BN5,"")</f>
        <v>41.377499999999998</v>
      </c>
      <c r="BZ5" s="14">
        <f>IF(BU5="",IF(MAX(BW5,BY5)&gt;0,MAX(BW5,BY5),""),MAX(BW5,BY5)+BU5)</f>
        <v>103.54499999999999</v>
      </c>
      <c r="CA5" s="14">
        <f>IF(BQ5&gt;0,BQ5,"")</f>
        <v>13.45</v>
      </c>
      <c r="CB5" s="14">
        <f>IF(SUM(BO5:BR5)-BS5&gt;0,SUM(BO5:BR5)-BS5,"")</f>
        <v>52.98</v>
      </c>
      <c r="CC5" s="14">
        <f>IF(SUM(BZ5,CB5)&gt;0,SUM(BZ5,CB5),"")</f>
        <v>156.52499999999998</v>
      </c>
      <c r="CD5" s="69">
        <v>18.2</v>
      </c>
      <c r="CE5" s="69">
        <v>9.4</v>
      </c>
      <c r="CF5" s="69">
        <v>4.5999999999999996</v>
      </c>
      <c r="CG5" s="69">
        <v>16.805</v>
      </c>
      <c r="CH5" s="69">
        <v>0</v>
      </c>
      <c r="CI5" s="69">
        <v>16.2</v>
      </c>
      <c r="CJ5" s="69">
        <v>9.1999999999999993</v>
      </c>
      <c r="CK5" s="69">
        <v>14.4</v>
      </c>
      <c r="CL5" s="69">
        <v>15.484999999999999</v>
      </c>
      <c r="CM5" s="69">
        <v>0</v>
      </c>
      <c r="CN5" s="69">
        <v>15.9</v>
      </c>
      <c r="CO5" s="69">
        <v>8.9</v>
      </c>
      <c r="CP5" s="69">
        <v>14.4</v>
      </c>
      <c r="CQ5" s="69">
        <v>15.355</v>
      </c>
      <c r="CR5" s="69">
        <v>0</v>
      </c>
      <c r="CS5" s="69">
        <v>16.2</v>
      </c>
      <c r="CT5" s="69">
        <v>9.1999999999999993</v>
      </c>
      <c r="CU5" s="69">
        <v>13.6</v>
      </c>
      <c r="CV5" s="69">
        <v>15.52</v>
      </c>
      <c r="CW5" s="69">
        <v>0</v>
      </c>
      <c r="CX5" s="80"/>
      <c r="CY5" s="11">
        <f>IF(SUM(CD5:CG5)-CH5&gt;0,SUM(CD5:CG5)-CH5,"")</f>
        <v>49.005000000000003</v>
      </c>
      <c r="CZ5" s="11">
        <f>IF(CK5&gt;0,CK5,"")</f>
        <v>14.4</v>
      </c>
      <c r="DA5" s="11">
        <f>IF(SUM(CI5:CL5)-CM5&gt;0,SUM(CI5:CL5)-CM5,"")</f>
        <v>55.284999999999997</v>
      </c>
      <c r="DB5" s="11">
        <f>IF(CP5&gt;0,CP5,"")</f>
        <v>14.4</v>
      </c>
      <c r="DC5" s="11">
        <f>IF(SUM(CN5:CQ5)-CR5&gt;0,SUM(CN5:CQ5)-CR5,"")</f>
        <v>54.555000000000007</v>
      </c>
      <c r="DD5" s="11">
        <f>IF(CY5="",IF(MAX(DA5,DC5)&gt;0,MAX(DA5,DC5),""),MAX(DA5,DC5)+CY5)</f>
        <v>104.28999999999999</v>
      </c>
      <c r="DE5" s="11">
        <f>IF(CU5&gt;0,CU5,"")</f>
        <v>13.6</v>
      </c>
      <c r="DF5" s="11">
        <f>IF(SUM(CS5:CV5)-CW5&gt;0,SUM(CS5:CV5)-CW5,"")</f>
        <v>54.519999999999996</v>
      </c>
      <c r="DG5" s="11">
        <f>IF(SUM(DD5,DF5)&gt;0,SUM(DD5,DF5),"")</f>
        <v>158.81</v>
      </c>
      <c r="DH5" s="24" t="str">
        <f>IF(MAX(EB5,EX5,FT5,GP5,HL5,IH5,JD5,JZ5,KV5,LR5,MN5,NJ5)-IF(M5="",0,M5)&gt;0.001,MAX(EB5,EX5,FT5,GP5,HL5,IH5,JD5,JZ5,KV5,LR5,MN5,NJ5)-IF(M5="",0,M5),"")</f>
        <v/>
      </c>
      <c r="DI5" s="24">
        <f>IF(MAX(EC5,EY5,FU5,GQ5,HM5,II5,JE5,KA5,KW5,LS5,MO5,NK5)-IF(O5="",0,O5)&gt;0.001,MAX(EC5,EY5,FU5,GQ5,HM5,II5,JE5,KA5,KW5,LS5,MO5,NK5)-IF(O5="",0,O5),"")</f>
        <v>0.34499999999999176</v>
      </c>
      <c r="DJ5" s="24" t="str">
        <f>IF(MAX(ED5,EZ5,FV5,GR5,HN5,IJ5,JF5,KB5,KX5,LT5,MP5,NL5)-IF(K5="",0,K5)&gt;0.001,MAX(ED5,EZ5,FV5,GR5,HN5,IJ5,JF5,KB5,KX5,LT5,MP5,NL5)-IF(K5="",0,K5),"")</f>
        <v/>
      </c>
      <c r="DK5" s="24">
        <f>IF(MAX(EF5,FB5,FX5,GT5,HP5,IL5,JH5,KD5,KZ5,LV5,MR5,NN5)-IF(Q5="",0,Q5)&gt;0.001,MAX(EF5,FB5,FX5,GT5,HP5,IL5,JH5,KD5,KZ5,LV5,MR5,NN5)-IF(Q5="",0,Q5),"")</f>
        <v>0.88000000000000256</v>
      </c>
      <c r="DL5" s="37">
        <v>18.100000000000001</v>
      </c>
      <c r="DM5" s="37">
        <v>8.9</v>
      </c>
      <c r="DN5" s="37">
        <v>4.5999999999999996</v>
      </c>
      <c r="DO5" s="37">
        <v>16.760000000000002</v>
      </c>
      <c r="DP5" s="37">
        <v>0</v>
      </c>
      <c r="DQ5" s="37">
        <v>15.7</v>
      </c>
      <c r="DR5" s="37">
        <v>9.1999999999999993</v>
      </c>
      <c r="DS5" s="37">
        <v>14.4</v>
      </c>
      <c r="DT5" s="37">
        <v>15.6</v>
      </c>
      <c r="DU5" s="37">
        <v>0</v>
      </c>
      <c r="DV5" s="37">
        <v>16.100000000000001</v>
      </c>
      <c r="DW5" s="37">
        <v>9.5</v>
      </c>
      <c r="DX5" s="37">
        <v>14.4</v>
      </c>
      <c r="DY5" s="37">
        <v>15.4</v>
      </c>
      <c r="DZ5" s="37">
        <v>0</v>
      </c>
      <c r="EA5" s="11">
        <f>IF(DS5&gt;0,DS5,"")</f>
        <v>14.4</v>
      </c>
      <c r="EB5" s="11">
        <f>IF(SUM(DL5:DO5)-DP5&gt;0,SUM(DL5:DO5)-DP5,"")</f>
        <v>48.36</v>
      </c>
      <c r="EC5" s="11">
        <f>IF(SUM(DQ5:DT5)-DU5&gt;0,SUM(DQ5:DT5)-DU5,"")</f>
        <v>54.9</v>
      </c>
      <c r="ED5" s="11">
        <f>IF(SUM(EB5:EC5)&gt;0,SUM(EB5:EC5),"")</f>
        <v>103.25999999999999</v>
      </c>
      <c r="EE5" s="11">
        <f>IF(DX5&gt;0,DX5,"")</f>
        <v>14.4</v>
      </c>
      <c r="EF5" s="11">
        <f>IF(SUM(DV5:DY5)-DZ5&gt;0,SUM(DV5:DY5)-DZ5,"")</f>
        <v>55.4</v>
      </c>
      <c r="EG5" s="11">
        <f>IF(SUM(ED5,EF5)&gt;0,SUM(ED5,EF5),"")</f>
        <v>158.66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>
        <v>18</v>
      </c>
      <c r="FE5" s="37">
        <v>9.5</v>
      </c>
      <c r="FF5" s="37">
        <v>4.5999999999999996</v>
      </c>
      <c r="FG5" s="37">
        <v>16.39</v>
      </c>
      <c r="FH5" s="37">
        <v>0</v>
      </c>
      <c r="FI5" s="37">
        <v>15.4</v>
      </c>
      <c r="FJ5" s="37">
        <v>9.1999999999999993</v>
      </c>
      <c r="FK5" s="37">
        <v>13.3</v>
      </c>
      <c r="FL5" s="37">
        <v>15.154999999999999</v>
      </c>
      <c r="FM5" s="37">
        <v>0</v>
      </c>
      <c r="FN5" s="37"/>
      <c r="FO5" s="37"/>
      <c r="FP5" s="37"/>
      <c r="FQ5" s="37"/>
      <c r="FR5" s="37"/>
      <c r="FS5" s="11">
        <f>IF(FK5&gt;0,FK5,"")</f>
        <v>13.3</v>
      </c>
      <c r="FT5" s="11">
        <f>IF(SUM(FD5:FG5)-FH5&gt;0,SUM(FD5:FG5)-FH5,"")</f>
        <v>48.49</v>
      </c>
      <c r="FU5" s="11">
        <f>IF(SUM(FI5:FL5)-FM5&gt;0,SUM(FI5:FL5)-FM5,"")</f>
        <v>53.055000000000007</v>
      </c>
      <c r="FV5" s="11">
        <f>IF(SUM(FT5:FU5)&gt;0,SUM(FT5:FU5),"")</f>
        <v>101.54500000000002</v>
      </c>
      <c r="FW5" s="11" t="str">
        <f>IF(FP5&gt;0,FP5,"")</f>
        <v/>
      </c>
      <c r="FX5" s="11" t="str">
        <f>IF(SUM(FN5:FQ5)-FR5&gt;0,SUM(FN5:FQ5)-FR5,"")</f>
        <v/>
      </c>
      <c r="FY5" s="11">
        <f>IF(SUM(FV5,FX5)&gt;0,SUM(FV5,FX5),"")</f>
        <v>101.54500000000002</v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>
        <v>14.8</v>
      </c>
      <c r="GK5" s="38">
        <v>9.5</v>
      </c>
      <c r="GL5" s="38">
        <v>14.2</v>
      </c>
      <c r="GM5" s="38">
        <v>15.145</v>
      </c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>
        <f>IF(GL5&gt;0,GL5,"")</f>
        <v>14.2</v>
      </c>
      <c r="GT5" s="14">
        <f>IF(SUM(GJ5:GM5)-GN5&gt;0,SUM(GJ5:GM5)-GN5,"")</f>
        <v>53.644999999999996</v>
      </c>
      <c r="GU5" s="14">
        <f>IF(SUM(GR5,GT5)&gt;0,SUM(GR5,GT5),"")</f>
        <v>53.644999999999996</v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>
        <v>14.9</v>
      </c>
      <c r="HG5" s="37">
        <v>9.1</v>
      </c>
      <c r="HH5" s="37">
        <v>11.9</v>
      </c>
      <c r="HI5" s="37">
        <v>14.984999999999999</v>
      </c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>
        <f>IF(HH5&gt;0,HH5,"")</f>
        <v>11.9</v>
      </c>
      <c r="HP5" s="11">
        <f>IF(SUM(HF5:HI5)-HJ5&gt;0,SUM(HF5:HI5)-HJ5,"")</f>
        <v>50.884999999999998</v>
      </c>
      <c r="HQ5" s="11">
        <f>IF(SUM(HN5,HP5)&gt;0,SUM(HN5,HP5),"")</f>
        <v>50.884999999999998</v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>
        <v>15.3</v>
      </c>
      <c r="IC5" s="38">
        <v>9.5</v>
      </c>
      <c r="ID5" s="38">
        <v>14.4</v>
      </c>
      <c r="IE5" s="38">
        <v>15.065</v>
      </c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>
        <f>IF(ID5&gt;0,ID5,"")</f>
        <v>14.4</v>
      </c>
      <c r="IL5" s="14">
        <f>IF(SUM(IB5:IE5)-IF5&gt;0,SUM(IB5:IE5)-IF5,"")</f>
        <v>54.265000000000001</v>
      </c>
      <c r="IM5" s="14">
        <f>IF(SUM(IJ5,IL5)&gt;0,SUM(IJ5,IL5),"")</f>
        <v>54.265000000000001</v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18.25</v>
      </c>
      <c r="NQ5" s="69">
        <f>IF($CX5="P",CE5,(CE5+BA5)/2)</f>
        <v>9.4250000000000007</v>
      </c>
      <c r="NR5" s="69">
        <f>IF($CX5="P",CF5,(CF5+BB5)/2)</f>
        <v>4.5999999999999996</v>
      </c>
      <c r="NS5" s="69">
        <f>IF($CX5="P",CG5,(CG5+BC5)/2)</f>
        <v>16.833749999999998</v>
      </c>
      <c r="NT5" s="69">
        <f>IF($CX5="P",CH5,(CH5+BD5)/2)</f>
        <v>0</v>
      </c>
      <c r="NU5" s="69">
        <f>IF($CX5="P",CI5,(CI5+BE5)/2)</f>
        <v>16.299999999999997</v>
      </c>
      <c r="NV5" s="69">
        <f>IF($CX5="P",CJ5,(CJ5+BF5)/2)</f>
        <v>9.0875000000000004</v>
      </c>
      <c r="NW5" s="69">
        <f>IF($CX5="P",CK5,(CK5+BG5)/2)</f>
        <v>13.850000000000001</v>
      </c>
      <c r="NX5" s="69">
        <f>IF($CX5="P",CL5,(CL5+BH5)/2)</f>
        <v>15.571249999999999</v>
      </c>
      <c r="NY5" s="69">
        <f>IF($CX5="P",CM5,(CM5+BI5)/2)</f>
        <v>0</v>
      </c>
      <c r="NZ5" s="69">
        <f>IF($CX5="P",CN5,(CN5+BJ5)/2)</f>
        <v>13.975000000000001</v>
      </c>
      <c r="OA5" s="69">
        <f>IF($CX5="P",CO5,(CO5+BK5)/2)</f>
        <v>7.85</v>
      </c>
      <c r="OB5" s="69">
        <f>IF($CX5="P",CP5,(CP5+BL5)/2)</f>
        <v>12.600000000000001</v>
      </c>
      <c r="OC5" s="69">
        <f>IF($CX5="P",CQ5,(CQ5+BM5)/2)</f>
        <v>13.54125</v>
      </c>
      <c r="OD5" s="69">
        <f>IF($CX5="P",CR5,(CR5+BN5)/2)</f>
        <v>0</v>
      </c>
      <c r="OE5" s="69">
        <f>IF($CX5="P",CS5,(CS5+BO5)/2)</f>
        <v>15.675000000000001</v>
      </c>
      <c r="OF5" s="69">
        <f>IF($CX5="P",CT5,(CT5+BP5)/2)</f>
        <v>9.1999999999999993</v>
      </c>
      <c r="OG5" s="69">
        <f>IF($CX5="P",CU5,(CU5+BQ5)/2)</f>
        <v>13.524999999999999</v>
      </c>
      <c r="OH5" s="69">
        <f>IF($CX5="P",CV5,(CV5+BR5)/2)</f>
        <v>15.35</v>
      </c>
      <c r="OI5" s="69">
        <f>IF($CX5="P",CW5,(CW5+BS5)/2)</f>
        <v>0</v>
      </c>
      <c r="OJ5" s="80" t="s">
        <v>74</v>
      </c>
      <c r="OK5" s="11">
        <f>IF(SUM(NP5:NS5)-NT5&gt;0,SUM(NP5:NS5)-NT5,"")</f>
        <v>49.108750000000001</v>
      </c>
      <c r="OL5" s="11">
        <f>IF(NW5&gt;0,NW5,"")</f>
        <v>13.850000000000001</v>
      </c>
      <c r="OM5" s="11">
        <f>IF(SUM(NU5:NX5)-NY5&gt;0,SUM(NU5:NX5)-NY5,"")</f>
        <v>54.808749999999996</v>
      </c>
      <c r="ON5" s="11">
        <f>IF(OB5&gt;0,OB5,"")</f>
        <v>12.600000000000001</v>
      </c>
      <c r="OO5" s="11">
        <f>IF(SUM(NZ5:OC5)-OD5&gt;0,SUM(NZ5:OC5)-OD5,"")</f>
        <v>47.966250000000002</v>
      </c>
      <c r="OP5" s="11">
        <f>IF(OR(OK5&lt;&gt;"",OM5&lt;&gt;"",OO5&lt;&gt;""),OK5+MAX(OM5,OO5),"")</f>
        <v>103.91749999999999</v>
      </c>
      <c r="OQ5" s="11">
        <f>IF(OG5&gt;0,OG5,"")</f>
        <v>13.524999999999999</v>
      </c>
      <c r="OR5" s="11">
        <f t="shared" si="0"/>
        <v>53.75</v>
      </c>
      <c r="OS5" s="11">
        <f t="shared" ref="OS5:OS14" si="1">IF(SUM(OP5,OR5)&gt;0,SUM(OP5,OR5),"")</f>
        <v>157.66749999999999</v>
      </c>
    </row>
    <row r="6" spans="1:409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3</v>
      </c>
      <c r="B6" s="127" t="s">
        <v>30</v>
      </c>
      <c r="C6" s="5" t="s">
        <v>9</v>
      </c>
      <c r="D6" s="5">
        <v>1998</v>
      </c>
      <c r="E6" s="15">
        <f>SUM(K6:S6)</f>
        <v>261.82</v>
      </c>
      <c r="F6" s="3" t="str">
        <f>IF(G6&lt;&gt;"","P","")</f>
        <v>P</v>
      </c>
      <c r="G6" s="125" t="str">
        <f>IF(OR(AND(AR6&gt;=AY$20,AR6&lt;&gt;"",AP6=""),AND(AT6&gt;=AY$20,AT6&lt;&gt;"",AP6=""),AND(AW6&gt;=AY$20,AW6&lt;&gt;"",AP6=""),AND(BV6&gt;=CC$20,BV6&lt;&gt;"",BT6=""),AND(BX6&gt;=CC$20,BX6&lt;&gt;"",BT6=""),AND(CA6&gt;=CC$20,CA6&lt;&gt;"",BT6=""),AND(CZ6&gt;=DG$20,CZ6&lt;&gt;"",CX6=""),AND(DB6&gt;=DG$20,DB6&lt;&gt;"",CX6=""),AND(DE6&gt;=DG$20,DE6&lt;&gt;"",CX6=""),AND(EA6&gt;=EG$20,EA6&lt;&gt;""),AND(EE6&gt;=EG$20,EE6&lt;&gt;""),AND(EW6&gt;=FC$20,EW6&lt;&gt;""),AND(FA6&gt;=FC$20,FA6&lt;&gt;""),AND(FS6&gt;=FY$20,FS6&lt;&gt;""),AND(FW6&gt;=FY$20,FW6&lt;&gt;""),AND(GO6&gt;=GU$20,GO6&lt;&gt;""),AND(GS6&gt;=GU$20,GS6&lt;&gt;""),AND(HK6&gt;=HQ$20,HK6&lt;&gt;""),AND(HO6&gt;=HQ$20,HO6&lt;&gt;""),AND(IG6&gt;=IM$20,IG6&lt;&gt;""),AND(IK6&gt;=IM$20,IK6&lt;&gt;""),AND(JC6&gt;=JI$20,JC6&lt;&gt;""),AND(JG6&gt;=JI$20,JG6&lt;&gt;""),AND(JY6&gt;=KE$20,JY6&lt;&gt;""),AND(KC6&gt;=KE$20,KC6&lt;&gt;""),AND(KU6&gt;=LA$20,KU6&lt;&gt;""),AND(KY6&gt;=LA$20,KY6&lt;&gt;""),AND(LQ6&gt;=LW$20,LQ6&lt;&gt;""),AND(LU6&gt;=LW$20,LU6&lt;&gt;""),AND(MM6&gt;=MS$20,MM6&lt;&gt;""),AND(MQ6&gt;=MS$20,MQ6&lt;&gt;""),AND(NI6&gt;=NO$20,NI6&lt;&gt;""),AND(NM6&gt;=NO$20,NM6&lt;&gt;"")),"Merit",IF(OR(AND(AR6&gt;=AY$19,AR6&lt;&gt;"",AP6=""),AND(AT6&gt;=AY$19,AT6&lt;&gt;"",AP6=""),AND(AW6&gt;=AY$19,AW6&lt;&gt;"",AP6=""),AND(BV6&gt;=CC$19,BV6&lt;&gt;"",BT6=""),AND(BX6&gt;=CC$19,BX6&lt;&gt;"",BT6=""),AND(CA6&gt;=CC$19,CA6&lt;&gt;"",BT6=""),AND(CZ6&gt;=DG$19,CZ6&lt;&gt;"",CX6=""),AND(DB6&gt;=DG$19,DB6&lt;&gt;"",CX6=""),AND(DE6&gt;=DG$19,DE6&lt;&gt;"",CX6=""),AND(EA6&gt;=EG$19,EA6&lt;&gt;""),AND(EE6&gt;=EG$19,EE6&lt;&gt;""),AND(EW6&gt;=FC$19,EW6&lt;&gt;""),AND(FA6&gt;=FC$19,FA6&lt;&gt;""),AND(FS6&gt;=FY$19,FS6&lt;&gt;""),AND(FW6&gt;=FY$19,FW6&lt;&gt;""),AND(GO6&gt;=GU$19,GO6&lt;&gt;""),AND(GS6&gt;=GU$19,GS6&lt;&gt;""),AND(HK6&gt;=HQ$19,HK6&lt;&gt;""),AND(HO6&gt;=HQ$19,HO6&lt;&gt;""),AND(IG6&gt;=IM$19,IG6&lt;&gt;""),AND(IK6&gt;=IM$19,IK6&lt;&gt;""),AND(JC6&gt;=JI$19,JC6&lt;&gt;""),AND(JG6&gt;=JI$19,JG6&lt;&gt;""),AND(JY6&gt;=KE$19,JY6&lt;&gt;""),AND(KC6&gt;=KE$19,KC6&lt;&gt;""),AND(KU6&gt;=LA$19,KU6&lt;&gt;""),AND(KY6&gt;=LA$19,KY6&lt;&gt;""),AND(LQ6&gt;=LW$19,LQ6&lt;&gt;""),AND(LU6&gt;=LW$19,LU6&lt;&gt;""),AND(MM6&gt;=MS$19,MM6&lt;&gt;""),AND(MQ6&gt;=MS$19,MQ6&lt;&gt;""),AND(NI6&gt;=NO$19,NI6&lt;&gt;""),AND(NM6&gt;=NO$19,NM6&lt;&gt;"")),"Excellence",IF(OR(AND(AR6&gt;=AY$18,AR6&lt;&gt;"",AP6=""),AND(AT6&gt;=AY$18,AT6&lt;&gt;"",AP6=""),AND(AW6&gt;=AY$18,AW6&lt;&gt;"",AP6=""),AND(BV6&gt;=CC$18,BV6&lt;&gt;"",BT6=""),AND(BX6&gt;=CC$18,BX6&lt;&gt;"",BT6=""),AND(CA6&gt;=CC$18,CA6&lt;&gt;"",BT6=""),AND(CZ6&gt;=DG$18,CZ6&lt;&gt;"",CX6=""),AND(DB6&gt;=DG$18,DB6&lt;&gt;"",CX6=""),AND(DE6&gt;=DG$18,DE6&lt;&gt;"",CX6=""),AND(EA6&gt;=EG$18,EA6&lt;&gt;""),AND(EE6&gt;=EG$18,EE6&lt;&gt;""),AND(EW6&gt;=FC$18,EW6&lt;&gt;""),AND(FA6&gt;=FC$18,FA6&lt;&gt;""),AND(FS6&gt;=FY$18,FS6&lt;&gt;""),AND(FW6&gt;=FY$18,FW6&lt;&gt;""),AND(GO6&gt;=GU$18,GO6&lt;&gt;""),AND(GS6&gt;=GU$18,GS6&lt;&gt;""),AND(HK6&gt;=HQ$18,HK6&lt;&gt;""),AND(HO6&gt;=HQ$18,HO6&lt;&gt;""),AND(IG6&gt;=IM$18,IG6&lt;&gt;""),AND(IK6&gt;=IM$18,IK6&lt;&gt;""),AND(JC6&gt;=JI$18,JC6&lt;&gt;""),AND(JG6&gt;=JI$18,JG6&lt;&gt;""),AND(JY6&gt;=KE$18,JY6&lt;&gt;""),AND(KC6&gt;=KE$18,KC6&lt;&gt;""),AND(KU6&gt;=LA$18,KU6&lt;&gt;""),AND(KY6&gt;=LA$18,KY6&lt;&gt;""),AND(LQ6&gt;=LW$18,LQ6&lt;&gt;""),AND(LU6&gt;=LW$18,LU6&lt;&gt;""),AND(MM6&gt;=MS$18,MM6&lt;&gt;""),AND(MQ6&gt;=MS$18,MQ6&lt;&gt;""),AND(NI6&gt;=NO$18,NI6&lt;&gt;""),AND(NM6&gt;=NO$18,NM6&lt;&gt;"")),"Worlds Team",IF(OR(AND(AR6&gt;=AY$17,AR6&lt;&gt;"",AP6=""),AND(AT6&gt;=AY$17,AT6&lt;&gt;"",AP6=""),AND(AW6&gt;=AY$17,AW6&lt;&gt;"",AP6=""),AND(BV6&gt;=CC$17,BV6&lt;&gt;"",BT6=""),AND(BX6&gt;=CC$17,BX6&lt;&gt;"",BT6=""),AND(CA6&gt;=CC$17,CA6&lt;&gt;"",BT6=""),AND(CZ6&gt;=DG$17,CZ6&lt;&gt;"",CX6=""),AND(DB6&gt;=DG$17,DB6&lt;&gt;"",CX6=""),AND(DE6&gt;=DG$17,DE6&lt;&gt;"",CX6=""),AND(EA6&gt;=EG$17,EA6&lt;&gt;""),AND(EE6&gt;=EG$17,EE6&lt;&gt;""),AND(EW6&gt;=FC$17,EW6&lt;&gt;""),AND(FA6&gt;=FC$17,FA6&lt;&gt;""),AND(FS6&gt;=FY$17,FS6&lt;&gt;""),AND(FW6&gt;=FY$17,FW6&lt;&gt;""),AND(GO6&gt;=GU$17,GO6&lt;&gt;""),AND(GS6&gt;=GU$17,GS6&lt;&gt;""),AND(HK6&gt;=HQ$17,HK6&lt;&gt;""),AND(HO6&gt;=HQ$17,HO6&lt;&gt;""),AND(IG6&gt;=IM$17,IG6&lt;&gt;""),AND(IK6&gt;=IM$17,IK6&lt;&gt;""),AND(JC6&gt;=JI$17,JC6&lt;&gt;""),AND(JG6&gt;=JI$17,JG6&lt;&gt;""),AND(JY6&gt;=KE$17,JY6&lt;&gt;""),AND(KC6&gt;=KE$17,KC6&lt;&gt;""),AND(KU6&gt;=LA$17,KU6&lt;&gt;""),AND(KY6&gt;=LA$17,KY6&lt;&gt;""),AND(LQ6&gt;=LW$17,LQ6&lt;&gt;""),AND(LU6&gt;=LW$17,LU6&lt;&gt;""),AND(MM6&gt;=MS$17,MM6&lt;&gt;""),AND(MQ6&gt;=MS$17,MQ6&lt;&gt;""),AND(NI6&gt;=NO$17,NI6&lt;&gt;""),AND(NM6&gt;=NO$17,NM6&lt;&gt;"")),"National Team",""))))</f>
        <v>Merit</v>
      </c>
      <c r="H6" s="125" t="str">
        <f>IF(OR(AND(AS6&gt;=AY$24,AS6&lt;&gt;"",AP6=""),AND(AU6&gt;=AY$24,AU6&lt;&gt;"",AP6=""),AND(AX6&gt;=AY$24,AX6&lt;&gt;"",AP6=""),AND(BW6&gt;=CC$24,BW6&lt;&gt;"",BT6=""),AND(BY6&gt;=CC$24,BY6&lt;&gt;"",BT6=""),AND(CB6&gt;=CC$24,CB6&lt;&gt;"",BT6=""),AND(DA6&gt;=DG$24,DA6&lt;&gt;"",CX6=""),AND(DC6&gt;=DG$24,DC6&lt;&gt;"",CX6=""),AND(DF6&gt;=DG$24,DF6&lt;&gt;"",CX6=""),AND(EC6&gt;=EG$24,EC6&lt;&gt;""),AND(EF6&gt;=EG$24,EF6&lt;&gt;""),AND(EY6&gt;=FC$24,EY6&lt;&gt;""),AND(FB6&gt;=FC$24,FB6&lt;&gt;""),AND(FU6&gt;=FY$24,FU6&lt;&gt;""),AND(FX6&gt;=FY$24,FX6&lt;&gt;""),AND(GQ6&gt;=GU$24,GQ6&lt;&gt;""),AND(GT6&gt;=GU$24,GT6&lt;&gt;""),AND(HM6&gt;=HQ$24,HM6&lt;&gt;""),AND(HP6&gt;=HQ$24,HP6&lt;&gt;""),AND(II6&gt;=IM$24,II6&lt;&gt;""),AND(IL6&gt;=IM$24,IL6&lt;&gt;""),AND(JE6&gt;=JI$24,JE6&lt;&gt;""),AND(JH6&gt;=JI$24,JH6&lt;&gt;""),AND(KA6&gt;=KE$24,KA6&lt;&gt;""),AND(KD6&gt;=KE$24,KD6&lt;&gt;""),AND(KW6&gt;=LA$24,KW6&lt;&gt;""),AND(KZ6&gt;=LA$24,KZ6&lt;&gt;""),AND(LS6&gt;=LW$24,LS6&lt;&gt;""),AND(LV6&gt;=LW$24,LV6&lt;&gt;""),AND(MO6&gt;=MS$24,MO6&lt;&gt;""),AND(MR6&gt;=MS$24,MR6&lt;&gt;""),AND(NK6&gt;=NO$24,NK6&lt;&gt;""),AND(NN6&gt;=NO$24,NN6&lt;&gt;"")),"Merit",IF(OR(AND(AS6&gt;=AY$23,AS6&lt;&gt;"",AP6=""),AND(AU6&gt;=AY$23,AU6&lt;&gt;"",AP6=""),AND(AX6&gt;=AY$23,AX6&lt;&gt;"",AP6=""),AND(BW6&gt;=CC$23,BW6&lt;&gt;"",BT6=""),AND(BY6&gt;=CC$23,BY6&lt;&gt;"",BT6=""),AND(CB6&gt;=CC$23,CB6&lt;&gt;"",BT6=""),AND(DA6&gt;=DG$23,DA6&lt;&gt;"",CX6=""),AND(DC6&gt;=DG$23,DC6&lt;&gt;"",CX6=""),AND(DF6&gt;=DG$23,DF6&lt;&gt;"",CX6=""),AND(EC6&gt;=EG$23,EC6&lt;&gt;""),AND(EF6&gt;=EG$23,EF6&lt;&gt;""),AND(EY6&gt;=FC$23,EY6&lt;&gt;""),AND(FB6&gt;=FC$23,FB6&lt;&gt;""),AND(FU6&gt;=FY$23,FU6&lt;&gt;""),AND(FX6&gt;=FY$23,FX6&lt;&gt;""),AND(GQ6&gt;=GU$23,GQ6&lt;&gt;""),AND(GT6&gt;=GU$23,GT6&lt;&gt;""),AND(HM6&gt;=HQ$23,HM6&lt;&gt;""),AND(HP6&gt;=HQ$23,HP6&lt;&gt;""),AND(II6&gt;=IM$23,II6&lt;&gt;""),AND(IL6&gt;=IM$23,IL6&lt;&gt;""),AND(JE6&gt;=JI$23,JE6&lt;&gt;""),AND(JH6&gt;=JI$23,JH6&lt;&gt;""),AND(KA6&gt;=KE$23,KA6&lt;&gt;""),AND(KD6&gt;=KE$23,KD6&lt;&gt;""),AND(KW6&gt;=LA$23,KW6&lt;&gt;""),AND(KZ6&gt;=LA$23,KZ6&lt;&gt;""),AND(LS6&gt;=LW$23,LS6&lt;&gt;""),AND(LV6&gt;=LW$23,LV6&lt;&gt;""),AND(MO6&gt;=MS$23,MO6&lt;&gt;""),AND(MR6&gt;=MS$23,MR6&lt;&gt;""),AND(NK6&gt;=NO$23,NK6&lt;&gt;""),AND(NN6&gt;=NO$23,NN6&lt;&gt;"")),"Excellence",IF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"Worlds Team",IF(OR(AND(AV6&gt;=AY$21,AV6&lt;&gt;"",AP6=""),AND(BZ6&gt;=CC$21,BZ6&lt;&gt;"",BT6=""),AND(DD6&gt;=DG$21,DD6&lt;&gt;"",CX6=""),AND(ED6&gt;=EG$21,ED6&lt;&gt;""),AND(EZ6&gt;=FC$21,EZ6&lt;&gt;""),AND(FV6&gt;=FY$21,FV6&lt;&gt;""),AND(GR6&gt;=GU$21,GR6&lt;&gt;""),AND(HN6&gt;=HQ$21,HN6&lt;&gt;""),AND(IJ6&gt;=IM$21,IJ6&lt;&gt;""),AND(JF6&gt;=JI$21,JF6&lt;&gt;""),AND(KB6&gt;=KE$21,KB6&lt;&gt;""),AND(KX6&gt;=LA$21,KX6&lt;&gt;""),AND(LT6&gt;=LW$21,LT6&lt;&gt;""),AND(MP6&gt;=MS$21,MP6&lt;&gt;""),AND(NL6&gt;=NO$21,NL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OR(G6="Worlds Team",G6="Excellence",G6="Merit")),"P","")</f>
        <v>P</v>
      </c>
      <c r="K6" s="14">
        <f>IF(MAX(AV6,BZ6,DD6)&gt;0,MAX(AV6,BZ6,DD6),0)</f>
        <v>103.97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47.002499999999998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54.400000000000006</v>
      </c>
      <c r="P6" s="14" t="str">
        <f>IF(O6=0,"",IF(OR(O6=DC6,O6=DA6),$CD$1,IF(OR(O6=BY6,O6=BW6),$AZ$1,IF(OR(O6=AU6,O6=AS6),$V$1,""))))</f>
        <v>2021 Elite Canada</v>
      </c>
      <c r="Q6" s="14">
        <f>MAX(AX6,CB6,DF6)</f>
        <v>55.050000000000004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1.3975000000000009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>
        <v>16.399999999999999</v>
      </c>
      <c r="W6" s="69">
        <v>9.5</v>
      </c>
      <c r="X6" s="69">
        <v>4.4000000000000004</v>
      </c>
      <c r="Y6" s="69">
        <v>16.145</v>
      </c>
      <c r="Z6" s="69">
        <v>0</v>
      </c>
      <c r="AA6" s="69">
        <v>16</v>
      </c>
      <c r="AB6" s="69">
        <v>9</v>
      </c>
      <c r="AC6" s="69">
        <v>12.5</v>
      </c>
      <c r="AD6" s="69">
        <v>14.89</v>
      </c>
      <c r="AE6" s="69">
        <v>0.6</v>
      </c>
      <c r="AF6" s="69">
        <v>16.899999999999999</v>
      </c>
      <c r="AG6" s="69">
        <v>9</v>
      </c>
      <c r="AH6" s="69">
        <v>13.3</v>
      </c>
      <c r="AI6" s="69">
        <v>14.96</v>
      </c>
      <c r="AJ6" s="69">
        <v>0</v>
      </c>
      <c r="AK6" s="69">
        <v>16.600000000000001</v>
      </c>
      <c r="AL6" s="69">
        <v>9</v>
      </c>
      <c r="AM6" s="69">
        <v>13.3</v>
      </c>
      <c r="AN6" s="69">
        <v>14.91</v>
      </c>
      <c r="AO6" s="69">
        <v>0</v>
      </c>
      <c r="AP6" s="80"/>
      <c r="AQ6" s="11">
        <f>IF(SUM(V6:Y6)-Z6&gt;0,SUM(V6:Y6)-Z6,"")</f>
        <v>46.444999999999993</v>
      </c>
      <c r="AR6" s="11">
        <f>IF(AC6&gt;0,AC6,"")</f>
        <v>12.5</v>
      </c>
      <c r="AS6" s="11">
        <f>IF(SUM(AA6:AD6)-AE6&gt;0,SUM(AA6:AD6)-AE6,"")</f>
        <v>51.79</v>
      </c>
      <c r="AT6" s="11">
        <f>IF(AH6&gt;0,AH6,"")</f>
        <v>13.3</v>
      </c>
      <c r="AU6" s="11">
        <f>IF(SUM(AF6:AI6)-AJ6&gt;0,SUM(AF6:AI6)-AJ6,"")</f>
        <v>54.160000000000004</v>
      </c>
      <c r="AV6" s="11">
        <f>IF(AQ6="",IF(MAX(AS6,AU6)&gt;0,MAX(AS6,AU6),""),MAX(AS6,AU6)+AQ6)</f>
        <v>100.60499999999999</v>
      </c>
      <c r="AW6" s="11">
        <f>IF(AM6&gt;0,AM6,"")</f>
        <v>13.3</v>
      </c>
      <c r="AX6" s="11">
        <f>IF(SUM(AK6:AN6)-AO6&gt;0,SUM(AK6:AN6)-AO6,"")</f>
        <v>53.81</v>
      </c>
      <c r="AY6" s="11">
        <f>IF(SUM(AV6,AX6)&gt;0,SUM(AV6,AX6),"")</f>
        <v>154.41499999999999</v>
      </c>
      <c r="AZ6" s="75">
        <v>17.049999999999997</v>
      </c>
      <c r="BA6" s="75">
        <v>9.4</v>
      </c>
      <c r="BB6" s="75">
        <v>4.4000000000000004</v>
      </c>
      <c r="BC6" s="75">
        <v>16.1525</v>
      </c>
      <c r="BD6" s="75">
        <v>0</v>
      </c>
      <c r="BE6" s="75">
        <v>16.149999999999999</v>
      </c>
      <c r="BF6" s="75">
        <v>9.1999999999999993</v>
      </c>
      <c r="BG6" s="75">
        <v>12.6</v>
      </c>
      <c r="BH6" s="75">
        <v>15.164999999999999</v>
      </c>
      <c r="BI6" s="75">
        <v>0.3</v>
      </c>
      <c r="BJ6" s="75">
        <v>16.850000000000001</v>
      </c>
      <c r="BK6" s="75">
        <v>9.25</v>
      </c>
      <c r="BL6" s="75">
        <v>13.3</v>
      </c>
      <c r="BM6" s="75">
        <v>15</v>
      </c>
      <c r="BN6" s="75">
        <v>0</v>
      </c>
      <c r="BO6" s="75">
        <v>17</v>
      </c>
      <c r="BP6" s="75">
        <v>9.4</v>
      </c>
      <c r="BQ6" s="75">
        <v>13.3</v>
      </c>
      <c r="BR6" s="75">
        <v>15.015000000000001</v>
      </c>
      <c r="BS6" s="75">
        <v>0</v>
      </c>
      <c r="BT6" s="81" t="s">
        <v>74</v>
      </c>
      <c r="BU6" s="14">
        <f>IF(SUM(AZ6:BC6)-BD6&gt;0,SUM(AZ6:BC6)-BD6,"")</f>
        <v>47.002499999999998</v>
      </c>
      <c r="BV6" s="14">
        <f>IF(BG6&gt;0,BG6,"")</f>
        <v>12.6</v>
      </c>
      <c r="BW6" s="14">
        <f>IF(SUM(BE6:BH6)-BI6&gt;0,SUM(BE6:BH6)-BI6,"")</f>
        <v>52.814999999999998</v>
      </c>
      <c r="BX6" s="14">
        <f>IF(BL6&gt;0,BL6,"")</f>
        <v>13.3</v>
      </c>
      <c r="BY6" s="14">
        <f>IF(SUM(BJ6:BM6)-BN6&gt;0,SUM(BJ6:BM6)-BN6,"")</f>
        <v>54.400000000000006</v>
      </c>
      <c r="BZ6" s="14">
        <f>IF(BU6="",IF(MAX(BW6,BY6)&gt;0,MAX(BW6,BY6),""),MAX(BW6,BY6)+BU6)</f>
        <v>101.4025</v>
      </c>
      <c r="CA6" s="14">
        <f>IF(BQ6&gt;0,BQ6,"")</f>
        <v>13.3</v>
      </c>
      <c r="CB6" s="14">
        <f>IF(SUM(BO6:BR6)-BS6&gt;0,SUM(BO6:BR6)-BS6,"")</f>
        <v>54.715000000000003</v>
      </c>
      <c r="CC6" s="14">
        <f>IF(SUM(BZ6,CB6)&gt;0,SUM(BZ6,CB6),"")</f>
        <v>156.11750000000001</v>
      </c>
      <c r="CD6" s="69">
        <v>18.100000000000001</v>
      </c>
      <c r="CE6" s="69">
        <v>9.9</v>
      </c>
      <c r="CF6" s="69">
        <v>4.5999999999999996</v>
      </c>
      <c r="CG6" s="69">
        <v>16.170000000000002</v>
      </c>
      <c r="CH6" s="69">
        <v>0</v>
      </c>
      <c r="CI6" s="69">
        <v>16.600000000000001</v>
      </c>
      <c r="CJ6" s="69">
        <v>9.1999999999999993</v>
      </c>
      <c r="CK6" s="69">
        <v>13.7</v>
      </c>
      <c r="CL6" s="69">
        <v>14.885</v>
      </c>
      <c r="CM6" s="69">
        <v>0</v>
      </c>
      <c r="CN6" s="69">
        <v>16.899999999999999</v>
      </c>
      <c r="CO6" s="69">
        <v>9.5</v>
      </c>
      <c r="CP6" s="69">
        <v>13.7</v>
      </c>
      <c r="CQ6" s="69">
        <v>15.1</v>
      </c>
      <c r="CR6" s="69">
        <v>0</v>
      </c>
      <c r="CS6" s="69">
        <v>16.7</v>
      </c>
      <c r="CT6" s="69">
        <v>9.5</v>
      </c>
      <c r="CU6" s="69">
        <v>14</v>
      </c>
      <c r="CV6" s="69">
        <v>14.85</v>
      </c>
      <c r="CW6" s="69">
        <v>0</v>
      </c>
      <c r="CX6" s="80"/>
      <c r="CY6" s="11">
        <f>IF(SUM(CD6:CG6)-CH6&gt;0,SUM(CD6:CG6)-CH6,"")</f>
        <v>48.77</v>
      </c>
      <c r="CZ6" s="11">
        <f>IF(CK6&gt;0,CK6,"")</f>
        <v>13.7</v>
      </c>
      <c r="DA6" s="11">
        <f>IF(SUM(CI6:CL6)-CM6&gt;0,SUM(CI6:CL6)-CM6,"")</f>
        <v>54.384999999999998</v>
      </c>
      <c r="DB6" s="11">
        <f>IF(CP6&gt;0,CP6,"")</f>
        <v>13.7</v>
      </c>
      <c r="DC6" s="11">
        <f>IF(SUM(CN6:CQ6)-CR6&gt;0,SUM(CN6:CQ6)-CR6,"")</f>
        <v>55.199999999999996</v>
      </c>
      <c r="DD6" s="11">
        <f>IF(CY6="",IF(MAX(DA6,DC6)&gt;0,MAX(DA6,DC6),""),MAX(DA6,DC6)+CY6)</f>
        <v>103.97</v>
      </c>
      <c r="DE6" s="11">
        <f>IF(CU6&gt;0,CU6,"")</f>
        <v>14</v>
      </c>
      <c r="DF6" s="11">
        <f>IF(SUM(CS6:CV6)-CW6&gt;0,SUM(CS6:CV6)-CW6,"")</f>
        <v>55.050000000000004</v>
      </c>
      <c r="DG6" s="11">
        <f>IF(SUM(DD6,DF6)&gt;0,SUM(DD6,DF6),"")</f>
        <v>159.02000000000001</v>
      </c>
      <c r="DH6" s="24">
        <f>IF(MAX(EB6,EX6,FT6,GP6,HL6,IH6,JD6,JZ6,KV6,LR6,MN6,NJ6)-IF(M6="",0,M6)&gt;0.001,MAX(EB6,EX6,FT6,GP6,HL6,IH6,JD6,JZ6,KV6,LR6,MN6,NJ6)-IF(M6="",0,M6),"")</f>
        <v>1.3975000000000009</v>
      </c>
      <c r="DI6" s="24">
        <f>IF(MAX(EC6,EY6,FU6,GQ6,HM6,II6,JE6,KA6,KW6,LS6,MO6,NK6)-IF(O6="",0,O6)&gt;0.001,MAX(EC6,EY6,FU6,GQ6,HM6,II6,JE6,KA6,KW6,LS6,MO6,NK6)-IF(O6="",0,O6),"")</f>
        <v>0.21999999999999176</v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18.399999999999999</v>
      </c>
      <c r="DM6" s="37">
        <v>9.4</v>
      </c>
      <c r="DN6" s="37">
        <v>4.5999999999999996</v>
      </c>
      <c r="DO6" s="37">
        <v>16</v>
      </c>
      <c r="DP6" s="37">
        <v>0</v>
      </c>
      <c r="DQ6" s="37">
        <v>16.5</v>
      </c>
      <c r="DR6" s="37">
        <v>9.4</v>
      </c>
      <c r="DS6" s="37">
        <v>14</v>
      </c>
      <c r="DT6" s="37">
        <v>14.72</v>
      </c>
      <c r="DU6" s="37">
        <v>0</v>
      </c>
      <c r="DV6" s="37">
        <v>16.100000000000001</v>
      </c>
      <c r="DW6" s="37">
        <v>9</v>
      </c>
      <c r="DX6" s="37">
        <v>13.8</v>
      </c>
      <c r="DY6" s="37">
        <v>14.76</v>
      </c>
      <c r="DZ6" s="37">
        <v>0</v>
      </c>
      <c r="EA6" s="11">
        <f>IF(DS6&gt;0,DS6,"")</f>
        <v>14</v>
      </c>
      <c r="EB6" s="11">
        <f>IF(SUM(DL6:DO6)-DP6&gt;0,SUM(DL6:DO6)-DP6,"")</f>
        <v>48.4</v>
      </c>
      <c r="EC6" s="11">
        <f>IF(SUM(DQ6:DT6)-DU6&gt;0,SUM(DQ6:DT6)-DU6,"")</f>
        <v>54.62</v>
      </c>
      <c r="ED6" s="11">
        <f>IF(SUM(EB6:EC6)&gt;0,SUM(EB6:EC6),"")</f>
        <v>103.02</v>
      </c>
      <c r="EE6" s="11">
        <f>IF(DX6&gt;0,DX6,"")</f>
        <v>13.8</v>
      </c>
      <c r="EF6" s="11">
        <f>IF(SUM(DV6:DY6)-DZ6&gt;0,SUM(DV6:DY6)-DZ6,"")</f>
        <v>53.660000000000004</v>
      </c>
      <c r="EG6" s="11">
        <f>IF(SUM(ED6,EF6)&gt;0,SUM(ED6,EF6),"")</f>
        <v>156.68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>
        <v>17.8</v>
      </c>
      <c r="FE6" s="37">
        <v>9.6</v>
      </c>
      <c r="FF6" s="37">
        <v>4.5999999999999996</v>
      </c>
      <c r="FG6" s="37">
        <v>15.59</v>
      </c>
      <c r="FH6" s="37">
        <v>0</v>
      </c>
      <c r="FI6" s="37">
        <v>15.6</v>
      </c>
      <c r="FJ6" s="37">
        <v>8.9</v>
      </c>
      <c r="FK6" s="37">
        <v>13.7</v>
      </c>
      <c r="FL6" s="37">
        <v>14.355</v>
      </c>
      <c r="FM6" s="37">
        <v>0</v>
      </c>
      <c r="FN6" s="37"/>
      <c r="FO6" s="37"/>
      <c r="FP6" s="37"/>
      <c r="FQ6" s="37"/>
      <c r="FR6" s="37"/>
      <c r="FS6" s="11">
        <f>IF(FK6&gt;0,FK6,"")</f>
        <v>13.7</v>
      </c>
      <c r="FT6" s="11">
        <f>IF(SUM(FD6:FG6)-FH6&gt;0,SUM(FD6:FG6)-FH6,"")</f>
        <v>47.59</v>
      </c>
      <c r="FU6" s="11">
        <f>IF(SUM(FI6:FL6)-FM6&gt;0,SUM(FI6:FL6)-FM6,"")</f>
        <v>52.555000000000007</v>
      </c>
      <c r="FV6" s="11">
        <f>IF(SUM(FT6:FU6)&gt;0,SUM(FT6:FU6),"")</f>
        <v>100.14500000000001</v>
      </c>
      <c r="FW6" s="11" t="str">
        <f>IF(FP6&gt;0,FP6,"")</f>
        <v/>
      </c>
      <c r="FX6" s="11" t="str">
        <f>IF(SUM(FN6:FQ6)-FR6&gt;0,SUM(FN6:FQ6)-FR6,"")</f>
        <v/>
      </c>
      <c r="FY6" s="11">
        <f>IF(SUM(FV6,FX6)&gt;0,SUM(FV6,FX6),"")</f>
        <v>100.14500000000001</v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>
        <v>14</v>
      </c>
      <c r="GK6" s="38">
        <v>13.19</v>
      </c>
      <c r="GL6" s="38">
        <v>12.1</v>
      </c>
      <c r="GM6" s="38">
        <v>8.6999999999999993</v>
      </c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>
        <f>IF(GL6&gt;0,GL6,"")</f>
        <v>12.1</v>
      </c>
      <c r="GT6" s="14">
        <f>IF(SUM(GJ6:GM6)-GN6&gt;0,SUM(GJ6:GM6)-GN6,"")</f>
        <v>47.989999999999995</v>
      </c>
      <c r="GU6" s="14">
        <f>IF(SUM(GR6,GT6)&gt;0,SUM(GR6,GT6),"")</f>
        <v>47.989999999999995</v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17.574999999999999</v>
      </c>
      <c r="NQ6" s="69">
        <f>IF($CX6="P",CE6,(CE6+BA6)/2)</f>
        <v>9.65</v>
      </c>
      <c r="NR6" s="69">
        <f>IF($CX6="P",CF6,(CF6+BB6)/2)</f>
        <v>4.5</v>
      </c>
      <c r="NS6" s="69">
        <f>IF($CX6="P",CG6,(CG6+BC6)/2)</f>
        <v>16.161250000000003</v>
      </c>
      <c r="NT6" s="69">
        <f>IF($CX6="P",CH6,(CH6+BD6)/2)</f>
        <v>0</v>
      </c>
      <c r="NU6" s="69">
        <f>IF($CX6="P",CI6,(CI6+BE6)/2)</f>
        <v>16.375</v>
      </c>
      <c r="NV6" s="69">
        <f>IF($CX6="P",CJ6,(CJ6+BF6)/2)</f>
        <v>9.1999999999999993</v>
      </c>
      <c r="NW6" s="69">
        <f>IF($CX6="P",CK6,(CK6+BG6)/2)</f>
        <v>13.149999999999999</v>
      </c>
      <c r="NX6" s="69">
        <f>IF($CX6="P",CL6,(CL6+BH6)/2)</f>
        <v>15.024999999999999</v>
      </c>
      <c r="NY6" s="69">
        <f>IF($CX6="P",CM6,(CM6+BI6)/2)</f>
        <v>0.15</v>
      </c>
      <c r="NZ6" s="69">
        <f>IF($CX6="P",CN6,(CN6+BJ6)/2)</f>
        <v>16.875</v>
      </c>
      <c r="OA6" s="69">
        <f>IF($CX6="P",CO6,(CO6+BK6)/2)</f>
        <v>9.375</v>
      </c>
      <c r="OB6" s="69">
        <f>IF($CX6="P",CP6,(CP6+BL6)/2)</f>
        <v>13.5</v>
      </c>
      <c r="OC6" s="69">
        <f>IF($CX6="P",CQ6,(CQ6+BM6)/2)</f>
        <v>15.05</v>
      </c>
      <c r="OD6" s="69">
        <f>IF($CX6="P",CR6,(CR6+BN6)/2)</f>
        <v>0</v>
      </c>
      <c r="OE6" s="69">
        <f>IF($CX6="P",CS6,(CS6+BO6)/2)</f>
        <v>16.850000000000001</v>
      </c>
      <c r="OF6" s="69">
        <f>IF($CX6="P",CT6,(CT6+BP6)/2)</f>
        <v>9.4499999999999993</v>
      </c>
      <c r="OG6" s="69">
        <f>IF($CX6="P",CU6,(CU6+BQ6)/2)</f>
        <v>13.65</v>
      </c>
      <c r="OH6" s="69">
        <f>IF($CX6="P",CV6,(CV6+BR6)/2)</f>
        <v>14.932500000000001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47.886250000000004</v>
      </c>
      <c r="OL6" s="11">
        <f>IF(NW6&gt;0,NW6,"")</f>
        <v>13.149999999999999</v>
      </c>
      <c r="OM6" s="11">
        <f>IF(SUM(NU6:NX6)-NY6&gt;0,SUM(NU6:NX6)-NY6,"")</f>
        <v>53.599999999999994</v>
      </c>
      <c r="ON6" s="11">
        <f>IF(OB6&gt;0,OB6,"")</f>
        <v>13.5</v>
      </c>
      <c r="OO6" s="11">
        <f>IF(SUM(NZ6:OC6)-OD6&gt;0,SUM(NZ6:OC6)-OD6,"")</f>
        <v>54.8</v>
      </c>
      <c r="OP6" s="11">
        <f>IF(OR(OK6&lt;&gt;"",OM6&lt;&gt;"",OO6&lt;&gt;""),OK6+MAX(OM6,OO6),"")</f>
        <v>102.68625</v>
      </c>
      <c r="OQ6" s="11">
        <f>IF(OG6&gt;0,OG6,"")</f>
        <v>13.65</v>
      </c>
      <c r="OR6" s="11">
        <f t="shared" si="0"/>
        <v>54.882500000000007</v>
      </c>
      <c r="OS6" s="11">
        <f t="shared" si="1"/>
        <v>157.56875000000002</v>
      </c>
    </row>
    <row r="7" spans="1:409" x14ac:dyDescent="0.2">
      <c r="A7" s="5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>4</v>
      </c>
      <c r="B7" s="127" t="s">
        <v>34</v>
      </c>
      <c r="C7" s="5" t="s">
        <v>3</v>
      </c>
      <c r="D7" s="5">
        <v>1998</v>
      </c>
      <c r="E7" s="15">
        <f>SUM(K7:S7)</f>
        <v>261.36500000000001</v>
      </c>
      <c r="F7" s="3" t="str">
        <f>IF(G7&lt;&gt;"","P","")</f>
        <v>P</v>
      </c>
      <c r="G7" s="125" t="str">
        <f>IF(OR(AND(AR7&gt;=AY$20,AR7&lt;&gt;"",AP7=""),AND(AT7&gt;=AY$20,AT7&lt;&gt;"",AP7=""),AND(AW7&gt;=AY$20,AW7&lt;&gt;"",AP7=""),AND(BV7&gt;=CC$20,BV7&lt;&gt;"",BT7=""),AND(BX7&gt;=CC$20,BX7&lt;&gt;"",BT7=""),AND(CA7&gt;=CC$20,CA7&lt;&gt;"",BT7=""),AND(CZ7&gt;=DG$20,CZ7&lt;&gt;"",CX7=""),AND(DB7&gt;=DG$20,DB7&lt;&gt;"",CX7=""),AND(DE7&gt;=DG$20,DE7&lt;&gt;"",CX7=""),AND(EA7&gt;=EG$20,EA7&lt;&gt;""),AND(EE7&gt;=EG$20,EE7&lt;&gt;""),AND(EW7&gt;=FC$20,EW7&lt;&gt;""),AND(FA7&gt;=FC$20,FA7&lt;&gt;""),AND(FS7&gt;=FY$20,FS7&lt;&gt;""),AND(FW7&gt;=FY$20,FW7&lt;&gt;""),AND(GO7&gt;=GU$20,GO7&lt;&gt;""),AND(GS7&gt;=GU$20,GS7&lt;&gt;""),AND(HK7&gt;=HQ$20,HK7&lt;&gt;""),AND(HO7&gt;=HQ$20,HO7&lt;&gt;""),AND(IG7&gt;=IM$20,IG7&lt;&gt;""),AND(IK7&gt;=IM$20,IK7&lt;&gt;""),AND(JC7&gt;=JI$20,JC7&lt;&gt;""),AND(JG7&gt;=JI$20,JG7&lt;&gt;""),AND(JY7&gt;=KE$20,JY7&lt;&gt;""),AND(KC7&gt;=KE$20,KC7&lt;&gt;""),AND(KU7&gt;=LA$20,KU7&lt;&gt;""),AND(KY7&gt;=LA$20,KY7&lt;&gt;""),AND(LQ7&gt;=LW$20,LQ7&lt;&gt;""),AND(LU7&gt;=LW$20,LU7&lt;&gt;""),AND(MM7&gt;=MS$20,MM7&lt;&gt;""),AND(MQ7&gt;=MS$20,MQ7&lt;&gt;""),AND(NI7&gt;=NO$20,NI7&lt;&gt;""),AND(NM7&gt;=NO$20,NM7&lt;&gt;"")),"Merit",IF(OR(AND(AR7&gt;=AY$19,AR7&lt;&gt;"",AP7=""),AND(AT7&gt;=AY$19,AT7&lt;&gt;"",AP7=""),AND(AW7&gt;=AY$19,AW7&lt;&gt;"",AP7=""),AND(BV7&gt;=CC$19,BV7&lt;&gt;"",BT7=""),AND(BX7&gt;=CC$19,BX7&lt;&gt;"",BT7=""),AND(CA7&gt;=CC$19,CA7&lt;&gt;"",BT7=""),AND(CZ7&gt;=DG$19,CZ7&lt;&gt;"",CX7=""),AND(DB7&gt;=DG$19,DB7&lt;&gt;"",CX7=""),AND(DE7&gt;=DG$19,DE7&lt;&gt;"",CX7=""),AND(EA7&gt;=EG$19,EA7&lt;&gt;""),AND(EE7&gt;=EG$19,EE7&lt;&gt;""),AND(EW7&gt;=FC$19,EW7&lt;&gt;""),AND(FA7&gt;=FC$19,FA7&lt;&gt;""),AND(FS7&gt;=FY$19,FS7&lt;&gt;""),AND(FW7&gt;=FY$19,FW7&lt;&gt;""),AND(GO7&gt;=GU$19,GO7&lt;&gt;""),AND(GS7&gt;=GU$19,GS7&lt;&gt;""),AND(HK7&gt;=HQ$19,HK7&lt;&gt;""),AND(HO7&gt;=HQ$19,HO7&lt;&gt;""),AND(IG7&gt;=IM$19,IG7&lt;&gt;""),AND(IK7&gt;=IM$19,IK7&lt;&gt;""),AND(JC7&gt;=JI$19,JC7&lt;&gt;""),AND(JG7&gt;=JI$19,JG7&lt;&gt;""),AND(JY7&gt;=KE$19,JY7&lt;&gt;""),AND(KC7&gt;=KE$19,KC7&lt;&gt;""),AND(KU7&gt;=LA$19,KU7&lt;&gt;""),AND(KY7&gt;=LA$19,KY7&lt;&gt;""),AND(LQ7&gt;=LW$19,LQ7&lt;&gt;""),AND(LU7&gt;=LW$19,LU7&lt;&gt;""),AND(MM7&gt;=MS$19,MM7&lt;&gt;""),AND(MQ7&gt;=MS$19,MQ7&lt;&gt;""),AND(NI7&gt;=NO$19,NI7&lt;&gt;""),AND(NM7&gt;=NO$19,NM7&lt;&gt;"")),"Excellence",IF(OR(AND(AR7&gt;=AY$18,AR7&lt;&gt;"",AP7=""),AND(AT7&gt;=AY$18,AT7&lt;&gt;"",AP7=""),AND(AW7&gt;=AY$18,AW7&lt;&gt;"",AP7=""),AND(BV7&gt;=CC$18,BV7&lt;&gt;"",BT7=""),AND(BX7&gt;=CC$18,BX7&lt;&gt;"",BT7=""),AND(CA7&gt;=CC$18,CA7&lt;&gt;"",BT7=""),AND(CZ7&gt;=DG$18,CZ7&lt;&gt;"",CX7=""),AND(DB7&gt;=DG$18,DB7&lt;&gt;"",CX7=""),AND(DE7&gt;=DG$18,DE7&lt;&gt;"",CX7=""),AND(EA7&gt;=EG$18,EA7&lt;&gt;""),AND(EE7&gt;=EG$18,EE7&lt;&gt;""),AND(EW7&gt;=FC$18,EW7&lt;&gt;""),AND(FA7&gt;=FC$18,FA7&lt;&gt;""),AND(FS7&gt;=FY$18,FS7&lt;&gt;""),AND(FW7&gt;=FY$18,FW7&lt;&gt;""),AND(GO7&gt;=GU$18,GO7&lt;&gt;""),AND(GS7&gt;=GU$18,GS7&lt;&gt;""),AND(HK7&gt;=HQ$18,HK7&lt;&gt;""),AND(HO7&gt;=HQ$18,HO7&lt;&gt;""),AND(IG7&gt;=IM$18,IG7&lt;&gt;""),AND(IK7&gt;=IM$18,IK7&lt;&gt;""),AND(JC7&gt;=JI$18,JC7&lt;&gt;""),AND(JG7&gt;=JI$18,JG7&lt;&gt;""),AND(JY7&gt;=KE$18,JY7&lt;&gt;""),AND(KC7&gt;=KE$18,KC7&lt;&gt;""),AND(KU7&gt;=LA$18,KU7&lt;&gt;""),AND(KY7&gt;=LA$18,KY7&lt;&gt;""),AND(LQ7&gt;=LW$18,LQ7&lt;&gt;""),AND(LU7&gt;=LW$18,LU7&lt;&gt;""),AND(MM7&gt;=MS$18,MM7&lt;&gt;""),AND(MQ7&gt;=MS$18,MQ7&lt;&gt;""),AND(NI7&gt;=NO$18,NI7&lt;&gt;""),AND(NM7&gt;=NO$18,NM7&lt;&gt;"")),"Worlds Team",IF(OR(AND(AR7&gt;=AY$17,AR7&lt;&gt;"",AP7=""),AND(AT7&gt;=AY$17,AT7&lt;&gt;"",AP7=""),AND(AW7&gt;=AY$17,AW7&lt;&gt;"",AP7=""),AND(BV7&gt;=CC$17,BV7&lt;&gt;"",BT7=""),AND(BX7&gt;=CC$17,BX7&lt;&gt;"",BT7=""),AND(CA7&gt;=CC$17,CA7&lt;&gt;"",BT7=""),AND(CZ7&gt;=DG$17,CZ7&lt;&gt;"",CX7=""),AND(DB7&gt;=DG$17,DB7&lt;&gt;"",CX7=""),AND(DE7&gt;=DG$17,DE7&lt;&gt;"",CX7=""),AND(EA7&gt;=EG$17,EA7&lt;&gt;""),AND(EE7&gt;=EG$17,EE7&lt;&gt;""),AND(EW7&gt;=FC$17,EW7&lt;&gt;""),AND(FA7&gt;=FC$17,FA7&lt;&gt;""),AND(FS7&gt;=FY$17,FS7&lt;&gt;""),AND(FW7&gt;=FY$17,FW7&lt;&gt;""),AND(GO7&gt;=GU$17,GO7&lt;&gt;""),AND(GS7&gt;=GU$17,GS7&lt;&gt;""),AND(HK7&gt;=HQ$17,HK7&lt;&gt;""),AND(HO7&gt;=HQ$17,HO7&lt;&gt;""),AND(IG7&gt;=IM$17,IG7&lt;&gt;""),AND(IK7&gt;=IM$17,IK7&lt;&gt;""),AND(JC7&gt;=JI$17,JC7&lt;&gt;""),AND(JG7&gt;=JI$17,JG7&lt;&gt;""),AND(JY7&gt;=KE$17,JY7&lt;&gt;""),AND(KC7&gt;=KE$17,KC7&lt;&gt;""),AND(KU7&gt;=LA$17,KU7&lt;&gt;""),AND(KY7&gt;=LA$17,KY7&lt;&gt;""),AND(LQ7&gt;=LW$17,LQ7&lt;&gt;""),AND(LU7&gt;=LW$17,LU7&lt;&gt;""),AND(MM7&gt;=MS$17,MM7&lt;&gt;""),AND(MQ7&gt;=MS$17,MQ7&lt;&gt;""),AND(NI7&gt;=NO$17,NI7&lt;&gt;""),AND(NM7&gt;=NO$17,NM7&lt;&gt;"")),"National Team",""))))</f>
        <v>Merit</v>
      </c>
      <c r="H7" s="125" t="str">
        <f>IF(OR(AND(AS7&gt;=AY$24,AS7&lt;&gt;"",AP7=""),AND(AU7&gt;=AY$24,AU7&lt;&gt;"",AP7=""),AND(AX7&gt;=AY$24,AX7&lt;&gt;"",AP7=""),AND(BW7&gt;=CC$24,BW7&lt;&gt;"",BT7=""),AND(BY7&gt;=CC$24,BY7&lt;&gt;"",BT7=""),AND(CB7&gt;=CC$24,CB7&lt;&gt;"",BT7=""),AND(DA7&gt;=DG$24,DA7&lt;&gt;"",CX7=""),AND(DC7&gt;=DG$24,DC7&lt;&gt;"",CX7=""),AND(DF7&gt;=DG$24,DF7&lt;&gt;"",CX7=""),AND(EC7&gt;=EG$24,EC7&lt;&gt;""),AND(EF7&gt;=EG$24,EF7&lt;&gt;""),AND(EY7&gt;=FC$24,EY7&lt;&gt;""),AND(FB7&gt;=FC$24,FB7&lt;&gt;""),AND(FU7&gt;=FY$24,FU7&lt;&gt;""),AND(FX7&gt;=FY$24,FX7&lt;&gt;""),AND(GQ7&gt;=GU$24,GQ7&lt;&gt;""),AND(GT7&gt;=GU$24,GT7&lt;&gt;""),AND(HM7&gt;=HQ$24,HM7&lt;&gt;""),AND(HP7&gt;=HQ$24,HP7&lt;&gt;""),AND(II7&gt;=IM$24,II7&lt;&gt;""),AND(IL7&gt;=IM$24,IL7&lt;&gt;""),AND(JE7&gt;=JI$24,JE7&lt;&gt;""),AND(JH7&gt;=JI$24,JH7&lt;&gt;""),AND(KA7&gt;=KE$24,KA7&lt;&gt;""),AND(KD7&gt;=KE$24,KD7&lt;&gt;""),AND(KW7&gt;=LA$24,KW7&lt;&gt;""),AND(KZ7&gt;=LA$24,KZ7&lt;&gt;""),AND(LS7&gt;=LW$24,LS7&lt;&gt;""),AND(LV7&gt;=LW$24,LV7&lt;&gt;""),AND(MO7&gt;=MS$24,MO7&lt;&gt;""),AND(MR7&gt;=MS$24,MR7&lt;&gt;""),AND(NK7&gt;=NO$24,NK7&lt;&gt;""),AND(NN7&gt;=NO$24,NN7&lt;&gt;"")),"Merit",IF(OR(AND(AS7&gt;=AY$23,AS7&lt;&gt;"",AP7=""),AND(AU7&gt;=AY$23,AU7&lt;&gt;"",AP7=""),AND(AX7&gt;=AY$23,AX7&lt;&gt;"",AP7=""),AND(BW7&gt;=CC$23,BW7&lt;&gt;"",BT7=""),AND(BY7&gt;=CC$23,BY7&lt;&gt;"",BT7=""),AND(CB7&gt;=CC$23,CB7&lt;&gt;"",BT7=""),AND(DA7&gt;=DG$23,DA7&lt;&gt;"",CX7=""),AND(DC7&gt;=DG$23,DC7&lt;&gt;"",CX7=""),AND(DF7&gt;=DG$23,DF7&lt;&gt;"",CX7=""),AND(EC7&gt;=EG$23,EC7&lt;&gt;""),AND(EF7&gt;=EG$23,EF7&lt;&gt;""),AND(EY7&gt;=FC$23,EY7&lt;&gt;""),AND(FB7&gt;=FC$23,FB7&lt;&gt;""),AND(FU7&gt;=FY$23,FU7&lt;&gt;""),AND(FX7&gt;=FY$23,FX7&lt;&gt;""),AND(GQ7&gt;=GU$23,GQ7&lt;&gt;""),AND(GT7&gt;=GU$23,GT7&lt;&gt;""),AND(HM7&gt;=HQ$23,HM7&lt;&gt;""),AND(HP7&gt;=HQ$23,HP7&lt;&gt;""),AND(II7&gt;=IM$23,II7&lt;&gt;""),AND(IL7&gt;=IM$23,IL7&lt;&gt;""),AND(JE7&gt;=JI$23,JE7&lt;&gt;""),AND(JH7&gt;=JI$23,JH7&lt;&gt;""),AND(KA7&gt;=KE$23,KA7&lt;&gt;""),AND(KD7&gt;=KE$23,KD7&lt;&gt;""),AND(KW7&gt;=LA$23,KW7&lt;&gt;""),AND(KZ7&gt;=LA$23,KZ7&lt;&gt;""),AND(LS7&gt;=LW$23,LS7&lt;&gt;""),AND(LV7&gt;=LW$23,LV7&lt;&gt;""),AND(MO7&gt;=MS$23,MO7&lt;&gt;""),AND(MR7&gt;=MS$23,MR7&lt;&gt;""),AND(NK7&gt;=NO$23,NK7&lt;&gt;""),AND(NN7&gt;=NO$23,NN7&lt;&gt;"")),"Excellence",IF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"Worlds Team",IF(OR(AND(AV7&gt;=AY$21,AV7&lt;&gt;"",AP7=""),AND(BZ7&gt;=CC$21,BZ7&lt;&gt;"",BT7=""),AND(DD7&gt;=DG$21,DD7&lt;&gt;"",CX7=""),AND(ED7&gt;=EG$21,ED7&lt;&gt;""),AND(EZ7&gt;=FC$21,EZ7&lt;&gt;""),AND(FV7&gt;=FY$21,FV7&lt;&gt;""),AND(GR7&gt;=GU$21,GR7&lt;&gt;""),AND(HN7&gt;=HQ$21,HN7&lt;&gt;""),AND(IJ7&gt;=IM$21,IJ7&lt;&gt;""),AND(JF7&gt;=JI$21,JF7&lt;&gt;""),AND(KB7&gt;=KE$21,KB7&lt;&gt;""),AND(KX7&gt;=LA$21,KX7&lt;&gt;""),AND(LT7&gt;=LW$21,LT7&lt;&gt;""),AND(MP7&gt;=MS$21,MP7&lt;&gt;""),AND(NL7&gt;=NO$21,NL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Merit</v>
      </c>
      <c r="J7" s="3" t="str">
        <f>IF(AND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OR(G7="Worlds Team",G7="Excellence",G7="Merit")),"P","")</f>
        <v>P</v>
      </c>
      <c r="K7" s="14">
        <f>IF(MAX(AV7,BZ7,DD7)&gt;0,MAX(AV7,BZ7,DD7),0)</f>
        <v>103.53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47.875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54.51</v>
      </c>
      <c r="P7" s="14" t="str">
        <f>IF(O7=0,"",IF(OR(O7=DC7,O7=DA7),$CD$1,IF(OR(O7=BY7,O7=BW7),$AZ$1,IF(OR(O7=AU7,O7=AS7),$V$1,""))))</f>
        <v>2021 Elite Canada</v>
      </c>
      <c r="Q7" s="14">
        <f>MAX(AX7,CB7,DF7)</f>
        <v>55.389999999999993</v>
      </c>
      <c r="R7" s="14" t="str">
        <f>IF(Q7=0,"",IF(Q7=DF7,$CD$1,IF(Q7=CB7,$AZ$1,IF(Q7=AX7,$V$1,""))))</f>
        <v>2021 2nd Virtual Technical Trial</v>
      </c>
      <c r="S7" s="14">
        <f>IF(MAX(DH7,DI7,DJ7,DK7)&gt;0,MAX(DH7,DI7,DJ7,DK7),"")</f>
        <v>6.0000000000002274E-2</v>
      </c>
      <c r="T7" s="25" t="str">
        <f>IF(S7="","",IF(S7=DH7,"(Vol 1)",IF(S7=DI7,"(Vol 2)",IF(S7=DJ7,"(Prelim)",IF(S7=DK7,"(Final)")))))</f>
        <v>(Vol 1)</v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>2021 World Championships Prelim + Semifinals (Nov 20)</v>
      </c>
      <c r="V7" s="69">
        <v>16.5</v>
      </c>
      <c r="W7" s="69">
        <v>9.1</v>
      </c>
      <c r="X7" s="69">
        <v>5.8</v>
      </c>
      <c r="Y7" s="69">
        <v>15.81</v>
      </c>
      <c r="Z7" s="69">
        <v>0</v>
      </c>
      <c r="AA7" s="69">
        <v>1.4</v>
      </c>
      <c r="AB7" s="69">
        <v>0.9</v>
      </c>
      <c r="AC7" s="69">
        <v>2</v>
      </c>
      <c r="AD7" s="69">
        <v>1.665</v>
      </c>
      <c r="AE7" s="69">
        <v>0</v>
      </c>
      <c r="AF7" s="69">
        <v>15.9</v>
      </c>
      <c r="AG7" s="69">
        <v>9.4</v>
      </c>
      <c r="AH7" s="69">
        <v>13.8</v>
      </c>
      <c r="AI7" s="69">
        <v>15.074999999999999</v>
      </c>
      <c r="AJ7" s="69">
        <v>0</v>
      </c>
      <c r="AK7" s="69">
        <v>16.899999999999999</v>
      </c>
      <c r="AL7" s="69">
        <v>9.4</v>
      </c>
      <c r="AM7" s="69">
        <v>13.8</v>
      </c>
      <c r="AN7" s="69">
        <v>15.29</v>
      </c>
      <c r="AO7" s="69">
        <v>0</v>
      </c>
      <c r="AP7" s="80"/>
      <c r="AQ7" s="11">
        <f>IF(SUM(V7:Y7)-Z7&gt;0,SUM(V7:Y7)-Z7,"")</f>
        <v>47.21</v>
      </c>
      <c r="AR7" s="11">
        <f>IF(AC7&gt;0,AC7,"")</f>
        <v>2</v>
      </c>
      <c r="AS7" s="11">
        <f>IF(SUM(AA7:AD7)-AE7&gt;0,SUM(AA7:AD7)-AE7,"")</f>
        <v>5.9649999999999999</v>
      </c>
      <c r="AT7" s="11">
        <f>IF(AH7&gt;0,AH7,"")</f>
        <v>13.8</v>
      </c>
      <c r="AU7" s="11">
        <f>IF(SUM(AF7:AI7)-AJ7&gt;0,SUM(AF7:AI7)-AJ7,"")</f>
        <v>54.174999999999997</v>
      </c>
      <c r="AV7" s="11">
        <f>IF(AQ7="",IF(MAX(AS7,AU7)&gt;0,MAX(AS7,AU7),""),MAX(AS7,AU7)+AQ7)</f>
        <v>101.38499999999999</v>
      </c>
      <c r="AW7" s="11">
        <f>IF(AM7&gt;0,AM7,"")</f>
        <v>13.8</v>
      </c>
      <c r="AX7" s="11">
        <f>IF(SUM(AK7:AN7)-AO7&gt;0,SUM(AK7:AN7)-AO7,"")</f>
        <v>55.389999999999993</v>
      </c>
      <c r="AY7" s="11">
        <f>IF(SUM(AV7,AX7)&gt;0,SUM(AV7,AX7),"")</f>
        <v>156.77499999999998</v>
      </c>
      <c r="AZ7" s="75">
        <v>16.8</v>
      </c>
      <c r="BA7" s="75">
        <v>9.3000000000000007</v>
      </c>
      <c r="BB7" s="75">
        <v>5.8</v>
      </c>
      <c r="BC7" s="75">
        <v>15.975</v>
      </c>
      <c r="BD7" s="75">
        <v>0</v>
      </c>
      <c r="BE7" s="75">
        <v>16</v>
      </c>
      <c r="BF7" s="75">
        <v>9.3000000000000007</v>
      </c>
      <c r="BG7" s="75">
        <v>13.8</v>
      </c>
      <c r="BH7" s="75">
        <v>15.244999999999999</v>
      </c>
      <c r="BI7" s="75">
        <v>0</v>
      </c>
      <c r="BJ7" s="75">
        <v>16.3</v>
      </c>
      <c r="BK7" s="75">
        <v>9.1999999999999993</v>
      </c>
      <c r="BL7" s="75">
        <v>13.8</v>
      </c>
      <c r="BM7" s="75">
        <v>15.21</v>
      </c>
      <c r="BN7" s="75">
        <v>0</v>
      </c>
      <c r="BO7" s="75">
        <v>16.600000000000001</v>
      </c>
      <c r="BP7" s="75">
        <v>9.3000000000000007</v>
      </c>
      <c r="BQ7" s="75">
        <v>13.8</v>
      </c>
      <c r="BR7" s="75">
        <v>15.4</v>
      </c>
      <c r="BS7" s="75">
        <v>0</v>
      </c>
      <c r="BT7" s="81"/>
      <c r="BU7" s="14">
        <f>IF(SUM(AZ7:BC7)-BD7&gt;0,SUM(AZ7:BC7)-BD7,"")</f>
        <v>47.875</v>
      </c>
      <c r="BV7" s="14">
        <f>IF(BG7&gt;0,BG7,"")</f>
        <v>13.8</v>
      </c>
      <c r="BW7" s="14">
        <f>IF(SUM(BE7:BH7)-BI7&gt;0,SUM(BE7:BH7)-BI7,"")</f>
        <v>54.344999999999999</v>
      </c>
      <c r="BX7" s="14">
        <f>IF(BL7&gt;0,BL7,"")</f>
        <v>13.8</v>
      </c>
      <c r="BY7" s="14">
        <f>IF(SUM(BJ7:BM7)-BN7&gt;0,SUM(BJ7:BM7)-BN7,"")</f>
        <v>54.51</v>
      </c>
      <c r="BZ7" s="14">
        <f>IF(BU7="",IF(MAX(BW7,BY7)&gt;0,MAX(BW7,BY7),""),MAX(BW7,BY7)+BU7)</f>
        <v>102.38499999999999</v>
      </c>
      <c r="CA7" s="14">
        <f>IF(BQ7&gt;0,BQ7,"")</f>
        <v>13.8</v>
      </c>
      <c r="CB7" s="14">
        <f>IF(SUM(BO7:BR7)-BS7&gt;0,SUM(BO7:BR7)-BS7,"")</f>
        <v>55.1</v>
      </c>
      <c r="CC7" s="14">
        <f>IF(SUM(BZ7,CB7)&gt;0,SUM(BZ7,CB7),"")</f>
        <v>157.48499999999999</v>
      </c>
      <c r="CD7" s="69">
        <v>17.399999999999999</v>
      </c>
      <c r="CE7" s="69">
        <v>9.4</v>
      </c>
      <c r="CF7" s="69">
        <v>5.8</v>
      </c>
      <c r="CG7" s="69">
        <v>16.100000000000001</v>
      </c>
      <c r="CH7" s="69">
        <v>0</v>
      </c>
      <c r="CI7" s="69">
        <v>7.2</v>
      </c>
      <c r="CJ7" s="69">
        <v>4.4000000000000004</v>
      </c>
      <c r="CK7" s="69">
        <v>7.4</v>
      </c>
      <c r="CL7" s="69">
        <v>7.8</v>
      </c>
      <c r="CM7" s="69">
        <v>0</v>
      </c>
      <c r="CN7" s="69">
        <v>16.2</v>
      </c>
      <c r="CO7" s="69">
        <v>9.6</v>
      </c>
      <c r="CP7" s="69">
        <v>13.8</v>
      </c>
      <c r="CQ7" s="69">
        <v>15.23</v>
      </c>
      <c r="CR7" s="69">
        <v>0</v>
      </c>
      <c r="CS7" s="69">
        <v>15.9</v>
      </c>
      <c r="CT7" s="69">
        <v>9.1999999999999993</v>
      </c>
      <c r="CU7" s="69">
        <v>14.2</v>
      </c>
      <c r="CV7" s="69">
        <v>15.4</v>
      </c>
      <c r="CW7" s="69">
        <v>0</v>
      </c>
      <c r="CX7" s="80"/>
      <c r="CY7" s="11">
        <f>IF(SUM(CD7:CG7)-CH7&gt;0,SUM(CD7:CG7)-CH7,"")</f>
        <v>48.699999999999996</v>
      </c>
      <c r="CZ7" s="11">
        <f>IF(CK7&gt;0,CK7,"")</f>
        <v>7.4</v>
      </c>
      <c r="DA7" s="11">
        <f>IF(SUM(CI7:CL7)-CM7&gt;0,SUM(CI7:CL7)-CM7,"")</f>
        <v>26.8</v>
      </c>
      <c r="DB7" s="11">
        <f>IF(CP7&gt;0,CP7,"")</f>
        <v>13.8</v>
      </c>
      <c r="DC7" s="11">
        <f>IF(SUM(CN7:CQ7)-CR7&gt;0,SUM(CN7:CQ7)-CR7,"")</f>
        <v>54.83</v>
      </c>
      <c r="DD7" s="11">
        <f>IF(CY7="",IF(MAX(DA7,DC7)&gt;0,MAX(DA7,DC7),""),MAX(DA7,DC7)+CY7)</f>
        <v>103.53</v>
      </c>
      <c r="DE7" s="11">
        <f>IF(CU7&gt;0,CU7,"")</f>
        <v>14.2</v>
      </c>
      <c r="DF7" s="11">
        <f>IF(SUM(CS7:CV7)-CW7&gt;0,SUM(CS7:CV7)-CW7,"")</f>
        <v>54.699999999999996</v>
      </c>
      <c r="DG7" s="11">
        <f>IF(SUM(DD7,DF7)&gt;0,SUM(DD7,DF7),"")</f>
        <v>158.22999999999999</v>
      </c>
      <c r="DH7" s="24">
        <f>IF(MAX(EB7,EX7,FT7,GP7,HL7,IH7,JD7,JZ7,KV7,LR7,MN7,NJ7)-IF(M7="",0,M7)&gt;0.001,MAX(EB7,EX7,FT7,GP7,HL7,IH7,JD7,JZ7,KV7,LR7,MN7,NJ7)-IF(M7="",0,M7),"")</f>
        <v>6.0000000000002274E-2</v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>
        <v>17.100000000000001</v>
      </c>
      <c r="FE7" s="37">
        <v>9.5</v>
      </c>
      <c r="FF7" s="37">
        <v>6</v>
      </c>
      <c r="FG7" s="37">
        <v>15.335000000000001</v>
      </c>
      <c r="FH7" s="37">
        <v>0</v>
      </c>
      <c r="FI7" s="37">
        <v>14.8</v>
      </c>
      <c r="FJ7" s="37">
        <v>9.5</v>
      </c>
      <c r="FK7" s="37">
        <v>14.2</v>
      </c>
      <c r="FL7" s="37">
        <v>14.595000000000001</v>
      </c>
      <c r="FM7" s="37">
        <v>0</v>
      </c>
      <c r="FN7" s="37"/>
      <c r="FO7" s="37"/>
      <c r="FP7" s="37"/>
      <c r="FQ7" s="37"/>
      <c r="FR7" s="37"/>
      <c r="FS7" s="11">
        <f>IF(FK7&gt;0,FK7,"")</f>
        <v>14.2</v>
      </c>
      <c r="FT7" s="11">
        <f>IF(SUM(FD7:FG7)-FH7&gt;0,SUM(FD7:FG7)-FH7,"")</f>
        <v>47.935000000000002</v>
      </c>
      <c r="FU7" s="11">
        <f>IF(SUM(FI7:FL7)-FM7&gt;0,SUM(FI7:FL7)-FM7,"")</f>
        <v>53.094999999999999</v>
      </c>
      <c r="FV7" s="11">
        <f>IF(SUM(FT7:FU7)&gt;0,SUM(FT7:FU7),"")</f>
        <v>101.03</v>
      </c>
      <c r="FW7" s="11" t="str">
        <f>IF(FP7&gt;0,FP7,"")</f>
        <v/>
      </c>
      <c r="FX7" s="11" t="str">
        <f>IF(SUM(FN7:FQ7)-FR7&gt;0,SUM(FN7:FQ7)-FR7,"")</f>
        <v/>
      </c>
      <c r="FY7" s="11">
        <f>IF(SUM(FV7,FX7)&gt;0,SUM(FV7,FX7),"")</f>
        <v>101.03</v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>
        <v>14.9</v>
      </c>
      <c r="GK7" s="38">
        <v>9.5</v>
      </c>
      <c r="GL7" s="38">
        <v>14.2</v>
      </c>
      <c r="GM7" s="38">
        <v>14.67</v>
      </c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>
        <f>IF(GL7&gt;0,GL7,"")</f>
        <v>14.2</v>
      </c>
      <c r="GT7" s="14">
        <f>IF(SUM(GJ7:GM7)-GN7&gt;0,SUM(GJ7:GM7)-GN7,"")</f>
        <v>53.269999999999996</v>
      </c>
      <c r="GU7" s="14">
        <f>IF(SUM(GR7,GT7)&gt;0,SUM(GR7,GT7),"")</f>
        <v>53.269999999999996</v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17.100000000000001</v>
      </c>
      <c r="NQ7" s="69">
        <f>IF($CX7="P",CE7,(CE7+BA7)/2)</f>
        <v>9.3500000000000014</v>
      </c>
      <c r="NR7" s="69">
        <f>IF($CX7="P",CF7,(CF7+BB7)/2)</f>
        <v>5.8</v>
      </c>
      <c r="NS7" s="69">
        <f>IF($CX7="P",CG7,(CG7+BC7)/2)</f>
        <v>16.037500000000001</v>
      </c>
      <c r="NT7" s="69">
        <f>IF($CX7="P",CH7,(CH7+BD7)/2)</f>
        <v>0</v>
      </c>
      <c r="NU7" s="69">
        <f>IF($CX7="P",CI7,(CI7+BE7)/2)</f>
        <v>11.6</v>
      </c>
      <c r="NV7" s="69">
        <f>IF($CX7="P",CJ7,(CJ7+BF7)/2)</f>
        <v>6.8500000000000005</v>
      </c>
      <c r="NW7" s="69">
        <f>IF($CX7="P",CK7,(CK7+BG7)/2)</f>
        <v>10.600000000000001</v>
      </c>
      <c r="NX7" s="69">
        <f>IF($CX7="P",CL7,(CL7+BH7)/2)</f>
        <v>11.522499999999999</v>
      </c>
      <c r="NY7" s="69">
        <f>IF($CX7="P",CM7,(CM7+BI7)/2)</f>
        <v>0</v>
      </c>
      <c r="NZ7" s="69">
        <f>IF($CX7="P",CN7,(CN7+BJ7)/2)</f>
        <v>16.25</v>
      </c>
      <c r="OA7" s="69">
        <f>IF($CX7="P",CO7,(CO7+BK7)/2)</f>
        <v>9.3999999999999986</v>
      </c>
      <c r="OB7" s="69">
        <f>IF($CX7="P",CP7,(CP7+BL7)/2)</f>
        <v>13.8</v>
      </c>
      <c r="OC7" s="69">
        <f>IF($CX7="P",CQ7,(CQ7+BM7)/2)</f>
        <v>15.22</v>
      </c>
      <c r="OD7" s="69">
        <f>IF($CX7="P",CR7,(CR7+BN7)/2)</f>
        <v>0</v>
      </c>
      <c r="OE7" s="69">
        <f>IF($CX7="P",CS7,(CS7+BO7)/2)</f>
        <v>16.25</v>
      </c>
      <c r="OF7" s="69">
        <f>IF($CX7="P",CT7,(CT7+BP7)/2)</f>
        <v>9.25</v>
      </c>
      <c r="OG7" s="69">
        <f>IF($CX7="P",CU7,(CU7+BQ7)/2)</f>
        <v>14</v>
      </c>
      <c r="OH7" s="69">
        <f>IF($CX7="P",CV7,(CV7+BR7)/2)</f>
        <v>15.4</v>
      </c>
      <c r="OI7" s="69">
        <f>IF($CX7="P",CW7,(CW7+BS7)/2)</f>
        <v>0</v>
      </c>
      <c r="OJ7" s="80" t="s">
        <v>74</v>
      </c>
      <c r="OK7" s="11">
        <f>IF(SUM(NP7:NS7)-NT7&gt;0,SUM(NP7:NS7)-NT7,"")</f>
        <v>48.287500000000001</v>
      </c>
      <c r="OL7" s="11">
        <f>IF(NW7&gt;0,NW7,"")</f>
        <v>10.600000000000001</v>
      </c>
      <c r="OM7" s="11">
        <f>IF(SUM(NU7:NX7)-NY7&gt;0,SUM(NU7:NX7)-NY7,"")</f>
        <v>40.572499999999998</v>
      </c>
      <c r="ON7" s="11">
        <f>IF(OB7&gt;0,OB7,"")</f>
        <v>13.8</v>
      </c>
      <c r="OO7" s="11">
        <f>IF(SUM(NZ7:OC7)-OD7&gt;0,SUM(NZ7:OC7)-OD7,"")</f>
        <v>54.67</v>
      </c>
      <c r="OP7" s="11">
        <f>IF(OR(OK7&lt;&gt;"",OM7&lt;&gt;"",OO7&lt;&gt;""),OK7+MAX(OM7,OO7),"")</f>
        <v>102.95750000000001</v>
      </c>
      <c r="OQ7" s="11">
        <f>IF(OG7&gt;0,OG7,"")</f>
        <v>14</v>
      </c>
      <c r="OR7" s="11">
        <f t="shared" si="0"/>
        <v>54.9</v>
      </c>
      <c r="OS7" s="11">
        <f t="shared" si="1"/>
        <v>157.85750000000002</v>
      </c>
    </row>
    <row r="8" spans="1:409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5</v>
      </c>
      <c r="B8" s="127" t="s">
        <v>32</v>
      </c>
      <c r="C8" s="5" t="s">
        <v>6</v>
      </c>
      <c r="D8" s="5">
        <v>1992</v>
      </c>
      <c r="E8" s="15">
        <f>SUM(K8:S8)</f>
        <v>260.70500000000004</v>
      </c>
      <c r="F8" s="3" t="str">
        <f>IF(G8&lt;&gt;"","P","")</f>
        <v>P</v>
      </c>
      <c r="G8" s="125" t="str">
        <f>IF(OR(AND(AR8&gt;=AY$20,AR8&lt;&gt;"",AP8=""),AND(AT8&gt;=AY$20,AT8&lt;&gt;"",AP8=""),AND(AW8&gt;=AY$20,AW8&lt;&gt;"",AP8=""),AND(BV8&gt;=CC$20,BV8&lt;&gt;"",BT8=""),AND(BX8&gt;=CC$20,BX8&lt;&gt;"",BT8=""),AND(CA8&gt;=CC$20,CA8&lt;&gt;"",BT8=""),AND(CZ8&gt;=DG$20,CZ8&lt;&gt;"",CX8=""),AND(DB8&gt;=DG$20,DB8&lt;&gt;"",CX8=""),AND(DE8&gt;=DG$20,DE8&lt;&gt;"",CX8=""),AND(EA8&gt;=EG$20,EA8&lt;&gt;""),AND(EE8&gt;=EG$20,EE8&lt;&gt;""),AND(EW8&gt;=FC$20,EW8&lt;&gt;""),AND(FA8&gt;=FC$20,FA8&lt;&gt;""),AND(FS8&gt;=FY$20,FS8&lt;&gt;""),AND(FW8&gt;=FY$20,FW8&lt;&gt;""),AND(GO8&gt;=GU$20,GO8&lt;&gt;""),AND(GS8&gt;=GU$20,GS8&lt;&gt;""),AND(HK8&gt;=HQ$20,HK8&lt;&gt;""),AND(HO8&gt;=HQ$20,HO8&lt;&gt;""),AND(IG8&gt;=IM$20,IG8&lt;&gt;""),AND(IK8&gt;=IM$20,IK8&lt;&gt;""),AND(JC8&gt;=JI$20,JC8&lt;&gt;""),AND(JG8&gt;=JI$20,JG8&lt;&gt;""),AND(JY8&gt;=KE$20,JY8&lt;&gt;""),AND(KC8&gt;=KE$20,KC8&lt;&gt;""),AND(KU8&gt;=LA$20,KU8&lt;&gt;""),AND(KY8&gt;=LA$20,KY8&lt;&gt;""),AND(LQ8&gt;=LW$20,LQ8&lt;&gt;""),AND(LU8&gt;=LW$20,LU8&lt;&gt;""),AND(MM8&gt;=MS$20,MM8&lt;&gt;""),AND(MQ8&gt;=MS$20,MQ8&lt;&gt;""),AND(NI8&gt;=NO$20,NI8&lt;&gt;""),AND(NM8&gt;=NO$20,NM8&lt;&gt;"")),"Merit",IF(OR(AND(AR8&gt;=AY$19,AR8&lt;&gt;"",AP8=""),AND(AT8&gt;=AY$19,AT8&lt;&gt;"",AP8=""),AND(AW8&gt;=AY$19,AW8&lt;&gt;"",AP8=""),AND(BV8&gt;=CC$19,BV8&lt;&gt;"",BT8=""),AND(BX8&gt;=CC$19,BX8&lt;&gt;"",BT8=""),AND(CA8&gt;=CC$19,CA8&lt;&gt;"",BT8=""),AND(CZ8&gt;=DG$19,CZ8&lt;&gt;"",CX8=""),AND(DB8&gt;=DG$19,DB8&lt;&gt;"",CX8=""),AND(DE8&gt;=DG$19,DE8&lt;&gt;"",CX8=""),AND(EA8&gt;=EG$19,EA8&lt;&gt;""),AND(EE8&gt;=EG$19,EE8&lt;&gt;""),AND(EW8&gt;=FC$19,EW8&lt;&gt;""),AND(FA8&gt;=FC$19,FA8&lt;&gt;""),AND(FS8&gt;=FY$19,FS8&lt;&gt;""),AND(FW8&gt;=FY$19,FW8&lt;&gt;""),AND(GO8&gt;=GU$19,GO8&lt;&gt;""),AND(GS8&gt;=GU$19,GS8&lt;&gt;""),AND(HK8&gt;=HQ$19,HK8&lt;&gt;""),AND(HO8&gt;=HQ$19,HO8&lt;&gt;""),AND(IG8&gt;=IM$19,IG8&lt;&gt;""),AND(IK8&gt;=IM$19,IK8&lt;&gt;""),AND(JC8&gt;=JI$19,JC8&lt;&gt;""),AND(JG8&gt;=JI$19,JG8&lt;&gt;""),AND(JY8&gt;=KE$19,JY8&lt;&gt;""),AND(KC8&gt;=KE$19,KC8&lt;&gt;""),AND(KU8&gt;=LA$19,KU8&lt;&gt;""),AND(KY8&gt;=LA$19,KY8&lt;&gt;""),AND(LQ8&gt;=LW$19,LQ8&lt;&gt;""),AND(LU8&gt;=LW$19,LU8&lt;&gt;""),AND(MM8&gt;=MS$19,MM8&lt;&gt;""),AND(MQ8&gt;=MS$19,MQ8&lt;&gt;""),AND(NI8&gt;=NO$19,NI8&lt;&gt;""),AND(NM8&gt;=NO$19,NM8&lt;&gt;"")),"Excellence",IF(OR(AND(AR8&gt;=AY$18,AR8&lt;&gt;"",AP8=""),AND(AT8&gt;=AY$18,AT8&lt;&gt;"",AP8=""),AND(AW8&gt;=AY$18,AW8&lt;&gt;"",AP8=""),AND(BV8&gt;=CC$18,BV8&lt;&gt;"",BT8=""),AND(BX8&gt;=CC$18,BX8&lt;&gt;"",BT8=""),AND(CA8&gt;=CC$18,CA8&lt;&gt;"",BT8=""),AND(CZ8&gt;=DG$18,CZ8&lt;&gt;"",CX8=""),AND(DB8&gt;=DG$18,DB8&lt;&gt;"",CX8=""),AND(DE8&gt;=DG$18,DE8&lt;&gt;"",CX8=""),AND(EA8&gt;=EG$18,EA8&lt;&gt;""),AND(EE8&gt;=EG$18,EE8&lt;&gt;""),AND(EW8&gt;=FC$18,EW8&lt;&gt;""),AND(FA8&gt;=FC$18,FA8&lt;&gt;""),AND(FS8&gt;=FY$18,FS8&lt;&gt;""),AND(FW8&gt;=FY$18,FW8&lt;&gt;""),AND(GO8&gt;=GU$18,GO8&lt;&gt;""),AND(GS8&gt;=GU$18,GS8&lt;&gt;""),AND(HK8&gt;=HQ$18,HK8&lt;&gt;""),AND(HO8&gt;=HQ$18,HO8&lt;&gt;""),AND(IG8&gt;=IM$18,IG8&lt;&gt;""),AND(IK8&gt;=IM$18,IK8&lt;&gt;""),AND(JC8&gt;=JI$18,JC8&lt;&gt;""),AND(JG8&gt;=JI$18,JG8&lt;&gt;""),AND(JY8&gt;=KE$18,JY8&lt;&gt;""),AND(KC8&gt;=KE$18,KC8&lt;&gt;""),AND(KU8&gt;=LA$18,KU8&lt;&gt;""),AND(KY8&gt;=LA$18,KY8&lt;&gt;""),AND(LQ8&gt;=LW$18,LQ8&lt;&gt;""),AND(LU8&gt;=LW$18,LU8&lt;&gt;""),AND(MM8&gt;=MS$18,MM8&lt;&gt;""),AND(MQ8&gt;=MS$18,MQ8&lt;&gt;""),AND(NI8&gt;=NO$18,NI8&lt;&gt;""),AND(NM8&gt;=NO$18,NM8&lt;&gt;"")),"Worlds Team",IF(OR(AND(AR8&gt;=AY$17,AR8&lt;&gt;"",AP8=""),AND(AT8&gt;=AY$17,AT8&lt;&gt;"",AP8=""),AND(AW8&gt;=AY$17,AW8&lt;&gt;"",AP8=""),AND(BV8&gt;=CC$17,BV8&lt;&gt;"",BT8=""),AND(BX8&gt;=CC$17,BX8&lt;&gt;"",BT8=""),AND(CA8&gt;=CC$17,CA8&lt;&gt;"",BT8=""),AND(CZ8&gt;=DG$17,CZ8&lt;&gt;"",CX8=""),AND(DB8&gt;=DG$17,DB8&lt;&gt;"",CX8=""),AND(DE8&gt;=DG$17,DE8&lt;&gt;"",CX8=""),AND(EA8&gt;=EG$17,EA8&lt;&gt;""),AND(EE8&gt;=EG$17,EE8&lt;&gt;""),AND(EW8&gt;=FC$17,EW8&lt;&gt;""),AND(FA8&gt;=FC$17,FA8&lt;&gt;""),AND(FS8&gt;=FY$17,FS8&lt;&gt;""),AND(FW8&gt;=FY$17,FW8&lt;&gt;""),AND(GO8&gt;=GU$17,GO8&lt;&gt;""),AND(GS8&gt;=GU$17,GS8&lt;&gt;""),AND(HK8&gt;=HQ$17,HK8&lt;&gt;""),AND(HO8&gt;=HQ$17,HO8&lt;&gt;""),AND(IG8&gt;=IM$17,IG8&lt;&gt;""),AND(IK8&gt;=IM$17,IK8&lt;&gt;""),AND(JC8&gt;=JI$17,JC8&lt;&gt;""),AND(JG8&gt;=JI$17,JG8&lt;&gt;""),AND(JY8&gt;=KE$17,JY8&lt;&gt;""),AND(KC8&gt;=KE$17,KC8&lt;&gt;""),AND(KU8&gt;=LA$17,KU8&lt;&gt;""),AND(KY8&gt;=LA$17,KY8&lt;&gt;""),AND(LQ8&gt;=LW$17,LQ8&lt;&gt;""),AND(LU8&gt;=LW$17,LU8&lt;&gt;""),AND(MM8&gt;=MS$17,MM8&lt;&gt;""),AND(MQ8&gt;=MS$17,MQ8&lt;&gt;""),AND(NI8&gt;=NO$17,NI8&lt;&gt;""),AND(NM8&gt;=NO$17,NM8&lt;&gt;"")),"National Team",""))))</f>
        <v>Merit</v>
      </c>
      <c r="H8" s="125" t="str">
        <f>IF(OR(AND(AS8&gt;=AY$24,AS8&lt;&gt;"",AP8=""),AND(AU8&gt;=AY$24,AU8&lt;&gt;"",AP8=""),AND(AX8&gt;=AY$24,AX8&lt;&gt;"",AP8=""),AND(BW8&gt;=CC$24,BW8&lt;&gt;"",BT8=""),AND(BY8&gt;=CC$24,BY8&lt;&gt;"",BT8=""),AND(CB8&gt;=CC$24,CB8&lt;&gt;"",BT8=""),AND(DA8&gt;=DG$24,DA8&lt;&gt;"",CX8=""),AND(DC8&gt;=DG$24,DC8&lt;&gt;"",CX8=""),AND(DF8&gt;=DG$24,DF8&lt;&gt;"",CX8=""),AND(EC8&gt;=EG$24,EC8&lt;&gt;""),AND(EF8&gt;=EG$24,EF8&lt;&gt;""),AND(EY8&gt;=FC$24,EY8&lt;&gt;""),AND(FB8&gt;=FC$24,FB8&lt;&gt;""),AND(FU8&gt;=FY$24,FU8&lt;&gt;""),AND(FX8&gt;=FY$24,FX8&lt;&gt;""),AND(GQ8&gt;=GU$24,GQ8&lt;&gt;""),AND(GT8&gt;=GU$24,GT8&lt;&gt;""),AND(HM8&gt;=HQ$24,HM8&lt;&gt;""),AND(HP8&gt;=HQ$24,HP8&lt;&gt;""),AND(II8&gt;=IM$24,II8&lt;&gt;""),AND(IL8&gt;=IM$24,IL8&lt;&gt;""),AND(JE8&gt;=JI$24,JE8&lt;&gt;""),AND(JH8&gt;=JI$24,JH8&lt;&gt;""),AND(KA8&gt;=KE$24,KA8&lt;&gt;""),AND(KD8&gt;=KE$24,KD8&lt;&gt;""),AND(KW8&gt;=LA$24,KW8&lt;&gt;""),AND(KZ8&gt;=LA$24,KZ8&lt;&gt;""),AND(LS8&gt;=LW$24,LS8&lt;&gt;""),AND(LV8&gt;=LW$24,LV8&lt;&gt;""),AND(MO8&gt;=MS$24,MO8&lt;&gt;""),AND(MR8&gt;=MS$24,MR8&lt;&gt;""),AND(NK8&gt;=NO$24,NK8&lt;&gt;""),AND(NN8&gt;=NO$24,NN8&lt;&gt;"")),"Merit",IF(OR(AND(AS8&gt;=AY$23,AS8&lt;&gt;"",AP8=""),AND(AU8&gt;=AY$23,AU8&lt;&gt;"",AP8=""),AND(AX8&gt;=AY$23,AX8&lt;&gt;"",AP8=""),AND(BW8&gt;=CC$23,BW8&lt;&gt;"",BT8=""),AND(BY8&gt;=CC$23,BY8&lt;&gt;"",BT8=""),AND(CB8&gt;=CC$23,CB8&lt;&gt;"",BT8=""),AND(DA8&gt;=DG$23,DA8&lt;&gt;"",CX8=""),AND(DC8&gt;=DG$23,DC8&lt;&gt;"",CX8=""),AND(DF8&gt;=DG$23,DF8&lt;&gt;"",CX8=""),AND(EC8&gt;=EG$23,EC8&lt;&gt;""),AND(EF8&gt;=EG$23,EF8&lt;&gt;""),AND(EY8&gt;=FC$23,EY8&lt;&gt;""),AND(FB8&gt;=FC$23,FB8&lt;&gt;""),AND(FU8&gt;=FY$23,FU8&lt;&gt;""),AND(FX8&gt;=FY$23,FX8&lt;&gt;""),AND(GQ8&gt;=GU$23,GQ8&lt;&gt;""),AND(GT8&gt;=GU$23,GT8&lt;&gt;""),AND(HM8&gt;=HQ$23,HM8&lt;&gt;""),AND(HP8&gt;=HQ$23,HP8&lt;&gt;""),AND(II8&gt;=IM$23,II8&lt;&gt;""),AND(IL8&gt;=IM$23,IL8&lt;&gt;""),AND(JE8&gt;=JI$23,JE8&lt;&gt;""),AND(JH8&gt;=JI$23,JH8&lt;&gt;""),AND(KA8&gt;=KE$23,KA8&lt;&gt;""),AND(KD8&gt;=KE$23,KD8&lt;&gt;""),AND(KW8&gt;=LA$23,KW8&lt;&gt;""),AND(KZ8&gt;=LA$23,KZ8&lt;&gt;""),AND(LS8&gt;=LW$23,LS8&lt;&gt;""),AND(LV8&gt;=LW$23,LV8&lt;&gt;""),AND(MO8&gt;=MS$23,MO8&lt;&gt;""),AND(MR8&gt;=MS$23,MR8&lt;&gt;""),AND(NK8&gt;=NO$23,NK8&lt;&gt;""),AND(NN8&gt;=NO$23,NN8&lt;&gt;"")),"Excellence",IF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"Worlds Team",IF(OR(AND(AV8&gt;=AY$21,AV8&lt;&gt;"",AP8=""),AND(BZ8&gt;=CC$21,BZ8&lt;&gt;"",BT8=""),AND(DD8&gt;=DG$21,DD8&lt;&gt;"",CX8=""),AND(ED8&gt;=EG$21,ED8&lt;&gt;""),AND(EZ8&gt;=FC$21,EZ8&lt;&gt;""),AND(FV8&gt;=FY$21,FV8&lt;&gt;""),AND(GR8&gt;=GU$21,GR8&lt;&gt;""),AND(HN8&gt;=HQ$21,HN8&lt;&gt;""),AND(IJ8&gt;=IM$21,IJ8&lt;&gt;""),AND(JF8&gt;=JI$21,JF8&lt;&gt;""),AND(KB8&gt;=KE$21,KB8&lt;&gt;""),AND(KX8&gt;=LA$21,KX8&lt;&gt;""),AND(LT8&gt;=LW$21,LT8&lt;&gt;""),AND(MP8&gt;=MS$21,MP8&lt;&gt;""),AND(NL8&gt;=NO$21,NL8&lt;&gt;"")),"National Team",""))))</f>
        <v>Merit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Merit</v>
      </c>
      <c r="J8" s="3" t="str">
        <f>IF(AND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OR(G8="Worlds Team",G8="Excellence",G8="Merit")),"P","")</f>
        <v>P</v>
      </c>
      <c r="K8" s="14">
        <f>IF(MAX(AV8,BZ8,DD8)&gt;0,MAX(AV8,BZ8,DD8),0)</f>
        <v>103.66500000000001</v>
      </c>
      <c r="L8" s="14" t="str">
        <f>IF(K8=0,"",IF(K8=DD8,$CD$1,IF(K8=BZ8,$AZ$1,IF(K8=AV8,$V$1,""))))</f>
        <v>2021 2nd Virtual Technical Trial</v>
      </c>
      <c r="M8" s="14">
        <f>IF($K8=$AV8,MAX(BU8,CY8),IF($K8=$BZ8,MAX(AQ8,CY8),IF($K8=$DD8,MAX(AQ8,BU8),MAX(AQ8,BU8,CY8))))</f>
        <v>48.165000000000006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54.215000000000003</v>
      </c>
      <c r="P8" s="14" t="str">
        <f>IF(O8=0,"",IF(OR(O8=DC8,O8=DA8),$CD$1,IF(OR(O8=BY8,O8=BW8),$AZ$1,IF(OR(O8=AU8,O8=AS8),$V$1,""))))</f>
        <v>2021 Elite Canada</v>
      </c>
      <c r="Q8" s="14">
        <f>MAX(AX8,CB8,DF8)</f>
        <v>51.790000000000006</v>
      </c>
      <c r="R8" s="14" t="str">
        <f>IF(Q8=0,"",IF(Q8=DF8,$CD$1,IF(Q8=CB8,$AZ$1,IF(Q8=AX8,$V$1,""))))</f>
        <v>2021 Canadian Championships</v>
      </c>
      <c r="S8" s="14">
        <f>IF(MAX(DH8,DI8,DJ8,DK8)&gt;0,MAX(DH8,DI8,DJ8,DK8),"")</f>
        <v>2.8699999999999903</v>
      </c>
      <c r="T8" s="25" t="str">
        <f>IF(S8="","",IF(S8=DH8,"(Vol 1)",IF(S8=DI8,"(Vol 2)",IF(S8=DJ8,"(Prelim)",IF(S8=DK8,"(Final)")))))</f>
        <v>(Final)</v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>2021 World Cup ITA/Olympic Technical Trial (June 4/9)</v>
      </c>
      <c r="V8" s="69">
        <v>18.100000000000001</v>
      </c>
      <c r="W8" s="69">
        <v>9.1999999999999993</v>
      </c>
      <c r="X8" s="69">
        <v>5</v>
      </c>
      <c r="Y8" s="69">
        <v>16.324999999999999</v>
      </c>
      <c r="Z8" s="69">
        <v>0</v>
      </c>
      <c r="AA8" s="69">
        <v>15.7</v>
      </c>
      <c r="AB8" s="69">
        <v>8.6999999999999993</v>
      </c>
      <c r="AC8" s="69">
        <v>14.2</v>
      </c>
      <c r="AD8" s="69">
        <v>15.39</v>
      </c>
      <c r="AE8" s="69">
        <v>0</v>
      </c>
      <c r="AF8" s="69">
        <v>15.4</v>
      </c>
      <c r="AG8" s="69">
        <v>9.5</v>
      </c>
      <c r="AH8" s="69">
        <v>14.8</v>
      </c>
      <c r="AI8" s="69">
        <v>15.34</v>
      </c>
      <c r="AJ8" s="69">
        <v>0</v>
      </c>
      <c r="AK8" s="69">
        <v>10.4</v>
      </c>
      <c r="AL8" s="69">
        <v>6.7</v>
      </c>
      <c r="AM8" s="69">
        <v>11.1</v>
      </c>
      <c r="AN8" s="69">
        <v>10.91</v>
      </c>
      <c r="AO8" s="69">
        <v>0</v>
      </c>
      <c r="AP8" s="80"/>
      <c r="AQ8" s="11">
        <f>IF(SUM(V8:Y8)-Z8&gt;0,SUM(V8:Y8)-Z8,"")</f>
        <v>48.625</v>
      </c>
      <c r="AR8" s="11">
        <f>IF(AC8&gt;0,AC8,"")</f>
        <v>14.2</v>
      </c>
      <c r="AS8" s="11">
        <f>IF(SUM(AA8:AD8)-AE8&gt;0,SUM(AA8:AD8)-AE8,"")</f>
        <v>53.989999999999995</v>
      </c>
      <c r="AT8" s="11">
        <f>IF(AH8&gt;0,AH8,"")</f>
        <v>14.8</v>
      </c>
      <c r="AU8" s="11">
        <f>IF(SUM(AF8:AI8)-AJ8&gt;0,SUM(AF8:AI8)-AJ8,"")</f>
        <v>55.040000000000006</v>
      </c>
      <c r="AV8" s="11">
        <f>IF(AQ8="",IF(MAX(AS8,AU8)&gt;0,MAX(AS8,AU8),""),MAX(AS8,AU8)+AQ8)</f>
        <v>103.66500000000001</v>
      </c>
      <c r="AW8" s="11">
        <f>IF(AM8&gt;0,AM8,"")</f>
        <v>11.1</v>
      </c>
      <c r="AX8" s="11">
        <f>IF(SUM(AK8:AN8)-AO8&gt;0,SUM(AK8:AN8)-AO8,"")</f>
        <v>39.11</v>
      </c>
      <c r="AY8" s="11">
        <f>IF(SUM(AV8,AX8)&gt;0,SUM(AV8,AX8),"")</f>
        <v>142.77500000000001</v>
      </c>
      <c r="AZ8" s="75">
        <v>17.600000000000001</v>
      </c>
      <c r="BA8" s="75">
        <v>9.35</v>
      </c>
      <c r="BB8" s="75">
        <v>5</v>
      </c>
      <c r="BC8" s="75">
        <v>16.215</v>
      </c>
      <c r="BD8" s="75">
        <v>0</v>
      </c>
      <c r="BE8" s="75">
        <v>15.5</v>
      </c>
      <c r="BF8" s="75">
        <v>9.1750000000000007</v>
      </c>
      <c r="BG8" s="75">
        <v>14.2</v>
      </c>
      <c r="BH8" s="75">
        <v>15.34</v>
      </c>
      <c r="BI8" s="75">
        <v>0</v>
      </c>
      <c r="BJ8" s="75">
        <v>7.7</v>
      </c>
      <c r="BK8" s="75">
        <v>4.75</v>
      </c>
      <c r="BL8" s="75">
        <v>7.4</v>
      </c>
      <c r="BM8" s="75">
        <v>7.67</v>
      </c>
      <c r="BN8" s="75">
        <v>0</v>
      </c>
      <c r="BO8" s="75">
        <v>12.8</v>
      </c>
      <c r="BP8" s="75">
        <v>7.9749999999999996</v>
      </c>
      <c r="BQ8" s="75">
        <v>12.649999999999999</v>
      </c>
      <c r="BR8" s="75">
        <v>12.940000000000001</v>
      </c>
      <c r="BS8" s="75">
        <v>0</v>
      </c>
      <c r="BT8" s="81" t="s">
        <v>74</v>
      </c>
      <c r="BU8" s="14">
        <f>IF(SUM(AZ8:BC8)-BD8&gt;0,SUM(AZ8:BC8)-BD8,"")</f>
        <v>48.165000000000006</v>
      </c>
      <c r="BV8" s="14">
        <f>IF(BG8&gt;0,BG8,"")</f>
        <v>14.2</v>
      </c>
      <c r="BW8" s="14">
        <f>IF(SUM(BE8:BH8)-BI8&gt;0,SUM(BE8:BH8)-BI8,"")</f>
        <v>54.215000000000003</v>
      </c>
      <c r="BX8" s="14">
        <f>IF(BL8&gt;0,BL8,"")</f>
        <v>7.4</v>
      </c>
      <c r="BY8" s="14">
        <f>IF(SUM(BJ8:BM8)-BN8&gt;0,SUM(BJ8:BM8)-BN8,"")</f>
        <v>27.520000000000003</v>
      </c>
      <c r="BZ8" s="14">
        <f>IF(BU8="",IF(MAX(BW8,BY8)&gt;0,MAX(BW8,BY8),""),MAX(BW8,BY8)+BU8)</f>
        <v>102.38000000000001</v>
      </c>
      <c r="CA8" s="14">
        <f>IF(BQ8&gt;0,BQ8,"")</f>
        <v>12.649999999999999</v>
      </c>
      <c r="CB8" s="14">
        <f>IF(SUM(BO8:BR8)-BS8&gt;0,SUM(BO8:BR8)-BS8,"")</f>
        <v>46.364999999999995</v>
      </c>
      <c r="CC8" s="14">
        <f>IF(SUM(BZ8,CB8)&gt;0,SUM(BZ8,CB8),"")</f>
        <v>148.745</v>
      </c>
      <c r="CD8" s="69">
        <v>18</v>
      </c>
      <c r="CE8" s="69">
        <v>9.3000000000000007</v>
      </c>
      <c r="CF8" s="69">
        <v>4.5999999999999996</v>
      </c>
      <c r="CG8" s="69">
        <v>15.675000000000001</v>
      </c>
      <c r="CH8" s="69">
        <v>0</v>
      </c>
      <c r="CI8" s="69">
        <v>14.7</v>
      </c>
      <c r="CJ8" s="69">
        <v>9.1999999999999993</v>
      </c>
      <c r="CK8" s="69">
        <v>14</v>
      </c>
      <c r="CL8" s="69">
        <v>15.04</v>
      </c>
      <c r="CM8" s="69">
        <v>0</v>
      </c>
      <c r="CN8" s="69">
        <v>15.4</v>
      </c>
      <c r="CO8" s="69">
        <v>9.5</v>
      </c>
      <c r="CP8" s="69">
        <v>13.5</v>
      </c>
      <c r="CQ8" s="69">
        <v>15.045</v>
      </c>
      <c r="CR8" s="69">
        <v>0</v>
      </c>
      <c r="CS8" s="69">
        <v>13.8</v>
      </c>
      <c r="CT8" s="69">
        <v>9.1999999999999993</v>
      </c>
      <c r="CU8" s="69">
        <v>14.2</v>
      </c>
      <c r="CV8" s="69">
        <v>14.59</v>
      </c>
      <c r="CW8" s="69">
        <v>0</v>
      </c>
      <c r="CX8" s="80"/>
      <c r="CY8" s="11">
        <f>IF(SUM(CD8:CG8)-CH8&gt;0,SUM(CD8:CG8)-CH8,"")</f>
        <v>47.575000000000003</v>
      </c>
      <c r="CZ8" s="11">
        <f>IF(CK8&gt;0,CK8,"")</f>
        <v>14</v>
      </c>
      <c r="DA8" s="11">
        <f>IF(SUM(CI8:CL8)-CM8&gt;0,SUM(CI8:CL8)-CM8,"")</f>
        <v>52.94</v>
      </c>
      <c r="DB8" s="11">
        <f>IF(CP8&gt;0,CP8,"")</f>
        <v>13.5</v>
      </c>
      <c r="DC8" s="11">
        <f>IF(SUM(CN8:CQ8)-CR8&gt;0,SUM(CN8:CQ8)-CR8,"")</f>
        <v>53.445</v>
      </c>
      <c r="DD8" s="11">
        <f>IF(CY8="",IF(MAX(DA8,DC8)&gt;0,MAX(DA8,DC8),""),MAX(DA8,DC8)+CY8)</f>
        <v>101.02000000000001</v>
      </c>
      <c r="DE8" s="11">
        <f>IF(CU8&gt;0,CU8,"")</f>
        <v>14.2</v>
      </c>
      <c r="DF8" s="11">
        <f>IF(SUM(CS8:CV8)-CW8&gt;0,SUM(CS8:CV8)-CW8,"")</f>
        <v>51.790000000000006</v>
      </c>
      <c r="DG8" s="11">
        <f>IF(SUM(DD8,DF8)&gt;0,SUM(DD8,DF8),"")</f>
        <v>152.81</v>
      </c>
      <c r="DH8" s="24">
        <f>IF(MAX(EB8,EX8,FT8,GP8,HL8,IH8,JD8,JZ8,KV8,LR8,MN8,NJ8)-IF(M8="",0,M8)&gt;0.001,MAX(EB8,EX8,FT8,GP8,HL8,IH8,JD8,JZ8,KV8,LR8,MN8,NJ8)-IF(M8="",0,M8),"")</f>
        <v>1.1349999999999909</v>
      </c>
      <c r="DI8" s="24">
        <f>IF(MAX(EC8,EY8,FU8,GQ8,HM8,II8,JE8,KA8,KW8,LS8,MO8,NK8)-IF(O8="",0,O8)&gt;0.001,MAX(EC8,EY8,FU8,GQ8,HM8,II8,JE8,KA8,KW8,LS8,MO8,NK8)-IF(O8="",0,O8),"")</f>
        <v>1.5349999999999966</v>
      </c>
      <c r="DJ8" s="24">
        <f>IF(MAX(ED8,EZ8,FV8,GR8,HN8,IJ8,JF8,KB8,KX8,LT8,MP8,NL8)-IF(K8="",0,K8)&gt;0.001,MAX(ED8,EZ8,FV8,GR8,HN8,IJ8,JF8,KB8,KX8,LT8,MP8,NL8)-IF(K8="",0,K8),"")</f>
        <v>1.3849999999999909</v>
      </c>
      <c r="DK8" s="24">
        <f>IF(MAX(EF8,FB8,FX8,GT8,HP8,IL8,JH8,KD8,KZ8,LV8,MR8,NN8)-IF(Q8="",0,Q8)&gt;0.001,MAX(EF8,FB8,FX8,GT8,HP8,IL8,JH8,KD8,KZ8,LV8,MR8,NN8)-IF(Q8="",0,Q8),"")</f>
        <v>2.8699999999999903</v>
      </c>
      <c r="DL8" s="37">
        <v>17.899999999999999</v>
      </c>
      <c r="DM8" s="37">
        <v>9.6</v>
      </c>
      <c r="DN8" s="37">
        <v>5.4</v>
      </c>
      <c r="DO8" s="37">
        <v>16.399999999999999</v>
      </c>
      <c r="DP8" s="37">
        <v>0</v>
      </c>
      <c r="DQ8" s="37">
        <v>15.8</v>
      </c>
      <c r="DR8" s="37">
        <v>9.6999999999999993</v>
      </c>
      <c r="DS8" s="37">
        <v>14.8</v>
      </c>
      <c r="DT8" s="37">
        <v>15.45</v>
      </c>
      <c r="DU8" s="37">
        <v>0</v>
      </c>
      <c r="DV8" s="37">
        <v>15.5</v>
      </c>
      <c r="DW8" s="37">
        <v>9.1999999999999993</v>
      </c>
      <c r="DX8" s="37">
        <v>14.8</v>
      </c>
      <c r="DY8" s="37">
        <v>15.16</v>
      </c>
      <c r="DZ8" s="37">
        <v>0</v>
      </c>
      <c r="EA8" s="11">
        <f>IF(DS8&gt;0,DS8,"")</f>
        <v>14.8</v>
      </c>
      <c r="EB8" s="11">
        <f>IF(SUM(DL8:DO8)-DP8&gt;0,SUM(DL8:DO8)-DP8,"")</f>
        <v>49.3</v>
      </c>
      <c r="EC8" s="11">
        <f>IF(SUM(DQ8:DT8)-DU8&gt;0,SUM(DQ8:DT8)-DU8,"")</f>
        <v>55.75</v>
      </c>
      <c r="ED8" s="11">
        <f>IF(SUM(EB8:EC8)&gt;0,SUM(EB8:EC8),"")</f>
        <v>105.05</v>
      </c>
      <c r="EE8" s="11">
        <f>IF(DX8&gt;0,DX8,"")</f>
        <v>14.8</v>
      </c>
      <c r="EF8" s="11">
        <f>IF(SUM(DV8:DY8)-DZ8&gt;0,SUM(DV8:DY8)-DZ8,"")</f>
        <v>54.66</v>
      </c>
      <c r="EG8" s="11">
        <f>IF(SUM(ED8,EF8)&gt;0,SUM(ED8,EF8),"")</f>
        <v>159.70999999999998</v>
      </c>
      <c r="EH8" s="38">
        <v>17.600000000000001</v>
      </c>
      <c r="EI8" s="38">
        <v>9.6</v>
      </c>
      <c r="EJ8" s="38">
        <v>5</v>
      </c>
      <c r="EK8" s="38">
        <v>16.135000000000002</v>
      </c>
      <c r="EL8" s="38">
        <v>0</v>
      </c>
      <c r="EM8" s="38">
        <v>2.8</v>
      </c>
      <c r="EN8" s="38">
        <v>1.7</v>
      </c>
      <c r="EO8" s="38">
        <v>3.4</v>
      </c>
      <c r="EP8" s="38">
        <v>3.31</v>
      </c>
      <c r="EQ8" s="38">
        <v>0</v>
      </c>
      <c r="ER8" s="38"/>
      <c r="ES8" s="38"/>
      <c r="ET8" s="38"/>
      <c r="EU8" s="38"/>
      <c r="EV8" s="38"/>
      <c r="EW8" s="14">
        <f>IF(EO8&gt;0,EO8,"")</f>
        <v>3.4</v>
      </c>
      <c r="EX8" s="14">
        <f>IF(SUM(EH8:EK8)-EL8&gt;0,SUM(EH8:EK8)-EL8,"")</f>
        <v>48.335000000000008</v>
      </c>
      <c r="EY8" s="14">
        <f>IF(SUM(EM8:EP8)-EQ8&gt;0,SUM(EM8:EP8)-EQ8,"")</f>
        <v>11.21</v>
      </c>
      <c r="EZ8" s="14">
        <f>IF(SUM(EX8:EY8)&gt;0,SUM(EX8:EY8),"")</f>
        <v>59.545000000000009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59.545000000000009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</v>
      </c>
      <c r="NQ8" s="69">
        <f>IF($CX8="P",CE8,(CE8+BA8)/2)</f>
        <v>9.3249999999999993</v>
      </c>
      <c r="NR8" s="69">
        <f>IF($CX8="P",CF8,(CF8+BB8)/2)</f>
        <v>4.8</v>
      </c>
      <c r="NS8" s="69">
        <f>IF($CX8="P",CG8,(CG8+BC8)/2)</f>
        <v>15.945</v>
      </c>
      <c r="NT8" s="69">
        <f>IF($CX8="P",CH8,(CH8+BD8)/2)</f>
        <v>0</v>
      </c>
      <c r="NU8" s="69">
        <f>IF($CX8="P",CI8,(CI8+BE8)/2)</f>
        <v>15.1</v>
      </c>
      <c r="NV8" s="69">
        <f>IF($CX8="P",CJ8,(CJ8+BF8)/2)</f>
        <v>9.1875</v>
      </c>
      <c r="NW8" s="69">
        <f>IF($CX8="P",CK8,(CK8+BG8)/2)</f>
        <v>14.1</v>
      </c>
      <c r="NX8" s="69">
        <f>IF($CX8="P",CL8,(CL8+BH8)/2)</f>
        <v>15.19</v>
      </c>
      <c r="NY8" s="69">
        <f>IF($CX8="P",CM8,(CM8+BI8)/2)</f>
        <v>0</v>
      </c>
      <c r="NZ8" s="69">
        <f>IF($CX8="P",CN8,(CN8+BJ8)/2)</f>
        <v>11.55</v>
      </c>
      <c r="OA8" s="69">
        <f>IF($CX8="P",CO8,(CO8+BK8)/2)</f>
        <v>7.125</v>
      </c>
      <c r="OB8" s="69">
        <f>IF($CX8="P",CP8,(CP8+BL8)/2)</f>
        <v>10.45</v>
      </c>
      <c r="OC8" s="69">
        <f>IF($CX8="P",CQ8,(CQ8+BM8)/2)</f>
        <v>11.3575</v>
      </c>
      <c r="OD8" s="69">
        <f>IF($CX8="P",CR8,(CR8+BN8)/2)</f>
        <v>0</v>
      </c>
      <c r="OE8" s="69">
        <f>IF($CX8="P",CS8,(CS8+BO8)/2)</f>
        <v>13.3</v>
      </c>
      <c r="OF8" s="69">
        <f>IF($CX8="P",CT8,(CT8+BP8)/2)</f>
        <v>8.5874999999999986</v>
      </c>
      <c r="OG8" s="69">
        <f>IF($CX8="P",CU8,(CU8+BQ8)/2)</f>
        <v>13.424999999999999</v>
      </c>
      <c r="OH8" s="69">
        <f>IF($CX8="P",CV8,(CV8+BR8)/2)</f>
        <v>13.765000000000001</v>
      </c>
      <c r="OI8" s="69">
        <f>IF($CX8="P",CW8,(CW8+BS8)/2)</f>
        <v>0</v>
      </c>
      <c r="OJ8" s="80" t="s">
        <v>74</v>
      </c>
      <c r="OK8" s="11">
        <f>IF(SUM(NP8:NS8)-NT8&gt;0,SUM(NP8:NS8)-NT8,"")</f>
        <v>47.870000000000005</v>
      </c>
      <c r="OL8" s="11">
        <f>IF(NW8&gt;0,NW8,"")</f>
        <v>14.1</v>
      </c>
      <c r="OM8" s="11">
        <f>IF(SUM(NU8:NX8)-NY8&gt;0,SUM(NU8:NX8)-NY8,"")</f>
        <v>53.577500000000001</v>
      </c>
      <c r="ON8" s="11">
        <f>IF(OB8&gt;0,OB8,"")</f>
        <v>10.45</v>
      </c>
      <c r="OO8" s="11">
        <f>IF(SUM(NZ8:OC8)-OD8&gt;0,SUM(NZ8:OC8)-OD8,"")</f>
        <v>40.482500000000002</v>
      </c>
      <c r="OP8" s="11">
        <f>IF(OR(OK8&lt;&gt;"",OM8&lt;&gt;"",OO8&lt;&gt;""),OK8+MAX(OM8,OO8),"")</f>
        <v>101.44750000000001</v>
      </c>
      <c r="OQ8" s="11">
        <f>IF(OG8&gt;0,OG8,"")</f>
        <v>13.424999999999999</v>
      </c>
      <c r="OR8" s="11">
        <f t="shared" si="0"/>
        <v>49.077500000000001</v>
      </c>
      <c r="OS8" s="11">
        <f t="shared" si="1"/>
        <v>150.52500000000001</v>
      </c>
    </row>
    <row r="9" spans="1:409" x14ac:dyDescent="0.2">
      <c r="A9" s="5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>6</v>
      </c>
      <c r="B9" s="127" t="s">
        <v>90</v>
      </c>
      <c r="C9" s="5" t="s">
        <v>9</v>
      </c>
      <c r="D9" s="5">
        <v>2000</v>
      </c>
      <c r="E9" s="15">
        <f>SUM(K9:S9)</f>
        <v>251.125</v>
      </c>
      <c r="F9" s="3" t="str">
        <f>IF(G9&lt;&gt;"","P","")</f>
        <v>P</v>
      </c>
      <c r="G9" s="125" t="str">
        <f>IF(OR(AND(AR9&gt;=AY$20,AR9&lt;&gt;"",AP9=""),AND(AT9&gt;=AY$20,AT9&lt;&gt;"",AP9=""),AND(AW9&gt;=AY$20,AW9&lt;&gt;"",AP9=""),AND(BV9&gt;=CC$20,BV9&lt;&gt;"",BT9=""),AND(BX9&gt;=CC$20,BX9&lt;&gt;"",BT9=""),AND(CA9&gt;=CC$20,CA9&lt;&gt;"",BT9=""),AND(CZ9&gt;=DG$20,CZ9&lt;&gt;"",CX9=""),AND(DB9&gt;=DG$20,DB9&lt;&gt;"",CX9=""),AND(DE9&gt;=DG$20,DE9&lt;&gt;"",CX9=""),AND(EA9&gt;=EG$20,EA9&lt;&gt;""),AND(EE9&gt;=EG$20,EE9&lt;&gt;""),AND(EW9&gt;=FC$20,EW9&lt;&gt;""),AND(FA9&gt;=FC$20,FA9&lt;&gt;""),AND(FS9&gt;=FY$20,FS9&lt;&gt;""),AND(FW9&gt;=FY$20,FW9&lt;&gt;""),AND(GO9&gt;=GU$20,GO9&lt;&gt;""),AND(GS9&gt;=GU$20,GS9&lt;&gt;""),AND(HK9&gt;=HQ$20,HK9&lt;&gt;""),AND(HO9&gt;=HQ$20,HO9&lt;&gt;""),AND(IG9&gt;=IM$20,IG9&lt;&gt;""),AND(IK9&gt;=IM$20,IK9&lt;&gt;""),AND(JC9&gt;=JI$20,JC9&lt;&gt;""),AND(JG9&gt;=JI$20,JG9&lt;&gt;""),AND(JY9&gt;=KE$20,JY9&lt;&gt;""),AND(KC9&gt;=KE$20,KC9&lt;&gt;""),AND(KU9&gt;=LA$20,KU9&lt;&gt;""),AND(KY9&gt;=LA$20,KY9&lt;&gt;""),AND(LQ9&gt;=LW$20,LQ9&lt;&gt;""),AND(LU9&gt;=LW$20,LU9&lt;&gt;""),AND(MM9&gt;=MS$20,MM9&lt;&gt;""),AND(MQ9&gt;=MS$20,MQ9&lt;&gt;""),AND(NI9&gt;=NO$20,NI9&lt;&gt;""),AND(NM9&gt;=NO$20,NM9&lt;&gt;"")),"Merit",IF(OR(AND(AR9&gt;=AY$19,AR9&lt;&gt;"",AP9=""),AND(AT9&gt;=AY$19,AT9&lt;&gt;"",AP9=""),AND(AW9&gt;=AY$19,AW9&lt;&gt;"",AP9=""),AND(BV9&gt;=CC$19,BV9&lt;&gt;"",BT9=""),AND(BX9&gt;=CC$19,BX9&lt;&gt;"",BT9=""),AND(CA9&gt;=CC$19,CA9&lt;&gt;"",BT9=""),AND(CZ9&gt;=DG$19,CZ9&lt;&gt;"",CX9=""),AND(DB9&gt;=DG$19,DB9&lt;&gt;"",CX9=""),AND(DE9&gt;=DG$19,DE9&lt;&gt;"",CX9=""),AND(EA9&gt;=EG$19,EA9&lt;&gt;""),AND(EE9&gt;=EG$19,EE9&lt;&gt;""),AND(EW9&gt;=FC$19,EW9&lt;&gt;""),AND(FA9&gt;=FC$19,FA9&lt;&gt;""),AND(FS9&gt;=FY$19,FS9&lt;&gt;""),AND(FW9&gt;=FY$19,FW9&lt;&gt;""),AND(GO9&gt;=GU$19,GO9&lt;&gt;""),AND(GS9&gt;=GU$19,GS9&lt;&gt;""),AND(HK9&gt;=HQ$19,HK9&lt;&gt;""),AND(HO9&gt;=HQ$19,HO9&lt;&gt;""),AND(IG9&gt;=IM$19,IG9&lt;&gt;""),AND(IK9&gt;=IM$19,IK9&lt;&gt;""),AND(JC9&gt;=JI$19,JC9&lt;&gt;""),AND(JG9&gt;=JI$19,JG9&lt;&gt;""),AND(JY9&gt;=KE$19,JY9&lt;&gt;""),AND(KC9&gt;=KE$19,KC9&lt;&gt;""),AND(KU9&gt;=LA$19,KU9&lt;&gt;""),AND(KY9&gt;=LA$19,KY9&lt;&gt;""),AND(LQ9&gt;=LW$19,LQ9&lt;&gt;""),AND(LU9&gt;=LW$19,LU9&lt;&gt;""),AND(MM9&gt;=MS$19,MM9&lt;&gt;""),AND(MQ9&gt;=MS$19,MQ9&lt;&gt;""),AND(NI9&gt;=NO$19,NI9&lt;&gt;""),AND(NM9&gt;=NO$19,NM9&lt;&gt;"")),"Excellence",IF(OR(AND(AR9&gt;=AY$18,AR9&lt;&gt;"",AP9=""),AND(AT9&gt;=AY$18,AT9&lt;&gt;"",AP9=""),AND(AW9&gt;=AY$18,AW9&lt;&gt;"",AP9=""),AND(BV9&gt;=CC$18,BV9&lt;&gt;"",BT9=""),AND(BX9&gt;=CC$18,BX9&lt;&gt;"",BT9=""),AND(CA9&gt;=CC$18,CA9&lt;&gt;"",BT9=""),AND(CZ9&gt;=DG$18,CZ9&lt;&gt;"",CX9=""),AND(DB9&gt;=DG$18,DB9&lt;&gt;"",CX9=""),AND(DE9&gt;=DG$18,DE9&lt;&gt;"",CX9=""),AND(EA9&gt;=EG$18,EA9&lt;&gt;""),AND(EE9&gt;=EG$18,EE9&lt;&gt;""),AND(EW9&gt;=FC$18,EW9&lt;&gt;""),AND(FA9&gt;=FC$18,FA9&lt;&gt;""),AND(FS9&gt;=FY$18,FS9&lt;&gt;""),AND(FW9&gt;=FY$18,FW9&lt;&gt;""),AND(GO9&gt;=GU$18,GO9&lt;&gt;""),AND(GS9&gt;=GU$18,GS9&lt;&gt;""),AND(HK9&gt;=HQ$18,HK9&lt;&gt;""),AND(HO9&gt;=HQ$18,HO9&lt;&gt;""),AND(IG9&gt;=IM$18,IG9&lt;&gt;""),AND(IK9&gt;=IM$18,IK9&lt;&gt;""),AND(JC9&gt;=JI$18,JC9&lt;&gt;""),AND(JG9&gt;=JI$18,JG9&lt;&gt;""),AND(JY9&gt;=KE$18,JY9&lt;&gt;""),AND(KC9&gt;=KE$18,KC9&lt;&gt;""),AND(KU9&gt;=LA$18,KU9&lt;&gt;""),AND(KY9&gt;=LA$18,KY9&lt;&gt;""),AND(LQ9&gt;=LW$18,LQ9&lt;&gt;""),AND(LU9&gt;=LW$18,LU9&lt;&gt;""),AND(MM9&gt;=MS$18,MM9&lt;&gt;""),AND(MQ9&gt;=MS$18,MQ9&lt;&gt;""),AND(NI9&gt;=NO$18,NI9&lt;&gt;""),AND(NM9&gt;=NO$18,NM9&lt;&gt;"")),"Worlds Team",IF(OR(AND(AR9&gt;=AY$17,AR9&lt;&gt;"",AP9=""),AND(AT9&gt;=AY$17,AT9&lt;&gt;"",AP9=""),AND(AW9&gt;=AY$17,AW9&lt;&gt;"",AP9=""),AND(BV9&gt;=CC$17,BV9&lt;&gt;"",BT9=""),AND(BX9&gt;=CC$17,BX9&lt;&gt;"",BT9=""),AND(CA9&gt;=CC$17,CA9&lt;&gt;"",BT9=""),AND(CZ9&gt;=DG$17,CZ9&lt;&gt;"",CX9=""),AND(DB9&gt;=DG$17,DB9&lt;&gt;"",CX9=""),AND(DE9&gt;=DG$17,DE9&lt;&gt;"",CX9=""),AND(EA9&gt;=EG$17,EA9&lt;&gt;""),AND(EE9&gt;=EG$17,EE9&lt;&gt;""),AND(EW9&gt;=FC$17,EW9&lt;&gt;""),AND(FA9&gt;=FC$17,FA9&lt;&gt;""),AND(FS9&gt;=FY$17,FS9&lt;&gt;""),AND(FW9&gt;=FY$17,FW9&lt;&gt;""),AND(GO9&gt;=GU$17,GO9&lt;&gt;""),AND(GS9&gt;=GU$17,GS9&lt;&gt;""),AND(HK9&gt;=HQ$17,HK9&lt;&gt;""),AND(HO9&gt;=HQ$17,HO9&lt;&gt;""),AND(IG9&gt;=IM$17,IG9&lt;&gt;""),AND(IK9&gt;=IM$17,IK9&lt;&gt;""),AND(JC9&gt;=JI$17,JC9&lt;&gt;""),AND(JG9&gt;=JI$17,JG9&lt;&gt;""),AND(JY9&gt;=KE$17,JY9&lt;&gt;""),AND(KC9&gt;=KE$17,KC9&lt;&gt;""),AND(KU9&gt;=LA$17,KU9&lt;&gt;""),AND(KY9&gt;=LA$17,KY9&lt;&gt;""),AND(LQ9&gt;=LW$17,LQ9&lt;&gt;""),AND(LU9&gt;=LW$17,LU9&lt;&gt;""),AND(MM9&gt;=MS$17,MM9&lt;&gt;""),AND(MQ9&gt;=MS$17,MQ9&lt;&gt;""),AND(NI9&gt;=NO$17,NI9&lt;&gt;""),AND(NM9&gt;=NO$17,NM9&lt;&gt;"")),"National Team",""))))</f>
        <v>National Team</v>
      </c>
      <c r="H9" s="125" t="str">
        <f>IF(OR(AND(AS9&gt;=AY$24,AS9&lt;&gt;"",AP9=""),AND(AU9&gt;=AY$24,AU9&lt;&gt;"",AP9=""),AND(AX9&gt;=AY$24,AX9&lt;&gt;"",AP9=""),AND(BW9&gt;=CC$24,BW9&lt;&gt;"",BT9=""),AND(BY9&gt;=CC$24,BY9&lt;&gt;"",BT9=""),AND(CB9&gt;=CC$24,CB9&lt;&gt;"",BT9=""),AND(DA9&gt;=DG$24,DA9&lt;&gt;"",CX9=""),AND(DC9&gt;=DG$24,DC9&lt;&gt;"",CX9=""),AND(DF9&gt;=DG$24,DF9&lt;&gt;"",CX9=""),AND(EC9&gt;=EG$24,EC9&lt;&gt;""),AND(EF9&gt;=EG$24,EF9&lt;&gt;""),AND(EY9&gt;=FC$24,EY9&lt;&gt;""),AND(FB9&gt;=FC$24,FB9&lt;&gt;""),AND(FU9&gt;=FY$24,FU9&lt;&gt;""),AND(FX9&gt;=FY$24,FX9&lt;&gt;""),AND(GQ9&gt;=GU$24,GQ9&lt;&gt;""),AND(GT9&gt;=GU$24,GT9&lt;&gt;""),AND(HM9&gt;=HQ$24,HM9&lt;&gt;""),AND(HP9&gt;=HQ$24,HP9&lt;&gt;""),AND(II9&gt;=IM$24,II9&lt;&gt;""),AND(IL9&gt;=IM$24,IL9&lt;&gt;""),AND(JE9&gt;=JI$24,JE9&lt;&gt;""),AND(JH9&gt;=JI$24,JH9&lt;&gt;""),AND(KA9&gt;=KE$24,KA9&lt;&gt;""),AND(KD9&gt;=KE$24,KD9&lt;&gt;""),AND(KW9&gt;=LA$24,KW9&lt;&gt;""),AND(KZ9&gt;=LA$24,KZ9&lt;&gt;""),AND(LS9&gt;=LW$24,LS9&lt;&gt;""),AND(LV9&gt;=LW$24,LV9&lt;&gt;""),AND(MO9&gt;=MS$24,MO9&lt;&gt;""),AND(MR9&gt;=MS$24,MR9&lt;&gt;""),AND(NK9&gt;=NO$24,NK9&lt;&gt;""),AND(NN9&gt;=NO$24,NN9&lt;&gt;"")),"Merit",IF(OR(AND(AS9&gt;=AY$23,AS9&lt;&gt;"",AP9=""),AND(AU9&gt;=AY$23,AU9&lt;&gt;"",AP9=""),AND(AX9&gt;=AY$23,AX9&lt;&gt;"",AP9=""),AND(BW9&gt;=CC$23,BW9&lt;&gt;"",BT9=""),AND(BY9&gt;=CC$23,BY9&lt;&gt;"",BT9=""),AND(CB9&gt;=CC$23,CB9&lt;&gt;"",BT9=""),AND(DA9&gt;=DG$23,DA9&lt;&gt;"",CX9=""),AND(DC9&gt;=DG$23,DC9&lt;&gt;"",CX9=""),AND(DF9&gt;=DG$23,DF9&lt;&gt;"",CX9=""),AND(EC9&gt;=EG$23,EC9&lt;&gt;""),AND(EF9&gt;=EG$23,EF9&lt;&gt;""),AND(EY9&gt;=FC$23,EY9&lt;&gt;""),AND(FB9&gt;=FC$23,FB9&lt;&gt;""),AND(FU9&gt;=FY$23,FU9&lt;&gt;""),AND(FX9&gt;=FY$23,FX9&lt;&gt;""),AND(GQ9&gt;=GU$23,GQ9&lt;&gt;""),AND(GT9&gt;=GU$23,GT9&lt;&gt;""),AND(HM9&gt;=HQ$23,HM9&lt;&gt;""),AND(HP9&gt;=HQ$23,HP9&lt;&gt;""),AND(II9&gt;=IM$23,II9&lt;&gt;""),AND(IL9&gt;=IM$23,IL9&lt;&gt;""),AND(JE9&gt;=JI$23,JE9&lt;&gt;""),AND(JH9&gt;=JI$23,JH9&lt;&gt;""),AND(KA9&gt;=KE$23,KA9&lt;&gt;""),AND(KD9&gt;=KE$23,KD9&lt;&gt;""),AND(KW9&gt;=LA$23,KW9&lt;&gt;""),AND(KZ9&gt;=LA$23,KZ9&lt;&gt;""),AND(LS9&gt;=LW$23,LS9&lt;&gt;""),AND(LV9&gt;=LW$23,LV9&lt;&gt;""),AND(MO9&gt;=MS$23,MO9&lt;&gt;""),AND(MR9&gt;=MS$23,MR9&lt;&gt;""),AND(NK9&gt;=NO$23,NK9&lt;&gt;""),AND(NN9&gt;=NO$23,NN9&lt;&gt;"")),"Excellence",IF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"Worlds Team",IF(OR(AND(AV9&gt;=AY$21,AV9&lt;&gt;"",AP9=""),AND(BZ9&gt;=CC$21,BZ9&lt;&gt;"",BT9=""),AND(DD9&gt;=DG$21,DD9&lt;&gt;"",CX9=""),AND(ED9&gt;=EG$21,ED9&lt;&gt;""),AND(EZ9&gt;=FC$21,EZ9&lt;&gt;""),AND(FV9&gt;=FY$21,FV9&lt;&gt;""),AND(GR9&gt;=GU$21,GR9&lt;&gt;""),AND(HN9&gt;=HQ$21,HN9&lt;&gt;""),AND(IJ9&gt;=IM$21,IJ9&lt;&gt;""),AND(JF9&gt;=JI$21,JF9&lt;&gt;""),AND(KB9&gt;=KE$21,KB9&lt;&gt;""),AND(KX9&gt;=LA$21,KX9&lt;&gt;""),AND(LT9&gt;=LW$21,LT9&lt;&gt;""),AND(MP9&gt;=MS$21,MP9&lt;&gt;""),AND(NL9&gt;=NO$21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OR(G9="Worlds Team",G9="Excellence",G9="Merit")),"P","")</f>
        <v/>
      </c>
      <c r="K9" s="14">
        <f>IF(MAX(AV9,BZ9,DD9)&gt;0,MAX(AV9,BZ9,DD9),0)</f>
        <v>100.02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46.37</v>
      </c>
      <c r="N9" s="14" t="str">
        <f>IF(M9=0,"",IF(AND(M9=CY9,$L9&lt;&gt;$CD$1),$CD$1,IF(AND(M9=BU9,$L9&lt;&gt;$AZ$1),$AZ$1,IF(AND(M9=AQ9,$L9&lt;&gt;$V$1),$V$1,""))))</f>
        <v>2021 Elite Canada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52.75</v>
      </c>
      <c r="P9" s="14" t="str">
        <f>IF(O9=0,"",IF(OR(O9=DC9,O9=DA9),$CD$1,IF(OR(O9=BY9,O9=BW9),$AZ$1,IF(OR(O9=AU9,O9=AS9),$V$1,""))))</f>
        <v>2021 Elite Canada</v>
      </c>
      <c r="Q9" s="14">
        <f>MAX(AX9,CB9,DF9)</f>
        <v>51.984999999999999</v>
      </c>
      <c r="R9" s="14" t="str">
        <f>IF(Q9=0,"",IF(Q9=DF9,$CD$1,IF(Q9=CB9,$AZ$1,IF(Q9=AX9,$V$1,""))))</f>
        <v>2021 Elite Canada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</v>
      </c>
      <c r="W9" s="69">
        <v>9.1999999999999993</v>
      </c>
      <c r="X9" s="69">
        <v>3.2</v>
      </c>
      <c r="Y9" s="69">
        <v>15.725</v>
      </c>
      <c r="Z9" s="69">
        <v>0</v>
      </c>
      <c r="AA9" s="69">
        <v>15.2</v>
      </c>
      <c r="AB9" s="69">
        <v>9.1</v>
      </c>
      <c r="AC9" s="69">
        <v>11.5</v>
      </c>
      <c r="AD9" s="69">
        <v>14.595000000000001</v>
      </c>
      <c r="AE9" s="69">
        <v>0</v>
      </c>
      <c r="AF9" s="69">
        <v>14.9</v>
      </c>
      <c r="AG9" s="69">
        <v>9</v>
      </c>
      <c r="AH9" s="69">
        <v>11.3</v>
      </c>
      <c r="AI9" s="69">
        <v>14.61</v>
      </c>
      <c r="AJ9" s="69">
        <v>0.6</v>
      </c>
      <c r="AK9" s="69">
        <v>9.4</v>
      </c>
      <c r="AL9" s="69">
        <v>4.8</v>
      </c>
      <c r="AM9" s="69">
        <v>7.9</v>
      </c>
      <c r="AN9" s="69">
        <v>9.0150000000000006</v>
      </c>
      <c r="AO9" s="69">
        <v>0</v>
      </c>
      <c r="AP9" s="80"/>
      <c r="AQ9" s="11">
        <f>IF(SUM(V9:Y9)-Z9&gt;0,SUM(V9:Y9)-Z9,"")</f>
        <v>45.424999999999997</v>
      </c>
      <c r="AR9" s="11">
        <f>IF(AC9&gt;0,AC9,"")</f>
        <v>11.5</v>
      </c>
      <c r="AS9" s="11">
        <f>IF(SUM(AA9:AD9)-AE9&gt;0,SUM(AA9:AD9)-AE9,"")</f>
        <v>50.394999999999996</v>
      </c>
      <c r="AT9" s="11">
        <f>IF(AH9&gt;0,AH9,"")</f>
        <v>11.3</v>
      </c>
      <c r="AU9" s="11">
        <f>IF(SUM(AF9:AI9)-AJ9&gt;0,SUM(AF9:AI9)-AJ9,"")</f>
        <v>49.21</v>
      </c>
      <c r="AV9" s="11">
        <f>IF(AQ9="",IF(MAX(AS9,AU9)&gt;0,MAX(AS9,AU9),""),MAX(AS9,AU9)+AQ9)</f>
        <v>95.82</v>
      </c>
      <c r="AW9" s="11">
        <f>IF(AM9&gt;0,AM9,"")</f>
        <v>7.9</v>
      </c>
      <c r="AX9" s="11">
        <f>IF(SUM(AK9:AN9)-AO9&gt;0,SUM(AK9:AN9)-AO9,"")</f>
        <v>31.115000000000002</v>
      </c>
      <c r="AY9" s="11">
        <f>IF(SUM(AV9,AX9)&gt;0,SUM(AV9,AX9),"")</f>
        <v>126.935</v>
      </c>
      <c r="AZ9" s="75">
        <v>18</v>
      </c>
      <c r="BA9" s="75">
        <v>9.3000000000000007</v>
      </c>
      <c r="BB9" s="75">
        <v>3.4</v>
      </c>
      <c r="BC9" s="75">
        <v>15.67</v>
      </c>
      <c r="BD9" s="75">
        <v>0</v>
      </c>
      <c r="BE9" s="75">
        <v>16.8</v>
      </c>
      <c r="BF9" s="75">
        <v>9.6</v>
      </c>
      <c r="BG9" s="75">
        <v>11.5</v>
      </c>
      <c r="BH9" s="75">
        <v>14.85</v>
      </c>
      <c r="BI9" s="75">
        <v>0</v>
      </c>
      <c r="BJ9" s="75">
        <v>15.1</v>
      </c>
      <c r="BK9" s="75">
        <v>8.8000000000000007</v>
      </c>
      <c r="BL9" s="75">
        <v>12.2</v>
      </c>
      <c r="BM9" s="75">
        <v>14.585000000000001</v>
      </c>
      <c r="BN9" s="75">
        <v>0</v>
      </c>
      <c r="BO9" s="75">
        <v>15.6</v>
      </c>
      <c r="BP9" s="75">
        <v>9.6</v>
      </c>
      <c r="BQ9" s="75">
        <v>12.2</v>
      </c>
      <c r="BR9" s="75">
        <v>14.585000000000001</v>
      </c>
      <c r="BS9" s="75">
        <v>0</v>
      </c>
      <c r="BT9" s="81"/>
      <c r="BU9" s="14">
        <f>IF(SUM(AZ9:BC9)-BD9&gt;0,SUM(AZ9:BC9)-BD9,"")</f>
        <v>46.37</v>
      </c>
      <c r="BV9" s="14">
        <f>IF(BG9&gt;0,BG9,"")</f>
        <v>11.5</v>
      </c>
      <c r="BW9" s="14">
        <f>IF(SUM(BE9:BH9)-BI9&gt;0,SUM(BE9:BH9)-BI9,"")</f>
        <v>52.75</v>
      </c>
      <c r="BX9" s="14">
        <f>IF(BL9&gt;0,BL9,"")</f>
        <v>12.2</v>
      </c>
      <c r="BY9" s="14">
        <f>IF(SUM(BJ9:BM9)-BN9&gt;0,SUM(BJ9:BM9)-BN9,"")</f>
        <v>50.684999999999995</v>
      </c>
      <c r="BZ9" s="14">
        <f>IF(BU9="",IF(MAX(BW9,BY9)&gt;0,MAX(BW9,BY9),""),MAX(BW9,BY9)+BU9)</f>
        <v>99.12</v>
      </c>
      <c r="CA9" s="14">
        <f>IF(BQ9&gt;0,BQ9,"")</f>
        <v>12.2</v>
      </c>
      <c r="CB9" s="14">
        <f>IF(SUM(BO9:BR9)-BS9&gt;0,SUM(BO9:BR9)-BS9,"")</f>
        <v>51.984999999999999</v>
      </c>
      <c r="CC9" s="14">
        <f>IF(SUM(BZ9,CB9)&gt;0,SUM(BZ9,CB9),"")</f>
        <v>151.10500000000002</v>
      </c>
      <c r="CD9" s="69">
        <v>18.399999999999999</v>
      </c>
      <c r="CE9" s="69">
        <v>9.6999999999999993</v>
      </c>
      <c r="CF9" s="69">
        <v>3.4</v>
      </c>
      <c r="CG9" s="69">
        <v>15.984999999999999</v>
      </c>
      <c r="CH9" s="69">
        <v>0</v>
      </c>
      <c r="CI9" s="69">
        <v>15.7</v>
      </c>
      <c r="CJ9" s="69">
        <v>8.8000000000000007</v>
      </c>
      <c r="CK9" s="69">
        <v>10.6</v>
      </c>
      <c r="CL9" s="69">
        <v>14.8</v>
      </c>
      <c r="CM9" s="69">
        <v>0</v>
      </c>
      <c r="CN9" s="69">
        <v>16.399999999999999</v>
      </c>
      <c r="CO9" s="69">
        <v>9</v>
      </c>
      <c r="CP9" s="69">
        <v>12.2</v>
      </c>
      <c r="CQ9" s="69">
        <v>14.935</v>
      </c>
      <c r="CR9" s="69">
        <v>0</v>
      </c>
      <c r="CS9" s="69">
        <v>13.6</v>
      </c>
      <c r="CT9" s="69">
        <v>8.1999999999999993</v>
      </c>
      <c r="CU9" s="69">
        <v>11</v>
      </c>
      <c r="CV9" s="69">
        <v>12.05</v>
      </c>
      <c r="CW9" s="69">
        <v>0</v>
      </c>
      <c r="CX9" s="80"/>
      <c r="CY9" s="11">
        <f>IF(SUM(CD9:CG9)-CH9&gt;0,SUM(CD9:CG9)-CH9,"")</f>
        <v>47.484999999999999</v>
      </c>
      <c r="CZ9" s="11">
        <f>IF(CK9&gt;0,CK9,"")</f>
        <v>10.6</v>
      </c>
      <c r="DA9" s="11">
        <f>IF(SUM(CI9:CL9)-CM9&gt;0,SUM(CI9:CL9)-CM9,"")</f>
        <v>49.900000000000006</v>
      </c>
      <c r="DB9" s="11">
        <f>IF(CP9&gt;0,CP9,"")</f>
        <v>12.2</v>
      </c>
      <c r="DC9" s="11">
        <f>IF(SUM(CN9:CQ9)-CR9&gt;0,SUM(CN9:CQ9)-CR9,"")</f>
        <v>52.534999999999997</v>
      </c>
      <c r="DD9" s="11">
        <f>IF(CY9="",IF(MAX(DA9,DC9)&gt;0,MAX(DA9,DC9),""),MAX(DA9,DC9)+CY9)</f>
        <v>100.02</v>
      </c>
      <c r="DE9" s="11">
        <f>IF(CU9&gt;0,CU9,"")</f>
        <v>11</v>
      </c>
      <c r="DF9" s="11">
        <f>IF(SUM(CS9:CV9)-CW9&gt;0,SUM(CS9:CV9)-CW9,"")</f>
        <v>44.849999999999994</v>
      </c>
      <c r="DG9" s="11">
        <f>IF(SUM(DD9,DF9)&gt;0,SUM(DD9,DF9),"")</f>
        <v>144.87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18.2</v>
      </c>
      <c r="NQ9" s="69">
        <f>IF($CX9="P",CE9,(CE9+BA9)/2)</f>
        <v>9.5</v>
      </c>
      <c r="NR9" s="69">
        <f>IF($CX9="P",CF9,(CF9+BB9)/2)</f>
        <v>3.4</v>
      </c>
      <c r="NS9" s="69">
        <f>IF($CX9="P",CG9,(CG9+BC9)/2)</f>
        <v>15.827500000000001</v>
      </c>
      <c r="NT9" s="69">
        <f>IF($CX9="P",CH9,(CH9+BD9)/2)</f>
        <v>0</v>
      </c>
      <c r="NU9" s="69">
        <f>IF($CX9="P",CI9,(CI9+BE9)/2)</f>
        <v>16.25</v>
      </c>
      <c r="NV9" s="69">
        <f>IF($CX9="P",CJ9,(CJ9+BF9)/2)</f>
        <v>9.1999999999999993</v>
      </c>
      <c r="NW9" s="69">
        <f>IF($CX9="P",CK9,(CK9+BG9)/2)</f>
        <v>11.05</v>
      </c>
      <c r="NX9" s="69">
        <f>IF($CX9="P",CL9,(CL9+BH9)/2)</f>
        <v>14.824999999999999</v>
      </c>
      <c r="NY9" s="69">
        <f>IF($CX9="P",CM9,(CM9+BI9)/2)</f>
        <v>0</v>
      </c>
      <c r="NZ9" s="69">
        <f>IF($CX9="P",CN9,(CN9+BJ9)/2)</f>
        <v>15.75</v>
      </c>
      <c r="OA9" s="69">
        <f>IF($CX9="P",CO9,(CO9+BK9)/2)</f>
        <v>8.9</v>
      </c>
      <c r="OB9" s="69">
        <f>IF($CX9="P",CP9,(CP9+BL9)/2)</f>
        <v>12.2</v>
      </c>
      <c r="OC9" s="69">
        <f>IF($CX9="P",CQ9,(CQ9+BM9)/2)</f>
        <v>14.760000000000002</v>
      </c>
      <c r="OD9" s="69">
        <f>IF($CX9="P",CR9,(CR9+BN9)/2)</f>
        <v>0</v>
      </c>
      <c r="OE9" s="69">
        <f>IF($CX9="P",CS9,(CS9+BO9)/2)</f>
        <v>14.6</v>
      </c>
      <c r="OF9" s="69">
        <f>IF($CX9="P",CT9,(CT9+BP9)/2)</f>
        <v>8.8999999999999986</v>
      </c>
      <c r="OG9" s="69">
        <f>IF($CX9="P",CU9,(CU9+BQ9)/2)</f>
        <v>11.6</v>
      </c>
      <c r="OH9" s="69">
        <f>IF($CX9="P",CV9,(CV9+BR9)/2)</f>
        <v>13.317500000000001</v>
      </c>
      <c r="OI9" s="69">
        <f>IF($CX9="P",CW9,(CW9+BS9)/2)</f>
        <v>0</v>
      </c>
      <c r="OJ9" s="80" t="s">
        <v>74</v>
      </c>
      <c r="OK9" s="11">
        <f>IF(SUM(NP9:NS9)-NT9&gt;0,SUM(NP9:NS9)-NT9,"")</f>
        <v>46.927499999999995</v>
      </c>
      <c r="OL9" s="11">
        <f>IF(NW9&gt;0,NW9,"")</f>
        <v>11.05</v>
      </c>
      <c r="OM9" s="11">
        <f>IF(SUM(NU9:NX9)-NY9&gt;0,SUM(NU9:NX9)-NY9,"")</f>
        <v>51.325000000000003</v>
      </c>
      <c r="ON9" s="11">
        <f>IF(OB9&gt;0,OB9,"")</f>
        <v>12.2</v>
      </c>
      <c r="OO9" s="11">
        <f>IF(SUM(NZ9:OC9)-OD9&gt;0,SUM(NZ9:OC9)-OD9,"")</f>
        <v>51.61</v>
      </c>
      <c r="OP9" s="11">
        <f>IF(OR(OK9&lt;&gt;"",OM9&lt;&gt;"",OO9&lt;&gt;""),OK9+MAX(OM9,OO9),"")</f>
        <v>98.537499999999994</v>
      </c>
      <c r="OQ9" s="11">
        <f>IF(OG9&gt;0,OG9,"")</f>
        <v>11.6</v>
      </c>
      <c r="OR9" s="11">
        <f t="shared" si="0"/>
        <v>48.417500000000004</v>
      </c>
      <c r="OS9" s="11">
        <f t="shared" si="1"/>
        <v>146.95499999999998</v>
      </c>
    </row>
    <row r="10" spans="1:409" x14ac:dyDescent="0.2">
      <c r="A10" s="5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>7</v>
      </c>
      <c r="B10" s="127" t="s">
        <v>89</v>
      </c>
      <c r="C10" s="5" t="s">
        <v>3</v>
      </c>
      <c r="D10" s="5">
        <v>1993</v>
      </c>
      <c r="E10" s="15">
        <f>SUM(K10:S10)</f>
        <v>249.5925</v>
      </c>
      <c r="F10" s="3" t="str">
        <f>IF(G10&lt;&gt;"","P","")</f>
        <v>P</v>
      </c>
      <c r="G10" s="125" t="str">
        <f>IF(OR(AND(AR10&gt;=AY$20,AR10&lt;&gt;"",AP10=""),AND(AT10&gt;=AY$20,AT10&lt;&gt;"",AP10=""),AND(AW10&gt;=AY$20,AW10&lt;&gt;"",AP10=""),AND(BV10&gt;=CC$20,BV10&lt;&gt;"",BT10=""),AND(BX10&gt;=CC$20,BX10&lt;&gt;"",BT10=""),AND(CA10&gt;=CC$20,CA10&lt;&gt;"",BT10=""),AND(CZ10&gt;=DG$20,CZ10&lt;&gt;"",CX10=""),AND(DB10&gt;=DG$20,DB10&lt;&gt;"",CX10=""),AND(DE10&gt;=DG$20,DE10&lt;&gt;"",CX10=""),AND(EA10&gt;=EG$20,EA10&lt;&gt;""),AND(EE10&gt;=EG$20,EE10&lt;&gt;""),AND(EW10&gt;=FC$20,EW10&lt;&gt;""),AND(FA10&gt;=FC$20,FA10&lt;&gt;""),AND(FS10&gt;=FY$20,FS10&lt;&gt;""),AND(FW10&gt;=FY$20,FW10&lt;&gt;""),AND(GO10&gt;=GU$20,GO10&lt;&gt;""),AND(GS10&gt;=GU$20,GS10&lt;&gt;""),AND(HK10&gt;=HQ$20,HK10&lt;&gt;""),AND(HO10&gt;=HQ$20,HO10&lt;&gt;""),AND(IG10&gt;=IM$20,IG10&lt;&gt;""),AND(IK10&gt;=IM$20,IK10&lt;&gt;""),AND(JC10&gt;=JI$20,JC10&lt;&gt;""),AND(JG10&gt;=JI$20,JG10&lt;&gt;""),AND(JY10&gt;=KE$20,JY10&lt;&gt;""),AND(KC10&gt;=KE$20,KC10&lt;&gt;""),AND(KU10&gt;=LA$20,KU10&lt;&gt;""),AND(KY10&gt;=LA$20,KY10&lt;&gt;""),AND(LQ10&gt;=LW$20,LQ10&lt;&gt;""),AND(LU10&gt;=LW$20,LU10&lt;&gt;""),AND(MM10&gt;=MS$20,MM10&lt;&gt;""),AND(MQ10&gt;=MS$20,MQ10&lt;&gt;""),AND(NI10&gt;=NO$20,NI10&lt;&gt;""),AND(NM10&gt;=NO$20,NM10&lt;&gt;"")),"Merit",IF(OR(AND(AR10&gt;=AY$19,AR10&lt;&gt;"",AP10=""),AND(AT10&gt;=AY$19,AT10&lt;&gt;"",AP10=""),AND(AW10&gt;=AY$19,AW10&lt;&gt;"",AP10=""),AND(BV10&gt;=CC$19,BV10&lt;&gt;"",BT10=""),AND(BX10&gt;=CC$19,BX10&lt;&gt;"",BT10=""),AND(CA10&gt;=CC$19,CA10&lt;&gt;"",BT10=""),AND(CZ10&gt;=DG$19,CZ10&lt;&gt;"",CX10=""),AND(DB10&gt;=DG$19,DB10&lt;&gt;"",CX10=""),AND(DE10&gt;=DG$19,DE10&lt;&gt;"",CX10=""),AND(EA10&gt;=EG$19,EA10&lt;&gt;""),AND(EE10&gt;=EG$19,EE10&lt;&gt;""),AND(EW10&gt;=FC$19,EW10&lt;&gt;""),AND(FA10&gt;=FC$19,FA10&lt;&gt;""),AND(FS10&gt;=FY$19,FS10&lt;&gt;""),AND(FW10&gt;=FY$19,FW10&lt;&gt;""),AND(GO10&gt;=GU$19,GO10&lt;&gt;""),AND(GS10&gt;=GU$19,GS10&lt;&gt;""),AND(HK10&gt;=HQ$19,HK10&lt;&gt;""),AND(HO10&gt;=HQ$19,HO10&lt;&gt;""),AND(IG10&gt;=IM$19,IG10&lt;&gt;""),AND(IK10&gt;=IM$19,IK10&lt;&gt;""),AND(JC10&gt;=JI$19,JC10&lt;&gt;""),AND(JG10&gt;=JI$19,JG10&lt;&gt;""),AND(JY10&gt;=KE$19,JY10&lt;&gt;""),AND(KC10&gt;=KE$19,KC10&lt;&gt;""),AND(KU10&gt;=LA$19,KU10&lt;&gt;""),AND(KY10&gt;=LA$19,KY10&lt;&gt;""),AND(LQ10&gt;=LW$19,LQ10&lt;&gt;""),AND(LU10&gt;=LW$19,LU10&lt;&gt;""),AND(MM10&gt;=MS$19,MM10&lt;&gt;""),AND(MQ10&gt;=MS$19,MQ10&lt;&gt;""),AND(NI10&gt;=NO$19,NI10&lt;&gt;""),AND(NM10&gt;=NO$19,NM10&lt;&gt;"")),"Excellence",IF(OR(AND(AR10&gt;=AY$18,AR10&lt;&gt;"",AP10=""),AND(AT10&gt;=AY$18,AT10&lt;&gt;"",AP10=""),AND(AW10&gt;=AY$18,AW10&lt;&gt;"",AP10=""),AND(BV10&gt;=CC$18,BV10&lt;&gt;"",BT10=""),AND(BX10&gt;=CC$18,BX10&lt;&gt;"",BT10=""),AND(CA10&gt;=CC$18,CA10&lt;&gt;"",BT10=""),AND(CZ10&gt;=DG$18,CZ10&lt;&gt;"",CX10=""),AND(DB10&gt;=DG$18,DB10&lt;&gt;"",CX10=""),AND(DE10&gt;=DG$18,DE10&lt;&gt;"",CX10=""),AND(EA10&gt;=EG$18,EA10&lt;&gt;""),AND(EE10&gt;=EG$18,EE10&lt;&gt;""),AND(EW10&gt;=FC$18,EW10&lt;&gt;""),AND(FA10&gt;=FC$18,FA10&lt;&gt;""),AND(FS10&gt;=FY$18,FS10&lt;&gt;""),AND(FW10&gt;=FY$18,FW10&lt;&gt;""),AND(GO10&gt;=GU$18,GO10&lt;&gt;""),AND(GS10&gt;=GU$18,GS10&lt;&gt;""),AND(HK10&gt;=HQ$18,HK10&lt;&gt;""),AND(HO10&gt;=HQ$18,HO10&lt;&gt;""),AND(IG10&gt;=IM$18,IG10&lt;&gt;""),AND(IK10&gt;=IM$18,IK10&lt;&gt;""),AND(JC10&gt;=JI$18,JC10&lt;&gt;""),AND(JG10&gt;=JI$18,JG10&lt;&gt;""),AND(JY10&gt;=KE$18,JY10&lt;&gt;""),AND(KC10&gt;=KE$18,KC10&lt;&gt;""),AND(KU10&gt;=LA$18,KU10&lt;&gt;""),AND(KY10&gt;=LA$18,KY10&lt;&gt;""),AND(LQ10&gt;=LW$18,LQ10&lt;&gt;""),AND(LU10&gt;=LW$18,LU10&lt;&gt;""),AND(MM10&gt;=MS$18,MM10&lt;&gt;""),AND(MQ10&gt;=MS$18,MQ10&lt;&gt;""),AND(NI10&gt;=NO$18,NI10&lt;&gt;""),AND(NM10&gt;=NO$18,NM10&lt;&gt;"")),"Worlds Team",IF(OR(AND(AR10&gt;=AY$17,AR10&lt;&gt;"",AP10=""),AND(AT10&gt;=AY$17,AT10&lt;&gt;"",AP10=""),AND(AW10&gt;=AY$17,AW10&lt;&gt;"",AP10=""),AND(BV10&gt;=CC$17,BV10&lt;&gt;"",BT10=""),AND(BX10&gt;=CC$17,BX10&lt;&gt;"",BT10=""),AND(CA10&gt;=CC$17,CA10&lt;&gt;"",BT10=""),AND(CZ10&gt;=DG$17,CZ10&lt;&gt;"",CX10=""),AND(DB10&gt;=DG$17,DB10&lt;&gt;"",CX10=""),AND(DE10&gt;=DG$17,DE10&lt;&gt;"",CX10=""),AND(EA10&gt;=EG$17,EA10&lt;&gt;""),AND(EE10&gt;=EG$17,EE10&lt;&gt;""),AND(EW10&gt;=FC$17,EW10&lt;&gt;""),AND(FA10&gt;=FC$17,FA10&lt;&gt;""),AND(FS10&gt;=FY$17,FS10&lt;&gt;""),AND(FW10&gt;=FY$17,FW10&lt;&gt;""),AND(GO10&gt;=GU$17,GO10&lt;&gt;""),AND(GS10&gt;=GU$17,GS10&lt;&gt;""),AND(HK10&gt;=HQ$17,HK10&lt;&gt;""),AND(HO10&gt;=HQ$17,HO10&lt;&gt;""),AND(IG10&gt;=IM$17,IG10&lt;&gt;""),AND(IK10&gt;=IM$17,IK10&lt;&gt;""),AND(JC10&gt;=JI$17,JC10&lt;&gt;""),AND(JG10&gt;=JI$17,JG10&lt;&gt;""),AND(JY10&gt;=KE$17,JY10&lt;&gt;""),AND(KC10&gt;=KE$17,KC10&lt;&gt;""),AND(KU10&gt;=LA$17,KU10&lt;&gt;""),AND(KY10&gt;=LA$17,KY10&lt;&gt;""),AND(LQ10&gt;=LW$17,LQ10&lt;&gt;""),AND(LU10&gt;=LW$17,LU10&lt;&gt;""),AND(MM10&gt;=MS$17,MM10&lt;&gt;""),AND(MQ10&gt;=MS$17,MQ10&lt;&gt;""),AND(NI10&gt;=NO$17,NI10&lt;&gt;""),AND(NM10&gt;=NO$17,NM10&lt;&gt;"")),"National Team",""))))</f>
        <v>National Team</v>
      </c>
      <c r="H10" s="125" t="str">
        <f>IF(OR(AND(AS10&gt;=AY$24,AS10&lt;&gt;"",AP10=""),AND(AU10&gt;=AY$24,AU10&lt;&gt;"",AP10=""),AND(AX10&gt;=AY$24,AX10&lt;&gt;"",AP10=""),AND(BW10&gt;=CC$24,BW10&lt;&gt;"",BT10=""),AND(BY10&gt;=CC$24,BY10&lt;&gt;"",BT10=""),AND(CB10&gt;=CC$24,CB10&lt;&gt;"",BT10=""),AND(DA10&gt;=DG$24,DA10&lt;&gt;"",CX10=""),AND(DC10&gt;=DG$24,DC10&lt;&gt;"",CX10=""),AND(DF10&gt;=DG$24,DF10&lt;&gt;"",CX10=""),AND(EC10&gt;=EG$24,EC10&lt;&gt;""),AND(EF10&gt;=EG$24,EF10&lt;&gt;""),AND(EY10&gt;=FC$24,EY10&lt;&gt;""),AND(FB10&gt;=FC$24,FB10&lt;&gt;""),AND(FU10&gt;=FY$24,FU10&lt;&gt;""),AND(FX10&gt;=FY$24,FX10&lt;&gt;""),AND(GQ10&gt;=GU$24,GQ10&lt;&gt;""),AND(GT10&gt;=GU$24,GT10&lt;&gt;""),AND(HM10&gt;=HQ$24,HM10&lt;&gt;""),AND(HP10&gt;=HQ$24,HP10&lt;&gt;""),AND(II10&gt;=IM$24,II10&lt;&gt;""),AND(IL10&gt;=IM$24,IL10&lt;&gt;""),AND(JE10&gt;=JI$24,JE10&lt;&gt;""),AND(JH10&gt;=JI$24,JH10&lt;&gt;""),AND(KA10&gt;=KE$24,KA10&lt;&gt;""),AND(KD10&gt;=KE$24,KD10&lt;&gt;""),AND(KW10&gt;=LA$24,KW10&lt;&gt;""),AND(KZ10&gt;=LA$24,KZ10&lt;&gt;""),AND(LS10&gt;=LW$24,LS10&lt;&gt;""),AND(LV10&gt;=LW$24,LV10&lt;&gt;""),AND(MO10&gt;=MS$24,MO10&lt;&gt;""),AND(MR10&gt;=MS$24,MR10&lt;&gt;""),AND(NK10&gt;=NO$24,NK10&lt;&gt;""),AND(NN10&gt;=NO$24,NN10&lt;&gt;"")),"Merit",IF(OR(AND(AS10&gt;=AY$23,AS10&lt;&gt;"",AP10=""),AND(AU10&gt;=AY$23,AU10&lt;&gt;"",AP10=""),AND(AX10&gt;=AY$23,AX10&lt;&gt;"",AP10=""),AND(BW10&gt;=CC$23,BW10&lt;&gt;"",BT10=""),AND(BY10&gt;=CC$23,BY10&lt;&gt;"",BT10=""),AND(CB10&gt;=CC$23,CB10&lt;&gt;"",BT10=""),AND(DA10&gt;=DG$23,DA10&lt;&gt;"",CX10=""),AND(DC10&gt;=DG$23,DC10&lt;&gt;"",CX10=""),AND(DF10&gt;=DG$23,DF10&lt;&gt;"",CX10=""),AND(EC10&gt;=EG$23,EC10&lt;&gt;""),AND(EF10&gt;=EG$23,EF10&lt;&gt;""),AND(EY10&gt;=FC$23,EY10&lt;&gt;""),AND(FB10&gt;=FC$23,FB10&lt;&gt;""),AND(FU10&gt;=FY$23,FU10&lt;&gt;""),AND(FX10&gt;=FY$23,FX10&lt;&gt;""),AND(GQ10&gt;=GU$23,GQ10&lt;&gt;""),AND(GT10&gt;=GU$23,GT10&lt;&gt;""),AND(HM10&gt;=HQ$23,HM10&lt;&gt;""),AND(HP10&gt;=HQ$23,HP10&lt;&gt;""),AND(II10&gt;=IM$23,II10&lt;&gt;""),AND(IL10&gt;=IM$23,IL10&lt;&gt;""),AND(JE10&gt;=JI$23,JE10&lt;&gt;""),AND(JH10&gt;=JI$23,JH10&lt;&gt;""),AND(KA10&gt;=KE$23,KA10&lt;&gt;""),AND(KD10&gt;=KE$23,KD10&lt;&gt;""),AND(KW10&gt;=LA$23,KW10&lt;&gt;""),AND(KZ10&gt;=LA$23,KZ10&lt;&gt;""),AND(LS10&gt;=LW$23,LS10&lt;&gt;""),AND(LV10&gt;=LW$23,LV10&lt;&gt;""),AND(MO10&gt;=MS$23,MO10&lt;&gt;""),AND(MR10&gt;=MS$23,MR10&lt;&gt;""),AND(NK10&gt;=NO$23,NK10&lt;&gt;""),AND(NN10&gt;=NO$23,NN10&lt;&gt;"")),"Excellence",IF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"Worlds Team",IF(OR(AND(AV10&gt;=AY$21,AV10&lt;&gt;"",AP10=""),AND(BZ10&gt;=CC$21,BZ10&lt;&gt;"",BT10=""),AND(DD10&gt;=DG$21,DD10&lt;&gt;"",CX10=""),AND(ED10&gt;=EG$21,ED10&lt;&gt;""),AND(EZ10&gt;=FC$21,EZ10&lt;&gt;""),AND(FV10&gt;=FY$21,FV10&lt;&gt;""),AND(GR10&gt;=GU$21,GR10&lt;&gt;""),AND(HN10&gt;=HQ$21,HN10&lt;&gt;""),AND(IJ10&gt;=IM$21,IJ10&lt;&gt;""),AND(JF10&gt;=JI$21,JF10&lt;&gt;""),AND(KB10&gt;=KE$21,KB10&lt;&gt;""),AND(KX10&gt;=LA$21,KX10&lt;&gt;""),AND(LT10&gt;=LW$21,LT10&lt;&gt;""),AND(MP10&gt;=MS$21,MP10&lt;&gt;""),AND(NL10&gt;=NO$21,NL10&lt;&gt;"")),"National Team",""))))</f>
        <v>Worlds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OR(G10="Worlds Team",G10="Excellence",G10="Merit")),"P","")</f>
        <v/>
      </c>
      <c r="K10" s="14">
        <f>IF(MAX(AV10,BZ10,DD10)&gt;0,MAX(AV10,BZ10,DD10),0)</f>
        <v>99.85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47.152500000000003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51.94</v>
      </c>
      <c r="P10" s="14" t="str">
        <f>IF(O10=0,"",IF(OR(O10=DC10,O10=DA10),$CD$1,IF(OR(O10=BY10,O10=BW10),$AZ$1,IF(OR(O10=AU10,O10=AS10),$V$1,""))))</f>
        <v>2021 Canadian Championships</v>
      </c>
      <c r="Q10" s="14">
        <f>MAX(AX10,CB10,DF10)</f>
        <v>50.65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18.399999999999999</v>
      </c>
      <c r="W10" s="69">
        <v>9.3000000000000007</v>
      </c>
      <c r="X10" s="69">
        <v>3.2</v>
      </c>
      <c r="Y10" s="69">
        <v>16.21</v>
      </c>
      <c r="Z10" s="69">
        <v>0</v>
      </c>
      <c r="AA10" s="69">
        <v>15.3</v>
      </c>
      <c r="AB10" s="69">
        <v>9.1999999999999993</v>
      </c>
      <c r="AC10" s="69">
        <v>12.4</v>
      </c>
      <c r="AD10" s="69">
        <v>14.79</v>
      </c>
      <c r="AE10" s="69">
        <v>0</v>
      </c>
      <c r="AF10" s="69">
        <v>16.100000000000001</v>
      </c>
      <c r="AG10" s="69">
        <v>9.3000000000000007</v>
      </c>
      <c r="AH10" s="69">
        <v>12.4</v>
      </c>
      <c r="AI10" s="69">
        <v>14.94</v>
      </c>
      <c r="AJ10" s="69">
        <v>0</v>
      </c>
      <c r="AK10" s="69">
        <v>13.9</v>
      </c>
      <c r="AL10" s="69">
        <v>9.4</v>
      </c>
      <c r="AM10" s="69">
        <v>12.4</v>
      </c>
      <c r="AN10" s="69">
        <v>14.895</v>
      </c>
      <c r="AO10" s="69">
        <v>0</v>
      </c>
      <c r="AP10" s="80"/>
      <c r="AQ10" s="11">
        <f>IF(SUM(V10:Y10)-Z10&gt;0,SUM(V10:Y10)-Z10,"")</f>
        <v>47.11</v>
      </c>
      <c r="AR10" s="11">
        <f>IF(AC10&gt;0,AC10,"")</f>
        <v>12.4</v>
      </c>
      <c r="AS10" s="11">
        <f>IF(SUM(AA10:AD10)-AE10&gt;0,SUM(AA10:AD10)-AE10,"")</f>
        <v>51.69</v>
      </c>
      <c r="AT10" s="11">
        <f>IF(AH10&gt;0,AH10,"")</f>
        <v>12.4</v>
      </c>
      <c r="AU10" s="11">
        <f>IF(SUM(AF10:AI10)-AJ10&gt;0,SUM(AF10:AI10)-AJ10,"")</f>
        <v>52.74</v>
      </c>
      <c r="AV10" s="11">
        <f>IF(AQ10="",IF(MAX(AS10,AU10)&gt;0,MAX(AS10,AU10),""),MAX(AS10,AU10)+AQ10)</f>
        <v>99.85</v>
      </c>
      <c r="AW10" s="11">
        <f>IF(AM10&gt;0,AM10,"")</f>
        <v>12.4</v>
      </c>
      <c r="AX10" s="11">
        <f>IF(SUM(AK10:AN10)-AO10&gt;0,SUM(AK10:AN10)-AO10,"")</f>
        <v>50.594999999999999</v>
      </c>
      <c r="AY10" s="11">
        <f>IF(SUM(AV10,AX10)&gt;0,SUM(AV10,AX10),"")</f>
        <v>150.44499999999999</v>
      </c>
      <c r="AZ10" s="75">
        <v>18.149999999999999</v>
      </c>
      <c r="BA10" s="75">
        <v>9.4750000000000014</v>
      </c>
      <c r="BB10" s="75">
        <v>3.55</v>
      </c>
      <c r="BC10" s="75">
        <v>15.977499999999999</v>
      </c>
      <c r="BD10" s="75">
        <v>0</v>
      </c>
      <c r="BE10" s="75">
        <v>15.45</v>
      </c>
      <c r="BF10" s="75">
        <v>9.4499999999999993</v>
      </c>
      <c r="BG10" s="75">
        <v>11.95</v>
      </c>
      <c r="BH10" s="75">
        <v>14.715</v>
      </c>
      <c r="BI10" s="75">
        <v>0</v>
      </c>
      <c r="BJ10" s="75">
        <v>16</v>
      </c>
      <c r="BK10" s="75">
        <v>9.2250000000000014</v>
      </c>
      <c r="BL10" s="75">
        <v>11.95</v>
      </c>
      <c r="BM10" s="75">
        <v>14.765000000000001</v>
      </c>
      <c r="BN10" s="75">
        <v>0</v>
      </c>
      <c r="BO10" s="75">
        <v>14.7</v>
      </c>
      <c r="BP10" s="75">
        <v>9.2750000000000004</v>
      </c>
      <c r="BQ10" s="75">
        <v>11.95</v>
      </c>
      <c r="BR10" s="75">
        <v>14.725</v>
      </c>
      <c r="BS10" s="75">
        <v>0</v>
      </c>
      <c r="BT10" s="81" t="s">
        <v>74</v>
      </c>
      <c r="BU10" s="14">
        <f>IF(SUM(AZ10:BC10)-BD10&gt;0,SUM(AZ10:BC10)-BD10,"")</f>
        <v>47.152500000000003</v>
      </c>
      <c r="BV10" s="14">
        <f>IF(BG10&gt;0,BG10,"")</f>
        <v>11.95</v>
      </c>
      <c r="BW10" s="14">
        <f>IF(SUM(BE10:BH10)-BI10&gt;0,SUM(BE10:BH10)-BI10,"")</f>
        <v>51.564999999999998</v>
      </c>
      <c r="BX10" s="14">
        <f>IF(BL10&gt;0,BL10,"")</f>
        <v>11.95</v>
      </c>
      <c r="BY10" s="14">
        <f>IF(SUM(BJ10:BM10)-BN10&gt;0,SUM(BJ10:BM10)-BN10,"")</f>
        <v>51.94</v>
      </c>
      <c r="BZ10" s="14">
        <f>IF(BU10="",IF(MAX(BW10,BY10)&gt;0,MAX(BW10,BY10),""),MAX(BW10,BY10)+BU10)</f>
        <v>99.092500000000001</v>
      </c>
      <c r="CA10" s="14">
        <f>IF(BQ10&gt;0,BQ10,"")</f>
        <v>11.95</v>
      </c>
      <c r="CB10" s="14">
        <f>IF(SUM(BO10:BR10)-BS10&gt;0,SUM(BO10:BR10)-BS10,"")</f>
        <v>50.65</v>
      </c>
      <c r="CC10" s="14">
        <f>IF(SUM(BZ10,CB10)&gt;0,SUM(BZ10,CB10),"")</f>
        <v>149.74250000000001</v>
      </c>
      <c r="CD10" s="69">
        <v>18.149999999999999</v>
      </c>
      <c r="CE10" s="69">
        <v>9.4750000000000014</v>
      </c>
      <c r="CF10" s="69">
        <v>3.55</v>
      </c>
      <c r="CG10" s="69">
        <v>15.977499999999999</v>
      </c>
      <c r="CH10" s="69">
        <v>0</v>
      </c>
      <c r="CI10" s="69">
        <v>15.45</v>
      </c>
      <c r="CJ10" s="69">
        <v>9.4499999999999993</v>
      </c>
      <c r="CK10" s="69">
        <v>11.95</v>
      </c>
      <c r="CL10" s="69">
        <v>14.715</v>
      </c>
      <c r="CM10" s="69">
        <v>0</v>
      </c>
      <c r="CN10" s="69">
        <v>16</v>
      </c>
      <c r="CO10" s="69">
        <v>9.2250000000000014</v>
      </c>
      <c r="CP10" s="69">
        <v>11.95</v>
      </c>
      <c r="CQ10" s="69">
        <v>14.765000000000001</v>
      </c>
      <c r="CR10" s="69">
        <v>0</v>
      </c>
      <c r="CS10" s="69">
        <v>14.7</v>
      </c>
      <c r="CT10" s="69">
        <v>9.2750000000000004</v>
      </c>
      <c r="CU10" s="69">
        <v>11.95</v>
      </c>
      <c r="CV10" s="69">
        <v>14.725</v>
      </c>
      <c r="CW10" s="69">
        <v>0</v>
      </c>
      <c r="CX10" s="80" t="s">
        <v>74</v>
      </c>
      <c r="CY10" s="11">
        <f>IF(SUM(CD10:CG10)-CH10&gt;0,SUM(CD10:CG10)-CH10,"")</f>
        <v>47.152500000000003</v>
      </c>
      <c r="CZ10" s="11">
        <f>IF(CK10&gt;0,CK10,"")</f>
        <v>11.95</v>
      </c>
      <c r="DA10" s="11">
        <f>IF(SUM(CI10:CL10)-CM10&gt;0,SUM(CI10:CL10)-CM10,"")</f>
        <v>51.564999999999998</v>
      </c>
      <c r="DB10" s="11">
        <f>IF(CP10&gt;0,CP10,"")</f>
        <v>11.95</v>
      </c>
      <c r="DC10" s="11">
        <f>IF(SUM(CN10:CQ10)-CR10&gt;0,SUM(CN10:CQ10)-CR10,"")</f>
        <v>51.94</v>
      </c>
      <c r="DD10" s="11">
        <f>IF(CY10="",IF(MAX(DA10,DC10)&gt;0,MAX(DA10,DC10),""),MAX(DA10,DC10)+CY10)</f>
        <v>99.092500000000001</v>
      </c>
      <c r="DE10" s="11">
        <f>IF(CU10&gt;0,CU10,"")</f>
        <v>11.95</v>
      </c>
      <c r="DF10" s="11">
        <f>IF(SUM(CS10:CV10)-CW10&gt;0,SUM(CS10:CV10)-CW10,"")</f>
        <v>50.65</v>
      </c>
      <c r="DG10" s="11">
        <f>IF(SUM(DD10,DF10)&gt;0,SUM(DD10,DF10),"")</f>
        <v>149.74250000000001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18.149999999999999</v>
      </c>
      <c r="NQ10" s="69">
        <f>IF($CX10="P",CE10,(CE10+BA10)/2)</f>
        <v>9.4750000000000014</v>
      </c>
      <c r="NR10" s="69">
        <f>IF($CX10="P",CF10,(CF10+BB10)/2)</f>
        <v>3.55</v>
      </c>
      <c r="NS10" s="69">
        <f>IF($CX10="P",CG10,(CG10+BC10)/2)</f>
        <v>15.977499999999999</v>
      </c>
      <c r="NT10" s="69">
        <f>IF($CX10="P",CH10,(CH10+BD10)/2)</f>
        <v>0</v>
      </c>
      <c r="NU10" s="69">
        <f>IF($CX10="P",CI10,(CI10+BE10)/2)</f>
        <v>15.45</v>
      </c>
      <c r="NV10" s="69">
        <f>IF($CX10="P",CJ10,(CJ10+BF10)/2)</f>
        <v>9.4499999999999993</v>
      </c>
      <c r="NW10" s="69">
        <f>IF($CX10="P",CK10,(CK10+BG10)/2)</f>
        <v>11.95</v>
      </c>
      <c r="NX10" s="69">
        <f>IF($CX10="P",CL10,(CL10+BH10)/2)</f>
        <v>14.715</v>
      </c>
      <c r="NY10" s="69">
        <f>IF($CX10="P",CM10,(CM10+BI10)/2)</f>
        <v>0</v>
      </c>
      <c r="NZ10" s="69">
        <f>IF($CX10="P",CN10,(CN10+BJ10)/2)</f>
        <v>16</v>
      </c>
      <c r="OA10" s="69">
        <f>IF($CX10="P",CO10,(CO10+BK10)/2)</f>
        <v>9.2250000000000014</v>
      </c>
      <c r="OB10" s="69">
        <f>IF($CX10="P",CP10,(CP10+BL10)/2)</f>
        <v>11.95</v>
      </c>
      <c r="OC10" s="69">
        <f>IF($CX10="P",CQ10,(CQ10+BM10)/2)</f>
        <v>14.765000000000001</v>
      </c>
      <c r="OD10" s="69">
        <f>IF($CX10="P",CR10,(CR10+BN10)/2)</f>
        <v>0</v>
      </c>
      <c r="OE10" s="69">
        <f>IF($CX10="P",CS10,(CS10+BO10)/2)</f>
        <v>14.7</v>
      </c>
      <c r="OF10" s="69">
        <f>IF($CX10="P",CT10,(CT10+BP10)/2)</f>
        <v>9.2750000000000004</v>
      </c>
      <c r="OG10" s="69">
        <f>IF($CX10="P",CU10,(CU10+BQ10)/2)</f>
        <v>11.95</v>
      </c>
      <c r="OH10" s="69">
        <f>IF($CX10="P",CV10,(CV10+BR10)/2)</f>
        <v>14.725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47.152500000000003</v>
      </c>
      <c r="OL10" s="11">
        <f>IF(NW10&gt;0,NW10,"")</f>
        <v>11.95</v>
      </c>
      <c r="OM10" s="11">
        <f>IF(SUM(NU10:NX10)-NY10&gt;0,SUM(NU10:NX10)-NY10,"")</f>
        <v>51.564999999999998</v>
      </c>
      <c r="ON10" s="11">
        <f>IF(OB10&gt;0,OB10,"")</f>
        <v>11.95</v>
      </c>
      <c r="OO10" s="11">
        <f>IF(SUM(NZ10:OC10)-OD10&gt;0,SUM(NZ10:OC10)-OD10,"")</f>
        <v>51.94</v>
      </c>
      <c r="OP10" s="11">
        <f>IF(OR(OK10&lt;&gt;"",OM10&lt;&gt;"",OO10&lt;&gt;""),OK10+MAX(OM10,OO10),"")</f>
        <v>99.092500000000001</v>
      </c>
      <c r="OQ10" s="11">
        <f>IF(OG10&gt;0,OG10,"")</f>
        <v>11.95</v>
      </c>
      <c r="OR10" s="11">
        <f t="shared" si="0"/>
        <v>50.65</v>
      </c>
      <c r="OS10" s="11">
        <f t="shared" si="1"/>
        <v>149.74250000000001</v>
      </c>
    </row>
    <row r="11" spans="1:409" x14ac:dyDescent="0.2">
      <c r="A11" s="5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>8</v>
      </c>
      <c r="B11" s="127" t="s">
        <v>113</v>
      </c>
      <c r="C11" s="5" t="s">
        <v>6</v>
      </c>
      <c r="D11" s="5">
        <v>2002</v>
      </c>
      <c r="E11" s="15">
        <f>SUM(K11:S11)</f>
        <v>242.21499999999997</v>
      </c>
      <c r="F11" s="3" t="str">
        <f>IF(G11&lt;&gt;"","P","")</f>
        <v>P</v>
      </c>
      <c r="G11" s="125" t="str">
        <f>IF(OR(AND(AR11&gt;=AY$20,AR11&lt;&gt;"",AP11=""),AND(AT11&gt;=AY$20,AT11&lt;&gt;"",AP11=""),AND(AW11&gt;=AY$20,AW11&lt;&gt;"",AP11=""),AND(BV11&gt;=CC$20,BV11&lt;&gt;"",BT11=""),AND(BX11&gt;=CC$20,BX11&lt;&gt;"",BT11=""),AND(CA11&gt;=CC$20,CA11&lt;&gt;"",BT11=""),AND(CZ11&gt;=DG$20,CZ11&lt;&gt;"",CX11=""),AND(DB11&gt;=DG$20,DB11&lt;&gt;"",CX11=""),AND(DE11&gt;=DG$20,DE11&lt;&gt;"",CX11=""),AND(EA11&gt;=EG$20,EA11&lt;&gt;""),AND(EE11&gt;=EG$20,EE11&lt;&gt;""),AND(EW11&gt;=FC$20,EW11&lt;&gt;""),AND(FA11&gt;=FC$20,FA11&lt;&gt;""),AND(FS11&gt;=FY$20,FS11&lt;&gt;""),AND(FW11&gt;=FY$20,FW11&lt;&gt;""),AND(GO11&gt;=GU$20,GO11&lt;&gt;""),AND(GS11&gt;=GU$20,GS11&lt;&gt;""),AND(HK11&gt;=HQ$20,HK11&lt;&gt;""),AND(HO11&gt;=HQ$20,HO11&lt;&gt;""),AND(IG11&gt;=IM$20,IG11&lt;&gt;""),AND(IK11&gt;=IM$20,IK11&lt;&gt;""),AND(JC11&gt;=JI$20,JC11&lt;&gt;""),AND(JG11&gt;=JI$20,JG11&lt;&gt;""),AND(JY11&gt;=KE$20,JY11&lt;&gt;""),AND(KC11&gt;=KE$20,KC11&lt;&gt;""),AND(KU11&gt;=LA$20,KU11&lt;&gt;""),AND(KY11&gt;=LA$20,KY11&lt;&gt;""),AND(LQ11&gt;=LW$20,LQ11&lt;&gt;""),AND(LU11&gt;=LW$20,LU11&lt;&gt;""),AND(MM11&gt;=MS$20,MM11&lt;&gt;""),AND(MQ11&gt;=MS$20,MQ11&lt;&gt;""),AND(NI11&gt;=NO$20,NI11&lt;&gt;""),AND(NM11&gt;=NO$20,NM11&lt;&gt;"")),"Merit",IF(OR(AND(AR11&gt;=AY$19,AR11&lt;&gt;"",AP11=""),AND(AT11&gt;=AY$19,AT11&lt;&gt;"",AP11=""),AND(AW11&gt;=AY$19,AW11&lt;&gt;"",AP11=""),AND(BV11&gt;=CC$19,BV11&lt;&gt;"",BT11=""),AND(BX11&gt;=CC$19,BX11&lt;&gt;"",BT11=""),AND(CA11&gt;=CC$19,CA11&lt;&gt;"",BT11=""),AND(CZ11&gt;=DG$19,CZ11&lt;&gt;"",CX11=""),AND(DB11&gt;=DG$19,DB11&lt;&gt;"",CX11=""),AND(DE11&gt;=DG$19,DE11&lt;&gt;"",CX11=""),AND(EA11&gt;=EG$19,EA11&lt;&gt;""),AND(EE11&gt;=EG$19,EE11&lt;&gt;""),AND(EW11&gt;=FC$19,EW11&lt;&gt;""),AND(FA11&gt;=FC$19,FA11&lt;&gt;""),AND(FS11&gt;=FY$19,FS11&lt;&gt;""),AND(FW11&gt;=FY$19,FW11&lt;&gt;""),AND(GO11&gt;=GU$19,GO11&lt;&gt;""),AND(GS11&gt;=GU$19,GS11&lt;&gt;""),AND(HK11&gt;=HQ$19,HK11&lt;&gt;""),AND(HO11&gt;=HQ$19,HO11&lt;&gt;""),AND(IG11&gt;=IM$19,IG11&lt;&gt;""),AND(IK11&gt;=IM$19,IK11&lt;&gt;""),AND(JC11&gt;=JI$19,JC11&lt;&gt;""),AND(JG11&gt;=JI$19,JG11&lt;&gt;""),AND(JY11&gt;=KE$19,JY11&lt;&gt;""),AND(KC11&gt;=KE$19,KC11&lt;&gt;""),AND(KU11&gt;=LA$19,KU11&lt;&gt;""),AND(KY11&gt;=LA$19,KY11&lt;&gt;""),AND(LQ11&gt;=LW$19,LQ11&lt;&gt;""),AND(LU11&gt;=LW$19,LU11&lt;&gt;""),AND(MM11&gt;=MS$19,MM11&lt;&gt;""),AND(MQ11&gt;=MS$19,MQ11&lt;&gt;""),AND(NI11&gt;=NO$19,NI11&lt;&gt;""),AND(NM11&gt;=NO$19,NM11&lt;&gt;"")),"Excellence",IF(OR(AND(AR11&gt;=AY$18,AR11&lt;&gt;"",AP11=""),AND(AT11&gt;=AY$18,AT11&lt;&gt;"",AP11=""),AND(AW11&gt;=AY$18,AW11&lt;&gt;"",AP11=""),AND(BV11&gt;=CC$18,BV11&lt;&gt;"",BT11=""),AND(BX11&gt;=CC$18,BX11&lt;&gt;"",BT11=""),AND(CA11&gt;=CC$18,CA11&lt;&gt;"",BT11=""),AND(CZ11&gt;=DG$18,CZ11&lt;&gt;"",CX11=""),AND(DB11&gt;=DG$18,DB11&lt;&gt;"",CX11=""),AND(DE11&gt;=DG$18,DE11&lt;&gt;"",CX11=""),AND(EA11&gt;=EG$18,EA11&lt;&gt;""),AND(EE11&gt;=EG$18,EE11&lt;&gt;""),AND(EW11&gt;=FC$18,EW11&lt;&gt;""),AND(FA11&gt;=FC$18,FA11&lt;&gt;""),AND(FS11&gt;=FY$18,FS11&lt;&gt;""),AND(FW11&gt;=FY$18,FW11&lt;&gt;""),AND(GO11&gt;=GU$18,GO11&lt;&gt;""),AND(GS11&gt;=GU$18,GS11&lt;&gt;""),AND(HK11&gt;=HQ$18,HK11&lt;&gt;""),AND(HO11&gt;=HQ$18,HO11&lt;&gt;""),AND(IG11&gt;=IM$18,IG11&lt;&gt;""),AND(IK11&gt;=IM$18,IK11&lt;&gt;""),AND(JC11&gt;=JI$18,JC11&lt;&gt;""),AND(JG11&gt;=JI$18,JG11&lt;&gt;""),AND(JY11&gt;=KE$18,JY11&lt;&gt;""),AND(KC11&gt;=KE$18,KC11&lt;&gt;""),AND(KU11&gt;=LA$18,KU11&lt;&gt;""),AND(KY11&gt;=LA$18,KY11&lt;&gt;""),AND(LQ11&gt;=LW$18,LQ11&lt;&gt;""),AND(LU11&gt;=LW$18,LU11&lt;&gt;""),AND(MM11&gt;=MS$18,MM11&lt;&gt;""),AND(MQ11&gt;=MS$18,MQ11&lt;&gt;""),AND(NI11&gt;=NO$18,NI11&lt;&gt;""),AND(NM11&gt;=NO$18,NM11&lt;&gt;"")),"Worlds Team",IF(OR(AND(AR11&gt;=AY$17,AR11&lt;&gt;"",AP11=""),AND(AT11&gt;=AY$17,AT11&lt;&gt;"",AP11=""),AND(AW11&gt;=AY$17,AW11&lt;&gt;"",AP11=""),AND(BV11&gt;=CC$17,BV11&lt;&gt;"",BT11=""),AND(BX11&gt;=CC$17,BX11&lt;&gt;"",BT11=""),AND(CA11&gt;=CC$17,CA11&lt;&gt;"",BT11=""),AND(CZ11&gt;=DG$17,CZ11&lt;&gt;"",CX11=""),AND(DB11&gt;=DG$17,DB11&lt;&gt;"",CX11=""),AND(DE11&gt;=DG$17,DE11&lt;&gt;"",CX11=""),AND(EA11&gt;=EG$17,EA11&lt;&gt;""),AND(EE11&gt;=EG$17,EE11&lt;&gt;""),AND(EW11&gt;=FC$17,EW11&lt;&gt;""),AND(FA11&gt;=FC$17,FA11&lt;&gt;""),AND(FS11&gt;=FY$17,FS11&lt;&gt;""),AND(FW11&gt;=FY$17,FW11&lt;&gt;""),AND(GO11&gt;=GU$17,GO11&lt;&gt;""),AND(GS11&gt;=GU$17,GS11&lt;&gt;""),AND(HK11&gt;=HQ$17,HK11&lt;&gt;""),AND(HO11&gt;=HQ$17,HO11&lt;&gt;""),AND(IG11&gt;=IM$17,IG11&lt;&gt;""),AND(IK11&gt;=IM$17,IK11&lt;&gt;""),AND(JC11&gt;=JI$17,JC11&lt;&gt;""),AND(JG11&gt;=JI$17,JG11&lt;&gt;""),AND(JY11&gt;=KE$17,JY11&lt;&gt;""),AND(KC11&gt;=KE$17,KC11&lt;&gt;""),AND(KU11&gt;=LA$17,KU11&lt;&gt;""),AND(KY11&gt;=LA$17,KY11&lt;&gt;""),AND(LQ11&gt;=LW$17,LQ11&lt;&gt;""),AND(LU11&gt;=LW$17,LU11&lt;&gt;""),AND(MM11&gt;=MS$17,MM11&lt;&gt;""),AND(MQ11&gt;=MS$17,MQ11&lt;&gt;""),AND(NI11&gt;=NO$17,NI11&lt;&gt;""),AND(NM11&gt;=NO$17,NM11&lt;&gt;"")),"National Team",""))))</f>
        <v>National Team</v>
      </c>
      <c r="H11" s="125" t="str">
        <f>IF(OR(AND(AS11&gt;=AY$24,AS11&lt;&gt;"",AP11=""),AND(AU11&gt;=AY$24,AU11&lt;&gt;"",AP11=""),AND(AX11&gt;=AY$24,AX11&lt;&gt;"",AP11=""),AND(BW11&gt;=CC$24,BW11&lt;&gt;"",BT11=""),AND(BY11&gt;=CC$24,BY11&lt;&gt;"",BT11=""),AND(CB11&gt;=CC$24,CB11&lt;&gt;"",BT11=""),AND(DA11&gt;=DG$24,DA11&lt;&gt;"",CX11=""),AND(DC11&gt;=DG$24,DC11&lt;&gt;"",CX11=""),AND(DF11&gt;=DG$24,DF11&lt;&gt;"",CX11=""),AND(EC11&gt;=EG$24,EC11&lt;&gt;""),AND(EF11&gt;=EG$24,EF11&lt;&gt;""),AND(EY11&gt;=FC$24,EY11&lt;&gt;""),AND(FB11&gt;=FC$24,FB11&lt;&gt;""),AND(FU11&gt;=FY$24,FU11&lt;&gt;""),AND(FX11&gt;=FY$24,FX11&lt;&gt;""),AND(GQ11&gt;=GU$24,GQ11&lt;&gt;""),AND(GT11&gt;=GU$24,GT11&lt;&gt;""),AND(HM11&gt;=HQ$24,HM11&lt;&gt;""),AND(HP11&gt;=HQ$24,HP11&lt;&gt;""),AND(II11&gt;=IM$24,II11&lt;&gt;""),AND(IL11&gt;=IM$24,IL11&lt;&gt;""),AND(JE11&gt;=JI$24,JE11&lt;&gt;""),AND(JH11&gt;=JI$24,JH11&lt;&gt;""),AND(KA11&gt;=KE$24,KA11&lt;&gt;""),AND(KD11&gt;=KE$24,KD11&lt;&gt;""),AND(KW11&gt;=LA$24,KW11&lt;&gt;""),AND(KZ11&gt;=LA$24,KZ11&lt;&gt;""),AND(LS11&gt;=LW$24,LS11&lt;&gt;""),AND(LV11&gt;=LW$24,LV11&lt;&gt;""),AND(MO11&gt;=MS$24,MO11&lt;&gt;""),AND(MR11&gt;=MS$24,MR11&lt;&gt;""),AND(NK11&gt;=NO$24,NK11&lt;&gt;""),AND(NN11&gt;=NO$24,NN11&lt;&gt;"")),"Merit",IF(OR(AND(AS11&gt;=AY$23,AS11&lt;&gt;"",AP11=""),AND(AU11&gt;=AY$23,AU11&lt;&gt;"",AP11=""),AND(AX11&gt;=AY$23,AX11&lt;&gt;"",AP11=""),AND(BW11&gt;=CC$23,BW11&lt;&gt;"",BT11=""),AND(BY11&gt;=CC$23,BY11&lt;&gt;"",BT11=""),AND(CB11&gt;=CC$23,CB11&lt;&gt;"",BT11=""),AND(DA11&gt;=DG$23,DA11&lt;&gt;"",CX11=""),AND(DC11&gt;=DG$23,DC11&lt;&gt;"",CX11=""),AND(DF11&gt;=DG$23,DF11&lt;&gt;"",CX11=""),AND(EC11&gt;=EG$23,EC11&lt;&gt;""),AND(EF11&gt;=EG$23,EF11&lt;&gt;""),AND(EY11&gt;=FC$23,EY11&lt;&gt;""),AND(FB11&gt;=FC$23,FB11&lt;&gt;""),AND(FU11&gt;=FY$23,FU11&lt;&gt;""),AND(FX11&gt;=FY$23,FX11&lt;&gt;""),AND(GQ11&gt;=GU$23,GQ11&lt;&gt;""),AND(GT11&gt;=GU$23,GT11&lt;&gt;""),AND(HM11&gt;=HQ$23,HM11&lt;&gt;""),AND(HP11&gt;=HQ$23,HP11&lt;&gt;""),AND(II11&gt;=IM$23,II11&lt;&gt;""),AND(IL11&gt;=IM$23,IL11&lt;&gt;""),AND(JE11&gt;=JI$23,JE11&lt;&gt;""),AND(JH11&gt;=JI$23,JH11&lt;&gt;""),AND(KA11&gt;=KE$23,KA11&lt;&gt;""),AND(KD11&gt;=KE$23,KD11&lt;&gt;""),AND(KW11&gt;=LA$23,KW11&lt;&gt;""),AND(KZ11&gt;=LA$23,KZ11&lt;&gt;""),AND(LS11&gt;=LW$23,LS11&lt;&gt;""),AND(LV11&gt;=LW$23,LV11&lt;&gt;""),AND(MO11&gt;=MS$23,MO11&lt;&gt;""),AND(MR11&gt;=MS$23,MR11&lt;&gt;""),AND(NK11&gt;=NO$23,NK11&lt;&gt;""),AND(NN11&gt;=NO$23,NN11&lt;&gt;"")),"Excellence",IF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"Worlds Team",IF(OR(AND(AV11&gt;=AY$21,AV11&lt;&gt;"",AP11=""),AND(BZ11&gt;=CC$21,BZ11&lt;&gt;"",BT11=""),AND(DD11&gt;=DG$21,DD11&lt;&gt;"",CX11=""),AND(ED11&gt;=EG$21,ED11&lt;&gt;""),AND(EZ11&gt;=FC$21,EZ11&lt;&gt;""),AND(FV11&gt;=FY$21,FV11&lt;&gt;""),AND(GR11&gt;=GU$21,GR11&lt;&gt;""),AND(HN11&gt;=HQ$21,HN11&lt;&gt;""),AND(IJ11&gt;=IM$21,IJ11&lt;&gt;""),AND(JF11&gt;=JI$21,JF11&lt;&gt;""),AND(KB11&gt;=KE$21,KB11&lt;&gt;""),AND(KX11&gt;=LA$21,KX11&lt;&gt;""),AND(LT11&gt;=LW$21,LT11&lt;&gt;""),AND(MP11&gt;=MS$21,MP11&lt;&gt;""),AND(NL11&gt;=NO$21,NL11&lt;&gt;"")),"National Team",""))))</f>
        <v>National Team</v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National Team</v>
      </c>
      <c r="J11" s="3" t="str">
        <f>IF(AND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OR(G11="Worlds Team",G11="Excellence",G11="Merit")),"P","")</f>
        <v/>
      </c>
      <c r="K11" s="14">
        <f>IF(MAX(AV11,BZ11,DD11)&gt;0,MAX(AV11,BZ11,DD11),0)</f>
        <v>97.289999999999992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45.669999999999995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50.564999999999998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48.69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16.3</v>
      </c>
      <c r="W11" s="69">
        <v>9.6</v>
      </c>
      <c r="X11" s="69">
        <v>4.7</v>
      </c>
      <c r="Y11" s="69">
        <v>14.69</v>
      </c>
      <c r="Z11" s="69">
        <v>0</v>
      </c>
      <c r="AA11" s="69">
        <v>13</v>
      </c>
      <c r="AB11" s="69">
        <v>9.1</v>
      </c>
      <c r="AC11" s="69">
        <v>12</v>
      </c>
      <c r="AD11" s="69">
        <v>13.96</v>
      </c>
      <c r="AE11" s="69">
        <v>0</v>
      </c>
      <c r="AF11" s="69">
        <v>14.1</v>
      </c>
      <c r="AG11" s="69">
        <v>9</v>
      </c>
      <c r="AH11" s="69">
        <v>12</v>
      </c>
      <c r="AI11" s="69">
        <v>14.19</v>
      </c>
      <c r="AJ11" s="69">
        <v>0</v>
      </c>
      <c r="AK11" s="69">
        <v>13.1</v>
      </c>
      <c r="AL11" s="69">
        <v>9</v>
      </c>
      <c r="AM11" s="69">
        <v>12.7</v>
      </c>
      <c r="AN11" s="69">
        <v>13.89</v>
      </c>
      <c r="AO11" s="69">
        <v>0</v>
      </c>
      <c r="AP11" s="80"/>
      <c r="AQ11" s="11">
        <f>IF(SUM(V11:Y11)-Z11&gt;0,SUM(V11:Y11)-Z11,"")</f>
        <v>45.29</v>
      </c>
      <c r="AR11" s="11">
        <f>IF(AC11&gt;0,AC11,"")</f>
        <v>12</v>
      </c>
      <c r="AS11" s="11">
        <f>IF(SUM(AA11:AD11)-AE11&gt;0,SUM(AA11:AD11)-AE11,"")</f>
        <v>48.06</v>
      </c>
      <c r="AT11" s="11">
        <f>IF(AH11&gt;0,AH11,"")</f>
        <v>12</v>
      </c>
      <c r="AU11" s="11">
        <f>IF(SUM(AF11:AI11)-AJ11&gt;0,SUM(AF11:AI11)-AJ11,"")</f>
        <v>49.29</v>
      </c>
      <c r="AV11" s="11">
        <f>IF(AQ11="",IF(MAX(AS11,AU11)&gt;0,MAX(AS11,AU11),""),MAX(AS11,AU11)+AQ11)</f>
        <v>94.58</v>
      </c>
      <c r="AW11" s="11">
        <f>IF(AM11&gt;0,AM11,"")</f>
        <v>12.7</v>
      </c>
      <c r="AX11" s="11">
        <f>IF(SUM(AK11:AN11)-AO11&gt;0,SUM(AK11:AN11)-AO11,"")</f>
        <v>48.69</v>
      </c>
      <c r="AY11" s="11">
        <f>IF(SUM(AV11,AX11)&gt;0,SUM(AV11,AX11),"")</f>
        <v>143.26999999999998</v>
      </c>
      <c r="AZ11" s="75">
        <v>17.7</v>
      </c>
      <c r="BA11" s="75">
        <v>9.5</v>
      </c>
      <c r="BB11" s="75">
        <v>3.9</v>
      </c>
      <c r="BC11" s="75">
        <v>15.395</v>
      </c>
      <c r="BD11" s="75">
        <v>0</v>
      </c>
      <c r="BE11" s="75">
        <v>14.7</v>
      </c>
      <c r="BF11" s="75">
        <v>9</v>
      </c>
      <c r="BG11" s="75">
        <v>12.7</v>
      </c>
      <c r="BH11" s="75">
        <v>14.395</v>
      </c>
      <c r="BI11" s="75">
        <v>0</v>
      </c>
      <c r="BJ11" s="75">
        <v>14.5</v>
      </c>
      <c r="BK11" s="75">
        <v>9.1</v>
      </c>
      <c r="BL11" s="75">
        <v>12.7</v>
      </c>
      <c r="BM11" s="75">
        <v>14.265000000000001</v>
      </c>
      <c r="BN11" s="75">
        <v>0</v>
      </c>
      <c r="BO11" s="75">
        <v>14.4</v>
      </c>
      <c r="BP11" s="75">
        <v>8.5</v>
      </c>
      <c r="BQ11" s="75">
        <v>11.4</v>
      </c>
      <c r="BR11" s="75">
        <v>13.994999999999999</v>
      </c>
      <c r="BS11" s="75">
        <v>0</v>
      </c>
      <c r="BT11" s="81"/>
      <c r="BU11" s="14">
        <f>IF(SUM(AZ11:BC11)-BD11&gt;0,SUM(AZ11:BC11)-BD11,"")</f>
        <v>46.494999999999997</v>
      </c>
      <c r="BV11" s="14">
        <f>IF(BG11&gt;0,BG11,"")</f>
        <v>12.7</v>
      </c>
      <c r="BW11" s="14">
        <f>IF(SUM(BE11:BH11)-BI11&gt;0,SUM(BE11:BH11)-BI11,"")</f>
        <v>50.795000000000002</v>
      </c>
      <c r="BX11" s="14">
        <f>IF(BL11&gt;0,BL11,"")</f>
        <v>12.7</v>
      </c>
      <c r="BY11" s="14">
        <f>IF(SUM(BJ11:BM11)-BN11&gt;0,SUM(BJ11:BM11)-BN11,"")</f>
        <v>50.564999999999998</v>
      </c>
      <c r="BZ11" s="14">
        <f>IF(BU11="",IF(MAX(BW11,BY11)&gt;0,MAX(BW11,BY11),""),MAX(BW11,BY11)+BU11)</f>
        <v>97.289999999999992</v>
      </c>
      <c r="CA11" s="14">
        <f>IF(BQ11&gt;0,BQ11,"")</f>
        <v>11.4</v>
      </c>
      <c r="CB11" s="14">
        <f>IF(SUM(BO11:BR11)-BS11&gt;0,SUM(BO11:BR11)-BS11,"")</f>
        <v>48.294999999999995</v>
      </c>
      <c r="CC11" s="14">
        <f>IF(SUM(BZ11,CB11)&gt;0,SUM(BZ11,CB11),"")</f>
        <v>145.58499999999998</v>
      </c>
      <c r="CD11" s="69">
        <v>17.2</v>
      </c>
      <c r="CE11" s="69">
        <v>9.6</v>
      </c>
      <c r="CF11" s="69">
        <v>3.7</v>
      </c>
      <c r="CG11" s="69">
        <v>15.17</v>
      </c>
      <c r="CH11" s="69">
        <v>0</v>
      </c>
      <c r="CI11" s="69">
        <v>11.8</v>
      </c>
      <c r="CJ11" s="69">
        <v>8.3000000000000007</v>
      </c>
      <c r="CK11" s="69">
        <v>11.2</v>
      </c>
      <c r="CL11" s="69">
        <v>12.154999999999999</v>
      </c>
      <c r="CM11" s="69">
        <v>0</v>
      </c>
      <c r="CN11" s="69">
        <v>4.2</v>
      </c>
      <c r="CO11" s="69">
        <v>2.7</v>
      </c>
      <c r="CP11" s="69">
        <v>3.4</v>
      </c>
      <c r="CQ11" s="69">
        <v>4.4950000000000001</v>
      </c>
      <c r="CR11" s="69">
        <v>0</v>
      </c>
      <c r="CS11" s="69">
        <v>12.2</v>
      </c>
      <c r="CT11" s="69">
        <v>8.1999999999999993</v>
      </c>
      <c r="CU11" s="69">
        <v>11.5</v>
      </c>
      <c r="CV11" s="69">
        <v>12.61</v>
      </c>
      <c r="CW11" s="69">
        <v>0</v>
      </c>
      <c r="CX11" s="80"/>
      <c r="CY11" s="11">
        <f>IF(SUM(CD11:CG11)-CH11&gt;0,SUM(CD11:CG11)-CH11,"")</f>
        <v>45.669999999999995</v>
      </c>
      <c r="CZ11" s="11">
        <f>IF(CK11&gt;0,CK11,"")</f>
        <v>11.2</v>
      </c>
      <c r="DA11" s="11">
        <f>IF(SUM(CI11:CL11)-CM11&gt;0,SUM(CI11:CL11)-CM11,"")</f>
        <v>43.454999999999998</v>
      </c>
      <c r="DB11" s="11">
        <f>IF(CP11&gt;0,CP11,"")</f>
        <v>3.4</v>
      </c>
      <c r="DC11" s="11">
        <f>IF(SUM(CN11:CQ11)-CR11&gt;0,SUM(CN11:CQ11)-CR11,"")</f>
        <v>14.795000000000002</v>
      </c>
      <c r="DD11" s="11">
        <f>IF(CY11="",IF(MAX(DA11,DC11)&gt;0,MAX(DA11,DC11),""),MAX(DA11,DC11)+CY11)</f>
        <v>89.125</v>
      </c>
      <c r="DE11" s="11">
        <f>IF(CU11&gt;0,CU11,"")</f>
        <v>11.5</v>
      </c>
      <c r="DF11" s="11">
        <f>IF(SUM(CS11:CV11)-CW11&gt;0,SUM(CS11:CV11)-CW11,"")</f>
        <v>44.51</v>
      </c>
      <c r="DG11" s="11">
        <f>IF(SUM(DD11,DF11)&gt;0,SUM(DD11,DF11),"")</f>
        <v>133.63499999999999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17.45</v>
      </c>
      <c r="NQ11" s="69">
        <f>IF($CX11="P",CE11,(CE11+BA11)/2)</f>
        <v>9.5500000000000007</v>
      </c>
      <c r="NR11" s="69">
        <f>IF($CX11="P",CF11,(CF11+BB11)/2)</f>
        <v>3.8</v>
      </c>
      <c r="NS11" s="69">
        <f>IF($CX11="P",CG11,(CG11+BC11)/2)</f>
        <v>15.282499999999999</v>
      </c>
      <c r="NT11" s="69">
        <f>IF($CX11="P",CH11,(CH11+BD11)/2)</f>
        <v>0</v>
      </c>
      <c r="NU11" s="69">
        <f>IF($CX11="P",CI11,(CI11+BE11)/2)</f>
        <v>13.25</v>
      </c>
      <c r="NV11" s="69">
        <f>IF($CX11="P",CJ11,(CJ11+BF11)/2)</f>
        <v>8.65</v>
      </c>
      <c r="NW11" s="69">
        <f>IF($CX11="P",CK11,(CK11+BG11)/2)</f>
        <v>11.95</v>
      </c>
      <c r="NX11" s="69">
        <f>IF($CX11="P",CL11,(CL11+BH11)/2)</f>
        <v>13.274999999999999</v>
      </c>
      <c r="NY11" s="69">
        <f>IF($CX11="P",CM11,(CM11+BI11)/2)</f>
        <v>0</v>
      </c>
      <c r="NZ11" s="69">
        <f>IF($CX11="P",CN11,(CN11+BJ11)/2)</f>
        <v>9.35</v>
      </c>
      <c r="OA11" s="69">
        <f>IF($CX11="P",CO11,(CO11+BK11)/2)</f>
        <v>5.9</v>
      </c>
      <c r="OB11" s="69">
        <f>IF($CX11="P",CP11,(CP11+BL11)/2)</f>
        <v>8.0499999999999989</v>
      </c>
      <c r="OC11" s="69">
        <f>IF($CX11="P",CQ11,(CQ11+BM11)/2)</f>
        <v>9.3800000000000008</v>
      </c>
      <c r="OD11" s="69">
        <f>IF($CX11="P",CR11,(CR11+BN11)/2)</f>
        <v>0</v>
      </c>
      <c r="OE11" s="69">
        <f>IF($CX11="P",CS11,(CS11+BO11)/2)</f>
        <v>13.3</v>
      </c>
      <c r="OF11" s="69">
        <f>IF($CX11="P",CT11,(CT11+BP11)/2)</f>
        <v>8.35</v>
      </c>
      <c r="OG11" s="69">
        <f>IF($CX11="P",CU11,(CU11+BQ11)/2)</f>
        <v>11.45</v>
      </c>
      <c r="OH11" s="69">
        <f>IF($CX11="P",CV11,(CV11+BR11)/2)</f>
        <v>13.302499999999998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46.082499999999996</v>
      </c>
      <c r="OL11" s="11">
        <f>IF(NW11&gt;0,NW11,"")</f>
        <v>11.95</v>
      </c>
      <c r="OM11" s="11">
        <f>IF(SUM(NU11:NX11)-NY11&gt;0,SUM(NU11:NX11)-NY11,"")</f>
        <v>47.124999999999993</v>
      </c>
      <c r="ON11" s="11">
        <f>IF(OB11&gt;0,OB11,"")</f>
        <v>8.0499999999999989</v>
      </c>
      <c r="OO11" s="11">
        <f>IF(SUM(NZ11:OC11)-OD11&gt;0,SUM(NZ11:OC11)-OD11,"")</f>
        <v>32.68</v>
      </c>
      <c r="OP11" s="11">
        <f>IF(OR(OK11&lt;&gt;"",OM11&lt;&gt;"",OO11&lt;&gt;""),OK11+MAX(OM11,OO11),"")</f>
        <v>93.207499999999982</v>
      </c>
      <c r="OQ11" s="11">
        <f>IF(OG11&gt;0,OG11,"")</f>
        <v>11.45</v>
      </c>
      <c r="OR11" s="11">
        <f t="shared" si="0"/>
        <v>46.402499999999989</v>
      </c>
      <c r="OS11" s="11">
        <f t="shared" si="1"/>
        <v>139.60999999999996</v>
      </c>
    </row>
    <row r="12" spans="1:409" x14ac:dyDescent="0.2">
      <c r="A12" s="5" t="str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/>
      </c>
      <c r="B12" s="127" t="s">
        <v>96</v>
      </c>
      <c r="C12" s="5" t="s">
        <v>6</v>
      </c>
      <c r="D12" s="5">
        <v>2001</v>
      </c>
      <c r="E12" s="15">
        <f>SUM(K12:S12)</f>
        <v>241.26000000000002</v>
      </c>
      <c r="F12" s="3" t="str">
        <f>IF(G12&lt;&gt;"","P","")</f>
        <v>P</v>
      </c>
      <c r="G12" s="125" t="str">
        <f>IF(OR(AND(AR12&gt;=AY$20,AR12&lt;&gt;"",AP12=""),AND(AT12&gt;=AY$20,AT12&lt;&gt;"",AP12=""),AND(AW12&gt;=AY$20,AW12&lt;&gt;"",AP12=""),AND(BV12&gt;=CC$20,BV12&lt;&gt;"",BT12=""),AND(BX12&gt;=CC$20,BX12&lt;&gt;"",BT12=""),AND(CA12&gt;=CC$20,CA12&lt;&gt;"",BT12=""),AND(CZ12&gt;=DG$20,CZ12&lt;&gt;"",CX12=""),AND(DB12&gt;=DG$20,DB12&lt;&gt;"",CX12=""),AND(DE12&gt;=DG$20,DE12&lt;&gt;"",CX12=""),AND(EA12&gt;=EG$20,EA12&lt;&gt;""),AND(EE12&gt;=EG$20,EE12&lt;&gt;""),AND(EW12&gt;=FC$20,EW12&lt;&gt;""),AND(FA12&gt;=FC$20,FA12&lt;&gt;""),AND(FS12&gt;=FY$20,FS12&lt;&gt;""),AND(FW12&gt;=FY$20,FW12&lt;&gt;""),AND(GO12&gt;=GU$20,GO12&lt;&gt;""),AND(GS12&gt;=GU$20,GS12&lt;&gt;""),AND(HK12&gt;=HQ$20,HK12&lt;&gt;""),AND(HO12&gt;=HQ$20,HO12&lt;&gt;""),AND(IG12&gt;=IM$20,IG12&lt;&gt;""),AND(IK12&gt;=IM$20,IK12&lt;&gt;""),AND(JC12&gt;=JI$20,JC12&lt;&gt;""),AND(JG12&gt;=JI$20,JG12&lt;&gt;""),AND(JY12&gt;=KE$20,JY12&lt;&gt;""),AND(KC12&gt;=KE$20,KC12&lt;&gt;""),AND(KU12&gt;=LA$20,KU12&lt;&gt;""),AND(KY12&gt;=LA$20,KY12&lt;&gt;""),AND(LQ12&gt;=LW$20,LQ12&lt;&gt;""),AND(LU12&gt;=LW$20,LU12&lt;&gt;""),AND(MM12&gt;=MS$20,MM12&lt;&gt;""),AND(MQ12&gt;=MS$20,MQ12&lt;&gt;""),AND(NI12&gt;=NO$20,NI12&lt;&gt;""),AND(NM12&gt;=NO$20,NM12&lt;&gt;"")),"Merit",IF(OR(AND(AR12&gt;=AY$19,AR12&lt;&gt;"",AP12=""),AND(AT12&gt;=AY$19,AT12&lt;&gt;"",AP12=""),AND(AW12&gt;=AY$19,AW12&lt;&gt;"",AP12=""),AND(BV12&gt;=CC$19,BV12&lt;&gt;"",BT12=""),AND(BX12&gt;=CC$19,BX12&lt;&gt;"",BT12=""),AND(CA12&gt;=CC$19,CA12&lt;&gt;"",BT12=""),AND(CZ12&gt;=DG$19,CZ12&lt;&gt;"",CX12=""),AND(DB12&gt;=DG$19,DB12&lt;&gt;"",CX12=""),AND(DE12&gt;=DG$19,DE12&lt;&gt;"",CX12=""),AND(EA12&gt;=EG$19,EA12&lt;&gt;""),AND(EE12&gt;=EG$19,EE12&lt;&gt;""),AND(EW12&gt;=FC$19,EW12&lt;&gt;""),AND(FA12&gt;=FC$19,FA12&lt;&gt;""),AND(FS12&gt;=FY$19,FS12&lt;&gt;""),AND(FW12&gt;=FY$19,FW12&lt;&gt;""),AND(GO12&gt;=GU$19,GO12&lt;&gt;""),AND(GS12&gt;=GU$19,GS12&lt;&gt;""),AND(HK12&gt;=HQ$19,HK12&lt;&gt;""),AND(HO12&gt;=HQ$19,HO12&lt;&gt;""),AND(IG12&gt;=IM$19,IG12&lt;&gt;""),AND(IK12&gt;=IM$19,IK12&lt;&gt;""),AND(JC12&gt;=JI$19,JC12&lt;&gt;""),AND(JG12&gt;=JI$19,JG12&lt;&gt;""),AND(JY12&gt;=KE$19,JY12&lt;&gt;""),AND(KC12&gt;=KE$19,KC12&lt;&gt;""),AND(KU12&gt;=LA$19,KU12&lt;&gt;""),AND(KY12&gt;=LA$19,KY12&lt;&gt;""),AND(LQ12&gt;=LW$19,LQ12&lt;&gt;""),AND(LU12&gt;=LW$19,LU12&lt;&gt;""),AND(MM12&gt;=MS$19,MM12&lt;&gt;""),AND(MQ12&gt;=MS$19,MQ12&lt;&gt;""),AND(NI12&gt;=NO$19,NI12&lt;&gt;""),AND(NM12&gt;=NO$19,NM12&lt;&gt;"")),"Excellence",IF(OR(AND(AR12&gt;=AY$18,AR12&lt;&gt;"",AP12=""),AND(AT12&gt;=AY$18,AT12&lt;&gt;"",AP12=""),AND(AW12&gt;=AY$18,AW12&lt;&gt;"",AP12=""),AND(BV12&gt;=CC$18,BV12&lt;&gt;"",BT12=""),AND(BX12&gt;=CC$18,BX12&lt;&gt;"",BT12=""),AND(CA12&gt;=CC$18,CA12&lt;&gt;"",BT12=""),AND(CZ12&gt;=DG$18,CZ12&lt;&gt;"",CX12=""),AND(DB12&gt;=DG$18,DB12&lt;&gt;"",CX12=""),AND(DE12&gt;=DG$18,DE12&lt;&gt;"",CX12=""),AND(EA12&gt;=EG$18,EA12&lt;&gt;""),AND(EE12&gt;=EG$18,EE12&lt;&gt;""),AND(EW12&gt;=FC$18,EW12&lt;&gt;""),AND(FA12&gt;=FC$18,FA12&lt;&gt;""),AND(FS12&gt;=FY$18,FS12&lt;&gt;""),AND(FW12&gt;=FY$18,FW12&lt;&gt;""),AND(GO12&gt;=GU$18,GO12&lt;&gt;""),AND(GS12&gt;=GU$18,GS12&lt;&gt;""),AND(HK12&gt;=HQ$18,HK12&lt;&gt;""),AND(HO12&gt;=HQ$18,HO12&lt;&gt;""),AND(IG12&gt;=IM$18,IG12&lt;&gt;""),AND(IK12&gt;=IM$18,IK12&lt;&gt;""),AND(JC12&gt;=JI$18,JC12&lt;&gt;""),AND(JG12&gt;=JI$18,JG12&lt;&gt;""),AND(JY12&gt;=KE$18,JY12&lt;&gt;""),AND(KC12&gt;=KE$18,KC12&lt;&gt;""),AND(KU12&gt;=LA$18,KU12&lt;&gt;""),AND(KY12&gt;=LA$18,KY12&lt;&gt;""),AND(LQ12&gt;=LW$18,LQ12&lt;&gt;""),AND(LU12&gt;=LW$18,LU12&lt;&gt;""),AND(MM12&gt;=MS$18,MM12&lt;&gt;""),AND(MQ12&gt;=MS$18,MQ12&lt;&gt;""),AND(NI12&gt;=NO$18,NI12&lt;&gt;""),AND(NM12&gt;=NO$18,NM12&lt;&gt;"")),"Worlds Team",IF(OR(AND(AR12&gt;=AY$17,AR12&lt;&gt;"",AP12=""),AND(AT12&gt;=AY$17,AT12&lt;&gt;"",AP12=""),AND(AW12&gt;=AY$17,AW12&lt;&gt;"",AP12=""),AND(BV12&gt;=CC$17,BV12&lt;&gt;"",BT12=""),AND(BX12&gt;=CC$17,BX12&lt;&gt;"",BT12=""),AND(CA12&gt;=CC$17,CA12&lt;&gt;"",BT12=""),AND(CZ12&gt;=DG$17,CZ12&lt;&gt;"",CX12=""),AND(DB12&gt;=DG$17,DB12&lt;&gt;"",CX12=""),AND(DE12&gt;=DG$17,DE12&lt;&gt;"",CX12=""),AND(EA12&gt;=EG$17,EA12&lt;&gt;""),AND(EE12&gt;=EG$17,EE12&lt;&gt;""),AND(EW12&gt;=FC$17,EW12&lt;&gt;""),AND(FA12&gt;=FC$17,FA12&lt;&gt;""),AND(FS12&gt;=FY$17,FS12&lt;&gt;""),AND(FW12&gt;=FY$17,FW12&lt;&gt;""),AND(GO12&gt;=GU$17,GO12&lt;&gt;""),AND(GS12&gt;=GU$17,GS12&lt;&gt;""),AND(HK12&gt;=HQ$17,HK12&lt;&gt;""),AND(HO12&gt;=HQ$17,HO12&lt;&gt;""),AND(IG12&gt;=IM$17,IG12&lt;&gt;""),AND(IK12&gt;=IM$17,IK12&lt;&gt;""),AND(JC12&gt;=JI$17,JC12&lt;&gt;""),AND(JG12&gt;=JI$17,JG12&lt;&gt;""),AND(JY12&gt;=KE$17,JY12&lt;&gt;""),AND(KC12&gt;=KE$17,KC12&lt;&gt;""),AND(KU12&gt;=LA$17,KU12&lt;&gt;""),AND(KY12&gt;=LA$17,KY12&lt;&gt;""),AND(LQ12&gt;=LW$17,LQ12&lt;&gt;""),AND(LU12&gt;=LW$17,LU12&lt;&gt;""),AND(MM12&gt;=MS$17,MM12&lt;&gt;""),AND(MQ12&gt;=MS$17,MQ12&lt;&gt;""),AND(NI12&gt;=NO$17,NI12&lt;&gt;""),AND(NM12&gt;=NO$17,NM12&lt;&gt;"")),"National Team",""))))</f>
        <v>Merit</v>
      </c>
      <c r="H12" s="125" t="str">
        <f>IF(OR(AND(AS12&gt;=AY$24,AS12&lt;&gt;"",AP12=""),AND(AU12&gt;=AY$24,AU12&lt;&gt;"",AP12=""),AND(AX12&gt;=AY$24,AX12&lt;&gt;"",AP12=""),AND(BW12&gt;=CC$24,BW12&lt;&gt;"",BT12=""),AND(BY12&gt;=CC$24,BY12&lt;&gt;"",BT12=""),AND(CB12&gt;=CC$24,CB12&lt;&gt;"",BT12=""),AND(DA12&gt;=DG$24,DA12&lt;&gt;"",CX12=""),AND(DC12&gt;=DG$24,DC12&lt;&gt;"",CX12=""),AND(DF12&gt;=DG$24,DF12&lt;&gt;"",CX12=""),AND(EC12&gt;=EG$24,EC12&lt;&gt;""),AND(EF12&gt;=EG$24,EF12&lt;&gt;""),AND(EY12&gt;=FC$24,EY12&lt;&gt;""),AND(FB12&gt;=FC$24,FB12&lt;&gt;""),AND(FU12&gt;=FY$24,FU12&lt;&gt;""),AND(FX12&gt;=FY$24,FX12&lt;&gt;""),AND(GQ12&gt;=GU$24,GQ12&lt;&gt;""),AND(GT12&gt;=GU$24,GT12&lt;&gt;""),AND(HM12&gt;=HQ$24,HM12&lt;&gt;""),AND(HP12&gt;=HQ$24,HP12&lt;&gt;""),AND(II12&gt;=IM$24,II12&lt;&gt;""),AND(IL12&gt;=IM$24,IL12&lt;&gt;""),AND(JE12&gt;=JI$24,JE12&lt;&gt;""),AND(JH12&gt;=JI$24,JH12&lt;&gt;""),AND(KA12&gt;=KE$24,KA12&lt;&gt;""),AND(KD12&gt;=KE$24,KD12&lt;&gt;""),AND(KW12&gt;=LA$24,KW12&lt;&gt;""),AND(KZ12&gt;=LA$24,KZ12&lt;&gt;""),AND(LS12&gt;=LW$24,LS12&lt;&gt;""),AND(LV12&gt;=LW$24,LV12&lt;&gt;""),AND(MO12&gt;=MS$24,MO12&lt;&gt;""),AND(MR12&gt;=MS$24,MR12&lt;&gt;""),AND(NK12&gt;=NO$24,NK12&lt;&gt;""),AND(NN12&gt;=NO$24,NN12&lt;&gt;"")),"Merit",IF(OR(AND(AS12&gt;=AY$23,AS12&lt;&gt;"",AP12=""),AND(AU12&gt;=AY$23,AU12&lt;&gt;"",AP12=""),AND(AX12&gt;=AY$23,AX12&lt;&gt;"",AP12=""),AND(BW12&gt;=CC$23,BW12&lt;&gt;"",BT12=""),AND(BY12&gt;=CC$23,BY12&lt;&gt;"",BT12=""),AND(CB12&gt;=CC$23,CB12&lt;&gt;"",BT12=""),AND(DA12&gt;=DG$23,DA12&lt;&gt;"",CX12=""),AND(DC12&gt;=DG$23,DC12&lt;&gt;"",CX12=""),AND(DF12&gt;=DG$23,DF12&lt;&gt;"",CX12=""),AND(EC12&gt;=EG$23,EC12&lt;&gt;""),AND(EF12&gt;=EG$23,EF12&lt;&gt;""),AND(EY12&gt;=FC$23,EY12&lt;&gt;""),AND(FB12&gt;=FC$23,FB12&lt;&gt;""),AND(FU12&gt;=FY$23,FU12&lt;&gt;""),AND(FX12&gt;=FY$23,FX12&lt;&gt;""),AND(GQ12&gt;=GU$23,GQ12&lt;&gt;""),AND(GT12&gt;=GU$23,GT12&lt;&gt;""),AND(HM12&gt;=HQ$23,HM12&lt;&gt;""),AND(HP12&gt;=HQ$23,HP12&lt;&gt;""),AND(II12&gt;=IM$23,II12&lt;&gt;""),AND(IL12&gt;=IM$23,IL12&lt;&gt;""),AND(JE12&gt;=JI$23,JE12&lt;&gt;""),AND(JH12&gt;=JI$23,JH12&lt;&gt;""),AND(KA12&gt;=KE$23,KA12&lt;&gt;""),AND(KD12&gt;=KE$23,KD12&lt;&gt;""),AND(KW12&gt;=LA$23,KW12&lt;&gt;""),AND(KZ12&gt;=LA$23,KZ12&lt;&gt;""),AND(LS12&gt;=LW$23,LS12&lt;&gt;""),AND(LV12&gt;=LW$23,LV12&lt;&gt;""),AND(MO12&gt;=MS$23,MO12&lt;&gt;""),AND(MR12&gt;=MS$23,MR12&lt;&gt;""),AND(NK12&gt;=NO$23,NK12&lt;&gt;""),AND(NN12&gt;=NO$23,NN12&lt;&gt;"")),"Excellence",IF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"Worlds Team",IF(OR(AND(AV12&gt;=AY$21,AV12&lt;&gt;"",AP12=""),AND(BZ12&gt;=CC$21,BZ12&lt;&gt;"",BT12=""),AND(DD12&gt;=DG$21,DD12&lt;&gt;"",CX12=""),AND(ED12&gt;=EG$21,ED12&lt;&gt;""),AND(EZ12&gt;=FC$21,EZ12&lt;&gt;""),AND(FV12&gt;=FY$21,FV12&lt;&gt;""),AND(GR12&gt;=GU$21,GR12&lt;&gt;""),AND(HN12&gt;=HQ$21,HN12&lt;&gt;""),AND(IJ12&gt;=IM$21,IJ12&lt;&gt;""),AND(JF12&gt;=JI$21,JF12&lt;&gt;""),AND(KB12&gt;=KE$21,KB12&lt;&gt;""),AND(KX12&gt;=LA$21,KX12&lt;&gt;""),AND(LT12&gt;=LW$21,LT12&lt;&gt;""),AND(MP12&gt;=MS$21,MP12&lt;&gt;""),AND(NL12&gt;=NO$21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OR(G12="Worlds Team",G12="Excellence",G12="Merit")),"P","")</f>
        <v/>
      </c>
      <c r="K12" s="14">
        <f>IF(MAX(AV12,BZ12,DD12)&gt;0,MAX(AV12,BZ12,DD12),0)</f>
        <v>94.210000000000008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45.625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49.865000000000002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51.56</v>
      </c>
      <c r="R12" s="14" t="str">
        <f>IF(Q12=0,"",IF(Q12=DF12,$CD$1,IF(Q12=CB12,$AZ$1,IF(Q12=AX12,$V$1,""))))</f>
        <v>2021 Elite Canada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17.2</v>
      </c>
      <c r="W12" s="69">
        <v>9.1999999999999993</v>
      </c>
      <c r="X12" s="69">
        <v>3.9</v>
      </c>
      <c r="Y12" s="69">
        <v>15.324999999999999</v>
      </c>
      <c r="Z12" s="69">
        <v>0</v>
      </c>
      <c r="AA12" s="69">
        <v>2.5</v>
      </c>
      <c r="AB12" s="69">
        <v>1.9</v>
      </c>
      <c r="AC12" s="69">
        <v>3.1</v>
      </c>
      <c r="AD12" s="69">
        <v>3.18</v>
      </c>
      <c r="AE12" s="69">
        <v>0</v>
      </c>
      <c r="AF12" s="69">
        <v>9</v>
      </c>
      <c r="AG12" s="69">
        <v>6.4</v>
      </c>
      <c r="AH12" s="69">
        <v>8.3000000000000007</v>
      </c>
      <c r="AI12" s="69">
        <v>10.46</v>
      </c>
      <c r="AJ12" s="69">
        <v>0</v>
      </c>
      <c r="AK12" s="69">
        <v>5.8</v>
      </c>
      <c r="AL12" s="69">
        <v>4.4000000000000004</v>
      </c>
      <c r="AM12" s="69">
        <v>6.7</v>
      </c>
      <c r="AN12" s="69">
        <v>7.2249999999999996</v>
      </c>
      <c r="AO12" s="69">
        <v>0</v>
      </c>
      <c r="AP12" s="80"/>
      <c r="AQ12" s="11">
        <f>IF(SUM(V12:Y12)-Z12&gt;0,SUM(V12:Y12)-Z12,"")</f>
        <v>45.625</v>
      </c>
      <c r="AR12" s="11">
        <f>IF(AC12&gt;0,AC12,"")</f>
        <v>3.1</v>
      </c>
      <c r="AS12" s="11">
        <f>IF(SUM(AA12:AD12)-AE12&gt;0,SUM(AA12:AD12)-AE12,"")</f>
        <v>10.68</v>
      </c>
      <c r="AT12" s="11">
        <f>IF(AH12&gt;0,AH12,"")</f>
        <v>8.3000000000000007</v>
      </c>
      <c r="AU12" s="11">
        <f>IF(SUM(AF12:AI12)-AJ12&gt;0,SUM(AF12:AI12)-AJ12,"")</f>
        <v>34.160000000000004</v>
      </c>
      <c r="AV12" s="11">
        <f>IF(AQ12="",IF(MAX(AS12,AU12)&gt;0,MAX(AS12,AU12),""),MAX(AS12,AU12)+AQ12)</f>
        <v>79.784999999999997</v>
      </c>
      <c r="AW12" s="11">
        <f>IF(AM12&gt;0,AM12,"")</f>
        <v>6.7</v>
      </c>
      <c r="AX12" s="11">
        <f>IF(SUM(AK12:AN12)-AO12&gt;0,SUM(AK12:AN12)-AO12,"")</f>
        <v>24.125</v>
      </c>
      <c r="AY12" s="11">
        <f>IF(SUM(AV12,AX12)&gt;0,SUM(AV12,AX12),"")</f>
        <v>103.91</v>
      </c>
      <c r="AZ12" s="75">
        <v>15.6</v>
      </c>
      <c r="BA12" s="75">
        <v>9.1</v>
      </c>
      <c r="BB12" s="75">
        <v>3.7</v>
      </c>
      <c r="BC12" s="75">
        <v>15.08</v>
      </c>
      <c r="BD12" s="75">
        <v>0</v>
      </c>
      <c r="BE12" s="75">
        <v>13</v>
      </c>
      <c r="BF12" s="75">
        <v>9.1999999999999993</v>
      </c>
      <c r="BG12" s="75">
        <v>13.3</v>
      </c>
      <c r="BH12" s="75">
        <v>14.365</v>
      </c>
      <c r="BI12" s="75">
        <v>0</v>
      </c>
      <c r="BJ12" s="75">
        <v>13.5</v>
      </c>
      <c r="BK12" s="75">
        <v>9.3000000000000007</v>
      </c>
      <c r="BL12" s="75">
        <v>13.3</v>
      </c>
      <c r="BM12" s="75">
        <v>14.63</v>
      </c>
      <c r="BN12" s="75">
        <v>0</v>
      </c>
      <c r="BO12" s="75">
        <v>14</v>
      </c>
      <c r="BP12" s="75">
        <v>9.6</v>
      </c>
      <c r="BQ12" s="75">
        <v>13.3</v>
      </c>
      <c r="BR12" s="75">
        <v>14.66</v>
      </c>
      <c r="BS12" s="75">
        <v>0</v>
      </c>
      <c r="BT12" s="81"/>
      <c r="BU12" s="14">
        <f>IF(SUM(AZ12:BC12)-BD12&gt;0,SUM(AZ12:BC12)-BD12,"")</f>
        <v>43.48</v>
      </c>
      <c r="BV12" s="14">
        <f>IF(BG12&gt;0,BG12,"")</f>
        <v>13.3</v>
      </c>
      <c r="BW12" s="14">
        <f>IF(SUM(BE12:BH12)-BI12&gt;0,SUM(BE12:BH12)-BI12,"")</f>
        <v>49.865000000000002</v>
      </c>
      <c r="BX12" s="14">
        <f>IF(BL12&gt;0,BL12,"")</f>
        <v>13.3</v>
      </c>
      <c r="BY12" s="14">
        <f>IF(SUM(BJ12:BM12)-BN12&gt;0,SUM(BJ12:BM12)-BN12,"")</f>
        <v>50.730000000000004</v>
      </c>
      <c r="BZ12" s="14">
        <f>IF(BU12="",IF(MAX(BW12,BY12)&gt;0,MAX(BW12,BY12),""),MAX(BW12,BY12)+BU12)</f>
        <v>94.210000000000008</v>
      </c>
      <c r="CA12" s="14">
        <f>IF(BQ12&gt;0,BQ12,"")</f>
        <v>13.3</v>
      </c>
      <c r="CB12" s="14">
        <f>IF(SUM(BO12:BR12)-BS12&gt;0,SUM(BO12:BR12)-BS12,"")</f>
        <v>51.56</v>
      </c>
      <c r="CC12" s="14">
        <f>IF(SUM(BZ12,CB12)&gt;0,SUM(BZ12,CB12),"")</f>
        <v>145.77000000000001</v>
      </c>
      <c r="CD12" s="69">
        <v>16.3</v>
      </c>
      <c r="CE12" s="69">
        <v>8.6999999999999993</v>
      </c>
      <c r="CF12" s="69">
        <v>3.5</v>
      </c>
      <c r="CG12" s="69">
        <v>15.31</v>
      </c>
      <c r="CH12" s="69">
        <v>0</v>
      </c>
      <c r="CI12" s="69">
        <v>11.8</v>
      </c>
      <c r="CJ12" s="69">
        <v>8.5</v>
      </c>
      <c r="CK12" s="69">
        <v>11.9</v>
      </c>
      <c r="CL12" s="69">
        <v>14.21</v>
      </c>
      <c r="CM12" s="69">
        <v>0</v>
      </c>
      <c r="CN12" s="69">
        <v>6.6</v>
      </c>
      <c r="CO12" s="69">
        <v>4.4000000000000004</v>
      </c>
      <c r="CP12" s="69">
        <v>7.1</v>
      </c>
      <c r="CQ12" s="69">
        <v>7.5949999999999998</v>
      </c>
      <c r="CR12" s="69">
        <v>0</v>
      </c>
      <c r="CS12" s="69">
        <v>10.8</v>
      </c>
      <c r="CT12" s="69">
        <v>8.4</v>
      </c>
      <c r="CU12" s="69">
        <v>11.7</v>
      </c>
      <c r="CV12" s="69">
        <v>13.29</v>
      </c>
      <c r="CW12" s="69">
        <v>0</v>
      </c>
      <c r="CX12" s="80"/>
      <c r="CY12" s="11">
        <f>IF(SUM(CD12:CG12)-CH12&gt;0,SUM(CD12:CG12)-CH12,"")</f>
        <v>43.81</v>
      </c>
      <c r="CZ12" s="11">
        <f>IF(CK12&gt;0,CK12,"")</f>
        <v>11.9</v>
      </c>
      <c r="DA12" s="11">
        <f>IF(SUM(CI12:CL12)-CM12&gt;0,SUM(CI12:CL12)-CM12,"")</f>
        <v>46.410000000000004</v>
      </c>
      <c r="DB12" s="11">
        <f>IF(CP12&gt;0,CP12,"")</f>
        <v>7.1</v>
      </c>
      <c r="DC12" s="11">
        <f>IF(SUM(CN12:CQ12)-CR12&gt;0,SUM(CN12:CQ12)-CR12,"")</f>
        <v>25.695</v>
      </c>
      <c r="DD12" s="11">
        <f>IF(CY12="",IF(MAX(DA12,DC12)&gt;0,MAX(DA12,DC12),""),MAX(DA12,DC12)+CY12)</f>
        <v>90.22</v>
      </c>
      <c r="DE12" s="11">
        <f>IF(CU12&gt;0,CU12,"")</f>
        <v>11.7</v>
      </c>
      <c r="DF12" s="11">
        <f>IF(SUM(CS12:CV12)-CW12&gt;0,SUM(CS12:CV12)-CW12,"")</f>
        <v>44.19</v>
      </c>
      <c r="DG12" s="11">
        <f>IF(SUM(DD12,DF12)&gt;0,SUM(DD12,DF12),"")</f>
        <v>134.41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15.95</v>
      </c>
      <c r="NQ12" s="69">
        <f>IF($CX12="P",CE12,(CE12+BA12)/2)</f>
        <v>8.8999999999999986</v>
      </c>
      <c r="NR12" s="69">
        <f>IF($CX12="P",CF12,(CF12+BB12)/2)</f>
        <v>3.6</v>
      </c>
      <c r="NS12" s="69">
        <f>IF($CX12="P",CG12,(CG12+BC12)/2)</f>
        <v>15.195</v>
      </c>
      <c r="NT12" s="69">
        <f>IF($CX12="P",CH12,(CH12+BD12)/2)</f>
        <v>0</v>
      </c>
      <c r="NU12" s="69">
        <f>IF($CX12="P",CI12,(CI12+BE12)/2)</f>
        <v>12.4</v>
      </c>
      <c r="NV12" s="69">
        <f>IF($CX12="P",CJ12,(CJ12+BF12)/2)</f>
        <v>8.85</v>
      </c>
      <c r="NW12" s="69">
        <f>IF($CX12="P",CK12,(CK12+BG12)/2)</f>
        <v>12.600000000000001</v>
      </c>
      <c r="NX12" s="69">
        <f>IF($CX12="P",CL12,(CL12+BH12)/2)</f>
        <v>14.287500000000001</v>
      </c>
      <c r="NY12" s="69">
        <f>IF($CX12="P",CM12,(CM12+BI12)/2)</f>
        <v>0</v>
      </c>
      <c r="NZ12" s="69">
        <f>IF($CX12="P",CN12,(CN12+BJ12)/2)</f>
        <v>10.050000000000001</v>
      </c>
      <c r="OA12" s="69">
        <f>IF($CX12="P",CO12,(CO12+BK12)/2)</f>
        <v>6.8500000000000005</v>
      </c>
      <c r="OB12" s="69">
        <f>IF($CX12="P",CP12,(CP12+BL12)/2)</f>
        <v>10.199999999999999</v>
      </c>
      <c r="OC12" s="69">
        <f>IF($CX12="P",CQ12,(CQ12+BM12)/2)</f>
        <v>11.112500000000001</v>
      </c>
      <c r="OD12" s="69">
        <f>IF($CX12="P",CR12,(CR12+BN12)/2)</f>
        <v>0</v>
      </c>
      <c r="OE12" s="69">
        <f>IF($CX12="P",CS12,(CS12+BO12)/2)</f>
        <v>12.4</v>
      </c>
      <c r="OF12" s="69">
        <f>IF($CX12="P",CT12,(CT12+BP12)/2)</f>
        <v>9</v>
      </c>
      <c r="OG12" s="69">
        <f>IF($CX12="P",CU12,(CU12+BQ12)/2)</f>
        <v>12.5</v>
      </c>
      <c r="OH12" s="69">
        <f>IF($CX12="P",CV12,(CV12+BR12)/2)</f>
        <v>13.975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43.644999999999996</v>
      </c>
      <c r="OL12" s="11">
        <f>IF(NW12&gt;0,NW12,"")</f>
        <v>12.600000000000001</v>
      </c>
      <c r="OM12" s="11">
        <f>IF(SUM(NU12:NX12)-NY12&gt;0,SUM(NU12:NX12)-NY12,"")</f>
        <v>48.137500000000003</v>
      </c>
      <c r="ON12" s="11">
        <f>IF(OB12&gt;0,OB12,"")</f>
        <v>10.199999999999999</v>
      </c>
      <c r="OO12" s="11">
        <f>IF(SUM(NZ12:OC12)-OD12&gt;0,SUM(NZ12:OC12)-OD12,"")</f>
        <v>38.212500000000006</v>
      </c>
      <c r="OP12" s="11">
        <f>IF(OR(OK12&lt;&gt;"",OM12&lt;&gt;"",OO12&lt;&gt;""),OK12+MAX(OM12,OO12),"")</f>
        <v>91.782499999999999</v>
      </c>
      <c r="OQ12" s="11">
        <f>IF(OG12&gt;0,OG12,"")</f>
        <v>12.5</v>
      </c>
      <c r="OR12" s="11">
        <f t="shared" si="0"/>
        <v>47.875</v>
      </c>
      <c r="OS12" s="11">
        <f t="shared" si="1"/>
        <v>139.6575</v>
      </c>
    </row>
    <row r="13" spans="1:409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112</v>
      </c>
      <c r="C13" s="5" t="s">
        <v>3</v>
      </c>
      <c r="D13" s="5">
        <v>2002</v>
      </c>
      <c r="E13" s="15">
        <f>SUM(K13:S13)</f>
        <v>225.55999999999997</v>
      </c>
      <c r="F13" s="3" t="str">
        <f>IF(G13&lt;&gt;"","P","")</f>
        <v/>
      </c>
      <c r="G13" s="125" t="str">
        <f>IF(OR(AND(AR13&gt;=AY$20,AR13&lt;&gt;"",AP13=""),AND(AT13&gt;=AY$20,AT13&lt;&gt;"",AP13=""),AND(AW13&gt;=AY$20,AW13&lt;&gt;"",AP13=""),AND(BV13&gt;=CC$20,BV13&lt;&gt;"",BT13=""),AND(BX13&gt;=CC$20,BX13&lt;&gt;"",BT13=""),AND(CA13&gt;=CC$20,CA13&lt;&gt;"",BT13=""),AND(CZ13&gt;=DG$20,CZ13&lt;&gt;"",CX13=""),AND(DB13&gt;=DG$20,DB13&lt;&gt;"",CX13=""),AND(DE13&gt;=DG$20,DE13&lt;&gt;"",CX13=""),AND(EA13&gt;=EG$20,EA13&lt;&gt;""),AND(EE13&gt;=EG$20,EE13&lt;&gt;""),AND(EW13&gt;=FC$20,EW13&lt;&gt;""),AND(FA13&gt;=FC$20,FA13&lt;&gt;""),AND(FS13&gt;=FY$20,FS13&lt;&gt;""),AND(FW13&gt;=FY$20,FW13&lt;&gt;""),AND(GO13&gt;=GU$20,GO13&lt;&gt;""),AND(GS13&gt;=GU$20,GS13&lt;&gt;""),AND(HK13&gt;=HQ$20,HK13&lt;&gt;""),AND(HO13&gt;=HQ$20,HO13&lt;&gt;""),AND(IG13&gt;=IM$20,IG13&lt;&gt;""),AND(IK13&gt;=IM$20,IK13&lt;&gt;""),AND(JC13&gt;=JI$20,JC13&lt;&gt;""),AND(JG13&gt;=JI$20,JG13&lt;&gt;""),AND(JY13&gt;=KE$20,JY13&lt;&gt;""),AND(KC13&gt;=KE$20,KC13&lt;&gt;""),AND(KU13&gt;=LA$20,KU13&lt;&gt;""),AND(KY13&gt;=LA$20,KY13&lt;&gt;""),AND(LQ13&gt;=LW$20,LQ13&lt;&gt;""),AND(LU13&gt;=LW$20,LU13&lt;&gt;""),AND(MM13&gt;=MS$20,MM13&lt;&gt;""),AND(MQ13&gt;=MS$20,MQ13&lt;&gt;""),AND(NI13&gt;=NO$20,NI13&lt;&gt;""),AND(NM13&gt;=NO$20,NM13&lt;&gt;"")),"Merit",IF(OR(AND(AR13&gt;=AY$19,AR13&lt;&gt;"",AP13=""),AND(AT13&gt;=AY$19,AT13&lt;&gt;"",AP13=""),AND(AW13&gt;=AY$19,AW13&lt;&gt;"",AP13=""),AND(BV13&gt;=CC$19,BV13&lt;&gt;"",BT13=""),AND(BX13&gt;=CC$19,BX13&lt;&gt;"",BT13=""),AND(CA13&gt;=CC$19,CA13&lt;&gt;"",BT13=""),AND(CZ13&gt;=DG$19,CZ13&lt;&gt;"",CX13=""),AND(DB13&gt;=DG$19,DB13&lt;&gt;"",CX13=""),AND(DE13&gt;=DG$19,DE13&lt;&gt;"",CX13=""),AND(EA13&gt;=EG$19,EA13&lt;&gt;""),AND(EE13&gt;=EG$19,EE13&lt;&gt;""),AND(EW13&gt;=FC$19,EW13&lt;&gt;""),AND(FA13&gt;=FC$19,FA13&lt;&gt;""),AND(FS13&gt;=FY$19,FS13&lt;&gt;""),AND(FW13&gt;=FY$19,FW13&lt;&gt;""),AND(GO13&gt;=GU$19,GO13&lt;&gt;""),AND(GS13&gt;=GU$19,GS13&lt;&gt;""),AND(HK13&gt;=HQ$19,HK13&lt;&gt;""),AND(HO13&gt;=HQ$19,HO13&lt;&gt;""),AND(IG13&gt;=IM$19,IG13&lt;&gt;""),AND(IK13&gt;=IM$19,IK13&lt;&gt;""),AND(JC13&gt;=JI$19,JC13&lt;&gt;""),AND(JG13&gt;=JI$19,JG13&lt;&gt;""),AND(JY13&gt;=KE$19,JY13&lt;&gt;""),AND(KC13&gt;=KE$19,KC13&lt;&gt;""),AND(KU13&gt;=LA$19,KU13&lt;&gt;""),AND(KY13&gt;=LA$19,KY13&lt;&gt;""),AND(LQ13&gt;=LW$19,LQ13&lt;&gt;""),AND(LU13&gt;=LW$19,LU13&lt;&gt;""),AND(MM13&gt;=MS$19,MM13&lt;&gt;""),AND(MQ13&gt;=MS$19,MQ13&lt;&gt;""),AND(NI13&gt;=NO$19,NI13&lt;&gt;""),AND(NM13&gt;=NO$19,NM13&lt;&gt;"")),"Excellence",IF(OR(AND(AR13&gt;=AY$18,AR13&lt;&gt;"",AP13=""),AND(AT13&gt;=AY$18,AT13&lt;&gt;"",AP13=""),AND(AW13&gt;=AY$18,AW13&lt;&gt;"",AP13=""),AND(BV13&gt;=CC$18,BV13&lt;&gt;"",BT13=""),AND(BX13&gt;=CC$18,BX13&lt;&gt;"",BT13=""),AND(CA13&gt;=CC$18,CA13&lt;&gt;"",BT13=""),AND(CZ13&gt;=DG$18,CZ13&lt;&gt;"",CX13=""),AND(DB13&gt;=DG$18,DB13&lt;&gt;"",CX13=""),AND(DE13&gt;=DG$18,DE13&lt;&gt;"",CX13=""),AND(EA13&gt;=EG$18,EA13&lt;&gt;""),AND(EE13&gt;=EG$18,EE13&lt;&gt;""),AND(EW13&gt;=FC$18,EW13&lt;&gt;""),AND(FA13&gt;=FC$18,FA13&lt;&gt;""),AND(FS13&gt;=FY$18,FS13&lt;&gt;""),AND(FW13&gt;=FY$18,FW13&lt;&gt;""),AND(GO13&gt;=GU$18,GO13&lt;&gt;""),AND(GS13&gt;=GU$18,GS13&lt;&gt;""),AND(HK13&gt;=HQ$18,HK13&lt;&gt;""),AND(HO13&gt;=HQ$18,HO13&lt;&gt;""),AND(IG13&gt;=IM$18,IG13&lt;&gt;""),AND(IK13&gt;=IM$18,IK13&lt;&gt;""),AND(JC13&gt;=JI$18,JC13&lt;&gt;""),AND(JG13&gt;=JI$18,JG13&lt;&gt;""),AND(JY13&gt;=KE$18,JY13&lt;&gt;""),AND(KC13&gt;=KE$18,KC13&lt;&gt;""),AND(KU13&gt;=LA$18,KU13&lt;&gt;""),AND(KY13&gt;=LA$18,KY13&lt;&gt;""),AND(LQ13&gt;=LW$18,LQ13&lt;&gt;""),AND(LU13&gt;=LW$18,LU13&lt;&gt;""),AND(MM13&gt;=MS$18,MM13&lt;&gt;""),AND(MQ13&gt;=MS$18,MQ13&lt;&gt;""),AND(NI13&gt;=NO$18,NI13&lt;&gt;""),AND(NM13&gt;=NO$18,NM13&lt;&gt;"")),"Worlds Team",IF(OR(AND(AR13&gt;=AY$17,AR13&lt;&gt;"",AP13=""),AND(AT13&gt;=AY$17,AT13&lt;&gt;"",AP13=""),AND(AW13&gt;=AY$17,AW13&lt;&gt;"",AP13=""),AND(BV13&gt;=CC$17,BV13&lt;&gt;"",BT13=""),AND(BX13&gt;=CC$17,BX13&lt;&gt;"",BT13=""),AND(CA13&gt;=CC$17,CA13&lt;&gt;"",BT13=""),AND(CZ13&gt;=DG$17,CZ13&lt;&gt;"",CX13=""),AND(DB13&gt;=DG$17,DB13&lt;&gt;"",CX13=""),AND(DE13&gt;=DG$17,DE13&lt;&gt;"",CX13=""),AND(EA13&gt;=EG$17,EA13&lt;&gt;""),AND(EE13&gt;=EG$17,EE13&lt;&gt;""),AND(EW13&gt;=FC$17,EW13&lt;&gt;""),AND(FA13&gt;=FC$17,FA13&lt;&gt;""),AND(FS13&gt;=FY$17,FS13&lt;&gt;""),AND(FW13&gt;=FY$17,FW13&lt;&gt;""),AND(GO13&gt;=GU$17,GO13&lt;&gt;""),AND(GS13&gt;=GU$17,GS13&lt;&gt;""),AND(HK13&gt;=HQ$17,HK13&lt;&gt;""),AND(HO13&gt;=HQ$17,HO13&lt;&gt;""),AND(IG13&gt;=IM$17,IG13&lt;&gt;""),AND(IK13&gt;=IM$17,IK13&lt;&gt;""),AND(JC13&gt;=JI$17,JC13&lt;&gt;""),AND(JG13&gt;=JI$17,JG13&lt;&gt;""),AND(JY13&gt;=KE$17,JY13&lt;&gt;""),AND(KC13&gt;=KE$17,KC13&lt;&gt;""),AND(KU13&gt;=LA$17,KU13&lt;&gt;""),AND(KY13&gt;=LA$17,KY13&lt;&gt;""),AND(LQ13&gt;=LW$17,LQ13&lt;&gt;""),AND(LU13&gt;=LW$17,LU13&lt;&gt;""),AND(MM13&gt;=MS$17,MM13&lt;&gt;""),AND(MQ13&gt;=MS$17,MQ13&lt;&gt;""),AND(NI13&gt;=NO$17,NI13&lt;&gt;""),AND(NM13&gt;=NO$17,NM13&lt;&gt;"")),"National Team",""))))</f>
        <v/>
      </c>
      <c r="H13" s="125" t="str">
        <f>IF(OR(AND(AS13&gt;=AY$24,AS13&lt;&gt;"",AP13=""),AND(AU13&gt;=AY$24,AU13&lt;&gt;"",AP13=""),AND(AX13&gt;=AY$24,AX13&lt;&gt;"",AP13=""),AND(BW13&gt;=CC$24,BW13&lt;&gt;"",BT13=""),AND(BY13&gt;=CC$24,BY13&lt;&gt;"",BT13=""),AND(CB13&gt;=CC$24,CB13&lt;&gt;"",BT13=""),AND(DA13&gt;=DG$24,DA13&lt;&gt;"",CX13=""),AND(DC13&gt;=DG$24,DC13&lt;&gt;"",CX13=""),AND(DF13&gt;=DG$24,DF13&lt;&gt;"",CX13=""),AND(EC13&gt;=EG$24,EC13&lt;&gt;""),AND(EF13&gt;=EG$24,EF13&lt;&gt;""),AND(EY13&gt;=FC$24,EY13&lt;&gt;""),AND(FB13&gt;=FC$24,FB13&lt;&gt;""),AND(FU13&gt;=FY$24,FU13&lt;&gt;""),AND(FX13&gt;=FY$24,FX13&lt;&gt;""),AND(GQ13&gt;=GU$24,GQ13&lt;&gt;""),AND(GT13&gt;=GU$24,GT13&lt;&gt;""),AND(HM13&gt;=HQ$24,HM13&lt;&gt;""),AND(HP13&gt;=HQ$24,HP13&lt;&gt;""),AND(II13&gt;=IM$24,II13&lt;&gt;""),AND(IL13&gt;=IM$24,IL13&lt;&gt;""),AND(JE13&gt;=JI$24,JE13&lt;&gt;""),AND(JH13&gt;=JI$24,JH13&lt;&gt;""),AND(KA13&gt;=KE$24,KA13&lt;&gt;""),AND(KD13&gt;=KE$24,KD13&lt;&gt;""),AND(KW13&gt;=LA$24,KW13&lt;&gt;""),AND(KZ13&gt;=LA$24,KZ13&lt;&gt;""),AND(LS13&gt;=LW$24,LS13&lt;&gt;""),AND(LV13&gt;=LW$24,LV13&lt;&gt;""),AND(MO13&gt;=MS$24,MO13&lt;&gt;""),AND(MR13&gt;=MS$24,MR13&lt;&gt;""),AND(NK13&gt;=NO$24,NK13&lt;&gt;""),AND(NN13&gt;=NO$24,NN13&lt;&gt;"")),"Merit",IF(OR(AND(AS13&gt;=AY$23,AS13&lt;&gt;"",AP13=""),AND(AU13&gt;=AY$23,AU13&lt;&gt;"",AP13=""),AND(AX13&gt;=AY$23,AX13&lt;&gt;"",AP13=""),AND(BW13&gt;=CC$23,BW13&lt;&gt;"",BT13=""),AND(BY13&gt;=CC$23,BY13&lt;&gt;"",BT13=""),AND(CB13&gt;=CC$23,CB13&lt;&gt;"",BT13=""),AND(DA13&gt;=DG$23,DA13&lt;&gt;"",CX13=""),AND(DC13&gt;=DG$23,DC13&lt;&gt;"",CX13=""),AND(DF13&gt;=DG$23,DF13&lt;&gt;"",CX13=""),AND(EC13&gt;=EG$23,EC13&lt;&gt;""),AND(EF13&gt;=EG$23,EF13&lt;&gt;""),AND(EY13&gt;=FC$23,EY13&lt;&gt;""),AND(FB13&gt;=FC$23,FB13&lt;&gt;""),AND(FU13&gt;=FY$23,FU13&lt;&gt;""),AND(FX13&gt;=FY$23,FX13&lt;&gt;""),AND(GQ13&gt;=GU$23,GQ13&lt;&gt;""),AND(GT13&gt;=GU$23,GT13&lt;&gt;""),AND(HM13&gt;=HQ$23,HM13&lt;&gt;""),AND(HP13&gt;=HQ$23,HP13&lt;&gt;""),AND(II13&gt;=IM$23,II13&lt;&gt;""),AND(IL13&gt;=IM$23,IL13&lt;&gt;""),AND(JE13&gt;=JI$23,JE13&lt;&gt;""),AND(JH13&gt;=JI$23,JH13&lt;&gt;""),AND(KA13&gt;=KE$23,KA13&lt;&gt;""),AND(KD13&gt;=KE$23,KD13&lt;&gt;""),AND(KW13&gt;=LA$23,KW13&lt;&gt;""),AND(KZ13&gt;=LA$23,KZ13&lt;&gt;""),AND(LS13&gt;=LW$23,LS13&lt;&gt;""),AND(LV13&gt;=LW$23,LV13&lt;&gt;""),AND(MO13&gt;=MS$23,MO13&lt;&gt;""),AND(MR13&gt;=MS$23,MR13&lt;&gt;""),AND(NK13&gt;=NO$23,NK13&lt;&gt;""),AND(NN13&gt;=NO$23,NN13&lt;&gt;"")),"Excellence",IF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"Worlds Team",IF(OR(AND(AV13&gt;=AY$21,AV13&lt;&gt;"",AP13=""),AND(BZ13&gt;=CC$21,BZ13&lt;&gt;"",BT13=""),AND(DD13&gt;=DG$21,DD13&lt;&gt;"",CX13=""),AND(ED13&gt;=EG$21,ED13&lt;&gt;""),AND(EZ13&gt;=FC$21,EZ13&lt;&gt;""),AND(FV13&gt;=FY$21,FV13&lt;&gt;""),AND(GR13&gt;=GU$21,GR13&lt;&gt;""),AND(HN13&gt;=HQ$21,HN13&lt;&gt;""),AND(IJ13&gt;=IM$21,IJ13&lt;&gt;""),AND(JF13&gt;=JI$21,JF13&lt;&gt;""),AND(KB13&gt;=KE$21,KB13&lt;&gt;""),AND(KX13&gt;=LA$21,KX13&lt;&gt;""),AND(LT13&gt;=LW$21,LT13&lt;&gt;""),AND(MP13&gt;=MS$21,MP13&lt;&gt;""),AND(NL13&gt;=NO$21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46.389999999999993</v>
      </c>
      <c r="P13" s="14" t="str">
        <f>IF(O13=0,"",IF(OR(O13=DC13,O13=DA13),$CD$1,IF(OR(O13=BY13,O13=BW13),$AZ$1,IF(OR(O13=AU13,O13=AS13),$V$1,""))))</f>
        <v>2021 2nd Virtual Technical Trial</v>
      </c>
      <c r="Q13" s="14">
        <f>MAX(AX13,CB13,DF13)</f>
        <v>46.064999999999998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2.9</v>
      </c>
      <c r="W13" s="69">
        <v>1.6</v>
      </c>
      <c r="X13" s="69">
        <v>1.5</v>
      </c>
      <c r="Y13" s="69">
        <v>2.85</v>
      </c>
      <c r="Z13" s="69">
        <v>0</v>
      </c>
      <c r="AA13" s="69">
        <v>11.8</v>
      </c>
      <c r="AB13" s="69">
        <v>7.9</v>
      </c>
      <c r="AC13" s="69">
        <v>9.1</v>
      </c>
      <c r="AD13" s="69">
        <v>12.605</v>
      </c>
      <c r="AE13" s="69">
        <v>0</v>
      </c>
      <c r="AF13" s="69">
        <v>13.7</v>
      </c>
      <c r="AG13" s="69">
        <v>9.1</v>
      </c>
      <c r="AH13" s="69">
        <v>10.5</v>
      </c>
      <c r="AI13" s="69">
        <v>13.79</v>
      </c>
      <c r="AJ13" s="69">
        <v>0.7</v>
      </c>
      <c r="AK13" s="69">
        <v>13.4</v>
      </c>
      <c r="AL13" s="69">
        <v>8.8000000000000007</v>
      </c>
      <c r="AM13" s="69">
        <v>9.8000000000000007</v>
      </c>
      <c r="AN13" s="69">
        <v>13.975</v>
      </c>
      <c r="AO13" s="69">
        <v>1.4</v>
      </c>
      <c r="AP13" s="80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75">
        <v>16</v>
      </c>
      <c r="BA13" s="75">
        <v>9.4</v>
      </c>
      <c r="BB13" s="75">
        <v>4</v>
      </c>
      <c r="BC13" s="75">
        <v>14.795</v>
      </c>
      <c r="BD13" s="75">
        <v>0.2</v>
      </c>
      <c r="BE13" s="75">
        <v>15.2</v>
      </c>
      <c r="BF13" s="75">
        <v>9.3000000000000007</v>
      </c>
      <c r="BG13" s="75">
        <v>8.6</v>
      </c>
      <c r="BH13" s="75">
        <v>14.645</v>
      </c>
      <c r="BI13" s="75">
        <v>2.8</v>
      </c>
      <c r="BJ13" s="75">
        <v>0</v>
      </c>
      <c r="BK13" s="75">
        <v>0</v>
      </c>
      <c r="BL13" s="75">
        <v>0</v>
      </c>
      <c r="BM13" s="75">
        <v>0</v>
      </c>
      <c r="BN13" s="75">
        <v>0</v>
      </c>
      <c r="BO13" s="75">
        <v>14.8</v>
      </c>
      <c r="BP13" s="75">
        <v>9.1</v>
      </c>
      <c r="BQ13" s="75">
        <v>9.1999999999999993</v>
      </c>
      <c r="BR13" s="75">
        <v>14.175000000000001</v>
      </c>
      <c r="BS13" s="75">
        <v>2.2000000000000002</v>
      </c>
      <c r="BT13" s="81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9">
        <v>15.8</v>
      </c>
      <c r="CE13" s="69">
        <v>9.5</v>
      </c>
      <c r="CF13" s="69">
        <v>4</v>
      </c>
      <c r="CG13" s="69">
        <v>14.865</v>
      </c>
      <c r="CH13" s="69">
        <v>0</v>
      </c>
      <c r="CI13" s="69">
        <v>2.6</v>
      </c>
      <c r="CJ13" s="69">
        <v>1.7</v>
      </c>
      <c r="CK13" s="69">
        <v>2.7</v>
      </c>
      <c r="CL13" s="69">
        <v>3.03</v>
      </c>
      <c r="CM13" s="69">
        <v>0</v>
      </c>
      <c r="CN13" s="69">
        <v>11.3</v>
      </c>
      <c r="CO13" s="69">
        <v>6.7</v>
      </c>
      <c r="CP13" s="69">
        <v>7</v>
      </c>
      <c r="CQ13" s="69">
        <v>11.715</v>
      </c>
      <c r="CR13" s="69">
        <v>0</v>
      </c>
      <c r="CS13" s="69">
        <v>13.4</v>
      </c>
      <c r="CT13" s="69">
        <v>8.9</v>
      </c>
      <c r="CU13" s="69">
        <v>10.5</v>
      </c>
      <c r="CV13" s="69">
        <v>13.965</v>
      </c>
      <c r="CW13" s="69">
        <v>0.7</v>
      </c>
      <c r="CX13" s="80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15.9</v>
      </c>
      <c r="NQ13" s="69">
        <f>IF($CX13="P",CE13,(CE13+BA13)/2)</f>
        <v>9.4499999999999993</v>
      </c>
      <c r="NR13" s="69">
        <f>IF($CX13="P",CF13,(CF13+BB13)/2)</f>
        <v>4</v>
      </c>
      <c r="NS13" s="69">
        <f>IF($CX13="P",CG13,(CG13+BC13)/2)</f>
        <v>14.83</v>
      </c>
      <c r="NT13" s="69">
        <f>IF($CX13="P",CH13,(CH13+BD13)/2)</f>
        <v>0.1</v>
      </c>
      <c r="NU13" s="69">
        <f>IF($CX13="P",CI13,(CI13+BE13)/2)</f>
        <v>8.9</v>
      </c>
      <c r="NV13" s="69">
        <f>IF($CX13="P",CJ13,(CJ13+BF13)/2)</f>
        <v>5.5</v>
      </c>
      <c r="NW13" s="69">
        <f>IF($CX13="P",CK13,(CK13+BG13)/2)</f>
        <v>5.65</v>
      </c>
      <c r="NX13" s="69">
        <f>IF($CX13="P",CL13,(CL13+BH13)/2)</f>
        <v>8.8375000000000004</v>
      </c>
      <c r="NY13" s="69">
        <f>IF($CX13="P",CM13,(CM13+BI13)/2)</f>
        <v>1.4</v>
      </c>
      <c r="NZ13" s="69">
        <f>IF($CX13="P",CN13,(CN13+BJ13)/2)</f>
        <v>5.65</v>
      </c>
      <c r="OA13" s="69">
        <f>IF($CX13="P",CO13,(CO13+BK13)/2)</f>
        <v>3.35</v>
      </c>
      <c r="OB13" s="69">
        <f>IF($CX13="P",CP13,(CP13+BL13)/2)</f>
        <v>3.5</v>
      </c>
      <c r="OC13" s="69">
        <f>IF($CX13="P",CQ13,(CQ13+BM13)/2)</f>
        <v>5.8574999999999999</v>
      </c>
      <c r="OD13" s="69">
        <f>IF($CX13="P",CR13,(CR13+BN13)/2)</f>
        <v>0</v>
      </c>
      <c r="OE13" s="69">
        <f>IF($CX13="P",CS13,(CS13+BO13)/2)</f>
        <v>14.100000000000001</v>
      </c>
      <c r="OF13" s="69">
        <f>IF($CX13="P",CT13,(CT13+BP13)/2)</f>
        <v>9</v>
      </c>
      <c r="OG13" s="69">
        <f>IF($CX13="P",CU13,(CU13+BQ13)/2)</f>
        <v>9.85</v>
      </c>
      <c r="OH13" s="69">
        <f>IF($CX13="P",CV13,(CV13+BR13)/2)</f>
        <v>14.07</v>
      </c>
      <c r="OI13" s="69">
        <f>IF($CX13="P",CW13,(CW13+BS13)/2)</f>
        <v>1.4500000000000002</v>
      </c>
      <c r="OJ13" s="80" t="s">
        <v>74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si="0"/>
        <v>45.57</v>
      </c>
      <c r="OS13" s="11">
        <f t="shared" si="1"/>
        <v>117.13749999999999</v>
      </c>
    </row>
    <row r="14" spans="1:409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33</v>
      </c>
      <c r="C14" s="5" t="s">
        <v>3</v>
      </c>
      <c r="D14" s="5">
        <v>1995</v>
      </c>
      <c r="E14" s="15">
        <f>SUM(K14:S14)</f>
        <v>138.04</v>
      </c>
      <c r="F14" s="3" t="str">
        <f>IF(G14&lt;&gt;"","P","")</f>
        <v/>
      </c>
      <c r="G14" s="125" t="str">
        <f>IF(OR(AND(AR14&gt;=AY$20,AR14&lt;&gt;"",AP14=""),AND(AT14&gt;=AY$20,AT14&lt;&gt;"",AP14=""),AND(AW14&gt;=AY$20,AW14&lt;&gt;"",AP14=""),AND(BV14&gt;=CC$20,BV14&lt;&gt;"",BT14=""),AND(BX14&gt;=CC$20,BX14&lt;&gt;"",BT14=""),AND(CA14&gt;=CC$20,CA14&lt;&gt;"",BT14=""),AND(CZ14&gt;=DG$20,CZ14&lt;&gt;"",CX14=""),AND(DB14&gt;=DG$20,DB14&lt;&gt;"",CX14=""),AND(DE14&gt;=DG$20,DE14&lt;&gt;"",CX14=""),AND(EA14&gt;=EG$20,EA14&lt;&gt;""),AND(EE14&gt;=EG$20,EE14&lt;&gt;""),AND(EW14&gt;=FC$20,EW14&lt;&gt;""),AND(FA14&gt;=FC$20,FA14&lt;&gt;""),AND(FS14&gt;=FY$20,FS14&lt;&gt;""),AND(FW14&gt;=FY$20,FW14&lt;&gt;""),AND(GO14&gt;=GU$20,GO14&lt;&gt;""),AND(GS14&gt;=GU$20,GS14&lt;&gt;""),AND(HK14&gt;=HQ$20,HK14&lt;&gt;""),AND(HO14&gt;=HQ$20,HO14&lt;&gt;""),AND(IG14&gt;=IM$20,IG14&lt;&gt;""),AND(IK14&gt;=IM$20,IK14&lt;&gt;""),AND(JC14&gt;=JI$20,JC14&lt;&gt;""),AND(JG14&gt;=JI$20,JG14&lt;&gt;""),AND(JY14&gt;=KE$20,JY14&lt;&gt;""),AND(KC14&gt;=KE$20,KC14&lt;&gt;""),AND(KU14&gt;=LA$20,KU14&lt;&gt;""),AND(KY14&gt;=LA$20,KY14&lt;&gt;""),AND(LQ14&gt;=LW$20,LQ14&lt;&gt;""),AND(LU14&gt;=LW$20,LU14&lt;&gt;""),AND(MM14&gt;=MS$20,MM14&lt;&gt;""),AND(MQ14&gt;=MS$20,MQ14&lt;&gt;""),AND(NI14&gt;=NO$20,NI14&lt;&gt;""),AND(NM14&gt;=NO$20,NM14&lt;&gt;"")),"Merit",IF(OR(AND(AR14&gt;=AY$19,AR14&lt;&gt;"",AP14=""),AND(AT14&gt;=AY$19,AT14&lt;&gt;"",AP14=""),AND(AW14&gt;=AY$19,AW14&lt;&gt;"",AP14=""),AND(BV14&gt;=CC$19,BV14&lt;&gt;"",BT14=""),AND(BX14&gt;=CC$19,BX14&lt;&gt;"",BT14=""),AND(CA14&gt;=CC$19,CA14&lt;&gt;"",BT14=""),AND(CZ14&gt;=DG$19,CZ14&lt;&gt;"",CX14=""),AND(DB14&gt;=DG$19,DB14&lt;&gt;"",CX14=""),AND(DE14&gt;=DG$19,DE14&lt;&gt;"",CX14=""),AND(EA14&gt;=EG$19,EA14&lt;&gt;""),AND(EE14&gt;=EG$19,EE14&lt;&gt;""),AND(EW14&gt;=FC$19,EW14&lt;&gt;""),AND(FA14&gt;=FC$19,FA14&lt;&gt;""),AND(FS14&gt;=FY$19,FS14&lt;&gt;""),AND(FW14&gt;=FY$19,FW14&lt;&gt;""),AND(GO14&gt;=GU$19,GO14&lt;&gt;""),AND(GS14&gt;=GU$19,GS14&lt;&gt;""),AND(HK14&gt;=HQ$19,HK14&lt;&gt;""),AND(HO14&gt;=HQ$19,HO14&lt;&gt;""),AND(IG14&gt;=IM$19,IG14&lt;&gt;""),AND(IK14&gt;=IM$19,IK14&lt;&gt;""),AND(JC14&gt;=JI$19,JC14&lt;&gt;""),AND(JG14&gt;=JI$19,JG14&lt;&gt;""),AND(JY14&gt;=KE$19,JY14&lt;&gt;""),AND(KC14&gt;=KE$19,KC14&lt;&gt;""),AND(KU14&gt;=LA$19,KU14&lt;&gt;""),AND(KY14&gt;=LA$19,KY14&lt;&gt;""),AND(LQ14&gt;=LW$19,LQ14&lt;&gt;""),AND(LU14&gt;=LW$19,LU14&lt;&gt;""),AND(MM14&gt;=MS$19,MM14&lt;&gt;""),AND(MQ14&gt;=MS$19,MQ14&lt;&gt;""),AND(NI14&gt;=NO$19,NI14&lt;&gt;""),AND(NM14&gt;=NO$19,NM14&lt;&gt;"")),"Excellence",IF(OR(AND(AR14&gt;=AY$18,AR14&lt;&gt;"",AP14=""),AND(AT14&gt;=AY$18,AT14&lt;&gt;"",AP14=""),AND(AW14&gt;=AY$18,AW14&lt;&gt;"",AP14=""),AND(BV14&gt;=CC$18,BV14&lt;&gt;"",BT14=""),AND(BX14&gt;=CC$18,BX14&lt;&gt;"",BT14=""),AND(CA14&gt;=CC$18,CA14&lt;&gt;"",BT14=""),AND(CZ14&gt;=DG$18,CZ14&lt;&gt;"",CX14=""),AND(DB14&gt;=DG$18,DB14&lt;&gt;"",CX14=""),AND(DE14&gt;=DG$18,DE14&lt;&gt;"",CX14=""),AND(EA14&gt;=EG$18,EA14&lt;&gt;""),AND(EE14&gt;=EG$18,EE14&lt;&gt;""),AND(EW14&gt;=FC$18,EW14&lt;&gt;""),AND(FA14&gt;=FC$18,FA14&lt;&gt;""),AND(FS14&gt;=FY$18,FS14&lt;&gt;""),AND(FW14&gt;=FY$18,FW14&lt;&gt;""),AND(GO14&gt;=GU$18,GO14&lt;&gt;""),AND(GS14&gt;=GU$18,GS14&lt;&gt;""),AND(HK14&gt;=HQ$18,HK14&lt;&gt;""),AND(HO14&gt;=HQ$18,HO14&lt;&gt;""),AND(IG14&gt;=IM$18,IG14&lt;&gt;""),AND(IK14&gt;=IM$18,IK14&lt;&gt;""),AND(JC14&gt;=JI$18,JC14&lt;&gt;""),AND(JG14&gt;=JI$18,JG14&lt;&gt;""),AND(JY14&gt;=KE$18,JY14&lt;&gt;""),AND(KC14&gt;=KE$18,KC14&lt;&gt;""),AND(KU14&gt;=LA$18,KU14&lt;&gt;""),AND(KY14&gt;=LA$18,KY14&lt;&gt;""),AND(LQ14&gt;=LW$18,LQ14&lt;&gt;""),AND(LU14&gt;=LW$18,LU14&lt;&gt;""),AND(MM14&gt;=MS$18,MM14&lt;&gt;""),AND(MQ14&gt;=MS$18,MQ14&lt;&gt;""),AND(NI14&gt;=NO$18,NI14&lt;&gt;""),AND(NM14&gt;=NO$18,NM14&lt;&gt;"")),"Worlds Team",IF(OR(AND(AR14&gt;=AY$17,AR14&lt;&gt;"",AP14=""),AND(AT14&gt;=AY$17,AT14&lt;&gt;"",AP14=""),AND(AW14&gt;=AY$17,AW14&lt;&gt;"",AP14=""),AND(BV14&gt;=CC$17,BV14&lt;&gt;"",BT14=""),AND(BX14&gt;=CC$17,BX14&lt;&gt;"",BT14=""),AND(CA14&gt;=CC$17,CA14&lt;&gt;"",BT14=""),AND(CZ14&gt;=DG$17,CZ14&lt;&gt;"",CX14=""),AND(DB14&gt;=DG$17,DB14&lt;&gt;"",CX14=""),AND(DE14&gt;=DG$17,DE14&lt;&gt;"",CX14=""),AND(EA14&gt;=EG$17,EA14&lt;&gt;""),AND(EE14&gt;=EG$17,EE14&lt;&gt;""),AND(EW14&gt;=FC$17,EW14&lt;&gt;""),AND(FA14&gt;=FC$17,FA14&lt;&gt;""),AND(FS14&gt;=FY$17,FS14&lt;&gt;""),AND(FW14&gt;=FY$17,FW14&lt;&gt;""),AND(GO14&gt;=GU$17,GO14&lt;&gt;""),AND(GS14&gt;=GU$17,GS14&lt;&gt;""),AND(HK14&gt;=HQ$17,HK14&lt;&gt;""),AND(HO14&gt;=HQ$17,HO14&lt;&gt;""),AND(IG14&gt;=IM$17,IG14&lt;&gt;""),AND(IK14&gt;=IM$17,IK14&lt;&gt;""),AND(JC14&gt;=JI$17,JC14&lt;&gt;""),AND(JG14&gt;=JI$17,JG14&lt;&gt;""),AND(JY14&gt;=KE$17,JY14&lt;&gt;""),AND(KC14&gt;=KE$17,KC14&lt;&gt;""),AND(KU14&gt;=LA$17,KU14&lt;&gt;""),AND(KY14&gt;=LA$17,KY14&lt;&gt;""),AND(LQ14&gt;=LW$17,LQ14&lt;&gt;""),AND(LU14&gt;=LW$17,LU14&lt;&gt;""),AND(MM14&gt;=MS$17,MM14&lt;&gt;""),AND(MQ14&gt;=MS$17,MQ14&lt;&gt;""),AND(NI14&gt;=NO$17,NI14&lt;&gt;""),AND(NM14&gt;=NO$17,NM14&lt;&gt;"")),"National Team",""))))</f>
        <v/>
      </c>
      <c r="H14" s="125" t="str">
        <f>IF(OR(AND(AS14&gt;=AY$24,AS14&lt;&gt;"",AP14=""),AND(AU14&gt;=AY$24,AU14&lt;&gt;"",AP14=""),AND(AX14&gt;=AY$24,AX14&lt;&gt;"",AP14=""),AND(BW14&gt;=CC$24,BW14&lt;&gt;"",BT14=""),AND(BY14&gt;=CC$24,BY14&lt;&gt;"",BT14=""),AND(CB14&gt;=CC$24,CB14&lt;&gt;"",BT14=""),AND(DA14&gt;=DG$24,DA14&lt;&gt;"",CX14=""),AND(DC14&gt;=DG$24,DC14&lt;&gt;"",CX14=""),AND(DF14&gt;=DG$24,DF14&lt;&gt;"",CX14=""),AND(EC14&gt;=EG$24,EC14&lt;&gt;""),AND(EF14&gt;=EG$24,EF14&lt;&gt;""),AND(EY14&gt;=FC$24,EY14&lt;&gt;""),AND(FB14&gt;=FC$24,FB14&lt;&gt;""),AND(FU14&gt;=FY$24,FU14&lt;&gt;""),AND(FX14&gt;=FY$24,FX14&lt;&gt;""),AND(GQ14&gt;=GU$24,GQ14&lt;&gt;""),AND(GT14&gt;=GU$24,GT14&lt;&gt;""),AND(HM14&gt;=HQ$24,HM14&lt;&gt;""),AND(HP14&gt;=HQ$24,HP14&lt;&gt;""),AND(II14&gt;=IM$24,II14&lt;&gt;""),AND(IL14&gt;=IM$24,IL14&lt;&gt;""),AND(JE14&gt;=JI$24,JE14&lt;&gt;""),AND(JH14&gt;=JI$24,JH14&lt;&gt;""),AND(KA14&gt;=KE$24,KA14&lt;&gt;""),AND(KD14&gt;=KE$24,KD14&lt;&gt;""),AND(KW14&gt;=LA$24,KW14&lt;&gt;""),AND(KZ14&gt;=LA$24,KZ14&lt;&gt;""),AND(LS14&gt;=LW$24,LS14&lt;&gt;""),AND(LV14&gt;=LW$24,LV14&lt;&gt;""),AND(MO14&gt;=MS$24,MO14&lt;&gt;""),AND(MR14&gt;=MS$24,MR14&lt;&gt;""),AND(NK14&gt;=NO$24,NK14&lt;&gt;""),AND(NN14&gt;=NO$24,NN14&lt;&gt;"")),"Merit",IF(OR(AND(AS14&gt;=AY$23,AS14&lt;&gt;"",AP14=""),AND(AU14&gt;=AY$23,AU14&lt;&gt;"",AP14=""),AND(AX14&gt;=AY$23,AX14&lt;&gt;"",AP14=""),AND(BW14&gt;=CC$23,BW14&lt;&gt;"",BT14=""),AND(BY14&gt;=CC$23,BY14&lt;&gt;"",BT14=""),AND(CB14&gt;=CC$23,CB14&lt;&gt;"",BT14=""),AND(DA14&gt;=DG$23,DA14&lt;&gt;"",CX14=""),AND(DC14&gt;=DG$23,DC14&lt;&gt;"",CX14=""),AND(DF14&gt;=DG$23,DF14&lt;&gt;"",CX14=""),AND(EC14&gt;=EG$23,EC14&lt;&gt;""),AND(EF14&gt;=EG$23,EF14&lt;&gt;""),AND(EY14&gt;=FC$23,EY14&lt;&gt;""),AND(FB14&gt;=FC$23,FB14&lt;&gt;""),AND(FU14&gt;=FY$23,FU14&lt;&gt;""),AND(FX14&gt;=FY$23,FX14&lt;&gt;""),AND(GQ14&gt;=GU$23,GQ14&lt;&gt;""),AND(GT14&gt;=GU$23,GT14&lt;&gt;""),AND(HM14&gt;=HQ$23,HM14&lt;&gt;""),AND(HP14&gt;=HQ$23,HP14&lt;&gt;""),AND(II14&gt;=IM$23,II14&lt;&gt;""),AND(IL14&gt;=IM$23,IL14&lt;&gt;""),AND(JE14&gt;=JI$23,JE14&lt;&gt;""),AND(JH14&gt;=JI$23,JH14&lt;&gt;""),AND(KA14&gt;=KE$23,KA14&lt;&gt;""),AND(KD14&gt;=KE$23,KD14&lt;&gt;""),AND(KW14&gt;=LA$23,KW14&lt;&gt;""),AND(KZ14&gt;=LA$23,KZ14&lt;&gt;""),AND(LS14&gt;=LW$23,LS14&lt;&gt;""),AND(LV14&gt;=LW$23,LV14&lt;&gt;""),AND(MO14&gt;=MS$23,MO14&lt;&gt;""),AND(MR14&gt;=MS$23,MR14&lt;&gt;""),AND(NK14&gt;=NO$23,NK14&lt;&gt;""),AND(NN14&gt;=NO$23,NN14&lt;&gt;"")),"Excellence",IF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"Worlds Team",IF(OR(AND(AV14&gt;=AY$21,AV14&lt;&gt;"",AP14=""),AND(BZ14&gt;=CC$21,BZ14&lt;&gt;"",BT14=""),AND(DD14&gt;=DG$21,DD14&lt;&gt;"",CX14=""),AND(ED14&gt;=EG$21,ED14&lt;&gt;""),AND(EZ14&gt;=FC$21,EZ14&lt;&gt;""),AND(FV14&gt;=FY$21,FV14&lt;&gt;""),AND(GR14&gt;=GU$21,GR14&lt;&gt;""),AND(HN14&gt;=HQ$21,HN14&lt;&gt;""),AND(IJ14&gt;=IM$21,IJ14&lt;&gt;""),AND(JF14&gt;=JI$21,JF14&lt;&gt;""),AND(KB14&gt;=KE$21,KB14&lt;&gt;""),AND(KX14&gt;=LA$21,KX14&lt;&gt;""),AND(LT14&gt;=LW$21,LT14&lt;&gt;""),AND(MP14&gt;=MS$21,MP14&lt;&gt;""),AND(NL14&gt;=NO$21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OR(G14="Worlds Team",G14="Excellence",G14="Merit")),"P","")</f>
        <v/>
      </c>
      <c r="K14" s="14">
        <f>IF(MAX(AV14,BZ14,DD14)&gt;0,MAX(AV14,BZ14,DD14),0)</f>
        <v>83.715000000000003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0</v>
      </c>
      <c r="N14" s="14" t="str">
        <f>IF(M14=0,"",IF(AND(M14=CY14,$L14&lt;&gt;$CD$1),$CD$1,IF(AND(M14=BU14,$L14&lt;&gt;$AZ$1),$AZ$1,IF(AND(M14=AQ14,$L14&lt;&gt;$V$1),$V$1,""))))</f>
        <v/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45.074999999999996</v>
      </c>
      <c r="P14" s="14" t="str">
        <f>IF(O14=0,"",IF(OR(O14=DC14,O14=DA14),$CD$1,IF(OR(O14=BY14,O14=BW14),$AZ$1,IF(OR(O14=AU14,O14=AS14),$V$1,""))))</f>
        <v>2021 2nd Virtual Technical Trial</v>
      </c>
      <c r="Q14" s="14">
        <f>MAX(AX14,CB14,DF14)</f>
        <v>9.25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13.9</v>
      </c>
      <c r="W14" s="69">
        <v>7.4</v>
      </c>
      <c r="X14" s="69">
        <v>1.3</v>
      </c>
      <c r="Y14" s="69">
        <v>13.11</v>
      </c>
      <c r="Z14" s="69">
        <v>0</v>
      </c>
      <c r="AA14" s="69">
        <v>14.3</v>
      </c>
      <c r="AB14" s="69">
        <v>9.1999999999999993</v>
      </c>
      <c r="AC14" s="69">
        <v>10.3</v>
      </c>
      <c r="AD14" s="69">
        <v>15.105</v>
      </c>
      <c r="AE14" s="69">
        <v>0.9</v>
      </c>
      <c r="AF14" s="69">
        <v>14.1</v>
      </c>
      <c r="AG14" s="69">
        <v>8.8000000000000007</v>
      </c>
      <c r="AH14" s="69">
        <v>9.1999999999999993</v>
      </c>
      <c r="AI14" s="69">
        <v>14.975</v>
      </c>
      <c r="AJ14" s="69">
        <v>2</v>
      </c>
      <c r="AK14" s="69">
        <v>2.6</v>
      </c>
      <c r="AL14" s="69">
        <v>1.6</v>
      </c>
      <c r="AM14" s="69">
        <v>2</v>
      </c>
      <c r="AN14" s="69">
        <v>3.05</v>
      </c>
      <c r="AO14" s="69">
        <v>0</v>
      </c>
      <c r="AP14" s="80"/>
      <c r="AQ14" s="11">
        <f>IF(SUM(V14:Y14)-Z14&gt;0,SUM(V14:Y14)-Z14,"")</f>
        <v>35.71</v>
      </c>
      <c r="AR14" s="11">
        <f>IF(AC14&gt;0,AC14,"")</f>
        <v>10.3</v>
      </c>
      <c r="AS14" s="11">
        <f>IF(SUM(AA14:AD14)-AE14&gt;0,SUM(AA14:AD14)-AE14,"")</f>
        <v>48.005000000000003</v>
      </c>
      <c r="AT14" s="11">
        <f>IF(AH14&gt;0,AH14,"")</f>
        <v>9.1999999999999993</v>
      </c>
      <c r="AU14" s="11">
        <f>IF(SUM(AF14:AI14)-AJ14&gt;0,SUM(AF14:AI14)-AJ14,"")</f>
        <v>45.074999999999996</v>
      </c>
      <c r="AV14" s="11">
        <f>IF(AQ14="",IF(MAX(AS14,AU14)&gt;0,MAX(AS14,AU14),""),MAX(AS14,AU14)+AQ14)</f>
        <v>83.715000000000003</v>
      </c>
      <c r="AW14" s="11">
        <f>IF(AM14&gt;0,AM14,"")</f>
        <v>2</v>
      </c>
      <c r="AX14" s="11">
        <f>IF(SUM(AK14:AN14)-AO14&gt;0,SUM(AK14:AN14)-AO14,"")</f>
        <v>9.25</v>
      </c>
      <c r="AY14" s="11">
        <f>IF(SUM(AV14,AX14)&gt;0,SUM(AV14,AX14),"")</f>
        <v>92.965000000000003</v>
      </c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81"/>
      <c r="BU14" s="14" t="str">
        <f>IF(SUM(AZ14:BC14)-BD14&gt;0,SUM(AZ14:BC14)-BD14,"")</f>
        <v/>
      </c>
      <c r="BV14" s="14" t="str">
        <f>IF(BG14&gt;0,BG14,"")</f>
        <v/>
      </c>
      <c r="BW14" s="14" t="str">
        <f>IF(SUM(BE14:BH14)-BI14&gt;0,SUM(BE14:BH14)-BI14,"")</f>
        <v/>
      </c>
      <c r="BX14" s="14" t="str">
        <f>IF(BL14&gt;0,BL14,"")</f>
        <v/>
      </c>
      <c r="BY14" s="14" t="str">
        <f>IF(SUM(BJ14:BM14)-BN14&gt;0,SUM(BJ14:BM14)-BN14,"")</f>
        <v/>
      </c>
      <c r="BZ14" s="14" t="str">
        <f>IF(BU14="",IF(MAX(BW14,BY14)&gt;0,MAX(BW14,BY14),""),MAX(BW14,BY14)+BU14)</f>
        <v/>
      </c>
      <c r="CA14" s="14" t="str">
        <f>IF(BQ14&gt;0,BQ14,"")</f>
        <v/>
      </c>
      <c r="CB14" s="14" t="str">
        <f>IF(SUM(BO14:BR14)-BS14&gt;0,SUM(BO14:BR14)-BS14,"")</f>
        <v/>
      </c>
      <c r="CC14" s="14" t="str">
        <f>IF(SUM(BZ14,CB14)&gt;0,SUM(BZ14,CB14),"")</f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0</v>
      </c>
      <c r="NQ14" s="69">
        <f>IF($CX14="P",CE14,(CE14+BA14)/2)</f>
        <v>0</v>
      </c>
      <c r="NR14" s="69">
        <f>IF($CX14="P",CF14,(CF14+BB14)/2)</f>
        <v>0</v>
      </c>
      <c r="NS14" s="69">
        <f>IF($CX14="P",CG14,(CG14+BC14)/2)</f>
        <v>0</v>
      </c>
      <c r="NT14" s="69">
        <f>IF($CX14="P",CH14,(CH14+BD14)/2)</f>
        <v>0</v>
      </c>
      <c r="NU14" s="69">
        <f>IF($CX14="P",CI14,(CI14+BE14)/2)</f>
        <v>0</v>
      </c>
      <c r="NV14" s="69">
        <f>IF($CX14="P",CJ14,(CJ14+BF14)/2)</f>
        <v>0</v>
      </c>
      <c r="NW14" s="69">
        <f>IF($CX14="P",CK14,(CK14+BG14)/2)</f>
        <v>0</v>
      </c>
      <c r="NX14" s="69">
        <f>IF($CX14="P",CL14,(CL14+BH14)/2)</f>
        <v>0</v>
      </c>
      <c r="NY14" s="69">
        <f>IF($CX14="P",CM14,(CM14+BI14)/2)</f>
        <v>0</v>
      </c>
      <c r="NZ14" s="69">
        <f>IF($CX14="P",CN14,(CN14+BJ14)/2)</f>
        <v>0</v>
      </c>
      <c r="OA14" s="69">
        <f>IF($CX14="P",CO14,(CO14+BK14)/2)</f>
        <v>0</v>
      </c>
      <c r="OB14" s="69">
        <f>IF($CX14="P",CP14,(CP14+BL14)/2)</f>
        <v>0</v>
      </c>
      <c r="OC14" s="69">
        <f>IF($CX14="P",CQ14,(CQ14+BM14)/2)</f>
        <v>0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 t="str">
        <f>IF(SUM(NP14:NS14)-NT14&gt;0,SUM(NP14:NS14)-NT14,"")</f>
        <v/>
      </c>
      <c r="OL14" s="11" t="str">
        <f>IF(NW14&gt;0,NW14,"")</f>
        <v/>
      </c>
      <c r="OM14" s="11" t="str">
        <f>IF(SUM(NU14:NX14)-NY14&gt;0,SUM(NU14:NX14)-NY14,"")</f>
        <v/>
      </c>
      <c r="ON14" s="11" t="str">
        <f>IF(OB14&gt;0,OB14,"")</f>
        <v/>
      </c>
      <c r="OO14" s="11" t="str">
        <f>IF(SUM(NZ14:OC14)-OD14&gt;0,SUM(NZ14:OC14)-OD14,"")</f>
        <v/>
      </c>
      <c r="OP14" s="11" t="str">
        <f>IF(OR(OK14&lt;&gt;"",OM14&lt;&gt;"",OO14&lt;&gt;""),OK14+MAX(OM14,OO14),"")</f>
        <v/>
      </c>
      <c r="OQ14" s="11" t="str">
        <f>IF(OG14&gt;0,OG14,"")</f>
        <v/>
      </c>
      <c r="OR14" s="11" t="str">
        <f t="shared" si="0"/>
        <v/>
      </c>
      <c r="OS14" s="11" t="str">
        <f t="shared" si="1"/>
        <v/>
      </c>
    </row>
    <row r="15" spans="1:409" x14ac:dyDescent="0.2">
      <c r="B15" s="6"/>
      <c r="D15" s="1"/>
    </row>
    <row r="16" spans="1:409" x14ac:dyDescent="0.2">
      <c r="H16" s="125"/>
      <c r="J16" s="125"/>
    </row>
    <row r="17" spans="1:379" x14ac:dyDescent="0.2">
      <c r="B17" s="70" t="s">
        <v>70</v>
      </c>
      <c r="C17" s="56"/>
      <c r="H17" s="3"/>
      <c r="AR17" s="124"/>
      <c r="AS17" s="124"/>
      <c r="AT17" s="124"/>
      <c r="AW17" s="54"/>
      <c r="AY17" s="64">
        <v>12.2</v>
      </c>
      <c r="BV17" s="124"/>
      <c r="BW17" s="124"/>
      <c r="BX17" s="124"/>
      <c r="CA17" s="54"/>
      <c r="CC17" s="64">
        <v>12.2</v>
      </c>
      <c r="CZ17" s="124"/>
      <c r="DA17" s="124"/>
      <c r="DB17" s="124"/>
      <c r="DE17" s="54"/>
      <c r="DG17" s="64">
        <v>12.2</v>
      </c>
      <c r="EA17" s="56"/>
      <c r="EE17" s="54"/>
      <c r="EG17" s="64">
        <v>12.2</v>
      </c>
      <c r="EW17" s="56"/>
      <c r="FA17" s="54"/>
      <c r="FC17" s="64">
        <v>12.2</v>
      </c>
      <c r="FS17" s="56"/>
      <c r="FW17" s="54"/>
      <c r="FY17" s="64">
        <v>12.2</v>
      </c>
      <c r="GO17" s="56"/>
      <c r="GS17" s="54"/>
      <c r="GU17" s="64">
        <v>12.2</v>
      </c>
      <c r="HK17" s="56"/>
      <c r="HO17" s="54"/>
      <c r="HQ17" s="64">
        <v>12.2</v>
      </c>
      <c r="IG17" s="56"/>
      <c r="IK17" s="54"/>
      <c r="IM17" s="64">
        <v>12.2</v>
      </c>
      <c r="JC17" s="56"/>
      <c r="JG17" s="54"/>
      <c r="JI17" s="64">
        <v>12.2</v>
      </c>
      <c r="JY17" s="56"/>
      <c r="KC17" s="54"/>
      <c r="KE17" s="64">
        <v>12.2</v>
      </c>
      <c r="KU17" s="56"/>
      <c r="KY17" s="54"/>
      <c r="LA17" s="64">
        <v>12.2</v>
      </c>
      <c r="LQ17" s="56"/>
      <c r="LU17" s="54"/>
      <c r="LW17" s="64">
        <v>12.2</v>
      </c>
      <c r="MM17" s="56"/>
      <c r="MQ17" s="54"/>
      <c r="MS17" s="64">
        <v>12.2</v>
      </c>
      <c r="NI17" s="56"/>
      <c r="NM17" s="54"/>
      <c r="NO17" s="64">
        <v>12.2</v>
      </c>
    </row>
    <row r="18" spans="1:379" x14ac:dyDescent="0.2">
      <c r="B18" s="91" t="s">
        <v>69</v>
      </c>
      <c r="C18" s="56"/>
      <c r="AR18" s="124"/>
      <c r="AS18" s="124"/>
      <c r="AT18" s="124"/>
      <c r="AW18" s="54"/>
      <c r="AY18" s="93">
        <v>13.1</v>
      </c>
      <c r="BV18" s="124"/>
      <c r="BW18" s="124"/>
      <c r="BX18" s="124"/>
      <c r="CA18" s="54"/>
      <c r="CC18" s="93">
        <v>13.1</v>
      </c>
      <c r="CZ18" s="124"/>
      <c r="DA18" s="124"/>
      <c r="DB18" s="124"/>
      <c r="DE18" s="54"/>
      <c r="DG18" s="93">
        <v>13.1</v>
      </c>
      <c r="EA18" s="56"/>
      <c r="EE18" s="54"/>
      <c r="EG18" s="93">
        <v>13.1</v>
      </c>
      <c r="EW18" s="56"/>
      <c r="FA18" s="54"/>
      <c r="FC18" s="93">
        <v>13.1</v>
      </c>
      <c r="FS18" s="56"/>
      <c r="FW18" s="54"/>
      <c r="FY18" s="93">
        <v>13.1</v>
      </c>
      <c r="GO18" s="56"/>
      <c r="GS18" s="54"/>
      <c r="GU18" s="93">
        <v>13.1</v>
      </c>
      <c r="HK18" s="56"/>
      <c r="HO18" s="54"/>
      <c r="HQ18" s="93">
        <v>13.1</v>
      </c>
      <c r="IG18" s="56"/>
      <c r="IK18" s="54"/>
      <c r="IM18" s="93">
        <v>13.1</v>
      </c>
      <c r="JC18" s="56"/>
      <c r="JG18" s="54"/>
      <c r="JI18" s="93">
        <v>13.1</v>
      </c>
      <c r="JY18" s="56"/>
      <c r="KC18" s="54"/>
      <c r="KE18" s="93">
        <v>13.1</v>
      </c>
      <c r="KU18" s="56"/>
      <c r="KY18" s="54"/>
      <c r="LA18" s="93">
        <v>13.1</v>
      </c>
      <c r="LQ18" s="56"/>
      <c r="LU18" s="54"/>
      <c r="LW18" s="93">
        <v>13.1</v>
      </c>
      <c r="MM18" s="56"/>
      <c r="MQ18" s="54"/>
      <c r="MS18" s="93">
        <v>13.1</v>
      </c>
      <c r="NI18" s="56"/>
      <c r="NM18" s="54"/>
      <c r="NO18" s="93">
        <v>13.1</v>
      </c>
    </row>
    <row r="19" spans="1:379" x14ac:dyDescent="0.2">
      <c r="A19" s="56"/>
      <c r="B19" s="92" t="s">
        <v>86</v>
      </c>
      <c r="C19" s="56"/>
      <c r="AR19" s="124"/>
      <c r="AS19" s="124"/>
      <c r="AT19" s="124"/>
      <c r="AV19" s="54"/>
      <c r="AW19" s="54"/>
      <c r="AX19" s="54"/>
      <c r="AY19" s="94">
        <v>13.1</v>
      </c>
      <c r="BV19" s="124"/>
      <c r="BW19" s="124"/>
      <c r="BX19" s="124"/>
      <c r="CA19" s="54"/>
      <c r="CC19" s="94">
        <v>13.1</v>
      </c>
      <c r="CZ19" s="124"/>
      <c r="DA19" s="124"/>
      <c r="DB19" s="124"/>
      <c r="DD19" s="54"/>
      <c r="DE19" s="54"/>
      <c r="DF19" s="54"/>
      <c r="DG19" s="94">
        <v>13.1</v>
      </c>
      <c r="EA19" s="56"/>
      <c r="EE19" s="54"/>
      <c r="EG19" s="94">
        <v>13.1</v>
      </c>
      <c r="EW19" s="56"/>
      <c r="FA19" s="54"/>
      <c r="FC19" s="94">
        <v>13.1</v>
      </c>
      <c r="FS19" s="56"/>
      <c r="FW19" s="54"/>
      <c r="FY19" s="94">
        <v>13.1</v>
      </c>
      <c r="GO19" s="56"/>
      <c r="GS19" s="54"/>
      <c r="GU19" s="94">
        <v>13.1</v>
      </c>
      <c r="HK19" s="56"/>
      <c r="HO19" s="54"/>
      <c r="HQ19" s="94">
        <v>13.1</v>
      </c>
      <c r="IG19" s="56"/>
      <c r="IK19" s="54"/>
      <c r="IM19" s="94">
        <v>13.1</v>
      </c>
      <c r="JC19" s="56"/>
      <c r="JG19" s="54"/>
      <c r="JI19" s="94">
        <v>13.1</v>
      </c>
      <c r="JY19" s="56"/>
      <c r="KC19" s="54"/>
      <c r="KE19" s="94">
        <v>13.1</v>
      </c>
      <c r="KU19" s="56"/>
      <c r="KY19" s="54"/>
      <c r="LA19" s="94">
        <v>13.1</v>
      </c>
      <c r="LQ19" s="56"/>
      <c r="LU19" s="54"/>
      <c r="LW19" s="94">
        <v>13.1</v>
      </c>
      <c r="MM19" s="56"/>
      <c r="MQ19" s="54"/>
      <c r="MS19" s="94">
        <v>13.1</v>
      </c>
      <c r="NI19" s="56"/>
      <c r="NM19" s="54"/>
      <c r="NO19" s="94">
        <v>13.1</v>
      </c>
    </row>
    <row r="20" spans="1:379" x14ac:dyDescent="0.2">
      <c r="A20" s="56"/>
      <c r="B20" s="120" t="s">
        <v>102</v>
      </c>
      <c r="C20" s="56"/>
      <c r="AR20" s="124"/>
      <c r="AS20" s="124"/>
      <c r="AT20" s="124"/>
      <c r="AV20" s="54"/>
      <c r="AW20" s="54"/>
      <c r="AX20" s="54"/>
      <c r="AY20" s="121">
        <v>13.1</v>
      </c>
      <c r="BV20" s="124"/>
      <c r="BW20" s="124"/>
      <c r="BX20" s="124"/>
      <c r="CA20" s="54"/>
      <c r="CC20" s="121">
        <v>13.1</v>
      </c>
      <c r="CZ20" s="124"/>
      <c r="DA20" s="124"/>
      <c r="DB20" s="124"/>
      <c r="DD20" s="54"/>
      <c r="DE20" s="54"/>
      <c r="DF20" s="54"/>
      <c r="DG20" s="121">
        <v>13.1</v>
      </c>
      <c r="EA20" s="56"/>
      <c r="EE20" s="54"/>
      <c r="EG20" s="121">
        <v>13.1</v>
      </c>
      <c r="EW20" s="56"/>
      <c r="FA20" s="54"/>
      <c r="FC20" s="121">
        <v>13.1</v>
      </c>
      <c r="FS20" s="56"/>
      <c r="FW20" s="54"/>
      <c r="FY20" s="121">
        <v>13.1</v>
      </c>
      <c r="GO20" s="56"/>
      <c r="GS20" s="54"/>
      <c r="GU20" s="121">
        <v>13.1</v>
      </c>
      <c r="HK20" s="56"/>
      <c r="HO20" s="54"/>
      <c r="HQ20" s="121">
        <v>13.1</v>
      </c>
      <c r="IG20" s="56"/>
      <c r="IK20" s="54"/>
      <c r="IM20" s="121">
        <v>13.1</v>
      </c>
      <c r="JC20" s="56"/>
      <c r="JG20" s="54"/>
      <c r="JI20" s="121">
        <v>13.1</v>
      </c>
      <c r="JY20" s="56"/>
      <c r="KC20" s="54"/>
      <c r="KE20" s="121">
        <v>13.1</v>
      </c>
      <c r="KU20" s="56"/>
      <c r="KY20" s="54"/>
      <c r="LA20" s="121">
        <v>13.1</v>
      </c>
      <c r="LQ20" s="56"/>
      <c r="LU20" s="54"/>
      <c r="LW20" s="121">
        <v>13.1</v>
      </c>
      <c r="MM20" s="56"/>
      <c r="MQ20" s="54"/>
      <c r="MS20" s="121">
        <v>13.1</v>
      </c>
      <c r="NI20" s="56"/>
      <c r="NM20" s="54"/>
      <c r="NO20" s="121">
        <v>13.1</v>
      </c>
    </row>
    <row r="21" spans="1:379" x14ac:dyDescent="0.2">
      <c r="A21" s="56"/>
      <c r="B21" s="118" t="s">
        <v>67</v>
      </c>
      <c r="C21" s="56"/>
      <c r="O21" s="2"/>
      <c r="AR21" s="124"/>
      <c r="AS21" s="124"/>
      <c r="AT21" s="124"/>
      <c r="AV21" s="54"/>
      <c r="AW21" s="54"/>
      <c r="AX21" s="54"/>
      <c r="AY21" s="119">
        <v>95.5</v>
      </c>
      <c r="BV21" s="124"/>
      <c r="BW21" s="124"/>
      <c r="BX21" s="124"/>
      <c r="CA21" s="54"/>
      <c r="CC21" s="119">
        <v>95.5</v>
      </c>
      <c r="CZ21" s="124"/>
      <c r="DA21" s="124"/>
      <c r="DB21" s="124"/>
      <c r="DD21" s="54"/>
      <c r="DE21" s="54"/>
      <c r="DF21" s="54"/>
      <c r="DG21" s="119">
        <v>95.5</v>
      </c>
      <c r="EA21" s="56"/>
      <c r="EE21" s="54"/>
      <c r="EG21" s="119">
        <v>95.5</v>
      </c>
      <c r="EW21" s="56"/>
      <c r="FA21" s="54"/>
      <c r="FC21" s="119">
        <v>95.5</v>
      </c>
      <c r="FS21" s="56"/>
      <c r="FW21" s="54"/>
      <c r="FY21" s="119">
        <v>95.5</v>
      </c>
      <c r="GO21" s="56"/>
      <c r="GS21" s="54"/>
      <c r="GU21" s="119">
        <v>95.5</v>
      </c>
      <c r="HK21" s="56"/>
      <c r="HO21" s="54"/>
      <c r="HQ21" s="119">
        <v>95.5</v>
      </c>
      <c r="IG21" s="56"/>
      <c r="IK21" s="54"/>
      <c r="IM21" s="119">
        <v>95.5</v>
      </c>
      <c r="JC21" s="56"/>
      <c r="JG21" s="54"/>
      <c r="JI21" s="119">
        <v>95.5</v>
      </c>
      <c r="JY21" s="56"/>
      <c r="KC21" s="54"/>
      <c r="KE21" s="119">
        <v>95.5</v>
      </c>
      <c r="KU21" s="56"/>
      <c r="KY21" s="54"/>
      <c r="LA21" s="119">
        <v>95.5</v>
      </c>
      <c r="LQ21" s="56"/>
      <c r="LU21" s="54"/>
      <c r="LW21" s="119">
        <v>95.5</v>
      </c>
      <c r="MM21" s="56"/>
      <c r="MQ21" s="54"/>
      <c r="MS21" s="119">
        <v>95.5</v>
      </c>
      <c r="NI21" s="56"/>
      <c r="NM21" s="54"/>
      <c r="NO21" s="119">
        <v>95.5</v>
      </c>
    </row>
    <row r="22" spans="1:379" x14ac:dyDescent="0.2">
      <c r="A22" s="56"/>
      <c r="B22" s="72" t="s">
        <v>68</v>
      </c>
      <c r="C22" s="56"/>
      <c r="O22" s="2"/>
      <c r="AR22" s="124"/>
      <c r="AS22" s="124"/>
      <c r="AT22" s="124"/>
      <c r="AV22" s="54"/>
      <c r="AW22" s="54"/>
      <c r="AX22" s="54"/>
      <c r="AY22" s="66">
        <v>97.5</v>
      </c>
      <c r="BV22" s="124"/>
      <c r="BW22" s="124"/>
      <c r="BX22" s="124"/>
      <c r="CA22" s="54"/>
      <c r="CC22" s="66">
        <v>97.5</v>
      </c>
      <c r="CZ22" s="124"/>
      <c r="DA22" s="124"/>
      <c r="DB22" s="124"/>
      <c r="DD22" s="54"/>
      <c r="DE22" s="54"/>
      <c r="DF22" s="54"/>
      <c r="DG22" s="66">
        <v>97.5</v>
      </c>
      <c r="EA22" s="56"/>
      <c r="EE22" s="54"/>
      <c r="EG22" s="66">
        <v>97.5</v>
      </c>
      <c r="EW22" s="56"/>
      <c r="FA22" s="54"/>
      <c r="FC22" s="66">
        <v>97.5</v>
      </c>
      <c r="FS22" s="56"/>
      <c r="FW22" s="54"/>
      <c r="FY22" s="66">
        <v>97.5</v>
      </c>
      <c r="GO22" s="56"/>
      <c r="GS22" s="54"/>
      <c r="GU22" s="66">
        <v>97.5</v>
      </c>
      <c r="HK22" s="56"/>
      <c r="HO22" s="54"/>
      <c r="HQ22" s="66">
        <v>97.5</v>
      </c>
      <c r="IG22" s="56"/>
      <c r="IK22" s="54"/>
      <c r="IM22" s="66">
        <v>97.5</v>
      </c>
      <c r="JC22" s="56"/>
      <c r="JG22" s="54"/>
      <c r="JI22" s="66">
        <v>97.5</v>
      </c>
      <c r="JY22" s="56"/>
      <c r="KC22" s="54"/>
      <c r="KE22" s="66">
        <v>97.5</v>
      </c>
      <c r="KU22" s="56"/>
      <c r="KY22" s="54"/>
      <c r="LA22" s="66">
        <v>97.5</v>
      </c>
      <c r="LQ22" s="56"/>
      <c r="LU22" s="54"/>
      <c r="LW22" s="66">
        <v>97.5</v>
      </c>
      <c r="MM22" s="56"/>
      <c r="MQ22" s="54"/>
      <c r="MS22" s="66">
        <v>97.5</v>
      </c>
      <c r="NI22" s="56"/>
      <c r="NM22" s="54"/>
      <c r="NO22" s="66">
        <v>97.5</v>
      </c>
    </row>
    <row r="23" spans="1:379" x14ac:dyDescent="0.2">
      <c r="A23" s="56"/>
      <c r="B23" s="116" t="s">
        <v>84</v>
      </c>
      <c r="C23" s="56"/>
      <c r="AR23" s="124"/>
      <c r="AS23" s="124"/>
      <c r="AT23" s="124"/>
      <c r="AV23" s="54"/>
      <c r="AW23" s="54"/>
      <c r="AX23" s="130"/>
      <c r="AY23" s="117">
        <v>53</v>
      </c>
      <c r="BV23" s="124"/>
      <c r="BW23" s="124"/>
      <c r="BX23" s="124"/>
      <c r="CA23" s="54"/>
      <c r="CB23" s="129"/>
      <c r="CC23" s="117">
        <v>53</v>
      </c>
      <c r="CZ23" s="124"/>
      <c r="DA23" s="124"/>
      <c r="DB23" s="124"/>
      <c r="DD23" s="54"/>
      <c r="DE23" s="54"/>
      <c r="DF23" s="54"/>
      <c r="DG23" s="117">
        <v>53</v>
      </c>
      <c r="EA23" s="56"/>
      <c r="EE23" s="54"/>
      <c r="EG23" s="117">
        <v>53</v>
      </c>
      <c r="EW23" s="56"/>
      <c r="FA23" s="54"/>
      <c r="FC23" s="117">
        <v>53</v>
      </c>
      <c r="FS23" s="56"/>
      <c r="FW23" s="54"/>
      <c r="FY23" s="117">
        <v>53</v>
      </c>
      <c r="GO23" s="56"/>
      <c r="GS23" s="54"/>
      <c r="GT23" s="129"/>
      <c r="GU23" s="117">
        <v>53</v>
      </c>
      <c r="HK23" s="56"/>
      <c r="HO23" s="54"/>
      <c r="HP23" s="129"/>
      <c r="HQ23" s="117">
        <v>53</v>
      </c>
      <c r="IG23" s="56"/>
      <c r="IK23" s="54"/>
      <c r="IM23" s="117">
        <v>53</v>
      </c>
      <c r="JC23" s="56"/>
      <c r="JG23" s="54"/>
      <c r="JI23" s="117">
        <v>53</v>
      </c>
      <c r="JY23" s="56"/>
      <c r="KC23" s="54"/>
      <c r="KD23" s="131"/>
      <c r="KE23" s="117">
        <v>53</v>
      </c>
      <c r="KU23" s="56"/>
      <c r="KY23" s="54"/>
      <c r="LA23" s="117">
        <v>53</v>
      </c>
      <c r="LQ23" s="56"/>
      <c r="LU23" s="54"/>
      <c r="LW23" s="117">
        <v>53</v>
      </c>
      <c r="MM23" s="56"/>
      <c r="MQ23" s="54"/>
      <c r="MR23" s="131"/>
      <c r="MS23" s="117">
        <v>53</v>
      </c>
      <c r="NI23" s="56"/>
      <c r="NM23" s="54"/>
      <c r="NO23" s="117">
        <v>53</v>
      </c>
    </row>
    <row r="24" spans="1:379" x14ac:dyDescent="0.2">
      <c r="A24" s="56"/>
      <c r="B24" s="74" t="s">
        <v>51</v>
      </c>
      <c r="C24" s="56"/>
      <c r="O24" s="2"/>
      <c r="AR24" s="124"/>
      <c r="AS24" s="124"/>
      <c r="AT24" s="124"/>
      <c r="AV24" s="54"/>
      <c r="AW24" s="54"/>
      <c r="AX24" s="54"/>
      <c r="AY24" s="68">
        <v>54.5</v>
      </c>
      <c r="BV24" s="124"/>
      <c r="BW24" s="124"/>
      <c r="BX24" s="124"/>
      <c r="CA24" s="54"/>
      <c r="CC24" s="68">
        <v>54.5</v>
      </c>
      <c r="CZ24" s="124"/>
      <c r="DA24" s="124"/>
      <c r="DB24" s="124"/>
      <c r="DD24" s="54"/>
      <c r="DE24" s="54"/>
      <c r="DF24" s="54"/>
      <c r="DG24" s="68">
        <v>54.5</v>
      </c>
      <c r="EA24" s="56"/>
      <c r="EE24" s="54"/>
      <c r="EG24" s="68">
        <v>54.5</v>
      </c>
      <c r="EW24" s="56"/>
      <c r="FA24" s="54"/>
      <c r="FC24" s="68">
        <v>54.5</v>
      </c>
      <c r="FS24" s="56"/>
      <c r="FW24" s="54"/>
      <c r="FY24" s="68">
        <v>54.5</v>
      </c>
      <c r="GO24" s="56"/>
      <c r="GS24" s="54"/>
      <c r="GT24" s="129"/>
      <c r="GU24" s="68">
        <v>54.5</v>
      </c>
      <c r="HK24" s="56"/>
      <c r="HO24" s="54"/>
      <c r="HQ24" s="68">
        <v>54.5</v>
      </c>
      <c r="IG24" s="56"/>
      <c r="IK24" s="54"/>
      <c r="IM24" s="68">
        <v>54.5</v>
      </c>
      <c r="JC24" s="56"/>
      <c r="JG24" s="54"/>
      <c r="JI24" s="68">
        <v>54.5</v>
      </c>
      <c r="JY24" s="56"/>
      <c r="KC24" s="54"/>
      <c r="KE24" s="68">
        <v>54.5</v>
      </c>
      <c r="KU24" s="56"/>
      <c r="KY24" s="54"/>
      <c r="LA24" s="68">
        <v>54.5</v>
      </c>
      <c r="LQ24" s="56"/>
      <c r="LU24" s="54"/>
      <c r="LW24" s="68">
        <v>54.5</v>
      </c>
      <c r="MM24" s="56"/>
      <c r="MQ24" s="54"/>
      <c r="MS24" s="68">
        <v>54.5</v>
      </c>
      <c r="NI24" s="56"/>
      <c r="NM24" s="54"/>
      <c r="NO24" s="68">
        <v>54.5</v>
      </c>
    </row>
    <row r="25" spans="1:379" x14ac:dyDescent="0.2">
      <c r="B25" s="82" t="s">
        <v>75</v>
      </c>
      <c r="C25" s="2"/>
      <c r="AU25" s="54"/>
      <c r="AV25" s="54"/>
      <c r="AX25" s="54"/>
      <c r="DC25" s="54"/>
      <c r="DD25" s="54"/>
      <c r="DF25" s="54"/>
      <c r="EX25" s="54"/>
    </row>
    <row r="26" spans="1:379" x14ac:dyDescent="0.2">
      <c r="A26" s="56"/>
      <c r="B26" s="56"/>
      <c r="C26" s="55"/>
      <c r="AQ26" s="54"/>
      <c r="AR26" s="54"/>
      <c r="AS26" s="54"/>
      <c r="AT26" s="54"/>
      <c r="AU26" s="54"/>
      <c r="AV26" s="54"/>
      <c r="AX26" s="54"/>
      <c r="CY26" s="54"/>
      <c r="CZ26" s="54"/>
      <c r="DA26" s="54"/>
      <c r="DB26" s="54"/>
      <c r="DC26" s="54"/>
      <c r="DD26" s="54"/>
      <c r="DF26" s="54"/>
    </row>
    <row r="27" spans="1:379" ht="17" x14ac:dyDescent="0.2">
      <c r="A27" s="56"/>
      <c r="B27" s="56"/>
      <c r="C27" s="55"/>
      <c r="S27" s="19"/>
      <c r="T27" s="19"/>
      <c r="AQ27" s="54"/>
      <c r="AR27" s="54"/>
      <c r="AS27" s="54"/>
      <c r="AT27" s="54"/>
      <c r="AU27" s="54"/>
      <c r="AV27" s="54"/>
      <c r="AX27" s="54"/>
      <c r="CY27" s="54"/>
      <c r="CZ27" s="54"/>
      <c r="DA27" s="54"/>
      <c r="DB27" s="54"/>
      <c r="DC27" s="54"/>
      <c r="DD27" s="54"/>
      <c r="DF27" s="54"/>
    </row>
    <row r="28" spans="1:379" ht="17" x14ac:dyDescent="0.2">
      <c r="A28" s="56"/>
      <c r="B28" s="56"/>
      <c r="C28" s="55"/>
      <c r="S28" s="19"/>
      <c r="AQ28" s="54"/>
      <c r="AR28" s="54"/>
      <c r="AS28" s="54"/>
      <c r="AT28" s="54"/>
      <c r="AU28" s="54"/>
      <c r="AV28" s="54"/>
      <c r="AX28" s="54"/>
      <c r="CY28" s="54"/>
      <c r="CZ28" s="54"/>
      <c r="DA28" s="54"/>
      <c r="DB28" s="54"/>
      <c r="DC28" s="54"/>
      <c r="DD28" s="54"/>
      <c r="DF28" s="54"/>
    </row>
    <row r="29" spans="1:379" ht="17" x14ac:dyDescent="0.2">
      <c r="S29" s="19"/>
      <c r="T29" s="19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379" ht="17" x14ac:dyDescent="0.2"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379" ht="17" x14ac:dyDescent="0.2"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379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OQ1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4">
      <sortCondition descending="1" ref="F1:F15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69" priority="10" operator="containsText" text="No DD">
      <formula>NOT(ISERROR(SEARCH("No DD",I1)))</formula>
    </cfRule>
    <cfRule type="containsText" dxfId="168" priority="11" operator="containsText" text="Merit">
      <formula>NOT(ISERROR(SEARCH("Merit",I1)))</formula>
    </cfRule>
    <cfRule type="containsText" dxfId="167" priority="12" operator="containsText" text="Excellence">
      <formula>NOT(ISERROR(SEARCH("Excellence",I1)))</formula>
    </cfRule>
    <cfRule type="containsText" dxfId="166" priority="13" operator="containsText" text="Worlds Team">
      <formula>NOT(ISERROR(SEARCH("Worlds Team",I1)))</formula>
    </cfRule>
    <cfRule type="containsText" dxfId="165" priority="14" operator="containsText" text="National Team">
      <formula>NOT(ISERROR(SEARCH("National Team",I1)))</formula>
    </cfRule>
  </conditionalFormatting>
  <conditionalFormatting sqref="V4:AY14">
    <cfRule type="expression" dxfId="164" priority="7" stopIfTrue="1">
      <formula>IF($AP4&lt;&gt;"",1,0)</formula>
    </cfRule>
  </conditionalFormatting>
  <conditionalFormatting sqref="AZ4:CC14">
    <cfRule type="expression" dxfId="163" priority="8" stopIfTrue="1">
      <formula>IF($BT4&lt;&gt;"",1,0)</formula>
    </cfRule>
  </conditionalFormatting>
  <conditionalFormatting sqref="N1:N1048576 R1:R1048576 L1:L1048576 P1:P1048576">
    <cfRule type="expression" dxfId="162" priority="15">
      <formula>IF(L1=$CD$1,1,0)</formula>
    </cfRule>
    <cfRule type="expression" dxfId="161" priority="16">
      <formula>IF(L1=$AZ$1,1,0)</formula>
    </cfRule>
    <cfRule type="expression" dxfId="160" priority="17">
      <formula>IF(L1=$V$1,1,0)</formula>
    </cfRule>
  </conditionalFormatting>
  <conditionalFormatting sqref="A1:A1048576">
    <cfRule type="expression" dxfId="159" priority="42">
      <formula>AND(H1&lt;&gt;"",G1="")</formula>
    </cfRule>
  </conditionalFormatting>
  <conditionalFormatting sqref="CD4:DG14">
    <cfRule type="expression" dxfId="158" priority="9" stopIfTrue="1">
      <formula>IF($CX4&lt;&gt;"",1,0)</formula>
    </cfRule>
  </conditionalFormatting>
  <conditionalFormatting sqref="GT25:GT1048576 HP24:HP1048576 KD24:KD1048576 MR24:MR1048576 AX1:AX1048576 CB1:CB1048576 DF1:DF1048576 EF1:EF1048576 FB1:FB1048576 FX1:FX1048576 GT1:GT22 HP1:HP22 IL1:IL1048576 JH1:JH1048576 KD1:KD22 KZ1:KZ1048576 LV1:LV1048576 MR1:MR22 NN1:NN1048576">
    <cfRule type="cellIs" dxfId="157" priority="37578" operator="between">
      <formula>AY$24</formula>
      <formula>1000</formula>
    </cfRule>
    <cfRule type="cellIs" dxfId="156" priority="37579" operator="between">
      <formula>AY$23</formula>
      <formula>AY$24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5" priority="47731" operator="between">
      <formula>AY$24</formula>
      <formula>1000</formula>
    </cfRule>
    <cfRule type="cellIs" dxfId="154" priority="47732" operator="between">
      <formula>AY$23</formula>
      <formula>AY$24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3" priority="47821" operator="between">
      <formula>AY$22</formula>
      <formula>1000</formula>
    </cfRule>
    <cfRule type="cellIs" dxfId="152" priority="47822" operator="between">
      <formula>AY$21</formula>
      <formula>AY$22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1" priority="47911" operator="between">
      <formula>EG$20</formula>
      <formula>1000</formula>
    </cfRule>
    <cfRule type="cellIs" dxfId="150" priority="47912" operator="between">
      <formula>EG$19</formula>
      <formula>EG$20</formula>
    </cfRule>
    <cfRule type="cellIs" dxfId="149" priority="47913" operator="between">
      <formula>EG$18</formula>
      <formula>EG$19</formula>
    </cfRule>
    <cfRule type="cellIs" dxfId="148" priority="47914" operator="between">
      <formula>EG$17</formula>
      <formula>EG$18</formula>
    </cfRule>
  </conditionalFormatting>
  <conditionalFormatting sqref="AR1:AR1048576 BV1:BV1048576 CZ1:CZ1048576">
    <cfRule type="cellIs" dxfId="147" priority="48055" operator="between">
      <formula>AY$20</formula>
      <formula>1000</formula>
    </cfRule>
    <cfRule type="cellIs" dxfId="146" priority="48056" operator="between">
      <formula>AY$19</formula>
      <formula>AY$20</formula>
    </cfRule>
    <cfRule type="cellIs" dxfId="145" priority="48057" operator="between">
      <formula>AY$18</formula>
      <formula>AY$19</formula>
    </cfRule>
    <cfRule type="cellIs" dxfId="144" priority="48058" operator="between">
      <formula>AY$17</formula>
      <formula>AY$18</formula>
    </cfRule>
  </conditionalFormatting>
  <conditionalFormatting sqref="AS1:AS1048576 BW1:BW1048576 DA1:DA1048576">
    <cfRule type="cellIs" dxfId="143" priority="48091" operator="between">
      <formula>AY$24</formula>
      <formula>1000</formula>
    </cfRule>
    <cfRule type="cellIs" dxfId="142" priority="48092" operator="between">
      <formula>AY$23</formula>
      <formula>AY$24</formula>
    </cfRule>
  </conditionalFormatting>
  <conditionalFormatting sqref="AT1:AT1048576 BX1:BX1048576 DB1:DB1048576">
    <cfRule type="cellIs" dxfId="141" priority="48109" operator="between">
      <formula>AY$20</formula>
      <formula>1000</formula>
    </cfRule>
    <cfRule type="cellIs" dxfId="140" priority="48110" operator="between">
      <formula>AY$19</formula>
      <formula>AY$20</formula>
    </cfRule>
    <cfRule type="cellIs" dxfId="139" priority="48111" operator="between">
      <formula>AY$18</formula>
      <formula>AY$19</formula>
    </cfRule>
    <cfRule type="cellIs" dxfId="138" priority="48112" operator="between">
      <formula>AY$17</formula>
      <formula>AY$18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37" priority="48145" operator="between">
      <formula>AY$20</formula>
      <formula>1000</formula>
    </cfRule>
    <cfRule type="cellIs" dxfId="136" priority="48146" operator="between">
      <formula>AY$19</formula>
      <formula>AY$20</formula>
    </cfRule>
    <cfRule type="cellIs" dxfId="135" priority="48147" operator="between">
      <formula>AY$18</formula>
      <formula>AY$19</formula>
    </cfRule>
    <cfRule type="cellIs" dxfId="134" priority="48148" operator="between">
      <formula>AY$17</formula>
      <formula>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141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 t="s">
        <v>149</v>
      </c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 t="s">
        <v>159</v>
      </c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78"/>
      <c r="AL2" s="58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79"/>
      <c r="BI2" s="57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09"/>
      <c r="CF2" s="109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8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20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21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20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21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20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21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20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21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20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21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20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02"/>
      <c r="NK2" s="10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58" t="s">
        <v>19</v>
      </c>
      <c r="W3" s="58" t="s">
        <v>20</v>
      </c>
      <c r="X3" s="58" t="s">
        <v>11</v>
      </c>
      <c r="Y3" s="58" t="s">
        <v>48</v>
      </c>
      <c r="Z3" s="58" t="s">
        <v>40</v>
      </c>
      <c r="AA3" s="58" t="s">
        <v>19</v>
      </c>
      <c r="AB3" s="58" t="s">
        <v>20</v>
      </c>
      <c r="AC3" s="58" t="s">
        <v>11</v>
      </c>
      <c r="AD3" s="58" t="s">
        <v>48</v>
      </c>
      <c r="AE3" s="58" t="s">
        <v>40</v>
      </c>
      <c r="AF3" s="58" t="s">
        <v>19</v>
      </c>
      <c r="AG3" s="58" t="s">
        <v>20</v>
      </c>
      <c r="AH3" s="58" t="s">
        <v>11</v>
      </c>
      <c r="AI3" s="58" t="s">
        <v>48</v>
      </c>
      <c r="AJ3" s="58" t="s">
        <v>40</v>
      </c>
      <c r="AK3" s="78" t="s">
        <v>73</v>
      </c>
      <c r="AL3" s="10"/>
      <c r="AM3" s="9"/>
      <c r="AN3" s="9"/>
      <c r="AO3" s="9"/>
      <c r="AP3" s="9"/>
      <c r="AQ3" s="10"/>
      <c r="AR3" s="10"/>
      <c r="AS3" s="57" t="s">
        <v>19</v>
      </c>
      <c r="AT3" s="57" t="s">
        <v>20</v>
      </c>
      <c r="AU3" s="57" t="s">
        <v>11</v>
      </c>
      <c r="AV3" s="57" t="s">
        <v>48</v>
      </c>
      <c r="AW3" s="57" t="s">
        <v>40</v>
      </c>
      <c r="AX3" s="57" t="s">
        <v>19</v>
      </c>
      <c r="AY3" s="57" t="s">
        <v>20</v>
      </c>
      <c r="AZ3" s="57" t="s">
        <v>11</v>
      </c>
      <c r="BA3" s="57" t="s">
        <v>48</v>
      </c>
      <c r="BB3" s="57" t="s">
        <v>40</v>
      </c>
      <c r="BC3" s="57" t="s">
        <v>19</v>
      </c>
      <c r="BD3" s="57" t="s">
        <v>20</v>
      </c>
      <c r="BE3" s="57" t="s">
        <v>11</v>
      </c>
      <c r="BF3" s="57" t="s">
        <v>48</v>
      </c>
      <c r="BG3" s="57" t="s">
        <v>40</v>
      </c>
      <c r="BH3" s="79" t="s">
        <v>73</v>
      </c>
      <c r="BI3" s="13"/>
      <c r="BJ3" s="12"/>
      <c r="BK3" s="12"/>
      <c r="BL3" s="12"/>
      <c r="BM3" s="12"/>
      <c r="BN3" s="13"/>
      <c r="BO3" s="13"/>
      <c r="BP3" s="109" t="s">
        <v>19</v>
      </c>
      <c r="BQ3" s="109" t="s">
        <v>20</v>
      </c>
      <c r="BR3" s="109" t="s">
        <v>11</v>
      </c>
      <c r="BS3" s="109" t="s">
        <v>48</v>
      </c>
      <c r="BT3" s="109" t="s">
        <v>40</v>
      </c>
      <c r="BU3" s="109" t="s">
        <v>19</v>
      </c>
      <c r="BV3" s="109" t="s">
        <v>20</v>
      </c>
      <c r="BW3" s="109" t="s">
        <v>11</v>
      </c>
      <c r="BX3" s="109" t="s">
        <v>48</v>
      </c>
      <c r="BY3" s="109" t="s">
        <v>40</v>
      </c>
      <c r="BZ3" s="109" t="s">
        <v>19</v>
      </c>
      <c r="CA3" s="109" t="s">
        <v>20</v>
      </c>
      <c r="CB3" s="109" t="s">
        <v>11</v>
      </c>
      <c r="CC3" s="109" t="s">
        <v>48</v>
      </c>
      <c r="CD3" s="109" t="s">
        <v>40</v>
      </c>
      <c r="CE3" s="109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19</v>
      </c>
      <c r="CR3" s="29" t="s">
        <v>20</v>
      </c>
      <c r="CS3" s="29" t="s">
        <v>11</v>
      </c>
      <c r="CT3" s="32" t="s">
        <v>48</v>
      </c>
      <c r="CU3" s="48" t="s">
        <v>40</v>
      </c>
      <c r="CV3" s="29" t="s">
        <v>19</v>
      </c>
      <c r="CW3" s="29" t="s">
        <v>20</v>
      </c>
      <c r="CX3" s="29" t="s">
        <v>11</v>
      </c>
      <c r="CY3" s="32" t="s">
        <v>48</v>
      </c>
      <c r="CZ3" s="48" t="s">
        <v>40</v>
      </c>
      <c r="DA3" s="29" t="s">
        <v>19</v>
      </c>
      <c r="DB3" s="29" t="s">
        <v>20</v>
      </c>
      <c r="DC3" s="29" t="s">
        <v>11</v>
      </c>
      <c r="DD3" s="32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28" t="s">
        <v>19</v>
      </c>
      <c r="DN3" s="28" t="s">
        <v>20</v>
      </c>
      <c r="DO3" s="28" t="s">
        <v>11</v>
      </c>
      <c r="DP3" s="33" t="s">
        <v>48</v>
      </c>
      <c r="DQ3" s="50" t="s">
        <v>40</v>
      </c>
      <c r="DR3" s="28" t="s">
        <v>19</v>
      </c>
      <c r="DS3" s="28" t="s">
        <v>20</v>
      </c>
      <c r="DT3" s="28" t="s">
        <v>11</v>
      </c>
      <c r="DU3" s="33" t="s">
        <v>48</v>
      </c>
      <c r="DV3" s="50" t="s">
        <v>40</v>
      </c>
      <c r="DW3" s="28" t="s">
        <v>19</v>
      </c>
      <c r="DX3" s="28" t="s">
        <v>20</v>
      </c>
      <c r="DY3" s="28" t="s">
        <v>11</v>
      </c>
      <c r="DZ3" s="33" t="s">
        <v>48</v>
      </c>
      <c r="EA3" s="50" t="s">
        <v>40</v>
      </c>
      <c r="EB3" s="13"/>
      <c r="EC3" s="12"/>
      <c r="ED3" s="12"/>
      <c r="EE3" s="12"/>
      <c r="EF3" s="12"/>
      <c r="EG3" s="13"/>
      <c r="EH3" s="13"/>
      <c r="EI3" s="29" t="s">
        <v>19</v>
      </c>
      <c r="EJ3" s="29" t="s">
        <v>20</v>
      </c>
      <c r="EK3" s="29" t="s">
        <v>11</v>
      </c>
      <c r="EL3" s="34" t="s">
        <v>48</v>
      </c>
      <c r="EM3" s="49" t="s">
        <v>40</v>
      </c>
      <c r="EN3" s="29" t="s">
        <v>19</v>
      </c>
      <c r="EO3" s="29" t="s">
        <v>20</v>
      </c>
      <c r="EP3" s="29" t="s">
        <v>11</v>
      </c>
      <c r="EQ3" s="34" t="s">
        <v>48</v>
      </c>
      <c r="ER3" s="49" t="s">
        <v>40</v>
      </c>
      <c r="ES3" s="29" t="s">
        <v>19</v>
      </c>
      <c r="ET3" s="29" t="s">
        <v>20</v>
      </c>
      <c r="EU3" s="29" t="s">
        <v>11</v>
      </c>
      <c r="EV3" s="34" t="s">
        <v>48</v>
      </c>
      <c r="EW3" s="49" t="s">
        <v>40</v>
      </c>
      <c r="EX3" s="10"/>
      <c r="EY3" s="9"/>
      <c r="EZ3" s="9"/>
      <c r="FA3" s="9"/>
      <c r="FB3" s="9"/>
      <c r="FC3" s="10"/>
      <c r="FD3" s="10"/>
      <c r="FE3" s="28" t="s">
        <v>19</v>
      </c>
      <c r="FF3" s="28" t="s">
        <v>20</v>
      </c>
      <c r="FG3" s="28" t="s">
        <v>11</v>
      </c>
      <c r="FH3" s="33" t="s">
        <v>48</v>
      </c>
      <c r="FI3" s="50" t="s">
        <v>40</v>
      </c>
      <c r="FJ3" s="28" t="s">
        <v>19</v>
      </c>
      <c r="FK3" s="28" t="s">
        <v>20</v>
      </c>
      <c r="FL3" s="28" t="s">
        <v>11</v>
      </c>
      <c r="FM3" s="33" t="s">
        <v>48</v>
      </c>
      <c r="FN3" s="50" t="s">
        <v>40</v>
      </c>
      <c r="FO3" s="28" t="s">
        <v>19</v>
      </c>
      <c r="FP3" s="28" t="s">
        <v>20</v>
      </c>
      <c r="FQ3" s="28" t="s">
        <v>11</v>
      </c>
      <c r="FR3" s="33" t="s">
        <v>48</v>
      </c>
      <c r="FS3" s="50" t="s">
        <v>40</v>
      </c>
      <c r="FT3" s="13"/>
      <c r="FU3" s="12"/>
      <c r="FV3" s="12"/>
      <c r="FW3" s="12"/>
      <c r="FX3" s="12"/>
      <c r="FY3" s="13"/>
      <c r="FZ3" s="13"/>
      <c r="GA3" s="29" t="s">
        <v>19</v>
      </c>
      <c r="GB3" s="29" t="s">
        <v>20</v>
      </c>
      <c r="GC3" s="29" t="s">
        <v>11</v>
      </c>
      <c r="GD3" s="34" t="s">
        <v>48</v>
      </c>
      <c r="GE3" s="49" t="s">
        <v>40</v>
      </c>
      <c r="GF3" s="29" t="s">
        <v>19</v>
      </c>
      <c r="GG3" s="29" t="s">
        <v>20</v>
      </c>
      <c r="GH3" s="29" t="s">
        <v>11</v>
      </c>
      <c r="GI3" s="34" t="s">
        <v>48</v>
      </c>
      <c r="GJ3" s="49" t="s">
        <v>40</v>
      </c>
      <c r="GK3" s="29" t="s">
        <v>19</v>
      </c>
      <c r="GL3" s="29" t="s">
        <v>20</v>
      </c>
      <c r="GM3" s="29" t="s">
        <v>11</v>
      </c>
      <c r="GN3" s="34" t="s">
        <v>48</v>
      </c>
      <c r="GO3" s="49" t="s">
        <v>40</v>
      </c>
      <c r="GP3" s="10"/>
      <c r="GQ3" s="9"/>
      <c r="GR3" s="9"/>
      <c r="GS3" s="9"/>
      <c r="GT3" s="9"/>
      <c r="GU3" s="10"/>
      <c r="GV3" s="10"/>
      <c r="GW3" s="28" t="s">
        <v>19</v>
      </c>
      <c r="GX3" s="28" t="s">
        <v>20</v>
      </c>
      <c r="GY3" s="28" t="s">
        <v>11</v>
      </c>
      <c r="GZ3" s="33" t="s">
        <v>48</v>
      </c>
      <c r="HA3" s="50" t="s">
        <v>40</v>
      </c>
      <c r="HB3" s="28" t="s">
        <v>19</v>
      </c>
      <c r="HC3" s="28" t="s">
        <v>20</v>
      </c>
      <c r="HD3" s="28" t="s">
        <v>11</v>
      </c>
      <c r="HE3" s="33" t="s">
        <v>48</v>
      </c>
      <c r="HF3" s="50" t="s">
        <v>40</v>
      </c>
      <c r="HG3" s="28" t="s">
        <v>19</v>
      </c>
      <c r="HH3" s="28" t="s">
        <v>20</v>
      </c>
      <c r="HI3" s="28" t="s">
        <v>11</v>
      </c>
      <c r="HJ3" s="33" t="s">
        <v>48</v>
      </c>
      <c r="HK3" s="50" t="s">
        <v>40</v>
      </c>
      <c r="HL3" s="13"/>
      <c r="HM3" s="12"/>
      <c r="HN3" s="12"/>
      <c r="HO3" s="12"/>
      <c r="HP3" s="12"/>
      <c r="HQ3" s="13"/>
      <c r="HR3" s="13"/>
      <c r="HS3" s="29" t="s">
        <v>19</v>
      </c>
      <c r="HT3" s="29" t="s">
        <v>20</v>
      </c>
      <c r="HU3" s="29" t="s">
        <v>11</v>
      </c>
      <c r="HV3" s="34" t="s">
        <v>48</v>
      </c>
      <c r="HW3" s="49" t="s">
        <v>40</v>
      </c>
      <c r="HX3" s="29" t="s">
        <v>19</v>
      </c>
      <c r="HY3" s="29" t="s">
        <v>20</v>
      </c>
      <c r="HZ3" s="29" t="s">
        <v>11</v>
      </c>
      <c r="IA3" s="34" t="s">
        <v>48</v>
      </c>
      <c r="IB3" s="49" t="s">
        <v>40</v>
      </c>
      <c r="IC3" s="29" t="s">
        <v>19</v>
      </c>
      <c r="ID3" s="29" t="s">
        <v>20</v>
      </c>
      <c r="IE3" s="29" t="s">
        <v>11</v>
      </c>
      <c r="IF3" s="34" t="s">
        <v>48</v>
      </c>
      <c r="IG3" s="49" t="s">
        <v>40</v>
      </c>
      <c r="IH3" s="10"/>
      <c r="II3" s="9"/>
      <c r="IJ3" s="9"/>
      <c r="IK3" s="9"/>
      <c r="IL3" s="9"/>
      <c r="IM3" s="10"/>
      <c r="IN3" s="10"/>
      <c r="IO3" s="28" t="s">
        <v>19</v>
      </c>
      <c r="IP3" s="28" t="s">
        <v>20</v>
      </c>
      <c r="IQ3" s="28" t="s">
        <v>11</v>
      </c>
      <c r="IR3" s="33" t="s">
        <v>48</v>
      </c>
      <c r="IS3" s="50" t="s">
        <v>40</v>
      </c>
      <c r="IT3" s="28" t="s">
        <v>19</v>
      </c>
      <c r="IU3" s="28" t="s">
        <v>20</v>
      </c>
      <c r="IV3" s="28" t="s">
        <v>11</v>
      </c>
      <c r="IW3" s="33" t="s">
        <v>48</v>
      </c>
      <c r="IX3" s="50" t="s">
        <v>40</v>
      </c>
      <c r="IY3" s="28" t="s">
        <v>19</v>
      </c>
      <c r="IZ3" s="28" t="s">
        <v>20</v>
      </c>
      <c r="JA3" s="28" t="s">
        <v>11</v>
      </c>
      <c r="JB3" s="33" t="s">
        <v>48</v>
      </c>
      <c r="JC3" s="50" t="s">
        <v>40</v>
      </c>
      <c r="JD3" s="13"/>
      <c r="JE3" s="12"/>
      <c r="JF3" s="12"/>
      <c r="JG3" s="12"/>
      <c r="JH3" s="12"/>
      <c r="JI3" s="13"/>
      <c r="JJ3" s="13"/>
      <c r="JK3" s="29" t="s">
        <v>19</v>
      </c>
      <c r="JL3" s="29" t="s">
        <v>20</v>
      </c>
      <c r="JM3" s="29" t="s">
        <v>11</v>
      </c>
      <c r="JN3" s="34" t="s">
        <v>48</v>
      </c>
      <c r="JO3" s="49" t="s">
        <v>40</v>
      </c>
      <c r="JP3" s="29" t="s">
        <v>19</v>
      </c>
      <c r="JQ3" s="29" t="s">
        <v>20</v>
      </c>
      <c r="JR3" s="29" t="s">
        <v>11</v>
      </c>
      <c r="JS3" s="34" t="s">
        <v>48</v>
      </c>
      <c r="JT3" s="49" t="s">
        <v>40</v>
      </c>
      <c r="JU3" s="29" t="s">
        <v>19</v>
      </c>
      <c r="JV3" s="29" t="s">
        <v>20</v>
      </c>
      <c r="JW3" s="29" t="s">
        <v>11</v>
      </c>
      <c r="JX3" s="34" t="s">
        <v>48</v>
      </c>
      <c r="JY3" s="49" t="s">
        <v>40</v>
      </c>
      <c r="JZ3" s="10"/>
      <c r="KA3" s="9"/>
      <c r="KB3" s="9"/>
      <c r="KC3" s="9"/>
      <c r="KD3" s="9"/>
      <c r="KE3" s="10"/>
      <c r="KF3" s="10"/>
      <c r="KG3" s="28" t="s">
        <v>19</v>
      </c>
      <c r="KH3" s="28" t="s">
        <v>20</v>
      </c>
      <c r="KI3" s="28" t="s">
        <v>11</v>
      </c>
      <c r="KJ3" s="33" t="s">
        <v>48</v>
      </c>
      <c r="KK3" s="50" t="s">
        <v>40</v>
      </c>
      <c r="KL3" s="28" t="s">
        <v>19</v>
      </c>
      <c r="KM3" s="28" t="s">
        <v>20</v>
      </c>
      <c r="KN3" s="28" t="s">
        <v>11</v>
      </c>
      <c r="KO3" s="33" t="s">
        <v>48</v>
      </c>
      <c r="KP3" s="50" t="s">
        <v>40</v>
      </c>
      <c r="KQ3" s="28" t="s">
        <v>19</v>
      </c>
      <c r="KR3" s="28" t="s">
        <v>20</v>
      </c>
      <c r="KS3" s="28" t="s">
        <v>11</v>
      </c>
      <c r="KT3" s="33" t="s">
        <v>48</v>
      </c>
      <c r="KU3" s="50" t="s">
        <v>40</v>
      </c>
      <c r="KV3" s="13"/>
      <c r="KW3" s="12"/>
      <c r="KX3" s="12"/>
      <c r="KY3" s="12"/>
      <c r="KZ3" s="12"/>
      <c r="LA3" s="13"/>
      <c r="LB3" s="13"/>
      <c r="LC3" s="29" t="s">
        <v>19</v>
      </c>
      <c r="LD3" s="29" t="s">
        <v>20</v>
      </c>
      <c r="LE3" s="29" t="s">
        <v>11</v>
      </c>
      <c r="LF3" s="34" t="s">
        <v>48</v>
      </c>
      <c r="LG3" s="49" t="s">
        <v>40</v>
      </c>
      <c r="LH3" s="29" t="s">
        <v>19</v>
      </c>
      <c r="LI3" s="29" t="s">
        <v>20</v>
      </c>
      <c r="LJ3" s="29" t="s">
        <v>11</v>
      </c>
      <c r="LK3" s="34" t="s">
        <v>48</v>
      </c>
      <c r="LL3" s="49" t="s">
        <v>40</v>
      </c>
      <c r="LM3" s="29" t="s">
        <v>19</v>
      </c>
      <c r="LN3" s="29" t="s">
        <v>20</v>
      </c>
      <c r="LO3" s="29" t="s">
        <v>11</v>
      </c>
      <c r="LP3" s="34" t="s">
        <v>48</v>
      </c>
      <c r="LQ3" s="49" t="s">
        <v>40</v>
      </c>
      <c r="LR3" s="10"/>
      <c r="LS3" s="9"/>
      <c r="LT3" s="9"/>
      <c r="LU3" s="9"/>
      <c r="LV3" s="9"/>
      <c r="LW3" s="10"/>
      <c r="LX3" s="10"/>
      <c r="LY3" s="28" t="s">
        <v>19</v>
      </c>
      <c r="LZ3" s="28" t="s">
        <v>20</v>
      </c>
      <c r="MA3" s="28" t="s">
        <v>11</v>
      </c>
      <c r="MB3" s="33" t="s">
        <v>48</v>
      </c>
      <c r="MC3" s="50" t="s">
        <v>40</v>
      </c>
      <c r="MD3" s="47" t="s">
        <v>19</v>
      </c>
      <c r="ME3" s="28" t="s">
        <v>20</v>
      </c>
      <c r="MF3" s="28" t="s">
        <v>11</v>
      </c>
      <c r="MG3" s="33" t="s">
        <v>48</v>
      </c>
      <c r="MH3" s="50" t="s">
        <v>40</v>
      </c>
      <c r="MI3" s="28" t="s">
        <v>19</v>
      </c>
      <c r="MJ3" s="28" t="s">
        <v>20</v>
      </c>
      <c r="MK3" s="28" t="s">
        <v>11</v>
      </c>
      <c r="ML3" s="33" t="s">
        <v>48</v>
      </c>
      <c r="MM3" s="50" t="s">
        <v>40</v>
      </c>
      <c r="MN3" s="13"/>
      <c r="MO3" s="12"/>
      <c r="MP3" s="12"/>
      <c r="MQ3" s="12"/>
      <c r="MR3" s="12"/>
      <c r="MS3" s="13"/>
      <c r="MT3" s="13"/>
      <c r="MU3" s="102" t="s">
        <v>19</v>
      </c>
      <c r="MV3" s="102" t="s">
        <v>20</v>
      </c>
      <c r="MW3" s="102" t="s">
        <v>11</v>
      </c>
      <c r="MX3" s="102" t="s">
        <v>21</v>
      </c>
      <c r="MY3" s="102" t="s">
        <v>40</v>
      </c>
      <c r="MZ3" s="102" t="s">
        <v>19</v>
      </c>
      <c r="NA3" s="102" t="s">
        <v>20</v>
      </c>
      <c r="NB3" s="102" t="s">
        <v>11</v>
      </c>
      <c r="NC3" s="102" t="s">
        <v>21</v>
      </c>
      <c r="ND3" s="102" t="s">
        <v>40</v>
      </c>
      <c r="NE3" s="102" t="s">
        <v>19</v>
      </c>
      <c r="NF3" s="102" t="s">
        <v>20</v>
      </c>
      <c r="NG3" s="102" t="s">
        <v>11</v>
      </c>
      <c r="NH3" s="102" t="s">
        <v>21</v>
      </c>
      <c r="NI3" s="102" t="s">
        <v>40</v>
      </c>
      <c r="NJ3" s="10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IF(AND(G4&lt;&gt;"",H4&lt;&gt;""),SUMPRODUCT((G$4:G$6&lt;&gt;"")*(H$4:H$6&lt;&gt;"")*(E$4:E$6&gt;E4))+1,IF(H4&lt;&gt;"",SUMPRODUCT((I$4:I$6="No DD")*(E$4:E$6&gt;E4))+1+SUMPRODUCT((G$4:G$6&lt;&gt;"")*(H$4:H$6&lt;&gt;"")),""))</f>
        <v/>
      </c>
      <c r="B4" s="8" t="s">
        <v>152</v>
      </c>
      <c r="C4" s="4" t="s">
        <v>151</v>
      </c>
      <c r="D4" s="27" t="s">
        <v>150</v>
      </c>
      <c r="E4" s="15">
        <f>SUM(K4:S4)</f>
        <v>56.769999999999996</v>
      </c>
      <c r="F4" s="3" t="str">
        <f>IF(G4&lt;&gt;"","P","")</f>
        <v>P</v>
      </c>
      <c r="G4" s="125" t="str">
        <f>IF(OR(AND(AL4&gt;=AR$11,AL4&lt;&gt;"",AK4=""),AND(AP4&gt;=AR$11,AP4&lt;&gt;"",AK4=""),AND(BI4&gt;=BO$11,BI4&lt;&gt;"",BH4=""),AND(BM4&gt;=BO$11,BM4&lt;&gt;"",BH4=""),AND(CF4&gt;=CL$11,CF4&lt;&gt;"",CE4=""),AND(CJ4&gt;=CL$11,CJ4&lt;&gt;"",CE4=""),AND(DF4&gt;=DL$11,DF4&lt;&gt;""),AND(DJ4&gt;=DL$11,DJ4&lt;&gt;""),AND(EB4&gt;=EH$11,EB4&lt;&gt;""),AND(EF4&gt;=EH$11,EF4&lt;&gt;""),AND(EX4&gt;=FD$11,EX4&lt;&gt;""),AND(FB4&gt;=FD$11,FB4&lt;&gt;""),AND(FT4&gt;=FZ$11,FT4&lt;&gt;""),AND(FX4&gt;=FZ$11,FX4&lt;&gt;""),AND(GP4&gt;=GV$11,GP4&lt;&gt;""),AND(GT4&gt;=GV$11,GT4&lt;&gt;""),AND(HL4&gt;=HR$11,HL4&lt;&gt;""),AND(HP4&gt;=HR$11,HP4&lt;&gt;""),AND(IH4&gt;=IN$11,IH4&lt;&gt;""),AND(IL4&gt;=IN$11,IL4&lt;&gt;""),AND(JD4&gt;=JJ$11,JD4&lt;&gt;""),AND(JH4&gt;=JJ$11,JH4&lt;&gt;""),AND(JZ4&gt;=KF$11,JZ4&lt;&gt;""),AND(KD4&gt;=KF$11,KD4&lt;&gt;""),AND(KV4&gt;=LB$11,KV4&lt;&gt;""),AND(KZ4&gt;=LB$11,KZ4&lt;&gt;""),AND(LR4&gt;=LX$11,LR4&lt;&gt;""),AND(LV4&gt;=LX$11,LV4&lt;&gt;""),AND(MN4&gt;=MT$11,MN4&lt;&gt;""),AND(MR4&gt;=MT$11,MR4&lt;&gt;"")),"Merit",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Excellence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Worlds Team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National Team",""))))</f>
        <v>Worlds Team</v>
      </c>
      <c r="H4" s="125" t="str">
        <f>IF(OR(AND(AN4&gt;=AR$15,AN4&lt;&gt;"",AK4=""),AND(AQ4&gt;=AR$15,AQ4&lt;&gt;"",AK4=""),AND(BK4&gt;=BO$15,BK4&lt;&gt;"",BH4=""),AND(BN4&gt;=BO$15,BN4&lt;&gt;"",BH4=""),AND(CH4&gt;=CL$15,CH4&lt;&gt;"",CE4=""),AND(CK4&gt;=CL$15,CE4&lt;&gt;"",CE4=""),AND(DH4&gt;=DL$15,DH4&lt;&gt;""),AND(DK4&gt;=DL$15,DK4&lt;&gt;""),AND(ED4&gt;=EH$15,ED4&lt;&gt;""),AND(EG4&gt;=EH$15,EG4&lt;&gt;""),AND(EZ4&gt;=FD$15,EZ4&lt;&gt;""),AND(FC4&gt;=FD$15,FC4&lt;&gt;""),AND(FV4&gt;=FZ$15,FV4&lt;&gt;""),AND(FY4&gt;=FZ$15,FY4&lt;&gt;""),AND(GR4&gt;=GV$15,GR4&lt;&gt;""),AND(GU4&gt;=GV$15,GU4&lt;&gt;""),AND(HN4&gt;=HR$15,HN4&lt;&gt;""),AND(HQ4&gt;=HR$15,HQ4&lt;&gt;""),AND(IJ4&gt;=IN$15,IJ4&lt;&gt;""),AND(IM4&gt;=IN$15,IM4&lt;&gt;""),AND(JF4&gt;=JJ$15,JF4&lt;&gt;""),AND(JI4&gt;=JJ$15,JI4&lt;&gt;""),AND(KB4&gt;=KF$15,KB4&lt;&gt;""),AND(KE4&gt;=KF$15,KE4&lt;&gt;""),AND(KX4&gt;=LB$15,KX4&lt;&gt;""),AND(LA4&gt;=LB$15,LA4&lt;&gt;""),AND(LT4&gt;=LX$15,LT4&lt;&gt;""),AND(LW4&gt;=LX$15,LW4&lt;&gt;""),AND(MP4&gt;=MT$15,MP4&lt;&gt;""),AND(MS4&gt;=MT$15,MS4&lt;&gt;"")),"Merit",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Excellence",IF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"Worlds Team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>
        <f>IF(MAX(CM4,CN4,CO4,CP4)&gt;0,MAX(CM4,CN4,CO4,CP4),"")</f>
        <v>56.769999999999996</v>
      </c>
      <c r="T4" s="25" t="str">
        <f>IF(S4="","",IF(S4=CM4,"(Vol 1)",IF(S4=CN4,"(Vol 2)",IF(S4=CO4,"(Prelim)",IF(S4=CP4,"(Final)")))))</f>
        <v>(Prelim)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2021 World Championships (Nov 19)</v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40.78</v>
      </c>
      <c r="CN4" s="24">
        <f>IF(MAX(DH4,ED4,EZ4,FV4,GR4,HN4,IJ4,JF4,KB4,KX4,LT4,MP4)-IF(O4="",0,O4)&gt;0.001,MAX(DH4,ED4,EZ4,FV4,GR4,HN4,IJ4,JF4,KB4,KX4,LT4,MP4)-IF(O4="",0,O4),"")</f>
        <v>15.989999999999998</v>
      </c>
      <c r="CO4" s="24">
        <f>IF(MAX(DI4,EE4,FA4,FW4,GS4,HO4,IK4,JG4,KC4,KY4,LU4,MQ4)-IF(K4="",0,K4)&gt;0.001,MAX(DI4,EE4,FA4,FW4,GS4,HO4,IK4,JG4,KC4,KY4,LU4,MQ4)-IF(K4="",0,K4),"")</f>
        <v>56.769999999999996</v>
      </c>
      <c r="CP4" s="24">
        <f>IF(MAX(DK4,EG4,FC4,FY4,GU4,HQ4,IM4,JI4,KE4,LA4,LW4,MS4)-IF(Q4="",0,Q4)&gt;0.001,MAX(DK4,EG4,FC4,FY4,GU4,HQ4,IM4,JI4,KE4,LA4,LW4,MS4)-IF(Q4="",0,Q4),"")</f>
        <v>46.51</v>
      </c>
      <c r="CQ4" s="37">
        <v>8.15</v>
      </c>
      <c r="CR4" s="37">
        <v>9.35</v>
      </c>
      <c r="CS4" s="37">
        <v>5.4</v>
      </c>
      <c r="CT4" s="37">
        <v>17.88</v>
      </c>
      <c r="CU4" s="37">
        <v>0</v>
      </c>
      <c r="CV4" s="37">
        <v>2.2999999999999998</v>
      </c>
      <c r="CW4" s="37">
        <v>2.95</v>
      </c>
      <c r="CX4" s="37">
        <v>5.0999999999999996</v>
      </c>
      <c r="CY4" s="37">
        <v>5.64</v>
      </c>
      <c r="CZ4" s="37">
        <v>0</v>
      </c>
      <c r="DA4" s="37"/>
      <c r="DB4" s="37"/>
      <c r="DC4" s="37"/>
      <c r="DD4" s="37"/>
      <c r="DE4" s="37"/>
      <c r="DF4" s="11">
        <f>IF(CX4&gt;0,CX4,"")</f>
        <v>5.0999999999999996</v>
      </c>
      <c r="DG4" s="11">
        <f>IF(SUM(CQ4:CT4)-CU4&gt;0,SUM(CQ4:CT4)-CU4,"")</f>
        <v>40.78</v>
      </c>
      <c r="DH4" s="11">
        <f>IF(SUM(CV4:CY4)-CZ4&gt;0,SUM(CV4:CY4)-CZ4,"")</f>
        <v>15.989999999999998</v>
      </c>
      <c r="DI4" s="11">
        <f>IF(SUM(DG4:DH4)&gt;0,SUM(DG4:DH4),"")</f>
        <v>56.769999999999996</v>
      </c>
      <c r="DJ4" s="11" t="str">
        <f>IF(DC4&gt;0,DC4,"")</f>
        <v/>
      </c>
      <c r="DK4" s="11" t="str">
        <f>IF(SUM(DA4:DD4)-DE4&gt;0,SUM(DA4:DD4)-DE4,"")</f>
        <v/>
      </c>
      <c r="DL4" s="11">
        <f>IF(SUM(DI4,DK4)&gt;0,SUM(DI4,DK4),"")</f>
        <v>56.769999999999996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>
        <v>7.05</v>
      </c>
      <c r="DX4" s="38">
        <v>9.1</v>
      </c>
      <c r="DY4" s="38">
        <v>14.4</v>
      </c>
      <c r="DZ4" s="38">
        <v>15.96</v>
      </c>
      <c r="EA4" s="38">
        <v>0</v>
      </c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>
        <f>IF(DY4&gt;0,DY4,"")</f>
        <v>14.4</v>
      </c>
      <c r="EG4" s="14">
        <f>IF(SUM(DW4:DZ4)-EA4&gt;0,SUM(DW4:DZ4)-EA4,"")</f>
        <v>46.51</v>
      </c>
      <c r="EH4" s="14">
        <f>IF(SUM(EE4,EG4)&gt;0,SUM(EE4,EG4),"")</f>
        <v>46.51</v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155</v>
      </c>
      <c r="C5" s="4" t="s">
        <v>154</v>
      </c>
      <c r="D5" s="27" t="s">
        <v>153</v>
      </c>
      <c r="E5" s="15">
        <f>SUM(K5:S5)</f>
        <v>43.41</v>
      </c>
      <c r="F5" s="3" t="str">
        <f>IF(G5&lt;&gt;"","P","")</f>
        <v/>
      </c>
      <c r="G5" s="125" t="str">
        <f>IF(OR(AND(AL5&gt;=AR$11,AL5&lt;&gt;"",AK5=""),AND(AP5&gt;=AR$11,AP5&lt;&gt;"",AK5=""),AND(BI5&gt;=BO$11,BI5&lt;&gt;"",BH5=""),AND(BM5&gt;=BO$11,BM5&lt;&gt;"",BH5=""),AND(CF5&gt;=CL$11,CF5&lt;&gt;"",CE5=""),AND(CJ5&gt;=CL$11,CJ5&lt;&gt;"",CE5=""),AND(DF5&gt;=DL$11,DF5&lt;&gt;""),AND(DJ5&gt;=DL$11,DJ5&lt;&gt;""),AND(EB5&gt;=EH$11,EB5&lt;&gt;""),AND(EF5&gt;=EH$11,EF5&lt;&gt;""),AND(EX5&gt;=FD$11,EX5&lt;&gt;""),AND(FB5&gt;=FD$11,FB5&lt;&gt;""),AND(FT5&gt;=FZ$11,FT5&lt;&gt;""),AND(FX5&gt;=FZ$11,FX5&lt;&gt;""),AND(GP5&gt;=GV$11,GP5&lt;&gt;""),AND(GT5&gt;=GV$11,GT5&lt;&gt;""),AND(HL5&gt;=HR$11,HL5&lt;&gt;""),AND(HP5&gt;=HR$11,HP5&lt;&gt;""),AND(IH5&gt;=IN$11,IH5&lt;&gt;""),AND(IL5&gt;=IN$11,IL5&lt;&gt;""),AND(JD5&gt;=JJ$11,JD5&lt;&gt;""),AND(JH5&gt;=JJ$11,JH5&lt;&gt;""),AND(JZ5&gt;=KF$11,JZ5&lt;&gt;""),AND(KD5&gt;=KF$11,KD5&lt;&gt;""),AND(KV5&gt;=LB$11,KV5&lt;&gt;""),AND(KZ5&gt;=LB$11,KZ5&lt;&gt;""),AND(LR5&gt;=LX$11,LR5&lt;&gt;""),AND(LV5&gt;=LX$11,LV5&lt;&gt;""),AND(MN5&gt;=MT$11,MN5&lt;&gt;""),AND(MR5&gt;=MT$11,MR5&lt;&gt;"")),"Merit",IF(OR(AND(AL5&gt;=AR$10,AL5&lt;&gt;"",AK5=""),AND(AP5&gt;=AR$10,AP5&lt;&gt;"",AK5=""),AND(BI5&gt;=BO$10,BI5&lt;&gt;"",BH5=""),AND(BM5&gt;=BO$10,BM5&lt;&gt;"",BH5=""),AND(CF5&gt;=CL$10,CF5&lt;&gt;"",CE5=""),AND(CJ5&gt;=CL$10,CJ5&lt;&gt;"",CE5=""),AND(DF5&gt;=DL$10,DF5&lt;&gt;""),AND(DJ5&gt;=DL$10,DJ5&lt;&gt;""),AND(EB5&gt;=EH$10,EB5&lt;&gt;""),AND(EF5&gt;=EH$10,EF5&lt;&gt;""),AND(EX5&gt;=FD$10,EX5&lt;&gt;""),AND(FB5&gt;=FD$10,FB5&lt;&gt;""),AND(FT5&gt;=FZ$10,FT5&lt;&gt;""),AND(FX5&gt;=FZ$10,FX5&lt;&gt;""),AND(GP5&gt;=GV$10,GP5&lt;&gt;""),AND(GT5&gt;=GV$10,GT5&lt;&gt;""),AND(HL5&gt;=HR$10,HL5&lt;&gt;""),AND(HP5&gt;=HR$10,HP5&lt;&gt;""),AND(IH5&gt;=IN$10,IH5&lt;&gt;""),AND(IL5&gt;=IN$10,IL5&lt;&gt;""),AND(JD5&gt;=JJ$10,JD5&lt;&gt;""),AND(JH5&gt;=JJ$10,JH5&lt;&gt;""),AND(JZ5&gt;=KF$10,JZ5&lt;&gt;""),AND(KD5&gt;=KF$10,KD5&lt;&gt;""),AND(KV5&gt;=LB$10,KV5&lt;&gt;""),AND(KZ5&gt;=LB$10,KZ5&lt;&gt;""),AND(LR5&gt;=LX$10,LR5&lt;&gt;""),AND(LV5&gt;=LX$10,LV5&lt;&gt;""),AND(MN5&gt;=MT$10,MN5&lt;&gt;""),AND(MR5&gt;=MT$10,MR5&lt;&gt;"")),"Excellence",IF(OR(AND(AL5&gt;=AR$9,AL5&lt;&gt;"",AK5=""),AND(AP5&gt;=AR$9,AP5&lt;&gt;"",AK5=""),AND(BI5&gt;=BO$9,BI5&lt;&gt;"",BH5=""),AND(BM5&gt;=BO$9,BM5&lt;&gt;"",BH5=""),AND(CF5&gt;=CL$9,CF5&lt;&gt;"",CE5=""),AND(CJ5&gt;=CL$9,CJ5&lt;&gt;"",CE5=""),AND(DF5&gt;=DL$9,DF5&lt;&gt;""),AND(DJ5&gt;=DL$9,DJ5&lt;&gt;""),AND(EB5&gt;=EH$9,EB5&lt;&gt;""),AND(EF5&gt;=EH$9,EF5&lt;&gt;""),AND(EX5&gt;=FD$9,EX5&lt;&gt;""),AND(FB5&gt;=FD$9,FB5&lt;&gt;""),AND(FT5&gt;=FZ$9,FT5&lt;&gt;""),AND(FX5&gt;=FZ$9,FX5&lt;&gt;""),AND(GP5&gt;=GV$9,GP5&lt;&gt;""),AND(GT5&gt;=GV$9,GT5&lt;&gt;""),AND(HL5&gt;=HR$9,HL5&lt;&gt;""),AND(HP5&gt;=HR$9,HP5&lt;&gt;""),AND(IH5&gt;=IN$9,IH5&lt;&gt;""),AND(IL5&gt;=IN$9,IL5&lt;&gt;""),AND(JD5&gt;=JJ$9,JD5&lt;&gt;""),AND(JH5&gt;=JJ$9,JH5&lt;&gt;""),AND(JZ5&gt;=KF$9,JZ5&lt;&gt;""),AND(KD5&gt;=KF$9,KD5&lt;&gt;""),AND(KV5&gt;=LB$9,KV5&lt;&gt;""),AND(KZ5&gt;=LB$9,KZ5&lt;&gt;""),AND(LR5&gt;=LX$9,LR5&lt;&gt;""),AND(LV5&gt;=LX$9,LV5&lt;&gt;""),AND(MN5&gt;=MT$9,MN5&lt;&gt;""),AND(MR5&gt;=MT$9,MR5&lt;&gt;"")),"Worlds Team",IF(OR(AND(AL5&gt;=AR$8,AL5&lt;&gt;"",AK5=""),AND(AP5&gt;=AR$8,AP5&lt;&gt;"",AK5=""),AND(BI5&gt;=BO$8,BI5&lt;&gt;"",BH5=""),AND(BM5&gt;=BO$8,BM5&lt;&gt;"",BH5=""),AND(CF5&gt;=CL$8,CF5&lt;&gt;"",CE5=""),AND(CJ5&gt;=CL$8,CJ5&lt;&gt;"",CE5=""),AND(DF5&gt;=DL$8,DF5&lt;&gt;""),AND(DJ5&gt;=DL$8,DJ5&lt;&gt;""),AND(EB5&gt;=EH$8,EB5&lt;&gt;""),AND(EF5&gt;=EH$8,EF5&lt;&gt;""),AND(EX5&gt;=FD$8,EX5&lt;&gt;""),AND(FB5&gt;=FD$8,FB5&lt;&gt;""),AND(FT5&gt;=FZ$8,FT5&lt;&gt;""),AND(FX5&gt;=FZ$8,FX5&lt;&gt;""),AND(GP5&gt;=GV$8,GP5&lt;&gt;""),AND(GT5&gt;=GV$8,GT5&lt;&gt;""),AND(HL5&gt;=HR$8,HL5&lt;&gt;""),AND(HP5&gt;=HR$8,HP5&lt;&gt;""),AND(IH5&gt;=IN$8,IH5&lt;&gt;""),AND(IL5&gt;=IN$8,IL5&lt;&gt;""),AND(JD5&gt;=JJ$8,JD5&lt;&gt;""),AND(JH5&gt;=JJ$8,JH5&lt;&gt;""),AND(JZ5&gt;=KF$8,JZ5&lt;&gt;""),AND(KD5&gt;=KF$8,KD5&lt;&gt;""),AND(KV5&gt;=LB$8,KV5&lt;&gt;""),AND(KZ5&gt;=LB$8,KZ5&lt;&gt;""),AND(LR5&gt;=LX$8,LR5&lt;&gt;""),AND(LV5&gt;=LX$8,LV5&lt;&gt;""),AND(MN5&gt;=MT$8,MN5&lt;&gt;""),AND(MR5&gt;=MT$8,MR5&lt;&gt;"")),"National Team",""))))</f>
        <v/>
      </c>
      <c r="H5" s="125" t="str">
        <f>IF(OR(AND(AN5&gt;=AR$15,AN5&lt;&gt;"",AK5=""),AND(AQ5&gt;=AR$15,AQ5&lt;&gt;"",AK5=""),AND(BK5&gt;=BO$15,BK5&lt;&gt;"",BH5=""),AND(BN5&gt;=BO$15,BN5&lt;&gt;"",BH5=""),AND(CH5&gt;=CL$15,CH5&lt;&gt;"",CE5=""),AND(CK5&gt;=CL$15,CE5&lt;&gt;"",CE5=""),AND(DH5&gt;=DL$15,DH5&lt;&gt;""),AND(DK5&gt;=DL$15,DK5&lt;&gt;""),AND(ED5&gt;=EH$15,ED5&lt;&gt;""),AND(EG5&gt;=EH$15,EG5&lt;&gt;""),AND(EZ5&gt;=FD$15,EZ5&lt;&gt;""),AND(FC5&gt;=FD$15,FC5&lt;&gt;""),AND(FV5&gt;=FZ$15,FV5&lt;&gt;""),AND(FY5&gt;=FZ$15,FY5&lt;&gt;""),AND(GR5&gt;=GV$15,GR5&lt;&gt;""),AND(GU5&gt;=GV$15,GU5&lt;&gt;""),AND(HN5&gt;=HR$15,HN5&lt;&gt;""),AND(HQ5&gt;=HR$15,HQ5&lt;&gt;""),AND(IJ5&gt;=IN$15,IJ5&lt;&gt;""),AND(IM5&gt;=IN$15,IM5&lt;&gt;""),AND(JF5&gt;=JJ$15,JF5&lt;&gt;""),AND(JI5&gt;=JJ$15,JI5&lt;&gt;""),AND(KB5&gt;=KF$15,KB5&lt;&gt;""),AND(KE5&gt;=KF$15,KE5&lt;&gt;""),AND(KX5&gt;=LB$15,KX5&lt;&gt;""),AND(LA5&gt;=LB$15,LA5&lt;&gt;""),AND(LT5&gt;=LX$15,LT5&lt;&gt;""),AND(LW5&gt;=LX$15,LW5&lt;&gt;""),AND(MP5&gt;=MT$15,MP5&lt;&gt;""),AND(MS5&gt;=MT$15,MS5&lt;&gt;"")),"Merit",IF(OR(AND(AN5&gt;=AR$14,AN5&lt;&gt;"",AK5=""),AND(AQ5&gt;=AR$14,AQ5&lt;&gt;"",AK5=""),AND(BK5&gt;=BO$14,BK5&lt;&gt;"",BH5=""),AND(BN5&gt;=BO$14,BN5&lt;&gt;"",BH5=""),AND(CH5&gt;=CL$14,CH5&lt;&gt;"",CE5=""),AND(CK5&gt;=CL$14,CE5&lt;&gt;"",CE5=""),AND(DH5&gt;=DL$14,DH5&lt;&gt;""),AND(DK5&gt;=DL$14,DK5&lt;&gt;""),AND(ED5&gt;=EH$14,ED5&lt;&gt;""),AND(EG5&gt;=EH$14,EG5&lt;&gt;""),AND(EZ5&gt;=FD$14,EZ5&lt;&gt;""),AND(FC5&gt;=FD$14,FC5&lt;&gt;""),AND(FV5&gt;=FZ$14,FV5&lt;&gt;""),AND(FY5&gt;=FZ$14,FY5&lt;&gt;""),AND(GR5&gt;=GV$14,GR5&lt;&gt;""),AND(GU5&gt;=GV$14,GU5&lt;&gt;""),AND(HN5&gt;=HR$14,HN5&lt;&gt;""),AND(HQ5&gt;=HR$14,HQ5&lt;&gt;""),AND(IJ5&gt;=IN$14,IJ5&lt;&gt;""),AND(IM5&gt;=IN$14,IM5&lt;&gt;""),AND(JF5&gt;=JJ$14,JF5&lt;&gt;""),AND(JI5&gt;=JJ$14,JI5&lt;&gt;""),AND(KB5&gt;=KF$14,KB5&lt;&gt;""),AND(KE5&gt;=KF$14,KE5&lt;&gt;""),AND(KX5&gt;=LB$14,KX5&lt;&gt;""),AND(LA5&gt;=LB$14,LA5&lt;&gt;""),AND(LT5&gt;=LX$14,LT5&lt;&gt;""),AND(LW5&gt;=LX$14,LW5&lt;&gt;""),AND(MP5&gt;=MT$14,MP5&lt;&gt;""),AND(MS5&gt;=MT$14,MS5&lt;&gt;"")),"Excellence",IF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"Worlds Team",IF(OR(AND(AO5&gt;=AR$12,AO5&lt;&gt;"",AK5=""),AND(BL5&gt;=BO$12,BL5&lt;&gt;"",BH5=""),AND(CI5&gt;=CL$12,CI5&lt;&gt;"",CE5=""),AND(DI5&gt;=DL$12,DI5&lt;&gt;""),AND(EE5&gt;=EH$12,EE5&lt;&gt;""),AND(FA5&gt;=FD$12,FA5&lt;&gt;""),AND(FW5&gt;=FZ$12,FW5&lt;&gt;""),AND(GS5&gt;=GV$12,GS5&lt;&gt;""),AND(HO5&gt;=HR$12,HO5&lt;&gt;""),AND(IK5&gt;=IN$12,IK5&lt;&gt;""),AND(JG5&gt;=JJ$12,JG5&lt;&gt;""),AND(KC5&gt;=KF$12,KC5&lt;&gt;""),AND(KY5&gt;=LB$12,KY5&lt;&gt;""),AND(LU5&gt;=LX$12,LU5&lt;&gt;""),AND(MQ5&gt;=MT$12,MQ5&lt;&gt;"")),"National Team",""))))</f>
        <v/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OR(G5="Worlds Team",G5="Excellence",G5="Merit")),"P","")</f>
        <v/>
      </c>
      <c r="K5" s="14">
        <f>MAX(AO5,BL5,CI5)</f>
        <v>0</v>
      </c>
      <c r="L5" s="14" t="str">
        <f>IF(K5=0,"",IF(K5=CI5,$BP$1,IF(K5=BL5,$AS$1,IF(K5=AO5,$V$1,""))))</f>
        <v/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0</v>
      </c>
      <c r="R5" s="14" t="str">
        <f>IF(Q5=0,"",IF(Q5=CK5,$BP$1,IF(Q5=BN5,$AS$1,IF(Q5=AQ5,$V$1,""))))</f>
        <v/>
      </c>
      <c r="S5" s="14">
        <f>IF(MAX(CM5,CN5,CO5,CP5)&gt;0,MAX(CM5,CN5,CO5,CP5),"")</f>
        <v>43.41</v>
      </c>
      <c r="T5" s="25" t="str">
        <f>IF(S5="","",IF(S5=CM5,"(Vol 1)",IF(S5=CN5,"(Vol 2)",IF(S5=CO5,"(Prelim)",IF(S5=CP5,"(Final)")))))</f>
        <v>(Prelim)</v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>2021 World Championships (Nov 19)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>
        <f>IF(MAX(DG5,EC5,EY5,FU5,GQ5,HM5,II5,JE5,KA5,KW5,LS5,MO5)-IF(M5="",0,M5)&gt;0.001,MAX(DG5,EC5,EY5,FU5,GQ5,HM5,II5,JE5,KA5,KW5,LS5,MO5)-IF(M5="",0,M5),"")</f>
        <v>38.299999999999997</v>
      </c>
      <c r="CN5" s="24">
        <f>IF(MAX(DH5,ED5,EZ5,FV5,GR5,HN5,IJ5,JF5,KB5,KX5,LT5,MP5)-IF(O5="",0,O5)&gt;0.001,MAX(DH5,ED5,EZ5,FV5,GR5,HN5,IJ5,JF5,KB5,KX5,LT5,MP5)-IF(O5="",0,O5),"")</f>
        <v>5.1100000000000003</v>
      </c>
      <c r="CO5" s="24">
        <f>IF(MAX(DI5,EE5,FA5,FW5,GS5,HO5,IK5,JG5,KC5,KY5,LU5,MQ5)-IF(K5="",0,K5)&gt;0.001,MAX(DI5,EE5,FA5,FW5,GS5,HO5,IK5,JG5,KC5,KY5,LU5,MQ5)-IF(K5="",0,K5),"")</f>
        <v>43.41</v>
      </c>
      <c r="CP5" s="24" t="str">
        <f>IF(MAX(DK5,EG5,FC5,FY5,GU5,HQ5,IM5,JI5,KE5,LA5,LW5,MS5)-IF(Q5="",0,Q5)&gt;0.001,MAX(DK5,EG5,FC5,FY5,GU5,HQ5,IM5,JI5,KE5,LA5,LW5,MS5)-IF(Q5="",0,Q5),"")</f>
        <v/>
      </c>
      <c r="CQ5" s="37">
        <v>8.6</v>
      </c>
      <c r="CR5" s="37">
        <v>9.3000000000000007</v>
      </c>
      <c r="CS5" s="37">
        <v>5.6</v>
      </c>
      <c r="CT5" s="37">
        <v>14.8</v>
      </c>
      <c r="CU5" s="37">
        <v>0</v>
      </c>
      <c r="CV5" s="37">
        <v>0.75</v>
      </c>
      <c r="CW5" s="37">
        <v>1</v>
      </c>
      <c r="CX5" s="37">
        <v>2</v>
      </c>
      <c r="CY5" s="37">
        <v>1.36</v>
      </c>
      <c r="CZ5" s="37">
        <v>0</v>
      </c>
      <c r="DA5" s="37"/>
      <c r="DB5" s="37"/>
      <c r="DC5" s="37"/>
      <c r="DD5" s="37"/>
      <c r="DE5" s="37"/>
      <c r="DF5" s="11">
        <f>IF(CX5&gt;0,CX5,"")</f>
        <v>2</v>
      </c>
      <c r="DG5" s="11">
        <f>IF(SUM(CQ5:CT5)-CU5&gt;0,SUM(CQ5:CT5)-CU5,"")</f>
        <v>38.299999999999997</v>
      </c>
      <c r="DH5" s="11">
        <f>IF(SUM(CV5:CY5)-CZ5&gt;0,SUM(CV5:CY5)-CZ5,"")</f>
        <v>5.1100000000000003</v>
      </c>
      <c r="DI5" s="11">
        <f>IF(SUM(DG5:DH5)&gt;0,SUM(DG5:DH5),"")</f>
        <v>43.41</v>
      </c>
      <c r="DJ5" s="11" t="str">
        <f>IF(DC5&gt;0,DC5,"")</f>
        <v/>
      </c>
      <c r="DK5" s="11" t="str">
        <f>IF(SUM(DA5:DD5)-DE5&gt;0,SUM(DA5:DD5)-DE5,"")</f>
        <v/>
      </c>
      <c r="DL5" s="11">
        <f>IF(SUM(DI5,DK5)&gt;0,SUM(DI5,DK5),"")</f>
        <v>43.41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>IF(EP5&gt;0,EP5,"")</f>
        <v/>
      </c>
      <c r="EY5" s="11" t="str">
        <f>IF(SUM(EI5:EL5)-EM5&gt;0,SUM(EI5:EL5)-EM5,"")</f>
        <v/>
      </c>
      <c r="EZ5" s="11" t="str">
        <f>IF(SUM(EN5:EQ5)-ER5&gt;0,SUM(EN5:EQ5)-ER5,"")</f>
        <v/>
      </c>
      <c r="FA5" s="11" t="str">
        <f>IF(SUM(EY5:EZ5)&gt;0,SUM(EY5:EZ5),"")</f>
        <v/>
      </c>
      <c r="FB5" s="11" t="str">
        <f>IF(EU5&gt;0,EU5,"")</f>
        <v/>
      </c>
      <c r="FC5" s="11" t="str">
        <f>IF(SUM(ES5:EV5)-EW5&gt;0,SUM(ES5:EV5)-EW5,"")</f>
        <v/>
      </c>
      <c r="FD5" s="11" t="str">
        <f>IF(SUM(FA5,FC5)&gt;0,SUM(FA5,FC5),"")</f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74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D6" s="1"/>
      <c r="T6" s="26"/>
    </row>
    <row r="8" spans="1:381" x14ac:dyDescent="0.2">
      <c r="B8" s="70" t="s">
        <v>70</v>
      </c>
      <c r="AL8" s="56"/>
      <c r="AR8" s="64">
        <v>13.5</v>
      </c>
      <c r="BI8" s="56"/>
      <c r="BO8" s="64">
        <v>13.5</v>
      </c>
      <c r="CF8" s="56"/>
      <c r="CL8" s="64">
        <v>13.5</v>
      </c>
      <c r="DF8" s="56"/>
      <c r="DL8" s="64">
        <v>13.5</v>
      </c>
      <c r="EB8" s="56"/>
      <c r="EH8" s="64">
        <v>13.5</v>
      </c>
      <c r="EX8" s="56"/>
      <c r="FD8" s="64">
        <v>13.5</v>
      </c>
      <c r="FT8" s="56"/>
      <c r="FZ8" s="64">
        <v>13.5</v>
      </c>
      <c r="GP8" s="56"/>
      <c r="GV8" s="64">
        <v>13.5</v>
      </c>
      <c r="HL8" s="56"/>
      <c r="HR8" s="64">
        <v>13.5</v>
      </c>
      <c r="IH8" s="56"/>
      <c r="IN8" s="64">
        <v>13.5</v>
      </c>
      <c r="JD8" s="56"/>
      <c r="JJ8" s="64">
        <v>13.5</v>
      </c>
      <c r="JZ8" s="56"/>
      <c r="KF8" s="64">
        <v>13.5</v>
      </c>
      <c r="KV8" s="56"/>
      <c r="LB8" s="64">
        <v>13.5</v>
      </c>
      <c r="LR8" s="56"/>
      <c r="LX8" s="64">
        <v>13.5</v>
      </c>
      <c r="MN8" s="56"/>
      <c r="MT8" s="64">
        <v>13.5</v>
      </c>
    </row>
    <row r="9" spans="1:381" x14ac:dyDescent="0.2">
      <c r="B9" s="91" t="s">
        <v>69</v>
      </c>
      <c r="AL9" s="56"/>
      <c r="AR9" s="93">
        <v>14.4</v>
      </c>
      <c r="BI9" s="56"/>
      <c r="BO9" s="93">
        <v>14.4</v>
      </c>
      <c r="CF9" s="56"/>
      <c r="CL9" s="93">
        <v>14.4</v>
      </c>
      <c r="DF9" s="56"/>
      <c r="DL9" s="93">
        <v>14.4</v>
      </c>
      <c r="EB9" s="56"/>
      <c r="EH9" s="93">
        <v>14.4</v>
      </c>
      <c r="EX9" s="56"/>
      <c r="FD9" s="93">
        <v>14.4</v>
      </c>
      <c r="FT9" s="56"/>
      <c r="FZ9" s="93">
        <v>14.4</v>
      </c>
      <c r="GP9" s="56"/>
      <c r="GV9" s="93">
        <v>14.4</v>
      </c>
      <c r="HL9" s="56"/>
      <c r="HR9" s="93">
        <v>14.4</v>
      </c>
      <c r="IH9" s="56"/>
      <c r="IN9" s="93">
        <v>14.4</v>
      </c>
      <c r="JD9" s="56"/>
      <c r="JJ9" s="93">
        <v>14.4</v>
      </c>
      <c r="JZ9" s="56"/>
      <c r="KF9" s="93">
        <v>14.4</v>
      </c>
      <c r="KV9" s="56"/>
      <c r="LB9" s="93">
        <v>14.4</v>
      </c>
      <c r="LR9" s="56"/>
      <c r="LX9" s="93">
        <v>14.4</v>
      </c>
      <c r="MN9" s="56"/>
      <c r="MT9" s="93">
        <v>14.4</v>
      </c>
    </row>
    <row r="10" spans="1:381" x14ac:dyDescent="0.2">
      <c r="A10" s="56"/>
      <c r="B10" s="92" t="s">
        <v>86</v>
      </c>
      <c r="C10" s="55"/>
      <c r="AL10" s="56"/>
      <c r="AR10" s="94">
        <v>15.4</v>
      </c>
      <c r="BI10" s="56"/>
      <c r="BO10" s="94">
        <v>15.4</v>
      </c>
      <c r="CF10" s="56"/>
      <c r="CL10" s="94">
        <v>15.4</v>
      </c>
      <c r="DF10" s="56"/>
      <c r="DL10" s="94">
        <v>15.4</v>
      </c>
      <c r="EB10" s="56"/>
      <c r="EH10" s="94">
        <v>15.4</v>
      </c>
      <c r="EX10" s="56"/>
      <c r="FD10" s="94">
        <v>15.4</v>
      </c>
      <c r="FT10" s="56"/>
      <c r="FZ10" s="94">
        <v>15.4</v>
      </c>
      <c r="GP10" s="56"/>
      <c r="GV10" s="94">
        <v>15.4</v>
      </c>
      <c r="HL10" s="56"/>
      <c r="HR10" s="94">
        <v>15.4</v>
      </c>
      <c r="IH10" s="56"/>
      <c r="IN10" s="94">
        <v>15.4</v>
      </c>
      <c r="JD10" s="56"/>
      <c r="JJ10" s="94">
        <v>15.4</v>
      </c>
      <c r="JZ10" s="56"/>
      <c r="KF10" s="94">
        <v>15.4</v>
      </c>
      <c r="KV10" s="56"/>
      <c r="LB10" s="94">
        <v>15.4</v>
      </c>
      <c r="LR10" s="56"/>
      <c r="LX10" s="94">
        <v>15.4</v>
      </c>
      <c r="MN10" s="56"/>
      <c r="MT10" s="94">
        <v>15.4</v>
      </c>
    </row>
    <row r="11" spans="1:381" x14ac:dyDescent="0.2">
      <c r="A11" s="56"/>
      <c r="B11" s="120" t="s">
        <v>102</v>
      </c>
      <c r="C11" s="55"/>
      <c r="AL11" s="56"/>
      <c r="AR11" s="121">
        <v>15.4</v>
      </c>
      <c r="BI11" s="56"/>
      <c r="BO11" s="121">
        <v>15.4</v>
      </c>
      <c r="CF11" s="56"/>
      <c r="CL11" s="121">
        <v>15.4</v>
      </c>
      <c r="DF11" s="56"/>
      <c r="DL11" s="121">
        <v>15.4</v>
      </c>
      <c r="EB11" s="56"/>
      <c r="EH11" s="121">
        <v>15.4</v>
      </c>
      <c r="EX11" s="56"/>
      <c r="FD11" s="121">
        <v>15.4</v>
      </c>
      <c r="FT11" s="56"/>
      <c r="FZ11" s="121">
        <v>15.4</v>
      </c>
      <c r="GP11" s="56"/>
      <c r="GV11" s="121">
        <v>15.4</v>
      </c>
      <c r="HL11" s="56"/>
      <c r="HR11" s="121">
        <v>15.4</v>
      </c>
      <c r="IH11" s="56"/>
      <c r="IN11" s="121">
        <v>15.4</v>
      </c>
      <c r="JD11" s="56"/>
      <c r="JJ11" s="121">
        <v>15.4</v>
      </c>
      <c r="JZ11" s="56"/>
      <c r="KF11" s="121">
        <v>15.4</v>
      </c>
      <c r="KV11" s="56"/>
      <c r="LB11" s="121">
        <v>15.4</v>
      </c>
      <c r="LR11" s="56"/>
      <c r="LX11" s="121">
        <v>15.4</v>
      </c>
      <c r="MN11" s="56"/>
      <c r="MT11" s="121">
        <v>15.4</v>
      </c>
    </row>
    <row r="12" spans="1:381" x14ac:dyDescent="0.2">
      <c r="A12" s="56"/>
      <c r="B12" s="118" t="s">
        <v>67</v>
      </c>
      <c r="C12" s="55"/>
      <c r="AL12" s="56"/>
      <c r="AR12" s="119">
        <v>87.7</v>
      </c>
      <c r="BI12" s="56"/>
      <c r="BO12" s="119">
        <v>87.7</v>
      </c>
      <c r="CF12" s="56"/>
      <c r="CL12" s="119">
        <v>87.7</v>
      </c>
      <c r="DF12" s="56"/>
      <c r="DL12" s="119">
        <v>87.7</v>
      </c>
      <c r="EB12" s="56"/>
      <c r="EH12" s="119">
        <v>87.7</v>
      </c>
      <c r="EX12" s="56"/>
      <c r="FD12" s="119">
        <v>87.7</v>
      </c>
      <c r="FT12" s="56"/>
      <c r="FZ12" s="119">
        <v>87.7</v>
      </c>
      <c r="GP12" s="56"/>
      <c r="GV12" s="119">
        <v>87.7</v>
      </c>
      <c r="HL12" s="56"/>
      <c r="HR12" s="119">
        <v>87.7</v>
      </c>
      <c r="IH12" s="56"/>
      <c r="IN12" s="119">
        <v>87.7</v>
      </c>
      <c r="JD12" s="56"/>
      <c r="JJ12" s="119">
        <v>87.7</v>
      </c>
      <c r="JZ12" s="56"/>
      <c r="KF12" s="119">
        <v>87.7</v>
      </c>
      <c r="KV12" s="56"/>
      <c r="LB12" s="119">
        <v>87.7</v>
      </c>
      <c r="LR12" s="56"/>
      <c r="LX12" s="119">
        <v>87.7</v>
      </c>
      <c r="MN12" s="56"/>
      <c r="MT12" s="119">
        <v>87.7</v>
      </c>
    </row>
    <row r="13" spans="1:381" x14ac:dyDescent="0.2">
      <c r="A13" s="56"/>
      <c r="B13" s="72" t="s">
        <v>68</v>
      </c>
      <c r="C13" s="55"/>
      <c r="AL13" s="56"/>
      <c r="AR13" s="66">
        <v>89.7</v>
      </c>
      <c r="BI13" s="56"/>
      <c r="BO13" s="66">
        <v>89.7</v>
      </c>
      <c r="CF13" s="56"/>
      <c r="CL13" s="66">
        <v>89.7</v>
      </c>
      <c r="DF13" s="56"/>
      <c r="DL13" s="66">
        <v>89.7</v>
      </c>
      <c r="EB13" s="56"/>
      <c r="EH13" s="66">
        <v>89.7</v>
      </c>
      <c r="EX13" s="56"/>
      <c r="FD13" s="66">
        <v>89.7</v>
      </c>
      <c r="FT13" s="56"/>
      <c r="FZ13" s="66">
        <v>89.7</v>
      </c>
      <c r="GP13" s="56"/>
      <c r="GV13" s="66">
        <v>89.7</v>
      </c>
      <c r="HL13" s="56"/>
      <c r="HR13" s="66">
        <v>89.7</v>
      </c>
      <c r="IH13" s="56"/>
      <c r="IN13" s="66">
        <v>89.7</v>
      </c>
      <c r="JD13" s="56"/>
      <c r="JJ13" s="66">
        <v>89.7</v>
      </c>
      <c r="JZ13" s="56"/>
      <c r="KF13" s="66">
        <v>89.7</v>
      </c>
      <c r="KV13" s="56"/>
      <c r="LB13" s="66">
        <v>89.7</v>
      </c>
      <c r="LR13" s="56"/>
      <c r="LX13" s="66">
        <v>89.7</v>
      </c>
      <c r="MN13" s="56"/>
      <c r="MT13" s="66">
        <v>89.7</v>
      </c>
    </row>
    <row r="14" spans="1:381" x14ac:dyDescent="0.2">
      <c r="A14" s="56"/>
      <c r="B14" s="116" t="s">
        <v>84</v>
      </c>
      <c r="C14" s="55"/>
      <c r="AL14" s="56"/>
      <c r="AQ14" s="130"/>
      <c r="AR14" s="117">
        <v>49</v>
      </c>
      <c r="BI14" s="56"/>
      <c r="BO14" s="117">
        <v>49</v>
      </c>
      <c r="CF14" s="56"/>
      <c r="CL14" s="117">
        <v>49</v>
      </c>
      <c r="DF14" s="56"/>
      <c r="DL14" s="117">
        <v>49</v>
      </c>
      <c r="EB14" s="56"/>
      <c r="EH14" s="117">
        <v>49</v>
      </c>
      <c r="EX14" s="56"/>
      <c r="FD14" s="117">
        <v>49</v>
      </c>
      <c r="FT14" s="56"/>
      <c r="FZ14" s="117">
        <v>49</v>
      </c>
      <c r="GP14" s="56"/>
      <c r="GV14" s="117">
        <v>49</v>
      </c>
      <c r="HL14" s="56"/>
      <c r="HR14" s="117">
        <v>49</v>
      </c>
      <c r="IH14" s="56"/>
      <c r="IN14" s="117">
        <v>49</v>
      </c>
      <c r="JD14" s="56"/>
      <c r="JJ14" s="117">
        <v>49</v>
      </c>
      <c r="JZ14" s="56"/>
      <c r="KF14" s="117">
        <v>49</v>
      </c>
      <c r="KV14" s="56"/>
      <c r="LB14" s="117">
        <v>49</v>
      </c>
      <c r="LR14" s="56"/>
      <c r="LX14" s="117">
        <v>49</v>
      </c>
      <c r="MN14" s="56"/>
      <c r="MT14" s="117">
        <v>49</v>
      </c>
    </row>
    <row r="15" spans="1:381" x14ac:dyDescent="0.2">
      <c r="A15" s="56"/>
      <c r="B15" s="74" t="s">
        <v>51</v>
      </c>
      <c r="C15" s="55"/>
      <c r="AL15" s="56"/>
      <c r="AR15" s="68">
        <v>50.2</v>
      </c>
      <c r="BI15" s="56"/>
      <c r="BO15" s="68">
        <v>50.2</v>
      </c>
      <c r="CF15" s="56"/>
      <c r="CL15" s="68">
        <v>50.2</v>
      </c>
      <c r="DF15" s="56"/>
      <c r="DL15" s="68">
        <v>50.2</v>
      </c>
      <c r="EB15" s="56"/>
      <c r="EH15" s="68">
        <v>50.2</v>
      </c>
      <c r="EX15" s="56"/>
      <c r="FD15" s="68">
        <v>50.2</v>
      </c>
      <c r="FT15" s="56"/>
      <c r="FZ15" s="68">
        <v>50.2</v>
      </c>
      <c r="GP15" s="56"/>
      <c r="GV15" s="68">
        <v>50.2</v>
      </c>
      <c r="HL15" s="56"/>
      <c r="HR15" s="68">
        <v>50.2</v>
      </c>
      <c r="IH15" s="56"/>
      <c r="IN15" s="68">
        <v>50.2</v>
      </c>
      <c r="JD15" s="56"/>
      <c r="JJ15" s="68">
        <v>50.2</v>
      </c>
      <c r="JZ15" s="56"/>
      <c r="KF15" s="68">
        <v>50.2</v>
      </c>
      <c r="KV15" s="56"/>
      <c r="LB15" s="68">
        <v>50.2</v>
      </c>
      <c r="LR15" s="56"/>
      <c r="LX15" s="68">
        <v>50.2</v>
      </c>
      <c r="MN15" s="56"/>
      <c r="MT15" s="68">
        <v>50.2</v>
      </c>
    </row>
    <row r="16" spans="1:381" x14ac:dyDescent="0.2">
      <c r="B16" s="82" t="s">
        <v>75</v>
      </c>
      <c r="C16" s="2"/>
      <c r="DG16" s="54"/>
    </row>
    <row r="17" spans="1:21" x14ac:dyDescent="0.2">
      <c r="A17" s="56"/>
      <c r="B17" s="56"/>
      <c r="C17" s="55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A19" s="56"/>
      <c r="B19" s="56"/>
      <c r="C19" s="55"/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</sheetData>
  <sheetProtection sheet="1" formatCells="0" formatColumns="0" formatRows="0"/>
  <autoFilter ref="A1:NQ3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5">
      <sortCondition descending="1" ref="F1:F6"/>
    </sortState>
  </autoFilter>
  <mergeCells count="86"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G1:G3"/>
    <mergeCell ref="H1:H3"/>
    <mergeCell ref="I1:I3"/>
    <mergeCell ref="K1:K3"/>
    <mergeCell ref="J1:J3"/>
    <mergeCell ref="A1:A3"/>
    <mergeCell ref="B1:B3"/>
    <mergeCell ref="C1:C3"/>
    <mergeCell ref="D1:D3"/>
    <mergeCell ref="E1:E3"/>
    <mergeCell ref="GF2:GJ2"/>
    <mergeCell ref="GA2:GE2"/>
    <mergeCell ref="BP1:CL1"/>
    <mergeCell ref="BP2:BT2"/>
    <mergeCell ref="BU2:BY2"/>
    <mergeCell ref="BZ2:CD2"/>
    <mergeCell ref="EI2:EM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LY1:MT1"/>
    <mergeCell ref="MI2:MM2"/>
    <mergeCell ref="MD2:MH2"/>
    <mergeCell ref="LY2:MC2"/>
    <mergeCell ref="LM2:LQ2"/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</mergeCells>
  <phoneticPr fontId="22" type="noConversion"/>
  <conditionalFormatting sqref="V4:AR5">
    <cfRule type="expression" dxfId="133" priority="3" stopIfTrue="1">
      <formula>IF($AK4&lt;&gt;"",1,0)</formula>
    </cfRule>
  </conditionalFormatting>
  <conditionalFormatting sqref="AS4:BO5">
    <cfRule type="expression" dxfId="132" priority="4" stopIfTrue="1">
      <formula>IF($BH4&lt;&gt;"",1,0)</formula>
    </cfRule>
  </conditionalFormatting>
  <conditionalFormatting sqref="L1:L1048576 R1:R1048576 N1:N1048576 P1:P1048576">
    <cfRule type="expression" dxfId="131" priority="12">
      <formula>IF(L1=$BP$1,1,0)</formula>
    </cfRule>
    <cfRule type="expression" dxfId="130" priority="13">
      <formula>IF(L1=$AS$1,1,0)</formula>
    </cfRule>
    <cfRule type="expression" dxfId="129" priority="41">
      <formula>IF(L1=$V$1,1,0)</formula>
    </cfRule>
  </conditionalFormatting>
  <conditionalFormatting sqref="I1:I1048576">
    <cfRule type="containsText" dxfId="128" priority="7" operator="containsText" text="No DD">
      <formula>NOT(ISERROR(SEARCH("No DD",I1)))</formula>
    </cfRule>
    <cfRule type="containsText" dxfId="127" priority="8" operator="containsText" text="Merit">
      <formula>NOT(ISERROR(SEARCH("Merit",I1)))</formula>
    </cfRule>
    <cfRule type="containsText" dxfId="126" priority="9" operator="containsText" text="Excellence">
      <formula>NOT(ISERROR(SEARCH("Excellence",I1)))</formula>
    </cfRule>
    <cfRule type="containsText" dxfId="125" priority="10" operator="containsText" text="Worlds Team">
      <formula>NOT(ISERROR(SEARCH("Worlds Team",I1)))</formula>
    </cfRule>
    <cfRule type="containsText" dxfId="124" priority="11" operator="containsText" text="National Team">
      <formula>NOT(ISERROR(SEARCH("National Team",I1)))</formula>
    </cfRule>
  </conditionalFormatting>
  <conditionalFormatting sqref="BP4:CL5">
    <cfRule type="expression" dxfId="123" priority="5" stopIfTrue="1">
      <formula>IF($CE4&lt;&gt;"",1,0)</formula>
    </cfRule>
  </conditionalFormatting>
  <conditionalFormatting sqref="AQ15:AQ1048576 AQ1:AQ13 BN1:BN1048576 CK1:CK1048576 DK1:DK1048576 EG1:EG1048576 FC1:FC1048576 FY1:FY1048576 GU1:GU1048576 HQ1:HQ1048576 IM1:IM1048576 JI1:JI1048576 KE1:KE1048576 LA1:LA1048576 LW1:LW1048576 MS1:MS1048576">
    <cfRule type="cellIs" dxfId="122" priority="37912" operator="between">
      <formula>AR$15</formula>
      <formula>1000</formula>
    </cfRule>
    <cfRule type="cellIs" dxfId="121" priority="37913" operator="between">
      <formula>AR$14</formula>
      <formula>AR$15</formula>
    </cfRule>
  </conditionalFormatting>
  <conditionalFormatting sqref="A1:A1048576">
    <cfRule type="expression" dxfId="120" priority="37920">
      <formula>AND(H1&lt;&gt;"",G1="")</formula>
    </cfRule>
  </conditionalFormatting>
  <conditionalFormatting sqref="AQ14">
    <cfRule type="cellIs" dxfId="119" priority="1" operator="between">
      <formula>AR$20</formula>
      <formula>1000</formula>
    </cfRule>
    <cfRule type="cellIs" dxfId="118" priority="2" operator="between">
      <formula>AR$19</formula>
      <formula>AR$20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17" priority="51523" operator="between">
      <formula>AR$11</formula>
      <formula>1000</formula>
    </cfRule>
    <cfRule type="cellIs" dxfId="116" priority="51524" operator="between">
      <formula>AR$10</formula>
      <formula>AR$11</formula>
    </cfRule>
    <cfRule type="cellIs" dxfId="115" priority="51525" operator="between">
      <formula>AR$9</formula>
      <formula>AR$10</formula>
    </cfRule>
    <cfRule type="cellIs" dxfId="114" priority="51526" operator="between">
      <formula>AR$8</formula>
      <formula>AR$9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3" priority="51703" operator="between">
      <formula>AR$15</formula>
      <formula>1000</formula>
    </cfRule>
    <cfRule type="cellIs" dxfId="112" priority="51704" operator="between">
      <formula>AR$14</formula>
      <formula>AR$15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1" priority="51793" operator="between">
      <formula>AR$13</formula>
      <formula>1000</formula>
    </cfRule>
    <cfRule type="cellIs" dxfId="110" priority="51794" operator="between">
      <formula>AR$12</formula>
      <formula>AR$13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09" priority="51883" operator="between">
      <formula>AR$11</formula>
      <formula>1000</formula>
    </cfRule>
    <cfRule type="cellIs" dxfId="108" priority="51884" operator="between">
      <formula>AR$10</formula>
      <formula>AR$11</formula>
    </cfRule>
    <cfRule type="cellIs" dxfId="107" priority="51885" operator="between">
      <formula>AR$9</formula>
      <formula>AR$10</formula>
    </cfRule>
    <cfRule type="cellIs" dxfId="106" priority="51886" operator="between">
      <formula>AR$8</formula>
      <formula>AR$9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141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 t="s">
        <v>149</v>
      </c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 t="s">
        <v>159</v>
      </c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112"/>
      <c r="AL2" s="112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113"/>
      <c r="BI2" s="113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12"/>
      <c r="CF2" s="112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12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113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112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113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112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113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112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113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112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113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112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113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12"/>
      <c r="NK2" s="11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48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48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48</v>
      </c>
      <c r="AJ3" s="112" t="s">
        <v>40</v>
      </c>
      <c r="AK3" s="112" t="s">
        <v>73</v>
      </c>
      <c r="AL3" s="10"/>
      <c r="AM3" s="9"/>
      <c r="AN3" s="9"/>
      <c r="AO3" s="9"/>
      <c r="AP3" s="9"/>
      <c r="AQ3" s="10"/>
      <c r="AR3" s="10"/>
      <c r="AS3" s="113" t="s">
        <v>19</v>
      </c>
      <c r="AT3" s="113" t="s">
        <v>20</v>
      </c>
      <c r="AU3" s="113" t="s">
        <v>11</v>
      </c>
      <c r="AV3" s="113" t="s">
        <v>48</v>
      </c>
      <c r="AW3" s="113" t="s">
        <v>40</v>
      </c>
      <c r="AX3" s="113" t="s">
        <v>19</v>
      </c>
      <c r="AY3" s="113" t="s">
        <v>20</v>
      </c>
      <c r="AZ3" s="113" t="s">
        <v>11</v>
      </c>
      <c r="BA3" s="113" t="s">
        <v>48</v>
      </c>
      <c r="BB3" s="113" t="s">
        <v>40</v>
      </c>
      <c r="BC3" s="113" t="s">
        <v>19</v>
      </c>
      <c r="BD3" s="113" t="s">
        <v>20</v>
      </c>
      <c r="BE3" s="113" t="s">
        <v>11</v>
      </c>
      <c r="BF3" s="113" t="s">
        <v>48</v>
      </c>
      <c r="BG3" s="113" t="s">
        <v>40</v>
      </c>
      <c r="BH3" s="113" t="s">
        <v>73</v>
      </c>
      <c r="BI3" s="13"/>
      <c r="BJ3" s="12"/>
      <c r="BK3" s="12"/>
      <c r="BL3" s="12"/>
      <c r="BM3" s="12"/>
      <c r="BN3" s="13"/>
      <c r="BO3" s="13"/>
      <c r="BP3" s="112" t="s">
        <v>19</v>
      </c>
      <c r="BQ3" s="112" t="s">
        <v>20</v>
      </c>
      <c r="BR3" s="112" t="s">
        <v>11</v>
      </c>
      <c r="BS3" s="112" t="s">
        <v>48</v>
      </c>
      <c r="BT3" s="112" t="s">
        <v>40</v>
      </c>
      <c r="BU3" s="112" t="s">
        <v>19</v>
      </c>
      <c r="BV3" s="112" t="s">
        <v>20</v>
      </c>
      <c r="BW3" s="112" t="s">
        <v>11</v>
      </c>
      <c r="BX3" s="112" t="s">
        <v>48</v>
      </c>
      <c r="BY3" s="112" t="s">
        <v>40</v>
      </c>
      <c r="BZ3" s="112" t="s">
        <v>19</v>
      </c>
      <c r="CA3" s="112" t="s">
        <v>20</v>
      </c>
      <c r="CB3" s="112" t="s">
        <v>11</v>
      </c>
      <c r="CC3" s="112" t="s">
        <v>48</v>
      </c>
      <c r="CD3" s="112" t="s">
        <v>40</v>
      </c>
      <c r="CE3" s="112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19</v>
      </c>
      <c r="CR3" s="112" t="s">
        <v>20</v>
      </c>
      <c r="CS3" s="112" t="s">
        <v>11</v>
      </c>
      <c r="CT3" s="48" t="s">
        <v>48</v>
      </c>
      <c r="CU3" s="48" t="s">
        <v>40</v>
      </c>
      <c r="CV3" s="112" t="s">
        <v>19</v>
      </c>
      <c r="CW3" s="112" t="s">
        <v>20</v>
      </c>
      <c r="CX3" s="112" t="s">
        <v>11</v>
      </c>
      <c r="CY3" s="48" t="s">
        <v>48</v>
      </c>
      <c r="CZ3" s="48" t="s">
        <v>40</v>
      </c>
      <c r="DA3" s="112" t="s">
        <v>19</v>
      </c>
      <c r="DB3" s="112" t="s">
        <v>20</v>
      </c>
      <c r="DC3" s="112" t="s">
        <v>11</v>
      </c>
      <c r="DD3" s="48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113" t="s">
        <v>19</v>
      </c>
      <c r="DN3" s="113" t="s">
        <v>20</v>
      </c>
      <c r="DO3" s="113" t="s">
        <v>11</v>
      </c>
      <c r="DP3" s="115" t="s">
        <v>48</v>
      </c>
      <c r="DQ3" s="115" t="s">
        <v>40</v>
      </c>
      <c r="DR3" s="113" t="s">
        <v>19</v>
      </c>
      <c r="DS3" s="113" t="s">
        <v>20</v>
      </c>
      <c r="DT3" s="113" t="s">
        <v>11</v>
      </c>
      <c r="DU3" s="115" t="s">
        <v>48</v>
      </c>
      <c r="DV3" s="115" t="s">
        <v>40</v>
      </c>
      <c r="DW3" s="113" t="s">
        <v>19</v>
      </c>
      <c r="DX3" s="113" t="s">
        <v>20</v>
      </c>
      <c r="DY3" s="113" t="s">
        <v>11</v>
      </c>
      <c r="DZ3" s="115" t="s">
        <v>48</v>
      </c>
      <c r="EA3" s="115" t="s">
        <v>40</v>
      </c>
      <c r="EB3" s="13"/>
      <c r="EC3" s="12"/>
      <c r="ED3" s="12"/>
      <c r="EE3" s="12"/>
      <c r="EF3" s="12"/>
      <c r="EG3" s="13"/>
      <c r="EH3" s="13"/>
      <c r="EI3" s="112" t="s">
        <v>19</v>
      </c>
      <c r="EJ3" s="112" t="s">
        <v>20</v>
      </c>
      <c r="EK3" s="112" t="s">
        <v>11</v>
      </c>
      <c r="EL3" s="114" t="s">
        <v>48</v>
      </c>
      <c r="EM3" s="114" t="s">
        <v>40</v>
      </c>
      <c r="EN3" s="112" t="s">
        <v>19</v>
      </c>
      <c r="EO3" s="112" t="s">
        <v>20</v>
      </c>
      <c r="EP3" s="112" t="s">
        <v>11</v>
      </c>
      <c r="EQ3" s="114" t="s">
        <v>48</v>
      </c>
      <c r="ER3" s="114" t="s">
        <v>40</v>
      </c>
      <c r="ES3" s="112" t="s">
        <v>19</v>
      </c>
      <c r="ET3" s="112" t="s">
        <v>20</v>
      </c>
      <c r="EU3" s="112" t="s">
        <v>11</v>
      </c>
      <c r="EV3" s="114" t="s">
        <v>48</v>
      </c>
      <c r="EW3" s="114" t="s">
        <v>40</v>
      </c>
      <c r="EX3" s="10"/>
      <c r="EY3" s="9"/>
      <c r="EZ3" s="9"/>
      <c r="FA3" s="9"/>
      <c r="FB3" s="9"/>
      <c r="FC3" s="10"/>
      <c r="FD3" s="10"/>
      <c r="FE3" s="113" t="s">
        <v>19</v>
      </c>
      <c r="FF3" s="113" t="s">
        <v>20</v>
      </c>
      <c r="FG3" s="113" t="s">
        <v>11</v>
      </c>
      <c r="FH3" s="115" t="s">
        <v>48</v>
      </c>
      <c r="FI3" s="115" t="s">
        <v>40</v>
      </c>
      <c r="FJ3" s="113" t="s">
        <v>19</v>
      </c>
      <c r="FK3" s="113" t="s">
        <v>20</v>
      </c>
      <c r="FL3" s="113" t="s">
        <v>11</v>
      </c>
      <c r="FM3" s="115" t="s">
        <v>48</v>
      </c>
      <c r="FN3" s="115" t="s">
        <v>40</v>
      </c>
      <c r="FO3" s="113" t="s">
        <v>19</v>
      </c>
      <c r="FP3" s="113" t="s">
        <v>20</v>
      </c>
      <c r="FQ3" s="113" t="s">
        <v>11</v>
      </c>
      <c r="FR3" s="115" t="s">
        <v>48</v>
      </c>
      <c r="FS3" s="115" t="s">
        <v>40</v>
      </c>
      <c r="FT3" s="13"/>
      <c r="FU3" s="12"/>
      <c r="FV3" s="12"/>
      <c r="FW3" s="12"/>
      <c r="FX3" s="12"/>
      <c r="FY3" s="13"/>
      <c r="FZ3" s="13"/>
      <c r="GA3" s="112" t="s">
        <v>19</v>
      </c>
      <c r="GB3" s="112" t="s">
        <v>20</v>
      </c>
      <c r="GC3" s="112" t="s">
        <v>11</v>
      </c>
      <c r="GD3" s="114" t="s">
        <v>48</v>
      </c>
      <c r="GE3" s="114" t="s">
        <v>40</v>
      </c>
      <c r="GF3" s="112" t="s">
        <v>19</v>
      </c>
      <c r="GG3" s="112" t="s">
        <v>20</v>
      </c>
      <c r="GH3" s="112" t="s">
        <v>11</v>
      </c>
      <c r="GI3" s="114" t="s">
        <v>48</v>
      </c>
      <c r="GJ3" s="114" t="s">
        <v>40</v>
      </c>
      <c r="GK3" s="112" t="s">
        <v>19</v>
      </c>
      <c r="GL3" s="112" t="s">
        <v>20</v>
      </c>
      <c r="GM3" s="112" t="s">
        <v>11</v>
      </c>
      <c r="GN3" s="114" t="s">
        <v>48</v>
      </c>
      <c r="GO3" s="114" t="s">
        <v>40</v>
      </c>
      <c r="GP3" s="10"/>
      <c r="GQ3" s="9"/>
      <c r="GR3" s="9"/>
      <c r="GS3" s="9"/>
      <c r="GT3" s="9"/>
      <c r="GU3" s="10"/>
      <c r="GV3" s="10"/>
      <c r="GW3" s="113" t="s">
        <v>19</v>
      </c>
      <c r="GX3" s="113" t="s">
        <v>20</v>
      </c>
      <c r="GY3" s="113" t="s">
        <v>11</v>
      </c>
      <c r="GZ3" s="115" t="s">
        <v>48</v>
      </c>
      <c r="HA3" s="115" t="s">
        <v>40</v>
      </c>
      <c r="HB3" s="113" t="s">
        <v>19</v>
      </c>
      <c r="HC3" s="113" t="s">
        <v>20</v>
      </c>
      <c r="HD3" s="113" t="s">
        <v>11</v>
      </c>
      <c r="HE3" s="115" t="s">
        <v>48</v>
      </c>
      <c r="HF3" s="115" t="s">
        <v>40</v>
      </c>
      <c r="HG3" s="113" t="s">
        <v>19</v>
      </c>
      <c r="HH3" s="113" t="s">
        <v>20</v>
      </c>
      <c r="HI3" s="113" t="s">
        <v>11</v>
      </c>
      <c r="HJ3" s="115" t="s">
        <v>48</v>
      </c>
      <c r="HK3" s="115" t="s">
        <v>40</v>
      </c>
      <c r="HL3" s="13"/>
      <c r="HM3" s="12"/>
      <c r="HN3" s="12"/>
      <c r="HO3" s="12"/>
      <c r="HP3" s="12"/>
      <c r="HQ3" s="13"/>
      <c r="HR3" s="13"/>
      <c r="HS3" s="112" t="s">
        <v>19</v>
      </c>
      <c r="HT3" s="112" t="s">
        <v>20</v>
      </c>
      <c r="HU3" s="112" t="s">
        <v>11</v>
      </c>
      <c r="HV3" s="114" t="s">
        <v>48</v>
      </c>
      <c r="HW3" s="114" t="s">
        <v>40</v>
      </c>
      <c r="HX3" s="112" t="s">
        <v>19</v>
      </c>
      <c r="HY3" s="112" t="s">
        <v>20</v>
      </c>
      <c r="HZ3" s="112" t="s">
        <v>11</v>
      </c>
      <c r="IA3" s="114" t="s">
        <v>48</v>
      </c>
      <c r="IB3" s="114" t="s">
        <v>40</v>
      </c>
      <c r="IC3" s="112" t="s">
        <v>19</v>
      </c>
      <c r="ID3" s="112" t="s">
        <v>20</v>
      </c>
      <c r="IE3" s="112" t="s">
        <v>11</v>
      </c>
      <c r="IF3" s="114" t="s">
        <v>48</v>
      </c>
      <c r="IG3" s="114" t="s">
        <v>40</v>
      </c>
      <c r="IH3" s="10"/>
      <c r="II3" s="9"/>
      <c r="IJ3" s="9"/>
      <c r="IK3" s="9"/>
      <c r="IL3" s="9"/>
      <c r="IM3" s="10"/>
      <c r="IN3" s="10"/>
      <c r="IO3" s="113" t="s">
        <v>19</v>
      </c>
      <c r="IP3" s="113" t="s">
        <v>20</v>
      </c>
      <c r="IQ3" s="113" t="s">
        <v>11</v>
      </c>
      <c r="IR3" s="115" t="s">
        <v>48</v>
      </c>
      <c r="IS3" s="115" t="s">
        <v>40</v>
      </c>
      <c r="IT3" s="113" t="s">
        <v>19</v>
      </c>
      <c r="IU3" s="113" t="s">
        <v>20</v>
      </c>
      <c r="IV3" s="113" t="s">
        <v>11</v>
      </c>
      <c r="IW3" s="115" t="s">
        <v>48</v>
      </c>
      <c r="IX3" s="115" t="s">
        <v>40</v>
      </c>
      <c r="IY3" s="113" t="s">
        <v>19</v>
      </c>
      <c r="IZ3" s="113" t="s">
        <v>20</v>
      </c>
      <c r="JA3" s="113" t="s">
        <v>11</v>
      </c>
      <c r="JB3" s="115" t="s">
        <v>48</v>
      </c>
      <c r="JC3" s="115" t="s">
        <v>40</v>
      </c>
      <c r="JD3" s="13"/>
      <c r="JE3" s="12"/>
      <c r="JF3" s="12"/>
      <c r="JG3" s="12"/>
      <c r="JH3" s="12"/>
      <c r="JI3" s="13"/>
      <c r="JJ3" s="13"/>
      <c r="JK3" s="112" t="s">
        <v>19</v>
      </c>
      <c r="JL3" s="112" t="s">
        <v>20</v>
      </c>
      <c r="JM3" s="112" t="s">
        <v>11</v>
      </c>
      <c r="JN3" s="114" t="s">
        <v>48</v>
      </c>
      <c r="JO3" s="114" t="s">
        <v>40</v>
      </c>
      <c r="JP3" s="112" t="s">
        <v>19</v>
      </c>
      <c r="JQ3" s="112" t="s">
        <v>20</v>
      </c>
      <c r="JR3" s="112" t="s">
        <v>11</v>
      </c>
      <c r="JS3" s="114" t="s">
        <v>48</v>
      </c>
      <c r="JT3" s="114" t="s">
        <v>40</v>
      </c>
      <c r="JU3" s="112" t="s">
        <v>19</v>
      </c>
      <c r="JV3" s="112" t="s">
        <v>20</v>
      </c>
      <c r="JW3" s="112" t="s">
        <v>11</v>
      </c>
      <c r="JX3" s="114" t="s">
        <v>48</v>
      </c>
      <c r="JY3" s="114" t="s">
        <v>40</v>
      </c>
      <c r="JZ3" s="10"/>
      <c r="KA3" s="9"/>
      <c r="KB3" s="9"/>
      <c r="KC3" s="9"/>
      <c r="KD3" s="9"/>
      <c r="KE3" s="10"/>
      <c r="KF3" s="10"/>
      <c r="KG3" s="113" t="s">
        <v>19</v>
      </c>
      <c r="KH3" s="113" t="s">
        <v>20</v>
      </c>
      <c r="KI3" s="113" t="s">
        <v>11</v>
      </c>
      <c r="KJ3" s="115" t="s">
        <v>48</v>
      </c>
      <c r="KK3" s="115" t="s">
        <v>40</v>
      </c>
      <c r="KL3" s="113" t="s">
        <v>19</v>
      </c>
      <c r="KM3" s="113" t="s">
        <v>20</v>
      </c>
      <c r="KN3" s="113" t="s">
        <v>11</v>
      </c>
      <c r="KO3" s="115" t="s">
        <v>48</v>
      </c>
      <c r="KP3" s="115" t="s">
        <v>40</v>
      </c>
      <c r="KQ3" s="113" t="s">
        <v>19</v>
      </c>
      <c r="KR3" s="113" t="s">
        <v>20</v>
      </c>
      <c r="KS3" s="113" t="s">
        <v>11</v>
      </c>
      <c r="KT3" s="115" t="s">
        <v>48</v>
      </c>
      <c r="KU3" s="115" t="s">
        <v>40</v>
      </c>
      <c r="KV3" s="13"/>
      <c r="KW3" s="12"/>
      <c r="KX3" s="12"/>
      <c r="KY3" s="12"/>
      <c r="KZ3" s="12"/>
      <c r="LA3" s="13"/>
      <c r="LB3" s="13"/>
      <c r="LC3" s="112" t="s">
        <v>19</v>
      </c>
      <c r="LD3" s="112" t="s">
        <v>20</v>
      </c>
      <c r="LE3" s="112" t="s">
        <v>11</v>
      </c>
      <c r="LF3" s="114" t="s">
        <v>48</v>
      </c>
      <c r="LG3" s="114" t="s">
        <v>40</v>
      </c>
      <c r="LH3" s="112" t="s">
        <v>19</v>
      </c>
      <c r="LI3" s="112" t="s">
        <v>20</v>
      </c>
      <c r="LJ3" s="112" t="s">
        <v>11</v>
      </c>
      <c r="LK3" s="114" t="s">
        <v>48</v>
      </c>
      <c r="LL3" s="114" t="s">
        <v>40</v>
      </c>
      <c r="LM3" s="112" t="s">
        <v>19</v>
      </c>
      <c r="LN3" s="112" t="s">
        <v>20</v>
      </c>
      <c r="LO3" s="112" t="s">
        <v>11</v>
      </c>
      <c r="LP3" s="114" t="s">
        <v>48</v>
      </c>
      <c r="LQ3" s="114" t="s">
        <v>40</v>
      </c>
      <c r="LR3" s="10"/>
      <c r="LS3" s="9"/>
      <c r="LT3" s="9"/>
      <c r="LU3" s="9"/>
      <c r="LV3" s="9"/>
      <c r="LW3" s="10"/>
      <c r="LX3" s="10"/>
      <c r="LY3" s="113" t="s">
        <v>19</v>
      </c>
      <c r="LZ3" s="113" t="s">
        <v>20</v>
      </c>
      <c r="MA3" s="113" t="s">
        <v>11</v>
      </c>
      <c r="MB3" s="115" t="s">
        <v>48</v>
      </c>
      <c r="MC3" s="115" t="s">
        <v>40</v>
      </c>
      <c r="MD3" s="113" t="s">
        <v>19</v>
      </c>
      <c r="ME3" s="113" t="s">
        <v>20</v>
      </c>
      <c r="MF3" s="113" t="s">
        <v>11</v>
      </c>
      <c r="MG3" s="115" t="s">
        <v>48</v>
      </c>
      <c r="MH3" s="115" t="s">
        <v>40</v>
      </c>
      <c r="MI3" s="113" t="s">
        <v>19</v>
      </c>
      <c r="MJ3" s="113" t="s">
        <v>20</v>
      </c>
      <c r="MK3" s="113" t="s">
        <v>11</v>
      </c>
      <c r="ML3" s="115" t="s">
        <v>48</v>
      </c>
      <c r="MM3" s="115" t="s">
        <v>40</v>
      </c>
      <c r="MN3" s="13"/>
      <c r="MO3" s="12"/>
      <c r="MP3" s="12"/>
      <c r="MQ3" s="12"/>
      <c r="MR3" s="12"/>
      <c r="MS3" s="13"/>
      <c r="MT3" s="13"/>
      <c r="MU3" s="112" t="s">
        <v>19</v>
      </c>
      <c r="MV3" s="112" t="s">
        <v>20</v>
      </c>
      <c r="MW3" s="112" t="s">
        <v>11</v>
      </c>
      <c r="MX3" s="112" t="s">
        <v>21</v>
      </c>
      <c r="MY3" s="112" t="s">
        <v>40</v>
      </c>
      <c r="MZ3" s="112" t="s">
        <v>19</v>
      </c>
      <c r="NA3" s="112" t="s">
        <v>20</v>
      </c>
      <c r="NB3" s="112" t="s">
        <v>11</v>
      </c>
      <c r="NC3" s="112" t="s">
        <v>21</v>
      </c>
      <c r="ND3" s="112" t="s">
        <v>40</v>
      </c>
      <c r="NE3" s="112" t="s">
        <v>19</v>
      </c>
      <c r="NF3" s="112" t="s">
        <v>20</v>
      </c>
      <c r="NG3" s="112" t="s">
        <v>11</v>
      </c>
      <c r="NH3" s="112" t="s">
        <v>21</v>
      </c>
      <c r="NI3" s="112" t="s">
        <v>40</v>
      </c>
      <c r="NJ3" s="11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cm="1">
        <f t="array" ref="A4">IF(AND(G4&lt;&gt;"",H4&lt;&gt;""),SUMPRODUCT((G$4:G$5&lt;&gt;"")*(H$4:H$5&lt;&gt;"")*(E$4:E$5&gt;E4))+1,IF(H4&lt;&gt;"",SUMPRODUCT((I$4:I$5="No DD")*(E$4:E$5&gt;E4))+1+SUMPRODUCT((G$4:G$5&lt;&gt;"")*(H$4:H$5&lt;&gt;"")),""))</f>
        <v>1</v>
      </c>
      <c r="B4" s="127" t="s">
        <v>157</v>
      </c>
      <c r="C4" s="5" t="s">
        <v>9</v>
      </c>
      <c r="D4" s="5" t="s">
        <v>156</v>
      </c>
      <c r="E4" s="15">
        <f>SUM(K4:S4)</f>
        <v>85.67</v>
      </c>
      <c r="F4" s="3" t="str">
        <f>IF(G4&lt;&gt;"","P","")</f>
        <v>P</v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>National Team</v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>
        <f>IF(MAX(CM4,CN4,CO4,CP4)&gt;0,MAX(CM4,CN4,CO4,CP4),"")</f>
        <v>85.67</v>
      </c>
      <c r="T4" s="25" t="str">
        <f>IF(S4="","",IF(S4=CM4,"(Vol 1)",IF(S4=CN4,"(Vol 2)",IF(S4=CO4,"(Prelim)",IF(S4=CP4,"(Final)")))))</f>
        <v>(Prelim)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2021 World Championships (Nov 19)</v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39.36</v>
      </c>
      <c r="CN4" s="24">
        <f>IF(MAX(DH4,ED4,EZ4,FV4,GR4,HN4,IJ4,JF4,KB4,KX4,LT4,MP4)-IF(O4="",0,O4)&gt;0.001,MAX(DH4,ED4,EZ4,FV4,GR4,HN4,IJ4,JF4,KB4,KX4,LT4,MP4)-IF(O4="",0,O4),"")</f>
        <v>46.31</v>
      </c>
      <c r="CO4" s="24">
        <f>IF(MAX(DI4,EE4,FA4,FW4,GS4,HO4,IK4,JG4,KC4,KY4,LU4,MQ4)-IF(K4="",0,K4)&gt;0.001,MAX(DI4,EE4,FA4,FW4,GS4,HO4,IK4,JG4,KC4,KY4,LU4,MQ4)-IF(K4="",0,K4),"")</f>
        <v>85.67</v>
      </c>
      <c r="CP4" s="24">
        <f>IF(MAX(DK4,EG4,FC4,FY4,GU4,HQ4,IM4,JI4,KE4,LA4,LW4,MS4)-IF(Q4="",0,Q4)&gt;0.001,MAX(DK4,EG4,FC4,FY4,GU4,HQ4,IM4,JI4,KE4,LA4,LW4,MS4)-IF(Q4="",0,Q4),"")</f>
        <v>46.61</v>
      </c>
      <c r="CQ4" s="37">
        <v>8.75</v>
      </c>
      <c r="CR4" s="37">
        <v>9.4499999999999993</v>
      </c>
      <c r="CS4" s="37">
        <v>3.4</v>
      </c>
      <c r="CT4" s="37">
        <v>17.760000000000002</v>
      </c>
      <c r="CU4" s="37">
        <v>0</v>
      </c>
      <c r="CV4" s="37">
        <v>8.15</v>
      </c>
      <c r="CW4" s="37">
        <v>9.6</v>
      </c>
      <c r="CX4" s="37">
        <v>11.6</v>
      </c>
      <c r="CY4" s="37">
        <v>16.96</v>
      </c>
      <c r="CZ4" s="37">
        <v>0</v>
      </c>
      <c r="DA4" s="37">
        <v>8.25</v>
      </c>
      <c r="DB4" s="37">
        <v>9.4</v>
      </c>
      <c r="DC4" s="37">
        <v>11.6</v>
      </c>
      <c r="DD4" s="37">
        <v>17.36</v>
      </c>
      <c r="DE4" s="37">
        <v>0</v>
      </c>
      <c r="DF4" s="11">
        <f>IF(CX4&gt;0,CX4,"")</f>
        <v>11.6</v>
      </c>
      <c r="DG4" s="11">
        <f>IF(SUM(CQ4:CT4)-CU4&gt;0,SUM(CQ4:CT4)-CU4,"")</f>
        <v>39.36</v>
      </c>
      <c r="DH4" s="11">
        <f>IF(SUM(CV4:CY4)-CZ4&gt;0,SUM(CV4:CY4)-CZ4,"")</f>
        <v>46.31</v>
      </c>
      <c r="DI4" s="11">
        <f>IF(SUM(DG4:DH4)&gt;0,SUM(DG4:DH4),"")</f>
        <v>85.67</v>
      </c>
      <c r="DJ4" s="11">
        <f>IF(DC4&gt;0,DC4,"")</f>
        <v>11.6</v>
      </c>
      <c r="DK4" s="11">
        <f>IF(SUM(DA4:DD4)-DE4&gt;0,SUM(DA4:DD4)-DE4,"")</f>
        <v>46.61</v>
      </c>
      <c r="DL4" s="11">
        <f>IF(SUM(DI4,DK4)&gt;0,SUM(DI4,DK4),"")</f>
        <v>132.28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>
        <v>8.5500000000000007</v>
      </c>
      <c r="DX4" s="38">
        <v>9.4499999999999993</v>
      </c>
      <c r="DY4" s="38">
        <v>9.8000000000000007</v>
      </c>
      <c r="DZ4" s="38">
        <v>16.2</v>
      </c>
      <c r="EA4" s="38">
        <v>0</v>
      </c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>
        <f>IF(DY4&gt;0,DY4,"")</f>
        <v>9.8000000000000007</v>
      </c>
      <c r="EG4" s="14">
        <f>IF(SUM(DW4:DZ4)-EA4&gt;0,SUM(DW4:DZ4)-EA4,"")</f>
        <v>44</v>
      </c>
      <c r="EH4" s="14">
        <f>IF(SUM(EE4,EG4)&gt;0,SUM(EE4,EG4),"")</f>
        <v>44</v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" si="0">IF($CE4="P",BP4,(BP4+AS4)/2)</f>
        <v>0</v>
      </c>
      <c r="MV4" s="69">
        <f t="shared" ref="MV4" si="1">IF($CE4="P",BQ4,(BQ4+AT4)/2)</f>
        <v>0</v>
      </c>
      <c r="MW4" s="69">
        <f t="shared" ref="MW4" si="2">IF($CE4="P",BR4,(BR4+AU4)/2)</f>
        <v>0</v>
      </c>
      <c r="MX4" s="69">
        <f t="shared" ref="MX4" si="3">IF($CE4="P",BS4,(BS4+AV4)/2)</f>
        <v>0</v>
      </c>
      <c r="MY4" s="69">
        <f t="shared" ref="MY4" si="4">IF($CE4="P",BT4,(BT4+AW4)/2)</f>
        <v>0</v>
      </c>
      <c r="MZ4" s="69">
        <f t="shared" ref="MZ4" si="5">IF($CE4="P",BU4,(BU4+AX4)/2)</f>
        <v>0</v>
      </c>
      <c r="NA4" s="69">
        <f t="shared" ref="NA4" si="6">IF($CE4="P",BV4,(BV4+AY4)/2)</f>
        <v>0</v>
      </c>
      <c r="NB4" s="69">
        <f t="shared" ref="NB4" si="7">IF($CE4="P",BW4,(BW4+AZ4)/2)</f>
        <v>0</v>
      </c>
      <c r="NC4" s="69">
        <f t="shared" ref="NC4" si="8">IF($CE4="P",BX4,(BX4+BA4)/2)</f>
        <v>0</v>
      </c>
      <c r="ND4" s="69">
        <f t="shared" ref="ND4" si="9">IF($CE4="P",BY4,(BY4+BB4)/2)</f>
        <v>0</v>
      </c>
      <c r="NE4" s="69">
        <f t="shared" ref="NE4" si="10">IF($CE4="P",BZ4,(BZ4+BC4)/2)</f>
        <v>0</v>
      </c>
      <c r="NF4" s="69">
        <f t="shared" ref="NF4" si="11">IF($CE4="P",CA4,(CA4+BD4)/2)</f>
        <v>0</v>
      </c>
      <c r="NG4" s="69">
        <f t="shared" ref="NG4" si="12">IF($CE4="P",CB4,(CB4+BE4)/2)</f>
        <v>0</v>
      </c>
      <c r="NH4" s="69">
        <f t="shared" ref="NH4" si="13">IF($CE4="P",CC4,(CC4+BF4)/2)</f>
        <v>0</v>
      </c>
      <c r="NI4" s="69">
        <f t="shared" ref="NI4" si="14">IF($CE4="P",CD4,(CD4+BG4)/2)</f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11.2</v>
      </c>
      <c r="BI7" s="56"/>
      <c r="BO7" s="64">
        <v>11.2</v>
      </c>
      <c r="CF7" s="56"/>
      <c r="CL7" s="64">
        <v>11.2</v>
      </c>
      <c r="DF7" s="56"/>
      <c r="DL7" s="64">
        <v>11.2</v>
      </c>
      <c r="EB7" s="56"/>
      <c r="EH7" s="64">
        <v>11.2</v>
      </c>
      <c r="EX7" s="56"/>
      <c r="FD7" s="64">
        <v>11.2</v>
      </c>
      <c r="FT7" s="56"/>
      <c r="FZ7" s="64">
        <v>11.2</v>
      </c>
      <c r="GP7" s="56"/>
      <c r="GV7" s="64">
        <v>11.2</v>
      </c>
      <c r="HL7" s="56"/>
      <c r="HR7" s="64">
        <v>11.2</v>
      </c>
      <c r="IH7" s="56"/>
      <c r="IN7" s="64">
        <v>11.2</v>
      </c>
      <c r="JD7" s="56"/>
      <c r="JJ7" s="64">
        <v>11.2</v>
      </c>
      <c r="JZ7" s="56"/>
      <c r="KF7" s="64">
        <v>11.2</v>
      </c>
      <c r="KV7" s="56"/>
      <c r="LB7" s="64">
        <v>11.2</v>
      </c>
      <c r="LR7" s="56"/>
      <c r="LX7" s="64">
        <v>11.2</v>
      </c>
      <c r="MN7" s="56"/>
      <c r="MT7" s="64">
        <v>11.2</v>
      </c>
    </row>
    <row r="8" spans="1:381" x14ac:dyDescent="0.2">
      <c r="B8" s="91" t="s">
        <v>69</v>
      </c>
      <c r="AL8" s="56"/>
      <c r="AR8" s="93">
        <v>12</v>
      </c>
      <c r="BI8" s="56"/>
      <c r="BO8" s="93">
        <v>12</v>
      </c>
      <c r="CF8" s="56"/>
      <c r="CL8" s="93">
        <v>12</v>
      </c>
      <c r="DF8" s="56"/>
      <c r="DL8" s="93">
        <v>12</v>
      </c>
      <c r="EB8" s="56"/>
      <c r="EH8" s="93">
        <v>12</v>
      </c>
      <c r="EX8" s="56"/>
      <c r="FD8" s="93">
        <v>12</v>
      </c>
      <c r="FT8" s="56"/>
      <c r="FZ8" s="93">
        <v>12</v>
      </c>
      <c r="GP8" s="56"/>
      <c r="GV8" s="93">
        <v>12</v>
      </c>
      <c r="HL8" s="56"/>
      <c r="HR8" s="93">
        <v>12</v>
      </c>
      <c r="IH8" s="56"/>
      <c r="IN8" s="93">
        <v>12</v>
      </c>
      <c r="JD8" s="56"/>
      <c r="JJ8" s="93">
        <v>12</v>
      </c>
      <c r="JZ8" s="56"/>
      <c r="KF8" s="93">
        <v>12</v>
      </c>
      <c r="KV8" s="56"/>
      <c r="LB8" s="93">
        <v>12</v>
      </c>
      <c r="LR8" s="56"/>
      <c r="LX8" s="93">
        <v>12</v>
      </c>
      <c r="MN8" s="56"/>
      <c r="MT8" s="93">
        <v>12</v>
      </c>
    </row>
    <row r="9" spans="1:381" x14ac:dyDescent="0.2">
      <c r="A9" s="56"/>
      <c r="B9" s="92" t="s">
        <v>86</v>
      </c>
      <c r="C9" s="55"/>
      <c r="AL9" s="56"/>
      <c r="AR9" s="94">
        <v>12</v>
      </c>
      <c r="BI9" s="56"/>
      <c r="BO9" s="94">
        <v>12</v>
      </c>
      <c r="CF9" s="56"/>
      <c r="CL9" s="94">
        <v>12</v>
      </c>
      <c r="DF9" s="56"/>
      <c r="DL9" s="94">
        <v>12</v>
      </c>
      <c r="EB9" s="56"/>
      <c r="EH9" s="94">
        <v>12</v>
      </c>
      <c r="EX9" s="56"/>
      <c r="FD9" s="94">
        <v>12</v>
      </c>
      <c r="FT9" s="56"/>
      <c r="FZ9" s="94">
        <v>12</v>
      </c>
      <c r="GP9" s="56"/>
      <c r="GV9" s="94">
        <v>12</v>
      </c>
      <c r="HL9" s="56"/>
      <c r="HR9" s="94">
        <v>12</v>
      </c>
      <c r="IH9" s="56"/>
      <c r="IN9" s="94">
        <v>12</v>
      </c>
      <c r="JD9" s="56"/>
      <c r="JJ9" s="94">
        <v>12</v>
      </c>
      <c r="JZ9" s="56"/>
      <c r="KF9" s="94">
        <v>12</v>
      </c>
      <c r="KV9" s="56"/>
      <c r="LB9" s="94">
        <v>12</v>
      </c>
      <c r="LR9" s="56"/>
      <c r="LX9" s="94">
        <v>12</v>
      </c>
      <c r="MN9" s="56"/>
      <c r="MT9" s="94">
        <v>12</v>
      </c>
    </row>
    <row r="10" spans="1:381" x14ac:dyDescent="0.2">
      <c r="A10" s="56"/>
      <c r="B10" s="120" t="s">
        <v>102</v>
      </c>
      <c r="C10" s="55"/>
      <c r="AL10" s="56"/>
      <c r="AR10" s="121">
        <v>12</v>
      </c>
      <c r="BI10" s="56"/>
      <c r="BO10" s="121">
        <v>12</v>
      </c>
      <c r="CF10" s="56"/>
      <c r="CL10" s="121">
        <v>12</v>
      </c>
      <c r="DF10" s="56"/>
      <c r="DL10" s="121">
        <v>12</v>
      </c>
      <c r="EB10" s="56"/>
      <c r="EH10" s="121">
        <v>12</v>
      </c>
      <c r="EX10" s="56"/>
      <c r="FD10" s="121">
        <v>12</v>
      </c>
      <c r="FT10" s="56"/>
      <c r="FZ10" s="121">
        <v>12</v>
      </c>
      <c r="GP10" s="56"/>
      <c r="GV10" s="121">
        <v>12</v>
      </c>
      <c r="HL10" s="56"/>
      <c r="HR10" s="121">
        <v>12</v>
      </c>
      <c r="IH10" s="56"/>
      <c r="IN10" s="121">
        <v>12</v>
      </c>
      <c r="JD10" s="56"/>
      <c r="JJ10" s="121">
        <v>12</v>
      </c>
      <c r="JZ10" s="56"/>
      <c r="KF10" s="121">
        <v>12</v>
      </c>
      <c r="KV10" s="56"/>
      <c r="LB10" s="121">
        <v>12</v>
      </c>
      <c r="LR10" s="56"/>
      <c r="LX10" s="121">
        <v>12</v>
      </c>
      <c r="MN10" s="56"/>
      <c r="MT10" s="121">
        <v>12</v>
      </c>
    </row>
    <row r="11" spans="1:381" x14ac:dyDescent="0.2">
      <c r="A11" s="56"/>
      <c r="B11" s="118" t="s">
        <v>67</v>
      </c>
      <c r="C11" s="55"/>
      <c r="AL11" s="56"/>
      <c r="AR11" s="119">
        <v>81.400000000000006</v>
      </c>
      <c r="BI11" s="56"/>
      <c r="BO11" s="119">
        <v>81.400000000000006</v>
      </c>
      <c r="CF11" s="56"/>
      <c r="CL11" s="119">
        <v>81.400000000000006</v>
      </c>
      <c r="DF11" s="56"/>
      <c r="DL11" s="119">
        <v>81.400000000000006</v>
      </c>
      <c r="EB11" s="56"/>
      <c r="EH11" s="119">
        <v>81.400000000000006</v>
      </c>
      <c r="EX11" s="56"/>
      <c r="FD11" s="119">
        <v>81.400000000000006</v>
      </c>
      <c r="FT11" s="56"/>
      <c r="FZ11" s="119">
        <v>81.400000000000006</v>
      </c>
      <c r="GP11" s="56"/>
      <c r="GV11" s="119">
        <v>81.400000000000006</v>
      </c>
      <c r="HL11" s="56"/>
      <c r="HR11" s="119">
        <v>81.400000000000006</v>
      </c>
      <c r="IH11" s="56"/>
      <c r="IN11" s="119">
        <v>81.400000000000006</v>
      </c>
      <c r="JD11" s="56"/>
      <c r="JJ11" s="119">
        <v>81.400000000000006</v>
      </c>
      <c r="JZ11" s="56"/>
      <c r="KF11" s="119">
        <v>81.400000000000006</v>
      </c>
      <c r="KV11" s="56"/>
      <c r="LB11" s="119">
        <v>81.400000000000006</v>
      </c>
      <c r="LR11" s="56"/>
      <c r="LX11" s="119">
        <v>81.400000000000006</v>
      </c>
      <c r="MN11" s="56"/>
      <c r="MT11" s="119">
        <v>81.400000000000006</v>
      </c>
    </row>
    <row r="12" spans="1:381" x14ac:dyDescent="0.2">
      <c r="A12" s="56"/>
      <c r="B12" s="72" t="s">
        <v>68</v>
      </c>
      <c r="C12" s="55"/>
      <c r="AL12" s="56"/>
      <c r="AR12" s="66">
        <v>83.4</v>
      </c>
      <c r="BI12" s="56"/>
      <c r="BO12" s="66">
        <v>83.4</v>
      </c>
      <c r="CF12" s="56"/>
      <c r="CL12" s="66">
        <v>83.4</v>
      </c>
      <c r="DF12" s="56"/>
      <c r="DL12" s="66">
        <v>83.4</v>
      </c>
      <c r="EB12" s="56"/>
      <c r="EH12" s="66">
        <v>83.4</v>
      </c>
      <c r="EX12" s="56"/>
      <c r="FD12" s="66">
        <v>83.4</v>
      </c>
      <c r="FT12" s="56"/>
      <c r="FZ12" s="66">
        <v>83.4</v>
      </c>
      <c r="GP12" s="56"/>
      <c r="GV12" s="66">
        <v>83.4</v>
      </c>
      <c r="HL12" s="56"/>
      <c r="HR12" s="66">
        <v>83.4</v>
      </c>
      <c r="IH12" s="56"/>
      <c r="IN12" s="66">
        <v>83.4</v>
      </c>
      <c r="JD12" s="56"/>
      <c r="JJ12" s="66">
        <v>83.4</v>
      </c>
      <c r="JZ12" s="56"/>
      <c r="KF12" s="66">
        <v>83.4</v>
      </c>
      <c r="KV12" s="56"/>
      <c r="LB12" s="66">
        <v>83.4</v>
      </c>
      <c r="LR12" s="56"/>
      <c r="LX12" s="66">
        <v>83.4</v>
      </c>
      <c r="MN12" s="56"/>
      <c r="MT12" s="66">
        <v>83.4</v>
      </c>
    </row>
    <row r="13" spans="1:381" x14ac:dyDescent="0.2">
      <c r="A13" s="56"/>
      <c r="B13" s="116" t="s">
        <v>84</v>
      </c>
      <c r="C13" s="55"/>
      <c r="AL13" s="56"/>
      <c r="AR13" s="117">
        <v>45.7</v>
      </c>
      <c r="BI13" s="56"/>
      <c r="BN13" s="129"/>
      <c r="BO13" s="117">
        <v>45.7</v>
      </c>
      <c r="CF13" s="56"/>
      <c r="CL13" s="117">
        <v>45.7</v>
      </c>
      <c r="DF13" s="56"/>
      <c r="DL13" s="117">
        <v>45.7</v>
      </c>
      <c r="EB13" s="56"/>
      <c r="EH13" s="117">
        <v>45.7</v>
      </c>
      <c r="EX13" s="56"/>
      <c r="FC13" s="130"/>
      <c r="FD13" s="117">
        <v>45.7</v>
      </c>
      <c r="FT13" s="56"/>
      <c r="FZ13" s="117">
        <v>45.7</v>
      </c>
      <c r="GP13" s="56"/>
      <c r="GV13" s="117">
        <v>45.7</v>
      </c>
      <c r="HL13" s="56"/>
      <c r="HR13" s="117">
        <v>45.7</v>
      </c>
      <c r="IH13" s="56"/>
      <c r="IN13" s="117">
        <v>45.7</v>
      </c>
      <c r="JD13" s="56"/>
      <c r="JJ13" s="117">
        <v>45.7</v>
      </c>
      <c r="JZ13" s="56"/>
      <c r="KF13" s="117">
        <v>45.7</v>
      </c>
      <c r="KV13" s="56"/>
      <c r="LB13" s="117">
        <v>45.7</v>
      </c>
      <c r="LR13" s="56"/>
      <c r="LX13" s="117">
        <v>45.7</v>
      </c>
      <c r="MN13" s="56"/>
      <c r="MT13" s="117">
        <v>45.7</v>
      </c>
    </row>
    <row r="14" spans="1:381" x14ac:dyDescent="0.2">
      <c r="A14" s="56"/>
      <c r="B14" s="74" t="s">
        <v>51</v>
      </c>
      <c r="C14" s="55"/>
      <c r="AL14" s="56"/>
      <c r="AR14" s="68">
        <v>46.8</v>
      </c>
      <c r="BI14" s="56"/>
      <c r="BN14" s="130"/>
      <c r="BO14" s="68">
        <v>46.8</v>
      </c>
      <c r="CF14" s="56"/>
      <c r="CL14" s="68">
        <v>46.8</v>
      </c>
      <c r="DF14" s="56"/>
      <c r="DL14" s="68">
        <v>46.8</v>
      </c>
      <c r="EB14" s="56"/>
      <c r="EG14" s="130"/>
      <c r="EH14" s="68">
        <v>46.8</v>
      </c>
      <c r="EX14" s="56"/>
      <c r="FD14" s="68">
        <v>46.8</v>
      </c>
      <c r="FT14" s="56"/>
      <c r="FY14" s="133"/>
      <c r="FZ14" s="68">
        <v>46.8</v>
      </c>
      <c r="GP14" s="56"/>
      <c r="GV14" s="68">
        <v>46.8</v>
      </c>
      <c r="HL14" s="56"/>
      <c r="HR14" s="68">
        <v>46.8</v>
      </c>
      <c r="IH14" s="56"/>
      <c r="IN14" s="68">
        <v>46.8</v>
      </c>
      <c r="JD14" s="56"/>
      <c r="JJ14" s="68">
        <v>46.8</v>
      </c>
      <c r="JZ14" s="56"/>
      <c r="KF14" s="68">
        <v>46.8</v>
      </c>
      <c r="KV14" s="56"/>
      <c r="LB14" s="68">
        <v>46.8</v>
      </c>
      <c r="LR14" s="56"/>
      <c r="LX14" s="68">
        <v>46.8</v>
      </c>
      <c r="MN14" s="56"/>
      <c r="MT14" s="68">
        <v>46.8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3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4">
      <sortCondition descending="1" ref="F1:F5"/>
    </sortState>
  </autoFilter>
  <mergeCells count="86"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CQ2:CU2"/>
    <mergeCell ref="CV2:CZ2"/>
    <mergeCell ref="DA2:DE2"/>
    <mergeCell ref="DM2:DQ2"/>
    <mergeCell ref="DR2:DV2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LY1:MT1"/>
    <mergeCell ref="CQ1:DL1"/>
    <mergeCell ref="DM1:EH1"/>
    <mergeCell ref="EI1:FD1"/>
    <mergeCell ref="FE1:FZ1"/>
    <mergeCell ref="GA1:GV1"/>
    <mergeCell ref="GW1:HR1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phoneticPr fontId="22" type="noConversion"/>
  <conditionalFormatting sqref="V4:AR4">
    <cfRule type="expression" dxfId="25" priority="7" stopIfTrue="1">
      <formula>IF($AK4&lt;&gt;"",1,0)</formula>
    </cfRule>
  </conditionalFormatting>
  <conditionalFormatting sqref="AS4:BO4">
    <cfRule type="expression" dxfId="24" priority="8" stopIfTrue="1">
      <formula>IF($BH4&lt;&gt;"",1,0)</formula>
    </cfRule>
  </conditionalFormatting>
  <conditionalFormatting sqref="L1:L1048576 R1:R1048576 N1:N1048576 P1:P1048576">
    <cfRule type="expression" dxfId="23" priority="15">
      <formula>IF(L1=$BP$1,1,0)</formula>
    </cfRule>
    <cfRule type="expression" dxfId="22" priority="16">
      <formula>IF(L1=$AS$1,1,0)</formula>
    </cfRule>
    <cfRule type="expression" dxfId="21" priority="17">
      <formula>IF(L1=$V$1,1,0)</formula>
    </cfRule>
  </conditionalFormatting>
  <conditionalFormatting sqref="I1:I1048576">
    <cfRule type="containsText" dxfId="20" priority="10" operator="containsText" text="No DD">
      <formula>NOT(ISERROR(SEARCH("No DD",I1)))</formula>
    </cfRule>
    <cfRule type="containsText" dxfId="19" priority="11" operator="containsText" text="Merit">
      <formula>NOT(ISERROR(SEARCH("Merit",I1)))</formula>
    </cfRule>
    <cfRule type="containsText" dxfId="18" priority="12" operator="containsText" text="Excellence">
      <formula>NOT(ISERROR(SEARCH("Excellence",I1)))</formula>
    </cfRule>
    <cfRule type="containsText" dxfId="17" priority="13" operator="containsText" text="Worlds Team">
      <formula>NOT(ISERROR(SEARCH("Worlds Team",I1)))</formula>
    </cfRule>
    <cfRule type="containsText" dxfId="16" priority="14" operator="containsText" text="National Team">
      <formula>NOT(ISERROR(SEARCH("National Team",I1)))</formula>
    </cfRule>
  </conditionalFormatting>
  <conditionalFormatting sqref="BP4:CL4">
    <cfRule type="expression" dxfId="15" priority="9" stopIfTrue="1">
      <formula>IF($CE4&lt;&gt;"",1,0)</formula>
    </cfRule>
  </conditionalFormatting>
  <conditionalFormatting sqref="A1:A1048576">
    <cfRule type="expression" dxfId="14" priority="32">
      <formula>AND(H1&lt;&gt;"",G1="")</formula>
    </cfRule>
  </conditionalFormatting>
  <conditionalFormatting sqref="BN15:BN1048576 EG15:EG1048576 FC14:FC1048576 FY15:FY1048576 AQ1:AQ1048576 BN1:BN13 CK1:CK1048576 DK1:DK1048576 EG1:EG13 FC1:FC12 FY1:FY13 GU1:GU1048576 HQ1:HQ1048576 IM1:IM1048576 JI1:JI1048576 KE1:KE1048576 LA1:LA1048576 LW1:LW1048576 MS1:MS1048576">
    <cfRule type="cellIs" dxfId="13" priority="38252" operator="between">
      <formula>AR$14</formula>
      <formula>1000</formula>
    </cfRule>
    <cfRule type="cellIs" dxfId="12" priority="38253" operator="between">
      <formula>AR$13</formula>
      <formula>AR$14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1" priority="52032" operator="between">
      <formula>AR$10</formula>
      <formula>1000</formula>
    </cfRule>
    <cfRule type="cellIs" dxfId="10" priority="52033" operator="between">
      <formula>AR$9</formula>
      <formula>AR$10</formula>
    </cfRule>
    <cfRule type="cellIs" dxfId="9" priority="52034" operator="between">
      <formula>AR$8</formula>
      <formula>AR$9</formula>
    </cfRule>
    <cfRule type="cellIs" dxfId="8" priority="52035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7" priority="52212" operator="between">
      <formula>AR$14</formula>
      <formula>1000</formula>
    </cfRule>
    <cfRule type="cellIs" dxfId="6" priority="52213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5" priority="52302" operator="between">
      <formula>AR$12</formula>
      <formula>1000</formula>
    </cfRule>
    <cfRule type="cellIs" dxfId="4" priority="52303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3" priority="52392" operator="between">
      <formula>AR$10</formula>
      <formula>1000</formula>
    </cfRule>
    <cfRule type="cellIs" dxfId="2" priority="52393" operator="between">
      <formula>AR$9</formula>
      <formula>AR$10</formula>
    </cfRule>
    <cfRule type="cellIs" dxfId="1" priority="52394" operator="between">
      <formula>AR$8</formula>
      <formula>AR$9</formula>
    </cfRule>
    <cfRule type="cellIs" dxfId="0" priority="52395" operator="between">
      <formula>AR$7</formula>
      <formula>AR$8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 t="s">
        <v>149</v>
      </c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114</v>
      </c>
      <c r="C4" s="7" t="s">
        <v>5</v>
      </c>
      <c r="D4" s="27">
        <v>2002</v>
      </c>
      <c r="E4" s="15">
        <f>SUM(J4:N4)</f>
        <v>128</v>
      </c>
      <c r="F4" s="3" t="str">
        <f>IF(OR(AND(AH4&gt;=AL$8,AI4&gt;=AL$12,AI4&lt;&gt;"",AG4=""),AND(BD4&gt;=BH$8,BE4&gt;=BH$12,BE4&lt;&gt;"",BC4=""),AND(BZ4&gt;=CD$8,CA4&gt;=CD$12,CA4&lt;&gt;"",BY4=""),AND(CW4&gt;=DA$8,CX4&gt;=DA$12,CX4&lt;&gt;""),AND(DR4&gt;=DV$8,DS4&gt;=DV$12,DS4&lt;&gt;""),AND(EM4&gt;=EQ$8,EN4&gt;=EQ$12,EN4&lt;&gt;""),AND(FH4&gt;=FL$8,FI4&gt;=FL$12,FI4&lt;&gt;""),AND(GC4&gt;=GG$8,GD4&gt;=GG$12,GD4&lt;&gt;""),AND(GX4&gt;=HB$8,GY4&gt;=HB$12,GY4&lt;&gt;""),AND(HS4&gt;=HW$8,HT4&gt;=HW$12,HT4&lt;&gt;""),AND(IN4&gt;=IR$8,IO4&gt;=IR$12,IO4&lt;&gt;""),AND(JI4&gt;=JM$8,JJ4&gt;=JM$12,JJ4&lt;&gt;""),AND(KD4&gt;=KH$8,KE4&gt;=KH$12,KE4&lt;&gt;""),AND(KY4&gt;=LC$8,KZ4&gt;=LC$12,KZ4&lt;&gt;""),AND(LT4&gt;=LX$8,LU4&gt;=LX$12,LU4&lt;&gt;"")),"P","")</f>
        <v>P</v>
      </c>
      <c r="G4" s="3" t="str">
        <f>IF(OR(AND(AI4&gt;=AL$12,AI4&lt;&gt;"",AG4=""),AND(BE4&gt;=BH$12,BE4&lt;&gt;"",BC4=""),AND(CA4&gt;=CD$12,CA4&lt;&gt;"",BY4=""),AND(CX4&gt;=DA$12,CX4&lt;&gt;""),AND(DS4&gt;=DV$12,DS4&lt;&gt;""),AND(EN4&gt;=EQ$12,EN4&lt;&gt;""),AND(FI4&gt;=FL$12,FI4&lt;&gt;""),AND(GD4&gt;=GG$12,GD4&lt;&gt;""),AND(GY4&gt;=HB$12,GY4&lt;&gt;""),AND(HT4&gt;=HW$12,HT4&lt;&gt;""),AND(IO4&gt;=IR$12,IO4&lt;&gt;""),AND(JJ4&gt;=JM$12,JJ4&lt;&gt;""),AND(KE4&gt;=KH$12,KE4&lt;&gt;""),AND(KZ4&gt;=LC$12,KZ4&lt;&gt;""),AND(LU4&gt;=LX$12,LU4&lt;&gt;"")),"P","")</f>
        <v>P</v>
      </c>
      <c r="H4" s="126" t="str">
        <f>IF(AND(G4="P",F4=""),"No DD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Merit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Excellence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Worlds Team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63.9</v>
      </c>
      <c r="K4" s="14" t="str">
        <f>IF(J4=0,"",IF(J4=CA4,$BI$1,IF(J4=BE4,$AM$1,IF(J4=AI4,$Q$1,""))))</f>
        <v>2021 Elite Canada</v>
      </c>
      <c r="L4" s="14">
        <f>MAX(AK4,BG4,CC4)</f>
        <v>64.099999999999994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27.2</v>
      </c>
      <c r="R4" s="45">
        <v>5.8</v>
      </c>
      <c r="S4" s="45">
        <v>0</v>
      </c>
      <c r="T4" s="45">
        <v>0</v>
      </c>
      <c r="U4" s="45">
        <v>24.7</v>
      </c>
      <c r="V4" s="45">
        <v>6.1</v>
      </c>
      <c r="W4" s="45">
        <v>0.3</v>
      </c>
      <c r="X4" s="45">
        <v>0</v>
      </c>
      <c r="Y4" s="45">
        <v>25.8</v>
      </c>
      <c r="Z4" s="45">
        <v>5.4</v>
      </c>
      <c r="AA4" s="45">
        <v>0.1</v>
      </c>
      <c r="AB4" s="45">
        <v>0</v>
      </c>
      <c r="AC4" s="45">
        <v>26.4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11.899999999999999</v>
      </c>
      <c r="AI4" s="11">
        <f>IF(SUM(Q4:R4,T4:V4,X4)-S4-W4&gt;0,SUM(Q4:R4,T4:V4,X4)-S4-W4,"")</f>
        <v>63.500000000000007</v>
      </c>
      <c r="AJ4" s="11">
        <f>IF(SUM(Z4,AD4)&gt;0,SUM(Z4,AD4),"")</f>
        <v>11.5</v>
      </c>
      <c r="AK4" s="11">
        <f>IF(SUM(Y4:Z4,AB4:AD4,AF4)-SUM(AA4,AE4)&gt;0,SUM(Y4:Z4,AB4:AD4,AF4)-SUM(AA4,AE4),"")</f>
        <v>63.6</v>
      </c>
      <c r="AL4" s="11">
        <f>IF(SUM(AI4,AK4)&gt;0,SUM(AI4,AK4),"")</f>
        <v>127.10000000000001</v>
      </c>
      <c r="AM4" s="38">
        <v>26.3</v>
      </c>
      <c r="AN4" s="38">
        <v>5.8</v>
      </c>
      <c r="AO4" s="38">
        <v>0</v>
      </c>
      <c r="AP4" s="38">
        <v>0</v>
      </c>
      <c r="AQ4" s="38">
        <v>25.7</v>
      </c>
      <c r="AR4" s="38">
        <v>6.1</v>
      </c>
      <c r="AS4" s="38">
        <v>0</v>
      </c>
      <c r="AT4" s="38">
        <v>0</v>
      </c>
      <c r="AU4" s="38">
        <v>26.4</v>
      </c>
      <c r="AV4" s="38">
        <v>6.9</v>
      </c>
      <c r="AW4" s="38">
        <v>0</v>
      </c>
      <c r="AX4" s="38">
        <v>0</v>
      </c>
      <c r="AY4" s="38">
        <v>25.1</v>
      </c>
      <c r="AZ4" s="38">
        <v>5.7</v>
      </c>
      <c r="BA4" s="38">
        <v>0</v>
      </c>
      <c r="BB4" s="38">
        <v>0</v>
      </c>
      <c r="BC4" s="81"/>
      <c r="BD4" s="14">
        <f>IF(SUM(AN4,AR4)&gt;0,SUM(AN4,AR4),"")</f>
        <v>11.899999999999999</v>
      </c>
      <c r="BE4" s="14">
        <f>IF(SUM(AM4:AN4,AP4:AR4,AT4)-AO4-AS4&gt;0,SUM(AM4:AN4,AP4:AR4,AT4)-AO4-AS4,"")</f>
        <v>63.9</v>
      </c>
      <c r="BF4" s="14">
        <f>IF(SUM(AV4,AZ4)&gt;0,SUM(AV4,AZ4),"")</f>
        <v>12.600000000000001</v>
      </c>
      <c r="BG4" s="14">
        <f>IF(SUM(AU4:AV4,AX4:AZ4,BB4)-SUM(AW4,BA4)&gt;0,SUM(AU4:AV4,AX4:AZ4,BB4)-SUM(AW4,BA4),"")</f>
        <v>64.099999999999994</v>
      </c>
      <c r="BH4" s="14">
        <f>IF(SUM(BE4,BG4)&gt;0,SUM(BE4,BG4),"")</f>
        <v>128</v>
      </c>
      <c r="BI4" s="45">
        <v>23.7</v>
      </c>
      <c r="BJ4" s="45">
        <v>3</v>
      </c>
      <c r="BK4" s="45">
        <v>0</v>
      </c>
      <c r="BL4" s="45">
        <v>0</v>
      </c>
      <c r="BM4" s="45">
        <v>20.3</v>
      </c>
      <c r="BN4" s="45">
        <v>3.7</v>
      </c>
      <c r="BO4" s="45">
        <v>0</v>
      </c>
      <c r="BP4" s="45">
        <v>0</v>
      </c>
      <c r="BQ4" s="45"/>
      <c r="BR4" s="45"/>
      <c r="BS4" s="45"/>
      <c r="BT4" s="45"/>
      <c r="BU4" s="45"/>
      <c r="BV4" s="45"/>
      <c r="BW4" s="45"/>
      <c r="BX4" s="45"/>
      <c r="BY4" s="80"/>
      <c r="BZ4" s="11">
        <f>IF(SUM(BJ4,BN4)&gt;0,SUM(BJ4,BN4),"")</f>
        <v>6.7</v>
      </c>
      <c r="CA4" s="11">
        <f>IF(SUM(BI4:BJ4,BL4:BN4,BP4)-BK4-BO4&gt;0,SUM(BI4:BJ4,BL4:BN4,BP4)-BK4-BO4,"")</f>
        <v>50.7</v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>
        <f>IF(SUM(CA4,CC4)&gt;0,SUM(CA4,CC4),"")</f>
        <v>50.7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>
        <v>25</v>
      </c>
      <c r="CH4" s="37">
        <v>5.4</v>
      </c>
      <c r="CI4" s="37">
        <v>0</v>
      </c>
      <c r="CJ4" s="37">
        <v>0</v>
      </c>
      <c r="CK4" s="37">
        <v>24.8</v>
      </c>
      <c r="CL4" s="37">
        <v>6.1</v>
      </c>
      <c r="CM4" s="37">
        <v>0</v>
      </c>
      <c r="CN4" s="37">
        <v>0</v>
      </c>
      <c r="CO4" s="37"/>
      <c r="CP4" s="37"/>
      <c r="CQ4" s="37"/>
      <c r="CR4" s="37"/>
      <c r="CS4" s="37"/>
      <c r="CT4" s="37"/>
      <c r="CU4" s="37"/>
      <c r="CV4" s="37"/>
      <c r="CW4" s="11">
        <f>IF(SUM(CH4,CL4)&gt;0,SUM(CH4,CL4),"")</f>
        <v>11.5</v>
      </c>
      <c r="CX4" s="11">
        <f>IF(SUM(CG4:CH4,CJ4:CL4,CN4)-CI4-CM4&gt;0,SUM(CG4:CH4,CJ4:CL4,CN4)-CI4-CM4,"")</f>
        <v>61.300000000000004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61.300000000000004</v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/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25</v>
      </c>
      <c r="LZ4" s="69">
        <f>IF($BY4="P",BJ4,(BJ4+AN4)/2)</f>
        <v>4.4000000000000004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23</v>
      </c>
      <c r="MD4" s="69">
        <f>IF($BY4="P",BN4,(BN4+AR4)/2)</f>
        <v>4.9000000000000004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13.2</v>
      </c>
      <c r="MH4" s="69">
        <f>IF($BY4="P",BR4,(BR4+AV4)/2)</f>
        <v>3.45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12.55</v>
      </c>
      <c r="ML4" s="69">
        <f>IF($BY4="P",BV4,(BV4+AZ4)/2)</f>
        <v>2.85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9.3000000000000007</v>
      </c>
      <c r="MQ4" s="11">
        <f>IF(SUM(LY4:LZ4,MB4:MD4,MF4)-MA4-ME4&gt;0,SUM(LY4:LZ4,MB4:MD4,MF4)-MA4-ME4,"")</f>
        <v>57.3</v>
      </c>
      <c r="MR4" s="11">
        <f>IF(SUM(MH4,ML4)&gt;0,SUM(MH4,ML4),"")</f>
        <v>6.3000000000000007</v>
      </c>
      <c r="MS4" s="11">
        <f>IF(SUM(MG4:MH4,MJ4:ML4,MN4)-SUM(MI4,MM4)&gt;0,SUM(MG4:MH4,MJ4:ML4,MN4)-SUM(MI4,MM4),"")</f>
        <v>32.049999999999997</v>
      </c>
      <c r="MT4" s="11">
        <f>IF(SUM(MQ4,MS4)&gt;0,SUM(MQ4,MS4),"")</f>
        <v>89.35</v>
      </c>
    </row>
    <row r="5" spans="1:358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" t="s">
        <v>47</v>
      </c>
      <c r="C5" s="7" t="s">
        <v>5</v>
      </c>
      <c r="D5" s="27">
        <v>1997</v>
      </c>
      <c r="E5" s="15">
        <f>SUM(J5:N5)</f>
        <v>122.6</v>
      </c>
      <c r="F5" s="3" t="str">
        <f>IF(OR(AND(AH5&gt;=AL$8,AI5&gt;=AL$12,AI5&lt;&gt;"",AG5=""),AND(BD5&gt;=BH$8,BE5&gt;=BH$12,BE5&lt;&gt;"",BC5=""),AND(BZ5&gt;=CD$8,CA5&gt;=CD$12,CA5&lt;&gt;"",BY5=""),AND(CW5&gt;=DA$8,CX5&gt;=DA$12,CX5&lt;&gt;""),AND(DR5&gt;=DV$8,DS5&gt;=DV$12,DS5&lt;&gt;""),AND(EM5&gt;=EQ$8,EN5&gt;=EQ$12,EN5&lt;&gt;""),AND(FH5&gt;=FL$8,FI5&gt;=FL$12,FI5&lt;&gt;""),AND(GC5&gt;=GG$8,GD5&gt;=GG$12,GD5&lt;&gt;""),AND(GX5&gt;=HB$8,GY5&gt;=HB$12,GY5&lt;&gt;""),AND(HS5&gt;=HW$8,HT5&gt;=HW$12,HT5&lt;&gt;""),AND(IN5&gt;=IR$8,IO5&gt;=IR$12,IO5&lt;&gt;""),AND(JI5&gt;=JM$8,JJ5&gt;=JM$12,JJ5&lt;&gt;""),AND(KD5&gt;=KH$8,KE5&gt;=KH$12,KE5&lt;&gt;""),AND(KY5&gt;=LC$8,KZ5&gt;=LC$12,KZ5&lt;&gt;""),AND(LT5&gt;=LX$8,LU5&gt;=LX$12,LU5&lt;&gt;"")),"P","")</f>
        <v/>
      </c>
      <c r="G5" s="3" t="str">
        <f>IF(OR(AND(AI5&gt;=AL$12,AI5&lt;&gt;"",AG5=""),AND(BE5&gt;=BH$12,BE5&lt;&gt;"",BC5=""),AND(CA5&gt;=CD$12,CA5&lt;&gt;"",BY5=""),AND(CX5&gt;=DA$12,CX5&lt;&gt;""),AND(DS5&gt;=DV$12,DS5&lt;&gt;""),AND(EN5&gt;=EQ$12,EN5&lt;&gt;""),AND(FI5&gt;=FL$12,FI5&lt;&gt;""),AND(GD5&gt;=GG$12,GD5&lt;&gt;""),AND(GY5&gt;=HB$12,GY5&lt;&gt;""),AND(HT5&gt;=HW$12,HT5&lt;&gt;""),AND(IO5&gt;=IR$12,IO5&lt;&gt;""),AND(JJ5&gt;=JM$12,JJ5&lt;&gt;""),AND(KE5&gt;=KH$12,KE5&lt;&gt;""),AND(KZ5&gt;=LC$12,KZ5&lt;&gt;""),AND(LU5&gt;=LX$12,LU5&lt;&gt;"")),"P","")</f>
        <v/>
      </c>
      <c r="H5" s="126" t="str">
        <f>IF(AND(G5="P",F5=""),"No DD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Merit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Excellence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Worlds Team",IF(OR(AND(AI5&gt;=AL$12,AI5&lt;&gt;"",AH5&gt;=AL$8,AH5&lt;&gt;"",AG5=""),AND(BE5&gt;=BH$12,BE5&lt;&gt;"",BD5&gt;=BH$8,BD5&lt;&gt;"",BC5=""),AND(CA5&gt;=CD$12,CA5&lt;&gt;"",BZ5&gt;=CD$8,BZ5&lt;&gt;"",BY5=""),AND(CX5&gt;=DA$12,CX5&lt;&gt;"",CW5&gt;=DA$8,CW5&lt;&gt;""),AND(DS5&gt;=DV$12,DS5&lt;&gt;"",DR5&gt;=DV$8,DR5&lt;&gt;""),AND(EN5&gt;=EQ$12,EN5&lt;&gt;"",EM5&gt;=EQ$8,EM5&lt;&gt;""),AND(FI5&gt;=FL$12,FI5&lt;&gt;"",FH5&gt;=FL$8,FH5&lt;&gt;""),AND(GD5&gt;=GG$12,GD5&lt;&gt;"",GC5&gt;=GG$8,GC5&lt;&gt;""),AND(GY5&gt;=HB$12,GY5&lt;&gt;"",GX5&gt;=HB$8,GX5&lt;&gt;""),AND(HT5&gt;=HW$12,HT5&lt;&gt;"",HS5&gt;=HW$8,HS5&lt;&gt;""),AND(IO5&gt;=IR$12,IO5&lt;&gt;"",IN5&gt;=IR$8,IN5&lt;&gt;""),AND(JJ5&gt;=JM$12,JJ5&lt;&gt;"",JI5&gt;=JM$8,JI5&lt;&gt;""),AND(KE5&gt;=KH$12,KE5&lt;&gt;"",KD5&gt;=KH$8,KD5&lt;&gt;""),AND(KZ5&gt;=LC$12,KZ5&lt;&gt;"",KY5&gt;=LC$8,KY5&lt;&gt;""),AND(LU5&gt;=LX$12,LU5&lt;&gt;"",LT5&gt;=LX$8,LT5&lt;&gt;"")),"National Team","")))))</f>
        <v/>
      </c>
      <c r="I5" s="3" t="str">
        <f>IF(OR(H5="Worlds Team",H5="Excellence",H5="Merit"),"P","")</f>
        <v/>
      </c>
      <c r="J5" s="14">
        <f>MAX(AI5,BE5,CA5)</f>
        <v>61.5</v>
      </c>
      <c r="K5" s="14" t="str">
        <f>IF(J5=0,"",IF(J5=CA5,$BI$1,IF(J5=BE5,$AM$1,IF(J5=AI5,$Q$1,""))))</f>
        <v>2021 2nd Virtual Technical Trial</v>
      </c>
      <c r="L5" s="14">
        <f>MAX(AK5,BG5,CC5)</f>
        <v>61.1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25.3</v>
      </c>
      <c r="R5" s="45">
        <v>5.8</v>
      </c>
      <c r="S5" s="45">
        <v>0</v>
      </c>
      <c r="T5" s="45">
        <v>0</v>
      </c>
      <c r="U5" s="45">
        <v>24.5</v>
      </c>
      <c r="V5" s="45">
        <v>5.9</v>
      </c>
      <c r="W5" s="45">
        <v>0</v>
      </c>
      <c r="X5" s="45">
        <v>0</v>
      </c>
      <c r="Y5" s="45">
        <v>25.1</v>
      </c>
      <c r="Z5" s="45">
        <v>5.8</v>
      </c>
      <c r="AA5" s="45">
        <v>0</v>
      </c>
      <c r="AB5" s="45">
        <v>0</v>
      </c>
      <c r="AC5" s="45">
        <v>24.3</v>
      </c>
      <c r="AD5" s="45">
        <v>5.9</v>
      </c>
      <c r="AE5" s="45">
        <v>0</v>
      </c>
      <c r="AF5" s="45">
        <v>0</v>
      </c>
      <c r="AG5" s="80"/>
      <c r="AH5" s="11">
        <f>IF(SUM(R5,V5)&gt;0,SUM(R5,V5),"")</f>
        <v>11.7</v>
      </c>
      <c r="AI5" s="11">
        <f>IF(SUM(Q5:R5,T5:V5,X5)-S5-W5&gt;0,SUM(Q5:R5,T5:V5,X5)-S5-W5,"")</f>
        <v>61.5</v>
      </c>
      <c r="AJ5" s="11">
        <f>IF(SUM(Z5,AD5)&gt;0,SUM(Z5,AD5),"")</f>
        <v>11.7</v>
      </c>
      <c r="AK5" s="11">
        <f>IF(SUM(Y5:Z5,AB5:AD5,AF5)-SUM(AA5,AE5)&gt;0,SUM(Y5:Z5,AB5:AD5,AF5)-SUM(AA5,AE5),"")</f>
        <v>61.1</v>
      </c>
      <c r="AL5" s="11">
        <f>IF(SUM(AI5,AK5)&gt;0,SUM(AI5,AK5),"")</f>
        <v>122.6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0</v>
      </c>
      <c r="LZ5" s="69">
        <f>IF($BY5="P",BJ5,(BJ5+AN5)/2)</f>
        <v>0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0</v>
      </c>
      <c r="MD5" s="69">
        <f>IF($BY5="P",BN5,(BN5+AR5)/2)</f>
        <v>0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0</v>
      </c>
      <c r="MH5" s="69">
        <f>IF($BY5="P",BR5,(BR5+AV5)/2)</f>
        <v>0</v>
      </c>
      <c r="MI5" s="69">
        <f>IF($BY5="P",BS5,(BS5+AW5)/2)</f>
        <v>0</v>
      </c>
      <c r="MJ5" s="69">
        <f>IF($BY5="P",BT5,(BT5+AX5)/2)</f>
        <v>0</v>
      </c>
      <c r="MK5" s="69">
        <f>IF($BY5="P",BU5,(BU5+AY5)/2)</f>
        <v>0</v>
      </c>
      <c r="ML5" s="69">
        <f>IF($BY5="P",BV5,(BV5+AZ5)/2)</f>
        <v>0</v>
      </c>
      <c r="MM5" s="69">
        <f>IF($BY5="P",BW5,(BW5+BA5)/2)</f>
        <v>0</v>
      </c>
      <c r="MN5" s="69">
        <f>IF($BY5="P",BX5,(BX5+BB5)/2)</f>
        <v>0</v>
      </c>
      <c r="MO5" s="80" t="s">
        <v>74</v>
      </c>
      <c r="MP5" s="11" t="str">
        <f>IF(SUM(LZ5,MD5)&gt;0,SUM(LZ5,MD5),"")</f>
        <v/>
      </c>
      <c r="MQ5" s="11" t="str">
        <f>IF(SUM(LY5:LZ5,MB5:MD5,MF5)-MA5-ME5&gt;0,SUM(LY5:LZ5,MB5:MD5,MF5)-MA5-ME5,"")</f>
        <v/>
      </c>
      <c r="MR5" s="11" t="str">
        <f>IF(SUM(MH5,ML5)&gt;0,SUM(MH5,ML5),"")</f>
        <v/>
      </c>
      <c r="MS5" s="11" t="str">
        <f>IF(SUM(MG5:MH5,MJ5:ML5,MN5)-SUM(MI5,MM5)&gt;0,SUM(MG5:MH5,MJ5:ML5,MN5)-SUM(MI5,MM5),"")</f>
        <v/>
      </c>
      <c r="MT5" s="11" t="str">
        <f>IF(SUM(MQ5,MS5)&gt;0,SUM(MQ5,MS5),"")</f>
        <v/>
      </c>
    </row>
    <row r="6" spans="1:358" x14ac:dyDescent="0.2">
      <c r="D6" s="1"/>
    </row>
    <row r="8" spans="1:358" x14ac:dyDescent="0.2">
      <c r="B8" s="70" t="s">
        <v>70</v>
      </c>
      <c r="AH8" s="56"/>
      <c r="AL8" s="64">
        <v>10.3</v>
      </c>
      <c r="BD8" s="56"/>
      <c r="BH8" s="64">
        <v>10.3</v>
      </c>
      <c r="BZ8" s="56"/>
      <c r="CD8" s="64">
        <v>10.3</v>
      </c>
      <c r="CW8" s="56"/>
      <c r="DA8" s="64">
        <v>10.3</v>
      </c>
      <c r="DR8" s="56"/>
      <c r="DV8" s="64">
        <v>10.3</v>
      </c>
      <c r="EM8" s="56"/>
      <c r="EQ8" s="64">
        <v>10.3</v>
      </c>
      <c r="FH8" s="56"/>
      <c r="FL8" s="64">
        <v>10.3</v>
      </c>
      <c r="GC8" s="56"/>
      <c r="GG8" s="64">
        <v>10.3</v>
      </c>
      <c r="GX8" s="56"/>
      <c r="HB8" s="64">
        <v>10.3</v>
      </c>
      <c r="HS8" s="56"/>
      <c r="HW8" s="64">
        <v>10.3</v>
      </c>
      <c r="IN8" s="56"/>
      <c r="IR8" s="64">
        <v>10.3</v>
      </c>
      <c r="JI8" s="56"/>
      <c r="JM8" s="64">
        <v>10.3</v>
      </c>
      <c r="KD8" s="56"/>
      <c r="KH8" s="64">
        <v>10.3</v>
      </c>
      <c r="KY8" s="56"/>
      <c r="LC8" s="64">
        <v>10.3</v>
      </c>
      <c r="LT8" s="56"/>
      <c r="LX8" s="64">
        <v>10.3</v>
      </c>
    </row>
    <row r="9" spans="1:358" x14ac:dyDescent="0.2">
      <c r="B9" s="91" t="s">
        <v>69</v>
      </c>
      <c r="AH9" s="56"/>
      <c r="AL9" s="93">
        <v>11</v>
      </c>
      <c r="BD9" s="56"/>
      <c r="BH9" s="93">
        <v>11</v>
      </c>
      <c r="BZ9" s="56"/>
      <c r="CD9" s="93">
        <v>11</v>
      </c>
      <c r="CW9" s="56"/>
      <c r="DA9" s="93">
        <v>11</v>
      </c>
      <c r="DR9" s="56"/>
      <c r="DV9" s="93">
        <v>11</v>
      </c>
      <c r="EM9" s="56"/>
      <c r="EQ9" s="93">
        <v>11</v>
      </c>
      <c r="FH9" s="56"/>
      <c r="FL9" s="93">
        <v>11</v>
      </c>
      <c r="GC9" s="56"/>
      <c r="GG9" s="93">
        <v>11</v>
      </c>
      <c r="GX9" s="56"/>
      <c r="HB9" s="93">
        <v>11</v>
      </c>
      <c r="HS9" s="56"/>
      <c r="HW9" s="93">
        <v>11</v>
      </c>
      <c r="IN9" s="56"/>
      <c r="IR9" s="93">
        <v>11</v>
      </c>
      <c r="JI9" s="56"/>
      <c r="JM9" s="93">
        <v>11</v>
      </c>
      <c r="KD9" s="56"/>
      <c r="KH9" s="93">
        <v>11</v>
      </c>
      <c r="KY9" s="56"/>
      <c r="LC9" s="93">
        <v>11</v>
      </c>
      <c r="LT9" s="56"/>
      <c r="LX9" s="93">
        <v>11</v>
      </c>
    </row>
    <row r="10" spans="1:358" x14ac:dyDescent="0.2">
      <c r="A10" s="56"/>
      <c r="B10" s="92" t="s">
        <v>86</v>
      </c>
      <c r="C10" s="55"/>
      <c r="AH10" s="56"/>
      <c r="AL10" s="94">
        <v>12.7</v>
      </c>
      <c r="BD10" s="56"/>
      <c r="BH10" s="94">
        <v>12.7</v>
      </c>
      <c r="BZ10" s="56"/>
      <c r="CD10" s="94">
        <v>12.7</v>
      </c>
      <c r="CW10" s="56"/>
      <c r="DA10" s="94">
        <v>12.7</v>
      </c>
      <c r="DR10" s="56"/>
      <c r="DV10" s="94">
        <v>12.7</v>
      </c>
      <c r="EM10" s="56"/>
      <c r="EQ10" s="94">
        <v>12.7</v>
      </c>
      <c r="FH10" s="56"/>
      <c r="FL10" s="94">
        <v>12.7</v>
      </c>
      <c r="GC10" s="56"/>
      <c r="GG10" s="94">
        <v>12.7</v>
      </c>
      <c r="GX10" s="56"/>
      <c r="HB10" s="94">
        <v>12.7</v>
      </c>
      <c r="HS10" s="56"/>
      <c r="HW10" s="94">
        <v>12.7</v>
      </c>
      <c r="IN10" s="56"/>
      <c r="IR10" s="94">
        <v>12.7</v>
      </c>
      <c r="JI10" s="56"/>
      <c r="JM10" s="94">
        <v>12.7</v>
      </c>
      <c r="KD10" s="56"/>
      <c r="KH10" s="94">
        <v>12.7</v>
      </c>
      <c r="KY10" s="56"/>
      <c r="LC10" s="94">
        <v>12.7</v>
      </c>
      <c r="LT10" s="56"/>
      <c r="LX10" s="94">
        <v>12.7</v>
      </c>
    </row>
    <row r="11" spans="1:358" x14ac:dyDescent="0.2">
      <c r="A11" s="56"/>
      <c r="B11" s="120" t="s">
        <v>102</v>
      </c>
      <c r="C11" s="55"/>
      <c r="AH11" s="56"/>
      <c r="AL11" s="121">
        <v>15.2</v>
      </c>
      <c r="BD11" s="56"/>
      <c r="BH11" s="121">
        <v>15.2</v>
      </c>
      <c r="BZ11" s="56"/>
      <c r="CD11" s="121">
        <v>15.2</v>
      </c>
      <c r="CW11" s="56"/>
      <c r="DA11" s="121">
        <v>15.2</v>
      </c>
      <c r="DR11" s="56"/>
      <c r="DV11" s="121">
        <v>15.2</v>
      </c>
      <c r="EM11" s="56"/>
      <c r="EQ11" s="121">
        <v>15.2</v>
      </c>
      <c r="FH11" s="56"/>
      <c r="FL11" s="121">
        <v>15.2</v>
      </c>
      <c r="GC11" s="56"/>
      <c r="GG11" s="121">
        <v>15.2</v>
      </c>
      <c r="GX11" s="56"/>
      <c r="HB11" s="121">
        <v>15.2</v>
      </c>
      <c r="HS11" s="56"/>
      <c r="HW11" s="121">
        <v>15.2</v>
      </c>
      <c r="IN11" s="56"/>
      <c r="IR11" s="121">
        <v>15.2</v>
      </c>
      <c r="JI11" s="56"/>
      <c r="JM11" s="121">
        <v>15.2</v>
      </c>
      <c r="KD11" s="56"/>
      <c r="KH11" s="121">
        <v>15.2</v>
      </c>
      <c r="KY11" s="56"/>
      <c r="LC11" s="121">
        <v>15.2</v>
      </c>
      <c r="LT11" s="56"/>
      <c r="LX11" s="121">
        <v>15.2</v>
      </c>
    </row>
    <row r="12" spans="1:358" x14ac:dyDescent="0.2">
      <c r="A12" s="56"/>
      <c r="B12" s="118" t="s">
        <v>67</v>
      </c>
      <c r="C12" s="55"/>
      <c r="AH12" s="56"/>
      <c r="AL12" s="119">
        <v>62.8</v>
      </c>
      <c r="BD12" s="56"/>
      <c r="BH12" s="119">
        <v>62.8</v>
      </c>
      <c r="BZ12" s="56"/>
      <c r="CD12" s="119">
        <v>62.8</v>
      </c>
      <c r="CW12" s="56"/>
      <c r="DA12" s="119">
        <v>62.8</v>
      </c>
      <c r="DR12" s="56"/>
      <c r="DV12" s="119">
        <v>62.8</v>
      </c>
      <c r="EM12" s="56"/>
      <c r="EQ12" s="119">
        <v>62.8</v>
      </c>
      <c r="FH12" s="56"/>
      <c r="FL12" s="119">
        <v>62.8</v>
      </c>
      <c r="GC12" s="56"/>
      <c r="GG12" s="119">
        <v>62.8</v>
      </c>
      <c r="GX12" s="56"/>
      <c r="HB12" s="119">
        <v>62.8</v>
      </c>
      <c r="HS12" s="56"/>
      <c r="HW12" s="119">
        <v>62.8</v>
      </c>
      <c r="IN12" s="56"/>
      <c r="IR12" s="119">
        <v>62.8</v>
      </c>
      <c r="JI12" s="56"/>
      <c r="JM12" s="119">
        <v>62.8</v>
      </c>
      <c r="KD12" s="56"/>
      <c r="KH12" s="119">
        <v>62.8</v>
      </c>
      <c r="KY12" s="56"/>
      <c r="LC12" s="119">
        <v>62.8</v>
      </c>
      <c r="LT12" s="56"/>
      <c r="LX12" s="119">
        <v>62.8</v>
      </c>
    </row>
    <row r="13" spans="1:358" x14ac:dyDescent="0.2">
      <c r="A13" s="56"/>
      <c r="B13" s="72" t="s">
        <v>68</v>
      </c>
      <c r="C13" s="55"/>
      <c r="AH13" s="56"/>
      <c r="AL13" s="66">
        <v>65.599999999999994</v>
      </c>
      <c r="BD13" s="56"/>
      <c r="BH13" s="66">
        <v>65.599999999999994</v>
      </c>
      <c r="BZ13" s="56"/>
      <c r="CD13" s="66">
        <v>65.599999999999994</v>
      </c>
      <c r="CW13" s="56"/>
      <c r="DA13" s="66">
        <v>65.599999999999994</v>
      </c>
      <c r="DR13" s="56"/>
      <c r="DV13" s="66">
        <v>65.599999999999994</v>
      </c>
      <c r="EM13" s="56"/>
      <c r="EQ13" s="66">
        <v>65.599999999999994</v>
      </c>
      <c r="FH13" s="56"/>
      <c r="FL13" s="66">
        <v>65.599999999999994</v>
      </c>
      <c r="GC13" s="56"/>
      <c r="GG13" s="66">
        <v>65.599999999999994</v>
      </c>
      <c r="GX13" s="56"/>
      <c r="HB13" s="66">
        <v>65.599999999999994</v>
      </c>
      <c r="HS13" s="56"/>
      <c r="HW13" s="66">
        <v>65.599999999999994</v>
      </c>
      <c r="IN13" s="56"/>
      <c r="IR13" s="66">
        <v>65.599999999999994</v>
      </c>
      <c r="JI13" s="56"/>
      <c r="JM13" s="66">
        <v>65.599999999999994</v>
      </c>
      <c r="KD13" s="56"/>
      <c r="KH13" s="66">
        <v>65.599999999999994</v>
      </c>
      <c r="KY13" s="56"/>
      <c r="LC13" s="66">
        <v>65.599999999999994</v>
      </c>
      <c r="LT13" s="56"/>
      <c r="LX13" s="66">
        <v>65.599999999999994</v>
      </c>
    </row>
    <row r="14" spans="1:358" x14ac:dyDescent="0.2">
      <c r="A14" s="56"/>
      <c r="B14" s="116" t="s">
        <v>84</v>
      </c>
      <c r="C14" s="55"/>
      <c r="AH14" s="56"/>
      <c r="AL14" s="117">
        <v>67.900000000000006</v>
      </c>
      <c r="BD14" s="56"/>
      <c r="BH14" s="117">
        <v>67.900000000000006</v>
      </c>
      <c r="BZ14" s="56"/>
      <c r="CD14" s="117">
        <v>67.900000000000006</v>
      </c>
      <c r="CW14" s="56"/>
      <c r="DA14" s="117">
        <v>67.900000000000006</v>
      </c>
      <c r="DR14" s="56"/>
      <c r="DV14" s="117">
        <v>67.900000000000006</v>
      </c>
      <c r="EM14" s="56"/>
      <c r="EQ14" s="117">
        <v>67.900000000000006</v>
      </c>
      <c r="FH14" s="56"/>
      <c r="FL14" s="117">
        <v>67.900000000000006</v>
      </c>
      <c r="GC14" s="56"/>
      <c r="GG14" s="117">
        <v>67.900000000000006</v>
      </c>
      <c r="GX14" s="56"/>
      <c r="HB14" s="117">
        <v>67.900000000000006</v>
      </c>
      <c r="HS14" s="56"/>
      <c r="HW14" s="117">
        <v>67.900000000000006</v>
      </c>
      <c r="IN14" s="56"/>
      <c r="IR14" s="117">
        <v>67.900000000000006</v>
      </c>
      <c r="JI14" s="56"/>
      <c r="JM14" s="117">
        <v>67.900000000000006</v>
      </c>
      <c r="KD14" s="56"/>
      <c r="KH14" s="117">
        <v>67.900000000000006</v>
      </c>
      <c r="KY14" s="56"/>
      <c r="LC14" s="117">
        <v>67.900000000000006</v>
      </c>
      <c r="LT14" s="56"/>
      <c r="LX14" s="117">
        <v>67.900000000000006</v>
      </c>
    </row>
    <row r="15" spans="1:358" x14ac:dyDescent="0.2">
      <c r="A15" s="56"/>
      <c r="B15" s="74" t="s">
        <v>51</v>
      </c>
      <c r="C15" s="55"/>
      <c r="AH15" s="56"/>
      <c r="AL15" s="68">
        <v>71.599999999999994</v>
      </c>
      <c r="BD15" s="56"/>
      <c r="BH15" s="68">
        <v>71.599999999999994</v>
      </c>
      <c r="BZ15" s="56"/>
      <c r="CD15" s="68">
        <v>71.599999999999994</v>
      </c>
      <c r="CW15" s="56"/>
      <c r="DA15" s="68">
        <v>71.599999999999994</v>
      </c>
      <c r="DR15" s="56"/>
      <c r="DV15" s="68">
        <v>71.599999999999994</v>
      </c>
      <c r="EM15" s="56"/>
      <c r="EQ15" s="68">
        <v>71.599999999999994</v>
      </c>
      <c r="FH15" s="56"/>
      <c r="FL15" s="68">
        <v>71.599999999999994</v>
      </c>
      <c r="GC15" s="56"/>
      <c r="GG15" s="68">
        <v>71.599999999999994</v>
      </c>
      <c r="GX15" s="56"/>
      <c r="HB15" s="68">
        <v>71.599999999999994</v>
      </c>
      <c r="HS15" s="56"/>
      <c r="HW15" s="68">
        <v>71.599999999999994</v>
      </c>
      <c r="IN15" s="56"/>
      <c r="IR15" s="68">
        <v>71.599999999999994</v>
      </c>
      <c r="JI15" s="56"/>
      <c r="JM15" s="68">
        <v>71.599999999999994</v>
      </c>
      <c r="KD15" s="56"/>
      <c r="KH15" s="68">
        <v>71.599999999999994</v>
      </c>
      <c r="KY15" s="56"/>
      <c r="LC15" s="68">
        <v>71.599999999999994</v>
      </c>
      <c r="LT15" s="56"/>
      <c r="LX15" s="68">
        <v>71.599999999999994</v>
      </c>
    </row>
    <row r="16" spans="1:358" x14ac:dyDescent="0.2">
      <c r="B16" s="82" t="s">
        <v>75</v>
      </c>
      <c r="C16" s="2"/>
    </row>
    <row r="17" spans="1:16" x14ac:dyDescent="0.2">
      <c r="A17" s="56"/>
      <c r="B17" s="56"/>
      <c r="C17" s="55"/>
    </row>
    <row r="18" spans="1:16" ht="17" x14ac:dyDescent="0.2">
      <c r="A18" s="56"/>
      <c r="B18" s="56"/>
      <c r="C18" s="55"/>
      <c r="N18" s="19"/>
      <c r="O18" s="19"/>
      <c r="P18" s="19"/>
    </row>
    <row r="19" spans="1:16" ht="17" x14ac:dyDescent="0.2">
      <c r="A19" s="56"/>
      <c r="B19" s="56"/>
      <c r="C19" s="55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5">
      <sortCondition descending="1" ref="F1:F6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5">
    <cfRule type="expression" dxfId="105" priority="1" stopIfTrue="1">
      <formula>IF($AG4&lt;&gt;"",1,0)</formula>
    </cfRule>
  </conditionalFormatting>
  <conditionalFormatting sqref="AM4:BH5">
    <cfRule type="expression" dxfId="104" priority="2" stopIfTrue="1">
      <formula>IF($BC4&lt;&gt;"",1,0)</formula>
    </cfRule>
  </conditionalFormatting>
  <conditionalFormatting sqref="K1:K1048576 M1:M1048576">
    <cfRule type="expression" dxfId="103" priority="36231">
      <formula>IF(K1=$BI$1,1,0)</formula>
    </cfRule>
    <cfRule type="expression" dxfId="102" priority="36232">
      <formula>IF(K1=$AM$1,1,0)</formula>
    </cfRule>
    <cfRule type="expression" dxfId="101" priority="36233">
      <formula>IF(K1=$Q$1,1,0)</formula>
    </cfRule>
  </conditionalFormatting>
  <conditionalFormatting sqref="BI4:CD5">
    <cfRule type="expression" dxfId="100" priority="3" stopIfTrue="1">
      <formula>IF($AG4&lt;&gt;"",1,0)</formula>
    </cfRule>
  </conditionalFormatting>
  <conditionalFormatting sqref="A1:A1048576">
    <cfRule type="expression" dxfId="99" priority="38430">
      <formula>AND(G1="P",F1="")</formula>
    </cfRule>
  </conditionalFormatting>
  <conditionalFormatting sqref="H1:H1048576">
    <cfRule type="containsText" dxfId="98" priority="5" operator="containsText" text="No DD">
      <formula>NOT(ISERROR(SEARCH("No DD",H1)))</formula>
    </cfRule>
    <cfRule type="containsText" dxfId="97" priority="6" operator="containsText" text="Merit">
      <formula>NOT(ISERROR(SEARCH("Merit",H1)))</formula>
    </cfRule>
    <cfRule type="containsText" dxfId="96" priority="20" operator="containsText" text="Excellence">
      <formula>NOT(ISERROR(SEARCH("Excellence",H1)))</formula>
    </cfRule>
    <cfRule type="containsText" dxfId="95" priority="29" operator="containsText" text="Worlds Team">
      <formula>NOT(ISERROR(SEARCH("Worlds Team",H1)))</formula>
    </cfRule>
    <cfRule type="containsText" dxfId="94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93" priority="49615" operator="between">
      <formula>AL$11</formula>
      <formula>1000</formula>
    </cfRule>
    <cfRule type="cellIs" dxfId="92" priority="49616" operator="between">
      <formula>AL$10</formula>
      <formula>AL$11</formula>
    </cfRule>
    <cfRule type="cellIs" dxfId="91" priority="49617" operator="between">
      <formula>AL$9</formula>
      <formula>AL$10</formula>
    </cfRule>
    <cfRule type="cellIs" dxfId="90" priority="49618" operator="between">
      <formula>AL$8</formula>
      <formula>AL$9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89" priority="49795" operator="between">
      <formula>AL$15</formula>
      <formula>1000</formula>
    </cfRule>
    <cfRule type="cellIs" dxfId="88" priority="49796" operator="between">
      <formula>AL$14</formula>
      <formula>AL$15</formula>
    </cfRule>
    <cfRule type="cellIs" dxfId="87" priority="49797" operator="between">
      <formula>AL$13</formula>
      <formula>AL$14</formula>
    </cfRule>
    <cfRule type="cellIs" dxfId="86" priority="49798" operator="between">
      <formula>AL$12</formula>
      <formula>AL$13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 t="s">
        <v>146</v>
      </c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72</v>
      </c>
      <c r="C4" s="7" t="s">
        <v>3</v>
      </c>
      <c r="D4" s="27">
        <v>2000</v>
      </c>
      <c r="E4" s="15">
        <f>SUM(J4:N4)</f>
        <v>120.8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60.9</v>
      </c>
      <c r="K4" s="14" t="str">
        <f>IF(J4=0,"",IF(J4=CA4,$BI$1,IF(J4=BE4,$AM$1,IF(J4=AI4,$Q$1,""))))</f>
        <v>2021 2nd Virtual Technical Trial</v>
      </c>
      <c r="L4" s="14">
        <f>MAX(AK4,BG4,CC4)</f>
        <v>59.9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26.3</v>
      </c>
      <c r="R4" s="41">
        <v>3.6</v>
      </c>
      <c r="S4" s="41">
        <v>0</v>
      </c>
      <c r="T4" s="41">
        <v>0</v>
      </c>
      <c r="U4" s="41">
        <v>26.2</v>
      </c>
      <c r="V4" s="41">
        <v>4.5</v>
      </c>
      <c r="W4" s="41">
        <v>0</v>
      </c>
      <c r="X4" s="41">
        <v>0.3</v>
      </c>
      <c r="Y4" s="41">
        <v>26.7</v>
      </c>
      <c r="Z4" s="41">
        <v>3.2</v>
      </c>
      <c r="AA4" s="41">
        <v>0.4</v>
      </c>
      <c r="AB4" s="41">
        <v>0</v>
      </c>
      <c r="AC4" s="41">
        <v>25.6</v>
      </c>
      <c r="AD4" s="41">
        <v>4.5</v>
      </c>
      <c r="AE4" s="41">
        <v>0</v>
      </c>
      <c r="AF4" s="41">
        <v>0.3</v>
      </c>
      <c r="AG4" s="80"/>
      <c r="AH4" s="11">
        <f>IF(SUM(R4,V4)&gt;0,SUM(R4,V4),"")</f>
        <v>8.1</v>
      </c>
      <c r="AI4" s="11">
        <f>IF(SUM(Q4:R4,T4:V4,X4)-S4-W4&gt;0,SUM(Q4:R4,T4:V4,X4)-S4-W4,"")</f>
        <v>60.9</v>
      </c>
      <c r="AJ4" s="11">
        <f>IF(SUM(Z4,AD4)&gt;0,SUM(Z4,AD4),"")</f>
        <v>7.7</v>
      </c>
      <c r="AK4" s="11">
        <f>IF(SUM(Y4:Z4,AB4:AD4,AF4)-SUM(AA4,AE4)&gt;0,SUM(Y4:Z4,AB4:AD4,AF4)-SUM(AA4,AE4),"")</f>
        <v>59.9</v>
      </c>
      <c r="AL4" s="11">
        <f>IF(SUM(AI4,AK4)&gt;0,SUM(AI4,AK4),"")</f>
        <v>120.8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0</v>
      </c>
      <c r="LZ4" s="69">
        <f>IF($BY4="P",BJ4,(BJ4+AN4)/2)</f>
        <v>0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0</v>
      </c>
      <c r="MD4" s="69">
        <f>IF($BY4="P",BN4,(BN4+AR4)/2)</f>
        <v>0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0</v>
      </c>
      <c r="MH4" s="69">
        <f>IF($BY4="P",BR4,(BR4+AV4)/2)</f>
        <v>0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0</v>
      </c>
      <c r="ML4" s="69">
        <f>IF($BY4="P",BV4,(BV4+AZ4)/2)</f>
        <v>0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 t="str">
        <f>IF(AND(F5="P",G5="P"),SUMPRODUCT((F$4:F$8="P")*(G$4:G$8="P")*(E$4:E$8&gt;E5))+1,IF(G5="P",SUMPRODUCT((F$4:F$8="")*(G$4:G$8="P")*(E$4:E$8&gt;E5))+1+SUMPRODUCT((F$4:F$8="P")*(G$4:G$8="P")),""))</f>
        <v/>
      </c>
      <c r="B5" s="6" t="s">
        <v>142</v>
      </c>
      <c r="C5" s="7" t="s">
        <v>3</v>
      </c>
      <c r="D5" s="27">
        <v>2003</v>
      </c>
      <c r="E5" s="15">
        <f>SUM(J5:N5)</f>
        <v>120.69999999999999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/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/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/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25.4</v>
      </c>
      <c r="AN5" s="38">
        <v>4.0999999999999996</v>
      </c>
      <c r="AO5" s="38">
        <v>0.3</v>
      </c>
      <c r="AP5" s="38">
        <v>0.3</v>
      </c>
      <c r="AQ5" s="38">
        <v>25.3</v>
      </c>
      <c r="AR5" s="38">
        <v>3.9</v>
      </c>
      <c r="AS5" s="38">
        <v>0</v>
      </c>
      <c r="AT5" s="38">
        <v>0.3</v>
      </c>
      <c r="AU5" s="38">
        <v>25.7</v>
      </c>
      <c r="AV5" s="38">
        <v>4.0999999999999996</v>
      </c>
      <c r="AW5" s="38">
        <v>0.3</v>
      </c>
      <c r="AX5" s="38">
        <v>0.3</v>
      </c>
      <c r="AY5" s="38">
        <v>25.1</v>
      </c>
      <c r="AZ5" s="38">
        <v>3.9</v>
      </c>
      <c r="BA5" s="38">
        <v>0.3</v>
      </c>
      <c r="BB5" s="38">
        <v>0.3</v>
      </c>
      <c r="BC5" s="81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41">
        <v>25.5</v>
      </c>
      <c r="BJ5" s="41">
        <v>3.9</v>
      </c>
      <c r="BK5" s="41">
        <v>0</v>
      </c>
      <c r="BL5" s="41">
        <v>0.3</v>
      </c>
      <c r="BM5" s="41">
        <v>25.9</v>
      </c>
      <c r="BN5" s="41">
        <v>4.0999999999999996</v>
      </c>
      <c r="BO5" s="41">
        <v>0</v>
      </c>
      <c r="BP5" s="41">
        <v>0.3</v>
      </c>
      <c r="BQ5" s="41">
        <v>26.1</v>
      </c>
      <c r="BR5" s="41">
        <v>3.9</v>
      </c>
      <c r="BS5" s="41">
        <v>0</v>
      </c>
      <c r="BT5" s="41">
        <v>0.3</v>
      </c>
      <c r="BU5" s="41">
        <v>26</v>
      </c>
      <c r="BV5" s="41">
        <v>4.0999999999999996</v>
      </c>
      <c r="BW5" s="41">
        <v>0</v>
      </c>
      <c r="BX5" s="41">
        <v>0.3</v>
      </c>
      <c r="BY5" s="80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>
        <v>26</v>
      </c>
      <c r="CH5" s="37">
        <v>4.3</v>
      </c>
      <c r="CI5" s="37">
        <v>0</v>
      </c>
      <c r="CJ5" s="37">
        <v>0</v>
      </c>
      <c r="CK5" s="37">
        <v>25.1</v>
      </c>
      <c r="CL5" s="37">
        <v>4.5</v>
      </c>
      <c r="CM5" s="37">
        <v>0</v>
      </c>
      <c r="CN5" s="37">
        <v>0</v>
      </c>
      <c r="CO5" s="37"/>
      <c r="CP5" s="37"/>
      <c r="CQ5" s="37"/>
      <c r="CR5" s="37"/>
      <c r="CS5" s="37"/>
      <c r="CT5" s="37"/>
      <c r="CU5" s="37"/>
      <c r="CV5" s="37"/>
      <c r="CW5" s="11">
        <f>IF(SUM(CH5,CL5)&gt;0,SUM(CH5,CL5),"")</f>
        <v>8.8000000000000007</v>
      </c>
      <c r="CX5" s="11">
        <f>IF(SUM(CG5:CH5,CJ5:CL5,CN5)-CI5-CM5&gt;0,SUM(CG5:CH5,CJ5:CL5,CN5)-CI5-CM5,"")</f>
        <v>59.900000000000006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59.900000000000006</v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25.45</v>
      </c>
      <c r="LZ5" s="69">
        <f>IF($BY5="P",BJ5,(BJ5+AN5)/2)</f>
        <v>4</v>
      </c>
      <c r="MA5" s="69">
        <f>IF($BY5="P",BK5,(BK5+AO5)/2)</f>
        <v>0.15</v>
      </c>
      <c r="MB5" s="69">
        <f>IF($BY5="P",BL5,(BL5+AP5)/2)</f>
        <v>0.3</v>
      </c>
      <c r="MC5" s="69">
        <f>IF($BY5="P",BM5,(BM5+AQ5)/2)</f>
        <v>25.6</v>
      </c>
      <c r="MD5" s="69">
        <f>IF($BY5="P",BN5,(BN5+AR5)/2)</f>
        <v>4</v>
      </c>
      <c r="ME5" s="69">
        <f>IF($BY5="P",BO5,(BO5+AS5)/2)</f>
        <v>0</v>
      </c>
      <c r="MF5" s="69">
        <f>IF($BY5="P",BP5,(BP5+AT5)/2)</f>
        <v>0.3</v>
      </c>
      <c r="MG5" s="69">
        <f>IF($BY5="P",BQ5,(BQ5+AU5)/2)</f>
        <v>25.9</v>
      </c>
      <c r="MH5" s="69">
        <f>IF($BY5="P",BR5,(BR5+AV5)/2)</f>
        <v>4</v>
      </c>
      <c r="MI5" s="69">
        <f>IF($BY5="P",BS5,(BS5+AW5)/2)</f>
        <v>0.15</v>
      </c>
      <c r="MJ5" s="69">
        <f>IF($BY5="P",BT5,(BT5+AX5)/2)</f>
        <v>0.3</v>
      </c>
      <c r="MK5" s="69">
        <f>IF($BY5="P",BU5,(BU5+AY5)/2)</f>
        <v>25.55</v>
      </c>
      <c r="ML5" s="69">
        <f>IF($BY5="P",BV5,(BV5+AZ5)/2)</f>
        <v>4</v>
      </c>
      <c r="MM5" s="69">
        <f>IF($BY5="P",BW5,(BW5+BA5)/2)</f>
        <v>0.15</v>
      </c>
      <c r="MN5" s="69">
        <f>IF($BY5="P",BX5,(BX5+BB5)/2)</f>
        <v>0.3</v>
      </c>
      <c r="MO5" s="80" t="s">
        <v>74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100</v>
      </c>
      <c r="C6" s="7" t="s">
        <v>3</v>
      </c>
      <c r="D6" s="27">
        <v>2003</v>
      </c>
      <c r="E6" s="15">
        <f>SUM(J6:N6)</f>
        <v>117.9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/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/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/>
      </c>
      <c r="I6" s="3" t="str">
        <f>IF(OR(H6="Worlds Team",H6="Excellence",H6="Merit"),"P","")</f>
        <v/>
      </c>
      <c r="J6" s="14">
        <f>MAX(AI6,BE6,CA6)</f>
        <v>58.7</v>
      </c>
      <c r="K6" s="14" t="str">
        <f>IF(J6=0,"",IF(J6=CA6,$BI$1,IF(J6=BE6,$AM$1,IF(J6=AI6,$Q$1,""))))</f>
        <v>2021 Canadian Championships</v>
      </c>
      <c r="L6" s="14">
        <f>MAX(AK6,BG6,CC6)</f>
        <v>59.199999999999996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26</v>
      </c>
      <c r="R6" s="41">
        <v>3.6</v>
      </c>
      <c r="S6" s="41">
        <v>0</v>
      </c>
      <c r="T6" s="41">
        <v>0</v>
      </c>
      <c r="U6" s="41">
        <v>24.2</v>
      </c>
      <c r="V6" s="41">
        <v>4.5</v>
      </c>
      <c r="W6" s="41">
        <v>0</v>
      </c>
      <c r="X6" s="41">
        <v>0.3</v>
      </c>
      <c r="Y6" s="41">
        <v>25.6</v>
      </c>
      <c r="Z6" s="41">
        <v>3.6</v>
      </c>
      <c r="AA6" s="41">
        <v>0</v>
      </c>
      <c r="AB6" s="41">
        <v>0</v>
      </c>
      <c r="AC6" s="41">
        <v>24.4</v>
      </c>
      <c r="AD6" s="41">
        <v>4.3</v>
      </c>
      <c r="AE6" s="41">
        <v>0</v>
      </c>
      <c r="AF6" s="41">
        <v>0.3</v>
      </c>
      <c r="AG6" s="80"/>
      <c r="AH6" s="11">
        <f>IF(SUM(R6,V6)&gt;0,SUM(R6,V6),"")</f>
        <v>8.1</v>
      </c>
      <c r="AI6" s="11">
        <f>IF(SUM(Q6:R6,T6:V6,X6)-S6-W6&gt;0,SUM(Q6:R6,T6:V6,X6)-S6-W6,"")</f>
        <v>58.599999999999994</v>
      </c>
      <c r="AJ6" s="11">
        <f>IF(SUM(Z6,AD6)&gt;0,SUM(Z6,AD6),"")</f>
        <v>7.9</v>
      </c>
      <c r="AK6" s="11">
        <f>IF(SUM(Y6:Z6,AB6:AD6,AF6)-SUM(AA6,AE6)&gt;0,SUM(Y6:Z6,AB6:AD6,AF6)-SUM(AA6,AE6),"")</f>
        <v>58.199999999999996</v>
      </c>
      <c r="AL6" s="11">
        <f>IF(SUM(AI6,AK6)&gt;0,SUM(AI6,AK6),"")</f>
        <v>116.79999999999998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>
        <v>25.5</v>
      </c>
      <c r="BJ6" s="41">
        <v>3.6</v>
      </c>
      <c r="BK6" s="41">
        <v>0.3</v>
      </c>
      <c r="BL6" s="41">
        <v>0</v>
      </c>
      <c r="BM6" s="41">
        <v>25.4</v>
      </c>
      <c r="BN6" s="41">
        <v>4.5</v>
      </c>
      <c r="BO6" s="41">
        <v>0.3</v>
      </c>
      <c r="BP6" s="41">
        <v>0.3</v>
      </c>
      <c r="BQ6" s="41">
        <v>26.3</v>
      </c>
      <c r="BR6" s="41">
        <v>3.6</v>
      </c>
      <c r="BS6" s="41">
        <v>0.3</v>
      </c>
      <c r="BT6" s="41">
        <v>0</v>
      </c>
      <c r="BU6" s="41">
        <v>25.1</v>
      </c>
      <c r="BV6" s="41">
        <v>4.5</v>
      </c>
      <c r="BW6" s="41">
        <v>0.3</v>
      </c>
      <c r="BX6" s="41">
        <v>0.3</v>
      </c>
      <c r="BY6" s="80"/>
      <c r="BZ6" s="11">
        <f>IF(SUM(BJ6,BN6)&gt;0,SUM(BJ6,BN6),"")</f>
        <v>8.1</v>
      </c>
      <c r="CA6" s="11">
        <f>IF(SUM(BI6:BJ6,BL6:BN6,BP6)-BK6-BO6&gt;0,SUM(BI6:BJ6,BL6:BN6,BP6)-BK6-BO6,"")</f>
        <v>58.7</v>
      </c>
      <c r="CB6" s="11">
        <f>IF(SUM(BR6,BV6)&gt;0,SUM(BR6,BV6),"")</f>
        <v>8.1</v>
      </c>
      <c r="CC6" s="11">
        <f>IF(SUM(BQ6:BR6,BT6:BV6,BX6)-SUM(BS6,BW6)&gt;0,SUM(BQ6:BR6,BT6:BV6,BX6)-SUM(BS6,BW6),"")</f>
        <v>59.199999999999996</v>
      </c>
      <c r="CD6" s="11">
        <f>IF(SUM(CA6,CC6)&gt;0,SUM(CA6,CC6),"")</f>
        <v>117.9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12.75</v>
      </c>
      <c r="LZ6" s="69">
        <f>IF($BY6="P",BJ6,(BJ6+AN6)/2)</f>
        <v>1.8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12.7</v>
      </c>
      <c r="MD6" s="69">
        <f>IF($BY6="P",BN6,(BN6+AR6)/2)</f>
        <v>2.25</v>
      </c>
      <c r="ME6" s="69">
        <f>IF($BY6="P",BO6,(BO6+AS6)/2)</f>
        <v>0.15</v>
      </c>
      <c r="MF6" s="69">
        <f>IF($BY6="P",BP6,(BP6+AT6)/2)</f>
        <v>0.15</v>
      </c>
      <c r="MG6" s="69">
        <f>IF($BY6="P",BQ6,(BQ6+AU6)/2)</f>
        <v>13.15</v>
      </c>
      <c r="MH6" s="69">
        <f>IF($BY6="P",BR6,(BR6+AV6)/2)</f>
        <v>1.8</v>
      </c>
      <c r="MI6" s="69">
        <f>IF($BY6="P",BS6,(BS6+AW6)/2)</f>
        <v>0.15</v>
      </c>
      <c r="MJ6" s="69">
        <f>IF($BY6="P",BT6,(BT6+AX6)/2)</f>
        <v>0</v>
      </c>
      <c r="MK6" s="69">
        <f>IF($BY6="P",BU6,(BU6+AY6)/2)</f>
        <v>12.55</v>
      </c>
      <c r="ML6" s="69">
        <f>IF($BY6="P",BV6,(BV6+AZ6)/2)</f>
        <v>2.25</v>
      </c>
      <c r="MM6" s="69">
        <f>IF($BY6="P",BW6,(BW6+BA6)/2)</f>
        <v>0.15</v>
      </c>
      <c r="MN6" s="69">
        <f>IF($BY6="P",BX6,(BX6+BB6)/2)</f>
        <v>0.15</v>
      </c>
      <c r="MO6" s="80" t="s">
        <v>74</v>
      </c>
      <c r="MP6" s="11">
        <f>IF(SUM(LZ6,MD6)&gt;0,SUM(LZ6,MD6),"")</f>
        <v>4.05</v>
      </c>
      <c r="MQ6" s="11">
        <f>IF(SUM(LY6:LZ6,MB6:MD6,MF6)-MA6-ME6&gt;0,SUM(LY6:LZ6,MB6:MD6,MF6)-MA6-ME6,"")</f>
        <v>29.35</v>
      </c>
      <c r="MR6" s="11">
        <f>IF(SUM(MH6,ML6)&gt;0,SUM(MH6,ML6),"")</f>
        <v>4.05</v>
      </c>
      <c r="MS6" s="11">
        <f>IF(SUM(MG6:MH6,MJ6:ML6,MN6)-SUM(MI6,MM6)&gt;0,SUM(MG6:MH6,MJ6:ML6,MN6)-SUM(MI6,MM6),"")</f>
        <v>29.599999999999998</v>
      </c>
      <c r="MT6" s="11">
        <f>IF(SUM(MQ6,MS6)&gt;0,SUM(MQ6,MS6),"")</f>
        <v>58.95</v>
      </c>
    </row>
    <row r="7" spans="1:358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131</v>
      </c>
      <c r="C7" s="7" t="s">
        <v>3</v>
      </c>
      <c r="D7" s="27">
        <v>2004</v>
      </c>
      <c r="E7" s="15">
        <f>SUM(J7:N7)</f>
        <v>115.6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/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/>
      </c>
      <c r="I7" s="3" t="str">
        <f>IF(OR(H7="Worlds Team",H7="Excellence",H7="Merit"),"P","")</f>
        <v/>
      </c>
      <c r="J7" s="14">
        <f>MAX(AI7,BE7,CA7)</f>
        <v>57.699999999999996</v>
      </c>
      <c r="K7" s="14" t="str">
        <f>IF(J7=0,"",IF(J7=CA7,$BI$1,IF(J7=BE7,$AM$1,IF(J7=AI7,$Q$1,""))))</f>
        <v>2021 2nd Virtual Technical Trial</v>
      </c>
      <c r="L7" s="14">
        <f>MAX(AK7,BG7,CC7)</f>
        <v>57.9</v>
      </c>
      <c r="M7" s="14" t="str">
        <f>IF(L7=0,"",IF(J7=CC7,$BI$1,IF(L7=BG7,$AM$1,IF(L7=AK7,$Q$1,""))))</f>
        <v>2021 2nd Virtual Technical Trial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25.6</v>
      </c>
      <c r="R7" s="41">
        <v>3.6</v>
      </c>
      <c r="S7" s="41">
        <v>0</v>
      </c>
      <c r="T7" s="41">
        <v>0</v>
      </c>
      <c r="U7" s="41">
        <v>23.9</v>
      </c>
      <c r="V7" s="41">
        <v>4.3</v>
      </c>
      <c r="W7" s="41">
        <v>0</v>
      </c>
      <c r="X7" s="41">
        <v>0.3</v>
      </c>
      <c r="Y7" s="41">
        <v>25.6</v>
      </c>
      <c r="Z7" s="41">
        <v>3.2</v>
      </c>
      <c r="AA7" s="41">
        <v>0.4</v>
      </c>
      <c r="AB7" s="41">
        <v>0</v>
      </c>
      <c r="AC7" s="41">
        <v>24.9</v>
      </c>
      <c r="AD7" s="41">
        <v>4.3</v>
      </c>
      <c r="AE7" s="41">
        <v>0</v>
      </c>
      <c r="AF7" s="41">
        <v>0.3</v>
      </c>
      <c r="AG7" s="80"/>
      <c r="AH7" s="11">
        <f>IF(SUM(R7,V7)&gt;0,SUM(R7,V7),"")</f>
        <v>7.9</v>
      </c>
      <c r="AI7" s="11">
        <f>IF(SUM(Q7:R7,T7:V7,X7)-S7-W7&gt;0,SUM(Q7:R7,T7:V7,X7)-S7-W7,"")</f>
        <v>57.699999999999996</v>
      </c>
      <c r="AJ7" s="11">
        <f>IF(SUM(Z7,AD7)&gt;0,SUM(Z7,AD7),"")</f>
        <v>7.5</v>
      </c>
      <c r="AK7" s="11">
        <f>IF(SUM(Y7:Z7,AB7:AD7,AF7)-SUM(AA7,AE7)&gt;0,SUM(Y7:Z7,AB7:AD7,AF7)-SUM(AA7,AE7),"")</f>
        <v>57.9</v>
      </c>
      <c r="AL7" s="11">
        <f>IF(SUM(AI7,AK7)&gt;0,SUM(AI7,AK7),"")</f>
        <v>115.6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80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0</v>
      </c>
      <c r="LZ7" s="69">
        <f>IF($BY7="P",BJ7,(BJ7+AN7)/2)</f>
        <v>0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0</v>
      </c>
      <c r="MD7" s="69">
        <f>IF($BY7="P",BN7,(BN7+AR7)/2)</f>
        <v>0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0</v>
      </c>
      <c r="MH7" s="69">
        <f>IF($BY7="P",BR7,(BR7+AV7)/2)</f>
        <v>0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 t="str">
        <f>IF(SUM(LZ7,MD7)&gt;0,SUM(LZ7,MD7),"")</f>
        <v/>
      </c>
      <c r="MQ7" s="11" t="str">
        <f>IF(SUM(LY7:LZ7,MB7:MD7,MF7)-MA7-ME7&gt;0,SUM(LY7:LZ7,MB7:MD7,MF7)-MA7-ME7,"")</f>
        <v/>
      </c>
      <c r="MR7" s="11" t="str">
        <f>IF(SUM(MH7,ML7)&gt;0,SUM(MH7,ML7),"")</f>
        <v/>
      </c>
      <c r="MS7" s="11" t="str">
        <f>IF(SUM(MG7:MH7,MJ7:ML7,MN7)-SUM(MI7,MM7)&gt;0,SUM(MG7:MH7,MJ7:ML7,MN7)-SUM(MI7,MM7),"")</f>
        <v/>
      </c>
      <c r="MT7" s="11" t="str">
        <f>IF(SUM(MQ7,MS7)&gt;0,SUM(MQ7,MS7),"")</f>
        <v/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70</v>
      </c>
      <c r="N10" s="19"/>
      <c r="O10" s="19"/>
      <c r="P10" s="19"/>
      <c r="AH10" s="56"/>
      <c r="AL10" s="64">
        <v>7.6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69</v>
      </c>
      <c r="N11" s="19"/>
      <c r="O11" s="19"/>
      <c r="P11" s="19"/>
      <c r="AH11" s="56"/>
      <c r="AL11" s="93">
        <v>7.9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86</v>
      </c>
      <c r="C12" s="55"/>
      <c r="N12" s="19"/>
      <c r="O12" s="19"/>
      <c r="P12" s="19"/>
      <c r="AH12" s="56"/>
      <c r="AL12" s="94">
        <v>10.6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102</v>
      </c>
      <c r="C13" s="55"/>
      <c r="N13" s="19"/>
      <c r="O13" s="19"/>
      <c r="P13" s="19"/>
      <c r="AH13" s="56"/>
      <c r="AL13" s="121">
        <v>11.2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67</v>
      </c>
      <c r="C14" s="55"/>
      <c r="N14" s="19"/>
      <c r="O14" s="19"/>
      <c r="P14" s="19"/>
      <c r="AH14" s="56"/>
      <c r="AL14" s="119">
        <v>60.4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68</v>
      </c>
      <c r="C15" s="55"/>
      <c r="N15" s="19"/>
      <c r="O15" s="19"/>
      <c r="P15" s="19"/>
      <c r="AH15" s="56"/>
      <c r="AL15" s="66">
        <v>61.6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84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51</v>
      </c>
      <c r="C17" s="55"/>
      <c r="N17" s="19"/>
      <c r="O17" s="19"/>
      <c r="P17" s="19"/>
      <c r="AH17" s="56"/>
      <c r="AL17" s="68">
        <v>64.900000000000006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75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7">
      <sortCondition descending="1" ref="F1:F8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7">
    <cfRule type="expression" dxfId="85" priority="1" stopIfTrue="1">
      <formula>IF($AG4&lt;&gt;"",1,0)</formula>
    </cfRule>
  </conditionalFormatting>
  <conditionalFormatting sqref="AM4:BH7">
    <cfRule type="expression" dxfId="84" priority="2" stopIfTrue="1">
      <formula>IF($BC4&lt;&gt;"",1,0)</formula>
    </cfRule>
  </conditionalFormatting>
  <conditionalFormatting sqref="M1:M1048576 K1:K1048576">
    <cfRule type="expression" dxfId="83" priority="36244">
      <formula>IF(K1=$BI$1,1,0)</formula>
    </cfRule>
    <cfRule type="expression" dxfId="82" priority="36245">
      <formula>IF(K1=$AM$1,1,0)</formula>
    </cfRule>
    <cfRule type="expression" dxfId="81" priority="36246">
      <formula>IF(K1=$Q$1,1,0)</formula>
    </cfRule>
  </conditionalFormatting>
  <conditionalFormatting sqref="BI4:CD7">
    <cfRule type="expression" dxfId="80" priority="3" stopIfTrue="1">
      <formula>IF($BY4&lt;&gt;"",1,0)</formula>
    </cfRule>
  </conditionalFormatting>
  <conditionalFormatting sqref="A1:A1048576">
    <cfRule type="expression" dxfId="79" priority="38431">
      <formula>AND(G1="P",F1="")</formula>
    </cfRule>
  </conditionalFormatting>
  <conditionalFormatting sqref="H1:H1048576">
    <cfRule type="containsText" dxfId="78" priority="5" operator="containsText" text="No DD">
      <formula>NOT(ISERROR(SEARCH("No DD",H1)))</formula>
    </cfRule>
    <cfRule type="containsText" dxfId="77" priority="6" operator="containsText" text="Merit">
      <formula>NOT(ISERROR(SEARCH("Merit",H1)))</formula>
    </cfRule>
    <cfRule type="containsText" dxfId="76" priority="14" operator="containsText" text="Excellence">
      <formula>NOT(ISERROR(SEARCH("Excellence",H1)))</formula>
    </cfRule>
    <cfRule type="containsText" dxfId="75" priority="15" operator="containsText" text="Worlds Team">
      <formula>NOT(ISERROR(SEARCH("Worlds Team",H1)))</formula>
    </cfRule>
    <cfRule type="containsText" dxfId="74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3" priority="49838" operator="between">
      <formula>AL$13</formula>
      <formula>1000</formula>
    </cfRule>
    <cfRule type="cellIs" dxfId="72" priority="49839" operator="between">
      <formula>AL$12</formula>
      <formula>AL$13</formula>
    </cfRule>
    <cfRule type="cellIs" dxfId="71" priority="49840" operator="between">
      <formula>AL$11</formula>
      <formula>AL$12</formula>
    </cfRule>
    <cfRule type="cellIs" dxfId="70" priority="49841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9" priority="50018" operator="between">
      <formula>AL$17</formula>
      <formula>1000</formula>
    </cfRule>
    <cfRule type="cellIs" dxfId="68" priority="50019" operator="between">
      <formula>AL$16</formula>
      <formula>AL$17</formula>
    </cfRule>
    <cfRule type="cellIs" dxfId="67" priority="50020" operator="between">
      <formula>AL$15</formula>
      <formula>AL$16</formula>
    </cfRule>
    <cfRule type="cellIs" dxfId="66" priority="5002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 t="s">
        <v>146</v>
      </c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87" t="s">
        <v>29</v>
      </c>
      <c r="AI2" s="9" t="s">
        <v>28</v>
      </c>
      <c r="AJ2" s="58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79"/>
      <c r="BD2" s="88" t="s">
        <v>29</v>
      </c>
      <c r="BE2" s="12" t="s">
        <v>28</v>
      </c>
      <c r="BF2" s="88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87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88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87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88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87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9" t="s">
        <v>29</v>
      </c>
      <c r="GY2" s="16" t="s">
        <v>28</v>
      </c>
      <c r="GZ2" s="89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90" t="s">
        <v>29</v>
      </c>
      <c r="HT2" s="17" t="s">
        <v>28</v>
      </c>
      <c r="HU2" s="90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9" t="s">
        <v>29</v>
      </c>
      <c r="IO2" s="16" t="s">
        <v>28</v>
      </c>
      <c r="IP2" s="89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90" t="s">
        <v>29</v>
      </c>
      <c r="JJ2" s="17" t="s">
        <v>28</v>
      </c>
      <c r="JK2" s="90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9" t="s">
        <v>29</v>
      </c>
      <c r="KE2" s="16" t="s">
        <v>28</v>
      </c>
      <c r="KF2" s="89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90" t="s">
        <v>29</v>
      </c>
      <c r="KZ2" s="17" t="s">
        <v>28</v>
      </c>
      <c r="LA2" s="90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9" t="s">
        <v>29</v>
      </c>
      <c r="LU2" s="16" t="s">
        <v>28</v>
      </c>
      <c r="LV2" s="89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10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62" t="s">
        <v>19</v>
      </c>
      <c r="AZ3" s="62" t="s">
        <v>11</v>
      </c>
      <c r="BA3" s="62" t="s">
        <v>40</v>
      </c>
      <c r="BB3" s="62" t="s">
        <v>41</v>
      </c>
      <c r="BC3" s="79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1" t="s">
        <v>19</v>
      </c>
      <c r="CT3" s="61" t="s">
        <v>11</v>
      </c>
      <c r="CU3" s="61" t="s">
        <v>40</v>
      </c>
      <c r="CV3" s="61" t="s">
        <v>41</v>
      </c>
      <c r="CW3" s="10"/>
      <c r="CX3" s="9"/>
      <c r="CY3" s="10"/>
      <c r="CZ3" s="10"/>
      <c r="DA3" s="10"/>
      <c r="DB3" s="62" t="s">
        <v>19</v>
      </c>
      <c r="DC3" s="62" t="s">
        <v>11</v>
      </c>
      <c r="DD3" s="62" t="s">
        <v>40</v>
      </c>
      <c r="DE3" s="62" t="s">
        <v>41</v>
      </c>
      <c r="DF3" s="62" t="s">
        <v>19</v>
      </c>
      <c r="DG3" s="62" t="s">
        <v>11</v>
      </c>
      <c r="DH3" s="62" t="s">
        <v>40</v>
      </c>
      <c r="DI3" s="62" t="s">
        <v>41</v>
      </c>
      <c r="DJ3" s="62" t="s">
        <v>19</v>
      </c>
      <c r="DK3" s="62" t="s">
        <v>11</v>
      </c>
      <c r="DL3" s="62" t="s">
        <v>40</v>
      </c>
      <c r="DM3" s="62" t="s">
        <v>41</v>
      </c>
      <c r="DN3" s="62" t="s">
        <v>19</v>
      </c>
      <c r="DO3" s="62" t="s">
        <v>11</v>
      </c>
      <c r="DP3" s="62" t="s">
        <v>40</v>
      </c>
      <c r="DQ3" s="62" t="s">
        <v>41</v>
      </c>
      <c r="DR3" s="13"/>
      <c r="DS3" s="16"/>
      <c r="DT3" s="13"/>
      <c r="DU3" s="16"/>
      <c r="DV3" s="16"/>
      <c r="DW3" s="61" t="s">
        <v>19</v>
      </c>
      <c r="DX3" s="61" t="s">
        <v>11</v>
      </c>
      <c r="DY3" s="61" t="s">
        <v>40</v>
      </c>
      <c r="DZ3" s="61" t="s">
        <v>41</v>
      </c>
      <c r="EA3" s="61" t="s">
        <v>19</v>
      </c>
      <c r="EB3" s="61" t="s">
        <v>11</v>
      </c>
      <c r="EC3" s="61" t="s">
        <v>40</v>
      </c>
      <c r="ED3" s="61" t="s">
        <v>41</v>
      </c>
      <c r="EE3" s="61" t="s">
        <v>19</v>
      </c>
      <c r="EF3" s="61" t="s">
        <v>11</v>
      </c>
      <c r="EG3" s="61" t="s">
        <v>40</v>
      </c>
      <c r="EH3" s="61" t="s">
        <v>41</v>
      </c>
      <c r="EI3" s="61" t="s">
        <v>19</v>
      </c>
      <c r="EJ3" s="61" t="s">
        <v>11</v>
      </c>
      <c r="EK3" s="61" t="s">
        <v>40</v>
      </c>
      <c r="EL3" s="61" t="s">
        <v>41</v>
      </c>
      <c r="EM3" s="10"/>
      <c r="EN3" s="17"/>
      <c r="EO3" s="10"/>
      <c r="EP3" s="17"/>
      <c r="EQ3" s="17"/>
      <c r="ER3" s="62" t="s">
        <v>19</v>
      </c>
      <c r="ES3" s="62" t="s">
        <v>11</v>
      </c>
      <c r="ET3" s="62" t="s">
        <v>40</v>
      </c>
      <c r="EU3" s="62" t="s">
        <v>41</v>
      </c>
      <c r="EV3" s="62" t="s">
        <v>19</v>
      </c>
      <c r="EW3" s="62" t="s">
        <v>11</v>
      </c>
      <c r="EX3" s="62" t="s">
        <v>40</v>
      </c>
      <c r="EY3" s="62" t="s">
        <v>41</v>
      </c>
      <c r="EZ3" s="62" t="s">
        <v>19</v>
      </c>
      <c r="FA3" s="62" t="s">
        <v>11</v>
      </c>
      <c r="FB3" s="62" t="s">
        <v>40</v>
      </c>
      <c r="FC3" s="62" t="s">
        <v>41</v>
      </c>
      <c r="FD3" s="62" t="s">
        <v>19</v>
      </c>
      <c r="FE3" s="62" t="s">
        <v>11</v>
      </c>
      <c r="FF3" s="62" t="s">
        <v>40</v>
      </c>
      <c r="FG3" s="62" t="s">
        <v>41</v>
      </c>
      <c r="FH3" s="13"/>
      <c r="FI3" s="16"/>
      <c r="FJ3" s="13"/>
      <c r="FK3" s="16"/>
      <c r="FL3" s="16"/>
      <c r="FM3" s="34" t="s">
        <v>19</v>
      </c>
      <c r="FN3" s="34" t="s">
        <v>11</v>
      </c>
      <c r="FO3" s="34" t="s">
        <v>40</v>
      </c>
      <c r="FP3" s="34" t="s">
        <v>41</v>
      </c>
      <c r="FQ3" s="34" t="s">
        <v>19</v>
      </c>
      <c r="FR3" s="34" t="s">
        <v>11</v>
      </c>
      <c r="FS3" s="34" t="s">
        <v>40</v>
      </c>
      <c r="FT3" s="34" t="s">
        <v>41</v>
      </c>
      <c r="FU3" s="34" t="s">
        <v>19</v>
      </c>
      <c r="FV3" s="34" t="s">
        <v>11</v>
      </c>
      <c r="FW3" s="34" t="s">
        <v>40</v>
      </c>
      <c r="FX3" s="34" t="s">
        <v>41</v>
      </c>
      <c r="FY3" s="34" t="s">
        <v>19</v>
      </c>
      <c r="FZ3" s="34" t="s">
        <v>11</v>
      </c>
      <c r="GA3" s="34" t="s">
        <v>40</v>
      </c>
      <c r="GB3" s="34" t="s">
        <v>41</v>
      </c>
      <c r="GC3" s="10"/>
      <c r="GD3" s="17"/>
      <c r="GE3" s="10"/>
      <c r="GF3" s="17"/>
      <c r="GG3" s="17"/>
      <c r="GH3" s="33" t="s">
        <v>19</v>
      </c>
      <c r="GI3" s="33" t="s">
        <v>11</v>
      </c>
      <c r="GJ3" s="33" t="s">
        <v>40</v>
      </c>
      <c r="GK3" s="33" t="s">
        <v>41</v>
      </c>
      <c r="GL3" s="33" t="s">
        <v>19</v>
      </c>
      <c r="GM3" s="33" t="s">
        <v>11</v>
      </c>
      <c r="GN3" s="33" t="s">
        <v>40</v>
      </c>
      <c r="GO3" s="33" t="s">
        <v>41</v>
      </c>
      <c r="GP3" s="33" t="s">
        <v>19</v>
      </c>
      <c r="GQ3" s="33" t="s">
        <v>11</v>
      </c>
      <c r="GR3" s="33" t="s">
        <v>40</v>
      </c>
      <c r="GS3" s="33" t="s">
        <v>41</v>
      </c>
      <c r="GT3" s="33" t="s">
        <v>19</v>
      </c>
      <c r="GU3" s="33" t="s">
        <v>11</v>
      </c>
      <c r="GV3" s="33" t="s">
        <v>40</v>
      </c>
      <c r="GW3" s="33" t="s">
        <v>41</v>
      </c>
      <c r="GX3" s="13"/>
      <c r="GY3" s="16"/>
      <c r="GZ3" s="13"/>
      <c r="HA3" s="16"/>
      <c r="HB3" s="16"/>
      <c r="HC3" s="34" t="s">
        <v>19</v>
      </c>
      <c r="HD3" s="34" t="s">
        <v>11</v>
      </c>
      <c r="HE3" s="34" t="s">
        <v>40</v>
      </c>
      <c r="HF3" s="34" t="s">
        <v>41</v>
      </c>
      <c r="HG3" s="34" t="s">
        <v>19</v>
      </c>
      <c r="HH3" s="34" t="s">
        <v>11</v>
      </c>
      <c r="HI3" s="34" t="s">
        <v>40</v>
      </c>
      <c r="HJ3" s="34" t="s">
        <v>41</v>
      </c>
      <c r="HK3" s="34" t="s">
        <v>19</v>
      </c>
      <c r="HL3" s="34" t="s">
        <v>11</v>
      </c>
      <c r="HM3" s="34" t="s">
        <v>40</v>
      </c>
      <c r="HN3" s="34" t="s">
        <v>41</v>
      </c>
      <c r="HO3" s="34" t="s">
        <v>19</v>
      </c>
      <c r="HP3" s="34" t="s">
        <v>11</v>
      </c>
      <c r="HQ3" s="34" t="s">
        <v>40</v>
      </c>
      <c r="HR3" s="34" t="s">
        <v>41</v>
      </c>
      <c r="HS3" s="10"/>
      <c r="HT3" s="17"/>
      <c r="HU3" s="10"/>
      <c r="HV3" s="17"/>
      <c r="HW3" s="17"/>
      <c r="HX3" s="33" t="s">
        <v>19</v>
      </c>
      <c r="HY3" s="33" t="s">
        <v>11</v>
      </c>
      <c r="HZ3" s="33" t="s">
        <v>40</v>
      </c>
      <c r="IA3" s="33" t="s">
        <v>41</v>
      </c>
      <c r="IB3" s="33" t="s">
        <v>19</v>
      </c>
      <c r="IC3" s="33" t="s">
        <v>11</v>
      </c>
      <c r="ID3" s="33" t="s">
        <v>40</v>
      </c>
      <c r="IE3" s="33" t="s">
        <v>41</v>
      </c>
      <c r="IF3" s="33" t="s">
        <v>19</v>
      </c>
      <c r="IG3" s="33" t="s">
        <v>11</v>
      </c>
      <c r="IH3" s="33" t="s">
        <v>40</v>
      </c>
      <c r="II3" s="33" t="s">
        <v>41</v>
      </c>
      <c r="IJ3" s="33" t="s">
        <v>19</v>
      </c>
      <c r="IK3" s="33" t="s">
        <v>11</v>
      </c>
      <c r="IL3" s="33" t="s">
        <v>40</v>
      </c>
      <c r="IM3" s="33" t="s">
        <v>41</v>
      </c>
      <c r="IN3" s="13"/>
      <c r="IO3" s="16"/>
      <c r="IP3" s="13"/>
      <c r="IQ3" s="16"/>
      <c r="IR3" s="16"/>
      <c r="IS3" s="34" t="s">
        <v>19</v>
      </c>
      <c r="IT3" s="34" t="s">
        <v>11</v>
      </c>
      <c r="IU3" s="34" t="s">
        <v>40</v>
      </c>
      <c r="IV3" s="34" t="s">
        <v>41</v>
      </c>
      <c r="IW3" s="34" t="s">
        <v>19</v>
      </c>
      <c r="IX3" s="34" t="s">
        <v>11</v>
      </c>
      <c r="IY3" s="34" t="s">
        <v>40</v>
      </c>
      <c r="IZ3" s="34" t="s">
        <v>41</v>
      </c>
      <c r="JA3" s="34" t="s">
        <v>19</v>
      </c>
      <c r="JB3" s="34" t="s">
        <v>11</v>
      </c>
      <c r="JC3" s="34" t="s">
        <v>40</v>
      </c>
      <c r="JD3" s="34" t="s">
        <v>41</v>
      </c>
      <c r="JE3" s="34" t="s">
        <v>19</v>
      </c>
      <c r="JF3" s="34" t="s">
        <v>11</v>
      </c>
      <c r="JG3" s="34" t="s">
        <v>40</v>
      </c>
      <c r="JH3" s="34" t="s">
        <v>41</v>
      </c>
      <c r="JI3" s="10"/>
      <c r="JJ3" s="17"/>
      <c r="JK3" s="10"/>
      <c r="JL3" s="17"/>
      <c r="JM3" s="17"/>
      <c r="JN3" s="33" t="s">
        <v>19</v>
      </c>
      <c r="JO3" s="33" t="s">
        <v>11</v>
      </c>
      <c r="JP3" s="33" t="s">
        <v>40</v>
      </c>
      <c r="JQ3" s="33" t="s">
        <v>41</v>
      </c>
      <c r="JR3" s="33" t="s">
        <v>19</v>
      </c>
      <c r="JS3" s="33" t="s">
        <v>11</v>
      </c>
      <c r="JT3" s="33" t="s">
        <v>40</v>
      </c>
      <c r="JU3" s="33" t="s">
        <v>41</v>
      </c>
      <c r="JV3" s="33" t="s">
        <v>19</v>
      </c>
      <c r="JW3" s="33" t="s">
        <v>11</v>
      </c>
      <c r="JX3" s="33" t="s">
        <v>40</v>
      </c>
      <c r="JY3" s="33" t="s">
        <v>41</v>
      </c>
      <c r="JZ3" s="33" t="s">
        <v>19</v>
      </c>
      <c r="KA3" s="33" t="s">
        <v>11</v>
      </c>
      <c r="KB3" s="33" t="s">
        <v>40</v>
      </c>
      <c r="KC3" s="33" t="s">
        <v>41</v>
      </c>
      <c r="KD3" s="13"/>
      <c r="KE3" s="16"/>
      <c r="KF3" s="13"/>
      <c r="KG3" s="16"/>
      <c r="KH3" s="16"/>
      <c r="KI3" s="34" t="s">
        <v>19</v>
      </c>
      <c r="KJ3" s="34" t="s">
        <v>11</v>
      </c>
      <c r="KK3" s="34" t="s">
        <v>40</v>
      </c>
      <c r="KL3" s="34" t="s">
        <v>41</v>
      </c>
      <c r="KM3" s="34" t="s">
        <v>19</v>
      </c>
      <c r="KN3" s="34" t="s">
        <v>11</v>
      </c>
      <c r="KO3" s="34" t="s">
        <v>40</v>
      </c>
      <c r="KP3" s="34" t="s">
        <v>41</v>
      </c>
      <c r="KQ3" s="34" t="s">
        <v>19</v>
      </c>
      <c r="KR3" s="34" t="s">
        <v>11</v>
      </c>
      <c r="KS3" s="34" t="s">
        <v>40</v>
      </c>
      <c r="KT3" s="34" t="s">
        <v>41</v>
      </c>
      <c r="KU3" s="34" t="s">
        <v>19</v>
      </c>
      <c r="KV3" s="34" t="s">
        <v>11</v>
      </c>
      <c r="KW3" s="34" t="s">
        <v>40</v>
      </c>
      <c r="KX3" s="34" t="s">
        <v>41</v>
      </c>
      <c r="KY3" s="10"/>
      <c r="KZ3" s="17"/>
      <c r="LA3" s="10"/>
      <c r="LB3" s="17"/>
      <c r="LC3" s="17"/>
      <c r="LD3" s="33" t="s">
        <v>19</v>
      </c>
      <c r="LE3" s="33" t="s">
        <v>11</v>
      </c>
      <c r="LF3" s="33" t="s">
        <v>40</v>
      </c>
      <c r="LG3" s="33" t="s">
        <v>41</v>
      </c>
      <c r="LH3" s="33" t="s">
        <v>19</v>
      </c>
      <c r="LI3" s="33" t="s">
        <v>11</v>
      </c>
      <c r="LJ3" s="33" t="s">
        <v>40</v>
      </c>
      <c r="LK3" s="33" t="s">
        <v>41</v>
      </c>
      <c r="LL3" s="33" t="s">
        <v>19</v>
      </c>
      <c r="LM3" s="33" t="s">
        <v>11</v>
      </c>
      <c r="LN3" s="33" t="s">
        <v>40</v>
      </c>
      <c r="LO3" s="33" t="s">
        <v>41</v>
      </c>
      <c r="LP3" s="33" t="s">
        <v>19</v>
      </c>
      <c r="LQ3" s="33" t="s">
        <v>11</v>
      </c>
      <c r="LR3" s="33" t="s">
        <v>40</v>
      </c>
      <c r="LS3" s="33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IF(AND(F4="P",G4="P"),SUMPRODUCT((F$4:F$16="P")*(G$4:G$16="P")*(E$4:E$16&gt;E4))+1,IF(G4="P",SUMPRODUCT((F$4:F$16="")*(G$4:G$16="P")*(E$4:E$16&gt;E4))+1+SUMPRODUCT((F$4:F$16="P")*(G$4:G$16="P")),""))</f>
        <v>1</v>
      </c>
      <c r="B4" s="8" t="s">
        <v>101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Merit</v>
      </c>
      <c r="I4" s="3" t="str">
        <f>IF(OR(H4="Worlds Team",H4="Excellence",H4="Merit"),"P","")</f>
        <v>P</v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9.1999999999999993</v>
      </c>
      <c r="S4" s="69">
        <v>1.2</v>
      </c>
      <c r="T4" s="69">
        <v>0.3</v>
      </c>
      <c r="U4" s="69">
        <v>27.8</v>
      </c>
      <c r="V4" s="69">
        <v>9.1999999999999993</v>
      </c>
      <c r="W4" s="69">
        <v>1.2</v>
      </c>
      <c r="X4" s="69">
        <v>0.3</v>
      </c>
      <c r="Y4" s="69">
        <v>25.6</v>
      </c>
      <c r="Z4" s="69">
        <v>8.1</v>
      </c>
      <c r="AA4" s="69">
        <v>0.3</v>
      </c>
      <c r="AB4" s="69">
        <v>0.3</v>
      </c>
      <c r="AC4" s="69">
        <v>27.7</v>
      </c>
      <c r="AD4" s="69">
        <v>8.1</v>
      </c>
      <c r="AE4" s="69">
        <v>0</v>
      </c>
      <c r="AF4" s="69">
        <v>0</v>
      </c>
      <c r="AG4" s="80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8">
        <v>28.4</v>
      </c>
      <c r="AN4" s="38">
        <v>9.1999999999999993</v>
      </c>
      <c r="AO4" s="38">
        <v>0</v>
      </c>
      <c r="AP4" s="38">
        <v>0.3</v>
      </c>
      <c r="AQ4" s="38">
        <v>28.6</v>
      </c>
      <c r="AR4" s="38">
        <v>9.1999999999999993</v>
      </c>
      <c r="AS4" s="38">
        <v>0</v>
      </c>
      <c r="AT4" s="38">
        <v>0.3</v>
      </c>
      <c r="AU4" s="38">
        <v>28.3</v>
      </c>
      <c r="AV4" s="38">
        <v>8.1</v>
      </c>
      <c r="AW4" s="38">
        <v>0</v>
      </c>
      <c r="AX4" s="38">
        <v>0.3</v>
      </c>
      <c r="AY4" s="38">
        <v>27.3</v>
      </c>
      <c r="AZ4" s="38">
        <v>6.4</v>
      </c>
      <c r="BA4" s="38">
        <v>0</v>
      </c>
      <c r="BB4" s="38">
        <v>0</v>
      </c>
      <c r="BC4" s="81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9">
        <v>28.9</v>
      </c>
      <c r="BJ4" s="69">
        <v>9.1999999999999993</v>
      </c>
      <c r="BK4" s="69">
        <v>0.3</v>
      </c>
      <c r="BL4" s="69">
        <v>0.3</v>
      </c>
      <c r="BM4" s="69">
        <v>28.9</v>
      </c>
      <c r="BN4" s="69">
        <v>9.1999999999999993</v>
      </c>
      <c r="BO4" s="69">
        <v>0</v>
      </c>
      <c r="BP4" s="69">
        <v>0.3</v>
      </c>
      <c r="BQ4" s="69">
        <v>20.5</v>
      </c>
      <c r="BR4" s="69">
        <v>2.8</v>
      </c>
      <c r="BS4" s="69">
        <v>0</v>
      </c>
      <c r="BT4" s="69">
        <v>0</v>
      </c>
      <c r="BU4" s="69">
        <v>20.7</v>
      </c>
      <c r="BV4" s="69">
        <v>3.6</v>
      </c>
      <c r="BW4" s="69">
        <v>0</v>
      </c>
      <c r="BX4" s="69">
        <v>0</v>
      </c>
      <c r="BY4" s="80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28.65</v>
      </c>
      <c r="LZ4" s="69">
        <f>IF($BY4="P",BJ4,(BJ4+AN4)/2)</f>
        <v>9.1999999999999993</v>
      </c>
      <c r="MA4" s="69">
        <f>IF($BY4="P",BK4,(BK4+AO4)/2)</f>
        <v>0.15</v>
      </c>
      <c r="MB4" s="69">
        <f>IF($BY4="P",BL4,(BL4+AP4)/2)</f>
        <v>0.3</v>
      </c>
      <c r="MC4" s="69">
        <f>IF($BY4="P",BM4,(BM4+AQ4)/2)</f>
        <v>28.75</v>
      </c>
      <c r="MD4" s="69">
        <f>IF($BY4="P",BN4,(BN4+AR4)/2)</f>
        <v>9.1999999999999993</v>
      </c>
      <c r="ME4" s="69">
        <f>IF($BY4="P",BO4,(BO4+AS4)/2)</f>
        <v>0</v>
      </c>
      <c r="MF4" s="69">
        <f>IF($BY4="P",BP4,(BP4+AT4)/2)</f>
        <v>0.3</v>
      </c>
      <c r="MG4" s="69">
        <f>IF($BY4="P",BQ4,(BQ4+AU4)/2)</f>
        <v>24.4</v>
      </c>
      <c r="MH4" s="69">
        <f>IF($BY4="P",BR4,(BR4+AV4)/2)</f>
        <v>5.4499999999999993</v>
      </c>
      <c r="MI4" s="69">
        <f>IF($BY4="P",BS4,(BS4+AW4)/2)</f>
        <v>0</v>
      </c>
      <c r="MJ4" s="69">
        <f>IF($BY4="P",BT4,(BT4+AX4)/2)</f>
        <v>0.15</v>
      </c>
      <c r="MK4" s="69">
        <f>IF($BY4="P",BU4,(BU4+AY4)/2)</f>
        <v>24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8" t="s">
        <v>122</v>
      </c>
      <c r="C5" s="4" t="s">
        <v>6</v>
      </c>
      <c r="D5" s="5">
        <v>2003</v>
      </c>
      <c r="E5" s="15">
        <f>SUM(J5:N5)</f>
        <v>220.1</v>
      </c>
      <c r="F5" s="3" t="str">
        <f>IF(OR(AND(AH5&gt;=AL$18,AI5&gt;=AL$22,AI5&lt;&gt;"",AG5=""),AND(BD5&gt;=BH$18,BE5&gt;=BH$22,BE5&lt;&gt;"",BC5=""),AND(BZ5&gt;=CD$18,CA5&gt;=CD$22,CA5&lt;&gt;"",BY5=""),AND(CW5&gt;=DA$18,CX5&gt;=DA$22,CX5&lt;&gt;""),AND(DR5&gt;=DV$18,DS5&gt;=DV$22,DS5&lt;&gt;""),AND(EM5&gt;=EQ$18,EN5&gt;=EQ$22,EN5&lt;&gt;""),AND(FH5&gt;=FL$18,FI5&gt;=FL$22,FI5&lt;&gt;""),AND(GC5&gt;=GG$18,GD5&gt;=GG$22,GD5&lt;&gt;""),AND(GX5&gt;=HB$18,GY5&gt;=HB$22,GY5&lt;&gt;""),AND(HS5&gt;=HW$18,HT5&gt;=HW$22,HT5&lt;&gt;""),AND(IN5&gt;=IR$18,IO5&gt;=IR$22,IO5&lt;&gt;""),AND(JI5&gt;=JM$18,JJ5&gt;=JM$22,JJ5&lt;&gt;""),AND(KD5&gt;=KH$18,KE5&gt;=KH$22,KE5&lt;&gt;""),AND(KY5&gt;=LC$18,KZ5&gt;=LC$22,KZ5&lt;&gt;""),AND(LT5&gt;=LX$18,LU5&gt;=LX$22,LU5&lt;&gt;"")),"P","")</f>
        <v>P</v>
      </c>
      <c r="G5" s="3" t="str">
        <f>IF(OR(AND(AI5&gt;=AL$22,AI5&lt;&gt;"",AG5=""),AND(BE5&gt;=BH$22,BE5&lt;&gt;"",BC5=""),AND(CA5&gt;=CD$22,CA5&lt;&gt;"",BY5=""),AND(CX5&gt;=DA$22,CX5&lt;&gt;""),AND(DS5&gt;=DV$22,DS5&lt;&gt;""),AND(EN5&gt;=EQ$22,EN5&lt;&gt;""),AND(FI5&gt;=FL$22,FI5&lt;&gt;""),AND(GD5&gt;=GG$22,GD5&lt;&gt;""),AND(GY5&gt;=HB$22,GY5&lt;&gt;""),AND(HT5&gt;=HW$22,HT5&lt;&gt;""),AND(IO5&gt;=IR$22,IO5&lt;&gt;""),AND(JJ5&gt;=JM$22,JJ5&lt;&gt;""),AND(KE5&gt;=KH$22,KE5&lt;&gt;""),AND(KZ5&gt;=LC$22,KZ5&lt;&gt;""),AND(LU5&gt;=LX$22,LU5&lt;&gt;"")),"P","")</f>
        <v>P</v>
      </c>
      <c r="H5" s="126" t="str">
        <f>IF(AND(G5="P",F5=""),"No DD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Merit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Excellence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Worlds Team",IF(OR(AND(AH5&gt;=AL$18,AH5&lt;&gt;"",AI5&gt;=AL$22,AI5&lt;&gt;"",AG5=""),AND(BD5&gt;=BH$18,BD5&lt;&gt;"",BE5&gt;=BH$22,BE5&lt;&gt;"",BC5=""),AND(BZ5&gt;=CD$18,BZ5&lt;&gt;"",CA5&gt;=CD$22,CA5&lt;&gt;"",BY5=""),AND(CW5&gt;=DA$18,CW5&lt;&gt;"",CX5&gt;=DA$22,CX5&lt;&gt;""),AND(DR5&gt;=DV$18,DR5&lt;&gt;"",DS5&gt;=DV$22,DS5&lt;&gt;""),AND(EM5&gt;=EQ$18,EM5&lt;&gt;"",EN5&gt;=EQ$22,EN5&lt;&gt;""),AND(FH5&gt;=FL$18,FH5&lt;&gt;"",FI5&gt;=FL$22,FI5&lt;&gt;""),AND(GC5&gt;=GG$18,GC5&lt;&gt;"",GD5&gt;=GG$22,GD5&lt;&gt;""),AND(GX5&gt;=HB$18,GX5&lt;&gt;"",GY5&gt;=HB$22,GY5&lt;&gt;""),AND(HS5&gt;=HW$18,HS5&lt;&gt;"",HT5&gt;=HW$22,HT5&lt;&gt;""),AND(IN5&gt;=IR$18,IN5&lt;&gt;"",IO5&gt;=IR$22,IO5&lt;&gt;""),AND(JI5&gt;=JM$18,JI5&lt;&gt;"",JJ5&gt;=JM$22,JJ5&lt;&gt;""),AND(KD5&gt;=KH$18,KD5&lt;&gt;"",KE5&gt;=KH$22,KE5&lt;&gt;""),AND(KY5&gt;=LC$18,KY5&lt;&gt;"",KZ5&gt;=LC$22,KZ5&lt;&gt;""),AND(LT5&gt;=LX$18,LT5&lt;&gt;"",LU5&gt;=LX$22,LU5&lt;&gt;"")),"National Team","")))))</f>
        <v>Excellence</v>
      </c>
      <c r="I5" s="3" t="str">
        <f>IF(OR(H5="Worlds Team",H5="Excellence",H5="Merit"),"P","")</f>
        <v>P</v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28.8</v>
      </c>
      <c r="R5" s="69">
        <v>8</v>
      </c>
      <c r="S5" s="69">
        <v>0</v>
      </c>
      <c r="T5" s="69">
        <v>0.3</v>
      </c>
      <c r="U5" s="69">
        <v>28.6</v>
      </c>
      <c r="V5" s="69">
        <v>8.4</v>
      </c>
      <c r="W5" s="69">
        <v>0.9</v>
      </c>
      <c r="X5" s="69">
        <v>0</v>
      </c>
      <c r="Y5" s="69">
        <v>27.8</v>
      </c>
      <c r="Z5" s="69">
        <v>8.1</v>
      </c>
      <c r="AA5" s="69">
        <v>0</v>
      </c>
      <c r="AB5" s="69">
        <v>0</v>
      </c>
      <c r="AC5" s="69">
        <v>28</v>
      </c>
      <c r="AD5" s="69">
        <v>8.4</v>
      </c>
      <c r="AE5" s="69">
        <v>0.3</v>
      </c>
      <c r="AF5" s="69">
        <v>0.3</v>
      </c>
      <c r="AG5" s="80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8">
        <v>28.5</v>
      </c>
      <c r="AN5" s="38">
        <v>8.8000000000000007</v>
      </c>
      <c r="AO5" s="38">
        <v>0</v>
      </c>
      <c r="AP5" s="38">
        <v>0.3</v>
      </c>
      <c r="AQ5" s="38">
        <v>28.6</v>
      </c>
      <c r="AR5" s="38">
        <v>8.4</v>
      </c>
      <c r="AS5" s="38">
        <v>0</v>
      </c>
      <c r="AT5" s="38">
        <v>0</v>
      </c>
      <c r="AU5" s="38">
        <v>20.100000000000001</v>
      </c>
      <c r="AV5" s="38">
        <v>4.8</v>
      </c>
      <c r="AW5" s="38">
        <v>0</v>
      </c>
      <c r="AX5" s="38">
        <v>0.3</v>
      </c>
      <c r="AY5" s="38">
        <v>27.5</v>
      </c>
      <c r="AZ5" s="38">
        <v>8.9</v>
      </c>
      <c r="BA5" s="38">
        <v>0</v>
      </c>
      <c r="BB5" s="38">
        <v>0.3</v>
      </c>
      <c r="BC5" s="81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9">
        <v>29</v>
      </c>
      <c r="BJ5" s="69">
        <v>9.1999999999999993</v>
      </c>
      <c r="BK5" s="69">
        <v>0</v>
      </c>
      <c r="BL5" s="69">
        <v>0.3</v>
      </c>
      <c r="BM5" s="69">
        <v>27.5</v>
      </c>
      <c r="BN5" s="69">
        <v>6.8</v>
      </c>
      <c r="BO5" s="69">
        <v>1.5</v>
      </c>
      <c r="BP5" s="69">
        <v>0</v>
      </c>
      <c r="BQ5" s="69">
        <v>29.2</v>
      </c>
      <c r="BR5" s="69">
        <v>7.2</v>
      </c>
      <c r="BS5" s="69">
        <v>0.9</v>
      </c>
      <c r="BT5" s="69">
        <v>0</v>
      </c>
      <c r="BU5" s="69">
        <v>28.7</v>
      </c>
      <c r="BV5" s="69">
        <v>7.2</v>
      </c>
      <c r="BW5" s="69">
        <v>0.9</v>
      </c>
      <c r="BX5" s="69">
        <v>0</v>
      </c>
      <c r="BY5" s="80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28.75</v>
      </c>
      <c r="LZ5" s="69">
        <f>IF($BY5="P",BJ5,(BJ5+AN5)/2)</f>
        <v>9</v>
      </c>
      <c r="MA5" s="69">
        <f>IF($BY5="P",BK5,(BK5+AO5)/2)</f>
        <v>0</v>
      </c>
      <c r="MB5" s="69">
        <f>IF($BY5="P",BL5,(BL5+AP5)/2)</f>
        <v>0.3</v>
      </c>
      <c r="MC5" s="69">
        <f>IF($BY5="P",BM5,(BM5+AQ5)/2)</f>
        <v>28.05</v>
      </c>
      <c r="MD5" s="69">
        <f>IF($BY5="P",BN5,(BN5+AR5)/2)</f>
        <v>7.6</v>
      </c>
      <c r="ME5" s="69">
        <f>IF($BY5="P",BO5,(BO5+AS5)/2)</f>
        <v>0.75</v>
      </c>
      <c r="MF5" s="69">
        <f>IF($BY5="P",BP5,(BP5+AT5)/2)</f>
        <v>0</v>
      </c>
      <c r="MG5" s="69">
        <f>IF($BY5="P",BQ5,(BQ5+AU5)/2)</f>
        <v>24.65</v>
      </c>
      <c r="MH5" s="69">
        <f>IF($BY5="P",BR5,(BR5+AV5)/2)</f>
        <v>6</v>
      </c>
      <c r="MI5" s="69">
        <f>IF($BY5="P",BS5,(BS5+AW5)/2)</f>
        <v>0.45</v>
      </c>
      <c r="MJ5" s="69">
        <f>IF($BY5="P",BT5,(BT5+AX5)/2)</f>
        <v>0.15</v>
      </c>
      <c r="MK5" s="69">
        <f>IF($BY5="P",BU5,(BU5+AY5)/2)</f>
        <v>28.1</v>
      </c>
      <c r="ML5" s="69">
        <f>IF($BY5="P",BV5,(BV5+AZ5)/2)</f>
        <v>8.0500000000000007</v>
      </c>
      <c r="MM5" s="69">
        <f>IF($BY5="P",BW5,(BW5+BA5)/2)</f>
        <v>0.45</v>
      </c>
      <c r="MN5" s="69">
        <f>IF($BY5="P",BX5,(BX5+BB5)/2)</f>
        <v>0.15</v>
      </c>
      <c r="MO5" s="80" t="s">
        <v>74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8" t="s">
        <v>114</v>
      </c>
      <c r="C6" s="4" t="s">
        <v>5</v>
      </c>
      <c r="D6" s="5">
        <v>2002</v>
      </c>
      <c r="E6" s="15">
        <f>SUM(J6:N6)</f>
        <v>212.1</v>
      </c>
      <c r="F6" s="3" t="str">
        <f>IF(OR(AND(AH6&gt;=AL$18,AI6&gt;=AL$22,AI6&lt;&gt;"",AG6=""),AND(BD6&gt;=BH$18,BE6&gt;=BH$22,BE6&lt;&gt;"",BC6=""),AND(BZ6&gt;=CD$18,CA6&gt;=CD$22,CA6&lt;&gt;"",BY6=""),AND(CW6&gt;=DA$18,CX6&gt;=DA$22,CX6&lt;&gt;""),AND(DR6&gt;=DV$18,DS6&gt;=DV$22,DS6&lt;&gt;""),AND(EM6&gt;=EQ$18,EN6&gt;=EQ$22,EN6&lt;&gt;""),AND(FH6&gt;=FL$18,FI6&gt;=FL$22,FI6&lt;&gt;""),AND(GC6&gt;=GG$18,GD6&gt;=GG$22,GD6&lt;&gt;""),AND(GX6&gt;=HB$18,GY6&gt;=HB$22,GY6&lt;&gt;""),AND(HS6&gt;=HW$18,HT6&gt;=HW$22,HT6&lt;&gt;""),AND(IN6&gt;=IR$18,IO6&gt;=IR$22,IO6&lt;&gt;""),AND(JI6&gt;=JM$18,JJ6&gt;=JM$22,JJ6&lt;&gt;""),AND(KD6&gt;=KH$18,KE6&gt;=KH$22,KE6&lt;&gt;""),AND(KY6&gt;=LC$18,KZ6&gt;=LC$22,KZ6&lt;&gt;""),AND(LT6&gt;=LX$18,LU6&gt;=LX$22,LU6&lt;&gt;"")),"P","")</f>
        <v>P</v>
      </c>
      <c r="G6" s="3" t="str">
        <f>IF(OR(AND(AI6&gt;=AL$22,AI6&lt;&gt;"",AG6=""),AND(BE6&gt;=BH$22,BE6&lt;&gt;"",BC6=""),AND(CA6&gt;=CD$22,CA6&lt;&gt;"",BY6=""),AND(CX6&gt;=DA$22,CX6&lt;&gt;""),AND(DS6&gt;=DV$22,DS6&lt;&gt;""),AND(EN6&gt;=EQ$22,EN6&lt;&gt;""),AND(FI6&gt;=FL$22,FI6&lt;&gt;""),AND(GD6&gt;=GG$22,GD6&lt;&gt;""),AND(GY6&gt;=HB$22,GY6&lt;&gt;""),AND(HT6&gt;=HW$22,HT6&lt;&gt;""),AND(IO6&gt;=IR$22,IO6&lt;&gt;""),AND(JJ6&gt;=JM$22,JJ6&lt;&gt;""),AND(KE6&gt;=KH$22,KE6&lt;&gt;""),AND(KZ6&gt;=LC$22,KZ6&lt;&gt;""),AND(LU6&gt;=LX$22,LU6&lt;&gt;"")),"P","")</f>
        <v>P</v>
      </c>
      <c r="H6" s="126" t="str">
        <f>IF(AND(G6="P",F6=""),"No DD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Merit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Excellence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Worlds Team",IF(OR(AND(AH6&gt;=AL$18,AH6&lt;&gt;"",AI6&gt;=AL$22,AI6&lt;&gt;"",AG6=""),AND(BD6&gt;=BH$18,BD6&lt;&gt;"",BE6&gt;=BH$22,BE6&lt;&gt;"",BC6=""),AND(BZ6&gt;=CD$18,BZ6&lt;&gt;"",CA6&gt;=CD$22,CA6&lt;&gt;"",BY6=""),AND(CW6&gt;=DA$18,CW6&lt;&gt;"",CX6&gt;=DA$22,CX6&lt;&gt;""),AND(DR6&gt;=DV$18,DR6&lt;&gt;"",DS6&gt;=DV$22,DS6&lt;&gt;""),AND(EM6&gt;=EQ$18,EM6&lt;&gt;"",EN6&gt;=EQ$22,EN6&lt;&gt;""),AND(FH6&gt;=FL$18,FH6&lt;&gt;"",FI6&gt;=FL$22,FI6&lt;&gt;""),AND(GC6&gt;=GG$18,GC6&lt;&gt;"",GD6&gt;=GG$22,GD6&lt;&gt;""),AND(GX6&gt;=HB$18,GX6&lt;&gt;"",GY6&gt;=HB$22,GY6&lt;&gt;""),AND(HS6&gt;=HW$18,HS6&lt;&gt;"",HT6&gt;=HW$22,HT6&lt;&gt;""),AND(IN6&gt;=IR$18,IN6&lt;&gt;"",IO6&gt;=IR$22,IO6&lt;&gt;""),AND(JI6&gt;=JM$18,JI6&lt;&gt;"",JJ6&gt;=JM$22,JJ6&lt;&gt;""),AND(KD6&gt;=KH$18,KD6&lt;&gt;"",KE6&gt;=KH$22,KE6&lt;&gt;""),AND(KY6&gt;=LC$18,KY6&lt;&gt;"",KZ6&gt;=LC$22,KZ6&lt;&gt;""),AND(LT6&gt;=LX$18,LT6&lt;&gt;"",LU6&gt;=LX$22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28.5</v>
      </c>
      <c r="R6" s="69">
        <v>7.2</v>
      </c>
      <c r="S6" s="69">
        <v>0</v>
      </c>
      <c r="T6" s="69">
        <v>0</v>
      </c>
      <c r="U6" s="69">
        <v>28</v>
      </c>
      <c r="V6" s="69">
        <v>7.7</v>
      </c>
      <c r="W6" s="69">
        <v>0.3</v>
      </c>
      <c r="X6" s="69">
        <v>0.3</v>
      </c>
      <c r="Y6" s="69">
        <v>0</v>
      </c>
      <c r="Z6" s="69">
        <v>0</v>
      </c>
      <c r="AA6" s="69">
        <v>0</v>
      </c>
      <c r="AB6" s="69">
        <v>0</v>
      </c>
      <c r="AC6" s="69">
        <v>27.9</v>
      </c>
      <c r="AD6" s="69">
        <v>8.1</v>
      </c>
      <c r="AE6" s="69">
        <v>0.9</v>
      </c>
      <c r="AF6" s="69">
        <v>0</v>
      </c>
      <c r="AG6" s="80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8">
        <v>27.9</v>
      </c>
      <c r="AN6" s="38">
        <v>7.2</v>
      </c>
      <c r="AO6" s="38">
        <v>0.3</v>
      </c>
      <c r="AP6" s="38">
        <v>0</v>
      </c>
      <c r="AQ6" s="38">
        <v>27.9</v>
      </c>
      <c r="AR6" s="38">
        <v>7.2</v>
      </c>
      <c r="AS6" s="38">
        <v>0</v>
      </c>
      <c r="AT6" s="38">
        <v>0</v>
      </c>
      <c r="AU6" s="38">
        <v>26.8</v>
      </c>
      <c r="AV6" s="38">
        <v>8.1</v>
      </c>
      <c r="AW6" s="38">
        <v>0</v>
      </c>
      <c r="AX6" s="38">
        <v>0</v>
      </c>
      <c r="AY6" s="38">
        <v>27.9</v>
      </c>
      <c r="AZ6" s="38">
        <v>7.7</v>
      </c>
      <c r="BA6" s="38">
        <v>0</v>
      </c>
      <c r="BB6" s="38">
        <v>0.3</v>
      </c>
      <c r="BC6" s="81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9">
        <v>27.7</v>
      </c>
      <c r="BJ6" s="69">
        <v>8.4</v>
      </c>
      <c r="BK6" s="69">
        <v>0</v>
      </c>
      <c r="BL6" s="69">
        <v>0</v>
      </c>
      <c r="BM6" s="69">
        <v>20.399999999999999</v>
      </c>
      <c r="BN6" s="69">
        <v>2.8</v>
      </c>
      <c r="BO6" s="69">
        <v>0</v>
      </c>
      <c r="BP6" s="69">
        <v>0</v>
      </c>
      <c r="BQ6" s="69"/>
      <c r="BR6" s="69"/>
      <c r="BS6" s="69"/>
      <c r="BT6" s="69"/>
      <c r="BU6" s="69"/>
      <c r="BV6" s="69"/>
      <c r="BW6" s="69"/>
      <c r="BX6" s="69"/>
      <c r="BY6" s="80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>
        <v>27.9</v>
      </c>
      <c r="CH6" s="44">
        <v>8.4</v>
      </c>
      <c r="CI6" s="44">
        <v>0</v>
      </c>
      <c r="CJ6" s="44">
        <v>0</v>
      </c>
      <c r="CK6" s="44">
        <v>20.100000000000001</v>
      </c>
      <c r="CL6" s="44">
        <v>2.8</v>
      </c>
      <c r="CM6" s="44">
        <v>0</v>
      </c>
      <c r="CN6" s="44">
        <v>0</v>
      </c>
      <c r="CO6" s="44"/>
      <c r="CP6" s="44"/>
      <c r="CQ6" s="44"/>
      <c r="CR6" s="44"/>
      <c r="CS6" s="44"/>
      <c r="CT6" s="44"/>
      <c r="CU6" s="44"/>
      <c r="CV6" s="44"/>
      <c r="CW6" s="11">
        <f>IF(SUM(CH6,CL6)&gt;0,SUM(CH6,CL6),"")</f>
        <v>11.2</v>
      </c>
      <c r="CX6" s="11">
        <f>IF(SUM(CG6:CH6,CJ6:CL6,CN6)-SUM(CI6,CM6)&gt;0,SUM(CG6:CH6,CJ6:CL6,CN6)-SUM(CI6,CM6),"")</f>
        <v>59.199999999999996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59.199999999999996</v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7.8000000000000007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24.15</v>
      </c>
      <c r="MD6" s="69">
        <f>IF($BY6="P",BN6,(BN6+AR6)/2)</f>
        <v>5</v>
      </c>
      <c r="ME6" s="69">
        <f>IF($BY6="P",BO6,(BO6+AS6)/2)</f>
        <v>0</v>
      </c>
      <c r="MF6" s="69">
        <f>IF($BY6="P",BP6,(BP6+AT6)/2)</f>
        <v>0</v>
      </c>
      <c r="MG6" s="69">
        <f>IF($BY6="P",BQ6,(BQ6+AU6)/2)</f>
        <v>13.4</v>
      </c>
      <c r="MH6" s="69">
        <f>IF($BY6="P",BR6,(BR6+AV6)/2)</f>
        <v>4.05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13.95</v>
      </c>
      <c r="ML6" s="69">
        <f>IF($BY6="P",BV6,(BV6+AZ6)/2)</f>
        <v>3.85</v>
      </c>
      <c r="MM6" s="69">
        <f>IF($BY6="P",BW6,(BW6+BA6)/2)</f>
        <v>0</v>
      </c>
      <c r="MN6" s="69">
        <f>IF($BY6="P",BX6,(BX6+BB6)/2)</f>
        <v>0.15</v>
      </c>
      <c r="MO6" s="80" t="s">
        <v>74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8" t="s">
        <v>117</v>
      </c>
      <c r="C7" s="4" t="s">
        <v>5</v>
      </c>
      <c r="D7" s="5">
        <v>2003</v>
      </c>
      <c r="E7" s="15">
        <f>SUM(J7:N7)</f>
        <v>209.4</v>
      </c>
      <c r="F7" s="3" t="str">
        <f>IF(OR(AND(AH7&gt;=AL$18,AI7&gt;=AL$22,AI7&lt;&gt;"",AG7=""),AND(BD7&gt;=BH$18,BE7&gt;=BH$22,BE7&lt;&gt;"",BC7=""),AND(BZ7&gt;=CD$18,CA7&gt;=CD$22,CA7&lt;&gt;"",BY7=""),AND(CW7&gt;=DA$18,CX7&gt;=DA$22,CX7&lt;&gt;""),AND(DR7&gt;=DV$18,DS7&gt;=DV$22,DS7&lt;&gt;""),AND(EM7&gt;=EQ$18,EN7&gt;=EQ$22,EN7&lt;&gt;""),AND(FH7&gt;=FL$18,FI7&gt;=FL$22,FI7&lt;&gt;""),AND(GC7&gt;=GG$18,GD7&gt;=GG$22,GD7&lt;&gt;""),AND(GX7&gt;=HB$18,GY7&gt;=HB$22,GY7&lt;&gt;""),AND(HS7&gt;=HW$18,HT7&gt;=HW$22,HT7&lt;&gt;""),AND(IN7&gt;=IR$18,IO7&gt;=IR$22,IO7&lt;&gt;""),AND(JI7&gt;=JM$18,JJ7&gt;=JM$22,JJ7&lt;&gt;""),AND(KD7&gt;=KH$18,KE7&gt;=KH$22,KE7&lt;&gt;""),AND(KY7&gt;=LC$18,KZ7&gt;=LC$22,KZ7&lt;&gt;""),AND(LT7&gt;=LX$18,LU7&gt;=LX$22,LU7&lt;&gt;"")),"P","")</f>
        <v>P</v>
      </c>
      <c r="G7" s="3" t="str">
        <f>IF(OR(AND(AI7&gt;=AL$22,AI7&lt;&gt;"",AG7=""),AND(BE7&gt;=BH$22,BE7&lt;&gt;"",BC7=""),AND(CA7&gt;=CD$22,CA7&lt;&gt;"",BY7=""),AND(CX7&gt;=DA$22,CX7&lt;&gt;""),AND(DS7&gt;=DV$22,DS7&lt;&gt;""),AND(EN7&gt;=EQ$22,EN7&lt;&gt;""),AND(FI7&gt;=FL$22,FI7&lt;&gt;""),AND(GD7&gt;=GG$22,GD7&lt;&gt;""),AND(GY7&gt;=HB$22,GY7&lt;&gt;""),AND(HT7&gt;=HW$22,HT7&lt;&gt;""),AND(IO7&gt;=IR$22,IO7&lt;&gt;""),AND(JJ7&gt;=JM$22,JJ7&lt;&gt;""),AND(KE7&gt;=KH$22,KE7&lt;&gt;""),AND(KZ7&gt;=LC$22,KZ7&lt;&gt;""),AND(LU7&gt;=LX$22,LU7&lt;&gt;"")),"P","")</f>
        <v>P</v>
      </c>
      <c r="H7" s="126" t="str">
        <f>IF(AND(G7="P",F7=""),"No DD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Merit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Excellence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Worlds Team",IF(OR(AND(AH7&gt;=AL$18,AH7&lt;&gt;"",AI7&gt;=AL$22,AI7&lt;&gt;"",AG7=""),AND(BD7&gt;=BH$18,BD7&lt;&gt;"",BE7&gt;=BH$22,BE7&lt;&gt;"",BC7=""),AND(BZ7&gt;=CD$18,BZ7&lt;&gt;"",CA7&gt;=CD$22,CA7&lt;&gt;"",BY7=""),AND(CW7&gt;=DA$18,CW7&lt;&gt;"",CX7&gt;=DA$22,CX7&lt;&gt;""),AND(DR7&gt;=DV$18,DR7&lt;&gt;"",DS7&gt;=DV$22,DS7&lt;&gt;""),AND(EM7&gt;=EQ$18,EM7&lt;&gt;"",EN7&gt;=EQ$22,EN7&lt;&gt;""),AND(FH7&gt;=FL$18,FH7&lt;&gt;"",FI7&gt;=FL$22,FI7&lt;&gt;""),AND(GC7&gt;=GG$18,GC7&lt;&gt;"",GD7&gt;=GG$22,GD7&lt;&gt;""),AND(GX7&gt;=HB$18,GX7&lt;&gt;"",GY7&gt;=HB$22,GY7&lt;&gt;""),AND(HS7&gt;=HW$18,HS7&lt;&gt;"",HT7&gt;=HW$22,HT7&lt;&gt;""),AND(IN7&gt;=IR$18,IN7&lt;&gt;"",IO7&gt;=IR$22,IO7&lt;&gt;""),AND(JI7&gt;=JM$18,JI7&lt;&gt;"",JJ7&gt;=JM$22,JJ7&lt;&gt;""),AND(KD7&gt;=KH$18,KD7&lt;&gt;"",KE7&gt;=KH$22,KE7&lt;&gt;""),AND(KY7&gt;=LC$18,KY7&lt;&gt;"",KZ7&gt;=LC$22,KZ7&lt;&gt;""),AND(LT7&gt;=LX$18,LT7&lt;&gt;"",LU7&gt;=LX$22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138.9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28.2</v>
      </c>
      <c r="R7" s="69">
        <v>7.6</v>
      </c>
      <c r="S7" s="69">
        <v>1.2</v>
      </c>
      <c r="T7" s="69">
        <v>0</v>
      </c>
      <c r="U7" s="69">
        <v>28.7</v>
      </c>
      <c r="V7" s="69">
        <v>7.2</v>
      </c>
      <c r="W7" s="69">
        <v>0</v>
      </c>
      <c r="X7" s="69">
        <v>0</v>
      </c>
      <c r="Y7" s="69">
        <v>28.4</v>
      </c>
      <c r="Z7" s="69">
        <v>6</v>
      </c>
      <c r="AA7" s="69">
        <v>1.2</v>
      </c>
      <c r="AB7" s="69">
        <v>0</v>
      </c>
      <c r="AC7" s="69">
        <v>27.7</v>
      </c>
      <c r="AD7" s="69">
        <v>6.8</v>
      </c>
      <c r="AE7" s="69">
        <v>0.3</v>
      </c>
      <c r="AF7" s="69">
        <v>0</v>
      </c>
      <c r="AG7" s="80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8">
        <v>28</v>
      </c>
      <c r="AN7" s="38">
        <v>7.6</v>
      </c>
      <c r="AO7" s="38">
        <v>0.9</v>
      </c>
      <c r="AP7" s="38">
        <v>0</v>
      </c>
      <c r="AQ7" s="38">
        <v>27.9</v>
      </c>
      <c r="AR7" s="38">
        <v>7.2</v>
      </c>
      <c r="AS7" s="38">
        <v>0.9</v>
      </c>
      <c r="AT7" s="38">
        <v>0</v>
      </c>
      <c r="AU7" s="38">
        <v>28</v>
      </c>
      <c r="AV7" s="38">
        <v>7.6</v>
      </c>
      <c r="AW7" s="38">
        <v>0.3</v>
      </c>
      <c r="AX7" s="38">
        <v>0</v>
      </c>
      <c r="AY7" s="38">
        <v>28.1</v>
      </c>
      <c r="AZ7" s="38">
        <v>7.2</v>
      </c>
      <c r="BA7" s="38">
        <v>0.9</v>
      </c>
      <c r="BB7" s="38">
        <v>0.3</v>
      </c>
      <c r="BC7" s="81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14.8</v>
      </c>
      <c r="BG7" s="14">
        <f>IF(SUM(AU7:AV7,AX7:AZ7,BB7)-SUM(AW7,BA7)&gt;0,SUM(AU7:AV7,AX7:AZ7,BB7)-SUM(AW7,BA7),"")</f>
        <v>70</v>
      </c>
      <c r="BH7" s="14">
        <f>IF(SUM(BE7,BG7)&gt;0,SUM(BE7,BG7),"")</f>
        <v>138.9</v>
      </c>
      <c r="BI7" s="69">
        <v>27.6</v>
      </c>
      <c r="BJ7" s="69">
        <v>6.8</v>
      </c>
      <c r="BK7" s="69">
        <v>0.3</v>
      </c>
      <c r="BL7" s="69">
        <v>0</v>
      </c>
      <c r="BM7" s="69">
        <v>27.3</v>
      </c>
      <c r="BN7" s="69">
        <v>3.9</v>
      </c>
      <c r="BO7" s="69">
        <v>2.1</v>
      </c>
      <c r="BP7" s="69">
        <v>0</v>
      </c>
      <c r="BQ7" s="69">
        <v>26.9</v>
      </c>
      <c r="BR7" s="69">
        <v>8</v>
      </c>
      <c r="BS7" s="69">
        <v>1.5</v>
      </c>
      <c r="BT7" s="69">
        <v>0</v>
      </c>
      <c r="BU7" s="69">
        <v>28</v>
      </c>
      <c r="BV7" s="69">
        <v>7.2</v>
      </c>
      <c r="BW7" s="69">
        <v>0</v>
      </c>
      <c r="BX7" s="69">
        <v>0</v>
      </c>
      <c r="BY7" s="80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>
        <v>27</v>
      </c>
      <c r="CH7" s="44">
        <v>7.6</v>
      </c>
      <c r="CI7" s="44">
        <v>1.2</v>
      </c>
      <c r="CJ7" s="44">
        <v>0</v>
      </c>
      <c r="CK7" s="44">
        <v>24.9</v>
      </c>
      <c r="CL7" s="44">
        <v>7.2</v>
      </c>
      <c r="CM7" s="44">
        <v>1.2</v>
      </c>
      <c r="CN7" s="44">
        <v>0</v>
      </c>
      <c r="CO7" s="44"/>
      <c r="CP7" s="44"/>
      <c r="CQ7" s="44"/>
      <c r="CR7" s="44"/>
      <c r="CS7" s="44"/>
      <c r="CT7" s="44"/>
      <c r="CU7" s="44"/>
      <c r="CV7" s="44"/>
      <c r="CW7" s="11">
        <f>IF(SUM(CH7,CL7)&gt;0,SUM(CH7,CL7),"")</f>
        <v>14.8</v>
      </c>
      <c r="CX7" s="11">
        <f>IF(SUM(CG7:CH7,CJ7:CL7,CN7)-SUM(CI7,CM7)&gt;0,SUM(CG7:CH7,CJ7:CL7,CN7)-SUM(CI7,CM7),"")</f>
        <v>64.3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64.3</v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27.8</v>
      </c>
      <c r="LZ7" s="69">
        <f>IF($BY7="P",BJ7,(BJ7+AN7)/2)</f>
        <v>7.1999999999999993</v>
      </c>
      <c r="MA7" s="69">
        <f>IF($BY7="P",BK7,(BK7+AO7)/2)</f>
        <v>0.6</v>
      </c>
      <c r="MB7" s="69">
        <f>IF($BY7="P",BL7,(BL7+AP7)/2)</f>
        <v>0</v>
      </c>
      <c r="MC7" s="69">
        <f>IF($BY7="P",BM7,(BM7+AQ7)/2)</f>
        <v>27.6</v>
      </c>
      <c r="MD7" s="69">
        <f>IF($BY7="P",BN7,(BN7+AR7)/2)</f>
        <v>5.55</v>
      </c>
      <c r="ME7" s="69">
        <f>IF($BY7="P",BO7,(BO7+AS7)/2)</f>
        <v>1.5</v>
      </c>
      <c r="MF7" s="69">
        <f>IF($BY7="P",BP7,(BP7+AT7)/2)</f>
        <v>0</v>
      </c>
      <c r="MG7" s="69">
        <f>IF($BY7="P",BQ7,(BQ7+AU7)/2)</f>
        <v>27.45</v>
      </c>
      <c r="MH7" s="69">
        <f>IF($BY7="P",BR7,(BR7+AV7)/2)</f>
        <v>7.8</v>
      </c>
      <c r="MI7" s="69">
        <f>IF($BY7="P",BS7,(BS7+AW7)/2)</f>
        <v>0.9</v>
      </c>
      <c r="MJ7" s="69">
        <f>IF($BY7="P",BT7,(BT7+AX7)/2)</f>
        <v>0</v>
      </c>
      <c r="MK7" s="69">
        <f>IF($BY7="P",BU7,(BU7+AY7)/2)</f>
        <v>28.05</v>
      </c>
      <c r="ML7" s="69">
        <f>IF($BY7="P",BV7,(BV7+AZ7)/2)</f>
        <v>7.2</v>
      </c>
      <c r="MM7" s="69">
        <f>IF($BY7="P",BW7,(BW7+BA7)/2)</f>
        <v>0.45</v>
      </c>
      <c r="MN7" s="69">
        <f>IF($BY7="P",BX7,(BX7+BB7)/2)</f>
        <v>0.15</v>
      </c>
      <c r="MO7" s="80" t="s">
        <v>74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15</v>
      </c>
      <c r="MS7" s="11">
        <f>IF(SUM(MG7:MH7,MJ7:ML7,MN7)-SUM(MI7,MM7)&gt;0,SUM(MG7:MH7,MJ7:ML7,MN7)-SUM(MI7,MM7),"")</f>
        <v>69.300000000000011</v>
      </c>
      <c r="MT7" s="11">
        <f>IF(SUM(MQ7,MS7)&gt;0,SUM(MQ7,MS7),"")</f>
        <v>135.35000000000002</v>
      </c>
    </row>
    <row r="8" spans="1:358" x14ac:dyDescent="0.2">
      <c r="A8" s="5" t="str">
        <f>IF(AND(F8="P",G8="P"),SUMPRODUCT((F$4:F$16="P")*(G$4:G$16="P")*(E$4:E$16&gt;E8))+1,IF(G8="P",SUMPRODUCT((F$4:F$16="")*(G$4:G$16="P")*(E$4:E$16&gt;E8))+1+SUMPRODUCT((F$4:F$16="P")*(G$4:G$16="P")),""))</f>
        <v/>
      </c>
      <c r="B8" s="8" t="s">
        <v>46</v>
      </c>
      <c r="C8" s="4" t="s">
        <v>9</v>
      </c>
      <c r="D8" s="5">
        <v>1998</v>
      </c>
      <c r="E8" s="15">
        <f>SUM(J8:N8)</f>
        <v>203.10000000000002</v>
      </c>
      <c r="F8" s="3" t="str">
        <f>IF(OR(AND(AH8&gt;=AL$18,AI8&gt;=AL$22,AI8&lt;&gt;"",AG8=""),AND(BD8&gt;=BH$18,BE8&gt;=BH$22,BE8&lt;&gt;"",BC8=""),AND(BZ8&gt;=CD$18,CA8&gt;=CD$22,CA8&lt;&gt;"",BY8=""),AND(CW8&gt;=DA$18,CX8&gt;=DA$22,CX8&lt;&gt;""),AND(DR8&gt;=DV$18,DS8&gt;=DV$22,DS8&lt;&gt;""),AND(EM8&gt;=EQ$18,EN8&gt;=EQ$22,EN8&lt;&gt;""),AND(FH8&gt;=FL$18,FI8&gt;=FL$22,FI8&lt;&gt;""),AND(GC8&gt;=GG$18,GD8&gt;=GG$22,GD8&lt;&gt;""),AND(GX8&gt;=HB$18,GY8&gt;=HB$22,GY8&lt;&gt;""),AND(HS8&gt;=HW$18,HT8&gt;=HW$22,HT8&lt;&gt;""),AND(IN8&gt;=IR$18,IO8&gt;=IR$22,IO8&lt;&gt;""),AND(JI8&gt;=JM$18,JJ8&gt;=JM$22,JJ8&lt;&gt;""),AND(KD8&gt;=KH$18,KE8&gt;=KH$22,KE8&lt;&gt;""),AND(KY8&gt;=LC$18,KZ8&gt;=LC$22,KZ8&lt;&gt;""),AND(LT8&gt;=LX$18,LU8&gt;=LX$22,LU8&lt;&gt;"")),"P","")</f>
        <v/>
      </c>
      <c r="G8" s="3" t="str">
        <f>IF(OR(AND(AI8&gt;=AL$22,AI8&lt;&gt;"",AG8=""),AND(BE8&gt;=BH$22,BE8&lt;&gt;"",BC8=""),AND(CA8&gt;=CD$22,CA8&lt;&gt;"",BY8=""),AND(CX8&gt;=DA$22,CX8&lt;&gt;""),AND(DS8&gt;=DV$22,DS8&lt;&gt;""),AND(EN8&gt;=EQ$22,EN8&lt;&gt;""),AND(FI8&gt;=FL$22,FI8&lt;&gt;""),AND(GD8&gt;=GG$22,GD8&lt;&gt;""),AND(GY8&gt;=HB$22,GY8&lt;&gt;""),AND(HT8&gt;=HW$22,HT8&lt;&gt;""),AND(IO8&gt;=IR$22,IO8&lt;&gt;""),AND(JJ8&gt;=JM$22,JJ8&lt;&gt;""),AND(KE8&gt;=KH$22,KE8&lt;&gt;""),AND(KZ8&gt;=LC$22,KZ8&lt;&gt;""),AND(LU8&gt;=LX$22,LU8&lt;&gt;"")),"P","")</f>
        <v/>
      </c>
      <c r="H8" s="126" t="str">
        <f>IF(AND(G8="P",F8=""),"No DD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Merit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Excellence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Worlds Team",IF(OR(AND(AH8&gt;=AL$18,AH8&lt;&gt;"",AI8&gt;=AL$22,AI8&lt;&gt;"",AG8=""),AND(BD8&gt;=BH$18,BD8&lt;&gt;"",BE8&gt;=BH$22,BE8&lt;&gt;"",BC8=""),AND(BZ8&gt;=CD$18,BZ8&lt;&gt;"",CA8&gt;=CD$22,CA8&lt;&gt;"",BY8=""),AND(CW8&gt;=DA$18,CW8&lt;&gt;"",CX8&gt;=DA$22,CX8&lt;&gt;""),AND(DR8&gt;=DV$18,DR8&lt;&gt;"",DS8&gt;=DV$22,DS8&lt;&gt;""),AND(EM8&gt;=EQ$18,EM8&lt;&gt;"",EN8&gt;=EQ$22,EN8&lt;&gt;""),AND(FH8&gt;=FL$18,FH8&lt;&gt;"",FI8&gt;=FL$22,FI8&lt;&gt;""),AND(GC8&gt;=GG$18,GC8&lt;&gt;"",GD8&gt;=GG$22,GD8&lt;&gt;""),AND(GX8&gt;=HB$18,GX8&lt;&gt;"",GY8&gt;=HB$22,GY8&lt;&gt;""),AND(HS8&gt;=HW$18,HS8&lt;&gt;"",HT8&gt;=HW$22,HT8&lt;&gt;""),AND(IN8&gt;=IR$18,IN8&lt;&gt;"",IO8&gt;=IR$22,IO8&lt;&gt;""),AND(JI8&gt;=JM$18,JI8&lt;&gt;"",JJ8&gt;=JM$22,JJ8&lt;&gt;""),AND(KD8&gt;=KH$18,KD8&lt;&gt;"",KE8&gt;=KH$22,KE8&lt;&gt;""),AND(KY8&gt;=LC$18,KY8&lt;&gt;"",KZ8&gt;=LC$22,KZ8&lt;&gt;""),AND(LT8&gt;=LX$18,LT8&lt;&gt;"",LU8&gt;=LX$22,LU8&lt;&gt;"")),"National Team","")))))</f>
        <v/>
      </c>
      <c r="I8" s="3" t="str">
        <f>IF(OR(H8="Worlds Team",H8="Excellence",H8="Merit"),"P","")</f>
        <v/>
      </c>
      <c r="J8" s="14">
        <f>MAX(AI8,BE8,CA8)</f>
        <v>69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134.10000000000002</v>
      </c>
      <c r="M8" s="14" t="str">
        <f>IF(L8=0,"",IF(AND(J8&lt;&gt;CA8,L8=CD8),$BI$1,IF(AND(J8&lt;&gt;BE8,L8=BH8),$AM$1,IF(L8=AL8,$Q$1,""))))</f>
        <v>2021 2nd Virtual Technical Trial</v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>
        <v>25.2</v>
      </c>
      <c r="R8" s="69">
        <v>8.4</v>
      </c>
      <c r="S8" s="69">
        <v>1.2</v>
      </c>
      <c r="T8" s="69">
        <v>0</v>
      </c>
      <c r="U8" s="69">
        <v>28.1</v>
      </c>
      <c r="V8" s="69">
        <v>6.8</v>
      </c>
      <c r="W8" s="69">
        <v>0</v>
      </c>
      <c r="X8" s="69">
        <v>0</v>
      </c>
      <c r="Y8" s="69">
        <v>28.1</v>
      </c>
      <c r="Z8" s="69">
        <v>5.2</v>
      </c>
      <c r="AA8" s="69">
        <v>0.8</v>
      </c>
      <c r="AB8" s="69">
        <v>0</v>
      </c>
      <c r="AC8" s="69">
        <v>27.4</v>
      </c>
      <c r="AD8" s="69">
        <v>7.2</v>
      </c>
      <c r="AE8" s="69">
        <v>0.3</v>
      </c>
      <c r="AF8" s="69">
        <v>0</v>
      </c>
      <c r="AG8" s="80"/>
      <c r="AH8" s="11">
        <f>IF(SUM(R8,V8)&gt;0,SUM(R8,V8),"")</f>
        <v>15.2</v>
      </c>
      <c r="AI8" s="11">
        <f>IF(SUM(Q8:R8,T8:V8,X8)-SUM(S8,W8)&gt;0,SUM(Q8:R8,T8:V8,X8)-SUM(S8,W8),"")</f>
        <v>67.3</v>
      </c>
      <c r="AJ8" s="11">
        <f>IF(SUM(Z8,AD8)&gt;0,SUM(Z8,AD8),"")</f>
        <v>12.4</v>
      </c>
      <c r="AK8" s="11">
        <f>IF(SUM(Y8:Z8,AB8:AD8,AF8)-SUM(AA8,AE8)&gt;0,SUM(Y8:Z8,AB8:AD8,AF8)-SUM(AA8,AE8),"")</f>
        <v>66.800000000000011</v>
      </c>
      <c r="AL8" s="11">
        <f>IF(SUM(AI8,AK8)&gt;0,SUM(AI8,AK8),"")</f>
        <v>134.10000000000002</v>
      </c>
      <c r="AM8" s="38">
        <v>28.5</v>
      </c>
      <c r="AN8" s="38">
        <v>6</v>
      </c>
      <c r="AO8" s="38">
        <v>0.3</v>
      </c>
      <c r="AP8" s="38">
        <v>0</v>
      </c>
      <c r="AQ8" s="38">
        <v>28.4</v>
      </c>
      <c r="AR8" s="38">
        <v>7.2</v>
      </c>
      <c r="AS8" s="38">
        <v>0.9</v>
      </c>
      <c r="AT8" s="38">
        <v>0</v>
      </c>
      <c r="AU8" s="38">
        <v>19.8</v>
      </c>
      <c r="AV8" s="38">
        <v>3.2</v>
      </c>
      <c r="AW8" s="38">
        <v>0</v>
      </c>
      <c r="AX8" s="38">
        <v>0</v>
      </c>
      <c r="AY8" s="38">
        <v>28</v>
      </c>
      <c r="AZ8" s="38">
        <v>6.8</v>
      </c>
      <c r="BA8" s="38">
        <v>0.9</v>
      </c>
      <c r="BB8" s="38">
        <v>0</v>
      </c>
      <c r="BC8" s="81"/>
      <c r="BD8" s="14">
        <f>IF(SUM(AN8,AR8)&gt;0,SUM(AN8,AR8),"")</f>
        <v>13.2</v>
      </c>
      <c r="BE8" s="14">
        <f>IF(SUM(AM8:AN8,AP8:AR8,AT8)-SUM(AO8,AS8)&gt;0,SUM(AM8:AN8,AP8:AR8,AT8)-SUM(AO8,AS8),"")</f>
        <v>68.899999999999991</v>
      </c>
      <c r="BF8" s="14">
        <f>IF(SUM(AV8,AZ8)&gt;0,SUM(AV8,AZ8),"")</f>
        <v>10</v>
      </c>
      <c r="BG8" s="14">
        <f>IF(SUM(AU8:AV8,AX8:AZ8,BB8)-SUM(AW8,BA8)&gt;0,SUM(AU8:AV8,AX8:AZ8,BB8)-SUM(AW8,BA8),"")</f>
        <v>56.9</v>
      </c>
      <c r="BH8" s="14">
        <f>IF(SUM(BE8,BG8)&gt;0,SUM(BE8,BG8),"")</f>
        <v>125.79999999999998</v>
      </c>
      <c r="BI8" s="69">
        <v>28</v>
      </c>
      <c r="BJ8" s="69">
        <v>6.4</v>
      </c>
      <c r="BK8" s="69">
        <v>0</v>
      </c>
      <c r="BL8" s="69">
        <v>0</v>
      </c>
      <c r="BM8" s="69">
        <v>28.1</v>
      </c>
      <c r="BN8" s="69">
        <v>6.8</v>
      </c>
      <c r="BO8" s="69">
        <v>0.3</v>
      </c>
      <c r="BP8" s="69">
        <v>0</v>
      </c>
      <c r="BQ8" s="69">
        <v>27.5</v>
      </c>
      <c r="BR8" s="69">
        <v>6.8</v>
      </c>
      <c r="BS8" s="69">
        <v>0</v>
      </c>
      <c r="BT8" s="69">
        <v>0</v>
      </c>
      <c r="BU8" s="69">
        <v>27.2</v>
      </c>
      <c r="BV8" s="69">
        <v>5.2</v>
      </c>
      <c r="BW8" s="69">
        <v>1.1000000000000001</v>
      </c>
      <c r="BX8" s="69">
        <v>0</v>
      </c>
      <c r="BY8" s="80"/>
      <c r="BZ8" s="11">
        <f>IF(SUM(BJ8,BN8)&gt;0,SUM(BJ8,BN8),"")</f>
        <v>13.2</v>
      </c>
      <c r="CA8" s="11">
        <f>IF(SUM(BI8:BJ8,BL8:BN8,BP8)-SUM(BK8,BO8)&gt;0,SUM(BI8:BJ8,BL8:BN8,BP8)-SUM(BK8,BO8),"")</f>
        <v>69</v>
      </c>
      <c r="CB8" s="11">
        <f>IF(SUM(BR8,BV8)&gt;0,SUM(BR8,BV8),"")</f>
        <v>12</v>
      </c>
      <c r="CC8" s="11">
        <f>IF(SUM(BQ8:BR8,BT8:BV8,BX8)-SUM(BS8,BW8)&gt;0,SUM(BQ8:BR8,BT8:BV8,BX8)-SUM(BS8,BW8),"")</f>
        <v>65.600000000000009</v>
      </c>
      <c r="CD8" s="11">
        <f>IF(SUM(CA8,CC8)&gt;0,SUM(CA8,CC8),"")</f>
        <v>134.60000000000002</v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28.25</v>
      </c>
      <c r="LZ8" s="69">
        <f>IF($BY8="P",BJ8,(BJ8+AN8)/2)</f>
        <v>6.2</v>
      </c>
      <c r="MA8" s="69">
        <f>IF($BY8="P",BK8,(BK8+AO8)/2)</f>
        <v>0.15</v>
      </c>
      <c r="MB8" s="69">
        <f>IF($BY8="P",BL8,(BL8+AP8)/2)</f>
        <v>0</v>
      </c>
      <c r="MC8" s="69">
        <f>IF($BY8="P",BM8,(BM8+AQ8)/2)</f>
        <v>28.25</v>
      </c>
      <c r="MD8" s="69">
        <f>IF($BY8="P",BN8,(BN8+AR8)/2)</f>
        <v>7</v>
      </c>
      <c r="ME8" s="69">
        <f>IF($BY8="P",BO8,(BO8+AS8)/2)</f>
        <v>0.6</v>
      </c>
      <c r="MF8" s="69">
        <f>IF($BY8="P",BP8,(BP8+AT8)/2)</f>
        <v>0</v>
      </c>
      <c r="MG8" s="69">
        <f>IF($BY8="P",BQ8,(BQ8+AU8)/2)</f>
        <v>23.65</v>
      </c>
      <c r="MH8" s="69">
        <f>IF($BY8="P",BR8,(BR8+AV8)/2)</f>
        <v>5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27.6</v>
      </c>
      <c r="ML8" s="69">
        <f>IF($BY8="P",BV8,(BV8+AZ8)/2)</f>
        <v>6</v>
      </c>
      <c r="MM8" s="69">
        <f>IF($BY8="P",BW8,(BW8+BA8)/2)</f>
        <v>1</v>
      </c>
      <c r="MN8" s="69">
        <f>IF($BY8="P",BX8,(BX8+BB8)/2)</f>
        <v>0</v>
      </c>
      <c r="MO8" s="80" t="s">
        <v>74</v>
      </c>
      <c r="MP8" s="11">
        <f>IF(SUM(LZ8,MD8)&gt;0,SUM(LZ8,MD8),"")</f>
        <v>13.2</v>
      </c>
      <c r="MQ8" s="11">
        <f>IF(SUM(LY8:LZ8,MB8:MD8,MF8)-SUM(MA8,ME8)&gt;0,SUM(LY8:LZ8,MB8:MD8,MF8)-SUM(MA8,ME8),"")</f>
        <v>68.95</v>
      </c>
      <c r="MR8" s="11">
        <f>IF(SUM(MH8,ML8)&gt;0,SUM(MH8,ML8),"")</f>
        <v>11</v>
      </c>
      <c r="MS8" s="11">
        <f>IF(SUM(MG8:MH8,MJ8:ML8,MN8)-SUM(MI8,MM8)&gt;0,SUM(MG8:MH8,MJ8:ML8,MN8)-SUM(MI8,MM8),"")</f>
        <v>61.25</v>
      </c>
      <c r="MT8" s="11">
        <f>IF(SUM(MQ8,MS8)&gt;0,SUM(MQ8,MS8),"")</f>
        <v>130.19999999999999</v>
      </c>
    </row>
    <row r="9" spans="1:358" x14ac:dyDescent="0.2">
      <c r="A9" s="5" t="str">
        <f>IF(AND(F9="P",G9="P"),SUMPRODUCT((F$4:F$16="P")*(G$4:G$16="P")*(E$4:E$16&gt;E9))+1,IF(G9="P",SUMPRODUCT((F$4:F$16="")*(G$4:G$16="P")*(E$4:E$16&gt;E9))+1+SUMPRODUCT((F$4:F$16="P")*(G$4:G$16="P")),""))</f>
        <v/>
      </c>
      <c r="B9" s="8" t="s">
        <v>125</v>
      </c>
      <c r="C9" s="4" t="s">
        <v>6</v>
      </c>
      <c r="D9" s="5">
        <v>2003</v>
      </c>
      <c r="E9" s="15">
        <f>SUM(J9:N9)</f>
        <v>194.2</v>
      </c>
      <c r="F9" s="3" t="str">
        <f>IF(OR(AND(AH9&gt;=AL$18,AI9&gt;=AL$22,AI9&lt;&gt;"",AG9=""),AND(BD9&gt;=BH$18,BE9&gt;=BH$22,BE9&lt;&gt;"",BC9=""),AND(BZ9&gt;=CD$18,CA9&gt;=CD$22,CA9&lt;&gt;"",BY9=""),AND(CW9&gt;=DA$18,CX9&gt;=DA$22,CX9&lt;&gt;""),AND(DR9&gt;=DV$18,DS9&gt;=DV$22,DS9&lt;&gt;""),AND(EM9&gt;=EQ$18,EN9&gt;=EQ$22,EN9&lt;&gt;""),AND(FH9&gt;=FL$18,FI9&gt;=FL$22,FI9&lt;&gt;""),AND(GC9&gt;=GG$18,GD9&gt;=GG$22,GD9&lt;&gt;""),AND(GX9&gt;=HB$18,GY9&gt;=HB$22,GY9&lt;&gt;""),AND(HS9&gt;=HW$18,HT9&gt;=HW$22,HT9&lt;&gt;""),AND(IN9&gt;=IR$18,IO9&gt;=IR$22,IO9&lt;&gt;""),AND(JI9&gt;=JM$18,JJ9&gt;=JM$22,JJ9&lt;&gt;""),AND(KD9&gt;=KH$18,KE9&gt;=KH$22,KE9&lt;&gt;""),AND(KY9&gt;=LC$18,KZ9&gt;=LC$22,KZ9&lt;&gt;""),AND(LT9&gt;=LX$18,LU9&gt;=LX$22,LU9&lt;&gt;"")),"P","")</f>
        <v/>
      </c>
      <c r="G9" s="3" t="str">
        <f>IF(OR(AND(AI9&gt;=AL$22,AI9&lt;&gt;"",AG9=""),AND(BE9&gt;=BH$22,BE9&lt;&gt;"",BC9=""),AND(CA9&gt;=CD$22,CA9&lt;&gt;"",BY9=""),AND(CX9&gt;=DA$22,CX9&lt;&gt;""),AND(DS9&gt;=DV$22,DS9&lt;&gt;""),AND(EN9&gt;=EQ$22,EN9&lt;&gt;""),AND(FI9&gt;=FL$22,FI9&lt;&gt;""),AND(GD9&gt;=GG$22,GD9&lt;&gt;""),AND(GY9&gt;=HB$22,GY9&lt;&gt;""),AND(HT9&gt;=HW$22,HT9&lt;&gt;""),AND(IO9&gt;=IR$22,IO9&lt;&gt;""),AND(JJ9&gt;=JM$22,JJ9&lt;&gt;""),AND(KE9&gt;=KH$22,KE9&lt;&gt;""),AND(KZ9&gt;=LC$22,KZ9&lt;&gt;""),AND(LU9&gt;=LX$22,LU9&lt;&gt;"")),"P","")</f>
        <v/>
      </c>
      <c r="H9" s="126" t="str">
        <f>IF(AND(G9="P",F9=""),"No DD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Merit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Excellence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Worlds Team",IF(OR(AND(AH9&gt;=AL$18,AH9&lt;&gt;"",AI9&gt;=AL$22,AI9&lt;&gt;"",AG9=""),AND(BD9&gt;=BH$18,BD9&lt;&gt;"",BE9&gt;=BH$22,BE9&lt;&gt;"",BC9=""),AND(BZ9&gt;=CD$18,BZ9&lt;&gt;"",CA9&gt;=CD$22,CA9&lt;&gt;"",BY9=""),AND(CW9&gt;=DA$18,CW9&lt;&gt;"",CX9&gt;=DA$22,CX9&lt;&gt;""),AND(DR9&gt;=DV$18,DR9&lt;&gt;"",DS9&gt;=DV$22,DS9&lt;&gt;""),AND(EM9&gt;=EQ$18,EM9&lt;&gt;"",EN9&gt;=EQ$22,EN9&lt;&gt;""),AND(FH9&gt;=FL$18,FH9&lt;&gt;"",FI9&gt;=FL$22,FI9&lt;&gt;""),AND(GC9&gt;=GG$18,GC9&lt;&gt;"",GD9&gt;=GG$22,GD9&lt;&gt;""),AND(GX9&gt;=HB$18,GX9&lt;&gt;"",GY9&gt;=HB$22,GY9&lt;&gt;""),AND(HS9&gt;=HW$18,HS9&lt;&gt;"",HT9&gt;=HW$22,HT9&lt;&gt;""),AND(IN9&gt;=IR$18,IN9&lt;&gt;"",IO9&gt;=IR$22,IO9&lt;&gt;""),AND(JI9&gt;=JM$18,JI9&lt;&gt;"",JJ9&gt;=JM$22,JJ9&lt;&gt;""),AND(KD9&gt;=KH$18,KD9&lt;&gt;"",KE9&gt;=KH$22,KE9&lt;&gt;""),AND(KY9&gt;=LC$18,KY9&lt;&gt;"",KZ9&gt;=LC$22,KZ9&lt;&gt;""),AND(LT9&gt;=LX$18,LT9&lt;&gt;"",LU9&gt;=LX$22,LU9&lt;&gt;"")),"National Team","")))))</f>
        <v/>
      </c>
      <c r="I9" s="3" t="str">
        <f>IF(OR(H9="Worlds Team",H9="Excellence",H9="Merit"),"P","")</f>
        <v/>
      </c>
      <c r="J9" s="14">
        <f>MAX(AI9,BE9,CA9)</f>
        <v>69.199999999999989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125.00000000000001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28.2</v>
      </c>
      <c r="R9" s="69">
        <v>7.2</v>
      </c>
      <c r="S9" s="69">
        <v>0.9</v>
      </c>
      <c r="T9" s="69">
        <v>0</v>
      </c>
      <c r="U9" s="69">
        <v>20.100000000000001</v>
      </c>
      <c r="V9" s="69">
        <v>3.2</v>
      </c>
      <c r="W9" s="69">
        <v>0</v>
      </c>
      <c r="X9" s="69">
        <v>0</v>
      </c>
      <c r="Y9" s="69">
        <v>28</v>
      </c>
      <c r="Z9" s="69">
        <v>6.9</v>
      </c>
      <c r="AA9" s="69">
        <v>0</v>
      </c>
      <c r="AB9" s="69">
        <v>0</v>
      </c>
      <c r="AC9" s="69">
        <v>28.6</v>
      </c>
      <c r="AD9" s="69">
        <v>4.3</v>
      </c>
      <c r="AE9" s="69">
        <v>1.7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57.800000000000004</v>
      </c>
      <c r="AJ9" s="11">
        <f>IF(SUM(Z9,AD9)&gt;0,SUM(Z9,AD9),"")</f>
        <v>11.2</v>
      </c>
      <c r="AK9" s="11">
        <f>IF(SUM(Y9:Z9,AB9:AD9,AF9)-SUM(AA9,AE9)&gt;0,SUM(Y9:Z9,AB9:AD9,AF9)-SUM(AA9,AE9),"")</f>
        <v>66.099999999999994</v>
      </c>
      <c r="AL9" s="11">
        <f>IF(SUM(AI9,AK9)&gt;0,SUM(AI9,AK9),"")</f>
        <v>123.9</v>
      </c>
      <c r="AM9" s="38">
        <v>27.8</v>
      </c>
      <c r="AN9" s="38">
        <v>7.3</v>
      </c>
      <c r="AO9" s="38">
        <v>0.3</v>
      </c>
      <c r="AP9" s="38">
        <v>0</v>
      </c>
      <c r="AQ9" s="38">
        <v>28.1</v>
      </c>
      <c r="AR9" s="38">
        <v>6</v>
      </c>
      <c r="AS9" s="38">
        <v>0.3</v>
      </c>
      <c r="AT9" s="38">
        <v>0</v>
      </c>
      <c r="AU9" s="38">
        <v>27.9</v>
      </c>
      <c r="AV9" s="38">
        <v>3.5</v>
      </c>
      <c r="AW9" s="38">
        <v>2.5</v>
      </c>
      <c r="AX9" s="38">
        <v>0</v>
      </c>
      <c r="AY9" s="38">
        <v>27.3</v>
      </c>
      <c r="AZ9" s="38">
        <v>3.1</v>
      </c>
      <c r="BA9" s="38">
        <v>2.9</v>
      </c>
      <c r="BB9" s="38">
        <v>0</v>
      </c>
      <c r="BC9" s="81"/>
      <c r="BD9" s="14">
        <f>IF(SUM(AN9,AR9)&gt;0,SUM(AN9,AR9),"")</f>
        <v>13.3</v>
      </c>
      <c r="BE9" s="14">
        <f>IF(SUM(AM9:AN9,AP9:AR9,AT9)-SUM(AO9,AS9)&gt;0,SUM(AM9:AN9,AP9:AR9,AT9)-SUM(AO9,AS9),"")</f>
        <v>68.600000000000009</v>
      </c>
      <c r="BF9" s="14">
        <f>IF(SUM(AV9,AZ9)&gt;0,SUM(AV9,AZ9),"")</f>
        <v>6.6</v>
      </c>
      <c r="BG9" s="14">
        <f>IF(SUM(AU9:AV9,AX9:AZ9,BB9)-SUM(AW9,BA9)&gt;0,SUM(AU9:AV9,AX9:AZ9,BB9)-SUM(AW9,BA9),"")</f>
        <v>56.400000000000006</v>
      </c>
      <c r="BH9" s="14">
        <f>IF(SUM(BE9,BG9)&gt;0,SUM(BE9,BG9),"")</f>
        <v>125.00000000000001</v>
      </c>
      <c r="BI9" s="69">
        <v>28.2</v>
      </c>
      <c r="BJ9" s="69">
        <v>5.6</v>
      </c>
      <c r="BK9" s="69">
        <v>0.4</v>
      </c>
      <c r="BL9" s="69">
        <v>0</v>
      </c>
      <c r="BM9" s="69">
        <v>28.1</v>
      </c>
      <c r="BN9" s="69">
        <v>7.7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20</v>
      </c>
      <c r="BV9" s="69">
        <v>2.4</v>
      </c>
      <c r="BW9" s="69">
        <v>0</v>
      </c>
      <c r="BX9" s="69">
        <v>0</v>
      </c>
      <c r="BY9" s="80"/>
      <c r="BZ9" s="11">
        <f>IF(SUM(BJ9,BN9)&gt;0,SUM(BJ9,BN9),"")</f>
        <v>13.3</v>
      </c>
      <c r="CA9" s="11">
        <f>IF(SUM(BI9:BJ9,BL9:BN9,BP9)-SUM(BK9,BO9)&gt;0,SUM(BI9:BJ9,BL9:BN9,BP9)-SUM(BK9,BO9),"")</f>
        <v>69.199999999999989</v>
      </c>
      <c r="CB9" s="11">
        <f>IF(SUM(BR9,BV9)&gt;0,SUM(BR9,BV9),"")</f>
        <v>2.4</v>
      </c>
      <c r="CC9" s="11">
        <f>IF(SUM(BQ9:BR9,BT9:BV9,BX9)-SUM(BS9,BW9)&gt;0,SUM(BQ9:BR9,BT9:BV9,BX9)-SUM(BS9,BW9),"")</f>
        <v>22.4</v>
      </c>
      <c r="CD9" s="11">
        <f>IF(SUM(CA9,CC9)&gt;0,SUM(CA9,CC9),"")</f>
        <v>91.6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</v>
      </c>
      <c r="LZ9" s="69">
        <f>IF($BY9="P",BJ9,(BJ9+AN9)/2)</f>
        <v>6.4499999999999993</v>
      </c>
      <c r="MA9" s="69">
        <f>IF($BY9="P",BK9,(BK9+AO9)/2)</f>
        <v>0.35</v>
      </c>
      <c r="MB9" s="69">
        <f>IF($BY9="P",BL9,(BL9+AP9)/2)</f>
        <v>0</v>
      </c>
      <c r="MC9" s="69">
        <f>IF($BY9="P",BM9,(BM9+AQ9)/2)</f>
        <v>28.1</v>
      </c>
      <c r="MD9" s="69">
        <f>IF($BY9="P",BN9,(BN9+AR9)/2)</f>
        <v>6.85</v>
      </c>
      <c r="ME9" s="69">
        <f>IF($BY9="P",BO9,(BO9+AS9)/2)</f>
        <v>0.15</v>
      </c>
      <c r="MF9" s="69">
        <f>IF($BY9="P",BP9,(BP9+AT9)/2)</f>
        <v>0</v>
      </c>
      <c r="MG9" s="69">
        <f>IF($BY9="P",BQ9,(BQ9+AU9)/2)</f>
        <v>13.95</v>
      </c>
      <c r="MH9" s="69">
        <f>IF($BY9="P",BR9,(BR9+AV9)/2)</f>
        <v>1.75</v>
      </c>
      <c r="MI9" s="69">
        <f>IF($BY9="P",BS9,(BS9+AW9)/2)</f>
        <v>1.25</v>
      </c>
      <c r="MJ9" s="69">
        <f>IF($BY9="P",BT9,(BT9+AX9)/2)</f>
        <v>0</v>
      </c>
      <c r="MK9" s="69">
        <f>IF($BY9="P",BU9,(BU9+AY9)/2)</f>
        <v>23.65</v>
      </c>
      <c r="ML9" s="69">
        <f>IF($BY9="P",BV9,(BV9+AZ9)/2)</f>
        <v>2.75</v>
      </c>
      <c r="MM9" s="69">
        <f>IF($BY9="P",BW9,(BW9+BA9)/2)</f>
        <v>1.45</v>
      </c>
      <c r="MN9" s="69">
        <f>IF($BY9="P",BX9,(BX9+BB9)/2)</f>
        <v>0</v>
      </c>
      <c r="MO9" s="80" t="s">
        <v>74</v>
      </c>
      <c r="MP9" s="11">
        <f>IF(SUM(LZ9,MD9)&gt;0,SUM(LZ9,MD9),"")</f>
        <v>13.299999999999999</v>
      </c>
      <c r="MQ9" s="11">
        <f>IF(SUM(LY9:LZ9,MB9:MD9,MF9)-SUM(MA9,ME9)&gt;0,SUM(LY9:LZ9,MB9:MD9,MF9)-SUM(MA9,ME9),"")</f>
        <v>68.900000000000006</v>
      </c>
      <c r="MR9" s="11">
        <f>IF(SUM(MH9,ML9)&gt;0,SUM(MH9,ML9),"")</f>
        <v>4.5</v>
      </c>
      <c r="MS9" s="11">
        <f>IF(SUM(MG9:MH9,MJ9:ML9,MN9)-SUM(MI9,MM9)&gt;0,SUM(MG9:MH9,MJ9:ML9,MN9)-SUM(MI9,MM9),"")</f>
        <v>39.399999999999991</v>
      </c>
      <c r="MT9" s="11">
        <f>IF(SUM(MQ9,MS9)&gt;0,SUM(MQ9,MS9),"")</f>
        <v>108.3</v>
      </c>
    </row>
    <row r="10" spans="1:358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8" t="s">
        <v>124</v>
      </c>
      <c r="C10" s="4" t="s">
        <v>9</v>
      </c>
      <c r="D10" s="5">
        <v>2000</v>
      </c>
      <c r="E10" s="15">
        <f>SUM(J10:N10)</f>
        <v>193.10000000000002</v>
      </c>
      <c r="F10" s="3" t="str">
        <f>IF(OR(AND(AH10&gt;=AL$18,AI10&gt;=AL$22,AI10&lt;&gt;"",AG10=""),AND(BD10&gt;=BH$18,BE10&gt;=BH$22,BE10&lt;&gt;"",BC10=""),AND(BZ10&gt;=CD$18,CA10&gt;=CD$22,CA10&lt;&gt;"",BY10=""),AND(CW10&gt;=DA$18,CX10&gt;=DA$22,CX10&lt;&gt;""),AND(DR10&gt;=DV$18,DS10&gt;=DV$22,DS10&lt;&gt;""),AND(EM10&gt;=EQ$18,EN10&gt;=EQ$22,EN10&lt;&gt;""),AND(FH10&gt;=FL$18,FI10&gt;=FL$22,FI10&lt;&gt;""),AND(GC10&gt;=GG$18,GD10&gt;=GG$22,GD10&lt;&gt;""),AND(GX10&gt;=HB$18,GY10&gt;=HB$22,GY10&lt;&gt;""),AND(HS10&gt;=HW$18,HT10&gt;=HW$22,HT10&lt;&gt;""),AND(IN10&gt;=IR$18,IO10&gt;=IR$22,IO10&lt;&gt;""),AND(JI10&gt;=JM$18,JJ10&gt;=JM$22,JJ10&lt;&gt;""),AND(KD10&gt;=KH$18,KE10&gt;=KH$22,KE10&lt;&gt;""),AND(KY10&gt;=LC$18,KZ10&gt;=LC$22,KZ10&lt;&gt;""),AND(LT10&gt;=LX$18,LU10&gt;=LX$22,LU10&lt;&gt;"")),"P","")</f>
        <v/>
      </c>
      <c r="G10" s="3" t="str">
        <f>IF(OR(AND(AI10&gt;=AL$22,AI10&lt;&gt;"",AG10=""),AND(BE10&gt;=BH$22,BE10&lt;&gt;"",BC10=""),AND(CA10&gt;=CD$22,CA10&lt;&gt;"",BY10=""),AND(CX10&gt;=DA$22,CX10&lt;&gt;""),AND(DS10&gt;=DV$22,DS10&lt;&gt;""),AND(EN10&gt;=EQ$22,EN10&lt;&gt;""),AND(FI10&gt;=FL$22,FI10&lt;&gt;""),AND(GD10&gt;=GG$22,GD10&lt;&gt;""),AND(GY10&gt;=HB$22,GY10&lt;&gt;""),AND(HT10&gt;=HW$22,HT10&lt;&gt;""),AND(IO10&gt;=IR$22,IO10&lt;&gt;""),AND(JJ10&gt;=JM$22,JJ10&lt;&gt;""),AND(KE10&gt;=KH$22,KE10&lt;&gt;""),AND(KZ10&gt;=LC$22,KZ10&lt;&gt;""),AND(LU10&gt;=LX$22,LU10&lt;&gt;"")),"P","")</f>
        <v/>
      </c>
      <c r="H10" s="126" t="str">
        <f>IF(AND(G10="P",F10=""),"No DD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Merit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Excellence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Worlds Team",IF(OR(AND(AH10&gt;=AL$18,AH10&lt;&gt;"",AI10&gt;=AL$22,AI10&lt;&gt;"",AG10=""),AND(BD10&gt;=BH$18,BD10&lt;&gt;"",BE10&gt;=BH$22,BE10&lt;&gt;"",BC10=""),AND(BZ10&gt;=CD$18,BZ10&lt;&gt;"",CA10&gt;=CD$22,CA10&lt;&gt;"",BY10=""),AND(CW10&gt;=DA$18,CW10&lt;&gt;"",CX10&gt;=DA$22,CX10&lt;&gt;""),AND(DR10&gt;=DV$18,DR10&lt;&gt;"",DS10&gt;=DV$22,DS10&lt;&gt;""),AND(EM10&gt;=EQ$18,EM10&lt;&gt;"",EN10&gt;=EQ$22,EN10&lt;&gt;""),AND(FH10&gt;=FL$18,FH10&lt;&gt;"",FI10&gt;=FL$22,FI10&lt;&gt;""),AND(GC10&gt;=GG$18,GC10&lt;&gt;"",GD10&gt;=GG$22,GD10&lt;&gt;""),AND(GX10&gt;=HB$18,GX10&lt;&gt;"",GY10&gt;=HB$22,GY10&lt;&gt;""),AND(HS10&gt;=HW$18,HS10&lt;&gt;"",HT10&gt;=HW$22,HT10&lt;&gt;""),AND(IN10&gt;=IR$18,IN10&lt;&gt;"",IO10&gt;=IR$22,IO10&lt;&gt;""),AND(JI10&gt;=JM$18,JI10&lt;&gt;"",JJ10&gt;=JM$22,JJ10&lt;&gt;""),AND(KD10&gt;=KH$18,KD10&lt;&gt;"",KE10&gt;=KH$22,KE10&lt;&gt;""),AND(KY10&gt;=LC$18,KY10&lt;&gt;"",KZ10&gt;=LC$22,KZ10&lt;&gt;""),AND(LT10&gt;=LX$18,LT10&lt;&gt;"",LU10&gt;=LX$22,LU10&lt;&gt;"")),"National Team","")))))</f>
        <v/>
      </c>
      <c r="I10" s="3" t="str">
        <f>IF(OR(H10="Worlds Team",H10="Excellence",H10="Merit"),"P","")</f>
        <v/>
      </c>
      <c r="J10" s="14">
        <f>MAX(AI10,BE10,CA10)</f>
        <v>65.500000000000014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127.6</v>
      </c>
      <c r="M10" s="14" t="str">
        <f>IF(L10=0,"",IF(AND(J10&lt;&gt;CA10,L10=CD10),$BI$1,IF(AND(J10&lt;&gt;BE10,L10=BH10),$AM$1,IF(L10=AL10,$Q$1,""))))</f>
        <v>2021 Canadian Championships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25.6</v>
      </c>
      <c r="R10" s="69">
        <v>7.6</v>
      </c>
      <c r="S10" s="69">
        <v>1.5</v>
      </c>
      <c r="T10" s="69">
        <v>0</v>
      </c>
      <c r="U10" s="69">
        <v>27.7</v>
      </c>
      <c r="V10" s="69">
        <v>6.4</v>
      </c>
      <c r="W10" s="69">
        <v>0.3</v>
      </c>
      <c r="X10" s="69">
        <v>0</v>
      </c>
      <c r="Y10" s="69">
        <v>26.8</v>
      </c>
      <c r="Z10" s="69">
        <v>6.4</v>
      </c>
      <c r="AA10" s="69">
        <v>0.3</v>
      </c>
      <c r="AB10" s="69">
        <v>0</v>
      </c>
      <c r="AC10" s="69">
        <v>28</v>
      </c>
      <c r="AD10" s="69">
        <v>2.4</v>
      </c>
      <c r="AE10" s="69">
        <v>3.9</v>
      </c>
      <c r="AF10" s="69">
        <v>0</v>
      </c>
      <c r="AG10" s="80"/>
      <c r="AH10" s="11">
        <f>IF(SUM(R10,V10)&gt;0,SUM(R10,V10),"")</f>
        <v>14</v>
      </c>
      <c r="AI10" s="11">
        <f>IF(SUM(Q10:R10,T10:V10,X10)-SUM(S10,W10)&gt;0,SUM(Q10:R10,T10:V10,X10)-SUM(S10,W10),"")</f>
        <v>65.500000000000014</v>
      </c>
      <c r="AJ10" s="11">
        <f>IF(SUM(Z10,AD10)&gt;0,SUM(Z10,AD10),"")</f>
        <v>8.8000000000000007</v>
      </c>
      <c r="AK10" s="11">
        <f>IF(SUM(Y10:Z10,AB10:AD10,AF10)-SUM(AA10,AE10)&gt;0,SUM(Y10:Z10,AB10:AD10,AF10)-SUM(AA10,AE10),"")</f>
        <v>59.4</v>
      </c>
      <c r="AL10" s="11">
        <f>IF(SUM(AI10,AK10)&gt;0,SUM(AI10,AK10),"")</f>
        <v>124.9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9">
        <v>25.7</v>
      </c>
      <c r="BJ10" s="69">
        <v>6</v>
      </c>
      <c r="BK10" s="69">
        <v>1.8</v>
      </c>
      <c r="BL10" s="69">
        <v>0</v>
      </c>
      <c r="BM10" s="69">
        <v>28</v>
      </c>
      <c r="BN10" s="69">
        <v>6</v>
      </c>
      <c r="BO10" s="69">
        <v>0.3</v>
      </c>
      <c r="BP10" s="69">
        <v>0</v>
      </c>
      <c r="BQ10" s="69">
        <v>27.2</v>
      </c>
      <c r="BR10" s="69">
        <v>6</v>
      </c>
      <c r="BS10" s="69">
        <v>0.3</v>
      </c>
      <c r="BT10" s="69">
        <v>0</v>
      </c>
      <c r="BU10" s="69">
        <v>27.9</v>
      </c>
      <c r="BV10" s="69">
        <v>4.5999999999999996</v>
      </c>
      <c r="BW10" s="69">
        <v>1.4</v>
      </c>
      <c r="BX10" s="69">
        <v>0</v>
      </c>
      <c r="BY10" s="80"/>
      <c r="BZ10" s="11">
        <f>IF(SUM(BJ10,BN10)&gt;0,SUM(BJ10,BN10),"")</f>
        <v>12</v>
      </c>
      <c r="CA10" s="11">
        <f>IF(SUM(BI10:BJ10,BL10:BN10,BP10)-SUM(BK10,BO10)&gt;0,SUM(BI10:BJ10,BL10:BN10,BP10)-SUM(BK10,BO10),"")</f>
        <v>63.6</v>
      </c>
      <c r="CB10" s="11">
        <f>IF(SUM(BR10,BV10)&gt;0,SUM(BR10,BV10),"")</f>
        <v>10.6</v>
      </c>
      <c r="CC10" s="11">
        <f>IF(SUM(BQ10:BR10,BT10:BV10,BX10)-SUM(BS10,BW10)&gt;0,SUM(BQ10:BR10,BT10:BV10,BX10)-SUM(BS10,BW10),"")</f>
        <v>64</v>
      </c>
      <c r="CD10" s="11">
        <f>IF(SUM(CA10,CC10)&gt;0,SUM(CA10,CC10),"")</f>
        <v>127.6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12.85</v>
      </c>
      <c r="LZ10" s="69">
        <f>IF($BY10="P",BJ10,(BJ10+AN10)/2)</f>
        <v>3</v>
      </c>
      <c r="MA10" s="69">
        <f>IF($BY10="P",BK10,(BK10+AO10)/2)</f>
        <v>0.9</v>
      </c>
      <c r="MB10" s="69">
        <f>IF($BY10="P",BL10,(BL10+AP10)/2)</f>
        <v>0</v>
      </c>
      <c r="MC10" s="69">
        <f>IF($BY10="P",BM10,(BM10+AQ10)/2)</f>
        <v>14</v>
      </c>
      <c r="MD10" s="69">
        <f>IF($BY10="P",BN10,(BN10+AR10)/2)</f>
        <v>3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13.6</v>
      </c>
      <c r="MH10" s="69">
        <f>IF($BY10="P",BR10,(BR10+AV10)/2)</f>
        <v>3</v>
      </c>
      <c r="MI10" s="69">
        <f>IF($BY10="P",BS10,(BS10+AW10)/2)</f>
        <v>0.15</v>
      </c>
      <c r="MJ10" s="69">
        <f>IF($BY10="P",BT10,(BT10+AX10)/2)</f>
        <v>0</v>
      </c>
      <c r="MK10" s="69">
        <f>IF($BY10="P",BU10,(BU10+AY10)/2)</f>
        <v>13.95</v>
      </c>
      <c r="ML10" s="69">
        <f>IF($BY10="P",BV10,(BV10+AZ10)/2)</f>
        <v>2.2999999999999998</v>
      </c>
      <c r="MM10" s="69">
        <f>IF($BY10="P",BW10,(BW10+BA10)/2)</f>
        <v>0.7</v>
      </c>
      <c r="MN10" s="69">
        <f>IF($BY10="P",BX10,(BX10+BB10)/2)</f>
        <v>0</v>
      </c>
      <c r="MO10" s="80" t="s">
        <v>74</v>
      </c>
      <c r="MP10" s="11">
        <f>IF(SUM(LZ10,MD10)&gt;0,SUM(LZ10,MD10),"")</f>
        <v>6</v>
      </c>
      <c r="MQ10" s="11">
        <f>IF(SUM(LY10:LZ10,MB10:MD10,MF10)-SUM(MA10,ME10)&gt;0,SUM(LY10:LZ10,MB10:MD10,MF10)-SUM(MA10,ME10),"")</f>
        <v>31.8</v>
      </c>
      <c r="MR10" s="11">
        <f>IF(SUM(MH10,ML10)&gt;0,SUM(MH10,ML10),"")</f>
        <v>5.3</v>
      </c>
      <c r="MS10" s="11">
        <f>IF(SUM(MG10:MH10,MJ10:ML10,MN10)-SUM(MI10,MM10)&gt;0,SUM(MG10:MH10,MJ10:ML10,MN10)-SUM(MI10,MM10),"")</f>
        <v>32</v>
      </c>
      <c r="MT10" s="11">
        <f>IF(SUM(MQ10,MS10)&gt;0,SUM(MQ10,MS10),"")</f>
        <v>63.8</v>
      </c>
    </row>
    <row r="11" spans="1:358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8" t="s">
        <v>10</v>
      </c>
      <c r="C11" s="4" t="s">
        <v>5</v>
      </c>
      <c r="D11" s="5">
        <v>1994</v>
      </c>
      <c r="E11" s="15">
        <f>SUM(J11:N11)</f>
        <v>185.20000000000002</v>
      </c>
      <c r="F11" s="3" t="str">
        <f>IF(OR(AND(AH11&gt;=AL$18,AI11&gt;=AL$22,AI11&lt;&gt;"",AG11=""),AND(BD11&gt;=BH$18,BE11&gt;=BH$22,BE11&lt;&gt;"",BC11=""),AND(BZ11&gt;=CD$18,CA11&gt;=CD$22,CA11&lt;&gt;"",BY11=""),AND(CW11&gt;=DA$18,CX11&gt;=DA$22,CX11&lt;&gt;""),AND(DR11&gt;=DV$18,DS11&gt;=DV$22,DS11&lt;&gt;""),AND(EM11&gt;=EQ$18,EN11&gt;=EQ$22,EN11&lt;&gt;""),AND(FH11&gt;=FL$18,FI11&gt;=FL$22,FI11&lt;&gt;""),AND(GC11&gt;=GG$18,GD11&gt;=GG$22,GD11&lt;&gt;""),AND(GX11&gt;=HB$18,GY11&gt;=HB$22,GY11&lt;&gt;""),AND(HS11&gt;=HW$18,HT11&gt;=HW$22,HT11&lt;&gt;""),AND(IN11&gt;=IR$18,IO11&gt;=IR$22,IO11&lt;&gt;""),AND(JI11&gt;=JM$18,JJ11&gt;=JM$22,JJ11&lt;&gt;""),AND(KD11&gt;=KH$18,KE11&gt;=KH$22,KE11&lt;&gt;""),AND(KY11&gt;=LC$18,KZ11&gt;=LC$22,KZ11&lt;&gt;""),AND(LT11&gt;=LX$18,LU11&gt;=LX$22,LU11&lt;&gt;"")),"P","")</f>
        <v/>
      </c>
      <c r="G11" s="3" t="str">
        <f>IF(OR(AND(AI11&gt;=AL$22,AI11&lt;&gt;"",AG11=""),AND(BE11&gt;=BH$22,BE11&lt;&gt;"",BC11=""),AND(CA11&gt;=CD$22,CA11&lt;&gt;"",BY11=""),AND(CX11&gt;=DA$22,CX11&lt;&gt;""),AND(DS11&gt;=DV$22,DS11&lt;&gt;""),AND(EN11&gt;=EQ$22,EN11&lt;&gt;""),AND(FI11&gt;=FL$22,FI11&lt;&gt;""),AND(GD11&gt;=GG$22,GD11&lt;&gt;""),AND(GY11&gt;=HB$22,GY11&lt;&gt;""),AND(HT11&gt;=HW$22,HT11&lt;&gt;""),AND(IO11&gt;=IR$22,IO11&lt;&gt;""),AND(JJ11&gt;=JM$22,JJ11&lt;&gt;""),AND(KE11&gt;=KH$22,KE11&lt;&gt;""),AND(KZ11&gt;=LC$22,KZ11&lt;&gt;""),AND(LU11&gt;=LX$22,LU11&lt;&gt;"")),"P","")</f>
        <v/>
      </c>
      <c r="H11" s="126" t="str">
        <f>IF(AND(G11="P",F11=""),"No DD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Merit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Excellence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Worlds Team",IF(OR(AND(AH11&gt;=AL$18,AH11&lt;&gt;"",AI11&gt;=AL$22,AI11&lt;&gt;"",AG11=""),AND(BD11&gt;=BH$18,BD11&lt;&gt;"",BE11&gt;=BH$22,BE11&lt;&gt;"",BC11=""),AND(BZ11&gt;=CD$18,BZ11&lt;&gt;"",CA11&gt;=CD$22,CA11&lt;&gt;"",BY11=""),AND(CW11&gt;=DA$18,CW11&lt;&gt;"",CX11&gt;=DA$22,CX11&lt;&gt;""),AND(DR11&gt;=DV$18,DR11&lt;&gt;"",DS11&gt;=DV$22,DS11&lt;&gt;""),AND(EM11&gt;=EQ$18,EM11&lt;&gt;"",EN11&gt;=EQ$22,EN11&lt;&gt;""),AND(FH11&gt;=FL$18,FH11&lt;&gt;"",FI11&gt;=FL$22,FI11&lt;&gt;""),AND(GC11&gt;=GG$18,GC11&lt;&gt;"",GD11&gt;=GG$22,GD11&lt;&gt;""),AND(GX11&gt;=HB$18,GX11&lt;&gt;"",GY11&gt;=HB$22,GY11&lt;&gt;""),AND(HS11&gt;=HW$18,HS11&lt;&gt;"",HT11&gt;=HW$22,HT11&lt;&gt;""),AND(IN11&gt;=IR$18,IN11&lt;&gt;"",IO11&gt;=IR$22,IO11&lt;&gt;""),AND(JI11&gt;=JM$18,JI11&lt;&gt;"",JJ11&gt;=JM$22,JJ11&lt;&gt;""),AND(KD11&gt;=KH$18,KD11&lt;&gt;"",KE11&gt;=KH$22,KE11&lt;&gt;""),AND(KY11&gt;=LC$18,KY11&lt;&gt;"",KZ11&gt;=LC$22,KZ11&lt;&gt;""),AND(LT11&gt;=LX$18,LT11&lt;&gt;"",LU11&gt;=LX$22,LU11&lt;&gt;"")),"National Team","")))))</f>
        <v/>
      </c>
      <c r="I11" s="3" t="str">
        <f>IF(OR(H11="Worlds Team",H11="Excellence",H11="Merit"),"P","")</f>
        <v/>
      </c>
      <c r="J11" s="14">
        <f>MAX(AI11,BE11,CA11)</f>
        <v>64.7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116.4</v>
      </c>
      <c r="M11" s="14" t="str">
        <f>IF(L11=0,"",IF(AND(J11&lt;&gt;CA11,L11=CD11),$BI$1,IF(AND(J11&lt;&gt;BE11,L11=BH11),$AM$1,IF(L11=AL11,$Q$1,""))))</f>
        <v>2021 2nd Virtual Technical Trial</v>
      </c>
      <c r="N11" s="14">
        <f>IF(MAX(CE11:CF11)&gt;0,MAX(CE11:CF11),"")</f>
        <v>4.0999999999999943</v>
      </c>
      <c r="O11" s="25" t="str">
        <f>IF(N11="","",IF(N11=CE11,"(Prelim)",IF(N11=CF11,"(4 Pass)")))</f>
        <v>(Prelim)</v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>2021 World Championships (Nov 18)</v>
      </c>
      <c r="Q11" s="69">
        <v>20.3</v>
      </c>
      <c r="R11" s="69">
        <v>4</v>
      </c>
      <c r="S11" s="69">
        <v>0</v>
      </c>
      <c r="T11" s="69">
        <v>0</v>
      </c>
      <c r="U11" s="69">
        <v>28.2</v>
      </c>
      <c r="V11" s="69">
        <v>7.2</v>
      </c>
      <c r="W11" s="69">
        <v>0.3</v>
      </c>
      <c r="X11" s="69">
        <v>0</v>
      </c>
      <c r="Y11" s="69">
        <v>20.399999999999999</v>
      </c>
      <c r="Z11" s="69">
        <v>2.8</v>
      </c>
      <c r="AA11" s="69">
        <v>0</v>
      </c>
      <c r="AB11" s="69">
        <v>0</v>
      </c>
      <c r="AC11" s="69">
        <v>27.3</v>
      </c>
      <c r="AD11" s="69">
        <v>6.8</v>
      </c>
      <c r="AE11" s="69">
        <v>0.3</v>
      </c>
      <c r="AF11" s="69">
        <v>0</v>
      </c>
      <c r="AG11" s="80"/>
      <c r="AH11" s="11">
        <f>IF(SUM(R11,V11)&gt;0,SUM(R11,V11),"")</f>
        <v>11.2</v>
      </c>
      <c r="AI11" s="11">
        <f>IF(SUM(Q11:R11,T11:V11,X11)-SUM(S11,W11)&gt;0,SUM(Q11:R11,T11:V11,X11)-SUM(S11,W11),"")</f>
        <v>59.400000000000006</v>
      </c>
      <c r="AJ11" s="11">
        <f>IF(SUM(Z11,AD11)&gt;0,SUM(Z11,AD11),"")</f>
        <v>9.6</v>
      </c>
      <c r="AK11" s="11">
        <f>IF(SUM(Y11:Z11,AB11:AD11,AF11)-SUM(AA11,AE11)&gt;0,SUM(Y11:Z11,AB11:AD11,AF11)-SUM(AA11,AE11),"")</f>
        <v>57</v>
      </c>
      <c r="AL11" s="11">
        <f>IF(SUM(AI11,AK11)&gt;0,SUM(AI11,AK11),"")</f>
        <v>116.4</v>
      </c>
      <c r="AM11" s="38">
        <v>24.1</v>
      </c>
      <c r="AN11" s="38">
        <v>5.8</v>
      </c>
      <c r="AO11" s="38">
        <v>0.15</v>
      </c>
      <c r="AP11" s="38">
        <v>0</v>
      </c>
      <c r="AQ11" s="38">
        <v>27.9</v>
      </c>
      <c r="AR11" s="38">
        <v>7.2</v>
      </c>
      <c r="AS11" s="38">
        <v>0.15</v>
      </c>
      <c r="AT11" s="38">
        <v>0</v>
      </c>
      <c r="AU11" s="38">
        <v>24.2</v>
      </c>
      <c r="AV11" s="38">
        <v>4.8499999999999996</v>
      </c>
      <c r="AW11" s="38">
        <v>0</v>
      </c>
      <c r="AX11" s="38">
        <v>0</v>
      </c>
      <c r="AY11" s="38">
        <v>27.15</v>
      </c>
      <c r="AZ11" s="38">
        <v>7</v>
      </c>
      <c r="BA11" s="38">
        <v>0.3</v>
      </c>
      <c r="BB11" s="38">
        <v>0</v>
      </c>
      <c r="BC11" s="81" t="s">
        <v>74</v>
      </c>
      <c r="BD11" s="14">
        <f>IF(SUM(AN11,AR11)&gt;0,SUM(AN11,AR11),"")</f>
        <v>13</v>
      </c>
      <c r="BE11" s="14">
        <f>IF(SUM(AM11:AN11,AP11:AR11,AT11)-SUM(AO11,AS11)&gt;0,SUM(AM11:AN11,AP11:AR11,AT11)-SUM(AO11,AS11),"")</f>
        <v>64.7</v>
      </c>
      <c r="BF11" s="14">
        <f>IF(SUM(AV11,AZ11)&gt;0,SUM(AV11,AZ11),"")</f>
        <v>11.85</v>
      </c>
      <c r="BG11" s="14">
        <f>IF(SUM(AU11:AV11,AX11:AZ11,BB11)-SUM(AW11,BA11)&gt;0,SUM(AU11:AV11,AX11:AZ11,BB11)-SUM(AW11,BA11),"")</f>
        <v>62.9</v>
      </c>
      <c r="BH11" s="14">
        <f>IF(SUM(BE11,BG11)&gt;0,SUM(BE11,BG11),"")</f>
        <v>127.6</v>
      </c>
      <c r="BI11" s="69">
        <v>20.2</v>
      </c>
      <c r="BJ11" s="69">
        <v>2.8</v>
      </c>
      <c r="BK11" s="69">
        <v>0</v>
      </c>
      <c r="BL11" s="69">
        <v>0</v>
      </c>
      <c r="BM11" s="69">
        <v>28.3</v>
      </c>
      <c r="BN11" s="69">
        <v>7.6</v>
      </c>
      <c r="BO11" s="69">
        <v>0.9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10.399999999999999</v>
      </c>
      <c r="CA11" s="11">
        <f>IF(SUM(BI11:BJ11,BL11:BN11,BP11)-SUM(BK11,BO11)&gt;0,SUM(BI11:BJ11,BL11:BN11,BP11)-SUM(BK11,BO11),"")</f>
        <v>58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58</v>
      </c>
      <c r="CE11" s="24">
        <f>IF(MAX(CX11,DS11,EN11,FI11,GD11,GY11,HT11,IO11,JJ11,KE11,KZ11,LU11)-IF(J11="",0,J11)&gt;0.001,MAX(CX11,DS11,EN11,FI11,GD11,GY11,HT11,IO11,JJ11,KE11,KZ11,LU11)-IF(J11="",0,J11),"")</f>
        <v>4.0999999999999943</v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>
        <v>27.9</v>
      </c>
      <c r="CH11" s="44">
        <v>7.6</v>
      </c>
      <c r="CI11" s="44">
        <v>0.3</v>
      </c>
      <c r="CJ11" s="44">
        <v>0</v>
      </c>
      <c r="CK11" s="44">
        <v>27.3</v>
      </c>
      <c r="CL11" s="44">
        <v>7.2</v>
      </c>
      <c r="CM11" s="44">
        <v>0.9</v>
      </c>
      <c r="CN11" s="44">
        <v>0</v>
      </c>
      <c r="CO11" s="44"/>
      <c r="CP11" s="44"/>
      <c r="CQ11" s="44"/>
      <c r="CR11" s="44"/>
      <c r="CS11" s="44"/>
      <c r="CT11" s="44"/>
      <c r="CU11" s="44"/>
      <c r="CV11" s="44"/>
      <c r="CW11" s="11">
        <f>IF(SUM(CH11,CL11)&gt;0,SUM(CH11,CL11),"")</f>
        <v>14.8</v>
      </c>
      <c r="CX11" s="11">
        <f>IF(SUM(CG11:CH11,CJ11:CL11,CN11)-SUM(CI11,CM11)&gt;0,SUM(CG11:CH11,CJ11:CL11,CN11)-SUM(CI11,CM11),"")</f>
        <v>68.8</v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>
        <f>IF(SUM(CX11,CZ11)&gt;0,SUM(CX11,CZ11),"")</f>
        <v>68.8</v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22.15</v>
      </c>
      <c r="LZ11" s="69">
        <f>IF($BY11="P",BJ11,(BJ11+AN11)/2)</f>
        <v>4.3</v>
      </c>
      <c r="MA11" s="69">
        <f>IF($BY11="P",BK11,(BK11+AO11)/2)</f>
        <v>7.4999999999999997E-2</v>
      </c>
      <c r="MB11" s="69">
        <f>IF($BY11="P",BL11,(BL11+AP11)/2)</f>
        <v>0</v>
      </c>
      <c r="MC11" s="69">
        <f>IF($BY11="P",BM11,(BM11+AQ11)/2)</f>
        <v>28.1</v>
      </c>
      <c r="MD11" s="69">
        <f>IF($BY11="P",BN11,(BN11+AR11)/2)</f>
        <v>7.4</v>
      </c>
      <c r="ME11" s="69">
        <f>IF($BY11="P",BO11,(BO11+AS11)/2)</f>
        <v>0.52500000000000002</v>
      </c>
      <c r="MF11" s="69">
        <f>IF($BY11="P",BP11,(BP11+AT11)/2)</f>
        <v>0</v>
      </c>
      <c r="MG11" s="69">
        <f>IF($BY11="P",BQ11,(BQ11+AU11)/2)</f>
        <v>12.1</v>
      </c>
      <c r="MH11" s="69">
        <f>IF($BY11="P",BR11,(BR11+AV11)/2)</f>
        <v>2.4249999999999998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13.574999999999999</v>
      </c>
      <c r="ML11" s="69">
        <f>IF($BY11="P",BV11,(BV11+AZ11)/2)</f>
        <v>3.5</v>
      </c>
      <c r="MM11" s="69">
        <f>IF($BY11="P",BW11,(BW11+BA11)/2)</f>
        <v>0.15</v>
      </c>
      <c r="MN11" s="69">
        <f>IF($BY11="P",BX11,(BX11+BB11)/2)</f>
        <v>0</v>
      </c>
      <c r="MO11" s="80" t="s">
        <v>74</v>
      </c>
      <c r="MP11" s="11">
        <f>IF(SUM(LZ11,MD11)&gt;0,SUM(LZ11,MD11),"")</f>
        <v>11.7</v>
      </c>
      <c r="MQ11" s="11">
        <f>IF(SUM(LY11:LZ11,MB11:MD11,MF11)-SUM(MA11,ME11)&gt;0,SUM(LY11:LZ11,MB11:MD11,MF11)-SUM(MA11,ME11),"")</f>
        <v>61.349999999999994</v>
      </c>
      <c r="MR11" s="11">
        <f>IF(SUM(MH11,ML11)&gt;0,SUM(MH11,ML11),"")</f>
        <v>5.9249999999999998</v>
      </c>
      <c r="MS11" s="11">
        <f>IF(SUM(MG11:MH11,MJ11:ML11,MN11)-SUM(MI11,MM11)&gt;0,SUM(MG11:MH11,MJ11:ML11,MN11)-SUM(MI11,MM11),"")</f>
        <v>31.45</v>
      </c>
      <c r="MT11" s="11">
        <f>IF(SUM(MQ11,MS11)&gt;0,SUM(MQ11,MS11),"")</f>
        <v>92.8</v>
      </c>
    </row>
    <row r="12" spans="1:358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8" t="s">
        <v>118</v>
      </c>
      <c r="C12" s="4" t="s">
        <v>6</v>
      </c>
      <c r="D12" s="5">
        <v>2002</v>
      </c>
      <c r="E12" s="15">
        <f>SUM(J12:N12)</f>
        <v>67.2</v>
      </c>
      <c r="F12" s="3" t="str">
        <f>IF(OR(AND(AH12&gt;=AL$18,AI12&gt;=AL$22,AI12&lt;&gt;"",AG12=""),AND(BD12&gt;=BH$18,BE12&gt;=BH$22,BE12&lt;&gt;"",BC12=""),AND(BZ12&gt;=CD$18,CA12&gt;=CD$22,CA12&lt;&gt;"",BY12=""),AND(CW12&gt;=DA$18,CX12&gt;=DA$22,CX12&lt;&gt;""),AND(DR12&gt;=DV$18,DS12&gt;=DV$22,DS12&lt;&gt;""),AND(EM12&gt;=EQ$18,EN12&gt;=EQ$22,EN12&lt;&gt;""),AND(FH12&gt;=FL$18,FI12&gt;=FL$22,FI12&lt;&gt;""),AND(GC12&gt;=GG$18,GD12&gt;=GG$22,GD12&lt;&gt;""),AND(GX12&gt;=HB$18,GY12&gt;=HB$22,GY12&lt;&gt;""),AND(HS12&gt;=HW$18,HT12&gt;=HW$22,HT12&lt;&gt;""),AND(IN12&gt;=IR$18,IO12&gt;=IR$22,IO12&lt;&gt;""),AND(JI12&gt;=JM$18,JJ12&gt;=JM$22,JJ12&lt;&gt;""),AND(KD12&gt;=KH$18,KE12&gt;=KH$22,KE12&lt;&gt;""),AND(KY12&gt;=LC$18,KZ12&gt;=LC$22,KZ12&lt;&gt;""),AND(LT12&gt;=LX$18,LU12&gt;=LX$22,LU12&lt;&gt;"")),"P","")</f>
        <v/>
      </c>
      <c r="G12" s="3" t="str">
        <f>IF(OR(AND(AI12&gt;=AL$22,AI12&lt;&gt;"",AG12=""),AND(BE12&gt;=BH$22,BE12&lt;&gt;"",BC12=""),AND(CA12&gt;=CD$22,CA12&lt;&gt;"",BY12=""),AND(CX12&gt;=DA$22,CX12&lt;&gt;""),AND(DS12&gt;=DV$22,DS12&lt;&gt;""),AND(EN12&gt;=EQ$22,EN12&lt;&gt;""),AND(FI12&gt;=FL$22,FI12&lt;&gt;""),AND(GD12&gt;=GG$22,GD12&lt;&gt;""),AND(GY12&gt;=HB$22,GY12&lt;&gt;""),AND(HT12&gt;=HW$22,HT12&lt;&gt;""),AND(IO12&gt;=IR$22,IO12&lt;&gt;""),AND(JJ12&gt;=JM$22,JJ12&lt;&gt;""),AND(KE12&gt;=KH$22,KE12&lt;&gt;""),AND(KZ12&gt;=LC$22,KZ12&lt;&gt;""),AND(LU12&gt;=LX$22,LU12&lt;&gt;"")),"P","")</f>
        <v/>
      </c>
      <c r="H12" s="126" t="str">
        <f>IF(AND(G12="P",F12=""),"No DD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Merit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Excellence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Worlds Team",IF(OR(AND(AH12&gt;=AL$18,AH12&lt;&gt;"",AI12&gt;=AL$22,AI12&lt;&gt;"",AG12=""),AND(BD12&gt;=BH$18,BD12&lt;&gt;"",BE12&gt;=BH$22,BE12&lt;&gt;"",BC12=""),AND(BZ12&gt;=CD$18,BZ12&lt;&gt;"",CA12&gt;=CD$22,CA12&lt;&gt;"",BY12=""),AND(CW12&gt;=DA$18,CW12&lt;&gt;"",CX12&gt;=DA$22,CX12&lt;&gt;""),AND(DR12&gt;=DV$18,DR12&lt;&gt;"",DS12&gt;=DV$22,DS12&lt;&gt;""),AND(EM12&gt;=EQ$18,EM12&lt;&gt;"",EN12&gt;=EQ$22,EN12&lt;&gt;""),AND(FH12&gt;=FL$18,FH12&lt;&gt;"",FI12&gt;=FL$22,FI12&lt;&gt;""),AND(GC12&gt;=GG$18,GC12&lt;&gt;"",GD12&gt;=GG$22,GD12&lt;&gt;""),AND(GX12&gt;=HB$18,GX12&lt;&gt;"",GY12&gt;=HB$22,GY12&lt;&gt;""),AND(HS12&gt;=HW$18,HS12&lt;&gt;"",HT12&gt;=HW$22,HT12&lt;&gt;""),AND(IN12&gt;=IR$18,IN12&lt;&gt;"",IO12&gt;=IR$22,IO12&lt;&gt;""),AND(JI12&gt;=JM$18,JI12&lt;&gt;"",JJ12&gt;=JM$22,JJ12&lt;&gt;""),AND(KD12&gt;=KH$18,KD12&lt;&gt;"",KE12&gt;=KH$22,KE12&lt;&gt;""),AND(KY12&gt;=LC$18,KY12&lt;&gt;"",KZ12&gt;=LC$22,KZ12&lt;&gt;""),AND(LT12&gt;=LX$18,LT12&lt;&gt;"",LU12&gt;=LX$22,LU12&lt;&gt;"")),"National Team","")))))</f>
        <v/>
      </c>
      <c r="I12" s="3" t="str">
        <f>IF(OR(H12="Worlds Team",H12="Excellence",H12="Merit"),"P","")</f>
        <v/>
      </c>
      <c r="J12" s="14">
        <f>MAX(AI12,BE12,CA12)</f>
        <v>67.2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0</v>
      </c>
      <c r="M12" s="14" t="str">
        <f>IF(L12=0,"",IF(AND(J12&lt;&gt;CA12,L12=CD12),$BI$1,IF(AND(J12&lt;&gt;BE12,L12=BH12),$AM$1,IF(L12=AL12,$Q$1,""))))</f>
        <v/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27.6</v>
      </c>
      <c r="BJ12" s="69">
        <v>6</v>
      </c>
      <c r="BK12" s="69">
        <v>0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12</v>
      </c>
      <c r="CA12" s="11">
        <f>IF(SUM(BI12:BJ12,BL12:BN12,BP12)-SUM(BK12,BO12)&gt;0,SUM(BI12:BJ12,BL12:BN12,BP12)-SUM(BK12,BO12),"")</f>
        <v>67.2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67.2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13.8</v>
      </c>
      <c r="LZ12" s="69">
        <f>IF($BY12="P",BJ12,(BJ12+AN12)/2)</f>
        <v>3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13.95</v>
      </c>
      <c r="MD12" s="69">
        <f>IF($BY12="P",BN12,(BN12+AR12)/2)</f>
        <v>3</v>
      </c>
      <c r="ME12" s="69">
        <f>IF($BY12="P",BO12,(BO12+AS12)/2)</f>
        <v>0.15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6</v>
      </c>
      <c r="MQ12" s="11">
        <f>IF(SUM(LY12:LZ12,MB12:MD12,MF12)-SUM(MA12,ME12)&gt;0,SUM(LY12:LZ12,MB12:MD12,MF12)-SUM(MA12,ME12),"")</f>
        <v>33.6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33.6</v>
      </c>
    </row>
    <row r="13" spans="1:358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8" t="s">
        <v>143</v>
      </c>
      <c r="C13" s="4" t="s">
        <v>3</v>
      </c>
      <c r="D13" s="5">
        <v>2000</v>
      </c>
      <c r="E13" s="15">
        <f>SUM(J13:N13)</f>
        <v>65.899999999999991</v>
      </c>
      <c r="F13" s="3" t="str">
        <f>IF(OR(AND(AH13&gt;=AL$18,AI13&gt;=AL$22,AI13&lt;&gt;"",AG13=""),AND(BD13&gt;=BH$18,BE13&gt;=BH$22,BE13&lt;&gt;"",BC13=""),AND(BZ13&gt;=CD$18,CA13&gt;=CD$22,CA13&lt;&gt;"",BY13=""),AND(CW13&gt;=DA$18,CX13&gt;=DA$22,CX13&lt;&gt;""),AND(DR13&gt;=DV$18,DS13&gt;=DV$22,DS13&lt;&gt;""),AND(EM13&gt;=EQ$18,EN13&gt;=EQ$22,EN13&lt;&gt;""),AND(FH13&gt;=FL$18,FI13&gt;=FL$22,FI13&lt;&gt;""),AND(GC13&gt;=GG$18,GD13&gt;=GG$22,GD13&lt;&gt;""),AND(GX13&gt;=HB$18,GY13&gt;=HB$22,GY13&lt;&gt;""),AND(HS13&gt;=HW$18,HT13&gt;=HW$22,HT13&lt;&gt;""),AND(IN13&gt;=IR$18,IO13&gt;=IR$22,IO13&lt;&gt;""),AND(JI13&gt;=JM$18,JJ13&gt;=JM$22,JJ13&lt;&gt;""),AND(KD13&gt;=KH$18,KE13&gt;=KH$22,KE13&lt;&gt;""),AND(KY13&gt;=LC$18,KZ13&gt;=LC$22,KZ13&lt;&gt;""),AND(LT13&gt;=LX$18,LU13&gt;=LX$22,LU13&lt;&gt;"")),"P","")</f>
        <v/>
      </c>
      <c r="G13" s="3" t="str">
        <f>IF(OR(AND(AI13&gt;=AL$22,AI13&lt;&gt;"",AG13=""),AND(BE13&gt;=BH$22,BE13&lt;&gt;"",BC13=""),AND(CA13&gt;=CD$22,CA13&lt;&gt;"",BY13=""),AND(CX13&gt;=DA$22,CX13&lt;&gt;""),AND(DS13&gt;=DV$22,DS13&lt;&gt;""),AND(EN13&gt;=EQ$22,EN13&lt;&gt;""),AND(FI13&gt;=FL$22,FI13&lt;&gt;""),AND(GD13&gt;=GG$22,GD13&lt;&gt;""),AND(GY13&gt;=HB$22,GY13&lt;&gt;""),AND(HT13&gt;=HW$22,HT13&lt;&gt;""),AND(IO13&gt;=IR$22,IO13&lt;&gt;""),AND(JJ13&gt;=JM$22,JJ13&lt;&gt;""),AND(KE13&gt;=KH$22,KE13&lt;&gt;""),AND(KZ13&gt;=LC$22,KZ13&lt;&gt;""),AND(LU13&gt;=LX$22,LU13&lt;&gt;"")),"P","")</f>
        <v/>
      </c>
      <c r="H13" s="126" t="str">
        <f>IF(AND(G13="P",F13=""),"No DD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Merit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Excellence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Worlds Team",IF(OR(AND(AH13&gt;=AL$18,AH13&lt;&gt;"",AI13&gt;=AL$22,AI13&lt;&gt;"",AG13=""),AND(BD13&gt;=BH$18,BD13&lt;&gt;"",BE13&gt;=BH$22,BE13&lt;&gt;"",BC13=""),AND(BZ13&gt;=CD$18,BZ13&lt;&gt;"",CA13&gt;=CD$22,CA13&lt;&gt;"",BY13=""),AND(CW13&gt;=DA$18,CW13&lt;&gt;"",CX13&gt;=DA$22,CX13&lt;&gt;""),AND(DR13&gt;=DV$18,DR13&lt;&gt;"",DS13&gt;=DV$22,DS13&lt;&gt;""),AND(EM13&gt;=EQ$18,EM13&lt;&gt;"",EN13&gt;=EQ$22,EN13&lt;&gt;""),AND(FH13&gt;=FL$18,FH13&lt;&gt;"",FI13&gt;=FL$22,FI13&lt;&gt;""),AND(GC13&gt;=GG$18,GC13&lt;&gt;"",GD13&gt;=GG$22,GD13&lt;&gt;""),AND(GX13&gt;=HB$18,GX13&lt;&gt;"",GY13&gt;=HB$22,GY13&lt;&gt;""),AND(HS13&gt;=HW$18,HS13&lt;&gt;"",HT13&gt;=HW$22,HT13&lt;&gt;""),AND(IN13&gt;=IR$18,IN13&lt;&gt;"",IO13&gt;=IR$22,IO13&lt;&gt;""),AND(JI13&gt;=JM$18,JI13&lt;&gt;"",JJ13&gt;=JM$22,JJ13&lt;&gt;""),AND(KD13&gt;=KH$18,KD13&lt;&gt;"",KE13&gt;=KH$22,KE13&lt;&gt;""),AND(KY13&gt;=LC$18,KY13&lt;&gt;"",KZ13&gt;=LC$22,KZ13&lt;&gt;""),AND(LT13&gt;=LX$18,LT13&lt;&gt;"",LU13&gt;=LX$22,LU13&lt;&gt;"")),"National Team","")))))</f>
        <v/>
      </c>
      <c r="I13" s="3" t="str">
        <f>IF(OR(H13="Worlds Team",H13="Excellence",H13="Merit"),"P","")</f>
        <v/>
      </c>
      <c r="J13" s="14">
        <f>MAX(AI13,BE13,CA13)</f>
        <v>65.899999999999991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80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>
        <v>27.4</v>
      </c>
      <c r="BJ13" s="69">
        <v>6.8</v>
      </c>
      <c r="BK13" s="69">
        <v>0.3</v>
      </c>
      <c r="BL13" s="69">
        <v>0</v>
      </c>
      <c r="BM13" s="69">
        <v>27.2</v>
      </c>
      <c r="BN13" s="69">
        <v>6</v>
      </c>
      <c r="BO13" s="69">
        <v>1.2</v>
      </c>
      <c r="BP13" s="69">
        <v>0</v>
      </c>
      <c r="BQ13" s="69">
        <v>19.600000000000001</v>
      </c>
      <c r="BR13" s="69">
        <v>3.2</v>
      </c>
      <c r="BS13" s="69">
        <v>0</v>
      </c>
      <c r="BT13" s="69">
        <v>0</v>
      </c>
      <c r="BU13" s="69">
        <v>27.8</v>
      </c>
      <c r="BV13" s="69">
        <v>6.8</v>
      </c>
      <c r="BW13" s="69">
        <v>0.9</v>
      </c>
      <c r="BX13" s="69">
        <v>0</v>
      </c>
      <c r="BY13" s="80"/>
      <c r="BZ13" s="11">
        <f>IF(SUM(BJ13,BN13)&gt;0,SUM(BJ13,BN13),"")</f>
        <v>12.8</v>
      </c>
      <c r="CA13" s="11">
        <f>IF(SUM(BI13:BJ13,BL13:BN13,BP13)-SUM(BK13,BO13)&gt;0,SUM(BI13:BJ13,BL13:BN13,BP13)-SUM(BK13,BO13),"")</f>
        <v>65.899999999999991</v>
      </c>
      <c r="CB13" s="11">
        <f>IF(SUM(BR13,BV13)&gt;0,SUM(BR13,BV13),"")</f>
        <v>10</v>
      </c>
      <c r="CC13" s="11">
        <f>IF(SUM(BQ13:BR13,BT13:BV13,BX13)-SUM(BS13,BW13)&gt;0,SUM(BQ13:BR13,BT13:BV13,BX13)-SUM(BS13,BW13),"")</f>
        <v>56.5</v>
      </c>
      <c r="CD13" s="11">
        <f>IF(SUM(CA13,CC13)&gt;0,SUM(CA13,CC13),"")</f>
        <v>122.39999999999999</v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13.7</v>
      </c>
      <c r="LZ13" s="69">
        <f>IF($BY13="P",BJ13,(BJ13+AN13)/2)</f>
        <v>3.4</v>
      </c>
      <c r="MA13" s="69">
        <f>IF($BY13="P",BK13,(BK13+AO13)/2)</f>
        <v>0.15</v>
      </c>
      <c r="MB13" s="69">
        <f>IF($BY13="P",BL13,(BL13+AP13)/2)</f>
        <v>0</v>
      </c>
      <c r="MC13" s="69">
        <f>IF($BY13="P",BM13,(BM13+AQ13)/2)</f>
        <v>13.6</v>
      </c>
      <c r="MD13" s="69">
        <f>IF($BY13="P",BN13,(BN13+AR13)/2)</f>
        <v>3</v>
      </c>
      <c r="ME13" s="69">
        <f>IF($BY13="P",BO13,(BO13+AS13)/2)</f>
        <v>0.6</v>
      </c>
      <c r="MF13" s="69">
        <f>IF($BY13="P",BP13,(BP13+AT13)/2)</f>
        <v>0</v>
      </c>
      <c r="MG13" s="69">
        <f>IF($BY13="P",BQ13,(BQ13+AU13)/2)</f>
        <v>9.8000000000000007</v>
      </c>
      <c r="MH13" s="69">
        <f>IF($BY13="P",BR13,(BR13+AV13)/2)</f>
        <v>1.6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13.9</v>
      </c>
      <c r="ML13" s="69">
        <f>IF($BY13="P",BV13,(BV13+AZ13)/2)</f>
        <v>3.4</v>
      </c>
      <c r="MM13" s="69">
        <f>IF($BY13="P",BW13,(BW13+BA13)/2)</f>
        <v>0.45</v>
      </c>
      <c r="MN13" s="69">
        <f>IF($BY13="P",BX13,(BX13+BB13)/2)</f>
        <v>0</v>
      </c>
      <c r="MO13" s="80" t="s">
        <v>74</v>
      </c>
      <c r="MP13" s="11">
        <f>IF(SUM(LZ13,MD13)&gt;0,SUM(LZ13,MD13),"")</f>
        <v>6.4</v>
      </c>
      <c r="MQ13" s="11">
        <f>IF(SUM(LY13:LZ13,MB13:MD13,MF13)-SUM(MA13,ME13)&gt;0,SUM(LY13:LZ13,MB13:MD13,MF13)-SUM(MA13,ME13),"")</f>
        <v>32.949999999999996</v>
      </c>
      <c r="MR13" s="11">
        <f>IF(SUM(MH13,ML13)&gt;0,SUM(MH13,ML13),"")</f>
        <v>5</v>
      </c>
      <c r="MS13" s="11">
        <f>IF(SUM(MG13:MH13,MJ13:ML13,MN13)-SUM(MI13,MM13)&gt;0,SUM(MG13:MH13,MJ13:ML13,MN13)-SUM(MI13,MM13),"")</f>
        <v>28.25</v>
      </c>
      <c r="MT13" s="11">
        <f>IF(SUM(MQ13,MS13)&gt;0,SUM(MQ13,MS13),"")</f>
        <v>61.199999999999996</v>
      </c>
    </row>
    <row r="14" spans="1:358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8" t="s">
        <v>123</v>
      </c>
      <c r="C14" s="4" t="s">
        <v>98</v>
      </c>
      <c r="D14" s="5">
        <v>2000</v>
      </c>
      <c r="E14" s="15">
        <f>SUM(J14:N14)</f>
        <v>64.3</v>
      </c>
      <c r="F14" s="3" t="str">
        <f>IF(OR(AND(AH14&gt;=AL$18,AI14&gt;=AL$22,AI14&lt;&gt;"",AG14=""),AND(BD14&gt;=BH$18,BE14&gt;=BH$22,BE14&lt;&gt;"",BC14=""),AND(BZ14&gt;=CD$18,CA14&gt;=CD$22,CA14&lt;&gt;"",BY14=""),AND(CW14&gt;=DA$18,CX14&gt;=DA$22,CX14&lt;&gt;""),AND(DR14&gt;=DV$18,DS14&gt;=DV$22,DS14&lt;&gt;""),AND(EM14&gt;=EQ$18,EN14&gt;=EQ$22,EN14&lt;&gt;""),AND(FH14&gt;=FL$18,FI14&gt;=FL$22,FI14&lt;&gt;""),AND(GC14&gt;=GG$18,GD14&gt;=GG$22,GD14&lt;&gt;""),AND(GX14&gt;=HB$18,GY14&gt;=HB$22,GY14&lt;&gt;""),AND(HS14&gt;=HW$18,HT14&gt;=HW$22,HT14&lt;&gt;""),AND(IN14&gt;=IR$18,IO14&gt;=IR$22,IO14&lt;&gt;""),AND(JI14&gt;=JM$18,JJ14&gt;=JM$22,JJ14&lt;&gt;""),AND(KD14&gt;=KH$18,KE14&gt;=KH$22,KE14&lt;&gt;""),AND(KY14&gt;=LC$18,KZ14&gt;=LC$22,KZ14&lt;&gt;""),AND(LT14&gt;=LX$18,LU14&gt;=LX$22,LU14&lt;&gt;"")),"P","")</f>
        <v/>
      </c>
      <c r="G14" s="3" t="str">
        <f>IF(OR(AND(AI14&gt;=AL$22,AI14&lt;&gt;"",AG14=""),AND(BE14&gt;=BH$22,BE14&lt;&gt;"",BC14=""),AND(CA14&gt;=CD$22,CA14&lt;&gt;"",BY14=""),AND(CX14&gt;=DA$22,CX14&lt;&gt;""),AND(DS14&gt;=DV$22,DS14&lt;&gt;""),AND(EN14&gt;=EQ$22,EN14&lt;&gt;""),AND(FI14&gt;=FL$22,FI14&lt;&gt;""),AND(GD14&gt;=GG$22,GD14&lt;&gt;""),AND(GY14&gt;=HB$22,GY14&lt;&gt;""),AND(HT14&gt;=HW$22,HT14&lt;&gt;""),AND(IO14&gt;=IR$22,IO14&lt;&gt;""),AND(JJ14&gt;=JM$22,JJ14&lt;&gt;""),AND(KE14&gt;=KH$22,KE14&lt;&gt;""),AND(KZ14&gt;=LC$22,KZ14&lt;&gt;""),AND(LU14&gt;=LX$22,LU14&lt;&gt;"")),"P","")</f>
        <v/>
      </c>
      <c r="H14" s="126" t="str">
        <f>IF(AND(G14="P",F14=""),"No DD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Merit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Excellence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Worlds Team",IF(OR(AND(AH14&gt;=AL$18,AH14&lt;&gt;"",AI14&gt;=AL$22,AI14&lt;&gt;"",AG14=""),AND(BD14&gt;=BH$18,BD14&lt;&gt;"",BE14&gt;=BH$22,BE14&lt;&gt;"",BC14=""),AND(BZ14&gt;=CD$18,BZ14&lt;&gt;"",CA14&gt;=CD$22,CA14&lt;&gt;"",BY14=""),AND(CW14&gt;=DA$18,CW14&lt;&gt;"",CX14&gt;=DA$22,CX14&lt;&gt;""),AND(DR14&gt;=DV$18,DR14&lt;&gt;"",DS14&gt;=DV$22,DS14&lt;&gt;""),AND(EM14&gt;=EQ$18,EM14&lt;&gt;"",EN14&gt;=EQ$22,EN14&lt;&gt;""),AND(FH14&gt;=FL$18,FH14&lt;&gt;"",FI14&gt;=FL$22,FI14&lt;&gt;""),AND(GC14&gt;=GG$18,GC14&lt;&gt;"",GD14&gt;=GG$22,GD14&lt;&gt;""),AND(GX14&gt;=HB$18,GX14&lt;&gt;"",GY14&gt;=HB$22,GY14&lt;&gt;""),AND(HS14&gt;=HW$18,HS14&lt;&gt;"",HT14&gt;=HW$22,HT14&lt;&gt;""),AND(IN14&gt;=IR$18,IN14&lt;&gt;"",IO14&gt;=IR$22,IO14&lt;&gt;""),AND(JI14&gt;=JM$18,JI14&lt;&gt;"",JJ14&gt;=JM$22,JJ14&lt;&gt;""),AND(KD14&gt;=KH$18,KD14&lt;&gt;"",KE14&gt;=KH$22,KE14&lt;&gt;""),AND(KY14&gt;=LC$18,KY14&lt;&gt;"",KZ14&gt;=LC$22,KZ14&lt;&gt;""),AND(LT14&gt;=LX$18,LT14&lt;&gt;"",LU14&gt;=LX$22,LU14&lt;&gt;"")),"National Team","")))))</f>
        <v/>
      </c>
      <c r="I14" s="3" t="str">
        <f>IF(OR(H14="Worlds Team",H14="Excellence",H14="Merit"),"P","")</f>
        <v/>
      </c>
      <c r="J14" s="14">
        <f>MAX(AI14,BE14,CA14)</f>
        <v>64.3</v>
      </c>
      <c r="K14" s="14" t="str">
        <f>IF(J14=0,"",IF(J14=CA14,$BI$1,IF(J14=BE14,$AM$1,IF(J14=AI14,$Q$1,""))))</f>
        <v>2021 2nd Virtual Technical Trial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>
        <v>27</v>
      </c>
      <c r="R14" s="69">
        <v>5.6</v>
      </c>
      <c r="S14" s="69">
        <v>1.9</v>
      </c>
      <c r="T14" s="69">
        <v>0</v>
      </c>
      <c r="U14" s="69">
        <v>27.9</v>
      </c>
      <c r="V14" s="69">
        <v>6</v>
      </c>
      <c r="W14" s="69">
        <v>0.3</v>
      </c>
      <c r="X14" s="69">
        <v>0</v>
      </c>
      <c r="Y14" s="69">
        <v>28.4</v>
      </c>
      <c r="Z14" s="69">
        <v>7.2</v>
      </c>
      <c r="AA14" s="69">
        <v>0.3</v>
      </c>
      <c r="AB14" s="69">
        <v>0</v>
      </c>
      <c r="AC14" s="69">
        <v>24.5</v>
      </c>
      <c r="AD14" s="69">
        <v>7.2</v>
      </c>
      <c r="AE14" s="69">
        <v>1.2</v>
      </c>
      <c r="AF14" s="69">
        <v>0</v>
      </c>
      <c r="AG14" s="80"/>
      <c r="AH14" s="11">
        <f>IF(SUM(R14,V14)&gt;0,SUM(R14,V14),"")</f>
        <v>11.6</v>
      </c>
      <c r="AI14" s="11">
        <f>IF(SUM(Q14:R14,T14:V14,X14)-SUM(S14,W14)&gt;0,SUM(Q14:R14,T14:V14,X14)-SUM(S14,W14),"")</f>
        <v>64.3</v>
      </c>
      <c r="AJ14" s="11">
        <f>IF(SUM(Z14,AD14)&gt;0,SUM(Z14,AD14),"")</f>
        <v>14.4</v>
      </c>
      <c r="AK14" s="11">
        <f>IF(SUM(Y14:Z14,AB14:AD14,AF14)-SUM(AA14,AE14)&gt;0,SUM(Y14:Z14,AB14:AD14,AF14)-SUM(AA14,AE14),"")</f>
        <v>65.8</v>
      </c>
      <c r="AL14" s="11">
        <f>IF(SUM(AI14,AK14)&gt;0,SUM(AI14,AK14),"")</f>
        <v>130.1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0</v>
      </c>
      <c r="LZ14" s="69">
        <f>IF($BY14="P",BJ14,(BJ14+AN14)/2)</f>
        <v>0</v>
      </c>
      <c r="MA14" s="69">
        <f>IF($BY14="P",BK14,(BK14+AO14)/2)</f>
        <v>0</v>
      </c>
      <c r="MB14" s="69">
        <f>IF($BY14="P",BL14,(BL14+AP14)/2)</f>
        <v>0</v>
      </c>
      <c r="MC14" s="69">
        <f>IF($BY14="P",BM14,(BM14+AQ14)/2)</f>
        <v>0</v>
      </c>
      <c r="MD14" s="69">
        <f>IF($BY14="P",BN14,(BN14+AR14)/2)</f>
        <v>0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0</v>
      </c>
      <c r="MH14" s="69">
        <f>IF($BY14="P",BR14,(BR14+AV14)/2)</f>
        <v>0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0</v>
      </c>
      <c r="ML14" s="69">
        <f>IF($BY14="P",BV14,(BV14+AZ14)/2)</f>
        <v>0</v>
      </c>
      <c r="MM14" s="69">
        <f>IF($BY14="P",BW14,(BW14+BA14)/2)</f>
        <v>0</v>
      </c>
      <c r="MN14" s="69">
        <f>IF($BY14="P",BX14,(BX14+BB14)/2)</f>
        <v>0</v>
      </c>
      <c r="MO14" s="80" t="s">
        <v>74</v>
      </c>
      <c r="MP14" s="11" t="str">
        <f>IF(SUM(LZ14,MD14)&gt;0,SUM(LZ14,MD14),"")</f>
        <v/>
      </c>
      <c r="MQ14" s="11" t="str">
        <f>IF(SUM(LY14:LZ14,MB14:MD14,MF14)-SUM(MA14,ME14)&gt;0,SUM(LY14:LZ14,MB14:MD14,MF14)-SUM(MA14,ME14),"")</f>
        <v/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 t="str">
        <f>IF(SUM(MQ14,MS14)&gt;0,SUM(MQ14,MS14),"")</f>
        <v/>
      </c>
    </row>
    <row r="15" spans="1:358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8" t="s">
        <v>126</v>
      </c>
      <c r="C15" s="4" t="s">
        <v>6</v>
      </c>
      <c r="D15" s="5">
        <v>2001</v>
      </c>
      <c r="E15" s="15">
        <f>SUM(J15:N15)</f>
        <v>57.9</v>
      </c>
      <c r="F15" s="3" t="str">
        <f>IF(OR(AND(AH15&gt;=AL$18,AI15&gt;=AL$22,AI15&lt;&gt;"",AG15=""),AND(BD15&gt;=BH$18,BE15&gt;=BH$22,BE15&lt;&gt;"",BC15=""),AND(BZ15&gt;=CD$18,CA15&gt;=CD$22,CA15&lt;&gt;"",BY15=""),AND(CW15&gt;=DA$18,CX15&gt;=DA$22,CX15&lt;&gt;""),AND(DR15&gt;=DV$18,DS15&gt;=DV$22,DS15&lt;&gt;""),AND(EM15&gt;=EQ$18,EN15&gt;=EQ$22,EN15&lt;&gt;""),AND(FH15&gt;=FL$18,FI15&gt;=FL$22,FI15&lt;&gt;""),AND(GC15&gt;=GG$18,GD15&gt;=GG$22,GD15&lt;&gt;""),AND(GX15&gt;=HB$18,GY15&gt;=HB$22,GY15&lt;&gt;""),AND(HS15&gt;=HW$18,HT15&gt;=HW$22,HT15&lt;&gt;""),AND(IN15&gt;=IR$18,IO15&gt;=IR$22,IO15&lt;&gt;""),AND(JI15&gt;=JM$18,JJ15&gt;=JM$22,JJ15&lt;&gt;""),AND(KD15&gt;=KH$18,KE15&gt;=KH$22,KE15&lt;&gt;""),AND(KY15&gt;=LC$18,KZ15&gt;=LC$22,KZ15&lt;&gt;""),AND(LT15&gt;=LX$18,LU15&gt;=LX$22,LU15&lt;&gt;"")),"P","")</f>
        <v/>
      </c>
      <c r="G15" s="3" t="str">
        <f>IF(OR(AND(AI15&gt;=AL$22,AI15&lt;&gt;"",AG15=""),AND(BE15&gt;=BH$22,BE15&lt;&gt;"",BC15=""),AND(CA15&gt;=CD$22,CA15&lt;&gt;"",BY15=""),AND(CX15&gt;=DA$22,CX15&lt;&gt;""),AND(DS15&gt;=DV$22,DS15&lt;&gt;""),AND(EN15&gt;=EQ$22,EN15&lt;&gt;""),AND(FI15&gt;=FL$22,FI15&lt;&gt;""),AND(GD15&gt;=GG$22,GD15&lt;&gt;""),AND(GY15&gt;=HB$22,GY15&lt;&gt;""),AND(HT15&gt;=HW$22,HT15&lt;&gt;""),AND(IO15&gt;=IR$22,IO15&lt;&gt;""),AND(JJ15&gt;=JM$22,JJ15&lt;&gt;""),AND(KE15&gt;=KH$22,KE15&lt;&gt;""),AND(KZ15&gt;=LC$22,KZ15&lt;&gt;""),AND(LU15&gt;=LX$22,LU15&lt;&gt;"")),"P","")</f>
        <v/>
      </c>
      <c r="H15" s="126" t="str">
        <f>IF(AND(G15="P",F15=""),"No DD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Merit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Excellence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Worlds Team",IF(OR(AND(AH15&gt;=AL$18,AH15&lt;&gt;"",AI15&gt;=AL$22,AI15&lt;&gt;"",AG15=""),AND(BD15&gt;=BH$18,BD15&lt;&gt;"",BE15&gt;=BH$22,BE15&lt;&gt;"",BC15=""),AND(BZ15&gt;=CD$18,BZ15&lt;&gt;"",CA15&gt;=CD$22,CA15&lt;&gt;"",BY15=""),AND(CW15&gt;=DA$18,CW15&lt;&gt;"",CX15&gt;=DA$22,CX15&lt;&gt;""),AND(DR15&gt;=DV$18,DR15&lt;&gt;"",DS15&gt;=DV$22,DS15&lt;&gt;""),AND(EM15&gt;=EQ$18,EM15&lt;&gt;"",EN15&gt;=EQ$22,EN15&lt;&gt;""),AND(FH15&gt;=FL$18,FH15&lt;&gt;"",FI15&gt;=FL$22,FI15&lt;&gt;""),AND(GC15&gt;=GG$18,GC15&lt;&gt;"",GD15&gt;=GG$22,GD15&lt;&gt;""),AND(GX15&gt;=HB$18,GX15&lt;&gt;"",GY15&gt;=HB$22,GY15&lt;&gt;""),AND(HS15&gt;=HW$18,HS15&lt;&gt;"",HT15&gt;=HW$22,HT15&lt;&gt;""),AND(IN15&gt;=IR$18,IN15&lt;&gt;"",IO15&gt;=IR$22,IO15&lt;&gt;""),AND(JI15&gt;=JM$18,JI15&lt;&gt;"",JJ15&gt;=JM$22,JJ15&lt;&gt;""),AND(KD15&gt;=KH$18,KD15&lt;&gt;"",KE15&gt;=KH$22,KE15&lt;&gt;""),AND(KY15&gt;=LC$18,KY15&lt;&gt;"",KZ15&gt;=LC$22,KZ15&lt;&gt;""),AND(LT15&gt;=LX$18,LT15&lt;&gt;"",LU15&gt;=LX$22,LU15&lt;&gt;"")),"National Team","")))))</f>
        <v/>
      </c>
      <c r="I15" s="3" t="str">
        <f>IF(OR(H15="Worlds Team",H15="Excellence",H15="Merit"),"P","")</f>
        <v/>
      </c>
      <c r="J15" s="14">
        <f>MAX(AI15,BE15,CA15)</f>
        <v>57.9</v>
      </c>
      <c r="K15" s="14" t="str">
        <f>IF(J15=0,"",IF(J15=CA15,$BI$1,IF(J15=BE15,$AM$1,IF(J15=AI15,$Q$1,""))))</f>
        <v>2021 2nd Virtual Technical Trial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>
        <v>28.1</v>
      </c>
      <c r="R15" s="69">
        <v>4.8</v>
      </c>
      <c r="S15" s="69">
        <v>2.7</v>
      </c>
      <c r="T15" s="69">
        <v>0</v>
      </c>
      <c r="U15" s="69">
        <v>27.6</v>
      </c>
      <c r="V15" s="69">
        <v>3.8</v>
      </c>
      <c r="W15" s="69">
        <v>3.7</v>
      </c>
      <c r="X15" s="69">
        <v>0</v>
      </c>
      <c r="Y15" s="69">
        <v>20.399999999999999</v>
      </c>
      <c r="Z15" s="69">
        <v>2.4</v>
      </c>
      <c r="AA15" s="69">
        <v>0</v>
      </c>
      <c r="AB15" s="69">
        <v>0</v>
      </c>
      <c r="AC15" s="69">
        <v>20.2</v>
      </c>
      <c r="AD15" s="69">
        <v>4</v>
      </c>
      <c r="AE15" s="69">
        <v>0</v>
      </c>
      <c r="AF15" s="69">
        <v>0</v>
      </c>
      <c r="AG15" s="80"/>
      <c r="AH15" s="11">
        <f>IF(SUM(R15,V15)&gt;0,SUM(R15,V15),"")</f>
        <v>8.6</v>
      </c>
      <c r="AI15" s="11">
        <f>IF(SUM(Q15:R15,T15:V15,X15)-SUM(S15,W15)&gt;0,SUM(Q15:R15,T15:V15,X15)-SUM(S15,W15),"")</f>
        <v>57.9</v>
      </c>
      <c r="AJ15" s="11">
        <f>IF(SUM(Z15,AD15)&gt;0,SUM(Z15,AD15),"")</f>
        <v>6.4</v>
      </c>
      <c r="AK15" s="11">
        <f>IF(SUM(Y15:Z15,AB15:AD15,AF15)-SUM(AA15,AE15)&gt;0,SUM(Y15:Z15,AB15:AD15,AF15)-SUM(AA15,AE15),"")</f>
        <v>47</v>
      </c>
      <c r="AL15" s="11">
        <f>IF(SUM(AI15,AK15)&gt;0,SUM(AI15,AK15),"")</f>
        <v>104.9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>IF(SUM(AN15,AR15)&gt;0,SUM(AN15,AR15),"")</f>
        <v/>
      </c>
      <c r="BE15" s="14" t="str">
        <f>IF(SUM(AM15:AN15,AP15:AR15,AT15)-SUM(AO15,AS15)&gt;0,SUM(AM15:AN15,AP15:AR15,AT15)-SUM(AO15,AS15),"")</f>
        <v/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 t="str">
        <f>IF(SUM(BE15,BG15)&gt;0,SUM(BE15,BG15),"")</f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0</v>
      </c>
      <c r="LZ15" s="69">
        <f>IF($BY15="P",BJ15,(BJ15+AN15)/2)</f>
        <v>0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0</v>
      </c>
      <c r="MD15" s="69">
        <f>IF($BY15="P",BN15,(BN15+AR15)/2)</f>
        <v>0</v>
      </c>
      <c r="ME15" s="69">
        <f>IF($BY15="P",BO15,(BO15+AS15)/2)</f>
        <v>0</v>
      </c>
      <c r="MF15" s="69">
        <f>IF($BY15="P",BP15,(BP15+AT15)/2)</f>
        <v>0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 t="str">
        <f>IF(SUM(LZ15,MD15)&gt;0,SUM(LZ15,MD15),"")</f>
        <v/>
      </c>
      <c r="MQ15" s="11" t="str">
        <f>IF(SUM(LY15:LZ15,MB15:MD15,MF15)-SUM(MA15,ME15)&gt;0,SUM(LY15:LZ15,MB15:MD15,MF15)-SUM(MA15,ME15),"")</f>
        <v/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 t="str">
        <f>IF(SUM(MQ15,MS15)&gt;0,SUM(MQ15,MS15),"")</f>
        <v/>
      </c>
    </row>
    <row r="18" spans="1:336" x14ac:dyDescent="0.2">
      <c r="B18" s="70" t="s">
        <v>70</v>
      </c>
      <c r="AH18" s="56"/>
      <c r="AJ18" s="56"/>
      <c r="AL18" s="64">
        <v>14.4</v>
      </c>
      <c r="BD18" s="56"/>
      <c r="BF18" s="56"/>
      <c r="BH18" s="64">
        <v>14.4</v>
      </c>
      <c r="BZ18" s="56"/>
      <c r="CB18" s="56"/>
      <c r="CD18" s="64">
        <v>14.4</v>
      </c>
      <c r="CW18" s="56"/>
      <c r="CY18" s="56"/>
      <c r="DA18" s="64">
        <v>14.4</v>
      </c>
      <c r="DR18" s="56"/>
      <c r="DT18" s="56"/>
      <c r="DV18" s="64">
        <v>14.4</v>
      </c>
      <c r="EM18" s="56"/>
      <c r="EO18" s="56"/>
      <c r="EQ18" s="64">
        <v>14.4</v>
      </c>
      <c r="FH18" s="56"/>
      <c r="FJ18" s="56"/>
      <c r="FL18" s="64">
        <v>14.4</v>
      </c>
      <c r="GC18" s="56"/>
      <c r="GE18" s="56"/>
      <c r="GG18" s="64">
        <v>14.4</v>
      </c>
      <c r="GX18" s="56"/>
      <c r="GZ18" s="56"/>
      <c r="HB18" s="64">
        <v>14.4</v>
      </c>
      <c r="HS18" s="56"/>
      <c r="HU18" s="56"/>
      <c r="HW18" s="64">
        <v>14.4</v>
      </c>
      <c r="IN18" s="56"/>
      <c r="IP18" s="56"/>
      <c r="IR18" s="64">
        <v>14.4</v>
      </c>
      <c r="JI18" s="56"/>
      <c r="JK18" s="56"/>
      <c r="JM18" s="64">
        <v>14.4</v>
      </c>
      <c r="KD18" s="56"/>
      <c r="KF18" s="56"/>
      <c r="KH18" s="64">
        <v>14.4</v>
      </c>
      <c r="KY18" s="56"/>
      <c r="LA18" s="56"/>
      <c r="LC18" s="64">
        <v>14.4</v>
      </c>
      <c r="LT18" s="56"/>
      <c r="LV18" s="56"/>
      <c r="LX18" s="64">
        <v>14.4</v>
      </c>
    </row>
    <row r="19" spans="1:336" x14ac:dyDescent="0.2">
      <c r="B19" s="91" t="s">
        <v>69</v>
      </c>
      <c r="AH19" s="56"/>
      <c r="AJ19" s="56"/>
      <c r="AL19" s="104">
        <v>14.8</v>
      </c>
      <c r="BD19" s="56"/>
      <c r="BF19" s="56"/>
      <c r="BH19" s="104">
        <v>14.8</v>
      </c>
      <c r="BZ19" s="56"/>
      <c r="CB19" s="56"/>
      <c r="CD19" s="104">
        <v>14.8</v>
      </c>
      <c r="CW19" s="56"/>
      <c r="CY19" s="56"/>
      <c r="DA19" s="104">
        <v>14.8</v>
      </c>
      <c r="DR19" s="56"/>
      <c r="DT19" s="56"/>
      <c r="DV19" s="104">
        <v>14.8</v>
      </c>
      <c r="EM19" s="56"/>
      <c r="EO19" s="56"/>
      <c r="EQ19" s="104">
        <v>14.8</v>
      </c>
      <c r="FH19" s="56"/>
      <c r="FJ19" s="56"/>
      <c r="FL19" s="104">
        <v>14.8</v>
      </c>
      <c r="GC19" s="56"/>
      <c r="GE19" s="56"/>
      <c r="GG19" s="104">
        <v>14.8</v>
      </c>
      <c r="GX19" s="56"/>
      <c r="GZ19" s="56"/>
      <c r="HB19" s="104">
        <v>14.8</v>
      </c>
      <c r="HS19" s="56"/>
      <c r="HU19" s="56"/>
      <c r="HW19" s="104">
        <v>14.8</v>
      </c>
      <c r="IN19" s="56"/>
      <c r="IP19" s="56"/>
      <c r="IR19" s="104">
        <v>14.8</v>
      </c>
      <c r="JI19" s="56"/>
      <c r="JK19" s="56"/>
      <c r="JM19" s="104">
        <v>14.8</v>
      </c>
      <c r="KD19" s="56"/>
      <c r="KF19" s="56"/>
      <c r="KH19" s="104">
        <v>14.8</v>
      </c>
      <c r="KY19" s="56"/>
      <c r="LA19" s="56"/>
      <c r="LC19" s="104">
        <v>14.8</v>
      </c>
      <c r="LT19" s="56"/>
      <c r="LV19" s="56"/>
      <c r="LX19" s="104">
        <v>14.8</v>
      </c>
    </row>
    <row r="20" spans="1:336" x14ac:dyDescent="0.2">
      <c r="A20" s="56"/>
      <c r="B20" s="92" t="s">
        <v>86</v>
      </c>
      <c r="C20" s="55"/>
      <c r="AH20" s="56"/>
      <c r="AJ20" s="56"/>
      <c r="AK20" s="129"/>
      <c r="AL20" s="105">
        <v>15.6</v>
      </c>
      <c r="BD20" s="56"/>
      <c r="BF20" s="56"/>
      <c r="BG20" s="129"/>
      <c r="BH20" s="105">
        <v>15.6</v>
      </c>
      <c r="BZ20" s="56"/>
      <c r="CB20" s="56"/>
      <c r="CD20" s="105">
        <v>15.6</v>
      </c>
      <c r="CW20" s="56"/>
      <c r="CY20" s="56"/>
      <c r="DA20" s="105">
        <v>15.6</v>
      </c>
      <c r="DR20" s="56"/>
      <c r="DT20" s="56"/>
      <c r="DV20" s="105">
        <v>15.6</v>
      </c>
      <c r="EM20" s="56"/>
      <c r="EO20" s="56"/>
      <c r="EQ20" s="105">
        <v>15.6</v>
      </c>
      <c r="FH20" s="56"/>
      <c r="FJ20" s="56"/>
      <c r="FL20" s="105">
        <v>15.6</v>
      </c>
      <c r="GC20" s="56"/>
      <c r="GE20" s="56"/>
      <c r="GG20" s="105">
        <v>15.6</v>
      </c>
      <c r="GX20" s="56"/>
      <c r="GZ20" s="56"/>
      <c r="HB20" s="105">
        <v>15.6</v>
      </c>
      <c r="HS20" s="56"/>
      <c r="HU20" s="56"/>
      <c r="HW20" s="105">
        <v>15.6</v>
      </c>
      <c r="IN20" s="56"/>
      <c r="IP20" s="56"/>
      <c r="IR20" s="105">
        <v>15.6</v>
      </c>
      <c r="JI20" s="56"/>
      <c r="JK20" s="56"/>
      <c r="JM20" s="105">
        <v>15.6</v>
      </c>
      <c r="KD20" s="56"/>
      <c r="KF20" s="56"/>
      <c r="KH20" s="105">
        <v>15.6</v>
      </c>
      <c r="KY20" s="56"/>
      <c r="LA20" s="56"/>
      <c r="LC20" s="105">
        <v>15.6</v>
      </c>
      <c r="LT20" s="56"/>
      <c r="LV20" s="56"/>
      <c r="LX20" s="105">
        <v>15.6</v>
      </c>
    </row>
    <row r="21" spans="1:336" x14ac:dyDescent="0.2">
      <c r="A21" s="56"/>
      <c r="B21" s="71" t="s">
        <v>102</v>
      </c>
      <c r="C21" s="55"/>
      <c r="AH21" s="56"/>
      <c r="AJ21" s="56"/>
      <c r="AL21" s="65">
        <v>17.600000000000001</v>
      </c>
      <c r="BD21" s="56"/>
      <c r="BF21" s="56"/>
      <c r="BH21" s="65">
        <v>17.600000000000001</v>
      </c>
      <c r="BZ21" s="56"/>
      <c r="CB21" s="56"/>
      <c r="CD21" s="65">
        <v>17.600000000000001</v>
      </c>
      <c r="CW21" s="56"/>
      <c r="CY21" s="56"/>
      <c r="DA21" s="65">
        <v>17.600000000000001</v>
      </c>
      <c r="DR21" s="56"/>
      <c r="DT21" s="56"/>
      <c r="DV21" s="65">
        <v>17.600000000000001</v>
      </c>
      <c r="EM21" s="56"/>
      <c r="EO21" s="56"/>
      <c r="EP21" s="129"/>
      <c r="EQ21" s="65">
        <v>17.600000000000001</v>
      </c>
      <c r="FH21" s="56"/>
      <c r="FJ21" s="56"/>
      <c r="FL21" s="65">
        <v>17.600000000000001</v>
      </c>
      <c r="GC21" s="56"/>
      <c r="GE21" s="56"/>
      <c r="GG21" s="65">
        <v>17.600000000000001</v>
      </c>
      <c r="GX21" s="56"/>
      <c r="GZ21" s="56"/>
      <c r="HB21" s="65">
        <v>17.600000000000001</v>
      </c>
      <c r="HS21" s="56"/>
      <c r="HU21" s="56"/>
      <c r="HW21" s="65">
        <v>17.600000000000001</v>
      </c>
      <c r="IN21" s="56"/>
      <c r="IP21" s="56"/>
      <c r="IR21" s="65">
        <v>17.600000000000001</v>
      </c>
      <c r="JI21" s="56"/>
      <c r="JK21" s="56"/>
      <c r="JM21" s="65">
        <v>17.600000000000001</v>
      </c>
      <c r="KD21" s="56"/>
      <c r="KF21" s="56"/>
      <c r="KH21" s="65">
        <v>17.600000000000001</v>
      </c>
      <c r="KY21" s="56"/>
      <c r="LA21" s="56"/>
      <c r="LC21" s="65">
        <v>17.600000000000001</v>
      </c>
      <c r="LT21" s="56"/>
      <c r="LV21" s="56"/>
      <c r="LX21" s="65">
        <v>17.600000000000001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69.599999999999994</v>
      </c>
      <c r="BD22" s="56"/>
      <c r="BF22" s="56"/>
      <c r="BH22" s="67">
        <v>69.599999999999994</v>
      </c>
      <c r="BZ22" s="56"/>
      <c r="CB22" s="56"/>
      <c r="CD22" s="67">
        <v>69.599999999999994</v>
      </c>
      <c r="CW22" s="56"/>
      <c r="CY22" s="56"/>
      <c r="DA22" s="67">
        <v>69.599999999999994</v>
      </c>
      <c r="DR22" s="56"/>
      <c r="DT22" s="56"/>
      <c r="DV22" s="67">
        <v>69.599999999999994</v>
      </c>
      <c r="EM22" s="56"/>
      <c r="EO22" s="56"/>
      <c r="EQ22" s="67">
        <v>69.599999999999994</v>
      </c>
      <c r="FH22" s="56"/>
      <c r="FJ22" s="56"/>
      <c r="FL22" s="67">
        <v>69.599999999999994</v>
      </c>
      <c r="GC22" s="56"/>
      <c r="GE22" s="56"/>
      <c r="GG22" s="67">
        <v>69.599999999999994</v>
      </c>
      <c r="GX22" s="56"/>
      <c r="GZ22" s="56"/>
      <c r="HB22" s="67">
        <v>69.599999999999994</v>
      </c>
      <c r="HS22" s="56"/>
      <c r="HU22" s="56"/>
      <c r="HW22" s="67">
        <v>69.599999999999994</v>
      </c>
      <c r="IN22" s="56"/>
      <c r="IP22" s="56"/>
      <c r="IR22" s="67">
        <v>69.599999999999994</v>
      </c>
      <c r="JI22" s="56"/>
      <c r="JK22" s="56"/>
      <c r="JM22" s="67">
        <v>69.599999999999994</v>
      </c>
      <c r="KD22" s="56"/>
      <c r="KF22" s="56"/>
      <c r="KH22" s="67">
        <v>69.599999999999994</v>
      </c>
      <c r="KY22" s="56"/>
      <c r="LA22" s="56"/>
      <c r="LC22" s="67">
        <v>69.599999999999994</v>
      </c>
      <c r="LT22" s="56"/>
      <c r="LV22" s="56"/>
      <c r="LX22" s="67">
        <v>69.599999999999994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70.599999999999994</v>
      </c>
      <c r="BD23" s="56"/>
      <c r="BF23" s="56"/>
      <c r="BH23" s="66">
        <v>70.599999999999994</v>
      </c>
      <c r="BZ23" s="56"/>
      <c r="CB23" s="56"/>
      <c r="CD23" s="66">
        <v>70.599999999999994</v>
      </c>
      <c r="CW23" s="56"/>
      <c r="CY23" s="56"/>
      <c r="DA23" s="66">
        <v>70.599999999999994</v>
      </c>
      <c r="DR23" s="56"/>
      <c r="DT23" s="56"/>
      <c r="DV23" s="66">
        <v>70.599999999999994</v>
      </c>
      <c r="EM23" s="56"/>
      <c r="EO23" s="56"/>
      <c r="EQ23" s="66">
        <v>70.599999999999994</v>
      </c>
      <c r="FH23" s="56"/>
      <c r="FJ23" s="56"/>
      <c r="FL23" s="66">
        <v>70.599999999999994</v>
      </c>
      <c r="GC23" s="56"/>
      <c r="GE23" s="56"/>
      <c r="GG23" s="66">
        <v>70.599999999999994</v>
      </c>
      <c r="GX23" s="56"/>
      <c r="GZ23" s="56"/>
      <c r="HB23" s="66">
        <v>70.599999999999994</v>
      </c>
      <c r="HS23" s="56"/>
      <c r="HU23" s="56"/>
      <c r="HW23" s="66">
        <v>70.599999999999994</v>
      </c>
      <c r="IN23" s="56"/>
      <c r="IP23" s="56"/>
      <c r="IR23" s="66">
        <v>70.599999999999994</v>
      </c>
      <c r="JI23" s="56"/>
      <c r="JK23" s="56"/>
      <c r="JM23" s="66">
        <v>70.599999999999994</v>
      </c>
      <c r="KD23" s="56"/>
      <c r="KF23" s="56"/>
      <c r="KH23" s="66">
        <v>70.599999999999994</v>
      </c>
      <c r="KY23" s="56"/>
      <c r="LA23" s="56"/>
      <c r="LC23" s="66">
        <v>70.599999999999994</v>
      </c>
      <c r="LT23" s="56"/>
      <c r="LV23" s="56"/>
      <c r="LX23" s="66">
        <v>70.599999999999994</v>
      </c>
    </row>
    <row r="24" spans="1:336" x14ac:dyDescent="0.2">
      <c r="A24" s="56"/>
      <c r="B24" s="116" t="s">
        <v>84</v>
      </c>
      <c r="C24" s="55"/>
      <c r="AH24" s="56"/>
      <c r="AJ24" s="56"/>
      <c r="AK24" s="129"/>
      <c r="AL24" s="117">
        <v>72.599999999999994</v>
      </c>
      <c r="BD24" s="56"/>
      <c r="BF24" s="56"/>
      <c r="BG24" s="129"/>
      <c r="BH24" s="117">
        <v>72.599999999999994</v>
      </c>
      <c r="BZ24" s="56"/>
      <c r="CB24" s="56"/>
      <c r="CD24" s="117">
        <v>72.599999999999994</v>
      </c>
      <c r="CW24" s="56"/>
      <c r="CY24" s="56"/>
      <c r="DA24" s="117">
        <v>72.599999999999994</v>
      </c>
      <c r="DR24" s="56"/>
      <c r="DT24" s="56"/>
      <c r="DV24" s="117">
        <v>72.599999999999994</v>
      </c>
      <c r="EM24" s="56"/>
      <c r="EO24" s="56"/>
      <c r="EQ24" s="117">
        <v>72.599999999999994</v>
      </c>
      <c r="FH24" s="56"/>
      <c r="FJ24" s="56"/>
      <c r="FK24" s="129"/>
      <c r="FL24" s="117">
        <v>72.599999999999994</v>
      </c>
      <c r="GC24" s="56"/>
      <c r="GE24" s="56"/>
      <c r="GG24" s="117">
        <v>72.599999999999994</v>
      </c>
      <c r="GX24" s="56"/>
      <c r="GZ24" s="56"/>
      <c r="HB24" s="117">
        <v>72.599999999999994</v>
      </c>
      <c r="HS24" s="56"/>
      <c r="HU24" s="56"/>
      <c r="HW24" s="117">
        <v>72.599999999999994</v>
      </c>
      <c r="IN24" s="56"/>
      <c r="IP24" s="56"/>
      <c r="IR24" s="117">
        <v>72.599999999999994</v>
      </c>
      <c r="JI24" s="56"/>
      <c r="JK24" s="56"/>
      <c r="JM24" s="117">
        <v>72.599999999999994</v>
      </c>
      <c r="KD24" s="56"/>
      <c r="KF24" s="56"/>
      <c r="KH24" s="117">
        <v>72.599999999999994</v>
      </c>
      <c r="KY24" s="56"/>
      <c r="LA24" s="56"/>
      <c r="LC24" s="117">
        <v>72.599999999999994</v>
      </c>
      <c r="LT24" s="56"/>
      <c r="LV24" s="56"/>
      <c r="LX24" s="117">
        <v>72.599999999999994</v>
      </c>
    </row>
    <row r="25" spans="1:336" x14ac:dyDescent="0.2">
      <c r="A25" s="56"/>
      <c r="B25" s="74" t="s">
        <v>51</v>
      </c>
      <c r="C25" s="55"/>
      <c r="AH25" s="56"/>
      <c r="AJ25" s="56"/>
      <c r="AL25" s="68">
        <v>74.3</v>
      </c>
      <c r="BD25" s="56"/>
      <c r="BF25" s="56"/>
      <c r="BH25" s="68">
        <v>74.3</v>
      </c>
      <c r="BZ25" s="56"/>
      <c r="CB25" s="56"/>
      <c r="CD25" s="68">
        <v>74.3</v>
      </c>
      <c r="CW25" s="56"/>
      <c r="CY25" s="56"/>
      <c r="DA25" s="68">
        <v>74.3</v>
      </c>
      <c r="DR25" s="56"/>
      <c r="DT25" s="56"/>
      <c r="DV25" s="68">
        <v>74.3</v>
      </c>
      <c r="EM25" s="56"/>
      <c r="EO25" s="56"/>
      <c r="EP25" s="129"/>
      <c r="EQ25" s="68">
        <v>74.3</v>
      </c>
      <c r="FH25" s="56"/>
      <c r="FJ25" s="56"/>
      <c r="FL25" s="68">
        <v>74.3</v>
      </c>
      <c r="GC25" s="56"/>
      <c r="GE25" s="56"/>
      <c r="GG25" s="68">
        <v>74.3</v>
      </c>
      <c r="GX25" s="56"/>
      <c r="GZ25" s="56"/>
      <c r="HB25" s="68">
        <v>74.3</v>
      </c>
      <c r="HS25" s="56"/>
      <c r="HU25" s="56"/>
      <c r="HW25" s="68">
        <v>74.3</v>
      </c>
      <c r="IN25" s="56"/>
      <c r="IP25" s="56"/>
      <c r="IR25" s="68">
        <v>74.3</v>
      </c>
      <c r="JI25" s="56"/>
      <c r="JK25" s="56"/>
      <c r="JM25" s="68">
        <v>74.3</v>
      </c>
      <c r="KD25" s="56"/>
      <c r="KF25" s="56"/>
      <c r="KH25" s="68">
        <v>74.3</v>
      </c>
      <c r="KY25" s="56"/>
      <c r="LA25" s="56"/>
      <c r="LC25" s="68">
        <v>74.3</v>
      </c>
      <c r="LT25" s="56"/>
      <c r="LV25" s="56"/>
      <c r="LX25" s="68">
        <v>74.3</v>
      </c>
    </row>
    <row r="26" spans="1:336" x14ac:dyDescent="0.2">
      <c r="B26" s="82" t="s">
        <v>75</v>
      </c>
      <c r="C26" s="2"/>
      <c r="CX26" s="6"/>
      <c r="KE26" s="6"/>
    </row>
    <row r="27" spans="1:336" x14ac:dyDescent="0.2">
      <c r="A27" s="56"/>
      <c r="B27" s="56"/>
      <c r="C27" s="55"/>
    </row>
    <row r="28" spans="1:336" x14ac:dyDescent="0.2">
      <c r="A28" s="56"/>
      <c r="B28" s="56"/>
      <c r="C28" s="55"/>
    </row>
    <row r="29" spans="1:336" x14ac:dyDescent="0.2">
      <c r="A29" s="56"/>
      <c r="B29" s="56"/>
      <c r="C29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5">
      <sortCondition descending="1" ref="F1:F16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15">
    <cfRule type="expression" dxfId="65" priority="3" stopIfTrue="1">
      <formula>IF($BC4&lt;&gt;"",1,0)</formula>
    </cfRule>
  </conditionalFormatting>
  <conditionalFormatting sqref="Q4:AL15">
    <cfRule type="expression" dxfId="64" priority="1" stopIfTrue="1">
      <formula>IF($AG4&lt;&gt;"",1,0)</formula>
    </cfRule>
  </conditionalFormatting>
  <conditionalFormatting sqref="K1:K1048576 M1:M1048576">
    <cfRule type="expression" dxfId="63" priority="36335">
      <formula>IF(K1=$BI$1,1,0)</formula>
    </cfRule>
    <cfRule type="expression" dxfId="62" priority="36601">
      <formula>IF(K1=$AM$1,1,0)</formula>
    </cfRule>
    <cfRule type="expression" dxfId="61" priority="36602">
      <formula>IF(K1=$Q$1,1,0)</formula>
    </cfRule>
  </conditionalFormatting>
  <conditionalFormatting sqref="BI4:CD15">
    <cfRule type="expression" dxfId="60" priority="2" stopIfTrue="1">
      <formula>IF($BY4&lt;&gt;"",1,0)</formula>
    </cfRule>
  </conditionalFormatting>
  <conditionalFormatting sqref="A1:A1048576">
    <cfRule type="expression" dxfId="59" priority="38432">
      <formula>AND(G1="P",F1="")</formula>
    </cfRule>
  </conditionalFormatting>
  <conditionalFormatting sqref="H1:H1048576">
    <cfRule type="containsText" dxfId="58" priority="5" operator="containsText" text="No DD">
      <formula>NOT(ISERROR(SEARCH("No DD",H1)))</formula>
    </cfRule>
    <cfRule type="containsText" dxfId="57" priority="6" operator="containsText" text="Merit">
      <formula>NOT(ISERROR(SEARCH("Merit",H1)))</formula>
    </cfRule>
    <cfRule type="containsText" dxfId="56" priority="26" operator="containsText" text="Excellence">
      <formula>NOT(ISERROR(SEARCH("Excellence",H1)))</formula>
    </cfRule>
    <cfRule type="containsText" dxfId="55" priority="27" operator="containsText" text="Worlds Team">
      <formula>NOT(ISERROR(SEARCH("Worlds Team",H1)))</formula>
    </cfRule>
    <cfRule type="containsText" dxfId="54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53" priority="50061" operator="between">
      <formula>AL$21</formula>
      <formula>1000</formula>
    </cfRule>
    <cfRule type="cellIs" dxfId="52" priority="50062" operator="between">
      <formula>AL$20</formula>
      <formula>AL$21</formula>
    </cfRule>
    <cfRule type="cellIs" dxfId="51" priority="50063" operator="between">
      <formula>AL$19</formula>
      <formula>AL$20</formula>
    </cfRule>
    <cfRule type="cellIs" dxfId="50" priority="50064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9" priority="50241" operator="between">
      <formula>AL$25</formula>
      <formula>1000</formula>
    </cfRule>
    <cfRule type="cellIs" dxfId="48" priority="50242" operator="between">
      <formula>AL$24</formula>
      <formula>AL$25</formula>
    </cfRule>
    <cfRule type="cellIs" dxfId="47" priority="50243" operator="between">
      <formula>AL$23</formula>
      <formula>AL$24</formula>
    </cfRule>
    <cfRule type="cellIs" dxfId="46" priority="50244" operator="between">
      <formula>AL$22</formula>
      <formula>AL$23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 t="s">
        <v>146</v>
      </c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84"/>
      <c r="AH2" s="87" t="s">
        <v>29</v>
      </c>
      <c r="AI2" s="9" t="s">
        <v>28</v>
      </c>
      <c r="AJ2" s="10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83"/>
      <c r="BD2" s="88" t="s">
        <v>29</v>
      </c>
      <c r="BE2" s="12" t="s">
        <v>28</v>
      </c>
      <c r="BF2" s="110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109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110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109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110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109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8" t="s">
        <v>29</v>
      </c>
      <c r="GY2" s="16" t="s">
        <v>28</v>
      </c>
      <c r="GZ2" s="110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87" t="s">
        <v>29</v>
      </c>
      <c r="HT2" s="17" t="s">
        <v>28</v>
      </c>
      <c r="HU2" s="109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8" t="s">
        <v>29</v>
      </c>
      <c r="IO2" s="16" t="s">
        <v>28</v>
      </c>
      <c r="IP2" s="110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87" t="s">
        <v>29</v>
      </c>
      <c r="JJ2" s="17" t="s">
        <v>28</v>
      </c>
      <c r="JK2" s="109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8" t="s">
        <v>29</v>
      </c>
      <c r="KE2" s="16" t="s">
        <v>28</v>
      </c>
      <c r="KF2" s="110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87" t="s">
        <v>29</v>
      </c>
      <c r="KZ2" s="17" t="s">
        <v>28</v>
      </c>
      <c r="LA2" s="109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8" t="s">
        <v>29</v>
      </c>
      <c r="LU2" s="16" t="s">
        <v>28</v>
      </c>
      <c r="LV2" s="110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84" t="s">
        <v>19</v>
      </c>
      <c r="R3" s="84" t="s">
        <v>11</v>
      </c>
      <c r="S3" s="84" t="s">
        <v>40</v>
      </c>
      <c r="T3" s="84" t="s">
        <v>41</v>
      </c>
      <c r="U3" s="84" t="s">
        <v>19</v>
      </c>
      <c r="V3" s="84" t="s">
        <v>11</v>
      </c>
      <c r="W3" s="84" t="s">
        <v>40</v>
      </c>
      <c r="X3" s="84" t="s">
        <v>41</v>
      </c>
      <c r="Y3" s="84" t="s">
        <v>19</v>
      </c>
      <c r="Z3" s="84" t="s">
        <v>11</v>
      </c>
      <c r="AA3" s="84" t="s">
        <v>40</v>
      </c>
      <c r="AB3" s="84" t="s">
        <v>41</v>
      </c>
      <c r="AC3" s="85" t="s">
        <v>19</v>
      </c>
      <c r="AD3" s="85" t="s">
        <v>11</v>
      </c>
      <c r="AE3" s="85" t="s">
        <v>40</v>
      </c>
      <c r="AF3" s="85" t="s">
        <v>41</v>
      </c>
      <c r="AG3" s="84" t="s">
        <v>73</v>
      </c>
      <c r="AH3" s="10"/>
      <c r="AI3" s="9"/>
      <c r="AJ3" s="10"/>
      <c r="AK3" s="10"/>
      <c r="AL3" s="10"/>
      <c r="AM3" s="83" t="s">
        <v>19</v>
      </c>
      <c r="AN3" s="83" t="s">
        <v>11</v>
      </c>
      <c r="AO3" s="83" t="s">
        <v>40</v>
      </c>
      <c r="AP3" s="83" t="s">
        <v>41</v>
      </c>
      <c r="AQ3" s="83" t="s">
        <v>19</v>
      </c>
      <c r="AR3" s="83" t="s">
        <v>11</v>
      </c>
      <c r="AS3" s="83" t="s">
        <v>40</v>
      </c>
      <c r="AT3" s="83" t="s">
        <v>41</v>
      </c>
      <c r="AU3" s="83" t="s">
        <v>19</v>
      </c>
      <c r="AV3" s="83" t="s">
        <v>11</v>
      </c>
      <c r="AW3" s="83" t="s">
        <v>40</v>
      </c>
      <c r="AX3" s="83" t="s">
        <v>41</v>
      </c>
      <c r="AY3" s="86" t="s">
        <v>19</v>
      </c>
      <c r="AZ3" s="86" t="s">
        <v>11</v>
      </c>
      <c r="BA3" s="86" t="s">
        <v>40</v>
      </c>
      <c r="BB3" s="86" t="s">
        <v>41</v>
      </c>
      <c r="BC3" s="83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84" t="s">
        <v>19</v>
      </c>
      <c r="CH3" s="84" t="s">
        <v>11</v>
      </c>
      <c r="CI3" s="84" t="s">
        <v>40</v>
      </c>
      <c r="CJ3" s="84" t="s">
        <v>41</v>
      </c>
      <c r="CK3" s="84" t="s">
        <v>19</v>
      </c>
      <c r="CL3" s="84" t="s">
        <v>11</v>
      </c>
      <c r="CM3" s="84" t="s">
        <v>40</v>
      </c>
      <c r="CN3" s="84" t="s">
        <v>41</v>
      </c>
      <c r="CO3" s="84" t="s">
        <v>19</v>
      </c>
      <c r="CP3" s="84" t="s">
        <v>11</v>
      </c>
      <c r="CQ3" s="84" t="s">
        <v>40</v>
      </c>
      <c r="CR3" s="84" t="s">
        <v>41</v>
      </c>
      <c r="CS3" s="85" t="s">
        <v>19</v>
      </c>
      <c r="CT3" s="85" t="s">
        <v>11</v>
      </c>
      <c r="CU3" s="85" t="s">
        <v>40</v>
      </c>
      <c r="CV3" s="85" t="s">
        <v>41</v>
      </c>
      <c r="CW3" s="10"/>
      <c r="CX3" s="9"/>
      <c r="CY3" s="10"/>
      <c r="CZ3" s="10"/>
      <c r="DA3" s="10"/>
      <c r="DB3" s="86" t="s">
        <v>19</v>
      </c>
      <c r="DC3" s="86" t="s">
        <v>11</v>
      </c>
      <c r="DD3" s="86" t="s">
        <v>40</v>
      </c>
      <c r="DE3" s="86" t="s">
        <v>41</v>
      </c>
      <c r="DF3" s="86" t="s">
        <v>19</v>
      </c>
      <c r="DG3" s="86" t="s">
        <v>11</v>
      </c>
      <c r="DH3" s="86" t="s">
        <v>40</v>
      </c>
      <c r="DI3" s="86" t="s">
        <v>41</v>
      </c>
      <c r="DJ3" s="86" t="s">
        <v>19</v>
      </c>
      <c r="DK3" s="86" t="s">
        <v>11</v>
      </c>
      <c r="DL3" s="86" t="s">
        <v>40</v>
      </c>
      <c r="DM3" s="86" t="s">
        <v>41</v>
      </c>
      <c r="DN3" s="86" t="s">
        <v>19</v>
      </c>
      <c r="DO3" s="86" t="s">
        <v>11</v>
      </c>
      <c r="DP3" s="86" t="s">
        <v>40</v>
      </c>
      <c r="DQ3" s="86" t="s">
        <v>41</v>
      </c>
      <c r="DR3" s="13"/>
      <c r="DS3" s="16"/>
      <c r="DT3" s="13"/>
      <c r="DU3" s="16"/>
      <c r="DV3" s="16"/>
      <c r="DW3" s="85" t="s">
        <v>19</v>
      </c>
      <c r="DX3" s="85" t="s">
        <v>11</v>
      </c>
      <c r="DY3" s="85" t="s">
        <v>40</v>
      </c>
      <c r="DZ3" s="85" t="s">
        <v>41</v>
      </c>
      <c r="EA3" s="85" t="s">
        <v>19</v>
      </c>
      <c r="EB3" s="85" t="s">
        <v>11</v>
      </c>
      <c r="EC3" s="85" t="s">
        <v>40</v>
      </c>
      <c r="ED3" s="85" t="s">
        <v>41</v>
      </c>
      <c r="EE3" s="85" t="s">
        <v>19</v>
      </c>
      <c r="EF3" s="85" t="s">
        <v>11</v>
      </c>
      <c r="EG3" s="85" t="s">
        <v>40</v>
      </c>
      <c r="EH3" s="85" t="s">
        <v>41</v>
      </c>
      <c r="EI3" s="85" t="s">
        <v>19</v>
      </c>
      <c r="EJ3" s="85" t="s">
        <v>11</v>
      </c>
      <c r="EK3" s="85" t="s">
        <v>40</v>
      </c>
      <c r="EL3" s="85" t="s">
        <v>41</v>
      </c>
      <c r="EM3" s="10"/>
      <c r="EN3" s="17"/>
      <c r="EO3" s="10"/>
      <c r="EP3" s="17"/>
      <c r="EQ3" s="17"/>
      <c r="ER3" s="86" t="s">
        <v>19</v>
      </c>
      <c r="ES3" s="86" t="s">
        <v>11</v>
      </c>
      <c r="ET3" s="86" t="s">
        <v>40</v>
      </c>
      <c r="EU3" s="86" t="s">
        <v>41</v>
      </c>
      <c r="EV3" s="86" t="s">
        <v>19</v>
      </c>
      <c r="EW3" s="86" t="s">
        <v>11</v>
      </c>
      <c r="EX3" s="86" t="s">
        <v>40</v>
      </c>
      <c r="EY3" s="86" t="s">
        <v>41</v>
      </c>
      <c r="EZ3" s="86" t="s">
        <v>19</v>
      </c>
      <c r="FA3" s="86" t="s">
        <v>11</v>
      </c>
      <c r="FB3" s="86" t="s">
        <v>40</v>
      </c>
      <c r="FC3" s="86" t="s">
        <v>41</v>
      </c>
      <c r="FD3" s="86" t="s">
        <v>19</v>
      </c>
      <c r="FE3" s="86" t="s">
        <v>11</v>
      </c>
      <c r="FF3" s="86" t="s">
        <v>40</v>
      </c>
      <c r="FG3" s="86" t="s">
        <v>41</v>
      </c>
      <c r="FH3" s="13"/>
      <c r="FI3" s="16"/>
      <c r="FJ3" s="13"/>
      <c r="FK3" s="16"/>
      <c r="FL3" s="16"/>
      <c r="FM3" s="85" t="s">
        <v>19</v>
      </c>
      <c r="FN3" s="85" t="s">
        <v>11</v>
      </c>
      <c r="FO3" s="85" t="s">
        <v>40</v>
      </c>
      <c r="FP3" s="85" t="s">
        <v>41</v>
      </c>
      <c r="FQ3" s="85" t="s">
        <v>19</v>
      </c>
      <c r="FR3" s="85" t="s">
        <v>11</v>
      </c>
      <c r="FS3" s="85" t="s">
        <v>40</v>
      </c>
      <c r="FT3" s="85" t="s">
        <v>41</v>
      </c>
      <c r="FU3" s="85" t="s">
        <v>19</v>
      </c>
      <c r="FV3" s="85" t="s">
        <v>11</v>
      </c>
      <c r="FW3" s="85" t="s">
        <v>40</v>
      </c>
      <c r="FX3" s="85" t="s">
        <v>41</v>
      </c>
      <c r="FY3" s="85" t="s">
        <v>19</v>
      </c>
      <c r="FZ3" s="85" t="s">
        <v>11</v>
      </c>
      <c r="GA3" s="85" t="s">
        <v>40</v>
      </c>
      <c r="GB3" s="85" t="s">
        <v>41</v>
      </c>
      <c r="GC3" s="10"/>
      <c r="GD3" s="17"/>
      <c r="GE3" s="10"/>
      <c r="GF3" s="17"/>
      <c r="GG3" s="17"/>
      <c r="GH3" s="86" t="s">
        <v>19</v>
      </c>
      <c r="GI3" s="86" t="s">
        <v>11</v>
      </c>
      <c r="GJ3" s="86" t="s">
        <v>40</v>
      </c>
      <c r="GK3" s="86" t="s">
        <v>41</v>
      </c>
      <c r="GL3" s="86" t="s">
        <v>19</v>
      </c>
      <c r="GM3" s="86" t="s">
        <v>11</v>
      </c>
      <c r="GN3" s="86" t="s">
        <v>40</v>
      </c>
      <c r="GO3" s="86" t="s">
        <v>41</v>
      </c>
      <c r="GP3" s="86" t="s">
        <v>19</v>
      </c>
      <c r="GQ3" s="86" t="s">
        <v>11</v>
      </c>
      <c r="GR3" s="86" t="s">
        <v>40</v>
      </c>
      <c r="GS3" s="86" t="s">
        <v>41</v>
      </c>
      <c r="GT3" s="86" t="s">
        <v>19</v>
      </c>
      <c r="GU3" s="86" t="s">
        <v>11</v>
      </c>
      <c r="GV3" s="86" t="s">
        <v>40</v>
      </c>
      <c r="GW3" s="86" t="s">
        <v>41</v>
      </c>
      <c r="GX3" s="13"/>
      <c r="GY3" s="16"/>
      <c r="GZ3" s="13"/>
      <c r="HA3" s="16"/>
      <c r="HB3" s="16"/>
      <c r="HC3" s="85" t="s">
        <v>19</v>
      </c>
      <c r="HD3" s="85" t="s">
        <v>11</v>
      </c>
      <c r="HE3" s="85" t="s">
        <v>40</v>
      </c>
      <c r="HF3" s="85" t="s">
        <v>41</v>
      </c>
      <c r="HG3" s="85" t="s">
        <v>19</v>
      </c>
      <c r="HH3" s="85" t="s">
        <v>11</v>
      </c>
      <c r="HI3" s="85" t="s">
        <v>40</v>
      </c>
      <c r="HJ3" s="85" t="s">
        <v>41</v>
      </c>
      <c r="HK3" s="85" t="s">
        <v>19</v>
      </c>
      <c r="HL3" s="85" t="s">
        <v>11</v>
      </c>
      <c r="HM3" s="85" t="s">
        <v>40</v>
      </c>
      <c r="HN3" s="85" t="s">
        <v>41</v>
      </c>
      <c r="HO3" s="85" t="s">
        <v>19</v>
      </c>
      <c r="HP3" s="85" t="s">
        <v>11</v>
      </c>
      <c r="HQ3" s="85" t="s">
        <v>40</v>
      </c>
      <c r="HR3" s="85" t="s">
        <v>41</v>
      </c>
      <c r="HS3" s="10"/>
      <c r="HT3" s="17"/>
      <c r="HU3" s="10"/>
      <c r="HV3" s="17"/>
      <c r="HW3" s="17"/>
      <c r="HX3" s="86" t="s">
        <v>19</v>
      </c>
      <c r="HY3" s="86" t="s">
        <v>11</v>
      </c>
      <c r="HZ3" s="86" t="s">
        <v>40</v>
      </c>
      <c r="IA3" s="86" t="s">
        <v>41</v>
      </c>
      <c r="IB3" s="86" t="s">
        <v>19</v>
      </c>
      <c r="IC3" s="86" t="s">
        <v>11</v>
      </c>
      <c r="ID3" s="86" t="s">
        <v>40</v>
      </c>
      <c r="IE3" s="86" t="s">
        <v>41</v>
      </c>
      <c r="IF3" s="86" t="s">
        <v>19</v>
      </c>
      <c r="IG3" s="86" t="s">
        <v>11</v>
      </c>
      <c r="IH3" s="86" t="s">
        <v>40</v>
      </c>
      <c r="II3" s="86" t="s">
        <v>41</v>
      </c>
      <c r="IJ3" s="86" t="s">
        <v>19</v>
      </c>
      <c r="IK3" s="86" t="s">
        <v>11</v>
      </c>
      <c r="IL3" s="86" t="s">
        <v>40</v>
      </c>
      <c r="IM3" s="86" t="s">
        <v>41</v>
      </c>
      <c r="IN3" s="13"/>
      <c r="IO3" s="16"/>
      <c r="IP3" s="13"/>
      <c r="IQ3" s="16"/>
      <c r="IR3" s="16"/>
      <c r="IS3" s="85" t="s">
        <v>19</v>
      </c>
      <c r="IT3" s="85" t="s">
        <v>11</v>
      </c>
      <c r="IU3" s="85" t="s">
        <v>40</v>
      </c>
      <c r="IV3" s="85" t="s">
        <v>41</v>
      </c>
      <c r="IW3" s="85" t="s">
        <v>19</v>
      </c>
      <c r="IX3" s="85" t="s">
        <v>11</v>
      </c>
      <c r="IY3" s="85" t="s">
        <v>40</v>
      </c>
      <c r="IZ3" s="85" t="s">
        <v>41</v>
      </c>
      <c r="JA3" s="85" t="s">
        <v>19</v>
      </c>
      <c r="JB3" s="85" t="s">
        <v>11</v>
      </c>
      <c r="JC3" s="85" t="s">
        <v>40</v>
      </c>
      <c r="JD3" s="85" t="s">
        <v>41</v>
      </c>
      <c r="JE3" s="85" t="s">
        <v>19</v>
      </c>
      <c r="JF3" s="85" t="s">
        <v>11</v>
      </c>
      <c r="JG3" s="85" t="s">
        <v>40</v>
      </c>
      <c r="JH3" s="85" t="s">
        <v>41</v>
      </c>
      <c r="JI3" s="10"/>
      <c r="JJ3" s="17"/>
      <c r="JK3" s="10"/>
      <c r="JL3" s="17"/>
      <c r="JM3" s="17"/>
      <c r="JN3" s="86" t="s">
        <v>19</v>
      </c>
      <c r="JO3" s="86" t="s">
        <v>11</v>
      </c>
      <c r="JP3" s="86" t="s">
        <v>40</v>
      </c>
      <c r="JQ3" s="86" t="s">
        <v>41</v>
      </c>
      <c r="JR3" s="86" t="s">
        <v>19</v>
      </c>
      <c r="JS3" s="86" t="s">
        <v>11</v>
      </c>
      <c r="JT3" s="86" t="s">
        <v>40</v>
      </c>
      <c r="JU3" s="86" t="s">
        <v>41</v>
      </c>
      <c r="JV3" s="86" t="s">
        <v>19</v>
      </c>
      <c r="JW3" s="86" t="s">
        <v>11</v>
      </c>
      <c r="JX3" s="86" t="s">
        <v>40</v>
      </c>
      <c r="JY3" s="86" t="s">
        <v>41</v>
      </c>
      <c r="JZ3" s="86" t="s">
        <v>19</v>
      </c>
      <c r="KA3" s="86" t="s">
        <v>11</v>
      </c>
      <c r="KB3" s="86" t="s">
        <v>40</v>
      </c>
      <c r="KC3" s="86" t="s">
        <v>41</v>
      </c>
      <c r="KD3" s="13"/>
      <c r="KE3" s="16"/>
      <c r="KF3" s="13"/>
      <c r="KG3" s="16"/>
      <c r="KH3" s="16"/>
      <c r="KI3" s="85" t="s">
        <v>19</v>
      </c>
      <c r="KJ3" s="85" t="s">
        <v>11</v>
      </c>
      <c r="KK3" s="85" t="s">
        <v>40</v>
      </c>
      <c r="KL3" s="85" t="s">
        <v>41</v>
      </c>
      <c r="KM3" s="85" t="s">
        <v>19</v>
      </c>
      <c r="KN3" s="85" t="s">
        <v>11</v>
      </c>
      <c r="KO3" s="85" t="s">
        <v>40</v>
      </c>
      <c r="KP3" s="85" t="s">
        <v>41</v>
      </c>
      <c r="KQ3" s="85" t="s">
        <v>19</v>
      </c>
      <c r="KR3" s="85" t="s">
        <v>11</v>
      </c>
      <c r="KS3" s="85" t="s">
        <v>40</v>
      </c>
      <c r="KT3" s="85" t="s">
        <v>41</v>
      </c>
      <c r="KU3" s="85" t="s">
        <v>19</v>
      </c>
      <c r="KV3" s="85" t="s">
        <v>11</v>
      </c>
      <c r="KW3" s="85" t="s">
        <v>40</v>
      </c>
      <c r="KX3" s="85" t="s">
        <v>41</v>
      </c>
      <c r="KY3" s="10"/>
      <c r="KZ3" s="17"/>
      <c r="LA3" s="10"/>
      <c r="LB3" s="17"/>
      <c r="LC3" s="17"/>
      <c r="LD3" s="86" t="s">
        <v>19</v>
      </c>
      <c r="LE3" s="86" t="s">
        <v>11</v>
      </c>
      <c r="LF3" s="86" t="s">
        <v>40</v>
      </c>
      <c r="LG3" s="86" t="s">
        <v>41</v>
      </c>
      <c r="LH3" s="86" t="s">
        <v>19</v>
      </c>
      <c r="LI3" s="86" t="s">
        <v>11</v>
      </c>
      <c r="LJ3" s="86" t="s">
        <v>40</v>
      </c>
      <c r="LK3" s="86" t="s">
        <v>41</v>
      </c>
      <c r="LL3" s="86" t="s">
        <v>19</v>
      </c>
      <c r="LM3" s="86" t="s">
        <v>11</v>
      </c>
      <c r="LN3" s="86" t="s">
        <v>40</v>
      </c>
      <c r="LO3" s="86" t="s">
        <v>41</v>
      </c>
      <c r="LP3" s="86" t="s">
        <v>19</v>
      </c>
      <c r="LQ3" s="86" t="s">
        <v>11</v>
      </c>
      <c r="LR3" s="86" t="s">
        <v>40</v>
      </c>
      <c r="LS3" s="86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8" t="s">
        <v>116</v>
      </c>
      <c r="C4" s="4" t="s">
        <v>6</v>
      </c>
      <c r="D4" s="5">
        <v>1996</v>
      </c>
      <c r="E4" s="15">
        <f>SUM(J4:N4)</f>
        <v>200.6</v>
      </c>
      <c r="F4" s="3" t="str">
        <f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68.599999999999994</v>
      </c>
      <c r="K4" s="14" t="str">
        <f>IF(J4=0,"",IF(J4=CA4,$BI$1,IF(J4=BE4,$AM$1,IF(J4=AI4,$Q$1,""))))</f>
        <v>2021 Elite Canada</v>
      </c>
      <c r="L4" s="14">
        <f>IF(J4=AI4,MAX(BH4,CD4),IF(J4=BE4,MAX(AL4,CD4),MAX(AL4,BH4)))</f>
        <v>132</v>
      </c>
      <c r="M4" s="14" t="str">
        <f>IF(L4=0,"",IF(AND(J4&lt;&gt;CA4,L4=CD4),$BI$1,IF(AND(J4&lt;&gt;BE4,L4=BH4),$AM$1,IF(L4=AL4,$Q$1,""))))</f>
        <v>2021 Canadian Championships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27.4</v>
      </c>
      <c r="R4" s="69">
        <v>6</v>
      </c>
      <c r="S4" s="69">
        <v>0.3</v>
      </c>
      <c r="T4" s="69">
        <v>0</v>
      </c>
      <c r="U4" s="69">
        <v>28.1</v>
      </c>
      <c r="V4" s="69">
        <v>5.6</v>
      </c>
      <c r="W4" s="69">
        <v>0</v>
      </c>
      <c r="X4" s="69">
        <v>0</v>
      </c>
      <c r="Y4" s="69">
        <v>27.4</v>
      </c>
      <c r="Z4" s="69">
        <v>4.8</v>
      </c>
      <c r="AA4" s="69">
        <v>0.3</v>
      </c>
      <c r="AB4" s="69">
        <v>0</v>
      </c>
      <c r="AC4" s="69">
        <v>27.6</v>
      </c>
      <c r="AD4" s="69">
        <v>4.8</v>
      </c>
      <c r="AE4" s="69">
        <v>0</v>
      </c>
      <c r="AF4" s="69">
        <v>0</v>
      </c>
      <c r="AG4" s="80"/>
      <c r="AH4" s="11">
        <f>IF(SUM(R4,V4)&gt;0,SUM(R4,V4),"")</f>
        <v>11.6</v>
      </c>
      <c r="AI4" s="11">
        <f>IF(SUM(Q4:R4,T4:V4,X4)-SUM(S4,W4)&gt;0,SUM(Q4:R4,T4:V4,X4)-SUM(S4,W4),"")</f>
        <v>66.8</v>
      </c>
      <c r="AJ4" s="11">
        <f>IF(SUM(Z4,AD4)&gt;0,SUM(Z4,AD4),"")</f>
        <v>9.6</v>
      </c>
      <c r="AK4" s="11">
        <f>IF(SUM(Y4:Z4,AB4:AD4,AF4)-SUM(AA4,AE4)&gt;0,SUM(Y4:Z4,AB4:AD4,AF4)-SUM(AA4,AE4),"")</f>
        <v>64.3</v>
      </c>
      <c r="AL4" s="11">
        <f>IF(SUM(AI4,AK4)&gt;0,SUM(AI4,AK4),"")</f>
        <v>131.1</v>
      </c>
      <c r="AM4" s="38">
        <v>28.3</v>
      </c>
      <c r="AN4" s="38">
        <v>6</v>
      </c>
      <c r="AO4" s="38">
        <v>0</v>
      </c>
      <c r="AP4" s="38">
        <v>0</v>
      </c>
      <c r="AQ4" s="38">
        <v>28.7</v>
      </c>
      <c r="AR4" s="38">
        <v>5.6</v>
      </c>
      <c r="AS4" s="38">
        <v>0</v>
      </c>
      <c r="AT4" s="38">
        <v>0</v>
      </c>
      <c r="AU4" s="38">
        <v>19.7</v>
      </c>
      <c r="AV4" s="38">
        <v>3.2</v>
      </c>
      <c r="AW4" s="38">
        <v>0.3</v>
      </c>
      <c r="AX4" s="38">
        <v>0.3</v>
      </c>
      <c r="AY4" s="38">
        <v>28.2</v>
      </c>
      <c r="AZ4" s="38">
        <v>4.8</v>
      </c>
      <c r="BA4" s="38">
        <v>0</v>
      </c>
      <c r="BB4" s="38">
        <v>0</v>
      </c>
      <c r="BC4" s="81"/>
      <c r="BD4" s="14">
        <f>IF(SUM(AN4,AR4)&gt;0,SUM(AN4,AR4),"")</f>
        <v>11.6</v>
      </c>
      <c r="BE4" s="14">
        <f>IF(SUM(AM4:AN4,AP4:AR4,AT4)-SUM(AO4,AS4)&gt;0,SUM(AM4:AN4,AP4:AR4,AT4)-SUM(AO4,AS4),"")</f>
        <v>68.599999999999994</v>
      </c>
      <c r="BF4" s="14">
        <f>IF(SUM(AV4,AZ4)&gt;0,SUM(AV4,AZ4),"")</f>
        <v>8</v>
      </c>
      <c r="BG4" s="14">
        <f>IF(SUM(AU4:AV4,AX4:AZ4,BB4)-SUM(AW4,BA4)&gt;0,SUM(AU4:AV4,AX4:AZ4,BB4)-SUM(AW4,BA4),"")</f>
        <v>55.9</v>
      </c>
      <c r="BH4" s="14">
        <f>IF(SUM(BE4,BG4)&gt;0,SUM(BE4,BG4),"")</f>
        <v>124.5</v>
      </c>
      <c r="BI4" s="69">
        <v>27.5</v>
      </c>
      <c r="BJ4" s="69">
        <v>4.4000000000000004</v>
      </c>
      <c r="BK4" s="69">
        <v>0.3</v>
      </c>
      <c r="BL4" s="69">
        <v>0</v>
      </c>
      <c r="BM4" s="69">
        <v>27.6</v>
      </c>
      <c r="BN4" s="69">
        <v>6.4</v>
      </c>
      <c r="BO4" s="69">
        <v>0.3</v>
      </c>
      <c r="BP4" s="69">
        <v>0</v>
      </c>
      <c r="BQ4" s="69">
        <v>28.3</v>
      </c>
      <c r="BR4" s="69">
        <v>5.2</v>
      </c>
      <c r="BS4" s="69">
        <v>0</v>
      </c>
      <c r="BT4" s="69">
        <v>0</v>
      </c>
      <c r="BU4" s="69">
        <v>28</v>
      </c>
      <c r="BV4" s="69">
        <v>5.2</v>
      </c>
      <c r="BW4" s="69">
        <v>0</v>
      </c>
      <c r="BX4" s="69">
        <v>0</v>
      </c>
      <c r="BY4" s="80"/>
      <c r="BZ4" s="11">
        <f>IF(SUM(BJ4,BN4)&gt;0,SUM(BJ4,BN4),"")</f>
        <v>10.8</v>
      </c>
      <c r="CA4" s="11">
        <f>IF(SUM(BI4:BJ4,BL4:BN4,BP4)-SUM(BK4,BO4)&gt;0,SUM(BI4:BJ4,BL4:BN4,BP4)-SUM(BK4,BO4),"")</f>
        <v>65.300000000000011</v>
      </c>
      <c r="CB4" s="11">
        <f>IF(SUM(BR4,BV4)&gt;0,SUM(BR4,BV4),"")</f>
        <v>10.4</v>
      </c>
      <c r="CC4" s="11">
        <f>IF(SUM(BQ4:BR4,BT4:BV4,BX4)-SUM(BS4,BW4)&gt;0,SUM(BQ4:BR4,BT4:BV4,BX4)-SUM(BS4,BW4),"")</f>
        <v>66.7</v>
      </c>
      <c r="CD4" s="11">
        <f>IF(SUM(CA4,CC4)&gt;0,SUM(CA4,CC4),"")</f>
        <v>132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>
        <v>28.2</v>
      </c>
      <c r="CH4" s="44">
        <v>5.2</v>
      </c>
      <c r="CI4" s="44">
        <v>0</v>
      </c>
      <c r="CJ4" s="44">
        <v>0</v>
      </c>
      <c r="CK4" s="44">
        <v>27.2</v>
      </c>
      <c r="CL4" s="44">
        <v>6.4</v>
      </c>
      <c r="CM4" s="44">
        <v>0</v>
      </c>
      <c r="CN4" s="44">
        <v>0</v>
      </c>
      <c r="CO4" s="44"/>
      <c r="CP4" s="44"/>
      <c r="CQ4" s="44"/>
      <c r="CR4" s="44"/>
      <c r="CS4" s="44"/>
      <c r="CT4" s="44"/>
      <c r="CU4" s="44"/>
      <c r="CV4" s="44"/>
      <c r="CW4" s="11">
        <f>IF(SUM(CH4,CL4)&gt;0,SUM(CH4,CL4),"")</f>
        <v>11.600000000000001</v>
      </c>
      <c r="CX4" s="11">
        <f>IF(SUM(CG4:CH4,CJ4:CL4,CN4)-SUM(CI4,CM4)&gt;0,SUM(CG4:CH4,CJ4:CL4,CN4)-SUM(CI4,CM4),"")</f>
        <v>67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67</v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27.9</v>
      </c>
      <c r="LZ4" s="69">
        <f>IF($BY4="P",BJ4,(BJ4+AN4)/2)</f>
        <v>5.2</v>
      </c>
      <c r="MA4" s="69">
        <f>IF($BY4="P",BK4,(BK4+AO4)/2)</f>
        <v>0.15</v>
      </c>
      <c r="MB4" s="69">
        <f>IF($BY4="P",BL4,(BL4+AP4)/2)</f>
        <v>0</v>
      </c>
      <c r="MC4" s="69">
        <f>IF($BY4="P",BM4,(BM4+AQ4)/2)</f>
        <v>28.15</v>
      </c>
      <c r="MD4" s="69">
        <f>IF($BY4="P",BN4,(BN4+AR4)/2)</f>
        <v>6</v>
      </c>
      <c r="ME4" s="69">
        <f>IF($BY4="P",BO4,(BO4+AS4)/2)</f>
        <v>0.15</v>
      </c>
      <c r="MF4" s="69">
        <f>IF($BY4="P",BP4,(BP4+AT4)/2)</f>
        <v>0</v>
      </c>
      <c r="MG4" s="69">
        <f>IF($BY4="P",BQ4,(BQ4+AU4)/2)</f>
        <v>24</v>
      </c>
      <c r="MH4" s="69">
        <f>IF($BY4="P",BR4,(BR4+AV4)/2)</f>
        <v>4.2</v>
      </c>
      <c r="MI4" s="69">
        <f>IF($BY4="P",BS4,(BS4+AW4)/2)</f>
        <v>0.15</v>
      </c>
      <c r="MJ4" s="69">
        <f>IF($BY4="P",BT4,(BT4+AX4)/2)</f>
        <v>0.15</v>
      </c>
      <c r="MK4" s="69">
        <f>IF($BY4="P",BU4,(BU4+AY4)/2)</f>
        <v>28.1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11.2</v>
      </c>
      <c r="MQ4" s="11">
        <f>IF(SUM(LY4:LZ4,MB4:MD4,MF4)-SUM(MA4,ME4)&gt;0,SUM(LY4:LZ4,MB4:MD4,MF4)-SUM(MA4,ME4),"")</f>
        <v>66.95</v>
      </c>
      <c r="MR4" s="11">
        <f>IF(SUM(MH4,ML4)&gt;0,SUM(MH4,ML4),"")</f>
        <v>9.1999999999999993</v>
      </c>
      <c r="MS4" s="11">
        <f>IF(SUM(MG4:MH4,MJ4:ML4,MN4)-SUM(MI4,MM4)&gt;0,SUM(MG4:MH4,MJ4:ML4,MN4)-SUM(MI4,MM4),"")</f>
        <v>61.300000000000004</v>
      </c>
      <c r="MT4" s="11">
        <f>IF(SUM(MQ4,MS4)&gt;0,SUM(MQ4,MS4),"")</f>
        <v>128.25</v>
      </c>
    </row>
    <row r="5" spans="1:358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8" t="s">
        <v>137</v>
      </c>
      <c r="C5" s="4" t="s">
        <v>55</v>
      </c>
      <c r="D5" s="5">
        <v>2002</v>
      </c>
      <c r="E5" s="15">
        <f>SUM(J5:N5)</f>
        <v>199</v>
      </c>
      <c r="F5" s="3" t="str">
        <f>IF(OR(AND(AH5&gt;=AL$19,AI5&gt;=AL$23,AI5&lt;&gt;"",AG5=""),AND(BD5&gt;=BH$19,BE5&gt;=BH$23,BE5&lt;&gt;"",BC5=""),AND(BZ5&gt;=CD$19,CA5&gt;=CD$23,CA5&lt;&gt;"",BY5=""),AND(CW5&gt;=DA$19,CX5&gt;=DA$23,CX5&lt;&gt;""),AND(DR5&gt;=DV$19,DS5&gt;=DV$23,DS5&lt;&gt;""),AND(EM5&gt;=EQ$19,EN5&gt;=EQ$23,EN5&lt;&gt;""),AND(FH5&gt;=FL$19,FI5&gt;=FL$23,FI5&lt;&gt;""),AND(GC5&gt;=GG$19,GD5&gt;=GG$23,GD5&lt;&gt;""),AND(GX5&gt;=HB$19,GY5&gt;=HB$23,GY5&lt;&gt;""),AND(HS5&gt;=HW$19,HT5&gt;=HW$23,HT5&lt;&gt;""),AND(IN5&gt;=IR$19,IO5&gt;=IR$23,IO5&lt;&gt;""),AND(JI5&gt;=JM$19,JJ5&gt;=JM$23,JJ5&lt;&gt;""),AND(KD5&gt;=KH$19,KE5&gt;=KH$23,KE5&lt;&gt;""),AND(KY5&gt;=LC$19,KZ5&gt;=LC$23,KZ5&lt;&gt;""),AND(LT5&gt;=LX$19,LU5&gt;=LX$23,LU5&lt;&gt;"")),"P","")</f>
        <v>P</v>
      </c>
      <c r="G5" s="3" t="str">
        <f>IF(OR(AND(AI5&gt;=AL$23,AI5&lt;&gt;"",AG5=""),AND(BE5&gt;=BH$23,BE5&lt;&gt;"",BC5=""),AND(CA5&gt;=CD$23,CA5&lt;&gt;"",BY5=""),AND(CX5&gt;=DA$23,CX5&lt;&gt;""),AND(DS5&gt;=DV$23,DS5&lt;&gt;""),AND(EN5&gt;=EQ$23,EN5&lt;&gt;""),AND(FI5&gt;=FL$23,FI5&lt;&gt;""),AND(GD5&gt;=GG$23,GD5&lt;&gt;""),AND(GY5&gt;=HB$23,GY5&lt;&gt;""),AND(HT5&gt;=HW$23,HT5&lt;&gt;""),AND(IO5&gt;=IR$23,IO5&lt;&gt;""),AND(JJ5&gt;=JM$23,JJ5&lt;&gt;""),AND(KE5&gt;=KH$23,KE5&lt;&gt;""),AND(KZ5&gt;=LC$23,KZ5&lt;&gt;""),AND(LU5&gt;=LX$23,LU5&lt;&gt;"")),"P","")</f>
        <v>P</v>
      </c>
      <c r="H5" s="126" t="str">
        <f>IF(AND(G5="P",F5=""),"No DD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Merit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Excellence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Worlds Team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131.69999999999999</v>
      </c>
      <c r="M5" s="14" t="str">
        <f>IF(L5=0,"",IF(AND(J5&lt;&gt;CA5,L5=CD5),$BI$1,IF(AND(J5&lt;&gt;BE5,L5=BH5),$AM$1,IF(L5=AL5,$Q$1,""))))</f>
        <v>2021 Elite Canada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27.2</v>
      </c>
      <c r="R5" s="69">
        <v>5.6</v>
      </c>
      <c r="S5" s="69">
        <v>0.3</v>
      </c>
      <c r="T5" s="69">
        <v>0</v>
      </c>
      <c r="U5" s="69">
        <v>27.9</v>
      </c>
      <c r="V5" s="69">
        <v>5.2</v>
      </c>
      <c r="W5" s="69">
        <v>0.3</v>
      </c>
      <c r="X5" s="69">
        <v>0</v>
      </c>
      <c r="Y5" s="69">
        <v>0</v>
      </c>
      <c r="Z5" s="69">
        <v>0</v>
      </c>
      <c r="AA5" s="69">
        <v>0</v>
      </c>
      <c r="AB5" s="69">
        <v>0</v>
      </c>
      <c r="AC5" s="69">
        <v>28.5</v>
      </c>
      <c r="AD5" s="69">
        <v>4.3</v>
      </c>
      <c r="AE5" s="69">
        <v>0</v>
      </c>
      <c r="AF5" s="69">
        <v>0</v>
      </c>
      <c r="AG5" s="80"/>
      <c r="AH5" s="11">
        <f>IF(SUM(R5,V5)&gt;0,SUM(R5,V5),"")</f>
        <v>10.8</v>
      </c>
      <c r="AI5" s="11">
        <f>IF(SUM(Q5:R5,T5:V5,X5)-SUM(S5,W5)&gt;0,SUM(Q5:R5,T5:V5,X5)-SUM(S5,W5),"")</f>
        <v>65.3</v>
      </c>
      <c r="AJ5" s="11">
        <f>IF(SUM(Z5,AD5)&gt;0,SUM(Z5,AD5),"")</f>
        <v>4.3</v>
      </c>
      <c r="AK5" s="11">
        <f>IF(SUM(Y5:Z5,AB5:AD5,AF5)-SUM(AA5,AE5)&gt;0,SUM(Y5:Z5,AB5:AD5,AF5)-SUM(AA5,AE5),"")</f>
        <v>32.799999999999997</v>
      </c>
      <c r="AL5" s="11">
        <f>IF(SUM(AI5,AK5)&gt;0,SUM(AI5,AK5),"")</f>
        <v>98.1</v>
      </c>
      <c r="AM5" s="38">
        <v>28</v>
      </c>
      <c r="AN5" s="38">
        <v>5.6</v>
      </c>
      <c r="AO5" s="38">
        <v>0</v>
      </c>
      <c r="AP5" s="38">
        <v>0</v>
      </c>
      <c r="AQ5" s="38">
        <v>27.3</v>
      </c>
      <c r="AR5" s="38">
        <v>5.6</v>
      </c>
      <c r="AS5" s="38">
        <v>0</v>
      </c>
      <c r="AT5" s="38">
        <v>0</v>
      </c>
      <c r="AU5" s="38">
        <v>27.8</v>
      </c>
      <c r="AV5" s="38">
        <v>5.2</v>
      </c>
      <c r="AW5" s="38">
        <v>0.9</v>
      </c>
      <c r="AX5" s="38">
        <v>0</v>
      </c>
      <c r="AY5" s="38">
        <v>27.6</v>
      </c>
      <c r="AZ5" s="38">
        <v>5.2</v>
      </c>
      <c r="BA5" s="38">
        <v>0</v>
      </c>
      <c r="BB5" s="38">
        <v>0.3</v>
      </c>
      <c r="BC5" s="81"/>
      <c r="BD5" s="14">
        <f>IF(SUM(AN5,AR5)&gt;0,SUM(AN5,AR5),"")</f>
        <v>11.2</v>
      </c>
      <c r="BE5" s="14">
        <f>IF(SUM(AM5:AN5,AP5:AR5,AT5)-SUM(AO5,AS5)&gt;0,SUM(AM5:AN5,AP5:AR5,AT5)-SUM(AO5,AS5),"")</f>
        <v>66.5</v>
      </c>
      <c r="BF5" s="14">
        <f>IF(SUM(AV5,AZ5)&gt;0,SUM(AV5,AZ5),"")</f>
        <v>10.4</v>
      </c>
      <c r="BG5" s="14">
        <f>IF(SUM(AU5:AV5,AX5:AZ5,BB5)-SUM(AW5,BA5)&gt;0,SUM(AU5:AV5,AX5:AZ5,BB5)-SUM(AW5,BA5),"")</f>
        <v>65.199999999999989</v>
      </c>
      <c r="BH5" s="14">
        <f>IF(SUM(BE5,BG5)&gt;0,SUM(BE5,BG5),"")</f>
        <v>131.69999999999999</v>
      </c>
      <c r="BI5" s="69">
        <v>28.1</v>
      </c>
      <c r="BJ5" s="69">
        <v>5.6</v>
      </c>
      <c r="BK5" s="69">
        <v>0</v>
      </c>
      <c r="BL5" s="69">
        <v>0</v>
      </c>
      <c r="BM5" s="69">
        <v>28</v>
      </c>
      <c r="BN5" s="69">
        <v>5.6</v>
      </c>
      <c r="BO5" s="69">
        <v>0</v>
      </c>
      <c r="BP5" s="69">
        <v>0</v>
      </c>
      <c r="BQ5" s="69">
        <v>27.9</v>
      </c>
      <c r="BR5" s="69">
        <v>3</v>
      </c>
      <c r="BS5" s="69">
        <v>1.4</v>
      </c>
      <c r="BT5" s="69">
        <v>0</v>
      </c>
      <c r="BU5" s="69">
        <v>19.7</v>
      </c>
      <c r="BV5" s="69">
        <v>3.2</v>
      </c>
      <c r="BW5" s="69">
        <v>0</v>
      </c>
      <c r="BX5" s="69">
        <v>0.3</v>
      </c>
      <c r="BY5" s="80"/>
      <c r="BZ5" s="11">
        <f>IF(SUM(BJ5,BN5)&gt;0,SUM(BJ5,BN5),"")</f>
        <v>11.2</v>
      </c>
      <c r="CA5" s="11">
        <f>IF(SUM(BI5:BJ5,BL5:BN5,BP5)-SUM(BK5,BO5)&gt;0,SUM(BI5:BJ5,BL5:BN5,BP5)-SUM(BK5,BO5),"")</f>
        <v>67.3</v>
      </c>
      <c r="CB5" s="11">
        <f>IF(SUM(BR5,BV5)&gt;0,SUM(BR5,BV5),"")</f>
        <v>6.2</v>
      </c>
      <c r="CC5" s="11">
        <f>IF(SUM(BQ5:BR5,BT5:BV5,BX5)-SUM(BS5,BW5)&gt;0,SUM(BQ5:BR5,BT5:BV5,BX5)-SUM(BS5,BW5),"")</f>
        <v>52.699999999999996</v>
      </c>
      <c r="CD5" s="11">
        <f>IF(SUM(CA5,CC5)&gt;0,SUM(CA5,CC5),"")</f>
        <v>120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28.05</v>
      </c>
      <c r="LZ5" s="69">
        <f>IF($BY5="P",BJ5,(BJ5+AN5)/2)</f>
        <v>5.6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27.65</v>
      </c>
      <c r="MD5" s="69">
        <f>IF($BY5="P",BN5,(BN5+AR5)/2)</f>
        <v>5.6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27.85</v>
      </c>
      <c r="MH5" s="69">
        <f>IF($BY5="P",BR5,(BR5+AV5)/2)</f>
        <v>4.0999999999999996</v>
      </c>
      <c r="MI5" s="69">
        <f>IF($BY5="P",BS5,(BS5+AW5)/2)</f>
        <v>1.1499999999999999</v>
      </c>
      <c r="MJ5" s="69">
        <f>IF($BY5="P",BT5,(BT5+AX5)/2)</f>
        <v>0</v>
      </c>
      <c r="MK5" s="69">
        <f>IF($BY5="P",BU5,(BU5+AY5)/2)</f>
        <v>23.65</v>
      </c>
      <c r="ML5" s="69">
        <f>IF($BY5="P",BV5,(BV5+AZ5)/2)</f>
        <v>4.2</v>
      </c>
      <c r="MM5" s="69">
        <f>IF($BY5="P",BW5,(BW5+BA5)/2)</f>
        <v>0</v>
      </c>
      <c r="MN5" s="69">
        <f>IF($BY5="P",BX5,(BX5+BB5)/2)</f>
        <v>0.3</v>
      </c>
      <c r="MO5" s="80" t="s">
        <v>74</v>
      </c>
      <c r="MP5" s="11">
        <f>IF(SUM(LZ5,MD5)&gt;0,SUM(LZ5,MD5),"")</f>
        <v>11.2</v>
      </c>
      <c r="MQ5" s="11">
        <f>IF(SUM(LY5:LZ5,MB5:MD5,MF5)-SUM(MA5,ME5)&gt;0,SUM(LY5:LZ5,MB5:MD5,MF5)-SUM(MA5,ME5),"")</f>
        <v>66.899999999999991</v>
      </c>
      <c r="MR5" s="11">
        <f>IF(SUM(MH5,ML5)&gt;0,SUM(MH5,ML5),"")</f>
        <v>8.3000000000000007</v>
      </c>
      <c r="MS5" s="11">
        <f>IF(SUM(MG5:MH5,MJ5:ML5,MN5)-SUM(MI5,MM5)&gt;0,SUM(MG5:MH5,MJ5:ML5,MN5)-SUM(MI5,MM5),"")</f>
        <v>58.95</v>
      </c>
      <c r="MT5" s="11">
        <f>IF(SUM(MQ5,MS5)&gt;0,SUM(MQ5,MS5),"")</f>
        <v>125.85</v>
      </c>
    </row>
    <row r="6" spans="1:358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8" t="s">
        <v>96</v>
      </c>
      <c r="C6" s="4" t="s">
        <v>6</v>
      </c>
      <c r="D6" s="5">
        <v>2001</v>
      </c>
      <c r="E6" s="15">
        <f>SUM(J6:N6)</f>
        <v>176.39999999999998</v>
      </c>
      <c r="F6" s="3" t="str">
        <f>IF(OR(AND(AH6&gt;=AL$19,AI6&gt;=AL$23,AI6&lt;&gt;"",AG6=""),AND(BD6&gt;=BH$19,BE6&gt;=BH$23,BE6&lt;&gt;"",BC6=""),AND(BZ6&gt;=CD$19,CA6&gt;=CD$23,CA6&lt;&gt;"",BY6=""),AND(CW6&gt;=DA$19,CX6&gt;=DA$23,CX6&lt;&gt;""),AND(DR6&gt;=DV$19,DS6&gt;=DV$23,DS6&lt;&gt;""),AND(EM6&gt;=EQ$19,EN6&gt;=EQ$23,EN6&lt;&gt;""),AND(FH6&gt;=FL$19,FI6&gt;=FL$23,FI6&lt;&gt;""),AND(GC6&gt;=GG$19,GD6&gt;=GG$23,GD6&lt;&gt;""),AND(GX6&gt;=HB$19,GY6&gt;=HB$23,GY6&lt;&gt;""),AND(HS6&gt;=HW$19,HT6&gt;=HW$23,HT6&lt;&gt;""),AND(IN6&gt;=IR$19,IO6&gt;=IR$23,IO6&lt;&gt;""),AND(JI6&gt;=JM$19,JJ6&gt;=JM$23,JJ6&lt;&gt;""),AND(KD6&gt;=KH$19,KE6&gt;=KH$23,KE6&lt;&gt;""),AND(KY6&gt;=LC$19,KZ6&gt;=LC$23,KZ6&lt;&gt;""),AND(LT6&gt;=LX$19,LU6&gt;=LX$23,LU6&lt;&gt;"")),"P","")</f>
        <v>P</v>
      </c>
      <c r="G6" s="3" t="str">
        <f>IF(OR(AND(AI6&gt;=AL$23,AI6&lt;&gt;"",AG6=""),AND(BE6&gt;=BH$23,BE6&lt;&gt;"",BC6=""),AND(CA6&gt;=CD$23,CA6&lt;&gt;"",BY6=""),AND(CX6&gt;=DA$23,CX6&lt;&gt;""),AND(DS6&gt;=DV$23,DS6&lt;&gt;""),AND(EN6&gt;=EQ$23,EN6&lt;&gt;""),AND(FI6&gt;=FL$23,FI6&lt;&gt;""),AND(GD6&gt;=GG$23,GD6&lt;&gt;""),AND(GY6&gt;=HB$23,GY6&lt;&gt;""),AND(HT6&gt;=HW$23,HT6&lt;&gt;""),AND(IO6&gt;=IR$23,IO6&lt;&gt;""),AND(JJ6&gt;=JM$23,JJ6&lt;&gt;""),AND(KE6&gt;=KH$23,KE6&lt;&gt;""),AND(KZ6&gt;=LC$23,KZ6&lt;&gt;""),AND(LU6&gt;=LX$23,LU6&lt;&gt;"")),"P","")</f>
        <v>P</v>
      </c>
      <c r="H6" s="126" t="str">
        <f>IF(AND(G6="P",F6=""),"No DD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Merit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Excellence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Worlds Team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19.8</v>
      </c>
      <c r="R6" s="69">
        <v>2.4</v>
      </c>
      <c r="S6" s="69">
        <v>0</v>
      </c>
      <c r="T6" s="69">
        <v>0</v>
      </c>
      <c r="U6" s="69">
        <v>19.600000000000001</v>
      </c>
      <c r="V6" s="69">
        <v>2.8</v>
      </c>
      <c r="W6" s="69">
        <v>0</v>
      </c>
      <c r="X6" s="69">
        <v>0</v>
      </c>
      <c r="Y6" s="69">
        <v>27.9</v>
      </c>
      <c r="Z6" s="69">
        <v>4.3</v>
      </c>
      <c r="AA6" s="69">
        <v>0.4</v>
      </c>
      <c r="AB6" s="69">
        <v>0.3</v>
      </c>
      <c r="AC6" s="69">
        <v>27.1</v>
      </c>
      <c r="AD6" s="69">
        <v>5.2</v>
      </c>
      <c r="AE6" s="69">
        <v>0.9</v>
      </c>
      <c r="AF6" s="69">
        <v>0.3</v>
      </c>
      <c r="AG6" s="80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8">
        <v>27.4</v>
      </c>
      <c r="AN6" s="38">
        <v>6.4</v>
      </c>
      <c r="AO6" s="38">
        <v>0</v>
      </c>
      <c r="AP6" s="38">
        <v>0</v>
      </c>
      <c r="AQ6" s="38">
        <v>19.7</v>
      </c>
      <c r="AR6" s="38">
        <v>2.4</v>
      </c>
      <c r="AS6" s="38">
        <v>0</v>
      </c>
      <c r="AT6" s="38">
        <v>0</v>
      </c>
      <c r="AU6" s="38"/>
      <c r="AV6" s="38"/>
      <c r="AW6" s="38"/>
      <c r="AX6" s="38"/>
      <c r="AY6" s="38"/>
      <c r="AZ6" s="38"/>
      <c r="BA6" s="38"/>
      <c r="BB6" s="38"/>
      <c r="BC6" s="81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9">
        <v>28.2</v>
      </c>
      <c r="BJ6" s="69">
        <v>6.4</v>
      </c>
      <c r="BK6" s="69">
        <v>0</v>
      </c>
      <c r="BL6" s="69">
        <v>0</v>
      </c>
      <c r="BM6" s="69">
        <v>28</v>
      </c>
      <c r="BN6" s="69">
        <v>6</v>
      </c>
      <c r="BO6" s="69">
        <v>0.9</v>
      </c>
      <c r="BP6" s="69">
        <v>0.3</v>
      </c>
      <c r="BQ6" s="69">
        <v>26.9</v>
      </c>
      <c r="BR6" s="69">
        <v>3.1</v>
      </c>
      <c r="BS6" s="69">
        <v>2.5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80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>
        <v>27.2</v>
      </c>
      <c r="CH6" s="44">
        <v>6.4</v>
      </c>
      <c r="CI6" s="44">
        <v>0.9</v>
      </c>
      <c r="CJ6" s="44">
        <v>0</v>
      </c>
      <c r="CK6" s="44">
        <v>27.8</v>
      </c>
      <c r="CL6" s="44">
        <v>6.8</v>
      </c>
      <c r="CM6" s="44">
        <v>0</v>
      </c>
      <c r="CN6" s="44">
        <v>0</v>
      </c>
      <c r="CO6" s="44"/>
      <c r="CP6" s="44"/>
      <c r="CQ6" s="44"/>
      <c r="CR6" s="44"/>
      <c r="CS6" s="44"/>
      <c r="CT6" s="44"/>
      <c r="CU6" s="44"/>
      <c r="CV6" s="44"/>
      <c r="CW6" s="11">
        <f>IF(SUM(CH6,CL6)&gt;0,SUM(CH6,CL6),"")</f>
        <v>13.2</v>
      </c>
      <c r="CX6" s="11">
        <f>IF(SUM(CG6:CH6,CJ6:CL6,CN6)-SUM(CI6,CM6)&gt;0,SUM(CG6:CH6,CJ6:CL6,CN6)-SUM(CI6,CM6),"")</f>
        <v>67.3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67.3</v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6.4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23.85</v>
      </c>
      <c r="MD6" s="69">
        <f>IF($BY6="P",BN6,(BN6+AR6)/2)</f>
        <v>4.2</v>
      </c>
      <c r="ME6" s="69">
        <f>IF($BY6="P",BO6,(BO6+AS6)/2)</f>
        <v>0.45</v>
      </c>
      <c r="MF6" s="69">
        <f>IF($BY6="P",BP6,(BP6+AT6)/2)</f>
        <v>0.15</v>
      </c>
      <c r="MG6" s="69">
        <f>IF($BY6="P",BQ6,(BQ6+AU6)/2)</f>
        <v>13.45</v>
      </c>
      <c r="MH6" s="69">
        <f>IF($BY6="P",BR6,(BR6+AV6)/2)</f>
        <v>1.55</v>
      </c>
      <c r="MI6" s="69">
        <f>IF($BY6="P",BS6,(BS6+AW6)/2)</f>
        <v>1.25</v>
      </c>
      <c r="MJ6" s="69">
        <f>IF($BY6="P",BT6,(BT6+AX6)/2)</f>
        <v>0</v>
      </c>
      <c r="MK6" s="69">
        <f>IF($BY6="P",BU6,(BU6+AY6)/2)</f>
        <v>0</v>
      </c>
      <c r="ML6" s="69">
        <f>IF($BY6="P",BV6,(BV6+AZ6)/2)</f>
        <v>0</v>
      </c>
      <c r="MM6" s="69">
        <f>IF($BY6="P",BW6,(BW6+BA6)/2)</f>
        <v>0</v>
      </c>
      <c r="MN6" s="69">
        <f>IF($BY6="P",BX6,(BX6+BB6)/2)</f>
        <v>0</v>
      </c>
      <c r="MO6" s="80" t="s">
        <v>74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8" t="s">
        <v>115</v>
      </c>
      <c r="C7" s="4" t="s">
        <v>5</v>
      </c>
      <c r="D7" s="5">
        <v>2003</v>
      </c>
      <c r="E7" s="15">
        <f>SUM(J7:N7)</f>
        <v>161</v>
      </c>
      <c r="F7" s="3" t="str">
        <f>IF(OR(AND(AH7&gt;=AL$19,AI7&gt;=AL$23,AI7&lt;&gt;"",AG7=""),AND(BD7&gt;=BH$19,BE7&gt;=BH$23,BE7&lt;&gt;"",BC7=""),AND(BZ7&gt;=CD$19,CA7&gt;=CD$23,CA7&lt;&gt;"",BY7=""),AND(CW7&gt;=DA$19,CX7&gt;=DA$23,CX7&lt;&gt;""),AND(DR7&gt;=DV$19,DS7&gt;=DV$23,DS7&lt;&gt;""),AND(EM7&gt;=EQ$19,EN7&gt;=EQ$23,EN7&lt;&gt;""),AND(FH7&gt;=FL$19,FI7&gt;=FL$23,FI7&lt;&gt;""),AND(GC7&gt;=GG$19,GD7&gt;=GG$23,GD7&lt;&gt;""),AND(GX7&gt;=HB$19,GY7&gt;=HB$23,GY7&lt;&gt;""),AND(HS7&gt;=HW$19,HT7&gt;=HW$23,HT7&lt;&gt;""),AND(IN7&gt;=IR$19,IO7&gt;=IR$23,IO7&lt;&gt;""),AND(JI7&gt;=JM$19,JJ7&gt;=JM$23,JJ7&lt;&gt;""),AND(KD7&gt;=KH$19,KE7&gt;=KH$23,KE7&lt;&gt;""),AND(KY7&gt;=LC$19,KZ7&gt;=LC$23,KZ7&lt;&gt;""),AND(LT7&gt;=LX$19,LU7&gt;=LX$23,LU7&lt;&gt;"")),"P","")</f>
        <v>P</v>
      </c>
      <c r="G7" s="3" t="str">
        <f>IF(OR(AND(AI7&gt;=AL$23,AI7&lt;&gt;"",AG7=""),AND(BE7&gt;=BH$23,BE7&lt;&gt;"",BC7=""),AND(CA7&gt;=CD$23,CA7&lt;&gt;"",BY7=""),AND(CX7&gt;=DA$23,CX7&lt;&gt;""),AND(DS7&gt;=DV$23,DS7&lt;&gt;""),AND(EN7&gt;=EQ$23,EN7&lt;&gt;""),AND(FI7&gt;=FL$23,FI7&lt;&gt;""),AND(GD7&gt;=GG$23,GD7&lt;&gt;""),AND(GY7&gt;=HB$23,GY7&lt;&gt;""),AND(HT7&gt;=HW$23,HT7&lt;&gt;""),AND(IO7&gt;=IR$23,IO7&lt;&gt;""),AND(JJ7&gt;=JM$23,JJ7&lt;&gt;""),AND(KE7&gt;=KH$23,KE7&lt;&gt;""),AND(KZ7&gt;=LC$23,KZ7&lt;&gt;""),AND(LU7&gt;=LX$23,LU7&lt;&gt;"")),"P","")</f>
        <v>P</v>
      </c>
      <c r="H7" s="126" t="str">
        <f>IF(AND(G7="P",F7=""),"No DD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Merit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Excellence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Worlds Team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28.1</v>
      </c>
      <c r="R7" s="69">
        <v>5.6</v>
      </c>
      <c r="S7" s="69">
        <v>0</v>
      </c>
      <c r="T7" s="69">
        <v>0</v>
      </c>
      <c r="U7" s="69">
        <v>27.5</v>
      </c>
      <c r="V7" s="69">
        <v>6</v>
      </c>
      <c r="W7" s="69">
        <v>0.3</v>
      </c>
      <c r="X7" s="69">
        <v>0</v>
      </c>
      <c r="Y7" s="69">
        <v>27</v>
      </c>
      <c r="Z7" s="69">
        <v>5.6</v>
      </c>
      <c r="AA7" s="69">
        <v>0.9</v>
      </c>
      <c r="AB7" s="69">
        <v>0</v>
      </c>
      <c r="AC7" s="69">
        <v>26.5</v>
      </c>
      <c r="AD7" s="69">
        <v>4.4000000000000004</v>
      </c>
      <c r="AE7" s="69">
        <v>0</v>
      </c>
      <c r="AF7" s="69">
        <v>0</v>
      </c>
      <c r="AG7" s="80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8">
        <v>27.3</v>
      </c>
      <c r="AN7" s="38">
        <v>6</v>
      </c>
      <c r="AO7" s="38">
        <v>0.3</v>
      </c>
      <c r="AP7" s="38">
        <v>0</v>
      </c>
      <c r="AQ7" s="38">
        <v>27.1</v>
      </c>
      <c r="AR7" s="38">
        <v>3.6</v>
      </c>
      <c r="AS7" s="38">
        <v>1.7</v>
      </c>
      <c r="AT7" s="38">
        <v>0.3</v>
      </c>
      <c r="AU7" s="38">
        <v>27.7</v>
      </c>
      <c r="AV7" s="38">
        <v>4.4000000000000004</v>
      </c>
      <c r="AW7" s="38">
        <v>0.3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9">
        <v>27.9</v>
      </c>
      <c r="BJ7" s="69">
        <v>5.6</v>
      </c>
      <c r="BK7" s="69">
        <v>0</v>
      </c>
      <c r="BL7" s="69">
        <v>0</v>
      </c>
      <c r="BM7" s="69">
        <v>19.8</v>
      </c>
      <c r="BN7" s="69">
        <v>2.4</v>
      </c>
      <c r="BO7" s="69">
        <v>0</v>
      </c>
      <c r="BP7" s="69">
        <v>0</v>
      </c>
      <c r="BQ7" s="69"/>
      <c r="BR7" s="69"/>
      <c r="BS7" s="69"/>
      <c r="BT7" s="69"/>
      <c r="BU7" s="69"/>
      <c r="BV7" s="69"/>
      <c r="BW7" s="69"/>
      <c r="BX7" s="69"/>
      <c r="BY7" s="80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>
        <v>27.7</v>
      </c>
      <c r="CH7" s="44">
        <v>6.4</v>
      </c>
      <c r="CI7" s="44">
        <v>0</v>
      </c>
      <c r="CJ7" s="44">
        <v>0</v>
      </c>
      <c r="CK7" s="44">
        <v>27</v>
      </c>
      <c r="CL7" s="44">
        <v>6</v>
      </c>
      <c r="CM7" s="44">
        <v>0.9</v>
      </c>
      <c r="CN7" s="44">
        <v>0</v>
      </c>
      <c r="CO7" s="44"/>
      <c r="CP7" s="44"/>
      <c r="CQ7" s="44"/>
      <c r="CR7" s="44"/>
      <c r="CS7" s="44"/>
      <c r="CT7" s="44"/>
      <c r="CU7" s="44"/>
      <c r="CV7" s="44"/>
      <c r="CW7" s="11">
        <f>IF(SUM(CH7,CL7)&gt;0,SUM(CH7,CL7),"")</f>
        <v>12.4</v>
      </c>
      <c r="CX7" s="11">
        <f>IF(SUM(CG7:CH7,CJ7:CL7,CN7)-SUM(CI7,CM7)&gt;0,SUM(CG7:CH7,CJ7:CL7,CN7)-SUM(CI7,CM7),"")</f>
        <v>66.199999999999989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66.199999999999989</v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27.6</v>
      </c>
      <c r="LZ7" s="69">
        <f>IF($BY7="P",BJ7,(BJ7+AN7)/2)</f>
        <v>5.8</v>
      </c>
      <c r="MA7" s="69">
        <f>IF($BY7="P",BK7,(BK7+AO7)/2)</f>
        <v>0.15</v>
      </c>
      <c r="MB7" s="69">
        <f>IF($BY7="P",BL7,(BL7+AP7)/2)</f>
        <v>0</v>
      </c>
      <c r="MC7" s="69">
        <f>IF($BY7="P",BM7,(BM7+AQ7)/2)</f>
        <v>23.450000000000003</v>
      </c>
      <c r="MD7" s="69">
        <f>IF($BY7="P",BN7,(BN7+AR7)/2)</f>
        <v>3</v>
      </c>
      <c r="ME7" s="69">
        <f>IF($BY7="P",BO7,(BO7+AS7)/2)</f>
        <v>0.85</v>
      </c>
      <c r="MF7" s="69">
        <f>IF($BY7="P",BP7,(BP7+AT7)/2)</f>
        <v>0.15</v>
      </c>
      <c r="MG7" s="69">
        <f>IF($BY7="P",BQ7,(BQ7+AU7)/2)</f>
        <v>13.85</v>
      </c>
      <c r="MH7" s="69">
        <f>IF($BY7="P",BR7,(BR7+AV7)/2)</f>
        <v>2.2000000000000002</v>
      </c>
      <c r="MI7" s="69">
        <f>IF($BY7="P",BS7,(BS7+AW7)/2)</f>
        <v>0.15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8" t="s">
        <v>36</v>
      </c>
      <c r="C8" s="4" t="s">
        <v>9</v>
      </c>
      <c r="D8" s="5">
        <v>1998</v>
      </c>
      <c r="E8" s="15">
        <f>SUM(J8:N8)</f>
        <v>66.800000000000011</v>
      </c>
      <c r="F8" s="3" t="str">
        <f>IF(OR(AND(AH8&gt;=AL$19,AI8&gt;=AL$23,AI8&lt;&gt;"",AG8=""),AND(BD8&gt;=BH$19,BE8&gt;=BH$23,BE8&lt;&gt;"",BC8=""),AND(BZ8&gt;=CD$19,CA8&gt;=CD$23,CA8&lt;&gt;"",BY8=""),AND(CW8&gt;=DA$19,CX8&gt;=DA$23,CX8&lt;&gt;""),AND(DR8&gt;=DV$19,DS8&gt;=DV$23,DS8&lt;&gt;""),AND(EM8&gt;=EQ$19,EN8&gt;=EQ$23,EN8&lt;&gt;""),AND(FH8&gt;=FL$19,FI8&gt;=FL$23,FI8&lt;&gt;""),AND(GC8&gt;=GG$19,GD8&gt;=GG$23,GD8&lt;&gt;""),AND(GX8&gt;=HB$19,GY8&gt;=HB$23,GY8&lt;&gt;""),AND(HS8&gt;=HW$19,HT8&gt;=HW$23,HT8&lt;&gt;""),AND(IN8&gt;=IR$19,IO8&gt;=IR$23,IO8&lt;&gt;""),AND(JI8&gt;=JM$19,JJ8&gt;=JM$23,JJ8&lt;&gt;""),AND(KD8&gt;=KH$19,KE8&gt;=KH$23,KE8&lt;&gt;""),AND(KY8&gt;=LC$19,KZ8&gt;=LC$23,KZ8&lt;&gt;""),AND(LT8&gt;=LX$19,LU8&gt;=LX$23,LU8&lt;&gt;"")),"P","")</f>
        <v>P</v>
      </c>
      <c r="G8" s="3" t="str">
        <f>IF(OR(AND(AI8&gt;=AL$23,AI8&lt;&gt;"",AG8=""),AND(BE8&gt;=BH$23,BE8&lt;&gt;"",BC8=""),AND(CA8&gt;=CD$23,CA8&lt;&gt;"",BY8=""),AND(CX8&gt;=DA$23,CX8&lt;&gt;""),AND(DS8&gt;=DV$23,DS8&lt;&gt;""),AND(EN8&gt;=EQ$23,EN8&lt;&gt;""),AND(FI8&gt;=FL$23,FI8&lt;&gt;""),AND(GD8&gt;=GG$23,GD8&lt;&gt;""),AND(GY8&gt;=HB$23,GY8&lt;&gt;""),AND(HT8&gt;=HW$23,HT8&lt;&gt;""),AND(IO8&gt;=IR$23,IO8&lt;&gt;""),AND(JJ8&gt;=JM$23,JJ8&lt;&gt;""),AND(KE8&gt;=KH$23,KE8&lt;&gt;""),AND(KZ8&gt;=LC$23,KZ8&lt;&gt;""),AND(LU8&gt;=LX$23,LU8&lt;&gt;"")),"P","")</f>
        <v>P</v>
      </c>
      <c r="H8" s="126" t="str">
        <f>IF(AND(G8="P",F8=""),"No DD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Merit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Excellence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Worlds Team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66.800000000000011</v>
      </c>
      <c r="K8" s="14" t="str">
        <f>IF(J8=0,"",IF(J8=CA8,$BI$1,IF(J8=BE8,$AM$1,IF(J8=AI8,$Q$1,""))))</f>
        <v>2021 Elite Canada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80"/>
      <c r="AH8" s="11" t="str">
        <f>IF(SUM(R8,V8)&gt;0,SUM(R8,V8),"")</f>
        <v/>
      </c>
      <c r="AI8" s="11" t="str">
        <f>IF(SUM(Q8:R8,T8:V8,X8)-SUM(S8,W8)&gt;0,SUM(Q8:R8,T8:V8,X8)-SUM(S8,W8),"")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8">
        <v>28.3</v>
      </c>
      <c r="AN8" s="38">
        <v>5.2</v>
      </c>
      <c r="AO8" s="38">
        <v>0.2</v>
      </c>
      <c r="AP8" s="38">
        <v>0</v>
      </c>
      <c r="AQ8" s="38">
        <v>28.4</v>
      </c>
      <c r="AR8" s="38">
        <v>6</v>
      </c>
      <c r="AS8" s="38">
        <v>0.9</v>
      </c>
      <c r="AT8" s="38">
        <v>0</v>
      </c>
      <c r="AU8" s="38">
        <v>28</v>
      </c>
      <c r="AV8" s="38">
        <v>5.2</v>
      </c>
      <c r="AW8" s="38">
        <v>0.9</v>
      </c>
      <c r="AX8" s="38">
        <v>0</v>
      </c>
      <c r="AY8" s="38">
        <v>28.3</v>
      </c>
      <c r="AZ8" s="38">
        <v>5.2</v>
      </c>
      <c r="BA8" s="38">
        <v>0.9</v>
      </c>
      <c r="BB8" s="38">
        <v>0</v>
      </c>
      <c r="BC8" s="81"/>
      <c r="BD8" s="14">
        <f>IF(SUM(AN8,AR8)&gt;0,SUM(AN8,AR8),"")</f>
        <v>11.2</v>
      </c>
      <c r="BE8" s="14">
        <f>IF(SUM(AM8:AN8,AP8:AR8,AT8)-SUM(AO8,AS8)&gt;0,SUM(AM8:AN8,AP8:AR8,AT8)-SUM(AO8,AS8),"")</f>
        <v>66.800000000000011</v>
      </c>
      <c r="BF8" s="14">
        <f>IF(SUM(AV8,AZ8)&gt;0,SUM(AV8,AZ8),"")</f>
        <v>10.4</v>
      </c>
      <c r="BG8" s="14">
        <f>IF(SUM(AU8:AV8,AX8:AZ8,BB8)-SUM(AW8,BA8)&gt;0,SUM(AU8:AV8,AX8:AZ8,BB8)-SUM(AW8,BA8),"")</f>
        <v>64.900000000000006</v>
      </c>
      <c r="BH8" s="14">
        <f>IF(SUM(BE8,BG8)&gt;0,SUM(BE8,BG8),"")</f>
        <v>131.70000000000002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14.15</v>
      </c>
      <c r="LZ8" s="69">
        <f>IF($BY8="P",BJ8,(BJ8+AN8)/2)</f>
        <v>2.6</v>
      </c>
      <c r="MA8" s="69">
        <f>IF($BY8="P",BK8,(BK8+AO8)/2)</f>
        <v>0.1</v>
      </c>
      <c r="MB8" s="69">
        <f>IF($BY8="P",BL8,(BL8+AP8)/2)</f>
        <v>0</v>
      </c>
      <c r="MC8" s="69">
        <f>IF($BY8="P",BM8,(BM8+AQ8)/2)</f>
        <v>14.2</v>
      </c>
      <c r="MD8" s="69">
        <f>IF($BY8="P",BN8,(BN8+AR8)/2)</f>
        <v>3</v>
      </c>
      <c r="ME8" s="69">
        <f>IF($BY8="P",BO8,(BO8+AS8)/2)</f>
        <v>0.45</v>
      </c>
      <c r="MF8" s="69">
        <f>IF($BY8="P",BP8,(BP8+AT8)/2)</f>
        <v>0</v>
      </c>
      <c r="MG8" s="69">
        <f>IF($BY8="P",BQ8,(BQ8+AU8)/2)</f>
        <v>14</v>
      </c>
      <c r="MH8" s="69">
        <f>IF($BY8="P",BR8,(BR8+AV8)/2)</f>
        <v>2.6</v>
      </c>
      <c r="MI8" s="69">
        <f>IF($BY8="P",BS8,(BS8+AW8)/2)</f>
        <v>0.45</v>
      </c>
      <c r="MJ8" s="69">
        <f>IF($BY8="P",BT8,(BT8+AX8)/2)</f>
        <v>0</v>
      </c>
      <c r="MK8" s="69">
        <f>IF($BY8="P",BU8,(BU8+AY8)/2)</f>
        <v>14.15</v>
      </c>
      <c r="ML8" s="69">
        <f>IF($BY8="P",BV8,(BV8+AZ8)/2)</f>
        <v>2.6</v>
      </c>
      <c r="MM8" s="69">
        <f>IF($BY8="P",BW8,(BW8+BA8)/2)</f>
        <v>0.45</v>
      </c>
      <c r="MN8" s="69">
        <f>IF($BY8="P",BX8,(BX8+BB8)/2)</f>
        <v>0</v>
      </c>
      <c r="MO8" s="80" t="s">
        <v>74</v>
      </c>
      <c r="MP8" s="11">
        <f>IF(SUM(LZ8,MD8)&gt;0,SUM(LZ8,MD8),"")</f>
        <v>5.6</v>
      </c>
      <c r="MQ8" s="11">
        <f>IF(SUM(LY8:LZ8,MB8:MD8,MF8)-SUM(MA8,ME8)&gt;0,SUM(LY8:LZ8,MB8:MD8,MF8)-SUM(MA8,ME8),"")</f>
        <v>33.400000000000006</v>
      </c>
      <c r="MR8" s="11">
        <f>IF(SUM(MH8,ML8)&gt;0,SUM(MH8,ML8),"")</f>
        <v>5.2</v>
      </c>
      <c r="MS8" s="11">
        <f>IF(SUM(MG8:MH8,MJ8:ML8,MN8)-SUM(MI8,MM8)&gt;0,SUM(MG8:MH8,MJ8:ML8,MN8)-SUM(MI8,MM8),"")</f>
        <v>32.450000000000003</v>
      </c>
      <c r="MT8" s="11">
        <f>IF(SUM(MQ8,MS8)&gt;0,SUM(MQ8,MS8),"")</f>
        <v>65.850000000000009</v>
      </c>
    </row>
    <row r="9" spans="1:358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8" t="s">
        <v>138</v>
      </c>
      <c r="C9" s="4" t="s">
        <v>6</v>
      </c>
      <c r="D9" s="5">
        <v>2004</v>
      </c>
      <c r="E9" s="15">
        <f>SUM(J9:N9)</f>
        <v>199</v>
      </c>
      <c r="F9" s="3" t="str">
        <f>IF(OR(AND(AH9&gt;=AL$19,AI9&gt;=AL$23,AI9&lt;&gt;"",AG9=""),AND(BD9&gt;=BH$19,BE9&gt;=BH$23,BE9&lt;&gt;"",BC9=""),AND(BZ9&gt;=CD$19,CA9&gt;=CD$23,CA9&lt;&gt;"",BY9=""),AND(CW9&gt;=DA$19,CX9&gt;=DA$23,CX9&lt;&gt;""),AND(DR9&gt;=DV$19,DS9&gt;=DV$23,DS9&lt;&gt;""),AND(EM9&gt;=EQ$19,EN9&gt;=EQ$23,EN9&lt;&gt;""),AND(FH9&gt;=FL$19,FI9&gt;=FL$23,FI9&lt;&gt;""),AND(GC9&gt;=GG$19,GD9&gt;=GG$23,GD9&lt;&gt;""),AND(GX9&gt;=HB$19,GY9&gt;=HB$23,GY9&lt;&gt;""),AND(HS9&gt;=HW$19,HT9&gt;=HW$23,HT9&lt;&gt;""),AND(IN9&gt;=IR$19,IO9&gt;=IR$23,IO9&lt;&gt;""),AND(JI9&gt;=JM$19,JJ9&gt;=JM$23,JJ9&lt;&gt;""),AND(KD9&gt;=KH$19,KE9&gt;=KH$23,KE9&lt;&gt;""),AND(KY9&gt;=LC$19,KZ9&gt;=LC$23,KZ9&lt;&gt;""),AND(LT9&gt;=LX$19,LU9&gt;=LX$23,LU9&lt;&gt;"")),"P","")</f>
        <v/>
      </c>
      <c r="G9" s="3" t="str">
        <f>IF(OR(AND(AI9&gt;=AL$23,AI9&lt;&gt;"",AG9=""),AND(BE9&gt;=BH$23,BE9&lt;&gt;"",BC9=""),AND(CA9&gt;=CD$23,CA9&lt;&gt;"",BY9=""),AND(CX9&gt;=DA$23,CX9&lt;&gt;""),AND(DS9&gt;=DV$23,DS9&lt;&gt;""),AND(EN9&gt;=EQ$23,EN9&lt;&gt;""),AND(FI9&gt;=FL$23,FI9&lt;&gt;""),AND(GD9&gt;=GG$23,GD9&lt;&gt;""),AND(GY9&gt;=HB$23,GY9&lt;&gt;""),AND(HT9&gt;=HW$23,HT9&lt;&gt;""),AND(IO9&gt;=IR$23,IO9&lt;&gt;""),AND(JJ9&gt;=JM$23,JJ9&lt;&gt;""),AND(KE9&gt;=KH$23,KE9&lt;&gt;""),AND(KZ9&gt;=LC$23,KZ9&lt;&gt;""),AND(LU9&gt;=LX$23,LU9&lt;&gt;"")),"P","")</f>
        <v>P</v>
      </c>
      <c r="H9" s="126" t="str">
        <f>IF(AND(G9="P",F9=""),"No DD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Merit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Excellence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Worlds Team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National Team","")))))</f>
        <v>No DD</v>
      </c>
      <c r="I9" s="3" t="str">
        <f>IF(OR(H9="Worlds Team",H9="Excellence",H9="Merit"),"P","")</f>
        <v/>
      </c>
      <c r="J9" s="14">
        <f>MAX(AI9,BE9,CA9)</f>
        <v>67.3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131.70000000000002</v>
      </c>
      <c r="M9" s="14" t="str">
        <f>IF(L9=0,"",IF(AND(J9&lt;&gt;CA9,L9=CD9),$BI$1,IF(AND(J9&lt;&gt;BE9,L9=BH9),$AM$1,IF(L9=AL9,$Q$1,""))))</f>
        <v>2021 2nd Virtual Technical Trial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28.5</v>
      </c>
      <c r="R9" s="69">
        <v>5.2</v>
      </c>
      <c r="S9" s="69">
        <v>0</v>
      </c>
      <c r="T9" s="69">
        <v>0</v>
      </c>
      <c r="U9" s="69">
        <v>28.5</v>
      </c>
      <c r="V9" s="69">
        <v>5.2</v>
      </c>
      <c r="W9" s="69">
        <v>0.3</v>
      </c>
      <c r="X9" s="69">
        <v>0</v>
      </c>
      <c r="Y9" s="69">
        <v>28</v>
      </c>
      <c r="Z9" s="69">
        <v>4.4000000000000004</v>
      </c>
      <c r="AA9" s="69">
        <v>0</v>
      </c>
      <c r="AB9" s="69">
        <v>0</v>
      </c>
      <c r="AC9" s="69">
        <v>28.8</v>
      </c>
      <c r="AD9" s="69">
        <v>3.7</v>
      </c>
      <c r="AE9" s="69">
        <v>0.3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67.100000000000009</v>
      </c>
      <c r="AJ9" s="11">
        <f>IF(SUM(Z9,AD9)&gt;0,SUM(Z9,AD9),"")</f>
        <v>8.1000000000000014</v>
      </c>
      <c r="AK9" s="11">
        <f>IF(SUM(Y9:Z9,AB9:AD9,AF9)-SUM(AA9,AE9)&gt;0,SUM(Y9:Z9,AB9:AD9,AF9)-SUM(AA9,AE9),"")</f>
        <v>64.600000000000009</v>
      </c>
      <c r="AL9" s="11">
        <f>IF(SUM(AI9,AK9)&gt;0,SUM(AI9,AK9),"")</f>
        <v>131.70000000000002</v>
      </c>
      <c r="AM9" s="38">
        <v>28.3</v>
      </c>
      <c r="AN9" s="38">
        <v>5.2</v>
      </c>
      <c r="AO9" s="38">
        <v>1.2</v>
      </c>
      <c r="AP9" s="38">
        <v>0</v>
      </c>
      <c r="AQ9" s="38">
        <v>28.2</v>
      </c>
      <c r="AR9" s="38">
        <v>5.6</v>
      </c>
      <c r="AS9" s="38">
        <v>0.9</v>
      </c>
      <c r="AT9" s="38">
        <v>0</v>
      </c>
      <c r="AU9" s="38">
        <v>27.7</v>
      </c>
      <c r="AV9" s="38">
        <v>4.8</v>
      </c>
      <c r="AW9" s="38">
        <v>0.9</v>
      </c>
      <c r="AX9" s="38">
        <v>0</v>
      </c>
      <c r="AY9" s="38">
        <v>27.6</v>
      </c>
      <c r="AZ9" s="38">
        <v>3.5</v>
      </c>
      <c r="BA9" s="38">
        <v>1.2</v>
      </c>
      <c r="BB9" s="38">
        <v>0</v>
      </c>
      <c r="BC9" s="81"/>
      <c r="BD9" s="14">
        <f>IF(SUM(AN9,AR9)&gt;0,SUM(AN9,AR9),"")</f>
        <v>10.8</v>
      </c>
      <c r="BE9" s="14">
        <f>IF(SUM(AM9:AN9,AP9:AR9,AT9)-SUM(AO9,AS9)&gt;0,SUM(AM9:AN9,AP9:AR9,AT9)-SUM(AO9,AS9),"")</f>
        <v>65.2</v>
      </c>
      <c r="BF9" s="14">
        <f>IF(SUM(AV9,AZ9)&gt;0,SUM(AV9,AZ9),"")</f>
        <v>8.3000000000000007</v>
      </c>
      <c r="BG9" s="14">
        <f>IF(SUM(AU9:AV9,AX9:AZ9,BB9)-SUM(AW9,BA9)&gt;0,SUM(AU9:AV9,AX9:AZ9,BB9)-SUM(AW9,BA9),"")</f>
        <v>61.5</v>
      </c>
      <c r="BH9" s="14">
        <f>IF(SUM(BE9,BG9)&gt;0,SUM(BE9,BG9),"")</f>
        <v>126.7</v>
      </c>
      <c r="BI9" s="69">
        <v>28.4</v>
      </c>
      <c r="BJ9" s="69">
        <v>5.2</v>
      </c>
      <c r="BK9" s="69">
        <v>0</v>
      </c>
      <c r="BL9" s="69">
        <v>0</v>
      </c>
      <c r="BM9" s="69">
        <v>28.5</v>
      </c>
      <c r="BN9" s="69">
        <v>5.2</v>
      </c>
      <c r="BO9" s="69">
        <v>0</v>
      </c>
      <c r="BP9" s="69">
        <v>0</v>
      </c>
      <c r="BQ9" s="69">
        <v>27.5</v>
      </c>
      <c r="BR9" s="69">
        <v>5.2</v>
      </c>
      <c r="BS9" s="69">
        <v>0</v>
      </c>
      <c r="BT9" s="69">
        <v>0</v>
      </c>
      <c r="BU9" s="69">
        <v>27.6</v>
      </c>
      <c r="BV9" s="69">
        <v>4.8</v>
      </c>
      <c r="BW9" s="69">
        <v>0</v>
      </c>
      <c r="BX9" s="69">
        <v>0</v>
      </c>
      <c r="BY9" s="80"/>
      <c r="BZ9" s="11">
        <f>IF(SUM(BJ9,BN9)&gt;0,SUM(BJ9,BN9),"")</f>
        <v>10.4</v>
      </c>
      <c r="CA9" s="11">
        <f>IF(SUM(BI9:BJ9,BL9:BN9,BP9)-SUM(BK9,BO9)&gt;0,SUM(BI9:BJ9,BL9:BN9,BP9)-SUM(BK9,BO9),"")</f>
        <v>67.3</v>
      </c>
      <c r="CB9" s="11">
        <f>IF(SUM(BR9,BV9)&gt;0,SUM(BR9,BV9),"")</f>
        <v>10</v>
      </c>
      <c r="CC9" s="11">
        <f>IF(SUM(BQ9:BR9,BT9:BV9,BX9)-SUM(BS9,BW9)&gt;0,SUM(BQ9:BR9,BT9:BV9,BX9)-SUM(BS9,BW9),"")</f>
        <v>65.100000000000009</v>
      </c>
      <c r="CD9" s="11">
        <f>IF(SUM(CA9,CC9)&gt;0,SUM(CA9,CC9),"")</f>
        <v>132.4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28.35</v>
      </c>
      <c r="LZ9" s="69">
        <f>IF($BY9="P",BJ9,(BJ9+AN9)/2)</f>
        <v>5.2</v>
      </c>
      <c r="MA9" s="69">
        <f>IF($BY9="P",BK9,(BK9+AO9)/2)</f>
        <v>0.6</v>
      </c>
      <c r="MB9" s="69">
        <f>IF($BY9="P",BL9,(BL9+AP9)/2)</f>
        <v>0</v>
      </c>
      <c r="MC9" s="69">
        <f>IF($BY9="P",BM9,(BM9+AQ9)/2)</f>
        <v>28.35</v>
      </c>
      <c r="MD9" s="69">
        <f>IF($BY9="P",BN9,(BN9+AR9)/2)</f>
        <v>5.4</v>
      </c>
      <c r="ME9" s="69">
        <f>IF($BY9="P",BO9,(BO9+AS9)/2)</f>
        <v>0.45</v>
      </c>
      <c r="MF9" s="69">
        <f>IF($BY9="P",BP9,(BP9+AT9)/2)</f>
        <v>0</v>
      </c>
      <c r="MG9" s="69">
        <f>IF($BY9="P",BQ9,(BQ9+AU9)/2)</f>
        <v>27.6</v>
      </c>
      <c r="MH9" s="69">
        <f>IF($BY9="P",BR9,(BR9+AV9)/2)</f>
        <v>5</v>
      </c>
      <c r="MI9" s="69">
        <f>IF($BY9="P",BS9,(BS9+AW9)/2)</f>
        <v>0.45</v>
      </c>
      <c r="MJ9" s="69">
        <f>IF($BY9="P",BT9,(BT9+AX9)/2)</f>
        <v>0</v>
      </c>
      <c r="MK9" s="69">
        <f>IF($BY9="P",BU9,(BU9+AY9)/2)</f>
        <v>27.6</v>
      </c>
      <c r="ML9" s="69">
        <f>IF($BY9="P",BV9,(BV9+AZ9)/2)</f>
        <v>4.1500000000000004</v>
      </c>
      <c r="MM9" s="69">
        <f>IF($BY9="P",BW9,(BW9+BA9)/2)</f>
        <v>0.6</v>
      </c>
      <c r="MN9" s="69">
        <f>IF($BY9="P",BX9,(BX9+BB9)/2)</f>
        <v>0</v>
      </c>
      <c r="MO9" s="80" t="s">
        <v>74</v>
      </c>
      <c r="MP9" s="11">
        <f>IF(SUM(LZ9,MD9)&gt;0,SUM(LZ9,MD9),"")</f>
        <v>10.600000000000001</v>
      </c>
      <c r="MQ9" s="11">
        <f>IF(SUM(LY9:LZ9,MB9:MD9,MF9)-SUM(MA9,ME9)&gt;0,SUM(LY9:LZ9,MB9:MD9,MF9)-SUM(MA9,ME9),"")</f>
        <v>66.250000000000014</v>
      </c>
      <c r="MR9" s="11">
        <f>IF(SUM(MH9,ML9)&gt;0,SUM(MH9,ML9),"")</f>
        <v>9.15</v>
      </c>
      <c r="MS9" s="11">
        <f>IF(SUM(MG9:MH9,MJ9:ML9,MN9)-SUM(MI9,MM9)&gt;0,SUM(MG9:MH9,MJ9:ML9,MN9)-SUM(MI9,MM9),"")</f>
        <v>63.300000000000011</v>
      </c>
      <c r="MT9" s="11">
        <f>IF(SUM(MQ9,MS9)&gt;0,SUM(MQ9,MS9),"")</f>
        <v>129.55000000000001</v>
      </c>
    </row>
    <row r="10" spans="1:358" x14ac:dyDescent="0.2">
      <c r="A10" s="5" t="str">
        <f>IF(AND(F10="P",G10="P"),SUMPRODUCT((F$4:F$17="P")*(G$4:G$17="P")*(E$4:E$17&gt;E10))+1,IF(G10="P",SUMPRODUCT((F$4:F$17="")*(G$4:G$17="P")*(E$4:E$17&gt;E10))+1+SUMPRODUCT((F$4:F$17="P")*(G$4:G$17="P")),""))</f>
        <v/>
      </c>
      <c r="B10" s="8" t="s">
        <v>97</v>
      </c>
      <c r="C10" s="4" t="s">
        <v>6</v>
      </c>
      <c r="D10" s="5">
        <v>2001</v>
      </c>
      <c r="E10" s="15">
        <f>SUM(J10:N10)</f>
        <v>192.89999999999998</v>
      </c>
      <c r="F10" s="3" t="str">
        <f>IF(OR(AND(AH10&gt;=AL$19,AI10&gt;=AL$23,AI10&lt;&gt;"",AG10=""),AND(BD10&gt;=BH$19,BE10&gt;=BH$23,BE10&lt;&gt;"",BC10=""),AND(BZ10&gt;=CD$19,CA10&gt;=CD$23,CA10&lt;&gt;"",BY10=""),AND(CW10&gt;=DA$19,CX10&gt;=DA$23,CX10&lt;&gt;""),AND(DR10&gt;=DV$19,DS10&gt;=DV$23,DS10&lt;&gt;""),AND(EM10&gt;=EQ$19,EN10&gt;=EQ$23,EN10&lt;&gt;""),AND(FH10&gt;=FL$19,FI10&gt;=FL$23,FI10&lt;&gt;""),AND(GC10&gt;=GG$19,GD10&gt;=GG$23,GD10&lt;&gt;""),AND(GX10&gt;=HB$19,GY10&gt;=HB$23,GY10&lt;&gt;""),AND(HS10&gt;=HW$19,HT10&gt;=HW$23,HT10&lt;&gt;""),AND(IN10&gt;=IR$19,IO10&gt;=IR$23,IO10&lt;&gt;""),AND(JI10&gt;=JM$19,JJ10&gt;=JM$23,JJ10&lt;&gt;""),AND(KD10&gt;=KH$19,KE10&gt;=KH$23,KE10&lt;&gt;""),AND(KY10&gt;=LC$19,KZ10&gt;=LC$23,KZ10&lt;&gt;""),AND(LT10&gt;=LX$19,LU10&gt;=LX$23,LU10&lt;&gt;"")),"P","")</f>
        <v/>
      </c>
      <c r="G10" s="3" t="str">
        <f>IF(OR(AND(AI10&gt;=AL$23,AI10&lt;&gt;"",AG10=""),AND(BE10&gt;=BH$23,BE10&lt;&gt;"",BC10=""),AND(CA10&gt;=CD$23,CA10&lt;&gt;"",BY10=""),AND(CX10&gt;=DA$23,CX10&lt;&gt;""),AND(DS10&gt;=DV$23,DS10&lt;&gt;""),AND(EN10&gt;=EQ$23,EN10&lt;&gt;""),AND(FI10&gt;=FL$23,FI10&lt;&gt;""),AND(GD10&gt;=GG$23,GD10&lt;&gt;""),AND(GY10&gt;=HB$23,GY10&lt;&gt;""),AND(HT10&gt;=HW$23,HT10&lt;&gt;""),AND(IO10&gt;=IR$23,IO10&lt;&gt;""),AND(JJ10&gt;=JM$23,JJ10&lt;&gt;""),AND(KE10&gt;=KH$23,KE10&lt;&gt;""),AND(KZ10&gt;=LC$23,KZ10&lt;&gt;""),AND(LU10&gt;=LX$23,LU10&lt;&gt;"")),"P","")</f>
        <v/>
      </c>
      <c r="H10" s="126" t="str">
        <f>IF(AND(G10="P",F10=""),"No DD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Merit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Excellence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Worlds Team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National Team","")))))</f>
        <v/>
      </c>
      <c r="I10" s="3" t="str">
        <f>IF(OR(H10="Worlds Team",H10="Excellence",H10="Merit"),"P","")</f>
        <v/>
      </c>
      <c r="J10" s="14">
        <f>MAX(AI10,BE10,CA10)</f>
        <v>64.3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128.6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27.9</v>
      </c>
      <c r="R10" s="69">
        <v>5.6</v>
      </c>
      <c r="S10" s="69">
        <v>0.9</v>
      </c>
      <c r="T10" s="69">
        <v>0</v>
      </c>
      <c r="U10" s="69">
        <v>27.4</v>
      </c>
      <c r="V10" s="69">
        <v>5.2</v>
      </c>
      <c r="W10" s="69">
        <v>0.9</v>
      </c>
      <c r="X10" s="69">
        <v>0</v>
      </c>
      <c r="Y10" s="69">
        <v>27.8</v>
      </c>
      <c r="Z10" s="69">
        <v>4.8</v>
      </c>
      <c r="AA10" s="69">
        <v>0.9</v>
      </c>
      <c r="AB10" s="69">
        <v>0</v>
      </c>
      <c r="AC10" s="69">
        <v>27.9</v>
      </c>
      <c r="AD10" s="69">
        <v>4.8</v>
      </c>
      <c r="AE10" s="69">
        <v>0</v>
      </c>
      <c r="AF10" s="69">
        <v>0</v>
      </c>
      <c r="AG10" s="80"/>
      <c r="AH10" s="11">
        <f>IF(SUM(R10,V10)&gt;0,SUM(R10,V10),"")</f>
        <v>10.8</v>
      </c>
      <c r="AI10" s="11">
        <f>IF(SUM(Q10:R10,T10:V10,X10)-SUM(S10,W10)&gt;0,SUM(Q10:R10,T10:V10,X10)-SUM(S10,W10),"")</f>
        <v>64.3</v>
      </c>
      <c r="AJ10" s="11">
        <f>IF(SUM(Z10,AD10)&gt;0,SUM(Z10,AD10),"")</f>
        <v>9.6</v>
      </c>
      <c r="AK10" s="11">
        <f>IF(SUM(Y10:Z10,AB10:AD10,AF10)-SUM(AA10,AE10)&gt;0,SUM(Y10:Z10,AB10:AD10,AF10)-SUM(AA10,AE10),"")</f>
        <v>64.399999999999991</v>
      </c>
      <c r="AL10" s="11">
        <f>IF(SUM(AI10,AK10)&gt;0,SUM(AI10,AK10),"")</f>
        <v>128.69999999999999</v>
      </c>
      <c r="AM10" s="38">
        <v>27.2</v>
      </c>
      <c r="AN10" s="38">
        <v>5.6</v>
      </c>
      <c r="AO10" s="38">
        <v>0.9</v>
      </c>
      <c r="AP10" s="38">
        <v>0</v>
      </c>
      <c r="AQ10" s="38">
        <v>27.1</v>
      </c>
      <c r="AR10" s="38">
        <v>5.2</v>
      </c>
      <c r="AS10" s="38">
        <v>0</v>
      </c>
      <c r="AT10" s="38">
        <v>0</v>
      </c>
      <c r="AU10" s="38">
        <v>27.3</v>
      </c>
      <c r="AV10" s="38">
        <v>5.6</v>
      </c>
      <c r="AW10" s="38">
        <v>0.3</v>
      </c>
      <c r="AX10" s="38">
        <v>0</v>
      </c>
      <c r="AY10" s="38">
        <v>26.6</v>
      </c>
      <c r="AZ10" s="38">
        <v>5.2</v>
      </c>
      <c r="BA10" s="38">
        <v>0</v>
      </c>
      <c r="BB10" s="38">
        <v>0</v>
      </c>
      <c r="BC10" s="81"/>
      <c r="BD10" s="14">
        <f>IF(SUM(AN10,AR10)&gt;0,SUM(AN10,AR10),"")</f>
        <v>10.8</v>
      </c>
      <c r="BE10" s="14">
        <f>IF(SUM(AM10:AN10,AP10:AR10,AT10)-SUM(AO10,AS10)&gt;0,SUM(AM10:AN10,AP10:AR10,AT10)-SUM(AO10,AS10),"")</f>
        <v>64.199999999999989</v>
      </c>
      <c r="BF10" s="14">
        <f>IF(SUM(AV10,AZ10)&gt;0,SUM(AV10,AZ10),"")</f>
        <v>10.8</v>
      </c>
      <c r="BG10" s="14">
        <f>IF(SUM(AU10:AV10,AX10:AZ10,BB10)-SUM(AW10,BA10)&gt;0,SUM(AU10:AV10,AX10:AZ10,BB10)-SUM(AW10,BA10),"")</f>
        <v>64.400000000000006</v>
      </c>
      <c r="BH10" s="14">
        <f>IF(SUM(BE10,BG10)&gt;0,SUM(BE10,BG10),"")</f>
        <v>128.6</v>
      </c>
      <c r="BI10" s="69">
        <v>27.9</v>
      </c>
      <c r="BJ10" s="69">
        <v>5.6</v>
      </c>
      <c r="BK10" s="69">
        <v>0</v>
      </c>
      <c r="BL10" s="69">
        <v>0</v>
      </c>
      <c r="BM10" s="69">
        <v>24.7</v>
      </c>
      <c r="BN10" s="69">
        <v>5.6</v>
      </c>
      <c r="BO10" s="69">
        <v>0.3</v>
      </c>
      <c r="BP10" s="69">
        <v>0</v>
      </c>
      <c r="BQ10" s="69">
        <v>26.4</v>
      </c>
      <c r="BR10" s="69">
        <v>5.2</v>
      </c>
      <c r="BS10" s="69">
        <v>1.2</v>
      </c>
      <c r="BT10" s="69">
        <v>0</v>
      </c>
      <c r="BU10" s="69">
        <v>27.7</v>
      </c>
      <c r="BV10" s="69">
        <v>5.2</v>
      </c>
      <c r="BW10" s="69">
        <v>0.9</v>
      </c>
      <c r="BX10" s="69">
        <v>0</v>
      </c>
      <c r="BY10" s="80"/>
      <c r="BZ10" s="11">
        <f>IF(SUM(BJ10,BN10)&gt;0,SUM(BJ10,BN10),"")</f>
        <v>11.2</v>
      </c>
      <c r="CA10" s="11">
        <f>IF(SUM(BI10:BJ10,BL10:BN10,BP10)-SUM(BK10,BO10)&gt;0,SUM(BI10:BJ10,BL10:BN10,BP10)-SUM(BK10,BO10),"")</f>
        <v>63.500000000000007</v>
      </c>
      <c r="CB10" s="11">
        <f>IF(SUM(BR10,BV10)&gt;0,SUM(BR10,BV10),"")</f>
        <v>10.4</v>
      </c>
      <c r="CC10" s="11">
        <f>IF(SUM(BQ10:BR10,BT10:BV10,BX10)-SUM(BS10,BW10)&gt;0,SUM(BQ10:BR10,BT10:BV10,BX10)-SUM(BS10,BW10),"")</f>
        <v>62.4</v>
      </c>
      <c r="CD10" s="11">
        <f>IF(SUM(CA10,CC10)&gt;0,SUM(CA10,CC10),"")</f>
        <v>125.9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27.549999999999997</v>
      </c>
      <c r="LZ10" s="69">
        <f>IF($BY10="P",BJ10,(BJ10+AN10)/2)</f>
        <v>5.6</v>
      </c>
      <c r="MA10" s="69">
        <f>IF($BY10="P",BK10,(BK10+AO10)/2)</f>
        <v>0.45</v>
      </c>
      <c r="MB10" s="69">
        <f>IF($BY10="P",BL10,(BL10+AP10)/2)</f>
        <v>0</v>
      </c>
      <c r="MC10" s="69">
        <f>IF($BY10="P",BM10,(BM10+AQ10)/2)</f>
        <v>25.9</v>
      </c>
      <c r="MD10" s="69">
        <f>IF($BY10="P",BN10,(BN10+AR10)/2)</f>
        <v>5.4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26.85</v>
      </c>
      <c r="MH10" s="69">
        <f>IF($BY10="P",BR10,(BR10+AV10)/2)</f>
        <v>5.4</v>
      </c>
      <c r="MI10" s="69">
        <f>IF($BY10="P",BS10,(BS10+AW10)/2)</f>
        <v>0.75</v>
      </c>
      <c r="MJ10" s="69">
        <f>IF($BY10="P",BT10,(BT10+AX10)/2)</f>
        <v>0</v>
      </c>
      <c r="MK10" s="69">
        <f>IF($BY10="P",BU10,(BU10+AY10)/2)</f>
        <v>27.15</v>
      </c>
      <c r="ML10" s="69">
        <f>IF($BY10="P",BV10,(BV10+AZ10)/2)</f>
        <v>5.2</v>
      </c>
      <c r="MM10" s="69">
        <f>IF($BY10="P",BW10,(BW10+BA10)/2)</f>
        <v>0.45</v>
      </c>
      <c r="MN10" s="69">
        <f>IF($BY10="P",BX10,(BX10+BB10)/2)</f>
        <v>0</v>
      </c>
      <c r="MO10" s="80" t="s">
        <v>74</v>
      </c>
      <c r="MP10" s="11">
        <f>IF(SUM(LZ10,MD10)&gt;0,SUM(LZ10,MD10),"")</f>
        <v>11</v>
      </c>
      <c r="MQ10" s="11">
        <f>IF(SUM(LY10:LZ10,MB10:MD10,MF10)-SUM(MA10,ME10)&gt;0,SUM(LY10:LZ10,MB10:MD10,MF10)-SUM(MA10,ME10),"")</f>
        <v>63.85</v>
      </c>
      <c r="MR10" s="11">
        <f>IF(SUM(MH10,ML10)&gt;0,SUM(MH10,ML10),"")</f>
        <v>10.600000000000001</v>
      </c>
      <c r="MS10" s="11">
        <f>IF(SUM(MG10:MH10,MJ10:ML10,MN10)-SUM(MI10,MM10)&gt;0,SUM(MG10:MH10,MJ10:ML10,MN10)-SUM(MI10,MM10),"")</f>
        <v>63.399999999999991</v>
      </c>
      <c r="MT10" s="11">
        <f>IF(SUM(MQ10,MS10)&gt;0,SUM(MQ10,MS10),"")</f>
        <v>127.25</v>
      </c>
    </row>
    <row r="11" spans="1:358" x14ac:dyDescent="0.2">
      <c r="A11" s="5" t="str">
        <f>IF(AND(F11="P",G11="P"),SUMPRODUCT((F$4:F$17="P")*(G$4:G$17="P")*(E$4:E$17&gt;E11))+1,IF(G11="P",SUMPRODUCT((F$4:F$17="")*(G$4:G$17="P")*(E$4:E$17&gt;E11))+1+SUMPRODUCT((F$4:F$17="P")*(G$4:G$17="P")),""))</f>
        <v/>
      </c>
      <c r="B11" s="8" t="s">
        <v>128</v>
      </c>
      <c r="C11" s="4" t="s">
        <v>6</v>
      </c>
      <c r="D11" s="5">
        <v>2003</v>
      </c>
      <c r="E11" s="15">
        <f>SUM(J11:N11)</f>
        <v>119.1</v>
      </c>
      <c r="F11" s="3" t="str">
        <f>IF(OR(AND(AH11&gt;=AL$19,AI11&gt;=AL$23,AI11&lt;&gt;"",AG11=""),AND(BD11&gt;=BH$19,BE11&gt;=BH$23,BE11&lt;&gt;"",BC11=""),AND(BZ11&gt;=CD$19,CA11&gt;=CD$23,CA11&lt;&gt;"",BY11=""),AND(CW11&gt;=DA$19,CX11&gt;=DA$23,CX11&lt;&gt;""),AND(DR11&gt;=DV$19,DS11&gt;=DV$23,DS11&lt;&gt;""),AND(EM11&gt;=EQ$19,EN11&gt;=EQ$23,EN11&lt;&gt;""),AND(FH11&gt;=FL$19,FI11&gt;=FL$23,FI11&lt;&gt;""),AND(GC11&gt;=GG$19,GD11&gt;=GG$23,GD11&lt;&gt;""),AND(GX11&gt;=HB$19,GY11&gt;=HB$23,GY11&lt;&gt;""),AND(HS11&gt;=HW$19,HT11&gt;=HW$23,HT11&lt;&gt;""),AND(IN11&gt;=IR$19,IO11&gt;=IR$23,IO11&lt;&gt;""),AND(JI11&gt;=JM$19,JJ11&gt;=JM$23,JJ11&lt;&gt;""),AND(KD11&gt;=KH$19,KE11&gt;=KH$23,KE11&lt;&gt;""),AND(KY11&gt;=LC$19,KZ11&gt;=LC$23,KZ11&lt;&gt;""),AND(LT11&gt;=LX$19,LU11&gt;=LX$23,LU11&lt;&gt;"")),"P","")</f>
        <v/>
      </c>
      <c r="G11" s="3" t="str">
        <f>IF(OR(AND(AI11&gt;=AL$23,AI11&lt;&gt;"",AG11=""),AND(BE11&gt;=BH$23,BE11&lt;&gt;"",BC11=""),AND(CA11&gt;=CD$23,CA11&lt;&gt;"",BY11=""),AND(CX11&gt;=DA$23,CX11&lt;&gt;""),AND(DS11&gt;=DV$23,DS11&lt;&gt;""),AND(EN11&gt;=EQ$23,EN11&lt;&gt;""),AND(FI11&gt;=FL$23,FI11&lt;&gt;""),AND(GD11&gt;=GG$23,GD11&lt;&gt;""),AND(GY11&gt;=HB$23,GY11&lt;&gt;""),AND(HT11&gt;=HW$23,HT11&lt;&gt;""),AND(IO11&gt;=IR$23,IO11&lt;&gt;""),AND(JJ11&gt;=JM$23,JJ11&lt;&gt;""),AND(KE11&gt;=KH$23,KE11&lt;&gt;""),AND(KZ11&gt;=LC$23,KZ11&lt;&gt;""),AND(LU11&gt;=LX$23,LU11&lt;&gt;"")),"P","")</f>
        <v/>
      </c>
      <c r="H11" s="126" t="str">
        <f>IF(AND(G11="P",F11=""),"No DD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Merit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Excellence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Worlds Team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National Team","")))))</f>
        <v/>
      </c>
      <c r="I11" s="3" t="str">
        <f>IF(OR(H11="Worlds Team",H11="Excellence",H11="Merit"),"P","")</f>
        <v/>
      </c>
      <c r="J11" s="14">
        <f>MAX(AI11,BE11,CA11)</f>
        <v>62.899999999999991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56.199999999999996</v>
      </c>
      <c r="M11" s="14" t="str">
        <f>IF(L11=0,"",IF(AND(J11&lt;&gt;CA11,L11=CD11),$BI$1,IF(AND(J11&lt;&gt;BE11,L11=BH11),$AM$1,IF(L11=AL11,$Q$1,""))))</f>
        <v>2021 Elite Canada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27.3</v>
      </c>
      <c r="R11" s="69">
        <v>6</v>
      </c>
      <c r="S11" s="69">
        <v>0.9</v>
      </c>
      <c r="T11" s="69">
        <v>0</v>
      </c>
      <c r="U11" s="69">
        <v>25.2</v>
      </c>
      <c r="V11" s="69">
        <v>5.6</v>
      </c>
      <c r="W11" s="69">
        <v>0.3</v>
      </c>
      <c r="X11" s="69">
        <v>0</v>
      </c>
      <c r="Y11" s="69">
        <v>27.1</v>
      </c>
      <c r="Z11" s="69">
        <v>4.8</v>
      </c>
      <c r="AA11" s="69">
        <v>0.3</v>
      </c>
      <c r="AB11" s="69">
        <v>0</v>
      </c>
      <c r="AC11" s="69">
        <v>27.4</v>
      </c>
      <c r="AD11" s="69">
        <v>4.8</v>
      </c>
      <c r="AE11" s="69">
        <v>0</v>
      </c>
      <c r="AF11" s="69">
        <v>0</v>
      </c>
      <c r="AG11" s="80"/>
      <c r="AH11" s="11">
        <f>IF(SUM(R11,V11)&gt;0,SUM(R11,V11),"")</f>
        <v>11.6</v>
      </c>
      <c r="AI11" s="11">
        <f>IF(SUM(Q11:R11,T11:V11,X11)-SUM(S11,W11)&gt;0,SUM(Q11:R11,T11:V11,X11)-SUM(S11,W11),"")</f>
        <v>62.899999999999991</v>
      </c>
      <c r="AJ11" s="11">
        <f>IF(SUM(Z11,AD11)&gt;0,SUM(Z11,AD11),"")</f>
        <v>9.6</v>
      </c>
      <c r="AK11" s="11">
        <f>IF(SUM(Y11:Z11,AB11:AD11,AF11)-SUM(AA11,AE11)&gt;0,SUM(Y11:Z11,AB11:AD11,AF11)-SUM(AA11,AE11),"")</f>
        <v>63.8</v>
      </c>
      <c r="AL11" s="11">
        <f>IF(SUM(AI11,AK11)&gt;0,SUM(AI11,AK11),"")</f>
        <v>126.69999999999999</v>
      </c>
      <c r="AM11" s="38">
        <v>24.8</v>
      </c>
      <c r="AN11" s="38">
        <v>6</v>
      </c>
      <c r="AO11" s="38">
        <v>0.3</v>
      </c>
      <c r="AP11" s="38">
        <v>0</v>
      </c>
      <c r="AQ11" s="38">
        <v>24.8</v>
      </c>
      <c r="AR11" s="38">
        <v>2.8</v>
      </c>
      <c r="AS11" s="38">
        <v>1.9</v>
      </c>
      <c r="AT11" s="38">
        <v>0</v>
      </c>
      <c r="AU11" s="38"/>
      <c r="AV11" s="38"/>
      <c r="AW11" s="38"/>
      <c r="AX11" s="38"/>
      <c r="AY11" s="38"/>
      <c r="AZ11" s="38"/>
      <c r="BA11" s="38"/>
      <c r="BB11" s="38"/>
      <c r="BC11" s="81"/>
      <c r="BD11" s="14">
        <f>IF(SUM(AN11,AR11)&gt;0,SUM(AN11,AR11),"")</f>
        <v>8.8000000000000007</v>
      </c>
      <c r="BE11" s="14">
        <f>IF(SUM(AM11:AN11,AP11:AR11,AT11)-SUM(AO11,AS11)&gt;0,SUM(AM11:AN11,AP11:AR11,AT11)-SUM(AO11,AS11),"")</f>
        <v>56.199999999999996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56.199999999999996</v>
      </c>
      <c r="BI11" s="69">
        <v>19.8</v>
      </c>
      <c r="BJ11" s="69">
        <v>2.4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2.4</v>
      </c>
      <c r="CA11" s="11">
        <f>IF(SUM(BI11:BJ11,BL11:BN11,BP11)-SUM(BK11,BO11)&gt;0,SUM(BI11:BJ11,BL11:BN11,BP11)-SUM(BK11,BO11),"")</f>
        <v>22.2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22.2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22.3</v>
      </c>
      <c r="LZ11" s="69">
        <f>IF($BY11="P",BJ11,(BJ11+AN11)/2)</f>
        <v>4.2</v>
      </c>
      <c r="MA11" s="69">
        <f>IF($BY11="P",BK11,(BK11+AO11)/2)</f>
        <v>0.15</v>
      </c>
      <c r="MB11" s="69">
        <f>IF($BY11="P",BL11,(BL11+AP11)/2)</f>
        <v>0</v>
      </c>
      <c r="MC11" s="69">
        <f>IF($BY11="P",BM11,(BM11+AQ11)/2)</f>
        <v>12.4</v>
      </c>
      <c r="MD11" s="69">
        <f>IF($BY11="P",BN11,(BN11+AR11)/2)</f>
        <v>1.4</v>
      </c>
      <c r="ME11" s="69">
        <f>IF($BY11="P",BO11,(BO11+AS11)/2)</f>
        <v>0.95</v>
      </c>
      <c r="MF11" s="69">
        <f>IF($BY11="P",BP11,(BP11+AT11)/2)</f>
        <v>0</v>
      </c>
      <c r="MG11" s="69">
        <f>IF($BY11="P",BQ11,(BQ11+AU11)/2)</f>
        <v>0</v>
      </c>
      <c r="MH11" s="69">
        <f>IF($BY11="P",BR11,(BR11+AV11)/2)</f>
        <v>0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0</v>
      </c>
      <c r="ML11" s="69">
        <f>IF($BY11="P",BV11,(BV11+AZ11)/2)</f>
        <v>0</v>
      </c>
      <c r="MM11" s="69">
        <f>IF($BY11="P",BW11,(BW11+BA11)/2)</f>
        <v>0</v>
      </c>
      <c r="MN11" s="69">
        <f>IF($BY11="P",BX11,(BX11+BB11)/2)</f>
        <v>0</v>
      </c>
      <c r="MO11" s="80" t="s">
        <v>74</v>
      </c>
      <c r="MP11" s="11">
        <f>IF(SUM(LZ11,MD11)&gt;0,SUM(LZ11,MD11),"")</f>
        <v>5.6</v>
      </c>
      <c r="MQ11" s="11">
        <f>IF(SUM(LY11:LZ11,MB11:MD11,MF11)-SUM(MA11,ME11)&gt;0,SUM(LY11:LZ11,MB11:MD11,MF11)-SUM(MA11,ME11),"")</f>
        <v>39.199999999999996</v>
      </c>
      <c r="MR11" s="11" t="str">
        <f>IF(SUM(MH11,ML11)&gt;0,SUM(MH11,ML11),"")</f>
        <v/>
      </c>
      <c r="MS11" s="11" t="str">
        <f>IF(SUM(MG11:MH11,MJ11:ML11,MN11)-SUM(MI11,MM11)&gt;0,SUM(MG11:MH11,MJ11:ML11,MN11)-SUM(MI11,MM11),"")</f>
        <v/>
      </c>
      <c r="MT11" s="11">
        <f>IF(SUM(MQ11,MS11)&gt;0,SUM(MQ11,MS11),"")</f>
        <v>39.199999999999996</v>
      </c>
    </row>
    <row r="12" spans="1:358" x14ac:dyDescent="0.2">
      <c r="A12" s="5" t="str">
        <f>IF(AND(F12="P",G12="P"),SUMPRODUCT((F$4:F$17="P")*(G$4:G$17="P")*(E$4:E$17&gt;E12))+1,IF(G12="P",SUMPRODUCT((F$4:F$17="")*(G$4:G$17="P")*(E$4:E$17&gt;E12))+1+SUMPRODUCT((F$4:F$17="P")*(G$4:G$17="P")),""))</f>
        <v/>
      </c>
      <c r="B12" s="8" t="s">
        <v>127</v>
      </c>
      <c r="C12" s="4" t="s">
        <v>6</v>
      </c>
      <c r="D12" s="5">
        <v>2003</v>
      </c>
      <c r="E12" s="15">
        <f>SUM(J12:N12)</f>
        <v>117.79999999999998</v>
      </c>
      <c r="F12" s="3" t="str">
        <f>IF(OR(AND(AH12&gt;=AL$19,AI12&gt;=AL$23,AI12&lt;&gt;"",AG12=""),AND(BD12&gt;=BH$19,BE12&gt;=BH$23,BE12&lt;&gt;"",BC12=""),AND(BZ12&gt;=CD$19,CA12&gt;=CD$23,CA12&lt;&gt;"",BY12=""),AND(CW12&gt;=DA$19,CX12&gt;=DA$23,CX12&lt;&gt;""),AND(DR12&gt;=DV$19,DS12&gt;=DV$23,DS12&lt;&gt;""),AND(EM12&gt;=EQ$19,EN12&gt;=EQ$23,EN12&lt;&gt;""),AND(FH12&gt;=FL$19,FI12&gt;=FL$23,FI12&lt;&gt;""),AND(GC12&gt;=GG$19,GD12&gt;=GG$23,GD12&lt;&gt;""),AND(GX12&gt;=HB$19,GY12&gt;=HB$23,GY12&lt;&gt;""),AND(HS12&gt;=HW$19,HT12&gt;=HW$23,HT12&lt;&gt;""),AND(IN12&gt;=IR$19,IO12&gt;=IR$23,IO12&lt;&gt;""),AND(JI12&gt;=JM$19,JJ12&gt;=JM$23,JJ12&lt;&gt;""),AND(KD12&gt;=KH$19,KE12&gt;=KH$23,KE12&lt;&gt;""),AND(KY12&gt;=LC$19,KZ12&gt;=LC$23,KZ12&lt;&gt;""),AND(LT12&gt;=LX$19,LU12&gt;=LX$23,LU12&lt;&gt;"")),"P","")</f>
        <v/>
      </c>
      <c r="G12" s="3" t="str">
        <f>IF(OR(AND(AI12&gt;=AL$23,AI12&lt;&gt;"",AG12=""),AND(BE12&gt;=BH$23,BE12&lt;&gt;"",BC12=""),AND(CA12&gt;=CD$23,CA12&lt;&gt;"",BY12=""),AND(CX12&gt;=DA$23,CX12&lt;&gt;""),AND(DS12&gt;=DV$23,DS12&lt;&gt;""),AND(EN12&gt;=EQ$23,EN12&lt;&gt;""),AND(FI12&gt;=FL$23,FI12&lt;&gt;""),AND(GD12&gt;=GG$23,GD12&lt;&gt;""),AND(GY12&gt;=HB$23,GY12&lt;&gt;""),AND(HT12&gt;=HW$23,HT12&lt;&gt;""),AND(IO12&gt;=IR$23,IO12&lt;&gt;""),AND(JJ12&gt;=JM$23,JJ12&lt;&gt;""),AND(KE12&gt;=KH$23,KE12&lt;&gt;""),AND(KZ12&gt;=LC$23,KZ12&lt;&gt;""),AND(LU12&gt;=LX$23,LU12&lt;&gt;"")),"P","")</f>
        <v/>
      </c>
      <c r="H12" s="126" t="str">
        <f>IF(AND(G12="P",F12=""),"No DD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Merit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Excellence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Worlds Team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National Team","")))))</f>
        <v/>
      </c>
      <c r="I12" s="3" t="str">
        <f>IF(OR(H12="Worlds Team",H12="Excellence",H12="Merit"),"P","")</f>
        <v/>
      </c>
      <c r="J12" s="14">
        <f>MAX(AI12,BE12,CA12)</f>
        <v>62.599999999999994</v>
      </c>
      <c r="K12" s="14" t="str">
        <f>IF(J12=0,"",IF(J12=CA12,$BI$1,IF(J12=BE12,$AM$1,IF(J12=AI12,$Q$1,""))))</f>
        <v>2021 2nd Virtual Technical Trial</v>
      </c>
      <c r="L12" s="14">
        <f>IF(J12=AI12,MAX(BH12,CD12),IF(J12=BE12,MAX(AL12,CD12),MAX(AL12,BH12)))</f>
        <v>55.199999999999996</v>
      </c>
      <c r="M12" s="14" t="str">
        <f>IF(L12=0,"",IF(AND(J12&lt;&gt;CA12,L12=CD12),$BI$1,IF(AND(J12&lt;&gt;BE12,L12=BH12),$AM$1,IF(L12=AL12,$Q$1,""))))</f>
        <v>2021 Canadian Championships</v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>
        <v>24.9</v>
      </c>
      <c r="R12" s="69">
        <v>6</v>
      </c>
      <c r="S12" s="69">
        <v>1.8</v>
      </c>
      <c r="T12" s="69">
        <v>0</v>
      </c>
      <c r="U12" s="69">
        <v>27.9</v>
      </c>
      <c r="V12" s="69">
        <v>5.6</v>
      </c>
      <c r="W12" s="69">
        <v>0</v>
      </c>
      <c r="X12" s="69">
        <v>0</v>
      </c>
      <c r="Y12" s="69">
        <v>19.8</v>
      </c>
      <c r="Z12" s="69">
        <v>2.4</v>
      </c>
      <c r="AA12" s="69">
        <v>0</v>
      </c>
      <c r="AB12" s="69">
        <v>0</v>
      </c>
      <c r="AC12" s="69">
        <v>27.7</v>
      </c>
      <c r="AD12" s="69">
        <v>5.2</v>
      </c>
      <c r="AE12" s="69">
        <v>0</v>
      </c>
      <c r="AF12" s="69">
        <v>0</v>
      </c>
      <c r="AG12" s="80"/>
      <c r="AH12" s="11">
        <f>IF(SUM(R12,V12)&gt;0,SUM(R12,V12),"")</f>
        <v>11.6</v>
      </c>
      <c r="AI12" s="11">
        <f>IF(SUM(Q12:R12,T12:V12,X12)-SUM(S12,W12)&gt;0,SUM(Q12:R12,T12:V12,X12)-SUM(S12,W12),"")</f>
        <v>62.599999999999994</v>
      </c>
      <c r="AJ12" s="11">
        <f>IF(SUM(Z12,AD12)&gt;0,SUM(Z12,AD12),"")</f>
        <v>7.6</v>
      </c>
      <c r="AK12" s="11">
        <f>IF(SUM(Y12:Z12,AB12:AD12,AF12)-SUM(AA12,AE12)&gt;0,SUM(Y12:Z12,AB12:AD12,AF12)-SUM(AA12,AE12),"")</f>
        <v>55.1</v>
      </c>
      <c r="AL12" s="11">
        <f>IF(SUM(AI12,AK12)&gt;0,SUM(AI12,AK12),"")</f>
        <v>117.69999999999999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20</v>
      </c>
      <c r="BJ12" s="69">
        <v>2.4</v>
      </c>
      <c r="BK12" s="69">
        <v>0</v>
      </c>
      <c r="BL12" s="69">
        <v>0</v>
      </c>
      <c r="BM12" s="69">
        <v>27.2</v>
      </c>
      <c r="BN12" s="69">
        <v>5.6</v>
      </c>
      <c r="BO12" s="69">
        <v>0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8</v>
      </c>
      <c r="CA12" s="11">
        <f>IF(SUM(BI12:BJ12,BL12:BN12,BP12)-SUM(BK12,BO12)&gt;0,SUM(BI12:BJ12,BL12:BN12,BP12)-SUM(BK12,BO12),"")</f>
        <v>55.199999999999996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55.199999999999996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10</v>
      </c>
      <c r="LZ12" s="69">
        <f>IF($BY12="P",BJ12,(BJ12+AN12)/2)</f>
        <v>1.2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13.6</v>
      </c>
      <c r="MD12" s="69">
        <f>IF($BY12="P",BN12,(BN12+AR12)/2)</f>
        <v>2.8</v>
      </c>
      <c r="ME12" s="69">
        <f>IF($BY12="P",BO12,(BO12+AS12)/2)</f>
        <v>0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4</v>
      </c>
      <c r="MQ12" s="11">
        <f>IF(SUM(LY12:LZ12,MB12:MD12,MF12)-SUM(MA12,ME12)&gt;0,SUM(LY12:LZ12,MB12:MD12,MF12)-SUM(MA12,ME12),"")</f>
        <v>27.599999999999998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27.599999999999998</v>
      </c>
    </row>
    <row r="13" spans="1:358" x14ac:dyDescent="0.2">
      <c r="A13" s="5" t="str">
        <f>IF(AND(F13="P",G13="P"),SUMPRODUCT((F$4:F$17="P")*(G$4:G$17="P")*(E$4:E$17&gt;E13))+1,IF(G13="P",SUMPRODUCT((F$4:F$17="")*(G$4:G$17="P")*(E$4:E$17&gt;E13))+1+SUMPRODUCT((F$4:F$17="P")*(G$4:G$17="P")),""))</f>
        <v/>
      </c>
      <c r="B13" s="8" t="s">
        <v>91</v>
      </c>
      <c r="C13" s="4" t="s">
        <v>5</v>
      </c>
      <c r="D13" s="5">
        <v>2000</v>
      </c>
      <c r="E13" s="15">
        <f>SUM(J13:N13)</f>
        <v>66.399999999999991</v>
      </c>
      <c r="F13" s="3" t="str">
        <f>IF(OR(AND(AH13&gt;=AL$19,AI13&gt;=AL$23,AI13&lt;&gt;"",AG13=""),AND(BD13&gt;=BH$19,BE13&gt;=BH$23,BE13&lt;&gt;"",BC13=""),AND(BZ13&gt;=CD$19,CA13&gt;=CD$23,CA13&lt;&gt;"",BY13=""),AND(CW13&gt;=DA$19,CX13&gt;=DA$23,CX13&lt;&gt;""),AND(DR13&gt;=DV$19,DS13&gt;=DV$23,DS13&lt;&gt;""),AND(EM13&gt;=EQ$19,EN13&gt;=EQ$23,EN13&lt;&gt;""),AND(FH13&gt;=FL$19,FI13&gt;=FL$23,FI13&lt;&gt;""),AND(GC13&gt;=GG$19,GD13&gt;=GG$23,GD13&lt;&gt;""),AND(GX13&gt;=HB$19,GY13&gt;=HB$23,GY13&lt;&gt;""),AND(HS13&gt;=HW$19,HT13&gt;=HW$23,HT13&lt;&gt;""),AND(IN13&gt;=IR$19,IO13&gt;=IR$23,IO13&lt;&gt;""),AND(JI13&gt;=JM$19,JJ13&gt;=JM$23,JJ13&lt;&gt;""),AND(KD13&gt;=KH$19,KE13&gt;=KH$23,KE13&lt;&gt;""),AND(KY13&gt;=LC$19,KZ13&gt;=LC$23,KZ13&lt;&gt;""),AND(LT13&gt;=LX$19,LU13&gt;=LX$23,LU13&lt;&gt;"")),"P","")</f>
        <v/>
      </c>
      <c r="G13" s="3" t="str">
        <f>IF(OR(AND(AI13&gt;=AL$23,AI13&lt;&gt;"",AG13=""),AND(BE13&gt;=BH$23,BE13&lt;&gt;"",BC13=""),AND(CA13&gt;=CD$23,CA13&lt;&gt;"",BY13=""),AND(CX13&gt;=DA$23,CX13&lt;&gt;""),AND(DS13&gt;=DV$23,DS13&lt;&gt;""),AND(EN13&gt;=EQ$23,EN13&lt;&gt;""),AND(FI13&gt;=FL$23,FI13&lt;&gt;""),AND(GD13&gt;=GG$23,GD13&lt;&gt;""),AND(GY13&gt;=HB$23,GY13&lt;&gt;""),AND(HT13&gt;=HW$23,HT13&lt;&gt;""),AND(IO13&gt;=IR$23,IO13&lt;&gt;""),AND(JJ13&gt;=JM$23,JJ13&lt;&gt;""),AND(KE13&gt;=KH$23,KE13&lt;&gt;""),AND(KZ13&gt;=LC$23,KZ13&lt;&gt;""),AND(LU13&gt;=LX$23,LU13&lt;&gt;"")),"P","")</f>
        <v/>
      </c>
      <c r="H13" s="126" t="str">
        <f>IF(AND(G13="P",F13=""),"No DD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Merit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Excellence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Worlds Team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National Team","")))))</f>
        <v/>
      </c>
      <c r="I13" s="3" t="str">
        <f>IF(OR(H13="Worlds Team",H13="Excellence",H13="Merit"),"P","")</f>
        <v/>
      </c>
      <c r="J13" s="14">
        <f>MAX(AI13,BE13,CA13)</f>
        <v>66.399999999999991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>
        <v>27.3</v>
      </c>
      <c r="R13" s="69">
        <v>6</v>
      </c>
      <c r="S13" s="69">
        <v>0.3</v>
      </c>
      <c r="T13" s="69">
        <v>0</v>
      </c>
      <c r="U13" s="69">
        <v>27.8</v>
      </c>
      <c r="V13" s="69">
        <v>5.6</v>
      </c>
      <c r="W13" s="69">
        <v>0</v>
      </c>
      <c r="X13" s="69">
        <v>0</v>
      </c>
      <c r="Y13" s="69">
        <v>28</v>
      </c>
      <c r="Z13" s="69">
        <v>5.2</v>
      </c>
      <c r="AA13" s="69">
        <v>0</v>
      </c>
      <c r="AB13" s="69">
        <v>0</v>
      </c>
      <c r="AC13" s="69">
        <v>27.5</v>
      </c>
      <c r="AD13" s="69">
        <v>2</v>
      </c>
      <c r="AE13" s="69">
        <v>2.4</v>
      </c>
      <c r="AF13" s="69">
        <v>0</v>
      </c>
      <c r="AG13" s="80"/>
      <c r="AH13" s="11">
        <f>IF(SUM(R13,V13)&gt;0,SUM(R13,V13),"")</f>
        <v>11.6</v>
      </c>
      <c r="AI13" s="11">
        <f>IF(SUM(Q13:R13,T13:V13,X13)-SUM(S13,W13)&gt;0,SUM(Q13:R13,T13:V13,X13)-SUM(S13,W13),"")</f>
        <v>66.399999999999991</v>
      </c>
      <c r="AJ13" s="11">
        <f>IF(SUM(Z13,AD13)&gt;0,SUM(Z13,AD13),"")</f>
        <v>7.2</v>
      </c>
      <c r="AK13" s="11">
        <f>IF(SUM(Y13:Z13,AB13:AD13,AF13)-SUM(AA13,AE13)&gt;0,SUM(Y13:Z13,AB13:AD13,AF13)-SUM(AA13,AE13),"")</f>
        <v>60.300000000000004</v>
      </c>
      <c r="AL13" s="11">
        <f>IF(SUM(AI13,AK13)&gt;0,SUM(AI13,AK13),"")</f>
        <v>126.69999999999999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0</v>
      </c>
      <c r="LZ13" s="69">
        <f>IF($BY13="P",BJ13,(BJ13+AN13)/2)</f>
        <v>0</v>
      </c>
      <c r="MA13" s="69">
        <f>IF($BY13="P",BK13,(BK13+AO13)/2)</f>
        <v>0</v>
      </c>
      <c r="MB13" s="69">
        <f>IF($BY13="P",BL13,(BL13+AP13)/2)</f>
        <v>0</v>
      </c>
      <c r="MC13" s="69">
        <f>IF($BY13="P",BM13,(BM13+AQ13)/2)</f>
        <v>0</v>
      </c>
      <c r="MD13" s="69">
        <f>IF($BY13="P",BN13,(BN13+AR13)/2)</f>
        <v>0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0</v>
      </c>
      <c r="MH13" s="69">
        <f>IF($BY13="P",BR13,(BR13+AV13)/2)</f>
        <v>0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0</v>
      </c>
      <c r="ML13" s="69">
        <f>IF($BY13="P",BV13,(BV13+AZ13)/2)</f>
        <v>0</v>
      </c>
      <c r="MM13" s="69">
        <f>IF($BY13="P",BW13,(BW13+BA13)/2)</f>
        <v>0</v>
      </c>
      <c r="MN13" s="69">
        <f>IF($BY13="P",BX13,(BX13+BB13)/2)</f>
        <v>0</v>
      </c>
      <c r="MO13" s="80" t="s">
        <v>74</v>
      </c>
      <c r="MP13" s="11" t="str">
        <f>IF(SUM(LZ13,MD13)&gt;0,SUM(LZ13,MD13),"")</f>
        <v/>
      </c>
      <c r="MQ13" s="11" t="str">
        <f>IF(SUM(LY13:LZ13,MB13:MD13,MF13)-SUM(MA13,ME13)&gt;0,SUM(LY13:LZ13,MB13:MD13,MF13)-SUM(MA13,ME13),"")</f>
        <v/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 t="str">
        <f>IF(SUM(MQ13,MS13)&gt;0,SUM(MQ13,MS13),"")</f>
        <v/>
      </c>
    </row>
    <row r="14" spans="1:358" x14ac:dyDescent="0.2">
      <c r="A14" s="5" t="str">
        <f>IF(AND(F14="P",G14="P"),SUMPRODUCT((F$4:F$17="P")*(G$4:G$17="P")*(E$4:E$17&gt;E14))+1,IF(G14="P",SUMPRODUCT((F$4:F$17="")*(G$4:G$17="P")*(E$4:E$17&gt;E14))+1+SUMPRODUCT((F$4:F$17="P")*(G$4:G$17="P")),""))</f>
        <v/>
      </c>
      <c r="B14" s="8" t="s">
        <v>144</v>
      </c>
      <c r="C14" s="4" t="s">
        <v>5</v>
      </c>
      <c r="D14" s="5">
        <v>1999</v>
      </c>
      <c r="E14" s="15">
        <f>SUM(J14:N14)</f>
        <v>65.599999999999994</v>
      </c>
      <c r="F14" s="3" t="str">
        <f>IF(OR(AND(AH14&gt;=AL$19,AI14&gt;=AL$23,AI14&lt;&gt;"",AG14=""),AND(BD14&gt;=BH$19,BE14&gt;=BH$23,BE14&lt;&gt;"",BC14=""),AND(BZ14&gt;=CD$19,CA14&gt;=CD$23,CA14&lt;&gt;"",BY14=""),AND(CW14&gt;=DA$19,CX14&gt;=DA$23,CX14&lt;&gt;""),AND(DR14&gt;=DV$19,DS14&gt;=DV$23,DS14&lt;&gt;""),AND(EM14&gt;=EQ$19,EN14&gt;=EQ$23,EN14&lt;&gt;""),AND(FH14&gt;=FL$19,FI14&gt;=FL$23,FI14&lt;&gt;""),AND(GC14&gt;=GG$19,GD14&gt;=GG$23,GD14&lt;&gt;""),AND(GX14&gt;=HB$19,GY14&gt;=HB$23,GY14&lt;&gt;""),AND(HS14&gt;=HW$19,HT14&gt;=HW$23,HT14&lt;&gt;""),AND(IN14&gt;=IR$19,IO14&gt;=IR$23,IO14&lt;&gt;""),AND(JI14&gt;=JM$19,JJ14&gt;=JM$23,JJ14&lt;&gt;""),AND(KD14&gt;=KH$19,KE14&gt;=KH$23,KE14&lt;&gt;""),AND(KY14&gt;=LC$19,KZ14&gt;=LC$23,KZ14&lt;&gt;""),AND(LT14&gt;=LX$19,LU14&gt;=LX$23,LU14&lt;&gt;"")),"P","")</f>
        <v/>
      </c>
      <c r="G14" s="3" t="str">
        <f>IF(OR(AND(AI14&gt;=AL$23,AI14&lt;&gt;"",AG14=""),AND(BE14&gt;=BH$23,BE14&lt;&gt;"",BC14=""),AND(CA14&gt;=CD$23,CA14&lt;&gt;"",BY14=""),AND(CX14&gt;=DA$23,CX14&lt;&gt;""),AND(DS14&gt;=DV$23,DS14&lt;&gt;""),AND(EN14&gt;=EQ$23,EN14&lt;&gt;""),AND(FI14&gt;=FL$23,FI14&lt;&gt;""),AND(GD14&gt;=GG$23,GD14&lt;&gt;""),AND(GY14&gt;=HB$23,GY14&lt;&gt;""),AND(HT14&gt;=HW$23,HT14&lt;&gt;""),AND(IO14&gt;=IR$23,IO14&lt;&gt;""),AND(JJ14&gt;=JM$23,JJ14&lt;&gt;""),AND(KE14&gt;=KH$23,KE14&lt;&gt;""),AND(KZ14&gt;=LC$23,KZ14&lt;&gt;""),AND(LU14&gt;=LX$23,LU14&lt;&gt;"")),"P","")</f>
        <v/>
      </c>
      <c r="H14" s="126" t="str">
        <f>IF(AND(G14="P",F14=""),"No DD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Merit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Excellence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Worlds Team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National Team","")))))</f>
        <v/>
      </c>
      <c r="I14" s="3" t="str">
        <f>IF(OR(H14="Worlds Team",H14="Excellence",H14="Merit"),"P","")</f>
        <v/>
      </c>
      <c r="J14" s="14">
        <f>MAX(AI14,BE14,CA14)</f>
        <v>65.599999999999994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>
        <v>28.3</v>
      </c>
      <c r="BJ14" s="69">
        <v>4.8</v>
      </c>
      <c r="BK14" s="69">
        <v>0.9</v>
      </c>
      <c r="BL14" s="69">
        <v>0</v>
      </c>
      <c r="BM14" s="69">
        <v>28.6</v>
      </c>
      <c r="BN14" s="69">
        <v>4.8</v>
      </c>
      <c r="BO14" s="69">
        <v>0</v>
      </c>
      <c r="BP14" s="69">
        <v>0</v>
      </c>
      <c r="BQ14" s="69">
        <v>20.100000000000001</v>
      </c>
      <c r="BR14" s="69">
        <v>2.8</v>
      </c>
      <c r="BS14" s="69">
        <v>0</v>
      </c>
      <c r="BT14" s="69">
        <v>0</v>
      </c>
      <c r="BU14" s="69">
        <v>28.3</v>
      </c>
      <c r="BV14" s="69">
        <v>3</v>
      </c>
      <c r="BW14" s="69">
        <v>1.4</v>
      </c>
      <c r="BX14" s="69">
        <v>0</v>
      </c>
      <c r="BY14" s="80"/>
      <c r="BZ14" s="11">
        <f>IF(SUM(BJ14,BN14)&gt;0,SUM(BJ14,BN14),"")</f>
        <v>9.6</v>
      </c>
      <c r="CA14" s="11">
        <f>IF(SUM(BI14:BJ14,BL14:BN14,BP14)-SUM(BK14,BO14)&gt;0,SUM(BI14:BJ14,BL14:BN14,BP14)-SUM(BK14,BO14),"")</f>
        <v>65.599999999999994</v>
      </c>
      <c r="CB14" s="11">
        <f>IF(SUM(BR14,BV14)&gt;0,SUM(BR14,BV14),"")</f>
        <v>5.8</v>
      </c>
      <c r="CC14" s="11">
        <f>IF(SUM(BQ14:BR14,BT14:BV14,BX14)-SUM(BS14,BW14)&gt;0,SUM(BQ14:BR14,BT14:BV14,BX14)-SUM(BS14,BW14),"")</f>
        <v>52.800000000000004</v>
      </c>
      <c r="CD14" s="11">
        <f>IF(SUM(CA14,CC14)&gt;0,SUM(CA14,CC14),"")</f>
        <v>118.4</v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14.15</v>
      </c>
      <c r="LZ14" s="69">
        <f>IF($BY14="P",BJ14,(BJ14+AN14)/2)</f>
        <v>2.4</v>
      </c>
      <c r="MA14" s="69">
        <f>IF($BY14="P",BK14,(BK14+AO14)/2)</f>
        <v>0.45</v>
      </c>
      <c r="MB14" s="69">
        <f>IF($BY14="P",BL14,(BL14+AP14)/2)</f>
        <v>0</v>
      </c>
      <c r="MC14" s="69">
        <f>IF($BY14="P",BM14,(BM14+AQ14)/2)</f>
        <v>14.3</v>
      </c>
      <c r="MD14" s="69">
        <f>IF($BY14="P",BN14,(BN14+AR14)/2)</f>
        <v>2.4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10.050000000000001</v>
      </c>
      <c r="MH14" s="69">
        <f>IF($BY14="P",BR14,(BR14+AV14)/2)</f>
        <v>1.4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14.15</v>
      </c>
      <c r="ML14" s="69">
        <f>IF($BY14="P",BV14,(BV14+AZ14)/2)</f>
        <v>1.5</v>
      </c>
      <c r="MM14" s="69">
        <f>IF($BY14="P",BW14,(BW14+BA14)/2)</f>
        <v>0.7</v>
      </c>
      <c r="MN14" s="69">
        <f>IF($BY14="P",BX14,(BX14+BB14)/2)</f>
        <v>0</v>
      </c>
      <c r="MO14" s="80" t="s">
        <v>74</v>
      </c>
      <c r="MP14" s="11">
        <f>IF(SUM(LZ14,MD14)&gt;0,SUM(LZ14,MD14),"")</f>
        <v>4.8</v>
      </c>
      <c r="MQ14" s="11">
        <f>IF(SUM(LY14:LZ14,MB14:MD14,MF14)-SUM(MA14,ME14)&gt;0,SUM(LY14:LZ14,MB14:MD14,MF14)-SUM(MA14,ME14),"")</f>
        <v>32.799999999999997</v>
      </c>
      <c r="MR14" s="11">
        <f>IF(SUM(MH14,ML14)&gt;0,SUM(MH14,ML14),"")</f>
        <v>2.9</v>
      </c>
      <c r="MS14" s="11">
        <f>IF(SUM(MG14:MH14,MJ14:ML14,MN14)-SUM(MI14,MM14)&gt;0,SUM(MG14:MH14,MJ14:ML14,MN14)-SUM(MI14,MM14),"")</f>
        <v>26.400000000000002</v>
      </c>
      <c r="MT14" s="11">
        <f>IF(SUM(MQ14,MS14)&gt;0,SUM(MQ14,MS14),"")</f>
        <v>59.2</v>
      </c>
    </row>
    <row r="15" spans="1:358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8" t="s">
        <v>139</v>
      </c>
      <c r="C15" s="4" t="s">
        <v>9</v>
      </c>
      <c r="D15" s="5">
        <v>1995</v>
      </c>
      <c r="E15" s="15">
        <f>SUM(J15:N15)</f>
        <v>55.7</v>
      </c>
      <c r="F15" s="3" t="str">
        <f>IF(OR(AND(AH15&gt;=AL$19,AI15&gt;=AL$23,AI15&lt;&gt;"",AG15=""),AND(BD15&gt;=BH$19,BE15&gt;=BH$23,BE15&lt;&gt;"",BC15=""),AND(BZ15&gt;=CD$19,CA15&gt;=CD$23,CA15&lt;&gt;"",BY15=""),AND(CW15&gt;=DA$19,CX15&gt;=DA$23,CX15&lt;&gt;""),AND(DR15&gt;=DV$19,DS15&gt;=DV$23,DS15&lt;&gt;""),AND(EM15&gt;=EQ$19,EN15&gt;=EQ$23,EN15&lt;&gt;""),AND(FH15&gt;=FL$19,FI15&gt;=FL$23,FI15&lt;&gt;""),AND(GC15&gt;=GG$19,GD15&gt;=GG$23,GD15&lt;&gt;""),AND(GX15&gt;=HB$19,GY15&gt;=HB$23,GY15&lt;&gt;""),AND(HS15&gt;=HW$19,HT15&gt;=HW$23,HT15&lt;&gt;""),AND(IN15&gt;=IR$19,IO15&gt;=IR$23,IO15&lt;&gt;""),AND(JI15&gt;=JM$19,JJ15&gt;=JM$23,JJ15&lt;&gt;""),AND(KD15&gt;=KH$19,KE15&gt;=KH$23,KE15&lt;&gt;""),AND(KY15&gt;=LC$19,KZ15&gt;=LC$23,KZ15&lt;&gt;""),AND(LT15&gt;=LX$19,LU15&gt;=LX$23,LU15&lt;&gt;"")),"P","")</f>
        <v/>
      </c>
      <c r="G15" s="3" t="str">
        <f>IF(OR(AND(AI15&gt;=AL$23,AI15&lt;&gt;"",AG15=""),AND(BE15&gt;=BH$23,BE15&lt;&gt;"",BC15=""),AND(CA15&gt;=CD$23,CA15&lt;&gt;"",BY15=""),AND(CX15&gt;=DA$23,CX15&lt;&gt;""),AND(DS15&gt;=DV$23,DS15&lt;&gt;""),AND(EN15&gt;=EQ$23,EN15&lt;&gt;""),AND(FI15&gt;=FL$23,FI15&lt;&gt;""),AND(GD15&gt;=GG$23,GD15&lt;&gt;""),AND(GY15&gt;=HB$23,GY15&lt;&gt;""),AND(HT15&gt;=HW$23,HT15&lt;&gt;""),AND(IO15&gt;=IR$23,IO15&lt;&gt;""),AND(JJ15&gt;=JM$23,JJ15&lt;&gt;""),AND(KE15&gt;=KH$23,KE15&lt;&gt;""),AND(KZ15&gt;=LC$23,KZ15&lt;&gt;""),AND(LU15&gt;=LX$23,LU15&lt;&gt;"")),"P","")</f>
        <v/>
      </c>
      <c r="H15" s="126" t="str">
        <f>IF(AND(G15="P",F15=""),"No DD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Merit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Excellence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Worlds Team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National Team","")))))</f>
        <v/>
      </c>
      <c r="I15" s="3" t="str">
        <f>IF(OR(H15="Worlds Team",H15="Excellence",H15="Merit"),"P","")</f>
        <v/>
      </c>
      <c r="J15" s="14">
        <f>MAX(AI15,BE15,CA15)</f>
        <v>55.7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80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8">
        <v>19.899999999999999</v>
      </c>
      <c r="AN15" s="38">
        <v>2.8</v>
      </c>
      <c r="AO15" s="38">
        <v>0</v>
      </c>
      <c r="AP15" s="38">
        <v>0</v>
      </c>
      <c r="AQ15" s="38">
        <v>28</v>
      </c>
      <c r="AR15" s="38">
        <v>5.6</v>
      </c>
      <c r="AS15" s="38">
        <v>0.9</v>
      </c>
      <c r="AT15" s="38">
        <v>0.3</v>
      </c>
      <c r="AU15" s="38"/>
      <c r="AV15" s="38"/>
      <c r="AW15" s="38"/>
      <c r="AX15" s="38"/>
      <c r="AY15" s="38"/>
      <c r="AZ15" s="38"/>
      <c r="BA15" s="38"/>
      <c r="BB15" s="38"/>
      <c r="BC15" s="81"/>
      <c r="BD15" s="14">
        <f>IF(SUM(AN15,AR15)&gt;0,SUM(AN15,AR15),"")</f>
        <v>8.3999999999999986</v>
      </c>
      <c r="BE15" s="14">
        <f>IF(SUM(AM15:AN15,AP15:AR15,AT15)-SUM(AO15,AS15)&gt;0,SUM(AM15:AN15,AP15:AR15,AT15)-SUM(AO15,AS15),"")</f>
        <v>55.7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55.7</v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9.9499999999999993</v>
      </c>
      <c r="LZ15" s="69">
        <f>IF($BY15="P",BJ15,(BJ15+AN15)/2)</f>
        <v>1.4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14</v>
      </c>
      <c r="MD15" s="69">
        <f>IF($BY15="P",BN15,(BN15+AR15)/2)</f>
        <v>2.8</v>
      </c>
      <c r="ME15" s="69">
        <f>IF($BY15="P",BO15,(BO15+AS15)/2)</f>
        <v>0.45</v>
      </c>
      <c r="MF15" s="69">
        <f>IF($BY15="P",BP15,(BP15+AT15)/2)</f>
        <v>0.15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>
        <f>IF(SUM(LZ15,MD15)&gt;0,SUM(LZ15,MD15),"")</f>
        <v>4.1999999999999993</v>
      </c>
      <c r="MQ15" s="11">
        <f>IF(SUM(LY15:LZ15,MB15:MD15,MF15)-SUM(MA15,ME15)&gt;0,SUM(LY15:LZ15,MB15:MD15,MF15)-SUM(MA15,ME15),"")</f>
        <v>27.85</v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>
        <f>IF(SUM(MQ15,MS15)&gt;0,SUM(MQ15,MS15),"")</f>
        <v>27.85</v>
      </c>
    </row>
    <row r="16" spans="1:358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8" t="s">
        <v>45</v>
      </c>
      <c r="C16" s="4" t="s">
        <v>3</v>
      </c>
      <c r="D16" s="5">
        <v>1994</v>
      </c>
      <c r="E16" s="15">
        <f>SUM(J16:N16)</f>
        <v>35.6</v>
      </c>
      <c r="F16" s="3" t="str">
        <f>IF(OR(AND(AH16&gt;=AL$19,AI16&gt;=AL$23,AI16&lt;&gt;"",AG16=""),AND(BD16&gt;=BH$19,BE16&gt;=BH$23,BE16&lt;&gt;"",BC16=""),AND(BZ16&gt;=CD$19,CA16&gt;=CD$23,CA16&lt;&gt;"",BY16=""),AND(CW16&gt;=DA$19,CX16&gt;=DA$23,CX16&lt;&gt;""),AND(DR16&gt;=DV$19,DS16&gt;=DV$23,DS16&lt;&gt;""),AND(EM16&gt;=EQ$19,EN16&gt;=EQ$23,EN16&lt;&gt;""),AND(FH16&gt;=FL$19,FI16&gt;=FL$23,FI16&lt;&gt;""),AND(GC16&gt;=GG$19,GD16&gt;=GG$23,GD16&lt;&gt;""),AND(GX16&gt;=HB$19,GY16&gt;=HB$23,GY16&lt;&gt;""),AND(HS16&gt;=HW$19,HT16&gt;=HW$23,HT16&lt;&gt;""),AND(IN16&gt;=IR$19,IO16&gt;=IR$23,IO16&lt;&gt;""),AND(JI16&gt;=JM$19,JJ16&gt;=JM$23,JJ16&lt;&gt;""),AND(KD16&gt;=KH$19,KE16&gt;=KH$23,KE16&lt;&gt;""),AND(KY16&gt;=LC$19,KZ16&gt;=LC$23,KZ16&lt;&gt;""),AND(LT16&gt;=LX$19,LU16&gt;=LX$23,LU16&lt;&gt;"")),"P","")</f>
        <v/>
      </c>
      <c r="G16" s="3" t="str">
        <f>IF(OR(AND(AI16&gt;=AL$23,AI16&lt;&gt;"",AG16=""),AND(BE16&gt;=BH$23,BE16&lt;&gt;"",BC16=""),AND(CA16&gt;=CD$23,CA16&lt;&gt;"",BY16=""),AND(CX16&gt;=DA$23,CX16&lt;&gt;""),AND(DS16&gt;=DV$23,DS16&lt;&gt;""),AND(EN16&gt;=EQ$23,EN16&lt;&gt;""),AND(FI16&gt;=FL$23,FI16&lt;&gt;""),AND(GD16&gt;=GG$23,GD16&lt;&gt;""),AND(GY16&gt;=HB$23,GY16&lt;&gt;""),AND(HT16&gt;=HW$23,HT16&lt;&gt;""),AND(IO16&gt;=IR$23,IO16&lt;&gt;""),AND(JJ16&gt;=JM$23,JJ16&lt;&gt;""),AND(KE16&gt;=KH$23,KE16&lt;&gt;""),AND(KZ16&gt;=LC$23,KZ16&lt;&gt;""),AND(LU16&gt;=LX$23,LU16&lt;&gt;"")),"P","")</f>
        <v/>
      </c>
      <c r="H16" s="126" t="str">
        <f>IF(AND(G16="P",F16=""),"No DD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Merit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Excellence",IF(OR(AND(AH16&gt;=AL$20,AH16&lt;&gt;"",AI16&gt;=AL$24,AI16&lt;&gt;"",AG16=""),AND(BD16&gt;=BH$20,BD16&lt;&gt;"",BE16&gt;=BH$24,BE16&lt;&gt;"",BC16=""),AND(BZ16&gt;=CD$20,BZ16&lt;&gt;"",CA16&gt;=CD$24,CA16&lt;&gt;"",BY16=""),AND(CW16&gt;=DA$20,CW16&lt;&gt;"",CX16&gt;=DA$24,CX16&lt;&gt;""),AND(DR16&gt;=DV$20,DR16&lt;&gt;"",DS16&gt;=DV$24,DS16&lt;&gt;""),AND(EM16&gt;=EQ$20,EM16&lt;&gt;"",EN16&gt;=EQ$24,EN16&lt;&gt;""),AND(FH16&gt;=FL$20,FH16&lt;&gt;"",FI16&gt;=FL$24,FI16&lt;&gt;""),AND(GC16&gt;=GG$20,GC16&lt;&gt;"",GD16&gt;=GG$24,GD16&lt;&gt;""),AND(GX16&gt;=HB$20,GX16&lt;&gt;"",GY16&gt;=HB$24,GY16&lt;&gt;""),AND(HS16&gt;=HW$20,HS16&lt;&gt;"",HT16&gt;=HW$24,HT16&lt;&gt;""),AND(IN16&gt;=IR$20,IN16&lt;&gt;"",IO16&gt;=IR$24,IO16&lt;&gt;""),AND(JI16&gt;=JM$20,JI16&lt;&gt;"",JJ16&gt;=JM$24,JJ16&lt;&gt;""),AND(KD16&gt;=KH$20,KD16&lt;&gt;"",KE16&gt;=KH$24,KE16&lt;&gt;""),AND(KY16&gt;=LC$20,KY16&lt;&gt;"",KZ16&gt;=LC$24,KZ16&lt;&gt;""),AND(LT16&gt;=LX$20,LT16&lt;&gt;"",LU16&gt;=LX$24,LU16&lt;&gt;"")),"Worlds Team",IF(OR(AND(AH16&gt;=AL$19,AH16&lt;&gt;"",AI16&gt;=AL$23,AI16&lt;&gt;"",AG16=""),AND(BD16&gt;=BH$19,BD16&lt;&gt;"",BE16&gt;=BH$23,BE16&lt;&gt;"",BC16=""),AND(BZ16&gt;=CD$19,BZ16&lt;&gt;"",CA16&gt;=CD$23,CA16&lt;&gt;"",BY16=""),AND(CW16&gt;=DA$19,CW16&lt;&gt;"",CX16&gt;=DA$23,CX16&lt;&gt;""),AND(DR16&gt;=DV$19,DR16&lt;&gt;"",DS16&gt;=DV$23,DS16&lt;&gt;""),AND(EM16&gt;=EQ$19,EM16&lt;&gt;"",EN16&gt;=EQ$23,EN16&lt;&gt;""),AND(FH16&gt;=FL$19,FH16&lt;&gt;"",FI16&gt;=FL$23,FI16&lt;&gt;""),AND(GC16&gt;=GG$19,GC16&lt;&gt;"",GD16&gt;=GG$23,GD16&lt;&gt;""),AND(GX16&gt;=HB$19,GX16&lt;&gt;"",GY16&gt;=HB$23,GY16&lt;&gt;""),AND(HS16&gt;=HW$19,HS16&lt;&gt;"",HT16&gt;=HW$23,HT16&lt;&gt;""),AND(IN16&gt;=IR$19,IN16&lt;&gt;"",IO16&gt;=IR$23,IO16&lt;&gt;""),AND(JI16&gt;=JM$19,JI16&lt;&gt;"",JJ16&gt;=JM$23,JJ16&lt;&gt;""),AND(KD16&gt;=KH$19,KD16&lt;&gt;"",KE16&gt;=KH$23,KE16&lt;&gt;""),AND(KY16&gt;=LC$19,KY16&lt;&gt;"",KZ16&gt;=LC$23,KZ16&lt;&gt;""),AND(LT16&gt;=LX$19,LT16&lt;&gt;"",LU16&gt;=LX$23,LU16&lt;&gt;"")),"National Team","")))))</f>
        <v/>
      </c>
      <c r="I16" s="3" t="str">
        <f>IF(OR(H16="Worlds Team",H16="Excellence",H16="Merit"),"P","")</f>
        <v/>
      </c>
      <c r="J16" s="14">
        <f>MAX(AI16,BE16,CA16)</f>
        <v>35.6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0</v>
      </c>
      <c r="M16" s="14" t="str">
        <f>IF(L16=0,"",IF(AND(J16&lt;&gt;CA16,L16=CD16),$BI$1,IF(AND(J16&lt;&gt;BE16,L16=BH16),$AM$1,IF(L16=AL16,$Q$1,""))))</f>
        <v/>
      </c>
      <c r="N16" s="14" t="str">
        <f>IF(MAX(CE16:CF16)&gt;0,MAX(CE16:CF16),"")</f>
        <v/>
      </c>
      <c r="O16" s="25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9">
        <v>14.15</v>
      </c>
      <c r="R16" s="69">
        <v>3.6</v>
      </c>
      <c r="S16" s="69">
        <v>0</v>
      </c>
      <c r="T16" s="69">
        <v>0.15</v>
      </c>
      <c r="U16" s="69">
        <v>14.05</v>
      </c>
      <c r="V16" s="69">
        <v>3.4</v>
      </c>
      <c r="W16" s="69">
        <v>0</v>
      </c>
      <c r="X16" s="69">
        <v>0.25</v>
      </c>
      <c r="Y16" s="69">
        <v>14.4</v>
      </c>
      <c r="Z16" s="69">
        <v>3</v>
      </c>
      <c r="AA16" s="69">
        <v>0.15</v>
      </c>
      <c r="AB16" s="69">
        <v>0.15</v>
      </c>
      <c r="AC16" s="69">
        <v>13.7</v>
      </c>
      <c r="AD16" s="69">
        <v>3</v>
      </c>
      <c r="AE16" s="69">
        <v>0.15</v>
      </c>
      <c r="AF16" s="69">
        <v>0.25</v>
      </c>
      <c r="AG16" s="80" t="s">
        <v>74</v>
      </c>
      <c r="AH16" s="11">
        <f>IF(SUM(R16,V16)&gt;0,SUM(R16,V16),"")</f>
        <v>7</v>
      </c>
      <c r="AI16" s="11">
        <f>IF(SUM(Q16:R16,T16:V16,X16)-SUM(S16,W16)&gt;0,SUM(Q16:R16,T16:V16,X16)-SUM(S16,W16),"")</f>
        <v>35.6</v>
      </c>
      <c r="AJ16" s="11">
        <f>IF(SUM(Z16,AD16)&gt;0,SUM(Z16,AD16),"")</f>
        <v>6</v>
      </c>
      <c r="AK16" s="11">
        <f>IF(SUM(Y16:Z16,AB16:AD16,AF16)-SUM(AA16,AE16)&gt;0,SUM(Y16:Z16,AB16:AD16,AF16)-SUM(AA16,AE16),"")</f>
        <v>34.200000000000003</v>
      </c>
      <c r="AL16" s="11">
        <f>IF(SUM(AI16,AK16)&gt;0,SUM(AI16,AK16),"")</f>
        <v>69.800000000000011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>IF(SUM(AN16,AR16)&gt;0,SUM(AN16,AR16),"")</f>
        <v/>
      </c>
      <c r="BE16" s="14" t="str">
        <f>IF(SUM(AM16:AN16,AP16:AR16,AT16)-SUM(AO16,AS16)&gt;0,SUM(AM16:AN16,AP16:AR16,AT16)-SUM(AO16,AS16),"")</f>
        <v/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 t="str">
        <f>IF(SUM(BE16,BG16)&gt;0,SUM(BE16,BG16),"")</f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IF(MAX(CX16,DS16,EN16,FI16,GD16,GY16,HT16,IO16,JJ16,KE16,KZ16,LU16)-IF(J16="",0,J16)&gt;0.001,MAX(CX16,DS16,EN16,FI16,GD16,GY16,HT16,IO16,JJ16,KE16,KZ16,LU16)-IF(J16="",0,J16),"")</f>
        <v/>
      </c>
      <c r="CF16" s="24" t="str">
        <f>IF(MAX(DA16,DV16,EQ16,FL16,GG16,HB16,HW16,IR16,JM16,KH16,LC16,LX16)-IF(L16="",0,L16)&gt;0.001,MAX(DA16,DV16,EQ16,FL16,GG16,HB16,HW16,IR16,JM16,KH16,LC16,LX16)-IF(L16="",0,L16),"")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0</v>
      </c>
      <c r="LZ16" s="69">
        <f>IF($BY16="P",BJ16,(BJ16+AN16)/2)</f>
        <v>0</v>
      </c>
      <c r="MA16" s="69">
        <f>IF($BY16="P",BK16,(BK16+AO16)/2)</f>
        <v>0</v>
      </c>
      <c r="MB16" s="69">
        <f>IF($BY16="P",BL16,(BL16+AP16)/2)</f>
        <v>0</v>
      </c>
      <c r="MC16" s="69">
        <f>IF($BY16="P",BM16,(BM16+AQ16)/2)</f>
        <v>0</v>
      </c>
      <c r="MD16" s="69">
        <f>IF($BY16="P",BN16,(BN16+AR16)/2)</f>
        <v>0</v>
      </c>
      <c r="ME16" s="69">
        <f>IF($BY16="P",BO16,(BO16+AS16)/2)</f>
        <v>0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74</v>
      </c>
      <c r="MP16" s="11" t="str">
        <f>IF(SUM(LZ16,MD16)&gt;0,SUM(LZ16,MD16),"")</f>
        <v/>
      </c>
      <c r="MQ16" s="11" t="str">
        <f>IF(SUM(LY16:LZ16,MB16:MD16,MF16)-SUM(MA16,ME16)&gt;0,SUM(LY16:LZ16,MB16:MD16,MF16)-SUM(MA16,ME16),"")</f>
        <v/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 t="str">
        <f>IF(SUM(MQ16,MS16)&gt;0,SUM(MQ16,MS16),"")</f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70</v>
      </c>
      <c r="AH19" s="54"/>
      <c r="AJ19" s="54"/>
      <c r="AL19" s="64">
        <v>10.8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69</v>
      </c>
      <c r="AH20" s="54"/>
      <c r="AJ20" s="54"/>
      <c r="AL20" s="93">
        <v>11.2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86</v>
      </c>
      <c r="C21" s="55"/>
      <c r="AL21" s="94">
        <v>11.6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102</v>
      </c>
      <c r="C22" s="55"/>
      <c r="AK22" s="129"/>
      <c r="AL22" s="65">
        <v>12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67</v>
      </c>
      <c r="C23" s="55"/>
      <c r="AH23" s="56"/>
      <c r="AJ23" s="56"/>
      <c r="AL23" s="67">
        <v>66.599999999999994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68</v>
      </c>
      <c r="C24" s="55"/>
      <c r="AH24" s="56"/>
      <c r="AJ24" s="56"/>
      <c r="AL24" s="66">
        <v>67.599999999999994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84</v>
      </c>
      <c r="C25" s="55"/>
      <c r="AH25" s="56"/>
      <c r="AJ25" s="56"/>
      <c r="AL25" s="117">
        <v>68.900000000000006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51</v>
      </c>
      <c r="C26" s="55"/>
      <c r="AH26" s="56"/>
      <c r="AJ26" s="56"/>
      <c r="AK26" s="129"/>
      <c r="AL26" s="68">
        <v>69.900000000000006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75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6">
      <sortCondition descending="1" ref="F1:F17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16">
    <cfRule type="expression" dxfId="45" priority="2" stopIfTrue="1">
      <formula>IF($BC4&lt;&gt;"",1,0)</formula>
    </cfRule>
  </conditionalFormatting>
  <conditionalFormatting sqref="Q4:AL16">
    <cfRule type="expression" dxfId="44" priority="1" stopIfTrue="1">
      <formula>IF($AG4&lt;&gt;"",1,0)</formula>
    </cfRule>
  </conditionalFormatting>
  <conditionalFormatting sqref="K1:K1048576 M1:M1048576">
    <cfRule type="expression" dxfId="43" priority="36484">
      <formula>IF(K1=$BI$1,1,0)</formula>
    </cfRule>
    <cfRule type="expression" dxfId="42" priority="36485">
      <formula>IF(K1=$AM$1,1,0)</formula>
    </cfRule>
    <cfRule type="expression" dxfId="41" priority="36486">
      <formula>IF(K1=$Q$1,1,0)</formula>
    </cfRule>
  </conditionalFormatting>
  <conditionalFormatting sqref="BI4:CD16">
    <cfRule type="expression" dxfId="40" priority="3" stopIfTrue="1">
      <formula>IF($BY4&lt;&gt;"",1,0)</formula>
    </cfRule>
  </conditionalFormatting>
  <conditionalFormatting sqref="A1:A1048576">
    <cfRule type="expression" dxfId="39" priority="38433">
      <formula>AND(G1="P",F1="")</formula>
    </cfRule>
  </conditionalFormatting>
  <conditionalFormatting sqref="H1:H1048576">
    <cfRule type="containsText" dxfId="38" priority="5" operator="containsText" text="No DD">
      <formula>NOT(ISERROR(SEARCH("No DD",H1)))</formula>
    </cfRule>
    <cfRule type="containsText" dxfId="37" priority="6" operator="containsText" text="Merit">
      <formula>NOT(ISERROR(SEARCH("Merit",H1)))</formula>
    </cfRule>
    <cfRule type="containsText" dxfId="36" priority="7" operator="containsText" text="Excellence">
      <formula>NOT(ISERROR(SEARCH("Excellence",H1)))</formula>
    </cfRule>
    <cfRule type="containsText" dxfId="35" priority="8" operator="containsText" text="Worlds Team">
      <formula>NOT(ISERROR(SEARCH("Worlds Team",H1)))</formula>
    </cfRule>
    <cfRule type="containsText" dxfId="34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33" priority="48392" operator="between">
      <formula>AL$22</formula>
      <formula>1000</formula>
    </cfRule>
    <cfRule type="cellIs" dxfId="32" priority="48393" operator="between">
      <formula>AL$21</formula>
      <formula>AL$22</formula>
    </cfRule>
    <cfRule type="cellIs" dxfId="31" priority="48394" operator="between">
      <formula>AL$20</formula>
      <formula>AL$21</formula>
    </cfRule>
    <cfRule type="cellIs" dxfId="30" priority="48395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9" priority="48572" operator="between">
      <formula>AL$26</formula>
      <formula>1000</formula>
    </cfRule>
    <cfRule type="cellIs" dxfId="28" priority="48573" operator="between">
      <formula>AL$25</formula>
      <formula>AL$26</formula>
    </cfRule>
    <cfRule type="cellIs" dxfId="27" priority="48574" operator="between">
      <formula>AL$24</formula>
      <formula>AL$25</formula>
    </cfRule>
    <cfRule type="cellIs" dxfId="26" priority="48575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2021-11-24T03:39:02Z</dcterms:modified>
</cp:coreProperties>
</file>