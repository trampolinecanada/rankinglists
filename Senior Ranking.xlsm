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51B543D2-CA4C-2D46-9B9E-379D495E70AC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'SYN-M'!$A$1:$LH$3</definedName>
    <definedName name="_xlnm._FilterDatabase" localSheetId="4" hidden="1">'SYN-W'!$A$1:$LH$3</definedName>
    <definedName name="_xlnm._FilterDatabase" localSheetId="1" hidden="1">'TRA-M'!$A$1:$LH$3</definedName>
    <definedName name="_xlnm._FilterDatabase" localSheetId="2" hidden="1">'TRA-W'!$A$1:$LH$3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7" i="10" l="1"/>
  <c r="AL7" i="10"/>
  <c r="AM7" i="10"/>
  <c r="AO7" i="10"/>
  <c r="BG7" i="10"/>
  <c r="BH7" i="10"/>
  <c r="BI7" i="10"/>
  <c r="BJ7" i="10"/>
  <c r="BK7" i="10"/>
  <c r="CF7" i="10"/>
  <c r="CG7" i="10"/>
  <c r="CH7" i="10"/>
  <c r="CJ7" i="10"/>
  <c r="DA7" i="10"/>
  <c r="DB7" i="10"/>
  <c r="DC7" i="10"/>
  <c r="DE7" i="10"/>
  <c r="DV7" i="10"/>
  <c r="DW7" i="10"/>
  <c r="DX7" i="10"/>
  <c r="DZ7" i="10"/>
  <c r="EQ7" i="10"/>
  <c r="ER7" i="10"/>
  <c r="ES7" i="10"/>
  <c r="ET7" i="10" s="1"/>
  <c r="EV7" i="10" s="1"/>
  <c r="EU7" i="10"/>
  <c r="FL7" i="10"/>
  <c r="FM7" i="10"/>
  <c r="FN7" i="10"/>
  <c r="FP7" i="10"/>
  <c r="GG7" i="10"/>
  <c r="GH7" i="10"/>
  <c r="GI7" i="10"/>
  <c r="GK7" i="10"/>
  <c r="HB7" i="10"/>
  <c r="HC7" i="10"/>
  <c r="HD7" i="10"/>
  <c r="HF7" i="10"/>
  <c r="HW7" i="10"/>
  <c r="HX7" i="10"/>
  <c r="HY7" i="10"/>
  <c r="HZ7" i="10" s="1"/>
  <c r="IB7" i="10" s="1"/>
  <c r="IA7" i="10"/>
  <c r="IR7" i="10"/>
  <c r="IS7" i="10"/>
  <c r="IT7" i="10"/>
  <c r="IV7" i="10"/>
  <c r="JM7" i="10"/>
  <c r="JN7" i="10"/>
  <c r="JO7" i="10"/>
  <c r="JQ7" i="10"/>
  <c r="KH7" i="10"/>
  <c r="KI7" i="10"/>
  <c r="KK7" i="10" s="1"/>
  <c r="KJ7" i="10"/>
  <c r="KL7" i="10"/>
  <c r="LC7" i="10"/>
  <c r="LD7" i="10"/>
  <c r="LE7" i="10"/>
  <c r="LF7" i="10" s="1"/>
  <c r="LH7" i="10" s="1"/>
  <c r="LG7" i="10"/>
  <c r="LI16" i="10"/>
  <c r="LJ16" i="10"/>
  <c r="LK16" i="10"/>
  <c r="LL16" i="10"/>
  <c r="LM16" i="10"/>
  <c r="LN16" i="10"/>
  <c r="LO16" i="10"/>
  <c r="LP16" i="10"/>
  <c r="LQ16" i="10"/>
  <c r="LR16" i="10"/>
  <c r="LS16" i="10"/>
  <c r="LT16" i="10"/>
  <c r="LU16" i="10"/>
  <c r="LV16" i="10"/>
  <c r="LW16" i="10"/>
  <c r="LY16" i="10"/>
  <c r="KL15" i="10"/>
  <c r="KJ15" i="10"/>
  <c r="KI15" i="10"/>
  <c r="KH15" i="10"/>
  <c r="KL14" i="10"/>
  <c r="KJ14" i="10"/>
  <c r="KI14" i="10"/>
  <c r="KK14" i="10" s="1"/>
  <c r="KM14" i="10" s="1"/>
  <c r="KH14" i="10"/>
  <c r="KL13" i="10"/>
  <c r="KJ13" i="10"/>
  <c r="KK13" i="10" s="1"/>
  <c r="KM13" i="10" s="1"/>
  <c r="KI13" i="10"/>
  <c r="KH13" i="10"/>
  <c r="KL12" i="10"/>
  <c r="KJ12" i="10"/>
  <c r="KI12" i="10"/>
  <c r="KK12" i="10" s="1"/>
  <c r="KM12" i="10" s="1"/>
  <c r="KH12" i="10"/>
  <c r="KL11" i="10"/>
  <c r="KJ11" i="10"/>
  <c r="KI11" i="10"/>
  <c r="KH11" i="10"/>
  <c r="KL10" i="10"/>
  <c r="KJ10" i="10"/>
  <c r="KI10" i="10"/>
  <c r="KK10" i="10" s="1"/>
  <c r="KM10" i="10" s="1"/>
  <c r="KH10" i="10"/>
  <c r="KL9" i="10"/>
  <c r="KJ9" i="10"/>
  <c r="KK9" i="10" s="1"/>
  <c r="KM9" i="10" s="1"/>
  <c r="KI9" i="10"/>
  <c r="KH9" i="10"/>
  <c r="KL8" i="10"/>
  <c r="KJ8" i="10"/>
  <c r="KI8" i="10"/>
  <c r="KK8" i="10" s="1"/>
  <c r="KM8" i="10" s="1"/>
  <c r="KH8" i="10"/>
  <c r="KL16" i="10"/>
  <c r="KJ16" i="10"/>
  <c r="KI16" i="10"/>
  <c r="KH16" i="10"/>
  <c r="KL6" i="10"/>
  <c r="KJ6" i="10"/>
  <c r="KI6" i="10"/>
  <c r="KK6" i="10" s="1"/>
  <c r="KM6" i="10" s="1"/>
  <c r="KH6" i="10"/>
  <c r="KL5" i="10"/>
  <c r="KJ5" i="10"/>
  <c r="KK5" i="10" s="1"/>
  <c r="KM5" i="10" s="1"/>
  <c r="KI5" i="10"/>
  <c r="KH5" i="10"/>
  <c r="KL4" i="10"/>
  <c r="KJ4" i="10"/>
  <c r="KI4" i="10"/>
  <c r="KK4" i="10" s="1"/>
  <c r="KM4" i="10" s="1"/>
  <c r="KH4" i="10"/>
  <c r="JQ15" i="10"/>
  <c r="JO15" i="10"/>
  <c r="JN15" i="10"/>
  <c r="JM15" i="10"/>
  <c r="JQ14" i="10"/>
  <c r="JO14" i="10"/>
  <c r="JN14" i="10"/>
  <c r="JM14" i="10"/>
  <c r="JQ13" i="10"/>
  <c r="JO13" i="10"/>
  <c r="JN13" i="10"/>
  <c r="JM13" i="10"/>
  <c r="JQ12" i="10"/>
  <c r="JO12" i="10"/>
  <c r="JN12" i="10"/>
  <c r="JM12" i="10"/>
  <c r="JQ11" i="10"/>
  <c r="JO11" i="10"/>
  <c r="JN11" i="10"/>
  <c r="JM11" i="10"/>
  <c r="JQ10" i="10"/>
  <c r="JO10" i="10"/>
  <c r="JN10" i="10"/>
  <c r="JM10" i="10"/>
  <c r="JQ9" i="10"/>
  <c r="JO9" i="10"/>
  <c r="JN9" i="10"/>
  <c r="JM9" i="10"/>
  <c r="JQ8" i="10"/>
  <c r="JO8" i="10"/>
  <c r="JN8" i="10"/>
  <c r="JM8" i="10"/>
  <c r="JQ16" i="10"/>
  <c r="JO16" i="10"/>
  <c r="JN16" i="10"/>
  <c r="JM16" i="10"/>
  <c r="JQ6" i="10"/>
  <c r="JO6" i="10"/>
  <c r="JN6" i="10"/>
  <c r="JM6" i="10"/>
  <c r="JQ5" i="10"/>
  <c r="JO5" i="10"/>
  <c r="JN5" i="10"/>
  <c r="JM5" i="10"/>
  <c r="JQ4" i="10"/>
  <c r="JO4" i="10"/>
  <c r="JN4" i="10"/>
  <c r="JM4" i="10"/>
  <c r="IV15" i="10"/>
  <c r="IT15" i="10"/>
  <c r="IS15" i="10"/>
  <c r="IR15" i="10"/>
  <c r="IV14" i="10"/>
  <c r="IT14" i="10"/>
  <c r="IS14" i="10"/>
  <c r="IR14" i="10"/>
  <c r="IV13" i="10"/>
  <c r="IT13" i="10"/>
  <c r="IS13" i="10"/>
  <c r="IR13" i="10"/>
  <c r="IV12" i="10"/>
  <c r="IT12" i="10"/>
  <c r="IS12" i="10"/>
  <c r="IR12" i="10"/>
  <c r="IV11" i="10"/>
  <c r="IT11" i="10"/>
  <c r="IS11" i="10"/>
  <c r="IR11" i="10"/>
  <c r="IV10" i="10"/>
  <c r="IT10" i="10"/>
  <c r="IS10" i="10"/>
  <c r="IR10" i="10"/>
  <c r="IV9" i="10"/>
  <c r="IT9" i="10"/>
  <c r="IS9" i="10"/>
  <c r="IR9" i="10"/>
  <c r="IV8" i="10"/>
  <c r="IT8" i="10"/>
  <c r="IS8" i="10"/>
  <c r="IR8" i="10"/>
  <c r="IV16" i="10"/>
  <c r="IT16" i="10"/>
  <c r="IS16" i="10"/>
  <c r="IR16" i="10"/>
  <c r="IV6" i="10"/>
  <c r="IT6" i="10"/>
  <c r="IS6" i="10"/>
  <c r="IR6" i="10"/>
  <c r="IV5" i="10"/>
  <c r="IT5" i="10"/>
  <c r="IS5" i="10"/>
  <c r="IR5" i="10"/>
  <c r="IV4" i="10"/>
  <c r="IT4" i="10"/>
  <c r="IS4" i="10"/>
  <c r="IR4" i="10"/>
  <c r="IA15" i="10"/>
  <c r="HY15" i="10"/>
  <c r="HX15" i="10"/>
  <c r="HW15" i="10"/>
  <c r="IA14" i="10"/>
  <c r="HY14" i="10"/>
  <c r="HX14" i="10"/>
  <c r="HW14" i="10"/>
  <c r="IA13" i="10"/>
  <c r="HY13" i="10"/>
  <c r="HX13" i="10"/>
  <c r="HW13" i="10"/>
  <c r="IA12" i="10"/>
  <c r="HY12" i="10"/>
  <c r="HX12" i="10"/>
  <c r="HW12" i="10"/>
  <c r="IA11" i="10"/>
  <c r="HY11" i="10"/>
  <c r="HX11" i="10"/>
  <c r="HW11" i="10"/>
  <c r="IA10" i="10"/>
  <c r="HY10" i="10"/>
  <c r="HX10" i="10"/>
  <c r="HW10" i="10"/>
  <c r="IA9" i="10"/>
  <c r="HY9" i="10"/>
  <c r="HX9" i="10"/>
  <c r="HW9" i="10"/>
  <c r="IA8" i="10"/>
  <c r="HY8" i="10"/>
  <c r="HX8" i="10"/>
  <c r="HW8" i="10"/>
  <c r="IA16" i="10"/>
  <c r="HY16" i="10"/>
  <c r="HX16" i="10"/>
  <c r="HW16" i="10"/>
  <c r="IA6" i="10"/>
  <c r="HY6" i="10"/>
  <c r="HX6" i="10"/>
  <c r="HW6" i="10"/>
  <c r="IA5" i="10"/>
  <c r="HY5" i="10"/>
  <c r="HX5" i="10"/>
  <c r="HW5" i="10"/>
  <c r="IA4" i="10"/>
  <c r="HY4" i="10"/>
  <c r="HX4" i="10"/>
  <c r="HW4" i="10"/>
  <c r="HF15" i="10"/>
  <c r="HD15" i="10"/>
  <c r="HC15" i="10"/>
  <c r="HB15" i="10"/>
  <c r="HF14" i="10"/>
  <c r="HD14" i="10"/>
  <c r="HC14" i="10"/>
  <c r="HB14" i="10"/>
  <c r="HF13" i="10"/>
  <c r="HD13" i="10"/>
  <c r="HC13" i="10"/>
  <c r="HB13" i="10"/>
  <c r="HF12" i="10"/>
  <c r="HD12" i="10"/>
  <c r="HC12" i="10"/>
  <c r="HB12" i="10"/>
  <c r="HF11" i="10"/>
  <c r="HD11" i="10"/>
  <c r="HC11" i="10"/>
  <c r="HB11" i="10"/>
  <c r="HF10" i="10"/>
  <c r="HD10" i="10"/>
  <c r="HC10" i="10"/>
  <c r="HB10" i="10"/>
  <c r="HF9" i="10"/>
  <c r="HD9" i="10"/>
  <c r="HC9" i="10"/>
  <c r="HB9" i="10"/>
  <c r="HF8" i="10"/>
  <c r="HD8" i="10"/>
  <c r="HC8" i="10"/>
  <c r="HB8" i="10"/>
  <c r="HF16" i="10"/>
  <c r="HD16" i="10"/>
  <c r="HC16" i="10"/>
  <c r="HB16" i="10"/>
  <c r="HF6" i="10"/>
  <c r="HD6" i="10"/>
  <c r="HC6" i="10"/>
  <c r="HB6" i="10"/>
  <c r="HF5" i="10"/>
  <c r="HD5" i="10"/>
  <c r="HC5" i="10"/>
  <c r="HB5" i="10"/>
  <c r="HF4" i="10"/>
  <c r="HD4" i="10"/>
  <c r="HC4" i="10"/>
  <c r="HB4" i="10"/>
  <c r="GK15" i="10"/>
  <c r="GI15" i="10"/>
  <c r="GH15" i="10"/>
  <c r="GG15" i="10"/>
  <c r="GK14" i="10"/>
  <c r="GI14" i="10"/>
  <c r="GH14" i="10"/>
  <c r="GG14" i="10"/>
  <c r="GK13" i="10"/>
  <c r="GI13" i="10"/>
  <c r="GH13" i="10"/>
  <c r="GG13" i="10"/>
  <c r="GK12" i="10"/>
  <c r="GI12" i="10"/>
  <c r="GH12" i="10"/>
  <c r="GG12" i="10"/>
  <c r="GK11" i="10"/>
  <c r="GI11" i="10"/>
  <c r="GH11" i="10"/>
  <c r="GG11" i="10"/>
  <c r="GK10" i="10"/>
  <c r="GI10" i="10"/>
  <c r="GH10" i="10"/>
  <c r="GG10" i="10"/>
  <c r="GK9" i="10"/>
  <c r="GI9" i="10"/>
  <c r="GH9" i="10"/>
  <c r="GG9" i="10"/>
  <c r="GK8" i="10"/>
  <c r="GI8" i="10"/>
  <c r="GH8" i="10"/>
  <c r="GG8" i="10"/>
  <c r="GK16" i="10"/>
  <c r="GI16" i="10"/>
  <c r="GH16" i="10"/>
  <c r="GG16" i="10"/>
  <c r="GK6" i="10"/>
  <c r="GI6" i="10"/>
  <c r="GH6" i="10"/>
  <c r="GG6" i="10"/>
  <c r="GK5" i="10"/>
  <c r="GI5" i="10"/>
  <c r="GH5" i="10"/>
  <c r="GG5" i="10"/>
  <c r="GK4" i="10"/>
  <c r="GI4" i="10"/>
  <c r="GH4" i="10"/>
  <c r="GG4" i="10"/>
  <c r="FP15" i="10"/>
  <c r="FN15" i="10"/>
  <c r="FM15" i="10"/>
  <c r="FL15" i="10"/>
  <c r="FP14" i="10"/>
  <c r="FN14" i="10"/>
  <c r="FM14" i="10"/>
  <c r="FL14" i="10"/>
  <c r="FP13" i="10"/>
  <c r="FN13" i="10"/>
  <c r="FM13" i="10"/>
  <c r="FL13" i="10"/>
  <c r="FP12" i="10"/>
  <c r="FN12" i="10"/>
  <c r="FM12" i="10"/>
  <c r="FL12" i="10"/>
  <c r="FP11" i="10"/>
  <c r="FN11" i="10"/>
  <c r="FM11" i="10"/>
  <c r="FL11" i="10"/>
  <c r="FP10" i="10"/>
  <c r="FN10" i="10"/>
  <c r="FM10" i="10"/>
  <c r="FL10" i="10"/>
  <c r="FP9" i="10"/>
  <c r="FN9" i="10"/>
  <c r="FM9" i="10"/>
  <c r="FL9" i="10"/>
  <c r="FP8" i="10"/>
  <c r="FN8" i="10"/>
  <c r="FM8" i="10"/>
  <c r="FL8" i="10"/>
  <c r="FP16" i="10"/>
  <c r="FN16" i="10"/>
  <c r="FM16" i="10"/>
  <c r="FL16" i="10"/>
  <c r="FP6" i="10"/>
  <c r="FN6" i="10"/>
  <c r="FM6" i="10"/>
  <c r="FL6" i="10"/>
  <c r="FP5" i="10"/>
  <c r="FN5" i="10"/>
  <c r="FM5" i="10"/>
  <c r="FL5" i="10"/>
  <c r="FP4" i="10"/>
  <c r="FN4" i="10"/>
  <c r="FM4" i="10"/>
  <c r="FL4" i="10"/>
  <c r="EU15" i="10"/>
  <c r="ES15" i="10"/>
  <c r="ER15" i="10"/>
  <c r="EQ15" i="10"/>
  <c r="EU14" i="10"/>
  <c r="ES14" i="10"/>
  <c r="ER14" i="10"/>
  <c r="EQ14" i="10"/>
  <c r="EU13" i="10"/>
  <c r="ES13" i="10"/>
  <c r="ER13" i="10"/>
  <c r="EQ13" i="10"/>
  <c r="EU12" i="10"/>
  <c r="ES12" i="10"/>
  <c r="ER12" i="10"/>
  <c r="EQ12" i="10"/>
  <c r="EU11" i="10"/>
  <c r="ES11" i="10"/>
  <c r="ER11" i="10"/>
  <c r="EQ11" i="10"/>
  <c r="EU10" i="10"/>
  <c r="ES10" i="10"/>
  <c r="ER10" i="10"/>
  <c r="EQ10" i="10"/>
  <c r="EU9" i="10"/>
  <c r="ES9" i="10"/>
  <c r="ER9" i="10"/>
  <c r="EQ9" i="10"/>
  <c r="EU8" i="10"/>
  <c r="ES8" i="10"/>
  <c r="ER8" i="10"/>
  <c r="EQ8" i="10"/>
  <c r="EU16" i="10"/>
  <c r="ES16" i="10"/>
  <c r="ER16" i="10"/>
  <c r="EQ16" i="10"/>
  <c r="EU6" i="10"/>
  <c r="ES6" i="10"/>
  <c r="ER6" i="10"/>
  <c r="EQ6" i="10"/>
  <c r="EU5" i="10"/>
  <c r="ES5" i="10"/>
  <c r="ER5" i="10"/>
  <c r="EQ5" i="10"/>
  <c r="EU4" i="10"/>
  <c r="ES4" i="10"/>
  <c r="ER4" i="10"/>
  <c r="EQ4" i="10"/>
  <c r="DZ15" i="10"/>
  <c r="DX15" i="10"/>
  <c r="DW15" i="10"/>
  <c r="DV15" i="10"/>
  <c r="DZ14" i="10"/>
  <c r="DX14" i="10"/>
  <c r="DW14" i="10"/>
  <c r="DV14" i="10"/>
  <c r="DZ13" i="10"/>
  <c r="DX13" i="10"/>
  <c r="DW13" i="10"/>
  <c r="DV13" i="10"/>
  <c r="DZ12" i="10"/>
  <c r="DX12" i="10"/>
  <c r="DW12" i="10"/>
  <c r="DV12" i="10"/>
  <c r="DZ11" i="10"/>
  <c r="DX11" i="10"/>
  <c r="DW11" i="10"/>
  <c r="DV11" i="10"/>
  <c r="DZ10" i="10"/>
  <c r="DX10" i="10"/>
  <c r="DW10" i="10"/>
  <c r="DV10" i="10"/>
  <c r="DZ9" i="10"/>
  <c r="DX9" i="10"/>
  <c r="DW9" i="10"/>
  <c r="DV9" i="10"/>
  <c r="DZ8" i="10"/>
  <c r="DX8" i="10"/>
  <c r="DW8" i="10"/>
  <c r="DV8" i="10"/>
  <c r="DZ16" i="10"/>
  <c r="DX16" i="10"/>
  <c r="DW16" i="10"/>
  <c r="DV16" i="10"/>
  <c r="DZ6" i="10"/>
  <c r="DX6" i="10"/>
  <c r="DW6" i="10"/>
  <c r="DV6" i="10"/>
  <c r="DZ5" i="10"/>
  <c r="DX5" i="10"/>
  <c r="DW5" i="10"/>
  <c r="DV5" i="10"/>
  <c r="DZ4" i="10"/>
  <c r="DX4" i="10"/>
  <c r="DW4" i="10"/>
  <c r="DV4" i="10"/>
  <c r="DE15" i="10"/>
  <c r="DC15" i="10"/>
  <c r="DB15" i="10"/>
  <c r="DA15" i="10"/>
  <c r="DE14" i="10"/>
  <c r="DC14" i="10"/>
  <c r="DB14" i="10"/>
  <c r="DA14" i="10"/>
  <c r="DE13" i="10"/>
  <c r="DC13" i="10"/>
  <c r="DB13" i="10"/>
  <c r="DA13" i="10"/>
  <c r="DE12" i="10"/>
  <c r="DC12" i="10"/>
  <c r="DB12" i="10"/>
  <c r="DA12" i="10"/>
  <c r="DE11" i="10"/>
  <c r="DC11" i="10"/>
  <c r="DB11" i="10"/>
  <c r="DA11" i="10"/>
  <c r="DE10" i="10"/>
  <c r="DC10" i="10"/>
  <c r="DB10" i="10"/>
  <c r="DA10" i="10"/>
  <c r="DE9" i="10"/>
  <c r="DC9" i="10"/>
  <c r="DB9" i="10"/>
  <c r="DA9" i="10"/>
  <c r="DE8" i="10"/>
  <c r="DC8" i="10"/>
  <c r="DB8" i="10"/>
  <c r="DA8" i="10"/>
  <c r="DE16" i="10"/>
  <c r="DC16" i="10"/>
  <c r="DB16" i="10"/>
  <c r="DA16" i="10"/>
  <c r="DE6" i="10"/>
  <c r="DC6" i="10"/>
  <c r="DB6" i="10"/>
  <c r="DA6" i="10"/>
  <c r="DE5" i="10"/>
  <c r="DC5" i="10"/>
  <c r="DB5" i="10"/>
  <c r="DA5" i="10"/>
  <c r="DE4" i="10"/>
  <c r="DC4" i="10"/>
  <c r="DB4" i="10"/>
  <c r="DA4" i="10"/>
  <c r="CJ15" i="10"/>
  <c r="CH15" i="10"/>
  <c r="CG15" i="10"/>
  <c r="CF15" i="10"/>
  <c r="CJ14" i="10"/>
  <c r="CH14" i="10"/>
  <c r="CG14" i="10"/>
  <c r="CF14" i="10"/>
  <c r="CJ13" i="10"/>
  <c r="CH13" i="10"/>
  <c r="CG13" i="10"/>
  <c r="CF13" i="10"/>
  <c r="CJ12" i="10"/>
  <c r="CH12" i="10"/>
  <c r="CG12" i="10"/>
  <c r="CF12" i="10"/>
  <c r="CJ11" i="10"/>
  <c r="CH11" i="10"/>
  <c r="CG11" i="10"/>
  <c r="CF11" i="10"/>
  <c r="CJ10" i="10"/>
  <c r="CH10" i="10"/>
  <c r="CG10" i="10"/>
  <c r="CF10" i="10"/>
  <c r="CJ9" i="10"/>
  <c r="CH9" i="10"/>
  <c r="CG9" i="10"/>
  <c r="CF9" i="10"/>
  <c r="CJ8" i="10"/>
  <c r="CH8" i="10"/>
  <c r="CG8" i="10"/>
  <c r="CF8" i="10"/>
  <c r="CJ16" i="10"/>
  <c r="CH16" i="10"/>
  <c r="CG16" i="10"/>
  <c r="CF16" i="10"/>
  <c r="CJ6" i="10"/>
  <c r="CH6" i="10"/>
  <c r="CG6" i="10"/>
  <c r="CF6" i="10"/>
  <c r="CJ5" i="10"/>
  <c r="CH5" i="10"/>
  <c r="CG5" i="10"/>
  <c r="CF5" i="10"/>
  <c r="CJ4" i="10"/>
  <c r="CH4" i="10"/>
  <c r="CG4" i="10"/>
  <c r="CF4" i="10"/>
  <c r="KL18" i="9"/>
  <c r="KJ18" i="9"/>
  <c r="KI18" i="9"/>
  <c r="KH18" i="9"/>
  <c r="KL17" i="9"/>
  <c r="KJ17" i="9"/>
  <c r="KI17" i="9"/>
  <c r="KH17" i="9"/>
  <c r="KL16" i="9"/>
  <c r="KJ16" i="9"/>
  <c r="KI16" i="9"/>
  <c r="KH16" i="9"/>
  <c r="KL15" i="9"/>
  <c r="KJ15" i="9"/>
  <c r="KI15" i="9"/>
  <c r="KH15" i="9"/>
  <c r="KL19" i="9"/>
  <c r="KJ19" i="9"/>
  <c r="KI19" i="9"/>
  <c r="KK19" i="9" s="1"/>
  <c r="KH19" i="9"/>
  <c r="KL13" i="9"/>
  <c r="KJ13" i="9"/>
  <c r="KI13" i="9"/>
  <c r="KH13" i="9"/>
  <c r="KL14" i="9"/>
  <c r="KJ14" i="9"/>
  <c r="KI14" i="9"/>
  <c r="KK14" i="9" s="1"/>
  <c r="KM14" i="9" s="1"/>
  <c r="KH14" i="9"/>
  <c r="KL12" i="9"/>
  <c r="KJ12" i="9"/>
  <c r="KI12" i="9"/>
  <c r="KH12" i="9"/>
  <c r="KL11" i="9"/>
  <c r="KJ11" i="9"/>
  <c r="KI11" i="9"/>
  <c r="KK11" i="9" s="1"/>
  <c r="KM11" i="9" s="1"/>
  <c r="KH11" i="9"/>
  <c r="KL10" i="9"/>
  <c r="KJ10" i="9"/>
  <c r="KI10" i="9"/>
  <c r="KH10" i="9"/>
  <c r="KL9" i="9"/>
  <c r="KJ9" i="9"/>
  <c r="KI9" i="9"/>
  <c r="KH9" i="9"/>
  <c r="KL8" i="9"/>
  <c r="KJ8" i="9"/>
  <c r="KI8" i="9"/>
  <c r="KH8" i="9"/>
  <c r="KL7" i="9"/>
  <c r="KJ7" i="9"/>
  <c r="KI7" i="9"/>
  <c r="KK7" i="9" s="1"/>
  <c r="KH7" i="9"/>
  <c r="KL6" i="9"/>
  <c r="KJ6" i="9"/>
  <c r="KI6" i="9"/>
  <c r="KH6" i="9"/>
  <c r="KL5" i="9"/>
  <c r="KJ5" i="9"/>
  <c r="KI5" i="9"/>
  <c r="KK5" i="9" s="1"/>
  <c r="KH5" i="9"/>
  <c r="KL4" i="9"/>
  <c r="KJ4" i="9"/>
  <c r="KI4" i="9"/>
  <c r="KH4" i="9"/>
  <c r="JQ18" i="9"/>
  <c r="JO18" i="9"/>
  <c r="JN18" i="9"/>
  <c r="JM18" i="9"/>
  <c r="JQ17" i="9"/>
  <c r="JO17" i="9"/>
  <c r="JN17" i="9"/>
  <c r="JM17" i="9"/>
  <c r="JQ16" i="9"/>
  <c r="JO16" i="9"/>
  <c r="JN16" i="9"/>
  <c r="JM16" i="9"/>
  <c r="JQ15" i="9"/>
  <c r="JO15" i="9"/>
  <c r="JN15" i="9"/>
  <c r="JM15" i="9"/>
  <c r="JQ19" i="9"/>
  <c r="JO19" i="9"/>
  <c r="JN19" i="9"/>
  <c r="JM19" i="9"/>
  <c r="JQ13" i="9"/>
  <c r="JO13" i="9"/>
  <c r="JN13" i="9"/>
  <c r="JM13" i="9"/>
  <c r="JQ14" i="9"/>
  <c r="JO14" i="9"/>
  <c r="JN14" i="9"/>
  <c r="JM14" i="9"/>
  <c r="JQ12" i="9"/>
  <c r="JO12" i="9"/>
  <c r="JN12" i="9"/>
  <c r="JM12" i="9"/>
  <c r="JQ11" i="9"/>
  <c r="JO11" i="9"/>
  <c r="JN11" i="9"/>
  <c r="JM11" i="9"/>
  <c r="JQ10" i="9"/>
  <c r="JO10" i="9"/>
  <c r="JN10" i="9"/>
  <c r="JM10" i="9"/>
  <c r="JQ9" i="9"/>
  <c r="JO9" i="9"/>
  <c r="JN9" i="9"/>
  <c r="JM9" i="9"/>
  <c r="JQ8" i="9"/>
  <c r="JO8" i="9"/>
  <c r="JN8" i="9"/>
  <c r="JM8" i="9"/>
  <c r="JQ7" i="9"/>
  <c r="JO7" i="9"/>
  <c r="JN7" i="9"/>
  <c r="JM7" i="9"/>
  <c r="JQ6" i="9"/>
  <c r="JO6" i="9"/>
  <c r="JN6" i="9"/>
  <c r="JM6" i="9"/>
  <c r="JQ5" i="9"/>
  <c r="JO5" i="9"/>
  <c r="JN5" i="9"/>
  <c r="JM5" i="9"/>
  <c r="JQ4" i="9"/>
  <c r="JO4" i="9"/>
  <c r="JN4" i="9"/>
  <c r="JM4" i="9"/>
  <c r="IV18" i="9"/>
  <c r="IT18" i="9"/>
  <c r="IS18" i="9"/>
  <c r="IR18" i="9"/>
  <c r="IV17" i="9"/>
  <c r="IT17" i="9"/>
  <c r="IS17" i="9"/>
  <c r="IR17" i="9"/>
  <c r="IV16" i="9"/>
  <c r="IT16" i="9"/>
  <c r="IS16" i="9"/>
  <c r="IR16" i="9"/>
  <c r="IV15" i="9"/>
  <c r="IT15" i="9"/>
  <c r="IS15" i="9"/>
  <c r="IR15" i="9"/>
  <c r="IV19" i="9"/>
  <c r="IT19" i="9"/>
  <c r="IS19" i="9"/>
  <c r="IR19" i="9"/>
  <c r="IV13" i="9"/>
  <c r="IT13" i="9"/>
  <c r="IS13" i="9"/>
  <c r="IR13" i="9"/>
  <c r="IV14" i="9"/>
  <c r="IT14" i="9"/>
  <c r="IS14" i="9"/>
  <c r="IR14" i="9"/>
  <c r="IV12" i="9"/>
  <c r="IT12" i="9"/>
  <c r="IS12" i="9"/>
  <c r="IR12" i="9"/>
  <c r="IV11" i="9"/>
  <c r="IT11" i="9"/>
  <c r="IS11" i="9"/>
  <c r="IR11" i="9"/>
  <c r="IV10" i="9"/>
  <c r="IT10" i="9"/>
  <c r="IS10" i="9"/>
  <c r="IR10" i="9"/>
  <c r="IV9" i="9"/>
  <c r="IT9" i="9"/>
  <c r="IS9" i="9"/>
  <c r="IR9" i="9"/>
  <c r="IV8" i="9"/>
  <c r="IT8" i="9"/>
  <c r="IS8" i="9"/>
  <c r="IR8" i="9"/>
  <c r="IV7" i="9"/>
  <c r="IT7" i="9"/>
  <c r="IS7" i="9"/>
  <c r="IR7" i="9"/>
  <c r="IV6" i="9"/>
  <c r="IT6" i="9"/>
  <c r="IS6" i="9"/>
  <c r="IR6" i="9"/>
  <c r="IV5" i="9"/>
  <c r="IT5" i="9"/>
  <c r="IS5" i="9"/>
  <c r="IR5" i="9"/>
  <c r="IV4" i="9"/>
  <c r="IT4" i="9"/>
  <c r="IS4" i="9"/>
  <c r="IR4" i="9"/>
  <c r="IA18" i="9"/>
  <c r="HY18" i="9"/>
  <c r="HX18" i="9"/>
  <c r="HW18" i="9"/>
  <c r="IA17" i="9"/>
  <c r="HY17" i="9"/>
  <c r="HX17" i="9"/>
  <c r="HW17" i="9"/>
  <c r="IA16" i="9"/>
  <c r="HY16" i="9"/>
  <c r="HX16" i="9"/>
  <c r="HW16" i="9"/>
  <c r="IA15" i="9"/>
  <c r="HY15" i="9"/>
  <c r="HX15" i="9"/>
  <c r="HW15" i="9"/>
  <c r="IA19" i="9"/>
  <c r="HY19" i="9"/>
  <c r="HX19" i="9"/>
  <c r="HW19" i="9"/>
  <c r="IA13" i="9"/>
  <c r="HY13" i="9"/>
  <c r="HX13" i="9"/>
  <c r="HW13" i="9"/>
  <c r="IA14" i="9"/>
  <c r="HY14" i="9"/>
  <c r="HX14" i="9"/>
  <c r="HW14" i="9"/>
  <c r="IA12" i="9"/>
  <c r="HY12" i="9"/>
  <c r="HX12" i="9"/>
  <c r="HW12" i="9"/>
  <c r="IA11" i="9"/>
  <c r="HY11" i="9"/>
  <c r="HX11" i="9"/>
  <c r="HW11" i="9"/>
  <c r="IA10" i="9"/>
  <c r="HY10" i="9"/>
  <c r="HX10" i="9"/>
  <c r="HW10" i="9"/>
  <c r="IA9" i="9"/>
  <c r="HY9" i="9"/>
  <c r="HX9" i="9"/>
  <c r="HW9" i="9"/>
  <c r="IA8" i="9"/>
  <c r="HY8" i="9"/>
  <c r="HX8" i="9"/>
  <c r="HW8" i="9"/>
  <c r="IA7" i="9"/>
  <c r="HY7" i="9"/>
  <c r="HX7" i="9"/>
  <c r="HW7" i="9"/>
  <c r="IA6" i="9"/>
  <c r="HY6" i="9"/>
  <c r="HX6" i="9"/>
  <c r="HW6" i="9"/>
  <c r="IA5" i="9"/>
  <c r="HY5" i="9"/>
  <c r="HX5" i="9"/>
  <c r="HW5" i="9"/>
  <c r="IA4" i="9"/>
  <c r="HY4" i="9"/>
  <c r="HX4" i="9"/>
  <c r="HW4" i="9"/>
  <c r="HF18" i="9"/>
  <c r="HD18" i="9"/>
  <c r="HC18" i="9"/>
  <c r="HB18" i="9"/>
  <c r="HF17" i="9"/>
  <c r="HD17" i="9"/>
  <c r="HC17" i="9"/>
  <c r="HB17" i="9"/>
  <c r="HF16" i="9"/>
  <c r="HD16" i="9"/>
  <c r="HC16" i="9"/>
  <c r="HB16" i="9"/>
  <c r="HF15" i="9"/>
  <c r="HD15" i="9"/>
  <c r="HC15" i="9"/>
  <c r="HB15" i="9"/>
  <c r="HF19" i="9"/>
  <c r="HD19" i="9"/>
  <c r="HC19" i="9"/>
  <c r="HB19" i="9"/>
  <c r="HF13" i="9"/>
  <c r="HD13" i="9"/>
  <c r="HC13" i="9"/>
  <c r="HB13" i="9"/>
  <c r="HF14" i="9"/>
  <c r="HD14" i="9"/>
  <c r="HC14" i="9"/>
  <c r="HB14" i="9"/>
  <c r="HF12" i="9"/>
  <c r="HD12" i="9"/>
  <c r="HC12" i="9"/>
  <c r="HB12" i="9"/>
  <c r="HF11" i="9"/>
  <c r="HD11" i="9"/>
  <c r="HC11" i="9"/>
  <c r="HB11" i="9"/>
  <c r="HF10" i="9"/>
  <c r="HD10" i="9"/>
  <c r="HC10" i="9"/>
  <c r="HB10" i="9"/>
  <c r="HF9" i="9"/>
  <c r="HD9" i="9"/>
  <c r="HC9" i="9"/>
  <c r="HB9" i="9"/>
  <c r="HF8" i="9"/>
  <c r="HD8" i="9"/>
  <c r="HC8" i="9"/>
  <c r="HB8" i="9"/>
  <c r="HF7" i="9"/>
  <c r="HD7" i="9"/>
  <c r="HC7" i="9"/>
  <c r="HE7" i="9" s="1"/>
  <c r="HB7" i="9"/>
  <c r="HF6" i="9"/>
  <c r="HD6" i="9"/>
  <c r="HC6" i="9"/>
  <c r="HB6" i="9"/>
  <c r="HF5" i="9"/>
  <c r="HD5" i="9"/>
  <c r="HC5" i="9"/>
  <c r="HB5" i="9"/>
  <c r="HF4" i="9"/>
  <c r="HD4" i="9"/>
  <c r="HC4" i="9"/>
  <c r="HB4" i="9"/>
  <c r="GK18" i="9"/>
  <c r="GI18" i="9"/>
  <c r="GH18" i="9"/>
  <c r="GJ18" i="9" s="1"/>
  <c r="GL18" i="9" s="1"/>
  <c r="GG18" i="9"/>
  <c r="GK17" i="9"/>
  <c r="GI17" i="9"/>
  <c r="GH17" i="9"/>
  <c r="GG17" i="9"/>
  <c r="GK16" i="9"/>
  <c r="GI16" i="9"/>
  <c r="GH16" i="9"/>
  <c r="GG16" i="9"/>
  <c r="GK15" i="9"/>
  <c r="GI15" i="9"/>
  <c r="GH15" i="9"/>
  <c r="GG15" i="9"/>
  <c r="GK19" i="9"/>
  <c r="GI19" i="9"/>
  <c r="GH19" i="9"/>
  <c r="GJ19" i="9" s="1"/>
  <c r="GL19" i="9" s="1"/>
  <c r="GG19" i="9"/>
  <c r="GK13" i="9"/>
  <c r="GI13" i="9"/>
  <c r="GH13" i="9"/>
  <c r="GG13" i="9"/>
  <c r="GK14" i="9"/>
  <c r="GI14" i="9"/>
  <c r="GH14" i="9"/>
  <c r="GG14" i="9"/>
  <c r="GK12" i="9"/>
  <c r="GI12" i="9"/>
  <c r="GH12" i="9"/>
  <c r="GG12" i="9"/>
  <c r="GK11" i="9"/>
  <c r="GI11" i="9"/>
  <c r="GH11" i="9"/>
  <c r="GJ11" i="9" s="1"/>
  <c r="GL11" i="9" s="1"/>
  <c r="GG11" i="9"/>
  <c r="GK10" i="9"/>
  <c r="GI10" i="9"/>
  <c r="GH10" i="9"/>
  <c r="GG10" i="9"/>
  <c r="GK9" i="9"/>
  <c r="GI9" i="9"/>
  <c r="GH9" i="9"/>
  <c r="GG9" i="9"/>
  <c r="GK8" i="9"/>
  <c r="GI8" i="9"/>
  <c r="GH8" i="9"/>
  <c r="GG8" i="9"/>
  <c r="GK7" i="9"/>
  <c r="GI7" i="9"/>
  <c r="GH7" i="9"/>
  <c r="GJ7" i="9" s="1"/>
  <c r="GL7" i="9" s="1"/>
  <c r="GG7" i="9"/>
  <c r="GK6" i="9"/>
  <c r="GI6" i="9"/>
  <c r="GH6" i="9"/>
  <c r="GG6" i="9"/>
  <c r="GK5" i="9"/>
  <c r="GI5" i="9"/>
  <c r="GH5" i="9"/>
  <c r="GG5" i="9"/>
  <c r="GK4" i="9"/>
  <c r="GI4" i="9"/>
  <c r="GH4" i="9"/>
  <c r="GG4" i="9"/>
  <c r="FP18" i="9"/>
  <c r="FN18" i="9"/>
  <c r="FM18" i="9"/>
  <c r="FO18" i="9" s="1"/>
  <c r="FQ18" i="9" s="1"/>
  <c r="FL18" i="9"/>
  <c r="FP17" i="9"/>
  <c r="FN17" i="9"/>
  <c r="FM17" i="9"/>
  <c r="FL17" i="9"/>
  <c r="FP16" i="9"/>
  <c r="FN16" i="9"/>
  <c r="FM16" i="9"/>
  <c r="FL16" i="9"/>
  <c r="FP15" i="9"/>
  <c r="FN15" i="9"/>
  <c r="FM15" i="9"/>
  <c r="FL15" i="9"/>
  <c r="FP19" i="9"/>
  <c r="FN19" i="9"/>
  <c r="FM19" i="9"/>
  <c r="FO19" i="9" s="1"/>
  <c r="FQ19" i="9" s="1"/>
  <c r="FL19" i="9"/>
  <c r="FP13" i="9"/>
  <c r="FN13" i="9"/>
  <c r="FM13" i="9"/>
  <c r="FL13" i="9"/>
  <c r="FP14" i="9"/>
  <c r="FN14" i="9"/>
  <c r="FM14" i="9"/>
  <c r="FL14" i="9"/>
  <c r="FP12" i="9"/>
  <c r="FN12" i="9"/>
  <c r="FM12" i="9"/>
  <c r="FL12" i="9"/>
  <c r="FP11" i="9"/>
  <c r="FN11" i="9"/>
  <c r="FM11" i="9"/>
  <c r="FO11" i="9" s="1"/>
  <c r="FQ11" i="9" s="1"/>
  <c r="FL11" i="9"/>
  <c r="FP10" i="9"/>
  <c r="FN10" i="9"/>
  <c r="FM10" i="9"/>
  <c r="FL10" i="9"/>
  <c r="FP9" i="9"/>
  <c r="FN9" i="9"/>
  <c r="FM9" i="9"/>
  <c r="FL9" i="9"/>
  <c r="FP8" i="9"/>
  <c r="FN8" i="9"/>
  <c r="FM8" i="9"/>
  <c r="FL8" i="9"/>
  <c r="FP7" i="9"/>
  <c r="FN7" i="9"/>
  <c r="FM7" i="9"/>
  <c r="FO7" i="9" s="1"/>
  <c r="FQ7" i="9" s="1"/>
  <c r="FL7" i="9"/>
  <c r="FP6" i="9"/>
  <c r="FN6" i="9"/>
  <c r="FM6" i="9"/>
  <c r="FL6" i="9"/>
  <c r="FP5" i="9"/>
  <c r="FN5" i="9"/>
  <c r="FM5" i="9"/>
  <c r="FL5" i="9"/>
  <c r="FP4" i="9"/>
  <c r="FN4" i="9"/>
  <c r="FM4" i="9"/>
  <c r="FL4" i="9"/>
  <c r="EU18" i="9"/>
  <c r="ES18" i="9"/>
  <c r="ER18" i="9"/>
  <c r="EQ18" i="9"/>
  <c r="EU17" i="9"/>
  <c r="ES17" i="9"/>
  <c r="ER17" i="9"/>
  <c r="EQ17" i="9"/>
  <c r="EU16" i="9"/>
  <c r="ES16" i="9"/>
  <c r="ER16" i="9"/>
  <c r="EQ16" i="9"/>
  <c r="EU15" i="9"/>
  <c r="ES15" i="9"/>
  <c r="ER15" i="9"/>
  <c r="EQ15" i="9"/>
  <c r="EU19" i="9"/>
  <c r="ES19" i="9"/>
  <c r="ER19" i="9"/>
  <c r="ET19" i="9" s="1"/>
  <c r="EV19" i="9" s="1"/>
  <c r="EQ19" i="9"/>
  <c r="EU13" i="9"/>
  <c r="ES13" i="9"/>
  <c r="ER13" i="9"/>
  <c r="EQ13" i="9"/>
  <c r="EU14" i="9"/>
  <c r="ES14" i="9"/>
  <c r="ER14" i="9"/>
  <c r="EQ14" i="9"/>
  <c r="EU12" i="9"/>
  <c r="ES12" i="9"/>
  <c r="ER12" i="9"/>
  <c r="EQ12" i="9"/>
  <c r="EU11" i="9"/>
  <c r="ES11" i="9"/>
  <c r="ER11" i="9"/>
  <c r="ET11" i="9" s="1"/>
  <c r="EQ11" i="9"/>
  <c r="EU10" i="9"/>
  <c r="ES10" i="9"/>
  <c r="ER10" i="9"/>
  <c r="EQ10" i="9"/>
  <c r="EU9" i="9"/>
  <c r="ES9" i="9"/>
  <c r="ER9" i="9"/>
  <c r="EQ9" i="9"/>
  <c r="EU8" i="9"/>
  <c r="ES8" i="9"/>
  <c r="ER8" i="9"/>
  <c r="EQ8" i="9"/>
  <c r="EU7" i="9"/>
  <c r="ES7" i="9"/>
  <c r="ER7" i="9"/>
  <c r="ET7" i="9" s="1"/>
  <c r="EV7" i="9" s="1"/>
  <c r="EQ7" i="9"/>
  <c r="EU6" i="9"/>
  <c r="ES6" i="9"/>
  <c r="ER6" i="9"/>
  <c r="EQ6" i="9"/>
  <c r="EU5" i="9"/>
  <c r="ES5" i="9"/>
  <c r="ER5" i="9"/>
  <c r="EQ5" i="9"/>
  <c r="EU4" i="9"/>
  <c r="ES4" i="9"/>
  <c r="ER4" i="9"/>
  <c r="EQ4" i="9"/>
  <c r="DZ18" i="9"/>
  <c r="DX18" i="9"/>
  <c r="DW18" i="9"/>
  <c r="DY18" i="9" s="1"/>
  <c r="EA18" i="9" s="1"/>
  <c r="DV18" i="9"/>
  <c r="DZ17" i="9"/>
  <c r="DX17" i="9"/>
  <c r="DW17" i="9"/>
  <c r="DV17" i="9"/>
  <c r="DZ16" i="9"/>
  <c r="DX16" i="9"/>
  <c r="DW16" i="9"/>
  <c r="DV16" i="9"/>
  <c r="DZ15" i="9"/>
  <c r="DX15" i="9"/>
  <c r="DW15" i="9"/>
  <c r="DV15" i="9"/>
  <c r="DZ19" i="9"/>
  <c r="DX19" i="9"/>
  <c r="DW19" i="9"/>
  <c r="DY19" i="9" s="1"/>
  <c r="EA19" i="9" s="1"/>
  <c r="DV19" i="9"/>
  <c r="DZ13" i="9"/>
  <c r="DX13" i="9"/>
  <c r="DW13" i="9"/>
  <c r="DV13" i="9"/>
  <c r="DZ14" i="9"/>
  <c r="DX14" i="9"/>
  <c r="DW14" i="9"/>
  <c r="DV14" i="9"/>
  <c r="DZ12" i="9"/>
  <c r="DX12" i="9"/>
  <c r="DW12" i="9"/>
  <c r="DV12" i="9"/>
  <c r="DZ11" i="9"/>
  <c r="DX11" i="9"/>
  <c r="DW11" i="9"/>
  <c r="DY11" i="9" s="1"/>
  <c r="EA11" i="9" s="1"/>
  <c r="DV11" i="9"/>
  <c r="DZ10" i="9"/>
  <c r="DX10" i="9"/>
  <c r="DW10" i="9"/>
  <c r="DV10" i="9"/>
  <c r="DZ9" i="9"/>
  <c r="DX9" i="9"/>
  <c r="DW9" i="9"/>
  <c r="DV9" i="9"/>
  <c r="DZ8" i="9"/>
  <c r="DX8" i="9"/>
  <c r="DW8" i="9"/>
  <c r="DV8" i="9"/>
  <c r="DZ7" i="9"/>
  <c r="DX7" i="9"/>
  <c r="DW7" i="9"/>
  <c r="DY7" i="9" s="1"/>
  <c r="EA7" i="9" s="1"/>
  <c r="DV7" i="9"/>
  <c r="DZ6" i="9"/>
  <c r="DX6" i="9"/>
  <c r="DW6" i="9"/>
  <c r="DV6" i="9"/>
  <c r="DZ5" i="9"/>
  <c r="DX5" i="9"/>
  <c r="DW5" i="9"/>
  <c r="DV5" i="9"/>
  <c r="DZ4" i="9"/>
  <c r="DX4" i="9"/>
  <c r="DW4" i="9"/>
  <c r="DV4" i="9"/>
  <c r="DE18" i="9"/>
  <c r="DC18" i="9"/>
  <c r="DB18" i="9"/>
  <c r="DD18" i="9" s="1"/>
  <c r="DF18" i="9" s="1"/>
  <c r="DA18" i="9"/>
  <c r="DE17" i="9"/>
  <c r="DC17" i="9"/>
  <c r="DB17" i="9"/>
  <c r="DA17" i="9"/>
  <c r="DE16" i="9"/>
  <c r="DC16" i="9"/>
  <c r="DB16" i="9"/>
  <c r="DA16" i="9"/>
  <c r="DE15" i="9"/>
  <c r="DC15" i="9"/>
  <c r="DB15" i="9"/>
  <c r="DA15" i="9"/>
  <c r="DE19" i="9"/>
  <c r="DC19" i="9"/>
  <c r="DB19" i="9"/>
  <c r="DD19" i="9" s="1"/>
  <c r="DF19" i="9" s="1"/>
  <c r="DA19" i="9"/>
  <c r="DE13" i="9"/>
  <c r="DC13" i="9"/>
  <c r="DB13" i="9"/>
  <c r="DA13" i="9"/>
  <c r="DE14" i="9"/>
  <c r="DC14" i="9"/>
  <c r="DB14" i="9"/>
  <c r="DA14" i="9"/>
  <c r="DE12" i="9"/>
  <c r="DC12" i="9"/>
  <c r="DB12" i="9"/>
  <c r="DA12" i="9"/>
  <c r="DE11" i="9"/>
  <c r="DC11" i="9"/>
  <c r="DB11" i="9"/>
  <c r="DD11" i="9" s="1"/>
  <c r="DF11" i="9" s="1"/>
  <c r="DA11" i="9"/>
  <c r="DE10" i="9"/>
  <c r="DC10" i="9"/>
  <c r="DB10" i="9"/>
  <c r="DA10" i="9"/>
  <c r="DE9" i="9"/>
  <c r="DC9" i="9"/>
  <c r="DB9" i="9"/>
  <c r="DA9" i="9"/>
  <c r="DE8" i="9"/>
  <c r="DC8" i="9"/>
  <c r="DB8" i="9"/>
  <c r="DA8" i="9"/>
  <c r="DE7" i="9"/>
  <c r="DC7" i="9"/>
  <c r="DB7" i="9"/>
  <c r="DD7" i="9" s="1"/>
  <c r="DF7" i="9" s="1"/>
  <c r="DA7" i="9"/>
  <c r="DE6" i="9"/>
  <c r="DC6" i="9"/>
  <c r="DB6" i="9"/>
  <c r="DA6" i="9"/>
  <c r="DE5" i="9"/>
  <c r="DC5" i="9"/>
  <c r="DB5" i="9"/>
  <c r="DA5" i="9"/>
  <c r="DE4" i="9"/>
  <c r="DC4" i="9"/>
  <c r="DB4" i="9"/>
  <c r="DA4" i="9"/>
  <c r="CJ18" i="9"/>
  <c r="CH18" i="9"/>
  <c r="CG18" i="9"/>
  <c r="CI18" i="9" s="1"/>
  <c r="CK18" i="9" s="1"/>
  <c r="CF18" i="9"/>
  <c r="CJ17" i="9"/>
  <c r="CH17" i="9"/>
  <c r="CG17" i="9"/>
  <c r="CF17" i="9"/>
  <c r="CJ16" i="9"/>
  <c r="CH16" i="9"/>
  <c r="CG16" i="9"/>
  <c r="CF16" i="9"/>
  <c r="CJ15" i="9"/>
  <c r="CH15" i="9"/>
  <c r="CG15" i="9"/>
  <c r="CF15" i="9"/>
  <c r="CJ19" i="9"/>
  <c r="CH19" i="9"/>
  <c r="CG19" i="9"/>
  <c r="CI19" i="9" s="1"/>
  <c r="CK19" i="9" s="1"/>
  <c r="CF19" i="9"/>
  <c r="CJ13" i="9"/>
  <c r="CH13" i="9"/>
  <c r="CG13" i="9"/>
  <c r="CF13" i="9"/>
  <c r="CJ14" i="9"/>
  <c r="CH14" i="9"/>
  <c r="CG14" i="9"/>
  <c r="CF14" i="9"/>
  <c r="CJ12" i="9"/>
  <c r="CH12" i="9"/>
  <c r="CG12" i="9"/>
  <c r="CF12" i="9"/>
  <c r="CJ11" i="9"/>
  <c r="CH11" i="9"/>
  <c r="CG11" i="9"/>
  <c r="CI11" i="9" s="1"/>
  <c r="CK11" i="9" s="1"/>
  <c r="CF11" i="9"/>
  <c r="CJ10" i="9"/>
  <c r="CH10" i="9"/>
  <c r="CG10" i="9"/>
  <c r="CF10" i="9"/>
  <c r="CJ9" i="9"/>
  <c r="CH9" i="9"/>
  <c r="CG9" i="9"/>
  <c r="CF9" i="9"/>
  <c r="CJ8" i="9"/>
  <c r="CH8" i="9"/>
  <c r="CG8" i="9"/>
  <c r="CF8" i="9"/>
  <c r="CJ7" i="9"/>
  <c r="CH7" i="9"/>
  <c r="CG7" i="9"/>
  <c r="CI7" i="9" s="1"/>
  <c r="CK7" i="9" s="1"/>
  <c r="CF7" i="9"/>
  <c r="CJ6" i="9"/>
  <c r="CH6" i="9"/>
  <c r="CG6" i="9"/>
  <c r="CF6" i="9"/>
  <c r="CJ5" i="9"/>
  <c r="CH5" i="9"/>
  <c r="CG5" i="9"/>
  <c r="CF5" i="9"/>
  <c r="CJ4" i="9"/>
  <c r="CH4" i="9"/>
  <c r="CG4" i="9"/>
  <c r="CF4" i="9"/>
  <c r="KL13" i="2"/>
  <c r="KJ13" i="2"/>
  <c r="KI13" i="2"/>
  <c r="KK13" i="2" s="1"/>
  <c r="KM13" i="2" s="1"/>
  <c r="KH13" i="2"/>
  <c r="KL12" i="2"/>
  <c r="KJ12" i="2"/>
  <c r="KI12" i="2"/>
  <c r="KH12" i="2"/>
  <c r="KL11" i="2"/>
  <c r="KJ11" i="2"/>
  <c r="KI11" i="2"/>
  <c r="KH11" i="2"/>
  <c r="KL10" i="2"/>
  <c r="KJ10" i="2"/>
  <c r="KI10" i="2"/>
  <c r="KH10" i="2"/>
  <c r="KL9" i="2"/>
  <c r="KJ9" i="2"/>
  <c r="KI9" i="2"/>
  <c r="KK9" i="2" s="1"/>
  <c r="KM9" i="2" s="1"/>
  <c r="KH9" i="2"/>
  <c r="KL8" i="2"/>
  <c r="KJ8" i="2"/>
  <c r="KI8" i="2"/>
  <c r="KH8" i="2"/>
  <c r="KL7" i="2"/>
  <c r="KJ7" i="2"/>
  <c r="KI7" i="2"/>
  <c r="KH7" i="2"/>
  <c r="KL6" i="2"/>
  <c r="KJ6" i="2"/>
  <c r="KI6" i="2"/>
  <c r="KH6" i="2"/>
  <c r="KL5" i="2"/>
  <c r="KJ5" i="2"/>
  <c r="KI5" i="2"/>
  <c r="KK5" i="2" s="1"/>
  <c r="KM5" i="2" s="1"/>
  <c r="KH5" i="2"/>
  <c r="KL4" i="2"/>
  <c r="KJ4" i="2"/>
  <c r="KI4" i="2"/>
  <c r="KH4" i="2"/>
  <c r="JQ13" i="2"/>
  <c r="JO13" i="2"/>
  <c r="JN13" i="2"/>
  <c r="JP13" i="2" s="1"/>
  <c r="JR13" i="2" s="1"/>
  <c r="JM13" i="2"/>
  <c r="JQ12" i="2"/>
  <c r="JO12" i="2"/>
  <c r="JN12" i="2"/>
  <c r="JM12" i="2"/>
  <c r="JQ11" i="2"/>
  <c r="JO11" i="2"/>
  <c r="JN11" i="2"/>
  <c r="JM11" i="2"/>
  <c r="JQ10" i="2"/>
  <c r="JO10" i="2"/>
  <c r="JN10" i="2"/>
  <c r="JM10" i="2"/>
  <c r="JQ9" i="2"/>
  <c r="JO9" i="2"/>
  <c r="JN9" i="2"/>
  <c r="JM9" i="2"/>
  <c r="JQ8" i="2"/>
  <c r="JO8" i="2"/>
  <c r="JN8" i="2"/>
  <c r="JM8" i="2"/>
  <c r="JQ7" i="2"/>
  <c r="JO7" i="2"/>
  <c r="JN7" i="2"/>
  <c r="JM7" i="2"/>
  <c r="JQ6" i="2"/>
  <c r="JO6" i="2"/>
  <c r="JN6" i="2"/>
  <c r="JM6" i="2"/>
  <c r="JQ5" i="2"/>
  <c r="JO5" i="2"/>
  <c r="JN5" i="2"/>
  <c r="JM5" i="2"/>
  <c r="JQ4" i="2"/>
  <c r="JO4" i="2"/>
  <c r="JN4" i="2"/>
  <c r="JM4" i="2"/>
  <c r="IV13" i="2"/>
  <c r="IT13" i="2"/>
  <c r="IS13" i="2"/>
  <c r="IR13" i="2"/>
  <c r="IV12" i="2"/>
  <c r="IT12" i="2"/>
  <c r="IS12" i="2"/>
  <c r="IR12" i="2"/>
  <c r="IV11" i="2"/>
  <c r="IT11" i="2"/>
  <c r="IS11" i="2"/>
  <c r="IR11" i="2"/>
  <c r="IV10" i="2"/>
  <c r="IT10" i="2"/>
  <c r="IS10" i="2"/>
  <c r="IR10" i="2"/>
  <c r="IV9" i="2"/>
  <c r="IT9" i="2"/>
  <c r="IS9" i="2"/>
  <c r="IR9" i="2"/>
  <c r="IV8" i="2"/>
  <c r="IT8" i="2"/>
  <c r="IS8" i="2"/>
  <c r="IR8" i="2"/>
  <c r="IV7" i="2"/>
  <c r="IT7" i="2"/>
  <c r="IS7" i="2"/>
  <c r="IR7" i="2"/>
  <c r="IV6" i="2"/>
  <c r="IT6" i="2"/>
  <c r="IS6" i="2"/>
  <c r="IR6" i="2"/>
  <c r="IV5" i="2"/>
  <c r="IT5" i="2"/>
  <c r="IS5" i="2"/>
  <c r="IR5" i="2"/>
  <c r="IV4" i="2"/>
  <c r="IT4" i="2"/>
  <c r="IS4" i="2"/>
  <c r="IR4" i="2"/>
  <c r="IA13" i="2"/>
  <c r="HY13" i="2"/>
  <c r="HX13" i="2"/>
  <c r="HW13" i="2"/>
  <c r="IA12" i="2"/>
  <c r="HY12" i="2"/>
  <c r="HX12" i="2"/>
  <c r="HW12" i="2"/>
  <c r="IA11" i="2"/>
  <c r="HY11" i="2"/>
  <c r="HX11" i="2"/>
  <c r="HW11" i="2"/>
  <c r="IA10" i="2"/>
  <c r="HY10" i="2"/>
  <c r="HX10" i="2"/>
  <c r="HW10" i="2"/>
  <c r="IA9" i="2"/>
  <c r="HY9" i="2"/>
  <c r="HX9" i="2"/>
  <c r="HW9" i="2"/>
  <c r="IA8" i="2"/>
  <c r="HY8" i="2"/>
  <c r="HX8" i="2"/>
  <c r="HW8" i="2"/>
  <c r="IA7" i="2"/>
  <c r="HY7" i="2"/>
  <c r="HX7" i="2"/>
  <c r="HW7" i="2"/>
  <c r="IA6" i="2"/>
  <c r="HY6" i="2"/>
  <c r="HX6" i="2"/>
  <c r="HW6" i="2"/>
  <c r="IA5" i="2"/>
  <c r="HY5" i="2"/>
  <c r="HX5" i="2"/>
  <c r="HW5" i="2"/>
  <c r="IA4" i="2"/>
  <c r="HY4" i="2"/>
  <c r="HX4" i="2"/>
  <c r="HW4" i="2"/>
  <c r="HF13" i="2"/>
  <c r="HD13" i="2"/>
  <c r="HC13" i="2"/>
  <c r="HB13" i="2"/>
  <c r="HF12" i="2"/>
  <c r="HD12" i="2"/>
  <c r="HC12" i="2"/>
  <c r="HB12" i="2"/>
  <c r="HF11" i="2"/>
  <c r="HD11" i="2"/>
  <c r="HC11" i="2"/>
  <c r="HB11" i="2"/>
  <c r="HF10" i="2"/>
  <c r="HD10" i="2"/>
  <c r="HC10" i="2"/>
  <c r="HB10" i="2"/>
  <c r="HF9" i="2"/>
  <c r="HD9" i="2"/>
  <c r="HC9" i="2"/>
  <c r="HB9" i="2"/>
  <c r="HF8" i="2"/>
  <c r="HD8" i="2"/>
  <c r="HC8" i="2"/>
  <c r="HB8" i="2"/>
  <c r="HF7" i="2"/>
  <c r="HD7" i="2"/>
  <c r="HC7" i="2"/>
  <c r="HB7" i="2"/>
  <c r="HF6" i="2"/>
  <c r="HD6" i="2"/>
  <c r="HC6" i="2"/>
  <c r="HB6" i="2"/>
  <c r="HF5" i="2"/>
  <c r="HD5" i="2"/>
  <c r="HC5" i="2"/>
  <c r="HB5" i="2"/>
  <c r="HF4" i="2"/>
  <c r="HD4" i="2"/>
  <c r="HC4" i="2"/>
  <c r="HB4" i="2"/>
  <c r="GK13" i="2"/>
  <c r="GI13" i="2"/>
  <c r="GH13" i="2"/>
  <c r="GG13" i="2"/>
  <c r="GK12" i="2"/>
  <c r="GI12" i="2"/>
  <c r="GH12" i="2"/>
  <c r="GG12" i="2"/>
  <c r="GK11" i="2"/>
  <c r="GI11" i="2"/>
  <c r="GH11" i="2"/>
  <c r="GG11" i="2"/>
  <c r="GK10" i="2"/>
  <c r="GI10" i="2"/>
  <c r="GH10" i="2"/>
  <c r="GG10" i="2"/>
  <c r="GK9" i="2"/>
  <c r="GI9" i="2"/>
  <c r="GH9" i="2"/>
  <c r="GG9" i="2"/>
  <c r="GK8" i="2"/>
  <c r="GI8" i="2"/>
  <c r="GH8" i="2"/>
  <c r="GG8" i="2"/>
  <c r="GK7" i="2"/>
  <c r="GI7" i="2"/>
  <c r="GH7" i="2"/>
  <c r="GG7" i="2"/>
  <c r="GK6" i="2"/>
  <c r="GI6" i="2"/>
  <c r="GH6" i="2"/>
  <c r="GG6" i="2"/>
  <c r="GK5" i="2"/>
  <c r="GI5" i="2"/>
  <c r="GH5" i="2"/>
  <c r="GG5" i="2"/>
  <c r="GK4" i="2"/>
  <c r="GI4" i="2"/>
  <c r="GH4" i="2"/>
  <c r="GG4" i="2"/>
  <c r="FP13" i="2"/>
  <c r="FN13" i="2"/>
  <c r="FM13" i="2"/>
  <c r="FL13" i="2"/>
  <c r="FP12" i="2"/>
  <c r="FN12" i="2"/>
  <c r="FM12" i="2"/>
  <c r="FL12" i="2"/>
  <c r="FP11" i="2"/>
  <c r="FN11" i="2"/>
  <c r="FM11" i="2"/>
  <c r="FL11" i="2"/>
  <c r="FP10" i="2"/>
  <c r="FN10" i="2"/>
  <c r="FM10" i="2"/>
  <c r="FL10" i="2"/>
  <c r="FP9" i="2"/>
  <c r="FN9" i="2"/>
  <c r="FM9" i="2"/>
  <c r="FL9" i="2"/>
  <c r="FP8" i="2"/>
  <c r="FN8" i="2"/>
  <c r="FM8" i="2"/>
  <c r="FL8" i="2"/>
  <c r="FP7" i="2"/>
  <c r="FN7" i="2"/>
  <c r="FM7" i="2"/>
  <c r="FL7" i="2"/>
  <c r="FP6" i="2"/>
  <c r="FN6" i="2"/>
  <c r="FM6" i="2"/>
  <c r="FL6" i="2"/>
  <c r="FP5" i="2"/>
  <c r="FN5" i="2"/>
  <c r="FM5" i="2"/>
  <c r="FL5" i="2"/>
  <c r="FP4" i="2"/>
  <c r="FN4" i="2"/>
  <c r="FM4" i="2"/>
  <c r="FL4" i="2"/>
  <c r="EU13" i="2"/>
  <c r="ES13" i="2"/>
  <c r="ER13" i="2"/>
  <c r="EQ13" i="2"/>
  <c r="EU12" i="2"/>
  <c r="ES12" i="2"/>
  <c r="ER12" i="2"/>
  <c r="EQ12" i="2"/>
  <c r="EU11" i="2"/>
  <c r="ES11" i="2"/>
  <c r="ER11" i="2"/>
  <c r="EQ11" i="2"/>
  <c r="EU10" i="2"/>
  <c r="ES10" i="2"/>
  <c r="ER10" i="2"/>
  <c r="EQ10" i="2"/>
  <c r="EU9" i="2"/>
  <c r="ES9" i="2"/>
  <c r="ER9" i="2"/>
  <c r="EQ9" i="2"/>
  <c r="EU8" i="2"/>
  <c r="ES8" i="2"/>
  <c r="ER8" i="2"/>
  <c r="EQ8" i="2"/>
  <c r="EU7" i="2"/>
  <c r="ES7" i="2"/>
  <c r="ER7" i="2"/>
  <c r="EQ7" i="2"/>
  <c r="EU6" i="2"/>
  <c r="ES6" i="2"/>
  <c r="ER6" i="2"/>
  <c r="EQ6" i="2"/>
  <c r="EU5" i="2"/>
  <c r="ES5" i="2"/>
  <c r="ER5" i="2"/>
  <c r="EQ5" i="2"/>
  <c r="EU4" i="2"/>
  <c r="ES4" i="2"/>
  <c r="ER4" i="2"/>
  <c r="EQ4" i="2"/>
  <c r="DZ13" i="2"/>
  <c r="DX13" i="2"/>
  <c r="DW13" i="2"/>
  <c r="DV13" i="2"/>
  <c r="DZ12" i="2"/>
  <c r="DX12" i="2"/>
  <c r="DW12" i="2"/>
  <c r="DV12" i="2"/>
  <c r="DZ11" i="2"/>
  <c r="DX11" i="2"/>
  <c r="DW11" i="2"/>
  <c r="DV11" i="2"/>
  <c r="DZ10" i="2"/>
  <c r="DX10" i="2"/>
  <c r="DW10" i="2"/>
  <c r="DV10" i="2"/>
  <c r="DZ9" i="2"/>
  <c r="DX9" i="2"/>
  <c r="DW9" i="2"/>
  <c r="DV9" i="2"/>
  <c r="DZ8" i="2"/>
  <c r="DX8" i="2"/>
  <c r="DW8" i="2"/>
  <c r="DV8" i="2"/>
  <c r="DZ7" i="2"/>
  <c r="DX7" i="2"/>
  <c r="DW7" i="2"/>
  <c r="DV7" i="2"/>
  <c r="DZ6" i="2"/>
  <c r="DX6" i="2"/>
  <c r="DW6" i="2"/>
  <c r="DV6" i="2"/>
  <c r="DZ5" i="2"/>
  <c r="DX5" i="2"/>
  <c r="DW5" i="2"/>
  <c r="DY5" i="2" s="1"/>
  <c r="DV5" i="2"/>
  <c r="DZ4" i="2"/>
  <c r="DX4" i="2"/>
  <c r="DW4" i="2"/>
  <c r="DV4" i="2"/>
  <c r="DE13" i="2"/>
  <c r="DC13" i="2"/>
  <c r="DB13" i="2"/>
  <c r="DD13" i="2" s="1"/>
  <c r="DA13" i="2"/>
  <c r="DE12" i="2"/>
  <c r="DC12" i="2"/>
  <c r="DB12" i="2"/>
  <c r="DA12" i="2"/>
  <c r="DE11" i="2"/>
  <c r="DC11" i="2"/>
  <c r="DB11" i="2"/>
  <c r="DA11" i="2"/>
  <c r="DE10" i="2"/>
  <c r="DC10" i="2"/>
  <c r="DB10" i="2"/>
  <c r="DA10" i="2"/>
  <c r="DE9" i="2"/>
  <c r="DC9" i="2"/>
  <c r="DB9" i="2"/>
  <c r="DD9" i="2" s="1"/>
  <c r="DA9" i="2"/>
  <c r="DE8" i="2"/>
  <c r="DC8" i="2"/>
  <c r="DB8" i="2"/>
  <c r="DA8" i="2"/>
  <c r="DE7" i="2"/>
  <c r="DC7" i="2"/>
  <c r="DB7" i="2"/>
  <c r="DA7" i="2"/>
  <c r="DE6" i="2"/>
  <c r="DC6" i="2"/>
  <c r="DB6" i="2"/>
  <c r="DA6" i="2"/>
  <c r="DE5" i="2"/>
  <c r="DC5" i="2"/>
  <c r="DB5" i="2"/>
  <c r="DA5" i="2"/>
  <c r="DE4" i="2"/>
  <c r="DC4" i="2"/>
  <c r="DB4" i="2"/>
  <c r="DA4" i="2"/>
  <c r="CJ13" i="2"/>
  <c r="CH13" i="2"/>
  <c r="CG13" i="2"/>
  <c r="CI13" i="2" s="1"/>
  <c r="CF13" i="2"/>
  <c r="CJ12" i="2"/>
  <c r="CH12" i="2"/>
  <c r="CG12" i="2"/>
  <c r="CF12" i="2"/>
  <c r="CJ11" i="2"/>
  <c r="CH11" i="2"/>
  <c r="CG11" i="2"/>
  <c r="CF11" i="2"/>
  <c r="CJ10" i="2"/>
  <c r="CH10" i="2"/>
  <c r="CG10" i="2"/>
  <c r="CF10" i="2"/>
  <c r="CJ9" i="2"/>
  <c r="CH9" i="2"/>
  <c r="CG9" i="2"/>
  <c r="CI9" i="2" s="1"/>
  <c r="CF9" i="2"/>
  <c r="CJ8" i="2"/>
  <c r="CH8" i="2"/>
  <c r="CG8" i="2"/>
  <c r="CF8" i="2"/>
  <c r="CJ7" i="2"/>
  <c r="CH7" i="2"/>
  <c r="CG7" i="2"/>
  <c r="CF7" i="2"/>
  <c r="CJ6" i="2"/>
  <c r="CH6" i="2"/>
  <c r="CG6" i="2"/>
  <c r="CF6" i="2"/>
  <c r="CJ5" i="2"/>
  <c r="CH5" i="2"/>
  <c r="CG5" i="2"/>
  <c r="CI5" i="2" s="1"/>
  <c r="CF5" i="2"/>
  <c r="CJ4" i="2"/>
  <c r="CH4" i="2"/>
  <c r="CG4" i="2"/>
  <c r="CF4" i="2"/>
  <c r="KL21" i="4"/>
  <c r="KJ21" i="4"/>
  <c r="KI21" i="4"/>
  <c r="KK21" i="4" s="1"/>
  <c r="KM21" i="4" s="1"/>
  <c r="KH21" i="4"/>
  <c r="KL20" i="4"/>
  <c r="KJ20" i="4"/>
  <c r="KI20" i="4"/>
  <c r="KH20" i="4"/>
  <c r="KL19" i="4"/>
  <c r="KJ19" i="4"/>
  <c r="KI19" i="4"/>
  <c r="KH19" i="4"/>
  <c r="KL18" i="4"/>
  <c r="KJ18" i="4"/>
  <c r="KI18" i="4"/>
  <c r="KH18" i="4"/>
  <c r="KL17" i="4"/>
  <c r="KJ17" i="4"/>
  <c r="KI17" i="4"/>
  <c r="KK17" i="4" s="1"/>
  <c r="KM17" i="4" s="1"/>
  <c r="KH17" i="4"/>
  <c r="KL16" i="4"/>
  <c r="KJ16" i="4"/>
  <c r="KI16" i="4"/>
  <c r="KH16" i="4"/>
  <c r="KL15" i="4"/>
  <c r="KJ15" i="4"/>
  <c r="KI15" i="4"/>
  <c r="KH15" i="4"/>
  <c r="KL14" i="4"/>
  <c r="KJ14" i="4"/>
  <c r="KI14" i="4"/>
  <c r="KH14" i="4"/>
  <c r="KL13" i="4"/>
  <c r="KJ13" i="4"/>
  <c r="KI13" i="4"/>
  <c r="KK13" i="4" s="1"/>
  <c r="KM13" i="4" s="1"/>
  <c r="KH13" i="4"/>
  <c r="KL12" i="4"/>
  <c r="KJ12" i="4"/>
  <c r="KI12" i="4"/>
  <c r="KH12" i="4"/>
  <c r="KL10" i="4"/>
  <c r="KJ10" i="4"/>
  <c r="KI10" i="4"/>
  <c r="KH10" i="4"/>
  <c r="KL9" i="4"/>
  <c r="KJ9" i="4"/>
  <c r="KI9" i="4"/>
  <c r="KH9" i="4"/>
  <c r="KL11" i="4"/>
  <c r="KJ11" i="4"/>
  <c r="KI11" i="4"/>
  <c r="KK11" i="4" s="1"/>
  <c r="KM11" i="4" s="1"/>
  <c r="KH11" i="4"/>
  <c r="KL8" i="4"/>
  <c r="KJ8" i="4"/>
  <c r="KI8" i="4"/>
  <c r="KH8" i="4"/>
  <c r="KL7" i="4"/>
  <c r="KJ7" i="4"/>
  <c r="KI7" i="4"/>
  <c r="KH7" i="4"/>
  <c r="KL6" i="4"/>
  <c r="KJ6" i="4"/>
  <c r="KI6" i="4"/>
  <c r="KH6" i="4"/>
  <c r="KL5" i="4"/>
  <c r="KJ5" i="4"/>
  <c r="KI5" i="4"/>
  <c r="KK5" i="4" s="1"/>
  <c r="KM5" i="4" s="1"/>
  <c r="KH5" i="4"/>
  <c r="KL4" i="4"/>
  <c r="KJ4" i="4"/>
  <c r="KI4" i="4"/>
  <c r="KH4" i="4"/>
  <c r="JQ21" i="4"/>
  <c r="JO21" i="4"/>
  <c r="JN21" i="4"/>
  <c r="JP21" i="4" s="1"/>
  <c r="JR21" i="4" s="1"/>
  <c r="JM21" i="4"/>
  <c r="JQ20" i="4"/>
  <c r="JO20" i="4"/>
  <c r="JN20" i="4"/>
  <c r="JM20" i="4"/>
  <c r="JQ19" i="4"/>
  <c r="JO19" i="4"/>
  <c r="JN19" i="4"/>
  <c r="JM19" i="4"/>
  <c r="JQ18" i="4"/>
  <c r="JO18" i="4"/>
  <c r="JN18" i="4"/>
  <c r="JM18" i="4"/>
  <c r="JQ17" i="4"/>
  <c r="JO17" i="4"/>
  <c r="JN17" i="4"/>
  <c r="JM17" i="4"/>
  <c r="JQ16" i="4"/>
  <c r="JO16" i="4"/>
  <c r="JN16" i="4"/>
  <c r="JM16" i="4"/>
  <c r="JQ15" i="4"/>
  <c r="JO15" i="4"/>
  <c r="JN15" i="4"/>
  <c r="JM15" i="4"/>
  <c r="JQ14" i="4"/>
  <c r="JO14" i="4"/>
  <c r="JN14" i="4"/>
  <c r="JM14" i="4"/>
  <c r="JQ13" i="4"/>
  <c r="JO13" i="4"/>
  <c r="JN13" i="4"/>
  <c r="JP13" i="4" s="1"/>
  <c r="JR13" i="4" s="1"/>
  <c r="JM13" i="4"/>
  <c r="JQ12" i="4"/>
  <c r="JO12" i="4"/>
  <c r="JN12" i="4"/>
  <c r="JM12" i="4"/>
  <c r="JQ10" i="4"/>
  <c r="JO10" i="4"/>
  <c r="JN10" i="4"/>
  <c r="JM10" i="4"/>
  <c r="JQ9" i="4"/>
  <c r="JO9" i="4"/>
  <c r="JN9" i="4"/>
  <c r="JM9" i="4"/>
  <c r="JQ11" i="4"/>
  <c r="JO11" i="4"/>
  <c r="JN11" i="4"/>
  <c r="JM11" i="4"/>
  <c r="JQ8" i="4"/>
  <c r="JO8" i="4"/>
  <c r="JN8" i="4"/>
  <c r="JM8" i="4"/>
  <c r="JQ7" i="4"/>
  <c r="JO7" i="4"/>
  <c r="JN7" i="4"/>
  <c r="JM7" i="4"/>
  <c r="JQ6" i="4"/>
  <c r="JO6" i="4"/>
  <c r="JN6" i="4"/>
  <c r="JM6" i="4"/>
  <c r="JQ5" i="4"/>
  <c r="JO5" i="4"/>
  <c r="JN5" i="4"/>
  <c r="JM5" i="4"/>
  <c r="JQ4" i="4"/>
  <c r="JO4" i="4"/>
  <c r="JN4" i="4"/>
  <c r="JM4" i="4"/>
  <c r="IV21" i="4"/>
  <c r="IT21" i="4"/>
  <c r="IS21" i="4"/>
  <c r="IR21" i="4"/>
  <c r="IV20" i="4"/>
  <c r="IT20" i="4"/>
  <c r="IS20" i="4"/>
  <c r="IR20" i="4"/>
  <c r="IV19" i="4"/>
  <c r="IT19" i="4"/>
  <c r="IS19" i="4"/>
  <c r="IR19" i="4"/>
  <c r="IV18" i="4"/>
  <c r="IT18" i="4"/>
  <c r="IS18" i="4"/>
  <c r="IR18" i="4"/>
  <c r="IV17" i="4"/>
  <c r="IT17" i="4"/>
  <c r="IS17" i="4"/>
  <c r="IR17" i="4"/>
  <c r="IV16" i="4"/>
  <c r="IT16" i="4"/>
  <c r="IS16" i="4"/>
  <c r="IR16" i="4"/>
  <c r="IV15" i="4"/>
  <c r="IT15" i="4"/>
  <c r="IS15" i="4"/>
  <c r="IR15" i="4"/>
  <c r="IV14" i="4"/>
  <c r="IT14" i="4"/>
  <c r="IS14" i="4"/>
  <c r="IR14" i="4"/>
  <c r="IV13" i="4"/>
  <c r="IT13" i="4"/>
  <c r="IS13" i="4"/>
  <c r="IR13" i="4"/>
  <c r="IV12" i="4"/>
  <c r="IT12" i="4"/>
  <c r="IS12" i="4"/>
  <c r="IR12" i="4"/>
  <c r="IV10" i="4"/>
  <c r="IT10" i="4"/>
  <c r="IS10" i="4"/>
  <c r="IR10" i="4"/>
  <c r="IV9" i="4"/>
  <c r="IT9" i="4"/>
  <c r="IS9" i="4"/>
  <c r="IR9" i="4"/>
  <c r="IV11" i="4"/>
  <c r="IT11" i="4"/>
  <c r="IS11" i="4"/>
  <c r="IR11" i="4"/>
  <c r="IV8" i="4"/>
  <c r="IT8" i="4"/>
  <c r="IS8" i="4"/>
  <c r="IR8" i="4"/>
  <c r="IV7" i="4"/>
  <c r="IT7" i="4"/>
  <c r="IS7" i="4"/>
  <c r="IR7" i="4"/>
  <c r="IV6" i="4"/>
  <c r="IT6" i="4"/>
  <c r="IS6" i="4"/>
  <c r="IR6" i="4"/>
  <c r="IV5" i="4"/>
  <c r="IT5" i="4"/>
  <c r="IS5" i="4"/>
  <c r="IR5" i="4"/>
  <c r="IV4" i="4"/>
  <c r="IT4" i="4"/>
  <c r="IS4" i="4"/>
  <c r="IR4" i="4"/>
  <c r="IA21" i="4"/>
  <c r="HY21" i="4"/>
  <c r="HX21" i="4"/>
  <c r="HW21" i="4"/>
  <c r="IA20" i="4"/>
  <c r="HY20" i="4"/>
  <c r="HX20" i="4"/>
  <c r="HW20" i="4"/>
  <c r="IA19" i="4"/>
  <c r="HY19" i="4"/>
  <c r="HX19" i="4"/>
  <c r="HW19" i="4"/>
  <c r="IA18" i="4"/>
  <c r="HY18" i="4"/>
  <c r="HX18" i="4"/>
  <c r="HW18" i="4"/>
  <c r="IA17" i="4"/>
  <c r="HY17" i="4"/>
  <c r="HX17" i="4"/>
  <c r="HW17" i="4"/>
  <c r="IA16" i="4"/>
  <c r="HY16" i="4"/>
  <c r="HX16" i="4"/>
  <c r="HW16" i="4"/>
  <c r="IA15" i="4"/>
  <c r="HY15" i="4"/>
  <c r="HX15" i="4"/>
  <c r="HW15" i="4"/>
  <c r="IA14" i="4"/>
  <c r="HY14" i="4"/>
  <c r="HX14" i="4"/>
  <c r="HW14" i="4"/>
  <c r="IA13" i="4"/>
  <c r="HY13" i="4"/>
  <c r="HX13" i="4"/>
  <c r="HW13" i="4"/>
  <c r="IA12" i="4"/>
  <c r="HY12" i="4"/>
  <c r="HX12" i="4"/>
  <c r="HW12" i="4"/>
  <c r="IA10" i="4"/>
  <c r="HY10" i="4"/>
  <c r="HX10" i="4"/>
  <c r="HW10" i="4"/>
  <c r="IA9" i="4"/>
  <c r="HY9" i="4"/>
  <c r="HX9" i="4"/>
  <c r="HW9" i="4"/>
  <c r="IA11" i="4"/>
  <c r="HY11" i="4"/>
  <c r="HX11" i="4"/>
  <c r="HW11" i="4"/>
  <c r="IA8" i="4"/>
  <c r="HY8" i="4"/>
  <c r="HX8" i="4"/>
  <c r="HW8" i="4"/>
  <c r="IA7" i="4"/>
  <c r="HY7" i="4"/>
  <c r="HX7" i="4"/>
  <c r="HW7" i="4"/>
  <c r="IA6" i="4"/>
  <c r="HY6" i="4"/>
  <c r="HX6" i="4"/>
  <c r="HW6" i="4"/>
  <c r="IA5" i="4"/>
  <c r="HY5" i="4"/>
  <c r="HX5" i="4"/>
  <c r="HW5" i="4"/>
  <c r="IA4" i="4"/>
  <c r="HY4" i="4"/>
  <c r="HX4" i="4"/>
  <c r="HW4" i="4"/>
  <c r="HF21" i="4"/>
  <c r="HD21" i="4"/>
  <c r="HC21" i="4"/>
  <c r="HB21" i="4"/>
  <c r="HF20" i="4"/>
  <c r="HD20" i="4"/>
  <c r="HC20" i="4"/>
  <c r="HB20" i="4"/>
  <c r="HF19" i="4"/>
  <c r="HD19" i="4"/>
  <c r="HC19" i="4"/>
  <c r="HB19" i="4"/>
  <c r="HF18" i="4"/>
  <c r="HD18" i="4"/>
  <c r="HC18" i="4"/>
  <c r="HB18" i="4"/>
  <c r="HF17" i="4"/>
  <c r="HD17" i="4"/>
  <c r="HC17" i="4"/>
  <c r="HB17" i="4"/>
  <c r="HF16" i="4"/>
  <c r="HD16" i="4"/>
  <c r="HC16" i="4"/>
  <c r="HB16" i="4"/>
  <c r="HF15" i="4"/>
  <c r="HD15" i="4"/>
  <c r="HC15" i="4"/>
  <c r="HB15" i="4"/>
  <c r="HF14" i="4"/>
  <c r="HD14" i="4"/>
  <c r="HC14" i="4"/>
  <c r="HB14" i="4"/>
  <c r="HF13" i="4"/>
  <c r="HD13" i="4"/>
  <c r="HC13" i="4"/>
  <c r="HB13" i="4"/>
  <c r="HF12" i="4"/>
  <c r="HD12" i="4"/>
  <c r="HC12" i="4"/>
  <c r="HB12" i="4"/>
  <c r="HF10" i="4"/>
  <c r="HD10" i="4"/>
  <c r="HC10" i="4"/>
  <c r="HB10" i="4"/>
  <c r="HF9" i="4"/>
  <c r="HD9" i="4"/>
  <c r="HC9" i="4"/>
  <c r="HB9" i="4"/>
  <c r="HF11" i="4"/>
  <c r="HD11" i="4"/>
  <c r="HC11" i="4"/>
  <c r="HB11" i="4"/>
  <c r="HF8" i="4"/>
  <c r="HD8" i="4"/>
  <c r="HC8" i="4"/>
  <c r="HB8" i="4"/>
  <c r="HF7" i="4"/>
  <c r="HD7" i="4"/>
  <c r="HC7" i="4"/>
  <c r="HB7" i="4"/>
  <c r="HF6" i="4"/>
  <c r="HD6" i="4"/>
  <c r="HC6" i="4"/>
  <c r="HB6" i="4"/>
  <c r="HF5" i="4"/>
  <c r="HD5" i="4"/>
  <c r="HC5" i="4"/>
  <c r="HB5" i="4"/>
  <c r="HF4" i="4"/>
  <c r="HD4" i="4"/>
  <c r="HC4" i="4"/>
  <c r="HB4" i="4"/>
  <c r="GK21" i="4"/>
  <c r="GI21" i="4"/>
  <c r="GH21" i="4"/>
  <c r="GG21" i="4"/>
  <c r="GK20" i="4"/>
  <c r="GI20" i="4"/>
  <c r="GH20" i="4"/>
  <c r="GG20" i="4"/>
  <c r="GK19" i="4"/>
  <c r="GI19" i="4"/>
  <c r="GH19" i="4"/>
  <c r="GG19" i="4"/>
  <c r="GK18" i="4"/>
  <c r="GI18" i="4"/>
  <c r="GH18" i="4"/>
  <c r="GG18" i="4"/>
  <c r="GK17" i="4"/>
  <c r="GI17" i="4"/>
  <c r="GH17" i="4"/>
  <c r="GG17" i="4"/>
  <c r="GK16" i="4"/>
  <c r="GI16" i="4"/>
  <c r="GH16" i="4"/>
  <c r="GG16" i="4"/>
  <c r="GK15" i="4"/>
  <c r="GI15" i="4"/>
  <c r="GH15" i="4"/>
  <c r="GG15" i="4"/>
  <c r="GK14" i="4"/>
  <c r="GI14" i="4"/>
  <c r="GH14" i="4"/>
  <c r="GG14" i="4"/>
  <c r="GK13" i="4"/>
  <c r="GI13" i="4"/>
  <c r="GH13" i="4"/>
  <c r="GJ13" i="4" s="1"/>
  <c r="GG13" i="4"/>
  <c r="GK12" i="4"/>
  <c r="GI12" i="4"/>
  <c r="GH12" i="4"/>
  <c r="GG12" i="4"/>
  <c r="GK10" i="4"/>
  <c r="GI10" i="4"/>
  <c r="GH10" i="4"/>
  <c r="GG10" i="4"/>
  <c r="GK9" i="4"/>
  <c r="GI9" i="4"/>
  <c r="GH9" i="4"/>
  <c r="GG9" i="4"/>
  <c r="GK11" i="4"/>
  <c r="GI11" i="4"/>
  <c r="GH11" i="4"/>
  <c r="GJ11" i="4" s="1"/>
  <c r="GL11" i="4" s="1"/>
  <c r="GG11" i="4"/>
  <c r="GK8" i="4"/>
  <c r="GI8" i="4"/>
  <c r="GH8" i="4"/>
  <c r="GG8" i="4"/>
  <c r="GK7" i="4"/>
  <c r="GI7" i="4"/>
  <c r="GH7" i="4"/>
  <c r="GG7" i="4"/>
  <c r="GK6" i="4"/>
  <c r="GI6" i="4"/>
  <c r="GH6" i="4"/>
  <c r="GG6" i="4"/>
  <c r="GK5" i="4"/>
  <c r="GI5" i="4"/>
  <c r="GH5" i="4"/>
  <c r="GJ5" i="4" s="1"/>
  <c r="GL5" i="4" s="1"/>
  <c r="GG5" i="4"/>
  <c r="GK4" i="4"/>
  <c r="GI4" i="4"/>
  <c r="GH4" i="4"/>
  <c r="GG4" i="4"/>
  <c r="FP21" i="4"/>
  <c r="FN21" i="4"/>
  <c r="FM21" i="4"/>
  <c r="FL21" i="4"/>
  <c r="FP20" i="4"/>
  <c r="FN20" i="4"/>
  <c r="FM20" i="4"/>
  <c r="FL20" i="4"/>
  <c r="FP19" i="4"/>
  <c r="FN19" i="4"/>
  <c r="FM19" i="4"/>
  <c r="FL19" i="4"/>
  <c r="FP18" i="4"/>
  <c r="FN18" i="4"/>
  <c r="FM18" i="4"/>
  <c r="FL18" i="4"/>
  <c r="FP17" i="4"/>
  <c r="FN17" i="4"/>
  <c r="FM17" i="4"/>
  <c r="FL17" i="4"/>
  <c r="FP16" i="4"/>
  <c r="FN16" i="4"/>
  <c r="FM16" i="4"/>
  <c r="FL16" i="4"/>
  <c r="FP15" i="4"/>
  <c r="FN15" i="4"/>
  <c r="FM15" i="4"/>
  <c r="FL15" i="4"/>
  <c r="FP14" i="4"/>
  <c r="FN14" i="4"/>
  <c r="FM14" i="4"/>
  <c r="FL14" i="4"/>
  <c r="FP13" i="4"/>
  <c r="FN13" i="4"/>
  <c r="FM13" i="4"/>
  <c r="FL13" i="4"/>
  <c r="FP12" i="4"/>
  <c r="FN12" i="4"/>
  <c r="FM12" i="4"/>
  <c r="FL12" i="4"/>
  <c r="FP10" i="4"/>
  <c r="FN10" i="4"/>
  <c r="FM10" i="4"/>
  <c r="FL10" i="4"/>
  <c r="FP9" i="4"/>
  <c r="FN9" i="4"/>
  <c r="FM9" i="4"/>
  <c r="FL9" i="4"/>
  <c r="FP11" i="4"/>
  <c r="FN11" i="4"/>
  <c r="FM11" i="4"/>
  <c r="FL11" i="4"/>
  <c r="FP8" i="4"/>
  <c r="FN8" i="4"/>
  <c r="FM8" i="4"/>
  <c r="FL8" i="4"/>
  <c r="FP7" i="4"/>
  <c r="FN7" i="4"/>
  <c r="FM7" i="4"/>
  <c r="FL7" i="4"/>
  <c r="FP6" i="4"/>
  <c r="FN6" i="4"/>
  <c r="FM6" i="4"/>
  <c r="FL6" i="4"/>
  <c r="FP5" i="4"/>
  <c r="FN5" i="4"/>
  <c r="FM5" i="4"/>
  <c r="FL5" i="4"/>
  <c r="FP4" i="4"/>
  <c r="FN4" i="4"/>
  <c r="FM4" i="4"/>
  <c r="FL4" i="4"/>
  <c r="EU21" i="4"/>
  <c r="ES21" i="4"/>
  <c r="ER21" i="4"/>
  <c r="EQ21" i="4"/>
  <c r="EU20" i="4"/>
  <c r="ES20" i="4"/>
  <c r="ER20" i="4"/>
  <c r="EQ20" i="4"/>
  <c r="EU19" i="4"/>
  <c r="ES19" i="4"/>
  <c r="ER19" i="4"/>
  <c r="EQ19" i="4"/>
  <c r="EU18" i="4"/>
  <c r="ES18" i="4"/>
  <c r="ER18" i="4"/>
  <c r="EQ18" i="4"/>
  <c r="EU17" i="4"/>
  <c r="ES17" i="4"/>
  <c r="ER17" i="4"/>
  <c r="EQ17" i="4"/>
  <c r="EU16" i="4"/>
  <c r="ES16" i="4"/>
  <c r="ER16" i="4"/>
  <c r="EQ16" i="4"/>
  <c r="EU15" i="4"/>
  <c r="ES15" i="4"/>
  <c r="ER15" i="4"/>
  <c r="EQ15" i="4"/>
  <c r="EU14" i="4"/>
  <c r="ES14" i="4"/>
  <c r="ER14" i="4"/>
  <c r="EQ14" i="4"/>
  <c r="EU13" i="4"/>
  <c r="ES13" i="4"/>
  <c r="ER13" i="4"/>
  <c r="EQ13" i="4"/>
  <c r="EU12" i="4"/>
  <c r="ES12" i="4"/>
  <c r="ER12" i="4"/>
  <c r="EQ12" i="4"/>
  <c r="EU10" i="4"/>
  <c r="ES10" i="4"/>
  <c r="ER10" i="4"/>
  <c r="EQ10" i="4"/>
  <c r="EU9" i="4"/>
  <c r="ES9" i="4"/>
  <c r="ER9" i="4"/>
  <c r="EQ9" i="4"/>
  <c r="EU11" i="4"/>
  <c r="ES11" i="4"/>
  <c r="ER11" i="4"/>
  <c r="EQ11" i="4"/>
  <c r="EU8" i="4"/>
  <c r="ES8" i="4"/>
  <c r="ER8" i="4"/>
  <c r="EQ8" i="4"/>
  <c r="EU7" i="4"/>
  <c r="ES7" i="4"/>
  <c r="ER7" i="4"/>
  <c r="EQ7" i="4"/>
  <c r="EU6" i="4"/>
  <c r="ES6" i="4"/>
  <c r="ER6" i="4"/>
  <c r="EQ6" i="4"/>
  <c r="EU5" i="4"/>
  <c r="ES5" i="4"/>
  <c r="ER5" i="4"/>
  <c r="EQ5" i="4"/>
  <c r="EU4" i="4"/>
  <c r="ES4" i="4"/>
  <c r="ER4" i="4"/>
  <c r="EQ4" i="4"/>
  <c r="DZ21" i="4"/>
  <c r="DX21" i="4"/>
  <c r="DW21" i="4"/>
  <c r="DV21" i="4"/>
  <c r="DZ20" i="4"/>
  <c r="DX20" i="4"/>
  <c r="DW20" i="4"/>
  <c r="DV20" i="4"/>
  <c r="DZ19" i="4"/>
  <c r="DX19" i="4"/>
  <c r="DW19" i="4"/>
  <c r="DV19" i="4"/>
  <c r="DZ18" i="4"/>
  <c r="DX18" i="4"/>
  <c r="DW18" i="4"/>
  <c r="DV18" i="4"/>
  <c r="DZ17" i="4"/>
  <c r="DX17" i="4"/>
  <c r="DW17" i="4"/>
  <c r="DV17" i="4"/>
  <c r="DZ16" i="4"/>
  <c r="DX16" i="4"/>
  <c r="DW16" i="4"/>
  <c r="DV16" i="4"/>
  <c r="DZ15" i="4"/>
  <c r="DX15" i="4"/>
  <c r="DW15" i="4"/>
  <c r="DV15" i="4"/>
  <c r="DZ14" i="4"/>
  <c r="DX14" i="4"/>
  <c r="DW14" i="4"/>
  <c r="DV14" i="4"/>
  <c r="DZ13" i="4"/>
  <c r="DX13" i="4"/>
  <c r="DW13" i="4"/>
  <c r="DV13" i="4"/>
  <c r="DZ12" i="4"/>
  <c r="DX12" i="4"/>
  <c r="DW12" i="4"/>
  <c r="DV12" i="4"/>
  <c r="DZ10" i="4"/>
  <c r="DX10" i="4"/>
  <c r="DW10" i="4"/>
  <c r="DV10" i="4"/>
  <c r="DZ9" i="4"/>
  <c r="DX9" i="4"/>
  <c r="DW9" i="4"/>
  <c r="DV9" i="4"/>
  <c r="DZ11" i="4"/>
  <c r="DX11" i="4"/>
  <c r="DW11" i="4"/>
  <c r="DV11" i="4"/>
  <c r="DZ8" i="4"/>
  <c r="DX8" i="4"/>
  <c r="DW8" i="4"/>
  <c r="DV8" i="4"/>
  <c r="DZ7" i="4"/>
  <c r="DX7" i="4"/>
  <c r="DW7" i="4"/>
  <c r="DV7" i="4"/>
  <c r="DZ6" i="4"/>
  <c r="DX6" i="4"/>
  <c r="DW6" i="4"/>
  <c r="DV6" i="4"/>
  <c r="DZ5" i="4"/>
  <c r="DX5" i="4"/>
  <c r="DW5" i="4"/>
  <c r="DV5" i="4"/>
  <c r="DZ4" i="4"/>
  <c r="DX4" i="4"/>
  <c r="DW4" i="4"/>
  <c r="DV4" i="4"/>
  <c r="DE21" i="4"/>
  <c r="DC21" i="4"/>
  <c r="DB21" i="4"/>
  <c r="DA21" i="4"/>
  <c r="DE20" i="4"/>
  <c r="DC20" i="4"/>
  <c r="DB20" i="4"/>
  <c r="DA20" i="4"/>
  <c r="DE19" i="4"/>
  <c r="DC19" i="4"/>
  <c r="DB19" i="4"/>
  <c r="DA19" i="4"/>
  <c r="DE18" i="4"/>
  <c r="DC18" i="4"/>
  <c r="DB18" i="4"/>
  <c r="DA18" i="4"/>
  <c r="DE17" i="4"/>
  <c r="DC17" i="4"/>
  <c r="DB17" i="4"/>
  <c r="DA17" i="4"/>
  <c r="DE16" i="4"/>
  <c r="DC16" i="4"/>
  <c r="DB16" i="4"/>
  <c r="DA16" i="4"/>
  <c r="DE15" i="4"/>
  <c r="DC15" i="4"/>
  <c r="DB15" i="4"/>
  <c r="DA15" i="4"/>
  <c r="DE14" i="4"/>
  <c r="DC14" i="4"/>
  <c r="DB14" i="4"/>
  <c r="DA14" i="4"/>
  <c r="DE13" i="4"/>
  <c r="DC13" i="4"/>
  <c r="DB13" i="4"/>
  <c r="DA13" i="4"/>
  <c r="DE12" i="4"/>
  <c r="DC12" i="4"/>
  <c r="DB12" i="4"/>
  <c r="DA12" i="4"/>
  <c r="DE10" i="4"/>
  <c r="DC10" i="4"/>
  <c r="DB10" i="4"/>
  <c r="DA10" i="4"/>
  <c r="DE9" i="4"/>
  <c r="DC9" i="4"/>
  <c r="DB9" i="4"/>
  <c r="DA9" i="4"/>
  <c r="DE11" i="4"/>
  <c r="DC11" i="4"/>
  <c r="DB11" i="4"/>
  <c r="DA11" i="4"/>
  <c r="DE8" i="4"/>
  <c r="DC8" i="4"/>
  <c r="DB8" i="4"/>
  <c r="DA8" i="4"/>
  <c r="DE7" i="4"/>
  <c r="DC7" i="4"/>
  <c r="DB7" i="4"/>
  <c r="DA7" i="4"/>
  <c r="DE6" i="4"/>
  <c r="DC6" i="4"/>
  <c r="DB6" i="4"/>
  <c r="DA6" i="4"/>
  <c r="DE5" i="4"/>
  <c r="DC5" i="4"/>
  <c r="DB5" i="4"/>
  <c r="DA5" i="4"/>
  <c r="DE4" i="4"/>
  <c r="DC4" i="4"/>
  <c r="DB4" i="4"/>
  <c r="DA4" i="4"/>
  <c r="CJ21" i="4"/>
  <c r="CH21" i="4"/>
  <c r="CG21" i="4"/>
  <c r="CF21" i="4"/>
  <c r="CJ20" i="4"/>
  <c r="CH20" i="4"/>
  <c r="CG20" i="4"/>
  <c r="CF20" i="4"/>
  <c r="CJ19" i="4"/>
  <c r="CH19" i="4"/>
  <c r="CG19" i="4"/>
  <c r="CF19" i="4"/>
  <c r="CJ18" i="4"/>
  <c r="CH18" i="4"/>
  <c r="CG18" i="4"/>
  <c r="CF18" i="4"/>
  <c r="CJ17" i="4"/>
  <c r="CH17" i="4"/>
  <c r="CG17" i="4"/>
  <c r="CF17" i="4"/>
  <c r="CJ16" i="4"/>
  <c r="CH16" i="4"/>
  <c r="CG16" i="4"/>
  <c r="CF16" i="4"/>
  <c r="CJ15" i="4"/>
  <c r="CH15" i="4"/>
  <c r="CG15" i="4"/>
  <c r="CF15" i="4"/>
  <c r="CJ14" i="4"/>
  <c r="CH14" i="4"/>
  <c r="CG14" i="4"/>
  <c r="CF14" i="4"/>
  <c r="CJ13" i="4"/>
  <c r="CH13" i="4"/>
  <c r="CG13" i="4"/>
  <c r="CF13" i="4"/>
  <c r="CJ12" i="4"/>
  <c r="CH12" i="4"/>
  <c r="CG12" i="4"/>
  <c r="CF12" i="4"/>
  <c r="CJ10" i="4"/>
  <c r="CH10" i="4"/>
  <c r="CG10" i="4"/>
  <c r="CF10" i="4"/>
  <c r="CJ9" i="4"/>
  <c r="CH9" i="4"/>
  <c r="CG9" i="4"/>
  <c r="CF9" i="4"/>
  <c r="CJ11" i="4"/>
  <c r="CH11" i="4"/>
  <c r="CG11" i="4"/>
  <c r="CF11" i="4"/>
  <c r="CJ8" i="4"/>
  <c r="CH8" i="4"/>
  <c r="CG8" i="4"/>
  <c r="CF8" i="4"/>
  <c r="CJ7" i="4"/>
  <c r="CH7" i="4"/>
  <c r="CG7" i="4"/>
  <c r="CF7" i="4"/>
  <c r="CJ6" i="4"/>
  <c r="CH6" i="4"/>
  <c r="CG6" i="4"/>
  <c r="CF6" i="4"/>
  <c r="CJ5" i="4"/>
  <c r="CH5" i="4"/>
  <c r="CG5" i="4"/>
  <c r="CF5" i="4"/>
  <c r="CJ4" i="4"/>
  <c r="CH4" i="4"/>
  <c r="CG4" i="4"/>
  <c r="CF4" i="4"/>
  <c r="CI16" i="10" l="1"/>
  <c r="CI11" i="10"/>
  <c r="CI15" i="10"/>
  <c r="DD16" i="10"/>
  <c r="DD11" i="10"/>
  <c r="DF11" i="10" s="1"/>
  <c r="DD15" i="10"/>
  <c r="DF15" i="10" s="1"/>
  <c r="DY16" i="10"/>
  <c r="EA16" i="10" s="1"/>
  <c r="DY11" i="10"/>
  <c r="EA11" i="10" s="1"/>
  <c r="DY15" i="10"/>
  <c r="ET16" i="10"/>
  <c r="EV16" i="10" s="1"/>
  <c r="GJ16" i="10"/>
  <c r="IU11" i="10"/>
  <c r="IW11" i="10" s="1"/>
  <c r="IU15" i="10"/>
  <c r="IW15" i="10" s="1"/>
  <c r="HE4" i="9"/>
  <c r="HG4" i="9" s="1"/>
  <c r="HE12" i="9"/>
  <c r="KM19" i="9"/>
  <c r="HE8" i="2"/>
  <c r="JP8" i="2"/>
  <c r="JR8" i="2" s="1"/>
  <c r="DY9" i="2"/>
  <c r="EA9" i="2" s="1"/>
  <c r="GJ13" i="2"/>
  <c r="GL13" i="2" s="1"/>
  <c r="HE5" i="2"/>
  <c r="HG5" i="2" s="1"/>
  <c r="HE13" i="2"/>
  <c r="HG13" i="2" s="1"/>
  <c r="HZ10" i="2"/>
  <c r="IB10" i="2" s="1"/>
  <c r="HZ12" i="2"/>
  <c r="IB12" i="2" s="1"/>
  <c r="CI4" i="4"/>
  <c r="CI6" i="4"/>
  <c r="CK6" i="4" s="1"/>
  <c r="CI8" i="4"/>
  <c r="CI12" i="4"/>
  <c r="GJ4" i="4"/>
  <c r="HE4" i="4"/>
  <c r="HG4" i="4" s="1"/>
  <c r="HE6" i="4"/>
  <c r="HG6" i="4" s="1"/>
  <c r="HE8" i="4"/>
  <c r="HG8" i="4" s="1"/>
  <c r="HE9" i="4"/>
  <c r="HE12" i="4"/>
  <c r="HE14" i="4"/>
  <c r="HE16" i="4"/>
  <c r="HG16" i="4" s="1"/>
  <c r="HE18" i="4"/>
  <c r="HG18" i="4" s="1"/>
  <c r="HE20" i="4"/>
  <c r="HG20" i="4" s="1"/>
  <c r="HZ4" i="4"/>
  <c r="IB4" i="4" s="1"/>
  <c r="HZ6" i="4"/>
  <c r="IB6" i="4" s="1"/>
  <c r="HZ8" i="4"/>
  <c r="HZ9" i="4"/>
  <c r="HZ12" i="4"/>
  <c r="HZ14" i="4"/>
  <c r="IB14" i="4" s="1"/>
  <c r="HZ16" i="4"/>
  <c r="IB16" i="4" s="1"/>
  <c r="HZ18" i="4"/>
  <c r="IB18" i="4" s="1"/>
  <c r="HZ20" i="4"/>
  <c r="IB20" i="4" s="1"/>
  <c r="IU4" i="4"/>
  <c r="IW4" i="4" s="1"/>
  <c r="IU6" i="4"/>
  <c r="IU8" i="4"/>
  <c r="JP16" i="10"/>
  <c r="JR16" i="10" s="1"/>
  <c r="JP11" i="10"/>
  <c r="JP15" i="10"/>
  <c r="JR15" i="10" s="1"/>
  <c r="DY7" i="10"/>
  <c r="EA7" i="10" s="1"/>
  <c r="CI4" i="10"/>
  <c r="CK4" i="10" s="1"/>
  <c r="CI6" i="10"/>
  <c r="CK6" i="10" s="1"/>
  <c r="CI8" i="10"/>
  <c r="CK8" i="10" s="1"/>
  <c r="CI10" i="10"/>
  <c r="CK10" i="10" s="1"/>
  <c r="CI12" i="10"/>
  <c r="CK12" i="10" s="1"/>
  <c r="CI14" i="10"/>
  <c r="CK14" i="10" s="1"/>
  <c r="DD4" i="10"/>
  <c r="DF4" i="10" s="1"/>
  <c r="DD6" i="10"/>
  <c r="DF6" i="10" s="1"/>
  <c r="DD8" i="10"/>
  <c r="DD10" i="10"/>
  <c r="GJ6" i="10"/>
  <c r="GL6" i="10" s="1"/>
  <c r="GJ12" i="10"/>
  <c r="GL12" i="10" s="1"/>
  <c r="HE4" i="10"/>
  <c r="HG4" i="10" s="1"/>
  <c r="HE8" i="10"/>
  <c r="HG8" i="10" s="1"/>
  <c r="HE12" i="10"/>
  <c r="HG12" i="10" s="1"/>
  <c r="HZ4" i="10"/>
  <c r="IB4" i="10" s="1"/>
  <c r="HZ6" i="10"/>
  <c r="IB6" i="10" s="1"/>
  <c r="HZ8" i="10"/>
  <c r="IB8" i="10" s="1"/>
  <c r="HZ10" i="10"/>
  <c r="IB10" i="10" s="1"/>
  <c r="HZ12" i="10"/>
  <c r="IB12" i="10" s="1"/>
  <c r="HZ14" i="10"/>
  <c r="IB14" i="10" s="1"/>
  <c r="IU4" i="10"/>
  <c r="IW4" i="10" s="1"/>
  <c r="IU6" i="10"/>
  <c r="IW6" i="10" s="1"/>
  <c r="IU8" i="10"/>
  <c r="IW8" i="10" s="1"/>
  <c r="IU10" i="10"/>
  <c r="IW10" i="10" s="1"/>
  <c r="IU12" i="10"/>
  <c r="IW12" i="10" s="1"/>
  <c r="IU14" i="10"/>
  <c r="IW14" i="10" s="1"/>
  <c r="JP4" i="10"/>
  <c r="JR4" i="10" s="1"/>
  <c r="JP6" i="10"/>
  <c r="JR6" i="10" s="1"/>
  <c r="JP8" i="10"/>
  <c r="JR8" i="10" s="1"/>
  <c r="JP10" i="10"/>
  <c r="JR10" i="10" s="1"/>
  <c r="ET14" i="9"/>
  <c r="IU9" i="9"/>
  <c r="IW9" i="9" s="1"/>
  <c r="IU16" i="9"/>
  <c r="JP5" i="9"/>
  <c r="JR5" i="9" s="1"/>
  <c r="JP9" i="9"/>
  <c r="JR9" i="9" s="1"/>
  <c r="JP14" i="9"/>
  <c r="JR14" i="9" s="1"/>
  <c r="JP16" i="9"/>
  <c r="JR16" i="9" s="1"/>
  <c r="KK9" i="9"/>
  <c r="KM9" i="9" s="1"/>
  <c r="CI4" i="9"/>
  <c r="CK4" i="9" s="1"/>
  <c r="CI6" i="9"/>
  <c r="CK6" i="9" s="1"/>
  <c r="CI8" i="9"/>
  <c r="CK8" i="9" s="1"/>
  <c r="CI10" i="9"/>
  <c r="CK10" i="9" s="1"/>
  <c r="CI12" i="9"/>
  <c r="CK12" i="9" s="1"/>
  <c r="CI13" i="9"/>
  <c r="CK13" i="9" s="1"/>
  <c r="CI15" i="9"/>
  <c r="CK15" i="9" s="1"/>
  <c r="CI17" i="9"/>
  <c r="CK17" i="9" s="1"/>
  <c r="DD4" i="9"/>
  <c r="DF4" i="9" s="1"/>
  <c r="DD6" i="9"/>
  <c r="DF6" i="9" s="1"/>
  <c r="DD8" i="9"/>
  <c r="DF8" i="9" s="1"/>
  <c r="DD10" i="9"/>
  <c r="DF10" i="9" s="1"/>
  <c r="DD12" i="9"/>
  <c r="DF12" i="9" s="1"/>
  <c r="DD15" i="9"/>
  <c r="DF15" i="9" s="1"/>
  <c r="DY4" i="9"/>
  <c r="EA4" i="9" s="1"/>
  <c r="DY6" i="9"/>
  <c r="EA6" i="9" s="1"/>
  <c r="DY8" i="9"/>
  <c r="EA8" i="9" s="1"/>
  <c r="DY10" i="9"/>
  <c r="EA10" i="9" s="1"/>
  <c r="DY12" i="9"/>
  <c r="EA12" i="9" s="1"/>
  <c r="DY13" i="9"/>
  <c r="EA13" i="9" s="1"/>
  <c r="DY15" i="9"/>
  <c r="HE15" i="9"/>
  <c r="HG15" i="9" s="1"/>
  <c r="IU8" i="9"/>
  <c r="IW8" i="9" s="1"/>
  <c r="IU10" i="9"/>
  <c r="IW10" i="9" s="1"/>
  <c r="IU13" i="9"/>
  <c r="IU15" i="9"/>
  <c r="IW15" i="9" s="1"/>
  <c r="IU17" i="9"/>
  <c r="JP4" i="9"/>
  <c r="JR4" i="9" s="1"/>
  <c r="JP6" i="9"/>
  <c r="JR6" i="9" s="1"/>
  <c r="JP8" i="9"/>
  <c r="JR8" i="9" s="1"/>
  <c r="JP10" i="9"/>
  <c r="JR10" i="9" s="1"/>
  <c r="JP12" i="9"/>
  <c r="JR12" i="9" s="1"/>
  <c r="JP13" i="9"/>
  <c r="JR13" i="9" s="1"/>
  <c r="JP15" i="9"/>
  <c r="JP17" i="9"/>
  <c r="JR17" i="9" s="1"/>
  <c r="KK4" i="9"/>
  <c r="KM4" i="9" s="1"/>
  <c r="KK8" i="9"/>
  <c r="KM8" i="9" s="1"/>
  <c r="KK15" i="9"/>
  <c r="KM15" i="9" s="1"/>
  <c r="KK17" i="9"/>
  <c r="KM17" i="9" s="1"/>
  <c r="GJ10" i="2"/>
  <c r="GL10" i="2" s="1"/>
  <c r="HE12" i="2"/>
  <c r="HG12" i="2" s="1"/>
  <c r="DY11" i="2"/>
  <c r="EA11" i="2" s="1"/>
  <c r="DY13" i="2"/>
  <c r="EA13" i="2" s="1"/>
  <c r="GJ5" i="2"/>
  <c r="GL5" i="2" s="1"/>
  <c r="HZ5" i="2"/>
  <c r="IB5" i="2" s="1"/>
  <c r="HZ9" i="2"/>
  <c r="IB9" i="2" s="1"/>
  <c r="HZ13" i="2"/>
  <c r="IB13" i="2" s="1"/>
  <c r="IU5" i="2"/>
  <c r="IW5" i="2" s="1"/>
  <c r="IU13" i="2"/>
  <c r="IW13" i="2" s="1"/>
  <c r="JP5" i="2"/>
  <c r="JR5" i="2" s="1"/>
  <c r="JP7" i="2"/>
  <c r="JR7" i="2" s="1"/>
  <c r="GJ12" i="2"/>
  <c r="GL12" i="2" s="1"/>
  <c r="HE4" i="2"/>
  <c r="HG4" i="2" s="1"/>
  <c r="HE6" i="2"/>
  <c r="HG6" i="2" s="1"/>
  <c r="IU4" i="2"/>
  <c r="IW4" i="2" s="1"/>
  <c r="IU6" i="2"/>
  <c r="IW6" i="2" s="1"/>
  <c r="IU10" i="2"/>
  <c r="IW10" i="2" s="1"/>
  <c r="IU12" i="2"/>
  <c r="IW12" i="2" s="1"/>
  <c r="JP10" i="2"/>
  <c r="JP12" i="2"/>
  <c r="KK4" i="2"/>
  <c r="KM4" i="2" s="1"/>
  <c r="KK6" i="2"/>
  <c r="KM6" i="2" s="1"/>
  <c r="KK8" i="2"/>
  <c r="KM8" i="2" s="1"/>
  <c r="KK10" i="2"/>
  <c r="KM10" i="2" s="1"/>
  <c r="KK12" i="2"/>
  <c r="KM12" i="2" s="1"/>
  <c r="CI10" i="4"/>
  <c r="CK10" i="4" s="1"/>
  <c r="HZ19" i="4"/>
  <c r="IB19" i="4" s="1"/>
  <c r="IU15" i="4"/>
  <c r="IW15" i="4" s="1"/>
  <c r="JP10" i="4"/>
  <c r="HE7" i="4"/>
  <c r="HG7" i="4" s="1"/>
  <c r="HE19" i="4"/>
  <c r="HG19" i="4" s="1"/>
  <c r="HZ10" i="4"/>
  <c r="IB10" i="4" s="1"/>
  <c r="IU7" i="4"/>
  <c r="IW7" i="4" s="1"/>
  <c r="HE15" i="4"/>
  <c r="HG15" i="4" s="1"/>
  <c r="CI16" i="4"/>
  <c r="CK16" i="4" s="1"/>
  <c r="DY18" i="4"/>
  <c r="GJ19" i="4"/>
  <c r="GJ16" i="4"/>
  <c r="GL16" i="4" s="1"/>
  <c r="HZ7" i="4"/>
  <c r="IB7" i="4" s="1"/>
  <c r="IU10" i="4"/>
  <c r="IW10" i="4" s="1"/>
  <c r="HE10" i="4"/>
  <c r="HG10" i="4" s="1"/>
  <c r="HZ15" i="4"/>
  <c r="IB15" i="4" s="1"/>
  <c r="IU19" i="4"/>
  <c r="IW19" i="4" s="1"/>
  <c r="CI13" i="4"/>
  <c r="CK13" i="4" s="1"/>
  <c r="CI17" i="4"/>
  <c r="CK17" i="4" s="1"/>
  <c r="CI21" i="4"/>
  <c r="CK21" i="4" s="1"/>
  <c r="DD5" i="4"/>
  <c r="DF5" i="4" s="1"/>
  <c r="DD21" i="4"/>
  <c r="DF21" i="4" s="1"/>
  <c r="DY5" i="4"/>
  <c r="EA5" i="4" s="1"/>
  <c r="DY13" i="4"/>
  <c r="EA13" i="4" s="1"/>
  <c r="ET9" i="10"/>
  <c r="EV9" i="10" s="1"/>
  <c r="ET13" i="10"/>
  <c r="EV13" i="10" s="1"/>
  <c r="FO5" i="10"/>
  <c r="FQ5" i="10" s="1"/>
  <c r="FO9" i="10"/>
  <c r="FQ9" i="10" s="1"/>
  <c r="FO13" i="10"/>
  <c r="FQ13" i="10" s="1"/>
  <c r="GJ5" i="10"/>
  <c r="GL5" i="10" s="1"/>
  <c r="GJ13" i="10"/>
  <c r="GL13" i="10" s="1"/>
  <c r="HE5" i="10"/>
  <c r="HG5" i="10" s="1"/>
  <c r="HE9" i="10"/>
  <c r="HG9" i="10" s="1"/>
  <c r="HE13" i="10"/>
  <c r="HG13" i="10" s="1"/>
  <c r="HZ5" i="10"/>
  <c r="IB5" i="10" s="1"/>
  <c r="HZ9" i="10"/>
  <c r="IB9" i="10" s="1"/>
  <c r="HZ13" i="10"/>
  <c r="IB13" i="10" s="1"/>
  <c r="IU5" i="10"/>
  <c r="IW5" i="10" s="1"/>
  <c r="JP9" i="10"/>
  <c r="JR9" i="10" s="1"/>
  <c r="DF8" i="10"/>
  <c r="DF10" i="10"/>
  <c r="DD12" i="10"/>
  <c r="DF12" i="10" s="1"/>
  <c r="DD14" i="10"/>
  <c r="DF14" i="10" s="1"/>
  <c r="DY4" i="10"/>
  <c r="EA4" i="10" s="1"/>
  <c r="DY8" i="10"/>
  <c r="EA8" i="10" s="1"/>
  <c r="DY10" i="10"/>
  <c r="EA10" i="10" s="1"/>
  <c r="DY12" i="10"/>
  <c r="EA12" i="10" s="1"/>
  <c r="DY14" i="10"/>
  <c r="EA14" i="10" s="1"/>
  <c r="ET4" i="10"/>
  <c r="EV4" i="10" s="1"/>
  <c r="ET6" i="10"/>
  <c r="EV6" i="10" s="1"/>
  <c r="JP13" i="10"/>
  <c r="JR13" i="10" s="1"/>
  <c r="ET8" i="10"/>
  <c r="EV8" i="10" s="1"/>
  <c r="ET10" i="10"/>
  <c r="EV10" i="10" s="1"/>
  <c r="ET12" i="10"/>
  <c r="EV12" i="10" s="1"/>
  <c r="ET14" i="10"/>
  <c r="EV14" i="10" s="1"/>
  <c r="FO4" i="10"/>
  <c r="FQ4" i="10" s="1"/>
  <c r="KM7" i="10"/>
  <c r="GJ10" i="10"/>
  <c r="GL10" i="10" s="1"/>
  <c r="CK16" i="10"/>
  <c r="CK11" i="10"/>
  <c r="CK15" i="10"/>
  <c r="DF16" i="10"/>
  <c r="EA15" i="10"/>
  <c r="GJ14" i="10"/>
  <c r="GL14" i="10" s="1"/>
  <c r="HE6" i="10"/>
  <c r="HG6" i="10" s="1"/>
  <c r="HE10" i="10"/>
  <c r="HG10" i="10" s="1"/>
  <c r="HE14" i="10"/>
  <c r="HG14" i="10" s="1"/>
  <c r="AN7" i="10"/>
  <c r="J7" i="10" s="1"/>
  <c r="CI5" i="10"/>
  <c r="CK5" i="10" s="1"/>
  <c r="CI9" i="10"/>
  <c r="CK9" i="10" s="1"/>
  <c r="CI13" i="10"/>
  <c r="CK13" i="10" s="1"/>
  <c r="DD5" i="10"/>
  <c r="DF5" i="10" s="1"/>
  <c r="DD9" i="10"/>
  <c r="DF9" i="10" s="1"/>
  <c r="DD13" i="10"/>
  <c r="DF13" i="10" s="1"/>
  <c r="DY5" i="10"/>
  <c r="EA5" i="10" s="1"/>
  <c r="DY9" i="10"/>
  <c r="EA9" i="10" s="1"/>
  <c r="DY13" i="10"/>
  <c r="EA13" i="10" s="1"/>
  <c r="ET5" i="10"/>
  <c r="EV5" i="10" s="1"/>
  <c r="ET11" i="10"/>
  <c r="EV11" i="10" s="1"/>
  <c r="ET15" i="10"/>
  <c r="EV15" i="10" s="1"/>
  <c r="FO16" i="10"/>
  <c r="FQ16" i="10" s="1"/>
  <c r="FO11" i="10"/>
  <c r="FQ11" i="10" s="1"/>
  <c r="FO15" i="10"/>
  <c r="FQ15" i="10" s="1"/>
  <c r="JP12" i="10"/>
  <c r="JR12" i="10" s="1"/>
  <c r="JP14" i="10"/>
  <c r="JR14" i="10" s="1"/>
  <c r="GL16" i="10"/>
  <c r="BL7" i="10"/>
  <c r="GJ9" i="10"/>
  <c r="GL9" i="10" s="1"/>
  <c r="GJ11" i="10"/>
  <c r="GL11" i="10" s="1"/>
  <c r="GJ15" i="10"/>
  <c r="GL15" i="10" s="1"/>
  <c r="HE16" i="10"/>
  <c r="HG16" i="10" s="1"/>
  <c r="HE11" i="10"/>
  <c r="HG11" i="10" s="1"/>
  <c r="HE15" i="10"/>
  <c r="HG15" i="10" s="1"/>
  <c r="HZ16" i="10"/>
  <c r="IB16" i="10" s="1"/>
  <c r="HZ11" i="10"/>
  <c r="IB11" i="10" s="1"/>
  <c r="HZ15" i="10"/>
  <c r="IB15" i="10" s="1"/>
  <c r="IU16" i="10"/>
  <c r="IW16" i="10" s="1"/>
  <c r="JP7" i="10"/>
  <c r="JR7" i="10" s="1"/>
  <c r="GJ7" i="10"/>
  <c r="GL7" i="10" s="1"/>
  <c r="DD7" i="10"/>
  <c r="DF7" i="10" s="1"/>
  <c r="IU9" i="10"/>
  <c r="IW9" i="10" s="1"/>
  <c r="IU13" i="10"/>
  <c r="IW13" i="10" s="1"/>
  <c r="JP5" i="10"/>
  <c r="JR5" i="10" s="1"/>
  <c r="DY6" i="10"/>
  <c r="EA6" i="10" s="1"/>
  <c r="FO6" i="10"/>
  <c r="FQ6" i="10" s="1"/>
  <c r="FO8" i="10"/>
  <c r="FQ8" i="10" s="1"/>
  <c r="FO10" i="10"/>
  <c r="FQ10" i="10" s="1"/>
  <c r="FO12" i="10"/>
  <c r="FQ12" i="10" s="1"/>
  <c r="FO14" i="10"/>
  <c r="FQ14" i="10" s="1"/>
  <c r="GJ4" i="10"/>
  <c r="GL4" i="10" s="1"/>
  <c r="GJ8" i="10"/>
  <c r="GL8" i="10" s="1"/>
  <c r="JR11" i="10"/>
  <c r="KK16" i="10"/>
  <c r="KM16" i="10" s="1"/>
  <c r="KK11" i="10"/>
  <c r="KM11" i="10" s="1"/>
  <c r="KK15" i="10"/>
  <c r="KM15" i="10" s="1"/>
  <c r="P7" i="10"/>
  <c r="IU6" i="9"/>
  <c r="IW6" i="9" s="1"/>
  <c r="KK16" i="9"/>
  <c r="KM16" i="9" s="1"/>
  <c r="HG7" i="9"/>
  <c r="ET16" i="9"/>
  <c r="EV16" i="9" s="1"/>
  <c r="ET18" i="9"/>
  <c r="EV18" i="9" s="1"/>
  <c r="HE9" i="9"/>
  <c r="HG9" i="9" s="1"/>
  <c r="HE19" i="9"/>
  <c r="HG19" i="9" s="1"/>
  <c r="KK12" i="9"/>
  <c r="KM12" i="9" s="1"/>
  <c r="EA15" i="9"/>
  <c r="DY17" i="9"/>
  <c r="EA17" i="9" s="1"/>
  <c r="ET4" i="9"/>
  <c r="EV4" i="9" s="1"/>
  <c r="ET6" i="9"/>
  <c r="EV6" i="9" s="1"/>
  <c r="HE18" i="9"/>
  <c r="HG18" i="9" s="1"/>
  <c r="HZ7" i="9"/>
  <c r="IB7" i="9" s="1"/>
  <c r="HZ11" i="9"/>
  <c r="IB11" i="9" s="1"/>
  <c r="HZ19" i="9"/>
  <c r="IB19" i="9" s="1"/>
  <c r="HZ18" i="9"/>
  <c r="IB18" i="9" s="1"/>
  <c r="IU11" i="9"/>
  <c r="IW11" i="9" s="1"/>
  <c r="ET12" i="9"/>
  <c r="EV12" i="9" s="1"/>
  <c r="ET13" i="9"/>
  <c r="EV13" i="9" s="1"/>
  <c r="KM5" i="9"/>
  <c r="KM7" i="9"/>
  <c r="FO4" i="9"/>
  <c r="FQ4" i="9" s="1"/>
  <c r="FO6" i="9"/>
  <c r="FQ6" i="9" s="1"/>
  <c r="FO8" i="9"/>
  <c r="FQ8" i="9" s="1"/>
  <c r="FO10" i="9"/>
  <c r="FQ10" i="9" s="1"/>
  <c r="FO12" i="9"/>
  <c r="FQ12" i="9" s="1"/>
  <c r="FO13" i="9"/>
  <c r="FQ13" i="9" s="1"/>
  <c r="FO15" i="9"/>
  <c r="FQ15" i="9" s="1"/>
  <c r="FO17" i="9"/>
  <c r="FQ17" i="9" s="1"/>
  <c r="GJ4" i="9"/>
  <c r="GL4" i="9" s="1"/>
  <c r="GJ6" i="9"/>
  <c r="GL6" i="9" s="1"/>
  <c r="GJ8" i="9"/>
  <c r="GL8" i="9" s="1"/>
  <c r="GJ10" i="9"/>
  <c r="GL10" i="9" s="1"/>
  <c r="GJ12" i="9"/>
  <c r="GL12" i="9" s="1"/>
  <c r="GJ13" i="9"/>
  <c r="GL13" i="9" s="1"/>
  <c r="HE8" i="9"/>
  <c r="HG8" i="9" s="1"/>
  <c r="HE10" i="9"/>
  <c r="HG10" i="9" s="1"/>
  <c r="DD13" i="9"/>
  <c r="DF13" i="9" s="1"/>
  <c r="DD17" i="9"/>
  <c r="DF17" i="9" s="1"/>
  <c r="ET8" i="9"/>
  <c r="EV8" i="9" s="1"/>
  <c r="ET10" i="9"/>
  <c r="EV10" i="9" s="1"/>
  <c r="FO5" i="9"/>
  <c r="FQ5" i="9" s="1"/>
  <c r="FO9" i="9"/>
  <c r="FQ9" i="9" s="1"/>
  <c r="FO14" i="9"/>
  <c r="FQ14" i="9" s="1"/>
  <c r="FO16" i="9"/>
  <c r="FQ16" i="9" s="1"/>
  <c r="GJ5" i="9"/>
  <c r="GL5" i="9" s="1"/>
  <c r="GJ9" i="9"/>
  <c r="GL9" i="9" s="1"/>
  <c r="GJ14" i="9"/>
  <c r="GL14" i="9" s="1"/>
  <c r="GJ16" i="9"/>
  <c r="GL16" i="9" s="1"/>
  <c r="HE5" i="9"/>
  <c r="HG5" i="9" s="1"/>
  <c r="HE11" i="9"/>
  <c r="HG11" i="9" s="1"/>
  <c r="IU12" i="9"/>
  <c r="IW12" i="9" s="1"/>
  <c r="KK10" i="9"/>
  <c r="KM10" i="9" s="1"/>
  <c r="KK18" i="9"/>
  <c r="KM18" i="9" s="1"/>
  <c r="ET15" i="9"/>
  <c r="EV15" i="9" s="1"/>
  <c r="ET17" i="9"/>
  <c r="EV17" i="9" s="1"/>
  <c r="HE14" i="9"/>
  <c r="HG14" i="9" s="1"/>
  <c r="JR15" i="9"/>
  <c r="GJ15" i="9"/>
  <c r="GL15" i="9" s="1"/>
  <c r="GJ17" i="9"/>
  <c r="GL17" i="9" s="1"/>
  <c r="HE6" i="9"/>
  <c r="HG6" i="9" s="1"/>
  <c r="HE16" i="9"/>
  <c r="HG16" i="9" s="1"/>
  <c r="HZ5" i="9"/>
  <c r="IB5" i="9" s="1"/>
  <c r="HZ9" i="9"/>
  <c r="IB9" i="9" s="1"/>
  <c r="HZ14" i="9"/>
  <c r="IB14" i="9" s="1"/>
  <c r="HZ16" i="9"/>
  <c r="IB16" i="9" s="1"/>
  <c r="IU5" i="9"/>
  <c r="IW5" i="9" s="1"/>
  <c r="IU7" i="9"/>
  <c r="IW7" i="9" s="1"/>
  <c r="IW13" i="9"/>
  <c r="KK13" i="9"/>
  <c r="KM13" i="9" s="1"/>
  <c r="CI5" i="9"/>
  <c r="CK5" i="9" s="1"/>
  <c r="CI9" i="9"/>
  <c r="CK9" i="9" s="1"/>
  <c r="CI14" i="9"/>
  <c r="CK14" i="9" s="1"/>
  <c r="CI16" i="9"/>
  <c r="CK16" i="9" s="1"/>
  <c r="DD5" i="9"/>
  <c r="DF5" i="9" s="1"/>
  <c r="DD9" i="9"/>
  <c r="DF9" i="9" s="1"/>
  <c r="DD14" i="9"/>
  <c r="DF14" i="9" s="1"/>
  <c r="DD16" i="9"/>
  <c r="DF16" i="9" s="1"/>
  <c r="DY5" i="9"/>
  <c r="EA5" i="9" s="1"/>
  <c r="DY9" i="9"/>
  <c r="EA9" i="9" s="1"/>
  <c r="DY14" i="9"/>
  <c r="EA14" i="9" s="1"/>
  <c r="DY16" i="9"/>
  <c r="EA16" i="9" s="1"/>
  <c r="ET5" i="9"/>
  <c r="EV5" i="9" s="1"/>
  <c r="IW17" i="9"/>
  <c r="ET9" i="9"/>
  <c r="EV9" i="9" s="1"/>
  <c r="HE13" i="9"/>
  <c r="HG13" i="9" s="1"/>
  <c r="IU14" i="9"/>
  <c r="IW14" i="9" s="1"/>
  <c r="IU19" i="9"/>
  <c r="IW19" i="9" s="1"/>
  <c r="KK6" i="9"/>
  <c r="KM6" i="9" s="1"/>
  <c r="EV11" i="9"/>
  <c r="EV14" i="9"/>
  <c r="HG12" i="9"/>
  <c r="HE17" i="9"/>
  <c r="HG17" i="9" s="1"/>
  <c r="HZ4" i="9"/>
  <c r="IB4" i="9" s="1"/>
  <c r="HZ6" i="9"/>
  <c r="IB6" i="9" s="1"/>
  <c r="HZ8" i="9"/>
  <c r="IB8" i="9" s="1"/>
  <c r="HZ10" i="9"/>
  <c r="IB10" i="9" s="1"/>
  <c r="HZ12" i="9"/>
  <c r="IB12" i="9" s="1"/>
  <c r="HZ15" i="9"/>
  <c r="IB15" i="9" s="1"/>
  <c r="HZ17" i="9"/>
  <c r="IB17" i="9" s="1"/>
  <c r="IU4" i="9"/>
  <c r="IW4" i="9" s="1"/>
  <c r="IW16" i="9"/>
  <c r="IU18" i="9"/>
  <c r="IW18" i="9" s="1"/>
  <c r="JP7" i="9"/>
  <c r="JR7" i="9" s="1"/>
  <c r="JP11" i="9"/>
  <c r="JR11" i="9" s="1"/>
  <c r="JP19" i="9"/>
  <c r="JR19" i="9" s="1"/>
  <c r="JP18" i="9"/>
  <c r="JR18" i="9" s="1"/>
  <c r="GJ9" i="2"/>
  <c r="GL9" i="2" s="1"/>
  <c r="DY6" i="2"/>
  <c r="EA6" i="2" s="1"/>
  <c r="DY8" i="2"/>
  <c r="EA8" i="2" s="1"/>
  <c r="HE11" i="2"/>
  <c r="HG11" i="2" s="1"/>
  <c r="GJ7" i="2"/>
  <c r="GL7" i="2" s="1"/>
  <c r="ET4" i="2"/>
  <c r="EV4" i="2" s="1"/>
  <c r="ET6" i="2"/>
  <c r="EV6" i="2" s="1"/>
  <c r="ET8" i="2"/>
  <c r="EV8" i="2" s="1"/>
  <c r="ET10" i="2"/>
  <c r="EV10" i="2" s="1"/>
  <c r="ET12" i="2"/>
  <c r="EV12" i="2" s="1"/>
  <c r="FO4" i="2"/>
  <c r="FQ4" i="2" s="1"/>
  <c r="FO6" i="2"/>
  <c r="FQ6" i="2" s="1"/>
  <c r="FO8" i="2"/>
  <c r="FQ8" i="2" s="1"/>
  <c r="FO10" i="2"/>
  <c r="FQ10" i="2" s="1"/>
  <c r="FO12" i="2"/>
  <c r="FQ12" i="2" s="1"/>
  <c r="HZ7" i="2"/>
  <c r="IB7" i="2" s="1"/>
  <c r="IU7" i="2"/>
  <c r="IW7" i="2" s="1"/>
  <c r="HZ4" i="2"/>
  <c r="IB4" i="2" s="1"/>
  <c r="CK5" i="2"/>
  <c r="CK9" i="2"/>
  <c r="CK13" i="2"/>
  <c r="DF9" i="2"/>
  <c r="DF13" i="2"/>
  <c r="EA5" i="2"/>
  <c r="ET5" i="2"/>
  <c r="EV5" i="2" s="1"/>
  <c r="ET9" i="2"/>
  <c r="EV9" i="2" s="1"/>
  <c r="ET13" i="2"/>
  <c r="FO5" i="2"/>
  <c r="FQ5" i="2" s="1"/>
  <c r="FO9" i="2"/>
  <c r="FQ9" i="2" s="1"/>
  <c r="FO13" i="2"/>
  <c r="FQ13" i="2" s="1"/>
  <c r="DY10" i="2"/>
  <c r="EA10" i="2" s="1"/>
  <c r="DY12" i="2"/>
  <c r="EA12" i="2" s="1"/>
  <c r="GJ11" i="2"/>
  <c r="GL11" i="2" s="1"/>
  <c r="HG8" i="2"/>
  <c r="HZ6" i="2"/>
  <c r="IB6" i="2" s="1"/>
  <c r="HZ8" i="2"/>
  <c r="IB8" i="2" s="1"/>
  <c r="IU11" i="2"/>
  <c r="IW11" i="2" s="1"/>
  <c r="GJ4" i="2"/>
  <c r="GL4" i="2" s="1"/>
  <c r="GJ6" i="2"/>
  <c r="GL6" i="2" s="1"/>
  <c r="GJ8" i="2"/>
  <c r="GL8" i="2" s="1"/>
  <c r="HE7" i="2"/>
  <c r="HG7" i="2" s="1"/>
  <c r="HE9" i="2"/>
  <c r="HG9" i="2" s="1"/>
  <c r="IU8" i="2"/>
  <c r="IW8" i="2" s="1"/>
  <c r="JP11" i="2"/>
  <c r="JR11" i="2" s="1"/>
  <c r="KK7" i="2"/>
  <c r="KM7" i="2" s="1"/>
  <c r="KK11" i="2"/>
  <c r="KM11" i="2" s="1"/>
  <c r="CI7" i="2"/>
  <c r="CK7" i="2" s="1"/>
  <c r="CI11" i="2"/>
  <c r="CK11" i="2" s="1"/>
  <c r="DD5" i="2"/>
  <c r="DF5" i="2" s="1"/>
  <c r="DD7" i="2"/>
  <c r="DF7" i="2" s="1"/>
  <c r="DD11" i="2"/>
  <c r="DF11" i="2" s="1"/>
  <c r="DY7" i="2"/>
  <c r="EA7" i="2" s="1"/>
  <c r="EV13" i="2"/>
  <c r="JR10" i="2"/>
  <c r="JR12" i="2"/>
  <c r="CI4" i="2"/>
  <c r="CK4" i="2" s="1"/>
  <c r="CI6" i="2"/>
  <c r="CK6" i="2" s="1"/>
  <c r="CI8" i="2"/>
  <c r="CK8" i="2" s="1"/>
  <c r="CI10" i="2"/>
  <c r="CK10" i="2" s="1"/>
  <c r="CI12" i="2"/>
  <c r="CK12" i="2" s="1"/>
  <c r="DD4" i="2"/>
  <c r="DF4" i="2" s="1"/>
  <c r="DD6" i="2"/>
  <c r="DF6" i="2" s="1"/>
  <c r="DD8" i="2"/>
  <c r="DF8" i="2" s="1"/>
  <c r="DD10" i="2"/>
  <c r="DF10" i="2" s="1"/>
  <c r="DD12" i="2"/>
  <c r="DF12" i="2" s="1"/>
  <c r="DY4" i="2"/>
  <c r="EA4" i="2" s="1"/>
  <c r="ET7" i="2"/>
  <c r="EV7" i="2" s="1"/>
  <c r="ET11" i="2"/>
  <c r="EV11" i="2" s="1"/>
  <c r="FO7" i="2"/>
  <c r="FQ7" i="2" s="1"/>
  <c r="FO11" i="2"/>
  <c r="FQ11" i="2" s="1"/>
  <c r="HE10" i="2"/>
  <c r="HG10" i="2" s="1"/>
  <c r="HZ11" i="2"/>
  <c r="IB11" i="2" s="1"/>
  <c r="IU9" i="2"/>
  <c r="IW9" i="2" s="1"/>
  <c r="ET15" i="4"/>
  <c r="EV15" i="4" s="1"/>
  <c r="FO19" i="4"/>
  <c r="FQ19" i="4" s="1"/>
  <c r="FO15" i="4"/>
  <c r="FQ15" i="4" s="1"/>
  <c r="JP5" i="4"/>
  <c r="JR5" i="4" s="1"/>
  <c r="JP11" i="4"/>
  <c r="JR11" i="4" s="1"/>
  <c r="DY7" i="4"/>
  <c r="EA7" i="4" s="1"/>
  <c r="ET7" i="4"/>
  <c r="EV7" i="4" s="1"/>
  <c r="FO7" i="4"/>
  <c r="FQ7" i="4" s="1"/>
  <c r="ET19" i="4"/>
  <c r="EV19" i="4" s="1"/>
  <c r="DY6" i="4"/>
  <c r="EA6" i="4" s="1"/>
  <c r="DY8" i="4"/>
  <c r="EA8" i="4" s="1"/>
  <c r="DY9" i="4"/>
  <c r="EA9" i="4" s="1"/>
  <c r="DY12" i="4"/>
  <c r="EA12" i="4" s="1"/>
  <c r="DY14" i="4"/>
  <c r="EA14" i="4" s="1"/>
  <c r="JP15" i="4"/>
  <c r="JR15" i="4" s="1"/>
  <c r="JP17" i="4"/>
  <c r="JR17" i="4" s="1"/>
  <c r="EA18" i="4"/>
  <c r="GJ8" i="4"/>
  <c r="GL8" i="4" s="1"/>
  <c r="GJ9" i="4"/>
  <c r="GL9" i="4" s="1"/>
  <c r="GJ12" i="4"/>
  <c r="GL12" i="4" s="1"/>
  <c r="DY19" i="4"/>
  <c r="EA19" i="4" s="1"/>
  <c r="ET10" i="4"/>
  <c r="EV10" i="4" s="1"/>
  <c r="HG9" i="4"/>
  <c r="HG12" i="4"/>
  <c r="HG14" i="4"/>
  <c r="IB8" i="4"/>
  <c r="IB9" i="4"/>
  <c r="IB12" i="4"/>
  <c r="IW6" i="4"/>
  <c r="IW8" i="4"/>
  <c r="IU9" i="4"/>
  <c r="IW9" i="4" s="1"/>
  <c r="IU12" i="4"/>
  <c r="IW12" i="4" s="1"/>
  <c r="IU14" i="4"/>
  <c r="IW14" i="4" s="1"/>
  <c r="IU16" i="4"/>
  <c r="IW16" i="4" s="1"/>
  <c r="IU18" i="4"/>
  <c r="IW18" i="4" s="1"/>
  <c r="IU20" i="4"/>
  <c r="IW20" i="4" s="1"/>
  <c r="JP6" i="4"/>
  <c r="JR6" i="4" s="1"/>
  <c r="JP8" i="4"/>
  <c r="JR8" i="4" s="1"/>
  <c r="DY15" i="4"/>
  <c r="FO10" i="4"/>
  <c r="FQ10" i="4" s="1"/>
  <c r="CI5" i="4"/>
  <c r="CK5" i="4" s="1"/>
  <c r="GJ20" i="4"/>
  <c r="GL20" i="4" s="1"/>
  <c r="KK4" i="4"/>
  <c r="KM4" i="4" s="1"/>
  <c r="KK6" i="4"/>
  <c r="KM6" i="4" s="1"/>
  <c r="KK8" i="4"/>
  <c r="KM8" i="4" s="1"/>
  <c r="KK9" i="4"/>
  <c r="KM9" i="4" s="1"/>
  <c r="KK12" i="4"/>
  <c r="KM12" i="4" s="1"/>
  <c r="KK14" i="4"/>
  <c r="KM14" i="4" s="1"/>
  <c r="KK16" i="4"/>
  <c r="KM16" i="4" s="1"/>
  <c r="KK18" i="4"/>
  <c r="KM18" i="4" s="1"/>
  <c r="KK20" i="4"/>
  <c r="KM20" i="4" s="1"/>
  <c r="CK12" i="4"/>
  <c r="GJ7" i="4"/>
  <c r="GL7" i="4" s="1"/>
  <c r="JP19" i="4"/>
  <c r="JR19" i="4" s="1"/>
  <c r="CI7" i="4"/>
  <c r="CK7" i="4" s="1"/>
  <c r="CI11" i="4"/>
  <c r="CK11" i="4" s="1"/>
  <c r="DY16" i="4"/>
  <c r="EA16" i="4" s="1"/>
  <c r="GJ10" i="4"/>
  <c r="GL10" i="4" s="1"/>
  <c r="GL13" i="4"/>
  <c r="JP9" i="4"/>
  <c r="JR9" i="4" s="1"/>
  <c r="JP12" i="4"/>
  <c r="JR12" i="4" s="1"/>
  <c r="KK7" i="4"/>
  <c r="KM7" i="4" s="1"/>
  <c r="KK10" i="4"/>
  <c r="KM10" i="4" s="1"/>
  <c r="KK15" i="4"/>
  <c r="KM15" i="4" s="1"/>
  <c r="KK19" i="4"/>
  <c r="KM19" i="4" s="1"/>
  <c r="CK8" i="4"/>
  <c r="DY20" i="4"/>
  <c r="EA20" i="4" s="1"/>
  <c r="ET4" i="4"/>
  <c r="EV4" i="4" s="1"/>
  <c r="ET6" i="4"/>
  <c r="EV6" i="4" s="1"/>
  <c r="ET8" i="4"/>
  <c r="EV8" i="4" s="1"/>
  <c r="ET9" i="4"/>
  <c r="EV9" i="4" s="1"/>
  <c r="ET12" i="4"/>
  <c r="EV12" i="4" s="1"/>
  <c r="ET14" i="4"/>
  <c r="EV14" i="4" s="1"/>
  <c r="ET16" i="4"/>
  <c r="EV16" i="4" s="1"/>
  <c r="ET18" i="4"/>
  <c r="EV18" i="4" s="1"/>
  <c r="ET20" i="4"/>
  <c r="EV20" i="4" s="1"/>
  <c r="FO4" i="4"/>
  <c r="FQ4" i="4" s="1"/>
  <c r="FO6" i="4"/>
  <c r="FQ6" i="4" s="1"/>
  <c r="FO8" i="4"/>
  <c r="FQ8" i="4" s="1"/>
  <c r="FO9" i="4"/>
  <c r="FQ9" i="4" s="1"/>
  <c r="FO12" i="4"/>
  <c r="FQ12" i="4" s="1"/>
  <c r="FO14" i="4"/>
  <c r="FQ14" i="4" s="1"/>
  <c r="FO16" i="4"/>
  <c r="FQ16" i="4" s="1"/>
  <c r="FO18" i="4"/>
  <c r="FQ18" i="4" s="1"/>
  <c r="FO20" i="4"/>
  <c r="FQ20" i="4" s="1"/>
  <c r="GJ15" i="4"/>
  <c r="GL15" i="4" s="1"/>
  <c r="GJ17" i="4"/>
  <c r="GL17" i="4" s="1"/>
  <c r="JP14" i="4"/>
  <c r="JR14" i="4" s="1"/>
  <c r="JP16" i="4"/>
  <c r="JR16" i="4" s="1"/>
  <c r="CI15" i="4"/>
  <c r="CK15" i="4" s="1"/>
  <c r="CI19" i="4"/>
  <c r="CK19" i="4" s="1"/>
  <c r="DD7" i="4"/>
  <c r="DF7" i="4" s="1"/>
  <c r="DD11" i="4"/>
  <c r="DF11" i="4" s="1"/>
  <c r="DD10" i="4"/>
  <c r="DF10" i="4" s="1"/>
  <c r="DD13" i="4"/>
  <c r="DF13" i="4" s="1"/>
  <c r="DD15" i="4"/>
  <c r="DF15" i="4" s="1"/>
  <c r="DD17" i="4"/>
  <c r="DF17" i="4" s="1"/>
  <c r="DD19" i="4"/>
  <c r="DF19" i="4" s="1"/>
  <c r="DY11" i="4"/>
  <c r="EA11" i="4" s="1"/>
  <c r="GJ6" i="4"/>
  <c r="GL6" i="4" s="1"/>
  <c r="GL19" i="4"/>
  <c r="GJ21" i="4"/>
  <c r="GL21" i="4" s="1"/>
  <c r="HE5" i="4"/>
  <c r="HG5" i="4" s="1"/>
  <c r="HE11" i="4"/>
  <c r="HG11" i="4" s="1"/>
  <c r="HE13" i="4"/>
  <c r="HG13" i="4" s="1"/>
  <c r="HE17" i="4"/>
  <c r="HG17" i="4" s="1"/>
  <c r="HE21" i="4"/>
  <c r="HG21" i="4" s="1"/>
  <c r="HZ5" i="4"/>
  <c r="IB5" i="4" s="1"/>
  <c r="HZ11" i="4"/>
  <c r="IB11" i="4" s="1"/>
  <c r="HZ13" i="4"/>
  <c r="IB13" i="4" s="1"/>
  <c r="HZ17" i="4"/>
  <c r="IB17" i="4" s="1"/>
  <c r="HZ21" i="4"/>
  <c r="IB21" i="4" s="1"/>
  <c r="IU5" i="4"/>
  <c r="IW5" i="4" s="1"/>
  <c r="IU11" i="4"/>
  <c r="IW11" i="4" s="1"/>
  <c r="IU13" i="4"/>
  <c r="IW13" i="4" s="1"/>
  <c r="IU17" i="4"/>
  <c r="IW17" i="4" s="1"/>
  <c r="IU21" i="4"/>
  <c r="IW21" i="4" s="1"/>
  <c r="JP18" i="4"/>
  <c r="JR18" i="4" s="1"/>
  <c r="JP20" i="4"/>
  <c r="JR20" i="4" s="1"/>
  <c r="CI9" i="4"/>
  <c r="CK9" i="4" s="1"/>
  <c r="DY10" i="4"/>
  <c r="EA10" i="4" s="1"/>
  <c r="DY17" i="4"/>
  <c r="EA17" i="4" s="1"/>
  <c r="GL4" i="4"/>
  <c r="GJ14" i="4"/>
  <c r="GL14" i="4" s="1"/>
  <c r="CK4" i="4"/>
  <c r="CI14" i="4"/>
  <c r="CK14" i="4" s="1"/>
  <c r="CI18" i="4"/>
  <c r="CK18" i="4" s="1"/>
  <c r="CI20" i="4"/>
  <c r="CK20" i="4" s="1"/>
  <c r="DD4" i="4"/>
  <c r="DF4" i="4" s="1"/>
  <c r="DD6" i="4"/>
  <c r="DF6" i="4" s="1"/>
  <c r="DD8" i="4"/>
  <c r="DF8" i="4" s="1"/>
  <c r="DD9" i="4"/>
  <c r="DF9" i="4" s="1"/>
  <c r="DD12" i="4"/>
  <c r="DF12" i="4" s="1"/>
  <c r="DD14" i="4"/>
  <c r="DF14" i="4" s="1"/>
  <c r="DD16" i="4"/>
  <c r="DF16" i="4" s="1"/>
  <c r="DD18" i="4"/>
  <c r="DF18" i="4" s="1"/>
  <c r="DD20" i="4"/>
  <c r="DF20" i="4" s="1"/>
  <c r="DY4" i="4"/>
  <c r="EA4" i="4" s="1"/>
  <c r="EA15" i="4"/>
  <c r="DY21" i="4"/>
  <c r="EA21" i="4" s="1"/>
  <c r="ET5" i="4"/>
  <c r="EV5" i="4" s="1"/>
  <c r="ET11" i="4"/>
  <c r="EV11" i="4" s="1"/>
  <c r="ET13" i="4"/>
  <c r="EV13" i="4" s="1"/>
  <c r="ET17" i="4"/>
  <c r="EV17" i="4" s="1"/>
  <c r="ET21" i="4"/>
  <c r="EV21" i="4" s="1"/>
  <c r="FO5" i="4"/>
  <c r="FQ5" i="4" s="1"/>
  <c r="FO11" i="4"/>
  <c r="FQ11" i="4" s="1"/>
  <c r="FO13" i="4"/>
  <c r="FQ13" i="4" s="1"/>
  <c r="FO17" i="4"/>
  <c r="FQ17" i="4" s="1"/>
  <c r="FO21" i="4"/>
  <c r="FQ21" i="4" s="1"/>
  <c r="GJ18" i="4"/>
  <c r="GL18" i="4" s="1"/>
  <c r="JR10" i="4"/>
  <c r="HZ13" i="9"/>
  <c r="IB13" i="9" s="1"/>
  <c r="IU7" i="10"/>
  <c r="IW7" i="10" s="1"/>
  <c r="HE7" i="10"/>
  <c r="HG7" i="10" s="1"/>
  <c r="FO7" i="10"/>
  <c r="FQ7" i="10" s="1"/>
  <c r="CI7" i="10"/>
  <c r="CK7" i="10" s="1"/>
  <c r="LZ16" i="10"/>
  <c r="F7" i="10"/>
  <c r="MC16" i="10"/>
  <c r="MA16" i="10"/>
  <c r="BP7" i="10"/>
  <c r="Q7" i="10"/>
  <c r="G7" i="10"/>
  <c r="JP9" i="2"/>
  <c r="JR9" i="2" s="1"/>
  <c r="JP4" i="2"/>
  <c r="JR4" i="2" s="1"/>
  <c r="JP6" i="2"/>
  <c r="JR6" i="2" s="1"/>
  <c r="JP7" i="4"/>
  <c r="JR7" i="4" s="1"/>
  <c r="JP4" i="4"/>
  <c r="JR4" i="4" s="1"/>
  <c r="LC5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C6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C7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C8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9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C10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C11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12" i="12"/>
  <c r="LD12" i="12"/>
  <c r="LE12" i="12"/>
  <c r="LF12" i="12"/>
  <c r="LG12" i="12"/>
  <c r="LH12" i="12"/>
  <c r="LI12" i="12"/>
  <c r="LJ12" i="12"/>
  <c r="LK12" i="12"/>
  <c r="LL12" i="12"/>
  <c r="LM12" i="12"/>
  <c r="LN12" i="12"/>
  <c r="LO12" i="12"/>
  <c r="LP12" i="12"/>
  <c r="LQ12" i="12"/>
  <c r="LR12" i="12"/>
  <c r="LR4" i="12"/>
  <c r="LQ4" i="12"/>
  <c r="LP4" i="12"/>
  <c r="LO4" i="12"/>
  <c r="LN4" i="12"/>
  <c r="LM4" i="12"/>
  <c r="LL4" i="12"/>
  <c r="LK4" i="12"/>
  <c r="LJ4" i="12"/>
  <c r="LI4" i="12"/>
  <c r="LH4" i="12"/>
  <c r="LG4" i="12"/>
  <c r="LF4" i="12"/>
  <c r="LE4" i="12"/>
  <c r="LD4" i="12"/>
  <c r="LC4" i="12"/>
  <c r="LC5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C6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C7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C8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C9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C10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C11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C12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C13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C15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C4" i="6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D4" i="8"/>
  <c r="LC4" i="8"/>
  <c r="LB4" i="8"/>
  <c r="LA4" i="8"/>
  <c r="KZ4" i="8"/>
  <c r="KY4" i="8"/>
  <c r="KX4" i="8"/>
  <c r="KW4" i="8"/>
  <c r="KV4" i="8"/>
  <c r="KU4" i="8"/>
  <c r="KT4" i="8"/>
  <c r="KS4" i="8"/>
  <c r="KR4" i="8"/>
  <c r="KQ4" i="8"/>
  <c r="KP4" i="8"/>
  <c r="KO4" i="8"/>
  <c r="KO5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O6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O7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O8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9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KP4" i="7"/>
  <c r="KQ4" i="7"/>
  <c r="KR4" i="7"/>
  <c r="KS4" i="7"/>
  <c r="KT4" i="7"/>
  <c r="LF4" i="7" s="1"/>
  <c r="KU4" i="7"/>
  <c r="KV4" i="7"/>
  <c r="KW4" i="7"/>
  <c r="KX4" i="7"/>
  <c r="KY4" i="7"/>
  <c r="KZ4" i="7"/>
  <c r="LA4" i="7"/>
  <c r="LB4" i="7"/>
  <c r="LC4" i="7"/>
  <c r="LD4" i="7"/>
  <c r="KO4" i="7"/>
  <c r="LI5" i="10"/>
  <c r="LJ5" i="10"/>
  <c r="LK5" i="10"/>
  <c r="LL5" i="10"/>
  <c r="LM5" i="10"/>
  <c r="LN5" i="10"/>
  <c r="LO5" i="10"/>
  <c r="LP5" i="10"/>
  <c r="LY5" i="10" s="1"/>
  <c r="LQ5" i="10"/>
  <c r="LR5" i="10"/>
  <c r="LS5" i="10"/>
  <c r="LT5" i="10"/>
  <c r="LU5" i="10"/>
  <c r="LV5" i="10"/>
  <c r="LW5" i="10"/>
  <c r="LI6" i="10"/>
  <c r="LJ6" i="10"/>
  <c r="LK6" i="10"/>
  <c r="LL6" i="10"/>
  <c r="LM6" i="10"/>
  <c r="LN6" i="10"/>
  <c r="LO6" i="10"/>
  <c r="LP6" i="10"/>
  <c r="LY6" i="10" s="1"/>
  <c r="LQ6" i="10"/>
  <c r="LR6" i="10"/>
  <c r="LS6" i="10"/>
  <c r="LT6" i="10"/>
  <c r="LU6" i="10"/>
  <c r="LV6" i="10"/>
  <c r="LW6" i="10"/>
  <c r="LI7" i="10"/>
  <c r="LJ7" i="10"/>
  <c r="LK7" i="10"/>
  <c r="LL7" i="10"/>
  <c r="LM7" i="10"/>
  <c r="LN7" i="10"/>
  <c r="LO7" i="10"/>
  <c r="LP7" i="10"/>
  <c r="LY7" i="10" s="1"/>
  <c r="LQ7" i="10"/>
  <c r="LR7" i="10"/>
  <c r="LS7" i="10"/>
  <c r="LT7" i="10"/>
  <c r="LU7" i="10"/>
  <c r="LV7" i="10"/>
  <c r="LW7" i="10"/>
  <c r="LI8" i="10"/>
  <c r="LJ8" i="10"/>
  <c r="LK8" i="10"/>
  <c r="LL8" i="10"/>
  <c r="LM8" i="10"/>
  <c r="LN8" i="10"/>
  <c r="LO8" i="10"/>
  <c r="LP8" i="10"/>
  <c r="LY8" i="10" s="1"/>
  <c r="LQ8" i="10"/>
  <c r="LR8" i="10"/>
  <c r="LS8" i="10"/>
  <c r="LT8" i="10"/>
  <c r="LU8" i="10"/>
  <c r="LV8" i="10"/>
  <c r="LW8" i="10"/>
  <c r="LI9" i="10"/>
  <c r="LJ9" i="10"/>
  <c r="LK9" i="10"/>
  <c r="LL9" i="10"/>
  <c r="LM9" i="10"/>
  <c r="LN9" i="10"/>
  <c r="LO9" i="10"/>
  <c r="LP9" i="10"/>
  <c r="LY9" i="10" s="1"/>
  <c r="LQ9" i="10"/>
  <c r="LR9" i="10"/>
  <c r="LS9" i="10"/>
  <c r="LT9" i="10"/>
  <c r="LU9" i="10"/>
  <c r="LV9" i="10"/>
  <c r="LW9" i="10"/>
  <c r="LI10" i="10"/>
  <c r="LJ10" i="10"/>
  <c r="LK10" i="10"/>
  <c r="LL10" i="10"/>
  <c r="LM10" i="10"/>
  <c r="LN10" i="10"/>
  <c r="LO10" i="10"/>
  <c r="LP10" i="10"/>
  <c r="LY10" i="10" s="1"/>
  <c r="LQ10" i="10"/>
  <c r="LR10" i="10"/>
  <c r="LS10" i="10"/>
  <c r="LT10" i="10"/>
  <c r="LU10" i="10"/>
  <c r="LV10" i="10"/>
  <c r="LW10" i="10"/>
  <c r="LI11" i="10"/>
  <c r="LJ11" i="10"/>
  <c r="LK11" i="10"/>
  <c r="LL11" i="10"/>
  <c r="LM11" i="10"/>
  <c r="LN11" i="10"/>
  <c r="LO11" i="10"/>
  <c r="LP11" i="10"/>
  <c r="LY11" i="10" s="1"/>
  <c r="LQ11" i="10"/>
  <c r="LR11" i="10"/>
  <c r="LS11" i="10"/>
  <c r="LT11" i="10"/>
  <c r="LU11" i="10"/>
  <c r="LV11" i="10"/>
  <c r="LW11" i="10"/>
  <c r="LI12" i="10"/>
  <c r="LJ12" i="10"/>
  <c r="LK12" i="10"/>
  <c r="LL12" i="10"/>
  <c r="LM12" i="10"/>
  <c r="LN12" i="10"/>
  <c r="LO12" i="10"/>
  <c r="LP12" i="10"/>
  <c r="LY12" i="10" s="1"/>
  <c r="LQ12" i="10"/>
  <c r="LR12" i="10"/>
  <c r="LS12" i="10"/>
  <c r="LT12" i="10"/>
  <c r="LU12" i="10"/>
  <c r="LV12" i="10"/>
  <c r="LW12" i="10"/>
  <c r="LI13" i="10"/>
  <c r="LJ13" i="10"/>
  <c r="LK13" i="10"/>
  <c r="LL13" i="10"/>
  <c r="LM13" i="10"/>
  <c r="LN13" i="10"/>
  <c r="LO13" i="10"/>
  <c r="LP13" i="10"/>
  <c r="LY13" i="10" s="1"/>
  <c r="LQ13" i="10"/>
  <c r="LR13" i="10"/>
  <c r="LS13" i="10"/>
  <c r="LT13" i="10"/>
  <c r="LU13" i="10"/>
  <c r="LV13" i="10"/>
  <c r="LW13" i="10"/>
  <c r="LI14" i="10"/>
  <c r="LJ14" i="10"/>
  <c r="LK14" i="10"/>
  <c r="LL14" i="10"/>
  <c r="LM14" i="10"/>
  <c r="LN14" i="10"/>
  <c r="LO14" i="10"/>
  <c r="LP14" i="10"/>
  <c r="LQ14" i="10"/>
  <c r="LR14" i="10"/>
  <c r="LS14" i="10"/>
  <c r="LT14" i="10"/>
  <c r="LU14" i="10"/>
  <c r="LV14" i="10"/>
  <c r="LW14" i="10"/>
  <c r="LY14" i="10"/>
  <c r="LI15" i="10"/>
  <c r="LJ15" i="10"/>
  <c r="LK15" i="10"/>
  <c r="LL15" i="10"/>
  <c r="LM15" i="10"/>
  <c r="LN15" i="10"/>
  <c r="LO15" i="10"/>
  <c r="LP15" i="10"/>
  <c r="LQ15" i="10"/>
  <c r="LR15" i="10"/>
  <c r="LS15" i="10"/>
  <c r="LT15" i="10"/>
  <c r="LU15" i="10"/>
  <c r="LV15" i="10"/>
  <c r="LW15" i="10"/>
  <c r="LY15" i="10"/>
  <c r="LW4" i="10"/>
  <c r="LV4" i="10"/>
  <c r="LU4" i="10"/>
  <c r="LT4" i="10"/>
  <c r="LS4" i="10"/>
  <c r="LR4" i="10"/>
  <c r="LQ4" i="10"/>
  <c r="LP4" i="10"/>
  <c r="LY4" i="10" s="1"/>
  <c r="LO4" i="10"/>
  <c r="LN4" i="10"/>
  <c r="LM4" i="10"/>
  <c r="LL4" i="10"/>
  <c r="LK4" i="10"/>
  <c r="LJ4" i="10"/>
  <c r="LI4" i="10"/>
  <c r="LI5" i="9"/>
  <c r="LJ5" i="9"/>
  <c r="LK5" i="9"/>
  <c r="LL5" i="9"/>
  <c r="LM5" i="9"/>
  <c r="LN5" i="9"/>
  <c r="LO5" i="9"/>
  <c r="LP5" i="9"/>
  <c r="LY5" i="9" s="1"/>
  <c r="LQ5" i="9"/>
  <c r="LR5" i="9"/>
  <c r="LS5" i="9"/>
  <c r="LT5" i="9"/>
  <c r="LU5" i="9"/>
  <c r="LV5" i="9"/>
  <c r="LW5" i="9"/>
  <c r="LI6" i="9"/>
  <c r="LJ6" i="9"/>
  <c r="LK6" i="9"/>
  <c r="LL6" i="9"/>
  <c r="LM6" i="9"/>
  <c r="LN6" i="9"/>
  <c r="LO6" i="9"/>
  <c r="LP6" i="9"/>
  <c r="LY6" i="9" s="1"/>
  <c r="LQ6" i="9"/>
  <c r="LR6" i="9"/>
  <c r="LS6" i="9"/>
  <c r="LT6" i="9"/>
  <c r="LU6" i="9"/>
  <c r="LV6" i="9"/>
  <c r="LW6" i="9"/>
  <c r="LI7" i="9"/>
  <c r="LJ7" i="9"/>
  <c r="LK7" i="9"/>
  <c r="LL7" i="9"/>
  <c r="LM7" i="9"/>
  <c r="LN7" i="9"/>
  <c r="LO7" i="9"/>
  <c r="LP7" i="9"/>
  <c r="LY7" i="9" s="1"/>
  <c r="LQ7" i="9"/>
  <c r="LR7" i="9"/>
  <c r="LS7" i="9"/>
  <c r="LT7" i="9"/>
  <c r="LU7" i="9"/>
  <c r="LV7" i="9"/>
  <c r="LW7" i="9"/>
  <c r="LI8" i="9"/>
  <c r="LJ8" i="9"/>
  <c r="LK8" i="9"/>
  <c r="LL8" i="9"/>
  <c r="LM8" i="9"/>
  <c r="LN8" i="9"/>
  <c r="LO8" i="9"/>
  <c r="LP8" i="9"/>
  <c r="LY8" i="9" s="1"/>
  <c r="LQ8" i="9"/>
  <c r="LR8" i="9"/>
  <c r="LS8" i="9"/>
  <c r="LT8" i="9"/>
  <c r="LU8" i="9"/>
  <c r="LV8" i="9"/>
  <c r="LW8" i="9"/>
  <c r="LI9" i="9"/>
  <c r="LJ9" i="9"/>
  <c r="LK9" i="9"/>
  <c r="LL9" i="9"/>
  <c r="LM9" i="9"/>
  <c r="LN9" i="9"/>
  <c r="LO9" i="9"/>
  <c r="LP9" i="9"/>
  <c r="LQ9" i="9"/>
  <c r="LR9" i="9"/>
  <c r="LS9" i="9"/>
  <c r="LT9" i="9"/>
  <c r="LU9" i="9"/>
  <c r="LV9" i="9"/>
  <c r="LW9" i="9"/>
  <c r="LY9" i="9"/>
  <c r="LI10" i="9"/>
  <c r="LJ10" i="9"/>
  <c r="LK10" i="9"/>
  <c r="LL10" i="9"/>
  <c r="LM10" i="9"/>
  <c r="LN10" i="9"/>
  <c r="LO10" i="9"/>
  <c r="LP10" i="9"/>
  <c r="LY10" i="9" s="1"/>
  <c r="LQ10" i="9"/>
  <c r="LR10" i="9"/>
  <c r="LS10" i="9"/>
  <c r="LT10" i="9"/>
  <c r="LU10" i="9"/>
  <c r="LV10" i="9"/>
  <c r="LW10" i="9"/>
  <c r="LI11" i="9"/>
  <c r="LJ11" i="9"/>
  <c r="LK11" i="9"/>
  <c r="LL11" i="9"/>
  <c r="LM11" i="9"/>
  <c r="LN11" i="9"/>
  <c r="LO11" i="9"/>
  <c r="LP11" i="9"/>
  <c r="LY11" i="9" s="1"/>
  <c r="LQ11" i="9"/>
  <c r="LR11" i="9"/>
  <c r="LS11" i="9"/>
  <c r="LT11" i="9"/>
  <c r="LU11" i="9"/>
  <c r="LV11" i="9"/>
  <c r="LW11" i="9"/>
  <c r="LI12" i="9"/>
  <c r="LJ12" i="9"/>
  <c r="LK12" i="9"/>
  <c r="LL12" i="9"/>
  <c r="LM12" i="9"/>
  <c r="LN12" i="9"/>
  <c r="LO12" i="9"/>
  <c r="LP12" i="9"/>
  <c r="LY12" i="9" s="1"/>
  <c r="LQ12" i="9"/>
  <c r="LR12" i="9"/>
  <c r="LS12" i="9"/>
  <c r="LT12" i="9"/>
  <c r="LU12" i="9"/>
  <c r="LV12" i="9"/>
  <c r="LW12" i="9"/>
  <c r="LI13" i="9"/>
  <c r="LJ13" i="9"/>
  <c r="LK13" i="9"/>
  <c r="LL13" i="9"/>
  <c r="LM13" i="9"/>
  <c r="LN13" i="9"/>
  <c r="LO13" i="9"/>
  <c r="LP13" i="9"/>
  <c r="LY13" i="9" s="1"/>
  <c r="LQ13" i="9"/>
  <c r="LR13" i="9"/>
  <c r="LS13" i="9"/>
  <c r="LT13" i="9"/>
  <c r="LU13" i="9"/>
  <c r="LV13" i="9"/>
  <c r="LW13" i="9"/>
  <c r="LI14" i="9"/>
  <c r="LJ14" i="9"/>
  <c r="LK14" i="9"/>
  <c r="LL14" i="9"/>
  <c r="LM14" i="9"/>
  <c r="LN14" i="9"/>
  <c r="LO14" i="9"/>
  <c r="LP14" i="9"/>
  <c r="LY14" i="9" s="1"/>
  <c r="LQ14" i="9"/>
  <c r="LR14" i="9"/>
  <c r="LS14" i="9"/>
  <c r="LT14" i="9"/>
  <c r="LU14" i="9"/>
  <c r="LV14" i="9"/>
  <c r="LW14" i="9"/>
  <c r="LI15" i="9"/>
  <c r="LJ15" i="9"/>
  <c r="LK15" i="9"/>
  <c r="LL15" i="9"/>
  <c r="LM15" i="9"/>
  <c r="LN15" i="9"/>
  <c r="LO15" i="9"/>
  <c r="LP15" i="9"/>
  <c r="LY15" i="9" s="1"/>
  <c r="LQ15" i="9"/>
  <c r="LR15" i="9"/>
  <c r="LS15" i="9"/>
  <c r="LT15" i="9"/>
  <c r="LU15" i="9"/>
  <c r="LV15" i="9"/>
  <c r="LW15" i="9"/>
  <c r="LI16" i="9"/>
  <c r="LJ16" i="9"/>
  <c r="LK16" i="9"/>
  <c r="LL16" i="9"/>
  <c r="LM16" i="9"/>
  <c r="LN16" i="9"/>
  <c r="LO16" i="9"/>
  <c r="LP16" i="9"/>
  <c r="LY16" i="9" s="1"/>
  <c r="LQ16" i="9"/>
  <c r="LR16" i="9"/>
  <c r="LS16" i="9"/>
  <c r="LT16" i="9"/>
  <c r="LU16" i="9"/>
  <c r="LV16" i="9"/>
  <c r="LW16" i="9"/>
  <c r="LI17" i="9"/>
  <c r="LJ17" i="9"/>
  <c r="LK17" i="9"/>
  <c r="LL17" i="9"/>
  <c r="LM17" i="9"/>
  <c r="LN17" i="9"/>
  <c r="LO17" i="9"/>
  <c r="LP17" i="9"/>
  <c r="LY17" i="9" s="1"/>
  <c r="LQ17" i="9"/>
  <c r="LR17" i="9"/>
  <c r="LS17" i="9"/>
  <c r="LT17" i="9"/>
  <c r="LU17" i="9"/>
  <c r="LV17" i="9"/>
  <c r="LW17" i="9"/>
  <c r="LI18" i="9"/>
  <c r="LJ18" i="9"/>
  <c r="LK18" i="9"/>
  <c r="LL18" i="9"/>
  <c r="LM18" i="9"/>
  <c r="LN18" i="9"/>
  <c r="LO18" i="9"/>
  <c r="LP18" i="9"/>
  <c r="LQ18" i="9"/>
  <c r="LR18" i="9"/>
  <c r="LS18" i="9"/>
  <c r="LT18" i="9"/>
  <c r="LU18" i="9"/>
  <c r="LV18" i="9"/>
  <c r="LW18" i="9"/>
  <c r="LY18" i="9"/>
  <c r="LI19" i="9"/>
  <c r="LJ19" i="9"/>
  <c r="LK19" i="9"/>
  <c r="LL19" i="9"/>
  <c r="LM19" i="9"/>
  <c r="LN19" i="9"/>
  <c r="LO19" i="9"/>
  <c r="LP19" i="9"/>
  <c r="LY19" i="9" s="1"/>
  <c r="LQ19" i="9"/>
  <c r="LR19" i="9"/>
  <c r="LS19" i="9"/>
  <c r="LT19" i="9"/>
  <c r="LU19" i="9"/>
  <c r="LV19" i="9"/>
  <c r="LW19" i="9"/>
  <c r="LW4" i="9"/>
  <c r="LV4" i="9"/>
  <c r="LU4" i="9"/>
  <c r="LT4" i="9"/>
  <c r="LS4" i="9"/>
  <c r="LR4" i="9"/>
  <c r="LQ4" i="9"/>
  <c r="LP4" i="9"/>
  <c r="LY4" i="9" s="1"/>
  <c r="LO4" i="9"/>
  <c r="LN4" i="9"/>
  <c r="LM4" i="9"/>
  <c r="LL4" i="9"/>
  <c r="LK4" i="9"/>
  <c r="LJ4" i="9"/>
  <c r="LI4" i="9"/>
  <c r="LI5" i="2"/>
  <c r="LJ5" i="2"/>
  <c r="LK5" i="2"/>
  <c r="LL5" i="2"/>
  <c r="LM5" i="2"/>
  <c r="LN5" i="2"/>
  <c r="LO5" i="2"/>
  <c r="LP5" i="2"/>
  <c r="LY5" i="2" s="1"/>
  <c r="LQ5" i="2"/>
  <c r="LR5" i="2"/>
  <c r="LS5" i="2"/>
  <c r="LT5" i="2"/>
  <c r="LU5" i="2"/>
  <c r="LV5" i="2"/>
  <c r="LW5" i="2"/>
  <c r="LI6" i="2"/>
  <c r="LJ6" i="2"/>
  <c r="LK6" i="2"/>
  <c r="LL6" i="2"/>
  <c r="LM6" i="2"/>
  <c r="LN6" i="2"/>
  <c r="LO6" i="2"/>
  <c r="LP6" i="2"/>
  <c r="LY6" i="2" s="1"/>
  <c r="LQ6" i="2"/>
  <c r="LR6" i="2"/>
  <c r="LS6" i="2"/>
  <c r="LT6" i="2"/>
  <c r="LU6" i="2"/>
  <c r="LV6" i="2"/>
  <c r="LW6" i="2"/>
  <c r="LI7" i="2"/>
  <c r="LJ7" i="2"/>
  <c r="LK7" i="2"/>
  <c r="LL7" i="2"/>
  <c r="LM7" i="2"/>
  <c r="LN7" i="2"/>
  <c r="LO7" i="2"/>
  <c r="LP7" i="2"/>
  <c r="LY7" i="2" s="1"/>
  <c r="LQ7" i="2"/>
  <c r="LR7" i="2"/>
  <c r="LS7" i="2"/>
  <c r="LT7" i="2"/>
  <c r="LU7" i="2"/>
  <c r="LV7" i="2"/>
  <c r="LW7" i="2"/>
  <c r="LI8" i="2"/>
  <c r="LJ8" i="2"/>
  <c r="LK8" i="2"/>
  <c r="LL8" i="2"/>
  <c r="LM8" i="2"/>
  <c r="LN8" i="2"/>
  <c r="LO8" i="2"/>
  <c r="LP8" i="2"/>
  <c r="LY8" i="2" s="1"/>
  <c r="LQ8" i="2"/>
  <c r="LR8" i="2"/>
  <c r="LS8" i="2"/>
  <c r="LT8" i="2"/>
  <c r="LU8" i="2"/>
  <c r="LV8" i="2"/>
  <c r="LW8" i="2"/>
  <c r="LI9" i="2"/>
  <c r="LJ9" i="2"/>
  <c r="LK9" i="2"/>
  <c r="LL9" i="2"/>
  <c r="LM9" i="2"/>
  <c r="LN9" i="2"/>
  <c r="LO9" i="2"/>
  <c r="LP9" i="2"/>
  <c r="LY9" i="2" s="1"/>
  <c r="LQ9" i="2"/>
  <c r="LR9" i="2"/>
  <c r="LS9" i="2"/>
  <c r="LT9" i="2"/>
  <c r="LU9" i="2"/>
  <c r="LV9" i="2"/>
  <c r="LW9" i="2"/>
  <c r="LI10" i="2"/>
  <c r="LJ10" i="2"/>
  <c r="LK10" i="2"/>
  <c r="LL10" i="2"/>
  <c r="LM10" i="2"/>
  <c r="LN10" i="2"/>
  <c r="LO10" i="2"/>
  <c r="LP10" i="2"/>
  <c r="LY10" i="2" s="1"/>
  <c r="LQ10" i="2"/>
  <c r="LR10" i="2"/>
  <c r="LS10" i="2"/>
  <c r="LT10" i="2"/>
  <c r="LU10" i="2"/>
  <c r="LV10" i="2"/>
  <c r="LW10" i="2"/>
  <c r="LI11" i="2"/>
  <c r="LJ11" i="2"/>
  <c r="LK11" i="2"/>
  <c r="LL11" i="2"/>
  <c r="LM11" i="2"/>
  <c r="LN11" i="2"/>
  <c r="LO11" i="2"/>
  <c r="LP11" i="2"/>
  <c r="LQ11" i="2"/>
  <c r="LR11" i="2"/>
  <c r="LS11" i="2"/>
  <c r="LT11" i="2"/>
  <c r="LU11" i="2"/>
  <c r="LV11" i="2"/>
  <c r="LW11" i="2"/>
  <c r="LY11" i="2"/>
  <c r="LI12" i="2"/>
  <c r="LJ12" i="2"/>
  <c r="LK12" i="2"/>
  <c r="LL12" i="2"/>
  <c r="LM12" i="2"/>
  <c r="LN12" i="2"/>
  <c r="LO12" i="2"/>
  <c r="LP12" i="2"/>
  <c r="LY12" i="2" s="1"/>
  <c r="LQ12" i="2"/>
  <c r="LR12" i="2"/>
  <c r="LS12" i="2"/>
  <c r="LT12" i="2"/>
  <c r="LU12" i="2"/>
  <c r="LV12" i="2"/>
  <c r="LW12" i="2"/>
  <c r="LI13" i="2"/>
  <c r="LJ13" i="2"/>
  <c r="LK13" i="2"/>
  <c r="LL13" i="2"/>
  <c r="LM13" i="2"/>
  <c r="LN13" i="2"/>
  <c r="LO13" i="2"/>
  <c r="LP13" i="2"/>
  <c r="LY13" i="2" s="1"/>
  <c r="LQ13" i="2"/>
  <c r="LR13" i="2"/>
  <c r="LS13" i="2"/>
  <c r="LT13" i="2"/>
  <c r="LU13" i="2"/>
  <c r="LV13" i="2"/>
  <c r="LW13" i="2"/>
  <c r="LW4" i="2"/>
  <c r="LV4" i="2"/>
  <c r="LU4" i="2"/>
  <c r="LT4" i="2"/>
  <c r="LS4" i="2"/>
  <c r="LR4" i="2"/>
  <c r="LQ4" i="2"/>
  <c r="LP4" i="2"/>
  <c r="LY4" i="2" s="1"/>
  <c r="LO4" i="2"/>
  <c r="LN4" i="2"/>
  <c r="LM4" i="2"/>
  <c r="LL4" i="2"/>
  <c r="LK4" i="2"/>
  <c r="LJ4" i="2"/>
  <c r="LI4" i="2"/>
  <c r="LI5" i="4"/>
  <c r="LJ5" i="4"/>
  <c r="LK5" i="4"/>
  <c r="LL5" i="4"/>
  <c r="LM5" i="4"/>
  <c r="LN5" i="4"/>
  <c r="LO5" i="4"/>
  <c r="LP5" i="4"/>
  <c r="LY5" i="4" s="1"/>
  <c r="LQ5" i="4"/>
  <c r="LR5" i="4"/>
  <c r="LS5" i="4"/>
  <c r="LT5" i="4"/>
  <c r="LU5" i="4"/>
  <c r="LV5" i="4"/>
  <c r="LW5" i="4"/>
  <c r="LI6" i="4"/>
  <c r="LJ6" i="4"/>
  <c r="LK6" i="4"/>
  <c r="LL6" i="4"/>
  <c r="LM6" i="4"/>
  <c r="LN6" i="4"/>
  <c r="LO6" i="4"/>
  <c r="LP6" i="4"/>
  <c r="LY6" i="4" s="1"/>
  <c r="LQ6" i="4"/>
  <c r="LR6" i="4"/>
  <c r="LS6" i="4"/>
  <c r="LT6" i="4"/>
  <c r="LU6" i="4"/>
  <c r="LV6" i="4"/>
  <c r="LW6" i="4"/>
  <c r="LI7" i="4"/>
  <c r="LJ7" i="4"/>
  <c r="LK7" i="4"/>
  <c r="LL7" i="4"/>
  <c r="LM7" i="4"/>
  <c r="LN7" i="4"/>
  <c r="LO7" i="4"/>
  <c r="LP7" i="4"/>
  <c r="LY7" i="4" s="1"/>
  <c r="LQ7" i="4"/>
  <c r="LR7" i="4"/>
  <c r="LS7" i="4"/>
  <c r="LT7" i="4"/>
  <c r="LU7" i="4"/>
  <c r="LV7" i="4"/>
  <c r="LW7" i="4"/>
  <c r="LI8" i="4"/>
  <c r="LJ8" i="4"/>
  <c r="LK8" i="4"/>
  <c r="LL8" i="4"/>
  <c r="LM8" i="4"/>
  <c r="LN8" i="4"/>
  <c r="LO8" i="4"/>
  <c r="LP8" i="4"/>
  <c r="LQ8" i="4"/>
  <c r="LR8" i="4"/>
  <c r="LS8" i="4"/>
  <c r="LT8" i="4"/>
  <c r="LU8" i="4"/>
  <c r="LV8" i="4"/>
  <c r="LW8" i="4"/>
  <c r="LI9" i="4"/>
  <c r="LJ9" i="4"/>
  <c r="LK9" i="4"/>
  <c r="LL9" i="4"/>
  <c r="LM9" i="4"/>
  <c r="LN9" i="4"/>
  <c r="LO9" i="4"/>
  <c r="LP9" i="4"/>
  <c r="LQ9" i="4"/>
  <c r="LR9" i="4"/>
  <c r="LS9" i="4"/>
  <c r="LT9" i="4"/>
  <c r="LU9" i="4"/>
  <c r="LV9" i="4"/>
  <c r="LW9" i="4"/>
  <c r="LI10" i="4"/>
  <c r="LJ10" i="4"/>
  <c r="LK10" i="4"/>
  <c r="LL10" i="4"/>
  <c r="LM10" i="4"/>
  <c r="LN10" i="4"/>
  <c r="LO10" i="4"/>
  <c r="LP10" i="4"/>
  <c r="LY10" i="4" s="1"/>
  <c r="LQ10" i="4"/>
  <c r="LR10" i="4"/>
  <c r="LS10" i="4"/>
  <c r="LT10" i="4"/>
  <c r="LU10" i="4"/>
  <c r="LV10" i="4"/>
  <c r="LW10" i="4"/>
  <c r="LI11" i="4"/>
  <c r="LJ11" i="4"/>
  <c r="LK11" i="4"/>
  <c r="LL11" i="4"/>
  <c r="LM11" i="4"/>
  <c r="LN11" i="4"/>
  <c r="LO11" i="4"/>
  <c r="LP11" i="4"/>
  <c r="LY11" i="4" s="1"/>
  <c r="LQ11" i="4"/>
  <c r="LR11" i="4"/>
  <c r="LS11" i="4"/>
  <c r="LT11" i="4"/>
  <c r="LU11" i="4"/>
  <c r="LV11" i="4"/>
  <c r="LW11" i="4"/>
  <c r="LI12" i="4"/>
  <c r="LJ12" i="4"/>
  <c r="LK12" i="4"/>
  <c r="LL12" i="4"/>
  <c r="LM12" i="4"/>
  <c r="LN12" i="4"/>
  <c r="LO12" i="4"/>
  <c r="LP12" i="4"/>
  <c r="LY12" i="4" s="1"/>
  <c r="LQ12" i="4"/>
  <c r="LR12" i="4"/>
  <c r="LS12" i="4"/>
  <c r="LT12" i="4"/>
  <c r="LU12" i="4"/>
  <c r="LV12" i="4"/>
  <c r="LW12" i="4"/>
  <c r="LI13" i="4"/>
  <c r="LJ13" i="4"/>
  <c r="LK13" i="4"/>
  <c r="LL13" i="4"/>
  <c r="LM13" i="4"/>
  <c r="LN13" i="4"/>
  <c r="LO13" i="4"/>
  <c r="LP13" i="4"/>
  <c r="LY13" i="4" s="1"/>
  <c r="LQ13" i="4"/>
  <c r="LR13" i="4"/>
  <c r="LS13" i="4"/>
  <c r="LT13" i="4"/>
  <c r="LU13" i="4"/>
  <c r="LV13" i="4"/>
  <c r="LW13" i="4"/>
  <c r="LI14" i="4"/>
  <c r="LJ14" i="4"/>
  <c r="LK14" i="4"/>
  <c r="LL14" i="4"/>
  <c r="LM14" i="4"/>
  <c r="LN14" i="4"/>
  <c r="LO14" i="4"/>
  <c r="LP14" i="4"/>
  <c r="LY14" i="4" s="1"/>
  <c r="LQ14" i="4"/>
  <c r="LR14" i="4"/>
  <c r="LS14" i="4"/>
  <c r="LT14" i="4"/>
  <c r="LU14" i="4"/>
  <c r="LV14" i="4"/>
  <c r="LW14" i="4"/>
  <c r="LI15" i="4"/>
  <c r="LJ15" i="4"/>
  <c r="LK15" i="4"/>
  <c r="LL15" i="4"/>
  <c r="LM15" i="4"/>
  <c r="LN15" i="4"/>
  <c r="LO15" i="4"/>
  <c r="LP15" i="4"/>
  <c r="LY15" i="4" s="1"/>
  <c r="LQ15" i="4"/>
  <c r="LR15" i="4"/>
  <c r="LS15" i="4"/>
  <c r="LT15" i="4"/>
  <c r="LU15" i="4"/>
  <c r="LV15" i="4"/>
  <c r="LW15" i="4"/>
  <c r="LI16" i="4"/>
  <c r="LJ16" i="4"/>
  <c r="LK16" i="4"/>
  <c r="LL16" i="4"/>
  <c r="LM16" i="4"/>
  <c r="LN16" i="4"/>
  <c r="LO16" i="4"/>
  <c r="LP16" i="4"/>
  <c r="LQ16" i="4"/>
  <c r="LR16" i="4"/>
  <c r="LS16" i="4"/>
  <c r="LT16" i="4"/>
  <c r="LU16" i="4"/>
  <c r="LV16" i="4"/>
  <c r="LW16" i="4"/>
  <c r="LI17" i="4"/>
  <c r="LJ17" i="4"/>
  <c r="LK17" i="4"/>
  <c r="LL17" i="4"/>
  <c r="LM17" i="4"/>
  <c r="LN17" i="4"/>
  <c r="LO17" i="4"/>
  <c r="LP17" i="4"/>
  <c r="LY17" i="4" s="1"/>
  <c r="LQ17" i="4"/>
  <c r="LR17" i="4"/>
  <c r="LS17" i="4"/>
  <c r="LT17" i="4"/>
  <c r="LU17" i="4"/>
  <c r="LV17" i="4"/>
  <c r="LW17" i="4"/>
  <c r="LI18" i="4"/>
  <c r="LJ18" i="4"/>
  <c r="LK18" i="4"/>
  <c r="LL18" i="4"/>
  <c r="LM18" i="4"/>
  <c r="LN18" i="4"/>
  <c r="LO18" i="4"/>
  <c r="LP18" i="4"/>
  <c r="LY18" i="4" s="1"/>
  <c r="LQ18" i="4"/>
  <c r="LR18" i="4"/>
  <c r="LS18" i="4"/>
  <c r="LT18" i="4"/>
  <c r="LU18" i="4"/>
  <c r="LV18" i="4"/>
  <c r="LW18" i="4"/>
  <c r="LI19" i="4"/>
  <c r="LJ19" i="4"/>
  <c r="LK19" i="4"/>
  <c r="LL19" i="4"/>
  <c r="LM19" i="4"/>
  <c r="LN19" i="4"/>
  <c r="LO19" i="4"/>
  <c r="LP19" i="4"/>
  <c r="LY19" i="4" s="1"/>
  <c r="LQ19" i="4"/>
  <c r="LR19" i="4"/>
  <c r="LS19" i="4"/>
  <c r="LT19" i="4"/>
  <c r="LU19" i="4"/>
  <c r="LV19" i="4"/>
  <c r="LW19" i="4"/>
  <c r="LI20" i="4"/>
  <c r="LJ20" i="4"/>
  <c r="LK20" i="4"/>
  <c r="LL20" i="4"/>
  <c r="LM20" i="4"/>
  <c r="LN20" i="4"/>
  <c r="LO20" i="4"/>
  <c r="LP20" i="4"/>
  <c r="LY20" i="4" s="1"/>
  <c r="LQ20" i="4"/>
  <c r="LR20" i="4"/>
  <c r="LS20" i="4"/>
  <c r="LT20" i="4"/>
  <c r="LU20" i="4"/>
  <c r="LV20" i="4"/>
  <c r="LW20" i="4"/>
  <c r="LI21" i="4"/>
  <c r="LJ21" i="4"/>
  <c r="LK21" i="4"/>
  <c r="LL21" i="4"/>
  <c r="LM21" i="4"/>
  <c r="LN21" i="4"/>
  <c r="LO21" i="4"/>
  <c r="LP21" i="4"/>
  <c r="LQ21" i="4"/>
  <c r="LR21" i="4"/>
  <c r="LS21" i="4"/>
  <c r="LT21" i="4"/>
  <c r="LU21" i="4"/>
  <c r="LV21" i="4"/>
  <c r="LW21" i="4"/>
  <c r="LJ4" i="4"/>
  <c r="LK4" i="4"/>
  <c r="LL4" i="4"/>
  <c r="LM4" i="4"/>
  <c r="LN4" i="4"/>
  <c r="LO4" i="4"/>
  <c r="LP4" i="4"/>
  <c r="LY4" i="4" s="1"/>
  <c r="LQ4" i="4"/>
  <c r="LR4" i="4"/>
  <c r="LS4" i="4"/>
  <c r="LT4" i="4"/>
  <c r="LU4" i="4"/>
  <c r="LV4" i="4"/>
  <c r="LW4" i="4"/>
  <c r="LI4" i="4"/>
  <c r="LY9" i="4"/>
  <c r="LT14" i="6" l="1"/>
  <c r="MC9" i="2"/>
  <c r="MA8" i="4"/>
  <c r="MC21" i="4"/>
  <c r="LU11" i="12"/>
  <c r="LU12" i="12"/>
  <c r="LT10" i="12"/>
  <c r="LT7" i="6"/>
  <c r="LU6" i="6"/>
  <c r="LT5" i="6"/>
  <c r="LF7" i="8"/>
  <c r="LF5" i="8"/>
  <c r="LF9" i="7"/>
  <c r="LF7" i="7"/>
  <c r="LF5" i="7"/>
  <c r="MA13" i="10"/>
  <c r="MB13" i="10" s="1"/>
  <c r="MA10" i="10"/>
  <c r="LZ13" i="10"/>
  <c r="LZ15" i="10"/>
  <c r="AP7" i="10"/>
  <c r="LZ12" i="10"/>
  <c r="LZ10" i="10"/>
  <c r="MA6" i="10"/>
  <c r="MA19" i="9"/>
  <c r="MC8" i="9"/>
  <c r="LZ5" i="9"/>
  <c r="LZ5" i="2"/>
  <c r="MC8" i="2"/>
  <c r="LZ7" i="2"/>
  <c r="MC10" i="2"/>
  <c r="MC11" i="2"/>
  <c r="MC13" i="4"/>
  <c r="MC4" i="4"/>
  <c r="LZ21" i="4"/>
  <c r="MC15" i="4"/>
  <c r="MA10" i="4"/>
  <c r="LZ5" i="4"/>
  <c r="MA19" i="4"/>
  <c r="MB19" i="4" s="1"/>
  <c r="LV6" i="12"/>
  <c r="LW9" i="12"/>
  <c r="LT9" i="12"/>
  <c r="LT8" i="12"/>
  <c r="LT7" i="12"/>
  <c r="LW11" i="12"/>
  <c r="LV11" i="12"/>
  <c r="LU4" i="12"/>
  <c r="LW12" i="12"/>
  <c r="LW10" i="12"/>
  <c r="LW8" i="12"/>
  <c r="LV8" i="12"/>
  <c r="LX8" i="12" s="1"/>
  <c r="LW5" i="12"/>
  <c r="LV4" i="12"/>
  <c r="LT6" i="12"/>
  <c r="LW7" i="12"/>
  <c r="LV10" i="12"/>
  <c r="LU9" i="12"/>
  <c r="LU6" i="12"/>
  <c r="LW6" i="12"/>
  <c r="LT5" i="12"/>
  <c r="LT12" i="12"/>
  <c r="LU8" i="12"/>
  <c r="LU7" i="12"/>
  <c r="LU5" i="12"/>
  <c r="LV5" i="12"/>
  <c r="LW4" i="12"/>
  <c r="LV12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T15" i="6"/>
  <c r="LW5" i="6"/>
  <c r="LT4" i="6"/>
  <c r="LW15" i="6"/>
  <c r="LT13" i="6"/>
  <c r="LT12" i="6"/>
  <c r="LU9" i="6"/>
  <c r="LW12" i="6"/>
  <c r="LU10" i="6"/>
  <c r="LV12" i="6"/>
  <c r="LW8" i="6"/>
  <c r="LV8" i="6"/>
  <c r="LX8" i="6" s="1"/>
  <c r="LV7" i="6"/>
  <c r="LV6" i="6"/>
  <c r="LT6" i="6"/>
  <c r="LV4" i="6"/>
  <c r="LV15" i="6"/>
  <c r="LW6" i="6"/>
  <c r="LV5" i="6"/>
  <c r="LX5" i="6" s="1"/>
  <c r="LW4" i="6"/>
  <c r="LW14" i="6"/>
  <c r="LX14" i="6" s="1"/>
  <c r="LW13" i="6"/>
  <c r="LW10" i="6"/>
  <c r="LV9" i="6"/>
  <c r="LG4" i="8"/>
  <c r="LH8" i="8"/>
  <c r="LH6" i="8"/>
  <c r="LF4" i="8"/>
  <c r="LG8" i="8"/>
  <c r="LG7" i="8"/>
  <c r="LG6" i="8"/>
  <c r="LG5" i="8"/>
  <c r="LF8" i="8"/>
  <c r="LF6" i="8"/>
  <c r="LH7" i="8"/>
  <c r="LH5" i="8"/>
  <c r="LH4" i="8"/>
  <c r="LH9" i="7"/>
  <c r="LH8" i="7"/>
  <c r="LG9" i="7"/>
  <c r="LI9" i="7" s="1"/>
  <c r="LG8" i="7"/>
  <c r="LI8" i="7" s="1"/>
  <c r="LG7" i="7"/>
  <c r="LG6" i="7"/>
  <c r="LG5" i="7"/>
  <c r="LF6" i="7"/>
  <c r="LH6" i="7"/>
  <c r="LF8" i="7"/>
  <c r="LH7" i="7"/>
  <c r="LH5" i="7"/>
  <c r="LG4" i="7"/>
  <c r="LH4" i="7"/>
  <c r="MC6" i="10"/>
  <c r="MA5" i="10"/>
  <c r="MB16" i="10"/>
  <c r="MD16" i="10" s="1"/>
  <c r="MA8" i="10"/>
  <c r="MA7" i="10"/>
  <c r="LZ5" i="10"/>
  <c r="LZ4" i="10"/>
  <c r="MC14" i="10"/>
  <c r="LZ8" i="10"/>
  <c r="LZ7" i="10"/>
  <c r="MC15" i="10"/>
  <c r="MC9" i="10"/>
  <c r="MC12" i="10"/>
  <c r="MC7" i="10"/>
  <c r="MA11" i="10"/>
  <c r="LZ11" i="10"/>
  <c r="LZ9" i="10"/>
  <c r="MA15" i="10"/>
  <c r="MB15" i="10" s="1"/>
  <c r="MA14" i="10"/>
  <c r="MA12" i="10"/>
  <c r="MB12" i="10" s="1"/>
  <c r="LZ6" i="10"/>
  <c r="MC4" i="10"/>
  <c r="LZ14" i="10"/>
  <c r="MA9" i="10"/>
  <c r="H7" i="10"/>
  <c r="I7" i="10" s="1"/>
  <c r="MA4" i="10"/>
  <c r="MC13" i="10"/>
  <c r="MC11" i="10"/>
  <c r="MC10" i="10"/>
  <c r="MC8" i="10"/>
  <c r="MC5" i="10"/>
  <c r="MA10" i="9"/>
  <c r="MA5" i="9"/>
  <c r="MB5" i="9" s="1"/>
  <c r="MC16" i="9"/>
  <c r="MC14" i="9"/>
  <c r="MA13" i="9"/>
  <c r="MA12" i="9"/>
  <c r="LZ10" i="9"/>
  <c r="LZ8" i="9"/>
  <c r="LZ7" i="9"/>
  <c r="LZ12" i="9"/>
  <c r="MA18" i="9"/>
  <c r="MB18" i="9" s="1"/>
  <c r="MD18" i="9" s="1"/>
  <c r="LZ16" i="9"/>
  <c r="LZ15" i="9"/>
  <c r="MC17" i="9"/>
  <c r="LZ13" i="9"/>
  <c r="MA4" i="9"/>
  <c r="LZ18" i="9"/>
  <c r="MC15" i="9"/>
  <c r="MA8" i="9"/>
  <c r="MA9" i="9"/>
  <c r="MB9" i="9" s="1"/>
  <c r="MD9" i="9" s="1"/>
  <c r="MC4" i="9"/>
  <c r="MA17" i="9"/>
  <c r="LZ17" i="9"/>
  <c r="MA14" i="9"/>
  <c r="LZ14" i="9"/>
  <c r="MA6" i="9"/>
  <c r="MA16" i="9"/>
  <c r="MC9" i="9"/>
  <c r="MC7" i="9"/>
  <c r="LZ19" i="9"/>
  <c r="MB19" i="9" s="1"/>
  <c r="LZ11" i="9"/>
  <c r="LZ9" i="9"/>
  <c r="LZ6" i="9"/>
  <c r="MA15" i="9"/>
  <c r="MA7" i="9"/>
  <c r="MB7" i="9" s="1"/>
  <c r="MC12" i="9"/>
  <c r="MA11" i="9"/>
  <c r="MC6" i="9"/>
  <c r="LZ4" i="9"/>
  <c r="MC19" i="9"/>
  <c r="MC18" i="9"/>
  <c r="MC13" i="9"/>
  <c r="MC11" i="9"/>
  <c r="MC10" i="9"/>
  <c r="MC5" i="9"/>
  <c r="MC4" i="2"/>
  <c r="MC13" i="2"/>
  <c r="LZ12" i="2"/>
  <c r="LZ10" i="2"/>
  <c r="LZ13" i="2"/>
  <c r="MA5" i="2"/>
  <c r="MA8" i="2"/>
  <c r="MA4" i="2"/>
  <c r="MC7" i="2"/>
  <c r="MA7" i="2"/>
  <c r="MB7" i="2" s="1"/>
  <c r="MD7" i="2" s="1"/>
  <c r="MC6" i="2"/>
  <c r="MA10" i="2"/>
  <c r="MB10" i="2" s="1"/>
  <c r="MA13" i="2"/>
  <c r="MB13" i="2" s="1"/>
  <c r="MA12" i="2"/>
  <c r="MA11" i="2"/>
  <c r="LZ11" i="2"/>
  <c r="MA6" i="2"/>
  <c r="LZ6" i="2"/>
  <c r="MB6" i="2" s="1"/>
  <c r="MC12" i="2"/>
  <c r="LZ4" i="2"/>
  <c r="MA9" i="2"/>
  <c r="LZ9" i="2"/>
  <c r="LZ8" i="2"/>
  <c r="MB8" i="2" s="1"/>
  <c r="MD8" i="2" s="1"/>
  <c r="MC5" i="2"/>
  <c r="MA7" i="4"/>
  <c r="MC5" i="4"/>
  <c r="MA18" i="4"/>
  <c r="LZ13" i="4"/>
  <c r="MC7" i="4"/>
  <c r="MA15" i="4"/>
  <c r="MA17" i="4"/>
  <c r="MA13" i="4"/>
  <c r="MC9" i="4"/>
  <c r="MA5" i="4"/>
  <c r="MA21" i="4"/>
  <c r="MC17" i="4"/>
  <c r="MA11" i="4"/>
  <c r="LZ10" i="4"/>
  <c r="MB10" i="4" s="1"/>
  <c r="MD10" i="4" s="1"/>
  <c r="LZ4" i="4"/>
  <c r="MB4" i="4" s="1"/>
  <c r="MC16" i="4"/>
  <c r="MA20" i="4"/>
  <c r="MC14" i="4"/>
  <c r="LZ12" i="4"/>
  <c r="MC10" i="4"/>
  <c r="MA9" i="4"/>
  <c r="LZ9" i="4"/>
  <c r="MB9" i="4" s="1"/>
  <c r="LZ8" i="4"/>
  <c r="MB8" i="4" s="1"/>
  <c r="MC6" i="4"/>
  <c r="MA6" i="4"/>
  <c r="MC11" i="4"/>
  <c r="MC8" i="4"/>
  <c r="LZ15" i="4"/>
  <c r="LZ7" i="4"/>
  <c r="LZ20" i="4"/>
  <c r="MC18" i="4"/>
  <c r="MA16" i="4"/>
  <c r="MC12" i="4"/>
  <c r="MC19" i="4"/>
  <c r="LZ14" i="4"/>
  <c r="LZ6" i="4"/>
  <c r="MA12" i="4"/>
  <c r="MA4" i="4"/>
  <c r="LZ18" i="4"/>
  <c r="LZ16" i="4"/>
  <c r="MB16" i="4" s="1"/>
  <c r="MA14" i="4"/>
  <c r="LZ11" i="4"/>
  <c r="MC20" i="4"/>
  <c r="LZ19" i="4"/>
  <c r="LZ17" i="4"/>
  <c r="L7" i="10"/>
  <c r="N7" i="10"/>
  <c r="BO7" i="10"/>
  <c r="K7" i="10"/>
  <c r="LU10" i="12"/>
  <c r="LT4" i="12"/>
  <c r="LU12" i="6"/>
  <c r="LU14" i="6"/>
  <c r="LU15" i="6"/>
  <c r="LV10" i="6"/>
  <c r="LU7" i="6"/>
  <c r="LV13" i="6"/>
  <c r="LU13" i="6"/>
  <c r="LU5" i="6"/>
  <c r="LU4" i="6"/>
  <c r="MB14" i="9"/>
  <c r="MB5" i="2"/>
  <c r="LY21" i="4"/>
  <c r="LY16" i="4"/>
  <c r="LY8" i="4"/>
  <c r="FH6" i="6"/>
  <c r="LX4" i="12" l="1"/>
  <c r="LX7" i="12"/>
  <c r="LX9" i="12"/>
  <c r="LX5" i="12"/>
  <c r="LX12" i="12"/>
  <c r="LX6" i="12"/>
  <c r="LX7" i="6"/>
  <c r="LX12" i="6"/>
  <c r="LI5" i="7"/>
  <c r="LI6" i="7"/>
  <c r="LI7" i="7"/>
  <c r="MB9" i="10"/>
  <c r="MB10" i="10"/>
  <c r="MB5" i="10"/>
  <c r="MB7" i="10"/>
  <c r="MB10" i="9"/>
  <c r="MB9" i="2"/>
  <c r="MD9" i="2" s="1"/>
  <c r="MD10" i="2"/>
  <c r="MB21" i="4"/>
  <c r="MD21" i="4" s="1"/>
  <c r="MD4" i="4"/>
  <c r="MD9" i="4"/>
  <c r="MB5" i="4"/>
  <c r="MD5" i="4" s="1"/>
  <c r="MB18" i="4"/>
  <c r="MD18" i="4" s="1"/>
  <c r="MB20" i="4"/>
  <c r="MD20" i="4" s="1"/>
  <c r="MB12" i="4"/>
  <c r="MD12" i="4" s="1"/>
  <c r="MB7" i="4"/>
  <c r="MD7" i="4" s="1"/>
  <c r="MD8" i="4"/>
  <c r="LX10" i="12"/>
  <c r="LX11" i="12"/>
  <c r="LX11" i="6"/>
  <c r="LX9" i="6"/>
  <c r="LI5" i="8"/>
  <c r="LI6" i="8"/>
  <c r="LI7" i="8"/>
  <c r="LI4" i="8"/>
  <c r="LI8" i="8"/>
  <c r="MD9" i="10"/>
  <c r="MD15" i="10"/>
  <c r="MB4" i="10"/>
  <c r="MB6" i="10"/>
  <c r="MD6" i="10" s="1"/>
  <c r="MB4" i="9"/>
  <c r="MD19" i="9"/>
  <c r="MB12" i="9"/>
  <c r="MD12" i="9" s="1"/>
  <c r="MD14" i="9"/>
  <c r="MB16" i="9"/>
  <c r="MD16" i="9" s="1"/>
  <c r="MD10" i="9"/>
  <c r="MB11" i="9"/>
  <c r="MD11" i="9" s="1"/>
  <c r="MB13" i="9"/>
  <c r="MD13" i="9" s="1"/>
  <c r="MD13" i="2"/>
  <c r="MB11" i="2"/>
  <c r="MD11" i="2" s="1"/>
  <c r="MB12" i="2"/>
  <c r="MD12" i="2" s="1"/>
  <c r="MD16" i="4"/>
  <c r="MB13" i="4"/>
  <c r="MD13" i="4" s="1"/>
  <c r="LX15" i="6"/>
  <c r="LX4" i="6"/>
  <c r="LX6" i="6"/>
  <c r="LX13" i="6"/>
  <c r="LX10" i="6"/>
  <c r="LI4" i="7"/>
  <c r="MD12" i="10"/>
  <c r="MD5" i="10"/>
  <c r="MB11" i="10"/>
  <c r="MD11" i="10" s="1"/>
  <c r="MB8" i="10"/>
  <c r="MD8" i="10" s="1"/>
  <c r="MD7" i="10"/>
  <c r="MD4" i="10"/>
  <c r="MD10" i="10"/>
  <c r="MD13" i="10"/>
  <c r="MB14" i="10"/>
  <c r="MD14" i="10" s="1"/>
  <c r="MB15" i="9"/>
  <c r="MD15" i="9" s="1"/>
  <c r="MD7" i="9"/>
  <c r="MB17" i="9"/>
  <c r="MD17" i="9" s="1"/>
  <c r="MB8" i="9"/>
  <c r="MD8" i="9" s="1"/>
  <c r="MD4" i="9"/>
  <c r="MB6" i="9"/>
  <c r="MD6" i="9" s="1"/>
  <c r="MD5" i="9"/>
  <c r="MD5" i="2"/>
  <c r="MB4" i="2"/>
  <c r="MD4" i="2" s="1"/>
  <c r="MD6" i="2"/>
  <c r="MB17" i="4"/>
  <c r="MD17" i="4" s="1"/>
  <c r="MB11" i="4"/>
  <c r="MD11" i="4" s="1"/>
  <c r="MB15" i="4"/>
  <c r="MD15" i="4" s="1"/>
  <c r="MB6" i="4"/>
  <c r="MD6" i="4" s="1"/>
  <c r="MD19" i="4"/>
  <c r="MB14" i="4"/>
  <c r="MD14" i="4" s="1"/>
  <c r="O7" i="10"/>
  <c r="BN7" i="10"/>
  <c r="M7" i="10"/>
  <c r="BM7" i="10"/>
  <c r="KD7" i="6"/>
  <c r="KC7" i="6"/>
  <c r="KD15" i="6"/>
  <c r="KC15" i="6"/>
  <c r="KD14" i="6"/>
  <c r="KC14" i="6"/>
  <c r="KD13" i="6"/>
  <c r="KC13" i="6"/>
  <c r="KD12" i="6"/>
  <c r="KC12" i="6"/>
  <c r="KD11" i="6"/>
  <c r="KC11" i="6"/>
  <c r="KD10" i="6"/>
  <c r="KC10" i="6"/>
  <c r="KD9" i="6"/>
  <c r="KC9" i="6"/>
  <c r="KD8" i="6"/>
  <c r="KC8" i="6"/>
  <c r="KD6" i="6"/>
  <c r="KC6" i="6"/>
  <c r="KD5" i="6"/>
  <c r="KC5" i="6"/>
  <c r="KD4" i="6"/>
  <c r="KC4" i="6"/>
  <c r="IN15" i="6"/>
  <c r="IM15" i="6"/>
  <c r="IN14" i="6"/>
  <c r="IM14" i="6"/>
  <c r="IN13" i="6"/>
  <c r="IM13" i="6"/>
  <c r="IN12" i="6"/>
  <c r="IM12" i="6"/>
  <c r="IN11" i="6"/>
  <c r="IM11" i="6"/>
  <c r="IN10" i="6"/>
  <c r="IM10" i="6"/>
  <c r="IN9" i="6"/>
  <c r="IM9" i="6"/>
  <c r="IN7" i="6"/>
  <c r="IM7" i="6"/>
  <c r="IN8" i="6"/>
  <c r="IM8" i="6"/>
  <c r="IN6" i="6"/>
  <c r="IM6" i="6"/>
  <c r="IN5" i="6"/>
  <c r="IM5" i="6"/>
  <c r="IN4" i="6"/>
  <c r="IM4" i="6"/>
  <c r="GX15" i="6"/>
  <c r="GW15" i="6"/>
  <c r="GX14" i="6"/>
  <c r="GW14" i="6"/>
  <c r="GX13" i="6"/>
  <c r="GW13" i="6"/>
  <c r="GX12" i="6"/>
  <c r="GW12" i="6"/>
  <c r="GX11" i="6"/>
  <c r="GW11" i="6"/>
  <c r="GX10" i="6"/>
  <c r="GW10" i="6"/>
  <c r="GX9" i="6"/>
  <c r="GW9" i="6"/>
  <c r="GX7" i="6"/>
  <c r="GW7" i="6"/>
  <c r="GX8" i="6"/>
  <c r="GW8" i="6"/>
  <c r="GX6" i="6"/>
  <c r="GW6" i="6"/>
  <c r="GX5" i="6"/>
  <c r="GW5" i="6"/>
  <c r="GX4" i="6"/>
  <c r="GW4" i="6"/>
  <c r="KY15" i="6"/>
  <c r="KX15" i="6"/>
  <c r="KY14" i="6"/>
  <c r="KX14" i="6"/>
  <c r="KY13" i="6"/>
  <c r="KX13" i="6"/>
  <c r="KY12" i="6"/>
  <c r="KX12" i="6"/>
  <c r="KY11" i="6"/>
  <c r="KX11" i="6"/>
  <c r="KY10" i="6"/>
  <c r="KX10" i="6"/>
  <c r="KY9" i="6"/>
  <c r="KX9" i="6"/>
  <c r="KY7" i="6"/>
  <c r="KX7" i="6"/>
  <c r="KY8" i="6"/>
  <c r="KX8" i="6"/>
  <c r="KY6" i="6"/>
  <c r="KX6" i="6"/>
  <c r="KY5" i="6"/>
  <c r="KX5" i="6"/>
  <c r="KY4" i="6"/>
  <c r="KX4" i="6"/>
  <c r="JI15" i="6"/>
  <c r="JH15" i="6"/>
  <c r="JI14" i="6"/>
  <c r="JH14" i="6"/>
  <c r="JI13" i="6"/>
  <c r="JH13" i="6"/>
  <c r="JI12" i="6"/>
  <c r="JH12" i="6"/>
  <c r="JI11" i="6"/>
  <c r="JH11" i="6"/>
  <c r="JI10" i="6"/>
  <c r="JH10" i="6"/>
  <c r="JI9" i="6"/>
  <c r="JH9" i="6"/>
  <c r="JI7" i="6"/>
  <c r="JH7" i="6"/>
  <c r="JI8" i="6"/>
  <c r="JH8" i="6"/>
  <c r="JI6" i="6"/>
  <c r="JH6" i="6"/>
  <c r="JI5" i="6"/>
  <c r="JH5" i="6"/>
  <c r="JI4" i="6"/>
  <c r="JH4" i="6"/>
  <c r="HS15" i="6"/>
  <c r="HR15" i="6"/>
  <c r="HS14" i="6"/>
  <c r="HR14" i="6"/>
  <c r="HS13" i="6"/>
  <c r="HR13" i="6"/>
  <c r="HS12" i="6"/>
  <c r="HR12" i="6"/>
  <c r="HS11" i="6"/>
  <c r="HR11" i="6"/>
  <c r="HS10" i="6"/>
  <c r="HR10" i="6"/>
  <c r="HS9" i="6"/>
  <c r="HR9" i="6"/>
  <c r="HS7" i="6"/>
  <c r="HR7" i="6"/>
  <c r="HS8" i="6"/>
  <c r="HR8" i="6"/>
  <c r="HS6" i="6"/>
  <c r="HR6" i="6"/>
  <c r="HS5" i="6"/>
  <c r="HR5" i="6"/>
  <c r="HS4" i="6"/>
  <c r="HR4" i="6"/>
  <c r="GC15" i="6"/>
  <c r="GB15" i="6"/>
  <c r="GC14" i="6"/>
  <c r="GB14" i="6"/>
  <c r="GC13" i="6"/>
  <c r="GB13" i="6"/>
  <c r="GC12" i="6"/>
  <c r="GB12" i="6"/>
  <c r="GC11" i="6"/>
  <c r="GB11" i="6"/>
  <c r="GC10" i="6"/>
  <c r="GB10" i="6"/>
  <c r="GC9" i="6"/>
  <c r="GB9" i="6"/>
  <c r="GC7" i="6"/>
  <c r="GB7" i="6"/>
  <c r="GC8" i="6"/>
  <c r="GB8" i="6"/>
  <c r="GC6" i="6"/>
  <c r="GB6" i="6"/>
  <c r="GC5" i="6"/>
  <c r="GB5" i="6"/>
  <c r="GC4" i="6"/>
  <c r="GB4" i="6"/>
  <c r="R7" i="10" l="1"/>
  <c r="E7" i="10" s="1"/>
  <c r="KY12" i="12"/>
  <c r="KX12" i="12"/>
  <c r="KY11" i="12"/>
  <c r="KX11" i="12"/>
  <c r="KY9" i="12"/>
  <c r="KX9" i="12"/>
  <c r="KY10" i="12"/>
  <c r="KX10" i="12"/>
  <c r="KY8" i="12"/>
  <c r="KX8" i="12"/>
  <c r="KY7" i="12"/>
  <c r="KX7" i="12"/>
  <c r="KY6" i="12"/>
  <c r="KX6" i="12"/>
  <c r="KY5" i="12"/>
  <c r="KX5" i="12"/>
  <c r="KY4" i="12"/>
  <c r="KX4" i="12"/>
  <c r="JI12" i="12"/>
  <c r="JH12" i="12"/>
  <c r="JI11" i="12"/>
  <c r="JH11" i="12"/>
  <c r="JI9" i="12"/>
  <c r="JH9" i="12"/>
  <c r="JI10" i="12"/>
  <c r="JH10" i="12"/>
  <c r="JI8" i="12"/>
  <c r="JH8" i="12"/>
  <c r="JI7" i="12"/>
  <c r="JH7" i="12"/>
  <c r="JI6" i="12"/>
  <c r="JH6" i="12"/>
  <c r="JI5" i="12"/>
  <c r="JH5" i="12"/>
  <c r="JI4" i="12"/>
  <c r="JH4" i="12"/>
  <c r="HS12" i="12"/>
  <c r="HR12" i="12"/>
  <c r="HS11" i="12"/>
  <c r="HR11" i="12"/>
  <c r="HS9" i="12"/>
  <c r="HR9" i="12"/>
  <c r="HS10" i="12"/>
  <c r="HR10" i="12"/>
  <c r="HS8" i="12"/>
  <c r="HR8" i="12"/>
  <c r="HS7" i="12"/>
  <c r="HR7" i="12"/>
  <c r="HS6" i="12"/>
  <c r="HR6" i="12"/>
  <c r="HS5" i="12"/>
  <c r="HR5" i="12"/>
  <c r="HS4" i="12"/>
  <c r="HR4" i="12"/>
  <c r="GC12" i="12"/>
  <c r="GB12" i="12"/>
  <c r="GC11" i="12"/>
  <c r="GB11" i="12"/>
  <c r="GC9" i="12"/>
  <c r="GB9" i="12"/>
  <c r="GC10" i="12"/>
  <c r="GB10" i="12"/>
  <c r="GC8" i="12"/>
  <c r="GB8" i="12"/>
  <c r="GC7" i="12"/>
  <c r="GB7" i="12"/>
  <c r="GC6" i="12"/>
  <c r="GB6" i="12"/>
  <c r="GC5" i="12"/>
  <c r="GB5" i="12"/>
  <c r="GC4" i="12"/>
  <c r="GB4" i="12"/>
  <c r="EM12" i="12"/>
  <c r="EL12" i="12"/>
  <c r="EM11" i="12"/>
  <c r="EL11" i="12"/>
  <c r="EM9" i="12"/>
  <c r="EL9" i="12"/>
  <c r="EM10" i="12"/>
  <c r="EL10" i="12"/>
  <c r="EM8" i="12"/>
  <c r="EL8" i="12"/>
  <c r="EM7" i="12"/>
  <c r="EL7" i="12"/>
  <c r="EM6" i="12"/>
  <c r="EL6" i="12"/>
  <c r="EM5" i="12"/>
  <c r="EL5" i="12"/>
  <c r="EM4" i="12"/>
  <c r="EL4" i="12"/>
  <c r="KD12" i="12"/>
  <c r="KC12" i="12"/>
  <c r="KD11" i="12"/>
  <c r="KC11" i="12"/>
  <c r="KD9" i="12"/>
  <c r="KC9" i="12"/>
  <c r="KD10" i="12"/>
  <c r="KC10" i="12"/>
  <c r="KD8" i="12"/>
  <c r="KC8" i="12"/>
  <c r="KD7" i="12"/>
  <c r="KC7" i="12"/>
  <c r="KD6" i="12"/>
  <c r="KC6" i="12"/>
  <c r="KD5" i="12"/>
  <c r="KC5" i="12"/>
  <c r="KD4" i="12"/>
  <c r="KC4" i="12"/>
  <c r="IN12" i="12"/>
  <c r="IM12" i="12"/>
  <c r="IN11" i="12"/>
  <c r="IM11" i="12"/>
  <c r="IN9" i="12"/>
  <c r="IM9" i="12"/>
  <c r="IN10" i="12"/>
  <c r="IM10" i="12"/>
  <c r="IN8" i="12"/>
  <c r="IM8" i="12"/>
  <c r="IN7" i="12"/>
  <c r="IM7" i="12"/>
  <c r="IN6" i="12"/>
  <c r="IM6" i="12"/>
  <c r="IN5" i="12"/>
  <c r="IM5" i="12"/>
  <c r="IN4" i="12"/>
  <c r="IM4" i="12"/>
  <c r="GX12" i="12"/>
  <c r="GW12" i="12"/>
  <c r="GX11" i="12"/>
  <c r="GW11" i="12"/>
  <c r="GX9" i="12"/>
  <c r="GW9" i="12"/>
  <c r="GX10" i="12"/>
  <c r="GW10" i="12"/>
  <c r="GX8" i="12"/>
  <c r="GW8" i="12"/>
  <c r="GX7" i="12"/>
  <c r="GW7" i="12"/>
  <c r="GX6" i="12"/>
  <c r="GW6" i="12"/>
  <c r="GX5" i="12"/>
  <c r="GW5" i="12"/>
  <c r="GX4" i="12"/>
  <c r="GW4" i="12"/>
  <c r="FH12" i="12"/>
  <c r="FG12" i="12"/>
  <c r="FH11" i="12"/>
  <c r="FG11" i="12"/>
  <c r="FH9" i="12"/>
  <c r="FG9" i="12"/>
  <c r="FH10" i="12"/>
  <c r="FG10" i="12"/>
  <c r="FH8" i="12"/>
  <c r="FG8" i="12"/>
  <c r="FH7" i="12"/>
  <c r="FG7" i="12"/>
  <c r="FH6" i="12"/>
  <c r="FG6" i="12"/>
  <c r="FH5" i="12"/>
  <c r="FG5" i="12"/>
  <c r="FH4" i="12"/>
  <c r="FG4" i="12"/>
  <c r="DR12" i="12"/>
  <c r="DQ12" i="12"/>
  <c r="DR11" i="12"/>
  <c r="DQ11" i="12"/>
  <c r="DR9" i="12"/>
  <c r="DQ9" i="12"/>
  <c r="DR10" i="12"/>
  <c r="DQ10" i="12"/>
  <c r="DR8" i="12"/>
  <c r="DQ8" i="12"/>
  <c r="DR7" i="12"/>
  <c r="DQ7" i="12"/>
  <c r="DR6" i="12"/>
  <c r="DQ6" i="12"/>
  <c r="DR5" i="12"/>
  <c r="DQ5" i="12"/>
  <c r="DR4" i="12"/>
  <c r="DQ4" i="12"/>
  <c r="CW12" i="12"/>
  <c r="CV12" i="12"/>
  <c r="CW11" i="12"/>
  <c r="CV11" i="12"/>
  <c r="CW9" i="12"/>
  <c r="CV9" i="12"/>
  <c r="CW10" i="12"/>
  <c r="CV10" i="12"/>
  <c r="CW8" i="12"/>
  <c r="CV8" i="12"/>
  <c r="CW7" i="12"/>
  <c r="CV7" i="12"/>
  <c r="CW6" i="12"/>
  <c r="CV6" i="12"/>
  <c r="CW5" i="12"/>
  <c r="CV5" i="12"/>
  <c r="CW4" i="12"/>
  <c r="CV4" i="12"/>
  <c r="CA5" i="12"/>
  <c r="CB5" i="12"/>
  <c r="CA6" i="12"/>
  <c r="CB6" i="12"/>
  <c r="CA7" i="12"/>
  <c r="CB7" i="12"/>
  <c r="CA8" i="12"/>
  <c r="CB8" i="12"/>
  <c r="CA10" i="12"/>
  <c r="CB10" i="12"/>
  <c r="CA9" i="12"/>
  <c r="CB9" i="12"/>
  <c r="CA11" i="12"/>
  <c r="CB11" i="12"/>
  <c r="CA12" i="12"/>
  <c r="CB12" i="12"/>
  <c r="CB4" i="12"/>
  <c r="CA4" i="12"/>
  <c r="BE12" i="12"/>
  <c r="BD12" i="12"/>
  <c r="BE11" i="12"/>
  <c r="BD11" i="12"/>
  <c r="BE9" i="12"/>
  <c r="BD9" i="12"/>
  <c r="BE10" i="12"/>
  <c r="BD10" i="12"/>
  <c r="BE8" i="12"/>
  <c r="BD8" i="12"/>
  <c r="BE7" i="12"/>
  <c r="BD7" i="12"/>
  <c r="BE6" i="12"/>
  <c r="BD6" i="12"/>
  <c r="BE5" i="12"/>
  <c r="BD5" i="12"/>
  <c r="BE4" i="12"/>
  <c r="BD4" i="12"/>
  <c r="AI4" i="12"/>
  <c r="AH4" i="12"/>
  <c r="AI12" i="12"/>
  <c r="AH12" i="12"/>
  <c r="AI11" i="12"/>
  <c r="AH11" i="12"/>
  <c r="AI10" i="12"/>
  <c r="AH10" i="12"/>
  <c r="AI8" i="12"/>
  <c r="AH8" i="12"/>
  <c r="AI7" i="12"/>
  <c r="AH7" i="12"/>
  <c r="AI6" i="12"/>
  <c r="AH6" i="12"/>
  <c r="AI5" i="12"/>
  <c r="AH5" i="12"/>
  <c r="EM15" i="6"/>
  <c r="EL15" i="6"/>
  <c r="EM14" i="6"/>
  <c r="EL14" i="6"/>
  <c r="EM13" i="6"/>
  <c r="EL13" i="6"/>
  <c r="EM12" i="6"/>
  <c r="EL12" i="6"/>
  <c r="EM11" i="6"/>
  <c r="EL11" i="6"/>
  <c r="EM10" i="6"/>
  <c r="EL10" i="6"/>
  <c r="EM9" i="6"/>
  <c r="EL9" i="6"/>
  <c r="EM7" i="6"/>
  <c r="EL7" i="6"/>
  <c r="EM8" i="6"/>
  <c r="EL8" i="6"/>
  <c r="EM6" i="6"/>
  <c r="EL6" i="6"/>
  <c r="EM5" i="6"/>
  <c r="EL5" i="6"/>
  <c r="EM4" i="6"/>
  <c r="EL4" i="6"/>
  <c r="FH15" i="6"/>
  <c r="FG15" i="6"/>
  <c r="FH14" i="6"/>
  <c r="FG14" i="6"/>
  <c r="FH13" i="6"/>
  <c r="FG13" i="6"/>
  <c r="FH12" i="6"/>
  <c r="FG12" i="6"/>
  <c r="FH11" i="6"/>
  <c r="FG11" i="6"/>
  <c r="FH10" i="6"/>
  <c r="FG10" i="6"/>
  <c r="FH9" i="6"/>
  <c r="FG9" i="6"/>
  <c r="FH7" i="6"/>
  <c r="FG7" i="6"/>
  <c r="FH8" i="6"/>
  <c r="FG8" i="6"/>
  <c r="FG6" i="6"/>
  <c r="FH5" i="6"/>
  <c r="FG5" i="6"/>
  <c r="FH4" i="6"/>
  <c r="FG4" i="6"/>
  <c r="DR15" i="6"/>
  <c r="DQ15" i="6"/>
  <c r="DR14" i="6"/>
  <c r="DQ14" i="6"/>
  <c r="DR13" i="6"/>
  <c r="DQ13" i="6"/>
  <c r="DR12" i="6"/>
  <c r="DQ12" i="6"/>
  <c r="DR11" i="6"/>
  <c r="DQ11" i="6"/>
  <c r="DR10" i="6"/>
  <c r="DQ10" i="6"/>
  <c r="DR9" i="6"/>
  <c r="DQ9" i="6"/>
  <c r="DR7" i="6"/>
  <c r="DQ7" i="6"/>
  <c r="DR8" i="6"/>
  <c r="DQ8" i="6"/>
  <c r="DR6" i="6"/>
  <c r="DQ6" i="6"/>
  <c r="DR5" i="6"/>
  <c r="DQ5" i="6"/>
  <c r="DR4" i="6"/>
  <c r="DQ4" i="6"/>
  <c r="CW15" i="6"/>
  <c r="CV15" i="6"/>
  <c r="CW14" i="6"/>
  <c r="CV14" i="6"/>
  <c r="CW13" i="6"/>
  <c r="CV13" i="6"/>
  <c r="CW12" i="6"/>
  <c r="CV12" i="6"/>
  <c r="CW11" i="6"/>
  <c r="CV11" i="6"/>
  <c r="CW10" i="6"/>
  <c r="CV10" i="6"/>
  <c r="CW9" i="6"/>
  <c r="CV9" i="6"/>
  <c r="CW7" i="6"/>
  <c r="CV7" i="6"/>
  <c r="CW8" i="6"/>
  <c r="CV8" i="6"/>
  <c r="CW6" i="6"/>
  <c r="CV6" i="6"/>
  <c r="CW5" i="6"/>
  <c r="CV5" i="6"/>
  <c r="CW4" i="6"/>
  <c r="CV4" i="6"/>
  <c r="CB5" i="6"/>
  <c r="CB6" i="6"/>
  <c r="CB8" i="6"/>
  <c r="CB7" i="6"/>
  <c r="CB9" i="6"/>
  <c r="CB10" i="6"/>
  <c r="CB11" i="6"/>
  <c r="CB12" i="6"/>
  <c r="CB13" i="6"/>
  <c r="CB14" i="6"/>
  <c r="CB15" i="6"/>
  <c r="CB4" i="6"/>
  <c r="CA5" i="6"/>
  <c r="CA6" i="6"/>
  <c r="CA8" i="6"/>
  <c r="CA7" i="6"/>
  <c r="CA9" i="6"/>
  <c r="CA10" i="6"/>
  <c r="CA11" i="6"/>
  <c r="CA12" i="6"/>
  <c r="CA13" i="6"/>
  <c r="CA14" i="6"/>
  <c r="CA15" i="6"/>
  <c r="CA4" i="6"/>
  <c r="BE15" i="6"/>
  <c r="BD15" i="6"/>
  <c r="BE14" i="6"/>
  <c r="BD14" i="6"/>
  <c r="BE13" i="6"/>
  <c r="BD13" i="6"/>
  <c r="BE12" i="6"/>
  <c r="BD12" i="6"/>
  <c r="BE11" i="6"/>
  <c r="BD11" i="6"/>
  <c r="BE10" i="6"/>
  <c r="BD10" i="6"/>
  <c r="BE9" i="6"/>
  <c r="BD9" i="6"/>
  <c r="BE7" i="6"/>
  <c r="BD7" i="6"/>
  <c r="BE8" i="6"/>
  <c r="BD8" i="6"/>
  <c r="BE6" i="6"/>
  <c r="BD6" i="6"/>
  <c r="BE5" i="6"/>
  <c r="BD5" i="6"/>
  <c r="BE4" i="6"/>
  <c r="BD4" i="6"/>
  <c r="AI5" i="6"/>
  <c r="AI6" i="6"/>
  <c r="AI8" i="6"/>
  <c r="AI7" i="6"/>
  <c r="AI9" i="6"/>
  <c r="AI10" i="6"/>
  <c r="AI11" i="6"/>
  <c r="AI12" i="6"/>
  <c r="AI13" i="6"/>
  <c r="AI14" i="6"/>
  <c r="AI15" i="6"/>
  <c r="AI4" i="6"/>
  <c r="AH5" i="6"/>
  <c r="AH6" i="6"/>
  <c r="AH8" i="6"/>
  <c r="AH7" i="6"/>
  <c r="AH9" i="6"/>
  <c r="AH10" i="6"/>
  <c r="AH11" i="6"/>
  <c r="AH12" i="6"/>
  <c r="AH13" i="6"/>
  <c r="AH14" i="6"/>
  <c r="AH15" i="6"/>
  <c r="AH4" i="6"/>
  <c r="S7" i="10" l="1"/>
  <c r="T7" i="10"/>
  <c r="KM6" i="8"/>
  <c r="KL8" i="8"/>
  <c r="KL7" i="8"/>
  <c r="KL6" i="8"/>
  <c r="KL5" i="8"/>
  <c r="KL4" i="8"/>
  <c r="JR7" i="8"/>
  <c r="JR6" i="8"/>
  <c r="JR8" i="8"/>
  <c r="JR5" i="8"/>
  <c r="JR4" i="8"/>
  <c r="IX7" i="8"/>
  <c r="IX6" i="8"/>
  <c r="IX8" i="8"/>
  <c r="IX5" i="8"/>
  <c r="IX4" i="8"/>
  <c r="ID7" i="8"/>
  <c r="ID6" i="8"/>
  <c r="ID8" i="8"/>
  <c r="ID5" i="8"/>
  <c r="ID4" i="8"/>
  <c r="HJ4" i="8"/>
  <c r="HJ7" i="8"/>
  <c r="HJ6" i="8"/>
  <c r="HJ8" i="8"/>
  <c r="HJ5" i="8"/>
  <c r="GP7" i="8"/>
  <c r="GP6" i="8"/>
  <c r="GP8" i="8"/>
  <c r="GP5" i="8"/>
  <c r="GP4" i="8"/>
  <c r="FV7" i="8"/>
  <c r="FV6" i="8"/>
  <c r="FV8" i="8"/>
  <c r="FV5" i="8"/>
  <c r="FV4" i="8"/>
  <c r="FB7" i="8"/>
  <c r="FB6" i="8"/>
  <c r="FB8" i="8"/>
  <c r="FB5" i="8"/>
  <c r="FB4" i="8"/>
  <c r="EH7" i="8"/>
  <c r="EH6" i="8"/>
  <c r="EH8" i="8"/>
  <c r="EH5" i="8"/>
  <c r="EH4" i="8"/>
  <c r="DN7" i="8"/>
  <c r="DN6" i="8"/>
  <c r="DN8" i="8"/>
  <c r="DN5" i="8"/>
  <c r="DN4" i="8"/>
  <c r="CT7" i="8"/>
  <c r="CT6" i="8"/>
  <c r="CT8" i="8"/>
  <c r="CT5" i="8"/>
  <c r="CT4" i="8"/>
  <c r="BZ5" i="8"/>
  <c r="BZ8" i="8"/>
  <c r="BZ6" i="8"/>
  <c r="BZ7" i="8"/>
  <c r="BZ4" i="8"/>
  <c r="BD7" i="8"/>
  <c r="BD6" i="8"/>
  <c r="BD8" i="8"/>
  <c r="BD5" i="8"/>
  <c r="BD4" i="8"/>
  <c r="AI5" i="8"/>
  <c r="AI8" i="8"/>
  <c r="AI6" i="8"/>
  <c r="AI7" i="8"/>
  <c r="AI4" i="8"/>
  <c r="KL9" i="7"/>
  <c r="KL8" i="7"/>
  <c r="KL7" i="7"/>
  <c r="KL5" i="7"/>
  <c r="KL6" i="7"/>
  <c r="KL4" i="7"/>
  <c r="JR9" i="7"/>
  <c r="JR8" i="7"/>
  <c r="JR7" i="7"/>
  <c r="JR5" i="7"/>
  <c r="JR6" i="7"/>
  <c r="JR4" i="7"/>
  <c r="IX9" i="7"/>
  <c r="IX8" i="7"/>
  <c r="IX7" i="7"/>
  <c r="IX5" i="7"/>
  <c r="IX6" i="7"/>
  <c r="IX4" i="7"/>
  <c r="ID9" i="7"/>
  <c r="ID8" i="7"/>
  <c r="ID7" i="7"/>
  <c r="ID5" i="7"/>
  <c r="ID6" i="7"/>
  <c r="ID4" i="7"/>
  <c r="HJ9" i="7"/>
  <c r="HJ8" i="7"/>
  <c r="HJ7" i="7"/>
  <c r="HJ5" i="7"/>
  <c r="HJ6" i="7"/>
  <c r="HJ4" i="7"/>
  <c r="GP9" i="7"/>
  <c r="GP8" i="7"/>
  <c r="GP7" i="7"/>
  <c r="GP5" i="7"/>
  <c r="GP6" i="7"/>
  <c r="GP4" i="7"/>
  <c r="FV9" i="7"/>
  <c r="FV8" i="7"/>
  <c r="FV7" i="7"/>
  <c r="FV5" i="7"/>
  <c r="FV6" i="7"/>
  <c r="FV4" i="7"/>
  <c r="FB9" i="7"/>
  <c r="FB8" i="7"/>
  <c r="FB7" i="7"/>
  <c r="FB5" i="7"/>
  <c r="FB6" i="7"/>
  <c r="FB4" i="7"/>
  <c r="EH9" i="7"/>
  <c r="EH8" i="7"/>
  <c r="EH7" i="7"/>
  <c r="EH5" i="7"/>
  <c r="EH6" i="7"/>
  <c r="EH4" i="7"/>
  <c r="DN9" i="7"/>
  <c r="DN8" i="7"/>
  <c r="DN7" i="7"/>
  <c r="DN5" i="7"/>
  <c r="DN6" i="7"/>
  <c r="DN4" i="7"/>
  <c r="CT9" i="7"/>
  <c r="CT8" i="7"/>
  <c r="CT7" i="7"/>
  <c r="CT5" i="7"/>
  <c r="CT6" i="7"/>
  <c r="CT4" i="7"/>
  <c r="BZ6" i="7"/>
  <c r="BZ5" i="7"/>
  <c r="BZ7" i="7"/>
  <c r="BZ8" i="7"/>
  <c r="BZ9" i="7"/>
  <c r="BZ4" i="7"/>
  <c r="BD6" i="7"/>
  <c r="BD5" i="7"/>
  <c r="BD7" i="7"/>
  <c r="BD8" i="7"/>
  <c r="BD9" i="7"/>
  <c r="BD4" i="7"/>
  <c r="AI6" i="7"/>
  <c r="AI5" i="7"/>
  <c r="AI7" i="7"/>
  <c r="AI8" i="7"/>
  <c r="AI9" i="7"/>
  <c r="AI4" i="7"/>
  <c r="Q9" i="12"/>
  <c r="R9" i="12"/>
  <c r="AJ4" i="12"/>
  <c r="AK4" i="12"/>
  <c r="AJ8" i="12"/>
  <c r="AK8" i="12"/>
  <c r="AJ6" i="12"/>
  <c r="AK6" i="12"/>
  <c r="AJ5" i="12"/>
  <c r="AK5" i="12"/>
  <c r="AJ7" i="12"/>
  <c r="AK7" i="12"/>
  <c r="AJ10" i="12"/>
  <c r="AK10" i="12"/>
  <c r="AK9" i="12"/>
  <c r="AJ11" i="12"/>
  <c r="AK11" i="12"/>
  <c r="AJ12" i="12"/>
  <c r="AK12" i="12"/>
  <c r="LA12" i="12"/>
  <c r="KZ12" i="12"/>
  <c r="KF12" i="12"/>
  <c r="KE12" i="12"/>
  <c r="JK12" i="12"/>
  <c r="JJ12" i="12"/>
  <c r="IP12" i="12"/>
  <c r="IO12" i="12"/>
  <c r="HU12" i="12"/>
  <c r="HT12" i="12"/>
  <c r="GZ12" i="12"/>
  <c r="GY12" i="12"/>
  <c r="GE12" i="12"/>
  <c r="GD12" i="12"/>
  <c r="FJ12" i="12"/>
  <c r="FI12" i="12"/>
  <c r="EO12" i="12"/>
  <c r="EN12" i="12"/>
  <c r="DT12" i="12"/>
  <c r="DS12" i="12"/>
  <c r="CY12" i="12"/>
  <c r="CX12" i="12"/>
  <c r="CD12" i="12"/>
  <c r="CC12" i="12"/>
  <c r="BG12" i="12"/>
  <c r="BF12" i="12"/>
  <c r="LA11" i="12"/>
  <c r="KZ11" i="12"/>
  <c r="KF11" i="12"/>
  <c r="KE11" i="12"/>
  <c r="JK11" i="12"/>
  <c r="JJ11" i="12"/>
  <c r="IP11" i="12"/>
  <c r="IO11" i="12"/>
  <c r="HU11" i="12"/>
  <c r="HT11" i="12"/>
  <c r="GZ11" i="12"/>
  <c r="GY11" i="12"/>
  <c r="GE11" i="12"/>
  <c r="GD11" i="12"/>
  <c r="FJ11" i="12"/>
  <c r="FI11" i="12"/>
  <c r="EO11" i="12"/>
  <c r="EN11" i="12"/>
  <c r="DT11" i="12"/>
  <c r="DS11" i="12"/>
  <c r="CY11" i="12"/>
  <c r="CX11" i="12"/>
  <c r="CD11" i="12"/>
  <c r="CC11" i="12"/>
  <c r="BG11" i="12"/>
  <c r="BF11" i="12"/>
  <c r="LA9" i="12"/>
  <c r="KZ9" i="12"/>
  <c r="KF9" i="12"/>
  <c r="KE9" i="12"/>
  <c r="JK9" i="12"/>
  <c r="JJ9" i="12"/>
  <c r="IP9" i="12"/>
  <c r="IO9" i="12"/>
  <c r="HU9" i="12"/>
  <c r="HT9" i="12"/>
  <c r="GZ9" i="12"/>
  <c r="GY9" i="12"/>
  <c r="GE9" i="12"/>
  <c r="GD9" i="12"/>
  <c r="FJ9" i="12"/>
  <c r="FI9" i="12"/>
  <c r="EO9" i="12"/>
  <c r="EN9" i="12"/>
  <c r="DT9" i="12"/>
  <c r="DS9" i="12"/>
  <c r="CY9" i="12"/>
  <c r="CX9" i="12"/>
  <c r="CD9" i="12"/>
  <c r="CC9" i="12"/>
  <c r="BG9" i="12"/>
  <c r="BF9" i="12"/>
  <c r="LA10" i="12"/>
  <c r="KZ10" i="12"/>
  <c r="KF10" i="12"/>
  <c r="KE10" i="12"/>
  <c r="JK10" i="12"/>
  <c r="JJ10" i="12"/>
  <c r="IP10" i="12"/>
  <c r="IO10" i="12"/>
  <c r="HU10" i="12"/>
  <c r="HT10" i="12"/>
  <c r="GZ10" i="12"/>
  <c r="GY10" i="12"/>
  <c r="GE10" i="12"/>
  <c r="GD10" i="12"/>
  <c r="FJ10" i="12"/>
  <c r="FI10" i="12"/>
  <c r="EO10" i="12"/>
  <c r="EN10" i="12"/>
  <c r="DT10" i="12"/>
  <c r="DS10" i="12"/>
  <c r="CY10" i="12"/>
  <c r="CX10" i="12"/>
  <c r="CD10" i="12"/>
  <c r="CC10" i="12"/>
  <c r="BG10" i="12"/>
  <c r="BF10" i="12"/>
  <c r="LA7" i="12"/>
  <c r="KZ7" i="12"/>
  <c r="KF7" i="12"/>
  <c r="KE7" i="12"/>
  <c r="JK7" i="12"/>
  <c r="JJ7" i="12"/>
  <c r="IP7" i="12"/>
  <c r="IO7" i="12"/>
  <c r="HU7" i="12"/>
  <c r="HT7" i="12"/>
  <c r="GZ7" i="12"/>
  <c r="GY7" i="12"/>
  <c r="GE7" i="12"/>
  <c r="GD7" i="12"/>
  <c r="FJ7" i="12"/>
  <c r="FI7" i="12"/>
  <c r="EO7" i="12"/>
  <c r="EN7" i="12"/>
  <c r="DT7" i="12"/>
  <c r="DS7" i="12"/>
  <c r="CY7" i="12"/>
  <c r="CX7" i="12"/>
  <c r="CD7" i="12"/>
  <c r="CC7" i="12"/>
  <c r="BG7" i="12"/>
  <c r="BF7" i="12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LA6" i="12"/>
  <c r="KZ6" i="12"/>
  <c r="KF6" i="12"/>
  <c r="KE6" i="12"/>
  <c r="JK6" i="12"/>
  <c r="JJ6" i="12"/>
  <c r="IP6" i="12"/>
  <c r="IO6" i="12"/>
  <c r="HU6" i="12"/>
  <c r="HT6" i="12"/>
  <c r="GZ6" i="12"/>
  <c r="GY6" i="12"/>
  <c r="GE6" i="12"/>
  <c r="GD6" i="12"/>
  <c r="FJ6" i="12"/>
  <c r="FI6" i="12"/>
  <c r="EO6" i="12"/>
  <c r="EN6" i="12"/>
  <c r="DT6" i="12"/>
  <c r="DS6" i="12"/>
  <c r="DU6" i="12" s="1"/>
  <c r="CY6" i="12"/>
  <c r="CX6" i="12"/>
  <c r="CD6" i="12"/>
  <c r="CC6" i="12"/>
  <c r="BG6" i="12"/>
  <c r="BF6" i="12"/>
  <c r="LA8" i="12"/>
  <c r="KZ8" i="12"/>
  <c r="KF8" i="12"/>
  <c r="KE8" i="12"/>
  <c r="JK8" i="12"/>
  <c r="JJ8" i="12"/>
  <c r="IP8" i="12"/>
  <c r="IO8" i="12"/>
  <c r="HU8" i="12"/>
  <c r="HT8" i="12"/>
  <c r="GZ8" i="12"/>
  <c r="GY8" i="12"/>
  <c r="GE8" i="12"/>
  <c r="GD8" i="12"/>
  <c r="FJ8" i="12"/>
  <c r="FI8" i="12"/>
  <c r="EO8" i="12"/>
  <c r="EN8" i="12"/>
  <c r="DT8" i="12"/>
  <c r="DS8" i="12"/>
  <c r="CY8" i="12"/>
  <c r="CX8" i="12"/>
  <c r="CD8" i="12"/>
  <c r="CC8" i="12"/>
  <c r="BG8" i="12"/>
  <c r="BF8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BH12" i="12" l="1"/>
  <c r="BH4" i="12"/>
  <c r="G11" i="12"/>
  <c r="H7" i="7"/>
  <c r="H5" i="7"/>
  <c r="F10" i="12"/>
  <c r="G7" i="12"/>
  <c r="H4" i="8"/>
  <c r="H4" i="7"/>
  <c r="H9" i="7"/>
  <c r="H6" i="7"/>
  <c r="H8" i="7"/>
  <c r="F4" i="12"/>
  <c r="G4" i="12"/>
  <c r="AL8" i="12"/>
  <c r="H8" i="12"/>
  <c r="H4" i="12"/>
  <c r="G10" i="12"/>
  <c r="G8" i="12"/>
  <c r="F11" i="12"/>
  <c r="H12" i="12"/>
  <c r="F8" i="12"/>
  <c r="H5" i="12"/>
  <c r="G5" i="12"/>
  <c r="F12" i="12"/>
  <c r="H11" i="12"/>
  <c r="F5" i="12"/>
  <c r="G12" i="12"/>
  <c r="H6" i="12"/>
  <c r="G6" i="12"/>
  <c r="H10" i="12"/>
  <c r="H7" i="12"/>
  <c r="F6" i="12"/>
  <c r="F7" i="12"/>
  <c r="H6" i="8"/>
  <c r="H8" i="8"/>
  <c r="H5" i="8"/>
  <c r="H7" i="8"/>
  <c r="AJ9" i="12"/>
  <c r="H9" i="12" s="1"/>
  <c r="AI9" i="12"/>
  <c r="AH9" i="12"/>
  <c r="AL5" i="12"/>
  <c r="KG12" i="12"/>
  <c r="HV4" i="12"/>
  <c r="FK4" i="12"/>
  <c r="HA11" i="12"/>
  <c r="JL9" i="12"/>
  <c r="GF7" i="12"/>
  <c r="LB7" i="12"/>
  <c r="HV6" i="12"/>
  <c r="IQ5" i="12"/>
  <c r="HV12" i="12"/>
  <c r="IQ6" i="12"/>
  <c r="AL7" i="12"/>
  <c r="JL10" i="12"/>
  <c r="HV9" i="12"/>
  <c r="CE6" i="12"/>
  <c r="EP5" i="12"/>
  <c r="LB5" i="12"/>
  <c r="AL10" i="12"/>
  <c r="EP6" i="12"/>
  <c r="IQ4" i="12"/>
  <c r="DU7" i="12"/>
  <c r="KG7" i="12"/>
  <c r="GF10" i="12"/>
  <c r="KG10" i="12"/>
  <c r="CE9" i="12"/>
  <c r="LB11" i="12"/>
  <c r="AL11" i="12"/>
  <c r="HA8" i="12"/>
  <c r="LB6" i="12"/>
  <c r="HV10" i="12"/>
  <c r="KG9" i="12"/>
  <c r="GF11" i="12"/>
  <c r="CE12" i="12"/>
  <c r="IQ12" i="12"/>
  <c r="AL4" i="12"/>
  <c r="J4" i="12" s="1"/>
  <c r="CZ4" i="12"/>
  <c r="JL4" i="12"/>
  <c r="JL6" i="12"/>
  <c r="FK5" i="12"/>
  <c r="BH7" i="12"/>
  <c r="HV7" i="12"/>
  <c r="GF9" i="12"/>
  <c r="CE11" i="12"/>
  <c r="IQ11" i="12"/>
  <c r="LB12" i="12"/>
  <c r="IQ9" i="12"/>
  <c r="JL12" i="12"/>
  <c r="HV8" i="12"/>
  <c r="KG8" i="12"/>
  <c r="GF5" i="12"/>
  <c r="IQ10" i="12"/>
  <c r="FK12" i="12"/>
  <c r="FK9" i="12"/>
  <c r="GF6" i="12"/>
  <c r="GF8" i="12"/>
  <c r="FK8" i="12"/>
  <c r="EP7" i="12"/>
  <c r="CE5" i="12"/>
  <c r="CE4" i="12"/>
  <c r="HA9" i="12"/>
  <c r="HA5" i="12"/>
  <c r="FK11" i="12"/>
  <c r="FK7" i="12"/>
  <c r="EP9" i="12"/>
  <c r="EP11" i="12"/>
  <c r="DU4" i="12"/>
  <c r="DU8" i="12"/>
  <c r="DU9" i="12"/>
  <c r="DU10" i="12"/>
  <c r="DU12" i="12"/>
  <c r="CZ12" i="12"/>
  <c r="CZ10" i="12"/>
  <c r="CZ6" i="12"/>
  <c r="CE10" i="12"/>
  <c r="BH10" i="12"/>
  <c r="AL12" i="12"/>
  <c r="J12" i="12" s="1"/>
  <c r="L12" i="12" s="1"/>
  <c r="M12" i="12" s="1"/>
  <c r="AL6" i="12"/>
  <c r="BH11" i="12"/>
  <c r="BH6" i="12"/>
  <c r="LB8" i="12"/>
  <c r="CZ8" i="12"/>
  <c r="JL8" i="12"/>
  <c r="FK10" i="12"/>
  <c r="GF4" i="12"/>
  <c r="KG4" i="12"/>
  <c r="BH8" i="12"/>
  <c r="J8" i="12" s="1"/>
  <c r="KG6" i="12"/>
  <c r="CZ5" i="12"/>
  <c r="JL5" i="12"/>
  <c r="CE7" i="12"/>
  <c r="IQ7" i="12"/>
  <c r="CZ9" i="12"/>
  <c r="CZ11" i="12"/>
  <c r="JL11" i="12"/>
  <c r="GF12" i="12"/>
  <c r="EP8" i="12"/>
  <c r="HA10" i="12"/>
  <c r="EP4" i="12"/>
  <c r="LB4" i="12"/>
  <c r="HA6" i="12"/>
  <c r="BH5" i="12"/>
  <c r="HV5" i="12"/>
  <c r="HA7" i="12"/>
  <c r="HV11" i="12"/>
  <c r="EP12" i="12"/>
  <c r="HA4" i="12"/>
  <c r="CE8" i="12"/>
  <c r="IQ8" i="12"/>
  <c r="FK6" i="12"/>
  <c r="DU5" i="12"/>
  <c r="KG5" i="12"/>
  <c r="CZ7" i="12"/>
  <c r="JL7" i="12"/>
  <c r="EP10" i="12"/>
  <c r="LB10" i="12"/>
  <c r="LB9" i="12"/>
  <c r="DU11" i="12"/>
  <c r="KG11" i="12"/>
  <c r="HA12" i="12"/>
  <c r="BH9" i="12"/>
  <c r="A12" i="12" l="1"/>
  <c r="AL9" i="12"/>
  <c r="A10" i="12"/>
  <c r="A11" i="12"/>
  <c r="J7" i="12"/>
  <c r="L7" i="12" s="1"/>
  <c r="G9" i="12"/>
  <c r="F9" i="12"/>
  <c r="I4" i="12"/>
  <c r="I11" i="12"/>
  <c r="J5" i="12"/>
  <c r="BI5" i="12" s="1"/>
  <c r="I7" i="12"/>
  <c r="I8" i="12"/>
  <c r="I10" i="12"/>
  <c r="I5" i="12"/>
  <c r="L4" i="12"/>
  <c r="M4" i="12" s="1"/>
  <c r="K4" i="12"/>
  <c r="I6" i="12"/>
  <c r="I12" i="12"/>
  <c r="J10" i="12"/>
  <c r="BI10" i="12" s="1"/>
  <c r="J11" i="12"/>
  <c r="K11" i="12" s="1"/>
  <c r="J6" i="12"/>
  <c r="BI6" i="12" s="1"/>
  <c r="J9" i="12"/>
  <c r="K9" i="12" s="1"/>
  <c r="BI12" i="12"/>
  <c r="BI4" i="12"/>
  <c r="K12" i="12"/>
  <c r="BJ12" i="12"/>
  <c r="K8" i="12"/>
  <c r="BI8" i="12"/>
  <c r="L8" i="12"/>
  <c r="M8" i="12" s="1"/>
  <c r="K7" i="12" l="1"/>
  <c r="BI7" i="12"/>
  <c r="I9" i="12"/>
  <c r="L11" i="12"/>
  <c r="M11" i="12" s="1"/>
  <c r="BJ4" i="12"/>
  <c r="N4" i="12" s="1"/>
  <c r="E4" i="12" s="1"/>
  <c r="K10" i="12"/>
  <c r="BI11" i="12"/>
  <c r="K5" i="12"/>
  <c r="L5" i="12"/>
  <c r="M5" i="12" s="1"/>
  <c r="BJ7" i="12"/>
  <c r="M7" i="12"/>
  <c r="L10" i="12"/>
  <c r="M10" i="12" s="1"/>
  <c r="L9" i="12"/>
  <c r="M9" i="12" s="1"/>
  <c r="K6" i="12"/>
  <c r="L6" i="12"/>
  <c r="BI9" i="12"/>
  <c r="N12" i="12"/>
  <c r="O12" i="12" s="1"/>
  <c r="BJ8" i="12"/>
  <c r="N8" i="12" s="1"/>
  <c r="N7" i="12" l="1"/>
  <c r="O7" i="12" s="1"/>
  <c r="BJ11" i="12"/>
  <c r="N11" i="12" s="1"/>
  <c r="BJ10" i="12"/>
  <c r="N10" i="12" s="1"/>
  <c r="E10" i="12" s="1"/>
  <c r="BJ9" i="12"/>
  <c r="N9" i="12" s="1"/>
  <c r="E9" i="12" s="1"/>
  <c r="BJ5" i="12"/>
  <c r="N5" i="12" s="1"/>
  <c r="P5" i="12" s="1"/>
  <c r="BJ6" i="12"/>
  <c r="N6" i="12" s="1"/>
  <c r="O6" i="12" s="1"/>
  <c r="M6" i="12"/>
  <c r="E7" i="12"/>
  <c r="P7" i="12"/>
  <c r="O4" i="12"/>
  <c r="P4" i="12"/>
  <c r="E12" i="12"/>
  <c r="P12" i="12"/>
  <c r="E8" i="12"/>
  <c r="P8" i="12"/>
  <c r="O8" i="12"/>
  <c r="P11" i="12"/>
  <c r="O11" i="12"/>
  <c r="E11" i="12"/>
  <c r="O10" i="12" l="1"/>
  <c r="P10" i="12"/>
  <c r="E6" i="12"/>
  <c r="E5" i="12"/>
  <c r="P6" i="12"/>
  <c r="O5" i="12"/>
  <c r="O9" i="12"/>
  <c r="P9" i="12"/>
  <c r="A5" i="12" l="1"/>
  <c r="A4" i="12"/>
  <c r="A7" i="12"/>
  <c r="A8" i="12"/>
  <c r="A9" i="12"/>
  <c r="A6" i="12"/>
  <c r="BF8" i="6"/>
  <c r="BG8" i="6"/>
  <c r="BF7" i="6"/>
  <c r="BG7" i="6"/>
  <c r="BF5" i="6"/>
  <c r="BG5" i="6"/>
  <c r="BF4" i="6"/>
  <c r="BG4" i="6"/>
  <c r="BF10" i="6"/>
  <c r="BG10" i="6"/>
  <c r="BF12" i="6"/>
  <c r="BG12" i="6"/>
  <c r="BF11" i="6"/>
  <c r="BG11" i="6"/>
  <c r="BF9" i="6"/>
  <c r="BG9" i="6"/>
  <c r="BF14" i="6"/>
  <c r="BG14" i="6"/>
  <c r="BF13" i="6"/>
  <c r="BG13" i="6"/>
  <c r="BF15" i="6"/>
  <c r="BG15" i="6"/>
  <c r="BG6" i="6"/>
  <c r="BF6" i="6"/>
  <c r="AJ8" i="6"/>
  <c r="AK8" i="6"/>
  <c r="AJ7" i="6"/>
  <c r="AK7" i="6"/>
  <c r="AJ5" i="6"/>
  <c r="AK5" i="6"/>
  <c r="AJ4" i="6"/>
  <c r="AK4" i="6"/>
  <c r="AJ10" i="6"/>
  <c r="AK10" i="6"/>
  <c r="AJ12" i="6"/>
  <c r="AK12" i="6"/>
  <c r="AJ11" i="6"/>
  <c r="AK11" i="6"/>
  <c r="AJ9" i="6"/>
  <c r="AK9" i="6"/>
  <c r="AJ14" i="6"/>
  <c r="AK14" i="6"/>
  <c r="AJ13" i="6"/>
  <c r="AK13" i="6"/>
  <c r="AJ15" i="6"/>
  <c r="AK15" i="6"/>
  <c r="AK6" i="6"/>
  <c r="AJ6" i="6"/>
  <c r="LA15" i="6"/>
  <c r="KZ15" i="6"/>
  <c r="LA13" i="6"/>
  <c r="KZ13" i="6"/>
  <c r="LA14" i="6"/>
  <c r="KZ14" i="6"/>
  <c r="LA9" i="6"/>
  <c r="KZ9" i="6"/>
  <c r="LA11" i="6"/>
  <c r="KZ11" i="6"/>
  <c r="LA12" i="6"/>
  <c r="KZ12" i="6"/>
  <c r="LA10" i="6"/>
  <c r="KZ10" i="6"/>
  <c r="LA4" i="6"/>
  <c r="KZ4" i="6"/>
  <c r="LA5" i="6"/>
  <c r="KZ5" i="6"/>
  <c r="LA7" i="6"/>
  <c r="KZ7" i="6"/>
  <c r="LA8" i="6"/>
  <c r="KZ8" i="6"/>
  <c r="LA6" i="6"/>
  <c r="KZ6" i="6"/>
  <c r="KF15" i="6"/>
  <c r="KE15" i="6"/>
  <c r="KF13" i="6"/>
  <c r="KE13" i="6"/>
  <c r="KF14" i="6"/>
  <c r="KE14" i="6"/>
  <c r="KF9" i="6"/>
  <c r="KE9" i="6"/>
  <c r="KF11" i="6"/>
  <c r="KE11" i="6"/>
  <c r="KF12" i="6"/>
  <c r="KE12" i="6"/>
  <c r="KF10" i="6"/>
  <c r="KE10" i="6"/>
  <c r="KF4" i="6"/>
  <c r="KE4" i="6"/>
  <c r="KF5" i="6"/>
  <c r="KE5" i="6"/>
  <c r="KF7" i="6"/>
  <c r="KE7" i="6"/>
  <c r="KF8" i="6"/>
  <c r="KE8" i="6"/>
  <c r="KF6" i="6"/>
  <c r="KE6" i="6"/>
  <c r="JJ4" i="6"/>
  <c r="JK15" i="6"/>
  <c r="JJ15" i="6"/>
  <c r="JK13" i="6"/>
  <c r="JJ13" i="6"/>
  <c r="JK14" i="6"/>
  <c r="JJ14" i="6"/>
  <c r="JK9" i="6"/>
  <c r="JJ9" i="6"/>
  <c r="JK11" i="6"/>
  <c r="JJ11" i="6"/>
  <c r="JK12" i="6"/>
  <c r="JJ12" i="6"/>
  <c r="JK10" i="6"/>
  <c r="JJ10" i="6"/>
  <c r="JK4" i="6"/>
  <c r="JK5" i="6"/>
  <c r="JJ5" i="6"/>
  <c r="JK7" i="6"/>
  <c r="JJ7" i="6"/>
  <c r="JK8" i="6"/>
  <c r="JJ8" i="6"/>
  <c r="JK6" i="6"/>
  <c r="JJ6" i="6"/>
  <c r="IO8" i="6"/>
  <c r="IP8" i="6"/>
  <c r="IO7" i="6"/>
  <c r="IP7" i="6"/>
  <c r="IO5" i="6"/>
  <c r="IP5" i="6"/>
  <c r="IO4" i="6"/>
  <c r="IP4" i="6"/>
  <c r="IO10" i="6"/>
  <c r="IP10" i="6"/>
  <c r="IO12" i="6"/>
  <c r="IP12" i="6"/>
  <c r="IO11" i="6"/>
  <c r="IP11" i="6"/>
  <c r="IO9" i="6"/>
  <c r="IP9" i="6"/>
  <c r="IO14" i="6"/>
  <c r="IP14" i="6"/>
  <c r="IO13" i="6"/>
  <c r="IP13" i="6"/>
  <c r="IO15" i="6"/>
  <c r="IP15" i="6"/>
  <c r="IP6" i="6"/>
  <c r="IO6" i="6"/>
  <c r="HT8" i="6"/>
  <c r="HU8" i="6"/>
  <c r="HT7" i="6"/>
  <c r="HU7" i="6"/>
  <c r="HT5" i="6"/>
  <c r="HU5" i="6"/>
  <c r="HT4" i="6"/>
  <c r="HU4" i="6"/>
  <c r="HT10" i="6"/>
  <c r="HU10" i="6"/>
  <c r="HT12" i="6"/>
  <c r="HU12" i="6"/>
  <c r="HT11" i="6"/>
  <c r="HU11" i="6"/>
  <c r="HT9" i="6"/>
  <c r="HU9" i="6"/>
  <c r="HT14" i="6"/>
  <c r="HU14" i="6"/>
  <c r="HT13" i="6"/>
  <c r="HU13" i="6"/>
  <c r="HT15" i="6"/>
  <c r="HU15" i="6"/>
  <c r="HU6" i="6"/>
  <c r="HT6" i="6"/>
  <c r="GY8" i="6"/>
  <c r="GZ8" i="6"/>
  <c r="GY7" i="6"/>
  <c r="GZ7" i="6"/>
  <c r="GY5" i="6"/>
  <c r="GZ5" i="6"/>
  <c r="GY4" i="6"/>
  <c r="GZ4" i="6"/>
  <c r="GY10" i="6"/>
  <c r="GZ10" i="6"/>
  <c r="GY12" i="6"/>
  <c r="GZ12" i="6"/>
  <c r="GY11" i="6"/>
  <c r="GZ11" i="6"/>
  <c r="GY9" i="6"/>
  <c r="GZ9" i="6"/>
  <c r="GY14" i="6"/>
  <c r="GZ14" i="6"/>
  <c r="GY13" i="6"/>
  <c r="GZ13" i="6"/>
  <c r="GY15" i="6"/>
  <c r="GZ15" i="6"/>
  <c r="GZ6" i="6"/>
  <c r="GY6" i="6"/>
  <c r="GD8" i="6"/>
  <c r="GE8" i="6"/>
  <c r="GD7" i="6"/>
  <c r="GE7" i="6"/>
  <c r="GD5" i="6"/>
  <c r="GE5" i="6"/>
  <c r="GD4" i="6"/>
  <c r="GE4" i="6"/>
  <c r="GD10" i="6"/>
  <c r="GE10" i="6"/>
  <c r="GD12" i="6"/>
  <c r="GE12" i="6"/>
  <c r="GD11" i="6"/>
  <c r="GE11" i="6"/>
  <c r="GD9" i="6"/>
  <c r="GE9" i="6"/>
  <c r="GD14" i="6"/>
  <c r="GE14" i="6"/>
  <c r="GD13" i="6"/>
  <c r="GE13" i="6"/>
  <c r="GD15" i="6"/>
  <c r="GE15" i="6"/>
  <c r="GE6" i="6"/>
  <c r="GD6" i="6"/>
  <c r="FI8" i="6"/>
  <c r="FJ8" i="6"/>
  <c r="FI7" i="6"/>
  <c r="FJ7" i="6"/>
  <c r="FI5" i="6"/>
  <c r="FJ5" i="6"/>
  <c r="FI4" i="6"/>
  <c r="FJ4" i="6"/>
  <c r="FI10" i="6"/>
  <c r="FJ10" i="6"/>
  <c r="FI12" i="6"/>
  <c r="FJ12" i="6"/>
  <c r="FI11" i="6"/>
  <c r="FJ11" i="6"/>
  <c r="FI9" i="6"/>
  <c r="FJ9" i="6"/>
  <c r="FI14" i="6"/>
  <c r="FJ14" i="6"/>
  <c r="FI13" i="6"/>
  <c r="FJ13" i="6"/>
  <c r="FI15" i="6"/>
  <c r="FJ15" i="6"/>
  <c r="FJ6" i="6"/>
  <c r="FI6" i="6"/>
  <c r="EN8" i="6"/>
  <c r="EO8" i="6"/>
  <c r="EN7" i="6"/>
  <c r="EO7" i="6"/>
  <c r="EN5" i="6"/>
  <c r="EO5" i="6"/>
  <c r="EN4" i="6"/>
  <c r="EO4" i="6"/>
  <c r="EN10" i="6"/>
  <c r="EO10" i="6"/>
  <c r="EN12" i="6"/>
  <c r="EO12" i="6"/>
  <c r="EN11" i="6"/>
  <c r="EO11" i="6"/>
  <c r="EN9" i="6"/>
  <c r="EO9" i="6"/>
  <c r="EN14" i="6"/>
  <c r="EO14" i="6"/>
  <c r="EN13" i="6"/>
  <c r="EO13" i="6"/>
  <c r="EN15" i="6"/>
  <c r="EO15" i="6"/>
  <c r="EO6" i="6"/>
  <c r="EN6" i="6"/>
  <c r="LB10" i="6" l="1"/>
  <c r="D52" i="11"/>
  <c r="D57" i="11"/>
  <c r="D51" i="11"/>
  <c r="C54" i="11"/>
  <c r="C56" i="11"/>
  <c r="D54" i="11"/>
  <c r="C55" i="11"/>
  <c r="D55" i="11"/>
  <c r="C57" i="11"/>
  <c r="C53" i="11"/>
  <c r="D56" i="11"/>
  <c r="C52" i="11"/>
  <c r="C50" i="11"/>
  <c r="D50" i="11"/>
  <c r="D53" i="11"/>
  <c r="C51" i="11"/>
  <c r="HA7" i="6"/>
  <c r="BH4" i="6"/>
  <c r="AL7" i="6"/>
  <c r="JL15" i="6"/>
  <c r="BH7" i="6"/>
  <c r="JL6" i="6"/>
  <c r="KG4" i="6"/>
  <c r="LB6" i="6"/>
  <c r="EP12" i="6"/>
  <c r="AL8" i="6"/>
  <c r="LB9" i="6"/>
  <c r="AL12" i="6"/>
  <c r="GF12" i="6"/>
  <c r="IQ7" i="6"/>
  <c r="HV6" i="6"/>
  <c r="JL9" i="6"/>
  <c r="KG8" i="6"/>
  <c r="KG14" i="6"/>
  <c r="KG11" i="6"/>
  <c r="LB5" i="6"/>
  <c r="BH6" i="6"/>
  <c r="AL15" i="6"/>
  <c r="HV4" i="6"/>
  <c r="IQ12" i="6"/>
  <c r="AL14" i="6"/>
  <c r="BH13" i="6"/>
  <c r="AL13" i="6"/>
  <c r="AL5" i="6"/>
  <c r="FK4" i="6"/>
  <c r="GF9" i="6"/>
  <c r="HA4" i="6"/>
  <c r="HV9" i="6"/>
  <c r="IQ6" i="6"/>
  <c r="IQ4" i="6"/>
  <c r="JL8" i="6"/>
  <c r="AL9" i="6"/>
  <c r="FK12" i="6"/>
  <c r="FK5" i="6"/>
  <c r="HV13" i="6"/>
  <c r="HV7" i="6"/>
  <c r="BH9" i="6"/>
  <c r="HV12" i="6"/>
  <c r="IQ9" i="6"/>
  <c r="IQ8" i="6"/>
  <c r="AL10" i="6"/>
  <c r="JL7" i="6"/>
  <c r="AL11" i="6"/>
  <c r="EP13" i="6"/>
  <c r="AL4" i="6"/>
  <c r="BH12" i="6"/>
  <c r="JL5" i="6"/>
  <c r="LB15" i="6"/>
  <c r="JL14" i="6"/>
  <c r="JL4" i="6"/>
  <c r="KG7" i="6"/>
  <c r="KG13" i="6"/>
  <c r="LB12" i="6"/>
  <c r="IQ13" i="6"/>
  <c r="BH10" i="6"/>
  <c r="HV10" i="6"/>
  <c r="HV11" i="6"/>
  <c r="HV14" i="6"/>
  <c r="BH11" i="6"/>
  <c r="HV15" i="6"/>
  <c r="BH14" i="6"/>
  <c r="JL11" i="6"/>
  <c r="BH15" i="6"/>
  <c r="HV5" i="6"/>
  <c r="BH8" i="6"/>
  <c r="BH5" i="6"/>
  <c r="FK7" i="6"/>
  <c r="HV8" i="6"/>
  <c r="JL13" i="6"/>
  <c r="GF7" i="6"/>
  <c r="FK9" i="6"/>
  <c r="FK13" i="6"/>
  <c r="FK14" i="6"/>
  <c r="EP4" i="6"/>
  <c r="EP9" i="6"/>
  <c r="HA9" i="6"/>
  <c r="HA12" i="6"/>
  <c r="HA8" i="6"/>
  <c r="HA6" i="6"/>
  <c r="HA5" i="6"/>
  <c r="GF6" i="6"/>
  <c r="GF4" i="6"/>
  <c r="GF10" i="6"/>
  <c r="HA13" i="6"/>
  <c r="EP11" i="6"/>
  <c r="EP14" i="6"/>
  <c r="EP7" i="6"/>
  <c r="FK15" i="6"/>
  <c r="KG10" i="6"/>
  <c r="LB8" i="6"/>
  <c r="LB14" i="6"/>
  <c r="AL6" i="6"/>
  <c r="GF13" i="6"/>
  <c r="IQ5" i="6"/>
  <c r="FK8" i="6"/>
  <c r="GF8" i="6"/>
  <c r="JL10" i="6"/>
  <c r="GF14" i="6"/>
  <c r="HA11" i="6"/>
  <c r="HA14" i="6"/>
  <c r="IQ15" i="6"/>
  <c r="EP15" i="6"/>
  <c r="GF15" i="6"/>
  <c r="IQ14" i="6"/>
  <c r="HA15" i="6"/>
  <c r="EP5" i="6"/>
  <c r="KG6" i="6"/>
  <c r="KG9" i="6"/>
  <c r="LB4" i="6"/>
  <c r="HA10" i="6"/>
  <c r="EP8" i="6"/>
  <c r="EP6" i="6"/>
  <c r="EP10" i="6"/>
  <c r="FK10" i="6"/>
  <c r="GF5" i="6"/>
  <c r="KG5" i="6"/>
  <c r="KG15" i="6"/>
  <c r="LB11" i="6"/>
  <c r="GF11" i="6"/>
  <c r="IQ10" i="6"/>
  <c r="IQ11" i="6"/>
  <c r="FK6" i="6"/>
  <c r="FK11" i="6"/>
  <c r="JL12" i="6"/>
  <c r="KG12" i="6"/>
  <c r="LB7" i="6"/>
  <c r="LB13" i="6"/>
  <c r="DS8" i="6"/>
  <c r="DT8" i="6"/>
  <c r="DS7" i="6"/>
  <c r="DT7" i="6"/>
  <c r="DS5" i="6"/>
  <c r="DT5" i="6"/>
  <c r="DS4" i="6"/>
  <c r="DT4" i="6"/>
  <c r="DS10" i="6"/>
  <c r="DT10" i="6"/>
  <c r="DS12" i="6"/>
  <c r="DT12" i="6"/>
  <c r="DS11" i="6"/>
  <c r="DT11" i="6"/>
  <c r="DS9" i="6"/>
  <c r="DT9" i="6"/>
  <c r="DS14" i="6"/>
  <c r="DT14" i="6"/>
  <c r="DS13" i="6"/>
  <c r="DT13" i="6"/>
  <c r="DS15" i="6"/>
  <c r="DT15" i="6"/>
  <c r="DT6" i="6"/>
  <c r="DS6" i="6"/>
  <c r="CX8" i="6"/>
  <c r="CY8" i="6"/>
  <c r="CX7" i="6"/>
  <c r="CY7" i="6"/>
  <c r="CX5" i="6"/>
  <c r="CY5" i="6"/>
  <c r="CX4" i="6"/>
  <c r="CY4" i="6"/>
  <c r="CX10" i="6"/>
  <c r="CY10" i="6"/>
  <c r="CX12" i="6"/>
  <c r="CY12" i="6"/>
  <c r="CX11" i="6"/>
  <c r="CY11" i="6"/>
  <c r="CX9" i="6"/>
  <c r="CY9" i="6"/>
  <c r="CX14" i="6"/>
  <c r="CY14" i="6"/>
  <c r="CX13" i="6"/>
  <c r="CY13" i="6"/>
  <c r="CX15" i="6"/>
  <c r="CY15" i="6"/>
  <c r="CY6" i="6"/>
  <c r="CX6" i="6"/>
  <c r="CD8" i="6"/>
  <c r="CD7" i="6"/>
  <c r="CD5" i="6"/>
  <c r="CD4" i="6"/>
  <c r="CD10" i="6"/>
  <c r="CD12" i="6"/>
  <c r="CD11" i="6"/>
  <c r="CD9" i="6"/>
  <c r="CD14" i="6"/>
  <c r="CD13" i="6"/>
  <c r="CD15" i="6"/>
  <c r="CD6" i="6"/>
  <c r="CC6" i="6"/>
  <c r="CC8" i="6"/>
  <c r="CC7" i="6"/>
  <c r="CC5" i="6"/>
  <c r="CC4" i="6"/>
  <c r="F4" i="6" s="1"/>
  <c r="CC10" i="6"/>
  <c r="CC12" i="6"/>
  <c r="G12" i="6" s="1"/>
  <c r="CC11" i="6"/>
  <c r="CC9" i="6"/>
  <c r="CC14" i="6"/>
  <c r="CC13" i="6"/>
  <c r="CC15" i="6"/>
  <c r="G14" i="6" l="1"/>
  <c r="H5" i="6"/>
  <c r="F15" i="6"/>
  <c r="J7" i="6"/>
  <c r="K7" i="6" s="1"/>
  <c r="H10" i="6"/>
  <c r="G13" i="6"/>
  <c r="F12" i="6"/>
  <c r="H12" i="6"/>
  <c r="J15" i="6"/>
  <c r="L15" i="6" s="1"/>
  <c r="M15" i="6" s="1"/>
  <c r="H7" i="6"/>
  <c r="H8" i="6"/>
  <c r="H6" i="6"/>
  <c r="G5" i="6"/>
  <c r="H11" i="6"/>
  <c r="H15" i="6"/>
  <c r="H14" i="6"/>
  <c r="H9" i="6"/>
  <c r="F10" i="6"/>
  <c r="F5" i="6"/>
  <c r="J4" i="6"/>
  <c r="K4" i="6" s="1"/>
  <c r="G8" i="6"/>
  <c r="F13" i="6"/>
  <c r="A13" i="6" s="1"/>
  <c r="G11" i="6"/>
  <c r="G4" i="6"/>
  <c r="F14" i="6"/>
  <c r="F8" i="6"/>
  <c r="G7" i="6"/>
  <c r="H13" i="6"/>
  <c r="F11" i="6"/>
  <c r="H4" i="6"/>
  <c r="F7" i="6"/>
  <c r="G6" i="6"/>
  <c r="G9" i="6"/>
  <c r="G10" i="6"/>
  <c r="F6" i="6"/>
  <c r="G15" i="6"/>
  <c r="F9" i="6"/>
  <c r="J8" i="6"/>
  <c r="K8" i="6" s="1"/>
  <c r="J13" i="6"/>
  <c r="K13" i="6" s="1"/>
  <c r="J6" i="6"/>
  <c r="L6" i="6" s="1"/>
  <c r="M6" i="6" s="1"/>
  <c r="J12" i="6"/>
  <c r="L12" i="6" s="1"/>
  <c r="M12" i="6" s="1"/>
  <c r="J5" i="6"/>
  <c r="K5" i="6" s="1"/>
  <c r="J14" i="6"/>
  <c r="L14" i="6" s="1"/>
  <c r="M14" i="6" s="1"/>
  <c r="J9" i="6"/>
  <c r="J10" i="6"/>
  <c r="K10" i="6" s="1"/>
  <c r="DU9" i="6"/>
  <c r="DU7" i="6"/>
  <c r="L7" i="6"/>
  <c r="M7" i="6" s="1"/>
  <c r="J11" i="6"/>
  <c r="K11" i="6" s="1"/>
  <c r="DU12" i="6"/>
  <c r="DU4" i="6"/>
  <c r="DU13" i="6"/>
  <c r="CZ13" i="6"/>
  <c r="CZ10" i="6"/>
  <c r="CZ7" i="6"/>
  <c r="DU8" i="6"/>
  <c r="CZ6" i="6"/>
  <c r="CZ11" i="6"/>
  <c r="CZ4" i="6"/>
  <c r="CZ14" i="6"/>
  <c r="CZ12" i="6"/>
  <c r="CZ15" i="6"/>
  <c r="CZ9" i="6"/>
  <c r="CZ5" i="6"/>
  <c r="DU11" i="6"/>
  <c r="DU5" i="6"/>
  <c r="DU6" i="6"/>
  <c r="DU10" i="6"/>
  <c r="DU14" i="6"/>
  <c r="DU15" i="6"/>
  <c r="CZ8" i="6"/>
  <c r="A15" i="6" l="1"/>
  <c r="A11" i="6"/>
  <c r="A10" i="6"/>
  <c r="A14" i="6"/>
  <c r="A12" i="6"/>
  <c r="K15" i="6"/>
  <c r="L8" i="6"/>
  <c r="M8" i="6" s="1"/>
  <c r="L4" i="6"/>
  <c r="M4" i="6" s="1"/>
  <c r="K6" i="6"/>
  <c r="I9" i="6"/>
  <c r="L10" i="6"/>
  <c r="M10" i="6" s="1"/>
  <c r="L13" i="6"/>
  <c r="M13" i="6" s="1"/>
  <c r="L5" i="6"/>
  <c r="M5" i="6" s="1"/>
  <c r="K12" i="6"/>
  <c r="K14" i="6"/>
  <c r="K9" i="6"/>
  <c r="L9" i="6"/>
  <c r="M9" i="6" s="1"/>
  <c r="L11" i="6"/>
  <c r="M11" i="6" s="1"/>
  <c r="LC5" i="10"/>
  <c r="LC6" i="10"/>
  <c r="LC16" i="10"/>
  <c r="LC8" i="10"/>
  <c r="LC9" i="10"/>
  <c r="LC10" i="10"/>
  <c r="LC11" i="10"/>
  <c r="LC12" i="10"/>
  <c r="LC13" i="10"/>
  <c r="LC14" i="10"/>
  <c r="LC15" i="10"/>
  <c r="LC4" i="10"/>
  <c r="BG5" i="10"/>
  <c r="BG6" i="10"/>
  <c r="BG16" i="10"/>
  <c r="BG8" i="10"/>
  <c r="BG9" i="10"/>
  <c r="BG10" i="10"/>
  <c r="BG11" i="10"/>
  <c r="BG12" i="10"/>
  <c r="BG13" i="10"/>
  <c r="BG14" i="10"/>
  <c r="BG15" i="10"/>
  <c r="BG4" i="10"/>
  <c r="AK4" i="10"/>
  <c r="AK5" i="10"/>
  <c r="AK6" i="10"/>
  <c r="AK16" i="10"/>
  <c r="AK8" i="10"/>
  <c r="AK9" i="10"/>
  <c r="AK10" i="10"/>
  <c r="AK11" i="10"/>
  <c r="AK12" i="10"/>
  <c r="AK13" i="10"/>
  <c r="AK14" i="10"/>
  <c r="AK15" i="10"/>
  <c r="AK6" i="9"/>
  <c r="AK5" i="9"/>
  <c r="AK7" i="9"/>
  <c r="AK8" i="9"/>
  <c r="AK9" i="9"/>
  <c r="AK10" i="9"/>
  <c r="AK11" i="9"/>
  <c r="AK12" i="9"/>
  <c r="AK14" i="9"/>
  <c r="AK19" i="9"/>
  <c r="AK15" i="9"/>
  <c r="AK13" i="9"/>
  <c r="AK16" i="9"/>
  <c r="AK17" i="9"/>
  <c r="AK18" i="9"/>
  <c r="AK4" i="9"/>
  <c r="BG6" i="9"/>
  <c r="BG5" i="9"/>
  <c r="BG7" i="9"/>
  <c r="BG8" i="9"/>
  <c r="BG9" i="9"/>
  <c r="BG10" i="9"/>
  <c r="BG11" i="9"/>
  <c r="BG12" i="9"/>
  <c r="BG14" i="9"/>
  <c r="BG19" i="9"/>
  <c r="BG15" i="9"/>
  <c r="BG13" i="9"/>
  <c r="BG16" i="9"/>
  <c r="BG17" i="9"/>
  <c r="BG18" i="9"/>
  <c r="BG4" i="9"/>
  <c r="LC4" i="9"/>
  <c r="LC6" i="9"/>
  <c r="LC5" i="9"/>
  <c r="LC7" i="9"/>
  <c r="LC8" i="9"/>
  <c r="LC9" i="9"/>
  <c r="LC10" i="9"/>
  <c r="LC11" i="9"/>
  <c r="LC12" i="9"/>
  <c r="LC14" i="9"/>
  <c r="LC19" i="9"/>
  <c r="LC15" i="9"/>
  <c r="LC13" i="9"/>
  <c r="LC16" i="9"/>
  <c r="LC17" i="9"/>
  <c r="LC18" i="9"/>
  <c r="LC5" i="2"/>
  <c r="LC6" i="2"/>
  <c r="LC7" i="2"/>
  <c r="LC8" i="2"/>
  <c r="LC9" i="2"/>
  <c r="LC10" i="2"/>
  <c r="LC11" i="2"/>
  <c r="LC12" i="2"/>
  <c r="LC13" i="2"/>
  <c r="LC4" i="2"/>
  <c r="BG5" i="2"/>
  <c r="BG6" i="2"/>
  <c r="BG7" i="2"/>
  <c r="BG8" i="2"/>
  <c r="BG9" i="2"/>
  <c r="BG10" i="2"/>
  <c r="BG11" i="2"/>
  <c r="BG12" i="2"/>
  <c r="BG13" i="2"/>
  <c r="BG4" i="2"/>
  <c r="AK5" i="2"/>
  <c r="AK6" i="2"/>
  <c r="AK7" i="2"/>
  <c r="AK8" i="2"/>
  <c r="AK9" i="2"/>
  <c r="AK10" i="2"/>
  <c r="AK11" i="2"/>
  <c r="AK12" i="2"/>
  <c r="AK13" i="2"/>
  <c r="AK4" i="2"/>
  <c r="LC4" i="4"/>
  <c r="LC6" i="4"/>
  <c r="LC7" i="4"/>
  <c r="LC8" i="4"/>
  <c r="LC11" i="4"/>
  <c r="LC9" i="4"/>
  <c r="LC10" i="4"/>
  <c r="LC12" i="4"/>
  <c r="LC13" i="4"/>
  <c r="LC14" i="4"/>
  <c r="LC15" i="4"/>
  <c r="LC16" i="4"/>
  <c r="LC17" i="4"/>
  <c r="LC18" i="4"/>
  <c r="LC19" i="4"/>
  <c r="LC20" i="4"/>
  <c r="LC21" i="4"/>
  <c r="LC5" i="4"/>
  <c r="AX4" i="4"/>
  <c r="AV7" i="4"/>
  <c r="AX7" i="4"/>
  <c r="BG4" i="4"/>
  <c r="BG6" i="4"/>
  <c r="BG7" i="4"/>
  <c r="BG8" i="4"/>
  <c r="BG11" i="4"/>
  <c r="BG9" i="4"/>
  <c r="BG10" i="4"/>
  <c r="BG12" i="4"/>
  <c r="BG13" i="4"/>
  <c r="BG14" i="4"/>
  <c r="BG15" i="4"/>
  <c r="BG16" i="4"/>
  <c r="BG17" i="4"/>
  <c r="BG18" i="4"/>
  <c r="BG19" i="4"/>
  <c r="BG20" i="4"/>
  <c r="BG21" i="4"/>
  <c r="BG5" i="4"/>
  <c r="AB8" i="4"/>
  <c r="AB16" i="4"/>
  <c r="AK16" i="4" s="1"/>
  <c r="AK8" i="4"/>
  <c r="AK4" i="4"/>
  <c r="AK6" i="4"/>
  <c r="AK7" i="4"/>
  <c r="AK11" i="4"/>
  <c r="AK9" i="4"/>
  <c r="AK10" i="4"/>
  <c r="AK12" i="4"/>
  <c r="AK13" i="4"/>
  <c r="AK14" i="4"/>
  <c r="AK15" i="4"/>
  <c r="AK17" i="4"/>
  <c r="AK18" i="4"/>
  <c r="AK19" i="4"/>
  <c r="AK20" i="4"/>
  <c r="AK21" i="4"/>
  <c r="AK5" i="4"/>
  <c r="BJ8" i="6" l="1"/>
  <c r="BE7" i="8"/>
  <c r="BF7" i="8" s="1"/>
  <c r="BC7" i="8"/>
  <c r="BE6" i="8"/>
  <c r="BC6" i="8"/>
  <c r="BE8" i="8"/>
  <c r="BC8" i="8"/>
  <c r="BE5" i="8"/>
  <c r="BC5" i="8"/>
  <c r="BE4" i="8"/>
  <c r="BC4" i="8"/>
  <c r="AJ7" i="8"/>
  <c r="AH7" i="8"/>
  <c r="AJ6" i="8"/>
  <c r="AH6" i="8"/>
  <c r="AJ8" i="8"/>
  <c r="AH8" i="8"/>
  <c r="AJ5" i="8"/>
  <c r="AH5" i="8"/>
  <c r="AJ4" i="8"/>
  <c r="AH4" i="8"/>
  <c r="BE8" i="7"/>
  <c r="BC8" i="7"/>
  <c r="BE7" i="7"/>
  <c r="BC7" i="7"/>
  <c r="BE9" i="7"/>
  <c r="BC9" i="7"/>
  <c r="BE6" i="7"/>
  <c r="BC6" i="7"/>
  <c r="BE5" i="7"/>
  <c r="BC5" i="7"/>
  <c r="BE4" i="7"/>
  <c r="BC4" i="7"/>
  <c r="AJ8" i="7"/>
  <c r="AH8" i="7"/>
  <c r="AJ7" i="7"/>
  <c r="AH7" i="7"/>
  <c r="AJ9" i="7"/>
  <c r="AH9" i="7"/>
  <c r="AJ6" i="7"/>
  <c r="AH6" i="7"/>
  <c r="AJ5" i="7"/>
  <c r="AH5" i="7"/>
  <c r="AJ4" i="7"/>
  <c r="AH4" i="7"/>
  <c r="BK15" i="10"/>
  <c r="BI15" i="10"/>
  <c r="BH15" i="10"/>
  <c r="BK14" i="10"/>
  <c r="BI14" i="10"/>
  <c r="BH14" i="10"/>
  <c r="BK13" i="10"/>
  <c r="BI13" i="10"/>
  <c r="BH13" i="10"/>
  <c r="BK12" i="10"/>
  <c r="BI12" i="10"/>
  <c r="BH12" i="10"/>
  <c r="BK11" i="10"/>
  <c r="BI11" i="10"/>
  <c r="BH11" i="10"/>
  <c r="BK9" i="10"/>
  <c r="BI9" i="10"/>
  <c r="BH9" i="10"/>
  <c r="BK10" i="10"/>
  <c r="BI10" i="10"/>
  <c r="BH10" i="10"/>
  <c r="BK8" i="10"/>
  <c r="BI8" i="10"/>
  <c r="BH8" i="10"/>
  <c r="BK16" i="10"/>
  <c r="BI16" i="10"/>
  <c r="BH16" i="10"/>
  <c r="BK6" i="10"/>
  <c r="BI6" i="10"/>
  <c r="BH6" i="10"/>
  <c r="BK5" i="10"/>
  <c r="BI5" i="10"/>
  <c r="BH5" i="10"/>
  <c r="BK4" i="10"/>
  <c r="BI4" i="10"/>
  <c r="BH4" i="10"/>
  <c r="AO15" i="10"/>
  <c r="AM15" i="10"/>
  <c r="AL15" i="10"/>
  <c r="AO14" i="10"/>
  <c r="P14" i="10" s="1"/>
  <c r="AM14" i="10"/>
  <c r="AL14" i="10"/>
  <c r="AO13" i="10"/>
  <c r="P13" i="10" s="1"/>
  <c r="AM13" i="10"/>
  <c r="AL13" i="10"/>
  <c r="AO12" i="10"/>
  <c r="AM12" i="10"/>
  <c r="AL12" i="10"/>
  <c r="AO11" i="10"/>
  <c r="AM11" i="10"/>
  <c r="AL11" i="10"/>
  <c r="AO9" i="10"/>
  <c r="AM9" i="10"/>
  <c r="AL9" i="10"/>
  <c r="AO10" i="10"/>
  <c r="AM10" i="10"/>
  <c r="AL10" i="10"/>
  <c r="AO8" i="10"/>
  <c r="P8" i="10" s="1"/>
  <c r="AM8" i="10"/>
  <c r="AL8" i="10"/>
  <c r="AO16" i="10"/>
  <c r="AM16" i="10"/>
  <c r="AL16" i="10"/>
  <c r="AO6" i="10"/>
  <c r="P6" i="10" s="1"/>
  <c r="AM6" i="10"/>
  <c r="AL6" i="10"/>
  <c r="AO5" i="10"/>
  <c r="P5" i="10" s="1"/>
  <c r="AM5" i="10"/>
  <c r="AL5" i="10"/>
  <c r="AO4" i="10"/>
  <c r="AM4" i="10"/>
  <c r="AL4" i="10"/>
  <c r="BK18" i="9"/>
  <c r="BI18" i="9"/>
  <c r="BH18" i="9"/>
  <c r="BK17" i="9"/>
  <c r="BI17" i="9"/>
  <c r="BH17" i="9"/>
  <c r="BK16" i="9"/>
  <c r="BI16" i="9"/>
  <c r="BH16" i="9"/>
  <c r="BK13" i="9"/>
  <c r="BI13" i="9"/>
  <c r="BH13" i="9"/>
  <c r="BK15" i="9"/>
  <c r="BI15" i="9"/>
  <c r="BH15" i="9"/>
  <c r="BK19" i="9"/>
  <c r="BI19" i="9"/>
  <c r="BH19" i="9"/>
  <c r="BK14" i="9"/>
  <c r="BI14" i="9"/>
  <c r="BH14" i="9"/>
  <c r="BK12" i="9"/>
  <c r="BI12" i="9"/>
  <c r="BH12" i="9"/>
  <c r="BK11" i="9"/>
  <c r="BI11" i="9"/>
  <c r="BH11" i="9"/>
  <c r="BK10" i="9"/>
  <c r="BI10" i="9"/>
  <c r="BH10" i="9"/>
  <c r="BK9" i="9"/>
  <c r="BI9" i="9"/>
  <c r="BH9" i="9"/>
  <c r="BK7" i="9"/>
  <c r="BI7" i="9"/>
  <c r="BH7" i="9"/>
  <c r="BK8" i="9"/>
  <c r="BI8" i="9"/>
  <c r="BH8" i="9"/>
  <c r="BK5" i="9"/>
  <c r="BI5" i="9"/>
  <c r="BH5" i="9"/>
  <c r="BK6" i="9"/>
  <c r="BI6" i="9"/>
  <c r="BH6" i="9"/>
  <c r="BK4" i="9"/>
  <c r="BI4" i="9"/>
  <c r="BH4" i="9"/>
  <c r="AO18" i="9"/>
  <c r="AM18" i="9"/>
  <c r="AL18" i="9"/>
  <c r="AO17" i="9"/>
  <c r="P17" i="9" s="1"/>
  <c r="AM17" i="9"/>
  <c r="AL17" i="9"/>
  <c r="AO16" i="9"/>
  <c r="AM16" i="9"/>
  <c r="AL16" i="9"/>
  <c r="AO13" i="9"/>
  <c r="P13" i="9" s="1"/>
  <c r="AM13" i="9"/>
  <c r="AL13" i="9"/>
  <c r="AO15" i="9"/>
  <c r="P15" i="9" s="1"/>
  <c r="AM15" i="9"/>
  <c r="AL15" i="9"/>
  <c r="AO19" i="9"/>
  <c r="P19" i="9" s="1"/>
  <c r="AM19" i="9"/>
  <c r="AL19" i="9"/>
  <c r="AO14" i="9"/>
  <c r="P14" i="9" s="1"/>
  <c r="AM14" i="9"/>
  <c r="AL14" i="9"/>
  <c r="AO12" i="9"/>
  <c r="P12" i="9" s="1"/>
  <c r="AM12" i="9"/>
  <c r="AL12" i="9"/>
  <c r="AO11" i="9"/>
  <c r="AM11" i="9"/>
  <c r="AL11" i="9"/>
  <c r="AO10" i="9"/>
  <c r="P10" i="9" s="1"/>
  <c r="AM10" i="9"/>
  <c r="AL10" i="9"/>
  <c r="AO9" i="9"/>
  <c r="P9" i="9" s="1"/>
  <c r="AM9" i="9"/>
  <c r="AL9" i="9"/>
  <c r="AO7" i="9"/>
  <c r="P7" i="9" s="1"/>
  <c r="AM7" i="9"/>
  <c r="AL7" i="9"/>
  <c r="AO8" i="9"/>
  <c r="P8" i="9" s="1"/>
  <c r="AM8" i="9"/>
  <c r="AL8" i="9"/>
  <c r="AO5" i="9"/>
  <c r="AM5" i="9"/>
  <c r="AL5" i="9"/>
  <c r="AO6" i="9"/>
  <c r="P6" i="9" s="1"/>
  <c r="AM6" i="9"/>
  <c r="AL6" i="9"/>
  <c r="AO4" i="9"/>
  <c r="P4" i="9" s="1"/>
  <c r="AM4" i="9"/>
  <c r="AL4" i="9"/>
  <c r="BK13" i="2"/>
  <c r="BI13" i="2"/>
  <c r="BH13" i="2"/>
  <c r="BK12" i="2"/>
  <c r="BI12" i="2"/>
  <c r="BH12" i="2"/>
  <c r="BK10" i="2"/>
  <c r="BI10" i="2"/>
  <c r="BH10" i="2"/>
  <c r="BK11" i="2"/>
  <c r="BI11" i="2"/>
  <c r="BH11" i="2"/>
  <c r="BK8" i="2"/>
  <c r="BI8" i="2"/>
  <c r="BH8" i="2"/>
  <c r="BK9" i="2"/>
  <c r="BI9" i="2"/>
  <c r="BH9" i="2"/>
  <c r="BJ9" i="2" s="1"/>
  <c r="BL9" i="2" s="1"/>
  <c r="BK6" i="2"/>
  <c r="BI6" i="2"/>
  <c r="BH6" i="2"/>
  <c r="BK5" i="2"/>
  <c r="BI5" i="2"/>
  <c r="BH5" i="2"/>
  <c r="BK7" i="2"/>
  <c r="BI7" i="2"/>
  <c r="BH7" i="2"/>
  <c r="BK4" i="2"/>
  <c r="BI4" i="2"/>
  <c r="BH4" i="2"/>
  <c r="AO13" i="2"/>
  <c r="AM13" i="2"/>
  <c r="AL13" i="2"/>
  <c r="AO12" i="2"/>
  <c r="P12" i="2" s="1"/>
  <c r="AM12" i="2"/>
  <c r="AL12" i="2"/>
  <c r="AO10" i="2"/>
  <c r="AM10" i="2"/>
  <c r="AL10" i="2"/>
  <c r="AO11" i="2"/>
  <c r="AM11" i="2"/>
  <c r="AL11" i="2"/>
  <c r="AN11" i="2" s="1"/>
  <c r="AP11" i="2" s="1"/>
  <c r="AO8" i="2"/>
  <c r="P8" i="2" s="1"/>
  <c r="AM8" i="2"/>
  <c r="AL8" i="2"/>
  <c r="AO9" i="2"/>
  <c r="AM9" i="2"/>
  <c r="AL9" i="2"/>
  <c r="AO6" i="2"/>
  <c r="AM6" i="2"/>
  <c r="AL6" i="2"/>
  <c r="AO5" i="2"/>
  <c r="AM5" i="2"/>
  <c r="AL5" i="2"/>
  <c r="AO7" i="2"/>
  <c r="AM7" i="2"/>
  <c r="AL7" i="2"/>
  <c r="AO4" i="2"/>
  <c r="P4" i="2" s="1"/>
  <c r="AM4" i="2"/>
  <c r="AL4" i="2"/>
  <c r="BK18" i="4"/>
  <c r="BI18" i="4"/>
  <c r="BH18" i="4"/>
  <c r="BK16" i="4"/>
  <c r="BI16" i="4"/>
  <c r="BH16" i="4"/>
  <c r="BJ16" i="4" s="1"/>
  <c r="BL16" i="4" s="1"/>
  <c r="BK20" i="4"/>
  <c r="BI20" i="4"/>
  <c r="BH20" i="4"/>
  <c r="BK19" i="4"/>
  <c r="BI19" i="4"/>
  <c r="BH19" i="4"/>
  <c r="BK21" i="4"/>
  <c r="BI21" i="4"/>
  <c r="BH21" i="4"/>
  <c r="BK17" i="4"/>
  <c r="BI17" i="4"/>
  <c r="BH17" i="4"/>
  <c r="BK14" i="4"/>
  <c r="BI14" i="4"/>
  <c r="BH14" i="4"/>
  <c r="BK15" i="4"/>
  <c r="BI15" i="4"/>
  <c r="BH15" i="4"/>
  <c r="BK12" i="4"/>
  <c r="BI12" i="4"/>
  <c r="BH12" i="4"/>
  <c r="BK13" i="4"/>
  <c r="BI13" i="4"/>
  <c r="BH13" i="4"/>
  <c r="BJ13" i="4" s="1"/>
  <c r="BL13" i="4" s="1"/>
  <c r="BK9" i="4"/>
  <c r="BI9" i="4"/>
  <c r="BH9" i="4"/>
  <c r="BK11" i="4"/>
  <c r="BI11" i="4"/>
  <c r="BH11" i="4"/>
  <c r="BK8" i="4"/>
  <c r="BI8" i="4"/>
  <c r="BH8" i="4"/>
  <c r="BK10" i="4"/>
  <c r="BI10" i="4"/>
  <c r="BH10" i="4"/>
  <c r="BK7" i="4"/>
  <c r="BI7" i="4"/>
  <c r="BH7" i="4"/>
  <c r="BK6" i="4"/>
  <c r="BI6" i="4"/>
  <c r="BH6" i="4"/>
  <c r="BI4" i="4"/>
  <c r="BH4" i="4"/>
  <c r="BC4" i="4"/>
  <c r="BK4" i="4" s="1"/>
  <c r="BK5" i="4"/>
  <c r="BI5" i="4"/>
  <c r="BH5" i="4"/>
  <c r="BJ5" i="4" s="1"/>
  <c r="BL5" i="4" s="1"/>
  <c r="AO18" i="4"/>
  <c r="P18" i="4" s="1"/>
  <c r="AM18" i="4"/>
  <c r="AL18" i="4"/>
  <c r="AO16" i="4"/>
  <c r="AM16" i="4"/>
  <c r="AL16" i="4"/>
  <c r="AN16" i="4" s="1"/>
  <c r="AO20" i="4"/>
  <c r="AM20" i="4"/>
  <c r="AL20" i="4"/>
  <c r="AO19" i="4"/>
  <c r="AM19" i="4"/>
  <c r="AL19" i="4"/>
  <c r="AO21" i="4"/>
  <c r="AM21" i="4"/>
  <c r="AL21" i="4"/>
  <c r="AO17" i="4"/>
  <c r="P17" i="4" s="1"/>
  <c r="AM17" i="4"/>
  <c r="AL17" i="4"/>
  <c r="AO14" i="4"/>
  <c r="AM14" i="4"/>
  <c r="AL14" i="4"/>
  <c r="AO15" i="4"/>
  <c r="AM15" i="4"/>
  <c r="AL15" i="4"/>
  <c r="AO12" i="4"/>
  <c r="P12" i="4" s="1"/>
  <c r="AM12" i="4"/>
  <c r="AL12" i="4"/>
  <c r="AO13" i="4"/>
  <c r="AM13" i="4"/>
  <c r="AL13" i="4"/>
  <c r="AN13" i="4" s="1"/>
  <c r="AO9" i="4"/>
  <c r="AM9" i="4"/>
  <c r="AL9" i="4"/>
  <c r="AO11" i="4"/>
  <c r="AM11" i="4"/>
  <c r="AL11" i="4"/>
  <c r="AO8" i="4"/>
  <c r="AM8" i="4"/>
  <c r="AL8" i="4"/>
  <c r="AO10" i="4"/>
  <c r="P10" i="4" s="1"/>
  <c r="AM10" i="4"/>
  <c r="AL10" i="4"/>
  <c r="AO7" i="4"/>
  <c r="AM7" i="4"/>
  <c r="AL7" i="4"/>
  <c r="AO6" i="4"/>
  <c r="AM6" i="4"/>
  <c r="AL6" i="4"/>
  <c r="AN6" i="4" s="1"/>
  <c r="AP6" i="4" s="1"/>
  <c r="AO4" i="4"/>
  <c r="P4" i="4" s="1"/>
  <c r="AM4" i="4"/>
  <c r="AL4" i="4"/>
  <c r="AO5" i="4"/>
  <c r="AM5" i="4"/>
  <c r="AL5" i="4"/>
  <c r="P18" i="9" l="1"/>
  <c r="AN9" i="2"/>
  <c r="AP9" i="2" s="1"/>
  <c r="BJ11" i="4"/>
  <c r="AN5" i="4"/>
  <c r="J5" i="4" s="1"/>
  <c r="P11" i="9"/>
  <c r="BJ5" i="2"/>
  <c r="BL5" i="2" s="1"/>
  <c r="P7" i="4"/>
  <c r="Q7" i="4" s="1"/>
  <c r="P14" i="4"/>
  <c r="Q14" i="4" s="1"/>
  <c r="P11" i="4"/>
  <c r="Q11" i="4" s="1"/>
  <c r="P19" i="4"/>
  <c r="Q19" i="4" s="1"/>
  <c r="P5" i="9"/>
  <c r="Q5" i="9" s="1"/>
  <c r="P5" i="2"/>
  <c r="Q5" i="2" s="1"/>
  <c r="AN11" i="4"/>
  <c r="AP11" i="4" s="1"/>
  <c r="AN19" i="4"/>
  <c r="AP19" i="4" s="1"/>
  <c r="BJ10" i="4"/>
  <c r="BL10" i="4" s="1"/>
  <c r="P16" i="10"/>
  <c r="Q16" i="10" s="1"/>
  <c r="P15" i="10"/>
  <c r="Q15" i="10" s="1"/>
  <c r="P9" i="10"/>
  <c r="Q9" i="10" s="1"/>
  <c r="P11" i="10"/>
  <c r="Q11" i="10" s="1"/>
  <c r="P10" i="10"/>
  <c r="Q10" i="10" s="1"/>
  <c r="P4" i="10"/>
  <c r="Q4" i="10" s="1"/>
  <c r="P12" i="10"/>
  <c r="Q12" i="10" s="1"/>
  <c r="P16" i="9"/>
  <c r="AN5" i="2"/>
  <c r="AP5" i="2" s="1"/>
  <c r="BJ4" i="2"/>
  <c r="BL4" i="2" s="1"/>
  <c r="BJ12" i="2"/>
  <c r="BL12" i="2" s="1"/>
  <c r="P13" i="2"/>
  <c r="Q13" i="2" s="1"/>
  <c r="P11" i="2"/>
  <c r="Q11" i="2" s="1"/>
  <c r="P9" i="2"/>
  <c r="Q9" i="2" s="1"/>
  <c r="P6" i="2"/>
  <c r="Q6" i="2" s="1"/>
  <c r="P10" i="2"/>
  <c r="Q10" i="2" s="1"/>
  <c r="P7" i="2"/>
  <c r="Q7" i="2" s="1"/>
  <c r="AN4" i="2"/>
  <c r="AP4" i="2" s="1"/>
  <c r="AN12" i="2"/>
  <c r="AP12" i="2" s="1"/>
  <c r="BJ11" i="2"/>
  <c r="BL11" i="2" s="1"/>
  <c r="AP13" i="4"/>
  <c r="AP5" i="4"/>
  <c r="BJ17" i="4"/>
  <c r="BL17" i="4" s="1"/>
  <c r="AP16" i="4"/>
  <c r="BL11" i="4"/>
  <c r="BJ19" i="4"/>
  <c r="BL19" i="4" s="1"/>
  <c r="L7" i="8"/>
  <c r="M7" i="8" s="1"/>
  <c r="L6" i="8"/>
  <c r="M6" i="8" s="1"/>
  <c r="AK5" i="8"/>
  <c r="L5" i="8"/>
  <c r="M5" i="8" s="1"/>
  <c r="L5" i="7"/>
  <c r="M5" i="7" s="1"/>
  <c r="L7" i="7"/>
  <c r="M7" i="7" s="1"/>
  <c r="L4" i="7"/>
  <c r="M4" i="7" s="1"/>
  <c r="BF7" i="7"/>
  <c r="P6" i="4"/>
  <c r="Q6" i="4" s="1"/>
  <c r="P8" i="4"/>
  <c r="Q8" i="4" s="1"/>
  <c r="P21" i="4"/>
  <c r="Q21" i="4" s="1"/>
  <c r="P9" i="4"/>
  <c r="P16" i="4"/>
  <c r="Q16" i="4" s="1"/>
  <c r="P20" i="4"/>
  <c r="Q20" i="4" s="1"/>
  <c r="P15" i="4"/>
  <c r="Q15" i="4" s="1"/>
  <c r="P5" i="4"/>
  <c r="Q5" i="4" s="1"/>
  <c r="AN10" i="4"/>
  <c r="AP10" i="4" s="1"/>
  <c r="AN17" i="4"/>
  <c r="AP17" i="4" s="1"/>
  <c r="BJ6" i="4"/>
  <c r="BL6" i="4" s="1"/>
  <c r="BJ15" i="4"/>
  <c r="BL15" i="4" s="1"/>
  <c r="BJ4" i="4"/>
  <c r="BL4" i="4" s="1"/>
  <c r="AN15" i="4"/>
  <c r="AP15" i="4" s="1"/>
  <c r="L8" i="8"/>
  <c r="M8" i="8" s="1"/>
  <c r="L8" i="7"/>
  <c r="M8" i="7" s="1"/>
  <c r="L6" i="7"/>
  <c r="M6" i="7" s="1"/>
  <c r="J7" i="7"/>
  <c r="BF8" i="7"/>
  <c r="AN16" i="10"/>
  <c r="AP16" i="10" s="1"/>
  <c r="AN11" i="10"/>
  <c r="AP11" i="10" s="1"/>
  <c r="AN15" i="10"/>
  <c r="AP15" i="10" s="1"/>
  <c r="BJ16" i="10"/>
  <c r="BL16" i="10" s="1"/>
  <c r="BJ11" i="10"/>
  <c r="BL11" i="10" s="1"/>
  <c r="BJ15" i="10"/>
  <c r="BL15" i="10" s="1"/>
  <c r="AN8" i="9"/>
  <c r="AP8" i="9" s="1"/>
  <c r="AN11" i="9"/>
  <c r="AP11" i="9" s="1"/>
  <c r="AN15" i="9"/>
  <c r="AP15" i="9" s="1"/>
  <c r="AN18" i="9"/>
  <c r="AP18" i="9" s="1"/>
  <c r="BJ11" i="9"/>
  <c r="BL11" i="9" s="1"/>
  <c r="BJ15" i="9"/>
  <c r="BL15" i="9" s="1"/>
  <c r="BJ18" i="9"/>
  <c r="BL18" i="9" s="1"/>
  <c r="AN4" i="4"/>
  <c r="AP4" i="4" s="1"/>
  <c r="AN8" i="4"/>
  <c r="AP8" i="4" s="1"/>
  <c r="AN12" i="4"/>
  <c r="AP12" i="4" s="1"/>
  <c r="AN21" i="4"/>
  <c r="AP21" i="4" s="1"/>
  <c r="AN18" i="4"/>
  <c r="AP18" i="4" s="1"/>
  <c r="BJ8" i="4"/>
  <c r="BL8" i="4" s="1"/>
  <c r="BJ12" i="4"/>
  <c r="BL12" i="4" s="1"/>
  <c r="BJ21" i="4"/>
  <c r="BL21" i="4" s="1"/>
  <c r="BJ18" i="4"/>
  <c r="BL18" i="4" s="1"/>
  <c r="L4" i="8"/>
  <c r="M4" i="8" s="1"/>
  <c r="BF5" i="8"/>
  <c r="BF6" i="8"/>
  <c r="AK6" i="7"/>
  <c r="L9" i="7"/>
  <c r="M9" i="7" s="1"/>
  <c r="BF4" i="7"/>
  <c r="AK7" i="7"/>
  <c r="Q14" i="10"/>
  <c r="Q8" i="10"/>
  <c r="Q6" i="10"/>
  <c r="Q5" i="10"/>
  <c r="Q13" i="10"/>
  <c r="AN4" i="10"/>
  <c r="AN6" i="10"/>
  <c r="AP6" i="10" s="1"/>
  <c r="AN8" i="10"/>
  <c r="AP8" i="10" s="1"/>
  <c r="AN9" i="10"/>
  <c r="AN12" i="10"/>
  <c r="AN14" i="10"/>
  <c r="BJ4" i="10"/>
  <c r="BL4" i="10" s="1"/>
  <c r="BJ6" i="10"/>
  <c r="BL6" i="10" s="1"/>
  <c r="BJ8" i="10"/>
  <c r="BL8" i="10" s="1"/>
  <c r="BJ9" i="10"/>
  <c r="BL9" i="10" s="1"/>
  <c r="BJ12" i="10"/>
  <c r="BL12" i="10" s="1"/>
  <c r="BJ14" i="10"/>
  <c r="BL14" i="10" s="1"/>
  <c r="AN4" i="9"/>
  <c r="AP4" i="9" s="1"/>
  <c r="AN5" i="9"/>
  <c r="AP5" i="9" s="1"/>
  <c r="AN7" i="9"/>
  <c r="AP7" i="9" s="1"/>
  <c r="AN10" i="9"/>
  <c r="AP10" i="9" s="1"/>
  <c r="AN12" i="9"/>
  <c r="AP12" i="9" s="1"/>
  <c r="AN19" i="9"/>
  <c r="AP19" i="9" s="1"/>
  <c r="AN13" i="9"/>
  <c r="AP13" i="9" s="1"/>
  <c r="AN17" i="9"/>
  <c r="AP17" i="9" s="1"/>
  <c r="BJ4" i="9"/>
  <c r="BJ5" i="9"/>
  <c r="BL5" i="9" s="1"/>
  <c r="BJ7" i="9"/>
  <c r="BL7" i="9" s="1"/>
  <c r="BJ10" i="9"/>
  <c r="BJ19" i="9"/>
  <c r="BL19" i="9" s="1"/>
  <c r="BJ13" i="9"/>
  <c r="BL13" i="9" s="1"/>
  <c r="BJ17" i="9"/>
  <c r="BL17" i="9" s="1"/>
  <c r="Q12" i="9"/>
  <c r="Q10" i="9"/>
  <c r="Q7" i="9"/>
  <c r="Q17" i="9"/>
  <c r="Q6" i="9"/>
  <c r="Q18" i="9"/>
  <c r="Q13" i="9"/>
  <c r="Q9" i="9"/>
  <c r="Q14" i="9"/>
  <c r="Q15" i="9"/>
  <c r="Q4" i="9"/>
  <c r="Q19" i="9"/>
  <c r="Q8" i="9"/>
  <c r="Q11" i="9"/>
  <c r="Q16" i="9"/>
  <c r="BJ9" i="9"/>
  <c r="BL9" i="9" s="1"/>
  <c r="AN10" i="2"/>
  <c r="AP10" i="2" s="1"/>
  <c r="BJ6" i="2"/>
  <c r="BL6" i="2" s="1"/>
  <c r="BJ10" i="2"/>
  <c r="BL10" i="2" s="1"/>
  <c r="AN6" i="2"/>
  <c r="Q8" i="2"/>
  <c r="Q4" i="2"/>
  <c r="J9" i="2"/>
  <c r="N9" i="2" s="1"/>
  <c r="P13" i="4"/>
  <c r="Q13" i="4" s="1"/>
  <c r="Q17" i="4"/>
  <c r="Q10" i="4"/>
  <c r="Q4" i="4"/>
  <c r="Q9" i="4"/>
  <c r="Q12" i="4"/>
  <c r="Q18" i="4"/>
  <c r="J16" i="4"/>
  <c r="N16" i="4" s="1"/>
  <c r="J13" i="4"/>
  <c r="L13" i="4" s="1"/>
  <c r="Q12" i="2"/>
  <c r="BF4" i="8"/>
  <c r="BF5" i="7"/>
  <c r="BF9" i="7"/>
  <c r="AN5" i="10"/>
  <c r="AN10" i="10"/>
  <c r="AN13" i="10"/>
  <c r="BJ5" i="10"/>
  <c r="BL5" i="10" s="1"/>
  <c r="BJ10" i="10"/>
  <c r="BL10" i="10" s="1"/>
  <c r="BJ13" i="10"/>
  <c r="BL13" i="10" s="1"/>
  <c r="BJ16" i="9"/>
  <c r="BL16" i="9" s="1"/>
  <c r="BJ12" i="9"/>
  <c r="BL12" i="9" s="1"/>
  <c r="BJ14" i="9"/>
  <c r="BL14" i="9" s="1"/>
  <c r="AN6" i="9"/>
  <c r="AN9" i="9"/>
  <c r="AN14" i="9"/>
  <c r="AN16" i="9"/>
  <c r="BJ6" i="9"/>
  <c r="BL6" i="9" s="1"/>
  <c r="BJ8" i="9"/>
  <c r="BL8" i="9" s="1"/>
  <c r="AN7" i="2"/>
  <c r="AN8" i="2"/>
  <c r="AN13" i="2"/>
  <c r="BJ7" i="2"/>
  <c r="BL7" i="2" s="1"/>
  <c r="BJ8" i="2"/>
  <c r="BL8" i="2" s="1"/>
  <c r="BJ13" i="2"/>
  <c r="BL13" i="2" s="1"/>
  <c r="AN7" i="4"/>
  <c r="AN9" i="4"/>
  <c r="AN14" i="4"/>
  <c r="AN20" i="4"/>
  <c r="BJ7" i="4"/>
  <c r="BL7" i="4" s="1"/>
  <c r="BJ9" i="4"/>
  <c r="BL9" i="4" s="1"/>
  <c r="BJ14" i="4"/>
  <c r="BL14" i="4" s="1"/>
  <c r="BJ20" i="4"/>
  <c r="BL20" i="4" s="1"/>
  <c r="LD15" i="10"/>
  <c r="LE15" i="10"/>
  <c r="LG15" i="10"/>
  <c r="J5" i="2" l="1"/>
  <c r="J10" i="9"/>
  <c r="BL10" i="9"/>
  <c r="J11" i="4"/>
  <c r="K11" i="4" s="1"/>
  <c r="J16" i="10"/>
  <c r="L16" i="10" s="1"/>
  <c r="J4" i="9"/>
  <c r="N4" i="9" s="1"/>
  <c r="BL4" i="9"/>
  <c r="J4" i="2"/>
  <c r="N4" i="2" s="1"/>
  <c r="AP4" i="10"/>
  <c r="J15" i="10"/>
  <c r="N15" i="10" s="1"/>
  <c r="J11" i="2"/>
  <c r="N11" i="2" s="1"/>
  <c r="J12" i="2"/>
  <c r="N12" i="2" s="1"/>
  <c r="J10" i="4"/>
  <c r="N10" i="4" s="1"/>
  <c r="J19" i="4"/>
  <c r="L19" i="4" s="1"/>
  <c r="M19" i="4" s="1"/>
  <c r="J17" i="4"/>
  <c r="L17" i="4" s="1"/>
  <c r="N13" i="4"/>
  <c r="J6" i="4"/>
  <c r="K6" i="4" s="1"/>
  <c r="J4" i="4"/>
  <c r="K4" i="4" s="1"/>
  <c r="J18" i="4"/>
  <c r="L18" i="4" s="1"/>
  <c r="AK8" i="7"/>
  <c r="K7" i="7"/>
  <c r="BJ4" i="6"/>
  <c r="BJ5" i="6"/>
  <c r="BJ12" i="6"/>
  <c r="BJ9" i="6"/>
  <c r="BJ14" i="6"/>
  <c r="BJ13" i="6"/>
  <c r="BJ7" i="6"/>
  <c r="BJ11" i="6"/>
  <c r="BJ10" i="6"/>
  <c r="BJ15" i="6"/>
  <c r="BJ6" i="6"/>
  <c r="AK8" i="8"/>
  <c r="AK4" i="8"/>
  <c r="J7" i="8"/>
  <c r="K7" i="8" s="1"/>
  <c r="AK6" i="8"/>
  <c r="AK7" i="8"/>
  <c r="J6" i="8"/>
  <c r="K6" i="8" s="1"/>
  <c r="J6" i="7"/>
  <c r="BF6" i="7"/>
  <c r="J15" i="4"/>
  <c r="K15" i="4" s="1"/>
  <c r="BF8" i="8"/>
  <c r="J8" i="8"/>
  <c r="J8" i="7"/>
  <c r="J11" i="10"/>
  <c r="F15" i="10"/>
  <c r="J18" i="9"/>
  <c r="N18" i="9" s="1"/>
  <c r="O18" i="9" s="1"/>
  <c r="L18" i="9"/>
  <c r="M18" i="9" s="1"/>
  <c r="J5" i="9"/>
  <c r="N5" i="9" s="1"/>
  <c r="J17" i="9"/>
  <c r="K17" i="9" s="1"/>
  <c r="J11" i="9"/>
  <c r="K11" i="9" s="1"/>
  <c r="J19" i="9"/>
  <c r="L19" i="9" s="1"/>
  <c r="J15" i="9"/>
  <c r="N15" i="9" s="1"/>
  <c r="J7" i="9"/>
  <c r="N7" i="9" s="1"/>
  <c r="J10" i="2"/>
  <c r="L10" i="2" s="1"/>
  <c r="M10" i="2" s="1"/>
  <c r="J12" i="4"/>
  <c r="N12" i="4" s="1"/>
  <c r="J8" i="4"/>
  <c r="N8" i="4" s="1"/>
  <c r="J21" i="4"/>
  <c r="N21" i="4" s="1"/>
  <c r="K13" i="4"/>
  <c r="J4" i="8"/>
  <c r="J5" i="8"/>
  <c r="AK9" i="7"/>
  <c r="J9" i="7"/>
  <c r="AK4" i="7"/>
  <c r="J4" i="7"/>
  <c r="AK5" i="7"/>
  <c r="J5" i="7"/>
  <c r="BP15" i="10"/>
  <c r="G15" i="10"/>
  <c r="J9" i="10"/>
  <c r="AP5" i="10"/>
  <c r="J5" i="10"/>
  <c r="J8" i="10"/>
  <c r="J14" i="10"/>
  <c r="J6" i="10"/>
  <c r="J12" i="10"/>
  <c r="AP14" i="10"/>
  <c r="AP12" i="10"/>
  <c r="AP13" i="10"/>
  <c r="J13" i="10"/>
  <c r="J4" i="10"/>
  <c r="AP9" i="10"/>
  <c r="AP10" i="10"/>
  <c r="J10" i="10"/>
  <c r="J13" i="9"/>
  <c r="K13" i="9" s="1"/>
  <c r="J8" i="9"/>
  <c r="K8" i="9" s="1"/>
  <c r="AP6" i="9"/>
  <c r="J6" i="9"/>
  <c r="J12" i="9"/>
  <c r="K10" i="9"/>
  <c r="L10" i="9"/>
  <c r="N10" i="9"/>
  <c r="AP14" i="9"/>
  <c r="J14" i="9"/>
  <c r="AP9" i="9"/>
  <c r="J9" i="9"/>
  <c r="AP16" i="9"/>
  <c r="J16" i="9"/>
  <c r="AP6" i="2"/>
  <c r="J6" i="2"/>
  <c r="AP7" i="2"/>
  <c r="J7" i="2"/>
  <c r="L9" i="2"/>
  <c r="K9" i="2"/>
  <c r="O9" i="2" s="1"/>
  <c r="K5" i="2"/>
  <c r="L5" i="2"/>
  <c r="AP13" i="2"/>
  <c r="J13" i="2"/>
  <c r="AP8" i="2"/>
  <c r="J8" i="2"/>
  <c r="N5" i="2"/>
  <c r="AP14" i="4"/>
  <c r="J14" i="4"/>
  <c r="AP20" i="4"/>
  <c r="J20" i="4"/>
  <c r="AP9" i="4"/>
  <c r="J9" i="4"/>
  <c r="K16" i="4"/>
  <c r="N5" i="4"/>
  <c r="K5" i="4"/>
  <c r="L5" i="4"/>
  <c r="AP7" i="4"/>
  <c r="J7" i="4"/>
  <c r="K18" i="4"/>
  <c r="L16" i="4"/>
  <c r="M16" i="4" s="1"/>
  <c r="O16" i="4"/>
  <c r="LF15" i="10"/>
  <c r="LH15" i="10" s="1"/>
  <c r="LD11" i="10"/>
  <c r="LE11" i="10"/>
  <c r="LG11" i="10"/>
  <c r="K12" i="2" l="1"/>
  <c r="L12" i="2"/>
  <c r="K16" i="10"/>
  <c r="N11" i="4"/>
  <c r="O11" i="4" s="1"/>
  <c r="L11" i="4"/>
  <c r="M11" i="4" s="1"/>
  <c r="N16" i="10"/>
  <c r="K4" i="9"/>
  <c r="O4" i="9" s="1"/>
  <c r="L4" i="9"/>
  <c r="M4" i="9" s="1"/>
  <c r="K4" i="2"/>
  <c r="O4" i="2" s="1"/>
  <c r="L4" i="2"/>
  <c r="M4" i="2" s="1"/>
  <c r="N15" i="4"/>
  <c r="O15" i="4" s="1"/>
  <c r="L15" i="4"/>
  <c r="M15" i="4" s="1"/>
  <c r="N18" i="4"/>
  <c r="K10" i="4"/>
  <c r="O10" i="4" s="1"/>
  <c r="K15" i="10"/>
  <c r="L15" i="10"/>
  <c r="BM15" i="10" s="1"/>
  <c r="K19" i="9"/>
  <c r="N19" i="9"/>
  <c r="O19" i="9" s="1"/>
  <c r="K11" i="2"/>
  <c r="O11" i="2" s="1"/>
  <c r="L11" i="2"/>
  <c r="M11" i="2" s="1"/>
  <c r="L12" i="4"/>
  <c r="K12" i="4"/>
  <c r="O12" i="4" s="1"/>
  <c r="K19" i="4"/>
  <c r="L10" i="4"/>
  <c r="N19" i="4"/>
  <c r="O19" i="4" s="1"/>
  <c r="K18" i="9"/>
  <c r="L5" i="9"/>
  <c r="M5" i="9" s="1"/>
  <c r="N6" i="4"/>
  <c r="O6" i="4" s="1"/>
  <c r="K17" i="4"/>
  <c r="M17" i="4" s="1"/>
  <c r="N4" i="4"/>
  <c r="O4" i="4" s="1"/>
  <c r="L6" i="4"/>
  <c r="M6" i="4" s="1"/>
  <c r="N17" i="4"/>
  <c r="K8" i="4"/>
  <c r="O8" i="4" s="1"/>
  <c r="L4" i="4"/>
  <c r="M4" i="4" s="1"/>
  <c r="O13" i="4"/>
  <c r="K8" i="7"/>
  <c r="K6" i="7"/>
  <c r="K8" i="8"/>
  <c r="M13" i="4"/>
  <c r="L21" i="4"/>
  <c r="M21" i="4" s="1"/>
  <c r="K21" i="4"/>
  <c r="L8" i="4"/>
  <c r="M8" i="4" s="1"/>
  <c r="K11" i="10"/>
  <c r="N11" i="10"/>
  <c r="O11" i="10" s="1"/>
  <c r="L11" i="10"/>
  <c r="M11" i="10" s="1"/>
  <c r="N11" i="9"/>
  <c r="O11" i="9" s="1"/>
  <c r="K5" i="9"/>
  <c r="L8" i="9"/>
  <c r="M8" i="9" s="1"/>
  <c r="L15" i="9"/>
  <c r="M15" i="9" s="1"/>
  <c r="L7" i="9"/>
  <c r="M7" i="9" s="1"/>
  <c r="N8" i="9"/>
  <c r="O8" i="9" s="1"/>
  <c r="K15" i="9"/>
  <c r="N17" i="9"/>
  <c r="O17" i="9" s="1"/>
  <c r="L17" i="9"/>
  <c r="M17" i="9" s="1"/>
  <c r="K7" i="9"/>
  <c r="N13" i="9"/>
  <c r="O13" i="9" s="1"/>
  <c r="L11" i="9"/>
  <c r="M11" i="9" s="1"/>
  <c r="L13" i="9"/>
  <c r="M13" i="9" s="1"/>
  <c r="O5" i="2"/>
  <c r="K10" i="2"/>
  <c r="N10" i="2"/>
  <c r="K5" i="8"/>
  <c r="K4" i="8"/>
  <c r="K4" i="7"/>
  <c r="K9" i="7"/>
  <c r="K5" i="7"/>
  <c r="BO15" i="10"/>
  <c r="K6" i="10"/>
  <c r="L6" i="10"/>
  <c r="N6" i="10"/>
  <c r="L10" i="10"/>
  <c r="N10" i="10"/>
  <c r="K10" i="10"/>
  <c r="K5" i="10"/>
  <c r="L5" i="10"/>
  <c r="N5" i="10"/>
  <c r="N4" i="10"/>
  <c r="L4" i="10"/>
  <c r="K4" i="10"/>
  <c r="BN15" i="10"/>
  <c r="O15" i="10"/>
  <c r="H15" i="10"/>
  <c r="A15" i="10" s="1"/>
  <c r="L14" i="10"/>
  <c r="K14" i="10"/>
  <c r="N14" i="10"/>
  <c r="K12" i="10"/>
  <c r="N12" i="10"/>
  <c r="L12" i="10"/>
  <c r="N8" i="10"/>
  <c r="K8" i="10"/>
  <c r="L8" i="10"/>
  <c r="N9" i="10"/>
  <c r="L9" i="10"/>
  <c r="K9" i="10"/>
  <c r="M16" i="10"/>
  <c r="F11" i="10"/>
  <c r="G11" i="10"/>
  <c r="K13" i="10"/>
  <c r="N13" i="10"/>
  <c r="L13" i="10"/>
  <c r="BP11" i="10"/>
  <c r="O16" i="10"/>
  <c r="O15" i="9"/>
  <c r="K16" i="9"/>
  <c r="N16" i="9"/>
  <c r="L16" i="9"/>
  <c r="O5" i="9"/>
  <c r="M19" i="9"/>
  <c r="O10" i="9"/>
  <c r="L6" i="9"/>
  <c r="N6" i="9"/>
  <c r="K6" i="9"/>
  <c r="N9" i="9"/>
  <c r="K9" i="9"/>
  <c r="L9" i="9"/>
  <c r="N14" i="9"/>
  <c r="L14" i="9"/>
  <c r="K14" i="9"/>
  <c r="M10" i="9"/>
  <c r="K12" i="9"/>
  <c r="N12" i="9"/>
  <c r="L12" i="9"/>
  <c r="O7" i="9"/>
  <c r="K6" i="2"/>
  <c r="N6" i="2"/>
  <c r="L6" i="2"/>
  <c r="M6" i="2" s="1"/>
  <c r="K8" i="2"/>
  <c r="L8" i="2"/>
  <c r="N8" i="2"/>
  <c r="M9" i="2"/>
  <c r="L7" i="2"/>
  <c r="K7" i="2"/>
  <c r="N7" i="2"/>
  <c r="L13" i="2"/>
  <c r="K13" i="2"/>
  <c r="N13" i="2"/>
  <c r="M12" i="2"/>
  <c r="M5" i="2"/>
  <c r="O12" i="2"/>
  <c r="O18" i="4"/>
  <c r="O21" i="4"/>
  <c r="M5" i="4"/>
  <c r="M18" i="4"/>
  <c r="L20" i="4"/>
  <c r="K20" i="4"/>
  <c r="N20" i="4"/>
  <c r="K14" i="4"/>
  <c r="L14" i="4"/>
  <c r="N14" i="4"/>
  <c r="O5" i="4"/>
  <c r="L7" i="4"/>
  <c r="N7" i="4"/>
  <c r="K7" i="4"/>
  <c r="L9" i="4"/>
  <c r="K9" i="4"/>
  <c r="N9" i="4"/>
  <c r="LF11" i="10"/>
  <c r="LH11" i="10" s="1"/>
  <c r="LD18" i="9"/>
  <c r="LE18" i="9"/>
  <c r="LG18" i="9"/>
  <c r="M10" i="4" l="1"/>
  <c r="M15" i="10"/>
  <c r="M12" i="4"/>
  <c r="O17" i="4"/>
  <c r="BM11" i="10"/>
  <c r="BN11" i="10"/>
  <c r="O10" i="2"/>
  <c r="I15" i="10"/>
  <c r="O6" i="2"/>
  <c r="M9" i="4"/>
  <c r="M5" i="10"/>
  <c r="M8" i="10"/>
  <c r="M4" i="10"/>
  <c r="M14" i="10"/>
  <c r="O14" i="10"/>
  <c r="O5" i="10"/>
  <c r="O6" i="10"/>
  <c r="O4" i="10"/>
  <c r="M13" i="10"/>
  <c r="O12" i="10"/>
  <c r="O10" i="10"/>
  <c r="M12" i="10"/>
  <c r="O13" i="10"/>
  <c r="M9" i="10"/>
  <c r="M6" i="10"/>
  <c r="O8" i="10"/>
  <c r="M10" i="10"/>
  <c r="BO11" i="10"/>
  <c r="H11" i="10"/>
  <c r="A11" i="10" s="1"/>
  <c r="O9" i="10"/>
  <c r="BP18" i="9"/>
  <c r="O6" i="9"/>
  <c r="M6" i="9"/>
  <c r="G18" i="9"/>
  <c r="F18" i="9"/>
  <c r="M12" i="9"/>
  <c r="O12" i="9"/>
  <c r="O14" i="9"/>
  <c r="O16" i="9"/>
  <c r="BN18" i="9"/>
  <c r="BM18" i="9"/>
  <c r="M14" i="9"/>
  <c r="M9" i="9"/>
  <c r="O9" i="9"/>
  <c r="M16" i="9"/>
  <c r="O7" i="2"/>
  <c r="O8" i="2"/>
  <c r="M8" i="2"/>
  <c r="M13" i="2"/>
  <c r="O13" i="2"/>
  <c r="M7" i="2"/>
  <c r="M7" i="4"/>
  <c r="M14" i="4"/>
  <c r="O9" i="4"/>
  <c r="M20" i="4"/>
  <c r="O7" i="4"/>
  <c r="O14" i="4"/>
  <c r="O20" i="4"/>
  <c r="LF18" i="9"/>
  <c r="LH18" i="9" s="1"/>
  <c r="LD16" i="9"/>
  <c r="LE16" i="9"/>
  <c r="LG16" i="9"/>
  <c r="I11" i="10" l="1"/>
  <c r="BN16" i="9"/>
  <c r="BM16" i="9"/>
  <c r="BP16" i="9"/>
  <c r="H18" i="9"/>
  <c r="A18" i="9" s="1"/>
  <c r="BO18" i="9"/>
  <c r="F16" i="9"/>
  <c r="G16" i="9"/>
  <c r="LF16" i="9"/>
  <c r="LH16" i="9" s="1"/>
  <c r="R15" i="10"/>
  <c r="T15" i="10" s="1"/>
  <c r="LD17" i="9"/>
  <c r="LE17" i="9"/>
  <c r="LG17" i="9"/>
  <c r="LF17" i="9" l="1"/>
  <c r="I18" i="9"/>
  <c r="BM17" i="9"/>
  <c r="F17" i="9"/>
  <c r="G17" i="9"/>
  <c r="H16" i="9"/>
  <c r="A16" i="9" s="1"/>
  <c r="BO16" i="9"/>
  <c r="BP17" i="9"/>
  <c r="BN17" i="9"/>
  <c r="R11" i="10"/>
  <c r="LH17" i="9"/>
  <c r="S15" i="10"/>
  <c r="E15" i="10"/>
  <c r="LD13" i="9"/>
  <c r="LE13" i="9"/>
  <c r="LG13" i="9"/>
  <c r="I16" i="9" l="1"/>
  <c r="E11" i="10"/>
  <c r="T11" i="10"/>
  <c r="H17" i="9"/>
  <c r="A17" i="9" s="1"/>
  <c r="BO17" i="9"/>
  <c r="F13" i="9"/>
  <c r="G13" i="9"/>
  <c r="BP13" i="9"/>
  <c r="BN13" i="9"/>
  <c r="BM13" i="9"/>
  <c r="LF13" i="9"/>
  <c r="LH13" i="9" s="1"/>
  <c r="S11" i="10"/>
  <c r="R18" i="9"/>
  <c r="I17" i="9" l="1"/>
  <c r="E18" i="9"/>
  <c r="T18" i="9"/>
  <c r="H13" i="9"/>
  <c r="A13" i="9" s="1"/>
  <c r="BO13" i="9"/>
  <c r="S18" i="9"/>
  <c r="R16" i="9"/>
  <c r="I13" i="9" l="1"/>
  <c r="E16" i="9"/>
  <c r="T16" i="9"/>
  <c r="S16" i="9"/>
  <c r="R17" i="9"/>
  <c r="E17" i="9" l="1"/>
  <c r="T17" i="9"/>
  <c r="S17" i="9"/>
  <c r="R13" i="9"/>
  <c r="T13" i="9" s="1"/>
  <c r="LD14" i="10"/>
  <c r="LE14" i="10"/>
  <c r="LG14" i="10"/>
  <c r="LD6" i="10"/>
  <c r="LE6" i="10"/>
  <c r="LG6" i="10"/>
  <c r="BP6" i="10" l="1"/>
  <c r="BN6" i="10"/>
  <c r="BM14" i="10"/>
  <c r="BM6" i="10"/>
  <c r="BP14" i="10"/>
  <c r="BN14" i="10"/>
  <c r="F6" i="10"/>
  <c r="G6" i="10"/>
  <c r="G14" i="10"/>
  <c r="F14" i="10"/>
  <c r="E13" i="9"/>
  <c r="S13" i="9"/>
  <c r="LF14" i="10"/>
  <c r="LH14" i="10" s="1"/>
  <c r="LF6" i="10"/>
  <c r="LH6" i="10" s="1"/>
  <c r="LD13" i="10"/>
  <c r="LE13" i="10"/>
  <c r="LG13" i="10"/>
  <c r="H6" i="10" l="1"/>
  <c r="I6" i="10" s="1"/>
  <c r="BO6" i="10"/>
  <c r="BP13" i="10"/>
  <c r="BN13" i="10"/>
  <c r="H14" i="10"/>
  <c r="I14" i="10" s="1"/>
  <c r="BO14" i="10"/>
  <c r="BM13" i="10"/>
  <c r="F13" i="10"/>
  <c r="G13" i="10"/>
  <c r="LF13" i="10"/>
  <c r="LH13" i="10" s="1"/>
  <c r="LD5" i="9"/>
  <c r="LE5" i="9"/>
  <c r="LG5" i="9"/>
  <c r="A14" i="10" l="1"/>
  <c r="BM5" i="9"/>
  <c r="H13" i="10"/>
  <c r="A13" i="10" s="1"/>
  <c r="BO13" i="10"/>
  <c r="F5" i="9"/>
  <c r="G5" i="9"/>
  <c r="BN5" i="9"/>
  <c r="BP5" i="9"/>
  <c r="LF5" i="9"/>
  <c r="LH5" i="9" s="1"/>
  <c r="I13" i="10" l="1"/>
  <c r="H5" i="9"/>
  <c r="I5" i="9" s="1"/>
  <c r="BO5" i="9"/>
  <c r="R14" i="10"/>
  <c r="T14" i="10" s="1"/>
  <c r="R6" i="10"/>
  <c r="E6" i="10" l="1"/>
  <c r="T6" i="10"/>
  <c r="S14" i="10"/>
  <c r="S6" i="10"/>
  <c r="R13" i="10"/>
  <c r="T13" i="10" s="1"/>
  <c r="E14" i="10"/>
  <c r="CE7" i="6"/>
  <c r="I7" i="6" s="1"/>
  <c r="BI7" i="6" l="1"/>
  <c r="S13" i="10"/>
  <c r="E13" i="10"/>
  <c r="R5" i="9"/>
  <c r="T5" i="9" s="1"/>
  <c r="CE9" i="6"/>
  <c r="LD15" i="9"/>
  <c r="LE15" i="9"/>
  <c r="LG15" i="9"/>
  <c r="BI9" i="6" l="1"/>
  <c r="BP15" i="9"/>
  <c r="BN15" i="9"/>
  <c r="G15" i="9"/>
  <c r="F15" i="9"/>
  <c r="BM15" i="9"/>
  <c r="S5" i="9"/>
  <c r="E5" i="9"/>
  <c r="LF15" i="9"/>
  <c r="LH15" i="9" s="1"/>
  <c r="LD9" i="10"/>
  <c r="LE9" i="10"/>
  <c r="LG9" i="10"/>
  <c r="BP9" i="10" l="1"/>
  <c r="BN9" i="10"/>
  <c r="BM9" i="10"/>
  <c r="G9" i="10"/>
  <c r="F9" i="10"/>
  <c r="H15" i="9"/>
  <c r="A15" i="9" s="1"/>
  <c r="BO15" i="9"/>
  <c r="N7" i="6"/>
  <c r="P7" i="6" s="1"/>
  <c r="N9" i="6"/>
  <c r="P9" i="6" s="1"/>
  <c r="LF9" i="10"/>
  <c r="LH9" i="10" s="1"/>
  <c r="I15" i="9" l="1"/>
  <c r="O9" i="6"/>
  <c r="O7" i="6"/>
  <c r="H9" i="10"/>
  <c r="A9" i="10" s="1"/>
  <c r="BO9" i="10"/>
  <c r="E7" i="6"/>
  <c r="E9" i="6"/>
  <c r="LD4" i="4"/>
  <c r="LE4" i="4"/>
  <c r="LG4" i="4"/>
  <c r="I9" i="10" l="1"/>
  <c r="BM4" i="4"/>
  <c r="BP4" i="4"/>
  <c r="F4" i="4"/>
  <c r="G4" i="4"/>
  <c r="BN4" i="4"/>
  <c r="R15" i="9"/>
  <c r="LF4" i="4"/>
  <c r="LH4" i="4" s="1"/>
  <c r="S15" i="9" l="1"/>
  <c r="T15" i="9"/>
  <c r="H4" i="4"/>
  <c r="I4" i="4" s="1"/>
  <c r="BO4" i="4"/>
  <c r="R9" i="10"/>
  <c r="T9" i="10" s="1"/>
  <c r="E15" i="9"/>
  <c r="LD12" i="10"/>
  <c r="LE12" i="10"/>
  <c r="LG12" i="10"/>
  <c r="LD14" i="9"/>
  <c r="LE14" i="9"/>
  <c r="LG14" i="9"/>
  <c r="G12" i="10" l="1"/>
  <c r="F12" i="10"/>
  <c r="BP12" i="10"/>
  <c r="BN12" i="10"/>
  <c r="BM12" i="10"/>
  <c r="G14" i="9"/>
  <c r="F14" i="9"/>
  <c r="BP14" i="9"/>
  <c r="BN14" i="9"/>
  <c r="BM14" i="9"/>
  <c r="S9" i="10"/>
  <c r="R4" i="4"/>
  <c r="T4" i="4" s="1"/>
  <c r="E9" i="10"/>
  <c r="LF12" i="10"/>
  <c r="LH12" i="10" s="1"/>
  <c r="LF14" i="9"/>
  <c r="LH14" i="9" s="1"/>
  <c r="BY9" i="7"/>
  <c r="CA9" i="7"/>
  <c r="CS9" i="7"/>
  <c r="CU9" i="7"/>
  <c r="DM9" i="7"/>
  <c r="DO9" i="7"/>
  <c r="EG9" i="7"/>
  <c r="EI9" i="7"/>
  <c r="FA9" i="7"/>
  <c r="FC9" i="7"/>
  <c r="FU9" i="7"/>
  <c r="FW9" i="7"/>
  <c r="GO9" i="7"/>
  <c r="GQ9" i="7"/>
  <c r="HI9" i="7"/>
  <c r="HK9" i="7"/>
  <c r="IC9" i="7"/>
  <c r="IE9" i="7"/>
  <c r="IW9" i="7"/>
  <c r="IY9" i="7"/>
  <c r="JQ9" i="7"/>
  <c r="JS9" i="7"/>
  <c r="KK9" i="7"/>
  <c r="KM9" i="7"/>
  <c r="F9" i="7" l="1"/>
  <c r="G9" i="7"/>
  <c r="BG9" i="7"/>
  <c r="BH9" i="7"/>
  <c r="H12" i="10"/>
  <c r="I12" i="10" s="1"/>
  <c r="BO12" i="10"/>
  <c r="H14" i="9"/>
  <c r="A14" i="9" s="1"/>
  <c r="BO14" i="9"/>
  <c r="S4" i="4"/>
  <c r="E4" i="4"/>
  <c r="GR9" i="7"/>
  <c r="KN9" i="7"/>
  <c r="EJ9" i="7"/>
  <c r="IZ9" i="7"/>
  <c r="JT9" i="7"/>
  <c r="IF9" i="7"/>
  <c r="HL9" i="7"/>
  <c r="FX9" i="7"/>
  <c r="FD9" i="7"/>
  <c r="LD16" i="10"/>
  <c r="LE16" i="10"/>
  <c r="LG16" i="10"/>
  <c r="LD19" i="9"/>
  <c r="LE19" i="9"/>
  <c r="LG19" i="9"/>
  <c r="I9" i="7" l="1"/>
  <c r="A9" i="7"/>
  <c r="A12" i="10"/>
  <c r="I14" i="9"/>
  <c r="N9" i="7"/>
  <c r="CB9" i="7"/>
  <c r="CV9" i="7" s="1"/>
  <c r="DP9" i="7" s="1"/>
  <c r="BM16" i="10"/>
  <c r="F16" i="10"/>
  <c r="G16" i="10"/>
  <c r="BP16" i="10"/>
  <c r="BN16" i="10"/>
  <c r="BP19" i="9"/>
  <c r="BN19" i="9"/>
  <c r="BM19" i="9"/>
  <c r="F19" i="9"/>
  <c r="G19" i="9"/>
  <c r="LF16" i="10"/>
  <c r="LH16" i="10" s="1"/>
  <c r="LF19" i="9"/>
  <c r="LH19" i="9" s="1"/>
  <c r="P9" i="7" l="1"/>
  <c r="O9" i="7"/>
  <c r="E9" i="7"/>
  <c r="H16" i="10"/>
  <c r="I16" i="10" s="1"/>
  <c r="BO16" i="10"/>
  <c r="H19" i="9"/>
  <c r="A19" i="9" s="1"/>
  <c r="BO19" i="9"/>
  <c r="R12" i="10"/>
  <c r="T12" i="10" s="1"/>
  <c r="R14" i="9"/>
  <c r="T14" i="9" s="1"/>
  <c r="A16" i="10" l="1"/>
  <c r="I19" i="9"/>
  <c r="S12" i="10"/>
  <c r="S14" i="9"/>
  <c r="E12" i="10"/>
  <c r="E14" i="9"/>
  <c r="R16" i="10" l="1"/>
  <c r="T16" i="10" s="1"/>
  <c r="R19" i="9"/>
  <c r="T19" i="9" s="1"/>
  <c r="S16" i="10" l="1"/>
  <c r="S19" i="9"/>
  <c r="E16" i="10"/>
  <c r="E19" i="9"/>
  <c r="LD9" i="9" l="1"/>
  <c r="LE9" i="9"/>
  <c r="LG9" i="9"/>
  <c r="LD10" i="9"/>
  <c r="LE10" i="9"/>
  <c r="LG10" i="9"/>
  <c r="G10" i="9" l="1"/>
  <c r="F10" i="9"/>
  <c r="BP9" i="9"/>
  <c r="BP10" i="9"/>
  <c r="BN9" i="9"/>
  <c r="BN10" i="9"/>
  <c r="BM9" i="9"/>
  <c r="BM10" i="9"/>
  <c r="F9" i="9"/>
  <c r="G9" i="9"/>
  <c r="LF9" i="9"/>
  <c r="LH9" i="9" s="1"/>
  <c r="LF10" i="9"/>
  <c r="LH10" i="9" s="1"/>
  <c r="LD11" i="9"/>
  <c r="LE11" i="9"/>
  <c r="LG11" i="9"/>
  <c r="H10" i="9" l="1"/>
  <c r="I10" i="9" s="1"/>
  <c r="BO10" i="9"/>
  <c r="BP11" i="9"/>
  <c r="BN11" i="9"/>
  <c r="BM11" i="9"/>
  <c r="F11" i="9"/>
  <c r="G11" i="9"/>
  <c r="H9" i="9"/>
  <c r="A9" i="9" s="1"/>
  <c r="BO9" i="9"/>
  <c r="LF11" i="9"/>
  <c r="LH11" i="9" s="1"/>
  <c r="LE4" i="2"/>
  <c r="A10" i="9" l="1"/>
  <c r="I9" i="9"/>
  <c r="H11" i="9"/>
  <c r="A11" i="9" s="1"/>
  <c r="BO11" i="9"/>
  <c r="LG8" i="9"/>
  <c r="LE8" i="9"/>
  <c r="LD8" i="9"/>
  <c r="BP8" i="9" l="1"/>
  <c r="I11" i="9"/>
  <c r="G8" i="9"/>
  <c r="F8" i="9"/>
  <c r="BM8" i="9"/>
  <c r="BN8" i="9"/>
  <c r="R9" i="9"/>
  <c r="T9" i="9" s="1"/>
  <c r="R10" i="9"/>
  <c r="T10" i="9" s="1"/>
  <c r="LF8" i="9"/>
  <c r="LH8" i="9" s="1"/>
  <c r="LG10" i="10"/>
  <c r="LE10" i="10"/>
  <c r="LD10" i="10"/>
  <c r="KM6" i="7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G7" i="7"/>
  <c r="G6" i="7"/>
  <c r="F6" i="7"/>
  <c r="F4" i="8"/>
  <c r="BN10" i="10"/>
  <c r="BG7" i="7"/>
  <c r="BG6" i="7"/>
  <c r="BG4" i="8"/>
  <c r="BP10" i="10"/>
  <c r="BH4" i="8"/>
  <c r="BH7" i="7"/>
  <c r="BH6" i="7"/>
  <c r="G10" i="10"/>
  <c r="F10" i="10"/>
  <c r="BM10" i="10"/>
  <c r="H8" i="9"/>
  <c r="I8" i="9" s="1"/>
  <c r="BO8" i="9"/>
  <c r="S9" i="9"/>
  <c r="S10" i="9"/>
  <c r="E10" i="9"/>
  <c r="E9" i="9"/>
  <c r="EJ7" i="7"/>
  <c r="IZ6" i="7"/>
  <c r="JT4" i="8"/>
  <c r="GR4" i="8"/>
  <c r="IF6" i="7"/>
  <c r="KN7" i="7"/>
  <c r="R11" i="9"/>
  <c r="T11" i="9" s="1"/>
  <c r="FD6" i="7"/>
  <c r="CV4" i="8"/>
  <c r="IZ4" i="8"/>
  <c r="IF7" i="7"/>
  <c r="JT7" i="7"/>
  <c r="EJ6" i="7"/>
  <c r="KN6" i="7"/>
  <c r="FD4" i="8"/>
  <c r="FX7" i="7"/>
  <c r="FX4" i="8"/>
  <c r="LF10" i="10"/>
  <c r="LH10" i="10" s="1"/>
  <c r="DP4" i="8"/>
  <c r="GR6" i="7"/>
  <c r="JT6" i="7"/>
  <c r="IF4" i="8"/>
  <c r="EJ4" i="8"/>
  <c r="HL4" i="8"/>
  <c r="KN4" i="8"/>
  <c r="FD7" i="7"/>
  <c r="HL7" i="7"/>
  <c r="HL6" i="7"/>
  <c r="GR7" i="7"/>
  <c r="IZ7" i="7"/>
  <c r="FX6" i="7"/>
  <c r="LG9" i="4"/>
  <c r="LE9" i="4"/>
  <c r="LD9" i="4"/>
  <c r="LG14" i="4"/>
  <c r="LE14" i="4"/>
  <c r="LD14" i="4"/>
  <c r="LG19" i="4"/>
  <c r="LE19" i="4"/>
  <c r="LD19" i="4"/>
  <c r="LG21" i="4"/>
  <c r="LE21" i="4"/>
  <c r="LD21" i="4"/>
  <c r="LG20" i="4"/>
  <c r="LE20" i="4"/>
  <c r="LD20" i="4"/>
  <c r="LG11" i="2"/>
  <c r="LE11" i="2"/>
  <c r="LD11" i="2"/>
  <c r="I4" i="8" l="1"/>
  <c r="I6" i="7"/>
  <c r="I7" i="7"/>
  <c r="A7" i="7"/>
  <c r="N7" i="7"/>
  <c r="P7" i="7" s="1"/>
  <c r="A8" i="9"/>
  <c r="O7" i="7"/>
  <c r="BM21" i="4"/>
  <c r="BM14" i="4"/>
  <c r="CB7" i="7"/>
  <c r="CV7" i="7" s="1"/>
  <c r="DP7" i="7" s="1"/>
  <c r="CB6" i="7"/>
  <c r="CV6" i="7" s="1"/>
  <c r="DP6" i="7" s="1"/>
  <c r="CB4" i="8"/>
  <c r="BN14" i="4"/>
  <c r="BM19" i="4"/>
  <c r="BN20" i="4"/>
  <c r="BN19" i="4"/>
  <c r="BN9" i="4"/>
  <c r="BN21" i="4"/>
  <c r="BN11" i="2"/>
  <c r="BP11" i="2"/>
  <c r="BM11" i="2"/>
  <c r="BP21" i="4"/>
  <c r="BP19" i="4"/>
  <c r="BP14" i="4"/>
  <c r="BM20" i="4"/>
  <c r="BP20" i="4"/>
  <c r="N6" i="7"/>
  <c r="H10" i="10"/>
  <c r="A10" i="10" s="1"/>
  <c r="BO10" i="10"/>
  <c r="G11" i="2"/>
  <c r="F11" i="2"/>
  <c r="BM9" i="4"/>
  <c r="G20" i="4"/>
  <c r="F20" i="4"/>
  <c r="G21" i="4"/>
  <c r="F21" i="4"/>
  <c r="G19" i="4"/>
  <c r="F19" i="4"/>
  <c r="F14" i="4"/>
  <c r="G14" i="4"/>
  <c r="F9" i="4"/>
  <c r="G9" i="4"/>
  <c r="BP9" i="4"/>
  <c r="S11" i="9"/>
  <c r="LF20" i="4"/>
  <c r="LH20" i="4" s="1"/>
  <c r="LF9" i="4"/>
  <c r="LH9" i="4" s="1"/>
  <c r="E11" i="9"/>
  <c r="LF19" i="4"/>
  <c r="LH19" i="4" s="1"/>
  <c r="CE12" i="6"/>
  <c r="I12" i="6" s="1"/>
  <c r="CE14" i="6"/>
  <c r="I14" i="6" s="1"/>
  <c r="LF11" i="2"/>
  <c r="LH11" i="2" s="1"/>
  <c r="LF21" i="4"/>
  <c r="LH21" i="4" s="1"/>
  <c r="LF14" i="4"/>
  <c r="LH14" i="4" s="1"/>
  <c r="E7" i="7" l="1"/>
  <c r="BI12" i="6"/>
  <c r="P6" i="7"/>
  <c r="O6" i="7"/>
  <c r="BI14" i="6"/>
  <c r="I10" i="10"/>
  <c r="E6" i="7"/>
  <c r="H11" i="2"/>
  <c r="I11" i="2" s="1"/>
  <c r="BO11" i="2"/>
  <c r="H9" i="4"/>
  <c r="I9" i="4" s="1"/>
  <c r="BO9" i="4"/>
  <c r="H20" i="4"/>
  <c r="I20" i="4" s="1"/>
  <c r="BO20" i="4"/>
  <c r="H21" i="4"/>
  <c r="A21" i="4" s="1"/>
  <c r="BO21" i="4"/>
  <c r="H19" i="4"/>
  <c r="I19" i="4" s="1"/>
  <c r="BO19" i="4"/>
  <c r="H14" i="4"/>
  <c r="A14" i="4" s="1"/>
  <c r="BO14" i="4"/>
  <c r="R8" i="9"/>
  <c r="T8" i="9" s="1"/>
  <c r="A19" i="4" l="1"/>
  <c r="A9" i="4"/>
  <c r="A20" i="4"/>
  <c r="I21" i="4"/>
  <c r="I14" i="4"/>
  <c r="S8" i="9"/>
  <c r="R21" i="4"/>
  <c r="T21" i="4" s="1"/>
  <c r="R19" i="4"/>
  <c r="T19" i="4" s="1"/>
  <c r="R20" i="4"/>
  <c r="T20" i="4" s="1"/>
  <c r="N12" i="6"/>
  <c r="P12" i="6" s="1"/>
  <c r="R10" i="10"/>
  <c r="T10" i="10" s="1"/>
  <c r="E8" i="9"/>
  <c r="JQ8" i="8"/>
  <c r="IW5" i="7"/>
  <c r="O12" i="6" l="1"/>
  <c r="R11" i="2"/>
  <c r="T11" i="2" s="1"/>
  <c r="S20" i="4"/>
  <c r="E20" i="4"/>
  <c r="S21" i="4"/>
  <c r="E21" i="4"/>
  <c r="S19" i="4"/>
  <c r="E19" i="4"/>
  <c r="S10" i="10"/>
  <c r="E10" i="10"/>
  <c r="N4" i="8"/>
  <c r="R14" i="4"/>
  <c r="T14" i="4" s="1"/>
  <c r="E12" i="6"/>
  <c r="N14" i="6"/>
  <c r="P14" i="6" s="1"/>
  <c r="LD10" i="4"/>
  <c r="LE10" i="4"/>
  <c r="LG10" i="4"/>
  <c r="LD6" i="4"/>
  <c r="LE6" i="4"/>
  <c r="LG6" i="4"/>
  <c r="LD12" i="4"/>
  <c r="LE12" i="4"/>
  <c r="LG12" i="4"/>
  <c r="LD11" i="4"/>
  <c r="LE11" i="4"/>
  <c r="LG11" i="4"/>
  <c r="LD7" i="4"/>
  <c r="LE7" i="4"/>
  <c r="LG7" i="4"/>
  <c r="LD8" i="4"/>
  <c r="LE8" i="4"/>
  <c r="LG8" i="4"/>
  <c r="LD13" i="4"/>
  <c r="LE13" i="4"/>
  <c r="LG13" i="4"/>
  <c r="LD17" i="4"/>
  <c r="LE17" i="4"/>
  <c r="LG17" i="4"/>
  <c r="LD16" i="4"/>
  <c r="LE16" i="4"/>
  <c r="LG16" i="4"/>
  <c r="LD5" i="4"/>
  <c r="LE5" i="4"/>
  <c r="LG5" i="4"/>
  <c r="LD18" i="4"/>
  <c r="LE18" i="4"/>
  <c r="LG18" i="4"/>
  <c r="LD15" i="4"/>
  <c r="LE15" i="4"/>
  <c r="LG15" i="4"/>
  <c r="LG8" i="10"/>
  <c r="LG4" i="10"/>
  <c r="LG5" i="10"/>
  <c r="LG6" i="9"/>
  <c r="LD7" i="9"/>
  <c r="LE7" i="9"/>
  <c r="LG7" i="9"/>
  <c r="LD4" i="9"/>
  <c r="LE4" i="9"/>
  <c r="LG4" i="9"/>
  <c r="LD12" i="9"/>
  <c r="LE12" i="9"/>
  <c r="LG12" i="9"/>
  <c r="LE6" i="9"/>
  <c r="LD6" i="9"/>
  <c r="LD7" i="2"/>
  <c r="LE7" i="2"/>
  <c r="LG7" i="2"/>
  <c r="LD6" i="2"/>
  <c r="LE6" i="2"/>
  <c r="LG6" i="2"/>
  <c r="LD8" i="2"/>
  <c r="LE8" i="2"/>
  <c r="LG8" i="2"/>
  <c r="LD9" i="2"/>
  <c r="LE9" i="2"/>
  <c r="LG9" i="2"/>
  <c r="LD4" i="2"/>
  <c r="LF4" i="2" s="1"/>
  <c r="LG4" i="2"/>
  <c r="LD13" i="2"/>
  <c r="LE13" i="2"/>
  <c r="LG13" i="2"/>
  <c r="LD10" i="2"/>
  <c r="LE10" i="2"/>
  <c r="LG10" i="2"/>
  <c r="LD12" i="2"/>
  <c r="LE12" i="2"/>
  <c r="LG12" i="2"/>
  <c r="LG5" i="2"/>
  <c r="LE5" i="2"/>
  <c r="LD5" i="2"/>
  <c r="LD8" i="10"/>
  <c r="LE8" i="10"/>
  <c r="LD4" i="10"/>
  <c r="LE4" i="10"/>
  <c r="LE5" i="10"/>
  <c r="LD5" i="10"/>
  <c r="CA5" i="7"/>
  <c r="CU5" i="7"/>
  <c r="DO5" i="7"/>
  <c r="EI5" i="7"/>
  <c r="FC5" i="7"/>
  <c r="FW5" i="7"/>
  <c r="GQ5" i="7"/>
  <c r="HK5" i="7"/>
  <c r="IE5" i="7"/>
  <c r="IY5" i="7"/>
  <c r="JS5" i="7"/>
  <c r="KM5" i="7"/>
  <c r="CA8" i="7"/>
  <c r="CU8" i="7"/>
  <c r="DO8" i="7"/>
  <c r="EI8" i="7"/>
  <c r="FC8" i="7"/>
  <c r="FW8" i="7"/>
  <c r="GQ8" i="7"/>
  <c r="HK8" i="7"/>
  <c r="IE8" i="7"/>
  <c r="IY8" i="7"/>
  <c r="JS8" i="7"/>
  <c r="KM8" i="7"/>
  <c r="CU4" i="7"/>
  <c r="DO4" i="7"/>
  <c r="EI4" i="7"/>
  <c r="FC4" i="7"/>
  <c r="FW4" i="7"/>
  <c r="GQ4" i="7"/>
  <c r="HK4" i="7"/>
  <c r="IE4" i="7"/>
  <c r="IY4" i="7"/>
  <c r="JS4" i="7"/>
  <c r="KM4" i="7"/>
  <c r="CA8" i="8"/>
  <c r="CU8" i="8"/>
  <c r="DO8" i="8"/>
  <c r="EI8" i="8"/>
  <c r="FC8" i="8"/>
  <c r="FW8" i="8"/>
  <c r="GQ8" i="8"/>
  <c r="HK8" i="8"/>
  <c r="IE8" i="8"/>
  <c r="IY8" i="8"/>
  <c r="JS8" i="8"/>
  <c r="KM8" i="8"/>
  <c r="CA5" i="8"/>
  <c r="CU5" i="8"/>
  <c r="DO5" i="8"/>
  <c r="EI5" i="8"/>
  <c r="FC5" i="8"/>
  <c r="FW5" i="8"/>
  <c r="GQ5" i="8"/>
  <c r="HK5" i="8"/>
  <c r="IE5" i="8"/>
  <c r="IY5" i="8"/>
  <c r="JS5" i="8"/>
  <c r="KM5" i="8"/>
  <c r="CA7" i="8"/>
  <c r="CU7" i="8"/>
  <c r="DO7" i="8"/>
  <c r="EI7" i="8"/>
  <c r="FC7" i="8"/>
  <c r="FW7" i="8"/>
  <c r="GQ7" i="8"/>
  <c r="HK7" i="8"/>
  <c r="IE7" i="8"/>
  <c r="IY7" i="8"/>
  <c r="JS7" i="8"/>
  <c r="KM7" i="8"/>
  <c r="CA6" i="8"/>
  <c r="CU6" i="8"/>
  <c r="DO6" i="8"/>
  <c r="EI6" i="8"/>
  <c r="FC6" i="8"/>
  <c r="FW6" i="8"/>
  <c r="GQ6" i="8"/>
  <c r="HK6" i="8"/>
  <c r="IE6" i="8"/>
  <c r="IY6" i="8"/>
  <c r="JS6" i="8"/>
  <c r="KK7" i="8"/>
  <c r="JQ7" i="8"/>
  <c r="KK5" i="8"/>
  <c r="JQ5" i="8"/>
  <c r="KK8" i="8"/>
  <c r="KK6" i="8"/>
  <c r="JQ6" i="8"/>
  <c r="IW7" i="8"/>
  <c r="IC7" i="8"/>
  <c r="IW5" i="8"/>
  <c r="IC5" i="8"/>
  <c r="IW8" i="8"/>
  <c r="IC8" i="8"/>
  <c r="IW6" i="8"/>
  <c r="IC6" i="8"/>
  <c r="HI7" i="8"/>
  <c r="GO7" i="8"/>
  <c r="HI5" i="8"/>
  <c r="GO5" i="8"/>
  <c r="HI8" i="8"/>
  <c r="GO8" i="8"/>
  <c r="HI6" i="8"/>
  <c r="GO6" i="8"/>
  <c r="FU7" i="8"/>
  <c r="FA7" i="8"/>
  <c r="FU5" i="8"/>
  <c r="FA5" i="8"/>
  <c r="FU8" i="8"/>
  <c r="FA8" i="8"/>
  <c r="FU6" i="8"/>
  <c r="FA6" i="8"/>
  <c r="DM5" i="7"/>
  <c r="EG5" i="7"/>
  <c r="FA5" i="7"/>
  <c r="FU5" i="7"/>
  <c r="GO5" i="7"/>
  <c r="HI5" i="7"/>
  <c r="IC5" i="7"/>
  <c r="JQ5" i="7"/>
  <c r="KK5" i="7"/>
  <c r="DM8" i="7"/>
  <c r="EG8" i="7"/>
  <c r="FA8" i="7"/>
  <c r="FU8" i="7"/>
  <c r="GO8" i="7"/>
  <c r="HI8" i="7"/>
  <c r="IC8" i="7"/>
  <c r="IW8" i="7"/>
  <c r="JQ8" i="7"/>
  <c r="KK8" i="7"/>
  <c r="KK4" i="7"/>
  <c r="JQ4" i="7"/>
  <c r="IW4" i="7"/>
  <c r="IC4" i="7"/>
  <c r="HI4" i="7"/>
  <c r="GO4" i="7"/>
  <c r="FU4" i="7"/>
  <c r="FA4" i="7"/>
  <c r="CA4" i="7"/>
  <c r="DM8" i="8"/>
  <c r="EG8" i="8"/>
  <c r="DM5" i="8"/>
  <c r="EG5" i="8"/>
  <c r="DM7" i="8"/>
  <c r="EG7" i="8"/>
  <c r="EG6" i="8"/>
  <c r="DM6" i="8"/>
  <c r="EG4" i="7"/>
  <c r="DM4" i="7"/>
  <c r="BY6" i="8"/>
  <c r="CS7" i="8"/>
  <c r="CS5" i="8"/>
  <c r="CS8" i="8"/>
  <c r="CS6" i="8"/>
  <c r="CS8" i="7"/>
  <c r="CS5" i="7"/>
  <c r="CS4" i="7"/>
  <c r="BY7" i="8"/>
  <c r="BY5" i="8"/>
  <c r="BY8" i="8"/>
  <c r="BY8" i="7"/>
  <c r="BY5" i="7"/>
  <c r="BY4" i="7"/>
  <c r="G4" i="7" l="1"/>
  <c r="F4" i="7"/>
  <c r="F5" i="7"/>
  <c r="G5" i="7"/>
  <c r="F8" i="7"/>
  <c r="G8" i="7"/>
  <c r="G8" i="8"/>
  <c r="F8" i="8"/>
  <c r="F7" i="8"/>
  <c r="G7" i="8"/>
  <c r="G6" i="8"/>
  <c r="F6" i="8"/>
  <c r="G5" i="8"/>
  <c r="F5" i="8"/>
  <c r="P4" i="8"/>
  <c r="O4" i="8"/>
  <c r="BG4" i="7"/>
  <c r="BG5" i="7"/>
  <c r="BG8" i="7"/>
  <c r="O14" i="6"/>
  <c r="BG6" i="8"/>
  <c r="BG7" i="8"/>
  <c r="BG8" i="8"/>
  <c r="BG5" i="8"/>
  <c r="BH4" i="7"/>
  <c r="N4" i="7" s="1"/>
  <c r="O4" i="7" s="1"/>
  <c r="BN5" i="4"/>
  <c r="BP16" i="4"/>
  <c r="BN17" i="4"/>
  <c r="BP13" i="4"/>
  <c r="BN8" i="4"/>
  <c r="BP7" i="4"/>
  <c r="BM7" i="4"/>
  <c r="BN11" i="4"/>
  <c r="BH7" i="8"/>
  <c r="BH8" i="8"/>
  <c r="BH6" i="8"/>
  <c r="BH5" i="8"/>
  <c r="BH5" i="7"/>
  <c r="BH8" i="7"/>
  <c r="F5" i="10"/>
  <c r="G5" i="10"/>
  <c r="BN5" i="10"/>
  <c r="BM4" i="10"/>
  <c r="BM8" i="10"/>
  <c r="BP5" i="10"/>
  <c r="BP8" i="10"/>
  <c r="F4" i="10"/>
  <c r="G4" i="10"/>
  <c r="G8" i="10"/>
  <c r="F8" i="10"/>
  <c r="BM5" i="10"/>
  <c r="BN4" i="10"/>
  <c r="BN8" i="10"/>
  <c r="BP4" i="10"/>
  <c r="BN6" i="9"/>
  <c r="BN12" i="9"/>
  <c r="BP4" i="9"/>
  <c r="BM4" i="9"/>
  <c r="F12" i="9"/>
  <c r="G12" i="9"/>
  <c r="BM7" i="9"/>
  <c r="G4" i="9"/>
  <c r="F4" i="9"/>
  <c r="F7" i="9"/>
  <c r="G7" i="9"/>
  <c r="BM6" i="9"/>
  <c r="BP12" i="9"/>
  <c r="BM12" i="9"/>
  <c r="BN4" i="9"/>
  <c r="BP7" i="9"/>
  <c r="F6" i="9"/>
  <c r="G6" i="9"/>
  <c r="BN7" i="9"/>
  <c r="BP6" i="9"/>
  <c r="BM9" i="2"/>
  <c r="BN8" i="2"/>
  <c r="BP6" i="2"/>
  <c r="F4" i="2"/>
  <c r="G4" i="2"/>
  <c r="BN4" i="2"/>
  <c r="BP9" i="2"/>
  <c r="BM7" i="2"/>
  <c r="G5" i="2"/>
  <c r="F5" i="2"/>
  <c r="F9" i="2"/>
  <c r="G9" i="2"/>
  <c r="BN5" i="2"/>
  <c r="BP12" i="2"/>
  <c r="BM12" i="2"/>
  <c r="BN10" i="2"/>
  <c r="BP13" i="2"/>
  <c r="BM13" i="2"/>
  <c r="BN6" i="2"/>
  <c r="BP7" i="2"/>
  <c r="F8" i="2"/>
  <c r="G8" i="2"/>
  <c r="BN9" i="2"/>
  <c r="BP8" i="2"/>
  <c r="BM8" i="2"/>
  <c r="G7" i="2"/>
  <c r="F7" i="2"/>
  <c r="BM4" i="2"/>
  <c r="G10" i="2"/>
  <c r="F10" i="2"/>
  <c r="F6" i="2"/>
  <c r="G6" i="2"/>
  <c r="F13" i="2"/>
  <c r="G13" i="2"/>
  <c r="BM5" i="2"/>
  <c r="BP5" i="2"/>
  <c r="BN12" i="2"/>
  <c r="BP10" i="2"/>
  <c r="BM10" i="2"/>
  <c r="BN13" i="2"/>
  <c r="BP4" i="2"/>
  <c r="BN7" i="2"/>
  <c r="F12" i="2"/>
  <c r="G12" i="2"/>
  <c r="BM6" i="2"/>
  <c r="BM13" i="4"/>
  <c r="BM16" i="4"/>
  <c r="F13" i="4"/>
  <c r="G13" i="4"/>
  <c r="BP6" i="4"/>
  <c r="BM6" i="4"/>
  <c r="G17" i="4"/>
  <c r="F17" i="4"/>
  <c r="G6" i="4"/>
  <c r="F6" i="4"/>
  <c r="BM11" i="4"/>
  <c r="BN12" i="4"/>
  <c r="BM10" i="4"/>
  <c r="F8" i="4"/>
  <c r="G8" i="4"/>
  <c r="BN15" i="4"/>
  <c r="BP18" i="4"/>
  <c r="BM18" i="4"/>
  <c r="G5" i="4"/>
  <c r="F5" i="4"/>
  <c r="F11" i="4"/>
  <c r="G11" i="4"/>
  <c r="BM5" i="4"/>
  <c r="BN16" i="4"/>
  <c r="BP17" i="4"/>
  <c r="BM17" i="4"/>
  <c r="BN13" i="4"/>
  <c r="BP8" i="4"/>
  <c r="BM8" i="4"/>
  <c r="BN7" i="4"/>
  <c r="BP11" i="4"/>
  <c r="G15" i="4"/>
  <c r="F15" i="4"/>
  <c r="G10" i="4"/>
  <c r="F10" i="4"/>
  <c r="BM12" i="4"/>
  <c r="BN6" i="4"/>
  <c r="BP10" i="4"/>
  <c r="G16" i="4"/>
  <c r="F16" i="4"/>
  <c r="G7" i="4"/>
  <c r="F7" i="4"/>
  <c r="BP5" i="4"/>
  <c r="BP12" i="4"/>
  <c r="F18" i="4"/>
  <c r="G18" i="4"/>
  <c r="F12" i="4"/>
  <c r="G12" i="4"/>
  <c r="BP15" i="4"/>
  <c r="BM15" i="4"/>
  <c r="BN18" i="4"/>
  <c r="BN10" i="4"/>
  <c r="S11" i="2"/>
  <c r="E11" i="2"/>
  <c r="R9" i="4"/>
  <c r="T9" i="4" s="1"/>
  <c r="S14" i="4"/>
  <c r="E14" i="4"/>
  <c r="E4" i="8"/>
  <c r="CE8" i="6"/>
  <c r="I8" i="6" s="1"/>
  <c r="CE10" i="6"/>
  <c r="I10" i="6" s="1"/>
  <c r="LH4" i="2"/>
  <c r="LF8" i="4"/>
  <c r="LH8" i="4" s="1"/>
  <c r="LF7" i="2"/>
  <c r="LH7" i="2" s="1"/>
  <c r="CE13" i="6"/>
  <c r="I13" i="6" s="1"/>
  <c r="CE11" i="6"/>
  <c r="I11" i="6" s="1"/>
  <c r="E14" i="6"/>
  <c r="JT8" i="8"/>
  <c r="CE4" i="6"/>
  <c r="I4" i="6" s="1"/>
  <c r="JT8" i="7"/>
  <c r="CE6" i="6"/>
  <c r="I6" i="6" s="1"/>
  <c r="HL8" i="7"/>
  <c r="JT5" i="7"/>
  <c r="KN5" i="7"/>
  <c r="LF4" i="9"/>
  <c r="LH4" i="9" s="1"/>
  <c r="LF12" i="9"/>
  <c r="LH12" i="9" s="1"/>
  <c r="CV8" i="8"/>
  <c r="FD6" i="8"/>
  <c r="KN8" i="8"/>
  <c r="CE15" i="6"/>
  <c r="I15" i="6" s="1"/>
  <c r="CE5" i="6"/>
  <c r="I5" i="6" s="1"/>
  <c r="FX8" i="7"/>
  <c r="IF5" i="7"/>
  <c r="FD5" i="7"/>
  <c r="IZ7" i="8"/>
  <c r="IF5" i="8"/>
  <c r="DP8" i="8"/>
  <c r="FX4" i="7"/>
  <c r="IF4" i="7"/>
  <c r="EJ4" i="7"/>
  <c r="LF6" i="9"/>
  <c r="LH6" i="9" s="1"/>
  <c r="LF7" i="9"/>
  <c r="LH7" i="9" s="1"/>
  <c r="LF13" i="2"/>
  <c r="LH13" i="2" s="1"/>
  <c r="LF6" i="2"/>
  <c r="LH6" i="2" s="1"/>
  <c r="LF10" i="2"/>
  <c r="LH10" i="2" s="1"/>
  <c r="IZ6" i="8"/>
  <c r="CV6" i="8"/>
  <c r="KN7" i="8"/>
  <c r="EJ7" i="8"/>
  <c r="GR5" i="8"/>
  <c r="JT5" i="8"/>
  <c r="DP5" i="8"/>
  <c r="IF6" i="8"/>
  <c r="GR7" i="8"/>
  <c r="FD8" i="8"/>
  <c r="JT7" i="8"/>
  <c r="DP7" i="8"/>
  <c r="CV5" i="8"/>
  <c r="HL6" i="8"/>
  <c r="KN6" i="8"/>
  <c r="EJ6" i="8"/>
  <c r="FX7" i="8"/>
  <c r="CV7" i="8"/>
  <c r="FD5" i="8"/>
  <c r="HL8" i="8"/>
  <c r="GR6" i="8"/>
  <c r="DP6" i="8"/>
  <c r="HL7" i="8"/>
  <c r="GR4" i="7"/>
  <c r="IZ8" i="7"/>
  <c r="JT4" i="7"/>
  <c r="FD8" i="7"/>
  <c r="IF8" i="7"/>
  <c r="IZ4" i="7"/>
  <c r="EJ8" i="7"/>
  <c r="GR5" i="7"/>
  <c r="LF5" i="10"/>
  <c r="LH5" i="10" s="1"/>
  <c r="LF4" i="10"/>
  <c r="LH4" i="10" s="1"/>
  <c r="LF12" i="2"/>
  <c r="LH12" i="2" s="1"/>
  <c r="LF9" i="2"/>
  <c r="LH9" i="2" s="1"/>
  <c r="LF8" i="2"/>
  <c r="LH8" i="2" s="1"/>
  <c r="LF5" i="4"/>
  <c r="LH5" i="4" s="1"/>
  <c r="LF10" i="4"/>
  <c r="LH10" i="4" s="1"/>
  <c r="LF15" i="4"/>
  <c r="LH15" i="4" s="1"/>
  <c r="LF18" i="4"/>
  <c r="LH18" i="4" s="1"/>
  <c r="LF7" i="4"/>
  <c r="LH7" i="4" s="1"/>
  <c r="FX6" i="8"/>
  <c r="IZ8" i="8"/>
  <c r="FX8" i="8"/>
  <c r="IZ5" i="8"/>
  <c r="FX5" i="8"/>
  <c r="IF8" i="8"/>
  <c r="EJ8" i="8"/>
  <c r="JT6" i="8"/>
  <c r="IF7" i="8"/>
  <c r="FD7" i="8"/>
  <c r="HL5" i="8"/>
  <c r="KN5" i="8"/>
  <c r="EJ5" i="8"/>
  <c r="GR8" i="8"/>
  <c r="HL5" i="7"/>
  <c r="EJ5" i="7"/>
  <c r="KN8" i="7"/>
  <c r="FD4" i="7"/>
  <c r="HL4" i="7"/>
  <c r="GR8" i="7"/>
  <c r="FX5" i="7"/>
  <c r="IZ5" i="7"/>
  <c r="KN4" i="7"/>
  <c r="LF8" i="10"/>
  <c r="LH8" i="10" s="1"/>
  <c r="LF5" i="2"/>
  <c r="LH5" i="2" s="1"/>
  <c r="LF13" i="4"/>
  <c r="LH13" i="4" s="1"/>
  <c r="LF12" i="4"/>
  <c r="LH12" i="4" s="1"/>
  <c r="LF17" i="4"/>
  <c r="LH17" i="4" s="1"/>
  <c r="LF11" i="4"/>
  <c r="LH11" i="4" s="1"/>
  <c r="LF6" i="4"/>
  <c r="LH6" i="4" s="1"/>
  <c r="LF16" i="4"/>
  <c r="LH16" i="4" s="1"/>
  <c r="I8" i="8" l="1"/>
  <c r="I5" i="8"/>
  <c r="I6" i="8"/>
  <c r="I7" i="8"/>
  <c r="I8" i="7"/>
  <c r="A8" i="7"/>
  <c r="I5" i="7"/>
  <c r="I4" i="7"/>
  <c r="BI10" i="6"/>
  <c r="BI8" i="6"/>
  <c r="BI13" i="6"/>
  <c r="BI11" i="6"/>
  <c r="BI15" i="6"/>
  <c r="BI4" i="6"/>
  <c r="BI5" i="6"/>
  <c r="BI6" i="6"/>
  <c r="H4" i="10"/>
  <c r="I4" i="10" s="1"/>
  <c r="P4" i="7"/>
  <c r="CB8" i="7"/>
  <c r="CV8" i="7" s="1"/>
  <c r="DP8" i="7" s="1"/>
  <c r="CB5" i="7"/>
  <c r="CV5" i="7" s="1"/>
  <c r="DP5" i="7" s="1"/>
  <c r="CB4" i="7"/>
  <c r="CV4" i="7" s="1"/>
  <c r="DP4" i="7" s="1"/>
  <c r="CB6" i="8"/>
  <c r="CB7" i="8"/>
  <c r="CB5" i="8"/>
  <c r="CB8" i="8"/>
  <c r="N8" i="7"/>
  <c r="N5" i="7"/>
  <c r="H8" i="10"/>
  <c r="I8" i="10" s="1"/>
  <c r="BO8" i="10"/>
  <c r="BO4" i="10"/>
  <c r="H5" i="10"/>
  <c r="I5" i="10" s="1"/>
  <c r="BO5" i="10"/>
  <c r="H7" i="9"/>
  <c r="I7" i="9" s="1"/>
  <c r="BO7" i="9"/>
  <c r="H4" i="9"/>
  <c r="I4" i="9" s="1"/>
  <c r="BO4" i="9"/>
  <c r="H12" i="9"/>
  <c r="I12" i="9" s="1"/>
  <c r="BO12" i="9"/>
  <c r="H6" i="9"/>
  <c r="I6" i="9" s="1"/>
  <c r="BO6" i="9"/>
  <c r="H12" i="2"/>
  <c r="I12" i="2" s="1"/>
  <c r="BO12" i="2"/>
  <c r="H5" i="2"/>
  <c r="I5" i="2" s="1"/>
  <c r="BO5" i="2"/>
  <c r="BO6" i="2"/>
  <c r="H6" i="2"/>
  <c r="I6" i="2" s="1"/>
  <c r="H7" i="2"/>
  <c r="I7" i="2" s="1"/>
  <c r="BO7" i="2"/>
  <c r="H4" i="2"/>
  <c r="I4" i="2" s="1"/>
  <c r="BO4" i="2"/>
  <c r="H8" i="2"/>
  <c r="I8" i="2" s="1"/>
  <c r="BO8" i="2"/>
  <c r="H13" i="2"/>
  <c r="I13" i="2" s="1"/>
  <c r="BO13" i="2"/>
  <c r="H9" i="2"/>
  <c r="I9" i="2" s="1"/>
  <c r="BO9" i="2"/>
  <c r="H10" i="2"/>
  <c r="I10" i="2" s="1"/>
  <c r="BO10" i="2"/>
  <c r="H7" i="4"/>
  <c r="I7" i="4" s="1"/>
  <c r="BO7" i="4"/>
  <c r="H11" i="4"/>
  <c r="A11" i="4" s="1"/>
  <c r="BO11" i="4"/>
  <c r="H16" i="4"/>
  <c r="A16" i="4" s="1"/>
  <c r="BO16" i="4"/>
  <c r="H10" i="4"/>
  <c r="A10" i="4" s="1"/>
  <c r="BO10" i="4"/>
  <c r="H8" i="4"/>
  <c r="A8" i="4" s="1"/>
  <c r="BO8" i="4"/>
  <c r="H18" i="4"/>
  <c r="A18" i="4" s="1"/>
  <c r="BO18" i="4"/>
  <c r="H12" i="4"/>
  <c r="I12" i="4" s="1"/>
  <c r="BO12" i="4"/>
  <c r="H5" i="4"/>
  <c r="I5" i="4" s="1"/>
  <c r="BO5" i="4"/>
  <c r="H6" i="4"/>
  <c r="I6" i="4" s="1"/>
  <c r="BO6" i="4"/>
  <c r="H15" i="4"/>
  <c r="A15" i="4" s="1"/>
  <c r="BO15" i="4"/>
  <c r="H13" i="4"/>
  <c r="A13" i="4" s="1"/>
  <c r="BO13" i="4"/>
  <c r="H17" i="4"/>
  <c r="A17" i="4" s="1"/>
  <c r="BO17" i="4"/>
  <c r="S9" i="4"/>
  <c r="E9" i="4"/>
  <c r="A12" i="9" l="1"/>
  <c r="A7" i="9"/>
  <c r="A13" i="2"/>
  <c r="A12" i="2"/>
  <c r="P8" i="7"/>
  <c r="O8" i="7"/>
  <c r="P5" i="7"/>
  <c r="O5" i="7"/>
  <c r="I8" i="4"/>
  <c r="I11" i="4"/>
  <c r="I15" i="4"/>
  <c r="I10" i="4"/>
  <c r="I13" i="4"/>
  <c r="I17" i="4"/>
  <c r="I18" i="4"/>
  <c r="I16" i="4"/>
  <c r="E8" i="7"/>
  <c r="E5" i="7"/>
  <c r="N6" i="6"/>
  <c r="N4" i="6"/>
  <c r="P4" i="6" s="1"/>
  <c r="N11" i="6"/>
  <c r="P11" i="6" s="1"/>
  <c r="N5" i="6"/>
  <c r="P5" i="6" s="1"/>
  <c r="R13" i="2"/>
  <c r="T13" i="2" s="1"/>
  <c r="P6" i="6" l="1"/>
  <c r="E6" i="6"/>
  <c r="O5" i="6"/>
  <c r="O11" i="6"/>
  <c r="O4" i="6"/>
  <c r="O6" i="6"/>
  <c r="S13" i="2"/>
  <c r="E13" i="2"/>
  <c r="R9" i="2"/>
  <c r="T9" i="2" s="1"/>
  <c r="R7" i="2"/>
  <c r="T7" i="2" s="1"/>
  <c r="R8" i="2"/>
  <c r="T8" i="2" s="1"/>
  <c r="E5" i="6"/>
  <c r="N13" i="6"/>
  <c r="P13" i="6" s="1"/>
  <c r="N15" i="6"/>
  <c r="P15" i="6" s="1"/>
  <c r="N8" i="6"/>
  <c r="P8" i="6" s="1"/>
  <c r="N6" i="8"/>
  <c r="R6" i="9"/>
  <c r="T6" i="9" s="1"/>
  <c r="R4" i="2"/>
  <c r="T4" i="2" s="1"/>
  <c r="R12" i="4"/>
  <c r="T12" i="4" s="1"/>
  <c r="R7" i="4"/>
  <c r="T7" i="4" s="1"/>
  <c r="E4" i="6"/>
  <c r="R15" i="4"/>
  <c r="T15" i="4" s="1"/>
  <c r="N7" i="8"/>
  <c r="N10" i="6"/>
  <c r="P10" i="6" s="1"/>
  <c r="R8" i="10"/>
  <c r="T8" i="10" s="1"/>
  <c r="R6" i="2"/>
  <c r="T6" i="2" s="1"/>
  <c r="E11" i="6"/>
  <c r="R10" i="2"/>
  <c r="T10" i="2" s="1"/>
  <c r="R18" i="4"/>
  <c r="T18" i="4" s="1"/>
  <c r="R16" i="4"/>
  <c r="T16" i="4" s="1"/>
  <c r="R17" i="4"/>
  <c r="T17" i="4" s="1"/>
  <c r="P6" i="8" l="1"/>
  <c r="O6" i="8"/>
  <c r="P7" i="8"/>
  <c r="O7" i="8"/>
  <c r="O15" i="6"/>
  <c r="O13" i="6"/>
  <c r="O10" i="6"/>
  <c r="O8" i="6"/>
  <c r="E10" i="6"/>
  <c r="S6" i="2"/>
  <c r="E6" i="2"/>
  <c r="S8" i="2"/>
  <c r="E8" i="2"/>
  <c r="S7" i="2"/>
  <c r="E7" i="2"/>
  <c r="S10" i="2"/>
  <c r="E10" i="2"/>
  <c r="S9" i="2"/>
  <c r="E9" i="2"/>
  <c r="R12" i="2"/>
  <c r="T12" i="2" s="1"/>
  <c r="R5" i="2"/>
  <c r="T5" i="2" s="1"/>
  <c r="S7" i="4"/>
  <c r="E7" i="4"/>
  <c r="R6" i="4"/>
  <c r="T6" i="4" s="1"/>
  <c r="R10" i="4"/>
  <c r="T10" i="4" s="1"/>
  <c r="S12" i="4"/>
  <c r="E12" i="4"/>
  <c r="S17" i="4"/>
  <c r="E17" i="4"/>
  <c r="R8" i="4"/>
  <c r="T8" i="4" s="1"/>
  <c r="S15" i="4"/>
  <c r="E15" i="4"/>
  <c r="S18" i="4"/>
  <c r="E18" i="4"/>
  <c r="S16" i="4"/>
  <c r="E16" i="4"/>
  <c r="R13" i="4"/>
  <c r="T13" i="4" s="1"/>
  <c r="R11" i="4"/>
  <c r="T11" i="4" s="1"/>
  <c r="R7" i="9"/>
  <c r="R5" i="4"/>
  <c r="S8" i="10"/>
  <c r="R5" i="10"/>
  <c r="T5" i="10" s="1"/>
  <c r="R4" i="10"/>
  <c r="T4" i="10" s="1"/>
  <c r="S6" i="9"/>
  <c r="R12" i="9"/>
  <c r="T12" i="9" s="1"/>
  <c r="R4" i="9"/>
  <c r="T4" i="9" s="1"/>
  <c r="S4" i="2"/>
  <c r="E8" i="6"/>
  <c r="A8" i="6" s="1"/>
  <c r="E15" i="6"/>
  <c r="E13" i="6"/>
  <c r="N5" i="8"/>
  <c r="E6" i="8"/>
  <c r="E7" i="8"/>
  <c r="N8" i="8"/>
  <c r="E4" i="2"/>
  <c r="E6" i="9"/>
  <c r="A4" i="6" l="1"/>
  <c r="A6" i="6"/>
  <c r="A5" i="6"/>
  <c r="A7" i="6"/>
  <c r="A9" i="6"/>
  <c r="P8" i="8"/>
  <c r="O8" i="8"/>
  <c r="P5" i="8"/>
  <c r="O5" i="8"/>
  <c r="E4" i="7"/>
  <c r="S7" i="9"/>
  <c r="T7" i="9"/>
  <c r="S5" i="4"/>
  <c r="T5" i="4"/>
  <c r="S12" i="2"/>
  <c r="E12" i="2"/>
  <c r="A6" i="2" s="1"/>
  <c r="S5" i="2"/>
  <c r="E5" i="2"/>
  <c r="A5" i="2" s="1"/>
  <c r="S10" i="4"/>
  <c r="E10" i="4"/>
  <c r="A12" i="4" s="1"/>
  <c r="S11" i="4"/>
  <c r="E11" i="4"/>
  <c r="S6" i="4"/>
  <c r="E6" i="4"/>
  <c r="A6" i="4" s="1"/>
  <c r="S13" i="4"/>
  <c r="E13" i="4"/>
  <c r="S8" i="4"/>
  <c r="E8" i="4"/>
  <c r="E5" i="4"/>
  <c r="A7" i="4" s="1"/>
  <c r="S5" i="10"/>
  <c r="S4" i="10"/>
  <c r="E4" i="10"/>
  <c r="S4" i="9"/>
  <c r="S12" i="9"/>
  <c r="E4" i="9"/>
  <c r="E8" i="10"/>
  <c r="E5" i="8"/>
  <c r="A6" i="8" s="1"/>
  <c r="E8" i="8"/>
  <c r="A8" i="8" s="1"/>
  <c r="E5" i="10"/>
  <c r="E7" i="9"/>
  <c r="E12" i="9"/>
  <c r="A8" i="10" l="1"/>
  <c r="A5" i="8"/>
  <c r="A4" i="8"/>
  <c r="A7" i="8"/>
  <c r="A6" i="7"/>
  <c r="A4" i="7"/>
  <c r="A5" i="7"/>
  <c r="A6" i="10"/>
  <c r="A7" i="10"/>
  <c r="A4" i="10"/>
  <c r="A5" i="10"/>
  <c r="A5" i="9"/>
  <c r="A4" i="9"/>
  <c r="A6" i="9"/>
  <c r="A11" i="2"/>
  <c r="A8" i="2"/>
  <c r="A4" i="2"/>
  <c r="A10" i="2"/>
  <c r="A7" i="2"/>
  <c r="A9" i="2"/>
  <c r="A5" i="4"/>
  <c r="A4" i="4"/>
  <c r="D43" i="11"/>
  <c r="D45" i="11"/>
  <c r="D47" i="11"/>
  <c r="D48" i="11"/>
  <c r="D42" i="11"/>
  <c r="D44" i="11"/>
  <c r="D46" i="11"/>
  <c r="D49" i="11"/>
  <c r="C42" i="11"/>
  <c r="C45" i="11"/>
  <c r="C49" i="11"/>
  <c r="C46" i="11"/>
  <c r="C48" i="11"/>
  <c r="C44" i="11"/>
  <c r="C47" i="11"/>
  <c r="C43" i="11"/>
  <c r="D35" i="11" l="1"/>
  <c r="D36" i="11"/>
  <c r="D39" i="11"/>
  <c r="D37" i="11"/>
  <c r="D40" i="11"/>
  <c r="D41" i="11"/>
  <c r="D34" i="11"/>
  <c r="D38" i="11"/>
  <c r="D27" i="11"/>
  <c r="D30" i="11"/>
  <c r="D31" i="11"/>
  <c r="D28" i="11"/>
  <c r="D29" i="11"/>
  <c r="D26" i="11"/>
  <c r="D32" i="11"/>
  <c r="D33" i="11"/>
  <c r="D23" i="11"/>
  <c r="D24" i="11"/>
  <c r="D25" i="11"/>
  <c r="D22" i="11"/>
  <c r="D21" i="11"/>
  <c r="D19" i="11"/>
  <c r="D20" i="11"/>
  <c r="D18" i="11"/>
  <c r="D12" i="11"/>
  <c r="D13" i="11"/>
  <c r="D16" i="11"/>
  <c r="D10" i="11"/>
  <c r="D14" i="11"/>
  <c r="D15" i="11"/>
  <c r="D17" i="11"/>
  <c r="D11" i="11"/>
  <c r="D3" i="11"/>
  <c r="D9" i="11"/>
  <c r="D4" i="11"/>
  <c r="D8" i="11"/>
  <c r="D5" i="11"/>
  <c r="D7" i="11"/>
  <c r="D2" i="11"/>
  <c r="D6" i="11"/>
  <c r="C30" i="11"/>
  <c r="C27" i="11"/>
  <c r="C32" i="11"/>
  <c r="C29" i="11"/>
  <c r="C26" i="11"/>
  <c r="C28" i="11"/>
  <c r="C33" i="11"/>
  <c r="C31" i="11"/>
  <c r="C37" i="11"/>
  <c r="C35" i="11"/>
  <c r="C40" i="11"/>
  <c r="C36" i="11"/>
  <c r="C39" i="11"/>
  <c r="C34" i="11"/>
  <c r="C41" i="11"/>
  <c r="C38" i="11"/>
  <c r="C20" i="11"/>
  <c r="C21" i="11"/>
  <c r="C19" i="11"/>
  <c r="C18" i="11"/>
  <c r="C15" i="11"/>
  <c r="C16" i="11"/>
  <c r="C14" i="11"/>
  <c r="C12" i="11"/>
  <c r="C13" i="11"/>
  <c r="C10" i="11"/>
  <c r="C17" i="11"/>
  <c r="C11" i="11"/>
  <c r="C24" i="11"/>
  <c r="C25" i="11"/>
  <c r="C22" i="11"/>
  <c r="C23" i="11"/>
  <c r="C3" i="11"/>
  <c r="C4" i="11"/>
  <c r="C6" i="11"/>
  <c r="C5" i="11"/>
  <c r="C9" i="11"/>
  <c r="C8" i="11"/>
  <c r="C7" i="11"/>
  <c r="C2" i="11"/>
</calcChain>
</file>

<file path=xl/sharedStrings.xml><?xml version="1.0" encoding="utf-8"?>
<sst xmlns="http://schemas.openxmlformats.org/spreadsheetml/2006/main" count="3592" uniqueCount="214">
  <si>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</si>
  <si>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</si>
  <si>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</si>
  <si>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</si>
  <si>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</si>
  <si>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</si>
  <si>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</si>
  <si>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</si>
  <si>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</si>
  <si>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</si>
  <si>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</si>
  <si>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</si>
  <si>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</si>
  <si>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</si>
  <si>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</si>
  <si>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</si>
  <si>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</si>
  <si>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</si>
  <si>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</si>
  <si>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</si>
  <si>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</si>
  <si>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</si>
  <si>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</si>
  <si>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</si>
  <si>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</si>
  <si>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</si>
  <si>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</si>
  <si>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</si>
  <si>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</si>
  <si>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</si>
  <si>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</si>
  <si>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</si>
  <si>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</si>
  <si>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</si>
  <si>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</si>
  <si>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</si>
  <si>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</si>
  <si>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</si>
  <si>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</si>
  <si>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</si>
  <si>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</si>
  <si>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</si>
  <si>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</si>
  <si>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</si>
  <si>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</si>
  <si>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</si>
  <si>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</si>
  <si>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</si>
  <si>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</si>
  <si>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</si>
  <si>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</si>
  <si>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</si>
  <si>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</si>
  <si>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O'BRIEN, Tamara</t>
  </si>
  <si>
    <t>MILLER-BURKO, Jordyn</t>
  </si>
  <si>
    <t>PRCIC, Beatrice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</si>
  <si>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</si>
  <si>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</si>
  <si>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</si>
  <si>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</si>
  <si>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</si>
  <si>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</si>
  <si>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CHAVES, Michael</t>
  </si>
  <si>
    <t>RYANE, Casey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</si>
  <si>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</si>
  <si>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</si>
  <si>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</si>
  <si>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</si>
  <si>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</si>
  <si>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</si>
  <si>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</si>
  <si>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</si>
  <si>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</si>
  <si>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</si>
  <si>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</si>
  <si>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</si>
  <si>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</si>
  <si>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</si>
  <si>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</si>
  <si>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</si>
  <si>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</si>
  <si>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</si>
  <si>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</si>
  <si>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</si>
  <si>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</si>
  <si>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</si>
  <si>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</si>
  <si>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</si>
  <si>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</si>
  <si>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</si>
  <si>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</si>
  <si>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</si>
  <si>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</si>
  <si>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</si>
  <si>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</si>
  <si>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</si>
  <si>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</si>
  <si>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</si>
  <si>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</si>
  <si>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</si>
  <si>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</si>
  <si>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</si>
  <si>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</si>
  <si>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</si>
  <si>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</si>
  <si>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</si>
  <si>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</si>
  <si>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CRANHAM &amp; MARTIN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</si>
  <si>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</si>
  <si>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</si>
  <si>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</si>
  <si>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</si>
  <si>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</si>
  <si>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</si>
  <si>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</si>
  <si>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</si>
  <si>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</si>
  <si>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</si>
  <si>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ON/BC</t>
  </si>
  <si>
    <t>ROUX &amp; SOEHN</t>
  </si>
  <si>
    <t>REDILLAS, Damien</t>
  </si>
  <si>
    <t>HAIMES, Devon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</si>
  <si>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</si>
  <si>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</si>
  <si>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</si>
  <si>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</si>
  <si>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</si>
  <si>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</si>
  <si>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</si>
  <si>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</si>
  <si>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</si>
  <si>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</si>
  <si>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</si>
  <si>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</si>
  <si>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</si>
  <si>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</si>
  <si>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</si>
  <si>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</si>
  <si>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</si>
  <si>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1988/1998</t>
  </si>
  <si>
    <t>2000/2002</t>
  </si>
  <si>
    <t>1998/1999</t>
  </si>
  <si>
    <t>Select</t>
  </si>
  <si>
    <t>Delete oldest domestic trial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</si>
  <si>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</si>
  <si>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</si>
  <si>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</si>
  <si>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</si>
  <si>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</si>
  <si>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</si>
  <si>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</si>
  <si>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</si>
  <si>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1995/1992</t>
  </si>
  <si>
    <t>2018 World Cup JPN (Aug 5)</t>
  </si>
  <si>
    <t>2018 Junior Pan Am Championships (June 23)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</si>
  <si>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</si>
  <si>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</si>
  <si>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</si>
  <si>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</si>
  <si>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</si>
  <si>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</si>
  <si>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</si>
  <si>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</si>
  <si>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</si>
  <si>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</si>
  <si>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</si>
  <si>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</si>
  <si>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</si>
  <si>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</si>
  <si>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</si>
  <si>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</si>
  <si>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</si>
  <si>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</si>
  <si>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</si>
  <si>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2001/1992</t>
  </si>
  <si>
    <t>QC/AB</t>
  </si>
  <si>
    <t>CHARTIER &amp; SOEHN Ke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</si>
  <si>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</si>
  <si>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</si>
  <si>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</si>
  <si>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</si>
  <si>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</si>
  <si>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</si>
  <si>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</si>
  <si>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</si>
  <si>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</si>
  <si>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</si>
  <si>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</si>
  <si>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</si>
  <si>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</si>
  <si>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</si>
  <si>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</si>
  <si>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</si>
  <si>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</si>
  <si>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</si>
  <si>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</si>
  <si>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</si>
  <si>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</si>
  <si>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</si>
  <si>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</si>
  <si>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</si>
  <si>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</si>
  <si>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***DD and score contrived for 2019 rules</t>
  </si>
  <si>
    <t>2019 World Cup AZE (Feb 17)</t>
  </si>
  <si>
    <t>2019 World Cup AZE (Feb 16)</t>
  </si>
  <si>
    <t>Excellence DD</t>
  </si>
  <si>
    <t>4 Pass DD</t>
  </si>
  <si>
    <t>Potential Injury Score</t>
  </si>
  <si>
    <t>2019 World Cup BLR</t>
  </si>
  <si>
    <t>2019 World Cup BLR (Apr 20)</t>
  </si>
  <si>
    <t>2019 World Cup BLR (Apr 21)</t>
  </si>
  <si>
    <t>1992/1997</t>
  </si>
  <si>
    <t>BC/ON</t>
  </si>
  <si>
    <t>SMITH &amp; 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</si>
</sst>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6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965200</xdr:colOff>
          <xdr:row>63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0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79</v>
      </c>
      <c r="B1" t="s">
        <v>1</v>
      </c>
      <c r="C1" t="s">
        <v>81</v>
      </c>
      <c r="D1" t="s">
        <v>19</v>
      </c>
      <c r="E1" s="54"/>
      <c r="F1" s="54"/>
      <c r="J1" s="54"/>
      <c r="K1" s="54"/>
      <c r="L1" s="54"/>
    </row>
    <row r="2" spans="1:12" x14ac:dyDescent="0.2">
      <c r="A2" s="11" t="s">
        <v>80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IF(B2&gt;MAX('TRA-M'!A:A),"",INDEX('TRA-M'!I:I,MATCH(B2,'TRA-M'!A:A)))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IF(B3&gt;MAX('TRA-M'!A:A),"",INDEX('TRA-M'!B:B,MATCH(B3,'TRA-M'!A:A)))</f>
        <v>BURNETT, Jason</v>
      </c>
      <c r="D3" s="11" t="str">
        <f>IF(B3&gt;MAX('TRA-M'!A:A),"",INDEX('TRA-M'!I:I,MATCH(B3,'TRA-M'!A:A)))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IF(B4&gt;MAX('TRA-M'!A:A),"",INDEX('TRA-M'!B:B,MATCH(B4,'TRA-M'!A:A)))</f>
        <v>SOEHN, Keegan</v>
      </c>
      <c r="D4" s="11" t="str">
        <f>IF(B4&gt;MAX('TRA-M'!A:A),"",INDEX('TRA-M'!I:I,MATCH(B4,'TRA-M'!A:A)))</f>
        <v>Worlds Team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IF(B5&gt;MAX('TRA-M'!A:A),"",INDEX('TRA-M'!B:B,MATCH(B5,'TRA-M'!A:A)))</f>
        <v>CRANHAM, Jacob</v>
      </c>
      <c r="D5" s="11" t="str">
        <f>IF(B5&gt;MAX('TRA-M'!A:A),"",INDEX('TRA-M'!I:I,MATCH(B5,'TRA-M'!A:A)))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SOEHN, Kyle</v>
      </c>
      <c r="D6" s="11" t="str">
        <f>IF(B6&gt;MAX('TRA-M'!A:A),"",INDEX('TRA-M'!I:I,MATCH(B6,'TRA-M'!A:A)))</f>
        <v>No DD</v>
      </c>
    </row>
    <row r="7" spans="1:12" hidden="1" x14ac:dyDescent="0.2">
      <c r="A7" s="11"/>
      <c r="B7" s="11">
        <v>6</v>
      </c>
      <c r="C7" s="11" t="str">
        <f>IF(B7&gt;MAX('TRA-M'!A:A),"",INDEX('TRA-M'!B:B,MATCH(B7,'TRA-M'!A:A)))</f>
        <v/>
      </c>
      <c r="D7" s="11" t="str">
        <f>IF(B7&gt;MAX('TRA-M'!A:A),"",INDEX('TRA-M'!I:I,MATCH(B7,'TRA-M'!A:A)))</f>
        <v/>
      </c>
      <c r="G7" s="55"/>
    </row>
    <row r="8" spans="1:12" hidden="1" x14ac:dyDescent="0.2">
      <c r="A8" s="11"/>
      <c r="B8" s="11">
        <v>7</v>
      </c>
      <c r="C8" s="11" t="str">
        <f>IF(B8&gt;MAX('TRA-M'!A:A),"",INDEX('TRA-M'!B:B,MATCH(B8,'TRA-M'!A:A)))</f>
        <v/>
      </c>
      <c r="D8" s="11" t="str">
        <f>IF(B8&gt;MAX('TRA-M'!A:A),"",INDEX('TRA-M'!I:I,MATCH(B8,'TRA-M'!A:A)))</f>
        <v/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IF(B9&gt;MAX('TRA-M'!A:A),"",INDEX('TRA-M'!B:B,MATCH(B9,'TRA-M'!A:A)))</f>
        <v/>
      </c>
      <c r="D9" s="11" t="str">
        <f>IF(B9&gt;MAX('TRA-M'!A:A),"",INDEX('TRA-M'!I:I,MATCH(B9,'TRA-M'!A:A)))</f>
        <v/>
      </c>
    </row>
    <row r="10" spans="1:12" x14ac:dyDescent="0.2">
      <c r="A10" s="14" t="s">
        <v>83</v>
      </c>
      <c r="B10" s="14">
        <v>1</v>
      </c>
      <c r="C10" s="14" t="str">
        <f>IF(B2&gt;MAX('TRA-W'!A:A),"",INDEX('TRA-W'!B:B,MATCH(B2,'TRA-W'!A:A)))</f>
        <v>MacLENNAN, Rosannagh</v>
      </c>
      <c r="D10" s="14" t="str">
        <f>IF(B2&gt;MAX('TRA-W'!A:A),"",INDEX('TRA-W'!I:I,MATCH(B2,'TRA-W'!A:A)))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IF(B3&gt;MAX('TRA-W'!A:A),"",INDEX('TRA-W'!B:B,MATCH(B3,'TRA-W'!A:A)))</f>
        <v>MÉTHOT, Sophiane</v>
      </c>
      <c r="D11" s="14" t="str">
        <f>IF(B3&gt;MAX('TRA-W'!A:A),"",INDEX('TRA-W'!I:I,MATCH(B3,'TRA-W'!A:A)))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IF(B4&gt;MAX('TRA-W'!A:A),"",INDEX('TRA-W'!B:B,MATCH(B4,'TRA-W'!A:A)))</f>
        <v>SMITH, Samantha</v>
      </c>
      <c r="D12" s="14" t="str">
        <f>IF(B4&gt;MAX('TRA-W'!A:A),"",INDEX('TRA-W'!I:I,MATCH(B4,'TRA-W'!A:A)))</f>
        <v>Excellence</v>
      </c>
    </row>
    <row r="13" spans="1:12" x14ac:dyDescent="0.2">
      <c r="A13" s="14"/>
      <c r="B13" s="14">
        <v>4</v>
      </c>
      <c r="C13" s="14" t="str">
        <f>IF(B5&gt;MAX('TRA-W'!A:A),"",INDEX('TRA-W'!B:B,MATCH(B5,'TRA-W'!A:A)))</f>
        <v>MILETTE, Sarah</v>
      </c>
      <c r="D13" s="14" t="str">
        <f>IF(B5&gt;MAX('TRA-W'!A:A),"",INDEX('TRA-W'!I:I,MATCH(B5,'TRA-W'!A:A)))</f>
        <v>Merit</v>
      </c>
    </row>
    <row r="14" spans="1:12" x14ac:dyDescent="0.2">
      <c r="A14" s="14"/>
      <c r="B14" s="14">
        <v>5</v>
      </c>
      <c r="C14" s="14" t="str">
        <f>IF(B6&gt;MAX('TRA-W'!A:A),"",INDEX('TRA-W'!B:B,MATCH(B6,'TRA-W'!A:A)))</f>
        <v>DUNDAS, Bronte</v>
      </c>
      <c r="D14" s="14" t="str">
        <f>IF(B6&gt;MAX('TRA-W'!A:A),"",INDEX('TRA-W'!I:I,MATCH(B6,'TRA-W'!A:A)))</f>
        <v>Worlds Team</v>
      </c>
    </row>
    <row r="15" spans="1:12" x14ac:dyDescent="0.2">
      <c r="A15" s="14"/>
      <c r="B15" s="14">
        <v>6</v>
      </c>
      <c r="C15" s="14" t="str">
        <f>IF(B7&gt;MAX('TRA-W'!A:A),"",INDEX('TRA-W'!B:B,MATCH(B7,'TRA-W'!A:A)))</f>
        <v>TAM, Rachel</v>
      </c>
      <c r="D15" s="14" t="str">
        <f>IF(B7&gt;MAX('TRA-W'!A:A),"",INDEX('TRA-W'!I:I,MATCH(B7,'TRA-W'!A:A)))</f>
        <v>Excellence</v>
      </c>
    </row>
    <row r="16" spans="1:12" x14ac:dyDescent="0.2">
      <c r="A16" s="14"/>
      <c r="B16" s="14">
        <v>7</v>
      </c>
      <c r="C16" s="14" t="str">
        <f>IF(B8&gt;MAX('TRA-W'!A:A),"",INDEX('TRA-W'!B:B,MATCH(B8,'TRA-W'!A:A)))</f>
        <v>SOEHN, Kalena</v>
      </c>
      <c r="D16" s="14" t="str">
        <f>IF(B8&gt;MAX('TRA-W'!A:A),"",INDEX('TRA-W'!I:I,MATCH(B8,'TRA-W'!A:A)))</f>
        <v>No DD</v>
      </c>
      <c r="J16" s="54"/>
    </row>
    <row r="17" spans="1:10" x14ac:dyDescent="0.2">
      <c r="A17" s="14"/>
      <c r="B17" s="14">
        <v>8</v>
      </c>
      <c r="C17" s="14" t="str">
        <f>IF(B9&gt;MAX('TRA-W'!A:A),"",INDEX('TRA-W'!B:B,MATCH(B9,'TRA-W'!A:A)))</f>
        <v>CIRONE, Domenica</v>
      </c>
      <c r="D17" s="14" t="str">
        <f>IF(B9&gt;MAX('TRA-W'!A:A),"",INDEX('TRA-W'!I:I,MATCH(B9,'TRA-W'!A:A)))</f>
        <v>No DD</v>
      </c>
      <c r="J17" s="54"/>
    </row>
    <row r="18" spans="1:10" x14ac:dyDescent="0.2">
      <c r="A18" s="11" t="s">
        <v>84</v>
      </c>
      <c r="B18" s="11">
        <v>1</v>
      </c>
      <c r="C18" s="11" t="str">
        <f>IF(B2&gt;MAX('SYN-M'!A:A),"",INDEX('SYN-M'!B:B,MATCH(B2,'SYN-M'!A:A)))</f>
        <v>BURNETT &amp; CRANHAM</v>
      </c>
      <c r="D18" s="11" t="str">
        <f>IF(B2&gt;MAX('SYN-M'!A:A),"",INDEX('SYN-M'!I:I,MATCH(B2,'SYN-M'!A:A)))</f>
        <v>Excellence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IF(B3&gt;MAX('SYN-M'!A:A),"",INDEX('SYN-M'!B:B,MATCH(B3,'SYN-M'!A:A)))</f>
        <v>SOEHN Ke &amp; STIRLING</v>
      </c>
      <c r="D19" s="11" t="str">
        <f>IF(B3&gt;MAX('SYN-M'!A:A),"",INDEX('SYN-M'!I:I,MATCH(B3,'SYN-M'!A:A)))</f>
        <v>Excellence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IF(B4&gt;MAX('SYN-M'!A:A),"",INDEX('SYN-M'!B:B,MATCH(B4,'SYN-M'!A:A)))</f>
        <v>SOEHN &amp; SOEHN</v>
      </c>
      <c r="D20" s="11" t="str">
        <f>IF(B4&gt;MAX('SYN-M'!A:A),"",INDEX('SYN-M'!I:I,MATCH(B4,'SYN-M'!A:A)))</f>
        <v>No DD</v>
      </c>
    </row>
    <row r="21" spans="1:10" hidden="1" x14ac:dyDescent="0.2">
      <c r="A21" s="11"/>
      <c r="B21" s="11">
        <v>4</v>
      </c>
      <c r="C21" s="11" t="str">
        <f>IF(B5&gt;MAX('SYN-M'!A:A),"",INDEX('SYN-M'!B:B,MATCH(B5,'SYN-M'!A:A)))</f>
        <v/>
      </c>
      <c r="D21" s="11" t="str">
        <f>IF(B5&gt;MAX('SYN-M'!A:A),"",INDEX('SYN-M'!I:I,MATCH(B5,'SYN-M'!A:A)))</f>
        <v/>
      </c>
    </row>
    <row r="22" spans="1:10" x14ac:dyDescent="0.2">
      <c r="A22" s="14" t="s">
        <v>85</v>
      </c>
      <c r="B22" s="14">
        <v>1</v>
      </c>
      <c r="C22" s="14" t="str">
        <f>IF(B2&gt;MAX('SYN-W'!A:A),"",INDEX('SYN-W'!B:B,MATCH(B2,'SYN-W'!A:A)))</f>
        <v>MACLENNAN &amp; TAM</v>
      </c>
      <c r="D22" s="14" t="str">
        <f>IF(B2&gt;MAX('SYN-W'!A:A),"",INDEX('SYN-W'!I:I,MATCH(B2,'SYN-W'!A:A)))</f>
        <v>Merit</v>
      </c>
    </row>
    <row r="23" spans="1:10" x14ac:dyDescent="0.2">
      <c r="A23" s="14"/>
      <c r="B23" s="14">
        <v>2</v>
      </c>
      <c r="C23" s="14" t="str">
        <f>IF(B3&gt;MAX('SYN-W'!A:A),"",INDEX('SYN-W'!B:B,MATCH(B3,'SYN-W'!A:A)))</f>
        <v>MÉTHOT &amp; MILETTE</v>
      </c>
      <c r="D23" s="14" t="str">
        <f>IF(B3&gt;MAX('SYN-W'!A:A),"",INDEX('SYN-W'!I:I,MATCH(B3,'SYN-W'!A:A)))</f>
        <v>National Team</v>
      </c>
    </row>
    <row r="24" spans="1:10" x14ac:dyDescent="0.2">
      <c r="A24" s="14"/>
      <c r="B24" s="14">
        <v>3</v>
      </c>
      <c r="C24" s="14" t="str">
        <f>IF(B4&gt;MAX('SYN-W'!A:A),"",INDEX('SYN-W'!B:B,MATCH(B4,'SYN-W'!A:A)))</f>
        <v>MACLENNAN &amp; MILETTE</v>
      </c>
      <c r="D24" s="14" t="str">
        <f>IF(B4&gt;MAX('SYN-W'!A:A),"",INDEX('SYN-W'!I:I,MATCH(B4,'SYN-W'!A:A)))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IF(B5&gt;MAX('SYN-W'!A:A),"",INDEX('SYN-W'!B:B,MATCH(B5,'SYN-W'!A:A)))</f>
        <v>SMITH &amp; TAM</v>
      </c>
      <c r="D25" s="14" t="str">
        <f>IF(B5&gt;MAX('SYN-W'!A:A),"",INDEX('SYN-W'!I:I,MATCH(B5,'SYN-W'!A:A)))</f>
        <v>National Team</v>
      </c>
    </row>
    <row r="26" spans="1:10" x14ac:dyDescent="0.2">
      <c r="A26" s="11" t="s">
        <v>86</v>
      </c>
      <c r="B26" s="11">
        <v>1</v>
      </c>
      <c r="C26" s="11" t="str">
        <f>IF(B2&gt;MAX('TUM-M'!A:A),"",INDEX('TUM-M'!B:B,MATCH(B2,'TUM-M'!A:A)))</f>
        <v>SCHWAIGER, Jonathon</v>
      </c>
      <c r="D26" s="11" t="str">
        <f>IF(B2&gt;MAX('TUM-M'!A:A),"",INDEX('TUM-M'!I:I,MATCH(B2,'TUM-M'!A:A)))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IF(B3&gt;MAX('TUM-M'!A:A),"",INDEX('TUM-M'!B:B,MATCH(B3,'TUM-M'!A:A)))</f>
        <v>CHAVES, Michael</v>
      </c>
      <c r="D27" s="11" t="str">
        <f>IF(B3&gt;MAX('TUM-M'!A:A),"",INDEX('TUM-M'!I:I,MATCH(B3,'TUM-M'!A:A)))</f>
        <v>Merit</v>
      </c>
    </row>
    <row r="28" spans="1:10" x14ac:dyDescent="0.2">
      <c r="A28" s="11"/>
      <c r="B28" s="11">
        <v>3</v>
      </c>
      <c r="C28" s="11" t="str">
        <f>IF(B4&gt;MAX('TUM-M'!A:A),"",INDEX('TUM-M'!B:B,MATCH(B4,'TUM-M'!A:A)))</f>
        <v>SUNDQUIST, Callum</v>
      </c>
      <c r="D28" s="11" t="str">
        <f>IF(B4&gt;MAX('TUM-M'!A:A),"",INDEX('TUM-M'!I:I,MATCH(B4,'TUM-M'!A:A)))</f>
        <v>Worlds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IF(B5&gt;MAX('TUM-M'!A:A),"",INDEX('TUM-M'!B:B,MATCH(B5,'TUM-M'!A:A)))</f>
        <v/>
      </c>
      <c r="D29" s="11" t="str">
        <f>IF(B5&gt;MAX('TUM-M'!A:A),"",INDEX('TUM-M'!I:I,MATCH(B5,'TUM-M'!A:A)))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IF(B6&gt;MAX('TUM-M'!A:A),"",INDEX('TUM-M'!B:B,MATCH(B6,'TUM-M'!A:A)))</f>
        <v/>
      </c>
      <c r="D30" s="11" t="str">
        <f>IF(B6&gt;MAX('TUM-M'!A:A),"",INDEX('TUM-M'!I:I,MATCH(B6,'TUM-M'!A:A)))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IF(B7&gt;MAX('TUM-M'!A:A),"",INDEX('TUM-M'!B:B,MATCH(B7,'TUM-M'!A:A)))</f>
        <v/>
      </c>
      <c r="D31" s="11" t="str">
        <f>IF(B7&gt;MAX('TUM-M'!A:A),"",INDEX('TUM-M'!I:I,MATCH(B7,'TUM-M'!A:A)))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IF(B8&gt;MAX('TUM-M'!A:A),"",INDEX('TUM-M'!B:B,MATCH(B8,'TUM-M'!A:A)))</f>
        <v/>
      </c>
      <c r="D32" s="11" t="str">
        <f>IF(B8&gt;MAX('TUM-M'!A:A),"",INDEX('TUM-M'!I:I,MATCH(B8,'TUM-M'!A:A)))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IF(B9&gt;MAX('TUM-M'!A:A),"",INDEX('TUM-M'!B:B,MATCH(B9,'TUM-M'!A:A)))</f>
        <v/>
      </c>
      <c r="D33" s="11" t="str">
        <f>IF(B9&gt;MAX('TUM-M'!A:A),"",INDEX('TUM-M'!I:I,MATCH(B9,'TUM-M'!A:A)))</f>
        <v/>
      </c>
    </row>
    <row r="34" spans="1:4" x14ac:dyDescent="0.2">
      <c r="A34" s="14" t="s">
        <v>87</v>
      </c>
      <c r="B34" s="14">
        <v>1</v>
      </c>
      <c r="C34" s="14" t="str">
        <f>IF(B2&gt;MAX('TUM-W'!A:A),"",INDEX('TUM-W'!B:B,MATCH(B2,'TUM-W'!A:A)))</f>
        <v>HIPEL, Zoe</v>
      </c>
      <c r="D34" s="14" t="str">
        <f>IF(B2&gt;MAX('TUM-W'!A:A),"",INDEX('TUM-W'!I:I,MATCH(B2,'TUM-W'!A:A)))</f>
        <v>Excellence</v>
      </c>
    </row>
    <row r="35" spans="1:4" x14ac:dyDescent="0.2">
      <c r="A35" s="14"/>
      <c r="B35" s="14">
        <v>2</v>
      </c>
      <c r="C35" s="14" t="str">
        <f>IF(B3&gt;MAX('TUM-W'!A:A),"",INDEX('TUM-W'!B:B,MATCH(B3,'TUM-W'!A:A)))</f>
        <v>McNUTT, Catherine</v>
      </c>
      <c r="D35" s="14" t="str">
        <f>IF(B3&gt;MAX('TUM-W'!A:A),"",INDEX('TUM-W'!I:I,MATCH(B3,'TUM-W'!A:A)))</f>
        <v>Worlds Team</v>
      </c>
    </row>
    <row r="36" spans="1:4" x14ac:dyDescent="0.2">
      <c r="A36" s="14"/>
      <c r="B36" s="14">
        <v>3</v>
      </c>
      <c r="C36" s="14" t="str">
        <f>IF(B4&gt;MAX('TUM-W'!A:A),"",INDEX('TUM-W'!B:B,MATCH(B4,'TUM-W'!A:A)))</f>
        <v>SUGRIM, Jordan</v>
      </c>
      <c r="D36" s="14" t="str">
        <f>IF(B4&gt;MAX('TUM-W'!A:A),"",INDEX('TUM-W'!I:I,MATCH(B4,'TUM-W'!A:A)))</f>
        <v>No DD</v>
      </c>
    </row>
    <row r="37" spans="1:4" x14ac:dyDescent="0.2">
      <c r="A37" s="14"/>
      <c r="B37" s="14">
        <v>4</v>
      </c>
      <c r="C37" s="14" t="str">
        <f>IF(B5&gt;MAX('TUM-W'!A:A),"",INDEX('TUM-W'!B:B,MATCH(B5,'TUM-W'!A:A)))</f>
        <v>HAIMES, Devon</v>
      </c>
      <c r="D37" s="14" t="str">
        <f>IF(B5&gt;MAX('TUM-W'!A:A),"",INDEX('TUM-W'!I:I,MATCH(B5,'TUM-W'!A:A)))</f>
        <v>No DD</v>
      </c>
    </row>
    <row r="38" spans="1:4" x14ac:dyDescent="0.2">
      <c r="A38" s="14"/>
      <c r="B38" s="14">
        <v>5</v>
      </c>
      <c r="C38" s="14" t="str">
        <f>IF(B6&gt;MAX('TUM-W'!A:A),"",INDEX('TUM-W'!B:B,MATCH(B6,'TUM-W'!A:A)))</f>
        <v>ABOURAJA, Nora</v>
      </c>
      <c r="D38" s="14" t="str">
        <f>IF(B6&gt;MAX('TUM-W'!A:A),"",INDEX('TUM-W'!I:I,MATCH(B6,'TUM-W'!A:A)))</f>
        <v>No DD</v>
      </c>
    </row>
    <row r="39" spans="1:4" hidden="1" x14ac:dyDescent="0.2">
      <c r="A39" s="14"/>
      <c r="B39" s="14">
        <v>6</v>
      </c>
      <c r="C39" s="14" t="str">
        <f>IF(B7&gt;MAX('TUM-W'!A:A),"",INDEX('TUM-W'!B:B,MATCH(B7,'TUM-W'!A:A)))</f>
        <v/>
      </c>
      <c r="D39" s="14" t="str">
        <f>IF(B7&gt;MAX('TUM-W'!A:A),"",INDEX('TUM-W'!I:I,MATCH(B7,'TUM-W'!A:A)))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IF(B8&gt;MAX('TUM-W'!A:A),"",INDEX('TUM-W'!B:B,MATCH(B8,'TUM-W'!A:A)))</f>
        <v/>
      </c>
      <c r="D40" s="14" t="str">
        <f>IF(B8&gt;MAX('TUM-W'!A:A),"",INDEX('TUM-W'!I:I,MATCH(B8,'TUM-W'!A:A)))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IF(B9&gt;MAX('TUM-W'!A:A),"",INDEX('TUM-W'!B:B,MATCH(B9,'TUM-W'!A:A)))</f>
        <v/>
      </c>
      <c r="D41" s="14" t="str">
        <f>IF(B9&gt;MAX('TUM-W'!A:A),"",INDEX('TUM-W'!I:I,MATCH(B9,'TUM-W'!A:A)))</f>
        <v/>
      </c>
    </row>
    <row r="42" spans="1:4" x14ac:dyDescent="0.2">
      <c r="A42" s="11" t="s">
        <v>88</v>
      </c>
      <c r="B42" s="11">
        <v>1</v>
      </c>
      <c r="C42" s="11" t="str">
        <f>IF(B2&gt;MAX('DMT-M'!A:A),"",INDEX('DMT-M'!B:B,MATCH(B2,'DMT-M'!A:A)))</f>
        <v>SCHWAIGER, Jonathon</v>
      </c>
      <c r="D42" s="11" t="str">
        <f>IF(B2&gt;MAX('DMT-M'!A:A),"",INDEX('DMT-M'!I:I,MATCH(B2,'DMT-M'!A:A)))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IF(B3&gt;MAX('DMT-M'!A:A),"",INDEX('DMT-M'!B:B,MATCH(B3,'DMT-M'!A:A)))</f>
        <v>SUNDQUIST, Callum</v>
      </c>
      <c r="D43" s="11" t="str">
        <f>IF(B3&gt;MAX('DMT-M'!A:A),"",INDEX('DMT-M'!I:I,MATCH(B3,'DMT-M'!A:A)))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IF(B4&gt;MAX('DMT-M'!A:A),"",INDEX('DMT-M'!B:B,MATCH(B4,'DMT-M'!A:A)))</f>
        <v>BRUNO, Mario</v>
      </c>
      <c r="D44" s="11" t="str">
        <f>IF(B4&gt;MAX('DMT-M'!A:A),"",INDEX('DMT-M'!I:I,MATCH(B4,'DMT-M'!A:A)))</f>
        <v>Worlds Team</v>
      </c>
    </row>
    <row r="45" spans="1:4" x14ac:dyDescent="0.2">
      <c r="A45" s="11"/>
      <c r="B45" s="11">
        <v>4</v>
      </c>
      <c r="C45" s="11" t="str">
        <f>IF(B5&gt;MAX('DMT-M'!A:A),"",INDEX('DMT-M'!B:B,MATCH(B5,'DMT-M'!A:A)))</f>
        <v>MOULD, Blake</v>
      </c>
      <c r="D45" s="11" t="str">
        <f>IF(B5&gt;MAX('DMT-M'!A:A),"",INDEX('DMT-M'!I:I,MATCH(B5,'DMT-M'!A:A)))</f>
        <v>Worlds Team</v>
      </c>
    </row>
    <row r="46" spans="1:4" x14ac:dyDescent="0.2">
      <c r="A46" s="11"/>
      <c r="B46" s="11">
        <v>5</v>
      </c>
      <c r="C46" s="11" t="str">
        <f>IF(B6&gt;MAX('DMT-M'!A:A),"",INDEX('DMT-M'!B:B,MATCH(B6,'DMT-M'!A:A)))</f>
        <v>SHEEHAN, Ryan</v>
      </c>
      <c r="D46" s="11" t="str">
        <f>IF(B6&gt;MAX('DMT-M'!A:A),"",INDEX('DMT-M'!I:I,MATCH(B6,'DMT-M'!A:A)))</f>
        <v>Worlds Team</v>
      </c>
    </row>
    <row r="47" spans="1:4" x14ac:dyDescent="0.2">
      <c r="A47" s="11"/>
      <c r="B47" s="11">
        <v>6</v>
      </c>
      <c r="C47" s="11" t="str">
        <f>IF(B7&gt;MAX('DMT-M'!A:A),"",INDEX('DMT-M'!B:B,MATCH(B7,'DMT-M'!A:A)))</f>
        <v>CHAMPAGNE, Tyler</v>
      </c>
      <c r="D47" s="11" t="str">
        <f>IF(B7&gt;MAX('DMT-M'!A:A),"",INDEX('DMT-M'!I:I,MATCH(B7,'DMT-M'!A:A)))</f>
        <v>No DD</v>
      </c>
    </row>
    <row r="48" spans="1:4" hidden="1" x14ac:dyDescent="0.2">
      <c r="A48" s="11"/>
      <c r="B48" s="11">
        <v>7</v>
      </c>
      <c r="C48" s="11" t="str">
        <f>IF(B8&gt;MAX('DMT-M'!A:A),"",INDEX('DMT-M'!B:B,MATCH(B8,'DMT-M'!A:A)))</f>
        <v/>
      </c>
      <c r="D48" s="11" t="str">
        <f>IF(B8&gt;MAX('DMT-M'!A:A),"",INDEX('DMT-M'!I:I,MATCH(B8,'DMT-M'!A:A)))</f>
        <v/>
      </c>
    </row>
    <row r="49" spans="1:4" hidden="1" x14ac:dyDescent="0.2">
      <c r="A49" s="11"/>
      <c r="B49" s="11">
        <v>8</v>
      </c>
      <c r="C49" s="11" t="str">
        <f>IF(B9&gt;MAX('DMT-M'!A:A),"",INDEX('DMT-M'!B:B,MATCH(B9,'DMT-M'!A:A)))</f>
        <v/>
      </c>
      <c r="D49" s="11" t="str">
        <f>IF(B9&gt;MAX('DMT-M'!A:A),"",INDEX('DMT-M'!I:I,MATCH(B9,'DMT-M'!A:A)))</f>
        <v/>
      </c>
    </row>
    <row r="50" spans="1:4" x14ac:dyDescent="0.2">
      <c r="A50" s="14" t="s">
        <v>89</v>
      </c>
      <c r="B50" s="14">
        <v>1</v>
      </c>
      <c r="C50" s="14" t="str">
        <f>IF(B2&gt;MAX('DMT-W'!A:A),"",INDEX('DMT-W'!B:B,MATCH(B2,'DMT-W'!A:A)))</f>
        <v>SOEHN, Kalena</v>
      </c>
      <c r="D50" s="14" t="str">
        <f>IF(B2&gt;MAX('DMT-W'!A:A),"",INDEX('DMT-W'!I:I,MATCH(B2,'DMT-W'!A:A)))</f>
        <v>Merit</v>
      </c>
    </row>
    <row r="51" spans="1:4" x14ac:dyDescent="0.2">
      <c r="A51" s="14"/>
      <c r="B51" s="14">
        <v>2</v>
      </c>
      <c r="C51" s="14" t="str">
        <f>IF(B3&gt;MAX('DMT-W'!A:A),"",INDEX('DMT-W'!B:B,MATCH(B3,'DMT-W'!A:A)))</f>
        <v>MILLER-BURKO, Jordyn</v>
      </c>
      <c r="D51" s="14" t="str">
        <f>IF(B3&gt;MAX('DMT-W'!A:A),"",INDEX('DMT-W'!I:I,MATCH(B3,'DMT-W'!A:A)))</f>
        <v>Merit</v>
      </c>
    </row>
    <row r="52" spans="1:4" x14ac:dyDescent="0.2">
      <c r="A52" s="14"/>
      <c r="B52" s="14">
        <v>3</v>
      </c>
      <c r="C52" s="14" t="str">
        <f>IF(B4&gt;MAX('DMT-W'!A:A),"",INDEX('DMT-W'!B:B,MATCH(B4,'DMT-W'!A:A)))</f>
        <v>FOREST, Alexandra</v>
      </c>
      <c r="D52" s="14" t="str">
        <f>IF(B4&gt;MAX('DMT-W'!A:A),"",INDEX('DMT-W'!I:I,MATCH(B4,'DMT-W'!A:A)))</f>
        <v>Excellence</v>
      </c>
    </row>
    <row r="53" spans="1:4" x14ac:dyDescent="0.2">
      <c r="A53" s="14"/>
      <c r="B53" s="14">
        <v>4</v>
      </c>
      <c r="C53" s="14" t="str">
        <f>IF(B5&gt;MAX('DMT-W'!A:A),"",INDEX('DMT-W'!B:B,MATCH(B5,'DMT-W'!A:A)))</f>
        <v>ROUX, Laurence</v>
      </c>
      <c r="D53" s="14" t="str">
        <f>IF(B5&gt;MAX('DMT-W'!A:A),"",INDEX('DMT-W'!I:I,MATCH(B5,'DMT-W'!A:A)))</f>
        <v>Worlds Team</v>
      </c>
    </row>
    <row r="54" spans="1:4" x14ac:dyDescent="0.2">
      <c r="A54" s="14"/>
      <c r="B54" s="14">
        <v>5</v>
      </c>
      <c r="C54" s="14" t="str">
        <f>IF(B6&gt;MAX('DMT-W'!A:A),"",INDEX('DMT-W'!B:B,MATCH(B6,'DMT-W'!A:A)))</f>
        <v>NAKONECHNI, Haley</v>
      </c>
      <c r="D54" s="14" t="str">
        <f>IF(B6&gt;MAX('DMT-W'!A:A),"",INDEX('DMT-W'!I:I,MATCH(B6,'DMT-W'!A:A)))</f>
        <v>National Team</v>
      </c>
    </row>
    <row r="55" spans="1:4" x14ac:dyDescent="0.2">
      <c r="A55" s="14"/>
      <c r="B55" s="14">
        <v>6</v>
      </c>
      <c r="C55" s="14" t="str">
        <f>IF(B7&gt;MAX('DMT-W'!A:A),"",INDEX('DMT-W'!B:B,MATCH(B7,'DMT-W'!A:A)))</f>
        <v>GRIEVE, Danielle</v>
      </c>
      <c r="D55" s="14" t="str">
        <f>IF(B7&gt;MAX('DMT-W'!A:A),"",INDEX('DMT-W'!I:I,MATCH(B7,'DMT-W'!A:A)))</f>
        <v>No DD</v>
      </c>
    </row>
    <row r="56" spans="1:4" hidden="1" x14ac:dyDescent="0.2">
      <c r="A56" s="14"/>
      <c r="B56" s="14">
        <v>7</v>
      </c>
      <c r="C56" s="14" t="str">
        <f>IF(B8&gt;MAX('DMT-W'!A:A),"",INDEX('DMT-W'!B:B,MATCH(B8,'DMT-W'!A:A)))</f>
        <v/>
      </c>
      <c r="D56" s="14" t="str">
        <f>IF(B8&gt;MAX('DMT-W'!A:A),"",INDEX('DMT-W'!I:I,MATCH(B8,'DMT-W'!A:A)))</f>
        <v/>
      </c>
    </row>
    <row r="57" spans="1:4" hidden="1" x14ac:dyDescent="0.2">
      <c r="A57" s="14"/>
      <c r="B57" s="14">
        <v>8</v>
      </c>
      <c r="C57" s="14" t="str">
        <f>IF(B9&gt;MAX('DMT-W'!A:A),"",INDEX('DMT-W'!B:B,MATCH(B9,'DMT-W'!A:A)))</f>
        <v/>
      </c>
      <c r="D57" s="14" t="str">
        <f>IF(B9&gt;MAX('DMT-W'!A:A),"",INDEX('DMT-W'!I:I,MATCH(B9,'DMT-W'!A:A)))</f>
        <v/>
      </c>
    </row>
    <row r="59" spans="1:4" x14ac:dyDescent="0.2">
      <c r="B59" s="54" t="s">
        <v>74</v>
      </c>
    </row>
    <row r="60" spans="1:4" x14ac:dyDescent="0.2">
      <c r="B60" s="54" t="s">
        <v>72</v>
      </c>
    </row>
    <row r="61" spans="1:4" x14ac:dyDescent="0.2">
      <c r="B61" s="54" t="s">
        <v>73</v>
      </c>
    </row>
    <row r="62" spans="1:4" x14ac:dyDescent="0.2">
      <c r="B62" s="28" t="s">
        <v>144</v>
      </c>
      <c r="D62" s="54" t="s">
        <v>142</v>
      </c>
    </row>
    <row r="63" spans="1:4" x14ac:dyDescent="0.2">
      <c r="B63" s="54" t="s">
        <v>143</v>
      </c>
      <c r="D63" s="54"/>
    </row>
    <row r="64" spans="1:4" x14ac:dyDescent="0.2">
      <c r="B64" s="54" t="s">
        <v>145</v>
      </c>
      <c r="D64" s="54" t="s">
        <v>142</v>
      </c>
    </row>
    <row r="65" spans="1:3" x14ac:dyDescent="0.2">
      <c r="A65" t="s">
        <v>82</v>
      </c>
      <c r="B65" s="118">
        <v>43592</v>
      </c>
      <c r="C65" s="118"/>
    </row>
    <row r="66" spans="1:3" x14ac:dyDescent="0.2">
      <c r="B66" s="117" t="s">
        <v>208</v>
      </c>
    </row>
    <row r="68" spans="1:3" x14ac:dyDescent="0.2">
      <c r="B68" s="54"/>
    </row>
    <row r="69" spans="1:3" x14ac:dyDescent="0.2">
      <c r="B69" s="54"/>
    </row>
    <row r="70" spans="1:3" x14ac:dyDescent="0.2">
      <c r="B70" s="54"/>
    </row>
  </sheetData>
  <sheetProtection formatCells="0" formatColumns="0" formatRows="0"/>
  <mergeCells count="1">
    <mergeCell ref="B65:C65"/>
  </mergeCells>
  <conditionalFormatting sqref="D2:D57">
    <cfRule type="containsText" dxfId="195" priority="1" operator="containsText" text="No DD">
      <formula>NOT(ISERROR(SEARCH("No DD",D2)))</formula>
    </cfRule>
    <cfRule type="containsText" dxfId="194" priority="4" operator="containsText" text="Merit">
      <formula>NOT(ISERROR(SEARCH("Merit",D2)))</formula>
    </cfRule>
    <cfRule type="containsText" dxfId="193" priority="5" operator="containsText" text="Excellence">
      <formula>NOT(ISERROR(SEARCH("Excellence",D2)))</formula>
    </cfRule>
    <cfRule type="containsText" dxfId="192" priority="6" operator="containsText" text="Worlds Team">
      <formula>NOT(ISERROR(SEARCH("Worlds Team",D2)))</formula>
    </cfRule>
    <cfRule type="containsText" dxfId="191" priority="7" operator="containsText" text="National Team">
      <formula>NOT(ISERROR(SEARCH("National Team",D2)))</formula>
    </cfRule>
  </conditionalFormatting>
  <dataValidations count="1">
    <dataValidation type="list" allowBlank="1" showInputMessage="1" showErrorMessage="1" sqref="D64 D62" xr:uid="{D08F591B-E1ED-7A40-99FD-CEC4A428C792}">
      <formula1>"Select,TRA-M,TRA-W,SYN-M,SYN-W,TUM-M,TUM-W,DMT-M,DMT-W"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D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8" max="68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10.83203125" hidden="1" customWidth="1"/>
  </cols>
  <sheetData>
    <row r="1" spans="1:342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4" t="s">
        <v>93</v>
      </c>
      <c r="G1" s="124" t="s">
        <v>92</v>
      </c>
      <c r="H1" s="123" t="s">
        <v>18</v>
      </c>
      <c r="I1" s="123" t="s">
        <v>19</v>
      </c>
      <c r="J1" s="125" t="s">
        <v>20</v>
      </c>
      <c r="K1" s="125" t="s">
        <v>69</v>
      </c>
      <c r="L1" s="125" t="s">
        <v>21</v>
      </c>
      <c r="M1" s="125" t="s">
        <v>69</v>
      </c>
      <c r="N1" s="125" t="s">
        <v>22</v>
      </c>
      <c r="O1" s="125" t="s">
        <v>69</v>
      </c>
      <c r="P1" s="125" t="s">
        <v>23</v>
      </c>
      <c r="Q1" s="125" t="s">
        <v>69</v>
      </c>
      <c r="R1" s="126" t="s">
        <v>24</v>
      </c>
      <c r="S1" s="125" t="s">
        <v>70</v>
      </c>
      <c r="T1" s="125" t="s">
        <v>69</v>
      </c>
      <c r="U1" s="119" t="s">
        <v>108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2" t="s">
        <v>146</v>
      </c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7" t="s">
        <v>24</v>
      </c>
      <c r="BN1" s="127"/>
      <c r="BO1" s="127"/>
      <c r="BP1" s="127"/>
      <c r="BQ1" s="119" t="s">
        <v>153</v>
      </c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22" t="s">
        <v>150</v>
      </c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19" t="s">
        <v>151</v>
      </c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22" t="s">
        <v>155</v>
      </c>
      <c r="EC1" s="122"/>
      <c r="ED1" s="122"/>
      <c r="EE1" s="122"/>
      <c r="EF1" s="122"/>
      <c r="EG1" s="122"/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19" t="s">
        <v>162</v>
      </c>
      <c r="EX1" s="119"/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22" t="s">
        <v>163</v>
      </c>
      <c r="FS1" s="122"/>
      <c r="FT1" s="122"/>
      <c r="FU1" s="122"/>
      <c r="FV1" s="122"/>
      <c r="FW1" s="122"/>
      <c r="FX1" s="122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19" t="s">
        <v>177</v>
      </c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22" t="s">
        <v>190</v>
      </c>
      <c r="HI1" s="122"/>
      <c r="HJ1" s="122"/>
      <c r="HK1" s="122"/>
      <c r="HL1" s="122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19" t="s">
        <v>204</v>
      </c>
      <c r="ID1" s="119"/>
      <c r="IE1" s="119"/>
      <c r="IF1" s="119"/>
      <c r="IG1" s="119"/>
      <c r="IH1" s="119"/>
      <c r="II1" s="119"/>
      <c r="IJ1" s="119"/>
      <c r="IK1" s="119"/>
      <c r="IL1" s="119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22" t="s">
        <v>209</v>
      </c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19"/>
      <c r="JT1" s="119"/>
      <c r="JU1" s="119"/>
      <c r="JV1" s="119"/>
      <c r="JW1" s="119"/>
      <c r="JX1" s="119"/>
      <c r="JY1" s="119"/>
      <c r="JZ1" s="119"/>
      <c r="KA1" s="119"/>
      <c r="KB1" s="119"/>
      <c r="KC1" s="119"/>
      <c r="KD1" s="119"/>
      <c r="KE1" s="119"/>
      <c r="KF1" s="119"/>
      <c r="KG1" s="119"/>
      <c r="KH1" s="119"/>
      <c r="KI1" s="119"/>
      <c r="KJ1" s="119"/>
      <c r="KK1" s="119"/>
      <c r="KL1" s="119"/>
      <c r="KM1" s="119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19" t="s">
        <v>207</v>
      </c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  <c r="LY1" s="119"/>
      <c r="LZ1" s="119"/>
      <c r="MA1" s="119"/>
      <c r="MB1" s="119"/>
      <c r="MC1" s="119"/>
      <c r="MD1" s="119"/>
    </row>
    <row r="2" spans="1:342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29</v>
      </c>
      <c r="V2" s="120"/>
      <c r="W2" s="120"/>
      <c r="X2" s="120"/>
      <c r="Y2" s="120"/>
      <c r="Z2" s="120" t="s">
        <v>30</v>
      </c>
      <c r="AA2" s="120"/>
      <c r="AB2" s="120"/>
      <c r="AC2" s="120"/>
      <c r="AD2" s="120"/>
      <c r="AE2" s="120" t="s">
        <v>33</v>
      </c>
      <c r="AF2" s="120"/>
      <c r="AG2" s="120"/>
      <c r="AH2" s="120"/>
      <c r="AI2" s="120"/>
      <c r="AJ2" s="80"/>
      <c r="AK2" s="37" t="s">
        <v>191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1" t="s">
        <v>29</v>
      </c>
      <c r="AR2" s="121"/>
      <c r="AS2" s="121"/>
      <c r="AT2" s="121"/>
      <c r="AU2" s="121"/>
      <c r="AV2" s="121" t="s">
        <v>30</v>
      </c>
      <c r="AW2" s="121"/>
      <c r="AX2" s="121"/>
      <c r="AY2" s="121"/>
      <c r="AZ2" s="121"/>
      <c r="BA2" s="121" t="s">
        <v>33</v>
      </c>
      <c r="BB2" s="121"/>
      <c r="BC2" s="121"/>
      <c r="BD2" s="121"/>
      <c r="BE2" s="121"/>
      <c r="BF2" s="79"/>
      <c r="BG2" s="38" t="s">
        <v>191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20" t="s">
        <v>29</v>
      </c>
      <c r="BR2" s="120"/>
      <c r="BS2" s="120"/>
      <c r="BT2" s="120"/>
      <c r="BU2" s="120"/>
      <c r="BV2" s="120" t="s">
        <v>30</v>
      </c>
      <c r="BW2" s="120"/>
      <c r="BX2" s="120"/>
      <c r="BY2" s="120"/>
      <c r="BZ2" s="120"/>
      <c r="CA2" s="120" t="s">
        <v>33</v>
      </c>
      <c r="CB2" s="120"/>
      <c r="CC2" s="120"/>
      <c r="CD2" s="120"/>
      <c r="CE2" s="120"/>
      <c r="CF2" s="37" t="s">
        <v>191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1" t="s">
        <v>29</v>
      </c>
      <c r="CM2" s="121"/>
      <c r="CN2" s="121"/>
      <c r="CO2" s="121"/>
      <c r="CP2" s="121"/>
      <c r="CQ2" s="121" t="s">
        <v>30</v>
      </c>
      <c r="CR2" s="121"/>
      <c r="CS2" s="121"/>
      <c r="CT2" s="121"/>
      <c r="CU2" s="121"/>
      <c r="CV2" s="121" t="s">
        <v>33</v>
      </c>
      <c r="CW2" s="121"/>
      <c r="CX2" s="121"/>
      <c r="CY2" s="121"/>
      <c r="CZ2" s="121"/>
      <c r="DA2" s="38" t="s">
        <v>191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20" t="s">
        <v>29</v>
      </c>
      <c r="DH2" s="120"/>
      <c r="DI2" s="120"/>
      <c r="DJ2" s="120"/>
      <c r="DK2" s="120"/>
      <c r="DL2" s="120" t="s">
        <v>30</v>
      </c>
      <c r="DM2" s="120"/>
      <c r="DN2" s="120"/>
      <c r="DO2" s="120"/>
      <c r="DP2" s="120"/>
      <c r="DQ2" s="120" t="s">
        <v>33</v>
      </c>
      <c r="DR2" s="120"/>
      <c r="DS2" s="120"/>
      <c r="DT2" s="120"/>
      <c r="DU2" s="120"/>
      <c r="DV2" s="37" t="s">
        <v>191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1" t="s">
        <v>29</v>
      </c>
      <c r="EC2" s="121"/>
      <c r="ED2" s="121"/>
      <c r="EE2" s="121"/>
      <c r="EF2" s="121"/>
      <c r="EG2" s="121" t="s">
        <v>30</v>
      </c>
      <c r="EH2" s="121"/>
      <c r="EI2" s="121"/>
      <c r="EJ2" s="121"/>
      <c r="EK2" s="121"/>
      <c r="EL2" s="121" t="s">
        <v>33</v>
      </c>
      <c r="EM2" s="121"/>
      <c r="EN2" s="121"/>
      <c r="EO2" s="121"/>
      <c r="EP2" s="121"/>
      <c r="EQ2" s="38" t="s">
        <v>191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20" t="s">
        <v>29</v>
      </c>
      <c r="EX2" s="120"/>
      <c r="EY2" s="120"/>
      <c r="EZ2" s="120"/>
      <c r="FA2" s="120"/>
      <c r="FB2" s="120" t="s">
        <v>30</v>
      </c>
      <c r="FC2" s="120"/>
      <c r="FD2" s="120"/>
      <c r="FE2" s="120"/>
      <c r="FF2" s="120"/>
      <c r="FG2" s="120" t="s">
        <v>33</v>
      </c>
      <c r="FH2" s="120"/>
      <c r="FI2" s="120"/>
      <c r="FJ2" s="120"/>
      <c r="FK2" s="120"/>
      <c r="FL2" s="37" t="s">
        <v>191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1" t="s">
        <v>29</v>
      </c>
      <c r="FS2" s="121"/>
      <c r="FT2" s="121"/>
      <c r="FU2" s="121"/>
      <c r="FV2" s="121"/>
      <c r="FW2" s="121" t="s">
        <v>30</v>
      </c>
      <c r="FX2" s="121"/>
      <c r="FY2" s="121"/>
      <c r="FZ2" s="121"/>
      <c r="GA2" s="121"/>
      <c r="GB2" s="121" t="s">
        <v>33</v>
      </c>
      <c r="GC2" s="121"/>
      <c r="GD2" s="121"/>
      <c r="GE2" s="121"/>
      <c r="GF2" s="121"/>
      <c r="GG2" s="38" t="s">
        <v>191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20" t="s">
        <v>29</v>
      </c>
      <c r="GN2" s="120"/>
      <c r="GO2" s="120"/>
      <c r="GP2" s="120"/>
      <c r="GQ2" s="120"/>
      <c r="GR2" s="120" t="s">
        <v>30</v>
      </c>
      <c r="GS2" s="120"/>
      <c r="GT2" s="120"/>
      <c r="GU2" s="120"/>
      <c r="GV2" s="120"/>
      <c r="GW2" s="120" t="s">
        <v>33</v>
      </c>
      <c r="GX2" s="120"/>
      <c r="GY2" s="120"/>
      <c r="GZ2" s="120"/>
      <c r="HA2" s="120"/>
      <c r="HB2" s="37" t="s">
        <v>191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1" t="s">
        <v>29</v>
      </c>
      <c r="HI2" s="121"/>
      <c r="HJ2" s="121"/>
      <c r="HK2" s="121"/>
      <c r="HL2" s="121"/>
      <c r="HM2" s="121" t="s">
        <v>30</v>
      </c>
      <c r="HN2" s="121"/>
      <c r="HO2" s="121"/>
      <c r="HP2" s="121"/>
      <c r="HQ2" s="121"/>
      <c r="HR2" s="121" t="s">
        <v>33</v>
      </c>
      <c r="HS2" s="121"/>
      <c r="HT2" s="121"/>
      <c r="HU2" s="121"/>
      <c r="HV2" s="121"/>
      <c r="HW2" s="38" t="s">
        <v>191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20" t="s">
        <v>29</v>
      </c>
      <c r="ID2" s="120"/>
      <c r="IE2" s="120"/>
      <c r="IF2" s="120"/>
      <c r="IG2" s="120"/>
      <c r="IH2" s="120" t="s">
        <v>30</v>
      </c>
      <c r="II2" s="120"/>
      <c r="IJ2" s="120"/>
      <c r="IK2" s="120"/>
      <c r="IL2" s="120"/>
      <c r="IM2" s="120" t="s">
        <v>33</v>
      </c>
      <c r="IN2" s="120"/>
      <c r="IO2" s="120"/>
      <c r="IP2" s="120"/>
      <c r="IQ2" s="120"/>
      <c r="IR2" s="37" t="s">
        <v>191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1" t="s">
        <v>29</v>
      </c>
      <c r="IY2" s="121"/>
      <c r="IZ2" s="121"/>
      <c r="JA2" s="121"/>
      <c r="JB2" s="121"/>
      <c r="JC2" s="121" t="s">
        <v>30</v>
      </c>
      <c r="JD2" s="121"/>
      <c r="JE2" s="121"/>
      <c r="JF2" s="121"/>
      <c r="JG2" s="121"/>
      <c r="JH2" s="121" t="s">
        <v>33</v>
      </c>
      <c r="JI2" s="121"/>
      <c r="JJ2" s="121"/>
      <c r="JK2" s="121"/>
      <c r="JL2" s="121"/>
      <c r="JM2" s="38" t="s">
        <v>191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20" t="s">
        <v>29</v>
      </c>
      <c r="JT2" s="120"/>
      <c r="JU2" s="120"/>
      <c r="JV2" s="120"/>
      <c r="JW2" s="120"/>
      <c r="JX2" s="120" t="s">
        <v>30</v>
      </c>
      <c r="JY2" s="120"/>
      <c r="JZ2" s="120"/>
      <c r="KA2" s="120"/>
      <c r="KB2" s="120"/>
      <c r="KC2" s="120" t="s">
        <v>33</v>
      </c>
      <c r="KD2" s="120"/>
      <c r="KE2" s="120"/>
      <c r="KF2" s="120"/>
      <c r="KG2" s="120"/>
      <c r="KH2" s="37" t="s">
        <v>191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1" t="s">
        <v>29</v>
      </c>
      <c r="KO2" s="121"/>
      <c r="KP2" s="121"/>
      <c r="KQ2" s="121"/>
      <c r="KR2" s="121"/>
      <c r="KS2" s="121" t="s">
        <v>30</v>
      </c>
      <c r="KT2" s="121"/>
      <c r="KU2" s="121"/>
      <c r="KV2" s="121"/>
      <c r="KW2" s="121"/>
      <c r="KX2" s="121" t="s">
        <v>33</v>
      </c>
      <c r="KY2" s="121"/>
      <c r="KZ2" s="121"/>
      <c r="LA2" s="121"/>
      <c r="LB2" s="121"/>
      <c r="LC2" s="38" t="s">
        <v>191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20" t="s">
        <v>29</v>
      </c>
      <c r="LJ2" s="120"/>
      <c r="LK2" s="120"/>
      <c r="LL2" s="120"/>
      <c r="LM2" s="120"/>
      <c r="LN2" s="120" t="s">
        <v>30</v>
      </c>
      <c r="LO2" s="120"/>
      <c r="LP2" s="120"/>
      <c r="LQ2" s="120"/>
      <c r="LR2" s="120"/>
      <c r="LS2" s="120" t="s">
        <v>33</v>
      </c>
      <c r="LT2" s="120"/>
      <c r="LU2" s="120"/>
      <c r="LV2" s="120"/>
      <c r="LW2" s="120"/>
      <c r="LX2" s="112"/>
      <c r="LY2" s="112" t="s">
        <v>191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7" t="s">
        <v>25</v>
      </c>
      <c r="V3" s="37" t="s">
        <v>26</v>
      </c>
      <c r="W3" s="37" t="s">
        <v>17</v>
      </c>
      <c r="X3" s="37" t="s">
        <v>27</v>
      </c>
      <c r="Y3" s="48" t="s">
        <v>48</v>
      </c>
      <c r="Z3" s="37" t="s">
        <v>25</v>
      </c>
      <c r="AA3" s="37" t="s">
        <v>26</v>
      </c>
      <c r="AB3" s="37" t="s">
        <v>17</v>
      </c>
      <c r="AC3" s="37" t="s">
        <v>27</v>
      </c>
      <c r="AD3" s="48" t="s">
        <v>48</v>
      </c>
      <c r="AE3" s="37" t="s">
        <v>25</v>
      </c>
      <c r="AF3" s="37" t="s">
        <v>26</v>
      </c>
      <c r="AG3" s="37" t="s">
        <v>17</v>
      </c>
      <c r="AH3" s="37" t="s">
        <v>27</v>
      </c>
      <c r="AI3" s="48" t="s">
        <v>48</v>
      </c>
      <c r="AJ3" s="80" t="s">
        <v>125</v>
      </c>
      <c r="AK3" s="11"/>
      <c r="AL3" s="10"/>
      <c r="AM3" s="10"/>
      <c r="AN3" s="10"/>
      <c r="AO3" s="11"/>
      <c r="AP3" s="11"/>
      <c r="AQ3" s="38" t="s">
        <v>25</v>
      </c>
      <c r="AR3" s="38" t="s">
        <v>26</v>
      </c>
      <c r="AS3" s="38" t="s">
        <v>17</v>
      </c>
      <c r="AT3" s="38" t="s">
        <v>27</v>
      </c>
      <c r="AU3" s="49" t="s">
        <v>48</v>
      </c>
      <c r="AV3" s="38" t="s">
        <v>25</v>
      </c>
      <c r="AW3" s="38" t="s">
        <v>26</v>
      </c>
      <c r="AX3" s="38" t="s">
        <v>17</v>
      </c>
      <c r="AY3" s="38" t="s">
        <v>27</v>
      </c>
      <c r="AZ3" s="49" t="s">
        <v>48</v>
      </c>
      <c r="BA3" s="38" t="s">
        <v>25</v>
      </c>
      <c r="BB3" s="38" t="s">
        <v>26</v>
      </c>
      <c r="BC3" s="38" t="s">
        <v>17</v>
      </c>
      <c r="BD3" s="49" t="s">
        <v>27</v>
      </c>
      <c r="BE3" s="38" t="s">
        <v>48</v>
      </c>
      <c r="BF3" s="79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37" t="s">
        <v>25</v>
      </c>
      <c r="BR3" s="37" t="s">
        <v>26</v>
      </c>
      <c r="BS3" s="37" t="s">
        <v>17</v>
      </c>
      <c r="BT3" s="37" t="s">
        <v>27</v>
      </c>
      <c r="BU3" s="48" t="s">
        <v>48</v>
      </c>
      <c r="BV3" s="37" t="s">
        <v>25</v>
      </c>
      <c r="BW3" s="37" t="s">
        <v>26</v>
      </c>
      <c r="BX3" s="37" t="s">
        <v>17</v>
      </c>
      <c r="BY3" s="37" t="s">
        <v>27</v>
      </c>
      <c r="BZ3" s="48" t="s">
        <v>48</v>
      </c>
      <c r="CA3" s="37" t="s">
        <v>25</v>
      </c>
      <c r="CB3" s="37" t="s">
        <v>26</v>
      </c>
      <c r="CC3" s="37" t="s">
        <v>17</v>
      </c>
      <c r="CD3" s="37" t="s">
        <v>27</v>
      </c>
      <c r="CE3" s="48" t="s">
        <v>48</v>
      </c>
      <c r="CF3" s="11"/>
      <c r="CG3" s="10"/>
      <c r="CH3" s="10"/>
      <c r="CI3" s="10"/>
      <c r="CJ3" s="11"/>
      <c r="CK3" s="11"/>
      <c r="CL3" s="38" t="s">
        <v>25</v>
      </c>
      <c r="CM3" s="38" t="s">
        <v>26</v>
      </c>
      <c r="CN3" s="38" t="s">
        <v>17</v>
      </c>
      <c r="CO3" s="38" t="s">
        <v>27</v>
      </c>
      <c r="CP3" s="49" t="s">
        <v>48</v>
      </c>
      <c r="CQ3" s="38" t="s">
        <v>25</v>
      </c>
      <c r="CR3" s="38" t="s">
        <v>26</v>
      </c>
      <c r="CS3" s="38" t="s">
        <v>17</v>
      </c>
      <c r="CT3" s="38" t="s">
        <v>27</v>
      </c>
      <c r="CU3" s="49" t="s">
        <v>48</v>
      </c>
      <c r="CV3" s="38" t="s">
        <v>25</v>
      </c>
      <c r="CW3" s="38" t="s">
        <v>26</v>
      </c>
      <c r="CX3" s="38" t="s">
        <v>17</v>
      </c>
      <c r="CY3" s="38" t="s">
        <v>27</v>
      </c>
      <c r="CZ3" s="53" t="s">
        <v>48</v>
      </c>
      <c r="DA3" s="14"/>
      <c r="DB3" s="13"/>
      <c r="DC3" s="13"/>
      <c r="DD3" s="13"/>
      <c r="DE3" s="14"/>
      <c r="DF3" s="14"/>
      <c r="DG3" s="37" t="s">
        <v>25</v>
      </c>
      <c r="DH3" s="37" t="s">
        <v>26</v>
      </c>
      <c r="DI3" s="37" t="s">
        <v>17</v>
      </c>
      <c r="DJ3" s="37" t="s">
        <v>27</v>
      </c>
      <c r="DK3" s="48" t="s">
        <v>48</v>
      </c>
      <c r="DL3" s="37" t="s">
        <v>25</v>
      </c>
      <c r="DM3" s="37" t="s">
        <v>26</v>
      </c>
      <c r="DN3" s="37" t="s">
        <v>17</v>
      </c>
      <c r="DO3" s="37" t="s">
        <v>27</v>
      </c>
      <c r="DP3" s="48" t="s">
        <v>48</v>
      </c>
      <c r="DQ3" s="37" t="s">
        <v>25</v>
      </c>
      <c r="DR3" s="37" t="s">
        <v>26</v>
      </c>
      <c r="DS3" s="37" t="s">
        <v>17</v>
      </c>
      <c r="DT3" s="37" t="s">
        <v>27</v>
      </c>
      <c r="DU3" s="48" t="s">
        <v>48</v>
      </c>
      <c r="DV3" s="11"/>
      <c r="DW3" s="10"/>
      <c r="DX3" s="10"/>
      <c r="DY3" s="10"/>
      <c r="DZ3" s="11"/>
      <c r="EA3" s="11"/>
      <c r="EB3" s="38" t="s">
        <v>25</v>
      </c>
      <c r="EC3" s="38" t="s">
        <v>26</v>
      </c>
      <c r="ED3" s="38" t="s">
        <v>17</v>
      </c>
      <c r="EE3" s="38" t="s">
        <v>27</v>
      </c>
      <c r="EF3" s="49" t="s">
        <v>48</v>
      </c>
      <c r="EG3" s="38" t="s">
        <v>25</v>
      </c>
      <c r="EH3" s="38" t="s">
        <v>26</v>
      </c>
      <c r="EI3" s="38" t="s">
        <v>17</v>
      </c>
      <c r="EJ3" s="38" t="s">
        <v>27</v>
      </c>
      <c r="EK3" s="49" t="s">
        <v>48</v>
      </c>
      <c r="EL3" s="38" t="s">
        <v>25</v>
      </c>
      <c r="EM3" s="38" t="s">
        <v>26</v>
      </c>
      <c r="EN3" s="38" t="s">
        <v>17</v>
      </c>
      <c r="EO3" s="38" t="s">
        <v>27</v>
      </c>
      <c r="EP3" s="49" t="s">
        <v>48</v>
      </c>
      <c r="EQ3" s="14"/>
      <c r="ER3" s="13"/>
      <c r="ES3" s="13"/>
      <c r="ET3" s="13"/>
      <c r="EU3" s="14"/>
      <c r="EV3" s="14"/>
      <c r="EW3" s="37" t="s">
        <v>25</v>
      </c>
      <c r="EX3" s="37" t="s">
        <v>26</v>
      </c>
      <c r="EY3" s="37" t="s">
        <v>17</v>
      </c>
      <c r="EZ3" s="37" t="s">
        <v>27</v>
      </c>
      <c r="FA3" s="48" t="s">
        <v>48</v>
      </c>
      <c r="FB3" s="37" t="s">
        <v>25</v>
      </c>
      <c r="FC3" s="37" t="s">
        <v>26</v>
      </c>
      <c r="FD3" s="37" t="s">
        <v>17</v>
      </c>
      <c r="FE3" s="37" t="s">
        <v>27</v>
      </c>
      <c r="FF3" s="48" t="s">
        <v>48</v>
      </c>
      <c r="FG3" s="37" t="s">
        <v>25</v>
      </c>
      <c r="FH3" s="37" t="s">
        <v>26</v>
      </c>
      <c r="FI3" s="37" t="s">
        <v>17</v>
      </c>
      <c r="FJ3" s="37" t="s">
        <v>27</v>
      </c>
      <c r="FK3" s="48" t="s">
        <v>48</v>
      </c>
      <c r="FL3" s="11"/>
      <c r="FM3" s="10"/>
      <c r="FN3" s="10"/>
      <c r="FO3" s="10"/>
      <c r="FP3" s="11"/>
      <c r="FQ3" s="11"/>
      <c r="FR3" s="38" t="s">
        <v>25</v>
      </c>
      <c r="FS3" s="38" t="s">
        <v>26</v>
      </c>
      <c r="FT3" s="38" t="s">
        <v>17</v>
      </c>
      <c r="FU3" s="38" t="s">
        <v>27</v>
      </c>
      <c r="FV3" s="49" t="s">
        <v>48</v>
      </c>
      <c r="FW3" s="38" t="s">
        <v>25</v>
      </c>
      <c r="FX3" s="38" t="s">
        <v>26</v>
      </c>
      <c r="FY3" s="38" t="s">
        <v>17</v>
      </c>
      <c r="FZ3" s="38" t="s">
        <v>27</v>
      </c>
      <c r="GA3" s="49" t="s">
        <v>48</v>
      </c>
      <c r="GB3" s="38" t="s">
        <v>25</v>
      </c>
      <c r="GC3" s="38" t="s">
        <v>26</v>
      </c>
      <c r="GD3" s="38" t="s">
        <v>17</v>
      </c>
      <c r="GE3" s="38" t="s">
        <v>27</v>
      </c>
      <c r="GF3" s="49" t="s">
        <v>48</v>
      </c>
      <c r="GG3" s="14"/>
      <c r="GH3" s="13"/>
      <c r="GI3" s="13"/>
      <c r="GJ3" s="13"/>
      <c r="GK3" s="14"/>
      <c r="GL3" s="14"/>
      <c r="GM3" s="37" t="s">
        <v>25</v>
      </c>
      <c r="GN3" s="37" t="s">
        <v>26</v>
      </c>
      <c r="GO3" s="37" t="s">
        <v>17</v>
      </c>
      <c r="GP3" s="37" t="s">
        <v>27</v>
      </c>
      <c r="GQ3" s="48" t="s">
        <v>48</v>
      </c>
      <c r="GR3" s="37" t="s">
        <v>25</v>
      </c>
      <c r="GS3" s="37" t="s">
        <v>26</v>
      </c>
      <c r="GT3" s="37" t="s">
        <v>17</v>
      </c>
      <c r="GU3" s="37" t="s">
        <v>27</v>
      </c>
      <c r="GV3" s="48" t="s">
        <v>48</v>
      </c>
      <c r="GW3" s="37" t="s">
        <v>25</v>
      </c>
      <c r="GX3" s="37" t="s">
        <v>26</v>
      </c>
      <c r="GY3" s="37" t="s">
        <v>17</v>
      </c>
      <c r="GZ3" s="37" t="s">
        <v>27</v>
      </c>
      <c r="HA3" s="48" t="s">
        <v>48</v>
      </c>
      <c r="HB3" s="11"/>
      <c r="HC3" s="10"/>
      <c r="HD3" s="10"/>
      <c r="HE3" s="10"/>
      <c r="HF3" s="11"/>
      <c r="HG3" s="11"/>
      <c r="HH3" s="38" t="s">
        <v>25</v>
      </c>
      <c r="HI3" s="38" t="s">
        <v>26</v>
      </c>
      <c r="HJ3" s="38" t="s">
        <v>17</v>
      </c>
      <c r="HK3" s="38" t="s">
        <v>27</v>
      </c>
      <c r="HL3" s="49" t="s">
        <v>48</v>
      </c>
      <c r="HM3" s="38" t="s">
        <v>25</v>
      </c>
      <c r="HN3" s="38" t="s">
        <v>26</v>
      </c>
      <c r="HO3" s="38" t="s">
        <v>17</v>
      </c>
      <c r="HP3" s="38" t="s">
        <v>27</v>
      </c>
      <c r="HQ3" s="49" t="s">
        <v>48</v>
      </c>
      <c r="HR3" s="38" t="s">
        <v>25</v>
      </c>
      <c r="HS3" s="38" t="s">
        <v>26</v>
      </c>
      <c r="HT3" s="38" t="s">
        <v>17</v>
      </c>
      <c r="HU3" s="38" t="s">
        <v>27</v>
      </c>
      <c r="HV3" s="49" t="s">
        <v>48</v>
      </c>
      <c r="HW3" s="14"/>
      <c r="HX3" s="13"/>
      <c r="HY3" s="13"/>
      <c r="HZ3" s="13"/>
      <c r="IA3" s="14"/>
      <c r="IB3" s="14"/>
      <c r="IC3" s="37" t="s">
        <v>25</v>
      </c>
      <c r="ID3" s="37" t="s">
        <v>26</v>
      </c>
      <c r="IE3" s="37" t="s">
        <v>17</v>
      </c>
      <c r="IF3" s="37" t="s">
        <v>27</v>
      </c>
      <c r="IG3" s="48" t="s">
        <v>48</v>
      </c>
      <c r="IH3" s="37" t="s">
        <v>25</v>
      </c>
      <c r="II3" s="37" t="s">
        <v>26</v>
      </c>
      <c r="IJ3" s="37" t="s">
        <v>17</v>
      </c>
      <c r="IK3" s="37" t="s">
        <v>27</v>
      </c>
      <c r="IL3" s="48" t="s">
        <v>48</v>
      </c>
      <c r="IM3" s="37" t="s">
        <v>25</v>
      </c>
      <c r="IN3" s="37" t="s">
        <v>26</v>
      </c>
      <c r="IO3" s="37" t="s">
        <v>17</v>
      </c>
      <c r="IP3" s="37" t="s">
        <v>27</v>
      </c>
      <c r="IQ3" s="48" t="s">
        <v>48</v>
      </c>
      <c r="IR3" s="11"/>
      <c r="IS3" s="10"/>
      <c r="IT3" s="10"/>
      <c r="IU3" s="10"/>
      <c r="IV3" s="11"/>
      <c r="IW3" s="11"/>
      <c r="IX3" s="38" t="s">
        <v>25</v>
      </c>
      <c r="IY3" s="38" t="s">
        <v>26</v>
      </c>
      <c r="IZ3" s="38" t="s">
        <v>17</v>
      </c>
      <c r="JA3" s="38" t="s">
        <v>27</v>
      </c>
      <c r="JB3" s="49" t="s">
        <v>48</v>
      </c>
      <c r="JC3" s="38" t="s">
        <v>25</v>
      </c>
      <c r="JD3" s="38" t="s">
        <v>26</v>
      </c>
      <c r="JE3" s="38" t="s">
        <v>17</v>
      </c>
      <c r="JF3" s="38" t="s">
        <v>27</v>
      </c>
      <c r="JG3" s="49" t="s">
        <v>48</v>
      </c>
      <c r="JH3" s="38" t="s">
        <v>25</v>
      </c>
      <c r="JI3" s="38" t="s">
        <v>26</v>
      </c>
      <c r="JJ3" s="38" t="s">
        <v>17</v>
      </c>
      <c r="JK3" s="38" t="s">
        <v>27</v>
      </c>
      <c r="JL3" s="49" t="s">
        <v>48</v>
      </c>
      <c r="JM3" s="14"/>
      <c r="JN3" s="13"/>
      <c r="JO3" s="13"/>
      <c r="JP3" s="13"/>
      <c r="JQ3" s="14"/>
      <c r="JR3" s="14"/>
      <c r="JS3" s="37" t="s">
        <v>25</v>
      </c>
      <c r="JT3" s="37" t="s">
        <v>26</v>
      </c>
      <c r="JU3" s="37" t="s">
        <v>17</v>
      </c>
      <c r="JV3" s="37" t="s">
        <v>27</v>
      </c>
      <c r="JW3" s="48" t="s">
        <v>48</v>
      </c>
      <c r="JX3" s="37" t="s">
        <v>25</v>
      </c>
      <c r="JY3" s="37" t="s">
        <v>26</v>
      </c>
      <c r="JZ3" s="37" t="s">
        <v>17</v>
      </c>
      <c r="KA3" s="37" t="s">
        <v>27</v>
      </c>
      <c r="KB3" s="48" t="s">
        <v>48</v>
      </c>
      <c r="KC3" s="37" t="s">
        <v>25</v>
      </c>
      <c r="KD3" s="37" t="s">
        <v>26</v>
      </c>
      <c r="KE3" s="37" t="s">
        <v>17</v>
      </c>
      <c r="KF3" s="37" t="s">
        <v>27</v>
      </c>
      <c r="KG3" s="48" t="s">
        <v>48</v>
      </c>
      <c r="KH3" s="11"/>
      <c r="KI3" s="10"/>
      <c r="KJ3" s="10"/>
      <c r="KK3" s="10"/>
      <c r="KL3" s="11"/>
      <c r="KM3" s="11"/>
      <c r="KN3" s="38" t="s">
        <v>25</v>
      </c>
      <c r="KO3" s="38" t="s">
        <v>26</v>
      </c>
      <c r="KP3" s="38" t="s">
        <v>17</v>
      </c>
      <c r="KQ3" s="38" t="s">
        <v>27</v>
      </c>
      <c r="KR3" s="49" t="s">
        <v>48</v>
      </c>
      <c r="KS3" s="38" t="s">
        <v>25</v>
      </c>
      <c r="KT3" s="38" t="s">
        <v>26</v>
      </c>
      <c r="KU3" s="38" t="s">
        <v>17</v>
      </c>
      <c r="KV3" s="38" t="s">
        <v>27</v>
      </c>
      <c r="KW3" s="49" t="s">
        <v>48</v>
      </c>
      <c r="KX3" s="38" t="s">
        <v>25</v>
      </c>
      <c r="KY3" s="38" t="s">
        <v>26</v>
      </c>
      <c r="KZ3" s="38" t="s">
        <v>17</v>
      </c>
      <c r="LA3" s="38" t="s">
        <v>27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21" si="0">IF(AND(F4="P",H4="P"),SUMPRODUCT((F$4:F$22="P")*(H$4:H$22="P")*(E$4:E$22&gt;E4))+1,IF(H4="P",SUMPRODUCT((F$4:F$22="")*(H$4:H$22="P")*(E$4:E$22&gt;E4))+1+SUMPRODUCT((F$4:F$22="P")*(H$4:H$22="P")),""))</f>
        <v>1</v>
      </c>
      <c r="B4" s="7" t="s">
        <v>147</v>
      </c>
      <c r="C4" s="8" t="s">
        <v>11</v>
      </c>
      <c r="D4" s="8">
        <v>2001</v>
      </c>
      <c r="E4" s="16">
        <f t="shared" ref="E4:E21" si="1">SUM(J4:R4)</f>
        <v>278.30999999999995</v>
      </c>
      <c r="F4" s="4" t="str">
        <f t="shared" ref="F4:F21" si="2">IF(OR(AND($AK4&gt;=$AL$24,NOT($AK4=""),$AJ4=""),AND($BG4&gt;=$BH$24,NOT($BG4=""),$BF4=""),AND($CF4&gt;=$CG$24,NOT($CF4="")),AND($DA4&gt;=$DB$24,NOT($DA4="")),AND($DV4&gt;=$DW$24,NOT($DV4="")),AND($EQ4&gt;=$ER$24,NOT($EQ4="")),AND($FL4&gt;=$FM$24,NOT($FL4="")),AND($GG4&gt;=$GH$24,NOT($GG4="")),AND($HB4&gt;=$HC$24,NOT($HB4="")),AND($HW4&gt;=$HX$24,NOT($HW4="")),AND($IR4&gt;=$IS$24,NOT($IR4="")),AND($JM4&gt;=$JN$24,NOT($JM4="")),AND($KH4&gt;=$KI$24,NOT($KH4="")),AND($LC4&gt;=$LD$24,NOT($LC4=""))),"P","")</f>
        <v>P</v>
      </c>
      <c r="G4" s="4" t="str">
        <f t="shared" ref="G4:G21" si="3">IF(OR(AND($AK4&gt;=$AL$25,NOT($AK4=""),$AJ4=""),AND($BG4&gt;=$BH$25,NOT($BG4=""),$BF4=""),AND($CF4&gt;=$CG$25,NOT($CF4="")),AND($DA4&gt;=$DB$25,NOT($DA4="")),AND($DV4&gt;=$DW$25,NOT($DV4="")),AND($EQ4&gt;=$ER$25,NOT($EQ4="")),AND($FL4&gt;=$FM$25,NOT($FL4="")),AND($GG4&gt;=$GH$25,NOT($GG4="")),AND($HB4&gt;=$HC$25,NOT($HB4="")),AND($HW4&gt;=$HX$25,NOT($HW4="")),AND($IR4&gt;=$IS$25,NOT($IR4="")),AND($JM4&gt;=$JN$25,NOT($JM4="")),AND($KH4&gt;=$KI$25,NOT($KH4="")),AND($LC4&gt;=$LD$25,NOT($LC4=""))),"P","")</f>
        <v>P</v>
      </c>
      <c r="H4" s="4" t="str">
        <f t="shared" ref="H4:H21" si="4">IF(OR(AND($AN4&gt;=$AL$26,NOT($AN4=""),$AJ4=""),AND($BJ4&gt;=$BH$26,NOT($BJ4=""),$BF4=""),AND($CI4&gt;=$CG$26,NOT($CI4="")),AND($DD4&gt;=$DB$26,NOT($DD4="")),AND($DY4&gt;=$DW$26,NOT($DY4="")),AND($ET4&gt;=$ER$26,NOT($ET4="")),AND($FO4&gt;=$FM$26,NOT($FO4="")),AND($GJ4&gt;=$GH$26,NOT($GJ4="")),AND($HE4&gt;=$HC$26,NOT($HE4="")),AND($HZ4&gt;=$HX$26,NOT($HZ4="")),AND($IU4&gt;=$IS$26,NOT($IU4="")),AND($JP4&gt;=$JN$26,NOT($JP4="")),AND($KK4&gt;=$KI$26,NOT($KK4="")),AND($LF4&gt;=$LD$26,NOT($LF4=""))),"P","")</f>
        <v>P</v>
      </c>
      <c r="I4" t="str">
        <f t="shared" ref="I4:I21" si="5">IF(AND(H4="P",F4=""),"No DD",IF(AND(G4="P",OR(AND($AM4&gt;$AL$29,NOT($AM4=""),$AJ4=""),AND($AO4&gt;$AL$29,NOT($AO4=""),$AJ4=""),AND($BI4&gt;$BH$29,NOT($BI4=""),$BF4=""),AND($BK4&gt;$BH$29,NOT($BK4=""),$BF4=""),AND($CH4&gt;$CG$29,NOT($CH4="")),AND($CJ4&gt;$CG$29,NOT($CJ4="")),AND($DC4&gt;$DB$29,NOT($DC4="")),AND($DE4&gt;$DB$29,NOT($DE4="")),AND($DX4&gt;$DW$29,NOT($DX4="")),AND($DZ4&gt;$DW$29,NOT($DZ4="")),AND($ES4&gt;$ER$29,NOT($ES4="")),AND($EU4&gt;$ER$29,NOT($EU4="")),AND($FN4&gt;$FM$29,NOT($FN4="")),AND($FP4&gt;$FM$29,NOT($FP4="")),AND($GI4&gt;$GH$29,NOT($GI4="")),AND($GK4&gt;$GH$29,NOT($GK4="")),AND($HD4&gt;$HC$29,NOT($HD4="")),AND($HF4&gt;$HC$29,NOT($HF4="")),AND($HY4&gt;$HX$29,NOT($HY4="")),AND($IA4&gt;$HX$29,NOT($IA4="")),AND($IT4&gt;$IS$29,NOT($IT4="")),AND($IV4&gt;$IS$29,NOT($IV4="")),AND($JO4&gt;$JN$29,NOT($JO4="")),AND($JQ4&gt;$JN$29,NOT($JQ4="")),AND($KJ4&gt;$KI$29,NOT($KJ4="")),AND($KL4&gt;$KI$29,NOT($KL4="")),AND($LE4&gt;$LD$29,NOT($LE4="")),AND($LG4&gt;$LD$29,NOT($LG4="")))),"Merit",IF(AND(G4="P",OR(AND($AN4&gt;$AL$28,NOT($AN4=""),$AJ4=""),AND($BJ4&gt;$BH$28,NOT($BJ4=""),$BF4=""),AND($CI4&gt;$CG$28,NOT($CI4="")),AND($DD4&gt;$DB$28,NOT($DD4="")),AND($DY4&gt;$DW$28,NOT($DY4="")),AND($ET4&gt;$ER$28,NOT($ET4="")),AND($FO4&gt;$FM$28,NOT($FO4="")),AND($GJ4&gt;$GH$28,NOT($GJ4="")),AND($HE4&gt;$HC$28,NOT($HE4="")),AND($HZ4&gt;$HX$28,NOT($HZ4="")),AND($IU4&gt;$IS$28,NOT($IU4="")),AND($JP4&gt;$JN$28,NOT($JP4="")),AND($KK4&gt;$KI$28,NOT($KK4="")),AND($LF4&gt;$LD$28,NOT($LF4="")))),"Excellence",IF(AND(G4="P",OR(AND($AN4&gt;$AL$27,NOT($AN4=""),$AJ4=""),AND($BJ4&gt;$BH$27,NOT($BJ4=""),$BF4=""),AND($CI4&gt;$CG$27,NOT($CI4="")),AND($DD4&gt;$DB$27,NOT($DD4="")),AND($DY4&gt;$DW$27,NOT($DY4="")),AND($ET4&gt;$ER$27,NOT($ET4="")),AND($FO4&gt;$FM$27,NOT($FO4="")),AND($GJ4&gt;$GH$27,NOT($GJ4="")),AND($HE4&gt;$HC$27,NOT($HE4="")),AND($HZ4&gt;$HX$27,NOT($HZ4="")),AND($IU4&gt;$IS$27,NOT($IU4="")),AND($JP4&gt;$JN$27,NOT($JP4="")),AND($KK4&gt;$KI$27,NOT($KK4="")),AND($LF4&gt;$LD$27,NOT($LF4="")))),"Worlds Team",IF(AND(F4="P",OR(AND($AN4&gt;$AL$26,NOT($AN4=""),$AJ4=""),AND($BJ4&gt;$BH$26,NOT($BJ4=""),$BF4=""),AND($CI4&gt;$CG$26,NOT($CI4="")),AND($DD4&gt;$DB$26,NOT($DD4="")),AND($DY4&gt;$DW$26,NOT($DY4="")),AND($ET4&gt;$ER$26,NOT($ET4="")),AND($FO4&gt;$FM$26,NOT($FO4="")),AND($GJ4&gt;$GH$26,NOT($GJ4="")),AND($HE4&gt;$HC$26,NOT($HE4="")),AND($HZ4&gt;$HX$26,NOT($HZ4="")),AND($IU4&gt;$IS$26,NOT($IU4="")),AND($JP4&gt;$JN$26,NOT($JP4="")),AND($KK4&gt;$KI$26,NOT($KK4="")),AND($LF4&gt;$LD$26,NOT($LF4="")))),"National Team","")))))</f>
        <v>Merit</v>
      </c>
      <c r="J4" s="15">
        <f t="shared" ref="J4:J21" si="6">IF(MAX(AN4,BJ4)&gt;0,MAX(AN4,BJ4),"")</f>
        <v>109.16499999999999</v>
      </c>
      <c r="K4" s="15" t="str">
        <f t="shared" ref="K4:K21" si="7">IF(J4="","",IF(J4=BJ4,$AQ$1,IF(J4=AN4,$U$1,"")))</f>
        <v>2018 Nationals</v>
      </c>
      <c r="L4" s="15">
        <f t="shared" ref="L4:L21" si="8">IF($J4=$AN4,BH4,IF($J4=$BJ4,AL4,MAX(AL4,BH4)))</f>
        <v>50.115000000000002</v>
      </c>
      <c r="M4" s="15" t="str">
        <f t="shared" ref="M4:M21" si="9">IF(L4="","",IF(AND(L4=BH4,$K4&lt;&gt;$AQ$1),$AQ$1,IF(AND(L4=AL4,$K4&lt;&gt;$U$1),$U$1,"")))</f>
        <v>2018 3rd Domestic Trial</v>
      </c>
      <c r="N4" s="15">
        <f t="shared" ref="N4:N21" si="10">IF($J4=$AN4,BI4,IF($J4=$BJ4,AM4,MAX(AM4,BI4)))</f>
        <v>57.684899999999999</v>
      </c>
      <c r="O4" s="15" t="str">
        <f t="shared" ref="O4:O21" si="11">IF(N4="","",IF(AND(N4=BI4,$K4&lt;&gt;$AQ$1),$AQ$1,IF(AND(N4=AM4,$K4&lt;&gt;$U$1),$U$1,"")))</f>
        <v>2018 3rd Domestic Trial</v>
      </c>
      <c r="P4" s="15">
        <f t="shared" ref="P4:P21" si="12">IF(MAX(AO4,BK4)&gt;0,MAX(AO4,BK4),"")</f>
        <v>60.215000000000003</v>
      </c>
      <c r="Q4" s="15" t="str">
        <f t="shared" ref="Q4:Q21" si="13">IF(P4="","",IF(P4=BK4,$AQ$1,IF(P4=AO4,$U$1,"")))</f>
        <v>2018 Nationals</v>
      </c>
      <c r="R4" s="15">
        <f t="shared" ref="R4:R21" si="14">IF(MAX(BM4,BN4,BO4,BP4)&gt;0,MAX(BM4,BN4,BO4,BP4),"")</f>
        <v>1.1300999999999988</v>
      </c>
      <c r="S4" s="27" t="str">
        <f t="shared" ref="S4:S21" si="15">IF(R4="","",IF(R4=BM4,"(Vol 1)",IF(R4=BN4,"(Vol 2)",IF(R4=BO4,"(Prelim)",IF(R4=BP4,"(Final)")))))</f>
        <v>(Vol 2)</v>
      </c>
      <c r="T4" s="15" t="str">
        <f t="shared" ref="T4:T21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2019 World Cup BLR (Apr 20)</v>
      </c>
      <c r="U4" s="72">
        <v>18.399999999999999</v>
      </c>
      <c r="V4" s="72">
        <v>9.3000000000000007</v>
      </c>
      <c r="W4" s="72">
        <v>5.9</v>
      </c>
      <c r="X4" s="72">
        <v>17.454999999999998</v>
      </c>
      <c r="Y4" s="72">
        <v>0</v>
      </c>
      <c r="Z4" s="72">
        <v>17.399999999999999</v>
      </c>
      <c r="AA4" s="72">
        <v>9.1999999999999993</v>
      </c>
      <c r="AB4" s="72">
        <v>15.2</v>
      </c>
      <c r="AC4" s="72">
        <v>16.309999999999999</v>
      </c>
      <c r="AD4" s="72">
        <v>0</v>
      </c>
      <c r="AE4" s="72">
        <v>18.5</v>
      </c>
      <c r="AF4" s="72">
        <v>9.4499999999999993</v>
      </c>
      <c r="AG4" s="72">
        <v>15.2</v>
      </c>
      <c r="AH4" s="72">
        <v>17.065000000000001</v>
      </c>
      <c r="AI4" s="72">
        <v>0</v>
      </c>
      <c r="AJ4" s="83"/>
      <c r="AK4" s="12">
        <f t="shared" ref="AK4:AK21" si="17">IF(AB4&gt;0,AB4,"")</f>
        <v>15.2</v>
      </c>
      <c r="AL4" s="12">
        <f t="shared" ref="AL4:AL21" si="18">IF(SUM(U4:X4)-Y4&gt;0,SUM(U4:X4)-Y4,"")</f>
        <v>51.055</v>
      </c>
      <c r="AM4" s="12">
        <f t="shared" ref="AM4:AM21" si="19">IF(SUM(Z4:AC4)-AD4&gt;0,SUM(Z4:AC4)-AD4,"")</f>
        <v>58.11</v>
      </c>
      <c r="AN4" s="12">
        <f t="shared" ref="AN4:AN21" si="20">IF(SUM(AL4:AM4)&gt;0,SUM(AL4:AM4),"")</f>
        <v>109.16499999999999</v>
      </c>
      <c r="AO4" s="12">
        <f t="shared" ref="AO4:AO21" si="21">IF(SUM(AE4:AH4)-AI4&gt;0,SUM(AE4:AH4)-AI4,"")</f>
        <v>60.215000000000003</v>
      </c>
      <c r="AP4" s="12">
        <f t="shared" ref="AP4:AP21" si="22">IF(SUM(AN4,AO4)&gt;0,SUM(AN4,AO4),"")</f>
        <v>169.38</v>
      </c>
      <c r="AQ4" s="78">
        <v>17.899999999999999</v>
      </c>
      <c r="AR4" s="78">
        <v>9.1</v>
      </c>
      <c r="AS4" s="78">
        <v>5.0999999999999996</v>
      </c>
      <c r="AT4" s="78">
        <v>18.015000000000001</v>
      </c>
      <c r="AU4" s="78">
        <v>0</v>
      </c>
      <c r="AV4" s="78">
        <v>17.100000000000001</v>
      </c>
      <c r="AW4" s="78">
        <v>9</v>
      </c>
      <c r="AX4" s="78">
        <f>15.2-0.0001</f>
        <v>15.1999</v>
      </c>
      <c r="AY4" s="78">
        <v>16.385000000000002</v>
      </c>
      <c r="AZ4" s="78">
        <v>0</v>
      </c>
      <c r="BA4" s="78">
        <v>17.2</v>
      </c>
      <c r="BB4" s="78">
        <v>8.9</v>
      </c>
      <c r="BC4" s="78">
        <f>15.2</f>
        <v>15.2</v>
      </c>
      <c r="BD4" s="78">
        <v>16.510000000000002</v>
      </c>
      <c r="BE4" s="78">
        <v>0</v>
      </c>
      <c r="BF4" s="84"/>
      <c r="BG4" s="15">
        <f t="shared" ref="BG4:BG21" si="23">IF(AX4&gt;0,AX4,"")</f>
        <v>15.1999</v>
      </c>
      <c r="BH4" s="15">
        <f t="shared" ref="BH4:BH21" si="24">IF(SUM(AQ4:AT4)-AU4&gt;0,SUM(AQ4:AT4)-AU4,"")</f>
        <v>50.115000000000002</v>
      </c>
      <c r="BI4" s="15">
        <f t="shared" ref="BI4:BI21" si="25">IF(SUM(AV4:AY4)-AZ4&gt;0,SUM(AV4:AY4)-AZ4,"")</f>
        <v>57.684899999999999</v>
      </c>
      <c r="BJ4" s="15">
        <f t="shared" ref="BJ4:BJ21" si="26">IF(SUM(BH4:BI4)&gt;0,SUM(BH4:BI4),"")</f>
        <v>107.79990000000001</v>
      </c>
      <c r="BK4" s="15">
        <f t="shared" ref="BK4:BK21" si="27">IF(SUM(BA4:BD4)-BE4&gt;0,SUM(BA4:BD4)-BE4,"")</f>
        <v>57.81</v>
      </c>
      <c r="BL4" s="15">
        <f t="shared" ref="BL4:BL21" si="28">IF(SUM(BJ4,BK4)&gt;0,SUM(BJ4,BK4),"")</f>
        <v>165.60990000000001</v>
      </c>
      <c r="BM4" s="26">
        <f t="shared" ref="BM4:BM21" si="29">IF(MAX(CG4,DB4,DW4,ER4,FM4,GH4,HC4,HX4,IS4,JN4,KI4,LD4)-IF(L4="",0,L4)&gt;0.001,MAX(CG4,DB4,DW4,ER4,FM4,GH4,HC4,HX4,IS4,JN4,KI4,LD4)-IF(L4="",0,L4),"")</f>
        <v>1.0899999999999963</v>
      </c>
      <c r="BN4" s="26">
        <f t="shared" ref="BN4:BN21" si="30">IF(MAX(CH4,DC4,DX4,ES4,FN4,GI4,HD4,HY4,IT4,JO4,KJ4,LE4)-IF(N4="",0,N4)&gt;0.001,MAX(CH4,DC4,DX4,ES4,FN4,GI4,HD4,HY4,IT4,JO4,KJ4,LE4)-IF(N4="",0,N4),"")</f>
        <v>1.1300999999999988</v>
      </c>
      <c r="BO4" s="26">
        <f t="shared" ref="BO4:BO21" si="31">IF(MAX(CI4,DD4,DY4,ET4,FO4,GJ4,HE4,HZ4,IU4,JP4,KK4,LF4)-IF(J4="",0,J4)&gt;0.001,MAX(CI4,DD4,DY4,ET4,FO4,GJ4,HE4,HZ4,IU4,JP4,KK4,LF4)-IF(J4="",0,J4),"")</f>
        <v>0.60000000000000853</v>
      </c>
      <c r="BP4" s="26" t="str">
        <f t="shared" ref="BP4:BP21" si="32">IF(MAX(CJ4,DE4,DZ4,EU4,FP4,GK4,HF4,IA4,IV4,JQ4,KL4,LG4)-IF(P4="",0,P4)&gt;0.001,MAX(CJ4,DE4,DZ4,EU4,FP4,GK4,HF4,IA4,IV4,JQ4,KL4,LG4)-IF(P4="",0,P4),"")</f>
        <v/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21" si="33">IF(BX4&gt;0,BX4,"")</f>
        <v/>
      </c>
      <c r="CG4" s="12" t="str">
        <f t="shared" ref="CG4:CG21" si="34">IF(SUM(BQ4:BT4)-BU4&gt;0,SUM(BQ4:BT4)-BU4,"")</f>
        <v/>
      </c>
      <c r="CH4" s="12" t="str">
        <f t="shared" ref="CH4:CH21" si="35">IF(SUM(BV4:BY4)-BZ4&gt;0,SUM(BV4:BY4)-BZ4,"")</f>
        <v/>
      </c>
      <c r="CI4" s="12" t="str">
        <f t="shared" ref="CI4:CI21" si="36">IF(SUM(CG4:CH4)&gt;0,SUM(CG4:CH4),"")</f>
        <v/>
      </c>
      <c r="CJ4" s="12" t="str">
        <f t="shared" ref="CJ4:CJ21" si="37">IF(SUM(CA4:CD4)-CE4&gt;0,SUM(CA4:CD4)-CE4,"")</f>
        <v/>
      </c>
      <c r="CK4" s="12" t="str">
        <f t="shared" ref="CK4:CK21" si="38">IF(SUM(CI4,CJ4)&gt;0,SUM(CI4,CJ4),"")</f>
        <v/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21" si="39">IF(CS4&gt;0,CS4,"")</f>
        <v/>
      </c>
      <c r="DB4" s="15" t="str">
        <f t="shared" ref="DB4:DB21" si="40">IF(SUM(CL4:CO4)-CP4&gt;0,SUM(CL4:CO4)-CP4,"")</f>
        <v/>
      </c>
      <c r="DC4" s="15" t="str">
        <f t="shared" ref="DC4:DC21" si="41">IF(SUM(CQ4:CT4)-CU4&gt;0,SUM(CQ4:CT4)-CU4,"")</f>
        <v/>
      </c>
      <c r="DD4" s="15" t="str">
        <f t="shared" ref="DD4:DD21" si="42">IF(SUM(DB4:DC4)&gt;0,SUM(DB4:DC4),"")</f>
        <v/>
      </c>
      <c r="DE4" s="15" t="str">
        <f t="shared" ref="DE4:DE21" si="43">IF(SUM(CV4:CY4)-CZ4&gt;0,SUM(CV4:CY4)-CZ4,"")</f>
        <v/>
      </c>
      <c r="DF4" s="15" t="str">
        <f t="shared" ref="DF4:DF21" si="44">IF(SUM(DD4,DE4)&gt;0,SUM(DD4,DE4),"")</f>
        <v/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21" si="45">IF(DN4&gt;0,DN4,"")</f>
        <v/>
      </c>
      <c r="DW4" s="12" t="str">
        <f t="shared" ref="DW4:DW21" si="46">IF(SUM(DG4:DJ4)-DK4&gt;0,SUM(DG4:DJ4)-DK4,"")</f>
        <v/>
      </c>
      <c r="DX4" s="12" t="str">
        <f t="shared" ref="DX4:DX21" si="47">IF(SUM(DL4:DO4)-DP4&gt;0,SUM(DL4:DO4)-DP4,"")</f>
        <v/>
      </c>
      <c r="DY4" s="12" t="str">
        <f t="shared" ref="DY4:DY21" si="48">IF(SUM(DW4:DX4)&gt;0,SUM(DW4:DX4),"")</f>
        <v/>
      </c>
      <c r="DZ4" s="12" t="str">
        <f t="shared" ref="DZ4:DZ21" si="49">IF(SUM(DQ4:DT4)-DU4&gt;0,SUM(DQ4:DT4)-DU4,"")</f>
        <v/>
      </c>
      <c r="EA4" s="12" t="str">
        <f t="shared" ref="EA4:EA21" si="50">IF(SUM(DY4,DZ4)&gt;0,SUM(DY4,DZ4),"")</f>
        <v/>
      </c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15" t="str">
        <f t="shared" ref="EQ4:EQ21" si="51">IF(EI4&gt;0,EI4,"")</f>
        <v/>
      </c>
      <c r="ER4" s="15" t="str">
        <f t="shared" ref="ER4:ER21" si="52">IF(SUM(EB4:EE4)-EF4&gt;0,SUM(EB4:EE4)-EF4,"")</f>
        <v/>
      </c>
      <c r="ES4" s="15" t="str">
        <f t="shared" ref="ES4:ES21" si="53">IF(SUM(EG4:EJ4)-EK4&gt;0,SUM(EG4:EJ4)-EK4,"")</f>
        <v/>
      </c>
      <c r="ET4" s="15" t="str">
        <f t="shared" ref="ET4:ET21" si="54">IF(SUM(ER4:ES4)&gt;0,SUM(ER4:ES4),"")</f>
        <v/>
      </c>
      <c r="EU4" s="15" t="str">
        <f t="shared" ref="EU4:EU21" si="55">IF(SUM(EL4:EO4)-EP4&gt;0,SUM(EL4:EO4)-EP4,"")</f>
        <v/>
      </c>
      <c r="EV4" s="15" t="str">
        <f t="shared" ref="EV4:EV21" si="56">IF(SUM(ET4,EU4)&gt;0,SUM(ET4,EU4),"")</f>
        <v/>
      </c>
      <c r="EW4" s="39">
        <v>18.600000000000001</v>
      </c>
      <c r="EX4" s="39">
        <v>9.6</v>
      </c>
      <c r="EY4" s="39">
        <v>0</v>
      </c>
      <c r="EZ4" s="39">
        <v>17.690000000000001</v>
      </c>
      <c r="FA4" s="39">
        <v>0</v>
      </c>
      <c r="FB4" s="39">
        <v>12</v>
      </c>
      <c r="FC4" s="39">
        <v>6.4</v>
      </c>
      <c r="FD4" s="39">
        <v>10.5</v>
      </c>
      <c r="FE4" s="39">
        <v>11.51</v>
      </c>
      <c r="FF4" s="39"/>
      <c r="FG4" s="39"/>
      <c r="FH4" s="39"/>
      <c r="FI4" s="39"/>
      <c r="FJ4" s="39"/>
      <c r="FK4" s="39"/>
      <c r="FL4" s="12">
        <f t="shared" ref="FL4:FL21" si="57">IF(FD4&gt;0,FD4,"")</f>
        <v>10.5</v>
      </c>
      <c r="FM4" s="12">
        <f t="shared" ref="FM4:FM21" si="58">IF(SUM(EW4:EZ4)-FA4&gt;0,SUM(EW4:EZ4)-FA4,"")</f>
        <v>45.89</v>
      </c>
      <c r="FN4" s="12">
        <f t="shared" ref="FN4:FN21" si="59">IF(SUM(FB4:FE4)-FF4&gt;0,SUM(FB4:FE4)-FF4,"")</f>
        <v>40.409999999999997</v>
      </c>
      <c r="FO4" s="12">
        <f t="shared" ref="FO4:FO21" si="60">IF(SUM(FM4:FN4)&gt;0,SUM(FM4:FN4),"")</f>
        <v>86.3</v>
      </c>
      <c r="FP4" s="12" t="str">
        <f t="shared" ref="FP4:FP21" si="61">IF(SUM(FG4:FJ4)-FK4&gt;0,SUM(FG4:FJ4)-FK4,"")</f>
        <v/>
      </c>
      <c r="FQ4" s="12">
        <f t="shared" ref="FQ4:FQ21" si="62">IF(SUM(FO4,FP4)&gt;0,SUM(FO4,FP4),"")</f>
        <v>86.3</v>
      </c>
      <c r="FR4" s="40">
        <v>17.399999999999999</v>
      </c>
      <c r="FS4" s="40">
        <v>9.4</v>
      </c>
      <c r="FT4" s="40">
        <v>5.5</v>
      </c>
      <c r="FU4" s="40">
        <v>17.545000000000002</v>
      </c>
      <c r="FV4" s="40">
        <v>0</v>
      </c>
      <c r="FW4" s="40">
        <v>16.3</v>
      </c>
      <c r="FX4" s="40">
        <v>9</v>
      </c>
      <c r="FY4" s="40">
        <v>15.2</v>
      </c>
      <c r="FZ4" s="40">
        <v>16.524999999999999</v>
      </c>
      <c r="GA4" s="40">
        <v>0</v>
      </c>
      <c r="GB4" s="40"/>
      <c r="GC4" s="40"/>
      <c r="GD4" s="40"/>
      <c r="GE4" s="40"/>
      <c r="GF4" s="40"/>
      <c r="GG4" s="15">
        <f t="shared" ref="GG4:GG21" si="63">IF(FY4&gt;0,FY4,"")</f>
        <v>15.2</v>
      </c>
      <c r="GH4" s="15">
        <f t="shared" ref="GH4:GH21" si="64">IF(SUM(FR4:FU4)-FV4&gt;0,SUM(FR4:FU4)-FV4,"")</f>
        <v>49.844999999999999</v>
      </c>
      <c r="GI4" s="15">
        <f t="shared" ref="GI4:GI21" si="65">IF(SUM(FW4:FZ4)-GA4&gt;0,SUM(FW4:FZ4)-GA4,"")</f>
        <v>57.024999999999999</v>
      </c>
      <c r="GJ4" s="15">
        <f t="shared" ref="GJ4:GJ21" si="66">IF(SUM(GH4:GI4)&gt;0,SUM(GH4:GI4),"")</f>
        <v>106.87</v>
      </c>
      <c r="GK4" s="15" t="str">
        <f t="shared" ref="GK4:GK21" si="67">IF(SUM(GB4:GE4)-GF4&gt;0,SUM(GB4:GE4)-GF4,"")</f>
        <v/>
      </c>
      <c r="GL4" s="15">
        <f t="shared" ref="GL4:GL21" si="68">IF(SUM(GJ4,GK4)&gt;0,SUM(GJ4,GK4),"")</f>
        <v>106.87</v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>
        <v>16.2</v>
      </c>
      <c r="GX4" s="39">
        <v>9</v>
      </c>
      <c r="GY4" s="39">
        <v>15.2</v>
      </c>
      <c r="GZ4" s="39">
        <v>16.670000000000002</v>
      </c>
      <c r="HA4" s="39">
        <v>0</v>
      </c>
      <c r="HB4" s="12" t="str">
        <f t="shared" ref="HB4:HB21" si="69">IF(GT4&gt;0,GT4,"")</f>
        <v/>
      </c>
      <c r="HC4" s="12" t="str">
        <f t="shared" ref="HC4:HC21" si="70">IF(SUM(GM4:GP4)-GQ4&gt;0,SUM(GM4:GP4)-GQ4,"")</f>
        <v/>
      </c>
      <c r="HD4" s="12" t="str">
        <f t="shared" ref="HD4:HD21" si="71">IF(SUM(GR4:GU4)-GV4&gt;0,SUM(GR4:GU4)-GV4,"")</f>
        <v/>
      </c>
      <c r="HE4" s="12" t="str">
        <f t="shared" ref="HE4:HE21" si="72">IF(SUM(HC4:HD4)&gt;0,SUM(HC4:HD4),"")</f>
        <v/>
      </c>
      <c r="HF4" s="12">
        <f t="shared" ref="HF4:HF21" si="73">IF(SUM(GW4:GZ4)-HA4&gt;0,SUM(GW4:GZ4)-HA4,"")</f>
        <v>57.07</v>
      </c>
      <c r="HG4" s="12">
        <f t="shared" ref="HG4:HG21" si="74">IF(SUM(HE4,HF4)&gt;0,SUM(HE4,HF4),"")</f>
        <v>57.07</v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21" si="75">IF(HO4&gt;0,HO4,"")</f>
        <v/>
      </c>
      <c r="HX4" s="15" t="str">
        <f t="shared" ref="HX4:HX21" si="76">IF(SUM(HH4:HK4)-HL4&gt;0,SUM(HH4:HK4)-HL4,"")</f>
        <v/>
      </c>
      <c r="HY4" s="15" t="str">
        <f t="shared" ref="HY4:HY21" si="77">IF(SUM(HM4:HP4)-HQ4&gt;0,SUM(HM4:HP4)-HQ4,"")</f>
        <v/>
      </c>
      <c r="HZ4" s="15" t="str">
        <f t="shared" ref="HZ4:HZ21" si="78">IF(SUM(HX4:HY4)&gt;0,SUM(HX4:HY4),"")</f>
        <v/>
      </c>
      <c r="IA4" s="15" t="str">
        <f t="shared" ref="IA4:IA21" si="79">IF(SUM(HR4:HU4)-HV4&gt;0,SUM(HR4:HU4)-HV4,"")</f>
        <v/>
      </c>
      <c r="IB4" s="15" t="str">
        <f t="shared" ref="IB4:IB21" si="80">IF(SUM(HZ4,IA4)&gt;0,SUM(HZ4,IA4),"")</f>
        <v/>
      </c>
      <c r="IC4" s="39">
        <v>18.399999999999999</v>
      </c>
      <c r="ID4" s="39">
        <v>9.1999999999999993</v>
      </c>
      <c r="IE4" s="39">
        <v>5.7</v>
      </c>
      <c r="IF4" s="39">
        <v>17.905000000000001</v>
      </c>
      <c r="IG4" s="39">
        <v>0</v>
      </c>
      <c r="IH4" s="39">
        <v>16.5</v>
      </c>
      <c r="II4" s="39">
        <v>8.9</v>
      </c>
      <c r="IJ4" s="39">
        <v>14.9</v>
      </c>
      <c r="IK4" s="39">
        <v>16.305</v>
      </c>
      <c r="IL4" s="39">
        <v>0</v>
      </c>
      <c r="IM4" s="39"/>
      <c r="IN4" s="39"/>
      <c r="IO4" s="39"/>
      <c r="IP4" s="39"/>
      <c r="IQ4" s="39"/>
      <c r="IR4" s="12">
        <f t="shared" ref="IR4:IR21" si="81">IF(IJ4&gt;0,IJ4,"")</f>
        <v>14.9</v>
      </c>
      <c r="IS4" s="12">
        <f t="shared" ref="IS4:IS21" si="82">IF(SUM(IC4:IF4)-IG4&gt;0,SUM(IC4:IF4)-IG4,"")</f>
        <v>51.204999999999998</v>
      </c>
      <c r="IT4" s="12">
        <f t="shared" ref="IT4:IT21" si="83">IF(SUM(IH4:IK4)-IL4&gt;0,SUM(IH4:IK4)-IL4,"")</f>
        <v>56.604999999999997</v>
      </c>
      <c r="IU4" s="12">
        <f t="shared" ref="IU4:IU21" si="84">IF(SUM(IS4:IT4)&gt;0,SUM(IS4:IT4),"")</f>
        <v>107.81</v>
      </c>
      <c r="IV4" s="12" t="str">
        <f t="shared" ref="IV4:IV21" si="85">IF(SUM(IM4:IP4)-IQ4&gt;0,SUM(IM4:IP4)-IQ4,"")</f>
        <v/>
      </c>
      <c r="IW4" s="12">
        <f t="shared" ref="IW4:IW21" si="86">IF(SUM(IU4,IV4)&gt;0,SUM(IU4,IV4),"")</f>
        <v>107.81</v>
      </c>
      <c r="IX4" s="40">
        <v>18.100000000000001</v>
      </c>
      <c r="IY4" s="40">
        <v>9.1999999999999993</v>
      </c>
      <c r="IZ4" s="40">
        <v>5.7</v>
      </c>
      <c r="JA4" s="40">
        <v>17.95</v>
      </c>
      <c r="JB4" s="40">
        <v>0</v>
      </c>
      <c r="JC4" s="40">
        <v>16.3</v>
      </c>
      <c r="JD4" s="40">
        <v>9.3000000000000007</v>
      </c>
      <c r="JE4" s="40">
        <v>16.2</v>
      </c>
      <c r="JF4" s="40">
        <v>17.015000000000001</v>
      </c>
      <c r="JG4" s="40">
        <v>0</v>
      </c>
      <c r="JH4" s="40"/>
      <c r="JI4" s="40"/>
      <c r="JJ4" s="40"/>
      <c r="JK4" s="40"/>
      <c r="JL4" s="40"/>
      <c r="JM4" s="15">
        <f t="shared" ref="JM4:JM21" si="87">IF(JE4&gt;0,JE4,"")</f>
        <v>16.2</v>
      </c>
      <c r="JN4" s="15">
        <f t="shared" ref="JN4:JN21" si="88">IF(SUM(IX4:JA4)-JB4&gt;0,SUM(IX4:JA4)-JB4,"")</f>
        <v>50.95</v>
      </c>
      <c r="JO4" s="15">
        <f t="shared" ref="JO4:JO21" si="89">IF(SUM(JC4:JF4)-JG4&gt;0,SUM(JC4:JF4)-JG4,"")</f>
        <v>58.814999999999998</v>
      </c>
      <c r="JP4" s="15">
        <f t="shared" ref="JP4:JP21" si="90">IF(SUM(JN4:JO4)&gt;0,SUM(JN4:JO4),"")</f>
        <v>109.765</v>
      </c>
      <c r="JQ4" s="15" t="str">
        <f t="shared" ref="JQ4:JQ21" si="91">IF(SUM(JH4:JK4)-JL4&gt;0,SUM(JH4:JK4)-JL4,"")</f>
        <v/>
      </c>
      <c r="JR4" s="15">
        <f t="shared" ref="JR4:JR21" si="92">IF(SUM(JP4,JQ4)&gt;0,SUM(JP4,JQ4),"")</f>
        <v>109.765</v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21" si="93">IF(JZ4&gt;0,JZ4,"")</f>
        <v/>
      </c>
      <c r="KI4" s="12" t="str">
        <f t="shared" ref="KI4:KI21" si="94">IF(SUM(JS4:JV4)-JW4&gt;0,SUM(JS4:JV4)-JW4,"")</f>
        <v/>
      </c>
      <c r="KJ4" s="12" t="str">
        <f t="shared" ref="KJ4:KJ21" si="95">IF(SUM(JX4:KA4)-KB4&gt;0,SUM(JX4:KA4)-KB4,"")</f>
        <v/>
      </c>
      <c r="KK4" s="12" t="str">
        <f t="shared" ref="KK4:KK21" si="96">IF(SUM(KI4:KJ4)&gt;0,SUM(KI4:KJ4),"")</f>
        <v/>
      </c>
      <c r="KL4" s="12" t="str">
        <f t="shared" ref="KL4:KL21" si="97">IF(SUM(KC4:KF4)-KG4&gt;0,SUM(KC4:KF4)-KG4,"")</f>
        <v/>
      </c>
      <c r="KM4" s="12" t="str">
        <f t="shared" ref="KM4:KM21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21" si="99">IF(KU4&gt;0,KU4,"")</f>
        <v/>
      </c>
      <c r="LD4" s="15" t="str">
        <f t="shared" ref="LD4:LD21" si="100">IF(SUM(KN4:KQ4)-KR4&gt;0,SUM(KN4:KQ4)-KR4,"")</f>
        <v/>
      </c>
      <c r="LE4" s="15" t="str">
        <f t="shared" ref="LE4:LE21" si="101">IF(SUM(KS4:KV4)-KW4&gt;0,SUM(KS4:KV4)-KW4,"")</f>
        <v/>
      </c>
      <c r="LF4" s="15" t="str">
        <f t="shared" ref="LF4:LF21" si="102">IF(SUM(LD4:LE4)&gt;0,SUM(LD4:LE4),"")</f>
        <v/>
      </c>
      <c r="LG4" s="15" t="str">
        <f t="shared" ref="LG4:LG21" si="103">IF(SUM(KX4:LA4)-LB4&gt;0,SUM(KX4:LA4)-LB4,"")</f>
        <v/>
      </c>
      <c r="LH4" s="15" t="str">
        <f t="shared" ref="LH4:LH21" si="104">IF(SUM(LF4,LG4)&gt;0,SUM(LF4,LG4),"")</f>
        <v/>
      </c>
      <c r="LI4" s="72">
        <f>(U4+AQ4)/2</f>
        <v>18.149999999999999</v>
      </c>
      <c r="LJ4" s="72">
        <f t="shared" ref="LJ4:LW4" si="105">(V4+AR4)/2</f>
        <v>9.1999999999999993</v>
      </c>
      <c r="LK4" s="72">
        <f t="shared" si="105"/>
        <v>5.5</v>
      </c>
      <c r="LL4" s="72">
        <f t="shared" si="105"/>
        <v>17.734999999999999</v>
      </c>
      <c r="LM4" s="72">
        <f t="shared" si="105"/>
        <v>0</v>
      </c>
      <c r="LN4" s="72">
        <f t="shared" si="105"/>
        <v>17.25</v>
      </c>
      <c r="LO4" s="72">
        <f t="shared" si="105"/>
        <v>9.1</v>
      </c>
      <c r="LP4" s="72">
        <f t="shared" si="105"/>
        <v>15.199949999999999</v>
      </c>
      <c r="LQ4" s="72">
        <f t="shared" si="105"/>
        <v>16.3475</v>
      </c>
      <c r="LR4" s="72">
        <f t="shared" si="105"/>
        <v>0</v>
      </c>
      <c r="LS4" s="72">
        <f t="shared" si="105"/>
        <v>17.850000000000001</v>
      </c>
      <c r="LT4" s="72">
        <f t="shared" si="105"/>
        <v>9.1750000000000007</v>
      </c>
      <c r="LU4" s="72">
        <f t="shared" si="105"/>
        <v>15.2</v>
      </c>
      <c r="LV4" s="72">
        <f t="shared" si="105"/>
        <v>16.787500000000001</v>
      </c>
      <c r="LW4" s="72">
        <f t="shared" si="105"/>
        <v>0</v>
      </c>
      <c r="LX4" s="83" t="s">
        <v>126</v>
      </c>
      <c r="LY4" s="12">
        <f t="shared" ref="LY4:LY21" si="106">IF(LP4&gt;0,LP4,"")</f>
        <v>15.199949999999999</v>
      </c>
      <c r="LZ4" s="12">
        <f t="shared" ref="LZ4:LZ21" si="107">IF(SUM(LI4:LL4)-LM4&gt;0,SUM(LI4:LL4)-LM4,"")</f>
        <v>50.584999999999994</v>
      </c>
      <c r="MA4" s="12">
        <f t="shared" ref="MA4:MA21" si="108">IF(SUM(LN4:LQ4)-LR4&gt;0,SUM(LN4:LQ4)-LR4,"")</f>
        <v>57.897450000000006</v>
      </c>
      <c r="MB4" s="12">
        <f t="shared" ref="MB4:MB21" si="109">IF(SUM(LZ4:MA4)&gt;0,SUM(LZ4:MA4),"")</f>
        <v>108.48245</v>
      </c>
      <c r="MC4" s="12">
        <f t="shared" ref="MC4:MC21" si="110">IF(SUM(LS4:LV4)-LW4&gt;0,SUM(LS4:LV4)-LW4,"")</f>
        <v>59.012500000000003</v>
      </c>
      <c r="MD4" s="12">
        <f t="shared" ref="MD4:MD21" si="111">IF(SUM(MB4,MC4)&gt;0,SUM(MB4,MC4),"")</f>
        <v>167.49495000000002</v>
      </c>
    </row>
    <row r="5" spans="1:342" x14ac:dyDescent="0.2">
      <c r="A5" s="6">
        <f t="shared" si="0"/>
        <v>2</v>
      </c>
      <c r="B5" s="9" t="s">
        <v>45</v>
      </c>
      <c r="C5" s="5" t="s">
        <v>3</v>
      </c>
      <c r="D5" s="6">
        <v>1986</v>
      </c>
      <c r="E5" s="16">
        <f t="shared" si="1"/>
        <v>278.01499999999999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109.14000000000001</v>
      </c>
      <c r="K5" s="15" t="str">
        <f t="shared" si="7"/>
        <v>2018 3rd Domestic Trial</v>
      </c>
      <c r="L5" s="15">
        <f t="shared" si="8"/>
        <v>51.589999999999996</v>
      </c>
      <c r="M5" s="15" t="str">
        <f t="shared" si="9"/>
        <v>2018 Nationals</v>
      </c>
      <c r="N5" s="15">
        <f t="shared" si="10"/>
        <v>56.444999999999993</v>
      </c>
      <c r="O5" s="15" t="str">
        <f t="shared" si="11"/>
        <v>2018 Nationals</v>
      </c>
      <c r="P5" s="15">
        <f t="shared" si="12"/>
        <v>59.15</v>
      </c>
      <c r="Q5" s="15" t="str">
        <f t="shared" si="13"/>
        <v>2018 Nationals</v>
      </c>
      <c r="R5" s="15">
        <f t="shared" si="14"/>
        <v>1.6900000000000119</v>
      </c>
      <c r="S5" s="27" t="str">
        <f t="shared" si="15"/>
        <v>(Vol 2)</v>
      </c>
      <c r="T5" s="15" t="str">
        <f t="shared" si="16"/>
        <v>2018 Senior Pan American Championships (Sept 9)</v>
      </c>
      <c r="U5" s="72">
        <v>18.7</v>
      </c>
      <c r="V5" s="72">
        <v>9.5500000000000007</v>
      </c>
      <c r="W5" s="72">
        <v>5.8</v>
      </c>
      <c r="X5" s="72">
        <v>17.54</v>
      </c>
      <c r="Y5" s="72">
        <v>0</v>
      </c>
      <c r="Z5" s="72">
        <v>16.399999999999999</v>
      </c>
      <c r="AA5" s="72">
        <v>8.75</v>
      </c>
      <c r="AB5" s="72">
        <v>15.2</v>
      </c>
      <c r="AC5" s="72">
        <v>16.094999999999999</v>
      </c>
      <c r="AD5" s="72">
        <v>0</v>
      </c>
      <c r="AE5" s="72">
        <v>18.2</v>
      </c>
      <c r="AF5" s="72">
        <v>9.4499999999999993</v>
      </c>
      <c r="AG5" s="72">
        <v>15</v>
      </c>
      <c r="AH5" s="72">
        <v>16.5</v>
      </c>
      <c r="AI5" s="72">
        <v>0</v>
      </c>
      <c r="AJ5" s="83"/>
      <c r="AK5" s="12">
        <f t="shared" si="17"/>
        <v>15.2</v>
      </c>
      <c r="AL5" s="12">
        <f t="shared" si="18"/>
        <v>51.589999999999996</v>
      </c>
      <c r="AM5" s="12">
        <f t="shared" si="19"/>
        <v>56.444999999999993</v>
      </c>
      <c r="AN5" s="12">
        <f t="shared" si="20"/>
        <v>108.035</v>
      </c>
      <c r="AO5" s="12">
        <f t="shared" si="21"/>
        <v>59.15</v>
      </c>
      <c r="AP5" s="12">
        <f t="shared" si="22"/>
        <v>167.185</v>
      </c>
      <c r="AQ5" s="66">
        <v>18.899999999999999</v>
      </c>
      <c r="AR5" s="66">
        <v>9.3000000000000007</v>
      </c>
      <c r="AS5" s="66">
        <v>5.8</v>
      </c>
      <c r="AT5" s="66">
        <v>17.260000000000002</v>
      </c>
      <c r="AU5" s="66">
        <v>0</v>
      </c>
      <c r="AV5" s="66">
        <v>17.3</v>
      </c>
      <c r="AW5" s="66">
        <v>8.9</v>
      </c>
      <c r="AX5" s="66">
        <v>15.2</v>
      </c>
      <c r="AY5" s="66">
        <v>16.48</v>
      </c>
      <c r="AZ5" s="66">
        <v>0</v>
      </c>
      <c r="BA5" s="66">
        <v>17.2</v>
      </c>
      <c r="BB5" s="66">
        <v>8.8000000000000007</v>
      </c>
      <c r="BC5" s="66">
        <v>15</v>
      </c>
      <c r="BD5" s="66">
        <v>16.454999999999998</v>
      </c>
      <c r="BE5" s="66">
        <v>0</v>
      </c>
      <c r="BF5" s="84"/>
      <c r="BG5" s="15">
        <f t="shared" si="23"/>
        <v>15.2</v>
      </c>
      <c r="BH5" s="15">
        <f t="shared" si="24"/>
        <v>51.260000000000005</v>
      </c>
      <c r="BI5" s="15">
        <f t="shared" si="25"/>
        <v>57.88000000000001</v>
      </c>
      <c r="BJ5" s="15">
        <f t="shared" si="26"/>
        <v>109.14000000000001</v>
      </c>
      <c r="BK5" s="15">
        <f t="shared" si="27"/>
        <v>57.454999999999998</v>
      </c>
      <c r="BL5" s="15">
        <f t="shared" si="28"/>
        <v>166.59500000000003</v>
      </c>
      <c r="BM5" s="26" t="str">
        <f t="shared" si="29"/>
        <v/>
      </c>
      <c r="BN5" s="26">
        <f t="shared" si="30"/>
        <v>1.6900000000000119</v>
      </c>
      <c r="BO5" s="26" t="str">
        <f t="shared" si="31"/>
        <v/>
      </c>
      <c r="BP5" s="26" t="str">
        <f t="shared" si="32"/>
        <v/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>
        <v>18.5</v>
      </c>
      <c r="CM5" s="40">
        <v>9.1999999999999993</v>
      </c>
      <c r="CN5" s="40">
        <v>5.8</v>
      </c>
      <c r="CO5" s="40">
        <v>17.28</v>
      </c>
      <c r="CP5" s="40">
        <v>0</v>
      </c>
      <c r="CQ5" s="40">
        <v>17.100000000000001</v>
      </c>
      <c r="CR5" s="40">
        <v>9.4</v>
      </c>
      <c r="CS5" s="40">
        <v>15.2</v>
      </c>
      <c r="CT5" s="40">
        <v>16.434999999999999</v>
      </c>
      <c r="CU5" s="40">
        <v>0</v>
      </c>
      <c r="CV5" s="40">
        <v>17</v>
      </c>
      <c r="CW5" s="40">
        <v>8.9</v>
      </c>
      <c r="CX5" s="40">
        <v>16</v>
      </c>
      <c r="CY5" s="40">
        <v>16.684999999999999</v>
      </c>
      <c r="CZ5" s="40">
        <v>0</v>
      </c>
      <c r="DA5" s="15">
        <f t="shared" si="39"/>
        <v>15.2</v>
      </c>
      <c r="DB5" s="15">
        <f t="shared" si="40"/>
        <v>50.78</v>
      </c>
      <c r="DC5" s="15">
        <f t="shared" si="41"/>
        <v>58.135000000000005</v>
      </c>
      <c r="DD5" s="15">
        <f t="shared" si="42"/>
        <v>108.91500000000001</v>
      </c>
      <c r="DE5" s="15">
        <f t="shared" si="43"/>
        <v>58.584999999999994</v>
      </c>
      <c r="DF5" s="15">
        <f t="shared" si="44"/>
        <v>167.5</v>
      </c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>
        <v>17.600000000000001</v>
      </c>
      <c r="DR5" s="39">
        <v>9.1999999999999993</v>
      </c>
      <c r="DS5" s="39">
        <v>15.4</v>
      </c>
      <c r="DT5" s="39">
        <v>16.61</v>
      </c>
      <c r="DU5" s="39">
        <v>0</v>
      </c>
      <c r="DV5" s="12" t="str">
        <f t="shared" si="45"/>
        <v/>
      </c>
      <c r="DW5" s="12" t="str">
        <f t="shared" si="46"/>
        <v/>
      </c>
      <c r="DX5" s="12" t="str">
        <f t="shared" si="47"/>
        <v/>
      </c>
      <c r="DY5" s="12" t="str">
        <f t="shared" si="48"/>
        <v/>
      </c>
      <c r="DZ5" s="12">
        <f t="shared" si="49"/>
        <v>58.81</v>
      </c>
      <c r="EA5" s="12">
        <f t="shared" si="50"/>
        <v>58.81</v>
      </c>
      <c r="EB5" s="40">
        <v>13.1</v>
      </c>
      <c r="EC5" s="40">
        <v>6.3</v>
      </c>
      <c r="ED5" s="40">
        <v>1.1000000000000001</v>
      </c>
      <c r="EE5" s="40">
        <v>12.6</v>
      </c>
      <c r="EF5" s="40">
        <v>0</v>
      </c>
      <c r="EG5" s="40">
        <v>16.2</v>
      </c>
      <c r="EH5" s="40">
        <v>8.85</v>
      </c>
      <c r="EI5" s="40">
        <v>15.6</v>
      </c>
      <c r="EJ5" s="40">
        <v>16.855</v>
      </c>
      <c r="EK5" s="40">
        <v>0</v>
      </c>
      <c r="EL5" s="40"/>
      <c r="EM5" s="40"/>
      <c r="EN5" s="40"/>
      <c r="EO5" s="40"/>
      <c r="EP5" s="40"/>
      <c r="EQ5" s="15">
        <f t="shared" si="51"/>
        <v>15.6</v>
      </c>
      <c r="ER5" s="15">
        <f t="shared" si="52"/>
        <v>33.1</v>
      </c>
      <c r="ES5" s="15">
        <f t="shared" si="53"/>
        <v>57.504999999999995</v>
      </c>
      <c r="ET5" s="15">
        <f t="shared" si="54"/>
        <v>90.60499999999999</v>
      </c>
      <c r="EU5" s="15" t="str">
        <f t="shared" si="55"/>
        <v/>
      </c>
      <c r="EV5" s="15">
        <f t="shared" si="56"/>
        <v>90.60499999999999</v>
      </c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12" t="str">
        <f t="shared" si="57"/>
        <v/>
      </c>
      <c r="FM5" s="12" t="str">
        <f t="shared" si="58"/>
        <v/>
      </c>
      <c r="FN5" s="12" t="str">
        <f t="shared" si="59"/>
        <v/>
      </c>
      <c r="FO5" s="12" t="str">
        <f t="shared" si="60"/>
        <v/>
      </c>
      <c r="FP5" s="12" t="str">
        <f t="shared" si="61"/>
        <v/>
      </c>
      <c r="FQ5" s="12" t="str">
        <f t="shared" si="62"/>
        <v/>
      </c>
      <c r="FR5" s="40">
        <v>18.5</v>
      </c>
      <c r="FS5" s="40">
        <v>9.6</v>
      </c>
      <c r="FT5" s="40">
        <v>5.6</v>
      </c>
      <c r="FU5" s="40">
        <v>17.805</v>
      </c>
      <c r="FV5" s="40">
        <v>0</v>
      </c>
      <c r="FW5" s="40">
        <v>1.6</v>
      </c>
      <c r="FX5" s="40">
        <v>0.8</v>
      </c>
      <c r="FY5" s="40">
        <v>2</v>
      </c>
      <c r="FZ5" s="40">
        <v>1.7949999999999999</v>
      </c>
      <c r="GA5" s="40">
        <v>0</v>
      </c>
      <c r="GB5" s="40"/>
      <c r="GC5" s="40"/>
      <c r="GD5" s="40"/>
      <c r="GE5" s="40"/>
      <c r="GF5" s="40"/>
      <c r="GG5" s="15">
        <f t="shared" si="63"/>
        <v>2</v>
      </c>
      <c r="GH5" s="15">
        <f t="shared" si="64"/>
        <v>51.505000000000003</v>
      </c>
      <c r="GI5" s="15">
        <f t="shared" si="65"/>
        <v>6.1950000000000003</v>
      </c>
      <c r="GJ5" s="15">
        <f t="shared" si="66"/>
        <v>57.7</v>
      </c>
      <c r="GK5" s="15" t="str">
        <f t="shared" si="67"/>
        <v/>
      </c>
      <c r="GL5" s="15">
        <f t="shared" si="68"/>
        <v>57.7</v>
      </c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12" t="str">
        <f t="shared" si="69"/>
        <v/>
      </c>
      <c r="HC5" s="12" t="str">
        <f t="shared" si="70"/>
        <v/>
      </c>
      <c r="HD5" s="12" t="str">
        <f t="shared" si="71"/>
        <v/>
      </c>
      <c r="HE5" s="12" t="str">
        <f t="shared" si="72"/>
        <v/>
      </c>
      <c r="HF5" s="12" t="str">
        <f t="shared" si="73"/>
        <v/>
      </c>
      <c r="HG5" s="12" t="str">
        <f t="shared" si="74"/>
        <v/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>
        <v>18.2</v>
      </c>
      <c r="ID5" s="39">
        <v>9.1999999999999993</v>
      </c>
      <c r="IE5" s="39">
        <v>5.4</v>
      </c>
      <c r="IF5" s="39">
        <v>17.155000000000001</v>
      </c>
      <c r="IG5" s="39">
        <v>0</v>
      </c>
      <c r="IH5" s="39">
        <v>15.5</v>
      </c>
      <c r="II5" s="39">
        <v>9</v>
      </c>
      <c r="IJ5" s="39">
        <v>16.5</v>
      </c>
      <c r="IK5" s="39">
        <v>16.195</v>
      </c>
      <c r="IL5" s="39">
        <v>0</v>
      </c>
      <c r="IM5" s="39"/>
      <c r="IN5" s="39"/>
      <c r="IO5" s="39"/>
      <c r="IP5" s="39"/>
      <c r="IQ5" s="39"/>
      <c r="IR5" s="12">
        <f t="shared" si="81"/>
        <v>16.5</v>
      </c>
      <c r="IS5" s="12">
        <f t="shared" si="82"/>
        <v>49.954999999999998</v>
      </c>
      <c r="IT5" s="12">
        <f t="shared" si="83"/>
        <v>57.195</v>
      </c>
      <c r="IU5" s="12">
        <f t="shared" si="84"/>
        <v>107.15</v>
      </c>
      <c r="IV5" s="12" t="str">
        <f t="shared" si="85"/>
        <v/>
      </c>
      <c r="IW5" s="12">
        <f t="shared" si="86"/>
        <v>107.15</v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21" si="112">(U5+AQ5)/2</f>
        <v>18.799999999999997</v>
      </c>
      <c r="LJ5" s="72">
        <f t="shared" ref="LJ5:LJ21" si="113">(V5+AR5)/2</f>
        <v>9.4250000000000007</v>
      </c>
      <c r="LK5" s="72">
        <f t="shared" ref="LK5:LK21" si="114">(W5+AS5)/2</f>
        <v>5.8</v>
      </c>
      <c r="LL5" s="72">
        <f t="shared" ref="LL5:LL21" si="115">(X5+AT5)/2</f>
        <v>17.399999999999999</v>
      </c>
      <c r="LM5" s="72">
        <f t="shared" ref="LM5:LM21" si="116">(Y5+AU5)/2</f>
        <v>0</v>
      </c>
      <c r="LN5" s="72">
        <f t="shared" ref="LN5:LN21" si="117">(Z5+AV5)/2</f>
        <v>16.850000000000001</v>
      </c>
      <c r="LO5" s="72">
        <f t="shared" ref="LO5:LO21" si="118">(AA5+AW5)/2</f>
        <v>8.8249999999999993</v>
      </c>
      <c r="LP5" s="72">
        <f t="shared" ref="LP5:LP21" si="119">(AB5+AX5)/2</f>
        <v>15.2</v>
      </c>
      <c r="LQ5" s="72">
        <f t="shared" ref="LQ5:LQ21" si="120">(AC5+AY5)/2</f>
        <v>16.287500000000001</v>
      </c>
      <c r="LR5" s="72">
        <f t="shared" ref="LR5:LR21" si="121">(AD5+AZ5)/2</f>
        <v>0</v>
      </c>
      <c r="LS5" s="72">
        <f t="shared" ref="LS5:LS21" si="122">(AE5+BA5)/2</f>
        <v>17.7</v>
      </c>
      <c r="LT5" s="72">
        <f t="shared" ref="LT5:LT21" si="123">(AF5+BB5)/2</f>
        <v>9.125</v>
      </c>
      <c r="LU5" s="72">
        <f t="shared" ref="LU5:LU21" si="124">(AG5+BC5)/2</f>
        <v>15</v>
      </c>
      <c r="LV5" s="72">
        <f t="shared" ref="LV5:LV21" si="125">(AH5+BD5)/2</f>
        <v>16.477499999999999</v>
      </c>
      <c r="LW5" s="72">
        <f t="shared" ref="LW5:LW21" si="126">(AI5+BE5)/2</f>
        <v>0</v>
      </c>
      <c r="LX5" s="83" t="s">
        <v>126</v>
      </c>
      <c r="LY5" s="12">
        <f t="shared" si="106"/>
        <v>15.2</v>
      </c>
      <c r="LZ5" s="12">
        <f t="shared" si="107"/>
        <v>51.424999999999997</v>
      </c>
      <c r="MA5" s="12">
        <f t="shared" si="108"/>
        <v>57.162500000000001</v>
      </c>
      <c r="MB5" s="12">
        <f t="shared" si="109"/>
        <v>108.58750000000001</v>
      </c>
      <c r="MC5" s="12">
        <f t="shared" si="110"/>
        <v>58.302500000000002</v>
      </c>
      <c r="MD5" s="12">
        <f t="shared" si="111"/>
        <v>166.89000000000001</v>
      </c>
    </row>
    <row r="6" spans="1:342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6">
        <f t="shared" si="1"/>
        <v>274.85000000000002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106.41000000000001</v>
      </c>
      <c r="K6" s="15" t="str">
        <f t="shared" si="7"/>
        <v>2018 3rd Domestic Trial</v>
      </c>
      <c r="L6" s="15">
        <f t="shared" si="8"/>
        <v>51.234999999999999</v>
      </c>
      <c r="M6" s="15" t="str">
        <f t="shared" si="9"/>
        <v>2018 Nationals</v>
      </c>
      <c r="N6" s="15">
        <f t="shared" si="10"/>
        <v>54.775000000000006</v>
      </c>
      <c r="O6" s="15" t="str">
        <f t="shared" si="11"/>
        <v>2018 Nationals</v>
      </c>
      <c r="P6" s="15">
        <f t="shared" si="12"/>
        <v>59.370000000000005</v>
      </c>
      <c r="Q6" s="15" t="str">
        <f t="shared" si="13"/>
        <v>2018 Nationals</v>
      </c>
      <c r="R6" s="15">
        <f t="shared" si="14"/>
        <v>3.0600000000000023</v>
      </c>
      <c r="S6" s="27" t="str">
        <f t="shared" si="15"/>
        <v>(Vol 2)</v>
      </c>
      <c r="T6" s="15" t="str">
        <f t="shared" si="16"/>
        <v>2018 World Cup POR (Oct 6)</v>
      </c>
      <c r="U6" s="72">
        <v>18.600000000000001</v>
      </c>
      <c r="V6" s="72">
        <v>9.1999999999999993</v>
      </c>
      <c r="W6" s="72">
        <v>6.1</v>
      </c>
      <c r="X6" s="72">
        <v>17.335000000000001</v>
      </c>
      <c r="Y6" s="72">
        <v>0</v>
      </c>
      <c r="Z6" s="72">
        <v>15.6</v>
      </c>
      <c r="AA6" s="72">
        <v>9</v>
      </c>
      <c r="AB6" s="72">
        <v>13.8</v>
      </c>
      <c r="AC6" s="72">
        <v>16.375</v>
      </c>
      <c r="AD6" s="72">
        <v>0</v>
      </c>
      <c r="AE6" s="72">
        <v>17.100000000000001</v>
      </c>
      <c r="AF6" s="72">
        <v>9.75</v>
      </c>
      <c r="AG6" s="72">
        <v>15.8</v>
      </c>
      <c r="AH6" s="72">
        <v>16.72</v>
      </c>
      <c r="AI6" s="72">
        <v>0</v>
      </c>
      <c r="AJ6" s="83"/>
      <c r="AK6" s="12">
        <f t="shared" si="17"/>
        <v>13.8</v>
      </c>
      <c r="AL6" s="12">
        <f t="shared" si="18"/>
        <v>51.234999999999999</v>
      </c>
      <c r="AM6" s="12">
        <f t="shared" si="19"/>
        <v>54.775000000000006</v>
      </c>
      <c r="AN6" s="12">
        <f t="shared" si="20"/>
        <v>106.01</v>
      </c>
      <c r="AO6" s="12">
        <f t="shared" si="21"/>
        <v>59.370000000000005</v>
      </c>
      <c r="AP6" s="12">
        <f t="shared" si="22"/>
        <v>165.38</v>
      </c>
      <c r="AQ6" s="78">
        <v>17.8</v>
      </c>
      <c r="AR6" s="78">
        <v>8.9</v>
      </c>
      <c r="AS6" s="78">
        <v>6.1</v>
      </c>
      <c r="AT6" s="78">
        <v>17.350000000000001</v>
      </c>
      <c r="AU6" s="78">
        <v>0</v>
      </c>
      <c r="AV6" s="78">
        <v>15.9</v>
      </c>
      <c r="AW6" s="78">
        <v>8.9</v>
      </c>
      <c r="AX6" s="78">
        <v>15.2</v>
      </c>
      <c r="AY6" s="78">
        <v>16.260000000000002</v>
      </c>
      <c r="AZ6" s="78">
        <v>0</v>
      </c>
      <c r="BA6" s="78">
        <v>1.6</v>
      </c>
      <c r="BB6" s="78">
        <v>0.8</v>
      </c>
      <c r="BC6" s="78">
        <v>2.2000000000000002</v>
      </c>
      <c r="BD6" s="78">
        <v>1.7949999999999999</v>
      </c>
      <c r="BE6" s="78">
        <v>0</v>
      </c>
      <c r="BF6" s="84"/>
      <c r="BG6" s="15">
        <f t="shared" si="23"/>
        <v>15.2</v>
      </c>
      <c r="BH6" s="15">
        <f t="shared" si="24"/>
        <v>50.150000000000006</v>
      </c>
      <c r="BI6" s="15">
        <f t="shared" si="25"/>
        <v>56.260000000000005</v>
      </c>
      <c r="BJ6" s="15">
        <f t="shared" si="26"/>
        <v>106.41000000000001</v>
      </c>
      <c r="BK6" s="15">
        <f t="shared" si="27"/>
        <v>6.3950000000000005</v>
      </c>
      <c r="BL6" s="15">
        <f t="shared" si="28"/>
        <v>112.80500000000001</v>
      </c>
      <c r="BM6" s="26" t="str">
        <f t="shared" si="29"/>
        <v/>
      </c>
      <c r="BN6" s="26">
        <f t="shared" si="30"/>
        <v>3.0600000000000023</v>
      </c>
      <c r="BO6" s="26">
        <f t="shared" si="31"/>
        <v>1.5899999999999892</v>
      </c>
      <c r="BP6" s="26" t="str">
        <f t="shared" si="32"/>
        <v/>
      </c>
      <c r="BQ6" s="39">
        <v>13.1</v>
      </c>
      <c r="BR6" s="39">
        <v>6.85</v>
      </c>
      <c r="BS6" s="39">
        <v>2</v>
      </c>
      <c r="BT6" s="39">
        <v>12.675000000000001</v>
      </c>
      <c r="BU6" s="39">
        <v>0</v>
      </c>
      <c r="BV6" s="39">
        <v>14.9</v>
      </c>
      <c r="BW6" s="39">
        <v>9</v>
      </c>
      <c r="BX6" s="39">
        <v>15.6</v>
      </c>
      <c r="BY6" s="39">
        <v>16.774999999999999</v>
      </c>
      <c r="BZ6" s="39">
        <v>0</v>
      </c>
      <c r="CA6" s="39"/>
      <c r="CB6" s="39"/>
      <c r="CC6" s="39"/>
      <c r="CD6" s="39"/>
      <c r="CE6" s="39"/>
      <c r="CF6" s="12">
        <f t="shared" si="33"/>
        <v>15.6</v>
      </c>
      <c r="CG6" s="12">
        <f t="shared" si="34"/>
        <v>34.625</v>
      </c>
      <c r="CH6" s="12">
        <f t="shared" si="35"/>
        <v>56.274999999999999</v>
      </c>
      <c r="CI6" s="12">
        <f t="shared" si="36"/>
        <v>90.9</v>
      </c>
      <c r="CJ6" s="12" t="str">
        <f t="shared" si="37"/>
        <v/>
      </c>
      <c r="CK6" s="12">
        <f t="shared" si="38"/>
        <v>90.9</v>
      </c>
      <c r="CL6" s="40">
        <v>17.2</v>
      </c>
      <c r="CM6" s="40">
        <v>9.5</v>
      </c>
      <c r="CN6" s="40">
        <v>6.1</v>
      </c>
      <c r="CO6" s="40">
        <v>17.484999999999999</v>
      </c>
      <c r="CP6" s="40">
        <v>0</v>
      </c>
      <c r="CQ6" s="40">
        <v>12.6</v>
      </c>
      <c r="CR6" s="40">
        <v>9.3000000000000007</v>
      </c>
      <c r="CS6" s="40">
        <v>13.4</v>
      </c>
      <c r="CT6" s="40">
        <v>15.15</v>
      </c>
      <c r="CU6" s="40">
        <v>0</v>
      </c>
      <c r="CV6" s="40"/>
      <c r="CW6" s="40"/>
      <c r="CX6" s="40"/>
      <c r="CY6" s="40"/>
      <c r="CZ6" s="40"/>
      <c r="DA6" s="15">
        <f t="shared" si="39"/>
        <v>13.4</v>
      </c>
      <c r="DB6" s="15">
        <f t="shared" si="40"/>
        <v>50.284999999999997</v>
      </c>
      <c r="DC6" s="15">
        <f t="shared" si="41"/>
        <v>50.449999999999996</v>
      </c>
      <c r="DD6" s="15">
        <f t="shared" si="42"/>
        <v>100.73499999999999</v>
      </c>
      <c r="DE6" s="15" t="str">
        <f t="shared" si="43"/>
        <v/>
      </c>
      <c r="DF6" s="15">
        <f t="shared" si="44"/>
        <v>100.73499999999999</v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>
        <v>16.8</v>
      </c>
      <c r="DR6" s="39">
        <v>9.3000000000000007</v>
      </c>
      <c r="DS6" s="39">
        <v>15.2</v>
      </c>
      <c r="DT6" s="39">
        <v>16.62</v>
      </c>
      <c r="DU6" s="39">
        <v>0</v>
      </c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>
        <f t="shared" si="49"/>
        <v>57.92</v>
      </c>
      <c r="EA6" s="12">
        <f t="shared" si="50"/>
        <v>57.92</v>
      </c>
      <c r="EB6" s="40">
        <v>17.3</v>
      </c>
      <c r="EC6" s="40">
        <v>9.1</v>
      </c>
      <c r="ED6" s="40">
        <v>6.1</v>
      </c>
      <c r="EE6" s="40">
        <v>17.664999999999999</v>
      </c>
      <c r="EF6" s="40">
        <v>0</v>
      </c>
      <c r="EG6" s="40">
        <v>15.9</v>
      </c>
      <c r="EH6" s="40">
        <v>9.1999999999999993</v>
      </c>
      <c r="EI6" s="40">
        <v>15.8</v>
      </c>
      <c r="EJ6" s="40">
        <v>16.934999999999999</v>
      </c>
      <c r="EK6" s="40">
        <v>0</v>
      </c>
      <c r="EL6" s="40"/>
      <c r="EM6" s="40"/>
      <c r="EN6" s="40"/>
      <c r="EO6" s="40"/>
      <c r="EP6" s="40"/>
      <c r="EQ6" s="15">
        <f t="shared" si="51"/>
        <v>15.8</v>
      </c>
      <c r="ER6" s="15">
        <f t="shared" si="52"/>
        <v>50.164999999999999</v>
      </c>
      <c r="ES6" s="15">
        <f t="shared" si="53"/>
        <v>57.835000000000008</v>
      </c>
      <c r="ET6" s="15">
        <f t="shared" si="54"/>
        <v>108</v>
      </c>
      <c r="EU6" s="15" t="str">
        <f t="shared" si="55"/>
        <v/>
      </c>
      <c r="EV6" s="15">
        <f t="shared" si="56"/>
        <v>108</v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>
        <v>17.8</v>
      </c>
      <c r="FS6" s="40">
        <v>9.1999999999999993</v>
      </c>
      <c r="FT6" s="40">
        <v>5.7</v>
      </c>
      <c r="FU6" s="40">
        <v>17.22</v>
      </c>
      <c r="FV6" s="40">
        <v>0</v>
      </c>
      <c r="FW6" s="40">
        <v>14.7</v>
      </c>
      <c r="FX6" s="40">
        <v>8.6999999999999993</v>
      </c>
      <c r="FY6" s="40">
        <v>16.2</v>
      </c>
      <c r="FZ6" s="40">
        <v>15.94</v>
      </c>
      <c r="GA6" s="40">
        <v>0</v>
      </c>
      <c r="GB6" s="40"/>
      <c r="GC6" s="40"/>
      <c r="GD6" s="40"/>
      <c r="GE6" s="40"/>
      <c r="GF6" s="40"/>
      <c r="GG6" s="15">
        <f t="shared" si="63"/>
        <v>16.2</v>
      </c>
      <c r="GH6" s="15">
        <f t="shared" si="64"/>
        <v>49.92</v>
      </c>
      <c r="GI6" s="15">
        <f t="shared" si="65"/>
        <v>55.539999999999992</v>
      </c>
      <c r="GJ6" s="15">
        <f t="shared" si="66"/>
        <v>105.46</v>
      </c>
      <c r="GK6" s="15" t="str">
        <f t="shared" si="67"/>
        <v/>
      </c>
      <c r="GL6" s="15">
        <f t="shared" si="68"/>
        <v>105.46</v>
      </c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12" t="str">
        <f t="shared" si="69"/>
        <v/>
      </c>
      <c r="HC6" s="12" t="str">
        <f t="shared" si="70"/>
        <v/>
      </c>
      <c r="HD6" s="12" t="str">
        <f t="shared" si="71"/>
        <v/>
      </c>
      <c r="HE6" s="12" t="str">
        <f t="shared" si="72"/>
        <v/>
      </c>
      <c r="HF6" s="12" t="str">
        <f t="shared" si="73"/>
        <v/>
      </c>
      <c r="HG6" s="12" t="str">
        <f t="shared" si="74"/>
        <v/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>
        <v>17.7</v>
      </c>
      <c r="ID6" s="39">
        <v>9.3000000000000007</v>
      </c>
      <c r="IE6" s="39">
        <v>5.6</v>
      </c>
      <c r="IF6" s="39">
        <v>16.965</v>
      </c>
      <c r="IG6" s="39">
        <v>0</v>
      </c>
      <c r="IH6" s="39">
        <v>1.6</v>
      </c>
      <c r="II6" s="39">
        <v>1</v>
      </c>
      <c r="IJ6" s="39">
        <v>2.2000000000000002</v>
      </c>
      <c r="IK6" s="39">
        <v>1.8049999999999999</v>
      </c>
      <c r="IL6" s="39">
        <v>0</v>
      </c>
      <c r="IM6" s="39"/>
      <c r="IN6" s="39"/>
      <c r="IO6" s="39"/>
      <c r="IP6" s="39"/>
      <c r="IQ6" s="39"/>
      <c r="IR6" s="12">
        <f t="shared" si="81"/>
        <v>2.2000000000000002</v>
      </c>
      <c r="IS6" s="12">
        <f t="shared" si="82"/>
        <v>49.564999999999998</v>
      </c>
      <c r="IT6" s="12">
        <f t="shared" si="83"/>
        <v>6.6050000000000004</v>
      </c>
      <c r="IU6" s="12">
        <f t="shared" si="84"/>
        <v>56.17</v>
      </c>
      <c r="IV6" s="12" t="str">
        <f t="shared" si="85"/>
        <v/>
      </c>
      <c r="IW6" s="12">
        <f t="shared" si="86"/>
        <v>56.17</v>
      </c>
      <c r="IX6" s="40">
        <v>18.100000000000001</v>
      </c>
      <c r="IY6" s="40">
        <v>9.1999999999999993</v>
      </c>
      <c r="IZ6" s="40">
        <v>5.2</v>
      </c>
      <c r="JA6" s="40">
        <v>17.22</v>
      </c>
      <c r="JB6" s="40">
        <v>0</v>
      </c>
      <c r="JC6" s="40">
        <v>15.4</v>
      </c>
      <c r="JD6" s="40">
        <v>8.9</v>
      </c>
      <c r="JE6" s="40">
        <v>12.9</v>
      </c>
      <c r="JF6" s="40">
        <v>16.079999999999998</v>
      </c>
      <c r="JG6" s="40">
        <v>0</v>
      </c>
      <c r="JH6" s="40"/>
      <c r="JI6" s="40"/>
      <c r="JJ6" s="40"/>
      <c r="JK6" s="40"/>
      <c r="JL6" s="40"/>
      <c r="JM6" s="15">
        <f t="shared" si="87"/>
        <v>12.9</v>
      </c>
      <c r="JN6" s="15">
        <f t="shared" si="88"/>
        <v>49.72</v>
      </c>
      <c r="JO6" s="15">
        <f t="shared" si="89"/>
        <v>53.28</v>
      </c>
      <c r="JP6" s="15">
        <f t="shared" si="90"/>
        <v>103</v>
      </c>
      <c r="JQ6" s="15" t="str">
        <f t="shared" si="91"/>
        <v/>
      </c>
      <c r="JR6" s="15">
        <f t="shared" si="92"/>
        <v>103</v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18.200000000000003</v>
      </c>
      <c r="LJ6" s="72">
        <f t="shared" si="113"/>
        <v>9.0500000000000007</v>
      </c>
      <c r="LK6" s="72">
        <f t="shared" si="114"/>
        <v>6.1</v>
      </c>
      <c r="LL6" s="72">
        <f t="shared" si="115"/>
        <v>17.342500000000001</v>
      </c>
      <c r="LM6" s="72">
        <f t="shared" si="116"/>
        <v>0</v>
      </c>
      <c r="LN6" s="72">
        <f t="shared" si="117"/>
        <v>15.75</v>
      </c>
      <c r="LO6" s="72">
        <f t="shared" si="118"/>
        <v>8.9499999999999993</v>
      </c>
      <c r="LP6" s="72">
        <f t="shared" si="119"/>
        <v>14.5</v>
      </c>
      <c r="LQ6" s="72">
        <f t="shared" si="120"/>
        <v>16.317500000000003</v>
      </c>
      <c r="LR6" s="72">
        <f t="shared" si="121"/>
        <v>0</v>
      </c>
      <c r="LS6" s="72">
        <f t="shared" si="122"/>
        <v>9.3500000000000014</v>
      </c>
      <c r="LT6" s="72">
        <f t="shared" si="123"/>
        <v>5.2750000000000004</v>
      </c>
      <c r="LU6" s="72">
        <f t="shared" si="124"/>
        <v>9</v>
      </c>
      <c r="LV6" s="72">
        <f t="shared" si="125"/>
        <v>9.2575000000000003</v>
      </c>
      <c r="LW6" s="72">
        <f t="shared" si="126"/>
        <v>0</v>
      </c>
      <c r="LX6" s="83" t="s">
        <v>126</v>
      </c>
      <c r="LY6" s="12">
        <f t="shared" si="106"/>
        <v>14.5</v>
      </c>
      <c r="LZ6" s="12">
        <f t="shared" si="107"/>
        <v>50.692500000000003</v>
      </c>
      <c r="MA6" s="12">
        <f t="shared" si="108"/>
        <v>55.517500000000005</v>
      </c>
      <c r="MB6" s="12">
        <f t="shared" si="109"/>
        <v>106.21000000000001</v>
      </c>
      <c r="MC6" s="12">
        <f t="shared" si="110"/>
        <v>32.8825</v>
      </c>
      <c r="MD6" s="12">
        <f t="shared" si="111"/>
        <v>139.0925</v>
      </c>
    </row>
    <row r="7" spans="1:342" x14ac:dyDescent="0.2">
      <c r="A7" s="6">
        <f t="shared" si="0"/>
        <v>4</v>
      </c>
      <c r="B7" s="7" t="s">
        <v>9</v>
      </c>
      <c r="C7" s="8" t="s">
        <v>3</v>
      </c>
      <c r="D7" s="6">
        <v>1994</v>
      </c>
      <c r="E7" s="16">
        <f t="shared" si="1"/>
        <v>268.56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107.235</v>
      </c>
      <c r="K7" s="15" t="str">
        <f t="shared" si="7"/>
        <v>2018 Nationals</v>
      </c>
      <c r="L7" s="15">
        <f t="shared" si="8"/>
        <v>49.519999999999996</v>
      </c>
      <c r="M7" s="15" t="str">
        <f t="shared" si="9"/>
        <v>2018 3rd Domestic Trial</v>
      </c>
      <c r="N7" s="15">
        <f t="shared" si="10"/>
        <v>55.155000000000001</v>
      </c>
      <c r="O7" s="15" t="str">
        <f t="shared" si="11"/>
        <v>2018 3rd Domestic Trial</v>
      </c>
      <c r="P7" s="15">
        <f t="shared" si="12"/>
        <v>23.974999999999998</v>
      </c>
      <c r="Q7" s="15" t="str">
        <f t="shared" si="13"/>
        <v>2018 Nationals</v>
      </c>
      <c r="R7" s="15">
        <f t="shared" si="14"/>
        <v>32.674999999999997</v>
      </c>
      <c r="S7" s="27" t="str">
        <f t="shared" si="15"/>
        <v>(Final)</v>
      </c>
      <c r="T7" s="15" t="str">
        <f t="shared" si="16"/>
        <v>2018 Senior Pan American Championships Team Finals (Sept 9)</v>
      </c>
      <c r="U7" s="72">
        <v>18.100000000000001</v>
      </c>
      <c r="V7" s="72">
        <v>9.4</v>
      </c>
      <c r="W7" s="72">
        <v>5.4</v>
      </c>
      <c r="X7" s="72">
        <v>17.71</v>
      </c>
      <c r="Y7" s="72">
        <v>0</v>
      </c>
      <c r="Z7" s="72">
        <v>15.9</v>
      </c>
      <c r="AA7" s="72">
        <v>8.8000000000000007</v>
      </c>
      <c r="AB7" s="72">
        <v>16.100000000000001</v>
      </c>
      <c r="AC7" s="72">
        <v>15.824999999999999</v>
      </c>
      <c r="AD7" s="72">
        <v>0</v>
      </c>
      <c r="AE7" s="72">
        <v>7.2</v>
      </c>
      <c r="AF7" s="72">
        <v>3.55</v>
      </c>
      <c r="AG7" s="72">
        <v>6.7</v>
      </c>
      <c r="AH7" s="72">
        <v>6.7249999999999996</v>
      </c>
      <c r="AI7" s="72">
        <v>0.2</v>
      </c>
      <c r="AJ7" s="83"/>
      <c r="AK7" s="12">
        <f t="shared" si="17"/>
        <v>16.100000000000001</v>
      </c>
      <c r="AL7" s="12">
        <f t="shared" si="18"/>
        <v>50.61</v>
      </c>
      <c r="AM7" s="12">
        <f t="shared" si="19"/>
        <v>56.625</v>
      </c>
      <c r="AN7" s="12">
        <f t="shared" si="20"/>
        <v>107.235</v>
      </c>
      <c r="AO7" s="12">
        <f t="shared" si="21"/>
        <v>23.974999999999998</v>
      </c>
      <c r="AP7" s="12">
        <f t="shared" si="22"/>
        <v>131.21</v>
      </c>
      <c r="AQ7" s="78">
        <v>17.399999999999999</v>
      </c>
      <c r="AR7" s="78">
        <v>9</v>
      </c>
      <c r="AS7" s="78">
        <v>6</v>
      </c>
      <c r="AT7" s="78">
        <v>17.12</v>
      </c>
      <c r="AU7" s="78">
        <v>0</v>
      </c>
      <c r="AV7" s="78">
        <f>15.6-0.2</f>
        <v>15.4</v>
      </c>
      <c r="AW7" s="78">
        <v>8.9</v>
      </c>
      <c r="AX7" s="78">
        <f>15+0.2</f>
        <v>15.2</v>
      </c>
      <c r="AY7" s="78">
        <v>15.654999999999999</v>
      </c>
      <c r="AZ7" s="78">
        <v>0</v>
      </c>
      <c r="BA7" s="78">
        <v>3</v>
      </c>
      <c r="BB7" s="78">
        <v>1.6</v>
      </c>
      <c r="BC7" s="78">
        <v>3.6</v>
      </c>
      <c r="BD7" s="78">
        <v>3.33</v>
      </c>
      <c r="BE7" s="78">
        <v>0</v>
      </c>
      <c r="BF7" s="84"/>
      <c r="BG7" s="15">
        <f t="shared" si="23"/>
        <v>15.2</v>
      </c>
      <c r="BH7" s="15">
        <f t="shared" si="24"/>
        <v>49.519999999999996</v>
      </c>
      <c r="BI7" s="15">
        <f t="shared" si="25"/>
        <v>55.155000000000001</v>
      </c>
      <c r="BJ7" s="15">
        <f t="shared" si="26"/>
        <v>104.675</v>
      </c>
      <c r="BK7" s="15">
        <f t="shared" si="27"/>
        <v>11.53</v>
      </c>
      <c r="BL7" s="15">
        <f t="shared" si="28"/>
        <v>116.205</v>
      </c>
      <c r="BM7" s="26">
        <f t="shared" si="29"/>
        <v>1.0250000000000057</v>
      </c>
      <c r="BN7" s="26">
        <f t="shared" si="30"/>
        <v>1.2800000000000011</v>
      </c>
      <c r="BO7" s="26" t="str">
        <f t="shared" si="31"/>
        <v/>
      </c>
      <c r="BP7" s="26">
        <f t="shared" si="32"/>
        <v>32.674999999999997</v>
      </c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12" t="str">
        <f t="shared" si="33"/>
        <v/>
      </c>
      <c r="CG7" s="12" t="str">
        <f t="shared" si="34"/>
        <v/>
      </c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40">
        <v>17.899999999999999</v>
      </c>
      <c r="CM7" s="40">
        <v>9.6</v>
      </c>
      <c r="CN7" s="40">
        <v>5.8</v>
      </c>
      <c r="CO7" s="40">
        <v>17.245000000000001</v>
      </c>
      <c r="CP7" s="40">
        <v>0</v>
      </c>
      <c r="CQ7" s="40">
        <v>16.100000000000001</v>
      </c>
      <c r="CR7" s="40">
        <v>9.1999999999999993</v>
      </c>
      <c r="CS7" s="40">
        <v>15.2</v>
      </c>
      <c r="CT7" s="40">
        <v>15.935</v>
      </c>
      <c r="CU7" s="40">
        <v>0</v>
      </c>
      <c r="CV7" s="40">
        <v>16.2</v>
      </c>
      <c r="CW7" s="40">
        <v>9.1</v>
      </c>
      <c r="CX7" s="40">
        <v>14.8</v>
      </c>
      <c r="CY7" s="40">
        <v>16.094999999999999</v>
      </c>
      <c r="CZ7" s="40">
        <v>0</v>
      </c>
      <c r="DA7" s="15">
        <f t="shared" si="39"/>
        <v>15.2</v>
      </c>
      <c r="DB7" s="15">
        <f t="shared" si="40"/>
        <v>50.545000000000002</v>
      </c>
      <c r="DC7" s="15">
        <f t="shared" si="41"/>
        <v>56.435000000000002</v>
      </c>
      <c r="DD7" s="15">
        <f t="shared" si="42"/>
        <v>106.98</v>
      </c>
      <c r="DE7" s="15">
        <f t="shared" si="43"/>
        <v>56.194999999999993</v>
      </c>
      <c r="DF7" s="15">
        <f t="shared" si="44"/>
        <v>163.17500000000001</v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>
        <v>16.399999999999999</v>
      </c>
      <c r="DR7" s="39">
        <v>9.3000000000000007</v>
      </c>
      <c r="DS7" s="39">
        <v>14.8</v>
      </c>
      <c r="DT7" s="39">
        <v>16.149999999999999</v>
      </c>
      <c r="DU7" s="39">
        <v>0</v>
      </c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>
        <f t="shared" si="49"/>
        <v>56.65</v>
      </c>
      <c r="EA7" s="12">
        <f t="shared" si="50"/>
        <v>56.65</v>
      </c>
      <c r="EB7" s="40">
        <v>12.1</v>
      </c>
      <c r="EC7" s="40">
        <v>6.45</v>
      </c>
      <c r="ED7" s="40">
        <v>1.7</v>
      </c>
      <c r="EE7" s="40">
        <v>12.515000000000001</v>
      </c>
      <c r="EF7" s="40">
        <v>0</v>
      </c>
      <c r="EG7" s="40">
        <v>14.4</v>
      </c>
      <c r="EH7" s="40">
        <v>8.6999999999999993</v>
      </c>
      <c r="EI7" s="40">
        <v>14.8</v>
      </c>
      <c r="EJ7" s="40">
        <v>16.184999999999999</v>
      </c>
      <c r="EK7" s="40">
        <v>0</v>
      </c>
      <c r="EL7" s="40"/>
      <c r="EM7" s="40"/>
      <c r="EN7" s="40"/>
      <c r="EO7" s="40"/>
      <c r="EP7" s="40"/>
      <c r="EQ7" s="15">
        <f t="shared" si="51"/>
        <v>14.8</v>
      </c>
      <c r="ER7" s="15">
        <f t="shared" si="52"/>
        <v>32.765000000000001</v>
      </c>
      <c r="ES7" s="15">
        <f t="shared" si="53"/>
        <v>54.085000000000008</v>
      </c>
      <c r="ET7" s="15">
        <f t="shared" si="54"/>
        <v>86.850000000000009</v>
      </c>
      <c r="EU7" s="15" t="str">
        <f t="shared" si="55"/>
        <v/>
      </c>
      <c r="EV7" s="15">
        <f t="shared" si="56"/>
        <v>86.850000000000009</v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>
        <v>17.3</v>
      </c>
      <c r="FS7" s="40">
        <v>8.9</v>
      </c>
      <c r="FT7" s="40">
        <v>6.2</v>
      </c>
      <c r="FU7" s="40">
        <v>17.2</v>
      </c>
      <c r="FV7" s="40">
        <v>0</v>
      </c>
      <c r="FW7" s="40">
        <v>15.1</v>
      </c>
      <c r="FX7" s="40">
        <v>9</v>
      </c>
      <c r="FY7" s="40">
        <v>14.8</v>
      </c>
      <c r="FZ7" s="40">
        <v>15.84</v>
      </c>
      <c r="GA7" s="40">
        <v>0</v>
      </c>
      <c r="GB7" s="40"/>
      <c r="GC7" s="40"/>
      <c r="GD7" s="40"/>
      <c r="GE7" s="40"/>
      <c r="GF7" s="40"/>
      <c r="GG7" s="15">
        <f t="shared" si="63"/>
        <v>14.8</v>
      </c>
      <c r="GH7" s="15">
        <f t="shared" si="64"/>
        <v>49.600000000000009</v>
      </c>
      <c r="GI7" s="15">
        <f t="shared" si="65"/>
        <v>54.740000000000009</v>
      </c>
      <c r="GJ7" s="15">
        <f t="shared" si="66"/>
        <v>104.34000000000002</v>
      </c>
      <c r="GK7" s="15" t="str">
        <f t="shared" si="67"/>
        <v/>
      </c>
      <c r="GL7" s="15">
        <f t="shared" si="68"/>
        <v>104.34000000000002</v>
      </c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12" t="str">
        <f t="shared" si="69"/>
        <v/>
      </c>
      <c r="HC7" s="12" t="str">
        <f t="shared" si="70"/>
        <v/>
      </c>
      <c r="HD7" s="12" t="str">
        <f t="shared" si="71"/>
        <v/>
      </c>
      <c r="HE7" s="12" t="str">
        <f t="shared" si="72"/>
        <v/>
      </c>
      <c r="HF7" s="12" t="str">
        <f t="shared" si="73"/>
        <v/>
      </c>
      <c r="HG7" s="12" t="str">
        <f t="shared" si="74"/>
        <v/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12" t="str">
        <f t="shared" si="81"/>
        <v/>
      </c>
      <c r="IS7" s="12" t="str">
        <f t="shared" si="82"/>
        <v/>
      </c>
      <c r="IT7" s="12" t="str">
        <f t="shared" si="83"/>
        <v/>
      </c>
      <c r="IU7" s="12" t="str">
        <f t="shared" si="84"/>
        <v/>
      </c>
      <c r="IV7" s="12" t="str">
        <f t="shared" si="85"/>
        <v/>
      </c>
      <c r="IW7" s="12" t="str">
        <f t="shared" si="86"/>
        <v/>
      </c>
      <c r="IX7" s="40">
        <v>17.399999999999999</v>
      </c>
      <c r="IY7" s="40">
        <v>9.1999999999999993</v>
      </c>
      <c r="IZ7" s="40">
        <v>6.2</v>
      </c>
      <c r="JA7" s="40">
        <v>16.484999999999999</v>
      </c>
      <c r="JB7" s="40">
        <v>0</v>
      </c>
      <c r="JC7" s="40">
        <v>12.1</v>
      </c>
      <c r="JD7" s="40">
        <v>9</v>
      </c>
      <c r="JE7" s="40">
        <v>13.2</v>
      </c>
      <c r="JF7" s="40">
        <v>14.845000000000001</v>
      </c>
      <c r="JG7" s="40">
        <v>0</v>
      </c>
      <c r="JH7" s="40"/>
      <c r="JI7" s="40"/>
      <c r="JJ7" s="40"/>
      <c r="JK7" s="40"/>
      <c r="JL7" s="40"/>
      <c r="JM7" s="15">
        <f t="shared" si="87"/>
        <v>13.2</v>
      </c>
      <c r="JN7" s="15">
        <f t="shared" si="88"/>
        <v>49.284999999999997</v>
      </c>
      <c r="JO7" s="15">
        <f t="shared" si="89"/>
        <v>49.144999999999996</v>
      </c>
      <c r="JP7" s="15">
        <f t="shared" si="90"/>
        <v>98.429999999999993</v>
      </c>
      <c r="JQ7" s="15" t="str">
        <f t="shared" si="91"/>
        <v/>
      </c>
      <c r="JR7" s="15">
        <f t="shared" si="92"/>
        <v>98.429999999999993</v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17.75</v>
      </c>
      <c r="LJ7" s="72">
        <f t="shared" si="113"/>
        <v>9.1999999999999993</v>
      </c>
      <c r="LK7" s="72">
        <f t="shared" si="114"/>
        <v>5.7</v>
      </c>
      <c r="LL7" s="72">
        <f t="shared" si="115"/>
        <v>17.414999999999999</v>
      </c>
      <c r="LM7" s="72">
        <f t="shared" si="116"/>
        <v>0</v>
      </c>
      <c r="LN7" s="72">
        <f t="shared" si="117"/>
        <v>15.65</v>
      </c>
      <c r="LO7" s="72">
        <f t="shared" si="118"/>
        <v>8.8500000000000014</v>
      </c>
      <c r="LP7" s="72">
        <f t="shared" si="119"/>
        <v>15.65</v>
      </c>
      <c r="LQ7" s="72">
        <f t="shared" si="120"/>
        <v>15.739999999999998</v>
      </c>
      <c r="LR7" s="72">
        <f t="shared" si="121"/>
        <v>0</v>
      </c>
      <c r="LS7" s="72">
        <f t="shared" si="122"/>
        <v>5.0999999999999996</v>
      </c>
      <c r="LT7" s="72">
        <f t="shared" si="123"/>
        <v>2.5750000000000002</v>
      </c>
      <c r="LU7" s="72">
        <f t="shared" si="124"/>
        <v>5.15</v>
      </c>
      <c r="LV7" s="72">
        <f t="shared" si="125"/>
        <v>5.0274999999999999</v>
      </c>
      <c r="LW7" s="72">
        <f t="shared" si="126"/>
        <v>0.1</v>
      </c>
      <c r="LX7" s="83" t="s">
        <v>126</v>
      </c>
      <c r="LY7" s="12">
        <f t="shared" si="106"/>
        <v>15.65</v>
      </c>
      <c r="LZ7" s="12">
        <f t="shared" si="107"/>
        <v>50.064999999999998</v>
      </c>
      <c r="MA7" s="12">
        <f t="shared" si="108"/>
        <v>55.89</v>
      </c>
      <c r="MB7" s="12">
        <f t="shared" si="109"/>
        <v>105.955</v>
      </c>
      <c r="MC7" s="12">
        <f t="shared" si="110"/>
        <v>17.752499999999998</v>
      </c>
      <c r="MD7" s="12">
        <f t="shared" si="111"/>
        <v>123.7075</v>
      </c>
    </row>
    <row r="8" spans="1:342" x14ac:dyDescent="0.2">
      <c r="A8" s="6" t="str">
        <f t="shared" si="0"/>
        <v/>
      </c>
      <c r="B8" s="7" t="s">
        <v>14</v>
      </c>
      <c r="C8" s="8" t="s">
        <v>3</v>
      </c>
      <c r="D8" s="6">
        <v>1988</v>
      </c>
      <c r="E8" s="16">
        <f t="shared" si="1"/>
        <v>252.9049</v>
      </c>
      <c r="F8" s="4" t="str">
        <f t="shared" si="2"/>
        <v>P</v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101.94489999999999</v>
      </c>
      <c r="K8" s="15" t="str">
        <f t="shared" si="7"/>
        <v>2018 Nationals</v>
      </c>
      <c r="L8" s="15">
        <f t="shared" si="8"/>
        <v>47.89</v>
      </c>
      <c r="M8" s="15" t="str">
        <f t="shared" si="9"/>
        <v>2018 3rd Domestic Trial</v>
      </c>
      <c r="N8" s="15">
        <f t="shared" si="10"/>
        <v>49.599999999999994</v>
      </c>
      <c r="O8" s="15" t="str">
        <f t="shared" si="11"/>
        <v>2018 3rd Domestic Trial</v>
      </c>
      <c r="P8" s="15">
        <f t="shared" si="12"/>
        <v>53.47</v>
      </c>
      <c r="Q8" s="15" t="str">
        <f t="shared" si="13"/>
        <v>2018 3rd Domestic Trial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72">
        <v>17</v>
      </c>
      <c r="V8" s="72">
        <v>9.3000000000000007</v>
      </c>
      <c r="W8" s="72">
        <v>5.2</v>
      </c>
      <c r="X8" s="72">
        <v>16.734999999999999</v>
      </c>
      <c r="Y8" s="72">
        <v>0</v>
      </c>
      <c r="Z8" s="72">
        <v>14.6</v>
      </c>
      <c r="AA8" s="72">
        <v>8.5500000000000007</v>
      </c>
      <c r="AB8" s="72">
        <f>15.2-0.0001</f>
        <v>15.1999</v>
      </c>
      <c r="AC8" s="72">
        <v>15.36</v>
      </c>
      <c r="AD8" s="72">
        <v>0</v>
      </c>
      <c r="AE8" s="72"/>
      <c r="AF8" s="72"/>
      <c r="AG8" s="72"/>
      <c r="AH8" s="72"/>
      <c r="AI8" s="72"/>
      <c r="AJ8" s="83"/>
      <c r="AK8" s="12">
        <f t="shared" si="17"/>
        <v>15.1999</v>
      </c>
      <c r="AL8" s="12">
        <f t="shared" si="18"/>
        <v>48.234999999999999</v>
      </c>
      <c r="AM8" s="12">
        <f t="shared" si="19"/>
        <v>53.709899999999998</v>
      </c>
      <c r="AN8" s="12">
        <f t="shared" si="20"/>
        <v>101.94489999999999</v>
      </c>
      <c r="AO8" s="12" t="str">
        <f t="shared" si="21"/>
        <v/>
      </c>
      <c r="AP8" s="12">
        <f t="shared" si="22"/>
        <v>101.94489999999999</v>
      </c>
      <c r="AQ8" s="78">
        <v>17.100000000000001</v>
      </c>
      <c r="AR8" s="78">
        <v>9</v>
      </c>
      <c r="AS8" s="78">
        <v>5.2</v>
      </c>
      <c r="AT8" s="78">
        <v>16.59</v>
      </c>
      <c r="AU8" s="78">
        <v>0</v>
      </c>
      <c r="AV8" s="78">
        <v>12.8</v>
      </c>
      <c r="AW8" s="78">
        <v>8.6</v>
      </c>
      <c r="AX8" s="78">
        <v>13.4</v>
      </c>
      <c r="AY8" s="78">
        <v>14.8</v>
      </c>
      <c r="AZ8" s="78">
        <v>0</v>
      </c>
      <c r="BA8" s="78">
        <v>14</v>
      </c>
      <c r="BB8" s="78">
        <v>8.6999999999999993</v>
      </c>
      <c r="BC8" s="78">
        <v>15.4</v>
      </c>
      <c r="BD8" s="78">
        <v>15.37</v>
      </c>
      <c r="BE8" s="78">
        <v>0</v>
      </c>
      <c r="BF8" s="84"/>
      <c r="BG8" s="15">
        <f t="shared" si="23"/>
        <v>13.4</v>
      </c>
      <c r="BH8" s="15">
        <f t="shared" si="24"/>
        <v>47.89</v>
      </c>
      <c r="BI8" s="15">
        <f t="shared" si="25"/>
        <v>49.599999999999994</v>
      </c>
      <c r="BJ8" s="15">
        <f t="shared" si="26"/>
        <v>97.49</v>
      </c>
      <c r="BK8" s="15">
        <f t="shared" si="27"/>
        <v>53.47</v>
      </c>
      <c r="BL8" s="15">
        <f t="shared" si="28"/>
        <v>150.95999999999998</v>
      </c>
      <c r="BM8" s="26" t="str">
        <f t="shared" si="29"/>
        <v/>
      </c>
      <c r="BN8" s="26" t="str">
        <f t="shared" si="30"/>
        <v/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17.05</v>
      </c>
      <c r="LJ8" s="72">
        <f t="shared" si="113"/>
        <v>9.15</v>
      </c>
      <c r="LK8" s="72">
        <f t="shared" si="114"/>
        <v>5.2</v>
      </c>
      <c r="LL8" s="72">
        <f t="shared" si="115"/>
        <v>16.662500000000001</v>
      </c>
      <c r="LM8" s="72">
        <f t="shared" si="116"/>
        <v>0</v>
      </c>
      <c r="LN8" s="72">
        <f t="shared" si="117"/>
        <v>13.7</v>
      </c>
      <c r="LO8" s="72">
        <f t="shared" si="118"/>
        <v>8.5749999999999993</v>
      </c>
      <c r="LP8" s="72">
        <f t="shared" si="119"/>
        <v>14.299949999999999</v>
      </c>
      <c r="LQ8" s="72">
        <f t="shared" si="120"/>
        <v>15.08</v>
      </c>
      <c r="LR8" s="72">
        <f t="shared" si="121"/>
        <v>0</v>
      </c>
      <c r="LS8" s="72">
        <f t="shared" si="122"/>
        <v>7</v>
      </c>
      <c r="LT8" s="72">
        <f t="shared" si="123"/>
        <v>4.3499999999999996</v>
      </c>
      <c r="LU8" s="72">
        <f t="shared" si="124"/>
        <v>7.7</v>
      </c>
      <c r="LV8" s="72">
        <f t="shared" si="125"/>
        <v>7.6849999999999996</v>
      </c>
      <c r="LW8" s="72">
        <f t="shared" si="126"/>
        <v>0</v>
      </c>
      <c r="LX8" s="83" t="s">
        <v>126</v>
      </c>
      <c r="LY8" s="12">
        <f t="shared" si="106"/>
        <v>14.299949999999999</v>
      </c>
      <c r="LZ8" s="12">
        <f t="shared" si="107"/>
        <v>48.0625</v>
      </c>
      <c r="MA8" s="12">
        <f t="shared" si="108"/>
        <v>51.654949999999999</v>
      </c>
      <c r="MB8" s="12">
        <f t="shared" si="109"/>
        <v>99.717449999999999</v>
      </c>
      <c r="MC8" s="12">
        <f t="shared" si="110"/>
        <v>26.734999999999999</v>
      </c>
      <c r="MD8" s="12">
        <f t="shared" si="111"/>
        <v>126.45245</v>
      </c>
    </row>
    <row r="9" spans="1:342" x14ac:dyDescent="0.2">
      <c r="A9" s="6" t="str">
        <f t="shared" si="0"/>
        <v/>
      </c>
      <c r="B9" s="7" t="s">
        <v>99</v>
      </c>
      <c r="C9" s="8" t="s">
        <v>5</v>
      </c>
      <c r="D9" s="29">
        <v>1999</v>
      </c>
      <c r="E9" s="16">
        <f t="shared" si="1"/>
        <v>249.57500000000002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5">
        <f t="shared" si="6"/>
        <v>102.38500000000001</v>
      </c>
      <c r="K9" s="15" t="str">
        <f t="shared" si="7"/>
        <v>2018 Nationals</v>
      </c>
      <c r="L9" s="15">
        <f t="shared" si="8"/>
        <v>47.07</v>
      </c>
      <c r="M9" s="15" t="str">
        <f t="shared" si="9"/>
        <v>2018 3rd Domestic Trial</v>
      </c>
      <c r="N9" s="15">
        <f t="shared" si="10"/>
        <v>47.849999999999994</v>
      </c>
      <c r="O9" s="15" t="str">
        <f t="shared" si="11"/>
        <v>2018 3rd Domestic Trial</v>
      </c>
      <c r="P9" s="15">
        <f t="shared" si="12"/>
        <v>52.27</v>
      </c>
      <c r="Q9" s="15" t="str">
        <f t="shared" si="13"/>
        <v>2018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72">
        <v>17</v>
      </c>
      <c r="V9" s="72">
        <v>9.35</v>
      </c>
      <c r="W9" s="72">
        <v>5.4</v>
      </c>
      <c r="X9" s="72">
        <v>16.45</v>
      </c>
      <c r="Y9" s="72">
        <v>0</v>
      </c>
      <c r="Z9" s="72">
        <v>14.8</v>
      </c>
      <c r="AA9" s="72">
        <v>8.65</v>
      </c>
      <c r="AB9" s="72">
        <v>15.2</v>
      </c>
      <c r="AC9" s="72">
        <v>15.535</v>
      </c>
      <c r="AD9" s="72">
        <v>0</v>
      </c>
      <c r="AE9" s="72">
        <v>13.1</v>
      </c>
      <c r="AF9" s="72">
        <v>9.1</v>
      </c>
      <c r="AG9" s="72">
        <v>15</v>
      </c>
      <c r="AH9" s="72">
        <v>15.07</v>
      </c>
      <c r="AI9" s="72">
        <v>0</v>
      </c>
      <c r="AJ9" s="83"/>
      <c r="AK9" s="12">
        <f t="shared" si="17"/>
        <v>15.2</v>
      </c>
      <c r="AL9" s="12">
        <f t="shared" si="18"/>
        <v>48.2</v>
      </c>
      <c r="AM9" s="12">
        <f t="shared" si="19"/>
        <v>54.185000000000002</v>
      </c>
      <c r="AN9" s="12">
        <f t="shared" si="20"/>
        <v>102.38500000000001</v>
      </c>
      <c r="AO9" s="12">
        <f t="shared" si="21"/>
        <v>52.27</v>
      </c>
      <c r="AP9" s="12">
        <f t="shared" si="22"/>
        <v>154.655</v>
      </c>
      <c r="AQ9" s="78">
        <v>16.600000000000001</v>
      </c>
      <c r="AR9" s="78">
        <v>8.6999999999999993</v>
      </c>
      <c r="AS9" s="78">
        <v>5.6</v>
      </c>
      <c r="AT9" s="78">
        <v>16.170000000000002</v>
      </c>
      <c r="AU9" s="78">
        <v>0</v>
      </c>
      <c r="AV9" s="78">
        <v>12.8</v>
      </c>
      <c r="AW9" s="78">
        <v>7.6</v>
      </c>
      <c r="AX9" s="78">
        <v>13.2</v>
      </c>
      <c r="AY9" s="78">
        <v>14.25</v>
      </c>
      <c r="AZ9" s="78">
        <v>0</v>
      </c>
      <c r="BA9" s="78">
        <v>11.3</v>
      </c>
      <c r="BB9" s="78">
        <v>6.9</v>
      </c>
      <c r="BC9" s="78">
        <v>11.7</v>
      </c>
      <c r="BD9" s="78">
        <v>12.19</v>
      </c>
      <c r="BE9" s="78">
        <v>0</v>
      </c>
      <c r="BF9" s="84"/>
      <c r="BG9" s="15">
        <f t="shared" si="23"/>
        <v>13.2</v>
      </c>
      <c r="BH9" s="15">
        <f t="shared" si="24"/>
        <v>47.07</v>
      </c>
      <c r="BI9" s="15">
        <f t="shared" si="25"/>
        <v>47.849999999999994</v>
      </c>
      <c r="BJ9" s="15">
        <f t="shared" si="26"/>
        <v>94.919999999999987</v>
      </c>
      <c r="BK9" s="15">
        <f t="shared" si="27"/>
        <v>42.09</v>
      </c>
      <c r="BL9" s="15">
        <f t="shared" si="28"/>
        <v>137.01</v>
      </c>
      <c r="BM9" s="26" t="str">
        <f t="shared" si="29"/>
        <v/>
      </c>
      <c r="BN9" s="26" t="str">
        <f t="shared" si="30"/>
        <v/>
      </c>
      <c r="BO9" s="26" t="str">
        <f t="shared" si="31"/>
        <v/>
      </c>
      <c r="BP9" s="26" t="str">
        <f t="shared" si="32"/>
        <v/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16.8</v>
      </c>
      <c r="LJ9" s="72">
        <f t="shared" si="113"/>
        <v>9.0249999999999986</v>
      </c>
      <c r="LK9" s="72">
        <f t="shared" si="114"/>
        <v>5.5</v>
      </c>
      <c r="LL9" s="72">
        <f t="shared" si="115"/>
        <v>16.310000000000002</v>
      </c>
      <c r="LM9" s="72">
        <f t="shared" si="116"/>
        <v>0</v>
      </c>
      <c r="LN9" s="72">
        <f t="shared" si="117"/>
        <v>13.8</v>
      </c>
      <c r="LO9" s="72">
        <f t="shared" si="118"/>
        <v>8.125</v>
      </c>
      <c r="LP9" s="72">
        <f t="shared" si="119"/>
        <v>14.2</v>
      </c>
      <c r="LQ9" s="72">
        <f t="shared" si="120"/>
        <v>14.8925</v>
      </c>
      <c r="LR9" s="72">
        <f t="shared" si="121"/>
        <v>0</v>
      </c>
      <c r="LS9" s="72">
        <f t="shared" si="122"/>
        <v>12.2</v>
      </c>
      <c r="LT9" s="72">
        <f t="shared" si="123"/>
        <v>8</v>
      </c>
      <c r="LU9" s="72">
        <f t="shared" si="124"/>
        <v>13.35</v>
      </c>
      <c r="LV9" s="72">
        <f t="shared" si="125"/>
        <v>13.629999999999999</v>
      </c>
      <c r="LW9" s="72">
        <f t="shared" si="126"/>
        <v>0</v>
      </c>
      <c r="LX9" s="83" t="s">
        <v>126</v>
      </c>
      <c r="LY9" s="12">
        <f t="shared" si="106"/>
        <v>14.2</v>
      </c>
      <c r="LZ9" s="12">
        <f t="shared" si="107"/>
        <v>47.635000000000005</v>
      </c>
      <c r="MA9" s="12">
        <f t="shared" si="108"/>
        <v>51.017499999999998</v>
      </c>
      <c r="MB9" s="12">
        <f t="shared" si="109"/>
        <v>98.652500000000003</v>
      </c>
      <c r="MC9" s="12">
        <f t="shared" si="110"/>
        <v>47.179999999999993</v>
      </c>
      <c r="MD9" s="12">
        <f t="shared" si="111"/>
        <v>145.83249999999998</v>
      </c>
    </row>
    <row r="10" spans="1:342" x14ac:dyDescent="0.2">
      <c r="A10" s="6" t="str">
        <f t="shared" si="0"/>
        <v/>
      </c>
      <c r="B10" s="9" t="s">
        <v>46</v>
      </c>
      <c r="C10" s="5" t="s">
        <v>7</v>
      </c>
      <c r="D10" s="8">
        <v>1995</v>
      </c>
      <c r="E10" s="16">
        <f t="shared" si="1"/>
        <v>230.62</v>
      </c>
      <c r="F10" s="4" t="str">
        <f t="shared" si="2"/>
        <v>P</v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102.655</v>
      </c>
      <c r="K10" s="15" t="str">
        <f t="shared" si="7"/>
        <v>2018 Nationals</v>
      </c>
      <c r="L10" s="15">
        <f t="shared" si="8"/>
        <v>48.435000000000002</v>
      </c>
      <c r="M10" s="15" t="str">
        <f t="shared" si="9"/>
        <v>2018 3rd Domestic Trial</v>
      </c>
      <c r="N10" s="15">
        <f t="shared" si="10"/>
        <v>22.18</v>
      </c>
      <c r="O10" s="15" t="str">
        <f t="shared" si="11"/>
        <v>2018 3rd Domestic Trial</v>
      </c>
      <c r="P10" s="15">
        <f t="shared" si="12"/>
        <v>32.209999999999994</v>
      </c>
      <c r="Q10" s="15" t="str">
        <f t="shared" si="13"/>
        <v>2018 3rd Domestic Trial</v>
      </c>
      <c r="R10" s="15">
        <f t="shared" si="14"/>
        <v>25.139999999999993</v>
      </c>
      <c r="S10" s="27" t="str">
        <f t="shared" si="15"/>
        <v>(Vol 2)</v>
      </c>
      <c r="T10" s="15" t="str">
        <f t="shared" si="16"/>
        <v>2018 Senior Pan American Championships (Sept 9)</v>
      </c>
      <c r="U10" s="72">
        <v>17.5</v>
      </c>
      <c r="V10" s="72">
        <v>9.4</v>
      </c>
      <c r="W10" s="72">
        <v>5.8</v>
      </c>
      <c r="X10" s="72">
        <v>16.38</v>
      </c>
      <c r="Y10" s="72">
        <v>0</v>
      </c>
      <c r="Z10" s="72">
        <v>14.2</v>
      </c>
      <c r="AA10" s="72">
        <v>9.15</v>
      </c>
      <c r="AB10" s="72">
        <v>14.7</v>
      </c>
      <c r="AC10" s="72">
        <v>15.525</v>
      </c>
      <c r="AD10" s="72">
        <v>0</v>
      </c>
      <c r="AE10" s="72">
        <v>1.7</v>
      </c>
      <c r="AF10" s="72">
        <v>0.9</v>
      </c>
      <c r="AG10" s="72">
        <v>1.7</v>
      </c>
      <c r="AH10" s="72">
        <v>1.7250000000000001</v>
      </c>
      <c r="AI10" s="72">
        <v>0</v>
      </c>
      <c r="AJ10" s="83"/>
      <c r="AK10" s="12">
        <f t="shared" si="17"/>
        <v>14.7</v>
      </c>
      <c r="AL10" s="12">
        <f t="shared" si="18"/>
        <v>49.08</v>
      </c>
      <c r="AM10" s="12">
        <f t="shared" si="19"/>
        <v>53.574999999999996</v>
      </c>
      <c r="AN10" s="12">
        <f t="shared" si="20"/>
        <v>102.655</v>
      </c>
      <c r="AO10" s="12">
        <f t="shared" si="21"/>
        <v>6.0250000000000004</v>
      </c>
      <c r="AP10" s="12">
        <f t="shared" si="22"/>
        <v>108.68</v>
      </c>
      <c r="AQ10" s="66">
        <v>17.2</v>
      </c>
      <c r="AR10" s="66">
        <v>9</v>
      </c>
      <c r="AS10" s="66">
        <v>5.8</v>
      </c>
      <c r="AT10" s="66">
        <v>16.434999999999999</v>
      </c>
      <c r="AU10" s="66">
        <v>0</v>
      </c>
      <c r="AV10" s="66">
        <v>5.7</v>
      </c>
      <c r="AW10" s="66">
        <v>3.5</v>
      </c>
      <c r="AX10" s="66">
        <v>6.4</v>
      </c>
      <c r="AY10" s="66">
        <v>6.58</v>
      </c>
      <c r="AZ10" s="66">
        <v>0</v>
      </c>
      <c r="BA10" s="66">
        <v>8.1999999999999993</v>
      </c>
      <c r="BB10" s="66">
        <v>5.7</v>
      </c>
      <c r="BC10" s="66">
        <v>8.6999999999999993</v>
      </c>
      <c r="BD10" s="66">
        <v>9.61</v>
      </c>
      <c r="BE10" s="66">
        <v>0</v>
      </c>
      <c r="BF10" s="84"/>
      <c r="BG10" s="15">
        <f t="shared" si="23"/>
        <v>6.4</v>
      </c>
      <c r="BH10" s="15">
        <f t="shared" si="24"/>
        <v>48.435000000000002</v>
      </c>
      <c r="BI10" s="15">
        <f t="shared" si="25"/>
        <v>22.18</v>
      </c>
      <c r="BJ10" s="15">
        <f t="shared" si="26"/>
        <v>70.615000000000009</v>
      </c>
      <c r="BK10" s="15">
        <f t="shared" si="27"/>
        <v>32.209999999999994</v>
      </c>
      <c r="BL10" s="15">
        <f t="shared" si="28"/>
        <v>102.825</v>
      </c>
      <c r="BM10" s="26">
        <f t="shared" si="29"/>
        <v>0.28000000000000114</v>
      </c>
      <c r="BN10" s="26">
        <f t="shared" si="30"/>
        <v>25.139999999999993</v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>
        <v>17.8</v>
      </c>
      <c r="CM10" s="40">
        <v>9.3000000000000007</v>
      </c>
      <c r="CN10" s="40">
        <v>5.2</v>
      </c>
      <c r="CO10" s="40">
        <v>16.414999999999999</v>
      </c>
      <c r="CP10" s="40">
        <v>0</v>
      </c>
      <c r="CQ10" s="40">
        <v>13.7</v>
      </c>
      <c r="CR10" s="40">
        <v>8.85</v>
      </c>
      <c r="CS10" s="40">
        <v>11.3</v>
      </c>
      <c r="CT10" s="40">
        <v>15.67</v>
      </c>
      <c r="CU10" s="40">
        <v>2.2000000000000002</v>
      </c>
      <c r="CV10" s="40"/>
      <c r="CW10" s="40"/>
      <c r="CX10" s="40"/>
      <c r="CY10" s="40"/>
      <c r="CZ10" s="40"/>
      <c r="DA10" s="15">
        <f t="shared" si="39"/>
        <v>11.3</v>
      </c>
      <c r="DB10" s="15">
        <f t="shared" si="40"/>
        <v>48.715000000000003</v>
      </c>
      <c r="DC10" s="15">
        <f t="shared" si="41"/>
        <v>47.319999999999993</v>
      </c>
      <c r="DD10" s="15">
        <f t="shared" si="42"/>
        <v>96.034999999999997</v>
      </c>
      <c r="DE10" s="15" t="str">
        <f t="shared" si="43"/>
        <v/>
      </c>
      <c r="DF10" s="15">
        <f t="shared" si="44"/>
        <v>96.034999999999997</v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17.350000000000001</v>
      </c>
      <c r="LJ10" s="72">
        <f t="shared" si="113"/>
        <v>9.1999999999999993</v>
      </c>
      <c r="LK10" s="72">
        <f t="shared" si="114"/>
        <v>5.8</v>
      </c>
      <c r="LL10" s="72">
        <f t="shared" si="115"/>
        <v>16.407499999999999</v>
      </c>
      <c r="LM10" s="72">
        <f t="shared" si="116"/>
        <v>0</v>
      </c>
      <c r="LN10" s="72">
        <f t="shared" si="117"/>
        <v>9.9499999999999993</v>
      </c>
      <c r="LO10" s="72">
        <f t="shared" si="118"/>
        <v>6.3250000000000002</v>
      </c>
      <c r="LP10" s="72">
        <f t="shared" si="119"/>
        <v>10.55</v>
      </c>
      <c r="LQ10" s="72">
        <f t="shared" si="120"/>
        <v>11.0525</v>
      </c>
      <c r="LR10" s="72">
        <f t="shared" si="121"/>
        <v>0</v>
      </c>
      <c r="LS10" s="72">
        <f t="shared" si="122"/>
        <v>4.9499999999999993</v>
      </c>
      <c r="LT10" s="72">
        <f t="shared" si="123"/>
        <v>3.3000000000000003</v>
      </c>
      <c r="LU10" s="72">
        <f t="shared" si="124"/>
        <v>5.1999999999999993</v>
      </c>
      <c r="LV10" s="72">
        <f t="shared" si="125"/>
        <v>5.6674999999999995</v>
      </c>
      <c r="LW10" s="72">
        <f t="shared" si="126"/>
        <v>0</v>
      </c>
      <c r="LX10" s="83" t="s">
        <v>126</v>
      </c>
      <c r="LY10" s="12">
        <f t="shared" si="106"/>
        <v>10.55</v>
      </c>
      <c r="LZ10" s="12">
        <f t="shared" si="107"/>
        <v>48.7575</v>
      </c>
      <c r="MA10" s="12">
        <f t="shared" si="108"/>
        <v>37.877499999999998</v>
      </c>
      <c r="MB10" s="12">
        <f t="shared" si="109"/>
        <v>86.634999999999991</v>
      </c>
      <c r="MC10" s="12">
        <f t="shared" si="110"/>
        <v>19.1175</v>
      </c>
      <c r="MD10" s="12">
        <f t="shared" si="111"/>
        <v>105.7525</v>
      </c>
    </row>
    <row r="11" spans="1:342" x14ac:dyDescent="0.2">
      <c r="A11" s="6" t="str">
        <f t="shared" si="0"/>
        <v/>
      </c>
      <c r="B11" s="9" t="s">
        <v>16</v>
      </c>
      <c r="C11" s="5" t="s">
        <v>7</v>
      </c>
      <c r="D11" s="29">
        <v>1995</v>
      </c>
      <c r="E11" s="16">
        <f t="shared" si="1"/>
        <v>214.51999999999998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99.625</v>
      </c>
      <c r="K11" s="15" t="str">
        <f t="shared" si="7"/>
        <v>2018 Nationals</v>
      </c>
      <c r="L11" s="15">
        <f t="shared" si="8"/>
        <v>46.34</v>
      </c>
      <c r="M11" s="15" t="str">
        <f t="shared" si="9"/>
        <v>2018 3rd Domestic Trial</v>
      </c>
      <c r="N11" s="15">
        <f t="shared" si="10"/>
        <v>14.794999999999998</v>
      </c>
      <c r="O11" s="15" t="str">
        <f t="shared" si="11"/>
        <v>2018 3rd Domestic Trial</v>
      </c>
      <c r="P11" s="15">
        <f t="shared" si="12"/>
        <v>53.76</v>
      </c>
      <c r="Q11" s="15" t="str">
        <f t="shared" si="13"/>
        <v>2018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72">
        <v>16.5</v>
      </c>
      <c r="V11" s="72">
        <v>9.15</v>
      </c>
      <c r="W11" s="72">
        <v>5.8</v>
      </c>
      <c r="X11" s="72">
        <v>16.03</v>
      </c>
      <c r="Y11" s="72">
        <v>0</v>
      </c>
      <c r="Z11" s="72">
        <v>13.9</v>
      </c>
      <c r="AA11" s="72">
        <v>8.8000000000000007</v>
      </c>
      <c r="AB11" s="72">
        <v>14.4</v>
      </c>
      <c r="AC11" s="72">
        <v>15.045</v>
      </c>
      <c r="AD11" s="72">
        <v>0</v>
      </c>
      <c r="AE11" s="72">
        <v>14.4</v>
      </c>
      <c r="AF11" s="72">
        <v>9</v>
      </c>
      <c r="AG11" s="72">
        <v>15.4</v>
      </c>
      <c r="AH11" s="72">
        <v>14.96</v>
      </c>
      <c r="AI11" s="72">
        <v>0</v>
      </c>
      <c r="AJ11" s="83"/>
      <c r="AK11" s="12">
        <f t="shared" si="17"/>
        <v>14.4</v>
      </c>
      <c r="AL11" s="12">
        <f t="shared" si="18"/>
        <v>47.480000000000004</v>
      </c>
      <c r="AM11" s="12">
        <f t="shared" si="19"/>
        <v>52.145000000000003</v>
      </c>
      <c r="AN11" s="12">
        <f t="shared" si="20"/>
        <v>99.625</v>
      </c>
      <c r="AO11" s="12">
        <f t="shared" si="21"/>
        <v>53.76</v>
      </c>
      <c r="AP11" s="12">
        <f t="shared" si="22"/>
        <v>153.38499999999999</v>
      </c>
      <c r="AQ11" s="78">
        <v>16.2</v>
      </c>
      <c r="AR11" s="78">
        <v>8.9</v>
      </c>
      <c r="AS11" s="78">
        <v>5.4</v>
      </c>
      <c r="AT11" s="78">
        <v>15.84</v>
      </c>
      <c r="AU11" s="78">
        <v>0</v>
      </c>
      <c r="AV11" s="78">
        <v>3.8</v>
      </c>
      <c r="AW11" s="78">
        <v>2.4</v>
      </c>
      <c r="AX11" s="78">
        <v>4</v>
      </c>
      <c r="AY11" s="78">
        <v>4.5949999999999998</v>
      </c>
      <c r="AZ11" s="78">
        <v>0</v>
      </c>
      <c r="BA11" s="78"/>
      <c r="BB11" s="78"/>
      <c r="BC11" s="78"/>
      <c r="BD11" s="78"/>
      <c r="BE11" s="78"/>
      <c r="BF11" s="84"/>
      <c r="BG11" s="15">
        <f t="shared" si="23"/>
        <v>4</v>
      </c>
      <c r="BH11" s="15">
        <f t="shared" si="24"/>
        <v>46.34</v>
      </c>
      <c r="BI11" s="15">
        <f t="shared" si="25"/>
        <v>14.794999999999998</v>
      </c>
      <c r="BJ11" s="15">
        <f t="shared" si="26"/>
        <v>61.135000000000005</v>
      </c>
      <c r="BK11" s="15" t="str">
        <f t="shared" si="27"/>
        <v/>
      </c>
      <c r="BL11" s="15">
        <f t="shared" si="28"/>
        <v>61.135000000000005</v>
      </c>
      <c r="BM11" s="26" t="str">
        <f t="shared" si="29"/>
        <v/>
      </c>
      <c r="BN11" s="26" t="str">
        <f t="shared" si="30"/>
        <v/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16.350000000000001</v>
      </c>
      <c r="LJ11" s="72">
        <f t="shared" si="113"/>
        <v>9.0250000000000004</v>
      </c>
      <c r="LK11" s="72">
        <f t="shared" si="114"/>
        <v>5.6</v>
      </c>
      <c r="LL11" s="72">
        <f t="shared" si="115"/>
        <v>15.935</v>
      </c>
      <c r="LM11" s="72">
        <f t="shared" si="116"/>
        <v>0</v>
      </c>
      <c r="LN11" s="72">
        <f t="shared" si="117"/>
        <v>8.85</v>
      </c>
      <c r="LO11" s="72">
        <f t="shared" si="118"/>
        <v>5.6000000000000005</v>
      </c>
      <c r="LP11" s="72">
        <f t="shared" si="119"/>
        <v>9.1999999999999993</v>
      </c>
      <c r="LQ11" s="72">
        <f t="shared" si="120"/>
        <v>9.82</v>
      </c>
      <c r="LR11" s="72">
        <f t="shared" si="121"/>
        <v>0</v>
      </c>
      <c r="LS11" s="72">
        <f t="shared" si="122"/>
        <v>7.2</v>
      </c>
      <c r="LT11" s="72">
        <f t="shared" si="123"/>
        <v>4.5</v>
      </c>
      <c r="LU11" s="72">
        <f t="shared" si="124"/>
        <v>7.7</v>
      </c>
      <c r="LV11" s="72">
        <f t="shared" si="125"/>
        <v>7.48</v>
      </c>
      <c r="LW11" s="72">
        <f t="shared" si="126"/>
        <v>0</v>
      </c>
      <c r="LX11" s="83" t="s">
        <v>126</v>
      </c>
      <c r="LY11" s="12">
        <f t="shared" si="106"/>
        <v>9.1999999999999993</v>
      </c>
      <c r="LZ11" s="12">
        <f t="shared" si="107"/>
        <v>46.910000000000004</v>
      </c>
      <c r="MA11" s="12">
        <f t="shared" si="108"/>
        <v>33.47</v>
      </c>
      <c r="MB11" s="12">
        <f t="shared" si="109"/>
        <v>80.38</v>
      </c>
      <c r="MC11" s="12">
        <f t="shared" si="110"/>
        <v>26.88</v>
      </c>
      <c r="MD11" s="12">
        <f t="shared" si="111"/>
        <v>107.25999999999999</v>
      </c>
    </row>
    <row r="12" spans="1:342" x14ac:dyDescent="0.2">
      <c r="A12" s="6">
        <f t="shared" si="0"/>
        <v>5</v>
      </c>
      <c r="B12" s="9" t="s">
        <v>6</v>
      </c>
      <c r="C12" s="5" t="s">
        <v>5</v>
      </c>
      <c r="D12" s="29">
        <v>1989</v>
      </c>
      <c r="E12" s="16">
        <f t="shared" si="1"/>
        <v>264.27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104.56</v>
      </c>
      <c r="K12" s="15" t="str">
        <f t="shared" si="7"/>
        <v>2018 Nationals</v>
      </c>
      <c r="L12" s="15">
        <f t="shared" si="8"/>
        <v>49.739999999999995</v>
      </c>
      <c r="M12" s="15" t="str">
        <f t="shared" si="9"/>
        <v>2018 3rd Domestic Trial</v>
      </c>
      <c r="N12" s="15">
        <f t="shared" si="10"/>
        <v>54.694999999999993</v>
      </c>
      <c r="O12" s="15" t="str">
        <f t="shared" si="11"/>
        <v>2018 3rd Domestic Trial</v>
      </c>
      <c r="P12" s="15">
        <f t="shared" si="12"/>
        <v>55.275000000000006</v>
      </c>
      <c r="Q12" s="15" t="str">
        <f t="shared" si="13"/>
        <v>2018 Nationals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72">
        <v>17.100000000000001</v>
      </c>
      <c r="V12" s="72">
        <v>9.4</v>
      </c>
      <c r="W12" s="72">
        <v>5.8</v>
      </c>
      <c r="X12" s="72">
        <v>16.594999999999999</v>
      </c>
      <c r="Y12" s="72">
        <v>0</v>
      </c>
      <c r="Z12" s="72">
        <v>17.100000000000001</v>
      </c>
      <c r="AA12" s="72">
        <v>9.1</v>
      </c>
      <c r="AB12" s="72">
        <v>13.1</v>
      </c>
      <c r="AC12" s="72">
        <v>16.364999999999998</v>
      </c>
      <c r="AD12" s="72">
        <v>0</v>
      </c>
      <c r="AE12" s="72">
        <v>16.8</v>
      </c>
      <c r="AF12" s="72">
        <v>8.9</v>
      </c>
      <c r="AG12" s="72">
        <v>13.1</v>
      </c>
      <c r="AH12" s="72">
        <v>16.475000000000001</v>
      </c>
      <c r="AI12" s="72">
        <v>0</v>
      </c>
      <c r="AJ12" s="83"/>
      <c r="AK12" s="12">
        <f t="shared" si="17"/>
        <v>13.1</v>
      </c>
      <c r="AL12" s="12">
        <f t="shared" si="18"/>
        <v>48.894999999999996</v>
      </c>
      <c r="AM12" s="12">
        <f t="shared" si="19"/>
        <v>55.665000000000006</v>
      </c>
      <c r="AN12" s="12">
        <f t="shared" si="20"/>
        <v>104.56</v>
      </c>
      <c r="AO12" s="12">
        <f t="shared" si="21"/>
        <v>55.275000000000006</v>
      </c>
      <c r="AP12" s="12">
        <f t="shared" si="22"/>
        <v>159.83500000000001</v>
      </c>
      <c r="AQ12" s="78">
        <v>17.600000000000001</v>
      </c>
      <c r="AR12" s="78">
        <v>9.5</v>
      </c>
      <c r="AS12" s="78">
        <v>5.8</v>
      </c>
      <c r="AT12" s="78">
        <v>16.84</v>
      </c>
      <c r="AU12" s="78">
        <v>0</v>
      </c>
      <c r="AV12" s="78">
        <v>16.2</v>
      </c>
      <c r="AW12" s="78">
        <v>9</v>
      </c>
      <c r="AX12" s="78">
        <v>13.1</v>
      </c>
      <c r="AY12" s="78">
        <v>16.395</v>
      </c>
      <c r="AZ12" s="78">
        <v>0</v>
      </c>
      <c r="BA12" s="78">
        <v>16.600000000000001</v>
      </c>
      <c r="BB12" s="78">
        <v>8.9</v>
      </c>
      <c r="BC12" s="78">
        <v>13.1</v>
      </c>
      <c r="BD12" s="78">
        <v>16.66</v>
      </c>
      <c r="BE12" s="78">
        <v>0</v>
      </c>
      <c r="BF12" s="84"/>
      <c r="BG12" s="15">
        <f t="shared" si="23"/>
        <v>13.1</v>
      </c>
      <c r="BH12" s="15">
        <f t="shared" si="24"/>
        <v>49.739999999999995</v>
      </c>
      <c r="BI12" s="15">
        <f t="shared" si="25"/>
        <v>54.694999999999993</v>
      </c>
      <c r="BJ12" s="15">
        <f t="shared" si="26"/>
        <v>104.43499999999999</v>
      </c>
      <c r="BK12" s="15">
        <f t="shared" si="27"/>
        <v>55.260000000000005</v>
      </c>
      <c r="BL12" s="15">
        <f t="shared" si="28"/>
        <v>159.69499999999999</v>
      </c>
      <c r="BM12" s="26" t="str">
        <f t="shared" si="29"/>
        <v/>
      </c>
      <c r="BN12" s="26" t="str">
        <f t="shared" si="30"/>
        <v/>
      </c>
      <c r="BO12" s="26" t="str">
        <f t="shared" si="31"/>
        <v/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17.350000000000001</v>
      </c>
      <c r="LJ12" s="72">
        <f t="shared" si="113"/>
        <v>9.4499999999999993</v>
      </c>
      <c r="LK12" s="72">
        <f t="shared" si="114"/>
        <v>5.8</v>
      </c>
      <c r="LL12" s="72">
        <f t="shared" si="115"/>
        <v>16.717500000000001</v>
      </c>
      <c r="LM12" s="72">
        <f t="shared" si="116"/>
        <v>0</v>
      </c>
      <c r="LN12" s="72">
        <f t="shared" si="117"/>
        <v>16.649999999999999</v>
      </c>
      <c r="LO12" s="72">
        <f t="shared" si="118"/>
        <v>9.0500000000000007</v>
      </c>
      <c r="LP12" s="72">
        <f t="shared" si="119"/>
        <v>13.1</v>
      </c>
      <c r="LQ12" s="72">
        <f t="shared" si="120"/>
        <v>16.38</v>
      </c>
      <c r="LR12" s="72">
        <f t="shared" si="121"/>
        <v>0</v>
      </c>
      <c r="LS12" s="72">
        <f t="shared" si="122"/>
        <v>16.700000000000003</v>
      </c>
      <c r="LT12" s="72">
        <f t="shared" si="123"/>
        <v>8.9</v>
      </c>
      <c r="LU12" s="72">
        <f t="shared" si="124"/>
        <v>13.1</v>
      </c>
      <c r="LV12" s="72">
        <f t="shared" si="125"/>
        <v>16.567500000000003</v>
      </c>
      <c r="LW12" s="72">
        <f t="shared" si="126"/>
        <v>0</v>
      </c>
      <c r="LX12" s="83" t="s">
        <v>126</v>
      </c>
      <c r="LY12" s="12">
        <f t="shared" si="106"/>
        <v>13.1</v>
      </c>
      <c r="LZ12" s="12">
        <f t="shared" si="107"/>
        <v>49.317500000000003</v>
      </c>
      <c r="MA12" s="12">
        <f t="shared" si="108"/>
        <v>55.179999999999993</v>
      </c>
      <c r="MB12" s="12">
        <f t="shared" si="109"/>
        <v>104.4975</v>
      </c>
      <c r="MC12" s="12">
        <f t="shared" si="110"/>
        <v>55.267500000000005</v>
      </c>
      <c r="MD12" s="12">
        <f t="shared" si="111"/>
        <v>159.76500000000001</v>
      </c>
    </row>
    <row r="13" spans="1:342" x14ac:dyDescent="0.2">
      <c r="A13" s="6" t="str">
        <f t="shared" si="0"/>
        <v/>
      </c>
      <c r="B13" s="9" t="s">
        <v>8</v>
      </c>
      <c r="C13" s="5" t="s">
        <v>5</v>
      </c>
      <c r="D13" s="29">
        <v>1993</v>
      </c>
      <c r="E13" s="16">
        <f t="shared" si="1"/>
        <v>245.81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98.60499999999999</v>
      </c>
      <c r="K13" s="15" t="str">
        <f t="shared" si="7"/>
        <v>2018 Nationals</v>
      </c>
      <c r="L13" s="15">
        <f t="shared" si="8"/>
        <v>43.25</v>
      </c>
      <c r="M13" s="15" t="str">
        <f t="shared" si="9"/>
        <v>2018 3rd Domestic Trial</v>
      </c>
      <c r="N13" s="15">
        <f t="shared" si="10"/>
        <v>51.405000000000001</v>
      </c>
      <c r="O13" s="15" t="str">
        <f t="shared" si="11"/>
        <v>2018 3rd Domestic Trial</v>
      </c>
      <c r="P13" s="15">
        <f t="shared" si="12"/>
        <v>52.55</v>
      </c>
      <c r="Q13" s="15" t="str">
        <f t="shared" si="13"/>
        <v>2018 3rd Domestic Trial</v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72">
        <v>17</v>
      </c>
      <c r="V13" s="72">
        <v>9.1999999999999993</v>
      </c>
      <c r="W13" s="72">
        <v>5</v>
      </c>
      <c r="X13" s="72">
        <v>16.68</v>
      </c>
      <c r="Y13" s="72">
        <v>0</v>
      </c>
      <c r="Z13" s="72">
        <v>13.3</v>
      </c>
      <c r="AA13" s="72">
        <v>8.9499999999999993</v>
      </c>
      <c r="AB13" s="72">
        <v>13.1</v>
      </c>
      <c r="AC13" s="72">
        <v>15.375</v>
      </c>
      <c r="AD13" s="72">
        <v>0</v>
      </c>
      <c r="AE13" s="72"/>
      <c r="AF13" s="72"/>
      <c r="AG13" s="72"/>
      <c r="AH13" s="72"/>
      <c r="AI13" s="72"/>
      <c r="AJ13" s="83"/>
      <c r="AK13" s="12">
        <f t="shared" si="17"/>
        <v>13.1</v>
      </c>
      <c r="AL13" s="12">
        <f t="shared" si="18"/>
        <v>47.879999999999995</v>
      </c>
      <c r="AM13" s="12">
        <f t="shared" si="19"/>
        <v>50.725000000000001</v>
      </c>
      <c r="AN13" s="12">
        <f t="shared" si="20"/>
        <v>98.60499999999999</v>
      </c>
      <c r="AO13" s="12" t="str">
        <f t="shared" si="21"/>
        <v/>
      </c>
      <c r="AP13" s="12">
        <f t="shared" si="22"/>
        <v>98.60499999999999</v>
      </c>
      <c r="AQ13" s="78">
        <v>15.5</v>
      </c>
      <c r="AR13" s="78">
        <v>8</v>
      </c>
      <c r="AS13" s="78">
        <v>4.4000000000000004</v>
      </c>
      <c r="AT13" s="78">
        <v>15.35</v>
      </c>
      <c r="AU13" s="78">
        <v>0</v>
      </c>
      <c r="AV13" s="78">
        <v>13.4</v>
      </c>
      <c r="AW13" s="78">
        <v>8.6</v>
      </c>
      <c r="AX13" s="78">
        <v>14</v>
      </c>
      <c r="AY13" s="78">
        <v>15.404999999999999</v>
      </c>
      <c r="AZ13" s="78">
        <v>0</v>
      </c>
      <c r="BA13" s="78">
        <v>14.8</v>
      </c>
      <c r="BB13" s="78">
        <v>9.1</v>
      </c>
      <c r="BC13" s="78">
        <v>13</v>
      </c>
      <c r="BD13" s="78">
        <v>15.65</v>
      </c>
      <c r="BE13" s="78">
        <v>0</v>
      </c>
      <c r="BF13" s="84"/>
      <c r="BG13" s="15">
        <f t="shared" si="23"/>
        <v>14</v>
      </c>
      <c r="BH13" s="15">
        <f t="shared" si="24"/>
        <v>43.25</v>
      </c>
      <c r="BI13" s="15">
        <f t="shared" si="25"/>
        <v>51.405000000000001</v>
      </c>
      <c r="BJ13" s="15">
        <f t="shared" si="26"/>
        <v>94.655000000000001</v>
      </c>
      <c r="BK13" s="15">
        <f t="shared" si="27"/>
        <v>52.55</v>
      </c>
      <c r="BL13" s="15">
        <f t="shared" si="28"/>
        <v>147.20499999999998</v>
      </c>
      <c r="BM13" s="26" t="str">
        <f t="shared" si="29"/>
        <v/>
      </c>
      <c r="BN13" s="26" t="str">
        <f t="shared" si="30"/>
        <v/>
      </c>
      <c r="BO13" s="26" t="str">
        <f t="shared" si="31"/>
        <v/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16.25</v>
      </c>
      <c r="LJ13" s="72">
        <f t="shared" si="113"/>
        <v>8.6</v>
      </c>
      <c r="LK13" s="72">
        <f t="shared" si="114"/>
        <v>4.7</v>
      </c>
      <c r="LL13" s="72">
        <f t="shared" si="115"/>
        <v>16.015000000000001</v>
      </c>
      <c r="LM13" s="72">
        <f t="shared" si="116"/>
        <v>0</v>
      </c>
      <c r="LN13" s="72">
        <f t="shared" si="117"/>
        <v>13.350000000000001</v>
      </c>
      <c r="LO13" s="72">
        <f t="shared" si="118"/>
        <v>8.7749999999999986</v>
      </c>
      <c r="LP13" s="72">
        <f t="shared" si="119"/>
        <v>13.55</v>
      </c>
      <c r="LQ13" s="72">
        <f t="shared" si="120"/>
        <v>15.39</v>
      </c>
      <c r="LR13" s="72">
        <f t="shared" si="121"/>
        <v>0</v>
      </c>
      <c r="LS13" s="72">
        <f t="shared" si="122"/>
        <v>7.4</v>
      </c>
      <c r="LT13" s="72">
        <f t="shared" si="123"/>
        <v>4.55</v>
      </c>
      <c r="LU13" s="72">
        <f t="shared" si="124"/>
        <v>6.5</v>
      </c>
      <c r="LV13" s="72">
        <f t="shared" si="125"/>
        <v>7.8250000000000002</v>
      </c>
      <c r="LW13" s="72">
        <f t="shared" si="126"/>
        <v>0</v>
      </c>
      <c r="LX13" s="83" t="s">
        <v>126</v>
      </c>
      <c r="LY13" s="12">
        <f t="shared" si="106"/>
        <v>13.55</v>
      </c>
      <c r="LZ13" s="12">
        <f t="shared" si="107"/>
        <v>45.564999999999998</v>
      </c>
      <c r="MA13" s="12">
        <f t="shared" si="108"/>
        <v>51.064999999999998</v>
      </c>
      <c r="MB13" s="12">
        <f t="shared" si="109"/>
        <v>96.63</v>
      </c>
      <c r="MC13" s="12">
        <f t="shared" si="110"/>
        <v>26.274999999999999</v>
      </c>
      <c r="MD13" s="12">
        <f t="shared" si="111"/>
        <v>122.905</v>
      </c>
    </row>
    <row r="14" spans="1:342" x14ac:dyDescent="0.2">
      <c r="A14" s="6" t="str">
        <f t="shared" si="0"/>
        <v/>
      </c>
      <c r="B14" s="7" t="s">
        <v>98</v>
      </c>
      <c r="C14" s="8" t="s">
        <v>11</v>
      </c>
      <c r="D14" s="29">
        <v>1999</v>
      </c>
      <c r="E14" s="16">
        <f t="shared" si="1"/>
        <v>244.40499999999997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102.55</v>
      </c>
      <c r="K14" s="15" t="str">
        <f t="shared" si="7"/>
        <v>2018 Nationals</v>
      </c>
      <c r="L14" s="15">
        <f t="shared" si="8"/>
        <v>32.74</v>
      </c>
      <c r="M14" s="15" t="str">
        <f t="shared" si="9"/>
        <v>2018 3rd Domestic Trial</v>
      </c>
      <c r="N14" s="15">
        <f t="shared" si="10"/>
        <v>43.59</v>
      </c>
      <c r="O14" s="15" t="str">
        <f t="shared" si="11"/>
        <v>2018 3rd Domestic Trial</v>
      </c>
      <c r="P14" s="15">
        <f t="shared" si="12"/>
        <v>53.98</v>
      </c>
      <c r="Q14" s="15" t="str">
        <f t="shared" si="13"/>
        <v>2018 Nationals</v>
      </c>
      <c r="R14" s="15">
        <f t="shared" si="14"/>
        <v>11.544999999999995</v>
      </c>
      <c r="S14" s="27" t="str">
        <f t="shared" si="15"/>
        <v>(Vol 1)</v>
      </c>
      <c r="T14" s="15" t="str">
        <f t="shared" si="16"/>
        <v>2018 World Age Groups (Nov 18)</v>
      </c>
      <c r="U14" s="72">
        <v>17.399999999999999</v>
      </c>
      <c r="V14" s="72">
        <v>8.8000000000000007</v>
      </c>
      <c r="W14" s="72">
        <v>5</v>
      </c>
      <c r="X14" s="72">
        <v>17.045000000000002</v>
      </c>
      <c r="Y14" s="72">
        <v>0</v>
      </c>
      <c r="Z14" s="72">
        <v>16.399999999999999</v>
      </c>
      <c r="AA14" s="72">
        <v>8.6</v>
      </c>
      <c r="AB14" s="72">
        <v>13.3</v>
      </c>
      <c r="AC14" s="72">
        <v>16.004999999999999</v>
      </c>
      <c r="AD14" s="72">
        <v>0</v>
      </c>
      <c r="AE14" s="72">
        <v>15.7</v>
      </c>
      <c r="AF14" s="72">
        <v>9.0500000000000007</v>
      </c>
      <c r="AG14" s="72">
        <v>13.3</v>
      </c>
      <c r="AH14" s="72">
        <v>15.93</v>
      </c>
      <c r="AI14" s="72">
        <v>0</v>
      </c>
      <c r="AJ14" s="83"/>
      <c r="AK14" s="12">
        <f t="shared" si="17"/>
        <v>13.3</v>
      </c>
      <c r="AL14" s="12">
        <f t="shared" si="18"/>
        <v>48.245000000000005</v>
      </c>
      <c r="AM14" s="12">
        <f t="shared" si="19"/>
        <v>54.304999999999993</v>
      </c>
      <c r="AN14" s="12">
        <f t="shared" si="20"/>
        <v>102.55</v>
      </c>
      <c r="AO14" s="12">
        <f t="shared" si="21"/>
        <v>53.98</v>
      </c>
      <c r="AP14" s="12">
        <f t="shared" si="22"/>
        <v>156.53</v>
      </c>
      <c r="AQ14" s="78">
        <v>12.4</v>
      </c>
      <c r="AR14" s="78">
        <v>6.5</v>
      </c>
      <c r="AS14" s="78">
        <v>1.6</v>
      </c>
      <c r="AT14" s="78">
        <v>12.24</v>
      </c>
      <c r="AU14" s="78">
        <v>0</v>
      </c>
      <c r="AV14" s="78">
        <v>11.9</v>
      </c>
      <c r="AW14" s="78">
        <v>7.2</v>
      </c>
      <c r="AX14" s="78">
        <v>11.5</v>
      </c>
      <c r="AY14" s="78">
        <v>12.99</v>
      </c>
      <c r="AZ14" s="78">
        <v>0</v>
      </c>
      <c r="BA14" s="78">
        <v>14.7</v>
      </c>
      <c r="BB14" s="78">
        <v>8.6</v>
      </c>
      <c r="BC14" s="78">
        <v>13.8</v>
      </c>
      <c r="BD14" s="78">
        <v>15.865</v>
      </c>
      <c r="BE14" s="78">
        <v>0</v>
      </c>
      <c r="BF14" s="84"/>
      <c r="BG14" s="15">
        <f t="shared" si="23"/>
        <v>11.5</v>
      </c>
      <c r="BH14" s="15">
        <f t="shared" si="24"/>
        <v>32.74</v>
      </c>
      <c r="BI14" s="15">
        <f t="shared" si="25"/>
        <v>43.59</v>
      </c>
      <c r="BJ14" s="15">
        <f t="shared" si="26"/>
        <v>76.330000000000013</v>
      </c>
      <c r="BK14" s="15">
        <f t="shared" si="27"/>
        <v>52.964999999999996</v>
      </c>
      <c r="BL14" s="15">
        <f t="shared" si="28"/>
        <v>129.29500000000002</v>
      </c>
      <c r="BM14" s="26">
        <f t="shared" si="29"/>
        <v>11.544999999999995</v>
      </c>
      <c r="BN14" s="26">
        <f t="shared" si="30"/>
        <v>7.5149999999999935</v>
      </c>
      <c r="BO14" s="26" t="str">
        <f t="shared" si="31"/>
        <v/>
      </c>
      <c r="BP14" s="26" t="str">
        <f t="shared" si="32"/>
        <v/>
      </c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12" t="str">
        <f t="shared" si="33"/>
        <v/>
      </c>
      <c r="CG14" s="12" t="str">
        <f t="shared" si="34"/>
        <v/>
      </c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15" t="str">
        <f t="shared" si="51"/>
        <v/>
      </c>
      <c r="ER14" s="15" t="str">
        <f t="shared" si="52"/>
        <v/>
      </c>
      <c r="ES14" s="15" t="str">
        <f t="shared" si="53"/>
        <v/>
      </c>
      <c r="ET14" s="15" t="str">
        <f t="shared" si="54"/>
        <v/>
      </c>
      <c r="EU14" s="15" t="str">
        <f t="shared" si="55"/>
        <v/>
      </c>
      <c r="EV14" s="15" t="str">
        <f t="shared" si="56"/>
        <v/>
      </c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12" t="str">
        <f t="shared" si="57"/>
        <v/>
      </c>
      <c r="FM14" s="12" t="str">
        <f t="shared" si="58"/>
        <v/>
      </c>
      <c r="FN14" s="12" t="str">
        <f t="shared" si="59"/>
        <v/>
      </c>
      <c r="FO14" s="12" t="str">
        <f t="shared" si="60"/>
        <v/>
      </c>
      <c r="FP14" s="12" t="str">
        <f t="shared" si="61"/>
        <v/>
      </c>
      <c r="FQ14" s="12" t="str">
        <f t="shared" si="62"/>
        <v/>
      </c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15" t="str">
        <f t="shared" si="63"/>
        <v/>
      </c>
      <c r="GH14" s="15" t="str">
        <f t="shared" si="64"/>
        <v/>
      </c>
      <c r="GI14" s="15" t="str">
        <f t="shared" si="65"/>
        <v/>
      </c>
      <c r="GJ14" s="15" t="str">
        <f t="shared" si="66"/>
        <v/>
      </c>
      <c r="GK14" s="15" t="str">
        <f t="shared" si="67"/>
        <v/>
      </c>
      <c r="GL14" s="15" t="str">
        <f t="shared" si="68"/>
        <v/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>
        <v>17.2</v>
      </c>
      <c r="HI14" s="40">
        <v>9.5</v>
      </c>
      <c r="HJ14" s="40">
        <v>0</v>
      </c>
      <c r="HK14" s="40">
        <v>17.585000000000001</v>
      </c>
      <c r="HL14" s="40">
        <v>0</v>
      </c>
      <c r="HM14" s="40">
        <v>16.399999999999999</v>
      </c>
      <c r="HN14" s="40">
        <v>9.4</v>
      </c>
      <c r="HO14" s="40">
        <v>8.4</v>
      </c>
      <c r="HP14" s="40">
        <v>16.905000000000001</v>
      </c>
      <c r="HQ14" s="40">
        <v>0</v>
      </c>
      <c r="HR14" s="40"/>
      <c r="HS14" s="40"/>
      <c r="HT14" s="40"/>
      <c r="HU14" s="40"/>
      <c r="HV14" s="40"/>
      <c r="HW14" s="15">
        <f t="shared" si="75"/>
        <v>8.4</v>
      </c>
      <c r="HX14" s="15">
        <f t="shared" si="76"/>
        <v>44.284999999999997</v>
      </c>
      <c r="HY14" s="15">
        <f t="shared" si="77"/>
        <v>51.104999999999997</v>
      </c>
      <c r="HZ14" s="15">
        <f t="shared" si="78"/>
        <v>95.389999999999986</v>
      </c>
      <c r="IA14" s="15" t="str">
        <f t="shared" si="79"/>
        <v/>
      </c>
      <c r="IB14" s="15">
        <f t="shared" si="80"/>
        <v>95.389999999999986</v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12" t="str">
        <f t="shared" si="93"/>
        <v/>
      </c>
      <c r="KI14" s="12" t="str">
        <f t="shared" si="94"/>
        <v/>
      </c>
      <c r="KJ14" s="12" t="str">
        <f t="shared" si="95"/>
        <v/>
      </c>
      <c r="KK14" s="12" t="str">
        <f t="shared" si="96"/>
        <v/>
      </c>
      <c r="KL14" s="12" t="str">
        <f t="shared" si="97"/>
        <v/>
      </c>
      <c r="KM14" s="12" t="str">
        <f t="shared" si="98"/>
        <v/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14.899999999999999</v>
      </c>
      <c r="LJ14" s="72">
        <f t="shared" si="113"/>
        <v>7.65</v>
      </c>
      <c r="LK14" s="72">
        <f t="shared" si="114"/>
        <v>3.3</v>
      </c>
      <c r="LL14" s="72">
        <f t="shared" si="115"/>
        <v>14.642500000000002</v>
      </c>
      <c r="LM14" s="72">
        <f t="shared" si="116"/>
        <v>0</v>
      </c>
      <c r="LN14" s="72">
        <f t="shared" si="117"/>
        <v>14.149999999999999</v>
      </c>
      <c r="LO14" s="72">
        <f t="shared" si="118"/>
        <v>7.9</v>
      </c>
      <c r="LP14" s="72">
        <f t="shared" si="119"/>
        <v>12.4</v>
      </c>
      <c r="LQ14" s="72">
        <f t="shared" si="120"/>
        <v>14.497499999999999</v>
      </c>
      <c r="LR14" s="72">
        <f t="shared" si="121"/>
        <v>0</v>
      </c>
      <c r="LS14" s="72">
        <f t="shared" si="122"/>
        <v>15.2</v>
      </c>
      <c r="LT14" s="72">
        <f t="shared" si="123"/>
        <v>8.8249999999999993</v>
      </c>
      <c r="LU14" s="72">
        <f t="shared" si="124"/>
        <v>13.55</v>
      </c>
      <c r="LV14" s="72">
        <f t="shared" si="125"/>
        <v>15.897500000000001</v>
      </c>
      <c r="LW14" s="72">
        <f t="shared" si="126"/>
        <v>0</v>
      </c>
      <c r="LX14" s="83" t="s">
        <v>126</v>
      </c>
      <c r="LY14" s="12">
        <f t="shared" si="106"/>
        <v>12.4</v>
      </c>
      <c r="LZ14" s="12">
        <f t="shared" si="107"/>
        <v>40.4925</v>
      </c>
      <c r="MA14" s="12">
        <f t="shared" si="108"/>
        <v>48.947499999999991</v>
      </c>
      <c r="MB14" s="12">
        <f t="shared" si="109"/>
        <v>89.44</v>
      </c>
      <c r="MC14" s="12">
        <f t="shared" si="110"/>
        <v>53.472500000000004</v>
      </c>
      <c r="MD14" s="12">
        <f t="shared" si="111"/>
        <v>142.91249999999999</v>
      </c>
    </row>
    <row r="15" spans="1:342" x14ac:dyDescent="0.2">
      <c r="A15" s="6" t="str">
        <f t="shared" si="0"/>
        <v/>
      </c>
      <c r="B15" s="9" t="s">
        <v>15</v>
      </c>
      <c r="C15" s="5" t="s">
        <v>7</v>
      </c>
      <c r="D15" s="8">
        <v>1996</v>
      </c>
      <c r="E15" s="16">
        <f t="shared" si="1"/>
        <v>218.47000000000003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101.13000000000001</v>
      </c>
      <c r="K15" s="15" t="str">
        <f t="shared" si="7"/>
        <v>2018 Nationals</v>
      </c>
      <c r="L15" s="15">
        <f t="shared" si="8"/>
        <v>49.094999999999999</v>
      </c>
      <c r="M15" s="15" t="str">
        <f t="shared" si="9"/>
        <v>2018 3rd Domestic Trial</v>
      </c>
      <c r="N15" s="15">
        <f t="shared" si="10"/>
        <v>16.295000000000002</v>
      </c>
      <c r="O15" s="15" t="str">
        <f t="shared" si="11"/>
        <v>2018 3rd Domestic Trial</v>
      </c>
      <c r="P15" s="15">
        <f t="shared" si="12"/>
        <v>51.95</v>
      </c>
      <c r="Q15" s="15" t="str">
        <f t="shared" si="13"/>
        <v>2018 Nationals</v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72">
        <v>17.600000000000001</v>
      </c>
      <c r="V15" s="72">
        <v>8.6</v>
      </c>
      <c r="W15" s="72">
        <v>5.0999999999999996</v>
      </c>
      <c r="X15" s="72">
        <v>16.315000000000001</v>
      </c>
      <c r="Y15" s="72">
        <v>0</v>
      </c>
      <c r="Z15" s="72">
        <v>15.2</v>
      </c>
      <c r="AA15" s="72">
        <v>8.9499999999999993</v>
      </c>
      <c r="AB15" s="72">
        <v>14</v>
      </c>
      <c r="AC15" s="72">
        <v>15.765000000000001</v>
      </c>
      <c r="AD15" s="72">
        <v>0.4</v>
      </c>
      <c r="AE15" s="72">
        <v>13.6</v>
      </c>
      <c r="AF15" s="72">
        <v>8.9</v>
      </c>
      <c r="AG15" s="72">
        <v>13.6</v>
      </c>
      <c r="AH15" s="72">
        <v>15.85</v>
      </c>
      <c r="AI15" s="72">
        <v>0</v>
      </c>
      <c r="AJ15" s="83"/>
      <c r="AK15" s="12">
        <f t="shared" si="17"/>
        <v>14</v>
      </c>
      <c r="AL15" s="12">
        <f t="shared" si="18"/>
        <v>47.615000000000009</v>
      </c>
      <c r="AM15" s="12">
        <f t="shared" si="19"/>
        <v>53.515000000000001</v>
      </c>
      <c r="AN15" s="12">
        <f t="shared" si="20"/>
        <v>101.13000000000001</v>
      </c>
      <c r="AO15" s="12">
        <f t="shared" si="21"/>
        <v>51.95</v>
      </c>
      <c r="AP15" s="12">
        <f t="shared" si="22"/>
        <v>153.08000000000001</v>
      </c>
      <c r="AQ15" s="78">
        <v>18</v>
      </c>
      <c r="AR15" s="78">
        <v>9.1999999999999993</v>
      </c>
      <c r="AS15" s="78">
        <v>5.3</v>
      </c>
      <c r="AT15" s="78">
        <v>16.594999999999999</v>
      </c>
      <c r="AU15" s="78">
        <v>0</v>
      </c>
      <c r="AV15" s="78">
        <v>3.6</v>
      </c>
      <c r="AW15" s="78">
        <v>2.4</v>
      </c>
      <c r="AX15" s="78">
        <v>5.5</v>
      </c>
      <c r="AY15" s="78">
        <v>4.7949999999999999</v>
      </c>
      <c r="AZ15" s="78">
        <v>0</v>
      </c>
      <c r="BA15" s="78"/>
      <c r="BB15" s="78"/>
      <c r="BC15" s="78"/>
      <c r="BD15" s="78"/>
      <c r="BE15" s="78"/>
      <c r="BF15" s="84"/>
      <c r="BG15" s="15">
        <f t="shared" si="23"/>
        <v>5.5</v>
      </c>
      <c r="BH15" s="15">
        <f t="shared" si="24"/>
        <v>49.094999999999999</v>
      </c>
      <c r="BI15" s="15">
        <f t="shared" si="25"/>
        <v>16.295000000000002</v>
      </c>
      <c r="BJ15" s="15">
        <f t="shared" si="26"/>
        <v>65.39</v>
      </c>
      <c r="BK15" s="15" t="str">
        <f t="shared" si="27"/>
        <v/>
      </c>
      <c r="BL15" s="15">
        <f t="shared" si="28"/>
        <v>65.39</v>
      </c>
      <c r="BM15" s="26" t="str">
        <f t="shared" si="29"/>
        <v/>
      </c>
      <c r="BN15" s="26" t="str">
        <f t="shared" si="30"/>
        <v/>
      </c>
      <c r="BO15" s="26" t="str">
        <f t="shared" si="31"/>
        <v/>
      </c>
      <c r="BP15" s="26" t="str">
        <f t="shared" si="32"/>
        <v/>
      </c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12" t="str">
        <f t="shared" si="33"/>
        <v/>
      </c>
      <c r="CG15" s="12" t="str">
        <f t="shared" si="34"/>
        <v/>
      </c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12" t="str">
        <f t="shared" si="69"/>
        <v/>
      </c>
      <c r="HC15" s="12" t="str">
        <f t="shared" si="70"/>
        <v/>
      </c>
      <c r="HD15" s="12" t="str">
        <f t="shared" si="71"/>
        <v/>
      </c>
      <c r="HE15" s="12" t="str">
        <f t="shared" si="72"/>
        <v/>
      </c>
      <c r="HF15" s="12" t="str">
        <f t="shared" si="73"/>
        <v/>
      </c>
      <c r="HG15" s="12" t="str">
        <f t="shared" si="74"/>
        <v/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12" t="str">
        <f t="shared" si="81"/>
        <v/>
      </c>
      <c r="IS15" s="12" t="str">
        <f t="shared" si="82"/>
        <v/>
      </c>
      <c r="IT15" s="12" t="str">
        <f t="shared" si="83"/>
        <v/>
      </c>
      <c r="IU15" s="12" t="str">
        <f t="shared" si="84"/>
        <v/>
      </c>
      <c r="IV15" s="12" t="str">
        <f t="shared" si="85"/>
        <v/>
      </c>
      <c r="IW15" s="12" t="str">
        <f t="shared" si="86"/>
        <v/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17.8</v>
      </c>
      <c r="LJ15" s="72">
        <f t="shared" si="113"/>
        <v>8.8999999999999986</v>
      </c>
      <c r="LK15" s="72">
        <f t="shared" si="114"/>
        <v>5.1999999999999993</v>
      </c>
      <c r="LL15" s="72">
        <f t="shared" si="115"/>
        <v>16.454999999999998</v>
      </c>
      <c r="LM15" s="72">
        <f t="shared" si="116"/>
        <v>0</v>
      </c>
      <c r="LN15" s="72">
        <f t="shared" si="117"/>
        <v>9.4</v>
      </c>
      <c r="LO15" s="72">
        <f t="shared" si="118"/>
        <v>5.6749999999999998</v>
      </c>
      <c r="LP15" s="72">
        <f t="shared" si="119"/>
        <v>9.75</v>
      </c>
      <c r="LQ15" s="72">
        <f t="shared" si="120"/>
        <v>10.280000000000001</v>
      </c>
      <c r="LR15" s="72">
        <f t="shared" si="121"/>
        <v>0.2</v>
      </c>
      <c r="LS15" s="72">
        <f t="shared" si="122"/>
        <v>6.8</v>
      </c>
      <c r="LT15" s="72">
        <f t="shared" si="123"/>
        <v>4.45</v>
      </c>
      <c r="LU15" s="72">
        <f t="shared" si="124"/>
        <v>6.8</v>
      </c>
      <c r="LV15" s="72">
        <f t="shared" si="125"/>
        <v>7.9249999999999998</v>
      </c>
      <c r="LW15" s="72">
        <f t="shared" si="126"/>
        <v>0</v>
      </c>
      <c r="LX15" s="83" t="s">
        <v>126</v>
      </c>
      <c r="LY15" s="12">
        <f t="shared" si="106"/>
        <v>9.75</v>
      </c>
      <c r="LZ15" s="12">
        <f t="shared" si="107"/>
        <v>48.354999999999997</v>
      </c>
      <c r="MA15" s="12">
        <f t="shared" si="108"/>
        <v>34.905000000000001</v>
      </c>
      <c r="MB15" s="12">
        <f t="shared" si="109"/>
        <v>83.259999999999991</v>
      </c>
      <c r="MC15" s="12">
        <f t="shared" si="110"/>
        <v>25.975000000000001</v>
      </c>
      <c r="MD15" s="12">
        <f t="shared" si="111"/>
        <v>109.23499999999999</v>
      </c>
    </row>
    <row r="16" spans="1:342" x14ac:dyDescent="0.2">
      <c r="A16" s="6" t="str">
        <f t="shared" si="0"/>
        <v/>
      </c>
      <c r="B16" s="7" t="s">
        <v>109</v>
      </c>
      <c r="C16" s="8" t="s">
        <v>3</v>
      </c>
      <c r="D16" s="29">
        <v>1999</v>
      </c>
      <c r="E16" s="16">
        <f t="shared" si="1"/>
        <v>134.9699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99.514899999999997</v>
      </c>
      <c r="K16" s="15" t="str">
        <f t="shared" si="7"/>
        <v>2018 Nationals</v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>
        <f t="shared" si="12"/>
        <v>35.454999999999998</v>
      </c>
      <c r="Q16" s="15" t="str">
        <f t="shared" si="13"/>
        <v>2018 Nationals</v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72">
        <v>16.399999999999999</v>
      </c>
      <c r="V16" s="72">
        <v>8.65</v>
      </c>
      <c r="W16" s="72">
        <v>5.2</v>
      </c>
      <c r="X16" s="72">
        <v>16.704999999999998</v>
      </c>
      <c r="Y16" s="72">
        <v>0</v>
      </c>
      <c r="Z16" s="72">
        <v>14.2</v>
      </c>
      <c r="AA16" s="72">
        <v>8.25</v>
      </c>
      <c r="AB16" s="72">
        <f>14.4-0.0001</f>
        <v>14.399900000000001</v>
      </c>
      <c r="AC16" s="72">
        <v>15.71</v>
      </c>
      <c r="AD16" s="72">
        <v>0</v>
      </c>
      <c r="AE16" s="72">
        <v>8.3000000000000007</v>
      </c>
      <c r="AF16" s="72">
        <v>6</v>
      </c>
      <c r="AG16" s="72">
        <v>10.3</v>
      </c>
      <c r="AH16" s="72">
        <v>10.855</v>
      </c>
      <c r="AI16" s="72">
        <v>0</v>
      </c>
      <c r="AJ16" s="83"/>
      <c r="AK16" s="12">
        <f t="shared" si="17"/>
        <v>14.399900000000001</v>
      </c>
      <c r="AL16" s="12">
        <f t="shared" si="18"/>
        <v>46.954999999999998</v>
      </c>
      <c r="AM16" s="12">
        <f t="shared" si="19"/>
        <v>52.559899999999999</v>
      </c>
      <c r="AN16" s="12">
        <f t="shared" si="20"/>
        <v>99.514899999999997</v>
      </c>
      <c r="AO16" s="12">
        <f t="shared" si="21"/>
        <v>35.454999999999998</v>
      </c>
      <c r="AP16" s="12">
        <f t="shared" si="22"/>
        <v>134.9699</v>
      </c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84"/>
      <c r="BG16" s="15" t="str">
        <f t="shared" si="23"/>
        <v/>
      </c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26" t="str">
        <f t="shared" si="29"/>
        <v/>
      </c>
      <c r="BN16" s="26" t="str">
        <f t="shared" si="30"/>
        <v/>
      </c>
      <c r="BO16" s="26" t="str">
        <f t="shared" si="31"/>
        <v/>
      </c>
      <c r="BP16" s="26" t="str">
        <f t="shared" si="32"/>
        <v/>
      </c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12" t="str">
        <f t="shared" si="33"/>
        <v/>
      </c>
      <c r="CG16" s="12" t="str">
        <f t="shared" si="34"/>
        <v/>
      </c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15" t="str">
        <f t="shared" si="39"/>
        <v/>
      </c>
      <c r="DB16" s="15" t="str">
        <f t="shared" si="40"/>
        <v/>
      </c>
      <c r="DC16" s="15" t="str">
        <f t="shared" si="41"/>
        <v/>
      </c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12" t="str">
        <f t="shared" si="45"/>
        <v/>
      </c>
      <c r="DW16" s="12" t="str">
        <f t="shared" si="46"/>
        <v/>
      </c>
      <c r="DX16" s="12" t="str">
        <f t="shared" si="47"/>
        <v/>
      </c>
      <c r="DY16" s="12" t="str">
        <f t="shared" si="48"/>
        <v/>
      </c>
      <c r="DZ16" s="12" t="str">
        <f t="shared" si="49"/>
        <v/>
      </c>
      <c r="EA16" s="12" t="str">
        <f t="shared" si="50"/>
        <v/>
      </c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15" t="str">
        <f t="shared" si="51"/>
        <v/>
      </c>
      <c r="ER16" s="15" t="str">
        <f t="shared" si="52"/>
        <v/>
      </c>
      <c r="ES16" s="15" t="str">
        <f t="shared" si="53"/>
        <v/>
      </c>
      <c r="ET16" s="15" t="str">
        <f t="shared" si="54"/>
        <v/>
      </c>
      <c r="EU16" s="15" t="str">
        <f t="shared" si="55"/>
        <v/>
      </c>
      <c r="EV16" s="15" t="str">
        <f t="shared" si="56"/>
        <v/>
      </c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12" t="str">
        <f t="shared" si="57"/>
        <v/>
      </c>
      <c r="FM16" s="12" t="str">
        <f t="shared" si="58"/>
        <v/>
      </c>
      <c r="FN16" s="12" t="str">
        <f t="shared" si="59"/>
        <v/>
      </c>
      <c r="FO16" s="12" t="str">
        <f t="shared" si="60"/>
        <v/>
      </c>
      <c r="FP16" s="12" t="str">
        <f t="shared" si="61"/>
        <v/>
      </c>
      <c r="FQ16" s="12" t="str">
        <f t="shared" si="62"/>
        <v/>
      </c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15" t="str">
        <f t="shared" si="63"/>
        <v/>
      </c>
      <c r="GH16" s="15" t="str">
        <f t="shared" si="64"/>
        <v/>
      </c>
      <c r="GI16" s="15" t="str">
        <f t="shared" si="65"/>
        <v/>
      </c>
      <c r="GJ16" s="15" t="str">
        <f t="shared" si="66"/>
        <v/>
      </c>
      <c r="GK16" s="15" t="str">
        <f t="shared" si="67"/>
        <v/>
      </c>
      <c r="GL16" s="15" t="str">
        <f t="shared" si="68"/>
        <v/>
      </c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12" t="str">
        <f t="shared" si="69"/>
        <v/>
      </c>
      <c r="HC16" s="12" t="str">
        <f t="shared" si="70"/>
        <v/>
      </c>
      <c r="HD16" s="12" t="str">
        <f t="shared" si="71"/>
        <v/>
      </c>
      <c r="HE16" s="12" t="str">
        <f t="shared" si="72"/>
        <v/>
      </c>
      <c r="HF16" s="12" t="str">
        <f t="shared" si="73"/>
        <v/>
      </c>
      <c r="HG16" s="12" t="str">
        <f t="shared" si="74"/>
        <v/>
      </c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15" t="str">
        <f t="shared" si="75"/>
        <v/>
      </c>
      <c r="HX16" s="15" t="str">
        <f t="shared" si="76"/>
        <v/>
      </c>
      <c r="HY16" s="15" t="str">
        <f t="shared" si="77"/>
        <v/>
      </c>
      <c r="HZ16" s="15" t="str">
        <f t="shared" si="78"/>
        <v/>
      </c>
      <c r="IA16" s="15" t="str">
        <f t="shared" si="79"/>
        <v/>
      </c>
      <c r="IB16" s="15" t="str">
        <f t="shared" si="80"/>
        <v/>
      </c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12" t="str">
        <f t="shared" si="81"/>
        <v/>
      </c>
      <c r="IS16" s="12" t="str">
        <f t="shared" si="82"/>
        <v/>
      </c>
      <c r="IT16" s="12" t="str">
        <f t="shared" si="83"/>
        <v/>
      </c>
      <c r="IU16" s="12" t="str">
        <f t="shared" si="84"/>
        <v/>
      </c>
      <c r="IV16" s="12" t="str">
        <f t="shared" si="85"/>
        <v/>
      </c>
      <c r="IW16" s="12" t="str">
        <f t="shared" si="86"/>
        <v/>
      </c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15" t="str">
        <f t="shared" si="87"/>
        <v/>
      </c>
      <c r="JN16" s="15" t="str">
        <f t="shared" si="88"/>
        <v/>
      </c>
      <c r="JO16" s="15" t="str">
        <f t="shared" si="89"/>
        <v/>
      </c>
      <c r="JP16" s="15" t="str">
        <f t="shared" si="90"/>
        <v/>
      </c>
      <c r="JQ16" s="15" t="str">
        <f t="shared" si="91"/>
        <v/>
      </c>
      <c r="JR16" s="15" t="str">
        <f t="shared" si="92"/>
        <v/>
      </c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12" t="str">
        <f t="shared" si="93"/>
        <v/>
      </c>
      <c r="KI16" s="12" t="str">
        <f t="shared" si="94"/>
        <v/>
      </c>
      <c r="KJ16" s="12" t="str">
        <f t="shared" si="95"/>
        <v/>
      </c>
      <c r="KK16" s="12" t="str">
        <f t="shared" si="96"/>
        <v/>
      </c>
      <c r="KL16" s="12" t="str">
        <f t="shared" si="97"/>
        <v/>
      </c>
      <c r="KM16" s="12" t="str">
        <f t="shared" si="98"/>
        <v/>
      </c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15" t="str">
        <f t="shared" si="99"/>
        <v/>
      </c>
      <c r="LD16" s="15" t="str">
        <f t="shared" si="100"/>
        <v/>
      </c>
      <c r="LE16" s="15" t="str">
        <f t="shared" si="101"/>
        <v/>
      </c>
      <c r="LF16" s="15" t="str">
        <f t="shared" si="102"/>
        <v/>
      </c>
      <c r="LG16" s="15" t="str">
        <f t="shared" si="103"/>
        <v/>
      </c>
      <c r="LH16" s="15" t="str">
        <f t="shared" si="104"/>
        <v/>
      </c>
      <c r="LI16" s="72">
        <f t="shared" si="112"/>
        <v>8.1999999999999993</v>
      </c>
      <c r="LJ16" s="72">
        <f t="shared" si="113"/>
        <v>4.3250000000000002</v>
      </c>
      <c r="LK16" s="72">
        <f t="shared" si="114"/>
        <v>2.6</v>
      </c>
      <c r="LL16" s="72">
        <f t="shared" si="115"/>
        <v>8.3524999999999991</v>
      </c>
      <c r="LM16" s="72">
        <f t="shared" si="116"/>
        <v>0</v>
      </c>
      <c r="LN16" s="72">
        <f t="shared" si="117"/>
        <v>7.1</v>
      </c>
      <c r="LO16" s="72">
        <f t="shared" si="118"/>
        <v>4.125</v>
      </c>
      <c r="LP16" s="72">
        <f t="shared" si="119"/>
        <v>7.1999500000000003</v>
      </c>
      <c r="LQ16" s="72">
        <f t="shared" si="120"/>
        <v>7.8550000000000004</v>
      </c>
      <c r="LR16" s="72">
        <f t="shared" si="121"/>
        <v>0</v>
      </c>
      <c r="LS16" s="72">
        <f t="shared" si="122"/>
        <v>4.1500000000000004</v>
      </c>
      <c r="LT16" s="72">
        <f t="shared" si="123"/>
        <v>3</v>
      </c>
      <c r="LU16" s="72">
        <f t="shared" si="124"/>
        <v>5.15</v>
      </c>
      <c r="LV16" s="72">
        <f t="shared" si="125"/>
        <v>5.4275000000000002</v>
      </c>
      <c r="LW16" s="72">
        <f t="shared" si="126"/>
        <v>0</v>
      </c>
      <c r="LX16" s="83" t="s">
        <v>126</v>
      </c>
      <c r="LY16" s="12">
        <f t="shared" si="106"/>
        <v>7.1999500000000003</v>
      </c>
      <c r="LZ16" s="12">
        <f t="shared" si="107"/>
        <v>23.477499999999999</v>
      </c>
      <c r="MA16" s="12">
        <f t="shared" si="108"/>
        <v>26.279949999999999</v>
      </c>
      <c r="MB16" s="12">
        <f t="shared" si="109"/>
        <v>49.757449999999999</v>
      </c>
      <c r="MC16" s="12">
        <f t="shared" si="110"/>
        <v>17.727499999999999</v>
      </c>
      <c r="MD16" s="12">
        <f t="shared" si="111"/>
        <v>67.484949999999998</v>
      </c>
    </row>
    <row r="17" spans="1:342" x14ac:dyDescent="0.2">
      <c r="A17" s="6" t="str">
        <f t="shared" si="0"/>
        <v/>
      </c>
      <c r="B17" s="7" t="s">
        <v>10</v>
      </c>
      <c r="C17" s="8" t="s">
        <v>3</v>
      </c>
      <c r="D17" s="29">
        <v>1997</v>
      </c>
      <c r="E17" s="16">
        <f t="shared" si="1"/>
        <v>126.77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66.35499999999999</v>
      </c>
      <c r="K17" s="15" t="str">
        <f t="shared" si="7"/>
        <v>2018 3rd Domestic Trial</v>
      </c>
      <c r="L17" s="15">
        <f t="shared" si="8"/>
        <v>49.070000000000007</v>
      </c>
      <c r="M17" s="15" t="str">
        <f t="shared" si="9"/>
        <v>2018 Nationals</v>
      </c>
      <c r="N17" s="15">
        <f t="shared" si="10"/>
        <v>11.344999999999999</v>
      </c>
      <c r="O17" s="15" t="str">
        <f t="shared" si="11"/>
        <v>2018 Nationals</v>
      </c>
      <c r="P17" s="15" t="str">
        <f t="shared" si="12"/>
        <v/>
      </c>
      <c r="Q17" s="15" t="str">
        <f t="shared" si="13"/>
        <v/>
      </c>
      <c r="R17" s="15" t="str">
        <f t="shared" si="14"/>
        <v/>
      </c>
      <c r="S17" s="27" t="str">
        <f t="shared" si="15"/>
        <v/>
      </c>
      <c r="T17" s="15" t="str">
        <f t="shared" si="16"/>
        <v/>
      </c>
      <c r="U17" s="72">
        <v>17.7</v>
      </c>
      <c r="V17" s="72">
        <v>9.3000000000000007</v>
      </c>
      <c r="W17" s="72">
        <v>5.2</v>
      </c>
      <c r="X17" s="72">
        <v>16.87</v>
      </c>
      <c r="Y17" s="72">
        <v>0</v>
      </c>
      <c r="Z17" s="72">
        <v>2.7</v>
      </c>
      <c r="AA17" s="72">
        <v>1.7</v>
      </c>
      <c r="AB17" s="72">
        <v>3.8</v>
      </c>
      <c r="AC17" s="72">
        <v>3.5449999999999999</v>
      </c>
      <c r="AD17" s="72">
        <v>0.4</v>
      </c>
      <c r="AE17" s="72"/>
      <c r="AF17" s="72"/>
      <c r="AG17" s="72"/>
      <c r="AH17" s="72"/>
      <c r="AI17" s="72"/>
      <c r="AJ17" s="83"/>
      <c r="AK17" s="12">
        <f t="shared" si="17"/>
        <v>3.8</v>
      </c>
      <c r="AL17" s="12">
        <f t="shared" si="18"/>
        <v>49.070000000000007</v>
      </c>
      <c r="AM17" s="12">
        <f t="shared" si="19"/>
        <v>11.344999999999999</v>
      </c>
      <c r="AN17" s="12">
        <f t="shared" si="20"/>
        <v>60.415000000000006</v>
      </c>
      <c r="AO17" s="12" t="str">
        <f t="shared" si="21"/>
        <v/>
      </c>
      <c r="AP17" s="12">
        <f t="shared" si="22"/>
        <v>60.415000000000006</v>
      </c>
      <c r="AQ17" s="78">
        <v>17.7</v>
      </c>
      <c r="AR17" s="78">
        <v>9.1</v>
      </c>
      <c r="AS17" s="78">
        <v>5.4</v>
      </c>
      <c r="AT17" s="78">
        <v>16.684999999999999</v>
      </c>
      <c r="AU17" s="78">
        <v>0</v>
      </c>
      <c r="AV17" s="78">
        <v>4.2</v>
      </c>
      <c r="AW17" s="78">
        <v>2.6</v>
      </c>
      <c r="AX17" s="78">
        <v>5.5</v>
      </c>
      <c r="AY17" s="78">
        <v>5.17</v>
      </c>
      <c r="AZ17" s="78">
        <v>0</v>
      </c>
      <c r="BA17" s="78"/>
      <c r="BB17" s="78"/>
      <c r="BC17" s="78"/>
      <c r="BD17" s="78"/>
      <c r="BE17" s="78"/>
      <c r="BF17" s="84"/>
      <c r="BG17" s="15">
        <f t="shared" si="23"/>
        <v>5.5</v>
      </c>
      <c r="BH17" s="15">
        <f t="shared" si="24"/>
        <v>48.884999999999991</v>
      </c>
      <c r="BI17" s="15">
        <f t="shared" si="25"/>
        <v>17.47</v>
      </c>
      <c r="BJ17" s="15">
        <f t="shared" si="26"/>
        <v>66.35499999999999</v>
      </c>
      <c r="BK17" s="15" t="str">
        <f t="shared" si="27"/>
        <v/>
      </c>
      <c r="BL17" s="15">
        <f t="shared" si="28"/>
        <v>66.35499999999999</v>
      </c>
      <c r="BM17" s="26" t="str">
        <f t="shared" si="29"/>
        <v/>
      </c>
      <c r="BN17" s="26" t="str">
        <f t="shared" si="30"/>
        <v/>
      </c>
      <c r="BO17" s="26" t="str">
        <f t="shared" si="31"/>
        <v/>
      </c>
      <c r="BP17" s="26" t="str">
        <f t="shared" si="32"/>
        <v/>
      </c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12" t="str">
        <f t="shared" si="33"/>
        <v/>
      </c>
      <c r="CG17" s="12" t="str">
        <f t="shared" si="34"/>
        <v/>
      </c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15" t="str">
        <f t="shared" si="39"/>
        <v/>
      </c>
      <c r="DB17" s="15" t="str">
        <f t="shared" si="40"/>
        <v/>
      </c>
      <c r="DC17" s="15" t="str">
        <f t="shared" si="41"/>
        <v/>
      </c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12" t="str">
        <f t="shared" si="45"/>
        <v/>
      </c>
      <c r="DW17" s="12" t="str">
        <f t="shared" si="46"/>
        <v/>
      </c>
      <c r="DX17" s="12" t="str">
        <f t="shared" si="47"/>
        <v/>
      </c>
      <c r="DY17" s="12" t="str">
        <f t="shared" si="48"/>
        <v/>
      </c>
      <c r="DZ17" s="12" t="str">
        <f t="shared" si="49"/>
        <v/>
      </c>
      <c r="EA17" s="12" t="str">
        <f t="shared" si="50"/>
        <v/>
      </c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15" t="str">
        <f t="shared" si="51"/>
        <v/>
      </c>
      <c r="ER17" s="15" t="str">
        <f t="shared" si="52"/>
        <v/>
      </c>
      <c r="ES17" s="15" t="str">
        <f t="shared" si="53"/>
        <v/>
      </c>
      <c r="ET17" s="15" t="str">
        <f t="shared" si="54"/>
        <v/>
      </c>
      <c r="EU17" s="15" t="str">
        <f t="shared" si="55"/>
        <v/>
      </c>
      <c r="EV17" s="15" t="str">
        <f t="shared" si="56"/>
        <v/>
      </c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12" t="str">
        <f t="shared" si="57"/>
        <v/>
      </c>
      <c r="FM17" s="12" t="str">
        <f t="shared" si="58"/>
        <v/>
      </c>
      <c r="FN17" s="12" t="str">
        <f t="shared" si="59"/>
        <v/>
      </c>
      <c r="FO17" s="12" t="str">
        <f t="shared" si="60"/>
        <v/>
      </c>
      <c r="FP17" s="12" t="str">
        <f t="shared" si="61"/>
        <v/>
      </c>
      <c r="FQ17" s="12" t="str">
        <f t="shared" si="62"/>
        <v/>
      </c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15" t="str">
        <f t="shared" si="63"/>
        <v/>
      </c>
      <c r="GH17" s="15" t="str">
        <f t="shared" si="64"/>
        <v/>
      </c>
      <c r="GI17" s="15" t="str">
        <f t="shared" si="65"/>
        <v/>
      </c>
      <c r="GJ17" s="15" t="str">
        <f t="shared" si="66"/>
        <v/>
      </c>
      <c r="GK17" s="15" t="str">
        <f t="shared" si="67"/>
        <v/>
      </c>
      <c r="GL17" s="15" t="str">
        <f t="shared" si="68"/>
        <v/>
      </c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12" t="str">
        <f t="shared" si="69"/>
        <v/>
      </c>
      <c r="HC17" s="12" t="str">
        <f t="shared" si="70"/>
        <v/>
      </c>
      <c r="HD17" s="12" t="str">
        <f t="shared" si="71"/>
        <v/>
      </c>
      <c r="HE17" s="12" t="str">
        <f t="shared" si="72"/>
        <v/>
      </c>
      <c r="HF17" s="12" t="str">
        <f t="shared" si="73"/>
        <v/>
      </c>
      <c r="HG17" s="12" t="str">
        <f t="shared" si="74"/>
        <v/>
      </c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15" t="str">
        <f t="shared" si="75"/>
        <v/>
      </c>
      <c r="HX17" s="15" t="str">
        <f t="shared" si="76"/>
        <v/>
      </c>
      <c r="HY17" s="15" t="str">
        <f t="shared" si="77"/>
        <v/>
      </c>
      <c r="HZ17" s="15" t="str">
        <f t="shared" si="78"/>
        <v/>
      </c>
      <c r="IA17" s="15" t="str">
        <f t="shared" si="79"/>
        <v/>
      </c>
      <c r="IB17" s="15" t="str">
        <f t="shared" si="80"/>
        <v/>
      </c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12" t="str">
        <f t="shared" si="81"/>
        <v/>
      </c>
      <c r="IS17" s="12" t="str">
        <f t="shared" si="82"/>
        <v/>
      </c>
      <c r="IT17" s="12" t="str">
        <f t="shared" si="83"/>
        <v/>
      </c>
      <c r="IU17" s="12" t="str">
        <f t="shared" si="84"/>
        <v/>
      </c>
      <c r="IV17" s="12" t="str">
        <f t="shared" si="85"/>
        <v/>
      </c>
      <c r="IW17" s="12" t="str">
        <f t="shared" si="86"/>
        <v/>
      </c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15" t="str">
        <f t="shared" si="87"/>
        <v/>
      </c>
      <c r="JN17" s="15" t="str">
        <f t="shared" si="88"/>
        <v/>
      </c>
      <c r="JO17" s="15" t="str">
        <f t="shared" si="89"/>
        <v/>
      </c>
      <c r="JP17" s="15" t="str">
        <f t="shared" si="90"/>
        <v/>
      </c>
      <c r="JQ17" s="15" t="str">
        <f t="shared" si="91"/>
        <v/>
      </c>
      <c r="JR17" s="15" t="str">
        <f t="shared" si="92"/>
        <v/>
      </c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12" t="str">
        <f t="shared" si="93"/>
        <v/>
      </c>
      <c r="KI17" s="12" t="str">
        <f t="shared" si="94"/>
        <v/>
      </c>
      <c r="KJ17" s="12" t="str">
        <f t="shared" si="95"/>
        <v/>
      </c>
      <c r="KK17" s="12" t="str">
        <f t="shared" si="96"/>
        <v/>
      </c>
      <c r="KL17" s="12" t="str">
        <f t="shared" si="97"/>
        <v/>
      </c>
      <c r="KM17" s="12" t="str">
        <f t="shared" si="98"/>
        <v/>
      </c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15" t="str">
        <f t="shared" si="99"/>
        <v/>
      </c>
      <c r="LD17" s="15" t="str">
        <f t="shared" si="100"/>
        <v/>
      </c>
      <c r="LE17" s="15" t="str">
        <f t="shared" si="101"/>
        <v/>
      </c>
      <c r="LF17" s="15" t="str">
        <f t="shared" si="102"/>
        <v/>
      </c>
      <c r="LG17" s="15" t="str">
        <f t="shared" si="103"/>
        <v/>
      </c>
      <c r="LH17" s="15" t="str">
        <f t="shared" si="104"/>
        <v/>
      </c>
      <c r="LI17" s="72">
        <f t="shared" si="112"/>
        <v>17.7</v>
      </c>
      <c r="LJ17" s="72">
        <f t="shared" si="113"/>
        <v>9.1999999999999993</v>
      </c>
      <c r="LK17" s="72">
        <f t="shared" si="114"/>
        <v>5.3000000000000007</v>
      </c>
      <c r="LL17" s="72">
        <f t="shared" si="115"/>
        <v>16.7775</v>
      </c>
      <c r="LM17" s="72">
        <f t="shared" si="116"/>
        <v>0</v>
      </c>
      <c r="LN17" s="72">
        <f t="shared" si="117"/>
        <v>3.45</v>
      </c>
      <c r="LO17" s="72">
        <f t="shared" si="118"/>
        <v>2.15</v>
      </c>
      <c r="LP17" s="72">
        <f t="shared" si="119"/>
        <v>4.6500000000000004</v>
      </c>
      <c r="LQ17" s="72">
        <f t="shared" si="120"/>
        <v>4.3574999999999999</v>
      </c>
      <c r="LR17" s="72">
        <f t="shared" si="121"/>
        <v>0.2</v>
      </c>
      <c r="LS17" s="72">
        <f t="shared" si="122"/>
        <v>0</v>
      </c>
      <c r="LT17" s="72">
        <f t="shared" si="123"/>
        <v>0</v>
      </c>
      <c r="LU17" s="72">
        <f t="shared" si="124"/>
        <v>0</v>
      </c>
      <c r="LV17" s="72">
        <f t="shared" si="125"/>
        <v>0</v>
      </c>
      <c r="LW17" s="72">
        <f t="shared" si="126"/>
        <v>0</v>
      </c>
      <c r="LX17" s="83" t="s">
        <v>126</v>
      </c>
      <c r="LY17" s="12">
        <f t="shared" si="106"/>
        <v>4.6500000000000004</v>
      </c>
      <c r="LZ17" s="12">
        <f t="shared" si="107"/>
        <v>48.977500000000006</v>
      </c>
      <c r="MA17" s="12">
        <f t="shared" si="108"/>
        <v>14.407500000000001</v>
      </c>
      <c r="MB17" s="12">
        <f t="shared" si="109"/>
        <v>63.385000000000005</v>
      </c>
      <c r="MC17" s="12" t="str">
        <f t="shared" si="110"/>
        <v/>
      </c>
      <c r="MD17" s="12">
        <f t="shared" si="111"/>
        <v>63.385000000000005</v>
      </c>
    </row>
    <row r="18" spans="1:342" x14ac:dyDescent="0.2">
      <c r="A18" s="6" t="str">
        <f t="shared" si="0"/>
        <v/>
      </c>
      <c r="B18" s="7" t="s">
        <v>13</v>
      </c>
      <c r="C18" s="8" t="s">
        <v>11</v>
      </c>
      <c r="D18" s="6">
        <v>1997</v>
      </c>
      <c r="E18" s="16">
        <f t="shared" si="1"/>
        <v>78.490000000000009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78.490000000000009</v>
      </c>
      <c r="K18" s="15" t="str">
        <f t="shared" si="7"/>
        <v>2018 Nationals</v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 t="str">
        <f t="shared" si="14"/>
        <v/>
      </c>
      <c r="S18" s="27" t="str">
        <f t="shared" si="15"/>
        <v/>
      </c>
      <c r="T18" s="15" t="str">
        <f t="shared" si="16"/>
        <v/>
      </c>
      <c r="U18" s="72">
        <v>16.5</v>
      </c>
      <c r="V18" s="72">
        <v>9.3000000000000007</v>
      </c>
      <c r="W18" s="72">
        <v>3.3</v>
      </c>
      <c r="X18" s="72">
        <v>15.36</v>
      </c>
      <c r="Y18" s="72">
        <v>0</v>
      </c>
      <c r="Z18" s="72">
        <v>9.9</v>
      </c>
      <c r="AA18" s="72">
        <v>6.35</v>
      </c>
      <c r="AB18" s="72">
        <v>7.5</v>
      </c>
      <c r="AC18" s="72">
        <v>10.48</v>
      </c>
      <c r="AD18" s="72">
        <v>0.2</v>
      </c>
      <c r="AE18" s="72"/>
      <c r="AF18" s="72"/>
      <c r="AG18" s="72"/>
      <c r="AH18" s="72"/>
      <c r="AI18" s="72"/>
      <c r="AJ18" s="83"/>
      <c r="AK18" s="12">
        <f t="shared" si="17"/>
        <v>7.5</v>
      </c>
      <c r="AL18" s="12">
        <f t="shared" si="18"/>
        <v>44.46</v>
      </c>
      <c r="AM18" s="12">
        <f t="shared" si="19"/>
        <v>34.03</v>
      </c>
      <c r="AN18" s="12">
        <f t="shared" si="20"/>
        <v>78.490000000000009</v>
      </c>
      <c r="AO18" s="12" t="str">
        <f t="shared" si="21"/>
        <v/>
      </c>
      <c r="AP18" s="12">
        <f t="shared" si="22"/>
        <v>78.490000000000009</v>
      </c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84"/>
      <c r="BG18" s="15" t="str">
        <f t="shared" si="23"/>
        <v/>
      </c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26" t="str">
        <f t="shared" si="29"/>
        <v/>
      </c>
      <c r="BN18" s="26" t="str">
        <f t="shared" si="30"/>
        <v/>
      </c>
      <c r="BO18" s="26" t="str">
        <f t="shared" si="31"/>
        <v/>
      </c>
      <c r="BP18" s="26" t="str">
        <f t="shared" si="32"/>
        <v/>
      </c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12" t="str">
        <f t="shared" si="33"/>
        <v/>
      </c>
      <c r="CG18" s="12" t="str">
        <f t="shared" si="34"/>
        <v/>
      </c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15" t="str">
        <f t="shared" si="39"/>
        <v/>
      </c>
      <c r="DB18" s="15" t="str">
        <f t="shared" si="40"/>
        <v/>
      </c>
      <c r="DC18" s="15" t="str">
        <f t="shared" si="41"/>
        <v/>
      </c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12" t="str">
        <f t="shared" si="45"/>
        <v/>
      </c>
      <c r="DW18" s="12" t="str">
        <f t="shared" si="46"/>
        <v/>
      </c>
      <c r="DX18" s="12" t="str">
        <f t="shared" si="47"/>
        <v/>
      </c>
      <c r="DY18" s="12" t="str">
        <f t="shared" si="48"/>
        <v/>
      </c>
      <c r="DZ18" s="12" t="str">
        <f t="shared" si="49"/>
        <v/>
      </c>
      <c r="EA18" s="12" t="str">
        <f t="shared" si="50"/>
        <v/>
      </c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15" t="str">
        <f t="shared" si="51"/>
        <v/>
      </c>
      <c r="ER18" s="15" t="str">
        <f t="shared" si="52"/>
        <v/>
      </c>
      <c r="ES18" s="15" t="str">
        <f t="shared" si="53"/>
        <v/>
      </c>
      <c r="ET18" s="15" t="str">
        <f t="shared" si="54"/>
        <v/>
      </c>
      <c r="EU18" s="15" t="str">
        <f t="shared" si="55"/>
        <v/>
      </c>
      <c r="EV18" s="15" t="str">
        <f t="shared" si="56"/>
        <v/>
      </c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12" t="str">
        <f t="shared" si="57"/>
        <v/>
      </c>
      <c r="FM18" s="12" t="str">
        <f t="shared" si="58"/>
        <v/>
      </c>
      <c r="FN18" s="12" t="str">
        <f t="shared" si="59"/>
        <v/>
      </c>
      <c r="FO18" s="12" t="str">
        <f t="shared" si="60"/>
        <v/>
      </c>
      <c r="FP18" s="12" t="str">
        <f t="shared" si="61"/>
        <v/>
      </c>
      <c r="FQ18" s="12" t="str">
        <f t="shared" si="62"/>
        <v/>
      </c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15" t="str">
        <f t="shared" si="63"/>
        <v/>
      </c>
      <c r="GH18" s="15" t="str">
        <f t="shared" si="64"/>
        <v/>
      </c>
      <c r="GI18" s="15" t="str">
        <f t="shared" si="65"/>
        <v/>
      </c>
      <c r="GJ18" s="15" t="str">
        <f t="shared" si="66"/>
        <v/>
      </c>
      <c r="GK18" s="15" t="str">
        <f t="shared" si="67"/>
        <v/>
      </c>
      <c r="GL18" s="15" t="str">
        <f t="shared" si="68"/>
        <v/>
      </c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12" t="str">
        <f t="shared" si="69"/>
        <v/>
      </c>
      <c r="HC18" s="12" t="str">
        <f t="shared" si="70"/>
        <v/>
      </c>
      <c r="HD18" s="12" t="str">
        <f t="shared" si="71"/>
        <v/>
      </c>
      <c r="HE18" s="12" t="str">
        <f t="shared" si="72"/>
        <v/>
      </c>
      <c r="HF18" s="12" t="str">
        <f t="shared" si="73"/>
        <v/>
      </c>
      <c r="HG18" s="12" t="str">
        <f t="shared" si="74"/>
        <v/>
      </c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15" t="str">
        <f t="shared" si="75"/>
        <v/>
      </c>
      <c r="HX18" s="15" t="str">
        <f t="shared" si="76"/>
        <v/>
      </c>
      <c r="HY18" s="15" t="str">
        <f t="shared" si="77"/>
        <v/>
      </c>
      <c r="HZ18" s="15" t="str">
        <f t="shared" si="78"/>
        <v/>
      </c>
      <c r="IA18" s="15" t="str">
        <f t="shared" si="79"/>
        <v/>
      </c>
      <c r="IB18" s="15" t="str">
        <f t="shared" si="80"/>
        <v/>
      </c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12" t="str">
        <f t="shared" si="81"/>
        <v/>
      </c>
      <c r="IS18" s="12" t="str">
        <f t="shared" si="82"/>
        <v/>
      </c>
      <c r="IT18" s="12" t="str">
        <f t="shared" si="83"/>
        <v/>
      </c>
      <c r="IU18" s="12" t="str">
        <f t="shared" si="84"/>
        <v/>
      </c>
      <c r="IV18" s="12" t="str">
        <f t="shared" si="85"/>
        <v/>
      </c>
      <c r="IW18" s="12" t="str">
        <f t="shared" si="86"/>
        <v/>
      </c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15" t="str">
        <f t="shared" si="87"/>
        <v/>
      </c>
      <c r="JN18" s="15" t="str">
        <f t="shared" si="88"/>
        <v/>
      </c>
      <c r="JO18" s="15" t="str">
        <f t="shared" si="89"/>
        <v/>
      </c>
      <c r="JP18" s="15" t="str">
        <f t="shared" si="90"/>
        <v/>
      </c>
      <c r="JQ18" s="15" t="str">
        <f t="shared" si="91"/>
        <v/>
      </c>
      <c r="JR18" s="15" t="str">
        <f t="shared" si="92"/>
        <v/>
      </c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12" t="str">
        <f t="shared" si="93"/>
        <v/>
      </c>
      <c r="KI18" s="12" t="str">
        <f t="shared" si="94"/>
        <v/>
      </c>
      <c r="KJ18" s="12" t="str">
        <f t="shared" si="95"/>
        <v/>
      </c>
      <c r="KK18" s="12" t="str">
        <f t="shared" si="96"/>
        <v/>
      </c>
      <c r="KL18" s="12" t="str">
        <f t="shared" si="97"/>
        <v/>
      </c>
      <c r="KM18" s="12" t="str">
        <f t="shared" si="98"/>
        <v/>
      </c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15" t="str">
        <f t="shared" si="99"/>
        <v/>
      </c>
      <c r="LD18" s="15" t="str">
        <f t="shared" si="100"/>
        <v/>
      </c>
      <c r="LE18" s="15" t="str">
        <f t="shared" si="101"/>
        <v/>
      </c>
      <c r="LF18" s="15" t="str">
        <f t="shared" si="102"/>
        <v/>
      </c>
      <c r="LG18" s="15" t="str">
        <f t="shared" si="103"/>
        <v/>
      </c>
      <c r="LH18" s="15" t="str">
        <f t="shared" si="104"/>
        <v/>
      </c>
      <c r="LI18" s="72">
        <f t="shared" si="112"/>
        <v>8.25</v>
      </c>
      <c r="LJ18" s="72">
        <f t="shared" si="113"/>
        <v>4.6500000000000004</v>
      </c>
      <c r="LK18" s="72">
        <f t="shared" si="114"/>
        <v>1.65</v>
      </c>
      <c r="LL18" s="72">
        <f t="shared" si="115"/>
        <v>7.68</v>
      </c>
      <c r="LM18" s="72">
        <f t="shared" si="116"/>
        <v>0</v>
      </c>
      <c r="LN18" s="72">
        <f t="shared" si="117"/>
        <v>4.95</v>
      </c>
      <c r="LO18" s="72">
        <f t="shared" si="118"/>
        <v>3.1749999999999998</v>
      </c>
      <c r="LP18" s="72">
        <f t="shared" si="119"/>
        <v>3.75</v>
      </c>
      <c r="LQ18" s="72">
        <f t="shared" si="120"/>
        <v>5.24</v>
      </c>
      <c r="LR18" s="72">
        <f t="shared" si="121"/>
        <v>0.1</v>
      </c>
      <c r="LS18" s="72">
        <f t="shared" si="122"/>
        <v>0</v>
      </c>
      <c r="LT18" s="72">
        <f t="shared" si="123"/>
        <v>0</v>
      </c>
      <c r="LU18" s="72">
        <f t="shared" si="124"/>
        <v>0</v>
      </c>
      <c r="LV18" s="72">
        <f t="shared" si="125"/>
        <v>0</v>
      </c>
      <c r="LW18" s="72">
        <f t="shared" si="126"/>
        <v>0</v>
      </c>
      <c r="LX18" s="83" t="s">
        <v>126</v>
      </c>
      <c r="LY18" s="12">
        <f t="shared" si="106"/>
        <v>3.75</v>
      </c>
      <c r="LZ18" s="12">
        <f t="shared" si="107"/>
        <v>22.23</v>
      </c>
      <c r="MA18" s="12">
        <f t="shared" si="108"/>
        <v>17.015000000000001</v>
      </c>
      <c r="MB18" s="12">
        <f t="shared" si="109"/>
        <v>39.245000000000005</v>
      </c>
      <c r="MC18" s="12" t="str">
        <f t="shared" si="110"/>
        <v/>
      </c>
      <c r="MD18" s="12">
        <f t="shared" si="111"/>
        <v>39.245000000000005</v>
      </c>
    </row>
    <row r="19" spans="1:342" x14ac:dyDescent="0.2">
      <c r="A19" s="6" t="str">
        <f t="shared" si="0"/>
        <v/>
      </c>
      <c r="B19" s="7" t="s">
        <v>97</v>
      </c>
      <c r="C19" s="8" t="s">
        <v>5</v>
      </c>
      <c r="D19" s="29">
        <v>1999</v>
      </c>
      <c r="E19" s="16">
        <f t="shared" si="1"/>
        <v>68.34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68.34</v>
      </c>
      <c r="K19" s="15" t="str">
        <f t="shared" si="7"/>
        <v>2018 Nationals</v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72">
        <v>7.3</v>
      </c>
      <c r="V19" s="72">
        <v>3.65</v>
      </c>
      <c r="W19" s="72">
        <v>0.6</v>
      </c>
      <c r="X19" s="72">
        <v>6.7149999999999999</v>
      </c>
      <c r="Y19" s="72">
        <v>0</v>
      </c>
      <c r="Z19" s="72">
        <v>14.1</v>
      </c>
      <c r="AA19" s="72">
        <v>8.75</v>
      </c>
      <c r="AB19" s="72">
        <v>12.3</v>
      </c>
      <c r="AC19" s="72">
        <v>14.925000000000001</v>
      </c>
      <c r="AD19" s="72">
        <v>0</v>
      </c>
      <c r="AE19" s="72"/>
      <c r="AF19" s="72"/>
      <c r="AG19" s="72"/>
      <c r="AH19" s="72"/>
      <c r="AI19" s="72"/>
      <c r="AJ19" s="83"/>
      <c r="AK19" s="12">
        <f t="shared" si="17"/>
        <v>12.3</v>
      </c>
      <c r="AL19" s="12">
        <f t="shared" si="18"/>
        <v>18.265000000000001</v>
      </c>
      <c r="AM19" s="12">
        <f t="shared" si="19"/>
        <v>50.075000000000003</v>
      </c>
      <c r="AN19" s="12">
        <f t="shared" si="20"/>
        <v>68.34</v>
      </c>
      <c r="AO19" s="12" t="str">
        <f t="shared" si="21"/>
        <v/>
      </c>
      <c r="AP19" s="12">
        <f t="shared" si="22"/>
        <v>68.34</v>
      </c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84"/>
      <c r="BG19" s="15" t="str">
        <f t="shared" si="23"/>
        <v/>
      </c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26" t="str">
        <f t="shared" si="29"/>
        <v/>
      </c>
      <c r="BN19" s="26" t="str">
        <f t="shared" si="30"/>
        <v/>
      </c>
      <c r="BO19" s="26" t="str">
        <f t="shared" si="31"/>
        <v/>
      </c>
      <c r="BP19" s="26" t="str">
        <f t="shared" si="32"/>
        <v/>
      </c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12" t="str">
        <f t="shared" si="33"/>
        <v/>
      </c>
      <c r="CG19" s="12" t="str">
        <f t="shared" si="34"/>
        <v/>
      </c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15" t="str">
        <f t="shared" si="39"/>
        <v/>
      </c>
      <c r="DB19" s="15" t="str">
        <f t="shared" si="40"/>
        <v/>
      </c>
      <c r="DC19" s="15" t="str">
        <f t="shared" si="41"/>
        <v/>
      </c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12" t="str">
        <f t="shared" si="45"/>
        <v/>
      </c>
      <c r="DW19" s="12" t="str">
        <f t="shared" si="46"/>
        <v/>
      </c>
      <c r="DX19" s="12" t="str">
        <f t="shared" si="47"/>
        <v/>
      </c>
      <c r="DY19" s="12" t="str">
        <f t="shared" si="48"/>
        <v/>
      </c>
      <c r="DZ19" s="12" t="str">
        <f t="shared" si="49"/>
        <v/>
      </c>
      <c r="EA19" s="12" t="str">
        <f t="shared" si="50"/>
        <v/>
      </c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15" t="str">
        <f t="shared" si="51"/>
        <v/>
      </c>
      <c r="ER19" s="15" t="str">
        <f t="shared" si="52"/>
        <v/>
      </c>
      <c r="ES19" s="15" t="str">
        <f t="shared" si="53"/>
        <v/>
      </c>
      <c r="ET19" s="15" t="str">
        <f t="shared" si="54"/>
        <v/>
      </c>
      <c r="EU19" s="15" t="str">
        <f t="shared" si="55"/>
        <v/>
      </c>
      <c r="EV19" s="15" t="str">
        <f t="shared" si="56"/>
        <v/>
      </c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12" t="str">
        <f t="shared" si="57"/>
        <v/>
      </c>
      <c r="FM19" s="12" t="str">
        <f t="shared" si="58"/>
        <v/>
      </c>
      <c r="FN19" s="12" t="str">
        <f t="shared" si="59"/>
        <v/>
      </c>
      <c r="FO19" s="12" t="str">
        <f t="shared" si="60"/>
        <v/>
      </c>
      <c r="FP19" s="12" t="str">
        <f t="shared" si="61"/>
        <v/>
      </c>
      <c r="FQ19" s="12" t="str">
        <f t="shared" si="62"/>
        <v/>
      </c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15" t="str">
        <f t="shared" si="63"/>
        <v/>
      </c>
      <c r="GH19" s="15" t="str">
        <f t="shared" si="64"/>
        <v/>
      </c>
      <c r="GI19" s="15" t="str">
        <f t="shared" si="65"/>
        <v/>
      </c>
      <c r="GJ19" s="15" t="str">
        <f t="shared" si="66"/>
        <v/>
      </c>
      <c r="GK19" s="15" t="str">
        <f t="shared" si="67"/>
        <v/>
      </c>
      <c r="GL19" s="15" t="str">
        <f t="shared" si="68"/>
        <v/>
      </c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12" t="str">
        <f t="shared" si="69"/>
        <v/>
      </c>
      <c r="HC19" s="12" t="str">
        <f t="shared" si="70"/>
        <v/>
      </c>
      <c r="HD19" s="12" t="str">
        <f t="shared" si="71"/>
        <v/>
      </c>
      <c r="HE19" s="12" t="str">
        <f t="shared" si="72"/>
        <v/>
      </c>
      <c r="HF19" s="12" t="str">
        <f t="shared" si="73"/>
        <v/>
      </c>
      <c r="HG19" s="12" t="str">
        <f t="shared" si="74"/>
        <v/>
      </c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15" t="str">
        <f t="shared" si="75"/>
        <v/>
      </c>
      <c r="HX19" s="15" t="str">
        <f t="shared" si="76"/>
        <v/>
      </c>
      <c r="HY19" s="15" t="str">
        <f t="shared" si="77"/>
        <v/>
      </c>
      <c r="HZ19" s="15" t="str">
        <f t="shared" si="78"/>
        <v/>
      </c>
      <c r="IA19" s="15" t="str">
        <f t="shared" si="79"/>
        <v/>
      </c>
      <c r="IB19" s="15" t="str">
        <f t="shared" si="80"/>
        <v/>
      </c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12" t="str">
        <f t="shared" si="81"/>
        <v/>
      </c>
      <c r="IS19" s="12" t="str">
        <f t="shared" si="82"/>
        <v/>
      </c>
      <c r="IT19" s="12" t="str">
        <f t="shared" si="83"/>
        <v/>
      </c>
      <c r="IU19" s="12" t="str">
        <f t="shared" si="84"/>
        <v/>
      </c>
      <c r="IV19" s="12" t="str">
        <f t="shared" si="85"/>
        <v/>
      </c>
      <c r="IW19" s="12" t="str">
        <f t="shared" si="86"/>
        <v/>
      </c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15" t="str">
        <f t="shared" si="87"/>
        <v/>
      </c>
      <c r="JN19" s="15" t="str">
        <f t="shared" si="88"/>
        <v/>
      </c>
      <c r="JO19" s="15" t="str">
        <f t="shared" si="89"/>
        <v/>
      </c>
      <c r="JP19" s="15" t="str">
        <f t="shared" si="90"/>
        <v/>
      </c>
      <c r="JQ19" s="15" t="str">
        <f t="shared" si="91"/>
        <v/>
      </c>
      <c r="JR19" s="15" t="str">
        <f t="shared" si="92"/>
        <v/>
      </c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39"/>
      <c r="KE19" s="39"/>
      <c r="KF19" s="39"/>
      <c r="KG19" s="39"/>
      <c r="KH19" s="12" t="str">
        <f t="shared" si="93"/>
        <v/>
      </c>
      <c r="KI19" s="12" t="str">
        <f t="shared" si="94"/>
        <v/>
      </c>
      <c r="KJ19" s="12" t="str">
        <f t="shared" si="95"/>
        <v/>
      </c>
      <c r="KK19" s="12" t="str">
        <f t="shared" si="96"/>
        <v/>
      </c>
      <c r="KL19" s="12" t="str">
        <f t="shared" si="97"/>
        <v/>
      </c>
      <c r="KM19" s="12" t="str">
        <f t="shared" si="98"/>
        <v/>
      </c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15" t="str">
        <f t="shared" si="99"/>
        <v/>
      </c>
      <c r="LD19" s="15" t="str">
        <f t="shared" si="100"/>
        <v/>
      </c>
      <c r="LE19" s="15" t="str">
        <f t="shared" si="101"/>
        <v/>
      </c>
      <c r="LF19" s="15" t="str">
        <f t="shared" si="102"/>
        <v/>
      </c>
      <c r="LG19" s="15" t="str">
        <f t="shared" si="103"/>
        <v/>
      </c>
      <c r="LH19" s="15" t="str">
        <f t="shared" si="104"/>
        <v/>
      </c>
      <c r="LI19" s="72">
        <f t="shared" si="112"/>
        <v>3.65</v>
      </c>
      <c r="LJ19" s="72">
        <f t="shared" si="113"/>
        <v>1.825</v>
      </c>
      <c r="LK19" s="72">
        <f t="shared" si="114"/>
        <v>0.3</v>
      </c>
      <c r="LL19" s="72">
        <f t="shared" si="115"/>
        <v>3.3574999999999999</v>
      </c>
      <c r="LM19" s="72">
        <f t="shared" si="116"/>
        <v>0</v>
      </c>
      <c r="LN19" s="72">
        <f t="shared" si="117"/>
        <v>7.05</v>
      </c>
      <c r="LO19" s="72">
        <f t="shared" si="118"/>
        <v>4.375</v>
      </c>
      <c r="LP19" s="72">
        <f t="shared" si="119"/>
        <v>6.15</v>
      </c>
      <c r="LQ19" s="72">
        <f t="shared" si="120"/>
        <v>7.4625000000000004</v>
      </c>
      <c r="LR19" s="72">
        <f t="shared" si="121"/>
        <v>0</v>
      </c>
      <c r="LS19" s="72">
        <f t="shared" si="122"/>
        <v>0</v>
      </c>
      <c r="LT19" s="72">
        <f t="shared" si="123"/>
        <v>0</v>
      </c>
      <c r="LU19" s="72">
        <f t="shared" si="124"/>
        <v>0</v>
      </c>
      <c r="LV19" s="72">
        <f t="shared" si="125"/>
        <v>0</v>
      </c>
      <c r="LW19" s="72">
        <f t="shared" si="126"/>
        <v>0</v>
      </c>
      <c r="LX19" s="83" t="s">
        <v>126</v>
      </c>
      <c r="LY19" s="12">
        <f t="shared" si="106"/>
        <v>6.15</v>
      </c>
      <c r="LZ19" s="12">
        <f t="shared" si="107"/>
        <v>9.1325000000000003</v>
      </c>
      <c r="MA19" s="12">
        <f t="shared" si="108"/>
        <v>25.037500000000001</v>
      </c>
      <c r="MB19" s="12">
        <f t="shared" si="109"/>
        <v>34.17</v>
      </c>
      <c r="MC19" s="12" t="str">
        <f t="shared" si="110"/>
        <v/>
      </c>
      <c r="MD19" s="12">
        <f t="shared" si="111"/>
        <v>34.17</v>
      </c>
    </row>
    <row r="20" spans="1:342" x14ac:dyDescent="0.2">
      <c r="A20" s="6" t="str">
        <f t="shared" si="0"/>
        <v/>
      </c>
      <c r="B20" s="7" t="s">
        <v>59</v>
      </c>
      <c r="C20" s="8" t="s">
        <v>11</v>
      </c>
      <c r="D20" s="29">
        <v>1998</v>
      </c>
      <c r="E20" s="16">
        <f t="shared" si="1"/>
        <v>58.594999999999999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58.594999999999999</v>
      </c>
      <c r="K20" s="15" t="str">
        <f t="shared" si="7"/>
        <v>2018 Nationals</v>
      </c>
      <c r="L20" s="15" t="str">
        <f t="shared" si="8"/>
        <v/>
      </c>
      <c r="M20" s="15" t="str">
        <f t="shared" si="9"/>
        <v/>
      </c>
      <c r="N20" s="15" t="str">
        <f t="shared" si="10"/>
        <v/>
      </c>
      <c r="O20" s="15" t="str">
        <f t="shared" si="11"/>
        <v/>
      </c>
      <c r="P20" s="15" t="str">
        <f t="shared" si="12"/>
        <v/>
      </c>
      <c r="Q20" s="15" t="str">
        <f t="shared" si="13"/>
        <v/>
      </c>
      <c r="R20" s="15" t="str">
        <f t="shared" si="14"/>
        <v/>
      </c>
      <c r="S20" s="27" t="str">
        <f t="shared" si="15"/>
        <v/>
      </c>
      <c r="T20" s="15" t="str">
        <f t="shared" si="16"/>
        <v/>
      </c>
      <c r="U20" s="72">
        <v>17.899999999999999</v>
      </c>
      <c r="V20" s="72">
        <v>9.35</v>
      </c>
      <c r="W20" s="72">
        <v>3.9</v>
      </c>
      <c r="X20" s="72">
        <v>16.62</v>
      </c>
      <c r="Y20" s="72">
        <v>0</v>
      </c>
      <c r="Z20" s="72">
        <v>3.2</v>
      </c>
      <c r="AA20" s="72">
        <v>1.75</v>
      </c>
      <c r="AB20" s="72">
        <v>2.5</v>
      </c>
      <c r="AC20" s="72">
        <v>3.375</v>
      </c>
      <c r="AD20" s="72">
        <v>0</v>
      </c>
      <c r="AE20" s="72"/>
      <c r="AF20" s="72"/>
      <c r="AG20" s="72"/>
      <c r="AH20" s="72"/>
      <c r="AI20" s="72"/>
      <c r="AJ20" s="83"/>
      <c r="AK20" s="12">
        <f t="shared" si="17"/>
        <v>2.5</v>
      </c>
      <c r="AL20" s="12">
        <f t="shared" si="18"/>
        <v>47.769999999999996</v>
      </c>
      <c r="AM20" s="12">
        <f t="shared" si="19"/>
        <v>10.824999999999999</v>
      </c>
      <c r="AN20" s="12">
        <f t="shared" si="20"/>
        <v>58.594999999999999</v>
      </c>
      <c r="AO20" s="12" t="str">
        <f t="shared" si="21"/>
        <v/>
      </c>
      <c r="AP20" s="12">
        <f t="shared" si="22"/>
        <v>58.594999999999999</v>
      </c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84"/>
      <c r="BG20" s="15" t="str">
        <f t="shared" si="23"/>
        <v/>
      </c>
      <c r="BH20" s="15" t="str">
        <f t="shared" si="24"/>
        <v/>
      </c>
      <c r="BI20" s="15" t="str">
        <f t="shared" si="25"/>
        <v/>
      </c>
      <c r="BJ20" s="15" t="str">
        <f t="shared" si="26"/>
        <v/>
      </c>
      <c r="BK20" s="15" t="str">
        <f t="shared" si="27"/>
        <v/>
      </c>
      <c r="BL20" s="15" t="str">
        <f t="shared" si="28"/>
        <v/>
      </c>
      <c r="BM20" s="26" t="str">
        <f t="shared" si="29"/>
        <v/>
      </c>
      <c r="BN20" s="26" t="str">
        <f t="shared" si="30"/>
        <v/>
      </c>
      <c r="BO20" s="26" t="str">
        <f t="shared" si="31"/>
        <v/>
      </c>
      <c r="BP20" s="26" t="str">
        <f t="shared" si="32"/>
        <v/>
      </c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12" t="str">
        <f t="shared" si="33"/>
        <v/>
      </c>
      <c r="CG20" s="12" t="str">
        <f t="shared" si="34"/>
        <v/>
      </c>
      <c r="CH20" s="12" t="str">
        <f t="shared" si="35"/>
        <v/>
      </c>
      <c r="CI20" s="12" t="str">
        <f t="shared" si="36"/>
        <v/>
      </c>
      <c r="CJ20" s="12" t="str">
        <f t="shared" si="37"/>
        <v/>
      </c>
      <c r="CK20" s="12" t="str">
        <f t="shared" si="38"/>
        <v/>
      </c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15" t="str">
        <f t="shared" si="39"/>
        <v/>
      </c>
      <c r="DB20" s="15" t="str">
        <f t="shared" si="40"/>
        <v/>
      </c>
      <c r="DC20" s="15" t="str">
        <f t="shared" si="41"/>
        <v/>
      </c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12" t="str">
        <f t="shared" si="45"/>
        <v/>
      </c>
      <c r="DW20" s="12" t="str">
        <f t="shared" si="46"/>
        <v/>
      </c>
      <c r="DX20" s="12" t="str">
        <f t="shared" si="47"/>
        <v/>
      </c>
      <c r="DY20" s="12" t="str">
        <f t="shared" si="48"/>
        <v/>
      </c>
      <c r="DZ20" s="12" t="str">
        <f t="shared" si="49"/>
        <v/>
      </c>
      <c r="EA20" s="12" t="str">
        <f t="shared" si="50"/>
        <v/>
      </c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15" t="str">
        <f t="shared" si="51"/>
        <v/>
      </c>
      <c r="ER20" s="15" t="str">
        <f t="shared" si="52"/>
        <v/>
      </c>
      <c r="ES20" s="15" t="str">
        <f t="shared" si="53"/>
        <v/>
      </c>
      <c r="ET20" s="15" t="str">
        <f t="shared" si="54"/>
        <v/>
      </c>
      <c r="EU20" s="15" t="str">
        <f t="shared" si="55"/>
        <v/>
      </c>
      <c r="EV20" s="15" t="str">
        <f t="shared" si="56"/>
        <v/>
      </c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12" t="str">
        <f t="shared" si="57"/>
        <v/>
      </c>
      <c r="FM20" s="12" t="str">
        <f t="shared" si="58"/>
        <v/>
      </c>
      <c r="FN20" s="12" t="str">
        <f t="shared" si="59"/>
        <v/>
      </c>
      <c r="FO20" s="12" t="str">
        <f t="shared" si="60"/>
        <v/>
      </c>
      <c r="FP20" s="12" t="str">
        <f t="shared" si="61"/>
        <v/>
      </c>
      <c r="FQ20" s="12" t="str">
        <f t="shared" si="62"/>
        <v/>
      </c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15" t="str">
        <f t="shared" si="63"/>
        <v/>
      </c>
      <c r="GH20" s="15" t="str">
        <f t="shared" si="64"/>
        <v/>
      </c>
      <c r="GI20" s="15" t="str">
        <f t="shared" si="65"/>
        <v/>
      </c>
      <c r="GJ20" s="15" t="str">
        <f t="shared" si="66"/>
        <v/>
      </c>
      <c r="GK20" s="15" t="str">
        <f t="shared" si="67"/>
        <v/>
      </c>
      <c r="GL20" s="15" t="str">
        <f t="shared" si="68"/>
        <v/>
      </c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12" t="str">
        <f t="shared" si="69"/>
        <v/>
      </c>
      <c r="HC20" s="12" t="str">
        <f t="shared" si="70"/>
        <v/>
      </c>
      <c r="HD20" s="12" t="str">
        <f t="shared" si="71"/>
        <v/>
      </c>
      <c r="HE20" s="12" t="str">
        <f t="shared" si="72"/>
        <v/>
      </c>
      <c r="HF20" s="12" t="str">
        <f t="shared" si="73"/>
        <v/>
      </c>
      <c r="HG20" s="12" t="str">
        <f t="shared" si="74"/>
        <v/>
      </c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15" t="str">
        <f t="shared" si="75"/>
        <v/>
      </c>
      <c r="HX20" s="15" t="str">
        <f t="shared" si="76"/>
        <v/>
      </c>
      <c r="HY20" s="15" t="str">
        <f t="shared" si="77"/>
        <v/>
      </c>
      <c r="HZ20" s="15" t="str">
        <f t="shared" si="78"/>
        <v/>
      </c>
      <c r="IA20" s="15" t="str">
        <f t="shared" si="79"/>
        <v/>
      </c>
      <c r="IB20" s="15" t="str">
        <f t="shared" si="80"/>
        <v/>
      </c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12" t="str">
        <f t="shared" si="81"/>
        <v/>
      </c>
      <c r="IS20" s="12" t="str">
        <f t="shared" si="82"/>
        <v/>
      </c>
      <c r="IT20" s="12" t="str">
        <f t="shared" si="83"/>
        <v/>
      </c>
      <c r="IU20" s="12" t="str">
        <f t="shared" si="84"/>
        <v/>
      </c>
      <c r="IV20" s="12" t="str">
        <f t="shared" si="85"/>
        <v/>
      </c>
      <c r="IW20" s="12" t="str">
        <f t="shared" si="86"/>
        <v/>
      </c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15" t="str">
        <f t="shared" si="87"/>
        <v/>
      </c>
      <c r="JN20" s="15" t="str">
        <f t="shared" si="88"/>
        <v/>
      </c>
      <c r="JO20" s="15" t="str">
        <f t="shared" si="89"/>
        <v/>
      </c>
      <c r="JP20" s="15" t="str">
        <f t="shared" si="90"/>
        <v/>
      </c>
      <c r="JQ20" s="15" t="str">
        <f t="shared" si="91"/>
        <v/>
      </c>
      <c r="JR20" s="15" t="str">
        <f t="shared" si="92"/>
        <v/>
      </c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39"/>
      <c r="KE20" s="39"/>
      <c r="KF20" s="39"/>
      <c r="KG20" s="39"/>
      <c r="KH20" s="12" t="str">
        <f t="shared" si="93"/>
        <v/>
      </c>
      <c r="KI20" s="12" t="str">
        <f t="shared" si="94"/>
        <v/>
      </c>
      <c r="KJ20" s="12" t="str">
        <f t="shared" si="95"/>
        <v/>
      </c>
      <c r="KK20" s="12" t="str">
        <f t="shared" si="96"/>
        <v/>
      </c>
      <c r="KL20" s="12" t="str">
        <f t="shared" si="97"/>
        <v/>
      </c>
      <c r="KM20" s="12" t="str">
        <f t="shared" si="98"/>
        <v/>
      </c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15" t="str">
        <f t="shared" si="99"/>
        <v/>
      </c>
      <c r="LD20" s="15" t="str">
        <f t="shared" si="100"/>
        <v/>
      </c>
      <c r="LE20" s="15" t="str">
        <f t="shared" si="101"/>
        <v/>
      </c>
      <c r="LF20" s="15" t="str">
        <f t="shared" si="102"/>
        <v/>
      </c>
      <c r="LG20" s="15" t="str">
        <f t="shared" si="103"/>
        <v/>
      </c>
      <c r="LH20" s="15" t="str">
        <f t="shared" si="104"/>
        <v/>
      </c>
      <c r="LI20" s="72">
        <f t="shared" si="112"/>
        <v>8.9499999999999993</v>
      </c>
      <c r="LJ20" s="72">
        <f t="shared" si="113"/>
        <v>4.6749999999999998</v>
      </c>
      <c r="LK20" s="72">
        <f t="shared" si="114"/>
        <v>1.95</v>
      </c>
      <c r="LL20" s="72">
        <f t="shared" si="115"/>
        <v>8.31</v>
      </c>
      <c r="LM20" s="72">
        <f t="shared" si="116"/>
        <v>0</v>
      </c>
      <c r="LN20" s="72">
        <f t="shared" si="117"/>
        <v>1.6</v>
      </c>
      <c r="LO20" s="72">
        <f t="shared" si="118"/>
        <v>0.875</v>
      </c>
      <c r="LP20" s="72">
        <f t="shared" si="119"/>
        <v>1.25</v>
      </c>
      <c r="LQ20" s="72">
        <f t="shared" si="120"/>
        <v>1.6875</v>
      </c>
      <c r="LR20" s="72">
        <f t="shared" si="121"/>
        <v>0</v>
      </c>
      <c r="LS20" s="72">
        <f t="shared" si="122"/>
        <v>0</v>
      </c>
      <c r="LT20" s="72">
        <f t="shared" si="123"/>
        <v>0</v>
      </c>
      <c r="LU20" s="72">
        <f t="shared" si="124"/>
        <v>0</v>
      </c>
      <c r="LV20" s="72">
        <f t="shared" si="125"/>
        <v>0</v>
      </c>
      <c r="LW20" s="72">
        <f t="shared" si="126"/>
        <v>0</v>
      </c>
      <c r="LX20" s="83" t="s">
        <v>126</v>
      </c>
      <c r="LY20" s="12">
        <f t="shared" si="106"/>
        <v>1.25</v>
      </c>
      <c r="LZ20" s="12">
        <f t="shared" si="107"/>
        <v>23.884999999999998</v>
      </c>
      <c r="MA20" s="12">
        <f t="shared" si="108"/>
        <v>5.4124999999999996</v>
      </c>
      <c r="MB20" s="12">
        <f t="shared" si="109"/>
        <v>29.297499999999999</v>
      </c>
      <c r="MC20" s="12" t="str">
        <f t="shared" si="110"/>
        <v/>
      </c>
      <c r="MD20" s="12">
        <f t="shared" si="111"/>
        <v>29.297499999999999</v>
      </c>
    </row>
    <row r="21" spans="1:342" x14ac:dyDescent="0.2">
      <c r="A21" s="6" t="str">
        <f t="shared" si="0"/>
        <v/>
      </c>
      <c r="B21" s="7" t="s">
        <v>96</v>
      </c>
      <c r="C21" s="8" t="s">
        <v>11</v>
      </c>
      <c r="D21" s="29">
        <v>1998</v>
      </c>
      <c r="E21" s="16">
        <f t="shared" si="1"/>
        <v>57.215000000000003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>
        <f t="shared" si="6"/>
        <v>57.215000000000003</v>
      </c>
      <c r="K21" s="15" t="str">
        <f t="shared" si="7"/>
        <v>2018 Nationals</v>
      </c>
      <c r="L21" s="15" t="str">
        <f t="shared" si="8"/>
        <v/>
      </c>
      <c r="M21" s="15" t="str">
        <f t="shared" si="9"/>
        <v/>
      </c>
      <c r="N21" s="15" t="str">
        <f t="shared" si="10"/>
        <v/>
      </c>
      <c r="O21" s="15" t="str">
        <f t="shared" si="11"/>
        <v/>
      </c>
      <c r="P21" s="15" t="str">
        <f t="shared" si="12"/>
        <v/>
      </c>
      <c r="Q21" s="15" t="str">
        <f t="shared" si="13"/>
        <v/>
      </c>
      <c r="R21" s="15" t="str">
        <f t="shared" si="14"/>
        <v/>
      </c>
      <c r="S21" s="27" t="str">
        <f t="shared" si="15"/>
        <v/>
      </c>
      <c r="T21" s="15" t="str">
        <f t="shared" si="16"/>
        <v/>
      </c>
      <c r="U21" s="72">
        <v>16.600000000000001</v>
      </c>
      <c r="V21" s="72">
        <v>9</v>
      </c>
      <c r="W21" s="72">
        <v>4.8</v>
      </c>
      <c r="X21" s="72">
        <v>16.2</v>
      </c>
      <c r="Y21" s="72">
        <v>0</v>
      </c>
      <c r="Z21" s="72">
        <v>3</v>
      </c>
      <c r="AA21" s="72">
        <v>1.5</v>
      </c>
      <c r="AB21" s="72">
        <v>2.9</v>
      </c>
      <c r="AC21" s="72">
        <v>3.2149999999999999</v>
      </c>
      <c r="AD21" s="72">
        <v>0</v>
      </c>
      <c r="AE21" s="72"/>
      <c r="AF21" s="72"/>
      <c r="AG21" s="72"/>
      <c r="AH21" s="72"/>
      <c r="AI21" s="72"/>
      <c r="AJ21" s="83"/>
      <c r="AK21" s="12">
        <f t="shared" si="17"/>
        <v>2.9</v>
      </c>
      <c r="AL21" s="12">
        <f t="shared" si="18"/>
        <v>46.6</v>
      </c>
      <c r="AM21" s="12">
        <f t="shared" si="19"/>
        <v>10.615</v>
      </c>
      <c r="AN21" s="12">
        <f t="shared" si="20"/>
        <v>57.215000000000003</v>
      </c>
      <c r="AO21" s="12" t="str">
        <f t="shared" si="21"/>
        <v/>
      </c>
      <c r="AP21" s="12">
        <f t="shared" si="22"/>
        <v>57.215000000000003</v>
      </c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84"/>
      <c r="BG21" s="15" t="str">
        <f t="shared" si="23"/>
        <v/>
      </c>
      <c r="BH21" s="15" t="str">
        <f t="shared" si="24"/>
        <v/>
      </c>
      <c r="BI21" s="15" t="str">
        <f t="shared" si="25"/>
        <v/>
      </c>
      <c r="BJ21" s="15" t="str">
        <f t="shared" si="26"/>
        <v/>
      </c>
      <c r="BK21" s="15" t="str">
        <f t="shared" si="27"/>
        <v/>
      </c>
      <c r="BL21" s="15" t="str">
        <f t="shared" si="28"/>
        <v/>
      </c>
      <c r="BM21" s="26" t="str">
        <f t="shared" si="29"/>
        <v/>
      </c>
      <c r="BN21" s="26" t="str">
        <f t="shared" si="30"/>
        <v/>
      </c>
      <c r="BO21" s="26" t="str">
        <f t="shared" si="31"/>
        <v/>
      </c>
      <c r="BP21" s="26" t="str">
        <f t="shared" si="32"/>
        <v/>
      </c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12" t="str">
        <f t="shared" si="33"/>
        <v/>
      </c>
      <c r="CG21" s="12" t="str">
        <f t="shared" si="34"/>
        <v/>
      </c>
      <c r="CH21" s="12" t="str">
        <f t="shared" si="35"/>
        <v/>
      </c>
      <c r="CI21" s="12" t="str">
        <f t="shared" si="36"/>
        <v/>
      </c>
      <c r="CJ21" s="12" t="str">
        <f t="shared" si="37"/>
        <v/>
      </c>
      <c r="CK21" s="12" t="str">
        <f t="shared" si="38"/>
        <v/>
      </c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15" t="str">
        <f t="shared" si="39"/>
        <v/>
      </c>
      <c r="DB21" s="15" t="str">
        <f t="shared" si="40"/>
        <v/>
      </c>
      <c r="DC21" s="15" t="str">
        <f t="shared" si="41"/>
        <v/>
      </c>
      <c r="DD21" s="15" t="str">
        <f t="shared" si="42"/>
        <v/>
      </c>
      <c r="DE21" s="15" t="str">
        <f t="shared" si="43"/>
        <v/>
      </c>
      <c r="DF21" s="15" t="str">
        <f t="shared" si="44"/>
        <v/>
      </c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12" t="str">
        <f t="shared" si="45"/>
        <v/>
      </c>
      <c r="DW21" s="12" t="str">
        <f t="shared" si="46"/>
        <v/>
      </c>
      <c r="DX21" s="12" t="str">
        <f t="shared" si="47"/>
        <v/>
      </c>
      <c r="DY21" s="12" t="str">
        <f t="shared" si="48"/>
        <v/>
      </c>
      <c r="DZ21" s="12" t="str">
        <f t="shared" si="49"/>
        <v/>
      </c>
      <c r="EA21" s="12" t="str">
        <f t="shared" si="50"/>
        <v/>
      </c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15" t="str">
        <f t="shared" si="51"/>
        <v/>
      </c>
      <c r="ER21" s="15" t="str">
        <f t="shared" si="52"/>
        <v/>
      </c>
      <c r="ES21" s="15" t="str">
        <f t="shared" si="53"/>
        <v/>
      </c>
      <c r="ET21" s="15" t="str">
        <f t="shared" si="54"/>
        <v/>
      </c>
      <c r="EU21" s="15" t="str">
        <f t="shared" si="55"/>
        <v/>
      </c>
      <c r="EV21" s="15" t="str">
        <f t="shared" si="56"/>
        <v/>
      </c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12" t="str">
        <f t="shared" si="57"/>
        <v/>
      </c>
      <c r="FM21" s="12" t="str">
        <f t="shared" si="58"/>
        <v/>
      </c>
      <c r="FN21" s="12" t="str">
        <f t="shared" si="59"/>
        <v/>
      </c>
      <c r="FO21" s="12" t="str">
        <f t="shared" si="60"/>
        <v/>
      </c>
      <c r="FP21" s="12" t="str">
        <f t="shared" si="61"/>
        <v/>
      </c>
      <c r="FQ21" s="12" t="str">
        <f t="shared" si="62"/>
        <v/>
      </c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15" t="str">
        <f t="shared" si="63"/>
        <v/>
      </c>
      <c r="GH21" s="15" t="str">
        <f t="shared" si="64"/>
        <v/>
      </c>
      <c r="GI21" s="15" t="str">
        <f t="shared" si="65"/>
        <v/>
      </c>
      <c r="GJ21" s="15" t="str">
        <f t="shared" si="66"/>
        <v/>
      </c>
      <c r="GK21" s="15" t="str">
        <f t="shared" si="67"/>
        <v/>
      </c>
      <c r="GL21" s="15" t="str">
        <f t="shared" si="68"/>
        <v/>
      </c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12" t="str">
        <f t="shared" si="69"/>
        <v/>
      </c>
      <c r="HC21" s="12" t="str">
        <f t="shared" si="70"/>
        <v/>
      </c>
      <c r="HD21" s="12" t="str">
        <f t="shared" si="71"/>
        <v/>
      </c>
      <c r="HE21" s="12" t="str">
        <f t="shared" si="72"/>
        <v/>
      </c>
      <c r="HF21" s="12" t="str">
        <f t="shared" si="73"/>
        <v/>
      </c>
      <c r="HG21" s="12" t="str">
        <f t="shared" si="74"/>
        <v/>
      </c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15" t="str">
        <f t="shared" si="75"/>
        <v/>
      </c>
      <c r="HX21" s="15" t="str">
        <f t="shared" si="76"/>
        <v/>
      </c>
      <c r="HY21" s="15" t="str">
        <f t="shared" si="77"/>
        <v/>
      </c>
      <c r="HZ21" s="15" t="str">
        <f t="shared" si="78"/>
        <v/>
      </c>
      <c r="IA21" s="15" t="str">
        <f t="shared" si="79"/>
        <v/>
      </c>
      <c r="IB21" s="15" t="str">
        <f t="shared" si="80"/>
        <v/>
      </c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12" t="str">
        <f t="shared" si="81"/>
        <v/>
      </c>
      <c r="IS21" s="12" t="str">
        <f t="shared" si="82"/>
        <v/>
      </c>
      <c r="IT21" s="12" t="str">
        <f t="shared" si="83"/>
        <v/>
      </c>
      <c r="IU21" s="12" t="str">
        <f t="shared" si="84"/>
        <v/>
      </c>
      <c r="IV21" s="12" t="str">
        <f t="shared" si="85"/>
        <v/>
      </c>
      <c r="IW21" s="12" t="str">
        <f t="shared" si="86"/>
        <v/>
      </c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15" t="str">
        <f t="shared" si="87"/>
        <v/>
      </c>
      <c r="JN21" s="15" t="str">
        <f t="shared" si="88"/>
        <v/>
      </c>
      <c r="JO21" s="15" t="str">
        <f t="shared" si="89"/>
        <v/>
      </c>
      <c r="JP21" s="15" t="str">
        <f t="shared" si="90"/>
        <v/>
      </c>
      <c r="JQ21" s="15" t="str">
        <f t="shared" si="91"/>
        <v/>
      </c>
      <c r="JR21" s="15" t="str">
        <f t="shared" si="92"/>
        <v/>
      </c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39"/>
      <c r="KE21" s="39"/>
      <c r="KF21" s="39"/>
      <c r="KG21" s="39"/>
      <c r="KH21" s="12" t="str">
        <f t="shared" si="93"/>
        <v/>
      </c>
      <c r="KI21" s="12" t="str">
        <f t="shared" si="94"/>
        <v/>
      </c>
      <c r="KJ21" s="12" t="str">
        <f t="shared" si="95"/>
        <v/>
      </c>
      <c r="KK21" s="12" t="str">
        <f t="shared" si="96"/>
        <v/>
      </c>
      <c r="KL21" s="12" t="str">
        <f t="shared" si="97"/>
        <v/>
      </c>
      <c r="KM21" s="12" t="str">
        <f t="shared" si="98"/>
        <v/>
      </c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15" t="str">
        <f t="shared" si="99"/>
        <v/>
      </c>
      <c r="LD21" s="15" t="str">
        <f t="shared" si="100"/>
        <v/>
      </c>
      <c r="LE21" s="15" t="str">
        <f t="shared" si="101"/>
        <v/>
      </c>
      <c r="LF21" s="15" t="str">
        <f t="shared" si="102"/>
        <v/>
      </c>
      <c r="LG21" s="15" t="str">
        <f t="shared" si="103"/>
        <v/>
      </c>
      <c r="LH21" s="15" t="str">
        <f t="shared" si="104"/>
        <v/>
      </c>
      <c r="LI21" s="72">
        <f t="shared" si="112"/>
        <v>8.3000000000000007</v>
      </c>
      <c r="LJ21" s="72">
        <f t="shared" si="113"/>
        <v>4.5</v>
      </c>
      <c r="LK21" s="72">
        <f t="shared" si="114"/>
        <v>2.4</v>
      </c>
      <c r="LL21" s="72">
        <f t="shared" si="115"/>
        <v>8.1</v>
      </c>
      <c r="LM21" s="72">
        <f t="shared" si="116"/>
        <v>0</v>
      </c>
      <c r="LN21" s="72">
        <f t="shared" si="117"/>
        <v>1.5</v>
      </c>
      <c r="LO21" s="72">
        <f t="shared" si="118"/>
        <v>0.75</v>
      </c>
      <c r="LP21" s="72">
        <f t="shared" si="119"/>
        <v>1.45</v>
      </c>
      <c r="LQ21" s="72">
        <f t="shared" si="120"/>
        <v>1.6074999999999999</v>
      </c>
      <c r="LR21" s="72">
        <f t="shared" si="121"/>
        <v>0</v>
      </c>
      <c r="LS21" s="72">
        <f t="shared" si="122"/>
        <v>0</v>
      </c>
      <c r="LT21" s="72">
        <f t="shared" si="123"/>
        <v>0</v>
      </c>
      <c r="LU21" s="72">
        <f t="shared" si="124"/>
        <v>0</v>
      </c>
      <c r="LV21" s="72">
        <f t="shared" si="125"/>
        <v>0</v>
      </c>
      <c r="LW21" s="72">
        <f t="shared" si="126"/>
        <v>0</v>
      </c>
      <c r="LX21" s="83" t="s">
        <v>126</v>
      </c>
      <c r="LY21" s="12">
        <f t="shared" si="106"/>
        <v>1.45</v>
      </c>
      <c r="LZ21" s="12">
        <f t="shared" si="107"/>
        <v>23.3</v>
      </c>
      <c r="MA21" s="12">
        <f t="shared" si="108"/>
        <v>5.3075000000000001</v>
      </c>
      <c r="MB21" s="12">
        <f t="shared" si="109"/>
        <v>28.607500000000002</v>
      </c>
      <c r="MC21" s="12" t="str">
        <f t="shared" si="110"/>
        <v/>
      </c>
      <c r="MD21" s="12">
        <f t="shared" si="111"/>
        <v>28.607500000000002</v>
      </c>
    </row>
    <row r="22" spans="1:342" x14ac:dyDescent="0.2">
      <c r="B22" s="7"/>
      <c r="D22" s="1"/>
    </row>
    <row r="24" spans="1:342" x14ac:dyDescent="0.2">
      <c r="B24" s="73" t="s">
        <v>93</v>
      </c>
      <c r="C24" s="58"/>
      <c r="AL24" s="67">
        <v>14.4</v>
      </c>
      <c r="BG24" s="58"/>
      <c r="BH24" s="67">
        <v>14.4</v>
      </c>
      <c r="CF24" s="58"/>
      <c r="CG24" s="67">
        <v>20.2</v>
      </c>
      <c r="DA24" s="58"/>
      <c r="DB24" s="67">
        <v>14.4</v>
      </c>
      <c r="DV24" s="58"/>
      <c r="DW24" s="67">
        <v>20.2</v>
      </c>
      <c r="EQ24" s="58"/>
      <c r="ER24" s="67">
        <v>15.7</v>
      </c>
      <c r="FL24" s="58"/>
      <c r="FM24" s="67">
        <v>20.2</v>
      </c>
      <c r="GG24" s="58"/>
      <c r="GH24" s="67">
        <v>14.7</v>
      </c>
      <c r="HB24" s="58"/>
      <c r="HC24" s="67">
        <v>20.2</v>
      </c>
      <c r="HW24" s="58"/>
      <c r="HX24" s="67">
        <v>20.2</v>
      </c>
      <c r="IR24" s="58"/>
      <c r="IS24" s="67">
        <v>14.4</v>
      </c>
      <c r="JM24" s="58"/>
      <c r="JN24" s="67">
        <v>14.4</v>
      </c>
      <c r="KH24" s="58"/>
      <c r="KI24" s="67">
        <v>14.4</v>
      </c>
      <c r="LC24" s="58"/>
      <c r="LD24" s="67">
        <v>14.4</v>
      </c>
    </row>
    <row r="25" spans="1:342" x14ac:dyDescent="0.2">
      <c r="A25" s="58"/>
      <c r="B25" s="101" t="s">
        <v>92</v>
      </c>
      <c r="C25" s="58"/>
      <c r="AL25" s="103">
        <v>15.2</v>
      </c>
      <c r="AN25" s="56"/>
      <c r="AO25" s="56"/>
      <c r="BG25" s="58"/>
      <c r="BH25" s="103">
        <v>15.2</v>
      </c>
      <c r="CF25" s="58"/>
      <c r="CG25" s="103">
        <v>20.6</v>
      </c>
      <c r="DA25" s="58"/>
      <c r="DB25" s="103">
        <v>15.2</v>
      </c>
      <c r="DV25" s="58"/>
      <c r="DW25" s="103">
        <v>20.6</v>
      </c>
      <c r="EQ25" s="58"/>
      <c r="ER25" s="103">
        <v>15.8</v>
      </c>
      <c r="FL25" s="58"/>
      <c r="FM25" s="103">
        <v>20.6</v>
      </c>
      <c r="GG25" s="58"/>
      <c r="GH25" s="103">
        <v>14.8</v>
      </c>
      <c r="HB25" s="58"/>
      <c r="HC25" s="103">
        <v>20.6</v>
      </c>
      <c r="HW25" s="58"/>
      <c r="HX25" s="103">
        <v>20.6</v>
      </c>
      <c r="IR25" s="58"/>
      <c r="IS25" s="103">
        <v>15.4</v>
      </c>
      <c r="JM25" s="58"/>
      <c r="JN25" s="103">
        <v>15.4</v>
      </c>
      <c r="KH25" s="58"/>
      <c r="KI25" s="103">
        <v>15.4</v>
      </c>
      <c r="LC25" s="58"/>
      <c r="LD25" s="103">
        <v>15.4</v>
      </c>
    </row>
    <row r="26" spans="1:342" x14ac:dyDescent="0.2">
      <c r="A26" s="58"/>
      <c r="B26" s="74" t="s">
        <v>90</v>
      </c>
      <c r="C26" s="58"/>
      <c r="AL26" s="68">
        <v>103</v>
      </c>
      <c r="AN26" s="56"/>
      <c r="AO26" s="56"/>
      <c r="BG26" s="58"/>
      <c r="BH26" s="68">
        <v>103</v>
      </c>
      <c r="CF26" s="58"/>
      <c r="CG26" s="68">
        <v>103</v>
      </c>
      <c r="DA26" s="58"/>
      <c r="DB26" s="68">
        <v>103</v>
      </c>
      <c r="DV26" s="58"/>
      <c r="DW26" s="68">
        <v>103</v>
      </c>
      <c r="EQ26" s="58"/>
      <c r="ER26" s="68">
        <v>103</v>
      </c>
      <c r="FL26" s="58"/>
      <c r="FM26" s="68">
        <v>103</v>
      </c>
      <c r="GG26" s="58"/>
      <c r="GH26" s="68">
        <v>103</v>
      </c>
      <c r="HB26" s="58"/>
      <c r="HC26" s="68">
        <v>103</v>
      </c>
      <c r="HW26" s="58"/>
      <c r="HX26" s="68">
        <v>103</v>
      </c>
      <c r="IR26" s="58"/>
      <c r="IS26" s="68">
        <v>103</v>
      </c>
      <c r="JM26" s="58"/>
      <c r="JN26" s="68">
        <v>103</v>
      </c>
      <c r="KH26" s="58"/>
      <c r="KI26" s="68">
        <v>103</v>
      </c>
      <c r="LC26" s="58"/>
      <c r="LD26" s="68">
        <v>103</v>
      </c>
    </row>
    <row r="27" spans="1:342" x14ac:dyDescent="0.2">
      <c r="A27" s="58"/>
      <c r="B27" s="75" t="s">
        <v>91</v>
      </c>
      <c r="C27" s="58"/>
      <c r="AL27" s="69">
        <v>105</v>
      </c>
      <c r="AN27" s="56"/>
      <c r="AO27" s="56"/>
      <c r="BG27" s="58"/>
      <c r="BH27" s="69">
        <v>105</v>
      </c>
      <c r="CF27" s="58"/>
      <c r="CG27" s="69">
        <v>105</v>
      </c>
      <c r="DA27" s="58"/>
      <c r="DB27" s="69">
        <v>105</v>
      </c>
      <c r="DV27" s="58"/>
      <c r="DW27" s="69">
        <v>105</v>
      </c>
      <c r="EQ27" s="58"/>
      <c r="ER27" s="69">
        <v>105</v>
      </c>
      <c r="FL27" s="58"/>
      <c r="FM27" s="69">
        <v>105</v>
      </c>
      <c r="GG27" s="58"/>
      <c r="GH27" s="69">
        <v>105</v>
      </c>
      <c r="HB27" s="58"/>
      <c r="HC27" s="69">
        <v>105</v>
      </c>
      <c r="HW27" s="58"/>
      <c r="HX27" s="69">
        <v>105</v>
      </c>
      <c r="IR27" s="58"/>
      <c r="IS27" s="69">
        <v>105</v>
      </c>
      <c r="JM27" s="58"/>
      <c r="JN27" s="69">
        <v>105</v>
      </c>
      <c r="KH27" s="58"/>
      <c r="KI27" s="69">
        <v>105</v>
      </c>
      <c r="LC27" s="58"/>
      <c r="LD27" s="69">
        <v>105</v>
      </c>
    </row>
    <row r="28" spans="1:342" x14ac:dyDescent="0.2">
      <c r="A28" s="58"/>
      <c r="B28" s="76" t="s">
        <v>196</v>
      </c>
      <c r="C28" s="58"/>
      <c r="AL28" s="70">
        <v>108.5</v>
      </c>
      <c r="AN28" s="56"/>
      <c r="AO28" s="56"/>
      <c r="BG28" s="58"/>
      <c r="BH28" s="70">
        <v>108.5</v>
      </c>
      <c r="CF28" s="58"/>
      <c r="CG28" s="70">
        <v>108.5</v>
      </c>
      <c r="DA28" s="58"/>
      <c r="DB28" s="70">
        <v>108.5</v>
      </c>
      <c r="DV28" s="58"/>
      <c r="DW28" s="70">
        <v>108.5</v>
      </c>
      <c r="EQ28" s="58"/>
      <c r="ER28" s="70">
        <v>108.5</v>
      </c>
      <c r="FL28" s="58"/>
      <c r="FM28" s="70">
        <v>108.5</v>
      </c>
      <c r="GG28" s="58"/>
      <c r="GH28" s="70">
        <v>108.5</v>
      </c>
      <c r="HB28" s="58"/>
      <c r="HC28" s="70">
        <v>108.5</v>
      </c>
      <c r="HW28" s="58"/>
      <c r="HX28" s="70">
        <v>108.5</v>
      </c>
      <c r="IR28" s="58"/>
      <c r="IS28" s="70">
        <v>108</v>
      </c>
      <c r="JM28" s="58"/>
      <c r="JN28" s="70">
        <v>108</v>
      </c>
      <c r="KH28" s="58"/>
      <c r="KI28" s="70">
        <v>108</v>
      </c>
      <c r="LC28" s="58"/>
      <c r="LD28" s="70">
        <v>108</v>
      </c>
    </row>
    <row r="29" spans="1:342" x14ac:dyDescent="0.2">
      <c r="A29" s="58"/>
      <c r="B29" s="77" t="s">
        <v>71</v>
      </c>
      <c r="C29" s="58"/>
      <c r="AL29" s="71">
        <v>60</v>
      </c>
      <c r="AN29" s="56"/>
      <c r="AO29" s="56"/>
      <c r="BG29" s="58"/>
      <c r="BH29" s="71">
        <v>60</v>
      </c>
      <c r="CF29" s="58"/>
      <c r="CG29" s="71">
        <v>60</v>
      </c>
      <c r="DA29" s="58"/>
      <c r="DB29" s="71">
        <v>60</v>
      </c>
      <c r="DV29" s="58"/>
      <c r="DW29" s="71">
        <v>60</v>
      </c>
      <c r="EQ29" s="58"/>
      <c r="ER29" s="71">
        <v>60</v>
      </c>
      <c r="FL29" s="58"/>
      <c r="FM29" s="71">
        <v>60</v>
      </c>
      <c r="GG29" s="58"/>
      <c r="GH29" s="71">
        <v>60</v>
      </c>
      <c r="HB29" s="58"/>
      <c r="HC29" s="71">
        <v>60</v>
      </c>
      <c r="HW29" s="58"/>
      <c r="HX29" s="71">
        <v>60</v>
      </c>
      <c r="IR29" s="58"/>
      <c r="IS29" s="71">
        <v>59.8</v>
      </c>
      <c r="JM29" s="58"/>
      <c r="JN29" s="71">
        <v>59.8</v>
      </c>
      <c r="KH29" s="58"/>
      <c r="KI29" s="71">
        <v>59.8</v>
      </c>
      <c r="LC29" s="58"/>
      <c r="LD29" s="71">
        <v>59.8</v>
      </c>
    </row>
    <row r="30" spans="1:342" x14ac:dyDescent="0.2">
      <c r="B30" s="85" t="s">
        <v>127</v>
      </c>
      <c r="C30" s="3"/>
      <c r="AL30" t="s">
        <v>192</v>
      </c>
      <c r="AM30" s="56"/>
      <c r="AN30" s="56"/>
      <c r="AO30" s="56"/>
      <c r="BH30" t="s">
        <v>192</v>
      </c>
      <c r="DB30" s="56" t="s">
        <v>192</v>
      </c>
      <c r="ER30" t="s">
        <v>192</v>
      </c>
      <c r="GH30" t="s">
        <v>192</v>
      </c>
    </row>
    <row r="31" spans="1:342" x14ac:dyDescent="0.2">
      <c r="A31" s="58"/>
      <c r="B31" s="58"/>
      <c r="C31" s="57"/>
      <c r="AL31" s="56"/>
      <c r="AM31" s="56"/>
      <c r="AN31" s="56"/>
      <c r="AO31" s="56"/>
    </row>
    <row r="32" spans="1:342" ht="17" x14ac:dyDescent="0.2">
      <c r="A32" s="58"/>
      <c r="B32" s="58"/>
      <c r="C32" s="57"/>
      <c r="R32" s="21"/>
      <c r="S32" s="21"/>
      <c r="AL32" s="56"/>
      <c r="AM32" s="56"/>
      <c r="AN32" s="56"/>
      <c r="AO32" s="56"/>
    </row>
    <row r="33" spans="1:41" ht="17" x14ac:dyDescent="0.2">
      <c r="A33" s="58"/>
      <c r="B33" s="58"/>
      <c r="C33" s="57"/>
      <c r="R33" s="21"/>
      <c r="AL33" s="56"/>
      <c r="AM33" s="56"/>
      <c r="AN33" s="56"/>
      <c r="AO33" s="56"/>
    </row>
    <row r="34" spans="1:41" ht="17" x14ac:dyDescent="0.2">
      <c r="R34" s="21"/>
      <c r="S34" s="21"/>
      <c r="AL34" s="56"/>
      <c r="AM34" s="56"/>
      <c r="AN34" s="56"/>
      <c r="AO34" s="56"/>
    </row>
    <row r="35" spans="1:41" ht="17" x14ac:dyDescent="0.2">
      <c r="R35" s="21"/>
      <c r="S35" s="21"/>
      <c r="AL35" s="56"/>
      <c r="AM35" s="56"/>
      <c r="AN35" s="56"/>
      <c r="AO35" s="56"/>
    </row>
    <row r="36" spans="1:41" ht="17" x14ac:dyDescent="0.2">
      <c r="R36" s="21"/>
      <c r="S36" s="21"/>
      <c r="AL36" s="56"/>
      <c r="AM36" s="56"/>
      <c r="AN36" s="56"/>
      <c r="AO36" s="56"/>
    </row>
    <row r="37" spans="1:41" ht="17" x14ac:dyDescent="0.2">
      <c r="R37" s="21"/>
      <c r="S37" s="21"/>
      <c r="T37" s="21"/>
    </row>
    <row r="38" spans="1:41" ht="17" x14ac:dyDescent="0.2">
      <c r="R38" s="21"/>
      <c r="S38" s="21"/>
      <c r="T38" s="21"/>
    </row>
    <row r="39" spans="1:41" ht="17" x14ac:dyDescent="0.2">
      <c r="R39" s="21"/>
      <c r="S39" s="21"/>
      <c r="T39" s="21"/>
    </row>
    <row r="40" spans="1:41" ht="17" x14ac:dyDescent="0.2">
      <c r="R40" s="21"/>
      <c r="S40" s="21"/>
      <c r="T40" s="21"/>
    </row>
    <row r="41" spans="1:41" ht="17" x14ac:dyDescent="0.2">
      <c r="R41" s="21"/>
      <c r="S41" s="21"/>
      <c r="T41" s="21"/>
    </row>
    <row r="42" spans="1:41" ht="17" x14ac:dyDescent="0.2">
      <c r="R42" s="21"/>
      <c r="S42" s="21"/>
      <c r="T42" s="21"/>
    </row>
    <row r="43" spans="1:41" ht="17" x14ac:dyDescent="0.2">
      <c r="R43" s="21"/>
      <c r="S43" s="21"/>
      <c r="T43" s="21"/>
    </row>
    <row r="44" spans="1:41" ht="17" x14ac:dyDescent="0.2">
      <c r="R44" s="21"/>
      <c r="S44" s="21"/>
      <c r="T44" s="21"/>
    </row>
    <row r="45" spans="1:41" ht="17" x14ac:dyDescent="0.2">
      <c r="R45" s="21"/>
      <c r="S45" s="21"/>
      <c r="T45" s="21"/>
    </row>
    <row r="46" spans="1:41" ht="17" x14ac:dyDescent="0.2">
      <c r="R46" s="21"/>
      <c r="S46" s="21"/>
      <c r="T46" s="21"/>
    </row>
    <row r="47" spans="1:41" ht="17" x14ac:dyDescent="0.2">
      <c r="R47" s="21"/>
      <c r="S47" s="21"/>
      <c r="T47" s="21"/>
    </row>
    <row r="48" spans="1:41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</sheetData>
  <sheetProtection sheet="1" formatCells="0" formatColumns="0" formatRows="0"/>
  <autoFilter ref="A1:LH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M2:IQ2"/>
    <mergeCell ref="IH2:IL2"/>
    <mergeCell ref="IX1:JR1"/>
    <mergeCell ref="JS1:KM1"/>
    <mergeCell ref="KX2:LB2"/>
    <mergeCell ref="KS2:KW2"/>
    <mergeCell ref="KN2:KR2"/>
    <mergeCell ref="KC2:KG2"/>
    <mergeCell ref="JX2:KB2"/>
    <mergeCell ref="JC2:JG2"/>
    <mergeCell ref="IX2:JB2"/>
    <mergeCell ref="DG1:EA1"/>
    <mergeCell ref="CL2:CP2"/>
    <mergeCell ref="AQ1:BL1"/>
    <mergeCell ref="AQ2:AU2"/>
    <mergeCell ref="AV2:AZ2"/>
    <mergeCell ref="CA2:CE2"/>
    <mergeCell ref="BV2:BZ2"/>
    <mergeCell ref="BQ1:CK1"/>
    <mergeCell ref="BA2:BE2"/>
    <mergeCell ref="BQ2:BU2"/>
    <mergeCell ref="BM1:BP1"/>
    <mergeCell ref="CL1:DF1"/>
    <mergeCell ref="CV2:CZ2"/>
    <mergeCell ref="DG2:DK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B2:EF2"/>
    <mergeCell ref="DQ2:DU2"/>
    <mergeCell ref="DL2:DP2"/>
    <mergeCell ref="CQ2:CU2"/>
    <mergeCell ref="IC2:IG2"/>
    <mergeCell ref="HR2:HV2"/>
    <mergeCell ref="HM2:HQ2"/>
    <mergeCell ref="HH2:HL2"/>
    <mergeCell ref="EL2:EP2"/>
    <mergeCell ref="GW2:HA2"/>
    <mergeCell ref="GR2:GV2"/>
    <mergeCell ref="GM2:GQ2"/>
    <mergeCell ref="FW2:GA2"/>
    <mergeCell ref="FR2:FV2"/>
    <mergeCell ref="FG2:FK2"/>
    <mergeCell ref="FB2:FF2"/>
    <mergeCell ref="LI1:MD1"/>
    <mergeCell ref="LI2:LM2"/>
    <mergeCell ref="LN2:LR2"/>
    <mergeCell ref="LS2:LW2"/>
    <mergeCell ref="EG2:EK2"/>
    <mergeCell ref="EB1:EV1"/>
    <mergeCell ref="GM1:HG1"/>
    <mergeCell ref="EW1:FQ1"/>
    <mergeCell ref="FR1:GL1"/>
    <mergeCell ref="EW2:FA2"/>
    <mergeCell ref="GB2:GF2"/>
    <mergeCell ref="HH1:IB1"/>
    <mergeCell ref="IC1:IW1"/>
    <mergeCell ref="JS2:JW2"/>
    <mergeCell ref="JH2:JL2"/>
    <mergeCell ref="KN1:LH1"/>
  </mergeCells>
  <conditionalFormatting sqref="A1:A1048576">
    <cfRule type="expression" dxfId="190" priority="269">
      <formula>AND(H1="P",F1="")</formula>
    </cfRule>
  </conditionalFormatting>
  <conditionalFormatting sqref="I1:I1048576">
    <cfRule type="containsText" dxfId="189" priority="10" operator="containsText" text="No DD">
      <formula>NOT(ISERROR(SEARCH("No DD",I1)))</formula>
    </cfRule>
    <cfRule type="containsText" dxfId="188" priority="270" operator="containsText" text="Merit">
      <formula>NOT(ISERROR(SEARCH("Merit",I1)))</formula>
    </cfRule>
    <cfRule type="containsText" dxfId="187" priority="271" operator="containsText" text="Excellence">
      <formula>NOT(ISERROR(SEARCH("Excellence",I1)))</formula>
    </cfRule>
    <cfRule type="containsText" dxfId="186" priority="272" operator="containsText" text="Worlds Team">
      <formula>NOT(ISERROR(SEARCH("Worlds Team",I1)))</formula>
    </cfRule>
    <cfRule type="containsText" dxfId="185" priority="820" operator="containsText" text="National Team">
      <formula>NOT(ISERROR(SEARCH("National Team",I1)))</formula>
    </cfRule>
  </conditionalFormatting>
  <conditionalFormatting sqref="U4:AP21">
    <cfRule type="expression" dxfId="184" priority="32">
      <formula>IF($AJ4&lt;&gt;"",1,0)</formula>
    </cfRule>
  </conditionalFormatting>
  <conditionalFormatting sqref="AK4:BL21">
    <cfRule type="expression" dxfId="183" priority="31">
      <formula>IF($BF4&lt;&gt;"",1,0)</formula>
    </cfRule>
  </conditionalFormatting>
  <conditionalFormatting sqref="LE1:LE1048576 KJ1:KJ1048576 JO1:JO1048576 IT1:IT1048576 HY1:HY1048576 HD1:HD1048576 GI1:GI1048576 FN1:FN1048576 ES1:ES1048576 DX1:DX1048576 DC1:DC1048576 CH1:CH1048576">
    <cfRule type="cellIs" dxfId="182" priority="5642" operator="between">
      <formula>CG$29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81" priority="5678" operator="between">
      <formula>CG$29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80" priority="5714" operator="between">
      <formula>CG$28</formula>
      <formula>1000</formula>
    </cfRule>
    <cfRule type="cellIs" dxfId="179" priority="5715" operator="between">
      <formula>CG$27</formula>
      <formula>CG$28</formula>
    </cfRule>
    <cfRule type="cellIs" dxfId="178" priority="5716" operator="between">
      <formula>CG$26</formula>
      <formula>CG$27</formula>
    </cfRule>
  </conditionalFormatting>
  <conditionalFormatting sqref="AK1:AK1048576 BG1:BG1048576">
    <cfRule type="expression" dxfId="177" priority="5822">
      <formula>IF(AND(AK1&gt;=AL$25,AK1&lt;100,AJ1=""),1,0)</formula>
    </cfRule>
    <cfRule type="expression" dxfId="176" priority="5823">
      <formula>IF(AND(AK1&gt;=AL$24,AK1&lt;AL$25,AJ1=""),1,0)</formula>
    </cfRule>
  </conditionalFormatting>
  <conditionalFormatting sqref="AN1:AN1048576 BJ1:BJ1048576">
    <cfRule type="expression" dxfId="175" priority="5840">
      <formula>IF(AND(AN1&gt;=AL$28,AN1&lt;1000,AJ1=""),1,0)</formula>
    </cfRule>
    <cfRule type="expression" dxfId="174" priority="5841">
      <formula>IF(AND(AN1&gt;=AL$27,AN1&lt;AL$28,AJ1=""),1,0)</formula>
    </cfRule>
    <cfRule type="expression" dxfId="173" priority="5842">
      <formula>IF(AND(AN1&gt;=AL$26,AN1&lt;AL$27,AJ1=""),1,0)</formula>
    </cfRule>
  </conditionalFormatting>
  <conditionalFormatting sqref="BI1:BI1048576 AM1:AM1048576">
    <cfRule type="expression" dxfId="172" priority="5867">
      <formula>IF(AND(AM1&gt;=AL$29,AM1&lt;1000,AJ1=""),1,0)</formula>
    </cfRule>
  </conditionalFormatting>
  <conditionalFormatting sqref="AO1:AO1048576 BK1:BK1048576">
    <cfRule type="expression" dxfId="171" priority="5876">
      <formula>IF(AND(AO1&gt;=AL$29,AO1&lt;1000,AJ1=""),1,0)</formula>
    </cfRule>
  </conditionalFormatting>
  <conditionalFormatting sqref="CF1:CF1048576 DA1:DA1048576 DV1:DV1048576 EQ1:EQ1048576 FL1:FL1048576 GG1:GG1048576 HB1:HB1048576 HW1:HW1048576 IR1:IR1048576 JM1:JM1048576 KH1:KH1048576 LC1:LC1048576">
    <cfRule type="expression" dxfId="170" priority="11">
      <formula>IF(AND(CF1&gt;=CG$24,CF1&lt;CG$25),1,0)</formula>
    </cfRule>
    <cfRule type="expression" dxfId="169" priority="12">
      <formula>IF(AND(CF1&gt;=CG$25,CF1&lt;100),1,0)</formula>
    </cfRule>
  </conditionalFormatting>
  <conditionalFormatting sqref="Q1:Q1048576 O1:O1048576 M1:M1048576 K1:K1048576">
    <cfRule type="expression" dxfId="168" priority="8395">
      <formula>IF(K1=$AQ$1,1,0)</formula>
    </cfRule>
    <cfRule type="expression" dxfId="167" priority="8396">
      <formula>IF(K1=$U$1,1,0)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D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10.83203125" hidden="1" customWidth="1"/>
  </cols>
  <sheetData>
    <row r="1" spans="1:342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4" t="s">
        <v>93</v>
      </c>
      <c r="G1" s="124" t="s">
        <v>92</v>
      </c>
      <c r="H1" s="123" t="s">
        <v>18</v>
      </c>
      <c r="I1" s="123" t="s">
        <v>19</v>
      </c>
      <c r="J1" s="125" t="s">
        <v>20</v>
      </c>
      <c r="K1" s="125" t="s">
        <v>69</v>
      </c>
      <c r="L1" s="125" t="s">
        <v>21</v>
      </c>
      <c r="M1" s="125" t="s">
        <v>69</v>
      </c>
      <c r="N1" s="125" t="s">
        <v>22</v>
      </c>
      <c r="O1" s="125" t="s">
        <v>69</v>
      </c>
      <c r="P1" s="125" t="s">
        <v>23</v>
      </c>
      <c r="Q1" s="125" t="s">
        <v>69</v>
      </c>
      <c r="R1" s="126" t="s">
        <v>24</v>
      </c>
      <c r="S1" s="125" t="s">
        <v>70</v>
      </c>
      <c r="T1" s="125" t="s">
        <v>69</v>
      </c>
      <c r="U1" s="119" t="s">
        <v>108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2" t="s">
        <v>146</v>
      </c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7" t="s">
        <v>24</v>
      </c>
      <c r="BN1" s="127"/>
      <c r="BO1" s="127"/>
      <c r="BP1" s="127"/>
      <c r="BQ1" s="119" t="s">
        <v>153</v>
      </c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22" t="s">
        <v>150</v>
      </c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19" t="s">
        <v>151</v>
      </c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22" t="s">
        <v>155</v>
      </c>
      <c r="EC1" s="122"/>
      <c r="ED1" s="122"/>
      <c r="EE1" s="122"/>
      <c r="EF1" s="122"/>
      <c r="EG1" s="122"/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19" t="s">
        <v>177</v>
      </c>
      <c r="EX1" s="119"/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22" t="s">
        <v>178</v>
      </c>
      <c r="FS1" s="122"/>
      <c r="FT1" s="122"/>
      <c r="FU1" s="122"/>
      <c r="FV1" s="122"/>
      <c r="FW1" s="122"/>
      <c r="FX1" s="122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19" t="s">
        <v>180</v>
      </c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22" t="s">
        <v>190</v>
      </c>
      <c r="HI1" s="122"/>
      <c r="HJ1" s="122"/>
      <c r="HK1" s="122"/>
      <c r="HL1" s="122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19" t="s">
        <v>203</v>
      </c>
      <c r="ID1" s="119"/>
      <c r="IE1" s="119"/>
      <c r="IF1" s="119"/>
      <c r="IG1" s="119"/>
      <c r="IH1" s="119"/>
      <c r="II1" s="119"/>
      <c r="IJ1" s="119"/>
      <c r="IK1" s="119"/>
      <c r="IL1" s="119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22" t="s">
        <v>209</v>
      </c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19"/>
      <c r="JT1" s="119"/>
      <c r="JU1" s="119"/>
      <c r="JV1" s="119"/>
      <c r="JW1" s="119"/>
      <c r="JX1" s="119"/>
      <c r="JY1" s="119"/>
      <c r="JZ1" s="119"/>
      <c r="KA1" s="119"/>
      <c r="KB1" s="119"/>
      <c r="KC1" s="119"/>
      <c r="KD1" s="119"/>
      <c r="KE1" s="119"/>
      <c r="KF1" s="119"/>
      <c r="KG1" s="119"/>
      <c r="KH1" s="119"/>
      <c r="KI1" s="119"/>
      <c r="KJ1" s="119"/>
      <c r="KK1" s="119"/>
      <c r="KL1" s="119"/>
      <c r="KM1" s="119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19" t="s">
        <v>207</v>
      </c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  <c r="LY1" s="119"/>
      <c r="LZ1" s="119"/>
      <c r="MA1" s="119"/>
      <c r="MB1" s="119"/>
      <c r="MC1" s="119"/>
      <c r="MD1" s="119"/>
    </row>
    <row r="2" spans="1:342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29</v>
      </c>
      <c r="V2" s="120"/>
      <c r="W2" s="120"/>
      <c r="X2" s="120"/>
      <c r="Y2" s="120"/>
      <c r="Z2" s="120" t="s">
        <v>30</v>
      </c>
      <c r="AA2" s="120"/>
      <c r="AB2" s="120"/>
      <c r="AC2" s="120"/>
      <c r="AD2" s="120"/>
      <c r="AE2" s="120" t="s">
        <v>33</v>
      </c>
      <c r="AF2" s="120"/>
      <c r="AG2" s="120"/>
      <c r="AH2" s="120"/>
      <c r="AI2" s="120"/>
      <c r="AJ2" s="81"/>
      <c r="AK2" s="60" t="s">
        <v>191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1" t="s">
        <v>29</v>
      </c>
      <c r="AR2" s="121"/>
      <c r="AS2" s="121"/>
      <c r="AT2" s="121"/>
      <c r="AU2" s="121"/>
      <c r="AV2" s="121" t="s">
        <v>30</v>
      </c>
      <c r="AW2" s="121"/>
      <c r="AX2" s="121"/>
      <c r="AY2" s="121"/>
      <c r="AZ2" s="121"/>
      <c r="BA2" s="121" t="s">
        <v>33</v>
      </c>
      <c r="BB2" s="121"/>
      <c r="BC2" s="121"/>
      <c r="BD2" s="121"/>
      <c r="BE2" s="121"/>
      <c r="BF2" s="82"/>
      <c r="BG2" s="59" t="s">
        <v>191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20" t="s">
        <v>29</v>
      </c>
      <c r="BR2" s="120"/>
      <c r="BS2" s="120"/>
      <c r="BT2" s="120"/>
      <c r="BU2" s="120"/>
      <c r="BV2" s="120" t="s">
        <v>30</v>
      </c>
      <c r="BW2" s="120"/>
      <c r="BX2" s="120"/>
      <c r="BY2" s="120"/>
      <c r="BZ2" s="120"/>
      <c r="CA2" s="120" t="s">
        <v>33</v>
      </c>
      <c r="CB2" s="120"/>
      <c r="CC2" s="120"/>
      <c r="CD2" s="120"/>
      <c r="CE2" s="120"/>
      <c r="CF2" s="60" t="s">
        <v>191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1" t="s">
        <v>29</v>
      </c>
      <c r="CM2" s="121"/>
      <c r="CN2" s="121"/>
      <c r="CO2" s="121"/>
      <c r="CP2" s="121"/>
      <c r="CQ2" s="121" t="s">
        <v>30</v>
      </c>
      <c r="CR2" s="121"/>
      <c r="CS2" s="121"/>
      <c r="CT2" s="121"/>
      <c r="CU2" s="121"/>
      <c r="CV2" s="121" t="s">
        <v>33</v>
      </c>
      <c r="CW2" s="121"/>
      <c r="CX2" s="121"/>
      <c r="CY2" s="121"/>
      <c r="CZ2" s="121"/>
      <c r="DA2" s="59" t="s">
        <v>191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20" t="s">
        <v>29</v>
      </c>
      <c r="DH2" s="120"/>
      <c r="DI2" s="120"/>
      <c r="DJ2" s="120"/>
      <c r="DK2" s="120"/>
      <c r="DL2" s="120" t="s">
        <v>30</v>
      </c>
      <c r="DM2" s="120"/>
      <c r="DN2" s="120"/>
      <c r="DO2" s="120"/>
      <c r="DP2" s="120"/>
      <c r="DQ2" s="120" t="s">
        <v>33</v>
      </c>
      <c r="DR2" s="120"/>
      <c r="DS2" s="120"/>
      <c r="DT2" s="120"/>
      <c r="DU2" s="120"/>
      <c r="DV2" s="60" t="s">
        <v>191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1" t="s">
        <v>29</v>
      </c>
      <c r="EC2" s="121"/>
      <c r="ED2" s="121"/>
      <c r="EE2" s="121"/>
      <c r="EF2" s="121"/>
      <c r="EG2" s="121" t="s">
        <v>30</v>
      </c>
      <c r="EH2" s="121"/>
      <c r="EI2" s="121"/>
      <c r="EJ2" s="121"/>
      <c r="EK2" s="121"/>
      <c r="EL2" s="121" t="s">
        <v>33</v>
      </c>
      <c r="EM2" s="121"/>
      <c r="EN2" s="121"/>
      <c r="EO2" s="121"/>
      <c r="EP2" s="121"/>
      <c r="EQ2" s="59" t="s">
        <v>191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20" t="s">
        <v>29</v>
      </c>
      <c r="EX2" s="120"/>
      <c r="EY2" s="120"/>
      <c r="EZ2" s="120"/>
      <c r="FA2" s="120"/>
      <c r="FB2" s="120" t="s">
        <v>30</v>
      </c>
      <c r="FC2" s="120"/>
      <c r="FD2" s="120"/>
      <c r="FE2" s="120"/>
      <c r="FF2" s="120"/>
      <c r="FG2" s="120" t="s">
        <v>33</v>
      </c>
      <c r="FH2" s="120"/>
      <c r="FI2" s="120"/>
      <c r="FJ2" s="120"/>
      <c r="FK2" s="120"/>
      <c r="FL2" s="60" t="s">
        <v>191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1" t="s">
        <v>29</v>
      </c>
      <c r="FS2" s="121"/>
      <c r="FT2" s="121"/>
      <c r="FU2" s="121"/>
      <c r="FV2" s="121"/>
      <c r="FW2" s="121" t="s">
        <v>30</v>
      </c>
      <c r="FX2" s="121"/>
      <c r="FY2" s="121"/>
      <c r="FZ2" s="121"/>
      <c r="GA2" s="121"/>
      <c r="GB2" s="121" t="s">
        <v>33</v>
      </c>
      <c r="GC2" s="121"/>
      <c r="GD2" s="121"/>
      <c r="GE2" s="121"/>
      <c r="GF2" s="121"/>
      <c r="GG2" s="59" t="s">
        <v>191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20" t="s">
        <v>29</v>
      </c>
      <c r="GN2" s="120"/>
      <c r="GO2" s="120"/>
      <c r="GP2" s="120"/>
      <c r="GQ2" s="120"/>
      <c r="GR2" s="120" t="s">
        <v>30</v>
      </c>
      <c r="GS2" s="120"/>
      <c r="GT2" s="120"/>
      <c r="GU2" s="120"/>
      <c r="GV2" s="120"/>
      <c r="GW2" s="120" t="s">
        <v>33</v>
      </c>
      <c r="GX2" s="120"/>
      <c r="GY2" s="120"/>
      <c r="GZ2" s="120"/>
      <c r="HA2" s="120"/>
      <c r="HB2" s="23" t="s">
        <v>191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1" t="s">
        <v>29</v>
      </c>
      <c r="HI2" s="121"/>
      <c r="HJ2" s="121"/>
      <c r="HK2" s="121"/>
      <c r="HL2" s="121"/>
      <c r="HM2" s="121" t="s">
        <v>30</v>
      </c>
      <c r="HN2" s="121"/>
      <c r="HO2" s="121"/>
      <c r="HP2" s="121"/>
      <c r="HQ2" s="121"/>
      <c r="HR2" s="121" t="s">
        <v>33</v>
      </c>
      <c r="HS2" s="121"/>
      <c r="HT2" s="121"/>
      <c r="HU2" s="121"/>
      <c r="HV2" s="121"/>
      <c r="HW2" s="59" t="s">
        <v>191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20" t="s">
        <v>29</v>
      </c>
      <c r="ID2" s="120"/>
      <c r="IE2" s="120"/>
      <c r="IF2" s="120"/>
      <c r="IG2" s="120"/>
      <c r="IH2" s="120" t="s">
        <v>30</v>
      </c>
      <c r="II2" s="120"/>
      <c r="IJ2" s="120"/>
      <c r="IK2" s="120"/>
      <c r="IL2" s="120"/>
      <c r="IM2" s="120" t="s">
        <v>33</v>
      </c>
      <c r="IN2" s="120"/>
      <c r="IO2" s="120"/>
      <c r="IP2" s="120"/>
      <c r="IQ2" s="120"/>
      <c r="IR2" s="23" t="s">
        <v>191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1" t="s">
        <v>29</v>
      </c>
      <c r="IY2" s="121"/>
      <c r="IZ2" s="121"/>
      <c r="JA2" s="121"/>
      <c r="JB2" s="121"/>
      <c r="JC2" s="121" t="s">
        <v>30</v>
      </c>
      <c r="JD2" s="121"/>
      <c r="JE2" s="121"/>
      <c r="JF2" s="121"/>
      <c r="JG2" s="121"/>
      <c r="JH2" s="121" t="s">
        <v>33</v>
      </c>
      <c r="JI2" s="121"/>
      <c r="JJ2" s="121"/>
      <c r="JK2" s="121"/>
      <c r="JL2" s="121"/>
      <c r="JM2" s="22" t="s">
        <v>191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20" t="s">
        <v>29</v>
      </c>
      <c r="JT2" s="120"/>
      <c r="JU2" s="120"/>
      <c r="JV2" s="120"/>
      <c r="JW2" s="120"/>
      <c r="JX2" s="120" t="s">
        <v>30</v>
      </c>
      <c r="JY2" s="120"/>
      <c r="JZ2" s="120"/>
      <c r="KA2" s="120"/>
      <c r="KB2" s="120"/>
      <c r="KC2" s="120" t="s">
        <v>33</v>
      </c>
      <c r="KD2" s="120"/>
      <c r="KE2" s="120"/>
      <c r="KF2" s="120"/>
      <c r="KG2" s="120"/>
      <c r="KH2" s="23" t="s">
        <v>191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1" t="s">
        <v>29</v>
      </c>
      <c r="KO2" s="121"/>
      <c r="KP2" s="121"/>
      <c r="KQ2" s="121"/>
      <c r="KR2" s="121"/>
      <c r="KS2" s="121" t="s">
        <v>30</v>
      </c>
      <c r="KT2" s="121"/>
      <c r="KU2" s="121"/>
      <c r="KV2" s="121"/>
      <c r="KW2" s="121"/>
      <c r="KX2" s="121" t="s">
        <v>33</v>
      </c>
      <c r="KY2" s="121"/>
      <c r="KZ2" s="121"/>
      <c r="LA2" s="121"/>
      <c r="LB2" s="121"/>
      <c r="LC2" s="22" t="s">
        <v>191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20" t="s">
        <v>29</v>
      </c>
      <c r="LJ2" s="120"/>
      <c r="LK2" s="120"/>
      <c r="LL2" s="120"/>
      <c r="LM2" s="120"/>
      <c r="LN2" s="120" t="s">
        <v>30</v>
      </c>
      <c r="LO2" s="120"/>
      <c r="LP2" s="120"/>
      <c r="LQ2" s="120"/>
      <c r="LR2" s="120"/>
      <c r="LS2" s="120" t="s">
        <v>33</v>
      </c>
      <c r="LT2" s="120"/>
      <c r="LU2" s="120"/>
      <c r="LV2" s="120"/>
      <c r="LW2" s="120"/>
      <c r="LX2" s="112"/>
      <c r="LY2" s="112" t="s">
        <v>191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25</v>
      </c>
      <c r="V3" s="60" t="s">
        <v>26</v>
      </c>
      <c r="W3" s="60" t="s">
        <v>17</v>
      </c>
      <c r="X3" s="60" t="s">
        <v>27</v>
      </c>
      <c r="Y3" s="60" t="s">
        <v>48</v>
      </c>
      <c r="Z3" s="60" t="s">
        <v>25</v>
      </c>
      <c r="AA3" s="60" t="s">
        <v>26</v>
      </c>
      <c r="AB3" s="60" t="s">
        <v>17</v>
      </c>
      <c r="AC3" s="60" t="s">
        <v>27</v>
      </c>
      <c r="AD3" s="60" t="s">
        <v>48</v>
      </c>
      <c r="AE3" s="60" t="s">
        <v>25</v>
      </c>
      <c r="AF3" s="60" t="s">
        <v>26</v>
      </c>
      <c r="AG3" s="60" t="s">
        <v>17</v>
      </c>
      <c r="AH3" s="60" t="s">
        <v>27</v>
      </c>
      <c r="AI3" s="60" t="s">
        <v>48</v>
      </c>
      <c r="AJ3" s="81" t="s">
        <v>125</v>
      </c>
      <c r="AK3" s="11"/>
      <c r="AL3" s="10"/>
      <c r="AM3" s="10"/>
      <c r="AN3" s="10"/>
      <c r="AO3" s="11"/>
      <c r="AP3" s="11"/>
      <c r="AQ3" s="59" t="s">
        <v>25</v>
      </c>
      <c r="AR3" s="59" t="s">
        <v>26</v>
      </c>
      <c r="AS3" s="59" t="s">
        <v>17</v>
      </c>
      <c r="AT3" s="59" t="s">
        <v>27</v>
      </c>
      <c r="AU3" s="59" t="s">
        <v>48</v>
      </c>
      <c r="AV3" s="59" t="s">
        <v>25</v>
      </c>
      <c r="AW3" s="59" t="s">
        <v>26</v>
      </c>
      <c r="AX3" s="59" t="s">
        <v>17</v>
      </c>
      <c r="AY3" s="59" t="s">
        <v>27</v>
      </c>
      <c r="AZ3" s="59" t="s">
        <v>48</v>
      </c>
      <c r="BA3" s="59" t="s">
        <v>25</v>
      </c>
      <c r="BB3" s="59" t="s">
        <v>26</v>
      </c>
      <c r="BC3" s="59" t="s">
        <v>17</v>
      </c>
      <c r="BD3" s="59" t="s">
        <v>27</v>
      </c>
      <c r="BE3" s="5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60" t="s">
        <v>25</v>
      </c>
      <c r="BR3" s="60" t="s">
        <v>26</v>
      </c>
      <c r="BS3" s="60" t="s">
        <v>17</v>
      </c>
      <c r="BT3" s="60" t="s">
        <v>27</v>
      </c>
      <c r="BU3" s="60" t="s">
        <v>48</v>
      </c>
      <c r="BV3" s="60" t="s">
        <v>25</v>
      </c>
      <c r="BW3" s="60" t="s">
        <v>26</v>
      </c>
      <c r="BX3" s="60" t="s">
        <v>17</v>
      </c>
      <c r="BY3" s="60" t="s">
        <v>27</v>
      </c>
      <c r="BZ3" s="60" t="s">
        <v>48</v>
      </c>
      <c r="CA3" s="60" t="s">
        <v>25</v>
      </c>
      <c r="CB3" s="60" t="s">
        <v>26</v>
      </c>
      <c r="CC3" s="60" t="s">
        <v>17</v>
      </c>
      <c r="CD3" s="60" t="s">
        <v>27</v>
      </c>
      <c r="CE3" s="60" t="s">
        <v>48</v>
      </c>
      <c r="CF3" s="11"/>
      <c r="CG3" s="10"/>
      <c r="CH3" s="10"/>
      <c r="CI3" s="10"/>
      <c r="CJ3" s="11"/>
      <c r="CK3" s="11"/>
      <c r="CL3" s="59" t="s">
        <v>25</v>
      </c>
      <c r="CM3" s="59" t="s">
        <v>26</v>
      </c>
      <c r="CN3" s="59" t="s">
        <v>17</v>
      </c>
      <c r="CO3" s="59" t="s">
        <v>27</v>
      </c>
      <c r="CP3" s="59" t="s">
        <v>48</v>
      </c>
      <c r="CQ3" s="59" t="s">
        <v>25</v>
      </c>
      <c r="CR3" s="59" t="s">
        <v>26</v>
      </c>
      <c r="CS3" s="59" t="s">
        <v>17</v>
      </c>
      <c r="CT3" s="59" t="s">
        <v>27</v>
      </c>
      <c r="CU3" s="59" t="s">
        <v>48</v>
      </c>
      <c r="CV3" s="59" t="s">
        <v>25</v>
      </c>
      <c r="CW3" s="59" t="s">
        <v>26</v>
      </c>
      <c r="CX3" s="59" t="s">
        <v>17</v>
      </c>
      <c r="CY3" s="59" t="s">
        <v>27</v>
      </c>
      <c r="CZ3" s="59" t="s">
        <v>48</v>
      </c>
      <c r="DA3" s="14"/>
      <c r="DB3" s="13"/>
      <c r="DC3" s="13"/>
      <c r="DD3" s="13"/>
      <c r="DE3" s="14"/>
      <c r="DF3" s="14"/>
      <c r="DG3" s="60" t="s">
        <v>25</v>
      </c>
      <c r="DH3" s="60" t="s">
        <v>26</v>
      </c>
      <c r="DI3" s="60" t="s">
        <v>17</v>
      </c>
      <c r="DJ3" s="60" t="s">
        <v>27</v>
      </c>
      <c r="DK3" s="60" t="s">
        <v>48</v>
      </c>
      <c r="DL3" s="60" t="s">
        <v>25</v>
      </c>
      <c r="DM3" s="60" t="s">
        <v>26</v>
      </c>
      <c r="DN3" s="60" t="s">
        <v>17</v>
      </c>
      <c r="DO3" s="60" t="s">
        <v>27</v>
      </c>
      <c r="DP3" s="60" t="s">
        <v>48</v>
      </c>
      <c r="DQ3" s="60" t="s">
        <v>25</v>
      </c>
      <c r="DR3" s="60" t="s">
        <v>26</v>
      </c>
      <c r="DS3" s="60" t="s">
        <v>17</v>
      </c>
      <c r="DT3" s="60" t="s">
        <v>27</v>
      </c>
      <c r="DU3" s="60" t="s">
        <v>48</v>
      </c>
      <c r="DV3" s="11"/>
      <c r="DW3" s="10"/>
      <c r="DX3" s="10"/>
      <c r="DY3" s="10"/>
      <c r="DZ3" s="11"/>
      <c r="EA3" s="11"/>
      <c r="EB3" s="59" t="s">
        <v>25</v>
      </c>
      <c r="EC3" s="59" t="s">
        <v>26</v>
      </c>
      <c r="ED3" s="59" t="s">
        <v>17</v>
      </c>
      <c r="EE3" s="59" t="s">
        <v>27</v>
      </c>
      <c r="EF3" s="59" t="s">
        <v>48</v>
      </c>
      <c r="EG3" s="59" t="s">
        <v>25</v>
      </c>
      <c r="EH3" s="59" t="s">
        <v>26</v>
      </c>
      <c r="EI3" s="59" t="s">
        <v>17</v>
      </c>
      <c r="EJ3" s="59" t="s">
        <v>27</v>
      </c>
      <c r="EK3" s="59" t="s">
        <v>48</v>
      </c>
      <c r="EL3" s="59" t="s">
        <v>25</v>
      </c>
      <c r="EM3" s="59" t="s">
        <v>26</v>
      </c>
      <c r="EN3" s="59" t="s">
        <v>17</v>
      </c>
      <c r="EO3" s="59" t="s">
        <v>27</v>
      </c>
      <c r="EP3" s="59" t="s">
        <v>48</v>
      </c>
      <c r="EQ3" s="14"/>
      <c r="ER3" s="13"/>
      <c r="ES3" s="13"/>
      <c r="ET3" s="13"/>
      <c r="EU3" s="14"/>
      <c r="EV3" s="14"/>
      <c r="EW3" s="60" t="s">
        <v>25</v>
      </c>
      <c r="EX3" s="60" t="s">
        <v>26</v>
      </c>
      <c r="EY3" s="60" t="s">
        <v>17</v>
      </c>
      <c r="EZ3" s="60" t="s">
        <v>27</v>
      </c>
      <c r="FA3" s="60" t="s">
        <v>48</v>
      </c>
      <c r="FB3" s="60" t="s">
        <v>25</v>
      </c>
      <c r="FC3" s="60" t="s">
        <v>26</v>
      </c>
      <c r="FD3" s="60" t="s">
        <v>17</v>
      </c>
      <c r="FE3" s="60" t="s">
        <v>27</v>
      </c>
      <c r="FF3" s="60" t="s">
        <v>48</v>
      </c>
      <c r="FG3" s="60" t="s">
        <v>25</v>
      </c>
      <c r="FH3" s="60" t="s">
        <v>26</v>
      </c>
      <c r="FI3" s="60" t="s">
        <v>17</v>
      </c>
      <c r="FJ3" s="60" t="s">
        <v>27</v>
      </c>
      <c r="FK3" s="60" t="s">
        <v>48</v>
      </c>
      <c r="FL3" s="11"/>
      <c r="FM3" s="10"/>
      <c r="FN3" s="10"/>
      <c r="FO3" s="10"/>
      <c r="FP3" s="11"/>
      <c r="FQ3" s="11"/>
      <c r="FR3" s="59" t="s">
        <v>25</v>
      </c>
      <c r="FS3" s="59" t="s">
        <v>26</v>
      </c>
      <c r="FT3" s="59" t="s">
        <v>17</v>
      </c>
      <c r="FU3" s="59" t="s">
        <v>27</v>
      </c>
      <c r="FV3" s="59" t="s">
        <v>48</v>
      </c>
      <c r="FW3" s="59" t="s">
        <v>25</v>
      </c>
      <c r="FX3" s="59" t="s">
        <v>26</v>
      </c>
      <c r="FY3" s="59" t="s">
        <v>17</v>
      </c>
      <c r="FZ3" s="59" t="s">
        <v>27</v>
      </c>
      <c r="GA3" s="59" t="s">
        <v>48</v>
      </c>
      <c r="GB3" s="59" t="s">
        <v>25</v>
      </c>
      <c r="GC3" s="59" t="s">
        <v>26</v>
      </c>
      <c r="GD3" s="59" t="s">
        <v>17</v>
      </c>
      <c r="GE3" s="59" t="s">
        <v>27</v>
      </c>
      <c r="GF3" s="59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1" t="s">
        <v>27</v>
      </c>
      <c r="GQ3" s="48" t="s">
        <v>48</v>
      </c>
      <c r="GR3" s="31" t="s">
        <v>25</v>
      </c>
      <c r="GS3" s="31" t="s">
        <v>26</v>
      </c>
      <c r="GT3" s="31" t="s">
        <v>17</v>
      </c>
      <c r="GU3" s="31" t="s">
        <v>27</v>
      </c>
      <c r="GV3" s="48" t="s">
        <v>48</v>
      </c>
      <c r="GW3" s="31" t="s">
        <v>25</v>
      </c>
      <c r="GX3" s="31" t="s">
        <v>26</v>
      </c>
      <c r="GY3" s="31" t="s">
        <v>17</v>
      </c>
      <c r="GZ3" s="31" t="s">
        <v>27</v>
      </c>
      <c r="HA3" s="48" t="s">
        <v>48</v>
      </c>
      <c r="HB3" s="11"/>
      <c r="HC3" s="10"/>
      <c r="HD3" s="10"/>
      <c r="HE3" s="10"/>
      <c r="HF3" s="11"/>
      <c r="HG3" s="11"/>
      <c r="HH3" s="59" t="s">
        <v>25</v>
      </c>
      <c r="HI3" s="59" t="s">
        <v>26</v>
      </c>
      <c r="HJ3" s="59" t="s">
        <v>17</v>
      </c>
      <c r="HK3" s="59" t="s">
        <v>27</v>
      </c>
      <c r="HL3" s="59" t="s">
        <v>48</v>
      </c>
      <c r="HM3" s="59" t="s">
        <v>25</v>
      </c>
      <c r="HN3" s="59" t="s">
        <v>26</v>
      </c>
      <c r="HO3" s="59" t="s">
        <v>17</v>
      </c>
      <c r="HP3" s="59" t="s">
        <v>27</v>
      </c>
      <c r="HQ3" s="59" t="s">
        <v>48</v>
      </c>
      <c r="HR3" s="59" t="s">
        <v>25</v>
      </c>
      <c r="HS3" s="59" t="s">
        <v>26</v>
      </c>
      <c r="HT3" s="59" t="s">
        <v>17</v>
      </c>
      <c r="HU3" s="59" t="s">
        <v>27</v>
      </c>
      <c r="HV3" s="59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1" t="s">
        <v>27</v>
      </c>
      <c r="IG3" s="48" t="s">
        <v>48</v>
      </c>
      <c r="IH3" s="31" t="s">
        <v>25</v>
      </c>
      <c r="II3" s="31" t="s">
        <v>26</v>
      </c>
      <c r="IJ3" s="31" t="s">
        <v>17</v>
      </c>
      <c r="IK3" s="31" t="s">
        <v>27</v>
      </c>
      <c r="IL3" s="48" t="s">
        <v>48</v>
      </c>
      <c r="IM3" s="31" t="s">
        <v>25</v>
      </c>
      <c r="IN3" s="31" t="s">
        <v>26</v>
      </c>
      <c r="IO3" s="31" t="s">
        <v>17</v>
      </c>
      <c r="IP3" s="31" t="s">
        <v>27</v>
      </c>
      <c r="IQ3" s="48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0" t="s">
        <v>27</v>
      </c>
      <c r="JB3" s="49" t="s">
        <v>48</v>
      </c>
      <c r="JC3" s="30" t="s">
        <v>25</v>
      </c>
      <c r="JD3" s="30" t="s">
        <v>26</v>
      </c>
      <c r="JE3" s="30" t="s">
        <v>17</v>
      </c>
      <c r="JF3" s="30" t="s">
        <v>27</v>
      </c>
      <c r="JG3" s="49" t="s">
        <v>48</v>
      </c>
      <c r="JH3" s="30" t="s">
        <v>25</v>
      </c>
      <c r="JI3" s="30" t="s">
        <v>26</v>
      </c>
      <c r="JJ3" s="30" t="s">
        <v>17</v>
      </c>
      <c r="JK3" s="30" t="s">
        <v>27</v>
      </c>
      <c r="JL3" s="49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1" t="s">
        <v>27</v>
      </c>
      <c r="JW3" s="48" t="s">
        <v>48</v>
      </c>
      <c r="JX3" s="31" t="s">
        <v>25</v>
      </c>
      <c r="JY3" s="31" t="s">
        <v>26</v>
      </c>
      <c r="JZ3" s="31" t="s">
        <v>17</v>
      </c>
      <c r="KA3" s="31" t="s">
        <v>27</v>
      </c>
      <c r="KB3" s="48" t="s">
        <v>48</v>
      </c>
      <c r="KC3" s="31" t="s">
        <v>25</v>
      </c>
      <c r="KD3" s="31" t="s">
        <v>26</v>
      </c>
      <c r="KE3" s="31" t="s">
        <v>17</v>
      </c>
      <c r="KF3" s="31" t="s">
        <v>27</v>
      </c>
      <c r="KG3" s="48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0" t="s">
        <v>27</v>
      </c>
      <c r="KR3" s="49" t="s">
        <v>48</v>
      </c>
      <c r="KS3" s="49" t="s">
        <v>25</v>
      </c>
      <c r="KT3" s="30" t="s">
        <v>26</v>
      </c>
      <c r="KU3" s="30" t="s">
        <v>17</v>
      </c>
      <c r="KV3" s="30" t="s">
        <v>27</v>
      </c>
      <c r="KW3" s="49" t="s">
        <v>48</v>
      </c>
      <c r="KX3" s="30" t="s">
        <v>25</v>
      </c>
      <c r="KY3" s="30" t="s">
        <v>26</v>
      </c>
      <c r="KZ3" s="30" t="s">
        <v>17</v>
      </c>
      <c r="LA3" s="30" t="s">
        <v>27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3" si="0">IF(AND(F4="P",H4="P"),SUMPRODUCT((F$4:F$14="P")*(H$4:H$14="P")*(E$4:E$14&gt;E4))+1,IF(H4="P",SUMPRODUCT((F$4:F$14="")*(H$4:H$14="P")*(E$4:E$14&gt;E4))+1+SUMPRODUCT((F$4:F$14="P")*(H$4:H$14="P")),""))</f>
        <v>1</v>
      </c>
      <c r="B4" s="7" t="s">
        <v>41</v>
      </c>
      <c r="C4" s="8" t="s">
        <v>3</v>
      </c>
      <c r="D4" s="6">
        <v>1988</v>
      </c>
      <c r="E4" s="16">
        <f t="shared" ref="E4:E13" si="1">SUM(J4:R4)</f>
        <v>268.88</v>
      </c>
      <c r="F4" s="4" t="str">
        <f t="shared" ref="F4:F13" si="2">IF(OR(AND($AK4&gt;=$AL$16,NOT($AK4=""),$AJ4=""),AND($BG4&gt;=$BH$16,NOT($BG4=""),$BF4=""),AND($CF4&gt;=$CG$16,NOT($CF4="")),AND($DA4&gt;=$DB$16,NOT($DA4="")),AND($DV4&gt;=$DW$16,NOT($DV4="")),AND($EQ4&gt;=$ER$16,NOT($EQ4="")),AND($FL4&gt;=$FM$16,NOT($FL4="")),AND($GG4&gt;=$GH$16,NOT($GG4="")),AND($HB4&gt;=$HC$16,NOT($HB4="")),AND($HW4&gt;=$HX$16,NOT($HW4="")),AND($IR4&gt;=$IS$16,NOT($IR4="")),AND($JM4&gt;=$JN$16,NOT($JM4="")),AND($KH4&gt;=$KI$16,NOT($KH4="")),AND($LC4&gt;=$LD$16,NOT($LC4=""))),"P","")</f>
        <v>P</v>
      </c>
      <c r="G4" s="4" t="str">
        <f t="shared" ref="G4:G13" si="3">IF(OR(AND($AK4&gt;=$AL$17,NOT($AK4=""),$AJ4=""),AND($BG4&gt;=$BH$17,NOT($BG4=""),$BF4=""),AND($CF4&gt;=$CG$17,NOT($CF4="")),AND($DA4&gt;=$DB$17,NOT($DA4="")),AND($DV4&gt;=$DW$17,NOT($DV4="")),AND($EQ4&gt;=$ER$17,NOT($EQ4="")),AND($FL4&gt;=$FM$17,NOT($FL4="")),AND($GG4&gt;=$GH$17,NOT($GG4="")),AND($HB4&gt;=$HC$17,NOT($HB4="")),AND($HW4&gt;=$HX$17,NOT($HW4="")),AND($IR4&gt;=$IS$17,NOT($IR4="")),AND($JM4&gt;=$JN$17,NOT($JM4="")),AND($KH4&gt;=$KI$17,NOT($KH4="")),AND($LC4&gt;=$LD$17,NOT($LC4=""))),"P","")</f>
        <v>P</v>
      </c>
      <c r="H4" s="4" t="str">
        <f t="shared" ref="H4:H13" si="4">IF(OR(AND($AN4&gt;=$AL$18,NOT($AN4=""),$AJ4=""),AND($BJ4&gt;=$BH$18,NOT($BJ4=""),$BF4=""),AND($CI4&gt;=$CG$18,NOT($CI4="")),AND($DD4&gt;=$DB$18,NOT($DD4="")),AND($DY4&gt;=$DW$18,NOT($DY4="")),AND($ET4&gt;=$ER$18,NOT($ET4="")),AND($FO4&gt;=$FM$18,NOT($FO4="")),AND($GJ4&gt;=$GH$18,NOT($GJ4="")),AND($HE4&gt;=$HC$18,NOT($HE4="")),AND($HZ4&gt;=$HX$18,NOT($HZ4="")),AND($IU4&gt;=$IS$18,NOT($IU4="")),AND($JP4&gt;=$JN$18,NOT($JP4="")),AND($KK4&gt;=$KI$18,NOT($KK4="")),AND($LF4&gt;=$LD$18,NOT($LF4=""))),"P","")</f>
        <v>P</v>
      </c>
      <c r="I4" t="str">
        <f t="shared" ref="I4:I13" si="5">IF(AND(H4="P",F4=""),"No DD",IF(AND(G4="P",OR(AND($AM4&gt;$AL$21,NOT($AM4=""),$AJ4=""),AND($AO4&gt;$AL$21,NOT($AO4=""),$AJ4=""),AND($BI4&gt;$BH$21,NOT($BI4=""),$BF4=""),AND($BK4&gt;$BH$21,NOT($BK4=""),$BF4=""),AND($CH4&gt;$CG$21,NOT($CH4="")),AND($CJ4&gt;$CG$21,NOT($CJ4="")),AND($DC4&gt;$DB$21,NOT($DC4="")),AND($DE4&gt;$DB$21,NOT($DE4="")),AND($DX4&gt;$DW$21,NOT($DX4="")),AND($DZ4&gt;$DW$21,NOT($DZ4="")),AND($ES4&gt;$ER$21,NOT($ES4="")),AND($EU4&gt;$ER$21,NOT($EU4="")),AND($FN4&gt;$FM$21,NOT($FN4="")),AND($FP4&gt;$FM$21,NOT($FP4="")),AND($GI4&gt;$GH$21,NOT($GI4="")),AND($GK4&gt;$GH$21,NOT($GK4="")),AND($HD4&gt;$HC$21,NOT($HD4="")),AND($HF4&gt;$HC$21,NOT($HF4="")),AND($HY4&gt;$HX$21,NOT($HY4="")),AND($IA4&gt;$HX$21,NOT($IA4="")),AND($IT4&gt;$IS$21,NOT($IT4="")),AND($IV4&gt;$IS$21,NOT($IV4="")),AND($JO4&gt;$JN$21,NOT($JO4="")),AND($JQ4&gt;$JN$21,NOT($JQ4="")),AND($KJ4&gt;$KI$21,NOT($KJ4="")),AND($KL4&gt;$KI$21,NOT($KL4="")),AND($LE4&gt;$LD$21,NOT($LE4="")),AND($LG4&gt;$LD$21,NOT($LG4="")))),"Merit",IF(AND(G4="P",OR(AND($AN4&gt;$AL$20,NOT($AN4=""),$AJ4=""),AND($BJ4&gt;$BH$20,NOT($BJ4=""),$BF4=""),AND($CI4&gt;$CG$20,NOT($CI4="")),AND($DD4&gt;$DB$20,NOT($DD4="")),AND($DY4&gt;$DW$20,NOT($DY4="")),AND($ET4&gt;$ER$20,NOT($ET4="")),AND($FO4&gt;$FM$20,NOT($FO4="")),AND($GJ4&gt;$GH$20,NOT($GJ4="")),AND($HE4&gt;$HC$20,NOT($HE4="")),AND($HZ4&gt;$HX$20,NOT($HZ4="")),AND($IU4&gt;$IS$20,NOT($IU4="")),AND($JP4&gt;$JN$20,NOT($JP4="")),AND($KK4&gt;$KI$20,NOT($KK4="")),AND($LF4&gt;$LD$20,NOT($LF4="")))),"Excellence",IF(AND(G4="P",OR(AND($AN4&gt;$AL$19,NOT($AN4=""),$AJ4=""),AND($BJ4&gt;$BH$19,NOT($BJ4=""),$BF4=""),AND($CI4&gt;$CG$19,NOT($CI4="")),AND($DD4&gt;$DB$19,NOT($DD4="")),AND($DY4&gt;$DW$19,NOT($DY4="")),AND($ET4&gt;$ER$19,NOT($ET4="")),AND($FO4&gt;$FM$19,NOT($FO4="")),AND($GJ4&gt;$GH$19,NOT($GJ4="")),AND($HE4&gt;$HC$19,NOT($HE4="")),AND($HZ4&gt;$HX$19,NOT($HZ4="")),AND($IU4&gt;$IS$19,NOT($IU4="")),AND($JP4&gt;$JN$19,NOT($JP4="")),AND($KK4&gt;$KI$19,NOT($KK4="")),AND($LF4&gt;$LD$19,NOT($LF4="")))),"Worlds Team",IF(AND(F4="P",OR(AND($AN4&gt;$AL$18,NOT($AN4=""),$AJ4=""),AND($BJ4&gt;$BH$18,NOT($BJ4=""),$BF4=""),AND($CI4&gt;$CG$18,NOT($CI4="")),AND($DD4&gt;$DB$18,NOT($DD4="")),AND($DY4&gt;$DW$18,NOT($DY4="")),AND($ET4&gt;$ER$18,NOT($ET4="")),AND($FO4&gt;$FM$18,NOT($FO4="")),AND($GJ4&gt;$GH$18,NOT($GJ4="")),AND($HE4&gt;$HC$18,NOT($HE4="")),AND($HZ4&gt;$HX$18,NOT($HZ4="")),AND($IU4&gt;$IS$18,NOT($IU4="")),AND($JP4&gt;$JN$18,NOT($JP4="")),AND($KK4&gt;$KI$18,NOT($KK4="")),AND($LF4&gt;$LD$18,NOT($LF4="")))),"National Team","")))))</f>
        <v>Merit</v>
      </c>
      <c r="J4" s="15">
        <f t="shared" ref="J4:J13" si="6">IF(MAX(AN4,BJ4)&gt;0,MAX(AN4,BJ4),"")</f>
        <v>107.035</v>
      </c>
      <c r="K4" s="15" t="str">
        <f t="shared" ref="K4:K13" si="7">IF(J4="","",IF(J4=BJ4,$AQ$1,IF(J4=AN4,$U$1,"")))</f>
        <v>2018 3rd Domestic Trial</v>
      </c>
      <c r="L4" s="15">
        <f t="shared" ref="L4:L13" si="8">IF($J4=$AN4,BH4,IF($J4=$BJ4,AL4,MAX(AL4,BH4)))</f>
        <v>49.085000000000001</v>
      </c>
      <c r="M4" s="15" t="str">
        <f t="shared" ref="M4:M13" si="9">IF(L4="","",IF(L4=BH4,$AQ$1,IF(L4=AL4,$U$1,"")))</f>
        <v>2018 Nationals</v>
      </c>
      <c r="N4" s="15">
        <f t="shared" ref="N4:N13" si="10">IF($J4=$AN4,BI4,IF($J4=$BJ4,AM4,MAX(AM4,BI4)))</f>
        <v>54.36</v>
      </c>
      <c r="O4" s="15" t="str">
        <f t="shared" ref="O4:O13" si="11">IF(N4="","",IF(AND(N4=BI4,$K4&lt;&gt;$AQ$1),$AQ$1,IF(AND(N4=AM4,$K4&lt;&gt;$U$1),$U$1,"")))</f>
        <v>2018 Nationals</v>
      </c>
      <c r="P4" s="15">
        <f t="shared" ref="P4:P13" si="12">IF(MAX(AO4,BK4)&gt;0,MAX(AO4,BK4),"")</f>
        <v>56.155000000000001</v>
      </c>
      <c r="Q4" s="15" t="str">
        <f t="shared" ref="Q4:Q13" si="13">IF(P4="","",IF(P4=BK4,$AQ$1,IF(P4=AO4,$U$1,"")))</f>
        <v>2018 3rd Domestic Trial</v>
      </c>
      <c r="R4" s="15">
        <f t="shared" ref="R4:R13" si="14">IF(MAX(BM4,BN4,BO4,BP4)&gt;0,MAX(BM4,BN4,BO4,BP4),"")</f>
        <v>2.2450000000000045</v>
      </c>
      <c r="S4" s="27" t="str">
        <f t="shared" ref="S4:S13" si="15">IF(R4="","",IF(R4=BM4,"(Vol 1)",IF(R4=BN4,"(Vol 2)",IF(R4=BO4,"(Prelim)",IF(R4=BP4,"(Final)")))))</f>
        <v>(Vol 2)</v>
      </c>
      <c r="T4" s="15" t="str">
        <f t="shared" ref="T4:T13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2019 World Cup AZE (Feb 17)</v>
      </c>
      <c r="U4" s="72">
        <v>18.8</v>
      </c>
      <c r="V4" s="72">
        <v>9.4</v>
      </c>
      <c r="W4" s="72">
        <v>4.4000000000000004</v>
      </c>
      <c r="X4" s="72">
        <v>16.484999999999999</v>
      </c>
      <c r="Y4" s="72">
        <v>0</v>
      </c>
      <c r="Z4" s="72">
        <v>16.5</v>
      </c>
      <c r="AA4" s="72">
        <v>9.0500000000000007</v>
      </c>
      <c r="AB4" s="72">
        <v>13.3</v>
      </c>
      <c r="AC4" s="72">
        <v>15.51</v>
      </c>
      <c r="AD4" s="72">
        <v>0</v>
      </c>
      <c r="AE4" s="72">
        <v>3.2</v>
      </c>
      <c r="AF4" s="72">
        <v>1.5</v>
      </c>
      <c r="AG4" s="72">
        <v>2.5</v>
      </c>
      <c r="AH4" s="72">
        <v>3.43</v>
      </c>
      <c r="AI4" s="72">
        <v>0</v>
      </c>
      <c r="AJ4" s="83"/>
      <c r="AK4" s="12">
        <f t="shared" ref="AK4:AK13" si="17">IF(AB4&gt;0,AB4,"")</f>
        <v>13.3</v>
      </c>
      <c r="AL4" s="12">
        <f t="shared" ref="AL4:AL13" si="18">IF(SUM(U4:X4)-Y4&gt;0,SUM(U4:X4)-Y4,"")</f>
        <v>49.085000000000001</v>
      </c>
      <c r="AM4" s="12">
        <f t="shared" ref="AM4:AM13" si="19">IF(SUM(Z4:AC4)-AD4&gt;0,SUM(Z4:AC4)-AD4,"")</f>
        <v>54.36</v>
      </c>
      <c r="AN4" s="12">
        <f t="shared" ref="AN4:AN13" si="20">IF(SUM(AL4:AM4)&gt;0,SUM(AL4:AM4),"")</f>
        <v>103.44499999999999</v>
      </c>
      <c r="AO4" s="12">
        <f t="shared" ref="AO4:AO13" si="21">IF(SUM(AE4:AH4)-AI4&gt;0,SUM(AE4:AH4)-AI4,"")</f>
        <v>10.63</v>
      </c>
      <c r="AP4" s="12">
        <f t="shared" ref="AP4:AP13" si="22">IF(SUM(AN4,AO4)&gt;0,SUM(AN4,AO4),"")</f>
        <v>114.07499999999999</v>
      </c>
      <c r="AQ4" s="78">
        <v>18.8</v>
      </c>
      <c r="AR4" s="78">
        <v>9.5</v>
      </c>
      <c r="AS4" s="78">
        <v>4.4000000000000004</v>
      </c>
      <c r="AT4" s="78">
        <v>16.785</v>
      </c>
      <c r="AU4" s="78">
        <v>0</v>
      </c>
      <c r="AV4" s="78">
        <v>17.100000000000001</v>
      </c>
      <c r="AW4" s="78">
        <v>9.5</v>
      </c>
      <c r="AX4" s="78">
        <v>15</v>
      </c>
      <c r="AY4" s="78">
        <v>15.95</v>
      </c>
      <c r="AZ4" s="78">
        <v>0</v>
      </c>
      <c r="BA4" s="78">
        <v>16.5</v>
      </c>
      <c r="BB4" s="78">
        <v>9.1999999999999993</v>
      </c>
      <c r="BC4" s="78">
        <v>14.6</v>
      </c>
      <c r="BD4" s="78">
        <v>15.855</v>
      </c>
      <c r="BE4" s="78">
        <v>0</v>
      </c>
      <c r="BF4" s="84"/>
      <c r="BG4" s="15">
        <f t="shared" ref="BG4:BG13" si="23">IF(AX4&gt;0,AX4,"")</f>
        <v>15</v>
      </c>
      <c r="BH4" s="15">
        <f t="shared" ref="BH4:BH13" si="24">IF(SUM(AQ4:AT4)-AU4&gt;0,SUM(AQ4:AT4)-AU4,"")</f>
        <v>49.484999999999999</v>
      </c>
      <c r="BI4" s="15">
        <f t="shared" ref="BI4:BI13" si="25">IF(SUM(AV4:AY4)-AZ4&gt;0,SUM(AV4:AY4)-AZ4,"")</f>
        <v>57.55</v>
      </c>
      <c r="BJ4" s="15">
        <f t="shared" ref="BJ4:BJ13" si="26">IF(SUM(BH4:BI4)&gt;0,SUM(BH4:BI4),"")</f>
        <v>107.035</v>
      </c>
      <c r="BK4" s="15">
        <f t="shared" ref="BK4:BK13" si="27">IF(SUM(BA4:BD4)-BE4&gt;0,SUM(BA4:BD4)-BE4,"")</f>
        <v>56.155000000000001</v>
      </c>
      <c r="BL4" s="15">
        <f t="shared" ref="BL4:BL13" si="28">IF(SUM(BJ4,BK4)&gt;0,SUM(BJ4,BK4),"")</f>
        <v>163.19</v>
      </c>
      <c r="BM4" s="26">
        <f t="shared" ref="BM4:BM13" si="29">IF(MAX(CG4,DB4,DW4,ER4,FM4,GH4,HC4,HX4,IS4,JN4,KI4,LD4)-IF(L4="",0,L4)&gt;0.001,MAX(CG4,DB4,DW4,ER4,FM4,GH4,HC4,HX4,IS4,JN4,KI4,LD4)-IF(L4="",0,L4),"")</f>
        <v>0.45499999999999119</v>
      </c>
      <c r="BN4" s="26">
        <f t="shared" ref="BN4:BN13" si="30">IF(MAX(CH4,DC4,DX4,ES4,FN4,GI4,HD4,HY4,IT4,JO4,KJ4,LE4)-IF(N4="",0,N4)&gt;0.001,MAX(CH4,DC4,DX4,ES4,FN4,GI4,HD4,HY4,IT4,JO4,KJ4,LE4)-IF(N4="",0,N4),"")</f>
        <v>2.2450000000000045</v>
      </c>
      <c r="BO4" s="26" t="str">
        <f t="shared" ref="BO4:BO13" si="31">IF(MAX(CI4,DD4,DY4,ET4,FO4,GJ4,HE4,HZ4,IU4,JP4,KK4,LF4)-IF(J4="",0,J4)&gt;0.001,MAX(CI4,DD4,DY4,ET4,FO4,GJ4,HE4,HZ4,IU4,JP4,KK4,LF4)-IF(J4="",0,J4),"")</f>
        <v/>
      </c>
      <c r="BP4" s="26">
        <f t="shared" ref="BP4:BP13" si="32">IF(MAX(CJ4,DE4,DZ4,EU4,FP4,GK4,HF4,IA4,IV4,JQ4,KL4,LG4)-IF(P4="",0,P4)&gt;0.001,MAX(CJ4,DE4,DZ4,EU4,FP4,GK4,HF4,IA4,IV4,JQ4,KL4,LG4)-IF(P4="",0,P4),"")</f>
        <v>1.0249999999999986</v>
      </c>
      <c r="BQ4" s="39">
        <v>17.8</v>
      </c>
      <c r="BR4" s="39">
        <v>9.5</v>
      </c>
      <c r="BS4" s="39">
        <v>4.4000000000000004</v>
      </c>
      <c r="BT4" s="39">
        <v>16.68</v>
      </c>
      <c r="BU4" s="39">
        <v>0</v>
      </c>
      <c r="BV4" s="39">
        <v>16.100000000000001</v>
      </c>
      <c r="BW4" s="39">
        <v>8.5500000000000007</v>
      </c>
      <c r="BX4" s="39">
        <v>14.6</v>
      </c>
      <c r="BY4" s="39">
        <v>15.695</v>
      </c>
      <c r="BZ4" s="39">
        <v>0</v>
      </c>
      <c r="CA4" s="39">
        <v>15.8</v>
      </c>
      <c r="CB4" s="39">
        <v>8.75</v>
      </c>
      <c r="CC4" s="39">
        <v>14.6</v>
      </c>
      <c r="CD4" s="39">
        <v>15.84</v>
      </c>
      <c r="CE4" s="39">
        <v>0</v>
      </c>
      <c r="CF4" s="12">
        <f t="shared" ref="CF4:CF13" si="33">IF(BX4&gt;0,BX4,"")</f>
        <v>14.6</v>
      </c>
      <c r="CG4" s="12">
        <f t="shared" ref="CG4:CG13" si="34">IF(SUM(BQ4:BT4)-BU4&gt;0,SUM(BQ4:BT4)-BU4,"")</f>
        <v>48.38</v>
      </c>
      <c r="CH4" s="12">
        <f t="shared" ref="CH4:CH13" si="35">IF(SUM(BV4:BY4)-BZ4&gt;0,SUM(BV4:BY4)-BZ4,"")</f>
        <v>54.945</v>
      </c>
      <c r="CI4" s="12">
        <f t="shared" ref="CI4:CI13" si="36">IF(SUM(CG4:CH4)&gt;0,SUM(CG4:CH4),"")</f>
        <v>103.325</v>
      </c>
      <c r="CJ4" s="12">
        <f t="shared" ref="CJ4:CJ13" si="37">IF(SUM(CA4:CD4)-CE4&gt;0,SUM(CA4:CD4)-CE4,"")</f>
        <v>54.989999999999995</v>
      </c>
      <c r="CK4" s="12">
        <f t="shared" ref="CK4:CK13" si="38">IF(SUM(CI4,CJ4)&gt;0,SUM(CI4,CJ4),"")</f>
        <v>158.315</v>
      </c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15" t="str">
        <f t="shared" ref="DA4:DA13" si="39">IF(CS4&gt;0,CS4,"")</f>
        <v/>
      </c>
      <c r="DB4" s="15" t="str">
        <f t="shared" ref="DB4:DB13" si="40">IF(SUM(CL4:CO4)-CP4&gt;0,SUM(CL4:CO4)-CP4,"")</f>
        <v/>
      </c>
      <c r="DC4" s="15" t="str">
        <f t="shared" ref="DC4:DC13" si="41">IF(SUM(CQ4:CT4)-CU4&gt;0,SUM(CQ4:CT4)-CU4,"")</f>
        <v/>
      </c>
      <c r="DD4" s="15" t="str">
        <f t="shared" ref="DD4:DD13" si="42">IF(SUM(DB4:DC4)&gt;0,SUM(DB4:DC4),"")</f>
        <v/>
      </c>
      <c r="DE4" s="15" t="str">
        <f t="shared" ref="DE4:DE13" si="43">IF(SUM(CV4:CY4)-CZ4&gt;0,SUM(CV4:CY4)-CZ4,"")</f>
        <v/>
      </c>
      <c r="DF4" s="15" t="str">
        <f t="shared" ref="DF4:DF13" si="44">IF(SUM(DD4,DE4)&gt;0,SUM(DD4,DE4),"")</f>
        <v/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13" si="45">IF(DN4&gt;0,DN4,"")</f>
        <v/>
      </c>
      <c r="DW4" s="12" t="str">
        <f t="shared" ref="DW4:DW13" si="46">IF(SUM(DG4:DJ4)-DK4&gt;0,SUM(DG4:DJ4)-DK4,"")</f>
        <v/>
      </c>
      <c r="DX4" s="12" t="str">
        <f t="shared" ref="DX4:DX13" si="47">IF(SUM(DL4:DO4)-DP4&gt;0,SUM(DL4:DO4)-DP4,"")</f>
        <v/>
      </c>
      <c r="DY4" s="12" t="str">
        <f t="shared" ref="DY4:DY13" si="48">IF(SUM(DW4:DX4)&gt;0,SUM(DW4:DX4),"")</f>
        <v/>
      </c>
      <c r="DZ4" s="12" t="str">
        <f t="shared" ref="DZ4:DZ13" si="49">IF(SUM(DQ4:DT4)-DU4&gt;0,SUM(DQ4:DT4)-DU4,"")</f>
        <v/>
      </c>
      <c r="EA4" s="12" t="str">
        <f t="shared" ref="EA4:EA13" si="50">IF(SUM(DY4,DZ4)&gt;0,SUM(DY4,DZ4),"")</f>
        <v/>
      </c>
      <c r="EB4" s="40">
        <v>18</v>
      </c>
      <c r="EC4" s="40">
        <v>9.4499999999999993</v>
      </c>
      <c r="ED4" s="40">
        <v>4.4000000000000004</v>
      </c>
      <c r="EE4" s="40">
        <v>16.475000000000001</v>
      </c>
      <c r="EF4" s="40">
        <v>0</v>
      </c>
      <c r="EG4" s="40">
        <v>16.2</v>
      </c>
      <c r="EH4" s="40">
        <v>9.1999999999999993</v>
      </c>
      <c r="EI4" s="40">
        <v>14.4</v>
      </c>
      <c r="EJ4" s="40">
        <v>15.84</v>
      </c>
      <c r="EK4" s="40">
        <v>0</v>
      </c>
      <c r="EL4" s="40">
        <v>16.399999999999999</v>
      </c>
      <c r="EM4" s="40">
        <v>9.8000000000000007</v>
      </c>
      <c r="EN4" s="40">
        <v>15</v>
      </c>
      <c r="EO4" s="40">
        <v>15.904999999999999</v>
      </c>
      <c r="EP4" s="40">
        <v>0</v>
      </c>
      <c r="EQ4" s="15">
        <f t="shared" ref="EQ4:EQ13" si="51">IF(EI4&gt;0,EI4,"")</f>
        <v>14.4</v>
      </c>
      <c r="ER4" s="15">
        <f t="shared" ref="ER4:ER13" si="52">IF(SUM(EB4:EE4)-EF4&gt;0,SUM(EB4:EE4)-EF4,"")</f>
        <v>48.325000000000003</v>
      </c>
      <c r="ES4" s="15">
        <f t="shared" ref="ES4:ES13" si="53">IF(SUM(EG4:EJ4)-EK4&gt;0,SUM(EG4:EJ4)-EK4,"")</f>
        <v>55.64</v>
      </c>
      <c r="ET4" s="15">
        <f t="shared" ref="ET4:ET13" si="54">IF(SUM(ER4:ES4)&gt;0,SUM(ER4:ES4),"")</f>
        <v>103.965</v>
      </c>
      <c r="EU4" s="15">
        <f t="shared" ref="EU4:EU13" si="55">IF(SUM(EL4:EO4)-EP4&gt;0,SUM(EL4:EO4)-EP4,"")</f>
        <v>57.105000000000004</v>
      </c>
      <c r="EV4" s="15">
        <f t="shared" ref="EV4:EV13" si="56">IF(SUM(ET4,EU4)&gt;0,SUM(ET4,EU4),"")</f>
        <v>161.07</v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>
        <v>16.399999999999999</v>
      </c>
      <c r="FH4" s="39">
        <v>9.6</v>
      </c>
      <c r="FI4" s="39">
        <v>15</v>
      </c>
      <c r="FJ4" s="39">
        <v>15.565</v>
      </c>
      <c r="FK4" s="39">
        <v>0</v>
      </c>
      <c r="FL4" s="12" t="str">
        <f t="shared" ref="FL4:FL13" si="57">IF(FD4&gt;0,FD4,"")</f>
        <v/>
      </c>
      <c r="FM4" s="12" t="str">
        <f t="shared" ref="FM4:FM13" si="58">IF(SUM(EW4:EZ4)-FA4&gt;0,SUM(EW4:EZ4)-FA4,"")</f>
        <v/>
      </c>
      <c r="FN4" s="12" t="str">
        <f t="shared" ref="FN4:FN13" si="59">IF(SUM(FB4:FE4)-FF4&gt;0,SUM(FB4:FE4)-FF4,"")</f>
        <v/>
      </c>
      <c r="FO4" s="12" t="str">
        <f t="shared" ref="FO4:FO13" si="60">IF(SUM(FM4:FN4)&gt;0,SUM(FM4:FN4),"")</f>
        <v/>
      </c>
      <c r="FP4" s="12">
        <f t="shared" ref="FP4:FP13" si="61">IF(SUM(FG4:FJ4)-FK4&gt;0,SUM(FG4:FJ4)-FK4,"")</f>
        <v>56.564999999999998</v>
      </c>
      <c r="FQ4" s="12">
        <f t="shared" ref="FQ4:FQ13" si="62">IF(SUM(FO4,FP4)&gt;0,SUM(FO4,FP4),"")</f>
        <v>56.564999999999998</v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>
        <v>16.5</v>
      </c>
      <c r="GC4" s="40">
        <v>9.5</v>
      </c>
      <c r="GD4" s="40">
        <v>15</v>
      </c>
      <c r="GE4" s="40">
        <v>15.664999999999999</v>
      </c>
      <c r="GF4" s="40">
        <v>0</v>
      </c>
      <c r="GG4" s="15" t="str">
        <f t="shared" ref="GG4:GG13" si="63">IF(FY4&gt;0,FY4,"")</f>
        <v/>
      </c>
      <c r="GH4" s="15" t="str">
        <f t="shared" ref="GH4:GH13" si="64">IF(SUM(FR4:FU4)-FV4&gt;0,SUM(FR4:FU4)-FV4,"")</f>
        <v/>
      </c>
      <c r="GI4" s="15" t="str">
        <f t="shared" ref="GI4:GI13" si="65">IF(SUM(FW4:FZ4)-GA4&gt;0,SUM(FW4:FZ4)-GA4,"")</f>
        <v/>
      </c>
      <c r="GJ4" s="15" t="str">
        <f t="shared" ref="GJ4:GJ13" si="66">IF(SUM(GH4:GI4)&gt;0,SUM(GH4:GI4),"")</f>
        <v/>
      </c>
      <c r="GK4" s="15">
        <f t="shared" ref="GK4:GK13" si="67">IF(SUM(GB4:GE4)-GF4&gt;0,SUM(GB4:GE4)-GF4,"")</f>
        <v>56.664999999999999</v>
      </c>
      <c r="GL4" s="15">
        <f t="shared" ref="GL4:GL13" si="68">IF(SUM(GJ4,GK4)&gt;0,SUM(GJ4,GK4),"")</f>
        <v>56.664999999999999</v>
      </c>
      <c r="GM4" s="39">
        <v>18.3</v>
      </c>
      <c r="GN4" s="39">
        <v>9.6999999999999993</v>
      </c>
      <c r="GO4" s="39">
        <v>4.8</v>
      </c>
      <c r="GP4" s="39">
        <v>16.555</v>
      </c>
      <c r="GQ4" s="39">
        <v>0</v>
      </c>
      <c r="GR4" s="39">
        <v>15.5</v>
      </c>
      <c r="GS4" s="39">
        <v>9</v>
      </c>
      <c r="GT4" s="39">
        <v>14.8</v>
      </c>
      <c r="GU4" s="39">
        <v>15.414999999999999</v>
      </c>
      <c r="GV4" s="39">
        <v>0</v>
      </c>
      <c r="GW4" s="39">
        <v>16.7</v>
      </c>
      <c r="GX4" s="39">
        <v>9.6</v>
      </c>
      <c r="GY4" s="39">
        <v>15</v>
      </c>
      <c r="GZ4" s="39">
        <v>15.88</v>
      </c>
      <c r="HA4" s="39">
        <v>0</v>
      </c>
      <c r="HB4" s="12">
        <f t="shared" ref="HB4:HB13" si="69">IF(GT4&gt;0,GT4,"")</f>
        <v>14.8</v>
      </c>
      <c r="HC4" s="12">
        <f t="shared" ref="HC4:HC13" si="70">IF(SUM(GM4:GP4)-GQ4&gt;0,SUM(GM4:GP4)-GQ4,"")</f>
        <v>49.354999999999997</v>
      </c>
      <c r="HD4" s="12">
        <f t="shared" ref="HD4:HD13" si="71">IF(SUM(GR4:GU4)-GV4&gt;0,SUM(GR4:GU4)-GV4,"")</f>
        <v>54.714999999999996</v>
      </c>
      <c r="HE4" s="12">
        <f t="shared" ref="HE4:HE13" si="72">IF(SUM(HC4:HD4)&gt;0,SUM(HC4:HD4),"")</f>
        <v>104.07</v>
      </c>
      <c r="HF4" s="12">
        <f t="shared" ref="HF4:HF13" si="73">IF(SUM(GW4:GZ4)-HA4&gt;0,SUM(GW4:GZ4)-HA4,"")</f>
        <v>57.18</v>
      </c>
      <c r="HG4" s="12">
        <f t="shared" ref="HG4:HG13" si="74">IF(SUM(HE4,HF4)&gt;0,SUM(HE4,HF4),"")</f>
        <v>161.25</v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13" si="75">IF(HO4&gt;0,HO4,"")</f>
        <v/>
      </c>
      <c r="HX4" s="15" t="str">
        <f t="shared" ref="HX4:HX13" si="76">IF(SUM(HH4:HK4)-HL4&gt;0,SUM(HH4:HK4)-HL4,"")</f>
        <v/>
      </c>
      <c r="HY4" s="15" t="str">
        <f t="shared" ref="HY4:HY13" si="77">IF(SUM(HM4:HP4)-HQ4&gt;0,SUM(HM4:HP4)-HQ4,"")</f>
        <v/>
      </c>
      <c r="HZ4" s="15" t="str">
        <f t="shared" ref="HZ4:HZ13" si="78">IF(SUM(HX4:HY4)&gt;0,SUM(HX4:HY4),"")</f>
        <v/>
      </c>
      <c r="IA4" s="15" t="str">
        <f t="shared" ref="IA4:IA13" si="79">IF(SUM(HR4:HU4)-HV4&gt;0,SUM(HR4:HU4)-HV4,"")</f>
        <v/>
      </c>
      <c r="IB4" s="15" t="str">
        <f t="shared" ref="IB4:IB13" si="80">IF(SUM(HZ4,IA4)&gt;0,SUM(HZ4,IA4),"")</f>
        <v/>
      </c>
      <c r="IC4" s="39">
        <v>18.2</v>
      </c>
      <c r="ID4" s="39">
        <v>9.4</v>
      </c>
      <c r="IE4" s="39">
        <v>4.8</v>
      </c>
      <c r="IF4" s="39">
        <v>16.16</v>
      </c>
      <c r="IG4" s="39">
        <v>0</v>
      </c>
      <c r="IH4" s="39">
        <v>16.7</v>
      </c>
      <c r="II4" s="39">
        <v>9.5</v>
      </c>
      <c r="IJ4" s="39">
        <v>15</v>
      </c>
      <c r="IK4" s="39">
        <v>15.404999999999999</v>
      </c>
      <c r="IL4" s="39">
        <v>0</v>
      </c>
      <c r="IM4" s="39">
        <v>16.3</v>
      </c>
      <c r="IN4" s="39">
        <v>9.6999999999999993</v>
      </c>
      <c r="IO4" s="39">
        <v>15</v>
      </c>
      <c r="IP4" s="39">
        <v>15.244999999999999</v>
      </c>
      <c r="IQ4" s="39">
        <v>0</v>
      </c>
      <c r="IR4" s="12">
        <f t="shared" ref="IR4:IR13" si="81">IF(IJ4&gt;0,IJ4,"")</f>
        <v>15</v>
      </c>
      <c r="IS4" s="12">
        <f t="shared" ref="IS4:IS13" si="82">IF(SUM(IC4:IF4)-IG4&gt;0,SUM(IC4:IF4)-IG4,"")</f>
        <v>48.56</v>
      </c>
      <c r="IT4" s="12">
        <f t="shared" ref="IT4:IT13" si="83">IF(SUM(IH4:IK4)-IL4&gt;0,SUM(IH4:IK4)-IL4,"")</f>
        <v>56.605000000000004</v>
      </c>
      <c r="IU4" s="12">
        <f t="shared" ref="IU4:IU13" si="84">IF(SUM(IS4:IT4)&gt;0,SUM(IS4:IT4),"")</f>
        <v>105.16500000000001</v>
      </c>
      <c r="IV4" s="12">
        <f t="shared" ref="IV4:IV13" si="85">IF(SUM(IM4:IP4)-IQ4&gt;0,SUM(IM4:IP4)-IQ4,"")</f>
        <v>56.244999999999997</v>
      </c>
      <c r="IW4" s="12">
        <f t="shared" ref="IW4:IW13" si="86">IF(SUM(IU4,IV4)&gt;0,SUM(IU4,IV4),"")</f>
        <v>161.41</v>
      </c>
      <c r="IX4" s="40">
        <v>18.8</v>
      </c>
      <c r="IY4" s="40">
        <v>9.6</v>
      </c>
      <c r="IZ4" s="40">
        <v>4.8</v>
      </c>
      <c r="JA4" s="40">
        <v>16.34</v>
      </c>
      <c r="JB4" s="40">
        <v>0</v>
      </c>
      <c r="JC4" s="40">
        <v>9.1999999999999993</v>
      </c>
      <c r="JD4" s="40">
        <v>5.2</v>
      </c>
      <c r="JE4" s="40">
        <v>7.6</v>
      </c>
      <c r="JF4" s="40">
        <v>9.2100000000000009</v>
      </c>
      <c r="JG4" s="40">
        <v>0</v>
      </c>
      <c r="JH4" s="40"/>
      <c r="JI4" s="40"/>
      <c r="JJ4" s="40"/>
      <c r="JK4" s="40"/>
      <c r="JL4" s="40"/>
      <c r="JM4" s="15">
        <f t="shared" ref="JM4:JM13" si="87">IF(JE4&gt;0,JE4,"")</f>
        <v>7.6</v>
      </c>
      <c r="JN4" s="15">
        <f t="shared" ref="JN4:JN13" si="88">IF(SUM(IX4:JA4)-JB4&gt;0,SUM(IX4:JA4)-JB4,"")</f>
        <v>49.539999999999992</v>
      </c>
      <c r="JO4" s="15">
        <f t="shared" ref="JO4:JO13" si="89">IF(SUM(JC4:JF4)-JG4&gt;0,SUM(JC4:JF4)-JG4,"")</f>
        <v>31.21</v>
      </c>
      <c r="JP4" s="15">
        <f t="shared" ref="JP4:JP13" si="90">IF(SUM(JN4:JO4)&gt;0,SUM(JN4:JO4),"")</f>
        <v>80.75</v>
      </c>
      <c r="JQ4" s="15" t="str">
        <f t="shared" ref="JQ4:JQ13" si="91">IF(SUM(JH4:JK4)-JL4&gt;0,SUM(JH4:JK4)-JL4,"")</f>
        <v/>
      </c>
      <c r="JR4" s="15">
        <f t="shared" ref="JR4:JR13" si="92">IF(SUM(JP4,JQ4)&gt;0,SUM(JP4,JQ4),"")</f>
        <v>80.75</v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3" si="93">IF(JZ4&gt;0,JZ4,"")</f>
        <v/>
      </c>
      <c r="KI4" s="12" t="str">
        <f t="shared" ref="KI4:KI13" si="94">IF(SUM(JS4:JV4)-JW4&gt;0,SUM(JS4:JV4)-JW4,"")</f>
        <v/>
      </c>
      <c r="KJ4" s="12" t="str">
        <f t="shared" ref="KJ4:KJ13" si="95">IF(SUM(JX4:KA4)-KB4&gt;0,SUM(JX4:KA4)-KB4,"")</f>
        <v/>
      </c>
      <c r="KK4" s="12" t="str">
        <f t="shared" ref="KK4:KK13" si="96">IF(SUM(KI4:KJ4)&gt;0,SUM(KI4:KJ4),"")</f>
        <v/>
      </c>
      <c r="KL4" s="12" t="str">
        <f t="shared" ref="KL4:KL13" si="97">IF(SUM(KC4:KF4)-KG4&gt;0,SUM(KC4:KF4)-KG4,"")</f>
        <v/>
      </c>
      <c r="KM4" s="12" t="str">
        <f t="shared" ref="KM4:KM13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13" si="99">IF(KU4&gt;0,KU4,"")</f>
        <v/>
      </c>
      <c r="LD4" s="15" t="str">
        <f t="shared" ref="LD4:LD13" si="100">IF(SUM(KN4:KQ4)-KR4&gt;0,SUM(KN4:KQ4)-KR4,"")</f>
        <v/>
      </c>
      <c r="LE4" s="15" t="str">
        <f t="shared" ref="LE4:LE13" si="101">IF(SUM(KS4:KV4)-KW4&gt;0,SUM(KS4:KV4)-KW4,"")</f>
        <v/>
      </c>
      <c r="LF4" s="15" t="str">
        <f t="shared" ref="LF4:LF13" si="102">IF(SUM(LD4:LE4)&gt;0,SUM(LD4:LE4),"")</f>
        <v/>
      </c>
      <c r="LG4" s="15" t="str">
        <f t="shared" ref="LG4:LG13" si="103">IF(SUM(KX4:LA4)-LB4&gt;0,SUM(KX4:LA4)-LB4,"")</f>
        <v/>
      </c>
      <c r="LH4" s="15" t="str">
        <f t="shared" ref="LH4:LH13" si="104">IF(SUM(LF4,LG4)&gt;0,SUM(LF4,LG4),"")</f>
        <v/>
      </c>
      <c r="LI4" s="72">
        <f>(U4+AQ4)/2</f>
        <v>18.8</v>
      </c>
      <c r="LJ4" s="72">
        <f t="shared" ref="LJ4:LW4" si="105">(V4+AR4)/2</f>
        <v>9.4499999999999993</v>
      </c>
      <c r="LK4" s="72">
        <f t="shared" si="105"/>
        <v>4.4000000000000004</v>
      </c>
      <c r="LL4" s="72">
        <f t="shared" si="105"/>
        <v>16.634999999999998</v>
      </c>
      <c r="LM4" s="72">
        <f t="shared" si="105"/>
        <v>0</v>
      </c>
      <c r="LN4" s="72">
        <f t="shared" si="105"/>
        <v>16.8</v>
      </c>
      <c r="LO4" s="72">
        <f t="shared" si="105"/>
        <v>9.2750000000000004</v>
      </c>
      <c r="LP4" s="72">
        <f t="shared" si="105"/>
        <v>14.15</v>
      </c>
      <c r="LQ4" s="72">
        <f t="shared" si="105"/>
        <v>15.73</v>
      </c>
      <c r="LR4" s="72">
        <f t="shared" si="105"/>
        <v>0</v>
      </c>
      <c r="LS4" s="72">
        <f t="shared" si="105"/>
        <v>9.85</v>
      </c>
      <c r="LT4" s="72">
        <f t="shared" si="105"/>
        <v>5.35</v>
      </c>
      <c r="LU4" s="72">
        <f t="shared" si="105"/>
        <v>8.5500000000000007</v>
      </c>
      <c r="LV4" s="72">
        <f t="shared" si="105"/>
        <v>9.6425000000000001</v>
      </c>
      <c r="LW4" s="72">
        <f t="shared" si="105"/>
        <v>0</v>
      </c>
      <c r="LX4" s="83" t="s">
        <v>126</v>
      </c>
      <c r="LY4" s="12">
        <f t="shared" ref="LY4" si="106">IF(LP4&gt;0,LP4,"")</f>
        <v>14.15</v>
      </c>
      <c r="LZ4" s="12">
        <f t="shared" ref="LZ4" si="107">IF(SUM(LI4:LL4)-LM4&gt;0,SUM(LI4:LL4)-LM4,"")</f>
        <v>49.284999999999997</v>
      </c>
      <c r="MA4" s="12">
        <f t="shared" ref="MA4" si="108">IF(SUM(LN4:LQ4)-LR4&gt;0,SUM(LN4:LQ4)-LR4,"")</f>
        <v>55.954999999999998</v>
      </c>
      <c r="MB4" s="12">
        <f t="shared" ref="MB4" si="109">IF(SUM(LZ4:MA4)&gt;0,SUM(LZ4:MA4),"")</f>
        <v>105.24</v>
      </c>
      <c r="MC4" s="12">
        <f t="shared" ref="MC4" si="110">IF(SUM(LS4:LV4)-LW4&gt;0,SUM(LS4:LV4)-LW4,"")</f>
        <v>33.392499999999998</v>
      </c>
      <c r="MD4" s="12">
        <f t="shared" ref="MD4" si="111">IF(SUM(MB4,MC4)&gt;0,SUM(MB4,MC4),"")</f>
        <v>138.63249999999999</v>
      </c>
    </row>
    <row r="5" spans="1:342" x14ac:dyDescent="0.2">
      <c r="A5" s="6">
        <f t="shared" si="0"/>
        <v>2</v>
      </c>
      <c r="B5" s="9" t="s">
        <v>36</v>
      </c>
      <c r="C5" s="5" t="s">
        <v>11</v>
      </c>
      <c r="D5" s="29">
        <v>1998</v>
      </c>
      <c r="E5" s="16">
        <f t="shared" si="1"/>
        <v>261.13000000000005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103.27</v>
      </c>
      <c r="K5" s="15" t="str">
        <f t="shared" si="7"/>
        <v>2018 Nationals</v>
      </c>
      <c r="L5" s="15">
        <f t="shared" si="8"/>
        <v>47.472499999999997</v>
      </c>
      <c r="M5" s="15" t="str">
        <f t="shared" si="9"/>
        <v>2018 3rd Domestic Trial</v>
      </c>
      <c r="N5" s="15">
        <f t="shared" si="10"/>
        <v>55.302500000000002</v>
      </c>
      <c r="O5" s="15" t="str">
        <f t="shared" si="11"/>
        <v>2018 3rd Domestic Trial</v>
      </c>
      <c r="P5" s="15">
        <f t="shared" si="12"/>
        <v>54.117499999999993</v>
      </c>
      <c r="Q5" s="15" t="str">
        <f t="shared" si="13"/>
        <v>2018 3rd Domestic Trial</v>
      </c>
      <c r="R5" s="15">
        <f t="shared" si="14"/>
        <v>0.96750000000000824</v>
      </c>
      <c r="S5" s="27" t="str">
        <f t="shared" si="15"/>
        <v>(Vol 1)</v>
      </c>
      <c r="T5" s="15" t="str">
        <f t="shared" si="16"/>
        <v>2018 Senior Pan American Championships (Sept 9)</v>
      </c>
      <c r="U5" s="39">
        <v>17.899999999999999</v>
      </c>
      <c r="V5" s="39">
        <v>8.9</v>
      </c>
      <c r="W5" s="39">
        <v>5.5</v>
      </c>
      <c r="X5" s="39">
        <v>15.81</v>
      </c>
      <c r="Y5" s="39">
        <v>0.2</v>
      </c>
      <c r="Z5" s="39">
        <v>17.100000000000001</v>
      </c>
      <c r="AA5" s="39">
        <v>9.5</v>
      </c>
      <c r="AB5" s="39">
        <v>13.6</v>
      </c>
      <c r="AC5" s="39">
        <v>15.16</v>
      </c>
      <c r="AD5" s="39">
        <v>0</v>
      </c>
      <c r="AE5" s="39">
        <v>16.399999999999999</v>
      </c>
      <c r="AF5" s="39">
        <v>8.65</v>
      </c>
      <c r="AG5" s="39">
        <v>13.6</v>
      </c>
      <c r="AH5" s="39">
        <v>15.164999999999999</v>
      </c>
      <c r="AI5" s="39">
        <v>0</v>
      </c>
      <c r="AJ5" s="83"/>
      <c r="AK5" s="12">
        <f t="shared" si="17"/>
        <v>13.6</v>
      </c>
      <c r="AL5" s="12">
        <f t="shared" si="18"/>
        <v>47.91</v>
      </c>
      <c r="AM5" s="12">
        <f t="shared" si="19"/>
        <v>55.36</v>
      </c>
      <c r="AN5" s="12">
        <f t="shared" si="20"/>
        <v>103.27</v>
      </c>
      <c r="AO5" s="12">
        <f t="shared" si="21"/>
        <v>53.814999999999998</v>
      </c>
      <c r="AP5" s="12">
        <f t="shared" si="22"/>
        <v>157.08499999999998</v>
      </c>
      <c r="AQ5" s="78">
        <v>18</v>
      </c>
      <c r="AR5" s="78">
        <v>9.0749999999999993</v>
      </c>
      <c r="AS5" s="78">
        <v>4.75</v>
      </c>
      <c r="AT5" s="78">
        <v>15.7475</v>
      </c>
      <c r="AU5" s="78">
        <v>0.1</v>
      </c>
      <c r="AV5" s="78">
        <v>17.100000000000001</v>
      </c>
      <c r="AW5" s="78">
        <v>9.65</v>
      </c>
      <c r="AX5" s="78">
        <v>13.45</v>
      </c>
      <c r="AY5" s="78">
        <v>15.102499999999999</v>
      </c>
      <c r="AZ5" s="78">
        <v>0</v>
      </c>
      <c r="BA5" s="78">
        <v>16.799999999999997</v>
      </c>
      <c r="BB5" s="78">
        <v>8.8000000000000007</v>
      </c>
      <c r="BC5" s="78">
        <v>13.45</v>
      </c>
      <c r="BD5" s="78">
        <v>15.067499999999999</v>
      </c>
      <c r="BE5" s="78">
        <v>0</v>
      </c>
      <c r="BF5" s="84" t="s">
        <v>126</v>
      </c>
      <c r="BG5" s="15">
        <f t="shared" si="23"/>
        <v>13.45</v>
      </c>
      <c r="BH5" s="15">
        <f t="shared" si="24"/>
        <v>47.472499999999997</v>
      </c>
      <c r="BI5" s="15">
        <f t="shared" si="25"/>
        <v>55.302500000000002</v>
      </c>
      <c r="BJ5" s="15">
        <f t="shared" si="26"/>
        <v>102.77500000000001</v>
      </c>
      <c r="BK5" s="15">
        <f t="shared" si="27"/>
        <v>54.117499999999993</v>
      </c>
      <c r="BL5" s="15">
        <f t="shared" si="28"/>
        <v>156.89249999999998</v>
      </c>
      <c r="BM5" s="26">
        <f t="shared" si="29"/>
        <v>0.96750000000000824</v>
      </c>
      <c r="BN5" s="26" t="str">
        <f t="shared" si="30"/>
        <v/>
      </c>
      <c r="BO5" s="26" t="str">
        <f t="shared" si="31"/>
        <v/>
      </c>
      <c r="BP5" s="26">
        <f t="shared" si="32"/>
        <v>0.31250000000000711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>
        <v>17.8</v>
      </c>
      <c r="CM5" s="40">
        <v>9.4</v>
      </c>
      <c r="CN5" s="40">
        <v>5.5</v>
      </c>
      <c r="CO5" s="40">
        <v>15.74</v>
      </c>
      <c r="CP5" s="40">
        <v>0</v>
      </c>
      <c r="CQ5" s="40">
        <v>16</v>
      </c>
      <c r="CR5" s="40">
        <v>9.4</v>
      </c>
      <c r="CS5" s="40">
        <v>13.6</v>
      </c>
      <c r="CT5" s="40">
        <v>14.98</v>
      </c>
      <c r="CU5" s="40">
        <v>0</v>
      </c>
      <c r="CV5" s="40">
        <v>16.399999999999999</v>
      </c>
      <c r="CW5" s="40">
        <v>9.5</v>
      </c>
      <c r="CX5" s="40">
        <v>13.6</v>
      </c>
      <c r="CY5" s="40">
        <v>14.93</v>
      </c>
      <c r="CZ5" s="40">
        <v>0</v>
      </c>
      <c r="DA5" s="15">
        <f t="shared" si="39"/>
        <v>13.6</v>
      </c>
      <c r="DB5" s="15">
        <f t="shared" si="40"/>
        <v>48.440000000000005</v>
      </c>
      <c r="DC5" s="15">
        <f t="shared" si="41"/>
        <v>53.980000000000004</v>
      </c>
      <c r="DD5" s="15">
        <f t="shared" si="42"/>
        <v>102.42000000000002</v>
      </c>
      <c r="DE5" s="15">
        <f t="shared" si="43"/>
        <v>54.43</v>
      </c>
      <c r="DF5" s="15">
        <f t="shared" si="44"/>
        <v>156.85000000000002</v>
      </c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>
        <v>15.3</v>
      </c>
      <c r="DR5" s="39">
        <v>8.6999999999999993</v>
      </c>
      <c r="DS5" s="39">
        <v>12.9</v>
      </c>
      <c r="DT5" s="39">
        <v>14.565</v>
      </c>
      <c r="DU5" s="39">
        <v>0</v>
      </c>
      <c r="DV5" s="12" t="str">
        <f t="shared" si="45"/>
        <v/>
      </c>
      <c r="DW5" s="12" t="str">
        <f t="shared" si="46"/>
        <v/>
      </c>
      <c r="DX5" s="12" t="str">
        <f t="shared" si="47"/>
        <v/>
      </c>
      <c r="DY5" s="12" t="str">
        <f t="shared" si="48"/>
        <v/>
      </c>
      <c r="DZ5" s="12">
        <f t="shared" si="49"/>
        <v>51.464999999999996</v>
      </c>
      <c r="EA5" s="12">
        <f t="shared" si="50"/>
        <v>51.464999999999996</v>
      </c>
      <c r="EB5" s="40">
        <v>16.899999999999999</v>
      </c>
      <c r="EC5" s="40">
        <v>9.3000000000000007</v>
      </c>
      <c r="ED5" s="40">
        <v>4.4000000000000004</v>
      </c>
      <c r="EE5" s="40">
        <v>15.914999999999999</v>
      </c>
      <c r="EF5" s="40">
        <v>0</v>
      </c>
      <c r="EG5" s="40">
        <v>4.5</v>
      </c>
      <c r="EH5" s="40">
        <v>2.6</v>
      </c>
      <c r="EI5" s="40">
        <v>4.5</v>
      </c>
      <c r="EJ5" s="40">
        <v>4.67</v>
      </c>
      <c r="EK5" s="40">
        <v>0</v>
      </c>
      <c r="EL5" s="40"/>
      <c r="EM5" s="40"/>
      <c r="EN5" s="40"/>
      <c r="EO5" s="40"/>
      <c r="EP5" s="40"/>
      <c r="EQ5" s="15">
        <f t="shared" si="51"/>
        <v>4.5</v>
      </c>
      <c r="ER5" s="15">
        <f t="shared" si="52"/>
        <v>46.515000000000001</v>
      </c>
      <c r="ES5" s="15">
        <f t="shared" si="53"/>
        <v>16.27</v>
      </c>
      <c r="ET5" s="15">
        <f t="shared" si="54"/>
        <v>62.784999999999997</v>
      </c>
      <c r="EU5" s="15" t="str">
        <f t="shared" si="55"/>
        <v/>
      </c>
      <c r="EV5" s="15">
        <f t="shared" si="56"/>
        <v>62.784999999999997</v>
      </c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12" t="str">
        <f t="shared" si="57"/>
        <v/>
      </c>
      <c r="FM5" s="12" t="str">
        <f t="shared" si="58"/>
        <v/>
      </c>
      <c r="FN5" s="12" t="str">
        <f t="shared" si="59"/>
        <v/>
      </c>
      <c r="FO5" s="12" t="str">
        <f t="shared" si="60"/>
        <v/>
      </c>
      <c r="FP5" s="12" t="str">
        <f t="shared" si="61"/>
        <v/>
      </c>
      <c r="FQ5" s="12" t="str">
        <f t="shared" si="62"/>
        <v/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 t="str">
        <f t="shared" si="67"/>
        <v/>
      </c>
      <c r="GL5" s="15" t="str">
        <f t="shared" si="68"/>
        <v/>
      </c>
      <c r="GM5" s="39">
        <v>17.600000000000001</v>
      </c>
      <c r="GN5" s="39">
        <v>9.6</v>
      </c>
      <c r="GO5" s="39">
        <v>5.5</v>
      </c>
      <c r="GP5" s="39">
        <v>15.71</v>
      </c>
      <c r="GQ5" s="39">
        <v>0</v>
      </c>
      <c r="GR5" s="39">
        <v>1.2</v>
      </c>
      <c r="GS5" s="39">
        <v>0.8</v>
      </c>
      <c r="GT5" s="39">
        <v>2</v>
      </c>
      <c r="GU5" s="39">
        <v>1.595</v>
      </c>
      <c r="GV5" s="39">
        <v>0</v>
      </c>
      <c r="GW5" s="39"/>
      <c r="GX5" s="39"/>
      <c r="GY5" s="39"/>
      <c r="GZ5" s="39"/>
      <c r="HA5" s="39"/>
      <c r="HB5" s="12">
        <f t="shared" si="69"/>
        <v>2</v>
      </c>
      <c r="HC5" s="12">
        <f t="shared" si="70"/>
        <v>48.410000000000004</v>
      </c>
      <c r="HD5" s="12">
        <f t="shared" si="71"/>
        <v>5.5949999999999998</v>
      </c>
      <c r="HE5" s="12">
        <f t="shared" si="72"/>
        <v>54.005000000000003</v>
      </c>
      <c r="HF5" s="12" t="str">
        <f t="shared" si="73"/>
        <v/>
      </c>
      <c r="HG5" s="12">
        <f t="shared" si="74"/>
        <v>54.005000000000003</v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>
        <v>16.5</v>
      </c>
      <c r="ID5" s="39">
        <v>9.5</v>
      </c>
      <c r="IE5" s="39">
        <v>5.7</v>
      </c>
      <c r="IF5" s="39">
        <v>15.3</v>
      </c>
      <c r="IG5" s="39">
        <v>0</v>
      </c>
      <c r="IH5" s="39">
        <v>15.2</v>
      </c>
      <c r="II5" s="39">
        <v>9</v>
      </c>
      <c r="IJ5" s="39">
        <v>13.3</v>
      </c>
      <c r="IK5" s="39">
        <v>14.585000000000001</v>
      </c>
      <c r="IL5" s="39">
        <v>0.2</v>
      </c>
      <c r="IM5" s="39"/>
      <c r="IN5" s="39"/>
      <c r="IO5" s="39"/>
      <c r="IP5" s="39"/>
      <c r="IQ5" s="39"/>
      <c r="IR5" s="12">
        <f t="shared" si="81"/>
        <v>13.3</v>
      </c>
      <c r="IS5" s="12">
        <f t="shared" si="82"/>
        <v>47</v>
      </c>
      <c r="IT5" s="12">
        <f t="shared" si="83"/>
        <v>51.884999999999998</v>
      </c>
      <c r="IU5" s="12">
        <f t="shared" si="84"/>
        <v>98.884999999999991</v>
      </c>
      <c r="IV5" s="12" t="str">
        <f t="shared" si="85"/>
        <v/>
      </c>
      <c r="IW5" s="12">
        <f t="shared" si="86"/>
        <v>98.884999999999991</v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13" si="112">(U5+AQ5)/2</f>
        <v>17.95</v>
      </c>
      <c r="LJ5" s="72">
        <f t="shared" ref="LJ5:LJ13" si="113">(V5+AR5)/2</f>
        <v>8.9875000000000007</v>
      </c>
      <c r="LK5" s="72">
        <f t="shared" ref="LK5:LK13" si="114">(W5+AS5)/2</f>
        <v>5.125</v>
      </c>
      <c r="LL5" s="72">
        <f t="shared" ref="LL5:LL13" si="115">(X5+AT5)/2</f>
        <v>15.77875</v>
      </c>
      <c r="LM5" s="72">
        <f t="shared" ref="LM5:LM13" si="116">(Y5+AU5)/2</f>
        <v>0.15000000000000002</v>
      </c>
      <c r="LN5" s="72">
        <f t="shared" ref="LN5:LN13" si="117">(Z5+AV5)/2</f>
        <v>17.100000000000001</v>
      </c>
      <c r="LO5" s="72">
        <f t="shared" ref="LO5:LO13" si="118">(AA5+AW5)/2</f>
        <v>9.5749999999999993</v>
      </c>
      <c r="LP5" s="72">
        <f t="shared" ref="LP5:LP13" si="119">(AB5+AX5)/2</f>
        <v>13.524999999999999</v>
      </c>
      <c r="LQ5" s="72">
        <f t="shared" ref="LQ5:LQ13" si="120">(AC5+AY5)/2</f>
        <v>15.13125</v>
      </c>
      <c r="LR5" s="72">
        <f t="shared" ref="LR5:LR13" si="121">(AD5+AZ5)/2</f>
        <v>0</v>
      </c>
      <c r="LS5" s="72">
        <f t="shared" ref="LS5:LS13" si="122">(AE5+BA5)/2</f>
        <v>16.599999999999998</v>
      </c>
      <c r="LT5" s="72">
        <f t="shared" ref="LT5:LT13" si="123">(AF5+BB5)/2</f>
        <v>8.7250000000000014</v>
      </c>
      <c r="LU5" s="72">
        <f t="shared" ref="LU5:LU13" si="124">(AG5+BC5)/2</f>
        <v>13.524999999999999</v>
      </c>
      <c r="LV5" s="72">
        <f t="shared" ref="LV5:LV13" si="125">(AH5+BD5)/2</f>
        <v>15.116249999999999</v>
      </c>
      <c r="LW5" s="72">
        <f t="shared" ref="LW5:LW13" si="126">(AI5+BE5)/2</f>
        <v>0</v>
      </c>
      <c r="LX5" s="83" t="s">
        <v>126</v>
      </c>
      <c r="LY5" s="12">
        <f t="shared" ref="LY5:LY13" si="127">IF(LP5&gt;0,LP5,"")</f>
        <v>13.524999999999999</v>
      </c>
      <c r="LZ5" s="12">
        <f t="shared" ref="LZ5:LZ13" si="128">IF(SUM(LI5:LL5)-LM5&gt;0,SUM(LI5:LL5)-LM5,"")</f>
        <v>47.691250000000004</v>
      </c>
      <c r="MA5" s="12">
        <f t="shared" ref="MA5:MA13" si="129">IF(SUM(LN5:LQ5)-LR5&gt;0,SUM(LN5:LQ5)-LR5,"")</f>
        <v>55.331250000000004</v>
      </c>
      <c r="MB5" s="12">
        <f t="shared" ref="MB5:MB13" si="130">IF(SUM(LZ5:MA5)&gt;0,SUM(LZ5:MA5),"")</f>
        <v>103.02250000000001</v>
      </c>
      <c r="MC5" s="12">
        <f t="shared" ref="MC5:MC13" si="131">IF(SUM(LS5:LV5)-LW5&gt;0,SUM(LS5:LV5)-LW5,"")</f>
        <v>53.966249999999995</v>
      </c>
      <c r="MD5" s="12">
        <f t="shared" ref="MD5:MD13" si="132">IF(SUM(MB5,MC5)&gt;0,SUM(MB5,MC5),"")</f>
        <v>156.98875000000001</v>
      </c>
    </row>
    <row r="6" spans="1:342" x14ac:dyDescent="0.2">
      <c r="A6" s="6">
        <f t="shared" si="0"/>
        <v>3</v>
      </c>
      <c r="B6" s="9" t="s">
        <v>38</v>
      </c>
      <c r="C6" s="5" t="s">
        <v>7</v>
      </c>
      <c r="D6" s="29">
        <v>1992</v>
      </c>
      <c r="E6" s="16">
        <f t="shared" si="1"/>
        <v>257.35500000000002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101.87500000000001</v>
      </c>
      <c r="K6" s="15" t="str">
        <f t="shared" si="7"/>
        <v>2018 3rd Domestic Trial</v>
      </c>
      <c r="L6" s="15">
        <f t="shared" si="8"/>
        <v>46.625</v>
      </c>
      <c r="M6" s="15" t="str">
        <f t="shared" si="9"/>
        <v>2018 Nationals</v>
      </c>
      <c r="N6" s="15">
        <f t="shared" si="10"/>
        <v>52.974999999999994</v>
      </c>
      <c r="O6" s="15" t="str">
        <f t="shared" si="11"/>
        <v>2018 Nationals</v>
      </c>
      <c r="P6" s="15">
        <f t="shared" si="12"/>
        <v>54.28</v>
      </c>
      <c r="Q6" s="15" t="str">
        <f t="shared" si="13"/>
        <v>2018 Nationals</v>
      </c>
      <c r="R6" s="15">
        <f t="shared" si="14"/>
        <v>1.6000000000000085</v>
      </c>
      <c r="S6" s="27" t="str">
        <f t="shared" si="15"/>
        <v>(Vol 1)</v>
      </c>
      <c r="T6" s="15" t="str">
        <f t="shared" si="16"/>
        <v>2018 World Championships (Nov 10)</v>
      </c>
      <c r="U6" s="39">
        <v>16.399999999999999</v>
      </c>
      <c r="V6" s="39">
        <v>8.85</v>
      </c>
      <c r="W6" s="39">
        <v>5.4</v>
      </c>
      <c r="X6" s="39">
        <v>15.975</v>
      </c>
      <c r="Y6" s="39">
        <v>0</v>
      </c>
      <c r="Z6" s="39">
        <v>14.9</v>
      </c>
      <c r="AA6" s="39">
        <v>8.6</v>
      </c>
      <c r="AB6" s="39">
        <v>14.4</v>
      </c>
      <c r="AC6" s="39">
        <v>15.074999999999999</v>
      </c>
      <c r="AD6" s="39">
        <v>0</v>
      </c>
      <c r="AE6" s="39">
        <v>15.2</v>
      </c>
      <c r="AF6" s="39">
        <v>8.9499999999999993</v>
      </c>
      <c r="AG6" s="39">
        <v>15</v>
      </c>
      <c r="AH6" s="39">
        <v>15.13</v>
      </c>
      <c r="AI6" s="39">
        <v>0</v>
      </c>
      <c r="AJ6" s="83"/>
      <c r="AK6" s="12">
        <f t="shared" si="17"/>
        <v>14.4</v>
      </c>
      <c r="AL6" s="12">
        <f t="shared" si="18"/>
        <v>46.625</v>
      </c>
      <c r="AM6" s="12">
        <f t="shared" si="19"/>
        <v>52.974999999999994</v>
      </c>
      <c r="AN6" s="12">
        <f t="shared" si="20"/>
        <v>99.6</v>
      </c>
      <c r="AO6" s="12">
        <f t="shared" si="21"/>
        <v>54.28</v>
      </c>
      <c r="AP6" s="12">
        <f t="shared" si="22"/>
        <v>153.88</v>
      </c>
      <c r="AQ6" s="78">
        <v>17.600000000000001</v>
      </c>
      <c r="AR6" s="78">
        <v>9.1999999999999993</v>
      </c>
      <c r="AS6" s="78">
        <v>5.4</v>
      </c>
      <c r="AT6" s="78">
        <v>16.010000000000002</v>
      </c>
      <c r="AU6" s="78">
        <v>0</v>
      </c>
      <c r="AV6" s="78">
        <v>15</v>
      </c>
      <c r="AW6" s="78">
        <v>8.8000000000000007</v>
      </c>
      <c r="AX6" s="78">
        <v>14.4</v>
      </c>
      <c r="AY6" s="78">
        <v>15.465</v>
      </c>
      <c r="AZ6" s="78">
        <v>0</v>
      </c>
      <c r="BA6" s="78">
        <v>15.3</v>
      </c>
      <c r="BB6" s="78">
        <v>8.9</v>
      </c>
      <c r="BC6" s="78">
        <v>14.4</v>
      </c>
      <c r="BD6" s="78">
        <v>15.635</v>
      </c>
      <c r="BE6" s="78">
        <v>0</v>
      </c>
      <c r="BF6" s="84"/>
      <c r="BG6" s="15">
        <f t="shared" si="23"/>
        <v>14.4</v>
      </c>
      <c r="BH6" s="15">
        <f t="shared" si="24"/>
        <v>48.210000000000008</v>
      </c>
      <c r="BI6" s="15">
        <f t="shared" si="25"/>
        <v>53.665000000000006</v>
      </c>
      <c r="BJ6" s="15">
        <f t="shared" si="26"/>
        <v>101.87500000000001</v>
      </c>
      <c r="BK6" s="15">
        <f t="shared" si="27"/>
        <v>54.234999999999999</v>
      </c>
      <c r="BL6" s="15">
        <f t="shared" si="28"/>
        <v>156.11000000000001</v>
      </c>
      <c r="BM6" s="26">
        <f t="shared" si="29"/>
        <v>1.6000000000000085</v>
      </c>
      <c r="BN6" s="26">
        <f t="shared" si="30"/>
        <v>0.75</v>
      </c>
      <c r="BO6" s="26" t="str">
        <f t="shared" si="31"/>
        <v/>
      </c>
      <c r="BP6" s="26" t="str">
        <f t="shared" si="32"/>
        <v/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 t="str">
        <f t="shared" si="49"/>
        <v/>
      </c>
      <c r="EA6" s="12" t="str">
        <f t="shared" si="50"/>
        <v/>
      </c>
      <c r="EB6" s="40">
        <v>17.600000000000001</v>
      </c>
      <c r="EC6" s="40">
        <v>9.3000000000000007</v>
      </c>
      <c r="ED6" s="40">
        <v>5.2</v>
      </c>
      <c r="EE6" s="40">
        <v>15.97</v>
      </c>
      <c r="EF6" s="40">
        <v>0</v>
      </c>
      <c r="EG6" s="40">
        <v>14.6</v>
      </c>
      <c r="EH6" s="40">
        <v>8.85</v>
      </c>
      <c r="EI6" s="40">
        <v>14.6</v>
      </c>
      <c r="EJ6" s="40">
        <v>15.26</v>
      </c>
      <c r="EK6" s="40">
        <v>0</v>
      </c>
      <c r="EL6" s="40"/>
      <c r="EM6" s="40"/>
      <c r="EN6" s="40"/>
      <c r="EO6" s="40"/>
      <c r="EP6" s="40"/>
      <c r="EQ6" s="15">
        <f t="shared" si="51"/>
        <v>14.6</v>
      </c>
      <c r="ER6" s="15">
        <f t="shared" si="52"/>
        <v>48.07</v>
      </c>
      <c r="ES6" s="15">
        <f t="shared" si="53"/>
        <v>53.309999999999995</v>
      </c>
      <c r="ET6" s="15">
        <f t="shared" si="54"/>
        <v>101.38</v>
      </c>
      <c r="EU6" s="15" t="str">
        <f t="shared" si="55"/>
        <v/>
      </c>
      <c r="EV6" s="15">
        <f t="shared" si="56"/>
        <v>101.38</v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>
        <v>15.1</v>
      </c>
      <c r="GC6" s="40">
        <v>9.5</v>
      </c>
      <c r="GD6" s="40">
        <v>14.2</v>
      </c>
      <c r="GE6" s="40">
        <v>15.315</v>
      </c>
      <c r="GF6" s="40">
        <v>0</v>
      </c>
      <c r="GG6" s="15" t="str">
        <f t="shared" si="63"/>
        <v/>
      </c>
      <c r="GH6" s="15" t="str">
        <f t="shared" si="64"/>
        <v/>
      </c>
      <c r="GI6" s="15" t="str">
        <f t="shared" si="65"/>
        <v/>
      </c>
      <c r="GJ6" s="15" t="str">
        <f t="shared" si="66"/>
        <v/>
      </c>
      <c r="GK6" s="15">
        <f t="shared" si="67"/>
        <v>54.114999999999995</v>
      </c>
      <c r="GL6" s="15">
        <f t="shared" si="68"/>
        <v>54.114999999999995</v>
      </c>
      <c r="GM6" s="39">
        <v>17.600000000000001</v>
      </c>
      <c r="GN6" s="39">
        <v>9.5</v>
      </c>
      <c r="GO6" s="39">
        <v>5.2</v>
      </c>
      <c r="GP6" s="39">
        <v>15.925000000000001</v>
      </c>
      <c r="GQ6" s="39">
        <v>0</v>
      </c>
      <c r="GR6" s="39">
        <v>14.8</v>
      </c>
      <c r="GS6" s="39">
        <v>9.1</v>
      </c>
      <c r="GT6" s="39">
        <v>14.6</v>
      </c>
      <c r="GU6" s="39">
        <v>15.36</v>
      </c>
      <c r="GV6" s="39">
        <v>0.4</v>
      </c>
      <c r="GW6" s="39"/>
      <c r="GX6" s="39"/>
      <c r="GY6" s="39"/>
      <c r="GZ6" s="39"/>
      <c r="HA6" s="39"/>
      <c r="HB6" s="12">
        <f t="shared" si="69"/>
        <v>14.6</v>
      </c>
      <c r="HC6" s="12">
        <f t="shared" si="70"/>
        <v>48.225000000000009</v>
      </c>
      <c r="HD6" s="12">
        <f t="shared" si="71"/>
        <v>53.46</v>
      </c>
      <c r="HE6" s="12">
        <f t="shared" si="72"/>
        <v>101.685</v>
      </c>
      <c r="HF6" s="12" t="str">
        <f t="shared" si="73"/>
        <v/>
      </c>
      <c r="HG6" s="12">
        <f t="shared" si="74"/>
        <v>101.685</v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>
        <v>17.2</v>
      </c>
      <c r="ID6" s="39">
        <v>9.4</v>
      </c>
      <c r="IE6" s="39">
        <v>5.6</v>
      </c>
      <c r="IF6" s="39">
        <v>15.664999999999999</v>
      </c>
      <c r="IG6" s="39">
        <v>0</v>
      </c>
      <c r="IH6" s="39">
        <v>14.7</v>
      </c>
      <c r="II6" s="39">
        <v>9.1999999999999993</v>
      </c>
      <c r="IJ6" s="39">
        <v>14.4</v>
      </c>
      <c r="IK6" s="39">
        <v>14.59</v>
      </c>
      <c r="IL6" s="39">
        <v>0</v>
      </c>
      <c r="IM6" s="39"/>
      <c r="IN6" s="39"/>
      <c r="IO6" s="39"/>
      <c r="IP6" s="39"/>
      <c r="IQ6" s="39"/>
      <c r="IR6" s="12">
        <f t="shared" si="81"/>
        <v>14.4</v>
      </c>
      <c r="IS6" s="12">
        <f t="shared" si="82"/>
        <v>47.865000000000002</v>
      </c>
      <c r="IT6" s="12">
        <f t="shared" si="83"/>
        <v>52.89</v>
      </c>
      <c r="IU6" s="12">
        <f t="shared" si="84"/>
        <v>100.755</v>
      </c>
      <c r="IV6" s="12" t="str">
        <f t="shared" si="85"/>
        <v/>
      </c>
      <c r="IW6" s="12">
        <f t="shared" si="86"/>
        <v>100.755</v>
      </c>
      <c r="IX6" s="40">
        <v>15.2</v>
      </c>
      <c r="IY6" s="40">
        <v>9.4</v>
      </c>
      <c r="IZ6" s="40">
        <v>5.8</v>
      </c>
      <c r="JA6" s="40">
        <v>15.535</v>
      </c>
      <c r="JB6" s="40">
        <v>0</v>
      </c>
      <c r="JC6" s="40">
        <v>15</v>
      </c>
      <c r="JD6" s="40">
        <v>9.5</v>
      </c>
      <c r="JE6" s="40">
        <v>14.4</v>
      </c>
      <c r="JF6" s="40">
        <v>14.824999999999999</v>
      </c>
      <c r="JG6" s="40">
        <v>0</v>
      </c>
      <c r="JH6" s="40"/>
      <c r="JI6" s="40"/>
      <c r="JJ6" s="40"/>
      <c r="JK6" s="40"/>
      <c r="JL6" s="40"/>
      <c r="JM6" s="15">
        <f t="shared" si="87"/>
        <v>14.4</v>
      </c>
      <c r="JN6" s="15">
        <f t="shared" si="88"/>
        <v>45.935000000000002</v>
      </c>
      <c r="JO6" s="15">
        <f t="shared" si="89"/>
        <v>53.724999999999994</v>
      </c>
      <c r="JP6" s="15">
        <f t="shared" si="90"/>
        <v>99.66</v>
      </c>
      <c r="JQ6" s="15" t="str">
        <f t="shared" si="91"/>
        <v/>
      </c>
      <c r="JR6" s="15">
        <f t="shared" si="92"/>
        <v>99.66</v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17</v>
      </c>
      <c r="LJ6" s="72">
        <f t="shared" si="113"/>
        <v>9.0249999999999986</v>
      </c>
      <c r="LK6" s="72">
        <f t="shared" si="114"/>
        <v>5.4</v>
      </c>
      <c r="LL6" s="72">
        <f t="shared" si="115"/>
        <v>15.9925</v>
      </c>
      <c r="LM6" s="72">
        <f t="shared" si="116"/>
        <v>0</v>
      </c>
      <c r="LN6" s="72">
        <f t="shared" si="117"/>
        <v>14.95</v>
      </c>
      <c r="LO6" s="72">
        <f t="shared" si="118"/>
        <v>8.6999999999999993</v>
      </c>
      <c r="LP6" s="72">
        <f t="shared" si="119"/>
        <v>14.4</v>
      </c>
      <c r="LQ6" s="72">
        <f t="shared" si="120"/>
        <v>15.27</v>
      </c>
      <c r="LR6" s="72">
        <f t="shared" si="121"/>
        <v>0</v>
      </c>
      <c r="LS6" s="72">
        <f t="shared" si="122"/>
        <v>15.25</v>
      </c>
      <c r="LT6" s="72">
        <f t="shared" si="123"/>
        <v>8.9250000000000007</v>
      </c>
      <c r="LU6" s="72">
        <f t="shared" si="124"/>
        <v>14.7</v>
      </c>
      <c r="LV6" s="72">
        <f t="shared" si="125"/>
        <v>15.3825</v>
      </c>
      <c r="LW6" s="72">
        <f t="shared" si="126"/>
        <v>0</v>
      </c>
      <c r="LX6" s="83" t="s">
        <v>126</v>
      </c>
      <c r="LY6" s="12">
        <f t="shared" si="127"/>
        <v>14.4</v>
      </c>
      <c r="LZ6" s="12">
        <f t="shared" si="128"/>
        <v>47.417499999999997</v>
      </c>
      <c r="MA6" s="12">
        <f t="shared" si="129"/>
        <v>53.319999999999993</v>
      </c>
      <c r="MB6" s="12">
        <f t="shared" si="130"/>
        <v>100.73749999999998</v>
      </c>
      <c r="MC6" s="12">
        <f t="shared" si="131"/>
        <v>54.2575</v>
      </c>
      <c r="MD6" s="12">
        <f t="shared" si="132"/>
        <v>154.99499999999998</v>
      </c>
    </row>
    <row r="7" spans="1:342" x14ac:dyDescent="0.2">
      <c r="A7" s="6">
        <f t="shared" si="0"/>
        <v>4</v>
      </c>
      <c r="B7" s="9" t="s">
        <v>37</v>
      </c>
      <c r="C7" s="5" t="s">
        <v>11</v>
      </c>
      <c r="D7" s="29">
        <v>1997</v>
      </c>
      <c r="E7" s="16">
        <f t="shared" si="1"/>
        <v>256.65000000000003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Merit</v>
      </c>
      <c r="J7" s="15">
        <f t="shared" si="6"/>
        <v>97.525000000000006</v>
      </c>
      <c r="K7" s="15" t="str">
        <f t="shared" si="7"/>
        <v>2018 3rd Domestic Trial</v>
      </c>
      <c r="L7" s="15">
        <f t="shared" si="8"/>
        <v>48.339999999999996</v>
      </c>
      <c r="M7" s="15" t="str">
        <f t="shared" si="9"/>
        <v>2018 Nationals</v>
      </c>
      <c r="N7" s="15">
        <f t="shared" si="10"/>
        <v>11.84</v>
      </c>
      <c r="O7" s="15" t="str">
        <f t="shared" si="11"/>
        <v>2018 Nationals</v>
      </c>
      <c r="P7" s="15">
        <f t="shared" si="12"/>
        <v>55.059999999999995</v>
      </c>
      <c r="Q7" s="15" t="str">
        <f t="shared" si="13"/>
        <v>2018 3rd Domestic Trial</v>
      </c>
      <c r="R7" s="15">
        <f t="shared" si="14"/>
        <v>43.885000000000005</v>
      </c>
      <c r="S7" s="27" t="str">
        <f t="shared" si="15"/>
        <v>(Vol 2)</v>
      </c>
      <c r="T7" s="15" t="str">
        <f t="shared" si="16"/>
        <v>2018 Senior Pan American Championships (Sept 9)</v>
      </c>
      <c r="U7" s="39">
        <v>17.399999999999999</v>
      </c>
      <c r="V7" s="39">
        <v>9.25</v>
      </c>
      <c r="W7" s="39">
        <v>4.9000000000000004</v>
      </c>
      <c r="X7" s="39">
        <v>16.79</v>
      </c>
      <c r="Y7" s="39">
        <v>0</v>
      </c>
      <c r="Z7" s="39">
        <v>3.4</v>
      </c>
      <c r="AA7" s="39">
        <v>1.85</v>
      </c>
      <c r="AB7" s="39">
        <v>3.2</v>
      </c>
      <c r="AC7" s="39">
        <v>3.39</v>
      </c>
      <c r="AD7" s="39">
        <v>0</v>
      </c>
      <c r="AE7" s="39">
        <v>16.3</v>
      </c>
      <c r="AF7" s="39">
        <v>8.9499999999999993</v>
      </c>
      <c r="AG7" s="39">
        <v>13.8</v>
      </c>
      <c r="AH7" s="39">
        <v>15.69</v>
      </c>
      <c r="AI7" s="39">
        <v>0</v>
      </c>
      <c r="AJ7" s="83"/>
      <c r="AK7" s="12">
        <f t="shared" si="17"/>
        <v>3.2</v>
      </c>
      <c r="AL7" s="12">
        <f t="shared" si="18"/>
        <v>48.339999999999996</v>
      </c>
      <c r="AM7" s="12">
        <f t="shared" si="19"/>
        <v>11.84</v>
      </c>
      <c r="AN7" s="12">
        <f t="shared" si="20"/>
        <v>60.179999999999993</v>
      </c>
      <c r="AO7" s="12">
        <f t="shared" si="21"/>
        <v>54.739999999999995</v>
      </c>
      <c r="AP7" s="12">
        <f t="shared" si="22"/>
        <v>114.91999999999999</v>
      </c>
      <c r="AQ7" s="78">
        <v>15.5</v>
      </c>
      <c r="AR7" s="78">
        <v>8.1999999999999993</v>
      </c>
      <c r="AS7" s="78">
        <v>3.3</v>
      </c>
      <c r="AT7" s="78">
        <v>15.11</v>
      </c>
      <c r="AU7" s="78">
        <v>0</v>
      </c>
      <c r="AV7" s="78">
        <v>16.2</v>
      </c>
      <c r="AW7" s="78">
        <v>9.5</v>
      </c>
      <c r="AX7" s="78">
        <v>13.8</v>
      </c>
      <c r="AY7" s="78">
        <v>15.914999999999999</v>
      </c>
      <c r="AZ7" s="78">
        <v>0</v>
      </c>
      <c r="BA7" s="78">
        <v>16.2</v>
      </c>
      <c r="BB7" s="78">
        <v>9.3000000000000007</v>
      </c>
      <c r="BC7" s="78">
        <v>13.8</v>
      </c>
      <c r="BD7" s="78">
        <v>15.76</v>
      </c>
      <c r="BE7" s="78">
        <v>0</v>
      </c>
      <c r="BF7" s="84"/>
      <c r="BG7" s="15">
        <f t="shared" si="23"/>
        <v>13.8</v>
      </c>
      <c r="BH7" s="15">
        <f t="shared" si="24"/>
        <v>42.11</v>
      </c>
      <c r="BI7" s="15">
        <f t="shared" si="25"/>
        <v>55.414999999999999</v>
      </c>
      <c r="BJ7" s="15">
        <f t="shared" si="26"/>
        <v>97.525000000000006</v>
      </c>
      <c r="BK7" s="15">
        <f t="shared" si="27"/>
        <v>55.059999999999995</v>
      </c>
      <c r="BL7" s="15">
        <f t="shared" si="28"/>
        <v>152.58500000000001</v>
      </c>
      <c r="BM7" s="26" t="str">
        <f t="shared" si="29"/>
        <v/>
      </c>
      <c r="BN7" s="26">
        <f t="shared" si="30"/>
        <v>43.885000000000005</v>
      </c>
      <c r="BO7" s="26">
        <f t="shared" si="31"/>
        <v>5.7199999999999989</v>
      </c>
      <c r="BP7" s="26" t="str">
        <f t="shared" si="32"/>
        <v/>
      </c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12" t="str">
        <f t="shared" si="33"/>
        <v/>
      </c>
      <c r="CG7" s="12" t="str">
        <f t="shared" si="34"/>
        <v/>
      </c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40">
        <v>17</v>
      </c>
      <c r="CM7" s="40">
        <v>9.3000000000000007</v>
      </c>
      <c r="CN7" s="40">
        <v>4.9000000000000004</v>
      </c>
      <c r="CO7" s="40">
        <v>16.32</v>
      </c>
      <c r="CP7" s="40">
        <v>0</v>
      </c>
      <c r="CQ7" s="40">
        <v>17</v>
      </c>
      <c r="CR7" s="40">
        <v>9.5</v>
      </c>
      <c r="CS7" s="40">
        <v>13</v>
      </c>
      <c r="CT7" s="40">
        <v>16.225000000000001</v>
      </c>
      <c r="CU7" s="40">
        <v>0</v>
      </c>
      <c r="CV7" s="40">
        <v>3.1</v>
      </c>
      <c r="CW7" s="40">
        <v>1.8</v>
      </c>
      <c r="CX7" s="40">
        <v>4.7</v>
      </c>
      <c r="CY7" s="40">
        <v>3.32</v>
      </c>
      <c r="CZ7" s="40">
        <v>0</v>
      </c>
      <c r="DA7" s="15">
        <f t="shared" si="39"/>
        <v>13</v>
      </c>
      <c r="DB7" s="15">
        <f t="shared" si="40"/>
        <v>47.52</v>
      </c>
      <c r="DC7" s="15">
        <f t="shared" si="41"/>
        <v>55.725000000000001</v>
      </c>
      <c r="DD7" s="15">
        <f t="shared" si="42"/>
        <v>103.245</v>
      </c>
      <c r="DE7" s="15">
        <f t="shared" si="43"/>
        <v>12.920000000000002</v>
      </c>
      <c r="DF7" s="15">
        <f t="shared" si="44"/>
        <v>116.16500000000001</v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>
        <v>17.100000000000001</v>
      </c>
      <c r="EC7" s="40">
        <v>9.1</v>
      </c>
      <c r="ED7" s="40">
        <v>4.8</v>
      </c>
      <c r="EE7" s="40">
        <v>16.265000000000001</v>
      </c>
      <c r="EF7" s="40">
        <v>0</v>
      </c>
      <c r="EG7" s="40">
        <v>15.3</v>
      </c>
      <c r="EH7" s="40">
        <v>9.1</v>
      </c>
      <c r="EI7" s="40">
        <v>13.8</v>
      </c>
      <c r="EJ7" s="40">
        <v>15.76</v>
      </c>
      <c r="EK7" s="40">
        <v>0</v>
      </c>
      <c r="EL7" s="40"/>
      <c r="EM7" s="40"/>
      <c r="EN7" s="40"/>
      <c r="EO7" s="40"/>
      <c r="EP7" s="40"/>
      <c r="EQ7" s="15">
        <f t="shared" si="51"/>
        <v>13.8</v>
      </c>
      <c r="ER7" s="15">
        <f t="shared" si="52"/>
        <v>47.265000000000001</v>
      </c>
      <c r="ES7" s="15">
        <f t="shared" si="53"/>
        <v>53.96</v>
      </c>
      <c r="ET7" s="15">
        <f t="shared" si="54"/>
        <v>101.22499999999999</v>
      </c>
      <c r="EU7" s="15" t="str">
        <f t="shared" si="55"/>
        <v/>
      </c>
      <c r="EV7" s="15">
        <f t="shared" si="56"/>
        <v>101.22499999999999</v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>
        <v>16</v>
      </c>
      <c r="GN7" s="39">
        <v>8.6</v>
      </c>
      <c r="GO7" s="39">
        <v>3.2</v>
      </c>
      <c r="GP7" s="39">
        <v>14.865</v>
      </c>
      <c r="GQ7" s="39">
        <v>0</v>
      </c>
      <c r="GR7" s="39">
        <v>3</v>
      </c>
      <c r="GS7" s="39">
        <v>1.9</v>
      </c>
      <c r="GT7" s="39">
        <v>3.2</v>
      </c>
      <c r="GU7" s="39">
        <v>3.37</v>
      </c>
      <c r="GV7" s="39">
        <v>0</v>
      </c>
      <c r="GW7" s="39"/>
      <c r="GX7" s="39"/>
      <c r="GY7" s="39"/>
      <c r="GZ7" s="39"/>
      <c r="HA7" s="39"/>
      <c r="HB7" s="12">
        <f t="shared" si="69"/>
        <v>3.2</v>
      </c>
      <c r="HC7" s="12">
        <f t="shared" si="70"/>
        <v>42.664999999999999</v>
      </c>
      <c r="HD7" s="12">
        <f t="shared" si="71"/>
        <v>11.470000000000002</v>
      </c>
      <c r="HE7" s="12">
        <f t="shared" si="72"/>
        <v>54.135000000000005</v>
      </c>
      <c r="HF7" s="12" t="str">
        <f t="shared" si="73"/>
        <v/>
      </c>
      <c r="HG7" s="12">
        <f t="shared" si="74"/>
        <v>54.135000000000005</v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>
        <v>15.4</v>
      </c>
      <c r="ID7" s="39">
        <v>9.3000000000000007</v>
      </c>
      <c r="IE7" s="39">
        <v>4.8</v>
      </c>
      <c r="IF7" s="39">
        <v>15.994999999999999</v>
      </c>
      <c r="IG7" s="39">
        <v>2</v>
      </c>
      <c r="IH7" s="39">
        <v>16.3</v>
      </c>
      <c r="II7" s="39">
        <v>9.4</v>
      </c>
      <c r="IJ7" s="39">
        <v>13</v>
      </c>
      <c r="IK7" s="39">
        <v>15.335000000000001</v>
      </c>
      <c r="IL7" s="39">
        <v>0</v>
      </c>
      <c r="IM7" s="39"/>
      <c r="IN7" s="39"/>
      <c r="IO7" s="39"/>
      <c r="IP7" s="39"/>
      <c r="IQ7" s="39"/>
      <c r="IR7" s="12">
        <f t="shared" si="81"/>
        <v>13</v>
      </c>
      <c r="IS7" s="12">
        <f t="shared" si="82"/>
        <v>43.495000000000005</v>
      </c>
      <c r="IT7" s="12">
        <f t="shared" si="83"/>
        <v>54.035000000000004</v>
      </c>
      <c r="IU7" s="12">
        <f t="shared" si="84"/>
        <v>97.53</v>
      </c>
      <c r="IV7" s="12" t="str">
        <f t="shared" si="85"/>
        <v/>
      </c>
      <c r="IW7" s="12">
        <f t="shared" si="86"/>
        <v>97.53</v>
      </c>
      <c r="IX7" s="40">
        <v>17.3</v>
      </c>
      <c r="IY7" s="40">
        <v>9.5</v>
      </c>
      <c r="IZ7" s="40">
        <v>4.8</v>
      </c>
      <c r="JA7" s="40">
        <v>16.18</v>
      </c>
      <c r="JB7" s="40">
        <v>0</v>
      </c>
      <c r="JC7" s="40">
        <v>14</v>
      </c>
      <c r="JD7" s="40">
        <v>9.6999999999999993</v>
      </c>
      <c r="JE7" s="40">
        <v>13.6</v>
      </c>
      <c r="JF7" s="40">
        <v>15.28</v>
      </c>
      <c r="JG7" s="40">
        <v>0</v>
      </c>
      <c r="JH7" s="40"/>
      <c r="JI7" s="40"/>
      <c r="JJ7" s="40"/>
      <c r="JK7" s="40"/>
      <c r="JL7" s="40"/>
      <c r="JM7" s="15">
        <f t="shared" si="87"/>
        <v>13.6</v>
      </c>
      <c r="JN7" s="15">
        <f t="shared" si="88"/>
        <v>47.78</v>
      </c>
      <c r="JO7" s="15">
        <f t="shared" si="89"/>
        <v>52.58</v>
      </c>
      <c r="JP7" s="15">
        <f t="shared" si="90"/>
        <v>100.36</v>
      </c>
      <c r="JQ7" s="15" t="str">
        <f t="shared" si="91"/>
        <v/>
      </c>
      <c r="JR7" s="15">
        <f t="shared" si="92"/>
        <v>100.36</v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16.45</v>
      </c>
      <c r="LJ7" s="72">
        <f t="shared" si="113"/>
        <v>8.7249999999999996</v>
      </c>
      <c r="LK7" s="72">
        <f t="shared" si="114"/>
        <v>4.0999999999999996</v>
      </c>
      <c r="LL7" s="72">
        <f t="shared" si="115"/>
        <v>15.95</v>
      </c>
      <c r="LM7" s="72">
        <f t="shared" si="116"/>
        <v>0</v>
      </c>
      <c r="LN7" s="72">
        <f t="shared" si="117"/>
        <v>9.7999999999999989</v>
      </c>
      <c r="LO7" s="72">
        <f t="shared" si="118"/>
        <v>5.6749999999999998</v>
      </c>
      <c r="LP7" s="72">
        <f t="shared" si="119"/>
        <v>8.5</v>
      </c>
      <c r="LQ7" s="72">
        <f t="shared" si="120"/>
        <v>9.6524999999999999</v>
      </c>
      <c r="LR7" s="72">
        <f t="shared" si="121"/>
        <v>0</v>
      </c>
      <c r="LS7" s="72">
        <f t="shared" si="122"/>
        <v>16.25</v>
      </c>
      <c r="LT7" s="72">
        <f t="shared" si="123"/>
        <v>9.125</v>
      </c>
      <c r="LU7" s="72">
        <f t="shared" si="124"/>
        <v>13.8</v>
      </c>
      <c r="LV7" s="72">
        <f t="shared" si="125"/>
        <v>15.725</v>
      </c>
      <c r="LW7" s="72">
        <f t="shared" si="126"/>
        <v>0</v>
      </c>
      <c r="LX7" s="83" t="s">
        <v>126</v>
      </c>
      <c r="LY7" s="12">
        <f t="shared" si="127"/>
        <v>8.5</v>
      </c>
      <c r="LZ7" s="12">
        <f t="shared" si="128"/>
        <v>45.224999999999994</v>
      </c>
      <c r="MA7" s="12">
        <f t="shared" si="129"/>
        <v>33.627499999999998</v>
      </c>
      <c r="MB7" s="12">
        <f t="shared" si="130"/>
        <v>78.852499999999992</v>
      </c>
      <c r="MC7" s="12">
        <f t="shared" si="131"/>
        <v>54.9</v>
      </c>
      <c r="MD7" s="12">
        <f t="shared" si="132"/>
        <v>133.7525</v>
      </c>
    </row>
    <row r="8" spans="1:342" x14ac:dyDescent="0.2">
      <c r="A8" s="6">
        <f t="shared" si="0"/>
        <v>5</v>
      </c>
      <c r="B8" s="9" t="s">
        <v>39</v>
      </c>
      <c r="C8" s="5" t="s">
        <v>3</v>
      </c>
      <c r="D8" s="29">
        <v>1995</v>
      </c>
      <c r="E8" s="16">
        <f t="shared" si="1"/>
        <v>251.2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99.824999999999989</v>
      </c>
      <c r="K8" s="15" t="str">
        <f t="shared" si="7"/>
        <v>2018 3rd Domestic Trial</v>
      </c>
      <c r="L8" s="15">
        <f t="shared" si="8"/>
        <v>47.4</v>
      </c>
      <c r="M8" s="15" t="str">
        <f t="shared" si="9"/>
        <v>2018 Nationals</v>
      </c>
      <c r="N8" s="15">
        <f t="shared" si="10"/>
        <v>52.315000000000005</v>
      </c>
      <c r="O8" s="15" t="str">
        <f t="shared" si="11"/>
        <v>2018 Nationals</v>
      </c>
      <c r="P8" s="15">
        <f t="shared" si="12"/>
        <v>51.66</v>
      </c>
      <c r="Q8" s="15" t="str">
        <f t="shared" si="13"/>
        <v>2018 3rd Domestic Trial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72">
        <v>16.899999999999999</v>
      </c>
      <c r="V8" s="72">
        <v>9.5500000000000007</v>
      </c>
      <c r="W8" s="72">
        <v>4.7</v>
      </c>
      <c r="X8" s="72">
        <v>16.25</v>
      </c>
      <c r="Y8" s="72">
        <v>0</v>
      </c>
      <c r="Z8" s="72">
        <v>15.3</v>
      </c>
      <c r="AA8" s="72">
        <v>8.9</v>
      </c>
      <c r="AB8" s="72">
        <v>12.7</v>
      </c>
      <c r="AC8" s="72">
        <v>15.414999999999999</v>
      </c>
      <c r="AD8" s="72">
        <v>0</v>
      </c>
      <c r="AE8" s="72">
        <v>14.2</v>
      </c>
      <c r="AF8" s="72">
        <v>9.1</v>
      </c>
      <c r="AG8" s="72">
        <v>12.6</v>
      </c>
      <c r="AH8" s="72">
        <v>15.375</v>
      </c>
      <c r="AI8" s="72">
        <v>0</v>
      </c>
      <c r="AJ8" s="83"/>
      <c r="AK8" s="12">
        <f t="shared" si="17"/>
        <v>12.7</v>
      </c>
      <c r="AL8" s="12">
        <f t="shared" si="18"/>
        <v>47.4</v>
      </c>
      <c r="AM8" s="12">
        <f t="shared" si="19"/>
        <v>52.315000000000005</v>
      </c>
      <c r="AN8" s="12">
        <f t="shared" si="20"/>
        <v>99.715000000000003</v>
      </c>
      <c r="AO8" s="12">
        <f t="shared" si="21"/>
        <v>51.274999999999999</v>
      </c>
      <c r="AP8" s="12">
        <f t="shared" si="22"/>
        <v>150.99</v>
      </c>
      <c r="AQ8" s="78">
        <v>17.2</v>
      </c>
      <c r="AR8" s="78">
        <v>9.1999999999999993</v>
      </c>
      <c r="AS8" s="78">
        <v>5.6</v>
      </c>
      <c r="AT8" s="78">
        <v>16.254999999999999</v>
      </c>
      <c r="AU8" s="78">
        <v>0</v>
      </c>
      <c r="AV8" s="78">
        <v>14.2</v>
      </c>
      <c r="AW8" s="78">
        <v>9.1999999999999993</v>
      </c>
      <c r="AX8" s="78">
        <v>13</v>
      </c>
      <c r="AY8" s="78">
        <v>15.37</v>
      </c>
      <c r="AZ8" s="78">
        <v>0.2</v>
      </c>
      <c r="BA8" s="78">
        <v>14.2</v>
      </c>
      <c r="BB8" s="78">
        <v>9.3000000000000007</v>
      </c>
      <c r="BC8" s="78">
        <v>12.4</v>
      </c>
      <c r="BD8" s="78">
        <v>15.76</v>
      </c>
      <c r="BE8" s="78">
        <v>0</v>
      </c>
      <c r="BF8" s="84"/>
      <c r="BG8" s="15">
        <f t="shared" si="23"/>
        <v>13</v>
      </c>
      <c r="BH8" s="15">
        <f t="shared" si="24"/>
        <v>48.254999999999995</v>
      </c>
      <c r="BI8" s="15">
        <f t="shared" si="25"/>
        <v>51.569999999999993</v>
      </c>
      <c r="BJ8" s="15">
        <f t="shared" si="26"/>
        <v>99.824999999999989</v>
      </c>
      <c r="BK8" s="15">
        <f t="shared" si="27"/>
        <v>51.66</v>
      </c>
      <c r="BL8" s="15">
        <f t="shared" si="28"/>
        <v>151.48499999999999</v>
      </c>
      <c r="BM8" s="26" t="str">
        <f t="shared" si="29"/>
        <v/>
      </c>
      <c r="BN8" s="26" t="str">
        <f t="shared" si="30"/>
        <v/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>
        <v>16.8</v>
      </c>
      <c r="CM8" s="40">
        <v>9.1</v>
      </c>
      <c r="CN8" s="40">
        <v>5.2</v>
      </c>
      <c r="CO8" s="40">
        <v>15.865</v>
      </c>
      <c r="CP8" s="40">
        <v>0</v>
      </c>
      <c r="CQ8" s="40">
        <v>14.9</v>
      </c>
      <c r="CR8" s="40">
        <v>8.9</v>
      </c>
      <c r="CS8" s="40">
        <v>12.6</v>
      </c>
      <c r="CT8" s="40">
        <v>15.16</v>
      </c>
      <c r="CU8" s="40">
        <v>0</v>
      </c>
      <c r="CV8" s="40"/>
      <c r="CW8" s="40"/>
      <c r="CX8" s="40"/>
      <c r="CY8" s="40"/>
      <c r="CZ8" s="40"/>
      <c r="DA8" s="15">
        <f t="shared" si="39"/>
        <v>12.6</v>
      </c>
      <c r="DB8" s="15">
        <f t="shared" si="40"/>
        <v>46.964999999999996</v>
      </c>
      <c r="DC8" s="15">
        <f t="shared" si="41"/>
        <v>51.56</v>
      </c>
      <c r="DD8" s="15">
        <f t="shared" si="42"/>
        <v>98.525000000000006</v>
      </c>
      <c r="DE8" s="15" t="str">
        <f t="shared" si="43"/>
        <v/>
      </c>
      <c r="DF8" s="15">
        <f t="shared" si="44"/>
        <v>98.525000000000006</v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>
        <v>3.2</v>
      </c>
      <c r="DR8" s="39">
        <v>1.7</v>
      </c>
      <c r="DS8" s="39">
        <v>3.2</v>
      </c>
      <c r="DT8" s="39">
        <v>3.375</v>
      </c>
      <c r="DU8" s="39">
        <v>0</v>
      </c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>
        <f t="shared" si="49"/>
        <v>11.475000000000001</v>
      </c>
      <c r="EA8" s="12">
        <f t="shared" si="50"/>
        <v>11.475000000000001</v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17.049999999999997</v>
      </c>
      <c r="LJ8" s="72">
        <f t="shared" si="113"/>
        <v>9.375</v>
      </c>
      <c r="LK8" s="72">
        <f t="shared" si="114"/>
        <v>5.15</v>
      </c>
      <c r="LL8" s="72">
        <f t="shared" si="115"/>
        <v>16.252499999999998</v>
      </c>
      <c r="LM8" s="72">
        <f t="shared" si="116"/>
        <v>0</v>
      </c>
      <c r="LN8" s="72">
        <f t="shared" si="117"/>
        <v>14.75</v>
      </c>
      <c r="LO8" s="72">
        <f t="shared" si="118"/>
        <v>9.0500000000000007</v>
      </c>
      <c r="LP8" s="72">
        <f t="shared" si="119"/>
        <v>12.85</v>
      </c>
      <c r="LQ8" s="72">
        <f t="shared" si="120"/>
        <v>15.392499999999998</v>
      </c>
      <c r="LR8" s="72">
        <f t="shared" si="121"/>
        <v>0.1</v>
      </c>
      <c r="LS8" s="72">
        <f t="shared" si="122"/>
        <v>14.2</v>
      </c>
      <c r="LT8" s="72">
        <f t="shared" si="123"/>
        <v>9.1999999999999993</v>
      </c>
      <c r="LU8" s="72">
        <f t="shared" si="124"/>
        <v>12.5</v>
      </c>
      <c r="LV8" s="72">
        <f t="shared" si="125"/>
        <v>15.567499999999999</v>
      </c>
      <c r="LW8" s="72">
        <f t="shared" si="126"/>
        <v>0</v>
      </c>
      <c r="LX8" s="83" t="s">
        <v>126</v>
      </c>
      <c r="LY8" s="12">
        <f t="shared" si="127"/>
        <v>12.85</v>
      </c>
      <c r="LZ8" s="12">
        <f t="shared" si="128"/>
        <v>47.827499999999993</v>
      </c>
      <c r="MA8" s="12">
        <f t="shared" si="129"/>
        <v>51.942499999999995</v>
      </c>
      <c r="MB8" s="12">
        <f t="shared" si="130"/>
        <v>99.769999999999982</v>
      </c>
      <c r="MC8" s="12">
        <f t="shared" si="131"/>
        <v>51.467500000000001</v>
      </c>
      <c r="MD8" s="12">
        <f t="shared" si="132"/>
        <v>151.23749999999998</v>
      </c>
    </row>
    <row r="9" spans="1:342" x14ac:dyDescent="0.2">
      <c r="A9" s="6">
        <f t="shared" si="0"/>
        <v>6</v>
      </c>
      <c r="B9" s="9" t="s">
        <v>40</v>
      </c>
      <c r="C9" s="5" t="s">
        <v>3</v>
      </c>
      <c r="D9" s="29">
        <v>1998</v>
      </c>
      <c r="E9" s="16">
        <f t="shared" si="1"/>
        <v>230.39000000000001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Excellence</v>
      </c>
      <c r="J9" s="15">
        <f t="shared" si="6"/>
        <v>75.460000000000008</v>
      </c>
      <c r="K9" s="15" t="str">
        <f t="shared" si="7"/>
        <v>2018 Nationals</v>
      </c>
      <c r="L9" s="15">
        <f t="shared" si="8"/>
        <v>47.255000000000003</v>
      </c>
      <c r="M9" s="15" t="str">
        <f t="shared" si="9"/>
        <v>2018 3rd Domestic Trial</v>
      </c>
      <c r="N9" s="15">
        <f t="shared" si="10"/>
        <v>15.945000000000002</v>
      </c>
      <c r="O9" s="15" t="str">
        <f t="shared" si="11"/>
        <v>2018 3rd Domestic Trial</v>
      </c>
      <c r="P9" s="15">
        <f t="shared" si="12"/>
        <v>53.525000000000006</v>
      </c>
      <c r="Q9" s="15" t="str">
        <f t="shared" si="13"/>
        <v>2018 Nationals</v>
      </c>
      <c r="R9" s="15">
        <f t="shared" si="14"/>
        <v>38.205000000000005</v>
      </c>
      <c r="S9" s="27" t="str">
        <f t="shared" si="15"/>
        <v>(Vol 2)</v>
      </c>
      <c r="T9" s="15" t="str">
        <f t="shared" si="16"/>
        <v>2018 Senior Pan American Championships (Sept 9)</v>
      </c>
      <c r="U9" s="39">
        <v>17.8</v>
      </c>
      <c r="V9" s="39">
        <v>9.6</v>
      </c>
      <c r="W9" s="39">
        <v>4.7</v>
      </c>
      <c r="X9" s="39">
        <v>15.69</v>
      </c>
      <c r="Y9" s="39">
        <v>0</v>
      </c>
      <c r="Z9" s="39">
        <v>8.1</v>
      </c>
      <c r="AA9" s="39">
        <v>4.5</v>
      </c>
      <c r="AB9" s="39">
        <v>7.2</v>
      </c>
      <c r="AC9" s="39">
        <v>7.87</v>
      </c>
      <c r="AD9" s="39">
        <v>0</v>
      </c>
      <c r="AE9" s="39">
        <v>16</v>
      </c>
      <c r="AF9" s="39">
        <v>8.8000000000000007</v>
      </c>
      <c r="AG9" s="39">
        <v>13.8</v>
      </c>
      <c r="AH9" s="39">
        <v>14.925000000000001</v>
      </c>
      <c r="AI9" s="39">
        <v>0</v>
      </c>
      <c r="AJ9" s="83"/>
      <c r="AK9" s="12">
        <f t="shared" si="17"/>
        <v>7.2</v>
      </c>
      <c r="AL9" s="12">
        <f t="shared" si="18"/>
        <v>47.79</v>
      </c>
      <c r="AM9" s="12">
        <f t="shared" si="19"/>
        <v>27.67</v>
      </c>
      <c r="AN9" s="12">
        <f t="shared" si="20"/>
        <v>75.460000000000008</v>
      </c>
      <c r="AO9" s="12">
        <f t="shared" si="21"/>
        <v>53.525000000000006</v>
      </c>
      <c r="AP9" s="12">
        <f t="shared" si="22"/>
        <v>128.98500000000001</v>
      </c>
      <c r="AQ9" s="78">
        <v>17.100000000000001</v>
      </c>
      <c r="AR9" s="78">
        <v>8.6</v>
      </c>
      <c r="AS9" s="78">
        <v>5.8</v>
      </c>
      <c r="AT9" s="78">
        <v>15.755000000000001</v>
      </c>
      <c r="AU9" s="78">
        <v>0</v>
      </c>
      <c r="AV9" s="78">
        <v>4.2</v>
      </c>
      <c r="AW9" s="78">
        <v>2.5</v>
      </c>
      <c r="AX9" s="78">
        <v>4.9000000000000004</v>
      </c>
      <c r="AY9" s="78">
        <v>4.7450000000000001</v>
      </c>
      <c r="AZ9" s="78">
        <v>0.4</v>
      </c>
      <c r="BA9" s="78">
        <v>0</v>
      </c>
      <c r="BB9" s="78">
        <v>0</v>
      </c>
      <c r="BC9" s="78">
        <v>0</v>
      </c>
      <c r="BD9" s="78">
        <v>0</v>
      </c>
      <c r="BE9" s="78">
        <v>0</v>
      </c>
      <c r="BF9" s="84"/>
      <c r="BG9" s="15">
        <f t="shared" si="23"/>
        <v>4.9000000000000004</v>
      </c>
      <c r="BH9" s="15">
        <f t="shared" si="24"/>
        <v>47.255000000000003</v>
      </c>
      <c r="BI9" s="15">
        <f t="shared" si="25"/>
        <v>15.945000000000002</v>
      </c>
      <c r="BJ9" s="15">
        <f t="shared" si="26"/>
        <v>63.2</v>
      </c>
      <c r="BK9" s="15" t="str">
        <f t="shared" si="27"/>
        <v/>
      </c>
      <c r="BL9" s="15">
        <f t="shared" si="28"/>
        <v>63.2</v>
      </c>
      <c r="BM9" s="26">
        <f t="shared" si="29"/>
        <v>1.0799999999999983</v>
      </c>
      <c r="BN9" s="26">
        <f t="shared" si="30"/>
        <v>38.205000000000005</v>
      </c>
      <c r="BO9" s="26">
        <f t="shared" si="31"/>
        <v>25.819999999999993</v>
      </c>
      <c r="BP9" s="26">
        <f t="shared" si="32"/>
        <v>0.23499999999999233</v>
      </c>
      <c r="BQ9" s="39">
        <v>16.399999999999999</v>
      </c>
      <c r="BR9" s="39">
        <v>8.9</v>
      </c>
      <c r="BS9" s="39">
        <v>6</v>
      </c>
      <c r="BT9" s="39">
        <v>15.984999999999999</v>
      </c>
      <c r="BU9" s="39">
        <v>0</v>
      </c>
      <c r="BV9" s="39">
        <v>14.5</v>
      </c>
      <c r="BW9" s="39">
        <v>9.35</v>
      </c>
      <c r="BX9" s="39">
        <v>14</v>
      </c>
      <c r="BY9" s="39">
        <v>15.695</v>
      </c>
      <c r="BZ9" s="39">
        <v>0</v>
      </c>
      <c r="CA9" s="39"/>
      <c r="CB9" s="39"/>
      <c r="CC9" s="39"/>
      <c r="CD9" s="39"/>
      <c r="CE9" s="39"/>
      <c r="CF9" s="12">
        <f t="shared" si="33"/>
        <v>14</v>
      </c>
      <c r="CG9" s="12">
        <f t="shared" si="34"/>
        <v>47.284999999999997</v>
      </c>
      <c r="CH9" s="12">
        <f t="shared" si="35"/>
        <v>53.545000000000002</v>
      </c>
      <c r="CI9" s="12">
        <f t="shared" si="36"/>
        <v>100.83</v>
      </c>
      <c r="CJ9" s="12" t="str">
        <f t="shared" si="37"/>
        <v/>
      </c>
      <c r="CK9" s="12">
        <f t="shared" si="38"/>
        <v>100.83</v>
      </c>
      <c r="CL9" s="40">
        <v>16.5</v>
      </c>
      <c r="CM9" s="40">
        <v>9.4</v>
      </c>
      <c r="CN9" s="40">
        <v>5.8</v>
      </c>
      <c r="CO9" s="40">
        <v>15.43</v>
      </c>
      <c r="CP9" s="40">
        <v>0</v>
      </c>
      <c r="CQ9" s="40">
        <v>15.5</v>
      </c>
      <c r="CR9" s="40">
        <v>9.6</v>
      </c>
      <c r="CS9" s="40">
        <v>14</v>
      </c>
      <c r="CT9" s="40">
        <v>15.05</v>
      </c>
      <c r="CU9" s="40">
        <v>0</v>
      </c>
      <c r="CV9" s="40"/>
      <c r="CW9" s="40"/>
      <c r="CX9" s="40"/>
      <c r="CY9" s="40"/>
      <c r="CZ9" s="40"/>
      <c r="DA9" s="15">
        <f t="shared" si="39"/>
        <v>14</v>
      </c>
      <c r="DB9" s="15">
        <f t="shared" si="40"/>
        <v>47.129999999999995</v>
      </c>
      <c r="DC9" s="15">
        <f t="shared" si="41"/>
        <v>54.150000000000006</v>
      </c>
      <c r="DD9" s="15">
        <f t="shared" si="42"/>
        <v>101.28</v>
      </c>
      <c r="DE9" s="15" t="str">
        <f t="shared" si="43"/>
        <v/>
      </c>
      <c r="DF9" s="15">
        <f t="shared" si="44"/>
        <v>101.28</v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>
        <v>15.7</v>
      </c>
      <c r="DR9" s="39">
        <v>9.3000000000000007</v>
      </c>
      <c r="DS9" s="39">
        <v>13.8</v>
      </c>
      <c r="DT9" s="39">
        <v>14.96</v>
      </c>
      <c r="DU9" s="39">
        <v>0</v>
      </c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>
        <f t="shared" si="49"/>
        <v>53.76</v>
      </c>
      <c r="EA9" s="12">
        <f t="shared" si="50"/>
        <v>53.76</v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>
        <v>17.899999999999999</v>
      </c>
      <c r="HI9" s="40">
        <v>9.3000000000000007</v>
      </c>
      <c r="HJ9" s="40">
        <v>0</v>
      </c>
      <c r="HK9" s="40">
        <v>16.12</v>
      </c>
      <c r="HL9" s="40">
        <v>0</v>
      </c>
      <c r="HM9" s="40">
        <v>15.3</v>
      </c>
      <c r="HN9" s="40">
        <v>8.9</v>
      </c>
      <c r="HO9" s="40">
        <v>13.6</v>
      </c>
      <c r="HP9" s="40">
        <v>14.744999999999999</v>
      </c>
      <c r="HQ9" s="40">
        <v>0</v>
      </c>
      <c r="HR9" s="40">
        <v>14.6</v>
      </c>
      <c r="HS9" s="40">
        <v>9.1</v>
      </c>
      <c r="HT9" s="40">
        <v>13.6</v>
      </c>
      <c r="HU9" s="40">
        <v>14.97</v>
      </c>
      <c r="HV9" s="40">
        <v>0</v>
      </c>
      <c r="HW9" s="15">
        <f t="shared" si="75"/>
        <v>13.6</v>
      </c>
      <c r="HX9" s="15">
        <f t="shared" si="76"/>
        <v>43.32</v>
      </c>
      <c r="HY9" s="15">
        <f t="shared" si="77"/>
        <v>52.545000000000002</v>
      </c>
      <c r="HZ9" s="15">
        <f t="shared" si="78"/>
        <v>95.865000000000009</v>
      </c>
      <c r="IA9" s="15">
        <f t="shared" si="79"/>
        <v>52.269999999999996</v>
      </c>
      <c r="IB9" s="15">
        <f t="shared" si="80"/>
        <v>148.13499999999999</v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>
        <v>17.399999999999999</v>
      </c>
      <c r="IY9" s="40">
        <v>9.3000000000000007</v>
      </c>
      <c r="IZ9" s="40">
        <v>6.2</v>
      </c>
      <c r="JA9" s="40">
        <v>15.435</v>
      </c>
      <c r="JB9" s="40">
        <v>0</v>
      </c>
      <c r="JC9" s="40">
        <v>2.8</v>
      </c>
      <c r="JD9" s="40">
        <v>1.8</v>
      </c>
      <c r="JE9" s="40">
        <v>3.4</v>
      </c>
      <c r="JF9" s="40">
        <v>3.13</v>
      </c>
      <c r="JG9" s="40">
        <v>0</v>
      </c>
      <c r="JH9" s="40"/>
      <c r="JI9" s="40"/>
      <c r="JJ9" s="40"/>
      <c r="JK9" s="40"/>
      <c r="JL9" s="40"/>
      <c r="JM9" s="15">
        <f t="shared" si="87"/>
        <v>3.4</v>
      </c>
      <c r="JN9" s="15">
        <f t="shared" si="88"/>
        <v>48.335000000000001</v>
      </c>
      <c r="JO9" s="15">
        <f t="shared" si="89"/>
        <v>11.129999999999999</v>
      </c>
      <c r="JP9" s="15">
        <f t="shared" si="90"/>
        <v>59.465000000000003</v>
      </c>
      <c r="JQ9" s="15" t="str">
        <f t="shared" si="91"/>
        <v/>
      </c>
      <c r="JR9" s="15">
        <f t="shared" si="92"/>
        <v>59.465000000000003</v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17.450000000000003</v>
      </c>
      <c r="LJ9" s="72">
        <f t="shared" si="113"/>
        <v>9.1</v>
      </c>
      <c r="LK9" s="72">
        <f t="shared" si="114"/>
        <v>5.25</v>
      </c>
      <c r="LL9" s="72">
        <f t="shared" si="115"/>
        <v>15.7225</v>
      </c>
      <c r="LM9" s="72">
        <f t="shared" si="116"/>
        <v>0</v>
      </c>
      <c r="LN9" s="72">
        <f t="shared" si="117"/>
        <v>6.15</v>
      </c>
      <c r="LO9" s="72">
        <f t="shared" si="118"/>
        <v>3.5</v>
      </c>
      <c r="LP9" s="72">
        <f t="shared" si="119"/>
        <v>6.0500000000000007</v>
      </c>
      <c r="LQ9" s="72">
        <f t="shared" si="120"/>
        <v>6.3075000000000001</v>
      </c>
      <c r="LR9" s="72">
        <f t="shared" si="121"/>
        <v>0.2</v>
      </c>
      <c r="LS9" s="72">
        <f t="shared" si="122"/>
        <v>8</v>
      </c>
      <c r="LT9" s="72">
        <f t="shared" si="123"/>
        <v>4.4000000000000004</v>
      </c>
      <c r="LU9" s="72">
        <f t="shared" si="124"/>
        <v>6.9</v>
      </c>
      <c r="LV9" s="72">
        <f t="shared" si="125"/>
        <v>7.4625000000000004</v>
      </c>
      <c r="LW9" s="72">
        <f t="shared" si="126"/>
        <v>0</v>
      </c>
      <c r="LX9" s="83" t="s">
        <v>126</v>
      </c>
      <c r="LY9" s="12">
        <f t="shared" si="127"/>
        <v>6.0500000000000007</v>
      </c>
      <c r="LZ9" s="12">
        <f t="shared" si="128"/>
        <v>47.522500000000008</v>
      </c>
      <c r="MA9" s="12">
        <f t="shared" si="129"/>
        <v>21.807500000000001</v>
      </c>
      <c r="MB9" s="12">
        <f t="shared" si="130"/>
        <v>69.330000000000013</v>
      </c>
      <c r="MC9" s="12">
        <f t="shared" si="131"/>
        <v>26.762500000000003</v>
      </c>
      <c r="MD9" s="12">
        <f t="shared" si="132"/>
        <v>96.092500000000015</v>
      </c>
    </row>
    <row r="10" spans="1:342" x14ac:dyDescent="0.2">
      <c r="A10" s="6">
        <f t="shared" si="0"/>
        <v>7</v>
      </c>
      <c r="B10" s="9" t="s">
        <v>95</v>
      </c>
      <c r="C10" s="5" t="s">
        <v>5</v>
      </c>
      <c r="D10" s="29">
        <v>1999</v>
      </c>
      <c r="E10" s="16">
        <f t="shared" si="1"/>
        <v>245.91500000000002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>No DD</v>
      </c>
      <c r="J10" s="15">
        <f t="shared" si="6"/>
        <v>99.77</v>
      </c>
      <c r="K10" s="15" t="str">
        <f t="shared" si="7"/>
        <v>2018 3rd Domestic Trial</v>
      </c>
      <c r="L10" s="15">
        <f t="shared" si="8"/>
        <v>43.34</v>
      </c>
      <c r="M10" s="15" t="str">
        <f t="shared" si="9"/>
        <v>2018 Nationals</v>
      </c>
      <c r="N10" s="15">
        <f t="shared" si="10"/>
        <v>48.174999999999997</v>
      </c>
      <c r="O10" s="15" t="str">
        <f t="shared" si="11"/>
        <v>2018 Nationals</v>
      </c>
      <c r="P10" s="15">
        <f t="shared" si="12"/>
        <v>51.795000000000002</v>
      </c>
      <c r="Q10" s="15" t="str">
        <f t="shared" si="13"/>
        <v>2018 3rd Domestic Trial</v>
      </c>
      <c r="R10" s="15">
        <f t="shared" si="14"/>
        <v>2.8349999999999937</v>
      </c>
      <c r="S10" s="27" t="str">
        <f t="shared" si="15"/>
        <v>(Vol 2)</v>
      </c>
      <c r="T10" s="15" t="str">
        <f t="shared" si="16"/>
        <v>2018 World Age Groups (Nov 18)</v>
      </c>
      <c r="U10" s="39">
        <v>18.100000000000001</v>
      </c>
      <c r="V10" s="39">
        <v>8.15</v>
      </c>
      <c r="W10" s="39">
        <v>2.6</v>
      </c>
      <c r="X10" s="39">
        <v>14.49</v>
      </c>
      <c r="Y10" s="39">
        <v>0</v>
      </c>
      <c r="Z10" s="39">
        <v>13.7</v>
      </c>
      <c r="AA10" s="39">
        <v>9.0500000000000007</v>
      </c>
      <c r="AB10" s="39">
        <v>11.5</v>
      </c>
      <c r="AC10" s="39">
        <v>13.925000000000001</v>
      </c>
      <c r="AD10" s="39">
        <v>0</v>
      </c>
      <c r="AE10" s="39">
        <v>15.2</v>
      </c>
      <c r="AF10" s="39">
        <v>9.1</v>
      </c>
      <c r="AG10" s="39">
        <v>12.6</v>
      </c>
      <c r="AH10" s="39">
        <v>14.53</v>
      </c>
      <c r="AI10" s="39">
        <v>0</v>
      </c>
      <c r="AJ10" s="83"/>
      <c r="AK10" s="12">
        <f t="shared" si="17"/>
        <v>11.5</v>
      </c>
      <c r="AL10" s="12">
        <f t="shared" si="18"/>
        <v>43.34</v>
      </c>
      <c r="AM10" s="12">
        <f t="shared" si="19"/>
        <v>48.174999999999997</v>
      </c>
      <c r="AN10" s="12">
        <f t="shared" si="20"/>
        <v>91.515000000000001</v>
      </c>
      <c r="AO10" s="12">
        <f t="shared" si="21"/>
        <v>51.43</v>
      </c>
      <c r="AP10" s="12">
        <f t="shared" si="22"/>
        <v>142.94499999999999</v>
      </c>
      <c r="AQ10" s="78">
        <v>17.7</v>
      </c>
      <c r="AR10" s="78">
        <v>9.6</v>
      </c>
      <c r="AS10" s="78">
        <v>4.2</v>
      </c>
      <c r="AT10" s="78">
        <v>15.914999999999999</v>
      </c>
      <c r="AU10" s="78">
        <v>0</v>
      </c>
      <c r="AV10" s="78">
        <v>15.8</v>
      </c>
      <c r="AW10" s="78">
        <v>9.4</v>
      </c>
      <c r="AX10" s="78">
        <v>12.2</v>
      </c>
      <c r="AY10" s="78">
        <v>14.955</v>
      </c>
      <c r="AZ10" s="78">
        <v>0</v>
      </c>
      <c r="BA10" s="78">
        <v>15.5</v>
      </c>
      <c r="BB10" s="78">
        <v>9.3000000000000007</v>
      </c>
      <c r="BC10" s="78">
        <v>12.2</v>
      </c>
      <c r="BD10" s="78">
        <v>14.795</v>
      </c>
      <c r="BE10" s="78">
        <v>0</v>
      </c>
      <c r="BF10" s="84"/>
      <c r="BG10" s="15">
        <f t="shared" si="23"/>
        <v>12.2</v>
      </c>
      <c r="BH10" s="15">
        <f t="shared" si="24"/>
        <v>47.414999999999992</v>
      </c>
      <c r="BI10" s="15">
        <f t="shared" si="25"/>
        <v>52.355000000000004</v>
      </c>
      <c r="BJ10" s="15">
        <f t="shared" si="26"/>
        <v>99.77</v>
      </c>
      <c r="BK10" s="15">
        <f t="shared" si="27"/>
        <v>51.795000000000002</v>
      </c>
      <c r="BL10" s="15">
        <f t="shared" si="28"/>
        <v>151.565</v>
      </c>
      <c r="BM10" s="26" t="str">
        <f t="shared" si="29"/>
        <v/>
      </c>
      <c r="BN10" s="26">
        <f t="shared" si="30"/>
        <v>2.8349999999999937</v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>
        <v>1.6</v>
      </c>
      <c r="HI10" s="40">
        <v>0.8</v>
      </c>
      <c r="HJ10" s="40">
        <v>0</v>
      </c>
      <c r="HK10" s="40">
        <v>1.73</v>
      </c>
      <c r="HL10" s="40">
        <v>0</v>
      </c>
      <c r="HM10" s="40">
        <v>14.8</v>
      </c>
      <c r="HN10" s="40">
        <v>9.1</v>
      </c>
      <c r="HO10" s="40">
        <v>12.2</v>
      </c>
      <c r="HP10" s="40">
        <v>14.91</v>
      </c>
      <c r="HQ10" s="40"/>
      <c r="HR10" s="40"/>
      <c r="HS10" s="40"/>
      <c r="HT10" s="40"/>
      <c r="HU10" s="40"/>
      <c r="HV10" s="40"/>
      <c r="HW10" s="15">
        <f t="shared" si="75"/>
        <v>12.2</v>
      </c>
      <c r="HX10" s="15">
        <f t="shared" si="76"/>
        <v>4.1300000000000008</v>
      </c>
      <c r="HY10" s="15">
        <f t="shared" si="77"/>
        <v>51.009999999999991</v>
      </c>
      <c r="HZ10" s="15">
        <f t="shared" si="78"/>
        <v>55.139999999999993</v>
      </c>
      <c r="IA10" s="15" t="str">
        <f t="shared" si="79"/>
        <v/>
      </c>
      <c r="IB10" s="15">
        <f t="shared" si="80"/>
        <v>55.139999999999993</v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17.899999999999999</v>
      </c>
      <c r="LJ10" s="72">
        <f t="shared" si="113"/>
        <v>8.875</v>
      </c>
      <c r="LK10" s="72">
        <f t="shared" si="114"/>
        <v>3.4000000000000004</v>
      </c>
      <c r="LL10" s="72">
        <f t="shared" si="115"/>
        <v>15.202500000000001</v>
      </c>
      <c r="LM10" s="72">
        <f t="shared" si="116"/>
        <v>0</v>
      </c>
      <c r="LN10" s="72">
        <f t="shared" si="117"/>
        <v>14.75</v>
      </c>
      <c r="LO10" s="72">
        <f t="shared" si="118"/>
        <v>9.2250000000000014</v>
      </c>
      <c r="LP10" s="72">
        <f t="shared" si="119"/>
        <v>11.85</v>
      </c>
      <c r="LQ10" s="72">
        <f t="shared" si="120"/>
        <v>14.440000000000001</v>
      </c>
      <c r="LR10" s="72">
        <f t="shared" si="121"/>
        <v>0</v>
      </c>
      <c r="LS10" s="72">
        <f t="shared" si="122"/>
        <v>15.35</v>
      </c>
      <c r="LT10" s="72">
        <f t="shared" si="123"/>
        <v>9.1999999999999993</v>
      </c>
      <c r="LU10" s="72">
        <f t="shared" si="124"/>
        <v>12.399999999999999</v>
      </c>
      <c r="LV10" s="72">
        <f t="shared" si="125"/>
        <v>14.6625</v>
      </c>
      <c r="LW10" s="72">
        <f t="shared" si="126"/>
        <v>0</v>
      </c>
      <c r="LX10" s="83" t="s">
        <v>126</v>
      </c>
      <c r="LY10" s="12">
        <f t="shared" si="127"/>
        <v>11.85</v>
      </c>
      <c r="LZ10" s="12">
        <f t="shared" si="128"/>
        <v>45.377499999999998</v>
      </c>
      <c r="MA10" s="12">
        <f t="shared" si="129"/>
        <v>50.265000000000001</v>
      </c>
      <c r="MB10" s="12">
        <f t="shared" si="130"/>
        <v>95.642499999999998</v>
      </c>
      <c r="MC10" s="12">
        <f t="shared" si="131"/>
        <v>51.612499999999997</v>
      </c>
      <c r="MD10" s="12">
        <f t="shared" si="132"/>
        <v>147.255</v>
      </c>
    </row>
    <row r="11" spans="1:342" x14ac:dyDescent="0.2">
      <c r="A11" s="6">
        <f t="shared" si="0"/>
        <v>8</v>
      </c>
      <c r="B11" s="9" t="s">
        <v>94</v>
      </c>
      <c r="C11" s="5" t="s">
        <v>3</v>
      </c>
      <c r="D11" s="29">
        <v>1998</v>
      </c>
      <c r="E11" s="16">
        <f t="shared" si="1"/>
        <v>224.3125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>No DD</v>
      </c>
      <c r="J11" s="15">
        <f t="shared" si="6"/>
        <v>98.419999999999987</v>
      </c>
      <c r="K11" s="15" t="str">
        <f t="shared" si="7"/>
        <v>2018 Nationals</v>
      </c>
      <c r="L11" s="15">
        <f t="shared" si="8"/>
        <v>46.5625</v>
      </c>
      <c r="M11" s="15" t="str">
        <f t="shared" si="9"/>
        <v>2018 3rd Domestic Trial</v>
      </c>
      <c r="N11" s="15">
        <f t="shared" si="10"/>
        <v>50.155000000000001</v>
      </c>
      <c r="O11" s="15" t="str">
        <f t="shared" si="11"/>
        <v>2018 3rd Domestic Trial</v>
      </c>
      <c r="P11" s="15">
        <f t="shared" si="12"/>
        <v>29.175000000000004</v>
      </c>
      <c r="Q11" s="15" t="str">
        <f t="shared" si="13"/>
        <v>2018 3rd Domestic Trial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39">
        <v>17.2</v>
      </c>
      <c r="V11" s="39">
        <v>9.5</v>
      </c>
      <c r="W11" s="39">
        <v>4.5999999999999996</v>
      </c>
      <c r="X11" s="39">
        <v>15.52</v>
      </c>
      <c r="Y11" s="39">
        <v>0</v>
      </c>
      <c r="Z11" s="39">
        <v>15.4</v>
      </c>
      <c r="AA11" s="39">
        <v>9.5</v>
      </c>
      <c r="AB11" s="39">
        <v>11.8</v>
      </c>
      <c r="AC11" s="39">
        <v>14.9</v>
      </c>
      <c r="AD11" s="39">
        <v>0</v>
      </c>
      <c r="AE11" s="39">
        <v>1.6</v>
      </c>
      <c r="AF11" s="39">
        <v>0.9</v>
      </c>
      <c r="AG11" s="39">
        <v>2</v>
      </c>
      <c r="AH11" s="39">
        <v>1.635</v>
      </c>
      <c r="AI11" s="39">
        <v>0</v>
      </c>
      <c r="AJ11" s="83"/>
      <c r="AK11" s="12">
        <f t="shared" si="17"/>
        <v>11.8</v>
      </c>
      <c r="AL11" s="12">
        <f t="shared" si="18"/>
        <v>46.819999999999993</v>
      </c>
      <c r="AM11" s="12">
        <f t="shared" si="19"/>
        <v>51.6</v>
      </c>
      <c r="AN11" s="12">
        <f t="shared" si="20"/>
        <v>98.419999999999987</v>
      </c>
      <c r="AO11" s="12">
        <f t="shared" si="21"/>
        <v>6.1349999999999998</v>
      </c>
      <c r="AP11" s="12">
        <f t="shared" si="22"/>
        <v>104.55499999999999</v>
      </c>
      <c r="AQ11" s="78">
        <v>17</v>
      </c>
      <c r="AR11" s="78">
        <v>9.5500000000000007</v>
      </c>
      <c r="AS11" s="78">
        <v>4.5999999999999996</v>
      </c>
      <c r="AT11" s="78">
        <v>15.4125</v>
      </c>
      <c r="AU11" s="78">
        <v>0</v>
      </c>
      <c r="AV11" s="78">
        <v>14.5</v>
      </c>
      <c r="AW11" s="78">
        <v>9</v>
      </c>
      <c r="AX11" s="78">
        <v>12.100000000000001</v>
      </c>
      <c r="AY11" s="78">
        <v>14.555</v>
      </c>
      <c r="AZ11" s="78">
        <v>0</v>
      </c>
      <c r="BA11" s="78">
        <v>8.2000000000000011</v>
      </c>
      <c r="BB11" s="78">
        <v>5.0750000000000002</v>
      </c>
      <c r="BC11" s="78">
        <v>7.75</v>
      </c>
      <c r="BD11" s="78">
        <v>8.15</v>
      </c>
      <c r="BE11" s="78">
        <v>0</v>
      </c>
      <c r="BF11" s="84" t="s">
        <v>126</v>
      </c>
      <c r="BG11" s="15">
        <f t="shared" si="23"/>
        <v>12.100000000000001</v>
      </c>
      <c r="BH11" s="15">
        <f t="shared" si="24"/>
        <v>46.5625</v>
      </c>
      <c r="BI11" s="15">
        <f t="shared" si="25"/>
        <v>50.155000000000001</v>
      </c>
      <c r="BJ11" s="15">
        <f t="shared" si="26"/>
        <v>96.717500000000001</v>
      </c>
      <c r="BK11" s="15">
        <f t="shared" si="27"/>
        <v>29.175000000000004</v>
      </c>
      <c r="BL11" s="15">
        <f t="shared" si="28"/>
        <v>125.89250000000001</v>
      </c>
      <c r="BM11" s="26" t="str">
        <f t="shared" si="29"/>
        <v/>
      </c>
      <c r="BN11" s="26" t="str">
        <f t="shared" si="30"/>
        <v/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17.100000000000001</v>
      </c>
      <c r="LJ11" s="72">
        <f t="shared" si="113"/>
        <v>9.5250000000000004</v>
      </c>
      <c r="LK11" s="72">
        <f t="shared" si="114"/>
        <v>4.5999999999999996</v>
      </c>
      <c r="LL11" s="72">
        <f t="shared" si="115"/>
        <v>15.466249999999999</v>
      </c>
      <c r="LM11" s="72">
        <f t="shared" si="116"/>
        <v>0</v>
      </c>
      <c r="LN11" s="72">
        <f t="shared" si="117"/>
        <v>14.95</v>
      </c>
      <c r="LO11" s="72">
        <f t="shared" si="118"/>
        <v>9.25</v>
      </c>
      <c r="LP11" s="72">
        <f t="shared" si="119"/>
        <v>11.950000000000001</v>
      </c>
      <c r="LQ11" s="72">
        <f t="shared" si="120"/>
        <v>14.727499999999999</v>
      </c>
      <c r="LR11" s="72">
        <f t="shared" si="121"/>
        <v>0</v>
      </c>
      <c r="LS11" s="72">
        <f t="shared" si="122"/>
        <v>4.9000000000000004</v>
      </c>
      <c r="LT11" s="72">
        <f t="shared" si="123"/>
        <v>2.9875000000000003</v>
      </c>
      <c r="LU11" s="72">
        <f t="shared" si="124"/>
        <v>4.875</v>
      </c>
      <c r="LV11" s="72">
        <f t="shared" si="125"/>
        <v>4.8925000000000001</v>
      </c>
      <c r="LW11" s="72">
        <f t="shared" si="126"/>
        <v>0</v>
      </c>
      <c r="LX11" s="83" t="s">
        <v>126</v>
      </c>
      <c r="LY11" s="12">
        <f t="shared" si="127"/>
        <v>11.950000000000001</v>
      </c>
      <c r="LZ11" s="12">
        <f t="shared" si="128"/>
        <v>46.691249999999997</v>
      </c>
      <c r="MA11" s="12">
        <f t="shared" si="129"/>
        <v>50.877499999999998</v>
      </c>
      <c r="MB11" s="12">
        <f t="shared" si="130"/>
        <v>97.568749999999994</v>
      </c>
      <c r="MC11" s="12">
        <f t="shared" si="131"/>
        <v>17.655000000000001</v>
      </c>
      <c r="MD11" s="12">
        <f t="shared" si="132"/>
        <v>115.22375</v>
      </c>
    </row>
    <row r="12" spans="1:342" x14ac:dyDescent="0.2">
      <c r="A12" s="6" t="str">
        <f t="shared" si="0"/>
        <v/>
      </c>
      <c r="B12" s="9" t="s">
        <v>42</v>
      </c>
      <c r="C12" s="5" t="s">
        <v>11</v>
      </c>
      <c r="D12" s="29">
        <v>1998</v>
      </c>
      <c r="E12" s="16">
        <f t="shared" si="1"/>
        <v>160.32999999999998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72.157499999999999</v>
      </c>
      <c r="K12" s="15" t="str">
        <f t="shared" si="7"/>
        <v>2018 3rd Domestic Trial</v>
      </c>
      <c r="L12" s="15">
        <f t="shared" si="8"/>
        <v>44.362500000000004</v>
      </c>
      <c r="M12" s="15" t="str">
        <f t="shared" si="9"/>
        <v>2018 3rd Domestic Trial</v>
      </c>
      <c r="N12" s="15">
        <f t="shared" si="10"/>
        <v>27.795000000000002</v>
      </c>
      <c r="O12" s="15" t="str">
        <f t="shared" si="11"/>
        <v>2018 Nationals</v>
      </c>
      <c r="P12" s="15">
        <f t="shared" si="12"/>
        <v>16.015000000000001</v>
      </c>
      <c r="Q12" s="15" t="str">
        <f t="shared" si="13"/>
        <v>2018 3rd Domestic Trial</v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39">
        <v>15.7</v>
      </c>
      <c r="V12" s="39">
        <v>9.15</v>
      </c>
      <c r="W12" s="39">
        <v>4.0500000000000007</v>
      </c>
      <c r="X12" s="39">
        <v>15.4625</v>
      </c>
      <c r="Y12" s="39">
        <v>0</v>
      </c>
      <c r="Z12" s="39">
        <v>8.35</v>
      </c>
      <c r="AA12" s="39">
        <v>5.15</v>
      </c>
      <c r="AB12" s="39">
        <v>6.25</v>
      </c>
      <c r="AC12" s="39">
        <v>8.0449999999999999</v>
      </c>
      <c r="AD12" s="39">
        <v>0</v>
      </c>
      <c r="AE12" s="39">
        <v>4.7</v>
      </c>
      <c r="AF12" s="39">
        <v>2.8</v>
      </c>
      <c r="AG12" s="39">
        <v>4.2</v>
      </c>
      <c r="AH12" s="39">
        <v>4.3150000000000004</v>
      </c>
      <c r="AI12" s="39">
        <v>0</v>
      </c>
      <c r="AJ12" s="83" t="s">
        <v>126</v>
      </c>
      <c r="AK12" s="12">
        <f t="shared" si="17"/>
        <v>6.25</v>
      </c>
      <c r="AL12" s="12">
        <f t="shared" si="18"/>
        <v>44.362500000000004</v>
      </c>
      <c r="AM12" s="12">
        <f t="shared" si="19"/>
        <v>27.795000000000002</v>
      </c>
      <c r="AN12" s="12">
        <f t="shared" si="20"/>
        <v>72.157499999999999</v>
      </c>
      <c r="AO12" s="12">
        <f t="shared" si="21"/>
        <v>16.015000000000001</v>
      </c>
      <c r="AP12" s="12">
        <f t="shared" si="22"/>
        <v>88.172499999999999</v>
      </c>
      <c r="AQ12" s="78">
        <v>15.7</v>
      </c>
      <c r="AR12" s="78">
        <v>9.15</v>
      </c>
      <c r="AS12" s="78">
        <v>4.0500000000000007</v>
      </c>
      <c r="AT12" s="78">
        <v>15.4625</v>
      </c>
      <c r="AU12" s="78">
        <v>0</v>
      </c>
      <c r="AV12" s="78">
        <v>8.35</v>
      </c>
      <c r="AW12" s="78">
        <v>5.15</v>
      </c>
      <c r="AX12" s="78">
        <v>6.25</v>
      </c>
      <c r="AY12" s="78">
        <v>8.0449999999999999</v>
      </c>
      <c r="AZ12" s="78">
        <v>0</v>
      </c>
      <c r="BA12" s="78">
        <v>4.7</v>
      </c>
      <c r="BB12" s="78">
        <v>2.8</v>
      </c>
      <c r="BC12" s="78">
        <v>4.2</v>
      </c>
      <c r="BD12" s="78">
        <v>4.3150000000000004</v>
      </c>
      <c r="BE12" s="78">
        <v>0</v>
      </c>
      <c r="BF12" s="84" t="s">
        <v>126</v>
      </c>
      <c r="BG12" s="15">
        <f t="shared" si="23"/>
        <v>6.25</v>
      </c>
      <c r="BH12" s="15">
        <f t="shared" si="24"/>
        <v>44.362500000000004</v>
      </c>
      <c r="BI12" s="15">
        <f t="shared" si="25"/>
        <v>27.795000000000002</v>
      </c>
      <c r="BJ12" s="15">
        <f t="shared" si="26"/>
        <v>72.157499999999999</v>
      </c>
      <c r="BK12" s="15">
        <f t="shared" si="27"/>
        <v>16.015000000000001</v>
      </c>
      <c r="BL12" s="15">
        <f t="shared" si="28"/>
        <v>88.172499999999999</v>
      </c>
      <c r="BM12" s="26" t="str">
        <f t="shared" si="29"/>
        <v/>
      </c>
      <c r="BN12" s="26" t="str">
        <f t="shared" si="30"/>
        <v/>
      </c>
      <c r="BO12" s="26" t="str">
        <f t="shared" si="31"/>
        <v/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15.7</v>
      </c>
      <c r="LJ12" s="72">
        <f t="shared" si="113"/>
        <v>9.15</v>
      </c>
      <c r="LK12" s="72">
        <f t="shared" si="114"/>
        <v>4.0500000000000007</v>
      </c>
      <c r="LL12" s="72">
        <f t="shared" si="115"/>
        <v>15.4625</v>
      </c>
      <c r="LM12" s="72">
        <f t="shared" si="116"/>
        <v>0</v>
      </c>
      <c r="LN12" s="72">
        <f t="shared" si="117"/>
        <v>8.35</v>
      </c>
      <c r="LO12" s="72">
        <f t="shared" si="118"/>
        <v>5.15</v>
      </c>
      <c r="LP12" s="72">
        <f t="shared" si="119"/>
        <v>6.25</v>
      </c>
      <c r="LQ12" s="72">
        <f t="shared" si="120"/>
        <v>8.0449999999999999</v>
      </c>
      <c r="LR12" s="72">
        <f t="shared" si="121"/>
        <v>0</v>
      </c>
      <c r="LS12" s="72">
        <f t="shared" si="122"/>
        <v>4.7</v>
      </c>
      <c r="LT12" s="72">
        <f t="shared" si="123"/>
        <v>2.8</v>
      </c>
      <c r="LU12" s="72">
        <f t="shared" si="124"/>
        <v>4.2</v>
      </c>
      <c r="LV12" s="72">
        <f t="shared" si="125"/>
        <v>4.3150000000000004</v>
      </c>
      <c r="LW12" s="72">
        <f t="shared" si="126"/>
        <v>0</v>
      </c>
      <c r="LX12" s="83" t="s">
        <v>126</v>
      </c>
      <c r="LY12" s="12">
        <f t="shared" si="127"/>
        <v>6.25</v>
      </c>
      <c r="LZ12" s="12">
        <f t="shared" si="128"/>
        <v>44.362500000000004</v>
      </c>
      <c r="MA12" s="12">
        <f t="shared" si="129"/>
        <v>27.795000000000002</v>
      </c>
      <c r="MB12" s="12">
        <f t="shared" si="130"/>
        <v>72.157499999999999</v>
      </c>
      <c r="MC12" s="12">
        <f t="shared" si="131"/>
        <v>16.015000000000001</v>
      </c>
      <c r="MD12" s="12">
        <f t="shared" si="132"/>
        <v>88.172499999999999</v>
      </c>
    </row>
    <row r="13" spans="1:342" x14ac:dyDescent="0.2">
      <c r="A13" s="6" t="str">
        <f t="shared" si="0"/>
        <v/>
      </c>
      <c r="B13" s="9" t="s">
        <v>43</v>
      </c>
      <c r="C13" s="5" t="s">
        <v>11</v>
      </c>
      <c r="D13" s="29">
        <v>1995</v>
      </c>
      <c r="E13" s="16">
        <f t="shared" si="1"/>
        <v>48.910000000000004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48.910000000000004</v>
      </c>
      <c r="K13" s="15" t="str">
        <f t="shared" si="7"/>
        <v>2018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 t="str">
        <f t="shared" si="14"/>
        <v/>
      </c>
      <c r="S13" s="27" t="str">
        <f t="shared" si="15"/>
        <v/>
      </c>
      <c r="T13" s="15" t="str">
        <f t="shared" si="16"/>
        <v/>
      </c>
      <c r="U13" s="39">
        <v>15.7</v>
      </c>
      <c r="V13" s="39">
        <v>8.75</v>
      </c>
      <c r="W13" s="39">
        <v>3.7</v>
      </c>
      <c r="X13" s="39">
        <v>15.175000000000001</v>
      </c>
      <c r="Y13" s="39">
        <v>0</v>
      </c>
      <c r="Z13" s="39">
        <v>1.2</v>
      </c>
      <c r="AA13" s="39">
        <v>0.8</v>
      </c>
      <c r="AB13" s="39">
        <v>2</v>
      </c>
      <c r="AC13" s="39">
        <v>1.585</v>
      </c>
      <c r="AD13" s="39">
        <v>0</v>
      </c>
      <c r="AE13" s="39"/>
      <c r="AF13" s="39"/>
      <c r="AG13" s="39"/>
      <c r="AH13" s="39"/>
      <c r="AI13" s="39"/>
      <c r="AJ13" s="83"/>
      <c r="AK13" s="12">
        <f t="shared" si="17"/>
        <v>2</v>
      </c>
      <c r="AL13" s="12">
        <f t="shared" si="18"/>
        <v>43.325000000000003</v>
      </c>
      <c r="AM13" s="12">
        <f t="shared" si="19"/>
        <v>5.585</v>
      </c>
      <c r="AN13" s="12">
        <f t="shared" si="20"/>
        <v>48.910000000000004</v>
      </c>
      <c r="AO13" s="12" t="str">
        <f t="shared" si="21"/>
        <v/>
      </c>
      <c r="AP13" s="12">
        <f t="shared" si="22"/>
        <v>48.910000000000004</v>
      </c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 t="str">
        <f t="shared" si="29"/>
        <v/>
      </c>
      <c r="BN13" s="26" t="str">
        <f t="shared" si="30"/>
        <v/>
      </c>
      <c r="BO13" s="26" t="str">
        <f t="shared" si="31"/>
        <v/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7.85</v>
      </c>
      <c r="LJ13" s="72">
        <f t="shared" si="113"/>
        <v>4.375</v>
      </c>
      <c r="LK13" s="72">
        <f t="shared" si="114"/>
        <v>1.85</v>
      </c>
      <c r="LL13" s="72">
        <f t="shared" si="115"/>
        <v>7.5875000000000004</v>
      </c>
      <c r="LM13" s="72">
        <f t="shared" si="116"/>
        <v>0</v>
      </c>
      <c r="LN13" s="72">
        <f t="shared" si="117"/>
        <v>0.6</v>
      </c>
      <c r="LO13" s="72">
        <f t="shared" si="118"/>
        <v>0.4</v>
      </c>
      <c r="LP13" s="72">
        <f t="shared" si="119"/>
        <v>1</v>
      </c>
      <c r="LQ13" s="72">
        <f t="shared" si="120"/>
        <v>0.79249999999999998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>
        <f t="shared" si="127"/>
        <v>1</v>
      </c>
      <c r="LZ13" s="12">
        <f t="shared" si="128"/>
        <v>21.662500000000001</v>
      </c>
      <c r="MA13" s="12">
        <f t="shared" si="129"/>
        <v>2.7925</v>
      </c>
      <c r="MB13" s="12">
        <f t="shared" si="130"/>
        <v>24.455000000000002</v>
      </c>
      <c r="MC13" s="12" t="str">
        <f t="shared" si="131"/>
        <v/>
      </c>
      <c r="MD13" s="12">
        <f t="shared" si="132"/>
        <v>24.455000000000002</v>
      </c>
    </row>
    <row r="16" spans="1:342" x14ac:dyDescent="0.2">
      <c r="B16" s="73" t="s">
        <v>93</v>
      </c>
      <c r="AK16" s="58"/>
      <c r="AL16" s="67">
        <v>12.5</v>
      </c>
      <c r="BG16" s="58"/>
      <c r="BH16" s="67">
        <v>12.5</v>
      </c>
      <c r="CF16" s="58"/>
      <c r="CG16" s="67">
        <v>13</v>
      </c>
      <c r="DA16" s="58"/>
      <c r="DB16" s="67">
        <v>12.5</v>
      </c>
      <c r="DV16" s="58"/>
      <c r="DW16" s="67">
        <v>16.7</v>
      </c>
      <c r="EQ16" s="58"/>
      <c r="ER16" s="67">
        <v>13.7</v>
      </c>
      <c r="FL16" s="58"/>
      <c r="FM16" s="67">
        <v>16.7</v>
      </c>
      <c r="GG16" s="58"/>
      <c r="GH16" s="67">
        <v>16.7</v>
      </c>
      <c r="HB16" s="58"/>
      <c r="HC16" s="67">
        <v>14</v>
      </c>
      <c r="HW16" s="58"/>
      <c r="HX16" s="67">
        <v>16.7</v>
      </c>
      <c r="IR16" s="58"/>
      <c r="IS16" s="67">
        <v>12.2</v>
      </c>
      <c r="JM16" s="58"/>
      <c r="JN16" s="67">
        <v>12.2</v>
      </c>
      <c r="KH16" s="58"/>
      <c r="KI16" s="67">
        <v>12.2</v>
      </c>
      <c r="LC16" s="58"/>
      <c r="LD16" s="67">
        <v>12.2</v>
      </c>
    </row>
    <row r="17" spans="1:316" x14ac:dyDescent="0.2">
      <c r="A17" s="58"/>
      <c r="B17" s="101" t="s">
        <v>92</v>
      </c>
      <c r="C17" s="57"/>
      <c r="AK17" s="58"/>
      <c r="AL17" s="103">
        <v>12.7</v>
      </c>
      <c r="BG17" s="58"/>
      <c r="BH17" s="103">
        <v>12.7</v>
      </c>
      <c r="CF17" s="58"/>
      <c r="CG17" s="103">
        <v>14</v>
      </c>
      <c r="DA17" s="58"/>
      <c r="DB17" s="103">
        <v>12.6</v>
      </c>
      <c r="DV17" s="58"/>
      <c r="DW17" s="103">
        <v>17</v>
      </c>
      <c r="EQ17" s="58"/>
      <c r="ER17" s="103">
        <v>13.8</v>
      </c>
      <c r="FL17" s="58"/>
      <c r="FM17" s="103">
        <v>17</v>
      </c>
      <c r="GG17" s="58"/>
      <c r="GH17" s="103">
        <v>17</v>
      </c>
      <c r="HB17" s="58"/>
      <c r="HC17" s="103">
        <v>14.6</v>
      </c>
      <c r="HW17" s="58"/>
      <c r="HX17" s="103">
        <v>17</v>
      </c>
      <c r="IR17" s="58"/>
      <c r="IS17" s="103">
        <v>13.1</v>
      </c>
      <c r="JM17" s="58"/>
      <c r="JN17" s="103">
        <v>13.1</v>
      </c>
      <c r="KH17" s="58"/>
      <c r="KI17" s="103">
        <v>13.1</v>
      </c>
      <c r="LC17" s="58"/>
      <c r="LD17" s="103">
        <v>13.1</v>
      </c>
    </row>
    <row r="18" spans="1:316" x14ac:dyDescent="0.2">
      <c r="A18" s="58"/>
      <c r="B18" s="74" t="s">
        <v>90</v>
      </c>
      <c r="C18" s="57"/>
      <c r="AK18" s="58"/>
      <c r="AL18" s="68">
        <v>96.3</v>
      </c>
      <c r="BG18" s="58"/>
      <c r="BH18" s="68">
        <v>96.3</v>
      </c>
      <c r="CF18" s="58"/>
      <c r="CG18" s="68">
        <v>96.3</v>
      </c>
      <c r="DA18" s="58"/>
      <c r="DB18" s="68">
        <v>96.3</v>
      </c>
      <c r="DV18" s="58"/>
      <c r="DW18" s="68">
        <v>96.3</v>
      </c>
      <c r="EQ18" s="58"/>
      <c r="ER18" s="68">
        <v>96.3</v>
      </c>
      <c r="FL18" s="58"/>
      <c r="FM18" s="68">
        <v>96.3</v>
      </c>
      <c r="GG18" s="58"/>
      <c r="GH18" s="68">
        <v>96.3</v>
      </c>
      <c r="HB18" s="58"/>
      <c r="HC18" s="68">
        <v>96.3</v>
      </c>
      <c r="HW18" s="58"/>
      <c r="HX18" s="68">
        <v>96.3</v>
      </c>
      <c r="IR18" s="58"/>
      <c r="IS18" s="68">
        <v>96.8</v>
      </c>
      <c r="JM18" s="58"/>
      <c r="JN18" s="68">
        <v>96.8</v>
      </c>
      <c r="KH18" s="58"/>
      <c r="KI18" s="68">
        <v>96.8</v>
      </c>
      <c r="LC18" s="58"/>
      <c r="LD18" s="68">
        <v>96.8</v>
      </c>
    </row>
    <row r="19" spans="1:316" x14ac:dyDescent="0.2">
      <c r="A19" s="58"/>
      <c r="B19" s="75" t="s">
        <v>91</v>
      </c>
      <c r="C19" s="57"/>
      <c r="AK19" s="58"/>
      <c r="AL19" s="69">
        <v>98.3</v>
      </c>
      <c r="BG19" s="58"/>
      <c r="BH19" s="69">
        <v>98.3</v>
      </c>
      <c r="CF19" s="58"/>
      <c r="CG19" s="69">
        <v>98.3</v>
      </c>
      <c r="DA19" s="58"/>
      <c r="DB19" s="69">
        <v>98.3</v>
      </c>
      <c r="DV19" s="58"/>
      <c r="DW19" s="69">
        <v>98.3</v>
      </c>
      <c r="EQ19" s="58"/>
      <c r="ER19" s="69">
        <v>98.3</v>
      </c>
      <c r="FL19" s="58"/>
      <c r="FM19" s="69">
        <v>98.3</v>
      </c>
      <c r="GG19" s="58"/>
      <c r="GH19" s="69">
        <v>98.3</v>
      </c>
      <c r="HB19" s="58"/>
      <c r="HC19" s="69">
        <v>98.3</v>
      </c>
      <c r="HW19" s="58"/>
      <c r="HX19" s="69">
        <v>98.3</v>
      </c>
      <c r="IR19" s="58"/>
      <c r="IS19" s="69">
        <v>98.8</v>
      </c>
      <c r="JM19" s="58"/>
      <c r="JN19" s="69">
        <v>98.8</v>
      </c>
      <c r="KH19" s="58"/>
      <c r="KI19" s="69">
        <v>98.8</v>
      </c>
      <c r="LC19" s="58"/>
      <c r="LD19" s="69">
        <v>98.8</v>
      </c>
    </row>
    <row r="20" spans="1:316" x14ac:dyDescent="0.2">
      <c r="A20" s="58"/>
      <c r="B20" s="76" t="s">
        <v>196</v>
      </c>
      <c r="C20" s="57"/>
      <c r="AK20" s="58"/>
      <c r="AL20" s="70">
        <v>101.2</v>
      </c>
      <c r="BG20" s="58"/>
      <c r="BH20" s="70">
        <v>101.2</v>
      </c>
      <c r="CF20" s="58"/>
      <c r="CG20" s="70">
        <v>101.2</v>
      </c>
      <c r="DA20" s="58"/>
      <c r="DB20" s="70">
        <v>101.2</v>
      </c>
      <c r="DV20" s="58"/>
      <c r="DW20" s="70">
        <v>101.2</v>
      </c>
      <c r="EQ20" s="58"/>
      <c r="ER20" s="70">
        <v>101.2</v>
      </c>
      <c r="FL20" s="58"/>
      <c r="FM20" s="70">
        <v>101.2</v>
      </c>
      <c r="GG20" s="58"/>
      <c r="GH20" s="70">
        <v>101.2</v>
      </c>
      <c r="HB20" s="58"/>
      <c r="HC20" s="70">
        <v>101.2</v>
      </c>
      <c r="HW20" s="58"/>
      <c r="HX20" s="70">
        <v>101.2</v>
      </c>
      <c r="IR20" s="58"/>
      <c r="IS20" s="70">
        <v>101</v>
      </c>
      <c r="JM20" s="58"/>
      <c r="JN20" s="70">
        <v>101</v>
      </c>
      <c r="KH20" s="58"/>
      <c r="KI20" s="70">
        <v>101</v>
      </c>
      <c r="LC20" s="58"/>
      <c r="LD20" s="70">
        <v>101</v>
      </c>
    </row>
    <row r="21" spans="1:316" x14ac:dyDescent="0.2">
      <c r="A21" s="58"/>
      <c r="B21" s="77" t="s">
        <v>71</v>
      </c>
      <c r="C21" s="57"/>
      <c r="L21" s="2"/>
      <c r="AK21" s="58"/>
      <c r="AL21" s="71">
        <v>55.1</v>
      </c>
      <c r="BG21" s="58"/>
      <c r="BH21" s="71">
        <v>55.1</v>
      </c>
      <c r="CF21" s="58"/>
      <c r="CG21" s="71">
        <v>55.1</v>
      </c>
      <c r="DA21" s="58"/>
      <c r="DB21" s="71">
        <v>55.1</v>
      </c>
      <c r="DV21" s="58"/>
      <c r="DW21" s="71">
        <v>55.1</v>
      </c>
      <c r="EQ21" s="58"/>
      <c r="ER21" s="71">
        <v>55.1</v>
      </c>
      <c r="FL21" s="58"/>
      <c r="FM21" s="71">
        <v>55.1</v>
      </c>
      <c r="GG21" s="58"/>
      <c r="GH21" s="71">
        <v>55.1</v>
      </c>
      <c r="HB21" s="58"/>
      <c r="HC21" s="71">
        <v>55.1</v>
      </c>
      <c r="HW21" s="58"/>
      <c r="HX21" s="71">
        <v>55.1</v>
      </c>
      <c r="IR21" s="58"/>
      <c r="IS21" s="71">
        <v>55</v>
      </c>
      <c r="JM21" s="58"/>
      <c r="JN21" s="71">
        <v>55</v>
      </c>
      <c r="KH21" s="58"/>
      <c r="KI21" s="71">
        <v>55</v>
      </c>
      <c r="LC21" s="58"/>
      <c r="LD21" s="71">
        <v>55</v>
      </c>
    </row>
    <row r="22" spans="1:316" x14ac:dyDescent="0.2">
      <c r="A22" s="7"/>
      <c r="B22" s="85" t="s">
        <v>127</v>
      </c>
      <c r="C22" s="57"/>
      <c r="AK22" s="56"/>
      <c r="AL22" t="s">
        <v>192</v>
      </c>
      <c r="BH22" t="s">
        <v>192</v>
      </c>
      <c r="CG22" s="56" t="s">
        <v>192</v>
      </c>
      <c r="DB22" s="56" t="s">
        <v>192</v>
      </c>
      <c r="ER22" t="s">
        <v>192</v>
      </c>
      <c r="GH22" s="56"/>
      <c r="HC22" t="s">
        <v>192</v>
      </c>
    </row>
    <row r="23" spans="1:316" x14ac:dyDescent="0.2">
      <c r="A23" s="58"/>
      <c r="B23" s="58"/>
      <c r="C23" s="57"/>
    </row>
    <row r="24" spans="1:316" x14ac:dyDescent="0.2">
      <c r="A24" s="58"/>
      <c r="B24" s="58"/>
      <c r="C24" s="57"/>
    </row>
    <row r="25" spans="1:316" x14ac:dyDescent="0.2">
      <c r="A25" s="58"/>
      <c r="B25" s="58"/>
      <c r="C25" s="57"/>
    </row>
  </sheetData>
  <sheetProtection sheet="1" formatCells="0" formatColumns="0" formatRows="0"/>
  <autoFilter ref="A1:LH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3">
      <sortCondition descending="1" ref="F1:F13"/>
    </sortState>
  </autoFilter>
  <mergeCells count="81">
    <mergeCell ref="EB1:EV1"/>
    <mergeCell ref="KN2:KR2"/>
    <mergeCell ref="KS2:KW2"/>
    <mergeCell ref="KX2:LB2"/>
    <mergeCell ref="JC2:JG2"/>
    <mergeCell ref="JH2:JL2"/>
    <mergeCell ref="JS2:JW2"/>
    <mergeCell ref="JX2:KB2"/>
    <mergeCell ref="KC2:KG2"/>
    <mergeCell ref="FW2:GA2"/>
    <mergeCell ref="EL2:EP2"/>
    <mergeCell ref="EW2:FA2"/>
    <mergeCell ref="FB2:FF2"/>
    <mergeCell ref="FG2:FK2"/>
    <mergeCell ref="FR2:FV2"/>
    <mergeCell ref="JS1:KM1"/>
    <mergeCell ref="KN1:LH1"/>
    <mergeCell ref="EW1:FQ1"/>
    <mergeCell ref="FR1:GL1"/>
    <mergeCell ref="IX1:JR1"/>
    <mergeCell ref="GM1:HG1"/>
    <mergeCell ref="HH1:IB1"/>
    <mergeCell ref="IC1:IW1"/>
    <mergeCell ref="CQ2:CU2"/>
    <mergeCell ref="CV2:CZ2"/>
    <mergeCell ref="DG2:DK2"/>
    <mergeCell ref="DL2:DP2"/>
    <mergeCell ref="Q1:Q3"/>
    <mergeCell ref="BM1:BP1"/>
    <mergeCell ref="AQ2:AU2"/>
    <mergeCell ref="AV2:AZ2"/>
    <mergeCell ref="BA2:BE2"/>
    <mergeCell ref="A1:A3"/>
    <mergeCell ref="B1:B3"/>
    <mergeCell ref="C1:C3"/>
    <mergeCell ref="E1:E3"/>
    <mergeCell ref="G1:G3"/>
    <mergeCell ref="F1:F3"/>
    <mergeCell ref="D1:D3"/>
    <mergeCell ref="IM2:IQ2"/>
    <mergeCell ref="IX2:JB2"/>
    <mergeCell ref="GB2:GF2"/>
    <mergeCell ref="GM2:GQ2"/>
    <mergeCell ref="GR2:GV2"/>
    <mergeCell ref="GW2:HA2"/>
    <mergeCell ref="HH2:HL2"/>
    <mergeCell ref="HM2:HQ2"/>
    <mergeCell ref="HR2:HV2"/>
    <mergeCell ref="IC2:IG2"/>
    <mergeCell ref="P1:P3"/>
    <mergeCell ref="K1:K3"/>
    <mergeCell ref="M1:M3"/>
    <mergeCell ref="O1:O3"/>
    <mergeCell ref="IH2:IL2"/>
    <mergeCell ref="EB2:EF2"/>
    <mergeCell ref="EG2:EK2"/>
    <mergeCell ref="AQ1:BL1"/>
    <mergeCell ref="DQ2:DU2"/>
    <mergeCell ref="BQ1:CK1"/>
    <mergeCell ref="BQ2:BU2"/>
    <mergeCell ref="BV2:BZ2"/>
    <mergeCell ref="CA2:CE2"/>
    <mergeCell ref="CL1:DF1"/>
    <mergeCell ref="DG1:EA1"/>
    <mergeCell ref="CL2:CP2"/>
    <mergeCell ref="LI1:MD1"/>
    <mergeCell ref="LI2:LM2"/>
    <mergeCell ref="LN2:LR2"/>
    <mergeCell ref="LS2:LW2"/>
    <mergeCell ref="H1:H3"/>
    <mergeCell ref="I1:I3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66" priority="84">
      <formula>AND(H1="P",F1="")</formula>
    </cfRule>
  </conditionalFormatting>
  <conditionalFormatting sqref="U4:AP13">
    <cfRule type="expression" dxfId="165" priority="17">
      <formula>IF($AJ4&lt;&gt;"",1,0)</formula>
    </cfRule>
  </conditionalFormatting>
  <conditionalFormatting sqref="AQ4:BL13">
    <cfRule type="expression" dxfId="164" priority="14">
      <formula>IF($BF4&lt;&gt;"",1,0)</formula>
    </cfRule>
  </conditionalFormatting>
  <conditionalFormatting sqref="I1:I1048576">
    <cfRule type="containsText" dxfId="163" priority="1" operator="containsText" text="No DD">
      <formula>NOT(ISERROR(SEARCH("No DD",I1)))</formula>
    </cfRule>
    <cfRule type="containsText" dxfId="162" priority="9" operator="containsText" text="Merit">
      <formula>NOT(ISERROR(SEARCH("Merit",I1)))</formula>
    </cfRule>
    <cfRule type="containsText" dxfId="161" priority="10" operator="containsText" text="Excellence">
      <formula>NOT(ISERROR(SEARCH("Excellence",I1)))</formula>
    </cfRule>
    <cfRule type="containsText" dxfId="160" priority="11" operator="containsText" text="Worlds Team">
      <formula>NOT(ISERROR(SEARCH("Worlds Team",I1)))</formula>
    </cfRule>
    <cfRule type="containsText" dxfId="159" priority="12" operator="containsText" text="National Team">
      <formula>NOT(ISERROR(SEARCH("National Team",I1)))</formula>
    </cfRule>
  </conditionalFormatting>
  <conditionalFormatting sqref="K1:K1048576 M1:M1048576 O1:O1048576 Q1:Q1048576">
    <cfRule type="expression" dxfId="158" priority="376">
      <formula>IF(K1=$AQ$1,1,0)</formula>
    </cfRule>
    <cfRule type="expression" dxfId="157" priority="378">
      <formula>IF(K1=$U$1,1,0)</formula>
    </cfRule>
  </conditionalFormatting>
  <conditionalFormatting sqref="CH1:CH1048576 DC1:DC1048576 DX1:DX1048576 ES1:ES1048576 FN1:FN1048576 GI1:GI1048576 HD1:HD1048576 HY1:HY1048576 IT1:IT1048576 JO1:JO1048576 KJ1:KJ1048576 LE1:LE1048576">
    <cfRule type="cellIs" dxfId="156" priority="4396" operator="between">
      <formula>CG$21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55" priority="4432" operator="between">
      <formula>CG$21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54" priority="4549" operator="between">
      <formula>CG$20</formula>
      <formula>1000</formula>
    </cfRule>
    <cfRule type="cellIs" dxfId="153" priority="4550" operator="between">
      <formula>CG$19</formula>
      <formula>CG$20</formula>
    </cfRule>
    <cfRule type="cellIs" dxfId="152" priority="4551" operator="between">
      <formula>CG$18</formula>
      <formula>CG$19</formula>
    </cfRule>
  </conditionalFormatting>
  <conditionalFormatting sqref="AN1:AN1048576 BJ1:BJ1048576">
    <cfRule type="expression" dxfId="151" priority="4693">
      <formula>IF(AND(AN1&gt;=AL$20,AN1&lt;1000,AJ1=""),1,0)</formula>
    </cfRule>
    <cfRule type="expression" dxfId="150" priority="4694">
      <formula>IF(AND(AN1&gt;=AL$19,AN1&lt;AL$20,AJ1=""),1,0)</formula>
    </cfRule>
    <cfRule type="expression" dxfId="149" priority="4695">
      <formula>IF(AND(AN1&gt;=AL$18,AN1&lt;AL$19,AJ1=""),1,0)</formula>
    </cfRule>
  </conditionalFormatting>
  <conditionalFormatting sqref="AM1:AM1048576 BI1:BI1048576">
    <cfRule type="expression" dxfId="148" priority="4720">
      <formula>IF(AND(AM1&gt;=AL$21,AM1&lt;1000,AJ1=""),1,0)</formula>
    </cfRule>
  </conditionalFormatting>
  <conditionalFormatting sqref="AO1:AO1048576 BK1:BK1048576">
    <cfRule type="expression" dxfId="147" priority="4729">
      <formula>IF(AND(AO1&gt;=AL$21,AO1&lt;1000,AJ1=""),1,0)</formula>
    </cfRule>
  </conditionalFormatting>
  <conditionalFormatting sqref="AK1:AK1048576 BG1:BG1048576">
    <cfRule type="expression" dxfId="146" priority="2">
      <formula>IF(AND(AK1&gt;=AL$17,AK1&lt;100,AJ1=""),1,0)</formula>
    </cfRule>
    <cfRule type="expression" dxfId="145" priority="3">
      <formula>IF(AND(AK1&gt;=AL$16,AK1&lt;AL$17,AJ1=""),1,0)</formula>
    </cfRule>
  </conditionalFormatting>
  <conditionalFormatting sqref="CF1:CF1048576 DA1:DA1048576 DV1:DV1048576 EQ1:EQ1048576 FL1:FL1048576 GG1:GG1048576 HB1:HB1048576 HW1:HW1048576 IR1:IR1048576 JM1:JM1048576 KH1:KH1048576 LC1:LC1048576">
    <cfRule type="cellIs" dxfId="144" priority="4483" operator="between">
      <formula>CG$17</formula>
      <formula>1000</formula>
    </cfRule>
    <cfRule type="cellIs" dxfId="143" priority="4484" operator="between">
      <formula>CG$16</formula>
      <formula>CG$17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D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10.83203125" hidden="1" customWidth="1"/>
  </cols>
  <sheetData>
    <row r="1" spans="1:342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4" t="s">
        <v>93</v>
      </c>
      <c r="G1" s="124" t="s">
        <v>92</v>
      </c>
      <c r="H1" s="123" t="s">
        <v>18</v>
      </c>
      <c r="I1" s="123" t="s">
        <v>19</v>
      </c>
      <c r="J1" s="125" t="s">
        <v>20</v>
      </c>
      <c r="K1" s="125" t="s">
        <v>69</v>
      </c>
      <c r="L1" s="125" t="s">
        <v>21</v>
      </c>
      <c r="M1" s="125" t="s">
        <v>69</v>
      </c>
      <c r="N1" s="125" t="s">
        <v>22</v>
      </c>
      <c r="O1" s="125" t="s">
        <v>69</v>
      </c>
      <c r="P1" s="125" t="s">
        <v>23</v>
      </c>
      <c r="Q1" s="125" t="s">
        <v>69</v>
      </c>
      <c r="R1" s="126" t="s">
        <v>24</v>
      </c>
      <c r="S1" s="125" t="s">
        <v>70</v>
      </c>
      <c r="T1" s="125" t="s">
        <v>69</v>
      </c>
      <c r="U1" s="119" t="s">
        <v>108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2" t="s">
        <v>146</v>
      </c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7" t="s">
        <v>24</v>
      </c>
      <c r="BN1" s="127"/>
      <c r="BO1" s="127"/>
      <c r="BP1" s="127"/>
      <c r="BQ1" s="119" t="s">
        <v>154</v>
      </c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22" t="s">
        <v>150</v>
      </c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19" t="s">
        <v>155</v>
      </c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22" t="s">
        <v>164</v>
      </c>
      <c r="EC1" s="122"/>
      <c r="ED1" s="122"/>
      <c r="EE1" s="122"/>
      <c r="EF1" s="122"/>
      <c r="EG1" s="122"/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19" t="s">
        <v>177</v>
      </c>
      <c r="EX1" s="119"/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22" t="s">
        <v>190</v>
      </c>
      <c r="FS1" s="122"/>
      <c r="FT1" s="122"/>
      <c r="FU1" s="122"/>
      <c r="FV1" s="122"/>
      <c r="FW1" s="122"/>
      <c r="FX1" s="122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19" t="s">
        <v>204</v>
      </c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22" t="s">
        <v>210</v>
      </c>
      <c r="HI1" s="122"/>
      <c r="HJ1" s="122"/>
      <c r="HK1" s="122"/>
      <c r="HL1" s="122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19"/>
      <c r="ID1" s="119"/>
      <c r="IE1" s="119"/>
      <c r="IF1" s="119"/>
      <c r="IG1" s="119"/>
      <c r="IH1" s="119"/>
      <c r="II1" s="119"/>
      <c r="IJ1" s="119"/>
      <c r="IK1" s="119"/>
      <c r="IL1" s="119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19"/>
      <c r="JT1" s="119"/>
      <c r="JU1" s="119"/>
      <c r="JV1" s="119"/>
      <c r="JW1" s="119"/>
      <c r="JX1" s="119"/>
      <c r="JY1" s="119"/>
      <c r="JZ1" s="119"/>
      <c r="KA1" s="119"/>
      <c r="KB1" s="119"/>
      <c r="KC1" s="119"/>
      <c r="KD1" s="119"/>
      <c r="KE1" s="119"/>
      <c r="KF1" s="119"/>
      <c r="KG1" s="119"/>
      <c r="KH1" s="119"/>
      <c r="KI1" s="119"/>
      <c r="KJ1" s="119"/>
      <c r="KK1" s="119"/>
      <c r="KL1" s="119"/>
      <c r="KM1" s="119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19" t="s">
        <v>207</v>
      </c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  <c r="LY1" s="119"/>
      <c r="LZ1" s="119"/>
      <c r="MA1" s="119"/>
      <c r="MB1" s="119"/>
      <c r="MC1" s="119"/>
      <c r="MD1" s="119"/>
    </row>
    <row r="2" spans="1:342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29</v>
      </c>
      <c r="V2" s="120"/>
      <c r="W2" s="120"/>
      <c r="X2" s="120"/>
      <c r="Y2" s="120"/>
      <c r="Z2" s="120" t="s">
        <v>30</v>
      </c>
      <c r="AA2" s="120"/>
      <c r="AB2" s="120"/>
      <c r="AC2" s="120"/>
      <c r="AD2" s="120"/>
      <c r="AE2" s="120" t="s">
        <v>33</v>
      </c>
      <c r="AF2" s="120"/>
      <c r="AG2" s="120"/>
      <c r="AH2" s="120"/>
      <c r="AI2" s="120"/>
      <c r="AJ2" s="81"/>
      <c r="AK2" s="60" t="s">
        <v>191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1" t="s">
        <v>29</v>
      </c>
      <c r="AR2" s="121"/>
      <c r="AS2" s="121"/>
      <c r="AT2" s="121"/>
      <c r="AU2" s="121"/>
      <c r="AV2" s="121" t="s">
        <v>30</v>
      </c>
      <c r="AW2" s="121"/>
      <c r="AX2" s="121"/>
      <c r="AY2" s="121"/>
      <c r="AZ2" s="121"/>
      <c r="BA2" s="121" t="s">
        <v>33</v>
      </c>
      <c r="BB2" s="121"/>
      <c r="BC2" s="121"/>
      <c r="BD2" s="121"/>
      <c r="BE2" s="121"/>
      <c r="BF2" s="82"/>
      <c r="BG2" s="59" t="s">
        <v>191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20" t="s">
        <v>29</v>
      </c>
      <c r="BR2" s="120"/>
      <c r="BS2" s="120"/>
      <c r="BT2" s="120"/>
      <c r="BU2" s="120"/>
      <c r="BV2" s="120" t="s">
        <v>30</v>
      </c>
      <c r="BW2" s="120"/>
      <c r="BX2" s="120"/>
      <c r="BY2" s="120"/>
      <c r="BZ2" s="120"/>
      <c r="CA2" s="120" t="s">
        <v>33</v>
      </c>
      <c r="CB2" s="120"/>
      <c r="CC2" s="120"/>
      <c r="CD2" s="120"/>
      <c r="CE2" s="120"/>
      <c r="CF2" s="20" t="s">
        <v>191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1" t="s">
        <v>29</v>
      </c>
      <c r="CM2" s="121"/>
      <c r="CN2" s="121"/>
      <c r="CO2" s="121"/>
      <c r="CP2" s="121"/>
      <c r="CQ2" s="121" t="s">
        <v>30</v>
      </c>
      <c r="CR2" s="121"/>
      <c r="CS2" s="121"/>
      <c r="CT2" s="121"/>
      <c r="CU2" s="121"/>
      <c r="CV2" s="121" t="s">
        <v>33</v>
      </c>
      <c r="CW2" s="121"/>
      <c r="CX2" s="121"/>
      <c r="CY2" s="121"/>
      <c r="CZ2" s="121"/>
      <c r="DA2" s="22" t="s">
        <v>191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20" t="s">
        <v>29</v>
      </c>
      <c r="DH2" s="120"/>
      <c r="DI2" s="120"/>
      <c r="DJ2" s="120"/>
      <c r="DK2" s="120"/>
      <c r="DL2" s="120" t="s">
        <v>30</v>
      </c>
      <c r="DM2" s="120"/>
      <c r="DN2" s="120"/>
      <c r="DO2" s="120"/>
      <c r="DP2" s="120"/>
      <c r="DQ2" s="120" t="s">
        <v>33</v>
      </c>
      <c r="DR2" s="120"/>
      <c r="DS2" s="120"/>
      <c r="DT2" s="120"/>
      <c r="DU2" s="120"/>
      <c r="DV2" s="23" t="s">
        <v>191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1" t="s">
        <v>29</v>
      </c>
      <c r="EC2" s="121"/>
      <c r="ED2" s="121"/>
      <c r="EE2" s="121"/>
      <c r="EF2" s="121"/>
      <c r="EG2" s="121" t="s">
        <v>30</v>
      </c>
      <c r="EH2" s="121"/>
      <c r="EI2" s="121"/>
      <c r="EJ2" s="121"/>
      <c r="EK2" s="121"/>
      <c r="EL2" s="121" t="s">
        <v>33</v>
      </c>
      <c r="EM2" s="121"/>
      <c r="EN2" s="121"/>
      <c r="EO2" s="121"/>
      <c r="EP2" s="121"/>
      <c r="EQ2" s="22" t="s">
        <v>191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20" t="s">
        <v>29</v>
      </c>
      <c r="EX2" s="120"/>
      <c r="EY2" s="120"/>
      <c r="EZ2" s="120"/>
      <c r="FA2" s="120"/>
      <c r="FB2" s="120" t="s">
        <v>30</v>
      </c>
      <c r="FC2" s="120"/>
      <c r="FD2" s="120"/>
      <c r="FE2" s="120"/>
      <c r="FF2" s="120"/>
      <c r="FG2" s="120" t="s">
        <v>33</v>
      </c>
      <c r="FH2" s="120"/>
      <c r="FI2" s="120"/>
      <c r="FJ2" s="120"/>
      <c r="FK2" s="120"/>
      <c r="FL2" s="23" t="s">
        <v>191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1" t="s">
        <v>29</v>
      </c>
      <c r="FS2" s="121"/>
      <c r="FT2" s="121"/>
      <c r="FU2" s="121"/>
      <c r="FV2" s="121"/>
      <c r="FW2" s="121" t="s">
        <v>30</v>
      </c>
      <c r="FX2" s="121"/>
      <c r="FY2" s="121"/>
      <c r="FZ2" s="121"/>
      <c r="GA2" s="121"/>
      <c r="GB2" s="121" t="s">
        <v>33</v>
      </c>
      <c r="GC2" s="121"/>
      <c r="GD2" s="121"/>
      <c r="GE2" s="121"/>
      <c r="GF2" s="121"/>
      <c r="GG2" s="22" t="s">
        <v>191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20" t="s">
        <v>29</v>
      </c>
      <c r="GN2" s="120"/>
      <c r="GO2" s="120"/>
      <c r="GP2" s="120"/>
      <c r="GQ2" s="120"/>
      <c r="GR2" s="120" t="s">
        <v>30</v>
      </c>
      <c r="GS2" s="120"/>
      <c r="GT2" s="120"/>
      <c r="GU2" s="120"/>
      <c r="GV2" s="120"/>
      <c r="GW2" s="120" t="s">
        <v>33</v>
      </c>
      <c r="GX2" s="120"/>
      <c r="GY2" s="120"/>
      <c r="GZ2" s="120"/>
      <c r="HA2" s="120"/>
      <c r="HB2" s="23" t="s">
        <v>191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1" t="s">
        <v>29</v>
      </c>
      <c r="HI2" s="121"/>
      <c r="HJ2" s="121"/>
      <c r="HK2" s="121"/>
      <c r="HL2" s="121"/>
      <c r="HM2" s="121" t="s">
        <v>30</v>
      </c>
      <c r="HN2" s="121"/>
      <c r="HO2" s="121"/>
      <c r="HP2" s="121"/>
      <c r="HQ2" s="121"/>
      <c r="HR2" s="121" t="s">
        <v>33</v>
      </c>
      <c r="HS2" s="121"/>
      <c r="HT2" s="121"/>
      <c r="HU2" s="121"/>
      <c r="HV2" s="121"/>
      <c r="HW2" s="22" t="s">
        <v>191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20" t="s">
        <v>29</v>
      </c>
      <c r="ID2" s="120"/>
      <c r="IE2" s="120"/>
      <c r="IF2" s="120"/>
      <c r="IG2" s="120"/>
      <c r="IH2" s="120" t="s">
        <v>30</v>
      </c>
      <c r="II2" s="120"/>
      <c r="IJ2" s="120"/>
      <c r="IK2" s="120"/>
      <c r="IL2" s="120"/>
      <c r="IM2" s="120" t="s">
        <v>33</v>
      </c>
      <c r="IN2" s="120"/>
      <c r="IO2" s="120"/>
      <c r="IP2" s="120"/>
      <c r="IQ2" s="120"/>
      <c r="IR2" s="23" t="s">
        <v>191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1" t="s">
        <v>29</v>
      </c>
      <c r="IY2" s="121"/>
      <c r="IZ2" s="121"/>
      <c r="JA2" s="121"/>
      <c r="JB2" s="121"/>
      <c r="JC2" s="121" t="s">
        <v>30</v>
      </c>
      <c r="JD2" s="121"/>
      <c r="JE2" s="121"/>
      <c r="JF2" s="121"/>
      <c r="JG2" s="121"/>
      <c r="JH2" s="121" t="s">
        <v>33</v>
      </c>
      <c r="JI2" s="121"/>
      <c r="JJ2" s="121"/>
      <c r="JK2" s="121"/>
      <c r="JL2" s="121"/>
      <c r="JM2" s="22" t="s">
        <v>191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20" t="s">
        <v>29</v>
      </c>
      <c r="JT2" s="120"/>
      <c r="JU2" s="120"/>
      <c r="JV2" s="120"/>
      <c r="JW2" s="120"/>
      <c r="JX2" s="120" t="s">
        <v>30</v>
      </c>
      <c r="JY2" s="120"/>
      <c r="JZ2" s="120"/>
      <c r="KA2" s="120"/>
      <c r="KB2" s="120"/>
      <c r="KC2" s="120" t="s">
        <v>33</v>
      </c>
      <c r="KD2" s="120"/>
      <c r="KE2" s="120"/>
      <c r="KF2" s="120"/>
      <c r="KG2" s="120"/>
      <c r="KH2" s="23" t="s">
        <v>191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1" t="s">
        <v>29</v>
      </c>
      <c r="KO2" s="121"/>
      <c r="KP2" s="121"/>
      <c r="KQ2" s="121"/>
      <c r="KR2" s="121"/>
      <c r="KS2" s="121" t="s">
        <v>30</v>
      </c>
      <c r="KT2" s="121"/>
      <c r="KU2" s="121"/>
      <c r="KV2" s="121"/>
      <c r="KW2" s="121"/>
      <c r="KX2" s="121" t="s">
        <v>33</v>
      </c>
      <c r="KY2" s="121"/>
      <c r="KZ2" s="121"/>
      <c r="LA2" s="121"/>
      <c r="LB2" s="121"/>
      <c r="LC2" s="22" t="s">
        <v>191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20" t="s">
        <v>29</v>
      </c>
      <c r="LJ2" s="120"/>
      <c r="LK2" s="120"/>
      <c r="LL2" s="120"/>
      <c r="LM2" s="120"/>
      <c r="LN2" s="120" t="s">
        <v>30</v>
      </c>
      <c r="LO2" s="120"/>
      <c r="LP2" s="120"/>
      <c r="LQ2" s="120"/>
      <c r="LR2" s="120"/>
      <c r="LS2" s="120" t="s">
        <v>33</v>
      </c>
      <c r="LT2" s="120"/>
      <c r="LU2" s="120"/>
      <c r="LV2" s="120"/>
      <c r="LW2" s="120"/>
      <c r="LX2" s="112"/>
      <c r="LY2" s="112" t="s">
        <v>191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25</v>
      </c>
      <c r="V3" s="60" t="s">
        <v>26</v>
      </c>
      <c r="W3" s="60" t="s">
        <v>17</v>
      </c>
      <c r="X3" s="60" t="s">
        <v>67</v>
      </c>
      <c r="Y3" s="60" t="s">
        <v>48</v>
      </c>
      <c r="Z3" s="60" t="s">
        <v>25</v>
      </c>
      <c r="AA3" s="60" t="s">
        <v>26</v>
      </c>
      <c r="AB3" s="60" t="s">
        <v>17</v>
      </c>
      <c r="AC3" s="60" t="s">
        <v>67</v>
      </c>
      <c r="AD3" s="60" t="s">
        <v>48</v>
      </c>
      <c r="AE3" s="60" t="s">
        <v>25</v>
      </c>
      <c r="AF3" s="60" t="s">
        <v>26</v>
      </c>
      <c r="AG3" s="60" t="s">
        <v>17</v>
      </c>
      <c r="AH3" s="60" t="s">
        <v>67</v>
      </c>
      <c r="AI3" s="60" t="s">
        <v>48</v>
      </c>
      <c r="AJ3" s="81" t="s">
        <v>125</v>
      </c>
      <c r="AK3" s="11"/>
      <c r="AL3" s="10"/>
      <c r="AM3" s="10"/>
      <c r="AN3" s="10"/>
      <c r="AO3" s="11"/>
      <c r="AP3" s="11"/>
      <c r="AQ3" s="59" t="s">
        <v>25</v>
      </c>
      <c r="AR3" s="59" t="s">
        <v>26</v>
      </c>
      <c r="AS3" s="59" t="s">
        <v>17</v>
      </c>
      <c r="AT3" s="59" t="s">
        <v>67</v>
      </c>
      <c r="AU3" s="59" t="s">
        <v>48</v>
      </c>
      <c r="AV3" s="59" t="s">
        <v>25</v>
      </c>
      <c r="AW3" s="59" t="s">
        <v>26</v>
      </c>
      <c r="AX3" s="59" t="s">
        <v>17</v>
      </c>
      <c r="AY3" s="59" t="s">
        <v>67</v>
      </c>
      <c r="AZ3" s="59" t="s">
        <v>48</v>
      </c>
      <c r="BA3" s="59" t="s">
        <v>25</v>
      </c>
      <c r="BB3" s="59" t="s">
        <v>26</v>
      </c>
      <c r="BC3" s="59" t="s">
        <v>17</v>
      </c>
      <c r="BD3" s="59" t="s">
        <v>67</v>
      </c>
      <c r="BE3" s="5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31" t="s">
        <v>25</v>
      </c>
      <c r="BR3" s="31" t="s">
        <v>26</v>
      </c>
      <c r="BS3" s="31" t="s">
        <v>17</v>
      </c>
      <c r="BT3" s="34" t="s">
        <v>67</v>
      </c>
      <c r="BU3" s="50" t="s">
        <v>48</v>
      </c>
      <c r="BV3" s="31" t="s">
        <v>25</v>
      </c>
      <c r="BW3" s="31" t="s">
        <v>26</v>
      </c>
      <c r="BX3" s="31" t="s">
        <v>17</v>
      </c>
      <c r="BY3" s="34" t="s">
        <v>67</v>
      </c>
      <c r="BZ3" s="50" t="s">
        <v>48</v>
      </c>
      <c r="CA3" s="31" t="s">
        <v>25</v>
      </c>
      <c r="CB3" s="31" t="s">
        <v>26</v>
      </c>
      <c r="CC3" s="31" t="s">
        <v>17</v>
      </c>
      <c r="CD3" s="34" t="s">
        <v>67</v>
      </c>
      <c r="CE3" s="50" t="s">
        <v>48</v>
      </c>
      <c r="CF3" s="11"/>
      <c r="CG3" s="10"/>
      <c r="CH3" s="10"/>
      <c r="CI3" s="10"/>
      <c r="CJ3" s="11"/>
      <c r="CK3" s="11"/>
      <c r="CL3" s="30" t="s">
        <v>25</v>
      </c>
      <c r="CM3" s="30" t="s">
        <v>26</v>
      </c>
      <c r="CN3" s="30" t="s">
        <v>17</v>
      </c>
      <c r="CO3" s="35" t="s">
        <v>67</v>
      </c>
      <c r="CP3" s="52" t="s">
        <v>48</v>
      </c>
      <c r="CQ3" s="30" t="s">
        <v>25</v>
      </c>
      <c r="CR3" s="30" t="s">
        <v>26</v>
      </c>
      <c r="CS3" s="30" t="s">
        <v>17</v>
      </c>
      <c r="CT3" s="35" t="s">
        <v>67</v>
      </c>
      <c r="CU3" s="52" t="s">
        <v>48</v>
      </c>
      <c r="CV3" s="30" t="s">
        <v>25</v>
      </c>
      <c r="CW3" s="30" t="s">
        <v>26</v>
      </c>
      <c r="CX3" s="30" t="s">
        <v>17</v>
      </c>
      <c r="CY3" s="35" t="s">
        <v>67</v>
      </c>
      <c r="CZ3" s="52" t="s">
        <v>48</v>
      </c>
      <c r="DA3" s="14"/>
      <c r="DB3" s="13"/>
      <c r="DC3" s="13"/>
      <c r="DD3" s="13"/>
      <c r="DE3" s="14"/>
      <c r="DF3" s="14"/>
      <c r="DG3" s="31" t="s">
        <v>25</v>
      </c>
      <c r="DH3" s="31" t="s">
        <v>26</v>
      </c>
      <c r="DI3" s="31" t="s">
        <v>17</v>
      </c>
      <c r="DJ3" s="36" t="s">
        <v>67</v>
      </c>
      <c r="DK3" s="51" t="s">
        <v>48</v>
      </c>
      <c r="DL3" s="31" t="s">
        <v>25</v>
      </c>
      <c r="DM3" s="31" t="s">
        <v>26</v>
      </c>
      <c r="DN3" s="31" t="s">
        <v>17</v>
      </c>
      <c r="DO3" s="36" t="s">
        <v>67</v>
      </c>
      <c r="DP3" s="51" t="s">
        <v>48</v>
      </c>
      <c r="DQ3" s="31" t="s">
        <v>25</v>
      </c>
      <c r="DR3" s="31" t="s">
        <v>26</v>
      </c>
      <c r="DS3" s="31" t="s">
        <v>17</v>
      </c>
      <c r="DT3" s="36" t="s">
        <v>67</v>
      </c>
      <c r="DU3" s="51" t="s">
        <v>48</v>
      </c>
      <c r="DV3" s="11"/>
      <c r="DW3" s="10"/>
      <c r="DX3" s="10"/>
      <c r="DY3" s="10"/>
      <c r="DZ3" s="11"/>
      <c r="EA3" s="11"/>
      <c r="EB3" s="30" t="s">
        <v>25</v>
      </c>
      <c r="EC3" s="30" t="s">
        <v>26</v>
      </c>
      <c r="ED3" s="30" t="s">
        <v>17</v>
      </c>
      <c r="EE3" s="35" t="s">
        <v>67</v>
      </c>
      <c r="EF3" s="52" t="s">
        <v>48</v>
      </c>
      <c r="EG3" s="30" t="s">
        <v>25</v>
      </c>
      <c r="EH3" s="30" t="s">
        <v>26</v>
      </c>
      <c r="EI3" s="30" t="s">
        <v>17</v>
      </c>
      <c r="EJ3" s="35" t="s">
        <v>67</v>
      </c>
      <c r="EK3" s="52" t="s">
        <v>48</v>
      </c>
      <c r="EL3" s="30" t="s">
        <v>25</v>
      </c>
      <c r="EM3" s="30" t="s">
        <v>26</v>
      </c>
      <c r="EN3" s="30" t="s">
        <v>17</v>
      </c>
      <c r="EO3" s="35" t="s">
        <v>67</v>
      </c>
      <c r="EP3" s="52" t="s">
        <v>48</v>
      </c>
      <c r="EQ3" s="14"/>
      <c r="ER3" s="13"/>
      <c r="ES3" s="13"/>
      <c r="ET3" s="13"/>
      <c r="EU3" s="14"/>
      <c r="EV3" s="14"/>
      <c r="EW3" s="31" t="s">
        <v>25</v>
      </c>
      <c r="EX3" s="31" t="s">
        <v>26</v>
      </c>
      <c r="EY3" s="31" t="s">
        <v>17</v>
      </c>
      <c r="EZ3" s="36" t="s">
        <v>67</v>
      </c>
      <c r="FA3" s="51" t="s">
        <v>48</v>
      </c>
      <c r="FB3" s="31" t="s">
        <v>25</v>
      </c>
      <c r="FC3" s="31" t="s">
        <v>26</v>
      </c>
      <c r="FD3" s="31" t="s">
        <v>17</v>
      </c>
      <c r="FE3" s="36" t="s">
        <v>67</v>
      </c>
      <c r="FF3" s="51" t="s">
        <v>48</v>
      </c>
      <c r="FG3" s="31" t="s">
        <v>25</v>
      </c>
      <c r="FH3" s="31" t="s">
        <v>26</v>
      </c>
      <c r="FI3" s="31" t="s">
        <v>17</v>
      </c>
      <c r="FJ3" s="36" t="s">
        <v>67</v>
      </c>
      <c r="FK3" s="51" t="s">
        <v>48</v>
      </c>
      <c r="FL3" s="11"/>
      <c r="FM3" s="10"/>
      <c r="FN3" s="10"/>
      <c r="FO3" s="10"/>
      <c r="FP3" s="11"/>
      <c r="FQ3" s="11"/>
      <c r="FR3" s="30" t="s">
        <v>25</v>
      </c>
      <c r="FS3" s="30" t="s">
        <v>26</v>
      </c>
      <c r="FT3" s="30" t="s">
        <v>17</v>
      </c>
      <c r="FU3" s="35" t="s">
        <v>67</v>
      </c>
      <c r="FV3" s="52" t="s">
        <v>48</v>
      </c>
      <c r="FW3" s="30" t="s">
        <v>25</v>
      </c>
      <c r="FX3" s="30" t="s">
        <v>26</v>
      </c>
      <c r="FY3" s="30" t="s">
        <v>17</v>
      </c>
      <c r="FZ3" s="35" t="s">
        <v>67</v>
      </c>
      <c r="GA3" s="52" t="s">
        <v>48</v>
      </c>
      <c r="GB3" s="30" t="s">
        <v>25</v>
      </c>
      <c r="GC3" s="30" t="s">
        <v>26</v>
      </c>
      <c r="GD3" s="30" t="s">
        <v>17</v>
      </c>
      <c r="GE3" s="35" t="s">
        <v>67</v>
      </c>
      <c r="GF3" s="52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6" t="s">
        <v>67</v>
      </c>
      <c r="GQ3" s="51" t="s">
        <v>48</v>
      </c>
      <c r="GR3" s="31" t="s">
        <v>25</v>
      </c>
      <c r="GS3" s="31" t="s">
        <v>26</v>
      </c>
      <c r="GT3" s="31" t="s">
        <v>17</v>
      </c>
      <c r="GU3" s="36" t="s">
        <v>67</v>
      </c>
      <c r="GV3" s="51" t="s">
        <v>48</v>
      </c>
      <c r="GW3" s="31" t="s">
        <v>25</v>
      </c>
      <c r="GX3" s="31" t="s">
        <v>26</v>
      </c>
      <c r="GY3" s="31" t="s">
        <v>17</v>
      </c>
      <c r="GZ3" s="36" t="s">
        <v>67</v>
      </c>
      <c r="HA3" s="51" t="s">
        <v>48</v>
      </c>
      <c r="HB3" s="11"/>
      <c r="HC3" s="10"/>
      <c r="HD3" s="10"/>
      <c r="HE3" s="10"/>
      <c r="HF3" s="11"/>
      <c r="HG3" s="11"/>
      <c r="HH3" s="30" t="s">
        <v>25</v>
      </c>
      <c r="HI3" s="30" t="s">
        <v>26</v>
      </c>
      <c r="HJ3" s="30" t="s">
        <v>17</v>
      </c>
      <c r="HK3" s="35" t="s">
        <v>67</v>
      </c>
      <c r="HL3" s="52" t="s">
        <v>48</v>
      </c>
      <c r="HM3" s="30" t="s">
        <v>25</v>
      </c>
      <c r="HN3" s="30" t="s">
        <v>26</v>
      </c>
      <c r="HO3" s="30" t="s">
        <v>17</v>
      </c>
      <c r="HP3" s="35" t="s">
        <v>67</v>
      </c>
      <c r="HQ3" s="52" t="s">
        <v>48</v>
      </c>
      <c r="HR3" s="30" t="s">
        <v>25</v>
      </c>
      <c r="HS3" s="30" t="s">
        <v>26</v>
      </c>
      <c r="HT3" s="30" t="s">
        <v>17</v>
      </c>
      <c r="HU3" s="35" t="s">
        <v>67</v>
      </c>
      <c r="HV3" s="52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6" t="s">
        <v>67</v>
      </c>
      <c r="IG3" s="51" t="s">
        <v>48</v>
      </c>
      <c r="IH3" s="31" t="s">
        <v>25</v>
      </c>
      <c r="II3" s="31" t="s">
        <v>26</v>
      </c>
      <c r="IJ3" s="31" t="s">
        <v>17</v>
      </c>
      <c r="IK3" s="36" t="s">
        <v>67</v>
      </c>
      <c r="IL3" s="51" t="s">
        <v>48</v>
      </c>
      <c r="IM3" s="31" t="s">
        <v>25</v>
      </c>
      <c r="IN3" s="31" t="s">
        <v>26</v>
      </c>
      <c r="IO3" s="31" t="s">
        <v>17</v>
      </c>
      <c r="IP3" s="36" t="s">
        <v>67</v>
      </c>
      <c r="IQ3" s="51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5" t="s">
        <v>67</v>
      </c>
      <c r="JB3" s="52" t="s">
        <v>48</v>
      </c>
      <c r="JC3" s="30" t="s">
        <v>25</v>
      </c>
      <c r="JD3" s="30" t="s">
        <v>26</v>
      </c>
      <c r="JE3" s="30" t="s">
        <v>17</v>
      </c>
      <c r="JF3" s="35" t="s">
        <v>67</v>
      </c>
      <c r="JG3" s="52" t="s">
        <v>48</v>
      </c>
      <c r="JH3" s="30" t="s">
        <v>25</v>
      </c>
      <c r="JI3" s="30" t="s">
        <v>26</v>
      </c>
      <c r="JJ3" s="30" t="s">
        <v>17</v>
      </c>
      <c r="JK3" s="35" t="s">
        <v>67</v>
      </c>
      <c r="JL3" s="52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6" t="s">
        <v>67</v>
      </c>
      <c r="JW3" s="51" t="s">
        <v>48</v>
      </c>
      <c r="JX3" s="31" t="s">
        <v>25</v>
      </c>
      <c r="JY3" s="31" t="s">
        <v>26</v>
      </c>
      <c r="JZ3" s="31" t="s">
        <v>17</v>
      </c>
      <c r="KA3" s="36" t="s">
        <v>67</v>
      </c>
      <c r="KB3" s="51" t="s">
        <v>48</v>
      </c>
      <c r="KC3" s="31" t="s">
        <v>25</v>
      </c>
      <c r="KD3" s="31" t="s">
        <v>26</v>
      </c>
      <c r="KE3" s="31" t="s">
        <v>17</v>
      </c>
      <c r="KF3" s="36" t="s">
        <v>67</v>
      </c>
      <c r="KG3" s="51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5" t="s">
        <v>67</v>
      </c>
      <c r="KR3" s="52" t="s">
        <v>48</v>
      </c>
      <c r="KS3" s="49" t="s">
        <v>25</v>
      </c>
      <c r="KT3" s="30" t="s">
        <v>26</v>
      </c>
      <c r="KU3" s="30" t="s">
        <v>17</v>
      </c>
      <c r="KV3" s="35" t="s">
        <v>67</v>
      </c>
      <c r="KW3" s="52" t="s">
        <v>48</v>
      </c>
      <c r="KX3" s="30" t="s">
        <v>25</v>
      </c>
      <c r="KY3" s="30" t="s">
        <v>26</v>
      </c>
      <c r="KZ3" s="30" t="s">
        <v>17</v>
      </c>
      <c r="LA3" s="35" t="s">
        <v>67</v>
      </c>
      <c r="LB3" s="52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9" si="0">IF(AND(F4="P",H4="P"),SUMPRODUCT((F$4:F$20="P")*(H$4:H$20="P")*(E$4:E$20&gt;E4))+1,IF(H4="P",SUMPRODUCT((F$4:F$20="")*(H$4:H$20="P")*(E$4:E$20&gt;E4))+1+SUMPRODUCT((F$4:F$20="P")*(H$4:H$20="P")),""))</f>
        <v>1</v>
      </c>
      <c r="B4" s="7" t="s">
        <v>110</v>
      </c>
      <c r="C4" s="8" t="s">
        <v>3</v>
      </c>
      <c r="D4" s="29" t="s">
        <v>130</v>
      </c>
      <c r="E4" s="16">
        <f t="shared" ref="E4:E19" si="1">SUM(J4:R4)</f>
        <v>230.26</v>
      </c>
      <c r="F4" s="4" t="str">
        <f t="shared" ref="F4:F19" si="2">IF(OR(AND($AK4&gt;=$AL$22,NOT($AK4=""),$AJ4=""),AND($BG4&gt;=$BH$22,NOT($BG4=""),$BF4=""),AND($CF4&gt;=$CG$22,NOT($CF4="")),AND($DA4&gt;=$DB$22,NOT($DA4="")),AND($DV4&gt;=$DW$22,NOT($DV4="")),AND($EQ4&gt;=$ER$22,NOT($EQ4="")),AND($FL4&gt;=$FM$22,NOT($FL4="")),AND($GG4&gt;=$GH$22,NOT($GG4="")),AND($HB4&gt;=$HC$22,NOT($HB4="")),AND($HW4&gt;=$HX$22,NOT($HW4="")),AND($IR4&gt;=$IS$22,NOT($IR4="")),AND($JM4&gt;=$JN$22,NOT($JM4="")),AND($KH4&gt;=$KI$22,NOT($KH4="")),AND($LC4&gt;=$LD$22,NOT($LC4=""))),"P","")</f>
        <v>P</v>
      </c>
      <c r="G4" s="4" t="str">
        <f t="shared" ref="G4:G19" si="3">IF(OR(AND($AK4&gt;=$AL$23,NOT($AK4=""),$AJ4=""),AND($BG4&gt;=$BH$23,NOT($BG4=""),$BF4=""),AND($CF4&gt;=$CG$23,NOT($CF4="")),AND($DA4&gt;=$DB$23,NOT($DA4="")),AND($DV4&gt;=$DW$23,NOT($DV4="")),AND($EQ4&gt;=$ER$23,NOT($EQ4="")),AND($FL4&gt;=$FM$23,NOT($FL4="")),AND($GG4&gt;=$GH$23,NOT($GG4="")),AND($HB4&gt;=$HC$23,NOT($HB4="")),AND($HW4&gt;=$HX$23,NOT($HW4="")),AND($IR4&gt;=$IS$23,NOT($IR4="")),AND($JM4&gt;=$JN$23,NOT($JM4="")),AND($KH4&gt;=$KI$23,NOT($KH4="")),AND($LC4&gt;=$LD$23,NOT($LC4=""))),"P","")</f>
        <v>P</v>
      </c>
      <c r="H4" s="4" t="str">
        <f t="shared" ref="H4:H19" si="4">IF(OR(AND($AN4&gt;=$AL$24,NOT($AN4=""),$AJ4=""),AND($BJ4&gt;=$BH$24,NOT($BJ4=""),$BF4=""),AND($CI4&gt;=$CG$24,NOT($CI4="")),AND($DD4&gt;=$DB$24,NOT($DD4="")),AND($DY4&gt;=$DW$24,NOT($DY4="")),AND($ET4&gt;=$ER$24,NOT($ET4="")),AND($FO4&gt;=$FM$24,NOT($FO4="")),AND($GJ4&gt;=$GH$24,NOT($GJ4="")),AND($HE4&gt;=$HC$24,NOT($HE4="")),AND($HZ4&gt;=$HX$24,NOT($HZ4="")),AND($IU4&gt;=$IS$24,NOT($IU4="")),AND($JP4&gt;=$JN$24,NOT($JP4="")),AND($KK4&gt;=$KI$24,NOT($KK4="")),AND($LF4&gt;=$LD$24,NOT($LF4=""))),"P","")</f>
        <v>P</v>
      </c>
      <c r="I4" t="str">
        <f t="shared" ref="I4:I19" si="5">IF(AND(H4="P",F4=""),"No DD",IF(AND(G4="P",OR(AND($AN4&gt;$AL$27,NOT($AN4=""),$AJ4=""),AND($BJ4&gt;$BH$27,NOT($BJ4=""),$BF4=""),AND($CI4&gt;$CG$27,NOT($CI4="")),AND($DD4&gt;$DB$27,NOT($DD4="")),AND($DY4&gt;$DW$27,NOT($DY4="")),AND($ET4&gt;$ER$27,NOT($ET4="")),AND($FO4&gt;$FM$27,NOT($FO4="")),AND($GJ4&gt;$GH$27,NOT($GJ4="")),AND($HE4&gt;$HC$27,NOT($HE4="")),AND($HZ4&gt;$HX$27,NOT($HZ4="")),AND($IU4&gt;$IS$27,NOT($IU4="")),AND($JP4&gt;$JN$27,NOT($JP4="")),AND($KK4&gt;$KI$27,NOT($KK4="")),AND($LF4&gt;$LD$27,NOT($LF4="")))),"Merit",IF(AND(G4="P",OR(AND($AN4&gt;$AL$26,NOT($AN4=""),$AJ4=""),AND($BJ4&gt;$BH$26,NOT($BJ4=""),$BF4=""),AND($CI4&gt;$CG$26,NOT($CI4="")),AND($DD4&gt;$DB$26,NOT($DD4="")),AND($DY4&gt;$DW$26,NOT($DY4="")),AND($ET4&gt;$ER$26,NOT($ET4="")),AND($FO4&gt;$FM$26,NOT($FO4="")),AND($GJ4&gt;$GH$26,NOT($GJ4="")),AND($HE4&gt;$HC$26,NOT($HE4="")),AND($HZ4&gt;$HX$26,NOT($HZ4="")),AND($IU4&gt;$IS$26,NOT($IU4="")),AND($JP4&gt;$JN$26,NOT($JP4="")),AND($KK4&gt;$KI$26,NOT($KK4="")),AND($LF4&gt;$LD$26,NOT($LF4="")))),"Excellence",IF(AND(G4="P",OR(AND($AN4&gt;$AL$25,NOT($AN4=""),$AJ4=""),AND($BJ4&gt;$BH$25,NOT($BJ4=""),$BF4=""),AND($CI4&gt;$CG$25,NOT($CI4="")),AND($DD4&gt;$DB$25,NOT($DD4="")),AND($DY4&gt;$DW$25,NOT($DY4="")),AND($ET4&gt;$ER$25,NOT($ET4="")),AND($FO4&gt;$FM$25,NOT($FO4="")),AND($GJ4&gt;$GH$25,NOT($GJ4="")),AND($HE4&gt;$HC$25,NOT($HE4="")),AND($HZ4&gt;$HX$25,NOT($HZ4="")),AND($IU4&gt;$IS$25,NOT($IU4="")),AND($JP4&gt;$JN$25,NOT($JP4="")),AND($KK4&gt;$KI$25,NOT($KK4="")),AND($LF4&gt;$LD$25,NOT($LF4="")))),"Worlds Team",IF(AND(F4="P",OR(AND($AN4&gt;$AL$24,NOT($AN4=""),$AJ4=""),AND($BJ4&gt;$BH$24,NOT($BJ4=""),$BF4=""),AND($CI4&gt;$CG$24,NOT($CI4="")),AND($DD4&gt;$DB$24,NOT($DD4="")),AND($DY4&gt;$DW$24,NOT($DY4="")),AND($ET4&gt;$ER$24,NOT($ET4="")),AND($FO4&gt;$FM$24,NOT($FO4="")),AND($GJ4&gt;$GH$24,NOT($GJ4="")),AND($HE4&gt;$HC$24,NOT($HE4="")),AND($HZ4&gt;$HX$24,NOT($HZ4="")),AND($IU4&gt;$IS$24,NOT($IU4="")),AND($JP4&gt;$JN$24,NOT($JP4="")),AND($KK4&gt;$KI$24,NOT($KK4="")),AND($LF4&gt;$LD$24,NOT($LF4="")))),"National Team","")))))</f>
        <v>Excellence</v>
      </c>
      <c r="J4" s="15">
        <f t="shared" ref="J4:J19" si="6">IF(MAX(AN4,BJ4)&gt;0,MAX(AN4,BJ4),"")</f>
        <v>88.745000000000005</v>
      </c>
      <c r="K4" s="15" t="str">
        <f t="shared" ref="K4:K19" si="7">IF(J4="","",IF(J4=BJ4,$AQ$1,IF(J4=AN4,$U$1,"")))</f>
        <v>2018 Nationals</v>
      </c>
      <c r="L4" s="15">
        <f t="shared" ref="L4:L19" si="8">IF($J4=$AN4,BH4,IF($J4=$BJ4,AL4,MAX(AL4,BH4)))</f>
        <v>42.4</v>
      </c>
      <c r="M4" s="15" t="str">
        <f t="shared" ref="M4:M19" si="9">IF(L4="","",IF(AND(L4=BH4,$K4&lt;&gt;$AQ$1),$AQ$1,IF(AND(L4=AL4,$K4&lt;&gt;$U$1),$U$1,"")))</f>
        <v>2018 3rd Domestic Trial</v>
      </c>
      <c r="N4" s="15">
        <f t="shared" ref="N4:N19" si="10">IF($J4=$AN4,BI4,IF($J4=$BJ4,AM4,MAX(AM4,BI4)))</f>
        <v>45.674999999999997</v>
      </c>
      <c r="O4" s="15" t="str">
        <f t="shared" ref="O4:O19" si="11">IF(N4="","",IF(AND(N4=BI4,$K4&lt;&gt;$AQ$1),$AQ$1,IF(AND(N4=AM4,$K4&lt;&gt;$U$1),$U$1,"")))</f>
        <v>2018 3rd Domestic Trial</v>
      </c>
      <c r="P4" s="15">
        <f t="shared" ref="P4:P19" si="12">IF(MAX(AO4,BK4)&gt;0,MAX(AO4,BK4),"")</f>
        <v>49.115000000000002</v>
      </c>
      <c r="Q4" s="15" t="str">
        <f t="shared" ref="Q4:Q19" si="13">IF(P4="","",IF(P4=BK4,$AQ$1,IF(P4=AO4,$U$1,"")))</f>
        <v>2018 Nationals</v>
      </c>
      <c r="R4" s="15">
        <f t="shared" ref="R4:R19" si="14">IF(MAX(BM4,BN4,BO4,BP4)&gt;0,MAX(BM4,BN4,BO4,BP4),"")</f>
        <v>4.3250000000000028</v>
      </c>
      <c r="S4" s="27" t="str">
        <f t="shared" ref="S4:S19" si="15">IF(R4="","",IF(R4=BM4,"(Vol 1)",IF(R4=BN4,"(Vol 2)",IF(R4=BO4,"(Prelim)",IF(R4=BP4,"(Final)")))))</f>
        <v>(Vol 2)</v>
      </c>
      <c r="T4" s="15" t="str">
        <f t="shared" ref="T4:T19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World Cup POR (Oct 6)</v>
      </c>
      <c r="U4" s="41">
        <v>9.0749999999999993</v>
      </c>
      <c r="V4" s="41">
        <v>9.5500000000000007</v>
      </c>
      <c r="W4" s="41">
        <v>5.8</v>
      </c>
      <c r="X4" s="41">
        <v>18.899999999999999</v>
      </c>
      <c r="Y4" s="41">
        <v>0</v>
      </c>
      <c r="Z4" s="41">
        <v>7.4</v>
      </c>
      <c r="AA4" s="41">
        <v>9.1999999999999993</v>
      </c>
      <c r="AB4" s="41">
        <v>15.2</v>
      </c>
      <c r="AC4" s="41">
        <v>13.62</v>
      </c>
      <c r="AD4" s="41">
        <v>0</v>
      </c>
      <c r="AE4" s="41">
        <v>7.4249999999999998</v>
      </c>
      <c r="AF4" s="41">
        <v>8.85</v>
      </c>
      <c r="AG4" s="41">
        <v>17.239999999999998</v>
      </c>
      <c r="AH4" s="41">
        <v>15.6</v>
      </c>
      <c r="AI4" s="41">
        <v>0</v>
      </c>
      <c r="AJ4" s="83"/>
      <c r="AK4" s="12">
        <f t="shared" ref="AK4:AK19" si="17">IF(AB4&gt;0,AB4,"")</f>
        <v>15.2</v>
      </c>
      <c r="AL4" s="12">
        <f t="shared" ref="AL4:AL19" si="18">IF(SUM(U4:X4)-Y4&gt;0,SUM(U4:X4)-Y4,"")</f>
        <v>43.325000000000003</v>
      </c>
      <c r="AM4" s="12">
        <f t="shared" ref="AM4:AM19" si="19">IF(SUM(Z4:AC4)-AD4&gt;0,SUM(Z4:AC4)-AD4,"")</f>
        <v>45.42</v>
      </c>
      <c r="AN4" s="12">
        <f t="shared" ref="AN4:AN19" si="20">IF(SUM(AL4:AM4)&gt;0,SUM(AL4:AM4),"")</f>
        <v>88.745000000000005</v>
      </c>
      <c r="AO4" s="12">
        <f t="shared" ref="AO4:AO19" si="21">IF(SUM(AE4:AH4)-AI4&gt;0,SUM(AE4:AH4)-AI4,"")</f>
        <v>49.115000000000002</v>
      </c>
      <c r="AP4" s="12">
        <f t="shared" ref="AP4:AP19" si="22">IF(SUM(AN4,AO4)&gt;0,SUM(AN4,AO4),"")</f>
        <v>137.86000000000001</v>
      </c>
      <c r="AQ4" s="42">
        <v>9.25</v>
      </c>
      <c r="AR4" s="42">
        <v>9.35</v>
      </c>
      <c r="AS4" s="42">
        <v>5.4</v>
      </c>
      <c r="AT4" s="42">
        <v>18.399999999999999</v>
      </c>
      <c r="AU4" s="42">
        <v>0</v>
      </c>
      <c r="AV4" s="42">
        <v>9.3249999999999993</v>
      </c>
      <c r="AW4" s="42">
        <v>9.25</v>
      </c>
      <c r="AX4" s="42">
        <v>9</v>
      </c>
      <c r="AY4" s="42">
        <v>18.100000000000001</v>
      </c>
      <c r="AZ4" s="42">
        <v>0</v>
      </c>
      <c r="BA4" s="42">
        <v>9.35</v>
      </c>
      <c r="BB4" s="42">
        <v>9.35</v>
      </c>
      <c r="BC4" s="42">
        <v>8.4</v>
      </c>
      <c r="BD4" s="42">
        <v>18.600000000000001</v>
      </c>
      <c r="BE4" s="42">
        <v>0</v>
      </c>
      <c r="BF4" s="84"/>
      <c r="BG4" s="15">
        <f t="shared" ref="BG4:BG19" si="23">IF(AX4&gt;0,AX4,"")</f>
        <v>9</v>
      </c>
      <c r="BH4" s="15">
        <f t="shared" ref="BH4:BH19" si="24">IF(SUM(AQ4:AT4)-AU4&gt;0,SUM(AQ4:AT4)-AU4,"")</f>
        <v>42.4</v>
      </c>
      <c r="BI4" s="15">
        <f t="shared" ref="BI4:BI19" si="25">IF(SUM(AV4:AY4)-AZ4&gt;0,SUM(AV4:AY4)-AZ4,"")</f>
        <v>45.674999999999997</v>
      </c>
      <c r="BJ4" s="15">
        <f t="shared" ref="BJ4:BJ19" si="26">IF(SUM(BH4:BI4)&gt;0,SUM(BH4:BI4),"")</f>
        <v>88.074999999999989</v>
      </c>
      <c r="BK4" s="15">
        <f t="shared" ref="BK4:BK19" si="27">IF(SUM(BA4:BD4)-BE4&gt;0,SUM(BA4:BD4)-BE4,"")</f>
        <v>45.7</v>
      </c>
      <c r="BL4" s="15">
        <f t="shared" ref="BL4:BL19" si="28">IF(SUM(BJ4,BK4)&gt;0,SUM(BJ4,BK4),"")</f>
        <v>133.77499999999998</v>
      </c>
      <c r="BM4" s="26">
        <f t="shared" ref="BM4:BM19" si="29">IF(MAX(CG4,DB4,DW4,ER4,FM4,GH4,HC4,HX4,IS4,JN4,KI4,LD4)-IF(L4="",0,L4)&gt;0.001,MAX(CG4,DB4,DW4,ER4,FM4,GH4,HC4,HX4,IS4,JN4,KI4,LD4)-IF(L4="",0,L4),"")</f>
        <v>0.16000000000000369</v>
      </c>
      <c r="BN4" s="26">
        <f t="shared" ref="BN4:BN19" si="30">IF(MAX(CH4,DC4,DX4,ES4,FN4,GI4,HD4,HY4,IT4,JO4,KJ4,LE4)-IF(N4="",0,N4)&gt;0.001,MAX(CH4,DC4,DX4,ES4,FN4,GI4,HD4,HY4,IT4,JO4,KJ4,LE4)-IF(N4="",0,N4),"")</f>
        <v>4.3250000000000028</v>
      </c>
      <c r="BO4" s="26">
        <f t="shared" ref="BO4:BO19" si="31">IF(MAX(CI4,DD4,DY4,ET4,FO4,GJ4,HE4,HZ4,IU4,JP4,KK4,LF4)-IF(J4="",0,J4)&gt;0.001,MAX(CI4,DD4,DY4,ET4,FO4,GJ4,HE4,HZ4,IU4,JP4,KK4,LF4)-IF(J4="",0,J4),"")</f>
        <v>2.2549999999999955</v>
      </c>
      <c r="BP4" s="26">
        <f t="shared" ref="BP4:BP19" si="32">IF(MAX(CJ4,DE4,DZ4,EU4,FP4,GK4,HF4,IA4,IV4,JQ4,KL4,LG4)-IF(P4="",0,P4)&gt;0.001,MAX(CJ4,DE4,DZ4,EU4,FP4,GK4,HF4,IA4,IV4,JQ4,KL4,LG4)-IF(P4="",0,P4),"")</f>
        <v>1.2349999999999994</v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19" si="33">IF(BX4&gt;0,BX4,"")</f>
        <v/>
      </c>
      <c r="CG4" s="12" t="str">
        <f t="shared" ref="CG4:CG19" si="34">IF(SUM(BQ4:BT4)-BU4&gt;0,SUM(BQ4:BT4)-BU4,"")</f>
        <v/>
      </c>
      <c r="CH4" s="12" t="str">
        <f t="shared" ref="CH4:CH19" si="35">IF(SUM(BV4:BY4)-BZ4&gt;0,SUM(BV4:BY4)-BZ4,"")</f>
        <v/>
      </c>
      <c r="CI4" s="12" t="str">
        <f t="shared" ref="CI4:CI19" si="36">IF(SUM(CG4:CH4)&gt;0,SUM(CG4:CH4),"")</f>
        <v/>
      </c>
      <c r="CJ4" s="12" t="str">
        <f t="shared" ref="CJ4:CJ19" si="37">IF(SUM(CA4:CD4)-CE4&gt;0,SUM(CA4:CD4)-CE4,"")</f>
        <v/>
      </c>
      <c r="CK4" s="12" t="str">
        <f t="shared" ref="CK4:CK19" si="38">IF(SUM(CI4,CJ4)&gt;0,SUM(CI4,CJ4),"")</f>
        <v/>
      </c>
      <c r="CL4" s="40">
        <v>9.1999999999999993</v>
      </c>
      <c r="CM4" s="40">
        <v>9.6999999999999993</v>
      </c>
      <c r="CN4" s="40">
        <v>5.4</v>
      </c>
      <c r="CO4" s="40">
        <v>18.260000000000002</v>
      </c>
      <c r="CP4" s="40">
        <v>0</v>
      </c>
      <c r="CQ4" s="40">
        <v>9.15</v>
      </c>
      <c r="CR4" s="40">
        <v>9.6999999999999993</v>
      </c>
      <c r="CS4" s="40">
        <v>9</v>
      </c>
      <c r="CT4" s="40">
        <v>18.239999999999998</v>
      </c>
      <c r="CU4" s="40">
        <v>0</v>
      </c>
      <c r="CV4" s="40"/>
      <c r="CW4" s="40"/>
      <c r="CX4" s="40"/>
      <c r="CY4" s="40"/>
      <c r="CZ4" s="40"/>
      <c r="DA4" s="15">
        <f t="shared" ref="DA4:DA19" si="39">IF(CS4&gt;0,CS4,"")</f>
        <v>9</v>
      </c>
      <c r="DB4" s="15">
        <f t="shared" ref="DB4:DB19" si="40">IF(SUM(CL4:CO4)-CP4&gt;0,SUM(CL4:CO4)-CP4,"")</f>
        <v>42.56</v>
      </c>
      <c r="DC4" s="15">
        <f t="shared" ref="DC4:DC19" si="41">IF(SUM(CQ4:CT4)-CU4&gt;0,SUM(CQ4:CT4)-CU4,"")</f>
        <v>46.09</v>
      </c>
      <c r="DD4" s="15">
        <f t="shared" ref="DD4:DD19" si="42">IF(SUM(DB4:DC4)&gt;0,SUM(DB4:DC4),"")</f>
        <v>88.65</v>
      </c>
      <c r="DE4" s="15" t="str">
        <f t="shared" ref="DE4:DE19" si="43">IF(SUM(CV4:CY4)-CZ4&gt;0,SUM(CV4:CY4)-CZ4,"")</f>
        <v/>
      </c>
      <c r="DF4" s="15">
        <f t="shared" ref="DF4:DF19" si="44">IF(SUM(DD4,DE4)&gt;0,SUM(DD4,DE4),"")</f>
        <v>88.65</v>
      </c>
      <c r="DG4" s="39">
        <v>8.4499999999999993</v>
      </c>
      <c r="DH4" s="39">
        <v>9.0500000000000007</v>
      </c>
      <c r="DI4" s="39">
        <v>4.9000000000000004</v>
      </c>
      <c r="DJ4" s="39">
        <v>18.600000000000001</v>
      </c>
      <c r="DK4" s="39">
        <v>0</v>
      </c>
      <c r="DL4" s="39">
        <v>7.85</v>
      </c>
      <c r="DM4" s="39">
        <v>8.5500000000000007</v>
      </c>
      <c r="DN4" s="39">
        <v>15</v>
      </c>
      <c r="DO4" s="39">
        <v>18.600000000000001</v>
      </c>
      <c r="DP4" s="39">
        <v>0</v>
      </c>
      <c r="DQ4" s="39">
        <v>8.3000000000000007</v>
      </c>
      <c r="DR4" s="39">
        <v>9.0500000000000007</v>
      </c>
      <c r="DS4" s="39">
        <v>15</v>
      </c>
      <c r="DT4" s="39">
        <v>18</v>
      </c>
      <c r="DU4" s="39">
        <v>0</v>
      </c>
      <c r="DV4" s="12">
        <f t="shared" ref="DV4:DV19" si="45">IF(DN4&gt;0,DN4,"")</f>
        <v>15</v>
      </c>
      <c r="DW4" s="12">
        <f t="shared" ref="DW4:DW19" si="46">IF(SUM(DG4:DJ4)-DK4&gt;0,SUM(DG4:DJ4)-DK4,"")</f>
        <v>41</v>
      </c>
      <c r="DX4" s="12">
        <f t="shared" ref="DX4:DX19" si="47">IF(SUM(DL4:DO4)-DP4&gt;0,SUM(DL4:DO4)-DP4,"")</f>
        <v>50</v>
      </c>
      <c r="DY4" s="12">
        <f t="shared" ref="DY4:DY19" si="48">IF(SUM(DW4:DX4)&gt;0,SUM(DW4:DX4),"")</f>
        <v>91</v>
      </c>
      <c r="DZ4" s="12">
        <f t="shared" ref="DZ4:DZ19" si="49">IF(SUM(DQ4:DT4)-DU4&gt;0,SUM(DQ4:DT4)-DU4,"")</f>
        <v>50.35</v>
      </c>
      <c r="EA4" s="12">
        <f t="shared" ref="EA4:EA19" si="50">IF(SUM(DY4,DZ4)&gt;0,SUM(DY4,DZ4),"")</f>
        <v>141.35</v>
      </c>
      <c r="EB4" s="40">
        <v>8.8000000000000007</v>
      </c>
      <c r="EC4" s="40">
        <v>9.25</v>
      </c>
      <c r="ED4" s="40">
        <v>4.9000000000000004</v>
      </c>
      <c r="EE4" s="40">
        <v>18.68</v>
      </c>
      <c r="EF4" s="40">
        <v>0</v>
      </c>
      <c r="EG4" s="40">
        <v>7.25</v>
      </c>
      <c r="EH4" s="40">
        <v>9.1999999999999993</v>
      </c>
      <c r="EI4" s="40">
        <v>15</v>
      </c>
      <c r="EJ4" s="40">
        <v>16.68</v>
      </c>
      <c r="EK4" s="40">
        <v>0.2</v>
      </c>
      <c r="EL4" s="40"/>
      <c r="EM4" s="40"/>
      <c r="EN4" s="40"/>
      <c r="EO4" s="40"/>
      <c r="EP4" s="40"/>
      <c r="EQ4" s="15">
        <f t="shared" ref="EQ4:EQ19" si="51">IF(EI4&gt;0,EI4,"")</f>
        <v>15</v>
      </c>
      <c r="ER4" s="15">
        <f t="shared" ref="ER4:ER19" si="52">IF(SUM(EB4:EE4)-EF4&gt;0,SUM(EB4:EE4)-EF4,"")</f>
        <v>41.63</v>
      </c>
      <c r="ES4" s="15">
        <f t="shared" ref="ES4:ES19" si="53">IF(SUM(EG4:EJ4)-EK4&gt;0,SUM(EG4:EJ4)-EK4,"")</f>
        <v>47.929999999999993</v>
      </c>
      <c r="ET4" s="15">
        <f t="shared" ref="ET4:ET19" si="54">IF(SUM(ER4:ES4)&gt;0,SUM(ER4:ES4),"")</f>
        <v>89.56</v>
      </c>
      <c r="EU4" s="15" t="str">
        <f t="shared" ref="EU4:EU19" si="55">IF(SUM(EL4:EO4)-EP4&gt;0,SUM(EL4:EO4)-EP4,"")</f>
        <v/>
      </c>
      <c r="EV4" s="15">
        <f t="shared" ref="EV4:EV19" si="56">IF(SUM(ET4,EU4)&gt;0,SUM(ET4,EU4),"")</f>
        <v>89.56</v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>
        <v>7.1</v>
      </c>
      <c r="FH4" s="39">
        <v>7</v>
      </c>
      <c r="FI4" s="39">
        <v>13.2</v>
      </c>
      <c r="FJ4" s="39">
        <v>14.96</v>
      </c>
      <c r="FK4" s="39">
        <v>0</v>
      </c>
      <c r="FL4" s="12" t="str">
        <f t="shared" ref="FL4:FL19" si="57">IF(FD4&gt;0,FD4,"")</f>
        <v/>
      </c>
      <c r="FM4" s="12" t="str">
        <f t="shared" ref="FM4:FM19" si="58">IF(SUM(EW4:EZ4)-FA4&gt;0,SUM(EW4:EZ4)-FA4,"")</f>
        <v/>
      </c>
      <c r="FN4" s="12" t="str">
        <f t="shared" ref="FN4:FN19" si="59">IF(SUM(FB4:FE4)-FF4&gt;0,SUM(FB4:FE4)-FF4,"")</f>
        <v/>
      </c>
      <c r="FO4" s="12" t="str">
        <f t="shared" ref="FO4:FO19" si="60">IF(SUM(FM4:FN4)&gt;0,SUM(FM4:FN4),"")</f>
        <v/>
      </c>
      <c r="FP4" s="12">
        <f t="shared" ref="FP4:FP19" si="61">IF(SUM(FG4:FJ4)-FK4&gt;0,SUM(FG4:FJ4)-FK4,"")</f>
        <v>42.26</v>
      </c>
      <c r="FQ4" s="12">
        <f t="shared" ref="FQ4:FQ19" si="62">IF(SUM(FO4,FP4)&gt;0,SUM(FO4,FP4),"")</f>
        <v>42.26</v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15" t="str">
        <f t="shared" ref="GG4:GG19" si="63">IF(FY4&gt;0,FY4,"")</f>
        <v/>
      </c>
      <c r="GH4" s="15" t="str">
        <f t="shared" ref="GH4:GH19" si="64">IF(SUM(FR4:FU4)-FV4&gt;0,SUM(FR4:FU4)-FV4,"")</f>
        <v/>
      </c>
      <c r="GI4" s="15" t="str">
        <f t="shared" ref="GI4:GI19" si="65">IF(SUM(FW4:FZ4)-GA4&gt;0,SUM(FW4:FZ4)-GA4,"")</f>
        <v/>
      </c>
      <c r="GJ4" s="15" t="str">
        <f t="shared" ref="GJ4:GJ19" si="66">IF(SUM(GH4:GI4)&gt;0,SUM(GH4:GI4),"")</f>
        <v/>
      </c>
      <c r="GK4" s="15" t="str">
        <f t="shared" ref="GK4:GK19" si="67">IF(SUM(GB4:GE4)-GF4&gt;0,SUM(GB4:GE4)-GF4,"")</f>
        <v/>
      </c>
      <c r="GL4" s="15" t="str">
        <f t="shared" ref="GL4:GL19" si="68">IF(SUM(GJ4,GK4)&gt;0,SUM(GJ4,GK4),"")</f>
        <v/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12" t="str">
        <f t="shared" ref="HB4:HB19" si="69">IF(GT4&gt;0,GT4,"")</f>
        <v/>
      </c>
      <c r="HC4" s="12" t="str">
        <f t="shared" ref="HC4:HC19" si="70">IF(SUM(GM4:GP4)-GQ4&gt;0,SUM(GM4:GP4)-GQ4,"")</f>
        <v/>
      </c>
      <c r="HD4" s="12" t="str">
        <f t="shared" ref="HD4:HD19" si="71">IF(SUM(GR4:GU4)-GV4&gt;0,SUM(GR4:GU4)-GV4,"")</f>
        <v/>
      </c>
      <c r="HE4" s="12" t="str">
        <f t="shared" ref="HE4:HE19" si="72">IF(SUM(HC4:HD4)&gt;0,SUM(HC4:HD4),"")</f>
        <v/>
      </c>
      <c r="HF4" s="12" t="str">
        <f t="shared" ref="HF4:HF19" si="73">IF(SUM(GW4:GZ4)-HA4&gt;0,SUM(GW4:GZ4)-HA4,"")</f>
        <v/>
      </c>
      <c r="HG4" s="12" t="str">
        <f t="shared" ref="HG4:HG19" si="74">IF(SUM(HE4,HF4)&gt;0,SUM(HE4,HF4),"")</f>
        <v/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19" si="75">IF(HO4&gt;0,HO4,"")</f>
        <v/>
      </c>
      <c r="HX4" s="15" t="str">
        <f t="shared" ref="HX4:HX19" si="76">IF(SUM(HH4:HK4)-HL4&gt;0,SUM(HH4:HK4)-HL4,"")</f>
        <v/>
      </c>
      <c r="HY4" s="15" t="str">
        <f t="shared" ref="HY4:HY19" si="77">IF(SUM(HM4:HP4)-HQ4&gt;0,SUM(HM4:HP4)-HQ4,"")</f>
        <v/>
      </c>
      <c r="HZ4" s="15" t="str">
        <f t="shared" ref="HZ4:HZ19" si="78">IF(SUM(HX4:HY4)&gt;0,SUM(HX4:HY4),"")</f>
        <v/>
      </c>
      <c r="IA4" s="15" t="str">
        <f t="shared" ref="IA4:IA19" si="79">IF(SUM(HR4:HU4)-HV4&gt;0,SUM(HR4:HU4)-HV4,"")</f>
        <v/>
      </c>
      <c r="IB4" s="15" t="str">
        <f t="shared" ref="IB4:IB19" si="80">IF(SUM(HZ4,IA4)&gt;0,SUM(HZ4,IA4),"")</f>
        <v/>
      </c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12" t="str">
        <f t="shared" ref="IR4:IR19" si="81">IF(IJ4&gt;0,IJ4,"")</f>
        <v/>
      </c>
      <c r="IS4" s="12" t="str">
        <f t="shared" ref="IS4:IS19" si="82">IF(SUM(IC4:IF4)-IG4&gt;0,SUM(IC4:IF4)-IG4,"")</f>
        <v/>
      </c>
      <c r="IT4" s="12" t="str">
        <f t="shared" ref="IT4:IT19" si="83">IF(SUM(IH4:IK4)-IL4&gt;0,SUM(IH4:IK4)-IL4,"")</f>
        <v/>
      </c>
      <c r="IU4" s="12" t="str">
        <f t="shared" ref="IU4:IU19" si="84">IF(SUM(IS4:IT4)&gt;0,SUM(IS4:IT4),"")</f>
        <v/>
      </c>
      <c r="IV4" s="12" t="str">
        <f t="shared" ref="IV4:IV19" si="85">IF(SUM(IM4:IP4)-IQ4&gt;0,SUM(IM4:IP4)-IQ4,"")</f>
        <v/>
      </c>
      <c r="IW4" s="12" t="str">
        <f t="shared" ref="IW4:IW19" si="86">IF(SUM(IU4,IV4)&gt;0,SUM(IU4,IV4),"")</f>
        <v/>
      </c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15" t="str">
        <f t="shared" ref="JM4:JM19" si="87">IF(JE4&gt;0,JE4,"")</f>
        <v/>
      </c>
      <c r="JN4" s="15" t="str">
        <f t="shared" ref="JN4:JN19" si="88">IF(SUM(IX4:JA4)-JB4&gt;0,SUM(IX4:JA4)-JB4,"")</f>
        <v/>
      </c>
      <c r="JO4" s="15" t="str">
        <f t="shared" ref="JO4:JO19" si="89">IF(SUM(JC4:JF4)-JG4&gt;0,SUM(JC4:JF4)-JG4,"")</f>
        <v/>
      </c>
      <c r="JP4" s="15" t="str">
        <f t="shared" ref="JP4:JP19" si="90">IF(SUM(JN4:JO4)&gt;0,SUM(JN4:JO4),"")</f>
        <v/>
      </c>
      <c r="JQ4" s="15" t="str">
        <f t="shared" ref="JQ4:JQ19" si="91">IF(SUM(JH4:JK4)-JL4&gt;0,SUM(JH4:JK4)-JL4,"")</f>
        <v/>
      </c>
      <c r="JR4" s="15" t="str">
        <f t="shared" ref="JR4:JR19" si="92">IF(SUM(JP4,JQ4)&gt;0,SUM(JP4,JQ4),"")</f>
        <v/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9" si="93">IF(JZ4&gt;0,JZ4,"")</f>
        <v/>
      </c>
      <c r="KI4" s="12" t="str">
        <f t="shared" ref="KI4:KI19" si="94">IF(SUM(JS4:JV4)-JW4&gt;0,SUM(JS4:JV4)-JW4,"")</f>
        <v/>
      </c>
      <c r="KJ4" s="12" t="str">
        <f t="shared" ref="KJ4:KJ19" si="95">IF(SUM(JX4:KA4)-KB4&gt;0,SUM(JX4:KA4)-KB4,"")</f>
        <v/>
      </c>
      <c r="KK4" s="12" t="str">
        <f t="shared" ref="KK4:KK19" si="96">IF(SUM(KI4:KJ4)&gt;0,SUM(KI4:KJ4),"")</f>
        <v/>
      </c>
      <c r="KL4" s="12" t="str">
        <f t="shared" ref="KL4:KL19" si="97">IF(SUM(KC4:KF4)-KG4&gt;0,SUM(KC4:KF4)-KG4,"")</f>
        <v/>
      </c>
      <c r="KM4" s="12" t="str">
        <f t="shared" ref="KM4:KM19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19" si="99">IF(KU4&gt;0,KU4,"")</f>
        <v/>
      </c>
      <c r="LD4" s="15" t="str">
        <f t="shared" ref="LD4:LD19" si="100">IF(SUM(KN4:KQ4)-KR4&gt;0,SUM(KN4:KQ4)-KR4,"")</f>
        <v/>
      </c>
      <c r="LE4" s="15" t="str">
        <f t="shared" ref="LE4:LE19" si="101">IF(SUM(KS4:KV4)-KW4&gt;0,SUM(KS4:KV4)-KW4,"")</f>
        <v/>
      </c>
      <c r="LF4" s="15" t="str">
        <f t="shared" ref="LF4:LF19" si="102">IF(SUM(LD4:LE4)&gt;0,SUM(LD4:LE4),"")</f>
        <v/>
      </c>
      <c r="LG4" s="15" t="str">
        <f t="shared" ref="LG4:LG19" si="103">IF(SUM(KX4:LA4)-LB4&gt;0,SUM(KX4:LA4)-LB4,"")</f>
        <v/>
      </c>
      <c r="LH4" s="15" t="str">
        <f t="shared" ref="LH4:LH19" si="104">IF(SUM(LF4,LG4)&gt;0,SUM(LF4,LG4),"")</f>
        <v/>
      </c>
      <c r="LI4" s="72">
        <f>(U4+AQ4)/2</f>
        <v>9.1624999999999996</v>
      </c>
      <c r="LJ4" s="72">
        <f t="shared" ref="LJ4:LW4" si="105">(V4+AR4)/2</f>
        <v>9.4499999999999993</v>
      </c>
      <c r="LK4" s="72">
        <f t="shared" si="105"/>
        <v>5.6</v>
      </c>
      <c r="LL4" s="72">
        <f t="shared" si="105"/>
        <v>18.649999999999999</v>
      </c>
      <c r="LM4" s="72">
        <f t="shared" si="105"/>
        <v>0</v>
      </c>
      <c r="LN4" s="72">
        <f t="shared" si="105"/>
        <v>8.3625000000000007</v>
      </c>
      <c r="LO4" s="72">
        <f t="shared" si="105"/>
        <v>9.2249999999999996</v>
      </c>
      <c r="LP4" s="72">
        <f t="shared" si="105"/>
        <v>12.1</v>
      </c>
      <c r="LQ4" s="72">
        <f t="shared" si="105"/>
        <v>15.86</v>
      </c>
      <c r="LR4" s="72">
        <f t="shared" si="105"/>
        <v>0</v>
      </c>
      <c r="LS4" s="72">
        <f t="shared" si="105"/>
        <v>8.3874999999999993</v>
      </c>
      <c r="LT4" s="72">
        <f t="shared" si="105"/>
        <v>9.1</v>
      </c>
      <c r="LU4" s="72">
        <f t="shared" si="105"/>
        <v>12.82</v>
      </c>
      <c r="LV4" s="72">
        <f t="shared" si="105"/>
        <v>17.100000000000001</v>
      </c>
      <c r="LW4" s="72">
        <f t="shared" si="105"/>
        <v>0</v>
      </c>
      <c r="LX4" s="83" t="s">
        <v>126</v>
      </c>
      <c r="LY4" s="12">
        <f t="shared" ref="LY4" si="106">IF(LP4&gt;0,LP4,"")</f>
        <v>12.1</v>
      </c>
      <c r="LZ4" s="12">
        <f t="shared" ref="LZ4" si="107">IF(SUM(LI4:LL4)-LM4&gt;0,SUM(LI4:LL4)-LM4,"")</f>
        <v>42.862499999999997</v>
      </c>
      <c r="MA4" s="12">
        <f t="shared" ref="MA4" si="108">IF(SUM(LN4:LQ4)-LR4&gt;0,SUM(LN4:LQ4)-LR4,"")</f>
        <v>45.547499999999999</v>
      </c>
      <c r="MB4" s="12">
        <f t="shared" ref="MB4" si="109">IF(SUM(LZ4:MA4)&gt;0,SUM(LZ4:MA4),"")</f>
        <v>88.41</v>
      </c>
      <c r="MC4" s="12">
        <f t="shared" ref="MC4" si="110">IF(SUM(LS4:LV4)-LW4&gt;0,SUM(LS4:LV4)-LW4,"")</f>
        <v>47.407499999999999</v>
      </c>
      <c r="MD4" s="12">
        <f t="shared" ref="MD4" si="111">IF(SUM(MB4,MC4)&gt;0,SUM(MB4,MC4),"")</f>
        <v>135.8175</v>
      </c>
    </row>
    <row r="5" spans="1:342" x14ac:dyDescent="0.2">
      <c r="A5" s="6">
        <f t="shared" si="0"/>
        <v>2</v>
      </c>
      <c r="B5" s="9" t="s">
        <v>170</v>
      </c>
      <c r="C5" s="5" t="s">
        <v>171</v>
      </c>
      <c r="D5" s="29" t="s">
        <v>148</v>
      </c>
      <c r="E5" s="16">
        <f t="shared" si="1"/>
        <v>89.710000000000008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 t="str">
        <f t="shared" si="6"/>
        <v/>
      </c>
      <c r="K5" s="15" t="str">
        <f t="shared" si="7"/>
        <v/>
      </c>
      <c r="L5" s="15" t="str">
        <f t="shared" si="8"/>
        <v/>
      </c>
      <c r="M5" s="15" t="str">
        <f t="shared" si="9"/>
        <v/>
      </c>
      <c r="N5" s="15" t="str">
        <f t="shared" si="10"/>
        <v/>
      </c>
      <c r="O5" s="15" t="str">
        <f t="shared" si="11"/>
        <v/>
      </c>
      <c r="P5" s="15" t="str">
        <f t="shared" si="12"/>
        <v/>
      </c>
      <c r="Q5" s="15" t="str">
        <f t="shared" si="13"/>
        <v/>
      </c>
      <c r="R5" s="15">
        <f t="shared" si="14"/>
        <v>89.710000000000008</v>
      </c>
      <c r="S5" s="27" t="str">
        <f t="shared" si="15"/>
        <v>(Prelim)</v>
      </c>
      <c r="T5" s="15" t="str">
        <f t="shared" si="16"/>
        <v>2018 Senior Pan American Championships (Sept 9)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3"/>
      <c r="AK5" s="12" t="str">
        <f t="shared" si="17"/>
        <v/>
      </c>
      <c r="AL5" s="12" t="str">
        <f t="shared" si="18"/>
        <v/>
      </c>
      <c r="AM5" s="12" t="str">
        <f t="shared" si="19"/>
        <v/>
      </c>
      <c r="AN5" s="12" t="str">
        <f t="shared" si="20"/>
        <v/>
      </c>
      <c r="AO5" s="12" t="str">
        <f t="shared" si="21"/>
        <v/>
      </c>
      <c r="AP5" s="12" t="str">
        <f t="shared" si="22"/>
        <v/>
      </c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84"/>
      <c r="BG5" s="15" t="str">
        <f t="shared" si="23"/>
        <v/>
      </c>
      <c r="BH5" s="15" t="str">
        <f t="shared" si="24"/>
        <v/>
      </c>
      <c r="BI5" s="15" t="str">
        <f t="shared" si="25"/>
        <v/>
      </c>
      <c r="BJ5" s="15" t="str">
        <f t="shared" si="26"/>
        <v/>
      </c>
      <c r="BK5" s="15" t="str">
        <f t="shared" si="27"/>
        <v/>
      </c>
      <c r="BL5" s="15" t="str">
        <f t="shared" si="28"/>
        <v/>
      </c>
      <c r="BM5" s="26">
        <f t="shared" si="29"/>
        <v>41</v>
      </c>
      <c r="BN5" s="26">
        <f t="shared" si="30"/>
        <v>48.71</v>
      </c>
      <c r="BO5" s="26">
        <f t="shared" si="31"/>
        <v>89.710000000000008</v>
      </c>
      <c r="BP5" s="26">
        <f t="shared" si="32"/>
        <v>43.84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>
        <v>8.8000000000000007</v>
      </c>
      <c r="CM5" s="40">
        <v>9.6</v>
      </c>
      <c r="CN5" s="40">
        <v>5.2</v>
      </c>
      <c r="CO5" s="40">
        <v>17.8</v>
      </c>
      <c r="CP5" s="40">
        <v>0.4</v>
      </c>
      <c r="CQ5" s="40">
        <v>7.55</v>
      </c>
      <c r="CR5" s="40">
        <v>9.1</v>
      </c>
      <c r="CS5" s="40">
        <v>13.3</v>
      </c>
      <c r="CT5" s="40">
        <v>18.760000000000002</v>
      </c>
      <c r="CU5" s="40">
        <v>0</v>
      </c>
      <c r="CV5" s="40">
        <v>7.05</v>
      </c>
      <c r="CW5" s="40">
        <v>8.4499999999999993</v>
      </c>
      <c r="CX5" s="40">
        <v>12.7</v>
      </c>
      <c r="CY5" s="40">
        <v>15.64</v>
      </c>
      <c r="CZ5" s="40">
        <v>0</v>
      </c>
      <c r="DA5" s="15">
        <f t="shared" si="39"/>
        <v>13.3</v>
      </c>
      <c r="DB5" s="15">
        <f t="shared" si="40"/>
        <v>41</v>
      </c>
      <c r="DC5" s="15">
        <f t="shared" si="41"/>
        <v>48.71</v>
      </c>
      <c r="DD5" s="15">
        <f t="shared" si="42"/>
        <v>89.710000000000008</v>
      </c>
      <c r="DE5" s="15">
        <f t="shared" si="43"/>
        <v>43.84</v>
      </c>
      <c r="DF5" s="15">
        <f t="shared" si="44"/>
        <v>133.55000000000001</v>
      </c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12" t="str">
        <f t="shared" si="45"/>
        <v/>
      </c>
      <c r="DW5" s="12" t="str">
        <f t="shared" si="46"/>
        <v/>
      </c>
      <c r="DX5" s="12" t="str">
        <f t="shared" si="47"/>
        <v/>
      </c>
      <c r="DY5" s="12" t="str">
        <f t="shared" si="48"/>
        <v/>
      </c>
      <c r="DZ5" s="12" t="str">
        <f t="shared" si="49"/>
        <v/>
      </c>
      <c r="EA5" s="12" t="str">
        <f t="shared" si="50"/>
        <v/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12" t="str">
        <f t="shared" si="57"/>
        <v/>
      </c>
      <c r="FM5" s="12" t="str">
        <f t="shared" si="58"/>
        <v/>
      </c>
      <c r="FN5" s="12" t="str">
        <f t="shared" si="59"/>
        <v/>
      </c>
      <c r="FO5" s="12" t="str">
        <f t="shared" si="60"/>
        <v/>
      </c>
      <c r="FP5" s="12" t="str">
        <f t="shared" si="61"/>
        <v/>
      </c>
      <c r="FQ5" s="12" t="str">
        <f t="shared" si="62"/>
        <v/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 t="str">
        <f t="shared" si="67"/>
        <v/>
      </c>
      <c r="GL5" s="15" t="str">
        <f t="shared" si="68"/>
        <v/>
      </c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12" t="str">
        <f t="shared" si="69"/>
        <v/>
      </c>
      <c r="HC5" s="12" t="str">
        <f t="shared" si="70"/>
        <v/>
      </c>
      <c r="HD5" s="12" t="str">
        <f t="shared" si="71"/>
        <v/>
      </c>
      <c r="HE5" s="12" t="str">
        <f t="shared" si="72"/>
        <v/>
      </c>
      <c r="HF5" s="12" t="str">
        <f t="shared" si="73"/>
        <v/>
      </c>
      <c r="HG5" s="12" t="str">
        <f t="shared" si="74"/>
        <v/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12" t="str">
        <f t="shared" si="81"/>
        <v/>
      </c>
      <c r="IS5" s="12" t="str">
        <f t="shared" si="82"/>
        <v/>
      </c>
      <c r="IT5" s="12" t="str">
        <f t="shared" si="83"/>
        <v/>
      </c>
      <c r="IU5" s="12" t="str">
        <f t="shared" si="84"/>
        <v/>
      </c>
      <c r="IV5" s="12" t="str">
        <f t="shared" si="85"/>
        <v/>
      </c>
      <c r="IW5" s="12" t="str">
        <f t="shared" si="86"/>
        <v/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19" si="112">(U5+AQ5)/2</f>
        <v>0</v>
      </c>
      <c r="LJ5" s="72">
        <f t="shared" ref="LJ5:LJ19" si="113">(V5+AR5)/2</f>
        <v>0</v>
      </c>
      <c r="LK5" s="72">
        <f t="shared" ref="LK5:LK19" si="114">(W5+AS5)/2</f>
        <v>0</v>
      </c>
      <c r="LL5" s="72">
        <f t="shared" ref="LL5:LL19" si="115">(X5+AT5)/2</f>
        <v>0</v>
      </c>
      <c r="LM5" s="72">
        <f t="shared" ref="LM5:LM19" si="116">(Y5+AU5)/2</f>
        <v>0</v>
      </c>
      <c r="LN5" s="72">
        <f t="shared" ref="LN5:LN19" si="117">(Z5+AV5)/2</f>
        <v>0</v>
      </c>
      <c r="LO5" s="72">
        <f t="shared" ref="LO5:LO19" si="118">(AA5+AW5)/2</f>
        <v>0</v>
      </c>
      <c r="LP5" s="72">
        <f t="shared" ref="LP5:LP19" si="119">(AB5+AX5)/2</f>
        <v>0</v>
      </c>
      <c r="LQ5" s="72">
        <f t="shared" ref="LQ5:LQ19" si="120">(AC5+AY5)/2</f>
        <v>0</v>
      </c>
      <c r="LR5" s="72">
        <f t="shared" ref="LR5:LR19" si="121">(AD5+AZ5)/2</f>
        <v>0</v>
      </c>
      <c r="LS5" s="72">
        <f t="shared" ref="LS5:LS19" si="122">(AE5+BA5)/2</f>
        <v>0</v>
      </c>
      <c r="LT5" s="72">
        <f t="shared" ref="LT5:LT19" si="123">(AF5+BB5)/2</f>
        <v>0</v>
      </c>
      <c r="LU5" s="72">
        <f t="shared" ref="LU5:LU19" si="124">(AG5+BC5)/2</f>
        <v>0</v>
      </c>
      <c r="LV5" s="72">
        <f t="shared" ref="LV5:LV19" si="125">(AH5+BD5)/2</f>
        <v>0</v>
      </c>
      <c r="LW5" s="72">
        <f t="shared" ref="LW5:LW19" si="126">(AI5+BE5)/2</f>
        <v>0</v>
      </c>
      <c r="LX5" s="83" t="s">
        <v>126</v>
      </c>
      <c r="LY5" s="12" t="str">
        <f t="shared" ref="LY5:LY19" si="127">IF(LP5&gt;0,LP5,"")</f>
        <v/>
      </c>
      <c r="LZ5" s="12" t="str">
        <f t="shared" ref="LZ5:LZ19" si="128">IF(SUM(LI5:LL5)-LM5&gt;0,SUM(LI5:LL5)-LM5,"")</f>
        <v/>
      </c>
      <c r="MA5" s="12" t="str">
        <f t="shared" ref="MA5:MA19" si="129">IF(SUM(LN5:LQ5)-LR5&gt;0,SUM(LN5:LQ5)-LR5,"")</f>
        <v/>
      </c>
      <c r="MB5" s="12" t="str">
        <f t="shared" ref="MB5:MB19" si="130">IF(SUM(LZ5:MA5)&gt;0,SUM(LZ5:MA5),"")</f>
        <v/>
      </c>
      <c r="MC5" s="12" t="str">
        <f t="shared" ref="MC5:MC19" si="131">IF(SUM(LS5:LV5)-LW5&gt;0,SUM(LS5:LV5)-LW5,"")</f>
        <v/>
      </c>
      <c r="MD5" s="12" t="str">
        <f t="shared" ref="MD5:MD19" si="132">IF(SUM(MB5,MC5)&gt;0,SUM(MB5,MC5),"")</f>
        <v/>
      </c>
    </row>
    <row r="6" spans="1:342" x14ac:dyDescent="0.2">
      <c r="A6" s="6">
        <f t="shared" si="0"/>
        <v>3</v>
      </c>
      <c r="B6" s="9" t="s">
        <v>78</v>
      </c>
      <c r="C6" s="5" t="s">
        <v>5</v>
      </c>
      <c r="D6" s="29" t="s">
        <v>129</v>
      </c>
      <c r="E6" s="16">
        <f t="shared" si="1"/>
        <v>207.42999999999998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>No DD</v>
      </c>
      <c r="J6" s="15">
        <f t="shared" si="6"/>
        <v>88.95</v>
      </c>
      <c r="K6" s="15" t="str">
        <f t="shared" si="7"/>
        <v>2018 3rd Domestic Trial</v>
      </c>
      <c r="L6" s="15">
        <f t="shared" si="8"/>
        <v>40.71</v>
      </c>
      <c r="M6" s="15" t="str">
        <f t="shared" si="9"/>
        <v>2018 Nationals</v>
      </c>
      <c r="N6" s="15">
        <f t="shared" si="10"/>
        <v>41.045000000000002</v>
      </c>
      <c r="O6" s="15" t="str">
        <f t="shared" si="11"/>
        <v>2018 Nationals</v>
      </c>
      <c r="P6" s="15">
        <f t="shared" si="12"/>
        <v>36.725000000000001</v>
      </c>
      <c r="Q6" s="15" t="str">
        <f t="shared" si="13"/>
        <v>2018 3rd Domestic Trial</v>
      </c>
      <c r="R6" s="15" t="str">
        <f t="shared" si="14"/>
        <v/>
      </c>
      <c r="S6" s="27" t="str">
        <f t="shared" si="15"/>
        <v/>
      </c>
      <c r="T6" s="15" t="str">
        <f t="shared" si="16"/>
        <v/>
      </c>
      <c r="U6" s="41">
        <v>9.25</v>
      </c>
      <c r="V6" s="41">
        <v>9.6</v>
      </c>
      <c r="W6" s="41">
        <v>4.2</v>
      </c>
      <c r="X6" s="41">
        <v>17.66</v>
      </c>
      <c r="Y6" s="41">
        <v>0</v>
      </c>
      <c r="Z6" s="41">
        <v>7.7249999999999996</v>
      </c>
      <c r="AA6" s="41">
        <v>8.3000000000000007</v>
      </c>
      <c r="AB6" s="41">
        <v>11.3</v>
      </c>
      <c r="AC6" s="41">
        <v>13.72</v>
      </c>
      <c r="AD6" s="41">
        <v>0</v>
      </c>
      <c r="AE6" s="41">
        <v>0.82499999999999996</v>
      </c>
      <c r="AF6" s="41">
        <v>0.95</v>
      </c>
      <c r="AG6" s="41">
        <v>1.74</v>
      </c>
      <c r="AH6" s="41">
        <v>2</v>
      </c>
      <c r="AI6" s="41">
        <v>0</v>
      </c>
      <c r="AJ6" s="83"/>
      <c r="AK6" s="12">
        <f t="shared" si="17"/>
        <v>11.3</v>
      </c>
      <c r="AL6" s="12">
        <f t="shared" si="18"/>
        <v>40.71</v>
      </c>
      <c r="AM6" s="12">
        <f t="shared" si="19"/>
        <v>41.045000000000002</v>
      </c>
      <c r="AN6" s="12">
        <f t="shared" si="20"/>
        <v>81.754999999999995</v>
      </c>
      <c r="AO6" s="12">
        <f t="shared" si="21"/>
        <v>5.5149999999999997</v>
      </c>
      <c r="AP6" s="12">
        <f t="shared" si="22"/>
        <v>87.27</v>
      </c>
      <c r="AQ6" s="42">
        <v>9.4499999999999993</v>
      </c>
      <c r="AR6" s="42">
        <v>9.3000000000000007</v>
      </c>
      <c r="AS6" s="42">
        <v>4.2</v>
      </c>
      <c r="AT6" s="42">
        <v>18.3</v>
      </c>
      <c r="AU6" s="42">
        <v>0</v>
      </c>
      <c r="AV6" s="42">
        <v>8.15</v>
      </c>
      <c r="AW6" s="42">
        <v>8.9499999999999993</v>
      </c>
      <c r="AX6" s="42">
        <v>13.1</v>
      </c>
      <c r="AY6" s="42">
        <v>17.5</v>
      </c>
      <c r="AZ6" s="42">
        <v>0</v>
      </c>
      <c r="BA6" s="42">
        <v>9.0749999999999993</v>
      </c>
      <c r="BB6" s="42">
        <v>6.45</v>
      </c>
      <c r="BC6" s="42">
        <v>8.6</v>
      </c>
      <c r="BD6" s="42">
        <v>12.6</v>
      </c>
      <c r="BE6" s="42">
        <v>0</v>
      </c>
      <c r="BF6" s="84"/>
      <c r="BG6" s="15">
        <f t="shared" si="23"/>
        <v>13.1</v>
      </c>
      <c r="BH6" s="15">
        <f t="shared" si="24"/>
        <v>41.25</v>
      </c>
      <c r="BI6" s="15">
        <f t="shared" si="25"/>
        <v>47.7</v>
      </c>
      <c r="BJ6" s="15">
        <f t="shared" si="26"/>
        <v>88.95</v>
      </c>
      <c r="BK6" s="15">
        <f t="shared" si="27"/>
        <v>36.725000000000001</v>
      </c>
      <c r="BL6" s="15">
        <f t="shared" si="28"/>
        <v>125.67500000000001</v>
      </c>
      <c r="BM6" s="26" t="str">
        <f t="shared" si="29"/>
        <v/>
      </c>
      <c r="BN6" s="26" t="str">
        <f t="shared" si="30"/>
        <v/>
      </c>
      <c r="BO6" s="26" t="str">
        <f t="shared" si="31"/>
        <v/>
      </c>
      <c r="BP6" s="26" t="str">
        <f t="shared" si="32"/>
        <v/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 t="str">
        <f t="shared" si="49"/>
        <v/>
      </c>
      <c r="EA6" s="12" t="str">
        <f t="shared" si="50"/>
        <v/>
      </c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15" t="str">
        <f t="shared" si="51"/>
        <v/>
      </c>
      <c r="ER6" s="15" t="str">
        <f t="shared" si="52"/>
        <v/>
      </c>
      <c r="ES6" s="15" t="str">
        <f t="shared" si="53"/>
        <v/>
      </c>
      <c r="ET6" s="15" t="str">
        <f t="shared" si="54"/>
        <v/>
      </c>
      <c r="EU6" s="15" t="str">
        <f t="shared" si="55"/>
        <v/>
      </c>
      <c r="EV6" s="15" t="str">
        <f t="shared" si="56"/>
        <v/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 t="str">
        <f t="shared" si="61"/>
        <v/>
      </c>
      <c r="FQ6" s="12" t="str">
        <f t="shared" si="62"/>
        <v/>
      </c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15" t="str">
        <f t="shared" si="63"/>
        <v/>
      </c>
      <c r="GH6" s="15" t="str">
        <f t="shared" si="64"/>
        <v/>
      </c>
      <c r="GI6" s="15" t="str">
        <f t="shared" si="65"/>
        <v/>
      </c>
      <c r="GJ6" s="15" t="str">
        <f t="shared" si="66"/>
        <v/>
      </c>
      <c r="GK6" s="15" t="str">
        <f t="shared" si="67"/>
        <v/>
      </c>
      <c r="GL6" s="15" t="str">
        <f t="shared" si="68"/>
        <v/>
      </c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12" t="str">
        <f t="shared" si="69"/>
        <v/>
      </c>
      <c r="HC6" s="12" t="str">
        <f t="shared" si="70"/>
        <v/>
      </c>
      <c r="HD6" s="12" t="str">
        <f t="shared" si="71"/>
        <v/>
      </c>
      <c r="HE6" s="12" t="str">
        <f t="shared" si="72"/>
        <v/>
      </c>
      <c r="HF6" s="12" t="str">
        <f t="shared" si="73"/>
        <v/>
      </c>
      <c r="HG6" s="12" t="str">
        <f t="shared" si="74"/>
        <v/>
      </c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15" t="str">
        <f t="shared" si="75"/>
        <v/>
      </c>
      <c r="HX6" s="15" t="str">
        <f t="shared" si="76"/>
        <v/>
      </c>
      <c r="HY6" s="15" t="str">
        <f t="shared" si="77"/>
        <v/>
      </c>
      <c r="HZ6" s="15" t="str">
        <f t="shared" si="78"/>
        <v/>
      </c>
      <c r="IA6" s="15" t="str">
        <f t="shared" si="79"/>
        <v/>
      </c>
      <c r="IB6" s="15" t="str">
        <f t="shared" si="80"/>
        <v/>
      </c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12" t="str">
        <f t="shared" si="81"/>
        <v/>
      </c>
      <c r="IS6" s="12" t="str">
        <f t="shared" si="82"/>
        <v/>
      </c>
      <c r="IT6" s="12" t="str">
        <f t="shared" si="83"/>
        <v/>
      </c>
      <c r="IU6" s="12" t="str">
        <f t="shared" si="84"/>
        <v/>
      </c>
      <c r="IV6" s="12" t="str">
        <f t="shared" si="85"/>
        <v/>
      </c>
      <c r="IW6" s="12" t="str">
        <f t="shared" si="86"/>
        <v/>
      </c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15" t="str">
        <f t="shared" si="87"/>
        <v/>
      </c>
      <c r="JN6" s="15" t="str">
        <f t="shared" si="88"/>
        <v/>
      </c>
      <c r="JO6" s="15" t="str">
        <f t="shared" si="89"/>
        <v/>
      </c>
      <c r="JP6" s="15" t="str">
        <f t="shared" si="90"/>
        <v/>
      </c>
      <c r="JQ6" s="15" t="str">
        <f t="shared" si="91"/>
        <v/>
      </c>
      <c r="JR6" s="15" t="str">
        <f t="shared" si="92"/>
        <v/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9.35</v>
      </c>
      <c r="LJ6" s="72">
        <f t="shared" si="113"/>
        <v>9.4499999999999993</v>
      </c>
      <c r="LK6" s="72">
        <f t="shared" si="114"/>
        <v>4.2</v>
      </c>
      <c r="LL6" s="72">
        <f t="shared" si="115"/>
        <v>17.98</v>
      </c>
      <c r="LM6" s="72">
        <f t="shared" si="116"/>
        <v>0</v>
      </c>
      <c r="LN6" s="72">
        <f t="shared" si="117"/>
        <v>7.9375</v>
      </c>
      <c r="LO6" s="72">
        <f t="shared" si="118"/>
        <v>8.625</v>
      </c>
      <c r="LP6" s="72">
        <f t="shared" si="119"/>
        <v>12.2</v>
      </c>
      <c r="LQ6" s="72">
        <f t="shared" si="120"/>
        <v>15.61</v>
      </c>
      <c r="LR6" s="72">
        <f t="shared" si="121"/>
        <v>0</v>
      </c>
      <c r="LS6" s="72">
        <f t="shared" si="122"/>
        <v>4.9499999999999993</v>
      </c>
      <c r="LT6" s="72">
        <f t="shared" si="123"/>
        <v>3.7</v>
      </c>
      <c r="LU6" s="72">
        <f t="shared" si="124"/>
        <v>5.17</v>
      </c>
      <c r="LV6" s="72">
        <f t="shared" si="125"/>
        <v>7.3</v>
      </c>
      <c r="LW6" s="72">
        <f t="shared" si="126"/>
        <v>0</v>
      </c>
      <c r="LX6" s="83" t="s">
        <v>126</v>
      </c>
      <c r="LY6" s="12">
        <f t="shared" si="127"/>
        <v>12.2</v>
      </c>
      <c r="LZ6" s="12">
        <f t="shared" si="128"/>
        <v>40.98</v>
      </c>
      <c r="MA6" s="12">
        <f t="shared" si="129"/>
        <v>44.372500000000002</v>
      </c>
      <c r="MB6" s="12">
        <f t="shared" si="130"/>
        <v>85.352499999999992</v>
      </c>
      <c r="MC6" s="12">
        <f t="shared" si="131"/>
        <v>21.119999999999997</v>
      </c>
      <c r="MD6" s="12">
        <f t="shared" si="132"/>
        <v>106.4725</v>
      </c>
    </row>
    <row r="7" spans="1:342" x14ac:dyDescent="0.2">
      <c r="A7" s="6" t="str">
        <f t="shared" si="0"/>
        <v/>
      </c>
      <c r="B7" s="7" t="s">
        <v>111</v>
      </c>
      <c r="C7" s="8" t="s">
        <v>113</v>
      </c>
      <c r="D7" s="6">
        <v>2001</v>
      </c>
      <c r="E7" s="16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84.22999999999999</v>
      </c>
      <c r="K7" s="15" t="str">
        <f t="shared" si="7"/>
        <v>2018 Nationals</v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>
        <f t="shared" si="12"/>
        <v>44.45</v>
      </c>
      <c r="Q7" s="15" t="str">
        <f t="shared" si="13"/>
        <v>2018 Nationals</v>
      </c>
      <c r="R7" s="15">
        <f t="shared" si="14"/>
        <v>47.25</v>
      </c>
      <c r="S7" s="27" t="str">
        <f t="shared" si="15"/>
        <v>(Vol 2)</v>
      </c>
      <c r="T7" s="15" t="str">
        <f t="shared" si="16"/>
        <v>2018 Junior Pan Am Championships (June 23)</v>
      </c>
      <c r="U7" s="41">
        <v>7.95</v>
      </c>
      <c r="V7" s="41">
        <v>9.1</v>
      </c>
      <c r="W7" s="41">
        <v>4.0999999999999996</v>
      </c>
      <c r="X7" s="41">
        <v>18.059999999999999</v>
      </c>
      <c r="Y7" s="41">
        <v>0</v>
      </c>
      <c r="Z7" s="41">
        <v>6.85</v>
      </c>
      <c r="AA7" s="41">
        <v>8.9499999999999993</v>
      </c>
      <c r="AB7" s="41">
        <v>12</v>
      </c>
      <c r="AC7" s="41">
        <v>17.420000000000002</v>
      </c>
      <c r="AD7" s="41">
        <v>0.2</v>
      </c>
      <c r="AE7" s="41">
        <v>7.2</v>
      </c>
      <c r="AF7" s="41">
        <v>9.15</v>
      </c>
      <c r="AG7" s="41">
        <v>16.100000000000001</v>
      </c>
      <c r="AH7" s="41">
        <v>12</v>
      </c>
      <c r="AI7" s="41">
        <v>0</v>
      </c>
      <c r="AJ7" s="83"/>
      <c r="AK7" s="12">
        <f t="shared" si="17"/>
        <v>12</v>
      </c>
      <c r="AL7" s="12">
        <f t="shared" si="18"/>
        <v>39.209999999999994</v>
      </c>
      <c r="AM7" s="12">
        <f t="shared" si="19"/>
        <v>45.019999999999996</v>
      </c>
      <c r="AN7" s="12">
        <f t="shared" si="20"/>
        <v>84.22999999999999</v>
      </c>
      <c r="AO7" s="12">
        <f t="shared" si="21"/>
        <v>44.45</v>
      </c>
      <c r="AP7" s="12">
        <f t="shared" si="22"/>
        <v>128.68</v>
      </c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84"/>
      <c r="BG7" s="15" t="str">
        <f t="shared" si="23"/>
        <v/>
      </c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26">
        <f t="shared" si="29"/>
        <v>35.4</v>
      </c>
      <c r="BN7" s="26">
        <f t="shared" si="30"/>
        <v>47.25</v>
      </c>
      <c r="BO7" s="26" t="str">
        <f t="shared" si="31"/>
        <v/>
      </c>
      <c r="BP7" s="26" t="str">
        <f t="shared" si="32"/>
        <v/>
      </c>
      <c r="BQ7" s="39">
        <v>7.85</v>
      </c>
      <c r="BR7" s="39">
        <v>9.35</v>
      </c>
      <c r="BS7" s="39">
        <v>0</v>
      </c>
      <c r="BT7" s="39">
        <v>18.600000000000001</v>
      </c>
      <c r="BU7" s="39">
        <v>0.4</v>
      </c>
      <c r="BV7" s="39">
        <v>7</v>
      </c>
      <c r="BW7" s="39">
        <v>9.25</v>
      </c>
      <c r="BX7" s="39">
        <v>12</v>
      </c>
      <c r="BY7" s="39">
        <v>19</v>
      </c>
      <c r="BZ7" s="39">
        <v>0</v>
      </c>
      <c r="CA7" s="39">
        <v>1.375</v>
      </c>
      <c r="CB7" s="39">
        <v>1.85</v>
      </c>
      <c r="CC7" s="39">
        <v>2.9</v>
      </c>
      <c r="CD7" s="39">
        <v>3.4</v>
      </c>
      <c r="CE7" s="39">
        <v>0</v>
      </c>
      <c r="CF7" s="12">
        <f t="shared" si="33"/>
        <v>12</v>
      </c>
      <c r="CG7" s="12">
        <f t="shared" si="34"/>
        <v>35.4</v>
      </c>
      <c r="CH7" s="12">
        <f t="shared" si="35"/>
        <v>47.25</v>
      </c>
      <c r="CI7" s="12">
        <f t="shared" si="36"/>
        <v>82.65</v>
      </c>
      <c r="CJ7" s="12">
        <f t="shared" si="37"/>
        <v>9.5250000000000004</v>
      </c>
      <c r="CK7" s="12">
        <f t="shared" si="38"/>
        <v>92.175000000000011</v>
      </c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15" t="str">
        <f t="shared" si="39"/>
        <v/>
      </c>
      <c r="DB7" s="15" t="str">
        <f t="shared" si="40"/>
        <v/>
      </c>
      <c r="DC7" s="15" t="str">
        <f t="shared" si="41"/>
        <v/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12" t="str">
        <f t="shared" si="69"/>
        <v/>
      </c>
      <c r="HC7" s="12" t="str">
        <f t="shared" si="70"/>
        <v/>
      </c>
      <c r="HD7" s="12" t="str">
        <f t="shared" si="71"/>
        <v/>
      </c>
      <c r="HE7" s="12" t="str">
        <f t="shared" si="72"/>
        <v/>
      </c>
      <c r="HF7" s="12" t="str">
        <f t="shared" si="73"/>
        <v/>
      </c>
      <c r="HG7" s="12" t="str">
        <f t="shared" si="74"/>
        <v/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12" t="str">
        <f t="shared" si="81"/>
        <v/>
      </c>
      <c r="IS7" s="12" t="str">
        <f t="shared" si="82"/>
        <v/>
      </c>
      <c r="IT7" s="12" t="str">
        <f t="shared" si="83"/>
        <v/>
      </c>
      <c r="IU7" s="12" t="str">
        <f t="shared" si="84"/>
        <v/>
      </c>
      <c r="IV7" s="12" t="str">
        <f t="shared" si="85"/>
        <v/>
      </c>
      <c r="IW7" s="12" t="str">
        <f t="shared" si="86"/>
        <v/>
      </c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15" t="str">
        <f t="shared" si="87"/>
        <v/>
      </c>
      <c r="JN7" s="15" t="str">
        <f t="shared" si="88"/>
        <v/>
      </c>
      <c r="JO7" s="15" t="str">
        <f t="shared" si="89"/>
        <v/>
      </c>
      <c r="JP7" s="15" t="str">
        <f t="shared" si="90"/>
        <v/>
      </c>
      <c r="JQ7" s="15" t="str">
        <f t="shared" si="91"/>
        <v/>
      </c>
      <c r="JR7" s="15" t="str">
        <f t="shared" si="92"/>
        <v/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3.9750000000000001</v>
      </c>
      <c r="LJ7" s="72">
        <f t="shared" si="113"/>
        <v>4.55</v>
      </c>
      <c r="LK7" s="72">
        <f t="shared" si="114"/>
        <v>2.0499999999999998</v>
      </c>
      <c r="LL7" s="72">
        <f t="shared" si="115"/>
        <v>9.0299999999999994</v>
      </c>
      <c r="LM7" s="72">
        <f t="shared" si="116"/>
        <v>0</v>
      </c>
      <c r="LN7" s="72">
        <f t="shared" si="117"/>
        <v>3.4249999999999998</v>
      </c>
      <c r="LO7" s="72">
        <f t="shared" si="118"/>
        <v>4.4749999999999996</v>
      </c>
      <c r="LP7" s="72">
        <f t="shared" si="119"/>
        <v>6</v>
      </c>
      <c r="LQ7" s="72">
        <f t="shared" si="120"/>
        <v>8.7100000000000009</v>
      </c>
      <c r="LR7" s="72">
        <f t="shared" si="121"/>
        <v>0.1</v>
      </c>
      <c r="LS7" s="72">
        <f t="shared" si="122"/>
        <v>3.6</v>
      </c>
      <c r="LT7" s="72">
        <f t="shared" si="123"/>
        <v>4.5750000000000002</v>
      </c>
      <c r="LU7" s="72">
        <f t="shared" si="124"/>
        <v>8.0500000000000007</v>
      </c>
      <c r="LV7" s="72">
        <f t="shared" si="125"/>
        <v>6</v>
      </c>
      <c r="LW7" s="72">
        <f t="shared" si="126"/>
        <v>0</v>
      </c>
      <c r="LX7" s="83" t="s">
        <v>126</v>
      </c>
      <c r="LY7" s="12">
        <f t="shared" si="127"/>
        <v>6</v>
      </c>
      <c r="LZ7" s="12">
        <f t="shared" si="128"/>
        <v>19.604999999999997</v>
      </c>
      <c r="MA7" s="12">
        <f t="shared" si="129"/>
        <v>22.509999999999998</v>
      </c>
      <c r="MB7" s="12">
        <f t="shared" si="130"/>
        <v>42.114999999999995</v>
      </c>
      <c r="MC7" s="12">
        <f t="shared" si="131"/>
        <v>22.225000000000001</v>
      </c>
      <c r="MD7" s="12">
        <f t="shared" si="132"/>
        <v>64.34</v>
      </c>
    </row>
    <row r="8" spans="1:342" x14ac:dyDescent="0.2">
      <c r="A8" s="6" t="str">
        <f t="shared" si="0"/>
        <v/>
      </c>
      <c r="B8" s="7" t="s">
        <v>106</v>
      </c>
      <c r="C8" s="8" t="s">
        <v>11</v>
      </c>
      <c r="D8" s="6" t="s">
        <v>131</v>
      </c>
      <c r="E8" s="16">
        <f t="shared" si="1"/>
        <v>152.36500000000001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76.710000000000008</v>
      </c>
      <c r="K8" s="15" t="str">
        <f t="shared" si="7"/>
        <v>2018 Nationals</v>
      </c>
      <c r="L8" s="15">
        <f t="shared" si="8"/>
        <v>35.9</v>
      </c>
      <c r="M8" s="15" t="str">
        <f t="shared" si="9"/>
        <v>2018 3rd Domestic Trial</v>
      </c>
      <c r="N8" s="15">
        <f t="shared" si="10"/>
        <v>7.7250000000000005</v>
      </c>
      <c r="O8" s="15" t="str">
        <f t="shared" si="11"/>
        <v>2018 3rd Domestic Trial</v>
      </c>
      <c r="P8" s="15">
        <f t="shared" si="12"/>
        <v>32.03</v>
      </c>
      <c r="Q8" s="15" t="str">
        <f t="shared" si="13"/>
        <v>2018 Nationals</v>
      </c>
      <c r="R8" s="15" t="str">
        <f t="shared" si="14"/>
        <v/>
      </c>
      <c r="S8" s="27" t="str">
        <f t="shared" si="15"/>
        <v/>
      </c>
      <c r="T8" s="15" t="str">
        <f t="shared" si="16"/>
        <v/>
      </c>
      <c r="U8" s="41">
        <v>7.5250000000000004</v>
      </c>
      <c r="V8" s="41">
        <v>7.55</v>
      </c>
      <c r="W8" s="41">
        <v>1.8</v>
      </c>
      <c r="X8" s="41">
        <v>13.56</v>
      </c>
      <c r="Y8" s="41">
        <v>0.2</v>
      </c>
      <c r="Z8" s="41">
        <v>7.9249999999999998</v>
      </c>
      <c r="AA8" s="41">
        <v>8.75</v>
      </c>
      <c r="AB8" s="41">
        <v>13.3</v>
      </c>
      <c r="AC8" s="41">
        <v>16.5</v>
      </c>
      <c r="AD8" s="41">
        <v>0</v>
      </c>
      <c r="AE8" s="41">
        <v>5.75</v>
      </c>
      <c r="AF8" s="41">
        <v>6.3</v>
      </c>
      <c r="AG8" s="41">
        <v>10.78</v>
      </c>
      <c r="AH8" s="41">
        <v>9.1999999999999993</v>
      </c>
      <c r="AI8" s="41">
        <v>0</v>
      </c>
      <c r="AJ8" s="83"/>
      <c r="AK8" s="12">
        <f t="shared" si="17"/>
        <v>13.3</v>
      </c>
      <c r="AL8" s="12">
        <f t="shared" si="18"/>
        <v>30.235000000000003</v>
      </c>
      <c r="AM8" s="12">
        <f t="shared" si="19"/>
        <v>46.475000000000001</v>
      </c>
      <c r="AN8" s="12">
        <f t="shared" si="20"/>
        <v>76.710000000000008</v>
      </c>
      <c r="AO8" s="12">
        <f t="shared" si="21"/>
        <v>32.03</v>
      </c>
      <c r="AP8" s="12">
        <f t="shared" si="22"/>
        <v>108.74000000000001</v>
      </c>
      <c r="AQ8" s="42">
        <v>8.3000000000000007</v>
      </c>
      <c r="AR8" s="42">
        <v>8.1999999999999993</v>
      </c>
      <c r="AS8" s="42">
        <v>4</v>
      </c>
      <c r="AT8" s="42">
        <v>15.4</v>
      </c>
      <c r="AU8" s="42">
        <v>0</v>
      </c>
      <c r="AV8" s="42">
        <v>3.0750000000000002</v>
      </c>
      <c r="AW8" s="42">
        <v>0.85</v>
      </c>
      <c r="AX8" s="42">
        <v>2</v>
      </c>
      <c r="AY8" s="42">
        <v>1.8</v>
      </c>
      <c r="AZ8" s="42">
        <v>0</v>
      </c>
      <c r="BA8" s="42"/>
      <c r="BB8" s="42"/>
      <c r="BC8" s="42"/>
      <c r="BD8" s="42"/>
      <c r="BE8" s="42"/>
      <c r="BF8" s="84"/>
      <c r="BG8" s="15">
        <f t="shared" si="23"/>
        <v>2</v>
      </c>
      <c r="BH8" s="15">
        <f t="shared" si="24"/>
        <v>35.9</v>
      </c>
      <c r="BI8" s="15">
        <f t="shared" si="25"/>
        <v>7.7250000000000005</v>
      </c>
      <c r="BJ8" s="15">
        <f t="shared" si="26"/>
        <v>43.625</v>
      </c>
      <c r="BK8" s="15" t="str">
        <f t="shared" si="27"/>
        <v/>
      </c>
      <c r="BL8" s="15">
        <f t="shared" si="28"/>
        <v>43.625</v>
      </c>
      <c r="BM8" s="26" t="str">
        <f t="shared" si="29"/>
        <v/>
      </c>
      <c r="BN8" s="26" t="str">
        <f t="shared" si="30"/>
        <v/>
      </c>
      <c r="BO8" s="26" t="str">
        <f t="shared" si="31"/>
        <v/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15" t="str">
        <f t="shared" si="63"/>
        <v/>
      </c>
      <c r="GH8" s="15" t="str">
        <f t="shared" si="64"/>
        <v/>
      </c>
      <c r="GI8" s="15" t="str">
        <f t="shared" si="65"/>
        <v/>
      </c>
      <c r="GJ8" s="15" t="str">
        <f t="shared" si="66"/>
        <v/>
      </c>
      <c r="GK8" s="15" t="str">
        <f t="shared" si="67"/>
        <v/>
      </c>
      <c r="GL8" s="15" t="str">
        <f t="shared" si="68"/>
        <v/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7.9125000000000005</v>
      </c>
      <c r="LJ8" s="72">
        <f t="shared" si="113"/>
        <v>7.875</v>
      </c>
      <c r="LK8" s="72">
        <f t="shared" si="114"/>
        <v>2.9</v>
      </c>
      <c r="LL8" s="72">
        <f t="shared" si="115"/>
        <v>14.48</v>
      </c>
      <c r="LM8" s="72">
        <f t="shared" si="116"/>
        <v>0.1</v>
      </c>
      <c r="LN8" s="72">
        <f t="shared" si="117"/>
        <v>5.5</v>
      </c>
      <c r="LO8" s="72">
        <f t="shared" si="118"/>
        <v>4.8</v>
      </c>
      <c r="LP8" s="72">
        <f t="shared" si="119"/>
        <v>7.65</v>
      </c>
      <c r="LQ8" s="72">
        <f t="shared" si="120"/>
        <v>9.15</v>
      </c>
      <c r="LR8" s="72">
        <f t="shared" si="121"/>
        <v>0</v>
      </c>
      <c r="LS8" s="72">
        <f t="shared" si="122"/>
        <v>2.875</v>
      </c>
      <c r="LT8" s="72">
        <f t="shared" si="123"/>
        <v>3.15</v>
      </c>
      <c r="LU8" s="72">
        <f t="shared" si="124"/>
        <v>5.39</v>
      </c>
      <c r="LV8" s="72">
        <f t="shared" si="125"/>
        <v>4.5999999999999996</v>
      </c>
      <c r="LW8" s="72">
        <f t="shared" si="126"/>
        <v>0</v>
      </c>
      <c r="LX8" s="83" t="s">
        <v>126</v>
      </c>
      <c r="LY8" s="12">
        <f t="shared" si="127"/>
        <v>7.65</v>
      </c>
      <c r="LZ8" s="12">
        <f t="shared" si="128"/>
        <v>33.067500000000003</v>
      </c>
      <c r="MA8" s="12">
        <f t="shared" si="129"/>
        <v>27.1</v>
      </c>
      <c r="MB8" s="12">
        <f t="shared" si="130"/>
        <v>60.167500000000004</v>
      </c>
      <c r="MC8" s="12">
        <f t="shared" si="131"/>
        <v>16.015000000000001</v>
      </c>
      <c r="MD8" s="12">
        <f t="shared" si="132"/>
        <v>76.182500000000005</v>
      </c>
    </row>
    <row r="9" spans="1:342" x14ac:dyDescent="0.2">
      <c r="A9" s="6" t="str">
        <f t="shared" si="0"/>
        <v/>
      </c>
      <c r="B9" s="9" t="s">
        <v>115</v>
      </c>
      <c r="C9" s="5" t="s">
        <v>5</v>
      </c>
      <c r="D9" s="29" t="s">
        <v>132</v>
      </c>
      <c r="E9" s="16">
        <f t="shared" si="1"/>
        <v>123.97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79.28</v>
      </c>
      <c r="K9" s="15" t="str">
        <f t="shared" si="7"/>
        <v>2018 Nationals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44.69</v>
      </c>
      <c r="Q9" s="15" t="str">
        <f t="shared" si="13"/>
        <v>2018 Nationals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41">
        <v>7.55</v>
      </c>
      <c r="V9" s="41">
        <v>9.1999999999999993</v>
      </c>
      <c r="W9" s="41">
        <v>3</v>
      </c>
      <c r="X9" s="41">
        <v>17.12</v>
      </c>
      <c r="Y9" s="41">
        <v>0</v>
      </c>
      <c r="Z9" s="41">
        <v>6.95</v>
      </c>
      <c r="AA9" s="41">
        <v>8.5</v>
      </c>
      <c r="AB9" s="41">
        <v>10.6</v>
      </c>
      <c r="AC9" s="41">
        <v>16.36</v>
      </c>
      <c r="AD9" s="41">
        <v>0</v>
      </c>
      <c r="AE9" s="41">
        <v>7.55</v>
      </c>
      <c r="AF9" s="41">
        <v>9</v>
      </c>
      <c r="AG9" s="41">
        <v>16.14</v>
      </c>
      <c r="AH9" s="41">
        <v>12</v>
      </c>
      <c r="AI9" s="41">
        <v>0</v>
      </c>
      <c r="AJ9" s="83"/>
      <c r="AK9" s="12">
        <f t="shared" si="17"/>
        <v>10.6</v>
      </c>
      <c r="AL9" s="12">
        <f t="shared" si="18"/>
        <v>36.870000000000005</v>
      </c>
      <c r="AM9" s="12">
        <f t="shared" si="19"/>
        <v>42.41</v>
      </c>
      <c r="AN9" s="12">
        <f t="shared" si="20"/>
        <v>79.28</v>
      </c>
      <c r="AO9" s="12">
        <f t="shared" si="21"/>
        <v>44.69</v>
      </c>
      <c r="AP9" s="12">
        <f t="shared" si="22"/>
        <v>123.97</v>
      </c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84"/>
      <c r="BG9" s="15" t="str">
        <f t="shared" si="23"/>
        <v/>
      </c>
      <c r="BH9" s="15" t="str">
        <f t="shared" si="24"/>
        <v/>
      </c>
      <c r="BI9" s="15" t="str">
        <f t="shared" si="25"/>
        <v/>
      </c>
      <c r="BJ9" s="15" t="str">
        <f t="shared" si="26"/>
        <v/>
      </c>
      <c r="BK9" s="15" t="str">
        <f t="shared" si="27"/>
        <v/>
      </c>
      <c r="BL9" s="15" t="str">
        <f t="shared" si="28"/>
        <v/>
      </c>
      <c r="BM9" s="26" t="str">
        <f t="shared" si="29"/>
        <v/>
      </c>
      <c r="BN9" s="26" t="str">
        <f t="shared" si="30"/>
        <v/>
      </c>
      <c r="BO9" s="26" t="str">
        <f t="shared" si="31"/>
        <v/>
      </c>
      <c r="BP9" s="26" t="str">
        <f t="shared" si="32"/>
        <v/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3.7749999999999999</v>
      </c>
      <c r="LJ9" s="72">
        <f t="shared" si="113"/>
        <v>4.5999999999999996</v>
      </c>
      <c r="LK9" s="72">
        <f t="shared" si="114"/>
        <v>1.5</v>
      </c>
      <c r="LL9" s="72">
        <f t="shared" si="115"/>
        <v>8.56</v>
      </c>
      <c r="LM9" s="72">
        <f t="shared" si="116"/>
        <v>0</v>
      </c>
      <c r="LN9" s="72">
        <f t="shared" si="117"/>
        <v>3.4750000000000001</v>
      </c>
      <c r="LO9" s="72">
        <f t="shared" si="118"/>
        <v>4.25</v>
      </c>
      <c r="LP9" s="72">
        <f t="shared" si="119"/>
        <v>5.3</v>
      </c>
      <c r="LQ9" s="72">
        <f t="shared" si="120"/>
        <v>8.18</v>
      </c>
      <c r="LR9" s="72">
        <f t="shared" si="121"/>
        <v>0</v>
      </c>
      <c r="LS9" s="72">
        <f t="shared" si="122"/>
        <v>3.7749999999999999</v>
      </c>
      <c r="LT9" s="72">
        <f t="shared" si="123"/>
        <v>4.5</v>
      </c>
      <c r="LU9" s="72">
        <f t="shared" si="124"/>
        <v>8.07</v>
      </c>
      <c r="LV9" s="72">
        <f t="shared" si="125"/>
        <v>6</v>
      </c>
      <c r="LW9" s="72">
        <f t="shared" si="126"/>
        <v>0</v>
      </c>
      <c r="LX9" s="83" t="s">
        <v>126</v>
      </c>
      <c r="LY9" s="12">
        <f t="shared" si="127"/>
        <v>5.3</v>
      </c>
      <c r="LZ9" s="12">
        <f t="shared" si="128"/>
        <v>18.435000000000002</v>
      </c>
      <c r="MA9" s="12">
        <f t="shared" si="129"/>
        <v>21.204999999999998</v>
      </c>
      <c r="MB9" s="12">
        <f t="shared" si="130"/>
        <v>39.64</v>
      </c>
      <c r="MC9" s="12">
        <f t="shared" si="131"/>
        <v>22.344999999999999</v>
      </c>
      <c r="MD9" s="12">
        <f t="shared" si="132"/>
        <v>61.984999999999999</v>
      </c>
    </row>
    <row r="10" spans="1:342" x14ac:dyDescent="0.2">
      <c r="A10" s="6" t="str">
        <f t="shared" si="0"/>
        <v/>
      </c>
      <c r="B10" s="9" t="s">
        <v>116</v>
      </c>
      <c r="C10" s="5" t="s">
        <v>11</v>
      </c>
      <c r="D10" s="29" t="s">
        <v>133</v>
      </c>
      <c r="E10" s="16">
        <f t="shared" si="1"/>
        <v>92.954999999999998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53.284999999999997</v>
      </c>
      <c r="K10" s="15" t="str">
        <f t="shared" si="7"/>
        <v>2018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39.67</v>
      </c>
      <c r="Q10" s="15" t="str">
        <f t="shared" si="13"/>
        <v>2018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41">
        <v>5.8</v>
      </c>
      <c r="V10" s="41">
        <v>9.32</v>
      </c>
      <c r="W10" s="41">
        <v>1.2</v>
      </c>
      <c r="X10" s="41">
        <v>6.7</v>
      </c>
      <c r="Y10" s="41">
        <v>0</v>
      </c>
      <c r="Z10" s="41">
        <v>5.0750000000000002</v>
      </c>
      <c r="AA10" s="41">
        <v>5.95</v>
      </c>
      <c r="AB10" s="41">
        <v>7.9</v>
      </c>
      <c r="AC10" s="41">
        <v>11.34</v>
      </c>
      <c r="AD10" s="41">
        <v>0</v>
      </c>
      <c r="AE10" s="41">
        <v>7.75</v>
      </c>
      <c r="AF10" s="41">
        <v>9.1</v>
      </c>
      <c r="AG10" s="41">
        <v>14.62</v>
      </c>
      <c r="AH10" s="41">
        <v>8.1999999999999993</v>
      </c>
      <c r="AI10" s="41">
        <v>0</v>
      </c>
      <c r="AJ10" s="83"/>
      <c r="AK10" s="12">
        <f t="shared" si="17"/>
        <v>7.9</v>
      </c>
      <c r="AL10" s="12">
        <f t="shared" si="18"/>
        <v>23.02</v>
      </c>
      <c r="AM10" s="12">
        <f t="shared" si="19"/>
        <v>30.265000000000001</v>
      </c>
      <c r="AN10" s="12">
        <f t="shared" si="20"/>
        <v>53.284999999999997</v>
      </c>
      <c r="AO10" s="12">
        <f t="shared" si="21"/>
        <v>39.67</v>
      </c>
      <c r="AP10" s="12">
        <f t="shared" si="22"/>
        <v>92.954999999999998</v>
      </c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84"/>
      <c r="BG10" s="15" t="str">
        <f t="shared" si="23"/>
        <v/>
      </c>
      <c r="BH10" s="15" t="str">
        <f t="shared" si="24"/>
        <v/>
      </c>
      <c r="BI10" s="15" t="str">
        <f t="shared" si="25"/>
        <v/>
      </c>
      <c r="BJ10" s="15" t="str">
        <f t="shared" si="26"/>
        <v/>
      </c>
      <c r="BK10" s="15" t="str">
        <f t="shared" si="27"/>
        <v/>
      </c>
      <c r="BL10" s="15" t="str">
        <f t="shared" si="28"/>
        <v/>
      </c>
      <c r="BM10" s="26" t="str">
        <f t="shared" si="29"/>
        <v/>
      </c>
      <c r="BN10" s="26" t="str">
        <f t="shared" si="30"/>
        <v/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2.9</v>
      </c>
      <c r="LJ10" s="72">
        <f t="shared" si="113"/>
        <v>4.66</v>
      </c>
      <c r="LK10" s="72">
        <f t="shared" si="114"/>
        <v>0.6</v>
      </c>
      <c r="LL10" s="72">
        <f t="shared" si="115"/>
        <v>3.35</v>
      </c>
      <c r="LM10" s="72">
        <f t="shared" si="116"/>
        <v>0</v>
      </c>
      <c r="LN10" s="72">
        <f t="shared" si="117"/>
        <v>2.5375000000000001</v>
      </c>
      <c r="LO10" s="72">
        <f t="shared" si="118"/>
        <v>2.9750000000000001</v>
      </c>
      <c r="LP10" s="72">
        <f t="shared" si="119"/>
        <v>3.95</v>
      </c>
      <c r="LQ10" s="72">
        <f t="shared" si="120"/>
        <v>5.67</v>
      </c>
      <c r="LR10" s="72">
        <f t="shared" si="121"/>
        <v>0</v>
      </c>
      <c r="LS10" s="72">
        <f t="shared" si="122"/>
        <v>3.875</v>
      </c>
      <c r="LT10" s="72">
        <f t="shared" si="123"/>
        <v>4.55</v>
      </c>
      <c r="LU10" s="72">
        <f t="shared" si="124"/>
        <v>7.31</v>
      </c>
      <c r="LV10" s="72">
        <f t="shared" si="125"/>
        <v>4.0999999999999996</v>
      </c>
      <c r="LW10" s="72">
        <f t="shared" si="126"/>
        <v>0</v>
      </c>
      <c r="LX10" s="83" t="s">
        <v>126</v>
      </c>
      <c r="LY10" s="12">
        <f t="shared" si="127"/>
        <v>3.95</v>
      </c>
      <c r="LZ10" s="12">
        <f t="shared" si="128"/>
        <v>11.51</v>
      </c>
      <c r="MA10" s="12">
        <f t="shared" si="129"/>
        <v>15.1325</v>
      </c>
      <c r="MB10" s="12">
        <f t="shared" si="130"/>
        <v>26.642499999999998</v>
      </c>
      <c r="MC10" s="12">
        <f t="shared" si="131"/>
        <v>19.835000000000001</v>
      </c>
      <c r="MD10" s="12">
        <f t="shared" si="132"/>
        <v>46.477499999999999</v>
      </c>
    </row>
    <row r="11" spans="1:342" x14ac:dyDescent="0.2">
      <c r="A11" s="6" t="str">
        <f t="shared" si="0"/>
        <v/>
      </c>
      <c r="B11" s="7" t="s">
        <v>114</v>
      </c>
      <c r="C11" s="8" t="s">
        <v>3</v>
      </c>
      <c r="D11" s="29" t="s">
        <v>134</v>
      </c>
      <c r="E11" s="16">
        <f t="shared" si="1"/>
        <v>85.945000000000007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80.795000000000002</v>
      </c>
      <c r="K11" s="15" t="str">
        <f t="shared" si="7"/>
        <v>2018 Nationals</v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>
        <f t="shared" si="12"/>
        <v>5.15</v>
      </c>
      <c r="Q11" s="15" t="str">
        <f t="shared" si="13"/>
        <v>2018 Nationals</v>
      </c>
      <c r="R11" s="15" t="str">
        <f t="shared" si="14"/>
        <v/>
      </c>
      <c r="S11" s="27" t="str">
        <f t="shared" si="15"/>
        <v/>
      </c>
      <c r="T11" s="15" t="str">
        <f t="shared" si="16"/>
        <v/>
      </c>
      <c r="U11" s="41">
        <v>8.4</v>
      </c>
      <c r="V11" s="41">
        <v>9.1</v>
      </c>
      <c r="W11" s="41">
        <v>3.1</v>
      </c>
      <c r="X11" s="41">
        <v>16.02</v>
      </c>
      <c r="Y11" s="41">
        <v>0.2</v>
      </c>
      <c r="Z11" s="41">
        <v>7.5750000000000002</v>
      </c>
      <c r="AA11" s="41">
        <v>8.9</v>
      </c>
      <c r="AB11" s="41">
        <v>10.5</v>
      </c>
      <c r="AC11" s="41">
        <v>17.399999999999999</v>
      </c>
      <c r="AD11" s="41">
        <v>0</v>
      </c>
      <c r="AE11" s="41">
        <v>0.85</v>
      </c>
      <c r="AF11" s="41">
        <v>0.8</v>
      </c>
      <c r="AG11" s="41">
        <v>2</v>
      </c>
      <c r="AH11" s="41">
        <v>1.5</v>
      </c>
      <c r="AI11" s="41">
        <v>0</v>
      </c>
      <c r="AJ11" s="83"/>
      <c r="AK11" s="12">
        <f t="shared" si="17"/>
        <v>10.5</v>
      </c>
      <c r="AL11" s="12">
        <f t="shared" si="18"/>
        <v>36.42</v>
      </c>
      <c r="AM11" s="12">
        <f t="shared" si="19"/>
        <v>44.375</v>
      </c>
      <c r="AN11" s="12">
        <f t="shared" si="20"/>
        <v>80.795000000000002</v>
      </c>
      <c r="AO11" s="12">
        <f t="shared" si="21"/>
        <v>5.15</v>
      </c>
      <c r="AP11" s="12">
        <f t="shared" si="22"/>
        <v>85.945000000000007</v>
      </c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84"/>
      <c r="BG11" s="15" t="str">
        <f t="shared" si="23"/>
        <v/>
      </c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26" t="str">
        <f t="shared" si="29"/>
        <v/>
      </c>
      <c r="BN11" s="26" t="str">
        <f t="shared" si="30"/>
        <v/>
      </c>
      <c r="BO11" s="26" t="str">
        <f t="shared" si="31"/>
        <v/>
      </c>
      <c r="BP11" s="26" t="str">
        <f t="shared" si="32"/>
        <v/>
      </c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12" t="str">
        <f t="shared" si="33"/>
        <v/>
      </c>
      <c r="CG11" s="12" t="str">
        <f t="shared" si="34"/>
        <v/>
      </c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12" t="str">
        <f t="shared" si="69"/>
        <v/>
      </c>
      <c r="HC11" s="12" t="str">
        <f t="shared" si="70"/>
        <v/>
      </c>
      <c r="HD11" s="12" t="str">
        <f t="shared" si="71"/>
        <v/>
      </c>
      <c r="HE11" s="12" t="str">
        <f t="shared" si="72"/>
        <v/>
      </c>
      <c r="HF11" s="12" t="str">
        <f t="shared" si="73"/>
        <v/>
      </c>
      <c r="HG11" s="12" t="str">
        <f t="shared" si="74"/>
        <v/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4.2</v>
      </c>
      <c r="LJ11" s="72">
        <f t="shared" si="113"/>
        <v>4.55</v>
      </c>
      <c r="LK11" s="72">
        <f t="shared" si="114"/>
        <v>1.55</v>
      </c>
      <c r="LL11" s="72">
        <f t="shared" si="115"/>
        <v>8.01</v>
      </c>
      <c r="LM11" s="72">
        <f t="shared" si="116"/>
        <v>0.1</v>
      </c>
      <c r="LN11" s="72">
        <f t="shared" si="117"/>
        <v>3.7875000000000001</v>
      </c>
      <c r="LO11" s="72">
        <f t="shared" si="118"/>
        <v>4.45</v>
      </c>
      <c r="LP11" s="72">
        <f t="shared" si="119"/>
        <v>5.25</v>
      </c>
      <c r="LQ11" s="72">
        <f t="shared" si="120"/>
        <v>8.6999999999999993</v>
      </c>
      <c r="LR11" s="72">
        <f t="shared" si="121"/>
        <v>0</v>
      </c>
      <c r="LS11" s="72">
        <f t="shared" si="122"/>
        <v>0.42499999999999999</v>
      </c>
      <c r="LT11" s="72">
        <f t="shared" si="123"/>
        <v>0.4</v>
      </c>
      <c r="LU11" s="72">
        <f t="shared" si="124"/>
        <v>1</v>
      </c>
      <c r="LV11" s="72">
        <f t="shared" si="125"/>
        <v>0.75</v>
      </c>
      <c r="LW11" s="72">
        <f t="shared" si="126"/>
        <v>0</v>
      </c>
      <c r="LX11" s="83" t="s">
        <v>126</v>
      </c>
      <c r="LY11" s="12">
        <f t="shared" si="127"/>
        <v>5.25</v>
      </c>
      <c r="LZ11" s="12">
        <f t="shared" si="128"/>
        <v>18.21</v>
      </c>
      <c r="MA11" s="12">
        <f t="shared" si="129"/>
        <v>22.1875</v>
      </c>
      <c r="MB11" s="12">
        <f t="shared" si="130"/>
        <v>40.397500000000001</v>
      </c>
      <c r="MC11" s="12">
        <f t="shared" si="131"/>
        <v>2.5750000000000002</v>
      </c>
      <c r="MD11" s="12">
        <f t="shared" si="132"/>
        <v>42.972500000000004</v>
      </c>
    </row>
    <row r="12" spans="1:342" x14ac:dyDescent="0.2">
      <c r="A12" s="6" t="str">
        <f t="shared" si="0"/>
        <v/>
      </c>
      <c r="B12" s="9" t="s">
        <v>112</v>
      </c>
      <c r="C12" s="5" t="s">
        <v>3</v>
      </c>
      <c r="D12" s="29" t="s">
        <v>135</v>
      </c>
      <c r="E12" s="16">
        <f t="shared" si="1"/>
        <v>81.405000000000001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81.405000000000001</v>
      </c>
      <c r="K12" s="15" t="str">
        <f t="shared" si="7"/>
        <v>2018 Nationals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 t="str">
        <f t="shared" si="14"/>
        <v/>
      </c>
      <c r="S12" s="27" t="str">
        <f t="shared" si="15"/>
        <v/>
      </c>
      <c r="T12" s="15" t="str">
        <f t="shared" si="16"/>
        <v/>
      </c>
      <c r="U12" s="41">
        <v>8.7249999999999996</v>
      </c>
      <c r="V12" s="41">
        <v>9.35</v>
      </c>
      <c r="W12" s="41">
        <v>4.0999999999999996</v>
      </c>
      <c r="X12" s="41">
        <v>15.58</v>
      </c>
      <c r="Y12" s="41">
        <v>0</v>
      </c>
      <c r="Z12" s="41">
        <v>6.65</v>
      </c>
      <c r="AA12" s="41">
        <v>8.9</v>
      </c>
      <c r="AB12" s="41">
        <v>13.5</v>
      </c>
      <c r="AC12" s="41">
        <v>14.6</v>
      </c>
      <c r="AD12" s="41">
        <v>0</v>
      </c>
      <c r="AE12" s="41"/>
      <c r="AF12" s="41"/>
      <c r="AG12" s="41"/>
      <c r="AH12" s="41"/>
      <c r="AI12" s="41"/>
      <c r="AJ12" s="83"/>
      <c r="AK12" s="12">
        <f t="shared" si="17"/>
        <v>13.5</v>
      </c>
      <c r="AL12" s="12">
        <f t="shared" si="18"/>
        <v>37.754999999999995</v>
      </c>
      <c r="AM12" s="12">
        <f t="shared" si="19"/>
        <v>43.65</v>
      </c>
      <c r="AN12" s="12">
        <f t="shared" si="20"/>
        <v>81.405000000000001</v>
      </c>
      <c r="AO12" s="12" t="str">
        <f t="shared" si="21"/>
        <v/>
      </c>
      <c r="AP12" s="12">
        <f t="shared" si="22"/>
        <v>81.405000000000001</v>
      </c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84"/>
      <c r="BG12" s="15" t="str">
        <f t="shared" si="23"/>
        <v/>
      </c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26" t="str">
        <f t="shared" si="29"/>
        <v/>
      </c>
      <c r="BN12" s="26" t="str">
        <f t="shared" si="30"/>
        <v/>
      </c>
      <c r="BO12" s="26" t="str">
        <f t="shared" si="31"/>
        <v/>
      </c>
      <c r="BP12" s="26" t="str">
        <f t="shared" si="32"/>
        <v/>
      </c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12" t="str">
        <f t="shared" si="33"/>
        <v/>
      </c>
      <c r="CG12" s="12" t="str">
        <f t="shared" si="34"/>
        <v/>
      </c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4.3624999999999998</v>
      </c>
      <c r="LJ12" s="72">
        <f t="shared" si="113"/>
        <v>4.6749999999999998</v>
      </c>
      <c r="LK12" s="72">
        <f t="shared" si="114"/>
        <v>2.0499999999999998</v>
      </c>
      <c r="LL12" s="72">
        <f t="shared" si="115"/>
        <v>7.79</v>
      </c>
      <c r="LM12" s="72">
        <f t="shared" si="116"/>
        <v>0</v>
      </c>
      <c r="LN12" s="72">
        <f t="shared" si="117"/>
        <v>3.3250000000000002</v>
      </c>
      <c r="LO12" s="72">
        <f t="shared" si="118"/>
        <v>4.45</v>
      </c>
      <c r="LP12" s="72">
        <f t="shared" si="119"/>
        <v>6.75</v>
      </c>
      <c r="LQ12" s="72">
        <f t="shared" si="120"/>
        <v>7.3</v>
      </c>
      <c r="LR12" s="72">
        <f t="shared" si="121"/>
        <v>0</v>
      </c>
      <c r="LS12" s="72">
        <f t="shared" si="122"/>
        <v>0</v>
      </c>
      <c r="LT12" s="72">
        <f t="shared" si="123"/>
        <v>0</v>
      </c>
      <c r="LU12" s="72">
        <f t="shared" si="124"/>
        <v>0</v>
      </c>
      <c r="LV12" s="72">
        <f t="shared" si="125"/>
        <v>0</v>
      </c>
      <c r="LW12" s="72">
        <f t="shared" si="126"/>
        <v>0</v>
      </c>
      <c r="LX12" s="83" t="s">
        <v>126</v>
      </c>
      <c r="LY12" s="12">
        <f t="shared" si="127"/>
        <v>6.75</v>
      </c>
      <c r="LZ12" s="12">
        <f t="shared" si="128"/>
        <v>18.877499999999998</v>
      </c>
      <c r="MA12" s="12">
        <f t="shared" si="129"/>
        <v>21.824999999999999</v>
      </c>
      <c r="MB12" s="12">
        <f t="shared" si="130"/>
        <v>40.702500000000001</v>
      </c>
      <c r="MC12" s="12" t="str">
        <f t="shared" si="131"/>
        <v/>
      </c>
      <c r="MD12" s="12">
        <f t="shared" si="132"/>
        <v>40.702500000000001</v>
      </c>
    </row>
    <row r="13" spans="1:342" x14ac:dyDescent="0.2">
      <c r="A13" s="6" t="str">
        <f t="shared" si="0"/>
        <v/>
      </c>
      <c r="B13" s="9" t="s">
        <v>176</v>
      </c>
      <c r="C13" s="5" t="s">
        <v>175</v>
      </c>
      <c r="D13" s="29" t="s">
        <v>174</v>
      </c>
      <c r="E13" s="16">
        <f t="shared" si="1"/>
        <v>71.960000000000008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71.960000000000008</v>
      </c>
      <c r="S13" s="27" t="str">
        <f t="shared" si="15"/>
        <v>(Prelim)</v>
      </c>
      <c r="T13" s="15" t="str">
        <f t="shared" si="16"/>
        <v>2019 World Cup BLR (Apr 21)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3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>
        <f t="shared" si="29"/>
        <v>40.519999999999996</v>
      </c>
      <c r="BN13" s="26">
        <f t="shared" si="30"/>
        <v>35.6</v>
      </c>
      <c r="BO13" s="26">
        <f t="shared" si="31"/>
        <v>71.960000000000008</v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12" t="str">
        <f t="shared" si="45"/>
        <v/>
      </c>
      <c r="DW13" s="12" t="str">
        <f t="shared" si="46"/>
        <v/>
      </c>
      <c r="DX13" s="12" t="str">
        <f t="shared" si="47"/>
        <v/>
      </c>
      <c r="DY13" s="12" t="str">
        <f t="shared" si="48"/>
        <v/>
      </c>
      <c r="DZ13" s="12" t="str">
        <f t="shared" si="49"/>
        <v/>
      </c>
      <c r="EA13" s="12" t="str">
        <f t="shared" si="50"/>
        <v/>
      </c>
      <c r="EB13" s="40">
        <v>8.65</v>
      </c>
      <c r="EC13" s="40">
        <v>9.35</v>
      </c>
      <c r="ED13" s="40">
        <v>4.9000000000000004</v>
      </c>
      <c r="EE13" s="40">
        <v>17.62</v>
      </c>
      <c r="EF13" s="40">
        <v>0</v>
      </c>
      <c r="EG13" s="40">
        <v>0.8</v>
      </c>
      <c r="EH13" s="40">
        <v>0.95</v>
      </c>
      <c r="EI13" s="40">
        <v>2</v>
      </c>
      <c r="EJ13" s="40">
        <v>1.8</v>
      </c>
      <c r="EK13" s="40">
        <v>0</v>
      </c>
      <c r="EL13" s="40"/>
      <c r="EM13" s="40"/>
      <c r="EN13" s="40"/>
      <c r="EO13" s="40"/>
      <c r="EP13" s="40"/>
      <c r="EQ13" s="15">
        <f t="shared" si="51"/>
        <v>2</v>
      </c>
      <c r="ER13" s="15">
        <f t="shared" si="52"/>
        <v>40.519999999999996</v>
      </c>
      <c r="ES13" s="15">
        <f t="shared" si="53"/>
        <v>5.55</v>
      </c>
      <c r="ET13" s="15">
        <f t="shared" si="54"/>
        <v>46.069999999999993</v>
      </c>
      <c r="EU13" s="15" t="str">
        <f t="shared" si="55"/>
        <v/>
      </c>
      <c r="EV13" s="15">
        <f t="shared" si="56"/>
        <v>46.069999999999993</v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>
        <v>8.9</v>
      </c>
      <c r="GN13" s="39">
        <v>8.9499999999999993</v>
      </c>
      <c r="GO13" s="39">
        <v>5.8</v>
      </c>
      <c r="GP13" s="39">
        <v>15.88</v>
      </c>
      <c r="GQ13" s="39">
        <v>0</v>
      </c>
      <c r="GR13" s="39">
        <v>4.1500000000000004</v>
      </c>
      <c r="GS13" s="39">
        <v>4.7</v>
      </c>
      <c r="GT13" s="39">
        <v>7.8</v>
      </c>
      <c r="GU13" s="39">
        <v>9.58</v>
      </c>
      <c r="GV13" s="39">
        <v>0</v>
      </c>
      <c r="GW13" s="39"/>
      <c r="GX13" s="39"/>
      <c r="GY13" s="39"/>
      <c r="GZ13" s="39"/>
      <c r="HA13" s="39"/>
      <c r="HB13" s="12">
        <f t="shared" si="69"/>
        <v>7.8</v>
      </c>
      <c r="HC13" s="12">
        <f t="shared" si="70"/>
        <v>39.53</v>
      </c>
      <c r="HD13" s="12">
        <f t="shared" si="71"/>
        <v>26.230000000000004</v>
      </c>
      <c r="HE13" s="12">
        <f t="shared" si="72"/>
        <v>65.760000000000005</v>
      </c>
      <c r="HF13" s="12" t="str">
        <f t="shared" si="73"/>
        <v/>
      </c>
      <c r="HG13" s="12">
        <f t="shared" si="74"/>
        <v>65.760000000000005</v>
      </c>
      <c r="HH13" s="40">
        <v>7.9</v>
      </c>
      <c r="HI13" s="40">
        <v>8.3000000000000007</v>
      </c>
      <c r="HJ13" s="40">
        <v>4.2</v>
      </c>
      <c r="HK13" s="40">
        <v>15.96</v>
      </c>
      <c r="HL13" s="40">
        <v>0</v>
      </c>
      <c r="HM13" s="40">
        <v>5.6</v>
      </c>
      <c r="HN13" s="40">
        <v>6.4</v>
      </c>
      <c r="HO13" s="40">
        <v>10.7</v>
      </c>
      <c r="HP13" s="40">
        <v>12.9</v>
      </c>
      <c r="HQ13" s="40">
        <v>0</v>
      </c>
      <c r="HR13" s="40"/>
      <c r="HS13" s="40"/>
      <c r="HT13" s="40"/>
      <c r="HU13" s="40"/>
      <c r="HV13" s="40"/>
      <c r="HW13" s="15">
        <f t="shared" si="75"/>
        <v>10.7</v>
      </c>
      <c r="HX13" s="15">
        <f t="shared" si="76"/>
        <v>36.36</v>
      </c>
      <c r="HY13" s="15">
        <f t="shared" si="77"/>
        <v>35.6</v>
      </c>
      <c r="HZ13" s="15">
        <f t="shared" si="78"/>
        <v>71.960000000000008</v>
      </c>
      <c r="IA13" s="15" t="str">
        <f t="shared" si="79"/>
        <v/>
      </c>
      <c r="IB13" s="15">
        <f t="shared" si="80"/>
        <v>71.960000000000008</v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0</v>
      </c>
      <c r="LJ13" s="72">
        <f t="shared" si="113"/>
        <v>0</v>
      </c>
      <c r="LK13" s="72">
        <f t="shared" si="114"/>
        <v>0</v>
      </c>
      <c r="LL13" s="72">
        <f t="shared" si="115"/>
        <v>0</v>
      </c>
      <c r="LM13" s="72">
        <f t="shared" si="116"/>
        <v>0</v>
      </c>
      <c r="LN13" s="72">
        <f t="shared" si="117"/>
        <v>0</v>
      </c>
      <c r="LO13" s="72">
        <f t="shared" si="118"/>
        <v>0</v>
      </c>
      <c r="LP13" s="72">
        <f t="shared" si="119"/>
        <v>0</v>
      </c>
      <c r="LQ13" s="72">
        <f t="shared" si="120"/>
        <v>0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 t="str">
        <f t="shared" si="127"/>
        <v/>
      </c>
      <c r="LZ13" s="12" t="str">
        <f t="shared" si="128"/>
        <v/>
      </c>
      <c r="MA13" s="12" t="str">
        <f t="shared" si="129"/>
        <v/>
      </c>
      <c r="MB13" s="12" t="str">
        <f t="shared" si="130"/>
        <v/>
      </c>
      <c r="MC13" s="12" t="str">
        <f t="shared" si="131"/>
        <v/>
      </c>
      <c r="MD13" s="12" t="str">
        <f t="shared" si="132"/>
        <v/>
      </c>
    </row>
    <row r="14" spans="1:342" x14ac:dyDescent="0.2">
      <c r="A14" s="6" t="str">
        <f t="shared" si="0"/>
        <v/>
      </c>
      <c r="B14" s="9" t="s">
        <v>122</v>
      </c>
      <c r="C14" s="5" t="s">
        <v>11</v>
      </c>
      <c r="D14" s="29" t="s">
        <v>137</v>
      </c>
      <c r="E14" s="16">
        <f t="shared" si="1"/>
        <v>70.25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70.25</v>
      </c>
      <c r="S14" s="27" t="str">
        <f t="shared" si="15"/>
        <v>(Prelim)</v>
      </c>
      <c r="T14" s="15" t="str">
        <f t="shared" si="16"/>
        <v>2018 Junior Pan Am Championships (June 23)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83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84"/>
      <c r="BG14" s="15" t="str">
        <f t="shared" si="23"/>
        <v/>
      </c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26">
        <f t="shared" si="29"/>
        <v>34.4</v>
      </c>
      <c r="BN14" s="26">
        <f t="shared" si="30"/>
        <v>35.849999999999994</v>
      </c>
      <c r="BO14" s="26">
        <f t="shared" si="31"/>
        <v>70.25</v>
      </c>
      <c r="BP14" s="26" t="str">
        <f t="shared" si="32"/>
        <v/>
      </c>
      <c r="BQ14" s="39">
        <v>8.1999999999999993</v>
      </c>
      <c r="BR14" s="39">
        <v>9.1999999999999993</v>
      </c>
      <c r="BS14" s="39">
        <v>0</v>
      </c>
      <c r="BT14" s="39">
        <v>17</v>
      </c>
      <c r="BU14" s="39">
        <v>0</v>
      </c>
      <c r="BV14" s="39">
        <v>6.35</v>
      </c>
      <c r="BW14" s="39">
        <v>7.6</v>
      </c>
      <c r="BX14" s="39">
        <v>8.6999999999999993</v>
      </c>
      <c r="BY14" s="39">
        <v>13.2</v>
      </c>
      <c r="BZ14" s="39">
        <v>0</v>
      </c>
      <c r="CA14" s="39"/>
      <c r="CB14" s="39"/>
      <c r="CC14" s="39"/>
      <c r="CD14" s="39"/>
      <c r="CE14" s="39"/>
      <c r="CF14" s="12">
        <f t="shared" si="33"/>
        <v>8.6999999999999993</v>
      </c>
      <c r="CG14" s="12">
        <f t="shared" si="34"/>
        <v>34.4</v>
      </c>
      <c r="CH14" s="12">
        <f t="shared" si="35"/>
        <v>35.849999999999994</v>
      </c>
      <c r="CI14" s="12">
        <f t="shared" si="36"/>
        <v>70.25</v>
      </c>
      <c r="CJ14" s="12" t="str">
        <f t="shared" si="37"/>
        <v/>
      </c>
      <c r="CK14" s="12">
        <f t="shared" si="38"/>
        <v>70.25</v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15" t="str">
        <f t="shared" si="51"/>
        <v/>
      </c>
      <c r="ER14" s="15" t="str">
        <f t="shared" si="52"/>
        <v/>
      </c>
      <c r="ES14" s="15" t="str">
        <f t="shared" si="53"/>
        <v/>
      </c>
      <c r="ET14" s="15" t="str">
        <f t="shared" si="54"/>
        <v/>
      </c>
      <c r="EU14" s="15" t="str">
        <f t="shared" si="55"/>
        <v/>
      </c>
      <c r="EV14" s="15" t="str">
        <f t="shared" si="56"/>
        <v/>
      </c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12" t="str">
        <f t="shared" si="57"/>
        <v/>
      </c>
      <c r="FM14" s="12" t="str">
        <f t="shared" si="58"/>
        <v/>
      </c>
      <c r="FN14" s="12" t="str">
        <f t="shared" si="59"/>
        <v/>
      </c>
      <c r="FO14" s="12" t="str">
        <f t="shared" si="60"/>
        <v/>
      </c>
      <c r="FP14" s="12" t="str">
        <f t="shared" si="61"/>
        <v/>
      </c>
      <c r="FQ14" s="12" t="str">
        <f t="shared" si="62"/>
        <v/>
      </c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15" t="str">
        <f t="shared" si="63"/>
        <v/>
      </c>
      <c r="GH14" s="15" t="str">
        <f t="shared" si="64"/>
        <v/>
      </c>
      <c r="GI14" s="15" t="str">
        <f t="shared" si="65"/>
        <v/>
      </c>
      <c r="GJ14" s="15" t="str">
        <f t="shared" si="66"/>
        <v/>
      </c>
      <c r="GK14" s="15" t="str">
        <f t="shared" si="67"/>
        <v/>
      </c>
      <c r="GL14" s="15" t="str">
        <f t="shared" si="68"/>
        <v/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15" t="str">
        <f t="shared" si="75"/>
        <v/>
      </c>
      <c r="HX14" s="15" t="str">
        <f t="shared" si="76"/>
        <v/>
      </c>
      <c r="HY14" s="15" t="str">
        <f t="shared" si="77"/>
        <v/>
      </c>
      <c r="HZ14" s="15" t="str">
        <f t="shared" si="78"/>
        <v/>
      </c>
      <c r="IA14" s="15" t="str">
        <f t="shared" si="79"/>
        <v/>
      </c>
      <c r="IB14" s="15" t="str">
        <f t="shared" si="80"/>
        <v/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12" t="str">
        <f t="shared" si="93"/>
        <v/>
      </c>
      <c r="KI14" s="12" t="str">
        <f t="shared" si="94"/>
        <v/>
      </c>
      <c r="KJ14" s="12" t="str">
        <f t="shared" si="95"/>
        <v/>
      </c>
      <c r="KK14" s="12" t="str">
        <f t="shared" si="96"/>
        <v/>
      </c>
      <c r="KL14" s="12" t="str">
        <f t="shared" si="97"/>
        <v/>
      </c>
      <c r="KM14" s="12" t="str">
        <f t="shared" si="98"/>
        <v/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0</v>
      </c>
      <c r="LJ14" s="72">
        <f t="shared" si="113"/>
        <v>0</v>
      </c>
      <c r="LK14" s="72">
        <f t="shared" si="114"/>
        <v>0</v>
      </c>
      <c r="LL14" s="72">
        <f t="shared" si="115"/>
        <v>0</v>
      </c>
      <c r="LM14" s="72">
        <f t="shared" si="116"/>
        <v>0</v>
      </c>
      <c r="LN14" s="72">
        <f t="shared" si="117"/>
        <v>0</v>
      </c>
      <c r="LO14" s="72">
        <f t="shared" si="118"/>
        <v>0</v>
      </c>
      <c r="LP14" s="72">
        <f t="shared" si="119"/>
        <v>0</v>
      </c>
      <c r="LQ14" s="72">
        <f t="shared" si="120"/>
        <v>0</v>
      </c>
      <c r="LR14" s="72">
        <f t="shared" si="121"/>
        <v>0</v>
      </c>
      <c r="LS14" s="72">
        <f t="shared" si="122"/>
        <v>0</v>
      </c>
      <c r="LT14" s="72">
        <f t="shared" si="123"/>
        <v>0</v>
      </c>
      <c r="LU14" s="72">
        <f t="shared" si="124"/>
        <v>0</v>
      </c>
      <c r="LV14" s="72">
        <f t="shared" si="125"/>
        <v>0</v>
      </c>
      <c r="LW14" s="72">
        <f t="shared" si="126"/>
        <v>0</v>
      </c>
      <c r="LX14" s="83" t="s">
        <v>126</v>
      </c>
      <c r="LY14" s="12" t="str">
        <f t="shared" si="127"/>
        <v/>
      </c>
      <c r="LZ14" s="12" t="str">
        <f t="shared" si="128"/>
        <v/>
      </c>
      <c r="MA14" s="12" t="str">
        <f t="shared" si="129"/>
        <v/>
      </c>
      <c r="MB14" s="12" t="str">
        <f t="shared" si="130"/>
        <v/>
      </c>
      <c r="MC14" s="12" t="str">
        <f t="shared" si="131"/>
        <v/>
      </c>
      <c r="MD14" s="12" t="str">
        <f t="shared" si="132"/>
        <v/>
      </c>
    </row>
    <row r="15" spans="1:342" x14ac:dyDescent="0.2">
      <c r="A15" s="6" t="str">
        <f t="shared" si="0"/>
        <v/>
      </c>
      <c r="B15" s="9" t="s">
        <v>172</v>
      </c>
      <c r="C15" s="5" t="s">
        <v>171</v>
      </c>
      <c r="D15" s="29" t="s">
        <v>173</v>
      </c>
      <c r="E15" s="16">
        <f t="shared" si="1"/>
        <v>48.524999999999999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48.524999999999999</v>
      </c>
      <c r="K15" s="15" t="str">
        <f t="shared" si="7"/>
        <v>2018 3rd Domestic Trial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 t="str">
        <f t="shared" si="14"/>
        <v/>
      </c>
      <c r="S15" s="27" t="str">
        <f t="shared" si="15"/>
        <v/>
      </c>
      <c r="T15" s="15" t="str">
        <f t="shared" si="16"/>
        <v/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3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42">
        <v>8</v>
      </c>
      <c r="AR15" s="42">
        <v>8.3000000000000007</v>
      </c>
      <c r="AS15" s="42">
        <v>3.4</v>
      </c>
      <c r="AT15" s="42">
        <v>16.7</v>
      </c>
      <c r="AU15" s="42">
        <v>0</v>
      </c>
      <c r="AV15" s="42">
        <v>3.4750000000000001</v>
      </c>
      <c r="AW15" s="42">
        <v>1.85</v>
      </c>
      <c r="AX15" s="42">
        <v>3.3</v>
      </c>
      <c r="AY15" s="42">
        <v>3.5</v>
      </c>
      <c r="AZ15" s="42">
        <v>0</v>
      </c>
      <c r="BA15" s="42"/>
      <c r="BB15" s="42"/>
      <c r="BC15" s="42"/>
      <c r="BD15" s="42"/>
      <c r="BE15" s="42"/>
      <c r="BF15" s="84"/>
      <c r="BG15" s="15">
        <f t="shared" si="23"/>
        <v>3.3</v>
      </c>
      <c r="BH15" s="15">
        <f t="shared" si="24"/>
        <v>36.4</v>
      </c>
      <c r="BI15" s="15">
        <f t="shared" si="25"/>
        <v>12.125</v>
      </c>
      <c r="BJ15" s="15">
        <f t="shared" si="26"/>
        <v>48.524999999999999</v>
      </c>
      <c r="BK15" s="15" t="str">
        <f t="shared" si="27"/>
        <v/>
      </c>
      <c r="BL15" s="15">
        <f t="shared" si="28"/>
        <v>48.524999999999999</v>
      </c>
      <c r="BM15" s="26" t="str">
        <f t="shared" si="29"/>
        <v/>
      </c>
      <c r="BN15" s="26" t="str">
        <f t="shared" si="30"/>
        <v/>
      </c>
      <c r="BO15" s="26" t="str">
        <f t="shared" si="31"/>
        <v/>
      </c>
      <c r="BP15" s="26" t="str">
        <f t="shared" si="32"/>
        <v/>
      </c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12" t="str">
        <f t="shared" si="33"/>
        <v/>
      </c>
      <c r="CG15" s="12" t="str">
        <f t="shared" si="34"/>
        <v/>
      </c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12" t="str">
        <f t="shared" si="69"/>
        <v/>
      </c>
      <c r="HC15" s="12" t="str">
        <f t="shared" si="70"/>
        <v/>
      </c>
      <c r="HD15" s="12" t="str">
        <f t="shared" si="71"/>
        <v/>
      </c>
      <c r="HE15" s="12" t="str">
        <f t="shared" si="72"/>
        <v/>
      </c>
      <c r="HF15" s="12" t="str">
        <f t="shared" si="73"/>
        <v/>
      </c>
      <c r="HG15" s="12" t="str">
        <f t="shared" si="74"/>
        <v/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12" t="str">
        <f t="shared" si="81"/>
        <v/>
      </c>
      <c r="IS15" s="12" t="str">
        <f t="shared" si="82"/>
        <v/>
      </c>
      <c r="IT15" s="12" t="str">
        <f t="shared" si="83"/>
        <v/>
      </c>
      <c r="IU15" s="12" t="str">
        <f t="shared" si="84"/>
        <v/>
      </c>
      <c r="IV15" s="12" t="str">
        <f t="shared" si="85"/>
        <v/>
      </c>
      <c r="IW15" s="12" t="str">
        <f t="shared" si="86"/>
        <v/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4</v>
      </c>
      <c r="LJ15" s="72">
        <f t="shared" si="113"/>
        <v>4.1500000000000004</v>
      </c>
      <c r="LK15" s="72">
        <f t="shared" si="114"/>
        <v>1.7</v>
      </c>
      <c r="LL15" s="72">
        <f t="shared" si="115"/>
        <v>8.35</v>
      </c>
      <c r="LM15" s="72">
        <f t="shared" si="116"/>
        <v>0</v>
      </c>
      <c r="LN15" s="72">
        <f t="shared" si="117"/>
        <v>1.7375</v>
      </c>
      <c r="LO15" s="72">
        <f t="shared" si="118"/>
        <v>0.92500000000000004</v>
      </c>
      <c r="LP15" s="72">
        <f t="shared" si="119"/>
        <v>1.65</v>
      </c>
      <c r="LQ15" s="72">
        <f t="shared" si="120"/>
        <v>1.75</v>
      </c>
      <c r="LR15" s="72">
        <f t="shared" si="121"/>
        <v>0</v>
      </c>
      <c r="LS15" s="72">
        <f t="shared" si="122"/>
        <v>0</v>
      </c>
      <c r="LT15" s="72">
        <f t="shared" si="123"/>
        <v>0</v>
      </c>
      <c r="LU15" s="72">
        <f t="shared" si="124"/>
        <v>0</v>
      </c>
      <c r="LV15" s="72">
        <f t="shared" si="125"/>
        <v>0</v>
      </c>
      <c r="LW15" s="72">
        <f t="shared" si="126"/>
        <v>0</v>
      </c>
      <c r="LX15" s="83" t="s">
        <v>126</v>
      </c>
      <c r="LY15" s="12">
        <f t="shared" si="127"/>
        <v>1.65</v>
      </c>
      <c r="LZ15" s="12">
        <f t="shared" si="128"/>
        <v>18.2</v>
      </c>
      <c r="MA15" s="12">
        <f t="shared" si="129"/>
        <v>6.0625</v>
      </c>
      <c r="MB15" s="12">
        <f t="shared" si="130"/>
        <v>24.262499999999999</v>
      </c>
      <c r="MC15" s="12" t="str">
        <f t="shared" si="131"/>
        <v/>
      </c>
      <c r="MD15" s="12">
        <f t="shared" si="132"/>
        <v>24.262499999999999</v>
      </c>
    </row>
    <row r="16" spans="1:342" x14ac:dyDescent="0.2">
      <c r="A16" s="6" t="str">
        <f t="shared" si="0"/>
        <v/>
      </c>
      <c r="B16" s="9" t="s">
        <v>184</v>
      </c>
      <c r="C16" s="5" t="s">
        <v>185</v>
      </c>
      <c r="D16" s="29" t="s">
        <v>133</v>
      </c>
      <c r="E16" s="16">
        <f t="shared" si="1"/>
        <v>45.67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 t="str">
        <f t="shared" si="6"/>
        <v/>
      </c>
      <c r="K16" s="15" t="str">
        <f t="shared" si="7"/>
        <v/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>
        <f t="shared" si="14"/>
        <v>45.67</v>
      </c>
      <c r="S16" s="27" t="str">
        <f t="shared" si="15"/>
        <v>(Vol 2)</v>
      </c>
      <c r="T16" s="15" t="str">
        <f t="shared" si="16"/>
        <v>2018 World Age Groups (Nov 18)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83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84"/>
      <c r="BG16" s="15" t="str">
        <f t="shared" si="23"/>
        <v/>
      </c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26" t="str">
        <f t="shared" si="29"/>
        <v/>
      </c>
      <c r="BN16" s="26">
        <f t="shared" si="30"/>
        <v>45.67</v>
      </c>
      <c r="BO16" s="26">
        <f t="shared" si="31"/>
        <v>45.67</v>
      </c>
      <c r="BP16" s="26" t="str">
        <f t="shared" si="32"/>
        <v/>
      </c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12" t="str">
        <f t="shared" si="33"/>
        <v/>
      </c>
      <c r="CG16" s="12" t="str">
        <f t="shared" si="34"/>
        <v/>
      </c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15" t="str">
        <f t="shared" si="39"/>
        <v/>
      </c>
      <c r="DB16" s="15" t="str">
        <f t="shared" si="40"/>
        <v/>
      </c>
      <c r="DC16" s="15" t="str">
        <f t="shared" si="41"/>
        <v/>
      </c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12" t="str">
        <f t="shared" si="45"/>
        <v/>
      </c>
      <c r="DW16" s="12" t="str">
        <f t="shared" si="46"/>
        <v/>
      </c>
      <c r="DX16" s="12" t="str">
        <f t="shared" si="47"/>
        <v/>
      </c>
      <c r="DY16" s="12" t="str">
        <f t="shared" si="48"/>
        <v/>
      </c>
      <c r="DZ16" s="12" t="str">
        <f t="shared" si="49"/>
        <v/>
      </c>
      <c r="EA16" s="12" t="str">
        <f t="shared" si="50"/>
        <v/>
      </c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15" t="str">
        <f t="shared" si="51"/>
        <v/>
      </c>
      <c r="ER16" s="15" t="str">
        <f t="shared" si="52"/>
        <v/>
      </c>
      <c r="ES16" s="15" t="str">
        <f t="shared" si="53"/>
        <v/>
      </c>
      <c r="ET16" s="15" t="str">
        <f t="shared" si="54"/>
        <v/>
      </c>
      <c r="EU16" s="15" t="str">
        <f t="shared" si="55"/>
        <v/>
      </c>
      <c r="EV16" s="15" t="str">
        <f t="shared" si="56"/>
        <v/>
      </c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12" t="str">
        <f t="shared" si="57"/>
        <v/>
      </c>
      <c r="FM16" s="12" t="str">
        <f t="shared" si="58"/>
        <v/>
      </c>
      <c r="FN16" s="12" t="str">
        <f t="shared" si="59"/>
        <v/>
      </c>
      <c r="FO16" s="12" t="str">
        <f t="shared" si="60"/>
        <v/>
      </c>
      <c r="FP16" s="12" t="str">
        <f t="shared" si="61"/>
        <v/>
      </c>
      <c r="FQ16" s="12" t="str">
        <f t="shared" si="62"/>
        <v/>
      </c>
      <c r="FR16" s="40"/>
      <c r="FS16" s="40"/>
      <c r="FT16" s="40"/>
      <c r="FU16" s="40"/>
      <c r="FV16" s="40"/>
      <c r="FW16" s="40">
        <v>7.2</v>
      </c>
      <c r="FX16" s="40">
        <v>9.0500000000000007</v>
      </c>
      <c r="FY16" s="40">
        <v>12.4</v>
      </c>
      <c r="FZ16" s="40">
        <v>17.02</v>
      </c>
      <c r="GA16" s="40">
        <v>0</v>
      </c>
      <c r="GB16" s="40"/>
      <c r="GC16" s="40"/>
      <c r="GD16" s="40"/>
      <c r="GE16" s="40"/>
      <c r="GF16" s="40"/>
      <c r="GG16" s="15">
        <f t="shared" si="63"/>
        <v>12.4</v>
      </c>
      <c r="GH16" s="15" t="str">
        <f t="shared" si="64"/>
        <v/>
      </c>
      <c r="GI16" s="15">
        <f t="shared" si="65"/>
        <v>45.67</v>
      </c>
      <c r="GJ16" s="15">
        <f t="shared" si="66"/>
        <v>45.67</v>
      </c>
      <c r="GK16" s="15" t="str">
        <f t="shared" si="67"/>
        <v/>
      </c>
      <c r="GL16" s="15">
        <f t="shared" si="68"/>
        <v>45.67</v>
      </c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12" t="str">
        <f t="shared" si="69"/>
        <v/>
      </c>
      <c r="HC16" s="12" t="str">
        <f t="shared" si="70"/>
        <v/>
      </c>
      <c r="HD16" s="12" t="str">
        <f t="shared" si="71"/>
        <v/>
      </c>
      <c r="HE16" s="12" t="str">
        <f t="shared" si="72"/>
        <v/>
      </c>
      <c r="HF16" s="12" t="str">
        <f t="shared" si="73"/>
        <v/>
      </c>
      <c r="HG16" s="12" t="str">
        <f t="shared" si="74"/>
        <v/>
      </c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15" t="str">
        <f t="shared" si="75"/>
        <v/>
      </c>
      <c r="HX16" s="15" t="str">
        <f t="shared" si="76"/>
        <v/>
      </c>
      <c r="HY16" s="15" t="str">
        <f t="shared" si="77"/>
        <v/>
      </c>
      <c r="HZ16" s="15" t="str">
        <f t="shared" si="78"/>
        <v/>
      </c>
      <c r="IA16" s="15" t="str">
        <f t="shared" si="79"/>
        <v/>
      </c>
      <c r="IB16" s="15" t="str">
        <f t="shared" si="80"/>
        <v/>
      </c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12" t="str">
        <f t="shared" si="81"/>
        <v/>
      </c>
      <c r="IS16" s="12" t="str">
        <f t="shared" si="82"/>
        <v/>
      </c>
      <c r="IT16" s="12" t="str">
        <f t="shared" si="83"/>
        <v/>
      </c>
      <c r="IU16" s="12" t="str">
        <f t="shared" si="84"/>
        <v/>
      </c>
      <c r="IV16" s="12" t="str">
        <f t="shared" si="85"/>
        <v/>
      </c>
      <c r="IW16" s="12" t="str">
        <f t="shared" si="86"/>
        <v/>
      </c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15" t="str">
        <f t="shared" si="87"/>
        <v/>
      </c>
      <c r="JN16" s="15" t="str">
        <f t="shared" si="88"/>
        <v/>
      </c>
      <c r="JO16" s="15" t="str">
        <f t="shared" si="89"/>
        <v/>
      </c>
      <c r="JP16" s="15" t="str">
        <f t="shared" si="90"/>
        <v/>
      </c>
      <c r="JQ16" s="15" t="str">
        <f t="shared" si="91"/>
        <v/>
      </c>
      <c r="JR16" s="15" t="str">
        <f t="shared" si="92"/>
        <v/>
      </c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12" t="str">
        <f t="shared" si="93"/>
        <v/>
      </c>
      <c r="KI16" s="12" t="str">
        <f t="shared" si="94"/>
        <v/>
      </c>
      <c r="KJ16" s="12" t="str">
        <f t="shared" si="95"/>
        <v/>
      </c>
      <c r="KK16" s="12" t="str">
        <f t="shared" si="96"/>
        <v/>
      </c>
      <c r="KL16" s="12" t="str">
        <f t="shared" si="97"/>
        <v/>
      </c>
      <c r="KM16" s="12" t="str">
        <f t="shared" si="98"/>
        <v/>
      </c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15" t="str">
        <f t="shared" si="99"/>
        <v/>
      </c>
      <c r="LD16" s="15" t="str">
        <f t="shared" si="100"/>
        <v/>
      </c>
      <c r="LE16" s="15" t="str">
        <f t="shared" si="101"/>
        <v/>
      </c>
      <c r="LF16" s="15" t="str">
        <f t="shared" si="102"/>
        <v/>
      </c>
      <c r="LG16" s="15" t="str">
        <f t="shared" si="103"/>
        <v/>
      </c>
      <c r="LH16" s="15" t="str">
        <f t="shared" si="104"/>
        <v/>
      </c>
      <c r="LI16" s="72">
        <f t="shared" si="112"/>
        <v>0</v>
      </c>
      <c r="LJ16" s="72">
        <f t="shared" si="113"/>
        <v>0</v>
      </c>
      <c r="LK16" s="72">
        <f t="shared" si="114"/>
        <v>0</v>
      </c>
      <c r="LL16" s="72">
        <f t="shared" si="115"/>
        <v>0</v>
      </c>
      <c r="LM16" s="72">
        <f t="shared" si="116"/>
        <v>0</v>
      </c>
      <c r="LN16" s="72">
        <f t="shared" si="117"/>
        <v>0</v>
      </c>
      <c r="LO16" s="72">
        <f t="shared" si="118"/>
        <v>0</v>
      </c>
      <c r="LP16" s="72">
        <f t="shared" si="119"/>
        <v>0</v>
      </c>
      <c r="LQ16" s="72">
        <f t="shared" si="120"/>
        <v>0</v>
      </c>
      <c r="LR16" s="72">
        <f t="shared" si="121"/>
        <v>0</v>
      </c>
      <c r="LS16" s="72">
        <f t="shared" si="122"/>
        <v>0</v>
      </c>
      <c r="LT16" s="72">
        <f t="shared" si="123"/>
        <v>0</v>
      </c>
      <c r="LU16" s="72">
        <f t="shared" si="124"/>
        <v>0</v>
      </c>
      <c r="LV16" s="72">
        <f t="shared" si="125"/>
        <v>0</v>
      </c>
      <c r="LW16" s="72">
        <f t="shared" si="126"/>
        <v>0</v>
      </c>
      <c r="LX16" s="83" t="s">
        <v>126</v>
      </c>
      <c r="LY16" s="12" t="str">
        <f t="shared" si="127"/>
        <v/>
      </c>
      <c r="LZ16" s="12" t="str">
        <f t="shared" si="128"/>
        <v/>
      </c>
      <c r="MA16" s="12" t="str">
        <f t="shared" si="129"/>
        <v/>
      </c>
      <c r="MB16" s="12" t="str">
        <f t="shared" si="130"/>
        <v/>
      </c>
      <c r="MC16" s="12" t="str">
        <f t="shared" si="131"/>
        <v/>
      </c>
      <c r="MD16" s="12" t="str">
        <f t="shared" si="132"/>
        <v/>
      </c>
    </row>
    <row r="17" spans="1:342" x14ac:dyDescent="0.2">
      <c r="A17" s="6" t="str">
        <f t="shared" si="0"/>
        <v/>
      </c>
      <c r="B17" s="9" t="s">
        <v>181</v>
      </c>
      <c r="C17" s="5" t="s">
        <v>182</v>
      </c>
      <c r="D17" s="29" t="s">
        <v>183</v>
      </c>
      <c r="E17" s="16">
        <f t="shared" si="1"/>
        <v>42.120000000000005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 t="str">
        <f t="shared" si="6"/>
        <v/>
      </c>
      <c r="K17" s="15" t="str">
        <f t="shared" si="7"/>
        <v/>
      </c>
      <c r="L17" s="15" t="str">
        <f t="shared" si="8"/>
        <v/>
      </c>
      <c r="M17" s="15" t="str">
        <f t="shared" si="9"/>
        <v/>
      </c>
      <c r="N17" s="15" t="str">
        <f t="shared" si="10"/>
        <v/>
      </c>
      <c r="O17" s="15" t="str">
        <f t="shared" si="11"/>
        <v/>
      </c>
      <c r="P17" s="15" t="str">
        <f t="shared" si="12"/>
        <v/>
      </c>
      <c r="Q17" s="15" t="str">
        <f t="shared" si="13"/>
        <v/>
      </c>
      <c r="R17" s="15">
        <f t="shared" si="14"/>
        <v>42.120000000000005</v>
      </c>
      <c r="S17" s="27" t="str">
        <f t="shared" si="15"/>
        <v>(Vol 2)</v>
      </c>
      <c r="T17" s="15" t="str">
        <f t="shared" si="16"/>
        <v>2018 World Age Groups (Nov 18)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83"/>
      <c r="AK17" s="12" t="str">
        <f t="shared" si="17"/>
        <v/>
      </c>
      <c r="AL17" s="12" t="str">
        <f t="shared" si="18"/>
        <v/>
      </c>
      <c r="AM17" s="12" t="str">
        <f t="shared" si="19"/>
        <v/>
      </c>
      <c r="AN17" s="12" t="str">
        <f t="shared" si="20"/>
        <v/>
      </c>
      <c r="AO17" s="12" t="str">
        <f t="shared" si="21"/>
        <v/>
      </c>
      <c r="AP17" s="12" t="str">
        <f t="shared" si="22"/>
        <v/>
      </c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84"/>
      <c r="BG17" s="15" t="str">
        <f t="shared" si="23"/>
        <v/>
      </c>
      <c r="BH17" s="15" t="str">
        <f t="shared" si="24"/>
        <v/>
      </c>
      <c r="BI17" s="15" t="str">
        <f t="shared" si="25"/>
        <v/>
      </c>
      <c r="BJ17" s="15" t="str">
        <f t="shared" si="26"/>
        <v/>
      </c>
      <c r="BK17" s="15" t="str">
        <f t="shared" si="27"/>
        <v/>
      </c>
      <c r="BL17" s="15" t="str">
        <f t="shared" si="28"/>
        <v/>
      </c>
      <c r="BM17" s="26" t="str">
        <f t="shared" si="29"/>
        <v/>
      </c>
      <c r="BN17" s="26">
        <f t="shared" si="30"/>
        <v>42.120000000000005</v>
      </c>
      <c r="BO17" s="26">
        <f t="shared" si="31"/>
        <v>42.120000000000005</v>
      </c>
      <c r="BP17" s="26" t="str">
        <f t="shared" si="32"/>
        <v/>
      </c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12" t="str">
        <f t="shared" si="33"/>
        <v/>
      </c>
      <c r="CG17" s="12" t="str">
        <f t="shared" si="34"/>
        <v/>
      </c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15" t="str">
        <f t="shared" si="39"/>
        <v/>
      </c>
      <c r="DB17" s="15" t="str">
        <f t="shared" si="40"/>
        <v/>
      </c>
      <c r="DC17" s="15" t="str">
        <f t="shared" si="41"/>
        <v/>
      </c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12" t="str">
        <f t="shared" si="45"/>
        <v/>
      </c>
      <c r="DW17" s="12" t="str">
        <f t="shared" si="46"/>
        <v/>
      </c>
      <c r="DX17" s="12" t="str">
        <f t="shared" si="47"/>
        <v/>
      </c>
      <c r="DY17" s="12" t="str">
        <f t="shared" si="48"/>
        <v/>
      </c>
      <c r="DZ17" s="12" t="str">
        <f t="shared" si="49"/>
        <v/>
      </c>
      <c r="EA17" s="12" t="str">
        <f t="shared" si="50"/>
        <v/>
      </c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15" t="str">
        <f t="shared" si="51"/>
        <v/>
      </c>
      <c r="ER17" s="15" t="str">
        <f t="shared" si="52"/>
        <v/>
      </c>
      <c r="ES17" s="15" t="str">
        <f t="shared" si="53"/>
        <v/>
      </c>
      <c r="ET17" s="15" t="str">
        <f t="shared" si="54"/>
        <v/>
      </c>
      <c r="EU17" s="15" t="str">
        <f t="shared" si="55"/>
        <v/>
      </c>
      <c r="EV17" s="15" t="str">
        <f t="shared" si="56"/>
        <v/>
      </c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12" t="str">
        <f t="shared" si="57"/>
        <v/>
      </c>
      <c r="FM17" s="12" t="str">
        <f t="shared" si="58"/>
        <v/>
      </c>
      <c r="FN17" s="12" t="str">
        <f t="shared" si="59"/>
        <v/>
      </c>
      <c r="FO17" s="12" t="str">
        <f t="shared" si="60"/>
        <v/>
      </c>
      <c r="FP17" s="12" t="str">
        <f t="shared" si="61"/>
        <v/>
      </c>
      <c r="FQ17" s="12" t="str">
        <f t="shared" si="62"/>
        <v/>
      </c>
      <c r="FR17" s="40"/>
      <c r="FS17" s="40"/>
      <c r="FT17" s="40"/>
      <c r="FU17" s="40"/>
      <c r="FV17" s="40"/>
      <c r="FW17" s="40">
        <v>7.4</v>
      </c>
      <c r="FX17" s="40">
        <v>9.1</v>
      </c>
      <c r="FY17" s="40">
        <v>10.1</v>
      </c>
      <c r="FZ17" s="40">
        <v>15.92</v>
      </c>
      <c r="GA17" s="40">
        <v>0.4</v>
      </c>
      <c r="GB17" s="40"/>
      <c r="GC17" s="40"/>
      <c r="GD17" s="40"/>
      <c r="GE17" s="40"/>
      <c r="GF17" s="40"/>
      <c r="GG17" s="15">
        <f t="shared" si="63"/>
        <v>10.1</v>
      </c>
      <c r="GH17" s="15" t="str">
        <f t="shared" si="64"/>
        <v/>
      </c>
      <c r="GI17" s="15">
        <f t="shared" si="65"/>
        <v>42.120000000000005</v>
      </c>
      <c r="GJ17" s="15">
        <f t="shared" si="66"/>
        <v>42.120000000000005</v>
      </c>
      <c r="GK17" s="15" t="str">
        <f t="shared" si="67"/>
        <v/>
      </c>
      <c r="GL17" s="15">
        <f t="shared" si="68"/>
        <v>42.120000000000005</v>
      </c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12" t="str">
        <f t="shared" si="69"/>
        <v/>
      </c>
      <c r="HC17" s="12" t="str">
        <f t="shared" si="70"/>
        <v/>
      </c>
      <c r="HD17" s="12" t="str">
        <f t="shared" si="71"/>
        <v/>
      </c>
      <c r="HE17" s="12" t="str">
        <f t="shared" si="72"/>
        <v/>
      </c>
      <c r="HF17" s="12" t="str">
        <f t="shared" si="73"/>
        <v/>
      </c>
      <c r="HG17" s="12" t="str">
        <f t="shared" si="74"/>
        <v/>
      </c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15" t="str">
        <f t="shared" si="75"/>
        <v/>
      </c>
      <c r="HX17" s="15" t="str">
        <f t="shared" si="76"/>
        <v/>
      </c>
      <c r="HY17" s="15" t="str">
        <f t="shared" si="77"/>
        <v/>
      </c>
      <c r="HZ17" s="15" t="str">
        <f t="shared" si="78"/>
        <v/>
      </c>
      <c r="IA17" s="15" t="str">
        <f t="shared" si="79"/>
        <v/>
      </c>
      <c r="IB17" s="15" t="str">
        <f t="shared" si="80"/>
        <v/>
      </c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12" t="str">
        <f t="shared" si="81"/>
        <v/>
      </c>
      <c r="IS17" s="12" t="str">
        <f t="shared" si="82"/>
        <v/>
      </c>
      <c r="IT17" s="12" t="str">
        <f t="shared" si="83"/>
        <v/>
      </c>
      <c r="IU17" s="12" t="str">
        <f t="shared" si="84"/>
        <v/>
      </c>
      <c r="IV17" s="12" t="str">
        <f t="shared" si="85"/>
        <v/>
      </c>
      <c r="IW17" s="12" t="str">
        <f t="shared" si="86"/>
        <v/>
      </c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15" t="str">
        <f t="shared" si="87"/>
        <v/>
      </c>
      <c r="JN17" s="15" t="str">
        <f t="shared" si="88"/>
        <v/>
      </c>
      <c r="JO17" s="15" t="str">
        <f t="shared" si="89"/>
        <v/>
      </c>
      <c r="JP17" s="15" t="str">
        <f t="shared" si="90"/>
        <v/>
      </c>
      <c r="JQ17" s="15" t="str">
        <f t="shared" si="91"/>
        <v/>
      </c>
      <c r="JR17" s="15" t="str">
        <f t="shared" si="92"/>
        <v/>
      </c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12" t="str">
        <f t="shared" si="93"/>
        <v/>
      </c>
      <c r="KI17" s="12" t="str">
        <f t="shared" si="94"/>
        <v/>
      </c>
      <c r="KJ17" s="12" t="str">
        <f t="shared" si="95"/>
        <v/>
      </c>
      <c r="KK17" s="12" t="str">
        <f t="shared" si="96"/>
        <v/>
      </c>
      <c r="KL17" s="12" t="str">
        <f t="shared" si="97"/>
        <v/>
      </c>
      <c r="KM17" s="12" t="str">
        <f t="shared" si="98"/>
        <v/>
      </c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15" t="str">
        <f t="shared" si="99"/>
        <v/>
      </c>
      <c r="LD17" s="15" t="str">
        <f t="shared" si="100"/>
        <v/>
      </c>
      <c r="LE17" s="15" t="str">
        <f t="shared" si="101"/>
        <v/>
      </c>
      <c r="LF17" s="15" t="str">
        <f t="shared" si="102"/>
        <v/>
      </c>
      <c r="LG17" s="15" t="str">
        <f t="shared" si="103"/>
        <v/>
      </c>
      <c r="LH17" s="15" t="str">
        <f t="shared" si="104"/>
        <v/>
      </c>
      <c r="LI17" s="72">
        <f t="shared" si="112"/>
        <v>0</v>
      </c>
      <c r="LJ17" s="72">
        <f t="shared" si="113"/>
        <v>0</v>
      </c>
      <c r="LK17" s="72">
        <f t="shared" si="114"/>
        <v>0</v>
      </c>
      <c r="LL17" s="72">
        <f t="shared" si="115"/>
        <v>0</v>
      </c>
      <c r="LM17" s="72">
        <f t="shared" si="116"/>
        <v>0</v>
      </c>
      <c r="LN17" s="72">
        <f t="shared" si="117"/>
        <v>0</v>
      </c>
      <c r="LO17" s="72">
        <f t="shared" si="118"/>
        <v>0</v>
      </c>
      <c r="LP17" s="72">
        <f t="shared" si="119"/>
        <v>0</v>
      </c>
      <c r="LQ17" s="72">
        <f t="shared" si="120"/>
        <v>0</v>
      </c>
      <c r="LR17" s="72">
        <f t="shared" si="121"/>
        <v>0</v>
      </c>
      <c r="LS17" s="72">
        <f t="shared" si="122"/>
        <v>0</v>
      </c>
      <c r="LT17" s="72">
        <f t="shared" si="123"/>
        <v>0</v>
      </c>
      <c r="LU17" s="72">
        <f t="shared" si="124"/>
        <v>0</v>
      </c>
      <c r="LV17" s="72">
        <f t="shared" si="125"/>
        <v>0</v>
      </c>
      <c r="LW17" s="72">
        <f t="shared" si="126"/>
        <v>0</v>
      </c>
      <c r="LX17" s="83" t="s">
        <v>126</v>
      </c>
      <c r="LY17" s="12" t="str">
        <f t="shared" si="127"/>
        <v/>
      </c>
      <c r="LZ17" s="12" t="str">
        <f t="shared" si="128"/>
        <v/>
      </c>
      <c r="MA17" s="12" t="str">
        <f t="shared" si="129"/>
        <v/>
      </c>
      <c r="MB17" s="12" t="str">
        <f t="shared" si="130"/>
        <v/>
      </c>
      <c r="MC17" s="12" t="str">
        <f t="shared" si="131"/>
        <v/>
      </c>
      <c r="MD17" s="12" t="str">
        <f t="shared" si="132"/>
        <v/>
      </c>
    </row>
    <row r="18" spans="1:342" x14ac:dyDescent="0.2">
      <c r="A18" s="6" t="str">
        <f t="shared" si="0"/>
        <v/>
      </c>
      <c r="B18" s="9" t="s">
        <v>186</v>
      </c>
      <c r="C18" s="5" t="s">
        <v>11</v>
      </c>
      <c r="D18" s="29" t="s">
        <v>187</v>
      </c>
      <c r="E18" s="16">
        <f t="shared" si="1"/>
        <v>33.99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 t="str">
        <f t="shared" si="6"/>
        <v/>
      </c>
      <c r="K18" s="15" t="str">
        <f t="shared" si="7"/>
        <v/>
      </c>
      <c r="L18" s="15" t="str">
        <f t="shared" si="8"/>
        <v/>
      </c>
      <c r="M18" s="15" t="str">
        <f t="shared" si="9"/>
        <v/>
      </c>
      <c r="N18" s="15" t="str">
        <f t="shared" si="10"/>
        <v/>
      </c>
      <c r="O18" s="15" t="str">
        <f t="shared" si="11"/>
        <v/>
      </c>
      <c r="P18" s="15" t="str">
        <f t="shared" si="12"/>
        <v/>
      </c>
      <c r="Q18" s="15" t="str">
        <f t="shared" si="13"/>
        <v/>
      </c>
      <c r="R18" s="15">
        <f t="shared" si="14"/>
        <v>33.99</v>
      </c>
      <c r="S18" s="27" t="str">
        <f t="shared" si="15"/>
        <v>(Vol 2)</v>
      </c>
      <c r="T18" s="15" t="str">
        <f t="shared" si="16"/>
        <v>2018 World Age Groups (Nov 18)</v>
      </c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83"/>
      <c r="AK18" s="12" t="str">
        <f t="shared" si="17"/>
        <v/>
      </c>
      <c r="AL18" s="12" t="str">
        <f t="shared" si="18"/>
        <v/>
      </c>
      <c r="AM18" s="12" t="str">
        <f t="shared" si="19"/>
        <v/>
      </c>
      <c r="AN18" s="12" t="str">
        <f t="shared" si="20"/>
        <v/>
      </c>
      <c r="AO18" s="12" t="str">
        <f t="shared" si="21"/>
        <v/>
      </c>
      <c r="AP18" s="12" t="str">
        <f t="shared" si="22"/>
        <v/>
      </c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84"/>
      <c r="BG18" s="15" t="str">
        <f t="shared" si="23"/>
        <v/>
      </c>
      <c r="BH18" s="15" t="str">
        <f t="shared" si="24"/>
        <v/>
      </c>
      <c r="BI18" s="15" t="str">
        <f t="shared" si="25"/>
        <v/>
      </c>
      <c r="BJ18" s="15" t="str">
        <f t="shared" si="26"/>
        <v/>
      </c>
      <c r="BK18" s="15" t="str">
        <f t="shared" si="27"/>
        <v/>
      </c>
      <c r="BL18" s="15" t="str">
        <f t="shared" si="28"/>
        <v/>
      </c>
      <c r="BM18" s="26" t="str">
        <f t="shared" si="29"/>
        <v/>
      </c>
      <c r="BN18" s="26">
        <f t="shared" si="30"/>
        <v>33.99</v>
      </c>
      <c r="BO18" s="26">
        <f t="shared" si="31"/>
        <v>33.99</v>
      </c>
      <c r="BP18" s="26" t="str">
        <f t="shared" si="32"/>
        <v/>
      </c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12" t="str">
        <f t="shared" si="33"/>
        <v/>
      </c>
      <c r="CG18" s="12" t="str">
        <f t="shared" si="34"/>
        <v/>
      </c>
      <c r="CH18" s="12" t="str">
        <f t="shared" si="35"/>
        <v/>
      </c>
      <c r="CI18" s="12" t="str">
        <f t="shared" si="36"/>
        <v/>
      </c>
      <c r="CJ18" s="12" t="str">
        <f t="shared" si="37"/>
        <v/>
      </c>
      <c r="CK18" s="12" t="str">
        <f t="shared" si="38"/>
        <v/>
      </c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15" t="str">
        <f t="shared" si="39"/>
        <v/>
      </c>
      <c r="DB18" s="15" t="str">
        <f t="shared" si="40"/>
        <v/>
      </c>
      <c r="DC18" s="15" t="str">
        <f t="shared" si="41"/>
        <v/>
      </c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12" t="str">
        <f t="shared" si="45"/>
        <v/>
      </c>
      <c r="DW18" s="12" t="str">
        <f t="shared" si="46"/>
        <v/>
      </c>
      <c r="DX18" s="12" t="str">
        <f t="shared" si="47"/>
        <v/>
      </c>
      <c r="DY18" s="12" t="str">
        <f t="shared" si="48"/>
        <v/>
      </c>
      <c r="DZ18" s="12" t="str">
        <f t="shared" si="49"/>
        <v/>
      </c>
      <c r="EA18" s="12" t="str">
        <f t="shared" si="50"/>
        <v/>
      </c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15" t="str">
        <f t="shared" si="51"/>
        <v/>
      </c>
      <c r="ER18" s="15" t="str">
        <f t="shared" si="52"/>
        <v/>
      </c>
      <c r="ES18" s="15" t="str">
        <f t="shared" si="53"/>
        <v/>
      </c>
      <c r="ET18" s="15" t="str">
        <f t="shared" si="54"/>
        <v/>
      </c>
      <c r="EU18" s="15" t="str">
        <f t="shared" si="55"/>
        <v/>
      </c>
      <c r="EV18" s="15" t="str">
        <f t="shared" si="56"/>
        <v/>
      </c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12" t="str">
        <f t="shared" si="57"/>
        <v/>
      </c>
      <c r="FM18" s="12" t="str">
        <f t="shared" si="58"/>
        <v/>
      </c>
      <c r="FN18" s="12" t="str">
        <f t="shared" si="59"/>
        <v/>
      </c>
      <c r="FO18" s="12" t="str">
        <f t="shared" si="60"/>
        <v/>
      </c>
      <c r="FP18" s="12" t="str">
        <f t="shared" si="61"/>
        <v/>
      </c>
      <c r="FQ18" s="12" t="str">
        <f t="shared" si="62"/>
        <v/>
      </c>
      <c r="FR18" s="40"/>
      <c r="FS18" s="40"/>
      <c r="FT18" s="40"/>
      <c r="FU18" s="40"/>
      <c r="FV18" s="40"/>
      <c r="FW18" s="40">
        <v>6.45</v>
      </c>
      <c r="FX18" s="40">
        <v>7.7</v>
      </c>
      <c r="FY18" s="40">
        <v>6.2</v>
      </c>
      <c r="FZ18" s="40">
        <v>13.64</v>
      </c>
      <c r="GA18" s="40">
        <v>0</v>
      </c>
      <c r="GB18" s="40"/>
      <c r="GC18" s="40"/>
      <c r="GD18" s="40"/>
      <c r="GE18" s="40"/>
      <c r="GF18" s="40"/>
      <c r="GG18" s="15">
        <f t="shared" si="63"/>
        <v>6.2</v>
      </c>
      <c r="GH18" s="15" t="str">
        <f t="shared" si="64"/>
        <v/>
      </c>
      <c r="GI18" s="15">
        <f t="shared" si="65"/>
        <v>33.99</v>
      </c>
      <c r="GJ18" s="15">
        <f t="shared" si="66"/>
        <v>33.99</v>
      </c>
      <c r="GK18" s="15" t="str">
        <f t="shared" si="67"/>
        <v/>
      </c>
      <c r="GL18" s="15">
        <f t="shared" si="68"/>
        <v>33.99</v>
      </c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12" t="str">
        <f t="shared" si="69"/>
        <v/>
      </c>
      <c r="HC18" s="12" t="str">
        <f t="shared" si="70"/>
        <v/>
      </c>
      <c r="HD18" s="12" t="str">
        <f t="shared" si="71"/>
        <v/>
      </c>
      <c r="HE18" s="12" t="str">
        <f t="shared" si="72"/>
        <v/>
      </c>
      <c r="HF18" s="12" t="str">
        <f t="shared" si="73"/>
        <v/>
      </c>
      <c r="HG18" s="12" t="str">
        <f t="shared" si="74"/>
        <v/>
      </c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15" t="str">
        <f t="shared" si="75"/>
        <v/>
      </c>
      <c r="HX18" s="15" t="str">
        <f t="shared" si="76"/>
        <v/>
      </c>
      <c r="HY18" s="15" t="str">
        <f t="shared" si="77"/>
        <v/>
      </c>
      <c r="HZ18" s="15" t="str">
        <f t="shared" si="78"/>
        <v/>
      </c>
      <c r="IA18" s="15" t="str">
        <f t="shared" si="79"/>
        <v/>
      </c>
      <c r="IB18" s="15" t="str">
        <f t="shared" si="80"/>
        <v/>
      </c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12" t="str">
        <f t="shared" si="81"/>
        <v/>
      </c>
      <c r="IS18" s="12" t="str">
        <f t="shared" si="82"/>
        <v/>
      </c>
      <c r="IT18" s="12" t="str">
        <f t="shared" si="83"/>
        <v/>
      </c>
      <c r="IU18" s="12" t="str">
        <f t="shared" si="84"/>
        <v/>
      </c>
      <c r="IV18" s="12" t="str">
        <f t="shared" si="85"/>
        <v/>
      </c>
      <c r="IW18" s="12" t="str">
        <f t="shared" si="86"/>
        <v/>
      </c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15" t="str">
        <f t="shared" si="87"/>
        <v/>
      </c>
      <c r="JN18" s="15" t="str">
        <f t="shared" si="88"/>
        <v/>
      </c>
      <c r="JO18" s="15" t="str">
        <f t="shared" si="89"/>
        <v/>
      </c>
      <c r="JP18" s="15" t="str">
        <f t="shared" si="90"/>
        <v/>
      </c>
      <c r="JQ18" s="15" t="str">
        <f t="shared" si="91"/>
        <v/>
      </c>
      <c r="JR18" s="15" t="str">
        <f t="shared" si="92"/>
        <v/>
      </c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12" t="str">
        <f t="shared" si="93"/>
        <v/>
      </c>
      <c r="KI18" s="12" t="str">
        <f t="shared" si="94"/>
        <v/>
      </c>
      <c r="KJ18" s="12" t="str">
        <f t="shared" si="95"/>
        <v/>
      </c>
      <c r="KK18" s="12" t="str">
        <f t="shared" si="96"/>
        <v/>
      </c>
      <c r="KL18" s="12" t="str">
        <f t="shared" si="97"/>
        <v/>
      </c>
      <c r="KM18" s="12" t="str">
        <f t="shared" si="98"/>
        <v/>
      </c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15" t="str">
        <f t="shared" si="99"/>
        <v/>
      </c>
      <c r="LD18" s="15" t="str">
        <f t="shared" si="100"/>
        <v/>
      </c>
      <c r="LE18" s="15" t="str">
        <f t="shared" si="101"/>
        <v/>
      </c>
      <c r="LF18" s="15" t="str">
        <f t="shared" si="102"/>
        <v/>
      </c>
      <c r="LG18" s="15" t="str">
        <f t="shared" si="103"/>
        <v/>
      </c>
      <c r="LH18" s="15" t="str">
        <f t="shared" si="104"/>
        <v/>
      </c>
      <c r="LI18" s="72">
        <f t="shared" si="112"/>
        <v>0</v>
      </c>
      <c r="LJ18" s="72">
        <f t="shared" si="113"/>
        <v>0</v>
      </c>
      <c r="LK18" s="72">
        <f t="shared" si="114"/>
        <v>0</v>
      </c>
      <c r="LL18" s="72">
        <f t="shared" si="115"/>
        <v>0</v>
      </c>
      <c r="LM18" s="72">
        <f t="shared" si="116"/>
        <v>0</v>
      </c>
      <c r="LN18" s="72">
        <f t="shared" si="117"/>
        <v>0</v>
      </c>
      <c r="LO18" s="72">
        <f t="shared" si="118"/>
        <v>0</v>
      </c>
      <c r="LP18" s="72">
        <f t="shared" si="119"/>
        <v>0</v>
      </c>
      <c r="LQ18" s="72">
        <f t="shared" si="120"/>
        <v>0</v>
      </c>
      <c r="LR18" s="72">
        <f t="shared" si="121"/>
        <v>0</v>
      </c>
      <c r="LS18" s="72">
        <f t="shared" si="122"/>
        <v>0</v>
      </c>
      <c r="LT18" s="72">
        <f t="shared" si="123"/>
        <v>0</v>
      </c>
      <c r="LU18" s="72">
        <f t="shared" si="124"/>
        <v>0</v>
      </c>
      <c r="LV18" s="72">
        <f t="shared" si="125"/>
        <v>0</v>
      </c>
      <c r="LW18" s="72">
        <f t="shared" si="126"/>
        <v>0</v>
      </c>
      <c r="LX18" s="83" t="s">
        <v>126</v>
      </c>
      <c r="LY18" s="12" t="str">
        <f t="shared" si="127"/>
        <v/>
      </c>
      <c r="LZ18" s="12" t="str">
        <f t="shared" si="128"/>
        <v/>
      </c>
      <c r="MA18" s="12" t="str">
        <f t="shared" si="129"/>
        <v/>
      </c>
      <c r="MB18" s="12" t="str">
        <f t="shared" si="130"/>
        <v/>
      </c>
      <c r="MC18" s="12" t="str">
        <f t="shared" si="131"/>
        <v/>
      </c>
      <c r="MD18" s="12" t="str">
        <f t="shared" si="132"/>
        <v/>
      </c>
    </row>
    <row r="19" spans="1:342" x14ac:dyDescent="0.2">
      <c r="A19" s="6" t="str">
        <f t="shared" si="0"/>
        <v/>
      </c>
      <c r="B19" s="9" t="s">
        <v>107</v>
      </c>
      <c r="C19" s="5" t="s">
        <v>118</v>
      </c>
      <c r="D19" s="29" t="s">
        <v>136</v>
      </c>
      <c r="E19" s="16">
        <f t="shared" si="1"/>
        <v>0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 t="str">
        <f t="shared" si="6"/>
        <v/>
      </c>
      <c r="K19" s="15" t="str">
        <f t="shared" si="7"/>
        <v/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 t="str">
        <f t="shared" si="12"/>
        <v/>
      </c>
      <c r="Q19" s="15" t="str">
        <f t="shared" si="13"/>
        <v/>
      </c>
      <c r="R19" s="15" t="str">
        <f t="shared" si="14"/>
        <v/>
      </c>
      <c r="S19" s="27" t="str">
        <f t="shared" si="15"/>
        <v/>
      </c>
      <c r="T19" s="15" t="str">
        <f t="shared" si="16"/>
        <v/>
      </c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83"/>
      <c r="AK19" s="12" t="str">
        <f t="shared" si="17"/>
        <v/>
      </c>
      <c r="AL19" s="12" t="str">
        <f t="shared" si="18"/>
        <v/>
      </c>
      <c r="AM19" s="12" t="str">
        <f t="shared" si="19"/>
        <v/>
      </c>
      <c r="AN19" s="12" t="str">
        <f t="shared" si="20"/>
        <v/>
      </c>
      <c r="AO19" s="12" t="str">
        <f t="shared" si="21"/>
        <v/>
      </c>
      <c r="AP19" s="12" t="str">
        <f t="shared" si="22"/>
        <v/>
      </c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84"/>
      <c r="BG19" s="15" t="str">
        <f t="shared" si="23"/>
        <v/>
      </c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26" t="str">
        <f t="shared" si="29"/>
        <v/>
      </c>
      <c r="BN19" s="26" t="str">
        <f t="shared" si="30"/>
        <v/>
      </c>
      <c r="BO19" s="26" t="str">
        <f t="shared" si="31"/>
        <v/>
      </c>
      <c r="BP19" s="26" t="str">
        <f t="shared" si="32"/>
        <v/>
      </c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12" t="str">
        <f t="shared" si="33"/>
        <v/>
      </c>
      <c r="CG19" s="12" t="str">
        <f t="shared" si="34"/>
        <v/>
      </c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15" t="str">
        <f t="shared" si="39"/>
        <v/>
      </c>
      <c r="DB19" s="15" t="str">
        <f t="shared" si="40"/>
        <v/>
      </c>
      <c r="DC19" s="15" t="str">
        <f t="shared" si="41"/>
        <v/>
      </c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12" t="str">
        <f t="shared" si="45"/>
        <v/>
      </c>
      <c r="DW19" s="12" t="str">
        <f t="shared" si="46"/>
        <v/>
      </c>
      <c r="DX19" s="12" t="str">
        <f t="shared" si="47"/>
        <v/>
      </c>
      <c r="DY19" s="12" t="str">
        <f t="shared" si="48"/>
        <v/>
      </c>
      <c r="DZ19" s="12" t="str">
        <f t="shared" si="49"/>
        <v/>
      </c>
      <c r="EA19" s="12" t="str">
        <f t="shared" si="50"/>
        <v/>
      </c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15" t="str">
        <f t="shared" si="51"/>
        <v/>
      </c>
      <c r="ER19" s="15" t="str">
        <f t="shared" si="52"/>
        <v/>
      </c>
      <c r="ES19" s="15" t="str">
        <f t="shared" si="53"/>
        <v/>
      </c>
      <c r="ET19" s="15" t="str">
        <f t="shared" si="54"/>
        <v/>
      </c>
      <c r="EU19" s="15" t="str">
        <f t="shared" si="55"/>
        <v/>
      </c>
      <c r="EV19" s="15" t="str">
        <f t="shared" si="56"/>
        <v/>
      </c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12" t="str">
        <f t="shared" si="57"/>
        <v/>
      </c>
      <c r="FM19" s="12" t="str">
        <f t="shared" si="58"/>
        <v/>
      </c>
      <c r="FN19" s="12" t="str">
        <f t="shared" si="59"/>
        <v/>
      </c>
      <c r="FO19" s="12" t="str">
        <f t="shared" si="60"/>
        <v/>
      </c>
      <c r="FP19" s="12" t="str">
        <f t="shared" si="61"/>
        <v/>
      </c>
      <c r="FQ19" s="12" t="str">
        <f t="shared" si="62"/>
        <v/>
      </c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15" t="str">
        <f t="shared" si="63"/>
        <v/>
      </c>
      <c r="GH19" s="15" t="str">
        <f t="shared" si="64"/>
        <v/>
      </c>
      <c r="GI19" s="15" t="str">
        <f t="shared" si="65"/>
        <v/>
      </c>
      <c r="GJ19" s="15" t="str">
        <f t="shared" si="66"/>
        <v/>
      </c>
      <c r="GK19" s="15" t="str">
        <f t="shared" si="67"/>
        <v/>
      </c>
      <c r="GL19" s="15" t="str">
        <f t="shared" si="68"/>
        <v/>
      </c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12" t="str">
        <f t="shared" si="69"/>
        <v/>
      </c>
      <c r="HC19" s="12" t="str">
        <f t="shared" si="70"/>
        <v/>
      </c>
      <c r="HD19" s="12" t="str">
        <f t="shared" si="71"/>
        <v/>
      </c>
      <c r="HE19" s="12" t="str">
        <f t="shared" si="72"/>
        <v/>
      </c>
      <c r="HF19" s="12" t="str">
        <f t="shared" si="73"/>
        <v/>
      </c>
      <c r="HG19" s="12" t="str">
        <f t="shared" si="74"/>
        <v/>
      </c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15" t="str">
        <f t="shared" si="75"/>
        <v/>
      </c>
      <c r="HX19" s="15" t="str">
        <f t="shared" si="76"/>
        <v/>
      </c>
      <c r="HY19" s="15" t="str">
        <f t="shared" si="77"/>
        <v/>
      </c>
      <c r="HZ19" s="15" t="str">
        <f t="shared" si="78"/>
        <v/>
      </c>
      <c r="IA19" s="15" t="str">
        <f t="shared" si="79"/>
        <v/>
      </c>
      <c r="IB19" s="15" t="str">
        <f t="shared" si="80"/>
        <v/>
      </c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12" t="str">
        <f t="shared" si="81"/>
        <v/>
      </c>
      <c r="IS19" s="12" t="str">
        <f t="shared" si="82"/>
        <v/>
      </c>
      <c r="IT19" s="12" t="str">
        <f t="shared" si="83"/>
        <v/>
      </c>
      <c r="IU19" s="12" t="str">
        <f t="shared" si="84"/>
        <v/>
      </c>
      <c r="IV19" s="12" t="str">
        <f t="shared" si="85"/>
        <v/>
      </c>
      <c r="IW19" s="12" t="str">
        <f t="shared" si="86"/>
        <v/>
      </c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15" t="str">
        <f t="shared" si="87"/>
        <v/>
      </c>
      <c r="JN19" s="15" t="str">
        <f t="shared" si="88"/>
        <v/>
      </c>
      <c r="JO19" s="15" t="str">
        <f t="shared" si="89"/>
        <v/>
      </c>
      <c r="JP19" s="15" t="str">
        <f t="shared" si="90"/>
        <v/>
      </c>
      <c r="JQ19" s="15" t="str">
        <f t="shared" si="91"/>
        <v/>
      </c>
      <c r="JR19" s="15" t="str">
        <f t="shared" si="92"/>
        <v/>
      </c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39"/>
      <c r="KE19" s="39"/>
      <c r="KF19" s="39"/>
      <c r="KG19" s="39"/>
      <c r="KH19" s="12" t="str">
        <f t="shared" si="93"/>
        <v/>
      </c>
      <c r="KI19" s="12" t="str">
        <f t="shared" si="94"/>
        <v/>
      </c>
      <c r="KJ19" s="12" t="str">
        <f t="shared" si="95"/>
        <v/>
      </c>
      <c r="KK19" s="12" t="str">
        <f t="shared" si="96"/>
        <v/>
      </c>
      <c r="KL19" s="12" t="str">
        <f t="shared" si="97"/>
        <v/>
      </c>
      <c r="KM19" s="12" t="str">
        <f t="shared" si="98"/>
        <v/>
      </c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15" t="str">
        <f t="shared" si="99"/>
        <v/>
      </c>
      <c r="LD19" s="15" t="str">
        <f t="shared" si="100"/>
        <v/>
      </c>
      <c r="LE19" s="15" t="str">
        <f t="shared" si="101"/>
        <v/>
      </c>
      <c r="LF19" s="15" t="str">
        <f t="shared" si="102"/>
        <v/>
      </c>
      <c r="LG19" s="15" t="str">
        <f t="shared" si="103"/>
        <v/>
      </c>
      <c r="LH19" s="15" t="str">
        <f t="shared" si="104"/>
        <v/>
      </c>
      <c r="LI19" s="72">
        <f t="shared" si="112"/>
        <v>0</v>
      </c>
      <c r="LJ19" s="72">
        <f t="shared" si="113"/>
        <v>0</v>
      </c>
      <c r="LK19" s="72">
        <f t="shared" si="114"/>
        <v>0</v>
      </c>
      <c r="LL19" s="72">
        <f t="shared" si="115"/>
        <v>0</v>
      </c>
      <c r="LM19" s="72">
        <f t="shared" si="116"/>
        <v>0</v>
      </c>
      <c r="LN19" s="72">
        <f t="shared" si="117"/>
        <v>0</v>
      </c>
      <c r="LO19" s="72">
        <f t="shared" si="118"/>
        <v>0</v>
      </c>
      <c r="LP19" s="72">
        <f t="shared" si="119"/>
        <v>0</v>
      </c>
      <c r="LQ19" s="72">
        <f t="shared" si="120"/>
        <v>0</v>
      </c>
      <c r="LR19" s="72">
        <f t="shared" si="121"/>
        <v>0</v>
      </c>
      <c r="LS19" s="72">
        <f t="shared" si="122"/>
        <v>0</v>
      </c>
      <c r="LT19" s="72">
        <f t="shared" si="123"/>
        <v>0</v>
      </c>
      <c r="LU19" s="72">
        <f t="shared" si="124"/>
        <v>0</v>
      </c>
      <c r="LV19" s="72">
        <f t="shared" si="125"/>
        <v>0</v>
      </c>
      <c r="LW19" s="72">
        <f t="shared" si="126"/>
        <v>0</v>
      </c>
      <c r="LX19" s="83" t="s">
        <v>126</v>
      </c>
      <c r="LY19" s="12" t="str">
        <f t="shared" si="127"/>
        <v/>
      </c>
      <c r="LZ19" s="12" t="str">
        <f t="shared" si="128"/>
        <v/>
      </c>
      <c r="MA19" s="12" t="str">
        <f t="shared" si="129"/>
        <v/>
      </c>
      <c r="MB19" s="12" t="str">
        <f t="shared" si="130"/>
        <v/>
      </c>
      <c r="MC19" s="12" t="str">
        <f t="shared" si="131"/>
        <v/>
      </c>
      <c r="MD19" s="12" t="str">
        <f t="shared" si="132"/>
        <v/>
      </c>
    </row>
    <row r="20" spans="1:342" x14ac:dyDescent="0.2">
      <c r="D20" s="1"/>
      <c r="S20" s="28"/>
    </row>
    <row r="22" spans="1:342" x14ac:dyDescent="0.2">
      <c r="B22" s="73" t="s">
        <v>93</v>
      </c>
      <c r="AK22" s="58"/>
      <c r="AL22" s="67">
        <v>14</v>
      </c>
      <c r="BG22" s="58"/>
      <c r="BH22" s="67">
        <v>17.7</v>
      </c>
      <c r="CF22" s="58"/>
      <c r="CG22" s="67">
        <v>17.7</v>
      </c>
      <c r="DA22" s="58"/>
      <c r="DB22" s="67">
        <v>13</v>
      </c>
      <c r="DV22" s="58"/>
      <c r="DW22" s="67">
        <v>14</v>
      </c>
      <c r="EQ22" s="58"/>
      <c r="ER22" s="67">
        <v>14</v>
      </c>
      <c r="FL22" s="58"/>
      <c r="FM22" s="67">
        <v>17.7</v>
      </c>
      <c r="GG22" s="58"/>
      <c r="GH22" s="67">
        <v>17.7</v>
      </c>
      <c r="HB22" s="58"/>
      <c r="HC22" s="67">
        <v>13.5</v>
      </c>
      <c r="HW22" s="58"/>
      <c r="HX22" s="67">
        <v>13.5</v>
      </c>
      <c r="IR22" s="58"/>
      <c r="IS22" s="67">
        <v>13.5</v>
      </c>
      <c r="JM22" s="58"/>
      <c r="JN22" s="67">
        <v>13.5</v>
      </c>
      <c r="KH22" s="58"/>
      <c r="KI22" s="67">
        <v>13.5</v>
      </c>
      <c r="LC22" s="58"/>
      <c r="LD22" s="67">
        <v>13.5</v>
      </c>
    </row>
    <row r="23" spans="1:342" x14ac:dyDescent="0.2">
      <c r="A23" s="58"/>
      <c r="B23" s="101" t="s">
        <v>92</v>
      </c>
      <c r="C23" s="57"/>
      <c r="AK23" s="58"/>
      <c r="AL23" s="103">
        <v>15</v>
      </c>
      <c r="BG23" s="58"/>
      <c r="BH23" s="103">
        <v>18.2</v>
      </c>
      <c r="CF23" s="58"/>
      <c r="CG23" s="103">
        <v>18.2</v>
      </c>
      <c r="DA23" s="58"/>
      <c r="DB23" s="103">
        <v>13.3</v>
      </c>
      <c r="DV23" s="58"/>
      <c r="DW23" s="103">
        <v>15</v>
      </c>
      <c r="EQ23" s="58"/>
      <c r="ER23" s="103">
        <v>15</v>
      </c>
      <c r="FL23" s="58"/>
      <c r="FM23" s="103">
        <v>18.2</v>
      </c>
      <c r="GG23" s="58"/>
      <c r="GH23" s="103">
        <v>18.2</v>
      </c>
      <c r="HB23" s="58"/>
      <c r="HC23" s="103">
        <v>14.4</v>
      </c>
      <c r="HW23" s="58"/>
      <c r="HX23" s="103">
        <v>14.4</v>
      </c>
      <c r="IR23" s="58"/>
      <c r="IS23" s="103">
        <v>14.4</v>
      </c>
      <c r="JM23" s="58"/>
      <c r="JN23" s="103">
        <v>14.4</v>
      </c>
      <c r="KH23" s="58"/>
      <c r="KI23" s="103">
        <v>14.4</v>
      </c>
      <c r="LC23" s="58"/>
      <c r="LD23" s="103">
        <v>14.4</v>
      </c>
    </row>
    <row r="24" spans="1:342" x14ac:dyDescent="0.2">
      <c r="A24" s="58"/>
      <c r="B24" s="74" t="s">
        <v>90</v>
      </c>
      <c r="C24" s="57"/>
      <c r="AK24" s="58"/>
      <c r="AL24" s="68">
        <v>86.1</v>
      </c>
      <c r="BG24" s="58"/>
      <c r="BH24" s="68">
        <v>86.1</v>
      </c>
      <c r="CF24" s="58"/>
      <c r="CG24" s="68">
        <v>86.1</v>
      </c>
      <c r="DA24" s="58"/>
      <c r="DB24" s="68">
        <v>86.1</v>
      </c>
      <c r="DV24" s="58"/>
      <c r="DW24" s="68">
        <v>86.1</v>
      </c>
      <c r="EQ24" s="58"/>
      <c r="ER24" s="68">
        <v>86.1</v>
      </c>
      <c r="FL24" s="58"/>
      <c r="FM24" s="68">
        <v>86.1</v>
      </c>
      <c r="GG24" s="58"/>
      <c r="GH24" s="68">
        <v>86.1</v>
      </c>
      <c r="HB24" s="58"/>
      <c r="HC24" s="68">
        <v>87</v>
      </c>
      <c r="HW24" s="58"/>
      <c r="HX24" s="68">
        <v>87</v>
      </c>
      <c r="IR24" s="58"/>
      <c r="IS24" s="68">
        <v>87</v>
      </c>
      <c r="JM24" s="58"/>
      <c r="JN24" s="68">
        <v>87</v>
      </c>
      <c r="KH24" s="58"/>
      <c r="KI24" s="68">
        <v>87</v>
      </c>
      <c r="LC24" s="58"/>
      <c r="LD24" s="68">
        <v>87</v>
      </c>
    </row>
    <row r="25" spans="1:342" x14ac:dyDescent="0.2">
      <c r="A25" s="58"/>
      <c r="B25" s="75" t="s">
        <v>91</v>
      </c>
      <c r="C25" s="57"/>
      <c r="AK25" s="58"/>
      <c r="AL25" s="69">
        <v>88.1</v>
      </c>
      <c r="BG25" s="58"/>
      <c r="BH25" s="69">
        <v>88.1</v>
      </c>
      <c r="CF25" s="58"/>
      <c r="CG25" s="69">
        <v>88.1</v>
      </c>
      <c r="DA25" s="58"/>
      <c r="DB25" s="69">
        <v>88.1</v>
      </c>
      <c r="DV25" s="58"/>
      <c r="DW25" s="69">
        <v>88.1</v>
      </c>
      <c r="EQ25" s="58"/>
      <c r="ER25" s="69">
        <v>88.1</v>
      </c>
      <c r="FL25" s="58"/>
      <c r="FM25" s="69">
        <v>88.1</v>
      </c>
      <c r="GG25" s="58"/>
      <c r="GH25" s="69">
        <v>88.1</v>
      </c>
      <c r="HB25" s="58"/>
      <c r="HC25" s="69">
        <v>89</v>
      </c>
      <c r="HW25" s="58"/>
      <c r="HX25" s="69">
        <v>89</v>
      </c>
      <c r="IR25" s="58"/>
      <c r="IS25" s="69">
        <v>89</v>
      </c>
      <c r="JM25" s="58"/>
      <c r="JN25" s="69">
        <v>89</v>
      </c>
      <c r="KH25" s="58"/>
      <c r="KI25" s="69">
        <v>89</v>
      </c>
      <c r="LC25" s="58"/>
      <c r="LD25" s="69">
        <v>89</v>
      </c>
    </row>
    <row r="26" spans="1:342" x14ac:dyDescent="0.2">
      <c r="A26" s="58"/>
      <c r="B26" s="76" t="s">
        <v>196</v>
      </c>
      <c r="C26" s="57"/>
      <c r="AK26" s="58"/>
      <c r="AL26" s="70">
        <v>89.2</v>
      </c>
      <c r="BG26" s="58"/>
      <c r="BH26" s="70">
        <v>89.2</v>
      </c>
      <c r="CF26" s="58"/>
      <c r="CG26" s="70">
        <v>89.2</v>
      </c>
      <c r="DA26" s="58"/>
      <c r="DB26" s="70">
        <v>89.2</v>
      </c>
      <c r="DV26" s="58"/>
      <c r="DW26" s="70">
        <v>89.2</v>
      </c>
      <c r="EQ26" s="58"/>
      <c r="ER26" s="70">
        <v>89.2</v>
      </c>
      <c r="FL26" s="58"/>
      <c r="FM26" s="70">
        <v>89.2</v>
      </c>
      <c r="GG26" s="58"/>
      <c r="GH26" s="70">
        <v>89.2</v>
      </c>
      <c r="HB26" s="58"/>
      <c r="HC26" s="70">
        <v>90</v>
      </c>
      <c r="HW26" s="58"/>
      <c r="HX26" s="70">
        <v>90</v>
      </c>
      <c r="IR26" s="58"/>
      <c r="IS26" s="70">
        <v>90</v>
      </c>
      <c r="JM26" s="58"/>
      <c r="JN26" s="70">
        <v>90</v>
      </c>
      <c r="KH26" s="58"/>
      <c r="KI26" s="70">
        <v>90</v>
      </c>
      <c r="LC26" s="58"/>
      <c r="LD26" s="70">
        <v>90</v>
      </c>
    </row>
    <row r="27" spans="1:342" x14ac:dyDescent="0.2">
      <c r="A27" s="58"/>
      <c r="B27" s="77" t="s">
        <v>71</v>
      </c>
      <c r="C27" s="57"/>
      <c r="AK27" s="58"/>
      <c r="AL27" s="71">
        <v>91</v>
      </c>
      <c r="BG27" s="58"/>
      <c r="BH27" s="71">
        <v>91</v>
      </c>
      <c r="CF27" s="58"/>
      <c r="CG27" s="71">
        <v>91</v>
      </c>
      <c r="DA27" s="58"/>
      <c r="DB27" s="71">
        <v>91</v>
      </c>
      <c r="DV27" s="58"/>
      <c r="DW27" s="71">
        <v>91</v>
      </c>
      <c r="EQ27" s="58"/>
      <c r="ER27" s="71">
        <v>91</v>
      </c>
      <c r="FL27" s="58"/>
      <c r="FM27" s="71">
        <v>91</v>
      </c>
      <c r="GG27" s="58"/>
      <c r="GH27" s="71">
        <v>91</v>
      </c>
      <c r="HB27" s="58"/>
      <c r="HC27" s="71">
        <v>91</v>
      </c>
      <c r="HW27" s="58"/>
      <c r="HX27" s="71">
        <v>91</v>
      </c>
      <c r="IR27" s="58"/>
      <c r="IS27" s="71">
        <v>91</v>
      </c>
      <c r="JM27" s="58"/>
      <c r="JN27" s="71">
        <v>91</v>
      </c>
      <c r="KH27" s="58"/>
      <c r="KI27" s="71">
        <v>91</v>
      </c>
      <c r="LC27" s="58"/>
      <c r="LD27" s="71">
        <v>91</v>
      </c>
    </row>
    <row r="28" spans="1:342" x14ac:dyDescent="0.2">
      <c r="B28" s="85" t="s">
        <v>127</v>
      </c>
      <c r="C28" s="3"/>
      <c r="AL28" t="s">
        <v>192</v>
      </c>
      <c r="CG28" s="56"/>
      <c r="DB28" t="s">
        <v>192</v>
      </c>
      <c r="DW28" t="s">
        <v>192</v>
      </c>
      <c r="ER28" t="s">
        <v>192</v>
      </c>
    </row>
    <row r="29" spans="1:342" x14ac:dyDescent="0.2">
      <c r="A29" s="58"/>
      <c r="B29" s="58"/>
      <c r="C29" s="57"/>
    </row>
    <row r="30" spans="1:342" ht="17" x14ac:dyDescent="0.2">
      <c r="A30" s="58"/>
      <c r="B30" s="58"/>
      <c r="C30" s="57"/>
      <c r="R30" s="21"/>
      <c r="S30" s="21"/>
      <c r="T30" s="21"/>
    </row>
    <row r="31" spans="1:342" ht="17" x14ac:dyDescent="0.2">
      <c r="A31" s="58"/>
      <c r="B31" s="58"/>
      <c r="C31" s="57"/>
      <c r="R31" s="21"/>
      <c r="S31" s="21"/>
      <c r="T31" s="21"/>
    </row>
    <row r="32" spans="1:342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  <row r="47" spans="18:20" ht="17" x14ac:dyDescent="0.2">
      <c r="R47" s="21"/>
      <c r="S47" s="21"/>
      <c r="T47" s="21"/>
    </row>
    <row r="48" spans="18:20" ht="17" x14ac:dyDescent="0.2">
      <c r="R48" s="21"/>
      <c r="S48" s="21"/>
      <c r="T48" s="21"/>
    </row>
    <row r="49" spans="18:20" ht="17" x14ac:dyDescent="0.2">
      <c r="R49" s="21"/>
      <c r="S49" s="21"/>
      <c r="T49" s="21"/>
    </row>
  </sheetData>
  <sheetProtection sheet="1" formatCells="0" formatColumns="0" formatRows="0"/>
  <autoFilter ref="A1:LH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9">
      <sortCondition descending="1" ref="F1:F8"/>
    </sortState>
  </autoFilter>
  <mergeCells count="81">
    <mergeCell ref="JX2:KB2"/>
    <mergeCell ref="JS2:JW2"/>
    <mergeCell ref="IC1:IW1"/>
    <mergeCell ref="IX1:JR1"/>
    <mergeCell ref="JH2:JL2"/>
    <mergeCell ref="JC2:JG2"/>
    <mergeCell ref="IX2:JB2"/>
    <mergeCell ref="IM2:IQ2"/>
    <mergeCell ref="IH2:IL2"/>
    <mergeCell ref="IC2:IG2"/>
    <mergeCell ref="JS1:KM1"/>
    <mergeCell ref="KN1:LH1"/>
    <mergeCell ref="KX2:LB2"/>
    <mergeCell ref="KS2:KW2"/>
    <mergeCell ref="KN2:KR2"/>
    <mergeCell ref="KC2:KG2"/>
    <mergeCell ref="GM1:HG1"/>
    <mergeCell ref="HH1:IB1"/>
    <mergeCell ref="HR2:HV2"/>
    <mergeCell ref="HM2:HQ2"/>
    <mergeCell ref="HH2:HL2"/>
    <mergeCell ref="GW2:HA2"/>
    <mergeCell ref="GR2:GV2"/>
    <mergeCell ref="GM2:GQ2"/>
    <mergeCell ref="DL2:DP2"/>
    <mergeCell ref="DG2:DK2"/>
    <mergeCell ref="EW1:FQ1"/>
    <mergeCell ref="FR1:GL1"/>
    <mergeCell ref="GB2:GF2"/>
    <mergeCell ref="FW2:GA2"/>
    <mergeCell ref="FR2:FV2"/>
    <mergeCell ref="FG2:FK2"/>
    <mergeCell ref="FB2:FF2"/>
    <mergeCell ref="EW2:FA2"/>
    <mergeCell ref="EB1:EV1"/>
    <mergeCell ref="EL2:EP2"/>
    <mergeCell ref="EG2:EK2"/>
    <mergeCell ref="EB2:EF2"/>
    <mergeCell ref="DQ2:DU2"/>
    <mergeCell ref="N1:N3"/>
    <mergeCell ref="M1:M3"/>
    <mergeCell ref="K1:K3"/>
    <mergeCell ref="L1:L3"/>
    <mergeCell ref="CL1:DF1"/>
    <mergeCell ref="BM1:BP1"/>
    <mergeCell ref="BQ1:CK1"/>
    <mergeCell ref="S1:S3"/>
    <mergeCell ref="T1:T3"/>
    <mergeCell ref="U1:AP1"/>
    <mergeCell ref="Z2:AD2"/>
    <mergeCell ref="U2:Y2"/>
    <mergeCell ref="CV2:CZ2"/>
    <mergeCell ref="CQ2:CU2"/>
    <mergeCell ref="CL2:CP2"/>
    <mergeCell ref="CA2:CE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I1:MD1"/>
    <mergeCell ref="LI2:LM2"/>
    <mergeCell ref="LN2:LR2"/>
    <mergeCell ref="LS2:LW2"/>
    <mergeCell ref="O1:O3"/>
    <mergeCell ref="BV2:BZ2"/>
    <mergeCell ref="BQ2:BU2"/>
    <mergeCell ref="AV2:AZ2"/>
    <mergeCell ref="AQ2:AU2"/>
    <mergeCell ref="Q1:Q3"/>
    <mergeCell ref="P1:P3"/>
    <mergeCell ref="R1:R3"/>
    <mergeCell ref="AQ1:BL1"/>
    <mergeCell ref="AE2:AI2"/>
    <mergeCell ref="BA2:BE2"/>
    <mergeCell ref="DG1:EA1"/>
  </mergeCells>
  <conditionalFormatting sqref="A1:A1048576">
    <cfRule type="expression" dxfId="142" priority="65">
      <formula>AND(H1="P",G1="")</formula>
    </cfRule>
  </conditionalFormatting>
  <conditionalFormatting sqref="U4:AP19">
    <cfRule type="expression" dxfId="141" priority="16">
      <formula>IF($AJ4&lt;&gt;"",1,0)</formula>
    </cfRule>
  </conditionalFormatting>
  <conditionalFormatting sqref="AQ4:BL19">
    <cfRule type="expression" dxfId="140" priority="13">
      <formula>IF($BF4&lt;&gt;"",1,0)</formula>
    </cfRule>
  </conditionalFormatting>
  <conditionalFormatting sqref="K1:K1048576 O1:O1048576 M1:M1048576 Q1:Q1048576">
    <cfRule type="expression" dxfId="139" priority="794">
      <formula>IF(K1=$AQ$1,1,0)</formula>
    </cfRule>
    <cfRule type="expression" dxfId="138" priority="795">
      <formula>IF(K1=$U$1,1,0)</formula>
    </cfRule>
  </conditionalFormatting>
  <conditionalFormatting sqref="LC1:LC1048576 KH1:KH1048576 JM1:JM1048576 IR1:IR1048576 HW1:HW1048576 HB1:HB1048576 GG1:GG1048576 FL1:FL1048576 EQ1:EQ1048576 DV1:DV1048576 DA1:DA1048576 CF1:CF1048576">
    <cfRule type="cellIs" dxfId="137" priority="6409" operator="between">
      <formula>CG$23</formula>
      <formula>100</formula>
    </cfRule>
    <cfRule type="cellIs" dxfId="136" priority="6410" operator="between">
      <formula>CG$22</formula>
      <formula>CG$23</formula>
    </cfRule>
  </conditionalFormatting>
  <conditionalFormatting sqref="LF1:LF1048576 KK1:KK1048576 JP1:JP1048576 IU1:IU1048576 HZ1:HZ1048576 HE1:HE1048576 GJ1:GJ1048576 FO1:FO1048576 ET1:ET1048576 DY1:DY1048576 DD1:DD1048576 CI1:CI1048576">
    <cfRule type="cellIs" dxfId="135" priority="6481" operator="between">
      <formula>CG$27</formula>
      <formula>1000</formula>
    </cfRule>
    <cfRule type="cellIs" dxfId="134" priority="6482" operator="between">
      <formula>CG$26</formula>
      <formula>CG$27</formula>
    </cfRule>
    <cfRule type="cellIs" dxfId="133" priority="6483" operator="between">
      <formula>CG$25</formula>
      <formula>CG$26</formula>
    </cfRule>
    <cfRule type="cellIs" dxfId="132" priority="6484" operator="between">
      <formula>CG$24</formula>
      <formula>CG$25</formula>
    </cfRule>
  </conditionalFormatting>
  <conditionalFormatting sqref="BG1:BG1048576 AK1:AK1048576">
    <cfRule type="expression" dxfId="131" priority="8201">
      <formula>IF(AND(AK1&gt;=AL$23,AK1&lt;1000,AJ1=""),1,0)</formula>
    </cfRule>
    <cfRule type="expression" dxfId="130" priority="8202">
      <formula>IF(AND(AK1&gt;=AL$22,AK1&lt;AL$23,AJ1=""),1,0)</formula>
    </cfRule>
  </conditionalFormatting>
  <conditionalFormatting sqref="AN1:AN1048576 BJ1:BJ1048576">
    <cfRule type="expression" dxfId="129" priority="8213">
      <formula>IF(AND(AN1&gt;=AL$27,AN1&lt;1000,AJ1=""),1,0)</formula>
    </cfRule>
    <cfRule type="expression" dxfId="128" priority="8214">
      <formula>IF(AND(AN1&gt;=AL$26,AN1&lt;AL$27,AJ1=""),1,0)</formula>
    </cfRule>
    <cfRule type="expression" dxfId="127" priority="8215">
      <formula>IF(AND(AN1&gt;=AL$25,AN1&lt;AL$26,AJ1=""),1,0)</formula>
    </cfRule>
    <cfRule type="expression" dxfId="126" priority="8216">
      <formula>IF(AND(AN1&gt;=AL$24,AN1&lt;AL$25,AJ1=""),1,0)</formula>
    </cfRule>
  </conditionalFormatting>
  <conditionalFormatting sqref="I1:I1048576">
    <cfRule type="containsText" dxfId="125" priority="1" operator="containsText" text="No DD">
      <formula>NOT(ISERROR(SEARCH("No DD",I1)))</formula>
    </cfRule>
    <cfRule type="containsText" dxfId="124" priority="8" operator="containsText" text="Merit">
      <formula>NOT(ISERROR(SEARCH("Merit",I1)))</formula>
    </cfRule>
    <cfRule type="containsText" dxfId="123" priority="9" operator="containsText" text="Excellence">
      <formula>NOT(ISERROR(SEARCH("Excellence",I1)))</formula>
    </cfRule>
    <cfRule type="containsText" dxfId="122" priority="10" operator="containsText" text="Worlds Team">
      <formula>NOT(ISERROR(SEARCH("Worlds Team",I1)))</formula>
    </cfRule>
    <cfRule type="containsText" dxfId="121" priority="11" operator="containsText" text="National Team">
      <formula>NOT(ISERROR(SEARCH("National Team",I1)))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D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10.83203125" hidden="1" customWidth="1"/>
  </cols>
  <sheetData>
    <row r="1" spans="1:342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4" t="s">
        <v>93</v>
      </c>
      <c r="G1" s="124" t="s">
        <v>92</v>
      </c>
      <c r="H1" s="123" t="s">
        <v>18</v>
      </c>
      <c r="I1" s="123" t="s">
        <v>19</v>
      </c>
      <c r="J1" s="125" t="s">
        <v>20</v>
      </c>
      <c r="K1" s="125" t="s">
        <v>69</v>
      </c>
      <c r="L1" s="125" t="s">
        <v>21</v>
      </c>
      <c r="M1" s="125" t="s">
        <v>69</v>
      </c>
      <c r="N1" s="125" t="s">
        <v>22</v>
      </c>
      <c r="O1" s="125" t="s">
        <v>69</v>
      </c>
      <c r="P1" s="125" t="s">
        <v>23</v>
      </c>
      <c r="Q1" s="125" t="s">
        <v>69</v>
      </c>
      <c r="R1" s="126" t="s">
        <v>24</v>
      </c>
      <c r="S1" s="125" t="s">
        <v>70</v>
      </c>
      <c r="T1" s="125" t="s">
        <v>69</v>
      </c>
      <c r="U1" s="119" t="s">
        <v>108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22" t="s">
        <v>146</v>
      </c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7" t="s">
        <v>24</v>
      </c>
      <c r="BN1" s="127"/>
      <c r="BO1" s="127"/>
      <c r="BP1" s="127"/>
      <c r="BQ1" s="119" t="s">
        <v>154</v>
      </c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22" t="s">
        <v>153</v>
      </c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19" t="s">
        <v>150</v>
      </c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22" t="s">
        <v>155</v>
      </c>
      <c r="EC1" s="122"/>
      <c r="ED1" s="122"/>
      <c r="EE1" s="122"/>
      <c r="EF1" s="122"/>
      <c r="EG1" s="122"/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19" t="s">
        <v>177</v>
      </c>
      <c r="EX1" s="119"/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22" t="s">
        <v>179</v>
      </c>
      <c r="FS1" s="122"/>
      <c r="FT1" s="122"/>
      <c r="FU1" s="122"/>
      <c r="FV1" s="122"/>
      <c r="FW1" s="122"/>
      <c r="FX1" s="122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19" t="s">
        <v>190</v>
      </c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22" t="s">
        <v>203</v>
      </c>
      <c r="HI1" s="122"/>
      <c r="HJ1" s="122"/>
      <c r="HK1" s="122"/>
      <c r="HL1" s="122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19" t="s">
        <v>210</v>
      </c>
      <c r="ID1" s="119"/>
      <c r="IE1" s="119"/>
      <c r="IF1" s="119"/>
      <c r="IG1" s="119"/>
      <c r="IH1" s="119"/>
      <c r="II1" s="119"/>
      <c r="IJ1" s="119"/>
      <c r="IK1" s="119"/>
      <c r="IL1" s="119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19"/>
      <c r="JT1" s="119"/>
      <c r="JU1" s="119"/>
      <c r="JV1" s="119"/>
      <c r="JW1" s="119"/>
      <c r="JX1" s="119"/>
      <c r="JY1" s="119"/>
      <c r="JZ1" s="119"/>
      <c r="KA1" s="119"/>
      <c r="KB1" s="119"/>
      <c r="KC1" s="119"/>
      <c r="KD1" s="119"/>
      <c r="KE1" s="119"/>
      <c r="KF1" s="119"/>
      <c r="KG1" s="119"/>
      <c r="KH1" s="119"/>
      <c r="KI1" s="119"/>
      <c r="KJ1" s="119"/>
      <c r="KK1" s="119"/>
      <c r="KL1" s="119"/>
      <c r="KM1" s="119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19" t="s">
        <v>207</v>
      </c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  <c r="LY1" s="119"/>
      <c r="LZ1" s="119"/>
      <c r="MA1" s="119"/>
      <c r="MB1" s="119"/>
      <c r="MC1" s="119"/>
      <c r="MD1" s="119"/>
    </row>
    <row r="2" spans="1:342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29</v>
      </c>
      <c r="V2" s="120"/>
      <c r="W2" s="120"/>
      <c r="X2" s="120"/>
      <c r="Y2" s="120"/>
      <c r="Z2" s="120" t="s">
        <v>30</v>
      </c>
      <c r="AA2" s="120"/>
      <c r="AB2" s="120"/>
      <c r="AC2" s="120"/>
      <c r="AD2" s="120"/>
      <c r="AE2" s="120" t="s">
        <v>33</v>
      </c>
      <c r="AF2" s="120"/>
      <c r="AG2" s="120"/>
      <c r="AH2" s="120"/>
      <c r="AI2" s="120"/>
      <c r="AJ2" s="81"/>
      <c r="AK2" s="20" t="s">
        <v>191</v>
      </c>
      <c r="AL2" s="10" t="s">
        <v>31</v>
      </c>
      <c r="AM2" s="10" t="s">
        <v>32</v>
      </c>
      <c r="AN2" s="10" t="s">
        <v>34</v>
      </c>
      <c r="AO2" s="10" t="s">
        <v>33</v>
      </c>
      <c r="AP2" s="10" t="s">
        <v>28</v>
      </c>
      <c r="AQ2" s="121" t="s">
        <v>29</v>
      </c>
      <c r="AR2" s="121"/>
      <c r="AS2" s="121"/>
      <c r="AT2" s="121"/>
      <c r="AU2" s="121"/>
      <c r="AV2" s="121" t="s">
        <v>30</v>
      </c>
      <c r="AW2" s="121"/>
      <c r="AX2" s="121"/>
      <c r="AY2" s="121"/>
      <c r="AZ2" s="121"/>
      <c r="BA2" s="121" t="s">
        <v>33</v>
      </c>
      <c r="BB2" s="121"/>
      <c r="BC2" s="121"/>
      <c r="BD2" s="121"/>
      <c r="BE2" s="121"/>
      <c r="BF2" s="82"/>
      <c r="BG2" s="19" t="s">
        <v>191</v>
      </c>
      <c r="BH2" s="13" t="s">
        <v>31</v>
      </c>
      <c r="BI2" s="13" t="s">
        <v>32</v>
      </c>
      <c r="BJ2" s="13" t="s">
        <v>34</v>
      </c>
      <c r="BK2" s="13" t="s">
        <v>33</v>
      </c>
      <c r="BL2" s="13" t="s">
        <v>28</v>
      </c>
      <c r="BM2" s="24" t="s">
        <v>31</v>
      </c>
      <c r="BN2" s="24" t="s">
        <v>32</v>
      </c>
      <c r="BO2" s="24" t="s">
        <v>34</v>
      </c>
      <c r="BP2" s="24" t="s">
        <v>33</v>
      </c>
      <c r="BQ2" s="120" t="s">
        <v>29</v>
      </c>
      <c r="BR2" s="120"/>
      <c r="BS2" s="120"/>
      <c r="BT2" s="120"/>
      <c r="BU2" s="120"/>
      <c r="BV2" s="120" t="s">
        <v>30</v>
      </c>
      <c r="BW2" s="120"/>
      <c r="BX2" s="120"/>
      <c r="BY2" s="120"/>
      <c r="BZ2" s="120"/>
      <c r="CA2" s="120" t="s">
        <v>33</v>
      </c>
      <c r="CB2" s="120"/>
      <c r="CC2" s="120"/>
      <c r="CD2" s="120"/>
      <c r="CE2" s="120"/>
      <c r="CF2" s="60" t="s">
        <v>191</v>
      </c>
      <c r="CG2" s="10" t="s">
        <v>31</v>
      </c>
      <c r="CH2" s="10" t="s">
        <v>32</v>
      </c>
      <c r="CI2" s="10" t="s">
        <v>34</v>
      </c>
      <c r="CJ2" s="10" t="s">
        <v>33</v>
      </c>
      <c r="CK2" s="10" t="s">
        <v>28</v>
      </c>
      <c r="CL2" s="121" t="s">
        <v>29</v>
      </c>
      <c r="CM2" s="121"/>
      <c r="CN2" s="121"/>
      <c r="CO2" s="121"/>
      <c r="CP2" s="121"/>
      <c r="CQ2" s="121" t="s">
        <v>30</v>
      </c>
      <c r="CR2" s="121"/>
      <c r="CS2" s="121"/>
      <c r="CT2" s="121"/>
      <c r="CU2" s="121"/>
      <c r="CV2" s="121" t="s">
        <v>33</v>
      </c>
      <c r="CW2" s="121"/>
      <c r="CX2" s="121"/>
      <c r="CY2" s="121"/>
      <c r="CZ2" s="121"/>
      <c r="DA2" s="59" t="s">
        <v>191</v>
      </c>
      <c r="DB2" s="13" t="s">
        <v>31</v>
      </c>
      <c r="DC2" s="13" t="s">
        <v>32</v>
      </c>
      <c r="DD2" s="13" t="s">
        <v>34</v>
      </c>
      <c r="DE2" s="13" t="s">
        <v>33</v>
      </c>
      <c r="DF2" s="13" t="s">
        <v>28</v>
      </c>
      <c r="DG2" s="120" t="s">
        <v>29</v>
      </c>
      <c r="DH2" s="120"/>
      <c r="DI2" s="120"/>
      <c r="DJ2" s="120"/>
      <c r="DK2" s="120"/>
      <c r="DL2" s="120" t="s">
        <v>30</v>
      </c>
      <c r="DM2" s="120"/>
      <c r="DN2" s="120"/>
      <c r="DO2" s="120"/>
      <c r="DP2" s="120"/>
      <c r="DQ2" s="120" t="s">
        <v>33</v>
      </c>
      <c r="DR2" s="120"/>
      <c r="DS2" s="120"/>
      <c r="DT2" s="120"/>
      <c r="DU2" s="120"/>
      <c r="DV2" s="60" t="s">
        <v>191</v>
      </c>
      <c r="DW2" s="10" t="s">
        <v>31</v>
      </c>
      <c r="DX2" s="10" t="s">
        <v>32</v>
      </c>
      <c r="DY2" s="10" t="s">
        <v>34</v>
      </c>
      <c r="DZ2" s="10" t="s">
        <v>33</v>
      </c>
      <c r="EA2" s="10" t="s">
        <v>28</v>
      </c>
      <c r="EB2" s="121" t="s">
        <v>29</v>
      </c>
      <c r="EC2" s="121"/>
      <c r="ED2" s="121"/>
      <c r="EE2" s="121"/>
      <c r="EF2" s="121"/>
      <c r="EG2" s="121" t="s">
        <v>30</v>
      </c>
      <c r="EH2" s="121"/>
      <c r="EI2" s="121"/>
      <c r="EJ2" s="121"/>
      <c r="EK2" s="121"/>
      <c r="EL2" s="121" t="s">
        <v>33</v>
      </c>
      <c r="EM2" s="121"/>
      <c r="EN2" s="121"/>
      <c r="EO2" s="121"/>
      <c r="EP2" s="121"/>
      <c r="EQ2" s="59" t="s">
        <v>191</v>
      </c>
      <c r="ER2" s="13" t="s">
        <v>31</v>
      </c>
      <c r="ES2" s="13" t="s">
        <v>32</v>
      </c>
      <c r="ET2" s="13" t="s">
        <v>34</v>
      </c>
      <c r="EU2" s="13" t="s">
        <v>33</v>
      </c>
      <c r="EV2" s="13" t="s">
        <v>28</v>
      </c>
      <c r="EW2" s="120" t="s">
        <v>29</v>
      </c>
      <c r="EX2" s="120"/>
      <c r="EY2" s="120"/>
      <c r="EZ2" s="120"/>
      <c r="FA2" s="120"/>
      <c r="FB2" s="120" t="s">
        <v>30</v>
      </c>
      <c r="FC2" s="120"/>
      <c r="FD2" s="120"/>
      <c r="FE2" s="120"/>
      <c r="FF2" s="120"/>
      <c r="FG2" s="120" t="s">
        <v>33</v>
      </c>
      <c r="FH2" s="120"/>
      <c r="FI2" s="120"/>
      <c r="FJ2" s="120"/>
      <c r="FK2" s="120"/>
      <c r="FL2" s="23" t="s">
        <v>191</v>
      </c>
      <c r="FM2" s="10" t="s">
        <v>31</v>
      </c>
      <c r="FN2" s="10" t="s">
        <v>32</v>
      </c>
      <c r="FO2" s="10" t="s">
        <v>34</v>
      </c>
      <c r="FP2" s="10" t="s">
        <v>33</v>
      </c>
      <c r="FQ2" s="10" t="s">
        <v>28</v>
      </c>
      <c r="FR2" s="121" t="s">
        <v>29</v>
      </c>
      <c r="FS2" s="121"/>
      <c r="FT2" s="121"/>
      <c r="FU2" s="121"/>
      <c r="FV2" s="121"/>
      <c r="FW2" s="121" t="s">
        <v>30</v>
      </c>
      <c r="FX2" s="121"/>
      <c r="FY2" s="121"/>
      <c r="FZ2" s="121"/>
      <c r="GA2" s="121"/>
      <c r="GB2" s="121" t="s">
        <v>33</v>
      </c>
      <c r="GC2" s="121"/>
      <c r="GD2" s="121"/>
      <c r="GE2" s="121"/>
      <c r="GF2" s="121"/>
      <c r="GG2" s="22" t="s">
        <v>191</v>
      </c>
      <c r="GH2" s="13" t="s">
        <v>31</v>
      </c>
      <c r="GI2" s="13" t="s">
        <v>32</v>
      </c>
      <c r="GJ2" s="13" t="s">
        <v>34</v>
      </c>
      <c r="GK2" s="13" t="s">
        <v>33</v>
      </c>
      <c r="GL2" s="13" t="s">
        <v>28</v>
      </c>
      <c r="GM2" s="120" t="s">
        <v>29</v>
      </c>
      <c r="GN2" s="120"/>
      <c r="GO2" s="120"/>
      <c r="GP2" s="120"/>
      <c r="GQ2" s="120"/>
      <c r="GR2" s="120" t="s">
        <v>30</v>
      </c>
      <c r="GS2" s="120"/>
      <c r="GT2" s="120"/>
      <c r="GU2" s="120"/>
      <c r="GV2" s="120"/>
      <c r="GW2" s="120" t="s">
        <v>33</v>
      </c>
      <c r="GX2" s="120"/>
      <c r="GY2" s="120"/>
      <c r="GZ2" s="120"/>
      <c r="HA2" s="120"/>
      <c r="HB2" s="23" t="s">
        <v>191</v>
      </c>
      <c r="HC2" s="10" t="s">
        <v>31</v>
      </c>
      <c r="HD2" s="10" t="s">
        <v>32</v>
      </c>
      <c r="HE2" s="10" t="s">
        <v>34</v>
      </c>
      <c r="HF2" s="10" t="s">
        <v>33</v>
      </c>
      <c r="HG2" s="10" t="s">
        <v>28</v>
      </c>
      <c r="HH2" s="121" t="s">
        <v>29</v>
      </c>
      <c r="HI2" s="121"/>
      <c r="HJ2" s="121"/>
      <c r="HK2" s="121"/>
      <c r="HL2" s="121"/>
      <c r="HM2" s="121" t="s">
        <v>30</v>
      </c>
      <c r="HN2" s="121"/>
      <c r="HO2" s="121"/>
      <c r="HP2" s="121"/>
      <c r="HQ2" s="121"/>
      <c r="HR2" s="121" t="s">
        <v>33</v>
      </c>
      <c r="HS2" s="121"/>
      <c r="HT2" s="121"/>
      <c r="HU2" s="121"/>
      <c r="HV2" s="121"/>
      <c r="HW2" s="22" t="s">
        <v>191</v>
      </c>
      <c r="HX2" s="13" t="s">
        <v>31</v>
      </c>
      <c r="HY2" s="13" t="s">
        <v>32</v>
      </c>
      <c r="HZ2" s="13" t="s">
        <v>34</v>
      </c>
      <c r="IA2" s="13" t="s">
        <v>33</v>
      </c>
      <c r="IB2" s="13" t="s">
        <v>28</v>
      </c>
      <c r="IC2" s="120" t="s">
        <v>29</v>
      </c>
      <c r="ID2" s="120"/>
      <c r="IE2" s="120"/>
      <c r="IF2" s="120"/>
      <c r="IG2" s="120"/>
      <c r="IH2" s="120" t="s">
        <v>30</v>
      </c>
      <c r="II2" s="120"/>
      <c r="IJ2" s="120"/>
      <c r="IK2" s="120"/>
      <c r="IL2" s="120"/>
      <c r="IM2" s="120" t="s">
        <v>33</v>
      </c>
      <c r="IN2" s="120"/>
      <c r="IO2" s="120"/>
      <c r="IP2" s="120"/>
      <c r="IQ2" s="120"/>
      <c r="IR2" s="23" t="s">
        <v>191</v>
      </c>
      <c r="IS2" s="10" t="s">
        <v>31</v>
      </c>
      <c r="IT2" s="10" t="s">
        <v>32</v>
      </c>
      <c r="IU2" s="10" t="s">
        <v>34</v>
      </c>
      <c r="IV2" s="10" t="s">
        <v>33</v>
      </c>
      <c r="IW2" s="10" t="s">
        <v>28</v>
      </c>
      <c r="IX2" s="121" t="s">
        <v>29</v>
      </c>
      <c r="IY2" s="121"/>
      <c r="IZ2" s="121"/>
      <c r="JA2" s="121"/>
      <c r="JB2" s="121"/>
      <c r="JC2" s="121" t="s">
        <v>30</v>
      </c>
      <c r="JD2" s="121"/>
      <c r="JE2" s="121"/>
      <c r="JF2" s="121"/>
      <c r="JG2" s="121"/>
      <c r="JH2" s="121" t="s">
        <v>33</v>
      </c>
      <c r="JI2" s="121"/>
      <c r="JJ2" s="121"/>
      <c r="JK2" s="121"/>
      <c r="JL2" s="121"/>
      <c r="JM2" s="22" t="s">
        <v>191</v>
      </c>
      <c r="JN2" s="13" t="s">
        <v>31</v>
      </c>
      <c r="JO2" s="13" t="s">
        <v>32</v>
      </c>
      <c r="JP2" s="13" t="s">
        <v>34</v>
      </c>
      <c r="JQ2" s="13" t="s">
        <v>33</v>
      </c>
      <c r="JR2" s="13" t="s">
        <v>28</v>
      </c>
      <c r="JS2" s="120" t="s">
        <v>29</v>
      </c>
      <c r="JT2" s="120"/>
      <c r="JU2" s="120"/>
      <c r="JV2" s="120"/>
      <c r="JW2" s="120"/>
      <c r="JX2" s="120" t="s">
        <v>30</v>
      </c>
      <c r="JY2" s="120"/>
      <c r="JZ2" s="120"/>
      <c r="KA2" s="120"/>
      <c r="KB2" s="120"/>
      <c r="KC2" s="120" t="s">
        <v>33</v>
      </c>
      <c r="KD2" s="120"/>
      <c r="KE2" s="120"/>
      <c r="KF2" s="120"/>
      <c r="KG2" s="120"/>
      <c r="KH2" s="23" t="s">
        <v>191</v>
      </c>
      <c r="KI2" s="10" t="s">
        <v>31</v>
      </c>
      <c r="KJ2" s="10" t="s">
        <v>32</v>
      </c>
      <c r="KK2" s="10" t="s">
        <v>34</v>
      </c>
      <c r="KL2" s="10" t="s">
        <v>33</v>
      </c>
      <c r="KM2" s="10" t="s">
        <v>28</v>
      </c>
      <c r="KN2" s="121" t="s">
        <v>29</v>
      </c>
      <c r="KO2" s="121"/>
      <c r="KP2" s="121"/>
      <c r="KQ2" s="121"/>
      <c r="KR2" s="121"/>
      <c r="KS2" s="121" t="s">
        <v>30</v>
      </c>
      <c r="KT2" s="121"/>
      <c r="KU2" s="121"/>
      <c r="KV2" s="121"/>
      <c r="KW2" s="121"/>
      <c r="KX2" s="121" t="s">
        <v>33</v>
      </c>
      <c r="KY2" s="121"/>
      <c r="KZ2" s="121"/>
      <c r="LA2" s="121"/>
      <c r="LB2" s="121"/>
      <c r="LC2" s="22" t="s">
        <v>191</v>
      </c>
      <c r="LD2" s="13" t="s">
        <v>31</v>
      </c>
      <c r="LE2" s="13" t="s">
        <v>32</v>
      </c>
      <c r="LF2" s="13" t="s">
        <v>34</v>
      </c>
      <c r="LG2" s="13" t="s">
        <v>33</v>
      </c>
      <c r="LH2" s="13" t="s">
        <v>28</v>
      </c>
      <c r="LI2" s="120" t="s">
        <v>29</v>
      </c>
      <c r="LJ2" s="120"/>
      <c r="LK2" s="120"/>
      <c r="LL2" s="120"/>
      <c r="LM2" s="120"/>
      <c r="LN2" s="120" t="s">
        <v>30</v>
      </c>
      <c r="LO2" s="120"/>
      <c r="LP2" s="120"/>
      <c r="LQ2" s="120"/>
      <c r="LR2" s="120"/>
      <c r="LS2" s="120" t="s">
        <v>33</v>
      </c>
      <c r="LT2" s="120"/>
      <c r="LU2" s="120"/>
      <c r="LV2" s="120"/>
      <c r="LW2" s="120"/>
      <c r="LX2" s="112"/>
      <c r="LY2" s="112" t="s">
        <v>191</v>
      </c>
      <c r="LZ2" s="10" t="s">
        <v>31</v>
      </c>
      <c r="MA2" s="10" t="s">
        <v>32</v>
      </c>
      <c r="MB2" s="10" t="s">
        <v>34</v>
      </c>
      <c r="MC2" s="10" t="s">
        <v>33</v>
      </c>
      <c r="MD2" s="10" t="s">
        <v>28</v>
      </c>
    </row>
    <row r="3" spans="1:342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1" t="s">
        <v>25</v>
      </c>
      <c r="V3" s="31" t="s">
        <v>26</v>
      </c>
      <c r="W3" s="31" t="s">
        <v>17</v>
      </c>
      <c r="X3" s="31" t="s">
        <v>67</v>
      </c>
      <c r="Y3" s="48" t="s">
        <v>48</v>
      </c>
      <c r="Z3" s="31" t="s">
        <v>25</v>
      </c>
      <c r="AA3" s="31" t="s">
        <v>26</v>
      </c>
      <c r="AB3" s="31" t="s">
        <v>17</v>
      </c>
      <c r="AC3" s="31" t="s">
        <v>67</v>
      </c>
      <c r="AD3" s="48" t="s">
        <v>48</v>
      </c>
      <c r="AE3" s="31" t="s">
        <v>25</v>
      </c>
      <c r="AF3" s="31" t="s">
        <v>26</v>
      </c>
      <c r="AG3" s="31" t="s">
        <v>17</v>
      </c>
      <c r="AH3" s="31" t="s">
        <v>67</v>
      </c>
      <c r="AI3" s="48" t="s">
        <v>48</v>
      </c>
      <c r="AJ3" s="81" t="s">
        <v>125</v>
      </c>
      <c r="AK3" s="11"/>
      <c r="AL3" s="10"/>
      <c r="AM3" s="10"/>
      <c r="AN3" s="10"/>
      <c r="AO3" s="11"/>
      <c r="AP3" s="11"/>
      <c r="AQ3" s="30" t="s">
        <v>25</v>
      </c>
      <c r="AR3" s="30" t="s">
        <v>26</v>
      </c>
      <c r="AS3" s="30" t="s">
        <v>17</v>
      </c>
      <c r="AT3" s="30" t="s">
        <v>67</v>
      </c>
      <c r="AU3" s="49" t="s">
        <v>48</v>
      </c>
      <c r="AV3" s="30" t="s">
        <v>25</v>
      </c>
      <c r="AW3" s="30" t="s">
        <v>26</v>
      </c>
      <c r="AX3" s="30" t="s">
        <v>17</v>
      </c>
      <c r="AY3" s="30" t="s">
        <v>67</v>
      </c>
      <c r="AZ3" s="49" t="s">
        <v>48</v>
      </c>
      <c r="BA3" s="30" t="s">
        <v>25</v>
      </c>
      <c r="BB3" s="30" t="s">
        <v>26</v>
      </c>
      <c r="BC3" s="30" t="s">
        <v>17</v>
      </c>
      <c r="BD3" s="30" t="s">
        <v>67</v>
      </c>
      <c r="BE3" s="49" t="s">
        <v>48</v>
      </c>
      <c r="BF3" s="82" t="s">
        <v>125</v>
      </c>
      <c r="BG3" s="14"/>
      <c r="BH3" s="13"/>
      <c r="BI3" s="13"/>
      <c r="BJ3" s="13"/>
      <c r="BK3" s="14"/>
      <c r="BL3" s="14"/>
      <c r="BM3" s="25"/>
      <c r="BN3" s="25"/>
      <c r="BO3" s="25"/>
      <c r="BP3" s="25"/>
      <c r="BQ3" s="60" t="s">
        <v>25</v>
      </c>
      <c r="BR3" s="60" t="s">
        <v>26</v>
      </c>
      <c r="BS3" s="60" t="s">
        <v>17</v>
      </c>
      <c r="BT3" s="63" t="s">
        <v>67</v>
      </c>
      <c r="BU3" s="63" t="s">
        <v>48</v>
      </c>
      <c r="BV3" s="60" t="s">
        <v>25</v>
      </c>
      <c r="BW3" s="60" t="s">
        <v>26</v>
      </c>
      <c r="BX3" s="60" t="s">
        <v>17</v>
      </c>
      <c r="BY3" s="63" t="s">
        <v>67</v>
      </c>
      <c r="BZ3" s="63" t="s">
        <v>48</v>
      </c>
      <c r="CA3" s="60" t="s">
        <v>25</v>
      </c>
      <c r="CB3" s="60" t="s">
        <v>26</v>
      </c>
      <c r="CC3" s="60" t="s">
        <v>17</v>
      </c>
      <c r="CD3" s="63" t="s">
        <v>67</v>
      </c>
      <c r="CE3" s="63" t="s">
        <v>48</v>
      </c>
      <c r="CF3" s="11"/>
      <c r="CG3" s="10"/>
      <c r="CH3" s="10"/>
      <c r="CI3" s="10"/>
      <c r="CJ3" s="11"/>
      <c r="CK3" s="11"/>
      <c r="CL3" s="59" t="s">
        <v>25</v>
      </c>
      <c r="CM3" s="59" t="s">
        <v>26</v>
      </c>
      <c r="CN3" s="59" t="s">
        <v>17</v>
      </c>
      <c r="CO3" s="59" t="s">
        <v>67</v>
      </c>
      <c r="CP3" s="59" t="s">
        <v>48</v>
      </c>
      <c r="CQ3" s="59" t="s">
        <v>25</v>
      </c>
      <c r="CR3" s="59" t="s">
        <v>26</v>
      </c>
      <c r="CS3" s="59" t="s">
        <v>17</v>
      </c>
      <c r="CT3" s="59" t="s">
        <v>67</v>
      </c>
      <c r="CU3" s="59" t="s">
        <v>48</v>
      </c>
      <c r="CV3" s="59" t="s">
        <v>25</v>
      </c>
      <c r="CW3" s="59" t="s">
        <v>26</v>
      </c>
      <c r="CX3" s="59" t="s">
        <v>17</v>
      </c>
      <c r="CY3" s="59" t="s">
        <v>67</v>
      </c>
      <c r="CZ3" s="59" t="s">
        <v>48</v>
      </c>
      <c r="DA3" s="14"/>
      <c r="DB3" s="13"/>
      <c r="DC3" s="13"/>
      <c r="DD3" s="13"/>
      <c r="DE3" s="14"/>
      <c r="DF3" s="14"/>
      <c r="DG3" s="60" t="s">
        <v>25</v>
      </c>
      <c r="DH3" s="60" t="s">
        <v>26</v>
      </c>
      <c r="DI3" s="60" t="s">
        <v>17</v>
      </c>
      <c r="DJ3" s="63" t="s">
        <v>67</v>
      </c>
      <c r="DK3" s="63" t="s">
        <v>48</v>
      </c>
      <c r="DL3" s="60" t="s">
        <v>25</v>
      </c>
      <c r="DM3" s="60" t="s">
        <v>26</v>
      </c>
      <c r="DN3" s="60" t="s">
        <v>17</v>
      </c>
      <c r="DO3" s="63" t="s">
        <v>67</v>
      </c>
      <c r="DP3" s="63" t="s">
        <v>48</v>
      </c>
      <c r="DQ3" s="60" t="s">
        <v>25</v>
      </c>
      <c r="DR3" s="60" t="s">
        <v>26</v>
      </c>
      <c r="DS3" s="60" t="s">
        <v>17</v>
      </c>
      <c r="DT3" s="63" t="s">
        <v>67</v>
      </c>
      <c r="DU3" s="63" t="s">
        <v>48</v>
      </c>
      <c r="DV3" s="11"/>
      <c r="DW3" s="10"/>
      <c r="DX3" s="10"/>
      <c r="DY3" s="10"/>
      <c r="DZ3" s="11"/>
      <c r="EA3" s="11"/>
      <c r="EB3" s="59" t="s">
        <v>25</v>
      </c>
      <c r="EC3" s="59" t="s">
        <v>26</v>
      </c>
      <c r="ED3" s="59" t="s">
        <v>17</v>
      </c>
      <c r="EE3" s="59" t="s">
        <v>67</v>
      </c>
      <c r="EF3" s="59" t="s">
        <v>48</v>
      </c>
      <c r="EG3" s="59" t="s">
        <v>25</v>
      </c>
      <c r="EH3" s="59" t="s">
        <v>26</v>
      </c>
      <c r="EI3" s="59" t="s">
        <v>17</v>
      </c>
      <c r="EJ3" s="59" t="s">
        <v>67</v>
      </c>
      <c r="EK3" s="59" t="s">
        <v>48</v>
      </c>
      <c r="EL3" s="59" t="s">
        <v>25</v>
      </c>
      <c r="EM3" s="59" t="s">
        <v>26</v>
      </c>
      <c r="EN3" s="59" t="s">
        <v>17</v>
      </c>
      <c r="EO3" s="59" t="s">
        <v>67</v>
      </c>
      <c r="EP3" s="59" t="s">
        <v>48</v>
      </c>
      <c r="EQ3" s="14"/>
      <c r="ER3" s="13"/>
      <c r="ES3" s="13"/>
      <c r="ET3" s="13"/>
      <c r="EU3" s="14"/>
      <c r="EV3" s="14"/>
      <c r="EW3" s="31" t="s">
        <v>25</v>
      </c>
      <c r="EX3" s="31" t="s">
        <v>26</v>
      </c>
      <c r="EY3" s="31" t="s">
        <v>17</v>
      </c>
      <c r="EZ3" s="34" t="s">
        <v>67</v>
      </c>
      <c r="FA3" s="50" t="s">
        <v>48</v>
      </c>
      <c r="FB3" s="31" t="s">
        <v>25</v>
      </c>
      <c r="FC3" s="31" t="s">
        <v>26</v>
      </c>
      <c r="FD3" s="31" t="s">
        <v>17</v>
      </c>
      <c r="FE3" s="34" t="s">
        <v>67</v>
      </c>
      <c r="FF3" s="50" t="s">
        <v>48</v>
      </c>
      <c r="FG3" s="31" t="s">
        <v>25</v>
      </c>
      <c r="FH3" s="31" t="s">
        <v>26</v>
      </c>
      <c r="FI3" s="31" t="s">
        <v>17</v>
      </c>
      <c r="FJ3" s="34" t="s">
        <v>67</v>
      </c>
      <c r="FK3" s="50" t="s">
        <v>48</v>
      </c>
      <c r="FL3" s="11"/>
      <c r="FM3" s="10"/>
      <c r="FN3" s="10"/>
      <c r="FO3" s="10"/>
      <c r="FP3" s="11"/>
      <c r="FQ3" s="11"/>
      <c r="FR3" s="30" t="s">
        <v>25</v>
      </c>
      <c r="FS3" s="30" t="s">
        <v>26</v>
      </c>
      <c r="FT3" s="30" t="s">
        <v>17</v>
      </c>
      <c r="FU3" s="30" t="s">
        <v>67</v>
      </c>
      <c r="FV3" s="49" t="s">
        <v>48</v>
      </c>
      <c r="FW3" s="30" t="s">
        <v>25</v>
      </c>
      <c r="FX3" s="30" t="s">
        <v>26</v>
      </c>
      <c r="FY3" s="30" t="s">
        <v>17</v>
      </c>
      <c r="FZ3" s="30" t="s">
        <v>67</v>
      </c>
      <c r="GA3" s="49" t="s">
        <v>48</v>
      </c>
      <c r="GB3" s="30" t="s">
        <v>25</v>
      </c>
      <c r="GC3" s="30" t="s">
        <v>26</v>
      </c>
      <c r="GD3" s="30" t="s">
        <v>17</v>
      </c>
      <c r="GE3" s="30" t="s">
        <v>67</v>
      </c>
      <c r="GF3" s="49" t="s">
        <v>48</v>
      </c>
      <c r="GG3" s="14"/>
      <c r="GH3" s="13"/>
      <c r="GI3" s="13"/>
      <c r="GJ3" s="13"/>
      <c r="GK3" s="14"/>
      <c r="GL3" s="14"/>
      <c r="GM3" s="31" t="s">
        <v>25</v>
      </c>
      <c r="GN3" s="31" t="s">
        <v>26</v>
      </c>
      <c r="GO3" s="31" t="s">
        <v>17</v>
      </c>
      <c r="GP3" s="34" t="s">
        <v>67</v>
      </c>
      <c r="GQ3" s="50" t="s">
        <v>48</v>
      </c>
      <c r="GR3" s="31" t="s">
        <v>25</v>
      </c>
      <c r="GS3" s="31" t="s">
        <v>26</v>
      </c>
      <c r="GT3" s="31" t="s">
        <v>17</v>
      </c>
      <c r="GU3" s="34" t="s">
        <v>67</v>
      </c>
      <c r="GV3" s="50" t="s">
        <v>48</v>
      </c>
      <c r="GW3" s="31" t="s">
        <v>25</v>
      </c>
      <c r="GX3" s="31" t="s">
        <v>26</v>
      </c>
      <c r="GY3" s="31" t="s">
        <v>17</v>
      </c>
      <c r="GZ3" s="34" t="s">
        <v>67</v>
      </c>
      <c r="HA3" s="50" t="s">
        <v>48</v>
      </c>
      <c r="HB3" s="11"/>
      <c r="HC3" s="10"/>
      <c r="HD3" s="10"/>
      <c r="HE3" s="10"/>
      <c r="HF3" s="11"/>
      <c r="HG3" s="11"/>
      <c r="HH3" s="30" t="s">
        <v>25</v>
      </c>
      <c r="HI3" s="30" t="s">
        <v>26</v>
      </c>
      <c r="HJ3" s="30" t="s">
        <v>17</v>
      </c>
      <c r="HK3" s="30" t="s">
        <v>67</v>
      </c>
      <c r="HL3" s="49" t="s">
        <v>48</v>
      </c>
      <c r="HM3" s="30" t="s">
        <v>25</v>
      </c>
      <c r="HN3" s="30" t="s">
        <v>26</v>
      </c>
      <c r="HO3" s="30" t="s">
        <v>17</v>
      </c>
      <c r="HP3" s="30" t="s">
        <v>67</v>
      </c>
      <c r="HQ3" s="49" t="s">
        <v>48</v>
      </c>
      <c r="HR3" s="30" t="s">
        <v>25</v>
      </c>
      <c r="HS3" s="30" t="s">
        <v>26</v>
      </c>
      <c r="HT3" s="30" t="s">
        <v>17</v>
      </c>
      <c r="HU3" s="30" t="s">
        <v>67</v>
      </c>
      <c r="HV3" s="49" t="s">
        <v>48</v>
      </c>
      <c r="HW3" s="14"/>
      <c r="HX3" s="13"/>
      <c r="HY3" s="13"/>
      <c r="HZ3" s="13"/>
      <c r="IA3" s="14"/>
      <c r="IB3" s="14"/>
      <c r="IC3" s="31" t="s">
        <v>25</v>
      </c>
      <c r="ID3" s="31" t="s">
        <v>26</v>
      </c>
      <c r="IE3" s="31" t="s">
        <v>17</v>
      </c>
      <c r="IF3" s="34" t="s">
        <v>67</v>
      </c>
      <c r="IG3" s="50" t="s">
        <v>48</v>
      </c>
      <c r="IH3" s="31" t="s">
        <v>25</v>
      </c>
      <c r="II3" s="31" t="s">
        <v>26</v>
      </c>
      <c r="IJ3" s="31" t="s">
        <v>17</v>
      </c>
      <c r="IK3" s="34" t="s">
        <v>67</v>
      </c>
      <c r="IL3" s="50" t="s">
        <v>48</v>
      </c>
      <c r="IM3" s="31" t="s">
        <v>25</v>
      </c>
      <c r="IN3" s="31" t="s">
        <v>26</v>
      </c>
      <c r="IO3" s="31" t="s">
        <v>17</v>
      </c>
      <c r="IP3" s="34" t="s">
        <v>67</v>
      </c>
      <c r="IQ3" s="50" t="s">
        <v>48</v>
      </c>
      <c r="IR3" s="11"/>
      <c r="IS3" s="10"/>
      <c r="IT3" s="10"/>
      <c r="IU3" s="10"/>
      <c r="IV3" s="11"/>
      <c r="IW3" s="11"/>
      <c r="IX3" s="30" t="s">
        <v>25</v>
      </c>
      <c r="IY3" s="30" t="s">
        <v>26</v>
      </c>
      <c r="IZ3" s="30" t="s">
        <v>17</v>
      </c>
      <c r="JA3" s="30" t="s">
        <v>67</v>
      </c>
      <c r="JB3" s="49" t="s">
        <v>48</v>
      </c>
      <c r="JC3" s="30" t="s">
        <v>25</v>
      </c>
      <c r="JD3" s="30" t="s">
        <v>26</v>
      </c>
      <c r="JE3" s="30" t="s">
        <v>17</v>
      </c>
      <c r="JF3" s="30" t="s">
        <v>67</v>
      </c>
      <c r="JG3" s="49" t="s">
        <v>48</v>
      </c>
      <c r="JH3" s="30" t="s">
        <v>25</v>
      </c>
      <c r="JI3" s="30" t="s">
        <v>26</v>
      </c>
      <c r="JJ3" s="30" t="s">
        <v>17</v>
      </c>
      <c r="JK3" s="30" t="s">
        <v>67</v>
      </c>
      <c r="JL3" s="49" t="s">
        <v>48</v>
      </c>
      <c r="JM3" s="14"/>
      <c r="JN3" s="13"/>
      <c r="JO3" s="13"/>
      <c r="JP3" s="13"/>
      <c r="JQ3" s="14"/>
      <c r="JR3" s="14"/>
      <c r="JS3" s="31" t="s">
        <v>25</v>
      </c>
      <c r="JT3" s="31" t="s">
        <v>26</v>
      </c>
      <c r="JU3" s="31" t="s">
        <v>17</v>
      </c>
      <c r="JV3" s="34" t="s">
        <v>67</v>
      </c>
      <c r="JW3" s="50" t="s">
        <v>48</v>
      </c>
      <c r="JX3" s="31" t="s">
        <v>25</v>
      </c>
      <c r="JY3" s="31" t="s">
        <v>26</v>
      </c>
      <c r="JZ3" s="31" t="s">
        <v>17</v>
      </c>
      <c r="KA3" s="34" t="s">
        <v>67</v>
      </c>
      <c r="KB3" s="50" t="s">
        <v>48</v>
      </c>
      <c r="KC3" s="31" t="s">
        <v>25</v>
      </c>
      <c r="KD3" s="31" t="s">
        <v>26</v>
      </c>
      <c r="KE3" s="31" t="s">
        <v>17</v>
      </c>
      <c r="KF3" s="34" t="s">
        <v>67</v>
      </c>
      <c r="KG3" s="50" t="s">
        <v>48</v>
      </c>
      <c r="KH3" s="11"/>
      <c r="KI3" s="10"/>
      <c r="KJ3" s="10"/>
      <c r="KK3" s="10"/>
      <c r="KL3" s="11"/>
      <c r="KM3" s="11"/>
      <c r="KN3" s="30" t="s">
        <v>25</v>
      </c>
      <c r="KO3" s="30" t="s">
        <v>26</v>
      </c>
      <c r="KP3" s="30" t="s">
        <v>17</v>
      </c>
      <c r="KQ3" s="30" t="s">
        <v>67</v>
      </c>
      <c r="KR3" s="49" t="s">
        <v>48</v>
      </c>
      <c r="KS3" s="30" t="s">
        <v>25</v>
      </c>
      <c r="KT3" s="30" t="s">
        <v>26</v>
      </c>
      <c r="KU3" s="30" t="s">
        <v>17</v>
      </c>
      <c r="KV3" s="30" t="s">
        <v>67</v>
      </c>
      <c r="KW3" s="49" t="s">
        <v>48</v>
      </c>
      <c r="KX3" s="30" t="s">
        <v>25</v>
      </c>
      <c r="KY3" s="30" t="s">
        <v>26</v>
      </c>
      <c r="KZ3" s="30" t="s">
        <v>17</v>
      </c>
      <c r="LA3" s="30" t="s">
        <v>67</v>
      </c>
      <c r="LB3" s="49" t="s">
        <v>48</v>
      </c>
      <c r="LC3" s="14"/>
      <c r="LD3" s="13"/>
      <c r="LE3" s="13"/>
      <c r="LF3" s="13"/>
      <c r="LG3" s="14"/>
      <c r="LH3" s="14"/>
      <c r="LI3" s="112" t="s">
        <v>25</v>
      </c>
      <c r="LJ3" s="112" t="s">
        <v>26</v>
      </c>
      <c r="LK3" s="112" t="s">
        <v>17</v>
      </c>
      <c r="LL3" s="112" t="s">
        <v>27</v>
      </c>
      <c r="LM3" s="112" t="s">
        <v>48</v>
      </c>
      <c r="LN3" s="112" t="s">
        <v>25</v>
      </c>
      <c r="LO3" s="112" t="s">
        <v>26</v>
      </c>
      <c r="LP3" s="112" t="s">
        <v>17</v>
      </c>
      <c r="LQ3" s="112" t="s">
        <v>27</v>
      </c>
      <c r="LR3" s="112" t="s">
        <v>48</v>
      </c>
      <c r="LS3" s="112" t="s">
        <v>25</v>
      </c>
      <c r="LT3" s="112" t="s">
        <v>26</v>
      </c>
      <c r="LU3" s="112" t="s">
        <v>17</v>
      </c>
      <c r="LV3" s="112" t="s">
        <v>27</v>
      </c>
      <c r="LW3" s="112" t="s">
        <v>48</v>
      </c>
      <c r="LX3" s="112" t="s">
        <v>125</v>
      </c>
      <c r="LY3" s="11"/>
      <c r="LZ3" s="10"/>
      <c r="MA3" s="10"/>
      <c r="MB3" s="10"/>
      <c r="MC3" s="11"/>
      <c r="MD3" s="11"/>
    </row>
    <row r="4" spans="1:342" x14ac:dyDescent="0.2">
      <c r="A4" s="6">
        <f t="shared" ref="A4:A16" si="0">IF(AND(F4="P",H4="P"),SUMPRODUCT((F$4:F$17="P")*(H$4:H$17="P")*(E$4:E$17&gt;E4))+1,IF(H4="P",SUMPRODUCT((F$4:F$17="")*(H$4:H$17="P")*(E$4:E$17&gt;E4))+1+SUMPRODUCT((F$4:F$17="P")*(H$4:H$17="P")),""))</f>
        <v>1</v>
      </c>
      <c r="B4" s="7" t="s">
        <v>117</v>
      </c>
      <c r="C4" s="8" t="s">
        <v>3</v>
      </c>
      <c r="D4" s="6" t="s">
        <v>139</v>
      </c>
      <c r="E4" s="16">
        <f t="shared" ref="E4:E16" si="1">SUM(J4:R4)</f>
        <v>220.95500000000001</v>
      </c>
      <c r="F4" s="4" t="str">
        <f t="shared" ref="F4:F16" si="2">IF(OR(AND($AK4&gt;=$AL$19,NOT($AK4=""),$AJ4=""),AND($BG4&gt;=$BH$19,NOT($BG4=""),$BF4=""),AND($CF4&gt;=$CG$19,NOT($CF4="")),AND($DA4&gt;=$DB$19,NOT($DA4="")),AND($DV4&gt;=$DW$19,NOT($DV4="")),AND($EQ4&gt;=$ER$19,NOT($EQ4="")),AND($FL4&gt;=$FM$19,NOT($FL4="")),AND($GG4&gt;=$GH$19,NOT($GG4="")),AND($HB4&gt;=$HC$19,NOT($HB4="")),AND($HW4&gt;=$HX$19,NOT($HW4="")),AND($IR4&gt;=$IS$19,NOT($IR4="")),AND($JM4&gt;=$JN$19,NOT($JM4="")),AND($KH4&gt;=$KI$19,NOT($KH4="")),AND($LC4&gt;=$LD$19,NOT($LC4=""))),"P","")</f>
        <v>P</v>
      </c>
      <c r="G4" s="4" t="str">
        <f t="shared" ref="G4:G16" si="3">IF(OR(AND($AK4&gt;=$AL$20,NOT($AK4=""),$AJ4=""),AND($BG4&gt;=$BH$20,NOT($BG4=""),$BF4=""),AND($CF4&gt;=$CG$20,NOT($CF4="")),AND($DA4&gt;=$DB$20,NOT($DA4="")),AND($DV4&gt;=$DW$20,NOT($DV4="")),AND($EQ4&gt;=$ER$20,NOT($EQ4="")),AND($FL4&gt;=$FM$20,NOT($FL4="")),AND($GG4&gt;=$GH$20,NOT($GG4="")),AND($HB4&gt;=$HC$20,NOT($HB4="")),AND($HW4&gt;=$HX$20,NOT($HW4="")),AND($IR4&gt;=$IS$20,NOT($IR4="")),AND($JM4&gt;=$JN$20,NOT($JM4="")),AND($KH4&gt;=$KI$20,NOT($KH4="")),AND($LC4&gt;=$LD$20,NOT($LC4=""))),"P","")</f>
        <v>P</v>
      </c>
      <c r="H4" s="4" t="str">
        <f t="shared" ref="H4:H16" si="4">IF(OR(AND($AN4&gt;=$AL$21,NOT($AN4=""),$AJ4=""),AND($BJ4&gt;=$BH$21,NOT($BJ4=""),$BF4=""),AND($CI4&gt;=$CG$21,NOT($CI4="")),AND($DD4&gt;=$DB$21,NOT($DD4="")),AND($DY4&gt;=$DW$21,NOT($DY4="")),AND($ET4&gt;=$ER$21,NOT($ET4="")),AND($FO4&gt;=$FM$21,NOT($FO4="")),AND($GJ4&gt;=$GH$21,NOT($GJ4="")),AND($HE4&gt;=$HC$21,NOT($HE4="")),AND($HZ4&gt;=$HX$21,NOT($HZ4="")),AND($IU4&gt;=$IS$21,NOT($IU4="")),AND($JP4&gt;=$JN$21,NOT($JP4="")),AND($KK4&gt;=$KI$21,NOT($KK4="")),AND($LF4&gt;=$LD$21,NOT($LF4=""))),"P","")</f>
        <v>P</v>
      </c>
      <c r="I4" t="str">
        <f t="shared" ref="I4:I16" si="5">IF(AND(H4="P",F4=""),"No DD",IF(AND(G4="P",OR(AND($AN4&gt;$AL$24,NOT($AN4=""),$AJ4=""),AND($BJ4&gt;$BH$24,NOT($BJ4=""),$BF4=""),AND($CI4&gt;$CG$24,NOT($CI4="")),AND($DD4&gt;$DB$24,NOT($DD4="")),AND($DY4&gt;$DW$24,NOT($DY4="")),AND($ET4&gt;$ER$24,NOT($ET4="")),AND($FO4&gt;$FM$24,NOT($FO4="")),AND($GJ4&gt;$GH$24,NOT($GJ4="")),AND($HE4&gt;$HC$24,NOT($HE4="")),AND($HZ4&gt;$HX$24,NOT($HZ4="")),AND($IU4&gt;$IS$24,NOT($IU4="")),AND($JP4&gt;$JN$24,NOT($JP4="")),AND($KK4&gt;$KI$24,NOT($KK4="")),AND($LF4&gt;$LD$24,NOT($LF4="")))),"Merit",IF(AND(G4="P",OR(AND($AN4&gt;$AL$23,NOT($AN4=""),$AJ4=""),AND($BJ4&gt;$BH$23,NOT($BJ4=""),$BF4=""),AND($CI4&gt;$CG$23,NOT($CI4="")),AND($DD4&gt;$DB$23,NOT($DD4="")),AND($DY4&gt;$DW$23,NOT($DY4="")),AND($ET4&gt;$ER$23,NOT($ET4="")),AND($FO4&gt;$FM$23,NOT($FO4="")),AND($GJ4&gt;$GH$23,NOT($GJ4="")),AND($HE4&gt;$HC$23,NOT($HE4="")),AND($HZ4&gt;$HX$23,NOT($HZ4="")),AND($IU4&gt;$IS$23,NOT($IU4="")),AND($JP4&gt;$JN$23,NOT($JP4="")),AND($KK4&gt;$KI$23,NOT($KK4="")),AND($LF4&gt;$LD$23,NOT($LF4="")))),"Excellence",IF(AND(G4="P",OR(AND($AN4&gt;$AL$22,NOT($AN4=""),$AJ4=""),AND($BJ4&gt;$BH$22,NOT($BJ4=""),$BF4=""),AND($CI4&gt;$CG$22,NOT($CI4="")),AND($DD4&gt;$DB$22,NOT($DD4="")),AND($DY4&gt;$DW$22,NOT($DY4="")),AND($ET4&gt;$ER$22,NOT($ET4="")),AND($FO4&gt;$FM$22,NOT($FO4="")),AND($GJ4&gt;$GH$22,NOT($GJ4="")),AND($HE4&gt;$HC$22,NOT($HE4="")),AND($HZ4&gt;$HX$22,NOT($HZ4="")),AND($IU4&gt;$IS$22,NOT($IU4="")),AND($JP4&gt;$JN$22,NOT($JP4="")),AND($KK4&gt;$KI$22,NOT($KK4="")),AND($LF4&gt;$LD$22,NOT($LF4="")))),"Worlds Team",IF(AND(F4="P",OR(AND($AN4&gt;$AL$21,NOT($AN4=""),$AJ4=""),AND($BJ4&gt;$BH$21,NOT($BJ4=""),$BF4=""),AND($CI4&gt;$CG$21,NOT($CI4="")),AND($DD4&gt;$DB$21,NOT($DD4="")),AND($DY4&gt;$DW$21,NOT($DY4="")),AND($ET4&gt;$ER$21,NOT($ET4="")),AND($FO4&gt;$FM$21,NOT($FO4="")),AND($GJ4&gt;$GH$21,NOT($GJ4="")),AND($HE4&gt;$HC$21,NOT($HE4="")),AND($HZ4&gt;$HX$21,NOT($HZ4="")),AND($IU4&gt;$IS$21,NOT($IU4="")),AND($JP4&gt;$JN$21,NOT($JP4="")),AND($KK4&gt;$KI$21,NOT($KK4="")),AND($LF4&gt;$LD$21,NOT($LF4="")))),"National Team","")))))</f>
        <v>Merit</v>
      </c>
      <c r="J4" s="15">
        <f t="shared" ref="J4:J16" si="6">IF(MAX(AN4,BJ4)&gt;0,MAX(AN4,BJ4),"")</f>
        <v>88.35499999999999</v>
      </c>
      <c r="K4" s="15" t="str">
        <f t="shared" ref="K4:K16" si="7">IF(J4="","",IF(J4=BJ4,$AQ$1,IF(J4=AN4,$U$1,"")))</f>
        <v>2018 Nationals</v>
      </c>
      <c r="L4" s="15">
        <f t="shared" ref="L4:L16" si="8">IF($J4=$AN4,BH4,IF($J4=$BJ4,AL4,MAX(AL4,BH4)))</f>
        <v>40.325000000000003</v>
      </c>
      <c r="M4" s="15" t="str">
        <f t="shared" ref="M4:M16" si="9">IF(L4="","",IF(AND(L4=BH4,$K4&lt;&gt;$AQ$1),$AQ$1,IF(AND(L4=AL4,$K4&lt;&gt;$U$1),$U$1,"")))</f>
        <v>2018 3rd Domestic Trial</v>
      </c>
      <c r="N4" s="15">
        <f t="shared" ref="N4:N16" si="10">IF($J4=$AN4,BI4,IF($J4=$BJ4,AM4,MAX(AM4,BI4)))</f>
        <v>46.025000000000006</v>
      </c>
      <c r="O4" s="15" t="str">
        <f t="shared" ref="O4:O16" si="11">IF(N4="","",IF(AND(N4=BI4,$K4&lt;&gt;$AQ$1),$AQ$1,IF(AND(N4=AM4,$K4&lt;&gt;$U$1),$U$1,"")))</f>
        <v>2018 3rd Domestic Trial</v>
      </c>
      <c r="P4" s="15">
        <f t="shared" ref="P4:P16" si="12">IF(MAX(AO4,BK4)&gt;0,MAX(AO4,BK4),"")</f>
        <v>45.650000000000006</v>
      </c>
      <c r="Q4" s="15" t="str">
        <f t="shared" ref="Q4:Q16" si="13">IF(P4="","",IF(P4=BK4,$AQ$1,IF(P4=AO4,$U$1,"")))</f>
        <v>2018 3rd Domestic Trial</v>
      </c>
      <c r="R4" s="15">
        <f t="shared" ref="R4:R16" si="14">IF(MAX(BM4,BN4,BO4,BP4)&gt;0,MAX(BM4,BN4,BO4,BP4),"")</f>
        <v>0.59999999999999432</v>
      </c>
      <c r="S4" s="27" t="str">
        <f t="shared" ref="S4:S16" si="15">IF(R4="","",IF(R4=BM4,"(Vol 1)",IF(R4=BN4,"(Vol 2)",IF(R4=BO4,"(Prelim)",IF(R4=BP4,"(Final)")))))</f>
        <v>(Final)</v>
      </c>
      <c r="T4" s="15" t="str">
        <f t="shared" ref="T4:T16" si="16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World Cup JPN (Aug 5)</v>
      </c>
      <c r="U4" s="39">
        <v>9.0250000000000004</v>
      </c>
      <c r="V4" s="39">
        <v>9.25</v>
      </c>
      <c r="W4" s="39">
        <v>4.4000000000000004</v>
      </c>
      <c r="X4" s="39">
        <v>18.940000000000001</v>
      </c>
      <c r="Y4" s="39">
        <v>0</v>
      </c>
      <c r="Z4" s="39">
        <v>8.4499999999999993</v>
      </c>
      <c r="AA4" s="39">
        <v>9.25</v>
      </c>
      <c r="AB4" s="39">
        <v>11.1</v>
      </c>
      <c r="AC4" s="39">
        <v>17.940000000000001</v>
      </c>
      <c r="AD4" s="39">
        <v>0</v>
      </c>
      <c r="AE4" s="39">
        <v>3.2250000000000001</v>
      </c>
      <c r="AF4" s="39">
        <v>3.5</v>
      </c>
      <c r="AG4" s="39">
        <v>5.4</v>
      </c>
      <c r="AH4" s="39">
        <v>7.06</v>
      </c>
      <c r="AI4" s="39">
        <v>0</v>
      </c>
      <c r="AJ4" s="83"/>
      <c r="AK4" s="12">
        <f t="shared" ref="AK4:AK16" si="17">IF(AB4&gt;0,AB4,"")</f>
        <v>11.1</v>
      </c>
      <c r="AL4" s="12">
        <f t="shared" ref="AL4:AL16" si="18">IF(SUM(U4:X4)-Y4&gt;0,SUM(U4:X4)-Y4,"")</f>
        <v>41.614999999999995</v>
      </c>
      <c r="AM4" s="12">
        <f t="shared" ref="AM4:AM16" si="19">IF(SUM(Z4:AC4)-AD4&gt;0,SUM(Z4:AC4)-AD4,"")</f>
        <v>46.739999999999995</v>
      </c>
      <c r="AN4" s="12">
        <f t="shared" ref="AN4:AN16" si="20">IF(SUM(AL4:AM4)&gt;0,SUM(AL4:AM4),"")</f>
        <v>88.35499999999999</v>
      </c>
      <c r="AO4" s="12">
        <f t="shared" ref="AO4:AO16" si="21">IF(SUM(AE4:AH4)-AI4&gt;0,SUM(AE4:AH4)-AI4,"")</f>
        <v>19.184999999999999</v>
      </c>
      <c r="AP4" s="12">
        <f t="shared" ref="AP4:AP16" si="22">IF(SUM(AN4,AO4)&gt;0,SUM(AN4,AO4),"")</f>
        <v>107.53999999999999</v>
      </c>
      <c r="AQ4" s="40">
        <v>8.8249999999999993</v>
      </c>
      <c r="AR4" s="40">
        <v>9</v>
      </c>
      <c r="AS4" s="40">
        <v>4.4000000000000004</v>
      </c>
      <c r="AT4" s="40">
        <v>18.100000000000001</v>
      </c>
      <c r="AU4" s="40">
        <v>0</v>
      </c>
      <c r="AV4" s="40">
        <v>8.2750000000000004</v>
      </c>
      <c r="AW4" s="40">
        <v>8.9499999999999993</v>
      </c>
      <c r="AX4" s="40">
        <v>11.1</v>
      </c>
      <c r="AY4" s="40">
        <v>17.7</v>
      </c>
      <c r="AZ4" s="40">
        <v>0</v>
      </c>
      <c r="BA4" s="40">
        <v>8.25</v>
      </c>
      <c r="BB4" s="40">
        <v>9.1</v>
      </c>
      <c r="BC4" s="40">
        <v>11.1</v>
      </c>
      <c r="BD4" s="40">
        <v>17.2</v>
      </c>
      <c r="BE4" s="40">
        <v>0</v>
      </c>
      <c r="BF4" s="84"/>
      <c r="BG4" s="15">
        <f t="shared" ref="BG4:BG16" si="23">IF(AX4&gt;0,AX4,"")</f>
        <v>11.1</v>
      </c>
      <c r="BH4" s="15">
        <f t="shared" ref="BH4:BH16" si="24">IF(SUM(AQ4:AT4)-AU4&gt;0,SUM(AQ4:AT4)-AU4,"")</f>
        <v>40.325000000000003</v>
      </c>
      <c r="BI4" s="15">
        <f t="shared" ref="BI4:BI16" si="25">IF(SUM(AV4:AY4)-AZ4&gt;0,SUM(AV4:AY4)-AZ4,"")</f>
        <v>46.025000000000006</v>
      </c>
      <c r="BJ4" s="15">
        <f t="shared" ref="BJ4:BJ16" si="26">IF(SUM(BH4:BI4)&gt;0,SUM(BH4:BI4),"")</f>
        <v>86.350000000000009</v>
      </c>
      <c r="BK4" s="15">
        <f t="shared" ref="BK4:BK16" si="27">IF(SUM(BA4:BD4)-BE4&gt;0,SUM(BA4:BD4)-BE4,"")</f>
        <v>45.650000000000006</v>
      </c>
      <c r="BL4" s="15">
        <f t="shared" ref="BL4:BL16" si="28">IF(SUM(BJ4,BK4)&gt;0,SUM(BJ4,BK4),"")</f>
        <v>132</v>
      </c>
      <c r="BM4" s="26" t="str">
        <f t="shared" ref="BM4:BM16" si="29">IF(MAX(CG4,DB4,DW4,ER4,FM4,GH4,HC4,HX4,IS4,JN4,KI4,LD4)-IF(L4="",0,L4)&gt;0.001,MAX(CG4,DB4,DW4,ER4,FM4,GH4,HC4,HX4,IS4,JN4,KI4,LD4)-IF(L4="",0,L4),"")</f>
        <v/>
      </c>
      <c r="BN4" s="26" t="str">
        <f t="shared" ref="BN4:BN16" si="30">IF(MAX(CH4,DC4,DX4,ES4,FN4,GI4,HD4,HY4,IT4,JO4,KJ4,LE4)-IF(N4="",0,N4)&gt;0.001,MAX(CH4,DC4,DX4,ES4,FN4,GI4,HD4,HY4,IT4,JO4,KJ4,LE4)-IF(N4="",0,N4),"")</f>
        <v/>
      </c>
      <c r="BO4" s="26" t="str">
        <f t="shared" ref="BO4:BO16" si="31">IF(MAX(CI4,DD4,DY4,ET4,FO4,GJ4,HE4,HZ4,IU4,JP4,KK4,LF4)-IF(J4="",0,J4)&gt;0.001,MAX(CI4,DD4,DY4,ET4,FO4,GJ4,HE4,HZ4,IU4,JP4,KK4,LF4)-IF(J4="",0,J4),"")</f>
        <v/>
      </c>
      <c r="BP4" s="26">
        <f t="shared" ref="BP4:BP16" si="32">IF(MAX(CJ4,DE4,DZ4,EU4,FP4,GK4,HF4,IA4,IV4,JQ4,KL4,LG4)-IF(P4="",0,P4)&gt;0.001,MAX(CJ4,DE4,DZ4,EU4,FP4,GK4,HF4,IA4,IV4,JQ4,KL4,LG4)-IF(P4="",0,P4),"")</f>
        <v>0.59999999999999432</v>
      </c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12" t="str">
        <f t="shared" ref="CF4:CF16" si="33">IF(BX4&gt;0,BX4,"")</f>
        <v/>
      </c>
      <c r="CG4" s="12" t="str">
        <f t="shared" ref="CG4:CG16" si="34">IF(SUM(BQ4:BT4)-BU4&gt;0,SUM(BQ4:BT4)-BU4,"")</f>
        <v/>
      </c>
      <c r="CH4" s="12" t="str">
        <f t="shared" ref="CH4:CH16" si="35">IF(SUM(BV4:BY4)-BZ4&gt;0,SUM(BV4:BY4)-BZ4,"")</f>
        <v/>
      </c>
      <c r="CI4" s="12" t="str">
        <f t="shared" ref="CI4:CI16" si="36">IF(SUM(CG4:CH4)&gt;0,SUM(CG4:CH4),"")</f>
        <v/>
      </c>
      <c r="CJ4" s="12" t="str">
        <f t="shared" ref="CJ4:CJ16" si="37">IF(SUM(CA4:CD4)-CE4&gt;0,SUM(CA4:CD4)-CE4,"")</f>
        <v/>
      </c>
      <c r="CK4" s="12" t="str">
        <f t="shared" ref="CK4:CK16" si="38">IF(SUM(CI4,CJ4)&gt;0,SUM(CI4,CJ4),"")</f>
        <v/>
      </c>
      <c r="CL4" s="40">
        <v>8.6999999999999993</v>
      </c>
      <c r="CM4" s="40">
        <v>9.3000000000000007</v>
      </c>
      <c r="CN4" s="40">
        <v>4.4000000000000004</v>
      </c>
      <c r="CO4" s="40">
        <v>16.8</v>
      </c>
      <c r="CP4" s="40">
        <v>0</v>
      </c>
      <c r="CQ4" s="40">
        <v>8.1999999999999993</v>
      </c>
      <c r="CR4" s="40">
        <v>9.3000000000000007</v>
      </c>
      <c r="CS4" s="40">
        <v>11.1</v>
      </c>
      <c r="CT4" s="40">
        <v>16.2</v>
      </c>
      <c r="CU4" s="40">
        <v>0</v>
      </c>
      <c r="CV4" s="40">
        <v>7.95</v>
      </c>
      <c r="CW4" s="40">
        <v>9.4</v>
      </c>
      <c r="CX4" s="40">
        <v>11.1</v>
      </c>
      <c r="CY4" s="40">
        <v>17.8</v>
      </c>
      <c r="CZ4" s="40">
        <v>0</v>
      </c>
      <c r="DA4" s="15">
        <f t="shared" ref="DA4:DA16" si="39">IF(CS4&gt;0,CS4,"")</f>
        <v>11.1</v>
      </c>
      <c r="DB4" s="15">
        <f t="shared" ref="DB4:DB16" si="40">IF(SUM(CL4:CO4)-CP4&gt;0,SUM(CL4:CO4)-CP4,"")</f>
        <v>39.200000000000003</v>
      </c>
      <c r="DC4" s="15">
        <f t="shared" ref="DC4:DC16" si="41">IF(SUM(CQ4:CT4)-CU4&gt;0,SUM(CQ4:CT4)-CU4,"")</f>
        <v>44.8</v>
      </c>
      <c r="DD4" s="15">
        <f t="shared" ref="DD4:DD16" si="42">IF(SUM(DB4:DC4)&gt;0,SUM(DB4:DC4),"")</f>
        <v>84</v>
      </c>
      <c r="DE4" s="15">
        <f t="shared" ref="DE4:DE16" si="43">IF(SUM(CV4:CY4)-CZ4&gt;0,SUM(CV4:CY4)-CZ4,"")</f>
        <v>46.25</v>
      </c>
      <c r="DF4" s="15">
        <f t="shared" ref="DF4:DF16" si="44">IF(SUM(DD4,DE4)&gt;0,SUM(DD4,DE4),"")</f>
        <v>130.25</v>
      </c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12" t="str">
        <f t="shared" ref="DV4:DV16" si="45">IF(DN4&gt;0,DN4,"")</f>
        <v/>
      </c>
      <c r="DW4" s="12" t="str">
        <f t="shared" ref="DW4:DW16" si="46">IF(SUM(DG4:DJ4)-DK4&gt;0,SUM(DG4:DJ4)-DK4,"")</f>
        <v/>
      </c>
      <c r="DX4" s="12" t="str">
        <f t="shared" ref="DX4:DX16" si="47">IF(SUM(DL4:DO4)-DP4&gt;0,SUM(DL4:DO4)-DP4,"")</f>
        <v/>
      </c>
      <c r="DY4" s="12" t="str">
        <f t="shared" ref="DY4:DY16" si="48">IF(SUM(DW4:DX4)&gt;0,SUM(DW4:DX4),"")</f>
        <v/>
      </c>
      <c r="DZ4" s="12" t="str">
        <f t="shared" ref="DZ4:DZ16" si="49">IF(SUM(DQ4:DT4)-DU4&gt;0,SUM(DQ4:DT4)-DU4,"")</f>
        <v/>
      </c>
      <c r="EA4" s="12" t="str">
        <f t="shared" ref="EA4:EA16" si="50">IF(SUM(DY4,DZ4)&gt;0,SUM(DY4,DZ4),"")</f>
        <v/>
      </c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15" t="str">
        <f t="shared" ref="EQ4:EQ16" si="51">IF(EI4&gt;0,EI4,"")</f>
        <v/>
      </c>
      <c r="ER4" s="15" t="str">
        <f t="shared" ref="ER4:ER16" si="52">IF(SUM(EB4:EE4)-EF4&gt;0,SUM(EB4:EE4)-EF4,"")</f>
        <v/>
      </c>
      <c r="ES4" s="15" t="str">
        <f t="shared" ref="ES4:ES16" si="53">IF(SUM(EG4:EJ4)-EK4&gt;0,SUM(EG4:EJ4)-EK4,"")</f>
        <v/>
      </c>
      <c r="ET4" s="15" t="str">
        <f t="shared" ref="ET4:ET16" si="54">IF(SUM(ER4:ES4)&gt;0,SUM(ER4:ES4),"")</f>
        <v/>
      </c>
      <c r="EU4" s="15" t="str">
        <f t="shared" ref="EU4:EU16" si="55">IF(SUM(EL4:EO4)-EP4&gt;0,SUM(EL4:EO4)-EP4,"")</f>
        <v/>
      </c>
      <c r="EV4" s="15" t="str">
        <f t="shared" ref="EV4:EV16" si="56">IF(SUM(ET4,EU4)&gt;0,SUM(ET4,EU4),"")</f>
        <v/>
      </c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12" t="str">
        <f t="shared" ref="FL4:FL16" si="57">IF(FD4&gt;0,FD4,"")</f>
        <v/>
      </c>
      <c r="FM4" s="12" t="str">
        <f t="shared" ref="FM4:FM16" si="58">IF(SUM(EW4:EZ4)-FA4&gt;0,SUM(EW4:EZ4)-FA4,"")</f>
        <v/>
      </c>
      <c r="FN4" s="12" t="str">
        <f t="shared" ref="FN4:FN16" si="59">IF(SUM(FB4:FE4)-FF4&gt;0,SUM(FB4:FE4)-FF4,"")</f>
        <v/>
      </c>
      <c r="FO4" s="12" t="str">
        <f t="shared" ref="FO4:FO16" si="60">IF(SUM(FM4:FN4)&gt;0,SUM(FM4:FN4),"")</f>
        <v/>
      </c>
      <c r="FP4" s="12" t="str">
        <f t="shared" ref="FP4:FP16" si="61">IF(SUM(FG4:FJ4)-FK4&gt;0,SUM(FG4:FJ4)-FK4,"")</f>
        <v/>
      </c>
      <c r="FQ4" s="12" t="str">
        <f t="shared" ref="FQ4:FQ16" si="62">IF(SUM(FO4,FP4)&gt;0,SUM(FO4,FP4),"")</f>
        <v/>
      </c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15" t="str">
        <f t="shared" ref="GG4:GG16" si="63">IF(FY4&gt;0,FY4,"")</f>
        <v/>
      </c>
      <c r="GH4" s="15" t="str">
        <f t="shared" ref="GH4:GH16" si="64">IF(SUM(FR4:FU4)-FV4&gt;0,SUM(FR4:FU4)-FV4,"")</f>
        <v/>
      </c>
      <c r="GI4" s="15" t="str">
        <f t="shared" ref="GI4:GI16" si="65">IF(SUM(FW4:FZ4)-GA4&gt;0,SUM(FW4:FZ4)-GA4,"")</f>
        <v/>
      </c>
      <c r="GJ4" s="15" t="str">
        <f t="shared" ref="GJ4:GJ16" si="66">IF(SUM(GH4:GI4)&gt;0,SUM(GH4:GI4),"")</f>
        <v/>
      </c>
      <c r="GK4" s="15" t="str">
        <f t="shared" ref="GK4:GK16" si="67">IF(SUM(GB4:GE4)-GF4&gt;0,SUM(GB4:GE4)-GF4,"")</f>
        <v/>
      </c>
      <c r="GL4" s="15" t="str">
        <f t="shared" ref="GL4:GL16" si="68">IF(SUM(GJ4,GK4)&gt;0,SUM(GJ4,GK4),"")</f>
        <v/>
      </c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12" t="str">
        <f t="shared" ref="HB4:HB16" si="69">IF(GT4&gt;0,GT4,"")</f>
        <v/>
      </c>
      <c r="HC4" s="12" t="str">
        <f t="shared" ref="HC4:HC16" si="70">IF(SUM(GM4:GP4)-GQ4&gt;0,SUM(GM4:GP4)-GQ4,"")</f>
        <v/>
      </c>
      <c r="HD4" s="12" t="str">
        <f t="shared" ref="HD4:HD16" si="71">IF(SUM(GR4:GU4)-GV4&gt;0,SUM(GR4:GU4)-GV4,"")</f>
        <v/>
      </c>
      <c r="HE4" s="12" t="str">
        <f t="shared" ref="HE4:HE16" si="72">IF(SUM(HC4:HD4)&gt;0,SUM(HC4:HD4),"")</f>
        <v/>
      </c>
      <c r="HF4" s="12" t="str">
        <f t="shared" ref="HF4:HF16" si="73">IF(SUM(GW4:GZ4)-HA4&gt;0,SUM(GW4:GZ4)-HA4,"")</f>
        <v/>
      </c>
      <c r="HG4" s="12" t="str">
        <f t="shared" ref="HG4:HG16" si="74">IF(SUM(HE4,HF4)&gt;0,SUM(HE4,HF4),"")</f>
        <v/>
      </c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15" t="str">
        <f t="shared" ref="HW4:HW16" si="75">IF(HO4&gt;0,HO4,"")</f>
        <v/>
      </c>
      <c r="HX4" s="15" t="str">
        <f t="shared" ref="HX4:HX16" si="76">IF(SUM(HH4:HK4)-HL4&gt;0,SUM(HH4:HK4)-HL4,"")</f>
        <v/>
      </c>
      <c r="HY4" s="15" t="str">
        <f t="shared" ref="HY4:HY16" si="77">IF(SUM(HM4:HP4)-HQ4&gt;0,SUM(HM4:HP4)-HQ4,"")</f>
        <v/>
      </c>
      <c r="HZ4" s="15" t="str">
        <f t="shared" ref="HZ4:HZ16" si="78">IF(SUM(HX4:HY4)&gt;0,SUM(HX4:HY4),"")</f>
        <v/>
      </c>
      <c r="IA4" s="15" t="str">
        <f t="shared" ref="IA4:IA16" si="79">IF(SUM(HR4:HU4)-HV4&gt;0,SUM(HR4:HU4)-HV4,"")</f>
        <v/>
      </c>
      <c r="IB4" s="15" t="str">
        <f t="shared" ref="IB4:IB16" si="80">IF(SUM(HZ4,IA4)&gt;0,SUM(HZ4,IA4),"")</f>
        <v/>
      </c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12" t="str">
        <f t="shared" ref="IR4:IR16" si="81">IF(IJ4&gt;0,IJ4,"")</f>
        <v/>
      </c>
      <c r="IS4" s="12" t="str">
        <f t="shared" ref="IS4:IS16" si="82">IF(SUM(IC4:IF4)-IG4&gt;0,SUM(IC4:IF4)-IG4,"")</f>
        <v/>
      </c>
      <c r="IT4" s="12" t="str">
        <f t="shared" ref="IT4:IT16" si="83">IF(SUM(IH4:IK4)-IL4&gt;0,SUM(IH4:IK4)-IL4,"")</f>
        <v/>
      </c>
      <c r="IU4" s="12" t="str">
        <f t="shared" ref="IU4:IU16" si="84">IF(SUM(IS4:IT4)&gt;0,SUM(IS4:IT4),"")</f>
        <v/>
      </c>
      <c r="IV4" s="12" t="str">
        <f t="shared" ref="IV4:IV16" si="85">IF(SUM(IM4:IP4)-IQ4&gt;0,SUM(IM4:IP4)-IQ4,"")</f>
        <v/>
      </c>
      <c r="IW4" s="12" t="str">
        <f t="shared" ref="IW4:IW16" si="86">IF(SUM(IU4,IV4)&gt;0,SUM(IU4,IV4),"")</f>
        <v/>
      </c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15" t="str">
        <f t="shared" ref="JM4:JM16" si="87">IF(JE4&gt;0,JE4,"")</f>
        <v/>
      </c>
      <c r="JN4" s="15" t="str">
        <f t="shared" ref="JN4:JN16" si="88">IF(SUM(IX4:JA4)-JB4&gt;0,SUM(IX4:JA4)-JB4,"")</f>
        <v/>
      </c>
      <c r="JO4" s="15" t="str">
        <f t="shared" ref="JO4:JO16" si="89">IF(SUM(JC4:JF4)-JG4&gt;0,SUM(JC4:JF4)-JG4,"")</f>
        <v/>
      </c>
      <c r="JP4" s="15" t="str">
        <f t="shared" ref="JP4:JP16" si="90">IF(SUM(JN4:JO4)&gt;0,SUM(JN4:JO4),"")</f>
        <v/>
      </c>
      <c r="JQ4" s="15" t="str">
        <f t="shared" ref="JQ4:JQ16" si="91">IF(SUM(JH4:JK4)-JL4&gt;0,SUM(JH4:JK4)-JL4,"")</f>
        <v/>
      </c>
      <c r="JR4" s="15" t="str">
        <f t="shared" ref="JR4:JR16" si="92">IF(SUM(JP4,JQ4)&gt;0,SUM(JP4,JQ4),"")</f>
        <v/>
      </c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12" t="str">
        <f t="shared" ref="KH4:KH16" si="93">IF(JZ4&gt;0,JZ4,"")</f>
        <v/>
      </c>
      <c r="KI4" s="12" t="str">
        <f t="shared" ref="KI4:KI16" si="94">IF(SUM(JS4:JV4)-JW4&gt;0,SUM(JS4:JV4)-JW4,"")</f>
        <v/>
      </c>
      <c r="KJ4" s="12" t="str">
        <f t="shared" ref="KJ4:KJ16" si="95">IF(SUM(JX4:KA4)-KB4&gt;0,SUM(JX4:KA4)-KB4,"")</f>
        <v/>
      </c>
      <c r="KK4" s="12" t="str">
        <f t="shared" ref="KK4:KK16" si="96">IF(SUM(KI4:KJ4)&gt;0,SUM(KI4:KJ4),"")</f>
        <v/>
      </c>
      <c r="KL4" s="12" t="str">
        <f t="shared" ref="KL4:KL16" si="97">IF(SUM(KC4:KF4)-KG4&gt;0,SUM(KC4:KF4)-KG4,"")</f>
        <v/>
      </c>
      <c r="KM4" s="12" t="str">
        <f t="shared" ref="KM4:KM16" si="98">IF(SUM(KK4,KL4)&gt;0,SUM(KK4,KL4),"")</f>
        <v/>
      </c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15" t="str">
        <f t="shared" ref="LC4:LC16" si="99">IF(KU4&gt;0,KU4,"")</f>
        <v/>
      </c>
      <c r="LD4" s="15" t="str">
        <f t="shared" ref="LD4:LD16" si="100">IF(SUM(KN4:KQ4)-KR4&gt;0,SUM(KN4:KQ4)-KR4,"")</f>
        <v/>
      </c>
      <c r="LE4" s="15" t="str">
        <f t="shared" ref="LE4:LE16" si="101">IF(SUM(KS4:KV4)-KW4&gt;0,SUM(KS4:KV4)-KW4,"")</f>
        <v/>
      </c>
      <c r="LF4" s="15" t="str">
        <f t="shared" ref="LF4:LF16" si="102">IF(SUM(LD4:LE4)&gt;0,SUM(LD4:LE4),"")</f>
        <v/>
      </c>
      <c r="LG4" s="15" t="str">
        <f t="shared" ref="LG4:LG16" si="103">IF(SUM(KX4:LA4)-LB4&gt;0,SUM(KX4:LA4)-LB4,"")</f>
        <v/>
      </c>
      <c r="LH4" s="15" t="str">
        <f t="shared" ref="LH4:LH16" si="104">IF(SUM(LF4,LG4)&gt;0,SUM(LF4,LG4),"")</f>
        <v/>
      </c>
      <c r="LI4" s="72">
        <f>(U4+AQ4)/2</f>
        <v>8.9250000000000007</v>
      </c>
      <c r="LJ4" s="72">
        <f t="shared" ref="LJ4:LW4" si="105">(V4+AR4)/2</f>
        <v>9.125</v>
      </c>
      <c r="LK4" s="72">
        <f t="shared" si="105"/>
        <v>4.4000000000000004</v>
      </c>
      <c r="LL4" s="72">
        <f t="shared" si="105"/>
        <v>18.520000000000003</v>
      </c>
      <c r="LM4" s="72">
        <f t="shared" si="105"/>
        <v>0</v>
      </c>
      <c r="LN4" s="72">
        <f t="shared" si="105"/>
        <v>8.3625000000000007</v>
      </c>
      <c r="LO4" s="72">
        <f t="shared" si="105"/>
        <v>9.1</v>
      </c>
      <c r="LP4" s="72">
        <f t="shared" si="105"/>
        <v>11.1</v>
      </c>
      <c r="LQ4" s="72">
        <f t="shared" si="105"/>
        <v>17.82</v>
      </c>
      <c r="LR4" s="72">
        <f t="shared" si="105"/>
        <v>0</v>
      </c>
      <c r="LS4" s="72">
        <f t="shared" si="105"/>
        <v>5.7374999999999998</v>
      </c>
      <c r="LT4" s="72">
        <f t="shared" si="105"/>
        <v>6.3</v>
      </c>
      <c r="LU4" s="72">
        <f t="shared" si="105"/>
        <v>8.25</v>
      </c>
      <c r="LV4" s="72">
        <f t="shared" si="105"/>
        <v>12.129999999999999</v>
      </c>
      <c r="LW4" s="72">
        <f t="shared" si="105"/>
        <v>0</v>
      </c>
      <c r="LX4" s="83" t="s">
        <v>126</v>
      </c>
      <c r="LY4" s="12">
        <f t="shared" ref="LY4" si="106">IF(LP4&gt;0,LP4,"")</f>
        <v>11.1</v>
      </c>
      <c r="LZ4" s="12">
        <f t="shared" ref="LZ4" si="107">IF(SUM(LI4:LL4)-LM4&gt;0,SUM(LI4:LL4)-LM4,"")</f>
        <v>40.970000000000006</v>
      </c>
      <c r="MA4" s="12">
        <f t="shared" ref="MA4" si="108">IF(SUM(LN4:LQ4)-LR4&gt;0,SUM(LN4:LQ4)-LR4,"")</f>
        <v>46.3825</v>
      </c>
      <c r="MB4" s="12">
        <f t="shared" ref="MB4" si="109">IF(SUM(LZ4:MA4)&gt;0,SUM(LZ4:MA4),"")</f>
        <v>87.352500000000006</v>
      </c>
      <c r="MC4" s="12">
        <f t="shared" ref="MC4" si="110">IF(SUM(LS4:LV4)-LW4&gt;0,SUM(LS4:LV4)-LW4,"")</f>
        <v>32.417500000000004</v>
      </c>
      <c r="MD4" s="12">
        <f t="shared" ref="MD4" si="111">IF(SUM(MB4,MC4)&gt;0,SUM(MB4,MC4),"")</f>
        <v>119.77000000000001</v>
      </c>
    </row>
    <row r="5" spans="1:342" x14ac:dyDescent="0.2">
      <c r="A5" s="6">
        <f t="shared" si="0"/>
        <v>2</v>
      </c>
      <c r="B5" s="9" t="s">
        <v>68</v>
      </c>
      <c r="C5" s="5" t="s">
        <v>11</v>
      </c>
      <c r="D5" s="29" t="s">
        <v>138</v>
      </c>
      <c r="E5" s="16">
        <f t="shared" si="1"/>
        <v>211.37249999999997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83.522500000000008</v>
      </c>
      <c r="K5" s="15" t="str">
        <f t="shared" si="7"/>
        <v>2018 3rd Domestic Trial</v>
      </c>
      <c r="L5" s="15">
        <f t="shared" si="8"/>
        <v>38.319999999999993</v>
      </c>
      <c r="M5" s="15" t="str">
        <f t="shared" si="9"/>
        <v>2018 Nationals</v>
      </c>
      <c r="N5" s="15">
        <f t="shared" si="10"/>
        <v>41.85</v>
      </c>
      <c r="O5" s="15" t="str">
        <f t="shared" si="11"/>
        <v>2018 Nationals</v>
      </c>
      <c r="P5" s="15">
        <f t="shared" si="12"/>
        <v>45.73</v>
      </c>
      <c r="Q5" s="15" t="str">
        <f t="shared" si="13"/>
        <v>2018 Nationals</v>
      </c>
      <c r="R5" s="15">
        <f t="shared" si="14"/>
        <v>1.9499999999999957</v>
      </c>
      <c r="S5" s="27" t="str">
        <f t="shared" si="15"/>
        <v>(Vol 2)</v>
      </c>
      <c r="T5" s="15" t="str">
        <f t="shared" si="16"/>
        <v>2018 Senior Pan American Championships (Sept 9)</v>
      </c>
      <c r="U5" s="39">
        <v>9.1999999999999993</v>
      </c>
      <c r="V5" s="39">
        <v>9.5</v>
      </c>
      <c r="W5" s="39">
        <v>3.4</v>
      </c>
      <c r="X5" s="39">
        <v>16.22</v>
      </c>
      <c r="Y5" s="39">
        <v>0</v>
      </c>
      <c r="Z5" s="39">
        <v>8.3000000000000007</v>
      </c>
      <c r="AA5" s="39">
        <v>9.35</v>
      </c>
      <c r="AB5" s="39">
        <v>11.6</v>
      </c>
      <c r="AC5" s="39">
        <v>12.6</v>
      </c>
      <c r="AD5" s="39">
        <v>0</v>
      </c>
      <c r="AE5" s="39">
        <v>8.65</v>
      </c>
      <c r="AF5" s="39">
        <v>9.4</v>
      </c>
      <c r="AG5" s="39">
        <v>11.6</v>
      </c>
      <c r="AH5" s="39">
        <v>16.079999999999998</v>
      </c>
      <c r="AI5" s="39">
        <v>0</v>
      </c>
      <c r="AJ5" s="83"/>
      <c r="AK5" s="12">
        <f t="shared" si="17"/>
        <v>11.6</v>
      </c>
      <c r="AL5" s="12">
        <f t="shared" si="18"/>
        <v>38.319999999999993</v>
      </c>
      <c r="AM5" s="12">
        <f t="shared" si="19"/>
        <v>41.85</v>
      </c>
      <c r="AN5" s="12">
        <f t="shared" si="20"/>
        <v>80.169999999999987</v>
      </c>
      <c r="AO5" s="12">
        <f t="shared" si="21"/>
        <v>45.73</v>
      </c>
      <c r="AP5" s="12">
        <f t="shared" si="22"/>
        <v>125.89999999999998</v>
      </c>
      <c r="AQ5" s="40">
        <v>9.2749999999999986</v>
      </c>
      <c r="AR5" s="40">
        <v>9.5500000000000007</v>
      </c>
      <c r="AS5" s="40">
        <v>3.4</v>
      </c>
      <c r="AT5" s="40">
        <v>16.71</v>
      </c>
      <c r="AU5" s="40">
        <v>0</v>
      </c>
      <c r="AV5" s="40">
        <v>8.3874999999999993</v>
      </c>
      <c r="AW5" s="40">
        <v>9.1</v>
      </c>
      <c r="AX5" s="40">
        <v>11.6</v>
      </c>
      <c r="AY5" s="40">
        <v>15.5</v>
      </c>
      <c r="AZ5" s="40">
        <v>0</v>
      </c>
      <c r="BA5" s="40">
        <v>8.6125000000000007</v>
      </c>
      <c r="BB5" s="40">
        <v>9.4</v>
      </c>
      <c r="BC5" s="40">
        <v>11.6</v>
      </c>
      <c r="BD5" s="40">
        <v>14.86</v>
      </c>
      <c r="BE5" s="40">
        <v>0</v>
      </c>
      <c r="BF5" s="84" t="s">
        <v>126</v>
      </c>
      <c r="BG5" s="15">
        <f t="shared" si="23"/>
        <v>11.6</v>
      </c>
      <c r="BH5" s="15">
        <f t="shared" si="24"/>
        <v>38.935000000000002</v>
      </c>
      <c r="BI5" s="15">
        <f t="shared" si="25"/>
        <v>44.587499999999999</v>
      </c>
      <c r="BJ5" s="15">
        <f t="shared" si="26"/>
        <v>83.522500000000008</v>
      </c>
      <c r="BK5" s="15">
        <f t="shared" si="27"/>
        <v>44.472500000000004</v>
      </c>
      <c r="BL5" s="15">
        <f t="shared" si="28"/>
        <v>127.995</v>
      </c>
      <c r="BM5" s="26">
        <f t="shared" si="29"/>
        <v>0.97000000000000597</v>
      </c>
      <c r="BN5" s="26">
        <f t="shared" si="30"/>
        <v>1.9499999999999957</v>
      </c>
      <c r="BO5" s="26" t="str">
        <f t="shared" si="31"/>
        <v/>
      </c>
      <c r="BP5" s="26">
        <f t="shared" si="32"/>
        <v>0.41000000000000369</v>
      </c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12" t="str">
        <f t="shared" si="33"/>
        <v/>
      </c>
      <c r="CG5" s="12" t="str">
        <f t="shared" si="34"/>
        <v/>
      </c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15" t="str">
        <f t="shared" si="39"/>
        <v/>
      </c>
      <c r="DB5" s="15" t="str">
        <f t="shared" si="40"/>
        <v/>
      </c>
      <c r="DC5" s="15" t="str">
        <f t="shared" si="41"/>
        <v/>
      </c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39">
        <v>8.9</v>
      </c>
      <c r="DH5" s="39">
        <v>9.4499999999999993</v>
      </c>
      <c r="DI5" s="39">
        <v>3.4</v>
      </c>
      <c r="DJ5" s="39">
        <v>17.54</v>
      </c>
      <c r="DK5" s="39">
        <v>0</v>
      </c>
      <c r="DL5" s="39">
        <v>7.95</v>
      </c>
      <c r="DM5" s="39">
        <v>9.5500000000000007</v>
      </c>
      <c r="DN5" s="39">
        <v>11.6</v>
      </c>
      <c r="DO5" s="39">
        <v>14.7</v>
      </c>
      <c r="DP5" s="39">
        <v>0</v>
      </c>
      <c r="DQ5" s="39">
        <v>8.3000000000000007</v>
      </c>
      <c r="DR5" s="39">
        <v>9.6</v>
      </c>
      <c r="DS5" s="39">
        <v>11.6</v>
      </c>
      <c r="DT5" s="39">
        <v>16.64</v>
      </c>
      <c r="DU5" s="39">
        <v>0</v>
      </c>
      <c r="DV5" s="12">
        <f t="shared" si="45"/>
        <v>11.6</v>
      </c>
      <c r="DW5" s="12">
        <f t="shared" si="46"/>
        <v>39.29</v>
      </c>
      <c r="DX5" s="12">
        <f t="shared" si="47"/>
        <v>43.8</v>
      </c>
      <c r="DY5" s="12">
        <f t="shared" si="48"/>
        <v>83.09</v>
      </c>
      <c r="DZ5" s="12">
        <f t="shared" si="49"/>
        <v>46.14</v>
      </c>
      <c r="EA5" s="12">
        <f t="shared" si="50"/>
        <v>129.23000000000002</v>
      </c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15" t="str">
        <f t="shared" si="51"/>
        <v/>
      </c>
      <c r="ER5" s="15" t="str">
        <f t="shared" si="52"/>
        <v/>
      </c>
      <c r="ES5" s="15" t="str">
        <f t="shared" si="53"/>
        <v/>
      </c>
      <c r="ET5" s="15" t="str">
        <f t="shared" si="54"/>
        <v/>
      </c>
      <c r="EU5" s="15" t="str">
        <f t="shared" si="55"/>
        <v/>
      </c>
      <c r="EV5" s="15" t="str">
        <f t="shared" si="56"/>
        <v/>
      </c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12" t="str">
        <f t="shared" si="57"/>
        <v/>
      </c>
      <c r="FM5" s="12" t="str">
        <f t="shared" si="58"/>
        <v/>
      </c>
      <c r="FN5" s="12" t="str">
        <f t="shared" si="59"/>
        <v/>
      </c>
      <c r="FO5" s="12" t="str">
        <f t="shared" si="60"/>
        <v/>
      </c>
      <c r="FP5" s="12" t="str">
        <f t="shared" si="61"/>
        <v/>
      </c>
      <c r="FQ5" s="12" t="str">
        <f t="shared" si="62"/>
        <v/>
      </c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15" t="str">
        <f t="shared" si="63"/>
        <v/>
      </c>
      <c r="GH5" s="15" t="str">
        <f t="shared" si="64"/>
        <v/>
      </c>
      <c r="GI5" s="15" t="str">
        <f t="shared" si="65"/>
        <v/>
      </c>
      <c r="GJ5" s="15" t="str">
        <f t="shared" si="66"/>
        <v/>
      </c>
      <c r="GK5" s="15" t="str">
        <f t="shared" si="67"/>
        <v/>
      </c>
      <c r="GL5" s="15" t="str">
        <f t="shared" si="68"/>
        <v/>
      </c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12" t="str">
        <f t="shared" si="69"/>
        <v/>
      </c>
      <c r="HC5" s="12" t="str">
        <f t="shared" si="70"/>
        <v/>
      </c>
      <c r="HD5" s="12" t="str">
        <f t="shared" si="71"/>
        <v/>
      </c>
      <c r="HE5" s="12" t="str">
        <f t="shared" si="72"/>
        <v/>
      </c>
      <c r="HF5" s="12" t="str">
        <f t="shared" si="73"/>
        <v/>
      </c>
      <c r="HG5" s="12" t="str">
        <f t="shared" si="74"/>
        <v/>
      </c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15" t="str">
        <f t="shared" si="75"/>
        <v/>
      </c>
      <c r="HX5" s="15" t="str">
        <f t="shared" si="76"/>
        <v/>
      </c>
      <c r="HY5" s="15" t="str">
        <f t="shared" si="77"/>
        <v/>
      </c>
      <c r="HZ5" s="15" t="str">
        <f t="shared" si="78"/>
        <v/>
      </c>
      <c r="IA5" s="15" t="str">
        <f t="shared" si="79"/>
        <v/>
      </c>
      <c r="IB5" s="15" t="str">
        <f t="shared" si="80"/>
        <v/>
      </c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12" t="str">
        <f t="shared" si="81"/>
        <v/>
      </c>
      <c r="IS5" s="12" t="str">
        <f t="shared" si="82"/>
        <v/>
      </c>
      <c r="IT5" s="12" t="str">
        <f t="shared" si="83"/>
        <v/>
      </c>
      <c r="IU5" s="12" t="str">
        <f t="shared" si="84"/>
        <v/>
      </c>
      <c r="IV5" s="12" t="str">
        <f t="shared" si="85"/>
        <v/>
      </c>
      <c r="IW5" s="12" t="str">
        <f t="shared" si="86"/>
        <v/>
      </c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15" t="str">
        <f t="shared" si="87"/>
        <v/>
      </c>
      <c r="JN5" s="15" t="str">
        <f t="shared" si="88"/>
        <v/>
      </c>
      <c r="JO5" s="15" t="str">
        <f t="shared" si="89"/>
        <v/>
      </c>
      <c r="JP5" s="15" t="str">
        <f t="shared" si="90"/>
        <v/>
      </c>
      <c r="JQ5" s="15" t="str">
        <f t="shared" si="91"/>
        <v/>
      </c>
      <c r="JR5" s="15" t="str">
        <f t="shared" si="92"/>
        <v/>
      </c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39"/>
      <c r="KE5" s="39"/>
      <c r="KF5" s="39"/>
      <c r="KG5" s="39"/>
      <c r="KH5" s="12" t="str">
        <f t="shared" si="93"/>
        <v/>
      </c>
      <c r="KI5" s="12" t="str">
        <f t="shared" si="94"/>
        <v/>
      </c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15" t="str">
        <f t="shared" si="99"/>
        <v/>
      </c>
      <c r="LD5" s="15" t="str">
        <f t="shared" si="100"/>
        <v/>
      </c>
      <c r="LE5" s="15" t="str">
        <f t="shared" si="101"/>
        <v/>
      </c>
      <c r="LF5" s="15" t="str">
        <f t="shared" si="102"/>
        <v/>
      </c>
      <c r="LG5" s="15" t="str">
        <f t="shared" si="103"/>
        <v/>
      </c>
      <c r="LH5" s="15" t="str">
        <f t="shared" si="104"/>
        <v/>
      </c>
      <c r="LI5" s="72">
        <f t="shared" ref="LI5:LI15" si="112">(U5+AQ5)/2</f>
        <v>9.2374999999999989</v>
      </c>
      <c r="LJ5" s="72">
        <f t="shared" ref="LJ5:LJ15" si="113">(V5+AR5)/2</f>
        <v>9.5250000000000004</v>
      </c>
      <c r="LK5" s="72">
        <f t="shared" ref="LK5:LK15" si="114">(W5+AS5)/2</f>
        <v>3.4</v>
      </c>
      <c r="LL5" s="72">
        <f t="shared" ref="LL5:LL15" si="115">(X5+AT5)/2</f>
        <v>16.465</v>
      </c>
      <c r="LM5" s="72">
        <f t="shared" ref="LM5:LM15" si="116">(Y5+AU5)/2</f>
        <v>0</v>
      </c>
      <c r="LN5" s="72">
        <f t="shared" ref="LN5:LN15" si="117">(Z5+AV5)/2</f>
        <v>8.34375</v>
      </c>
      <c r="LO5" s="72">
        <f t="shared" ref="LO5:LO15" si="118">(AA5+AW5)/2</f>
        <v>9.2249999999999996</v>
      </c>
      <c r="LP5" s="72">
        <f t="shared" ref="LP5:LP15" si="119">(AB5+AX5)/2</f>
        <v>11.6</v>
      </c>
      <c r="LQ5" s="72">
        <f t="shared" ref="LQ5:LQ15" si="120">(AC5+AY5)/2</f>
        <v>14.05</v>
      </c>
      <c r="LR5" s="72">
        <f t="shared" ref="LR5:LR15" si="121">(AD5+AZ5)/2</f>
        <v>0</v>
      </c>
      <c r="LS5" s="72">
        <f t="shared" ref="LS5:LS15" si="122">(AE5+BA5)/2</f>
        <v>8.6312500000000014</v>
      </c>
      <c r="LT5" s="72">
        <f t="shared" ref="LT5:LT15" si="123">(AF5+BB5)/2</f>
        <v>9.4</v>
      </c>
      <c r="LU5" s="72">
        <f t="shared" ref="LU5:LU15" si="124">(AG5+BC5)/2</f>
        <v>11.6</v>
      </c>
      <c r="LV5" s="72">
        <f t="shared" ref="LV5:LV15" si="125">(AH5+BD5)/2</f>
        <v>15.469999999999999</v>
      </c>
      <c r="LW5" s="72">
        <f t="shared" ref="LW5:LW15" si="126">(AI5+BE5)/2</f>
        <v>0</v>
      </c>
      <c r="LX5" s="83" t="s">
        <v>126</v>
      </c>
      <c r="LY5" s="12">
        <f t="shared" ref="LY5:LY15" si="127">IF(LP5&gt;0,LP5,"")</f>
        <v>11.6</v>
      </c>
      <c r="LZ5" s="12">
        <f t="shared" ref="LZ5:LZ15" si="128">IF(SUM(LI5:LL5)-LM5&gt;0,SUM(LI5:LL5)-LM5,"")</f>
        <v>38.627499999999998</v>
      </c>
      <c r="MA5" s="12">
        <f t="shared" ref="MA5:MA15" si="129">IF(SUM(LN5:LQ5)-LR5&gt;0,SUM(LN5:LQ5)-LR5,"")</f>
        <v>43.21875</v>
      </c>
      <c r="MB5" s="12">
        <f t="shared" ref="MB5:MB15" si="130">IF(SUM(LZ5:MA5)&gt;0,SUM(LZ5:MA5),"")</f>
        <v>81.846249999999998</v>
      </c>
      <c r="MC5" s="12">
        <f t="shared" ref="MC5:MC15" si="131">IF(SUM(LS5:LV5)-LW5&gt;0,SUM(LS5:LV5)-LW5,"")</f>
        <v>45.10125</v>
      </c>
      <c r="MD5" s="12">
        <f t="shared" ref="MD5:MD15" si="132">IF(SUM(MB5,MC5)&gt;0,SUM(MB5,MC5),"")</f>
        <v>126.94749999999999</v>
      </c>
    </row>
    <row r="6" spans="1:342" x14ac:dyDescent="0.2">
      <c r="A6" s="6">
        <f t="shared" si="0"/>
        <v>3</v>
      </c>
      <c r="B6" s="7" t="s">
        <v>158</v>
      </c>
      <c r="C6" s="8" t="s">
        <v>157</v>
      </c>
      <c r="D6" s="6" t="s">
        <v>156</v>
      </c>
      <c r="E6" s="16">
        <f t="shared" si="1"/>
        <v>89.59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5" t="str">
        <f t="shared" si="6"/>
        <v/>
      </c>
      <c r="K6" s="15" t="str">
        <f t="shared" si="7"/>
        <v/>
      </c>
      <c r="L6" s="15" t="str">
        <f t="shared" si="8"/>
        <v/>
      </c>
      <c r="M6" s="15" t="str">
        <f t="shared" si="9"/>
        <v/>
      </c>
      <c r="N6" s="15" t="str">
        <f t="shared" si="10"/>
        <v/>
      </c>
      <c r="O6" s="15" t="str">
        <f t="shared" si="11"/>
        <v/>
      </c>
      <c r="P6" s="15" t="str">
        <f t="shared" si="12"/>
        <v/>
      </c>
      <c r="Q6" s="15" t="str">
        <f t="shared" si="13"/>
        <v/>
      </c>
      <c r="R6" s="15">
        <f t="shared" si="14"/>
        <v>89.59</v>
      </c>
      <c r="S6" s="27" t="str">
        <f t="shared" si="15"/>
        <v>(Prelim)</v>
      </c>
      <c r="T6" s="15" t="str">
        <f t="shared" si="16"/>
        <v>2019 World Cup AZE (Feb 17)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3"/>
      <c r="AK6" s="12" t="str">
        <f t="shared" si="17"/>
        <v/>
      </c>
      <c r="AL6" s="12" t="str">
        <f t="shared" si="18"/>
        <v/>
      </c>
      <c r="AM6" s="12" t="str">
        <f t="shared" si="19"/>
        <v/>
      </c>
      <c r="AN6" s="12" t="str">
        <f t="shared" si="20"/>
        <v/>
      </c>
      <c r="AO6" s="12" t="str">
        <f t="shared" si="21"/>
        <v/>
      </c>
      <c r="AP6" s="12" t="str">
        <f t="shared" si="22"/>
        <v/>
      </c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84"/>
      <c r="BG6" s="15" t="str">
        <f t="shared" si="23"/>
        <v/>
      </c>
      <c r="BH6" s="15" t="str">
        <f t="shared" si="24"/>
        <v/>
      </c>
      <c r="BI6" s="15" t="str">
        <f t="shared" si="25"/>
        <v/>
      </c>
      <c r="BJ6" s="15" t="str">
        <f t="shared" si="26"/>
        <v/>
      </c>
      <c r="BK6" s="15" t="str">
        <f t="shared" si="27"/>
        <v/>
      </c>
      <c r="BL6" s="15" t="str">
        <f t="shared" si="28"/>
        <v/>
      </c>
      <c r="BM6" s="26">
        <f t="shared" si="29"/>
        <v>41.21</v>
      </c>
      <c r="BN6" s="26">
        <f t="shared" si="30"/>
        <v>48.38</v>
      </c>
      <c r="BO6" s="26">
        <f t="shared" si="31"/>
        <v>89.59</v>
      </c>
      <c r="BP6" s="26">
        <f t="shared" si="32"/>
        <v>47.5</v>
      </c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12" t="str">
        <f t="shared" si="33"/>
        <v/>
      </c>
      <c r="CG6" s="12" t="str">
        <f t="shared" si="34"/>
        <v/>
      </c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15" t="str">
        <f t="shared" si="39"/>
        <v/>
      </c>
      <c r="DB6" s="15" t="str">
        <f t="shared" si="40"/>
        <v/>
      </c>
      <c r="DC6" s="15" t="str">
        <f t="shared" si="41"/>
        <v/>
      </c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12" t="str">
        <f t="shared" si="45"/>
        <v/>
      </c>
      <c r="DW6" s="12" t="str">
        <f t="shared" si="46"/>
        <v/>
      </c>
      <c r="DX6" s="12" t="str">
        <f t="shared" si="47"/>
        <v/>
      </c>
      <c r="DY6" s="12" t="str">
        <f t="shared" si="48"/>
        <v/>
      </c>
      <c r="DZ6" s="12" t="str">
        <f t="shared" si="49"/>
        <v/>
      </c>
      <c r="EA6" s="12" t="str">
        <f t="shared" si="50"/>
        <v/>
      </c>
      <c r="EB6" s="40">
        <v>8.35</v>
      </c>
      <c r="EC6" s="40">
        <v>9</v>
      </c>
      <c r="ED6" s="40">
        <v>3.9</v>
      </c>
      <c r="EE6" s="40">
        <v>17.399999999999999</v>
      </c>
      <c r="EF6" s="40">
        <v>0.4</v>
      </c>
      <c r="EG6" s="40">
        <v>7.75</v>
      </c>
      <c r="EH6" s="40">
        <v>9.0500000000000007</v>
      </c>
      <c r="EI6" s="40">
        <v>11.8</v>
      </c>
      <c r="EJ6" s="40">
        <v>14.4</v>
      </c>
      <c r="EK6" s="40">
        <v>0</v>
      </c>
      <c r="EL6" s="40">
        <v>8.35</v>
      </c>
      <c r="EM6" s="40">
        <v>9</v>
      </c>
      <c r="EN6" s="40">
        <v>11.8</v>
      </c>
      <c r="EO6" s="40">
        <v>17.8</v>
      </c>
      <c r="EP6" s="40">
        <v>0</v>
      </c>
      <c r="EQ6" s="15">
        <f t="shared" si="51"/>
        <v>11.8</v>
      </c>
      <c r="ER6" s="15">
        <f t="shared" si="52"/>
        <v>38.25</v>
      </c>
      <c r="ES6" s="15">
        <f t="shared" si="53"/>
        <v>43</v>
      </c>
      <c r="ET6" s="15">
        <f t="shared" si="54"/>
        <v>81.25</v>
      </c>
      <c r="EU6" s="15">
        <f t="shared" si="55"/>
        <v>46.95</v>
      </c>
      <c r="EV6" s="15">
        <f t="shared" si="56"/>
        <v>128.19999999999999</v>
      </c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>
        <v>8.4499999999999993</v>
      </c>
      <c r="FH6" s="39">
        <v>9.1999999999999993</v>
      </c>
      <c r="FI6" s="39">
        <v>11.8</v>
      </c>
      <c r="FJ6" s="39">
        <v>17.899999999999999</v>
      </c>
      <c r="FK6" s="39">
        <v>0.4</v>
      </c>
      <c r="FL6" s="12" t="str">
        <f t="shared" si="57"/>
        <v/>
      </c>
      <c r="FM6" s="12" t="str">
        <f t="shared" si="58"/>
        <v/>
      </c>
      <c r="FN6" s="12" t="str">
        <f t="shared" si="59"/>
        <v/>
      </c>
      <c r="FO6" s="12" t="str">
        <f t="shared" si="60"/>
        <v/>
      </c>
      <c r="FP6" s="12">
        <f t="shared" si="61"/>
        <v>46.949999999999996</v>
      </c>
      <c r="FQ6" s="12">
        <f t="shared" si="62"/>
        <v>46.949999999999996</v>
      </c>
      <c r="FR6" s="40">
        <v>9</v>
      </c>
      <c r="FS6" s="40">
        <v>9.6999999999999993</v>
      </c>
      <c r="FT6" s="40">
        <v>3.9</v>
      </c>
      <c r="FU6" s="40">
        <v>18.260000000000002</v>
      </c>
      <c r="FV6" s="40">
        <v>0</v>
      </c>
      <c r="FW6" s="40">
        <v>8.35</v>
      </c>
      <c r="FX6" s="40">
        <v>9.5</v>
      </c>
      <c r="FY6" s="40">
        <v>11.8</v>
      </c>
      <c r="FZ6" s="40">
        <v>16.98</v>
      </c>
      <c r="GA6" s="40">
        <v>0</v>
      </c>
      <c r="GB6" s="40">
        <v>8.1</v>
      </c>
      <c r="GC6" s="40">
        <v>9.3000000000000007</v>
      </c>
      <c r="GD6" s="40">
        <v>11.8</v>
      </c>
      <c r="GE6" s="40">
        <v>18.3</v>
      </c>
      <c r="GF6" s="40">
        <v>0</v>
      </c>
      <c r="GG6" s="15">
        <f t="shared" si="63"/>
        <v>11.8</v>
      </c>
      <c r="GH6" s="15">
        <f t="shared" si="64"/>
        <v>40.86</v>
      </c>
      <c r="GI6" s="15">
        <f t="shared" si="65"/>
        <v>46.63</v>
      </c>
      <c r="GJ6" s="15">
        <f t="shared" si="66"/>
        <v>87.490000000000009</v>
      </c>
      <c r="GK6" s="15">
        <f t="shared" si="67"/>
        <v>47.5</v>
      </c>
      <c r="GL6" s="15">
        <f t="shared" si="68"/>
        <v>134.99</v>
      </c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12" t="str">
        <f t="shared" si="69"/>
        <v/>
      </c>
      <c r="HC6" s="12" t="str">
        <f t="shared" si="70"/>
        <v/>
      </c>
      <c r="HD6" s="12" t="str">
        <f t="shared" si="71"/>
        <v/>
      </c>
      <c r="HE6" s="12" t="str">
        <f t="shared" si="72"/>
        <v/>
      </c>
      <c r="HF6" s="12" t="str">
        <f t="shared" si="73"/>
        <v/>
      </c>
      <c r="HG6" s="12" t="str">
        <f t="shared" si="74"/>
        <v/>
      </c>
      <c r="HH6" s="40">
        <v>9.1999999999999993</v>
      </c>
      <c r="HI6" s="40">
        <v>9.65</v>
      </c>
      <c r="HJ6" s="40">
        <v>3.9</v>
      </c>
      <c r="HK6" s="40">
        <v>18.46</v>
      </c>
      <c r="HL6" s="40">
        <v>0</v>
      </c>
      <c r="HM6" s="40">
        <v>8.35</v>
      </c>
      <c r="HN6" s="40">
        <v>9.25</v>
      </c>
      <c r="HO6" s="40">
        <v>11.8</v>
      </c>
      <c r="HP6" s="40">
        <v>18.98</v>
      </c>
      <c r="HQ6" s="40">
        <v>0</v>
      </c>
      <c r="HR6" s="40">
        <v>8.25</v>
      </c>
      <c r="HS6" s="40">
        <v>9.3000000000000007</v>
      </c>
      <c r="HT6" s="40">
        <v>11.8</v>
      </c>
      <c r="HU6" s="40">
        <v>17.059999999999999</v>
      </c>
      <c r="HV6" s="40">
        <v>0</v>
      </c>
      <c r="HW6" s="15">
        <f t="shared" si="75"/>
        <v>11.8</v>
      </c>
      <c r="HX6" s="15">
        <f t="shared" si="76"/>
        <v>41.21</v>
      </c>
      <c r="HY6" s="15">
        <f t="shared" si="77"/>
        <v>48.38</v>
      </c>
      <c r="HZ6" s="15">
        <f t="shared" si="78"/>
        <v>89.59</v>
      </c>
      <c r="IA6" s="15">
        <f t="shared" si="79"/>
        <v>46.41</v>
      </c>
      <c r="IB6" s="15">
        <f t="shared" si="80"/>
        <v>136</v>
      </c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12" t="str">
        <f t="shared" si="81"/>
        <v/>
      </c>
      <c r="IS6" s="12" t="str">
        <f t="shared" si="82"/>
        <v/>
      </c>
      <c r="IT6" s="12" t="str">
        <f t="shared" si="83"/>
        <v/>
      </c>
      <c r="IU6" s="12" t="str">
        <f t="shared" si="84"/>
        <v/>
      </c>
      <c r="IV6" s="12" t="str">
        <f t="shared" si="85"/>
        <v/>
      </c>
      <c r="IW6" s="12" t="str">
        <f t="shared" si="86"/>
        <v/>
      </c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15" t="str">
        <f t="shared" si="87"/>
        <v/>
      </c>
      <c r="JN6" s="15" t="str">
        <f t="shared" si="88"/>
        <v/>
      </c>
      <c r="JO6" s="15" t="str">
        <f t="shared" si="89"/>
        <v/>
      </c>
      <c r="JP6" s="15" t="str">
        <f t="shared" si="90"/>
        <v/>
      </c>
      <c r="JQ6" s="15" t="str">
        <f t="shared" si="91"/>
        <v/>
      </c>
      <c r="JR6" s="15" t="str">
        <f t="shared" si="92"/>
        <v/>
      </c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39"/>
      <c r="KE6" s="39"/>
      <c r="KF6" s="39"/>
      <c r="KG6" s="39"/>
      <c r="KH6" s="12" t="str">
        <f t="shared" si="93"/>
        <v/>
      </c>
      <c r="KI6" s="12" t="str">
        <f t="shared" si="94"/>
        <v/>
      </c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15" t="str">
        <f t="shared" si="99"/>
        <v/>
      </c>
      <c r="LD6" s="15" t="str">
        <f t="shared" si="100"/>
        <v/>
      </c>
      <c r="LE6" s="15" t="str">
        <f t="shared" si="101"/>
        <v/>
      </c>
      <c r="LF6" s="15" t="str">
        <f t="shared" si="102"/>
        <v/>
      </c>
      <c r="LG6" s="15" t="str">
        <f t="shared" si="103"/>
        <v/>
      </c>
      <c r="LH6" s="15" t="str">
        <f t="shared" si="104"/>
        <v/>
      </c>
      <c r="LI6" s="72">
        <f t="shared" si="112"/>
        <v>0</v>
      </c>
      <c r="LJ6" s="72">
        <f t="shared" si="113"/>
        <v>0</v>
      </c>
      <c r="LK6" s="72">
        <f t="shared" si="114"/>
        <v>0</v>
      </c>
      <c r="LL6" s="72">
        <f t="shared" si="115"/>
        <v>0</v>
      </c>
      <c r="LM6" s="72">
        <f t="shared" si="116"/>
        <v>0</v>
      </c>
      <c r="LN6" s="72">
        <f t="shared" si="117"/>
        <v>0</v>
      </c>
      <c r="LO6" s="72">
        <f t="shared" si="118"/>
        <v>0</v>
      </c>
      <c r="LP6" s="72">
        <f t="shared" si="119"/>
        <v>0</v>
      </c>
      <c r="LQ6" s="72">
        <f t="shared" si="120"/>
        <v>0</v>
      </c>
      <c r="LR6" s="72">
        <f t="shared" si="121"/>
        <v>0</v>
      </c>
      <c r="LS6" s="72">
        <f t="shared" si="122"/>
        <v>0</v>
      </c>
      <c r="LT6" s="72">
        <f t="shared" si="123"/>
        <v>0</v>
      </c>
      <c r="LU6" s="72">
        <f t="shared" si="124"/>
        <v>0</v>
      </c>
      <c r="LV6" s="72">
        <f t="shared" si="125"/>
        <v>0</v>
      </c>
      <c r="LW6" s="72">
        <f t="shared" si="126"/>
        <v>0</v>
      </c>
      <c r="LX6" s="83" t="s">
        <v>126</v>
      </c>
      <c r="LY6" s="12" t="str">
        <f t="shared" si="127"/>
        <v/>
      </c>
      <c r="LZ6" s="12" t="str">
        <f t="shared" si="128"/>
        <v/>
      </c>
      <c r="MA6" s="12" t="str">
        <f t="shared" si="129"/>
        <v/>
      </c>
      <c r="MB6" s="12" t="str">
        <f t="shared" si="130"/>
        <v/>
      </c>
      <c r="MC6" s="12" t="str">
        <f t="shared" si="131"/>
        <v/>
      </c>
      <c r="MD6" s="12" t="str">
        <f t="shared" si="132"/>
        <v/>
      </c>
    </row>
    <row r="7" spans="1:342" x14ac:dyDescent="0.2">
      <c r="A7" s="6">
        <f t="shared" si="0"/>
        <v>4</v>
      </c>
      <c r="B7" s="7" t="s">
        <v>213</v>
      </c>
      <c r="C7" s="8" t="s">
        <v>212</v>
      </c>
      <c r="D7" s="6" t="s">
        <v>211</v>
      </c>
      <c r="E7" s="16">
        <f t="shared" si="1"/>
        <v>84.53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 t="str">
        <f t="shared" si="6"/>
        <v/>
      </c>
      <c r="K7" s="15" t="str">
        <f t="shared" si="7"/>
        <v/>
      </c>
      <c r="L7" s="15" t="str">
        <f t="shared" si="8"/>
        <v/>
      </c>
      <c r="M7" s="15" t="str">
        <f t="shared" si="9"/>
        <v/>
      </c>
      <c r="N7" s="15" t="str">
        <f t="shared" si="10"/>
        <v/>
      </c>
      <c r="O7" s="15" t="str">
        <f t="shared" si="11"/>
        <v/>
      </c>
      <c r="P7" s="15" t="str">
        <f t="shared" si="12"/>
        <v/>
      </c>
      <c r="Q7" s="15" t="str">
        <f t="shared" si="13"/>
        <v/>
      </c>
      <c r="R7" s="15">
        <f t="shared" si="14"/>
        <v>84.53</v>
      </c>
      <c r="S7" s="27" t="str">
        <f t="shared" si="15"/>
        <v>(Prelim)</v>
      </c>
      <c r="T7" s="15" t="str">
        <f t="shared" si="16"/>
        <v>2019 World Cup BLR (Apr 21)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3"/>
      <c r="AK7" s="12" t="str">
        <f t="shared" si="17"/>
        <v/>
      </c>
      <c r="AL7" s="12" t="str">
        <f t="shared" si="18"/>
        <v/>
      </c>
      <c r="AM7" s="12" t="str">
        <f t="shared" si="19"/>
        <v/>
      </c>
      <c r="AN7" s="12" t="str">
        <f t="shared" si="20"/>
        <v/>
      </c>
      <c r="AO7" s="12" t="str">
        <f t="shared" si="21"/>
        <v/>
      </c>
      <c r="AP7" s="12" t="str">
        <f t="shared" si="22"/>
        <v/>
      </c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84"/>
      <c r="BG7" s="15" t="str">
        <f t="shared" si="23"/>
        <v/>
      </c>
      <c r="BH7" s="15" t="str">
        <f t="shared" si="24"/>
        <v/>
      </c>
      <c r="BI7" s="15" t="str">
        <f t="shared" si="25"/>
        <v/>
      </c>
      <c r="BJ7" s="15" t="str">
        <f t="shared" si="26"/>
        <v/>
      </c>
      <c r="BK7" s="15" t="str">
        <f t="shared" si="27"/>
        <v/>
      </c>
      <c r="BL7" s="15" t="str">
        <f t="shared" si="28"/>
        <v/>
      </c>
      <c r="BM7" s="26">
        <f t="shared" si="29"/>
        <v>40.01</v>
      </c>
      <c r="BN7" s="26">
        <f t="shared" si="30"/>
        <v>44.519999999999996</v>
      </c>
      <c r="BO7" s="26">
        <f t="shared" si="31"/>
        <v>84.53</v>
      </c>
      <c r="BP7" s="26">
        <f t="shared" si="32"/>
        <v>47.019999999999996</v>
      </c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12" t="str">
        <f t="shared" si="33"/>
        <v/>
      </c>
      <c r="CG7" s="12" t="str">
        <f t="shared" si="34"/>
        <v/>
      </c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15" t="str">
        <f t="shared" si="39"/>
        <v/>
      </c>
      <c r="DB7" s="15" t="str">
        <f t="shared" si="40"/>
        <v/>
      </c>
      <c r="DC7" s="15" t="str">
        <f t="shared" si="41"/>
        <v/>
      </c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12" t="str">
        <f t="shared" si="45"/>
        <v/>
      </c>
      <c r="DW7" s="12" t="str">
        <f t="shared" si="46"/>
        <v/>
      </c>
      <c r="DX7" s="12" t="str">
        <f t="shared" si="47"/>
        <v/>
      </c>
      <c r="DY7" s="12" t="str">
        <f t="shared" si="48"/>
        <v/>
      </c>
      <c r="DZ7" s="12" t="str">
        <f t="shared" si="49"/>
        <v/>
      </c>
      <c r="EA7" s="12" t="str">
        <f t="shared" si="50"/>
        <v/>
      </c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15" t="str">
        <f t="shared" si="51"/>
        <v/>
      </c>
      <c r="ER7" s="15" t="str">
        <f t="shared" si="52"/>
        <v/>
      </c>
      <c r="ES7" s="15" t="str">
        <f t="shared" si="53"/>
        <v/>
      </c>
      <c r="ET7" s="15" t="str">
        <f t="shared" si="54"/>
        <v/>
      </c>
      <c r="EU7" s="15" t="str">
        <f t="shared" si="55"/>
        <v/>
      </c>
      <c r="EV7" s="15" t="str">
        <f t="shared" si="56"/>
        <v/>
      </c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12" t="str">
        <f t="shared" si="57"/>
        <v/>
      </c>
      <c r="FM7" s="12" t="str">
        <f t="shared" si="58"/>
        <v/>
      </c>
      <c r="FN7" s="12" t="str">
        <f t="shared" si="59"/>
        <v/>
      </c>
      <c r="FO7" s="12" t="str">
        <f t="shared" si="60"/>
        <v/>
      </c>
      <c r="FP7" s="12" t="str">
        <f t="shared" si="61"/>
        <v/>
      </c>
      <c r="FQ7" s="12" t="str">
        <f t="shared" si="62"/>
        <v/>
      </c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15" t="str">
        <f t="shared" si="63"/>
        <v/>
      </c>
      <c r="GH7" s="15" t="str">
        <f t="shared" si="64"/>
        <v/>
      </c>
      <c r="GI7" s="15" t="str">
        <f t="shared" si="65"/>
        <v/>
      </c>
      <c r="GJ7" s="15" t="str">
        <f t="shared" si="66"/>
        <v/>
      </c>
      <c r="GK7" s="15" t="str">
        <f t="shared" si="67"/>
        <v/>
      </c>
      <c r="GL7" s="15" t="str">
        <f t="shared" si="68"/>
        <v/>
      </c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12" t="str">
        <f t="shared" si="69"/>
        <v/>
      </c>
      <c r="HC7" s="12" t="str">
        <f t="shared" si="70"/>
        <v/>
      </c>
      <c r="HD7" s="12" t="str">
        <f t="shared" si="71"/>
        <v/>
      </c>
      <c r="HE7" s="12" t="str">
        <f t="shared" si="72"/>
        <v/>
      </c>
      <c r="HF7" s="12" t="str">
        <f t="shared" si="73"/>
        <v/>
      </c>
      <c r="HG7" s="12" t="str">
        <f t="shared" si="74"/>
        <v/>
      </c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15" t="str">
        <f t="shared" si="75"/>
        <v/>
      </c>
      <c r="HX7" s="15" t="str">
        <f t="shared" si="76"/>
        <v/>
      </c>
      <c r="HY7" s="15" t="str">
        <f t="shared" si="77"/>
        <v/>
      </c>
      <c r="HZ7" s="15" t="str">
        <f t="shared" si="78"/>
        <v/>
      </c>
      <c r="IA7" s="15" t="str">
        <f t="shared" si="79"/>
        <v/>
      </c>
      <c r="IB7" s="15" t="str">
        <f t="shared" si="80"/>
        <v/>
      </c>
      <c r="IC7" s="39">
        <v>8.75</v>
      </c>
      <c r="ID7" s="39">
        <v>9.4</v>
      </c>
      <c r="IE7" s="39">
        <v>4.3</v>
      </c>
      <c r="IF7" s="39">
        <v>17.559999999999999</v>
      </c>
      <c r="IG7" s="39">
        <v>0</v>
      </c>
      <c r="IH7" s="39">
        <v>7.6</v>
      </c>
      <c r="II7" s="39">
        <v>9.3000000000000007</v>
      </c>
      <c r="IJ7" s="39">
        <v>12</v>
      </c>
      <c r="IK7" s="39">
        <v>15.62</v>
      </c>
      <c r="IL7" s="39">
        <v>0</v>
      </c>
      <c r="IM7" s="39">
        <v>7.7</v>
      </c>
      <c r="IN7" s="39">
        <v>9</v>
      </c>
      <c r="IO7" s="39">
        <v>12</v>
      </c>
      <c r="IP7" s="39">
        <v>18.32</v>
      </c>
      <c r="IQ7" s="39">
        <v>0</v>
      </c>
      <c r="IR7" s="12">
        <f t="shared" si="81"/>
        <v>12</v>
      </c>
      <c r="IS7" s="12">
        <f t="shared" si="82"/>
        <v>40.01</v>
      </c>
      <c r="IT7" s="12">
        <f t="shared" si="83"/>
        <v>44.519999999999996</v>
      </c>
      <c r="IU7" s="12">
        <f t="shared" si="84"/>
        <v>84.53</v>
      </c>
      <c r="IV7" s="12">
        <f t="shared" si="85"/>
        <v>47.019999999999996</v>
      </c>
      <c r="IW7" s="12">
        <f t="shared" si="86"/>
        <v>131.55000000000001</v>
      </c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15" t="str">
        <f t="shared" si="87"/>
        <v/>
      </c>
      <c r="JN7" s="15" t="str">
        <f t="shared" si="88"/>
        <v/>
      </c>
      <c r="JO7" s="15" t="str">
        <f t="shared" si="89"/>
        <v/>
      </c>
      <c r="JP7" s="15" t="str">
        <f t="shared" si="90"/>
        <v/>
      </c>
      <c r="JQ7" s="15" t="str">
        <f t="shared" si="91"/>
        <v/>
      </c>
      <c r="JR7" s="15" t="str">
        <f t="shared" si="92"/>
        <v/>
      </c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39"/>
      <c r="KE7" s="39"/>
      <c r="KF7" s="39"/>
      <c r="KG7" s="39"/>
      <c r="KH7" s="12" t="str">
        <f t="shared" si="93"/>
        <v/>
      </c>
      <c r="KI7" s="12" t="str">
        <f t="shared" si="94"/>
        <v/>
      </c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15" t="str">
        <f t="shared" si="99"/>
        <v/>
      </c>
      <c r="LD7" s="15" t="str">
        <f t="shared" si="100"/>
        <v/>
      </c>
      <c r="LE7" s="15" t="str">
        <f t="shared" si="101"/>
        <v/>
      </c>
      <c r="LF7" s="15" t="str">
        <f t="shared" si="102"/>
        <v/>
      </c>
      <c r="LG7" s="15" t="str">
        <f t="shared" si="103"/>
        <v/>
      </c>
      <c r="LH7" s="15" t="str">
        <f t="shared" si="104"/>
        <v/>
      </c>
      <c r="LI7" s="72">
        <f t="shared" si="112"/>
        <v>0</v>
      </c>
      <c r="LJ7" s="72">
        <f t="shared" si="113"/>
        <v>0</v>
      </c>
      <c r="LK7" s="72">
        <f t="shared" si="114"/>
        <v>0</v>
      </c>
      <c r="LL7" s="72">
        <f t="shared" si="115"/>
        <v>0</v>
      </c>
      <c r="LM7" s="72">
        <f t="shared" si="116"/>
        <v>0</v>
      </c>
      <c r="LN7" s="72">
        <f t="shared" si="117"/>
        <v>0</v>
      </c>
      <c r="LO7" s="72">
        <f t="shared" si="118"/>
        <v>0</v>
      </c>
      <c r="LP7" s="72">
        <f t="shared" si="119"/>
        <v>0</v>
      </c>
      <c r="LQ7" s="72">
        <f t="shared" si="120"/>
        <v>0</v>
      </c>
      <c r="LR7" s="72">
        <f t="shared" si="121"/>
        <v>0</v>
      </c>
      <c r="LS7" s="72">
        <f t="shared" si="122"/>
        <v>0</v>
      </c>
      <c r="LT7" s="72">
        <f t="shared" si="123"/>
        <v>0</v>
      </c>
      <c r="LU7" s="72">
        <f t="shared" si="124"/>
        <v>0</v>
      </c>
      <c r="LV7" s="72">
        <f t="shared" si="125"/>
        <v>0</v>
      </c>
      <c r="LW7" s="72">
        <f t="shared" si="126"/>
        <v>0</v>
      </c>
      <c r="LX7" s="83" t="s">
        <v>126</v>
      </c>
      <c r="LY7" s="12" t="str">
        <f t="shared" si="127"/>
        <v/>
      </c>
      <c r="LZ7" s="12" t="str">
        <f t="shared" si="128"/>
        <v/>
      </c>
      <c r="MA7" s="12" t="str">
        <f t="shared" si="129"/>
        <v/>
      </c>
      <c r="MB7" s="12" t="str">
        <f t="shared" si="130"/>
        <v/>
      </c>
      <c r="MC7" s="12" t="str">
        <f t="shared" si="131"/>
        <v/>
      </c>
      <c r="MD7" s="12" t="str">
        <f t="shared" si="132"/>
        <v/>
      </c>
    </row>
    <row r="8" spans="1:342" x14ac:dyDescent="0.2">
      <c r="A8" s="6">
        <f t="shared" si="0"/>
        <v>5</v>
      </c>
      <c r="B8" s="7" t="s">
        <v>169</v>
      </c>
      <c r="C8" s="8" t="s">
        <v>168</v>
      </c>
      <c r="D8" s="6">
        <v>1998</v>
      </c>
      <c r="E8" s="16">
        <f t="shared" si="1"/>
        <v>82.39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National Team</v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 t="str">
        <f t="shared" si="12"/>
        <v/>
      </c>
      <c r="Q8" s="15" t="str">
        <f t="shared" si="13"/>
        <v/>
      </c>
      <c r="R8" s="15">
        <f t="shared" si="14"/>
        <v>82.39</v>
      </c>
      <c r="S8" s="27" t="str">
        <f t="shared" si="15"/>
        <v>(Prelim)</v>
      </c>
      <c r="T8" s="15" t="str">
        <f t="shared" si="16"/>
        <v>2018 World Championships (Nov 9)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3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84"/>
      <c r="BG8" s="15" t="str">
        <f t="shared" si="23"/>
        <v/>
      </c>
      <c r="BH8" s="15" t="str">
        <f t="shared" si="24"/>
        <v/>
      </c>
      <c r="BI8" s="15" t="str">
        <f t="shared" si="25"/>
        <v/>
      </c>
      <c r="BJ8" s="15" t="str">
        <f t="shared" si="26"/>
        <v/>
      </c>
      <c r="BK8" s="15" t="str">
        <f t="shared" si="27"/>
        <v/>
      </c>
      <c r="BL8" s="15" t="str">
        <f t="shared" si="28"/>
        <v/>
      </c>
      <c r="BM8" s="26">
        <f t="shared" si="29"/>
        <v>41.3</v>
      </c>
      <c r="BN8" s="26">
        <f t="shared" si="30"/>
        <v>41.09</v>
      </c>
      <c r="BO8" s="26">
        <f t="shared" si="31"/>
        <v>82.39</v>
      </c>
      <c r="BP8" s="26" t="str">
        <f t="shared" si="32"/>
        <v/>
      </c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12" t="str">
        <f t="shared" si="33"/>
        <v/>
      </c>
      <c r="CG8" s="12" t="str">
        <f t="shared" si="34"/>
        <v/>
      </c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15" t="str">
        <f t="shared" si="39"/>
        <v/>
      </c>
      <c r="DB8" s="15" t="str">
        <f t="shared" si="40"/>
        <v/>
      </c>
      <c r="DC8" s="15" t="str">
        <f t="shared" si="41"/>
        <v/>
      </c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12" t="str">
        <f t="shared" si="45"/>
        <v/>
      </c>
      <c r="DW8" s="12" t="str">
        <f t="shared" si="46"/>
        <v/>
      </c>
      <c r="DX8" s="12" t="str">
        <f t="shared" si="47"/>
        <v/>
      </c>
      <c r="DY8" s="12" t="str">
        <f t="shared" si="48"/>
        <v/>
      </c>
      <c r="DZ8" s="12" t="str">
        <f t="shared" si="49"/>
        <v/>
      </c>
      <c r="EA8" s="12" t="str">
        <f t="shared" si="50"/>
        <v/>
      </c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15" t="str">
        <f t="shared" si="51"/>
        <v/>
      </c>
      <c r="ER8" s="15" t="str">
        <f t="shared" si="52"/>
        <v/>
      </c>
      <c r="ES8" s="15" t="str">
        <f t="shared" si="53"/>
        <v/>
      </c>
      <c r="ET8" s="15" t="str">
        <f t="shared" si="54"/>
        <v/>
      </c>
      <c r="EU8" s="15" t="str">
        <f t="shared" si="55"/>
        <v/>
      </c>
      <c r="EV8" s="15" t="str">
        <f t="shared" si="56"/>
        <v/>
      </c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12" t="str">
        <f t="shared" si="57"/>
        <v/>
      </c>
      <c r="FM8" s="12" t="str">
        <f t="shared" si="58"/>
        <v/>
      </c>
      <c r="FN8" s="12" t="str">
        <f t="shared" si="59"/>
        <v/>
      </c>
      <c r="FO8" s="12" t="str">
        <f t="shared" si="60"/>
        <v/>
      </c>
      <c r="FP8" s="12" t="str">
        <f t="shared" si="61"/>
        <v/>
      </c>
      <c r="FQ8" s="12" t="str">
        <f t="shared" si="62"/>
        <v/>
      </c>
      <c r="FR8" s="40">
        <v>8.6</v>
      </c>
      <c r="FS8" s="40">
        <v>9.1999999999999993</v>
      </c>
      <c r="FT8" s="40">
        <v>4.5</v>
      </c>
      <c r="FU8" s="40">
        <v>19</v>
      </c>
      <c r="FV8" s="40">
        <v>0</v>
      </c>
      <c r="FW8" s="40">
        <v>7.35</v>
      </c>
      <c r="FX8" s="40">
        <v>8.1</v>
      </c>
      <c r="FY8" s="40">
        <v>9.5</v>
      </c>
      <c r="FZ8" s="40">
        <v>16.14</v>
      </c>
      <c r="GA8" s="40">
        <v>0</v>
      </c>
      <c r="GB8" s="40"/>
      <c r="GC8" s="40"/>
      <c r="GD8" s="40"/>
      <c r="GE8" s="40"/>
      <c r="GF8" s="40"/>
      <c r="GG8" s="15">
        <f t="shared" si="63"/>
        <v>9.5</v>
      </c>
      <c r="GH8" s="15">
        <f t="shared" si="64"/>
        <v>41.3</v>
      </c>
      <c r="GI8" s="15">
        <f t="shared" si="65"/>
        <v>41.09</v>
      </c>
      <c r="GJ8" s="15">
        <f t="shared" si="66"/>
        <v>82.39</v>
      </c>
      <c r="GK8" s="15" t="str">
        <f t="shared" si="67"/>
        <v/>
      </c>
      <c r="GL8" s="15">
        <f t="shared" si="68"/>
        <v>82.39</v>
      </c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12" t="str">
        <f t="shared" si="69"/>
        <v/>
      </c>
      <c r="HC8" s="12" t="str">
        <f t="shared" si="70"/>
        <v/>
      </c>
      <c r="HD8" s="12" t="str">
        <f t="shared" si="71"/>
        <v/>
      </c>
      <c r="HE8" s="12" t="str">
        <f t="shared" si="72"/>
        <v/>
      </c>
      <c r="HF8" s="12" t="str">
        <f t="shared" si="73"/>
        <v/>
      </c>
      <c r="HG8" s="12" t="str">
        <f t="shared" si="74"/>
        <v/>
      </c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15" t="str">
        <f t="shared" si="75"/>
        <v/>
      </c>
      <c r="HX8" s="15" t="str">
        <f t="shared" si="76"/>
        <v/>
      </c>
      <c r="HY8" s="15" t="str">
        <f t="shared" si="77"/>
        <v/>
      </c>
      <c r="HZ8" s="15" t="str">
        <f t="shared" si="78"/>
        <v/>
      </c>
      <c r="IA8" s="15" t="str">
        <f t="shared" si="79"/>
        <v/>
      </c>
      <c r="IB8" s="15" t="str">
        <f t="shared" si="80"/>
        <v/>
      </c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12" t="str">
        <f t="shared" si="81"/>
        <v/>
      </c>
      <c r="IS8" s="12" t="str">
        <f t="shared" si="82"/>
        <v/>
      </c>
      <c r="IT8" s="12" t="str">
        <f t="shared" si="83"/>
        <v/>
      </c>
      <c r="IU8" s="12" t="str">
        <f t="shared" si="84"/>
        <v/>
      </c>
      <c r="IV8" s="12" t="str">
        <f t="shared" si="85"/>
        <v/>
      </c>
      <c r="IW8" s="12" t="str">
        <f t="shared" si="86"/>
        <v/>
      </c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15" t="str">
        <f t="shared" si="87"/>
        <v/>
      </c>
      <c r="JN8" s="15" t="str">
        <f t="shared" si="88"/>
        <v/>
      </c>
      <c r="JO8" s="15" t="str">
        <f t="shared" si="89"/>
        <v/>
      </c>
      <c r="JP8" s="15" t="str">
        <f t="shared" si="90"/>
        <v/>
      </c>
      <c r="JQ8" s="15" t="str">
        <f t="shared" si="91"/>
        <v/>
      </c>
      <c r="JR8" s="15" t="str">
        <f t="shared" si="92"/>
        <v/>
      </c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39"/>
      <c r="KE8" s="39"/>
      <c r="KF8" s="39"/>
      <c r="KG8" s="39"/>
      <c r="KH8" s="12" t="str">
        <f t="shared" si="93"/>
        <v/>
      </c>
      <c r="KI8" s="12" t="str">
        <f t="shared" si="94"/>
        <v/>
      </c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15" t="str">
        <f t="shared" si="99"/>
        <v/>
      </c>
      <c r="LD8" s="15" t="str">
        <f t="shared" si="100"/>
        <v/>
      </c>
      <c r="LE8" s="15" t="str">
        <f t="shared" si="101"/>
        <v/>
      </c>
      <c r="LF8" s="15" t="str">
        <f t="shared" si="102"/>
        <v/>
      </c>
      <c r="LG8" s="15" t="str">
        <f t="shared" si="103"/>
        <v/>
      </c>
      <c r="LH8" s="15" t="str">
        <f t="shared" si="104"/>
        <v/>
      </c>
      <c r="LI8" s="72">
        <f t="shared" si="112"/>
        <v>0</v>
      </c>
      <c r="LJ8" s="72">
        <f t="shared" si="113"/>
        <v>0</v>
      </c>
      <c r="LK8" s="72">
        <f t="shared" si="114"/>
        <v>0</v>
      </c>
      <c r="LL8" s="72">
        <f t="shared" si="115"/>
        <v>0</v>
      </c>
      <c r="LM8" s="72">
        <f t="shared" si="116"/>
        <v>0</v>
      </c>
      <c r="LN8" s="72">
        <f t="shared" si="117"/>
        <v>0</v>
      </c>
      <c r="LO8" s="72">
        <f t="shared" si="118"/>
        <v>0</v>
      </c>
      <c r="LP8" s="72">
        <f t="shared" si="119"/>
        <v>0</v>
      </c>
      <c r="LQ8" s="72">
        <f t="shared" si="120"/>
        <v>0</v>
      </c>
      <c r="LR8" s="72">
        <f t="shared" si="121"/>
        <v>0</v>
      </c>
      <c r="LS8" s="72">
        <f t="shared" si="122"/>
        <v>0</v>
      </c>
      <c r="LT8" s="72">
        <f t="shared" si="123"/>
        <v>0</v>
      </c>
      <c r="LU8" s="72">
        <f t="shared" si="124"/>
        <v>0</v>
      </c>
      <c r="LV8" s="72">
        <f t="shared" si="125"/>
        <v>0</v>
      </c>
      <c r="LW8" s="72">
        <f t="shared" si="126"/>
        <v>0</v>
      </c>
      <c r="LX8" s="83" t="s">
        <v>126</v>
      </c>
      <c r="LY8" s="12" t="str">
        <f t="shared" si="127"/>
        <v/>
      </c>
      <c r="LZ8" s="12" t="str">
        <f t="shared" si="128"/>
        <v/>
      </c>
      <c r="MA8" s="12" t="str">
        <f t="shared" si="129"/>
        <v/>
      </c>
      <c r="MB8" s="12" t="str">
        <f t="shared" si="130"/>
        <v/>
      </c>
      <c r="MC8" s="12" t="str">
        <f t="shared" si="131"/>
        <v/>
      </c>
      <c r="MD8" s="12" t="str">
        <f t="shared" si="132"/>
        <v/>
      </c>
    </row>
    <row r="9" spans="1:342" x14ac:dyDescent="0.2">
      <c r="A9" s="6" t="str">
        <f t="shared" si="0"/>
        <v/>
      </c>
      <c r="B9" s="7" t="s">
        <v>165</v>
      </c>
      <c r="C9" s="8" t="s">
        <v>118</v>
      </c>
      <c r="D9" s="6" t="s">
        <v>152</v>
      </c>
      <c r="E9" s="16">
        <f t="shared" si="1"/>
        <v>126.575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80.5</v>
      </c>
      <c r="K9" s="15" t="str">
        <f t="shared" si="7"/>
        <v>2018 3rd Domestic Trial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15" t="str">
        <f t="shared" si="11"/>
        <v/>
      </c>
      <c r="P9" s="15">
        <f t="shared" si="12"/>
        <v>46.075000000000003</v>
      </c>
      <c r="Q9" s="15" t="str">
        <f t="shared" si="13"/>
        <v>2018 3rd Domestic Trial</v>
      </c>
      <c r="R9" s="15" t="str">
        <f t="shared" si="14"/>
        <v/>
      </c>
      <c r="S9" s="27" t="str">
        <f t="shared" si="15"/>
        <v/>
      </c>
      <c r="T9" s="15" t="str">
        <f t="shared" si="16"/>
        <v/>
      </c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83"/>
      <c r="AK9" s="12" t="str">
        <f t="shared" si="17"/>
        <v/>
      </c>
      <c r="AL9" s="12" t="str">
        <f t="shared" si="18"/>
        <v/>
      </c>
      <c r="AM9" s="12" t="str">
        <f t="shared" si="19"/>
        <v/>
      </c>
      <c r="AN9" s="12" t="str">
        <f t="shared" si="20"/>
        <v/>
      </c>
      <c r="AO9" s="12" t="str">
        <f t="shared" si="21"/>
        <v/>
      </c>
      <c r="AP9" s="12" t="str">
        <f t="shared" si="22"/>
        <v/>
      </c>
      <c r="AQ9" s="40">
        <v>8.5</v>
      </c>
      <c r="AR9" s="40">
        <v>9.1999999999999993</v>
      </c>
      <c r="AS9" s="40">
        <v>4.0999999999999996</v>
      </c>
      <c r="AT9" s="40">
        <v>17.100000000000001</v>
      </c>
      <c r="AU9" s="40">
        <v>0</v>
      </c>
      <c r="AV9" s="40">
        <v>7.3</v>
      </c>
      <c r="AW9" s="40">
        <v>8.4</v>
      </c>
      <c r="AX9" s="40">
        <v>8.6</v>
      </c>
      <c r="AY9" s="40">
        <v>17.3</v>
      </c>
      <c r="AZ9" s="40">
        <v>0</v>
      </c>
      <c r="BA9" s="40">
        <v>8.0250000000000004</v>
      </c>
      <c r="BB9" s="40">
        <v>9.0500000000000007</v>
      </c>
      <c r="BC9" s="40">
        <v>10.199999999999999</v>
      </c>
      <c r="BD9" s="40">
        <v>18.8</v>
      </c>
      <c r="BE9" s="40">
        <v>0</v>
      </c>
      <c r="BF9" s="84"/>
      <c r="BG9" s="15">
        <f t="shared" si="23"/>
        <v>8.6</v>
      </c>
      <c r="BH9" s="15">
        <f t="shared" si="24"/>
        <v>38.9</v>
      </c>
      <c r="BI9" s="15">
        <f t="shared" si="25"/>
        <v>41.599999999999994</v>
      </c>
      <c r="BJ9" s="15">
        <f t="shared" si="26"/>
        <v>80.5</v>
      </c>
      <c r="BK9" s="15">
        <f t="shared" si="27"/>
        <v>46.075000000000003</v>
      </c>
      <c r="BL9" s="15">
        <f t="shared" si="28"/>
        <v>126.575</v>
      </c>
      <c r="BM9" s="26" t="str">
        <f t="shared" si="29"/>
        <v/>
      </c>
      <c r="BN9" s="26" t="str">
        <f t="shared" si="30"/>
        <v/>
      </c>
      <c r="BO9" s="26" t="str">
        <f t="shared" si="31"/>
        <v/>
      </c>
      <c r="BP9" s="26" t="str">
        <f t="shared" si="32"/>
        <v/>
      </c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12" t="str">
        <f t="shared" si="33"/>
        <v/>
      </c>
      <c r="CG9" s="12" t="str">
        <f t="shared" si="34"/>
        <v/>
      </c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15" t="str">
        <f t="shared" si="39"/>
        <v/>
      </c>
      <c r="DB9" s="15" t="str">
        <f t="shared" si="40"/>
        <v/>
      </c>
      <c r="DC9" s="15" t="str">
        <f t="shared" si="41"/>
        <v/>
      </c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12" t="str">
        <f t="shared" si="45"/>
        <v/>
      </c>
      <c r="DW9" s="12" t="str">
        <f t="shared" si="46"/>
        <v/>
      </c>
      <c r="DX9" s="12" t="str">
        <f t="shared" si="47"/>
        <v/>
      </c>
      <c r="DY9" s="12" t="str">
        <f t="shared" si="48"/>
        <v/>
      </c>
      <c r="DZ9" s="12" t="str">
        <f t="shared" si="49"/>
        <v/>
      </c>
      <c r="EA9" s="12" t="str">
        <f t="shared" si="50"/>
        <v/>
      </c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15" t="str">
        <f t="shared" si="51"/>
        <v/>
      </c>
      <c r="ER9" s="15" t="str">
        <f t="shared" si="52"/>
        <v/>
      </c>
      <c r="ES9" s="15" t="str">
        <f t="shared" si="53"/>
        <v/>
      </c>
      <c r="ET9" s="15" t="str">
        <f t="shared" si="54"/>
        <v/>
      </c>
      <c r="EU9" s="15" t="str">
        <f t="shared" si="55"/>
        <v/>
      </c>
      <c r="EV9" s="15" t="str">
        <f t="shared" si="56"/>
        <v/>
      </c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12" t="str">
        <f t="shared" si="57"/>
        <v/>
      </c>
      <c r="FM9" s="12" t="str">
        <f t="shared" si="58"/>
        <v/>
      </c>
      <c r="FN9" s="12" t="str">
        <f t="shared" si="59"/>
        <v/>
      </c>
      <c r="FO9" s="12" t="str">
        <f t="shared" si="60"/>
        <v/>
      </c>
      <c r="FP9" s="12" t="str">
        <f t="shared" si="61"/>
        <v/>
      </c>
      <c r="FQ9" s="12" t="str">
        <f t="shared" si="62"/>
        <v/>
      </c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15" t="str">
        <f t="shared" si="63"/>
        <v/>
      </c>
      <c r="GH9" s="15" t="str">
        <f t="shared" si="64"/>
        <v/>
      </c>
      <c r="GI9" s="15" t="str">
        <f t="shared" si="65"/>
        <v/>
      </c>
      <c r="GJ9" s="15" t="str">
        <f t="shared" si="66"/>
        <v/>
      </c>
      <c r="GK9" s="15" t="str">
        <f t="shared" si="67"/>
        <v/>
      </c>
      <c r="GL9" s="15" t="str">
        <f t="shared" si="68"/>
        <v/>
      </c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12" t="str">
        <f t="shared" si="69"/>
        <v/>
      </c>
      <c r="HC9" s="12" t="str">
        <f t="shared" si="70"/>
        <v/>
      </c>
      <c r="HD9" s="12" t="str">
        <f t="shared" si="71"/>
        <v/>
      </c>
      <c r="HE9" s="12" t="str">
        <f t="shared" si="72"/>
        <v/>
      </c>
      <c r="HF9" s="12" t="str">
        <f t="shared" si="73"/>
        <v/>
      </c>
      <c r="HG9" s="12" t="str">
        <f t="shared" si="74"/>
        <v/>
      </c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15" t="str">
        <f t="shared" si="75"/>
        <v/>
      </c>
      <c r="HX9" s="15" t="str">
        <f t="shared" si="76"/>
        <v/>
      </c>
      <c r="HY9" s="15" t="str">
        <f t="shared" si="77"/>
        <v/>
      </c>
      <c r="HZ9" s="15" t="str">
        <f t="shared" si="78"/>
        <v/>
      </c>
      <c r="IA9" s="15" t="str">
        <f t="shared" si="79"/>
        <v/>
      </c>
      <c r="IB9" s="15" t="str">
        <f t="shared" si="80"/>
        <v/>
      </c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12" t="str">
        <f t="shared" si="81"/>
        <v/>
      </c>
      <c r="IS9" s="12" t="str">
        <f t="shared" si="82"/>
        <v/>
      </c>
      <c r="IT9" s="12" t="str">
        <f t="shared" si="83"/>
        <v/>
      </c>
      <c r="IU9" s="12" t="str">
        <f t="shared" si="84"/>
        <v/>
      </c>
      <c r="IV9" s="12" t="str">
        <f t="shared" si="85"/>
        <v/>
      </c>
      <c r="IW9" s="12" t="str">
        <f t="shared" si="86"/>
        <v/>
      </c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15" t="str">
        <f t="shared" si="87"/>
        <v/>
      </c>
      <c r="JN9" s="15" t="str">
        <f t="shared" si="88"/>
        <v/>
      </c>
      <c r="JO9" s="15" t="str">
        <f t="shared" si="89"/>
        <v/>
      </c>
      <c r="JP9" s="15" t="str">
        <f t="shared" si="90"/>
        <v/>
      </c>
      <c r="JQ9" s="15" t="str">
        <f t="shared" si="91"/>
        <v/>
      </c>
      <c r="JR9" s="15" t="str">
        <f t="shared" si="92"/>
        <v/>
      </c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39"/>
      <c r="KE9" s="39"/>
      <c r="KF9" s="39"/>
      <c r="KG9" s="39"/>
      <c r="KH9" s="12" t="str">
        <f t="shared" si="93"/>
        <v/>
      </c>
      <c r="KI9" s="12" t="str">
        <f t="shared" si="94"/>
        <v/>
      </c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15" t="str">
        <f t="shared" si="99"/>
        <v/>
      </c>
      <c r="LD9" s="15" t="str">
        <f t="shared" si="100"/>
        <v/>
      </c>
      <c r="LE9" s="15" t="str">
        <f t="shared" si="101"/>
        <v/>
      </c>
      <c r="LF9" s="15" t="str">
        <f t="shared" si="102"/>
        <v/>
      </c>
      <c r="LG9" s="15" t="str">
        <f t="shared" si="103"/>
        <v/>
      </c>
      <c r="LH9" s="15" t="str">
        <f t="shared" si="104"/>
        <v/>
      </c>
      <c r="LI9" s="72">
        <f t="shared" si="112"/>
        <v>4.25</v>
      </c>
      <c r="LJ9" s="72">
        <f t="shared" si="113"/>
        <v>4.5999999999999996</v>
      </c>
      <c r="LK9" s="72">
        <f t="shared" si="114"/>
        <v>2.0499999999999998</v>
      </c>
      <c r="LL9" s="72">
        <f t="shared" si="115"/>
        <v>8.5500000000000007</v>
      </c>
      <c r="LM9" s="72">
        <f t="shared" si="116"/>
        <v>0</v>
      </c>
      <c r="LN9" s="72">
        <f t="shared" si="117"/>
        <v>3.65</v>
      </c>
      <c r="LO9" s="72">
        <f t="shared" si="118"/>
        <v>4.2</v>
      </c>
      <c r="LP9" s="72">
        <f t="shared" si="119"/>
        <v>4.3</v>
      </c>
      <c r="LQ9" s="72">
        <f t="shared" si="120"/>
        <v>8.65</v>
      </c>
      <c r="LR9" s="72">
        <f t="shared" si="121"/>
        <v>0</v>
      </c>
      <c r="LS9" s="72">
        <f t="shared" si="122"/>
        <v>4.0125000000000002</v>
      </c>
      <c r="LT9" s="72">
        <f t="shared" si="123"/>
        <v>4.5250000000000004</v>
      </c>
      <c r="LU9" s="72">
        <f t="shared" si="124"/>
        <v>5.0999999999999996</v>
      </c>
      <c r="LV9" s="72">
        <f t="shared" si="125"/>
        <v>9.4</v>
      </c>
      <c r="LW9" s="72">
        <f t="shared" si="126"/>
        <v>0</v>
      </c>
      <c r="LX9" s="83" t="s">
        <v>126</v>
      </c>
      <c r="LY9" s="12">
        <f t="shared" si="127"/>
        <v>4.3</v>
      </c>
      <c r="LZ9" s="12">
        <f t="shared" si="128"/>
        <v>19.45</v>
      </c>
      <c r="MA9" s="12">
        <f t="shared" si="129"/>
        <v>20.799999999999997</v>
      </c>
      <c r="MB9" s="12">
        <f t="shared" si="130"/>
        <v>40.25</v>
      </c>
      <c r="MC9" s="12">
        <f t="shared" si="131"/>
        <v>23.037500000000001</v>
      </c>
      <c r="MD9" s="12">
        <f t="shared" si="132"/>
        <v>63.287500000000001</v>
      </c>
    </row>
    <row r="10" spans="1:342" x14ac:dyDescent="0.2">
      <c r="A10" s="6" t="str">
        <f t="shared" si="0"/>
        <v/>
      </c>
      <c r="B10" s="7" t="s">
        <v>105</v>
      </c>
      <c r="C10" s="8" t="s">
        <v>11</v>
      </c>
      <c r="D10" s="6" t="s">
        <v>140</v>
      </c>
      <c r="E10" s="16">
        <f t="shared" si="1"/>
        <v>112.61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71.58</v>
      </c>
      <c r="K10" s="15" t="str">
        <f t="shared" si="7"/>
        <v>2018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15" t="str">
        <f t="shared" si="11"/>
        <v/>
      </c>
      <c r="P10" s="15">
        <f t="shared" si="12"/>
        <v>41.03</v>
      </c>
      <c r="Q10" s="15" t="str">
        <f t="shared" si="13"/>
        <v>2018 Nationals</v>
      </c>
      <c r="R10" s="15" t="str">
        <f t="shared" si="14"/>
        <v/>
      </c>
      <c r="S10" s="27" t="str">
        <f t="shared" si="15"/>
        <v/>
      </c>
      <c r="T10" s="15" t="str">
        <f t="shared" si="16"/>
        <v/>
      </c>
      <c r="U10" s="39">
        <v>8</v>
      </c>
      <c r="V10" s="39">
        <v>7.25</v>
      </c>
      <c r="W10" s="39">
        <v>2.4</v>
      </c>
      <c r="X10" s="39">
        <v>13.36</v>
      </c>
      <c r="Y10" s="39">
        <v>0</v>
      </c>
      <c r="Z10" s="39">
        <v>8</v>
      </c>
      <c r="AA10" s="39">
        <v>9.25</v>
      </c>
      <c r="AB10" s="39">
        <v>6.9</v>
      </c>
      <c r="AC10" s="39">
        <v>16.420000000000002</v>
      </c>
      <c r="AD10" s="39">
        <v>0</v>
      </c>
      <c r="AE10" s="39">
        <v>7.9</v>
      </c>
      <c r="AF10" s="39">
        <v>9.35</v>
      </c>
      <c r="AG10" s="39">
        <v>7.7</v>
      </c>
      <c r="AH10" s="39">
        <v>16.079999999999998</v>
      </c>
      <c r="AI10" s="39">
        <v>0</v>
      </c>
      <c r="AJ10" s="83"/>
      <c r="AK10" s="12">
        <f t="shared" si="17"/>
        <v>6.9</v>
      </c>
      <c r="AL10" s="12">
        <f t="shared" si="18"/>
        <v>31.009999999999998</v>
      </c>
      <c r="AM10" s="12">
        <f t="shared" si="19"/>
        <v>40.57</v>
      </c>
      <c r="AN10" s="12">
        <f t="shared" si="20"/>
        <v>71.58</v>
      </c>
      <c r="AO10" s="12">
        <f t="shared" si="21"/>
        <v>41.03</v>
      </c>
      <c r="AP10" s="12">
        <f t="shared" si="22"/>
        <v>112.61</v>
      </c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84"/>
      <c r="BG10" s="15" t="str">
        <f t="shared" si="23"/>
        <v/>
      </c>
      <c r="BH10" s="15" t="str">
        <f t="shared" si="24"/>
        <v/>
      </c>
      <c r="BI10" s="15" t="str">
        <f t="shared" si="25"/>
        <v/>
      </c>
      <c r="BJ10" s="15" t="str">
        <f t="shared" si="26"/>
        <v/>
      </c>
      <c r="BK10" s="15" t="str">
        <f t="shared" si="27"/>
        <v/>
      </c>
      <c r="BL10" s="15" t="str">
        <f t="shared" si="28"/>
        <v/>
      </c>
      <c r="BM10" s="26" t="str">
        <f t="shared" si="29"/>
        <v/>
      </c>
      <c r="BN10" s="26" t="str">
        <f t="shared" si="30"/>
        <v/>
      </c>
      <c r="BO10" s="26" t="str">
        <f t="shared" si="31"/>
        <v/>
      </c>
      <c r="BP10" s="26" t="str">
        <f t="shared" si="32"/>
        <v/>
      </c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12" t="str">
        <f t="shared" si="33"/>
        <v/>
      </c>
      <c r="CG10" s="12" t="str">
        <f t="shared" si="34"/>
        <v/>
      </c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15" t="str">
        <f t="shared" si="39"/>
        <v/>
      </c>
      <c r="DB10" s="15" t="str">
        <f t="shared" si="40"/>
        <v/>
      </c>
      <c r="DC10" s="15" t="str">
        <f t="shared" si="41"/>
        <v/>
      </c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12" t="str">
        <f t="shared" si="45"/>
        <v/>
      </c>
      <c r="DW10" s="12" t="str">
        <f t="shared" si="46"/>
        <v/>
      </c>
      <c r="DX10" s="12" t="str">
        <f t="shared" si="47"/>
        <v/>
      </c>
      <c r="DY10" s="12" t="str">
        <f t="shared" si="48"/>
        <v/>
      </c>
      <c r="DZ10" s="12" t="str">
        <f t="shared" si="49"/>
        <v/>
      </c>
      <c r="EA10" s="12" t="str">
        <f t="shared" si="50"/>
        <v/>
      </c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15" t="str">
        <f t="shared" si="51"/>
        <v/>
      </c>
      <c r="ER10" s="15" t="str">
        <f t="shared" si="52"/>
        <v/>
      </c>
      <c r="ES10" s="15" t="str">
        <f t="shared" si="53"/>
        <v/>
      </c>
      <c r="ET10" s="15" t="str">
        <f t="shared" si="54"/>
        <v/>
      </c>
      <c r="EU10" s="15" t="str">
        <f t="shared" si="55"/>
        <v/>
      </c>
      <c r="EV10" s="15" t="str">
        <f t="shared" si="56"/>
        <v/>
      </c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12" t="str">
        <f t="shared" si="57"/>
        <v/>
      </c>
      <c r="FM10" s="12" t="str">
        <f t="shared" si="58"/>
        <v/>
      </c>
      <c r="FN10" s="12" t="str">
        <f t="shared" si="59"/>
        <v/>
      </c>
      <c r="FO10" s="12" t="str">
        <f t="shared" si="60"/>
        <v/>
      </c>
      <c r="FP10" s="12" t="str">
        <f t="shared" si="61"/>
        <v/>
      </c>
      <c r="FQ10" s="12" t="str">
        <f t="shared" si="62"/>
        <v/>
      </c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15" t="str">
        <f t="shared" si="63"/>
        <v/>
      </c>
      <c r="GH10" s="15" t="str">
        <f t="shared" si="64"/>
        <v/>
      </c>
      <c r="GI10" s="15" t="str">
        <f t="shared" si="65"/>
        <v/>
      </c>
      <c r="GJ10" s="15" t="str">
        <f t="shared" si="66"/>
        <v/>
      </c>
      <c r="GK10" s="15" t="str">
        <f t="shared" si="67"/>
        <v/>
      </c>
      <c r="GL10" s="15" t="str">
        <f t="shared" si="68"/>
        <v/>
      </c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12" t="str">
        <f t="shared" si="69"/>
        <v/>
      </c>
      <c r="HC10" s="12" t="str">
        <f t="shared" si="70"/>
        <v/>
      </c>
      <c r="HD10" s="12" t="str">
        <f t="shared" si="71"/>
        <v/>
      </c>
      <c r="HE10" s="12" t="str">
        <f t="shared" si="72"/>
        <v/>
      </c>
      <c r="HF10" s="12" t="str">
        <f t="shared" si="73"/>
        <v/>
      </c>
      <c r="HG10" s="12" t="str">
        <f t="shared" si="74"/>
        <v/>
      </c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15" t="str">
        <f t="shared" si="75"/>
        <v/>
      </c>
      <c r="HX10" s="15" t="str">
        <f t="shared" si="76"/>
        <v/>
      </c>
      <c r="HY10" s="15" t="str">
        <f t="shared" si="77"/>
        <v/>
      </c>
      <c r="HZ10" s="15" t="str">
        <f t="shared" si="78"/>
        <v/>
      </c>
      <c r="IA10" s="15" t="str">
        <f t="shared" si="79"/>
        <v/>
      </c>
      <c r="IB10" s="15" t="str">
        <f t="shared" si="80"/>
        <v/>
      </c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12" t="str">
        <f t="shared" si="81"/>
        <v/>
      </c>
      <c r="IS10" s="12" t="str">
        <f t="shared" si="82"/>
        <v/>
      </c>
      <c r="IT10" s="12" t="str">
        <f t="shared" si="83"/>
        <v/>
      </c>
      <c r="IU10" s="12" t="str">
        <f t="shared" si="84"/>
        <v/>
      </c>
      <c r="IV10" s="12" t="str">
        <f t="shared" si="85"/>
        <v/>
      </c>
      <c r="IW10" s="12" t="str">
        <f t="shared" si="86"/>
        <v/>
      </c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15" t="str">
        <f t="shared" si="87"/>
        <v/>
      </c>
      <c r="JN10" s="15" t="str">
        <f t="shared" si="88"/>
        <v/>
      </c>
      <c r="JO10" s="15" t="str">
        <f t="shared" si="89"/>
        <v/>
      </c>
      <c r="JP10" s="15" t="str">
        <f t="shared" si="90"/>
        <v/>
      </c>
      <c r="JQ10" s="15" t="str">
        <f t="shared" si="91"/>
        <v/>
      </c>
      <c r="JR10" s="15" t="str">
        <f t="shared" si="92"/>
        <v/>
      </c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12" t="str">
        <f t="shared" si="93"/>
        <v/>
      </c>
      <c r="KI10" s="12" t="str">
        <f t="shared" si="94"/>
        <v/>
      </c>
      <c r="KJ10" s="12" t="str">
        <f t="shared" si="95"/>
        <v/>
      </c>
      <c r="KK10" s="12" t="str">
        <f t="shared" si="96"/>
        <v/>
      </c>
      <c r="KL10" s="12" t="str">
        <f t="shared" si="97"/>
        <v/>
      </c>
      <c r="KM10" s="12" t="str">
        <f t="shared" si="98"/>
        <v/>
      </c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15" t="str">
        <f t="shared" si="99"/>
        <v/>
      </c>
      <c r="LD10" s="15" t="str">
        <f t="shared" si="100"/>
        <v/>
      </c>
      <c r="LE10" s="15" t="str">
        <f t="shared" si="101"/>
        <v/>
      </c>
      <c r="LF10" s="15" t="str">
        <f t="shared" si="102"/>
        <v/>
      </c>
      <c r="LG10" s="15" t="str">
        <f t="shared" si="103"/>
        <v/>
      </c>
      <c r="LH10" s="15" t="str">
        <f t="shared" si="104"/>
        <v/>
      </c>
      <c r="LI10" s="72">
        <f t="shared" si="112"/>
        <v>4</v>
      </c>
      <c r="LJ10" s="72">
        <f t="shared" si="113"/>
        <v>3.625</v>
      </c>
      <c r="LK10" s="72">
        <f t="shared" si="114"/>
        <v>1.2</v>
      </c>
      <c r="LL10" s="72">
        <f t="shared" si="115"/>
        <v>6.68</v>
      </c>
      <c r="LM10" s="72">
        <f t="shared" si="116"/>
        <v>0</v>
      </c>
      <c r="LN10" s="72">
        <f t="shared" si="117"/>
        <v>4</v>
      </c>
      <c r="LO10" s="72">
        <f t="shared" si="118"/>
        <v>4.625</v>
      </c>
      <c r="LP10" s="72">
        <f t="shared" si="119"/>
        <v>3.45</v>
      </c>
      <c r="LQ10" s="72">
        <f t="shared" si="120"/>
        <v>8.2100000000000009</v>
      </c>
      <c r="LR10" s="72">
        <f t="shared" si="121"/>
        <v>0</v>
      </c>
      <c r="LS10" s="72">
        <f t="shared" si="122"/>
        <v>3.95</v>
      </c>
      <c r="LT10" s="72">
        <f t="shared" si="123"/>
        <v>4.6749999999999998</v>
      </c>
      <c r="LU10" s="72">
        <f t="shared" si="124"/>
        <v>3.85</v>
      </c>
      <c r="LV10" s="72">
        <f t="shared" si="125"/>
        <v>8.0399999999999991</v>
      </c>
      <c r="LW10" s="72">
        <f t="shared" si="126"/>
        <v>0</v>
      </c>
      <c r="LX10" s="83" t="s">
        <v>126</v>
      </c>
      <c r="LY10" s="12">
        <f t="shared" si="127"/>
        <v>3.45</v>
      </c>
      <c r="LZ10" s="12">
        <f t="shared" si="128"/>
        <v>15.504999999999999</v>
      </c>
      <c r="MA10" s="12">
        <f t="shared" si="129"/>
        <v>20.285</v>
      </c>
      <c r="MB10" s="12">
        <f t="shared" si="130"/>
        <v>35.79</v>
      </c>
      <c r="MC10" s="12">
        <f t="shared" si="131"/>
        <v>20.515000000000001</v>
      </c>
      <c r="MD10" s="12">
        <f t="shared" si="132"/>
        <v>56.305</v>
      </c>
    </row>
    <row r="11" spans="1:342" x14ac:dyDescent="0.2">
      <c r="A11" s="6" t="str">
        <f t="shared" si="0"/>
        <v/>
      </c>
      <c r="B11" s="7" t="s">
        <v>188</v>
      </c>
      <c r="C11" s="8" t="s">
        <v>182</v>
      </c>
      <c r="D11" s="6">
        <v>2002</v>
      </c>
      <c r="E11" s="16">
        <f t="shared" si="1"/>
        <v>79.5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 t="str">
        <f t="shared" si="6"/>
        <v/>
      </c>
      <c r="K11" s="15" t="str">
        <f t="shared" si="7"/>
        <v/>
      </c>
      <c r="L11" s="15" t="str">
        <f t="shared" si="8"/>
        <v/>
      </c>
      <c r="M11" s="15" t="str">
        <f t="shared" si="9"/>
        <v/>
      </c>
      <c r="N11" s="15" t="str">
        <f t="shared" si="10"/>
        <v/>
      </c>
      <c r="O11" s="15" t="str">
        <f t="shared" si="11"/>
        <v/>
      </c>
      <c r="P11" s="15" t="str">
        <f t="shared" si="12"/>
        <v/>
      </c>
      <c r="Q11" s="15" t="str">
        <f t="shared" si="13"/>
        <v/>
      </c>
      <c r="R11" s="15">
        <f t="shared" si="14"/>
        <v>79.5</v>
      </c>
      <c r="S11" s="27" t="str">
        <f t="shared" si="15"/>
        <v>(Prelim)</v>
      </c>
      <c r="T11" s="15" t="str">
        <f t="shared" si="16"/>
        <v>2018 Junior Pan Am Championships (June 23)</v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3"/>
      <c r="AK11" s="12" t="str">
        <f t="shared" si="17"/>
        <v/>
      </c>
      <c r="AL11" s="12" t="str">
        <f t="shared" si="18"/>
        <v/>
      </c>
      <c r="AM11" s="12" t="str">
        <f t="shared" si="19"/>
        <v/>
      </c>
      <c r="AN11" s="12" t="str">
        <f t="shared" si="20"/>
        <v/>
      </c>
      <c r="AO11" s="12" t="str">
        <f t="shared" si="21"/>
        <v/>
      </c>
      <c r="AP11" s="12" t="str">
        <f t="shared" si="22"/>
        <v/>
      </c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84"/>
      <c r="BG11" s="15" t="str">
        <f t="shared" si="23"/>
        <v/>
      </c>
      <c r="BH11" s="15" t="str">
        <f t="shared" si="24"/>
        <v/>
      </c>
      <c r="BI11" s="15" t="str">
        <f t="shared" si="25"/>
        <v/>
      </c>
      <c r="BJ11" s="15" t="str">
        <f t="shared" si="26"/>
        <v/>
      </c>
      <c r="BK11" s="15" t="str">
        <f t="shared" si="27"/>
        <v/>
      </c>
      <c r="BL11" s="15" t="str">
        <f t="shared" si="28"/>
        <v/>
      </c>
      <c r="BM11" s="26">
        <f t="shared" si="29"/>
        <v>35.875</v>
      </c>
      <c r="BN11" s="26">
        <f t="shared" si="30"/>
        <v>43.625</v>
      </c>
      <c r="BO11" s="26">
        <f t="shared" si="31"/>
        <v>79.5</v>
      </c>
      <c r="BP11" s="26">
        <f t="shared" si="32"/>
        <v>42.174999999999997</v>
      </c>
      <c r="BQ11" s="39">
        <v>8.4749999999999996</v>
      </c>
      <c r="BR11" s="39">
        <v>9.6</v>
      </c>
      <c r="BS11" s="39">
        <v>0</v>
      </c>
      <c r="BT11" s="39">
        <v>17.8</v>
      </c>
      <c r="BU11" s="39">
        <v>0</v>
      </c>
      <c r="BV11" s="39">
        <v>8.1750000000000007</v>
      </c>
      <c r="BW11" s="39">
        <v>9.4499999999999993</v>
      </c>
      <c r="BX11" s="39">
        <v>8.1999999999999993</v>
      </c>
      <c r="BY11" s="39">
        <v>17.8</v>
      </c>
      <c r="BZ11" s="39">
        <v>0</v>
      </c>
      <c r="CA11" s="39">
        <v>8.3249999999999993</v>
      </c>
      <c r="CB11" s="39">
        <v>9.4499999999999993</v>
      </c>
      <c r="CC11" s="39">
        <v>8</v>
      </c>
      <c r="CD11" s="39">
        <v>16.399999999999999</v>
      </c>
      <c r="CE11" s="39"/>
      <c r="CF11" s="12">
        <f t="shared" si="33"/>
        <v>8.1999999999999993</v>
      </c>
      <c r="CG11" s="12">
        <f t="shared" si="34"/>
        <v>35.875</v>
      </c>
      <c r="CH11" s="12">
        <f t="shared" si="35"/>
        <v>43.625</v>
      </c>
      <c r="CI11" s="12">
        <f t="shared" si="36"/>
        <v>79.5</v>
      </c>
      <c r="CJ11" s="12">
        <f t="shared" si="37"/>
        <v>42.174999999999997</v>
      </c>
      <c r="CK11" s="12">
        <f t="shared" si="38"/>
        <v>121.675</v>
      </c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15" t="str">
        <f t="shared" si="39"/>
        <v/>
      </c>
      <c r="DB11" s="15" t="str">
        <f t="shared" si="40"/>
        <v/>
      </c>
      <c r="DC11" s="15" t="str">
        <f t="shared" si="41"/>
        <v/>
      </c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12" t="str">
        <f t="shared" si="45"/>
        <v/>
      </c>
      <c r="DW11" s="12" t="str">
        <f t="shared" si="46"/>
        <v/>
      </c>
      <c r="DX11" s="12" t="str">
        <f t="shared" si="47"/>
        <v/>
      </c>
      <c r="DY11" s="12" t="str">
        <f t="shared" si="48"/>
        <v/>
      </c>
      <c r="DZ11" s="12" t="str">
        <f t="shared" si="49"/>
        <v/>
      </c>
      <c r="EA11" s="12" t="str">
        <f t="shared" si="50"/>
        <v/>
      </c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15" t="str">
        <f t="shared" si="51"/>
        <v/>
      </c>
      <c r="ER11" s="15" t="str">
        <f t="shared" si="52"/>
        <v/>
      </c>
      <c r="ES11" s="15" t="str">
        <f t="shared" si="53"/>
        <v/>
      </c>
      <c r="ET11" s="15" t="str">
        <f t="shared" si="54"/>
        <v/>
      </c>
      <c r="EU11" s="15" t="str">
        <f t="shared" si="55"/>
        <v/>
      </c>
      <c r="EV11" s="15" t="str">
        <f t="shared" si="56"/>
        <v/>
      </c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12" t="str">
        <f t="shared" si="57"/>
        <v/>
      </c>
      <c r="FM11" s="12" t="str">
        <f t="shared" si="58"/>
        <v/>
      </c>
      <c r="FN11" s="12" t="str">
        <f t="shared" si="59"/>
        <v/>
      </c>
      <c r="FO11" s="12" t="str">
        <f t="shared" si="60"/>
        <v/>
      </c>
      <c r="FP11" s="12" t="str">
        <f t="shared" si="61"/>
        <v/>
      </c>
      <c r="FQ11" s="12" t="str">
        <f t="shared" si="62"/>
        <v/>
      </c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15" t="str">
        <f t="shared" si="63"/>
        <v/>
      </c>
      <c r="GH11" s="15" t="str">
        <f t="shared" si="64"/>
        <v/>
      </c>
      <c r="GI11" s="15" t="str">
        <f t="shared" si="65"/>
        <v/>
      </c>
      <c r="GJ11" s="15" t="str">
        <f t="shared" si="66"/>
        <v/>
      </c>
      <c r="GK11" s="15" t="str">
        <f t="shared" si="67"/>
        <v/>
      </c>
      <c r="GL11" s="15" t="str">
        <f t="shared" si="68"/>
        <v/>
      </c>
      <c r="GM11" s="39"/>
      <c r="GN11" s="39"/>
      <c r="GO11" s="39"/>
      <c r="GP11" s="39"/>
      <c r="GQ11" s="39"/>
      <c r="GR11" s="39">
        <v>7.9</v>
      </c>
      <c r="GS11" s="39">
        <v>9.5500000000000007</v>
      </c>
      <c r="GT11" s="39">
        <v>9.1999999999999993</v>
      </c>
      <c r="GU11" s="39">
        <v>16.739999999999998</v>
      </c>
      <c r="GV11" s="39">
        <v>0</v>
      </c>
      <c r="GW11" s="39"/>
      <c r="GX11" s="39"/>
      <c r="GY11" s="39"/>
      <c r="GZ11" s="39"/>
      <c r="HA11" s="39"/>
      <c r="HB11" s="12">
        <f t="shared" si="69"/>
        <v>9.1999999999999993</v>
      </c>
      <c r="HC11" s="12" t="str">
        <f t="shared" si="70"/>
        <v/>
      </c>
      <c r="HD11" s="12">
        <f t="shared" si="71"/>
        <v>43.39</v>
      </c>
      <c r="HE11" s="12">
        <f t="shared" si="72"/>
        <v>43.39</v>
      </c>
      <c r="HF11" s="12" t="str">
        <f t="shared" si="73"/>
        <v/>
      </c>
      <c r="HG11" s="12">
        <f t="shared" si="74"/>
        <v>43.39</v>
      </c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15" t="str">
        <f t="shared" si="75"/>
        <v/>
      </c>
      <c r="HX11" s="15" t="str">
        <f t="shared" si="76"/>
        <v/>
      </c>
      <c r="HY11" s="15" t="str">
        <f t="shared" si="77"/>
        <v/>
      </c>
      <c r="HZ11" s="15" t="str">
        <f t="shared" si="78"/>
        <v/>
      </c>
      <c r="IA11" s="15" t="str">
        <f t="shared" si="79"/>
        <v/>
      </c>
      <c r="IB11" s="15" t="str">
        <f t="shared" si="80"/>
        <v/>
      </c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12" t="str">
        <f t="shared" si="81"/>
        <v/>
      </c>
      <c r="IS11" s="12" t="str">
        <f t="shared" si="82"/>
        <v/>
      </c>
      <c r="IT11" s="12" t="str">
        <f t="shared" si="83"/>
        <v/>
      </c>
      <c r="IU11" s="12" t="str">
        <f t="shared" si="84"/>
        <v/>
      </c>
      <c r="IV11" s="12" t="str">
        <f t="shared" si="85"/>
        <v/>
      </c>
      <c r="IW11" s="12" t="str">
        <f t="shared" si="86"/>
        <v/>
      </c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15" t="str">
        <f t="shared" si="87"/>
        <v/>
      </c>
      <c r="JN11" s="15" t="str">
        <f t="shared" si="88"/>
        <v/>
      </c>
      <c r="JO11" s="15" t="str">
        <f t="shared" si="89"/>
        <v/>
      </c>
      <c r="JP11" s="15" t="str">
        <f t="shared" si="90"/>
        <v/>
      </c>
      <c r="JQ11" s="15" t="str">
        <f t="shared" si="91"/>
        <v/>
      </c>
      <c r="JR11" s="15" t="str">
        <f t="shared" si="92"/>
        <v/>
      </c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12" t="str">
        <f t="shared" si="93"/>
        <v/>
      </c>
      <c r="KI11" s="12" t="str">
        <f t="shared" si="94"/>
        <v/>
      </c>
      <c r="KJ11" s="12" t="str">
        <f t="shared" si="95"/>
        <v/>
      </c>
      <c r="KK11" s="12" t="str">
        <f t="shared" si="96"/>
        <v/>
      </c>
      <c r="KL11" s="12" t="str">
        <f t="shared" si="97"/>
        <v/>
      </c>
      <c r="KM11" s="12" t="str">
        <f t="shared" si="98"/>
        <v/>
      </c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15" t="str">
        <f t="shared" si="99"/>
        <v/>
      </c>
      <c r="LD11" s="15" t="str">
        <f t="shared" si="100"/>
        <v/>
      </c>
      <c r="LE11" s="15" t="str">
        <f t="shared" si="101"/>
        <v/>
      </c>
      <c r="LF11" s="15" t="str">
        <f t="shared" si="102"/>
        <v/>
      </c>
      <c r="LG11" s="15" t="str">
        <f t="shared" si="103"/>
        <v/>
      </c>
      <c r="LH11" s="15" t="str">
        <f t="shared" si="104"/>
        <v/>
      </c>
      <c r="LI11" s="72">
        <f t="shared" si="112"/>
        <v>0</v>
      </c>
      <c r="LJ11" s="72">
        <f t="shared" si="113"/>
        <v>0</v>
      </c>
      <c r="LK11" s="72">
        <f t="shared" si="114"/>
        <v>0</v>
      </c>
      <c r="LL11" s="72">
        <f t="shared" si="115"/>
        <v>0</v>
      </c>
      <c r="LM11" s="72">
        <f t="shared" si="116"/>
        <v>0</v>
      </c>
      <c r="LN11" s="72">
        <f t="shared" si="117"/>
        <v>0</v>
      </c>
      <c r="LO11" s="72">
        <f t="shared" si="118"/>
        <v>0</v>
      </c>
      <c r="LP11" s="72">
        <f t="shared" si="119"/>
        <v>0</v>
      </c>
      <c r="LQ11" s="72">
        <f t="shared" si="120"/>
        <v>0</v>
      </c>
      <c r="LR11" s="72">
        <f t="shared" si="121"/>
        <v>0</v>
      </c>
      <c r="LS11" s="72">
        <f t="shared" si="122"/>
        <v>0</v>
      </c>
      <c r="LT11" s="72">
        <f t="shared" si="123"/>
        <v>0</v>
      </c>
      <c r="LU11" s="72">
        <f t="shared" si="124"/>
        <v>0</v>
      </c>
      <c r="LV11" s="72">
        <f t="shared" si="125"/>
        <v>0</v>
      </c>
      <c r="LW11" s="72">
        <f t="shared" si="126"/>
        <v>0</v>
      </c>
      <c r="LX11" s="83" t="s">
        <v>126</v>
      </c>
      <c r="LY11" s="12" t="str">
        <f t="shared" si="127"/>
        <v/>
      </c>
      <c r="LZ11" s="12" t="str">
        <f t="shared" si="128"/>
        <v/>
      </c>
      <c r="MA11" s="12" t="str">
        <f t="shared" si="129"/>
        <v/>
      </c>
      <c r="MB11" s="12" t="str">
        <f t="shared" si="130"/>
        <v/>
      </c>
      <c r="MC11" s="12" t="str">
        <f t="shared" si="131"/>
        <v/>
      </c>
      <c r="MD11" s="12" t="str">
        <f t="shared" si="132"/>
        <v/>
      </c>
    </row>
    <row r="12" spans="1:342" x14ac:dyDescent="0.2">
      <c r="A12" s="6" t="str">
        <f t="shared" si="0"/>
        <v/>
      </c>
      <c r="B12" s="7" t="s">
        <v>124</v>
      </c>
      <c r="C12" s="8" t="s">
        <v>123</v>
      </c>
      <c r="D12" s="6">
        <v>2002</v>
      </c>
      <c r="E12" s="16">
        <f t="shared" si="1"/>
        <v>70.974999999999994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 t="str">
        <f t="shared" si="6"/>
        <v/>
      </c>
      <c r="K12" s="15" t="str">
        <f t="shared" si="7"/>
        <v/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 t="str">
        <f t="shared" si="12"/>
        <v/>
      </c>
      <c r="Q12" s="15" t="str">
        <f t="shared" si="13"/>
        <v/>
      </c>
      <c r="R12" s="15">
        <f t="shared" si="14"/>
        <v>70.974999999999994</v>
      </c>
      <c r="S12" s="27" t="str">
        <f t="shared" si="15"/>
        <v>(Prelim)</v>
      </c>
      <c r="T12" s="15" t="str">
        <f t="shared" si="16"/>
        <v>2018 Junior Pan Am Championships (June 23)</v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3"/>
      <c r="AK12" s="12" t="str">
        <f t="shared" si="17"/>
        <v/>
      </c>
      <c r="AL12" s="12" t="str">
        <f t="shared" si="18"/>
        <v/>
      </c>
      <c r="AM12" s="12" t="str">
        <f t="shared" si="19"/>
        <v/>
      </c>
      <c r="AN12" s="12" t="str">
        <f t="shared" si="20"/>
        <v/>
      </c>
      <c r="AO12" s="12" t="str">
        <f t="shared" si="21"/>
        <v/>
      </c>
      <c r="AP12" s="12" t="str">
        <f t="shared" si="22"/>
        <v/>
      </c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84"/>
      <c r="BG12" s="15" t="str">
        <f t="shared" si="23"/>
        <v/>
      </c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26">
        <f t="shared" si="29"/>
        <v>31.024999999999999</v>
      </c>
      <c r="BN12" s="26">
        <f t="shared" si="30"/>
        <v>39.950000000000003</v>
      </c>
      <c r="BO12" s="26">
        <f t="shared" si="31"/>
        <v>70.974999999999994</v>
      </c>
      <c r="BP12" s="26" t="str">
        <f t="shared" si="32"/>
        <v/>
      </c>
      <c r="BQ12" s="39">
        <v>8.5250000000000004</v>
      </c>
      <c r="BR12" s="39">
        <v>9.5</v>
      </c>
      <c r="BS12" s="39">
        <v>0</v>
      </c>
      <c r="BT12" s="39">
        <v>17</v>
      </c>
      <c r="BU12" s="39">
        <v>4</v>
      </c>
      <c r="BV12" s="39">
        <v>8.5500000000000007</v>
      </c>
      <c r="BW12" s="39">
        <v>9.6</v>
      </c>
      <c r="BX12" s="39">
        <v>4.5999999999999996</v>
      </c>
      <c r="BY12" s="39">
        <v>17.2</v>
      </c>
      <c r="BZ12" s="39"/>
      <c r="CA12" s="39"/>
      <c r="CB12" s="39"/>
      <c r="CC12" s="39"/>
      <c r="CD12" s="39"/>
      <c r="CE12" s="39"/>
      <c r="CF12" s="12">
        <f t="shared" si="33"/>
        <v>4.5999999999999996</v>
      </c>
      <c r="CG12" s="12">
        <f t="shared" si="34"/>
        <v>31.024999999999999</v>
      </c>
      <c r="CH12" s="12">
        <f t="shared" si="35"/>
        <v>39.950000000000003</v>
      </c>
      <c r="CI12" s="12">
        <f t="shared" si="36"/>
        <v>70.974999999999994</v>
      </c>
      <c r="CJ12" s="12" t="str">
        <f t="shared" si="37"/>
        <v/>
      </c>
      <c r="CK12" s="12">
        <f t="shared" si="38"/>
        <v>70.974999999999994</v>
      </c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15" t="str">
        <f t="shared" si="39"/>
        <v/>
      </c>
      <c r="DB12" s="15" t="str">
        <f t="shared" si="40"/>
        <v/>
      </c>
      <c r="DC12" s="15" t="str">
        <f t="shared" si="41"/>
        <v/>
      </c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12" t="str">
        <f t="shared" si="45"/>
        <v/>
      </c>
      <c r="DW12" s="12" t="str">
        <f t="shared" si="46"/>
        <v/>
      </c>
      <c r="DX12" s="12" t="str">
        <f t="shared" si="47"/>
        <v/>
      </c>
      <c r="DY12" s="12" t="str">
        <f t="shared" si="48"/>
        <v/>
      </c>
      <c r="DZ12" s="12" t="str">
        <f t="shared" si="49"/>
        <v/>
      </c>
      <c r="EA12" s="12" t="str">
        <f t="shared" si="50"/>
        <v/>
      </c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15" t="str">
        <f t="shared" si="51"/>
        <v/>
      </c>
      <c r="ER12" s="15" t="str">
        <f t="shared" si="52"/>
        <v/>
      </c>
      <c r="ES12" s="15" t="str">
        <f t="shared" si="53"/>
        <v/>
      </c>
      <c r="ET12" s="15" t="str">
        <f t="shared" si="54"/>
        <v/>
      </c>
      <c r="EU12" s="15" t="str">
        <f t="shared" si="55"/>
        <v/>
      </c>
      <c r="EV12" s="15" t="str">
        <f t="shared" si="56"/>
        <v/>
      </c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12" t="str">
        <f t="shared" si="57"/>
        <v/>
      </c>
      <c r="FM12" s="12" t="str">
        <f t="shared" si="58"/>
        <v/>
      </c>
      <c r="FN12" s="12" t="str">
        <f t="shared" si="59"/>
        <v/>
      </c>
      <c r="FO12" s="12" t="str">
        <f t="shared" si="60"/>
        <v/>
      </c>
      <c r="FP12" s="12" t="str">
        <f t="shared" si="61"/>
        <v/>
      </c>
      <c r="FQ12" s="12" t="str">
        <f t="shared" si="62"/>
        <v/>
      </c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15" t="str">
        <f t="shared" si="63"/>
        <v/>
      </c>
      <c r="GH12" s="15" t="str">
        <f t="shared" si="64"/>
        <v/>
      </c>
      <c r="GI12" s="15" t="str">
        <f t="shared" si="65"/>
        <v/>
      </c>
      <c r="GJ12" s="15" t="str">
        <f t="shared" si="66"/>
        <v/>
      </c>
      <c r="GK12" s="15" t="str">
        <f t="shared" si="67"/>
        <v/>
      </c>
      <c r="GL12" s="15" t="str">
        <f t="shared" si="68"/>
        <v/>
      </c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12" t="str">
        <f t="shared" si="69"/>
        <v/>
      </c>
      <c r="HC12" s="12" t="str">
        <f t="shared" si="70"/>
        <v/>
      </c>
      <c r="HD12" s="12" t="str">
        <f t="shared" si="71"/>
        <v/>
      </c>
      <c r="HE12" s="12" t="str">
        <f t="shared" si="72"/>
        <v/>
      </c>
      <c r="HF12" s="12" t="str">
        <f t="shared" si="73"/>
        <v/>
      </c>
      <c r="HG12" s="12" t="str">
        <f t="shared" si="74"/>
        <v/>
      </c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15" t="str">
        <f t="shared" si="75"/>
        <v/>
      </c>
      <c r="HX12" s="15" t="str">
        <f t="shared" si="76"/>
        <v/>
      </c>
      <c r="HY12" s="15" t="str">
        <f t="shared" si="77"/>
        <v/>
      </c>
      <c r="HZ12" s="15" t="str">
        <f t="shared" si="78"/>
        <v/>
      </c>
      <c r="IA12" s="15" t="str">
        <f t="shared" si="79"/>
        <v/>
      </c>
      <c r="IB12" s="15" t="str">
        <f t="shared" si="80"/>
        <v/>
      </c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12" t="str">
        <f t="shared" si="81"/>
        <v/>
      </c>
      <c r="IS12" s="12" t="str">
        <f t="shared" si="82"/>
        <v/>
      </c>
      <c r="IT12" s="12" t="str">
        <f t="shared" si="83"/>
        <v/>
      </c>
      <c r="IU12" s="12" t="str">
        <f t="shared" si="84"/>
        <v/>
      </c>
      <c r="IV12" s="12" t="str">
        <f t="shared" si="85"/>
        <v/>
      </c>
      <c r="IW12" s="12" t="str">
        <f t="shared" si="86"/>
        <v/>
      </c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15" t="str">
        <f t="shared" si="87"/>
        <v/>
      </c>
      <c r="JN12" s="15" t="str">
        <f t="shared" si="88"/>
        <v/>
      </c>
      <c r="JO12" s="15" t="str">
        <f t="shared" si="89"/>
        <v/>
      </c>
      <c r="JP12" s="15" t="str">
        <f t="shared" si="90"/>
        <v/>
      </c>
      <c r="JQ12" s="15" t="str">
        <f t="shared" si="91"/>
        <v/>
      </c>
      <c r="JR12" s="15" t="str">
        <f t="shared" si="92"/>
        <v/>
      </c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39"/>
      <c r="KE12" s="39"/>
      <c r="KF12" s="39"/>
      <c r="KG12" s="39"/>
      <c r="KH12" s="12" t="str">
        <f t="shared" si="93"/>
        <v/>
      </c>
      <c r="KI12" s="12" t="str">
        <f t="shared" si="94"/>
        <v/>
      </c>
      <c r="KJ12" s="12" t="str">
        <f t="shared" si="95"/>
        <v/>
      </c>
      <c r="KK12" s="12" t="str">
        <f t="shared" si="96"/>
        <v/>
      </c>
      <c r="KL12" s="12" t="str">
        <f t="shared" si="97"/>
        <v/>
      </c>
      <c r="KM12" s="12" t="str">
        <f t="shared" si="98"/>
        <v/>
      </c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15" t="str">
        <f t="shared" si="99"/>
        <v/>
      </c>
      <c r="LD12" s="15" t="str">
        <f t="shared" si="100"/>
        <v/>
      </c>
      <c r="LE12" s="15" t="str">
        <f t="shared" si="101"/>
        <v/>
      </c>
      <c r="LF12" s="15" t="str">
        <f t="shared" si="102"/>
        <v/>
      </c>
      <c r="LG12" s="15" t="str">
        <f t="shared" si="103"/>
        <v/>
      </c>
      <c r="LH12" s="15" t="str">
        <f t="shared" si="104"/>
        <v/>
      </c>
      <c r="LI12" s="72">
        <f t="shared" si="112"/>
        <v>0</v>
      </c>
      <c r="LJ12" s="72">
        <f t="shared" si="113"/>
        <v>0</v>
      </c>
      <c r="LK12" s="72">
        <f t="shared" si="114"/>
        <v>0</v>
      </c>
      <c r="LL12" s="72">
        <f t="shared" si="115"/>
        <v>0</v>
      </c>
      <c r="LM12" s="72">
        <f t="shared" si="116"/>
        <v>0</v>
      </c>
      <c r="LN12" s="72">
        <f t="shared" si="117"/>
        <v>0</v>
      </c>
      <c r="LO12" s="72">
        <f t="shared" si="118"/>
        <v>0</v>
      </c>
      <c r="LP12" s="72">
        <f t="shared" si="119"/>
        <v>0</v>
      </c>
      <c r="LQ12" s="72">
        <f t="shared" si="120"/>
        <v>0</v>
      </c>
      <c r="LR12" s="72">
        <f t="shared" si="121"/>
        <v>0</v>
      </c>
      <c r="LS12" s="72">
        <f t="shared" si="122"/>
        <v>0</v>
      </c>
      <c r="LT12" s="72">
        <f t="shared" si="123"/>
        <v>0</v>
      </c>
      <c r="LU12" s="72">
        <f t="shared" si="124"/>
        <v>0</v>
      </c>
      <c r="LV12" s="72">
        <f t="shared" si="125"/>
        <v>0</v>
      </c>
      <c r="LW12" s="72">
        <f t="shared" si="126"/>
        <v>0</v>
      </c>
      <c r="LX12" s="83" t="s">
        <v>126</v>
      </c>
      <c r="LY12" s="12" t="str">
        <f t="shared" si="127"/>
        <v/>
      </c>
      <c r="LZ12" s="12" t="str">
        <f t="shared" si="128"/>
        <v/>
      </c>
      <c r="MA12" s="12" t="str">
        <f t="shared" si="129"/>
        <v/>
      </c>
      <c r="MB12" s="12" t="str">
        <f t="shared" si="130"/>
        <v/>
      </c>
      <c r="MC12" s="12" t="str">
        <f t="shared" si="131"/>
        <v/>
      </c>
      <c r="MD12" s="12" t="str">
        <f t="shared" si="132"/>
        <v/>
      </c>
    </row>
    <row r="13" spans="1:342" x14ac:dyDescent="0.2">
      <c r="A13" s="6" t="str">
        <f t="shared" si="0"/>
        <v/>
      </c>
      <c r="B13" s="7" t="s">
        <v>166</v>
      </c>
      <c r="C13" s="8" t="s">
        <v>3</v>
      </c>
      <c r="D13" s="6" t="s">
        <v>167</v>
      </c>
      <c r="E13" s="16">
        <f t="shared" si="1"/>
        <v>60.52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 t="str">
        <f t="shared" si="6"/>
        <v/>
      </c>
      <c r="K13" s="15" t="str">
        <f t="shared" si="7"/>
        <v/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 t="str">
        <f t="shared" si="12"/>
        <v/>
      </c>
      <c r="Q13" s="15" t="str">
        <f t="shared" si="13"/>
        <v/>
      </c>
      <c r="R13" s="15">
        <f t="shared" si="14"/>
        <v>60.52</v>
      </c>
      <c r="S13" s="27" t="str">
        <f t="shared" si="15"/>
        <v>(Prelim)</v>
      </c>
      <c r="T13" s="15" t="str">
        <f t="shared" si="16"/>
        <v>2018 Senior Pan American Championships (Sept 9)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3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84"/>
      <c r="BG13" s="15" t="str">
        <f t="shared" si="23"/>
        <v/>
      </c>
      <c r="BH13" s="15" t="str">
        <f t="shared" si="24"/>
        <v/>
      </c>
      <c r="BI13" s="15" t="str">
        <f t="shared" si="25"/>
        <v/>
      </c>
      <c r="BJ13" s="15" t="str">
        <f t="shared" si="26"/>
        <v/>
      </c>
      <c r="BK13" s="15" t="str">
        <f t="shared" si="27"/>
        <v/>
      </c>
      <c r="BL13" s="15" t="str">
        <f t="shared" si="28"/>
        <v/>
      </c>
      <c r="BM13" s="26">
        <f t="shared" si="29"/>
        <v>15.29</v>
      </c>
      <c r="BN13" s="26">
        <f t="shared" si="30"/>
        <v>45.230000000000004</v>
      </c>
      <c r="BO13" s="26">
        <f t="shared" si="31"/>
        <v>60.52</v>
      </c>
      <c r="BP13" s="26" t="str">
        <f t="shared" si="32"/>
        <v/>
      </c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12" t="str">
        <f t="shared" si="33"/>
        <v/>
      </c>
      <c r="CG13" s="12" t="str">
        <f t="shared" si="34"/>
        <v/>
      </c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15" t="str">
        <f t="shared" si="39"/>
        <v/>
      </c>
      <c r="DB13" s="15" t="str">
        <f t="shared" si="40"/>
        <v/>
      </c>
      <c r="DC13" s="15" t="str">
        <f t="shared" si="41"/>
        <v/>
      </c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39">
        <v>3.6</v>
      </c>
      <c r="DH13" s="39">
        <v>3.85</v>
      </c>
      <c r="DI13" s="39">
        <v>0.7</v>
      </c>
      <c r="DJ13" s="39">
        <v>7.14</v>
      </c>
      <c r="DK13" s="39">
        <v>0</v>
      </c>
      <c r="DL13" s="39">
        <v>7.65</v>
      </c>
      <c r="DM13" s="39">
        <v>9.4</v>
      </c>
      <c r="DN13" s="39">
        <v>10.9</v>
      </c>
      <c r="DO13" s="39">
        <v>17.28</v>
      </c>
      <c r="DP13" s="39">
        <v>0</v>
      </c>
      <c r="DQ13" s="39"/>
      <c r="DR13" s="39"/>
      <c r="DS13" s="39"/>
      <c r="DT13" s="39"/>
      <c r="DU13" s="39"/>
      <c r="DV13" s="12">
        <f t="shared" si="45"/>
        <v>10.9</v>
      </c>
      <c r="DW13" s="12">
        <f t="shared" si="46"/>
        <v>15.29</v>
      </c>
      <c r="DX13" s="12">
        <f t="shared" si="47"/>
        <v>45.230000000000004</v>
      </c>
      <c r="DY13" s="12">
        <f t="shared" si="48"/>
        <v>60.52</v>
      </c>
      <c r="DZ13" s="12" t="str">
        <f t="shared" si="49"/>
        <v/>
      </c>
      <c r="EA13" s="12">
        <f t="shared" si="50"/>
        <v>60.52</v>
      </c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15" t="str">
        <f t="shared" si="51"/>
        <v/>
      </c>
      <c r="ER13" s="15" t="str">
        <f t="shared" si="52"/>
        <v/>
      </c>
      <c r="ES13" s="15" t="str">
        <f t="shared" si="53"/>
        <v/>
      </c>
      <c r="ET13" s="15" t="str">
        <f t="shared" si="54"/>
        <v/>
      </c>
      <c r="EU13" s="15" t="str">
        <f t="shared" si="55"/>
        <v/>
      </c>
      <c r="EV13" s="15" t="str">
        <f t="shared" si="56"/>
        <v/>
      </c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12" t="str">
        <f t="shared" si="57"/>
        <v/>
      </c>
      <c r="FM13" s="12" t="str">
        <f t="shared" si="58"/>
        <v/>
      </c>
      <c r="FN13" s="12" t="str">
        <f t="shared" si="59"/>
        <v/>
      </c>
      <c r="FO13" s="12" t="str">
        <f t="shared" si="60"/>
        <v/>
      </c>
      <c r="FP13" s="12" t="str">
        <f t="shared" si="61"/>
        <v/>
      </c>
      <c r="FQ13" s="12" t="str">
        <f t="shared" si="62"/>
        <v/>
      </c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15" t="str">
        <f t="shared" si="63"/>
        <v/>
      </c>
      <c r="GH13" s="15" t="str">
        <f t="shared" si="64"/>
        <v/>
      </c>
      <c r="GI13" s="15" t="str">
        <f t="shared" si="65"/>
        <v/>
      </c>
      <c r="GJ13" s="15" t="str">
        <f t="shared" si="66"/>
        <v/>
      </c>
      <c r="GK13" s="15" t="str">
        <f t="shared" si="67"/>
        <v/>
      </c>
      <c r="GL13" s="15" t="str">
        <f t="shared" si="68"/>
        <v/>
      </c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12" t="str">
        <f t="shared" si="69"/>
        <v/>
      </c>
      <c r="HC13" s="12" t="str">
        <f t="shared" si="70"/>
        <v/>
      </c>
      <c r="HD13" s="12" t="str">
        <f t="shared" si="71"/>
        <v/>
      </c>
      <c r="HE13" s="12" t="str">
        <f t="shared" si="72"/>
        <v/>
      </c>
      <c r="HF13" s="12" t="str">
        <f t="shared" si="73"/>
        <v/>
      </c>
      <c r="HG13" s="12" t="str">
        <f t="shared" si="74"/>
        <v/>
      </c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15" t="str">
        <f t="shared" si="75"/>
        <v/>
      </c>
      <c r="HX13" s="15" t="str">
        <f t="shared" si="76"/>
        <v/>
      </c>
      <c r="HY13" s="15" t="str">
        <f t="shared" si="77"/>
        <v/>
      </c>
      <c r="HZ13" s="15" t="str">
        <f t="shared" si="78"/>
        <v/>
      </c>
      <c r="IA13" s="15" t="str">
        <f t="shared" si="79"/>
        <v/>
      </c>
      <c r="IB13" s="15" t="str">
        <f t="shared" si="80"/>
        <v/>
      </c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12" t="str">
        <f t="shared" si="81"/>
        <v/>
      </c>
      <c r="IS13" s="12" t="str">
        <f t="shared" si="82"/>
        <v/>
      </c>
      <c r="IT13" s="12" t="str">
        <f t="shared" si="83"/>
        <v/>
      </c>
      <c r="IU13" s="12" t="str">
        <f t="shared" si="84"/>
        <v/>
      </c>
      <c r="IV13" s="12" t="str">
        <f t="shared" si="85"/>
        <v/>
      </c>
      <c r="IW13" s="12" t="str">
        <f t="shared" si="86"/>
        <v/>
      </c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15" t="str">
        <f t="shared" si="87"/>
        <v/>
      </c>
      <c r="JN13" s="15" t="str">
        <f t="shared" si="88"/>
        <v/>
      </c>
      <c r="JO13" s="15" t="str">
        <f t="shared" si="89"/>
        <v/>
      </c>
      <c r="JP13" s="15" t="str">
        <f t="shared" si="90"/>
        <v/>
      </c>
      <c r="JQ13" s="15" t="str">
        <f t="shared" si="91"/>
        <v/>
      </c>
      <c r="JR13" s="15" t="str">
        <f t="shared" si="92"/>
        <v/>
      </c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39"/>
      <c r="KE13" s="39"/>
      <c r="KF13" s="39"/>
      <c r="KG13" s="39"/>
      <c r="KH13" s="12" t="str">
        <f t="shared" si="93"/>
        <v/>
      </c>
      <c r="KI13" s="12" t="str">
        <f t="shared" si="94"/>
        <v/>
      </c>
      <c r="KJ13" s="12" t="str">
        <f t="shared" si="95"/>
        <v/>
      </c>
      <c r="KK13" s="12" t="str">
        <f t="shared" si="96"/>
        <v/>
      </c>
      <c r="KL13" s="12" t="str">
        <f t="shared" si="97"/>
        <v/>
      </c>
      <c r="KM13" s="12" t="str">
        <f t="shared" si="98"/>
        <v/>
      </c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15" t="str">
        <f t="shared" si="99"/>
        <v/>
      </c>
      <c r="LD13" s="15" t="str">
        <f t="shared" si="100"/>
        <v/>
      </c>
      <c r="LE13" s="15" t="str">
        <f t="shared" si="101"/>
        <v/>
      </c>
      <c r="LF13" s="15" t="str">
        <f t="shared" si="102"/>
        <v/>
      </c>
      <c r="LG13" s="15" t="str">
        <f t="shared" si="103"/>
        <v/>
      </c>
      <c r="LH13" s="15" t="str">
        <f t="shared" si="104"/>
        <v/>
      </c>
      <c r="LI13" s="72">
        <f t="shared" si="112"/>
        <v>0</v>
      </c>
      <c r="LJ13" s="72">
        <f t="shared" si="113"/>
        <v>0</v>
      </c>
      <c r="LK13" s="72">
        <f t="shared" si="114"/>
        <v>0</v>
      </c>
      <c r="LL13" s="72">
        <f t="shared" si="115"/>
        <v>0</v>
      </c>
      <c r="LM13" s="72">
        <f t="shared" si="116"/>
        <v>0</v>
      </c>
      <c r="LN13" s="72">
        <f t="shared" si="117"/>
        <v>0</v>
      </c>
      <c r="LO13" s="72">
        <f t="shared" si="118"/>
        <v>0</v>
      </c>
      <c r="LP13" s="72">
        <f t="shared" si="119"/>
        <v>0</v>
      </c>
      <c r="LQ13" s="72">
        <f t="shared" si="120"/>
        <v>0</v>
      </c>
      <c r="LR13" s="72">
        <f t="shared" si="121"/>
        <v>0</v>
      </c>
      <c r="LS13" s="72">
        <f t="shared" si="122"/>
        <v>0</v>
      </c>
      <c r="LT13" s="72">
        <f t="shared" si="123"/>
        <v>0</v>
      </c>
      <c r="LU13" s="72">
        <f t="shared" si="124"/>
        <v>0</v>
      </c>
      <c r="LV13" s="72">
        <f t="shared" si="125"/>
        <v>0</v>
      </c>
      <c r="LW13" s="72">
        <f t="shared" si="126"/>
        <v>0</v>
      </c>
      <c r="LX13" s="83" t="s">
        <v>126</v>
      </c>
      <c r="LY13" s="12" t="str">
        <f t="shared" si="127"/>
        <v/>
      </c>
      <c r="LZ13" s="12" t="str">
        <f t="shared" si="128"/>
        <v/>
      </c>
      <c r="MA13" s="12" t="str">
        <f t="shared" si="129"/>
        <v/>
      </c>
      <c r="MB13" s="12" t="str">
        <f t="shared" si="130"/>
        <v/>
      </c>
      <c r="MC13" s="12" t="str">
        <f t="shared" si="131"/>
        <v/>
      </c>
      <c r="MD13" s="12" t="str">
        <f t="shared" si="132"/>
        <v/>
      </c>
    </row>
    <row r="14" spans="1:342" x14ac:dyDescent="0.2">
      <c r="A14" s="6" t="str">
        <f t="shared" si="0"/>
        <v/>
      </c>
      <c r="B14" s="7" t="s">
        <v>160</v>
      </c>
      <c r="C14" s="8" t="s">
        <v>123</v>
      </c>
      <c r="D14" s="6" t="s">
        <v>159</v>
      </c>
      <c r="E14" s="16">
        <f t="shared" si="1"/>
        <v>56.849999999999994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56.849999999999994</v>
      </c>
      <c r="S14" s="27" t="str">
        <f t="shared" si="15"/>
        <v>(Prelim)</v>
      </c>
      <c r="T14" s="15" t="str">
        <f t="shared" si="16"/>
        <v>2018 World Cup POR (Oct 6)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3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84"/>
      <c r="BG14" s="15" t="str">
        <f t="shared" si="23"/>
        <v/>
      </c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26">
        <f t="shared" si="29"/>
        <v>34.049999999999997</v>
      </c>
      <c r="BN14" s="26">
        <f t="shared" si="30"/>
        <v>22.8</v>
      </c>
      <c r="BO14" s="26">
        <f t="shared" si="31"/>
        <v>56.849999999999994</v>
      </c>
      <c r="BP14" s="26" t="str">
        <f t="shared" si="32"/>
        <v/>
      </c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12" t="str">
        <f t="shared" si="33"/>
        <v/>
      </c>
      <c r="CG14" s="12" t="str">
        <f t="shared" si="34"/>
        <v/>
      </c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15" t="str">
        <f t="shared" si="39"/>
        <v/>
      </c>
      <c r="DB14" s="15" t="str">
        <f t="shared" si="40"/>
        <v/>
      </c>
      <c r="DC14" s="15" t="str">
        <f t="shared" si="41"/>
        <v/>
      </c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12" t="str">
        <f t="shared" si="45"/>
        <v/>
      </c>
      <c r="DW14" s="12" t="str">
        <f t="shared" si="46"/>
        <v/>
      </c>
      <c r="DX14" s="12" t="str">
        <f t="shared" si="47"/>
        <v/>
      </c>
      <c r="DY14" s="12" t="str">
        <f t="shared" si="48"/>
        <v/>
      </c>
      <c r="DZ14" s="12" t="str">
        <f t="shared" si="49"/>
        <v/>
      </c>
      <c r="EA14" s="12" t="str">
        <f t="shared" si="50"/>
        <v/>
      </c>
      <c r="EB14" s="40">
        <v>7.8</v>
      </c>
      <c r="EC14" s="40">
        <v>9.25</v>
      </c>
      <c r="ED14" s="40">
        <v>3.4</v>
      </c>
      <c r="EE14" s="40">
        <v>13.6</v>
      </c>
      <c r="EF14" s="40">
        <v>0</v>
      </c>
      <c r="EG14" s="40">
        <v>3.65</v>
      </c>
      <c r="EH14" s="40">
        <v>4.45</v>
      </c>
      <c r="EI14" s="40">
        <v>6.7</v>
      </c>
      <c r="EJ14" s="40">
        <v>8</v>
      </c>
      <c r="EK14" s="40">
        <v>0</v>
      </c>
      <c r="EL14" s="40"/>
      <c r="EM14" s="40"/>
      <c r="EN14" s="40"/>
      <c r="EO14" s="40"/>
      <c r="EP14" s="40"/>
      <c r="EQ14" s="15">
        <f t="shared" si="51"/>
        <v>6.7</v>
      </c>
      <c r="ER14" s="15">
        <f t="shared" si="52"/>
        <v>34.049999999999997</v>
      </c>
      <c r="ES14" s="15">
        <f t="shared" si="53"/>
        <v>22.8</v>
      </c>
      <c r="ET14" s="15">
        <f t="shared" si="54"/>
        <v>56.849999999999994</v>
      </c>
      <c r="EU14" s="15" t="str">
        <f t="shared" si="55"/>
        <v/>
      </c>
      <c r="EV14" s="15">
        <f t="shared" si="56"/>
        <v>56.849999999999994</v>
      </c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12" t="str">
        <f t="shared" si="57"/>
        <v/>
      </c>
      <c r="FM14" s="12" t="str">
        <f t="shared" si="58"/>
        <v/>
      </c>
      <c r="FN14" s="12" t="str">
        <f t="shared" si="59"/>
        <v/>
      </c>
      <c r="FO14" s="12" t="str">
        <f t="shared" si="60"/>
        <v/>
      </c>
      <c r="FP14" s="12" t="str">
        <f t="shared" si="61"/>
        <v/>
      </c>
      <c r="FQ14" s="12" t="str">
        <f t="shared" si="62"/>
        <v/>
      </c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15" t="str">
        <f t="shared" si="63"/>
        <v/>
      </c>
      <c r="GH14" s="15" t="str">
        <f t="shared" si="64"/>
        <v/>
      </c>
      <c r="GI14" s="15" t="str">
        <f t="shared" si="65"/>
        <v/>
      </c>
      <c r="GJ14" s="15" t="str">
        <f t="shared" si="66"/>
        <v/>
      </c>
      <c r="GK14" s="15" t="str">
        <f t="shared" si="67"/>
        <v/>
      </c>
      <c r="GL14" s="15" t="str">
        <f t="shared" si="68"/>
        <v/>
      </c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12" t="str">
        <f t="shared" si="69"/>
        <v/>
      </c>
      <c r="HC14" s="12" t="str">
        <f t="shared" si="70"/>
        <v/>
      </c>
      <c r="HD14" s="12" t="str">
        <f t="shared" si="71"/>
        <v/>
      </c>
      <c r="HE14" s="12" t="str">
        <f t="shared" si="72"/>
        <v/>
      </c>
      <c r="HF14" s="12" t="str">
        <f t="shared" si="73"/>
        <v/>
      </c>
      <c r="HG14" s="12" t="str">
        <f t="shared" si="74"/>
        <v/>
      </c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15" t="str">
        <f t="shared" si="75"/>
        <v/>
      </c>
      <c r="HX14" s="15" t="str">
        <f t="shared" si="76"/>
        <v/>
      </c>
      <c r="HY14" s="15" t="str">
        <f t="shared" si="77"/>
        <v/>
      </c>
      <c r="HZ14" s="15" t="str">
        <f t="shared" si="78"/>
        <v/>
      </c>
      <c r="IA14" s="15" t="str">
        <f t="shared" si="79"/>
        <v/>
      </c>
      <c r="IB14" s="15" t="str">
        <f t="shared" si="80"/>
        <v/>
      </c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12" t="str">
        <f t="shared" si="81"/>
        <v/>
      </c>
      <c r="IS14" s="12" t="str">
        <f t="shared" si="82"/>
        <v/>
      </c>
      <c r="IT14" s="12" t="str">
        <f t="shared" si="83"/>
        <v/>
      </c>
      <c r="IU14" s="12" t="str">
        <f t="shared" si="84"/>
        <v/>
      </c>
      <c r="IV14" s="12" t="str">
        <f t="shared" si="85"/>
        <v/>
      </c>
      <c r="IW14" s="12" t="str">
        <f t="shared" si="86"/>
        <v/>
      </c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15" t="str">
        <f t="shared" si="87"/>
        <v/>
      </c>
      <c r="JN14" s="15" t="str">
        <f t="shared" si="88"/>
        <v/>
      </c>
      <c r="JO14" s="15" t="str">
        <f t="shared" si="89"/>
        <v/>
      </c>
      <c r="JP14" s="15" t="str">
        <f t="shared" si="90"/>
        <v/>
      </c>
      <c r="JQ14" s="15" t="str">
        <f t="shared" si="91"/>
        <v/>
      </c>
      <c r="JR14" s="15" t="str">
        <f t="shared" si="92"/>
        <v/>
      </c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39"/>
      <c r="KE14" s="39"/>
      <c r="KF14" s="39"/>
      <c r="KG14" s="39"/>
      <c r="KH14" s="12" t="str">
        <f t="shared" si="93"/>
        <v/>
      </c>
      <c r="KI14" s="12" t="str">
        <f t="shared" si="94"/>
        <v/>
      </c>
      <c r="KJ14" s="12" t="str">
        <f t="shared" si="95"/>
        <v/>
      </c>
      <c r="KK14" s="12" t="str">
        <f t="shared" si="96"/>
        <v/>
      </c>
      <c r="KL14" s="12" t="str">
        <f t="shared" si="97"/>
        <v/>
      </c>
      <c r="KM14" s="12" t="str">
        <f t="shared" si="98"/>
        <v/>
      </c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15" t="str">
        <f t="shared" si="99"/>
        <v/>
      </c>
      <c r="LD14" s="15" t="str">
        <f t="shared" si="100"/>
        <v/>
      </c>
      <c r="LE14" s="15" t="str">
        <f t="shared" si="101"/>
        <v/>
      </c>
      <c r="LF14" s="15" t="str">
        <f t="shared" si="102"/>
        <v/>
      </c>
      <c r="LG14" s="15" t="str">
        <f t="shared" si="103"/>
        <v/>
      </c>
      <c r="LH14" s="15" t="str">
        <f t="shared" si="104"/>
        <v/>
      </c>
      <c r="LI14" s="72">
        <f t="shared" si="112"/>
        <v>0</v>
      </c>
      <c r="LJ14" s="72">
        <f t="shared" si="113"/>
        <v>0</v>
      </c>
      <c r="LK14" s="72">
        <f t="shared" si="114"/>
        <v>0</v>
      </c>
      <c r="LL14" s="72">
        <f t="shared" si="115"/>
        <v>0</v>
      </c>
      <c r="LM14" s="72">
        <f t="shared" si="116"/>
        <v>0</v>
      </c>
      <c r="LN14" s="72">
        <f t="shared" si="117"/>
        <v>0</v>
      </c>
      <c r="LO14" s="72">
        <f t="shared" si="118"/>
        <v>0</v>
      </c>
      <c r="LP14" s="72">
        <f t="shared" si="119"/>
        <v>0</v>
      </c>
      <c r="LQ14" s="72">
        <f t="shared" si="120"/>
        <v>0</v>
      </c>
      <c r="LR14" s="72">
        <f t="shared" si="121"/>
        <v>0</v>
      </c>
      <c r="LS14" s="72">
        <f t="shared" si="122"/>
        <v>0</v>
      </c>
      <c r="LT14" s="72">
        <f t="shared" si="123"/>
        <v>0</v>
      </c>
      <c r="LU14" s="72">
        <f t="shared" si="124"/>
        <v>0</v>
      </c>
      <c r="LV14" s="72">
        <f t="shared" si="125"/>
        <v>0</v>
      </c>
      <c r="LW14" s="72">
        <f t="shared" si="126"/>
        <v>0</v>
      </c>
      <c r="LX14" s="83" t="s">
        <v>126</v>
      </c>
      <c r="LY14" s="12" t="str">
        <f t="shared" si="127"/>
        <v/>
      </c>
      <c r="LZ14" s="12" t="str">
        <f t="shared" si="128"/>
        <v/>
      </c>
      <c r="MA14" s="12" t="str">
        <f t="shared" si="129"/>
        <v/>
      </c>
      <c r="MB14" s="12" t="str">
        <f t="shared" si="130"/>
        <v/>
      </c>
      <c r="MC14" s="12" t="str">
        <f t="shared" si="131"/>
        <v/>
      </c>
      <c r="MD14" s="12" t="str">
        <f t="shared" si="132"/>
        <v/>
      </c>
    </row>
    <row r="15" spans="1:342" x14ac:dyDescent="0.2">
      <c r="A15" s="6" t="str">
        <f t="shared" si="0"/>
        <v/>
      </c>
      <c r="B15" s="7" t="s">
        <v>189</v>
      </c>
      <c r="C15" s="8" t="s">
        <v>175</v>
      </c>
      <c r="D15" s="6" t="s">
        <v>187</v>
      </c>
      <c r="E15" s="16">
        <f t="shared" si="1"/>
        <v>36.869999999999997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 t="str">
        <f t="shared" si="6"/>
        <v/>
      </c>
      <c r="K15" s="15" t="str">
        <f t="shared" si="7"/>
        <v/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15" t="str">
        <f t="shared" si="11"/>
        <v/>
      </c>
      <c r="P15" s="15" t="str">
        <f t="shared" si="12"/>
        <v/>
      </c>
      <c r="Q15" s="15" t="str">
        <f t="shared" si="13"/>
        <v/>
      </c>
      <c r="R15" s="15">
        <f t="shared" si="14"/>
        <v>36.869999999999997</v>
      </c>
      <c r="S15" s="27" t="str">
        <f t="shared" si="15"/>
        <v>(Vol 2)</v>
      </c>
      <c r="T15" s="15" t="str">
        <f t="shared" si="16"/>
        <v>2018 World Age Groups (Nov 18)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3"/>
      <c r="AK15" s="12" t="str">
        <f t="shared" si="17"/>
        <v/>
      </c>
      <c r="AL15" s="12" t="str">
        <f t="shared" si="18"/>
        <v/>
      </c>
      <c r="AM15" s="12" t="str">
        <f t="shared" si="19"/>
        <v/>
      </c>
      <c r="AN15" s="12" t="str">
        <f t="shared" si="20"/>
        <v/>
      </c>
      <c r="AO15" s="12" t="str">
        <f t="shared" si="21"/>
        <v/>
      </c>
      <c r="AP15" s="12" t="str">
        <f t="shared" si="22"/>
        <v/>
      </c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84"/>
      <c r="BG15" s="15" t="str">
        <f t="shared" si="23"/>
        <v/>
      </c>
      <c r="BH15" s="15" t="str">
        <f t="shared" si="24"/>
        <v/>
      </c>
      <c r="BI15" s="15" t="str">
        <f t="shared" si="25"/>
        <v/>
      </c>
      <c r="BJ15" s="15" t="str">
        <f t="shared" si="26"/>
        <v/>
      </c>
      <c r="BK15" s="15" t="str">
        <f t="shared" si="27"/>
        <v/>
      </c>
      <c r="BL15" s="15" t="str">
        <f t="shared" si="28"/>
        <v/>
      </c>
      <c r="BM15" s="26" t="str">
        <f t="shared" si="29"/>
        <v/>
      </c>
      <c r="BN15" s="26">
        <f t="shared" si="30"/>
        <v>36.869999999999997</v>
      </c>
      <c r="BO15" s="26">
        <f t="shared" si="31"/>
        <v>36.869999999999997</v>
      </c>
      <c r="BP15" s="26" t="str">
        <f t="shared" si="32"/>
        <v/>
      </c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12" t="str">
        <f t="shared" si="33"/>
        <v/>
      </c>
      <c r="CG15" s="12" t="str">
        <f t="shared" si="34"/>
        <v/>
      </c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15" t="str">
        <f t="shared" si="39"/>
        <v/>
      </c>
      <c r="DB15" s="15" t="str">
        <f t="shared" si="40"/>
        <v/>
      </c>
      <c r="DC15" s="15" t="str">
        <f t="shared" si="41"/>
        <v/>
      </c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12" t="str">
        <f t="shared" si="45"/>
        <v/>
      </c>
      <c r="DW15" s="12" t="str">
        <f t="shared" si="46"/>
        <v/>
      </c>
      <c r="DX15" s="12" t="str">
        <f t="shared" si="47"/>
        <v/>
      </c>
      <c r="DY15" s="12" t="str">
        <f t="shared" si="48"/>
        <v/>
      </c>
      <c r="DZ15" s="12" t="str">
        <f t="shared" si="49"/>
        <v/>
      </c>
      <c r="EA15" s="12" t="str">
        <f t="shared" si="50"/>
        <v/>
      </c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15" t="str">
        <f t="shared" si="51"/>
        <v/>
      </c>
      <c r="ER15" s="15" t="str">
        <f t="shared" si="52"/>
        <v/>
      </c>
      <c r="ES15" s="15" t="str">
        <f t="shared" si="53"/>
        <v/>
      </c>
      <c r="ET15" s="15" t="str">
        <f t="shared" si="54"/>
        <v/>
      </c>
      <c r="EU15" s="15" t="str">
        <f t="shared" si="55"/>
        <v/>
      </c>
      <c r="EV15" s="15" t="str">
        <f t="shared" si="56"/>
        <v/>
      </c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12" t="str">
        <f t="shared" si="57"/>
        <v/>
      </c>
      <c r="FM15" s="12" t="str">
        <f t="shared" si="58"/>
        <v/>
      </c>
      <c r="FN15" s="12" t="str">
        <f t="shared" si="59"/>
        <v/>
      </c>
      <c r="FO15" s="12" t="str">
        <f t="shared" si="60"/>
        <v/>
      </c>
      <c r="FP15" s="12" t="str">
        <f t="shared" si="61"/>
        <v/>
      </c>
      <c r="FQ15" s="12" t="str">
        <f t="shared" si="62"/>
        <v/>
      </c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15" t="str">
        <f t="shared" si="63"/>
        <v/>
      </c>
      <c r="GH15" s="15" t="str">
        <f t="shared" si="64"/>
        <v/>
      </c>
      <c r="GI15" s="15" t="str">
        <f t="shared" si="65"/>
        <v/>
      </c>
      <c r="GJ15" s="15" t="str">
        <f t="shared" si="66"/>
        <v/>
      </c>
      <c r="GK15" s="15" t="str">
        <f t="shared" si="67"/>
        <v/>
      </c>
      <c r="GL15" s="15" t="str">
        <f t="shared" si="68"/>
        <v/>
      </c>
      <c r="GM15" s="39"/>
      <c r="GN15" s="39"/>
      <c r="GO15" s="39"/>
      <c r="GP15" s="39"/>
      <c r="GQ15" s="39"/>
      <c r="GR15" s="39">
        <v>6.9</v>
      </c>
      <c r="GS15" s="39">
        <v>8.35</v>
      </c>
      <c r="GT15" s="39">
        <v>9.1999999999999993</v>
      </c>
      <c r="GU15" s="39">
        <v>12.42</v>
      </c>
      <c r="GV15" s="39">
        <v>0</v>
      </c>
      <c r="GW15" s="39"/>
      <c r="GX15" s="39"/>
      <c r="GY15" s="39"/>
      <c r="GZ15" s="39"/>
      <c r="HA15" s="39"/>
      <c r="HB15" s="12">
        <f t="shared" si="69"/>
        <v>9.1999999999999993</v>
      </c>
      <c r="HC15" s="12" t="str">
        <f t="shared" si="70"/>
        <v/>
      </c>
      <c r="HD15" s="12">
        <f t="shared" si="71"/>
        <v>36.869999999999997</v>
      </c>
      <c r="HE15" s="12">
        <f t="shared" si="72"/>
        <v>36.869999999999997</v>
      </c>
      <c r="HF15" s="12" t="str">
        <f t="shared" si="73"/>
        <v/>
      </c>
      <c r="HG15" s="12">
        <f t="shared" si="74"/>
        <v>36.869999999999997</v>
      </c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15" t="str">
        <f t="shared" si="75"/>
        <v/>
      </c>
      <c r="HX15" s="15" t="str">
        <f t="shared" si="76"/>
        <v/>
      </c>
      <c r="HY15" s="15" t="str">
        <f t="shared" si="77"/>
        <v/>
      </c>
      <c r="HZ15" s="15" t="str">
        <f t="shared" si="78"/>
        <v/>
      </c>
      <c r="IA15" s="15" t="str">
        <f t="shared" si="79"/>
        <v/>
      </c>
      <c r="IB15" s="15" t="str">
        <f t="shared" si="80"/>
        <v/>
      </c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12" t="str">
        <f t="shared" si="81"/>
        <v/>
      </c>
      <c r="IS15" s="12" t="str">
        <f t="shared" si="82"/>
        <v/>
      </c>
      <c r="IT15" s="12" t="str">
        <f t="shared" si="83"/>
        <v/>
      </c>
      <c r="IU15" s="12" t="str">
        <f t="shared" si="84"/>
        <v/>
      </c>
      <c r="IV15" s="12" t="str">
        <f t="shared" si="85"/>
        <v/>
      </c>
      <c r="IW15" s="12" t="str">
        <f t="shared" si="86"/>
        <v/>
      </c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15" t="str">
        <f t="shared" si="87"/>
        <v/>
      </c>
      <c r="JN15" s="15" t="str">
        <f t="shared" si="88"/>
        <v/>
      </c>
      <c r="JO15" s="15" t="str">
        <f t="shared" si="89"/>
        <v/>
      </c>
      <c r="JP15" s="15" t="str">
        <f t="shared" si="90"/>
        <v/>
      </c>
      <c r="JQ15" s="15" t="str">
        <f t="shared" si="91"/>
        <v/>
      </c>
      <c r="JR15" s="15" t="str">
        <f t="shared" si="92"/>
        <v/>
      </c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39"/>
      <c r="KE15" s="39"/>
      <c r="KF15" s="39"/>
      <c r="KG15" s="39"/>
      <c r="KH15" s="12" t="str">
        <f t="shared" si="93"/>
        <v/>
      </c>
      <c r="KI15" s="12" t="str">
        <f t="shared" si="94"/>
        <v/>
      </c>
      <c r="KJ15" s="12" t="str">
        <f t="shared" si="95"/>
        <v/>
      </c>
      <c r="KK15" s="12" t="str">
        <f t="shared" si="96"/>
        <v/>
      </c>
      <c r="KL15" s="12" t="str">
        <f t="shared" si="97"/>
        <v/>
      </c>
      <c r="KM15" s="12" t="str">
        <f t="shared" si="98"/>
        <v/>
      </c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15" t="str">
        <f t="shared" si="99"/>
        <v/>
      </c>
      <c r="LD15" s="15" t="str">
        <f t="shared" si="100"/>
        <v/>
      </c>
      <c r="LE15" s="15" t="str">
        <f t="shared" si="101"/>
        <v/>
      </c>
      <c r="LF15" s="15" t="str">
        <f t="shared" si="102"/>
        <v/>
      </c>
      <c r="LG15" s="15" t="str">
        <f t="shared" si="103"/>
        <v/>
      </c>
      <c r="LH15" s="15" t="str">
        <f t="shared" si="104"/>
        <v/>
      </c>
      <c r="LI15" s="72">
        <f t="shared" si="112"/>
        <v>0</v>
      </c>
      <c r="LJ15" s="72">
        <f t="shared" si="113"/>
        <v>0</v>
      </c>
      <c r="LK15" s="72">
        <f t="shared" si="114"/>
        <v>0</v>
      </c>
      <c r="LL15" s="72">
        <f t="shared" si="115"/>
        <v>0</v>
      </c>
      <c r="LM15" s="72">
        <f t="shared" si="116"/>
        <v>0</v>
      </c>
      <c r="LN15" s="72">
        <f t="shared" si="117"/>
        <v>0</v>
      </c>
      <c r="LO15" s="72">
        <f t="shared" si="118"/>
        <v>0</v>
      </c>
      <c r="LP15" s="72">
        <f t="shared" si="119"/>
        <v>0</v>
      </c>
      <c r="LQ15" s="72">
        <f t="shared" si="120"/>
        <v>0</v>
      </c>
      <c r="LR15" s="72">
        <f t="shared" si="121"/>
        <v>0</v>
      </c>
      <c r="LS15" s="72">
        <f t="shared" si="122"/>
        <v>0</v>
      </c>
      <c r="LT15" s="72">
        <f t="shared" si="123"/>
        <v>0</v>
      </c>
      <c r="LU15" s="72">
        <f t="shared" si="124"/>
        <v>0</v>
      </c>
      <c r="LV15" s="72">
        <f t="shared" si="125"/>
        <v>0</v>
      </c>
      <c r="LW15" s="72">
        <f t="shared" si="126"/>
        <v>0</v>
      </c>
      <c r="LX15" s="83" t="s">
        <v>126</v>
      </c>
      <c r="LY15" s="12" t="str">
        <f t="shared" si="127"/>
        <v/>
      </c>
      <c r="LZ15" s="12" t="str">
        <f t="shared" si="128"/>
        <v/>
      </c>
      <c r="MA15" s="12" t="str">
        <f t="shared" si="129"/>
        <v/>
      </c>
      <c r="MB15" s="12" t="str">
        <f t="shared" si="130"/>
        <v/>
      </c>
      <c r="MC15" s="12" t="str">
        <f t="shared" si="131"/>
        <v/>
      </c>
      <c r="MD15" s="12" t="str">
        <f t="shared" si="132"/>
        <v/>
      </c>
    </row>
    <row r="16" spans="1:342" x14ac:dyDescent="0.2">
      <c r="A16" s="6" t="str">
        <f t="shared" si="0"/>
        <v/>
      </c>
      <c r="B16" s="7" t="s">
        <v>119</v>
      </c>
      <c r="C16" s="8" t="s">
        <v>11</v>
      </c>
      <c r="D16" s="6" t="s">
        <v>141</v>
      </c>
      <c r="E16" s="16">
        <f t="shared" si="1"/>
        <v>0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 t="str">
        <f t="shared" si="6"/>
        <v/>
      </c>
      <c r="K16" s="15" t="str">
        <f t="shared" si="7"/>
        <v/>
      </c>
      <c r="L16" s="15" t="str">
        <f t="shared" si="8"/>
        <v/>
      </c>
      <c r="M16" s="15" t="str">
        <f t="shared" si="9"/>
        <v/>
      </c>
      <c r="N16" s="15" t="str">
        <f t="shared" si="10"/>
        <v/>
      </c>
      <c r="O16" s="15" t="str">
        <f t="shared" si="11"/>
        <v/>
      </c>
      <c r="P16" s="15" t="str">
        <f t="shared" si="12"/>
        <v/>
      </c>
      <c r="Q16" s="15" t="str">
        <f t="shared" si="13"/>
        <v/>
      </c>
      <c r="R16" s="15" t="str">
        <f t="shared" si="14"/>
        <v/>
      </c>
      <c r="S16" s="27" t="str">
        <f t="shared" si="15"/>
        <v/>
      </c>
      <c r="T16" s="15" t="str">
        <f t="shared" si="16"/>
        <v/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83"/>
      <c r="AK16" s="12" t="str">
        <f t="shared" si="17"/>
        <v/>
      </c>
      <c r="AL16" s="12" t="str">
        <f t="shared" si="18"/>
        <v/>
      </c>
      <c r="AM16" s="12" t="str">
        <f t="shared" si="19"/>
        <v/>
      </c>
      <c r="AN16" s="12" t="str">
        <f t="shared" si="20"/>
        <v/>
      </c>
      <c r="AO16" s="12" t="str">
        <f t="shared" si="21"/>
        <v/>
      </c>
      <c r="AP16" s="12" t="str">
        <f t="shared" si="22"/>
        <v/>
      </c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84"/>
      <c r="BG16" s="15" t="str">
        <f t="shared" si="23"/>
        <v/>
      </c>
      <c r="BH16" s="15" t="str">
        <f t="shared" si="24"/>
        <v/>
      </c>
      <c r="BI16" s="15" t="str">
        <f t="shared" si="25"/>
        <v/>
      </c>
      <c r="BJ16" s="15" t="str">
        <f t="shared" si="26"/>
        <v/>
      </c>
      <c r="BK16" s="15" t="str">
        <f t="shared" si="27"/>
        <v/>
      </c>
      <c r="BL16" s="15" t="str">
        <f t="shared" si="28"/>
        <v/>
      </c>
      <c r="BM16" s="26" t="str">
        <f t="shared" si="29"/>
        <v/>
      </c>
      <c r="BN16" s="26" t="str">
        <f t="shared" si="30"/>
        <v/>
      </c>
      <c r="BO16" s="26" t="str">
        <f t="shared" si="31"/>
        <v/>
      </c>
      <c r="BP16" s="26" t="str">
        <f t="shared" si="32"/>
        <v/>
      </c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12" t="str">
        <f t="shared" si="33"/>
        <v/>
      </c>
      <c r="CG16" s="12" t="str">
        <f t="shared" si="34"/>
        <v/>
      </c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15" t="str">
        <f t="shared" si="39"/>
        <v/>
      </c>
      <c r="DB16" s="15" t="str">
        <f t="shared" si="40"/>
        <v/>
      </c>
      <c r="DC16" s="15" t="str">
        <f t="shared" si="41"/>
        <v/>
      </c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12" t="str">
        <f t="shared" si="45"/>
        <v/>
      </c>
      <c r="DW16" s="12" t="str">
        <f t="shared" si="46"/>
        <v/>
      </c>
      <c r="DX16" s="12" t="str">
        <f t="shared" si="47"/>
        <v/>
      </c>
      <c r="DY16" s="12" t="str">
        <f t="shared" si="48"/>
        <v/>
      </c>
      <c r="DZ16" s="12" t="str">
        <f t="shared" si="49"/>
        <v/>
      </c>
      <c r="EA16" s="12" t="str">
        <f t="shared" si="50"/>
        <v/>
      </c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15" t="str">
        <f t="shared" si="51"/>
        <v/>
      </c>
      <c r="ER16" s="15" t="str">
        <f t="shared" si="52"/>
        <v/>
      </c>
      <c r="ES16" s="15" t="str">
        <f t="shared" si="53"/>
        <v/>
      </c>
      <c r="ET16" s="15" t="str">
        <f t="shared" si="54"/>
        <v/>
      </c>
      <c r="EU16" s="15" t="str">
        <f t="shared" si="55"/>
        <v/>
      </c>
      <c r="EV16" s="15" t="str">
        <f t="shared" si="56"/>
        <v/>
      </c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12" t="str">
        <f t="shared" si="57"/>
        <v/>
      </c>
      <c r="FM16" s="12" t="str">
        <f t="shared" si="58"/>
        <v/>
      </c>
      <c r="FN16" s="12" t="str">
        <f t="shared" si="59"/>
        <v/>
      </c>
      <c r="FO16" s="12" t="str">
        <f t="shared" si="60"/>
        <v/>
      </c>
      <c r="FP16" s="12" t="str">
        <f t="shared" si="61"/>
        <v/>
      </c>
      <c r="FQ16" s="12" t="str">
        <f t="shared" si="62"/>
        <v/>
      </c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15" t="str">
        <f t="shared" si="63"/>
        <v/>
      </c>
      <c r="GH16" s="15" t="str">
        <f t="shared" si="64"/>
        <v/>
      </c>
      <c r="GI16" s="15" t="str">
        <f t="shared" si="65"/>
        <v/>
      </c>
      <c r="GJ16" s="15" t="str">
        <f t="shared" si="66"/>
        <v/>
      </c>
      <c r="GK16" s="15" t="str">
        <f t="shared" si="67"/>
        <v/>
      </c>
      <c r="GL16" s="15" t="str">
        <f t="shared" si="68"/>
        <v/>
      </c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12" t="str">
        <f t="shared" si="69"/>
        <v/>
      </c>
      <c r="HC16" s="12" t="str">
        <f t="shared" si="70"/>
        <v/>
      </c>
      <c r="HD16" s="12" t="str">
        <f t="shared" si="71"/>
        <v/>
      </c>
      <c r="HE16" s="12" t="str">
        <f t="shared" si="72"/>
        <v/>
      </c>
      <c r="HF16" s="12" t="str">
        <f t="shared" si="73"/>
        <v/>
      </c>
      <c r="HG16" s="12" t="str">
        <f t="shared" si="74"/>
        <v/>
      </c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15" t="str">
        <f t="shared" si="75"/>
        <v/>
      </c>
      <c r="HX16" s="15" t="str">
        <f t="shared" si="76"/>
        <v/>
      </c>
      <c r="HY16" s="15" t="str">
        <f t="shared" si="77"/>
        <v/>
      </c>
      <c r="HZ16" s="15" t="str">
        <f t="shared" si="78"/>
        <v/>
      </c>
      <c r="IA16" s="15" t="str">
        <f t="shared" si="79"/>
        <v/>
      </c>
      <c r="IB16" s="15" t="str">
        <f t="shared" si="80"/>
        <v/>
      </c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12" t="str">
        <f t="shared" si="81"/>
        <v/>
      </c>
      <c r="IS16" s="12" t="str">
        <f t="shared" si="82"/>
        <v/>
      </c>
      <c r="IT16" s="12" t="str">
        <f t="shared" si="83"/>
        <v/>
      </c>
      <c r="IU16" s="12" t="str">
        <f t="shared" si="84"/>
        <v/>
      </c>
      <c r="IV16" s="12" t="str">
        <f t="shared" si="85"/>
        <v/>
      </c>
      <c r="IW16" s="12" t="str">
        <f t="shared" si="86"/>
        <v/>
      </c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15" t="str">
        <f t="shared" si="87"/>
        <v/>
      </c>
      <c r="JN16" s="15" t="str">
        <f t="shared" si="88"/>
        <v/>
      </c>
      <c r="JO16" s="15" t="str">
        <f t="shared" si="89"/>
        <v/>
      </c>
      <c r="JP16" s="15" t="str">
        <f t="shared" si="90"/>
        <v/>
      </c>
      <c r="JQ16" s="15" t="str">
        <f t="shared" si="91"/>
        <v/>
      </c>
      <c r="JR16" s="15" t="str">
        <f t="shared" si="92"/>
        <v/>
      </c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39"/>
      <c r="KE16" s="39"/>
      <c r="KF16" s="39"/>
      <c r="KG16" s="39"/>
      <c r="KH16" s="12" t="str">
        <f t="shared" si="93"/>
        <v/>
      </c>
      <c r="KI16" s="12" t="str">
        <f t="shared" si="94"/>
        <v/>
      </c>
      <c r="KJ16" s="12" t="str">
        <f t="shared" si="95"/>
        <v/>
      </c>
      <c r="KK16" s="12" t="str">
        <f t="shared" si="96"/>
        <v/>
      </c>
      <c r="KL16" s="12" t="str">
        <f t="shared" si="97"/>
        <v/>
      </c>
      <c r="KM16" s="12" t="str">
        <f t="shared" si="98"/>
        <v/>
      </c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15" t="str">
        <f t="shared" si="99"/>
        <v/>
      </c>
      <c r="LD16" s="15" t="str">
        <f t="shared" si="100"/>
        <v/>
      </c>
      <c r="LE16" s="15" t="str">
        <f t="shared" si="101"/>
        <v/>
      </c>
      <c r="LF16" s="15" t="str">
        <f t="shared" si="102"/>
        <v/>
      </c>
      <c r="LG16" s="15" t="str">
        <f t="shared" si="103"/>
        <v/>
      </c>
      <c r="LH16" s="15" t="str">
        <f t="shared" si="104"/>
        <v/>
      </c>
      <c r="LI16" s="72">
        <f t="shared" ref="LI16" si="133">(U16+AQ16)/2</f>
        <v>0</v>
      </c>
      <c r="LJ16" s="72">
        <f t="shared" ref="LJ16" si="134">(V16+AR16)/2</f>
        <v>0</v>
      </c>
      <c r="LK16" s="72">
        <f t="shared" ref="LK16" si="135">(W16+AS16)/2</f>
        <v>0</v>
      </c>
      <c r="LL16" s="72">
        <f t="shared" ref="LL16" si="136">(X16+AT16)/2</f>
        <v>0</v>
      </c>
      <c r="LM16" s="72">
        <f t="shared" ref="LM16" si="137">(Y16+AU16)/2</f>
        <v>0</v>
      </c>
      <c r="LN16" s="72">
        <f t="shared" ref="LN16" si="138">(Z16+AV16)/2</f>
        <v>0</v>
      </c>
      <c r="LO16" s="72">
        <f t="shared" ref="LO16" si="139">(AA16+AW16)/2</f>
        <v>0</v>
      </c>
      <c r="LP16" s="72">
        <f t="shared" ref="LP16" si="140">(AB16+AX16)/2</f>
        <v>0</v>
      </c>
      <c r="LQ16" s="72">
        <f t="shared" ref="LQ16" si="141">(AC16+AY16)/2</f>
        <v>0</v>
      </c>
      <c r="LR16" s="72">
        <f t="shared" ref="LR16" si="142">(AD16+AZ16)/2</f>
        <v>0</v>
      </c>
      <c r="LS16" s="72">
        <f t="shared" ref="LS16" si="143">(AE16+BA16)/2</f>
        <v>0</v>
      </c>
      <c r="LT16" s="72">
        <f t="shared" ref="LT16" si="144">(AF16+BB16)/2</f>
        <v>0</v>
      </c>
      <c r="LU16" s="72">
        <f t="shared" ref="LU16" si="145">(AG16+BC16)/2</f>
        <v>0</v>
      </c>
      <c r="LV16" s="72">
        <f t="shared" ref="LV16" si="146">(AH16+BD16)/2</f>
        <v>0</v>
      </c>
      <c r="LW16" s="72">
        <f t="shared" ref="LW16" si="147">(AI16+BE16)/2</f>
        <v>0</v>
      </c>
      <c r="LX16" s="83" t="s">
        <v>126</v>
      </c>
      <c r="LY16" s="12" t="str">
        <f t="shared" ref="LY16" si="148">IF(LP16&gt;0,LP16,"")</f>
        <v/>
      </c>
      <c r="LZ16" s="12" t="str">
        <f t="shared" ref="LZ16" si="149">IF(SUM(LI16:LL16)-LM16&gt;0,SUM(LI16:LL16)-LM16,"")</f>
        <v/>
      </c>
      <c r="MA16" s="12" t="str">
        <f t="shared" ref="MA16" si="150">IF(SUM(LN16:LQ16)-LR16&gt;0,SUM(LN16:LQ16)-LR16,"")</f>
        <v/>
      </c>
      <c r="MB16" s="12" t="str">
        <f t="shared" ref="MB16" si="151">IF(SUM(LZ16:MA16)&gt;0,SUM(LZ16:MA16),"")</f>
        <v/>
      </c>
      <c r="MC16" s="12" t="str">
        <f t="shared" ref="MC16" si="152">IF(SUM(LS16:LV16)-LW16&gt;0,SUM(LS16:LV16)-LW16,"")</f>
        <v/>
      </c>
      <c r="MD16" s="12" t="str">
        <f t="shared" ref="MD16" si="153">IF(SUM(MB16,MC16)&gt;0,SUM(MB16,MC16),"")</f>
        <v/>
      </c>
    </row>
    <row r="17" spans="1:316" x14ac:dyDescent="0.2">
      <c r="D17" s="1"/>
    </row>
    <row r="18" spans="1:316" x14ac:dyDescent="0.2">
      <c r="GG18" s="7"/>
      <c r="GH18" s="7"/>
    </row>
    <row r="19" spans="1:316" x14ac:dyDescent="0.2">
      <c r="B19" s="73" t="s">
        <v>93</v>
      </c>
      <c r="AK19" s="58"/>
      <c r="AL19" s="67">
        <v>11</v>
      </c>
      <c r="BG19" s="58"/>
      <c r="BH19" s="67">
        <v>11</v>
      </c>
      <c r="CF19" s="58"/>
      <c r="CG19" s="67">
        <v>13.6</v>
      </c>
      <c r="DA19" s="58"/>
      <c r="DB19" s="67">
        <v>11</v>
      </c>
      <c r="DV19" s="58"/>
      <c r="DW19" s="67">
        <v>11</v>
      </c>
      <c r="EQ19" s="58"/>
      <c r="ER19" s="67">
        <v>11</v>
      </c>
      <c r="FL19" s="58"/>
      <c r="FM19" s="67">
        <v>13.6</v>
      </c>
      <c r="GG19" s="58"/>
      <c r="GH19" s="67">
        <v>9</v>
      </c>
      <c r="HB19" s="58"/>
      <c r="HC19" s="67">
        <v>13.6</v>
      </c>
      <c r="HW19" s="58"/>
      <c r="HX19" s="67">
        <v>11.2</v>
      </c>
      <c r="IR19" s="58"/>
      <c r="IS19" s="67">
        <v>11.2</v>
      </c>
      <c r="JM19" s="58"/>
      <c r="JN19" s="67">
        <v>11.2</v>
      </c>
      <c r="KH19" s="58"/>
      <c r="KI19" s="67">
        <v>11.2</v>
      </c>
      <c r="LC19" s="58"/>
      <c r="LD19" s="67">
        <v>11.2</v>
      </c>
    </row>
    <row r="20" spans="1:316" x14ac:dyDescent="0.2">
      <c r="A20" s="58"/>
      <c r="B20" s="101" t="s">
        <v>92</v>
      </c>
      <c r="C20" s="57"/>
      <c r="AK20" s="58"/>
      <c r="AL20" s="103">
        <v>11.1</v>
      </c>
      <c r="BG20" s="58"/>
      <c r="BH20" s="103">
        <v>11.1</v>
      </c>
      <c r="CF20" s="58"/>
      <c r="CG20" s="103">
        <v>14</v>
      </c>
      <c r="DA20" s="58"/>
      <c r="DB20" s="103">
        <v>11.1</v>
      </c>
      <c r="DV20" s="58"/>
      <c r="DW20" s="103">
        <v>11.6</v>
      </c>
      <c r="EQ20" s="58"/>
      <c r="ER20" s="103">
        <v>11.8</v>
      </c>
      <c r="FL20" s="58"/>
      <c r="FM20" s="103">
        <v>14</v>
      </c>
      <c r="GG20" s="58"/>
      <c r="GH20" s="103">
        <v>9.5</v>
      </c>
      <c r="HB20" s="58"/>
      <c r="HC20" s="103">
        <v>14</v>
      </c>
      <c r="HW20" s="58"/>
      <c r="HX20" s="103">
        <v>12.5</v>
      </c>
      <c r="IR20" s="58"/>
      <c r="IS20" s="103">
        <v>12.5</v>
      </c>
      <c r="JM20" s="58"/>
      <c r="JN20" s="103">
        <v>12.5</v>
      </c>
      <c r="KH20" s="58"/>
      <c r="KI20" s="103">
        <v>12.5</v>
      </c>
      <c r="LC20" s="58"/>
      <c r="LD20" s="103">
        <v>12.5</v>
      </c>
    </row>
    <row r="21" spans="1:316" x14ac:dyDescent="0.2">
      <c r="A21" s="58"/>
      <c r="B21" s="74" t="s">
        <v>90</v>
      </c>
      <c r="C21" s="57"/>
      <c r="AK21" s="58"/>
      <c r="AL21" s="68">
        <v>81.2</v>
      </c>
      <c r="BG21" s="58"/>
      <c r="BH21" s="68">
        <v>81.2</v>
      </c>
      <c r="CF21" s="58"/>
      <c r="CG21" s="68">
        <v>81.2</v>
      </c>
      <c r="DA21" s="58"/>
      <c r="DB21" s="68">
        <v>81.2</v>
      </c>
      <c r="DV21" s="58"/>
      <c r="DW21" s="68">
        <v>81.2</v>
      </c>
      <c r="EQ21" s="58"/>
      <c r="ER21" s="68">
        <v>81.2</v>
      </c>
      <c r="FL21" s="58"/>
      <c r="FM21" s="68">
        <v>81.2</v>
      </c>
      <c r="GG21" s="58"/>
      <c r="GH21" s="68">
        <v>81.2</v>
      </c>
      <c r="HB21" s="58"/>
      <c r="HC21" s="68">
        <v>81.2</v>
      </c>
      <c r="HW21" s="58"/>
      <c r="HX21" s="68">
        <v>82</v>
      </c>
      <c r="IR21" s="58"/>
      <c r="IS21" s="68">
        <v>82</v>
      </c>
      <c r="JM21" s="58"/>
      <c r="JN21" s="68">
        <v>82</v>
      </c>
      <c r="KH21" s="58"/>
      <c r="KI21" s="68">
        <v>82</v>
      </c>
      <c r="LC21" s="58"/>
      <c r="LD21" s="68">
        <v>82</v>
      </c>
    </row>
    <row r="22" spans="1:316" x14ac:dyDescent="0.2">
      <c r="A22" s="58"/>
      <c r="B22" s="75" t="s">
        <v>91</v>
      </c>
      <c r="C22" s="57"/>
      <c r="AK22" s="58"/>
      <c r="AL22" s="69">
        <v>83.2</v>
      </c>
      <c r="BG22" s="58"/>
      <c r="BH22" s="69">
        <v>83.2</v>
      </c>
      <c r="CF22" s="58"/>
      <c r="CG22" s="69">
        <v>83.2</v>
      </c>
      <c r="DA22" s="58"/>
      <c r="DB22" s="69">
        <v>83.2</v>
      </c>
      <c r="DV22" s="58"/>
      <c r="DW22" s="69">
        <v>83.2</v>
      </c>
      <c r="EQ22" s="58"/>
      <c r="ER22" s="69">
        <v>83.2</v>
      </c>
      <c r="FL22" s="58"/>
      <c r="FM22" s="69">
        <v>83.2</v>
      </c>
      <c r="GG22" s="58"/>
      <c r="GH22" s="69">
        <v>83.2</v>
      </c>
      <c r="HB22" s="58"/>
      <c r="HC22" s="69">
        <v>83.2</v>
      </c>
      <c r="HW22" s="58"/>
      <c r="HX22" s="69">
        <v>84</v>
      </c>
      <c r="IR22" s="58"/>
      <c r="IS22" s="69">
        <v>84</v>
      </c>
      <c r="JM22" s="58"/>
      <c r="JN22" s="69">
        <v>84</v>
      </c>
      <c r="KH22" s="58"/>
      <c r="KI22" s="69">
        <v>84</v>
      </c>
      <c r="LC22" s="58"/>
      <c r="LD22" s="69">
        <v>84</v>
      </c>
    </row>
    <row r="23" spans="1:316" x14ac:dyDescent="0.2">
      <c r="A23" s="58"/>
      <c r="B23" s="76" t="s">
        <v>196</v>
      </c>
      <c r="C23" s="57"/>
      <c r="AK23" s="58"/>
      <c r="AL23" s="70">
        <v>85.1</v>
      </c>
      <c r="BG23" s="58"/>
      <c r="BH23" s="70">
        <v>85.1</v>
      </c>
      <c r="CF23" s="58"/>
      <c r="CG23" s="70">
        <v>85.1</v>
      </c>
      <c r="DA23" s="58"/>
      <c r="DB23" s="70">
        <v>85.1</v>
      </c>
      <c r="DV23" s="58"/>
      <c r="DW23" s="70">
        <v>85.1</v>
      </c>
      <c r="EQ23" s="58"/>
      <c r="ER23" s="70">
        <v>85.1</v>
      </c>
      <c r="FL23" s="58"/>
      <c r="FM23" s="70">
        <v>85.1</v>
      </c>
      <c r="GG23" s="58"/>
      <c r="GH23" s="70">
        <v>85.1</v>
      </c>
      <c r="HB23" s="58"/>
      <c r="HC23" s="70">
        <v>85.1</v>
      </c>
      <c r="HW23" s="58"/>
      <c r="HX23" s="70">
        <v>85</v>
      </c>
      <c r="IR23" s="58"/>
      <c r="IS23" s="70">
        <v>85</v>
      </c>
      <c r="JM23" s="58"/>
      <c r="JN23" s="70">
        <v>85</v>
      </c>
      <c r="KH23" s="58"/>
      <c r="KI23" s="70">
        <v>85</v>
      </c>
      <c r="LC23" s="58"/>
      <c r="LD23" s="70">
        <v>85</v>
      </c>
    </row>
    <row r="24" spans="1:316" x14ac:dyDescent="0.2">
      <c r="A24" s="58"/>
      <c r="B24" s="77" t="s">
        <v>71</v>
      </c>
      <c r="C24" s="57"/>
      <c r="AK24" s="58"/>
      <c r="AL24" s="71">
        <v>86.3</v>
      </c>
      <c r="BG24" s="58"/>
      <c r="BH24" s="71">
        <v>86.3</v>
      </c>
      <c r="CF24" s="58"/>
      <c r="CG24" s="71">
        <v>86.3</v>
      </c>
      <c r="DA24" s="58"/>
      <c r="DB24" s="71">
        <v>86.3</v>
      </c>
      <c r="DV24" s="58"/>
      <c r="DW24" s="71">
        <v>86.3</v>
      </c>
      <c r="EQ24" s="58"/>
      <c r="ER24" s="71">
        <v>86.3</v>
      </c>
      <c r="FL24" s="58"/>
      <c r="FM24" s="71">
        <v>86.3</v>
      </c>
      <c r="GG24" s="58"/>
      <c r="GH24" s="71">
        <v>86.3</v>
      </c>
      <c r="HB24" s="58"/>
      <c r="HC24" s="71">
        <v>86.3</v>
      </c>
      <c r="HW24" s="58"/>
      <c r="HX24" s="71">
        <v>86</v>
      </c>
      <c r="IR24" s="58"/>
      <c r="IS24" s="71">
        <v>86</v>
      </c>
      <c r="JM24" s="58"/>
      <c r="JN24" s="71">
        <v>86</v>
      </c>
      <c r="KH24" s="58"/>
      <c r="KI24" s="71">
        <v>86</v>
      </c>
      <c r="LC24" s="58"/>
      <c r="LD24" s="71">
        <v>86</v>
      </c>
    </row>
    <row r="25" spans="1:316" x14ac:dyDescent="0.2">
      <c r="B25" s="85" t="s">
        <v>127</v>
      </c>
      <c r="C25" s="3"/>
      <c r="AL25" s="91" t="s">
        <v>192</v>
      </c>
      <c r="BH25" s="91" t="s">
        <v>192</v>
      </c>
      <c r="CG25" s="91"/>
      <c r="DB25" s="91" t="s">
        <v>192</v>
      </c>
      <c r="DW25" s="91" t="s">
        <v>192</v>
      </c>
      <c r="ER25" s="91" t="s">
        <v>192</v>
      </c>
      <c r="FM25" s="91"/>
      <c r="GH25" s="91" t="s">
        <v>192</v>
      </c>
      <c r="HX25" s="91"/>
    </row>
    <row r="26" spans="1:316" x14ac:dyDescent="0.2">
      <c r="A26" s="58"/>
      <c r="B26" s="58"/>
      <c r="C26" s="57"/>
    </row>
    <row r="27" spans="1:316" ht="17" x14ac:dyDescent="0.2">
      <c r="A27" s="58"/>
      <c r="B27" s="58"/>
      <c r="C27" s="57"/>
      <c r="R27" s="21"/>
      <c r="S27" s="21"/>
      <c r="T27" s="21"/>
    </row>
    <row r="28" spans="1:316" ht="17" x14ac:dyDescent="0.2">
      <c r="A28" s="58"/>
      <c r="B28" s="58"/>
      <c r="C28" s="57"/>
      <c r="R28" s="21"/>
      <c r="S28" s="21"/>
      <c r="T28" s="21"/>
    </row>
    <row r="29" spans="1:316" ht="17" x14ac:dyDescent="0.2">
      <c r="R29" s="21"/>
      <c r="S29" s="21"/>
      <c r="T29" s="21"/>
    </row>
    <row r="30" spans="1:316" ht="17" x14ac:dyDescent="0.2">
      <c r="R30" s="21"/>
      <c r="S30" s="21"/>
      <c r="T30" s="21"/>
    </row>
    <row r="31" spans="1:316" ht="17" x14ac:dyDescent="0.2">
      <c r="R31" s="21"/>
      <c r="S31" s="21"/>
      <c r="T31" s="21"/>
    </row>
    <row r="32" spans="1:31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</sheetData>
  <sheetProtection sheet="1" formatCells="0" formatColumns="0" formatRows="0"/>
  <autoFilter ref="A1:LH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6">
      <sortCondition descending="1" ref="F1:F5"/>
    </sortState>
  </autoFilter>
  <mergeCells count="81">
    <mergeCell ref="IC1:IW1"/>
    <mergeCell ref="IX1:JR1"/>
    <mergeCell ref="IC2:IG2"/>
    <mergeCell ref="IH2:IL2"/>
    <mergeCell ref="IM2:IQ2"/>
    <mergeCell ref="IX2:JB2"/>
    <mergeCell ref="JC2:JG2"/>
    <mergeCell ref="JH2:JL2"/>
    <mergeCell ref="KN1:LH1"/>
    <mergeCell ref="JS2:JW2"/>
    <mergeCell ref="JX2:KB2"/>
    <mergeCell ref="KC2:KG2"/>
    <mergeCell ref="KN2:KR2"/>
    <mergeCell ref="KS2:KW2"/>
    <mergeCell ref="KX2:LB2"/>
    <mergeCell ref="JS1:KM1"/>
    <mergeCell ref="GR2:GV2"/>
    <mergeCell ref="GW2:HA2"/>
    <mergeCell ref="HH2:HL2"/>
    <mergeCell ref="HM2:HQ2"/>
    <mergeCell ref="HR2:HV2"/>
    <mergeCell ref="F1:F3"/>
    <mergeCell ref="DG1:EA1"/>
    <mergeCell ref="EB1:EV1"/>
    <mergeCell ref="DG2:DK2"/>
    <mergeCell ref="DL2:DP2"/>
    <mergeCell ref="DQ2:DU2"/>
    <mergeCell ref="EB2:EF2"/>
    <mergeCell ref="EG2:EK2"/>
    <mergeCell ref="EL2:EP2"/>
    <mergeCell ref="AV2:AZ2"/>
    <mergeCell ref="BA2:BE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A2:CE2"/>
    <mergeCell ref="CL2:CP2"/>
    <mergeCell ref="CQ2:CU2"/>
    <mergeCell ref="U1:AP1"/>
    <mergeCell ref="AQ1:BL1"/>
    <mergeCell ref="Z2:AD2"/>
    <mergeCell ref="AE2:AI2"/>
    <mergeCell ref="AQ2:AU2"/>
    <mergeCell ref="CV2:CZ2"/>
    <mergeCell ref="BM1:BP1"/>
    <mergeCell ref="BQ1:CK1"/>
    <mergeCell ref="BQ2:BU2"/>
    <mergeCell ref="BV2:BZ2"/>
    <mergeCell ref="LI1:MD1"/>
    <mergeCell ref="LI2:LM2"/>
    <mergeCell ref="LN2:LR2"/>
    <mergeCell ref="LS2:LW2"/>
    <mergeCell ref="CL1:DF1"/>
    <mergeCell ref="EW1:FQ1"/>
    <mergeCell ref="FR1:GL1"/>
    <mergeCell ref="EW2:FA2"/>
    <mergeCell ref="FB2:FF2"/>
    <mergeCell ref="FG2:FK2"/>
    <mergeCell ref="FR2:FV2"/>
    <mergeCell ref="FW2:GA2"/>
    <mergeCell ref="GB2:GF2"/>
    <mergeCell ref="GM1:HG1"/>
    <mergeCell ref="HH1:IB1"/>
    <mergeCell ref="GM2:GQ2"/>
  </mergeCells>
  <conditionalFormatting sqref="A1:A1048576">
    <cfRule type="expression" dxfId="120" priority="45">
      <formula>AND(H1="P",F1="")</formula>
    </cfRule>
  </conditionalFormatting>
  <conditionalFormatting sqref="I1:I1048576">
    <cfRule type="containsText" dxfId="119" priority="1" operator="containsText" text="No DD">
      <formula>NOT(ISERROR(SEARCH("No DD",I1)))</formula>
    </cfRule>
    <cfRule type="containsText" dxfId="118" priority="46" operator="containsText" text="Merit">
      <formula>NOT(ISERROR(SEARCH("Merit",I1)))</formula>
    </cfRule>
    <cfRule type="containsText" dxfId="117" priority="47" operator="containsText" text="Excellence">
      <formula>NOT(ISERROR(SEARCH("Excellence",I1)))</formula>
    </cfRule>
    <cfRule type="containsText" dxfId="116" priority="48" operator="containsText" text="Worlds Team">
      <formula>NOT(ISERROR(SEARCH("Worlds Team",I1)))</formula>
    </cfRule>
    <cfRule type="containsText" dxfId="115" priority="187" operator="containsText" text="National Team">
      <formula>NOT(ISERROR(SEARCH("National Team",I1)))</formula>
    </cfRule>
  </conditionalFormatting>
  <conditionalFormatting sqref="U4:AP16">
    <cfRule type="expression" dxfId="114" priority="16">
      <formula>IF($AJ4&lt;&gt;"",1,0)</formula>
    </cfRule>
  </conditionalFormatting>
  <conditionalFormatting sqref="AQ4:BL16">
    <cfRule type="expression" dxfId="113" priority="13">
      <formula>IF($BF4&lt;&gt;"",1,0)</formula>
    </cfRule>
  </conditionalFormatting>
  <conditionalFormatting sqref="CF1:CF1048576 DA1:DA1048576 DV1:DV1048576 EQ1:EQ1048576 FL1:FL1048576 GG1:GG1048576 HB1:HB1048576 HW1:HW1048576 IR1:IR1048576 JM1:JM1048576 KH1:KH1048576 LC1:LC1048576">
    <cfRule type="cellIs" dxfId="112" priority="2287" operator="between">
      <formula>CG$20</formula>
      <formula>100</formula>
    </cfRule>
    <cfRule type="cellIs" dxfId="111" priority="2288" operator="between">
      <formula>CG$19</formula>
      <formula>CG$20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10" priority="2059" operator="between">
      <formula>CG$24</formula>
      <formula>1000</formula>
    </cfRule>
    <cfRule type="cellIs" dxfId="109" priority="2060" operator="between">
      <formula>CG$23</formula>
      <formula>CG$24</formula>
    </cfRule>
    <cfRule type="cellIs" dxfId="108" priority="2061" operator="between">
      <formula>CG$22</formula>
      <formula>CG$23</formula>
    </cfRule>
    <cfRule type="cellIs" dxfId="107" priority="2062" operator="between">
      <formula>CG$21</formula>
      <formula>CG$22</formula>
    </cfRule>
  </conditionalFormatting>
  <conditionalFormatting sqref="O1:O1048576 M1:M1048576 K1:K1048576 Q1:Q1048576">
    <cfRule type="expression" dxfId="106" priority="354">
      <formula>IF(K1=$AQ$1,1,0)</formula>
    </cfRule>
    <cfRule type="expression" dxfId="105" priority="541">
      <formula>IF(K1=$U$1,1,0)</formula>
    </cfRule>
  </conditionalFormatting>
  <conditionalFormatting sqref="AK1:AK1048576 BG1:BG1048576">
    <cfRule type="expression" dxfId="104" priority="10684">
      <formula>IF(AND(AK1&gt;=AL$20,AK1&lt;1000,AJ1=""),1,0)</formula>
    </cfRule>
    <cfRule type="expression" dxfId="103" priority="10685">
      <formula>IF(AND(AK1&gt;=AL$19,AK1&lt;AL$20,AJ1=""),1,0)</formula>
    </cfRule>
  </conditionalFormatting>
  <conditionalFormatting sqref="AN1:AN1048576 BJ1:BJ1048576">
    <cfRule type="expression" dxfId="102" priority="10692">
      <formula>IF(AND(AN1&gt;=AL$24,AN1&lt;1000,AJ1=""),1,0)</formula>
    </cfRule>
    <cfRule type="expression" dxfId="101" priority="10693">
      <formula>IF(AND(AN1&gt;=AL$23,AN1&lt;AL$24,AJ1=""),1,0)</formula>
    </cfRule>
    <cfRule type="expression" dxfId="100" priority="10694">
      <formula>IF(AND(AN1&gt;=AL$22,AN1&lt;AL$23,AJ1=""),1,0)</formula>
    </cfRule>
    <cfRule type="expression" dxfId="99" priority="10695">
      <formula>IF(AND(AN1&gt;=AL$21,AN1&lt;AL$22,AJ1=""),1,0)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9" t="s">
        <v>194</v>
      </c>
      <c r="G1" s="129" t="s">
        <v>195</v>
      </c>
      <c r="H1" s="129" t="s">
        <v>18</v>
      </c>
      <c r="I1" s="123" t="s">
        <v>19</v>
      </c>
      <c r="J1" s="125" t="s">
        <v>20</v>
      </c>
      <c r="K1" s="125" t="s">
        <v>69</v>
      </c>
      <c r="L1" s="125" t="s">
        <v>23</v>
      </c>
      <c r="M1" s="125" t="s">
        <v>69</v>
      </c>
      <c r="N1" s="126" t="s">
        <v>24</v>
      </c>
      <c r="O1" s="125" t="s">
        <v>70</v>
      </c>
      <c r="P1" s="125" t="s">
        <v>69</v>
      </c>
      <c r="Q1" s="119" t="s">
        <v>108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146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193</v>
      </c>
      <c r="BH1" s="127"/>
      <c r="BI1" s="119" t="s">
        <v>155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164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207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47</v>
      </c>
      <c r="R2" s="120"/>
      <c r="S2" s="120"/>
      <c r="T2" s="120"/>
      <c r="U2" s="120" t="s">
        <v>50</v>
      </c>
      <c r="V2" s="120"/>
      <c r="W2" s="120"/>
      <c r="X2" s="120"/>
      <c r="Y2" s="120" t="s">
        <v>51</v>
      </c>
      <c r="Z2" s="120"/>
      <c r="AA2" s="120"/>
      <c r="AB2" s="120"/>
      <c r="AC2" s="128" t="s">
        <v>52</v>
      </c>
      <c r="AD2" s="128"/>
      <c r="AE2" s="128"/>
      <c r="AF2" s="128"/>
      <c r="AG2" s="81"/>
      <c r="AH2" s="60" t="s">
        <v>35</v>
      </c>
      <c r="AI2" s="10" t="s">
        <v>34</v>
      </c>
      <c r="AJ2" s="10" t="s">
        <v>33</v>
      </c>
      <c r="AK2" s="10" t="s">
        <v>28</v>
      </c>
      <c r="AL2" s="121" t="s">
        <v>47</v>
      </c>
      <c r="AM2" s="121"/>
      <c r="AN2" s="121"/>
      <c r="AO2" s="121"/>
      <c r="AP2" s="121" t="s">
        <v>50</v>
      </c>
      <c r="AQ2" s="121"/>
      <c r="AR2" s="121"/>
      <c r="AS2" s="121"/>
      <c r="AT2" s="121" t="s">
        <v>51</v>
      </c>
      <c r="AU2" s="121"/>
      <c r="AV2" s="121"/>
      <c r="AW2" s="121"/>
      <c r="AX2" s="130" t="s">
        <v>52</v>
      </c>
      <c r="AY2" s="130"/>
      <c r="AZ2" s="130"/>
      <c r="BA2" s="130"/>
      <c r="BB2" s="82"/>
      <c r="BC2" s="59" t="s">
        <v>35</v>
      </c>
      <c r="BD2" s="13" t="s">
        <v>34</v>
      </c>
      <c r="BE2" s="13" t="s">
        <v>33</v>
      </c>
      <c r="BF2" s="13" t="s">
        <v>28</v>
      </c>
      <c r="BG2" s="24" t="s">
        <v>34</v>
      </c>
      <c r="BH2" s="24" t="s">
        <v>33</v>
      </c>
      <c r="BI2" s="120" t="s">
        <v>47</v>
      </c>
      <c r="BJ2" s="120"/>
      <c r="BK2" s="120"/>
      <c r="BL2" s="120"/>
      <c r="BM2" s="120" t="s">
        <v>50</v>
      </c>
      <c r="BN2" s="120"/>
      <c r="BO2" s="120"/>
      <c r="BP2" s="120"/>
      <c r="BQ2" s="120" t="s">
        <v>51</v>
      </c>
      <c r="BR2" s="120"/>
      <c r="BS2" s="120"/>
      <c r="BT2" s="120"/>
      <c r="BU2" s="131" t="s">
        <v>52</v>
      </c>
      <c r="BV2" s="131"/>
      <c r="BW2" s="131"/>
      <c r="BX2" s="131"/>
      <c r="BY2" s="60" t="s">
        <v>35</v>
      </c>
      <c r="BZ2" s="10" t="s">
        <v>34</v>
      </c>
      <c r="CA2" s="10" t="s">
        <v>33</v>
      </c>
      <c r="CB2" s="10" t="s">
        <v>28</v>
      </c>
      <c r="CC2" s="121" t="s">
        <v>47</v>
      </c>
      <c r="CD2" s="121"/>
      <c r="CE2" s="121"/>
      <c r="CF2" s="121"/>
      <c r="CG2" s="121" t="s">
        <v>50</v>
      </c>
      <c r="CH2" s="121"/>
      <c r="CI2" s="121"/>
      <c r="CJ2" s="121"/>
      <c r="CK2" s="121" t="s">
        <v>51</v>
      </c>
      <c r="CL2" s="121"/>
      <c r="CM2" s="121"/>
      <c r="CN2" s="121"/>
      <c r="CO2" s="130" t="s">
        <v>52</v>
      </c>
      <c r="CP2" s="130"/>
      <c r="CQ2" s="130"/>
      <c r="CR2" s="130"/>
      <c r="CS2" s="59" t="s">
        <v>35</v>
      </c>
      <c r="CT2" s="13" t="s">
        <v>34</v>
      </c>
      <c r="CU2" s="13" t="s">
        <v>33</v>
      </c>
      <c r="CV2" s="13" t="s">
        <v>28</v>
      </c>
      <c r="CW2" s="120" t="s">
        <v>47</v>
      </c>
      <c r="CX2" s="120"/>
      <c r="CY2" s="120"/>
      <c r="CZ2" s="120"/>
      <c r="DA2" s="120" t="s">
        <v>50</v>
      </c>
      <c r="DB2" s="120"/>
      <c r="DC2" s="120"/>
      <c r="DD2" s="120"/>
      <c r="DE2" s="120" t="s">
        <v>51</v>
      </c>
      <c r="DF2" s="120"/>
      <c r="DG2" s="120"/>
      <c r="DH2" s="120"/>
      <c r="DI2" s="131" t="s">
        <v>52</v>
      </c>
      <c r="DJ2" s="131"/>
      <c r="DK2" s="131"/>
      <c r="DL2" s="131"/>
      <c r="DM2" s="60" t="s">
        <v>35</v>
      </c>
      <c r="DN2" s="10" t="s">
        <v>34</v>
      </c>
      <c r="DO2" s="10" t="s">
        <v>33</v>
      </c>
      <c r="DP2" s="10" t="s">
        <v>28</v>
      </c>
      <c r="DQ2" s="121" t="s">
        <v>47</v>
      </c>
      <c r="DR2" s="121"/>
      <c r="DS2" s="121"/>
      <c r="DT2" s="121"/>
      <c r="DU2" s="121" t="s">
        <v>50</v>
      </c>
      <c r="DV2" s="121"/>
      <c r="DW2" s="121"/>
      <c r="DX2" s="121"/>
      <c r="DY2" s="121" t="s">
        <v>51</v>
      </c>
      <c r="DZ2" s="121"/>
      <c r="EA2" s="121"/>
      <c r="EB2" s="121"/>
      <c r="EC2" s="130" t="s">
        <v>52</v>
      </c>
      <c r="ED2" s="130"/>
      <c r="EE2" s="130"/>
      <c r="EF2" s="130"/>
      <c r="EG2" s="22" t="s">
        <v>35</v>
      </c>
      <c r="EH2" s="13" t="s">
        <v>34</v>
      </c>
      <c r="EI2" s="13" t="s">
        <v>33</v>
      </c>
      <c r="EJ2" s="13" t="s">
        <v>28</v>
      </c>
      <c r="EK2" s="120" t="s">
        <v>47</v>
      </c>
      <c r="EL2" s="120"/>
      <c r="EM2" s="120"/>
      <c r="EN2" s="120"/>
      <c r="EO2" s="120" t="s">
        <v>50</v>
      </c>
      <c r="EP2" s="120"/>
      <c r="EQ2" s="120"/>
      <c r="ER2" s="120"/>
      <c r="ES2" s="120" t="s">
        <v>51</v>
      </c>
      <c r="ET2" s="120"/>
      <c r="EU2" s="120"/>
      <c r="EV2" s="120"/>
      <c r="EW2" s="131" t="s">
        <v>52</v>
      </c>
      <c r="EX2" s="131"/>
      <c r="EY2" s="131"/>
      <c r="EZ2" s="131"/>
      <c r="FA2" s="23" t="s">
        <v>35</v>
      </c>
      <c r="FB2" s="10" t="s">
        <v>34</v>
      </c>
      <c r="FC2" s="10" t="s">
        <v>33</v>
      </c>
      <c r="FD2" s="10" t="s">
        <v>28</v>
      </c>
      <c r="FE2" s="121" t="s">
        <v>47</v>
      </c>
      <c r="FF2" s="121"/>
      <c r="FG2" s="121"/>
      <c r="FH2" s="121"/>
      <c r="FI2" s="121" t="s">
        <v>50</v>
      </c>
      <c r="FJ2" s="121"/>
      <c r="FK2" s="121"/>
      <c r="FL2" s="121"/>
      <c r="FM2" s="121" t="s">
        <v>51</v>
      </c>
      <c r="FN2" s="121"/>
      <c r="FO2" s="121"/>
      <c r="FP2" s="121"/>
      <c r="FQ2" s="130" t="s">
        <v>52</v>
      </c>
      <c r="FR2" s="130"/>
      <c r="FS2" s="130"/>
      <c r="FT2" s="130"/>
      <c r="FU2" s="22" t="s">
        <v>35</v>
      </c>
      <c r="FV2" s="13" t="s">
        <v>34</v>
      </c>
      <c r="FW2" s="13" t="s">
        <v>33</v>
      </c>
      <c r="FX2" s="13" t="s">
        <v>28</v>
      </c>
      <c r="FY2" s="120" t="s">
        <v>47</v>
      </c>
      <c r="FZ2" s="120"/>
      <c r="GA2" s="120"/>
      <c r="GB2" s="120"/>
      <c r="GC2" s="120" t="s">
        <v>50</v>
      </c>
      <c r="GD2" s="120"/>
      <c r="GE2" s="120"/>
      <c r="GF2" s="120"/>
      <c r="GG2" s="120" t="s">
        <v>51</v>
      </c>
      <c r="GH2" s="120"/>
      <c r="GI2" s="120"/>
      <c r="GJ2" s="120"/>
      <c r="GK2" s="131" t="s">
        <v>52</v>
      </c>
      <c r="GL2" s="131"/>
      <c r="GM2" s="131"/>
      <c r="GN2" s="131"/>
      <c r="GO2" s="23" t="s">
        <v>35</v>
      </c>
      <c r="GP2" s="10" t="s">
        <v>34</v>
      </c>
      <c r="GQ2" s="10" t="s">
        <v>33</v>
      </c>
      <c r="GR2" s="10" t="s">
        <v>28</v>
      </c>
      <c r="GS2" s="121" t="s">
        <v>47</v>
      </c>
      <c r="GT2" s="121"/>
      <c r="GU2" s="121"/>
      <c r="GV2" s="121"/>
      <c r="GW2" s="121" t="s">
        <v>50</v>
      </c>
      <c r="GX2" s="121"/>
      <c r="GY2" s="121"/>
      <c r="GZ2" s="121"/>
      <c r="HA2" s="121" t="s">
        <v>51</v>
      </c>
      <c r="HB2" s="121"/>
      <c r="HC2" s="121"/>
      <c r="HD2" s="121"/>
      <c r="HE2" s="130" t="s">
        <v>52</v>
      </c>
      <c r="HF2" s="130"/>
      <c r="HG2" s="130"/>
      <c r="HH2" s="130"/>
      <c r="HI2" s="22" t="s">
        <v>35</v>
      </c>
      <c r="HJ2" s="13" t="s">
        <v>34</v>
      </c>
      <c r="HK2" s="13" t="s">
        <v>33</v>
      </c>
      <c r="HL2" s="13" t="s">
        <v>28</v>
      </c>
      <c r="HM2" s="120" t="s">
        <v>47</v>
      </c>
      <c r="HN2" s="120"/>
      <c r="HO2" s="120"/>
      <c r="HP2" s="120"/>
      <c r="HQ2" s="120" t="s">
        <v>50</v>
      </c>
      <c r="HR2" s="120"/>
      <c r="HS2" s="120"/>
      <c r="HT2" s="120"/>
      <c r="HU2" s="120" t="s">
        <v>51</v>
      </c>
      <c r="HV2" s="120"/>
      <c r="HW2" s="120"/>
      <c r="HX2" s="120"/>
      <c r="HY2" s="131" t="s">
        <v>52</v>
      </c>
      <c r="HZ2" s="131"/>
      <c r="IA2" s="131"/>
      <c r="IB2" s="131"/>
      <c r="IC2" s="23" t="s">
        <v>35</v>
      </c>
      <c r="ID2" s="10" t="s">
        <v>34</v>
      </c>
      <c r="IE2" s="10" t="s">
        <v>33</v>
      </c>
      <c r="IF2" s="10" t="s">
        <v>28</v>
      </c>
      <c r="IG2" s="121" t="s">
        <v>47</v>
      </c>
      <c r="IH2" s="121"/>
      <c r="II2" s="121"/>
      <c r="IJ2" s="121"/>
      <c r="IK2" s="121" t="s">
        <v>50</v>
      </c>
      <c r="IL2" s="121"/>
      <c r="IM2" s="121"/>
      <c r="IN2" s="121"/>
      <c r="IO2" s="121" t="s">
        <v>51</v>
      </c>
      <c r="IP2" s="121"/>
      <c r="IQ2" s="121"/>
      <c r="IR2" s="121"/>
      <c r="IS2" s="130" t="s">
        <v>52</v>
      </c>
      <c r="IT2" s="130"/>
      <c r="IU2" s="130"/>
      <c r="IV2" s="130"/>
      <c r="IW2" s="22" t="s">
        <v>35</v>
      </c>
      <c r="IX2" s="13" t="s">
        <v>34</v>
      </c>
      <c r="IY2" s="13" t="s">
        <v>33</v>
      </c>
      <c r="IZ2" s="13" t="s">
        <v>28</v>
      </c>
      <c r="JA2" s="120" t="s">
        <v>47</v>
      </c>
      <c r="JB2" s="120"/>
      <c r="JC2" s="120"/>
      <c r="JD2" s="120"/>
      <c r="JE2" s="120" t="s">
        <v>50</v>
      </c>
      <c r="JF2" s="120"/>
      <c r="JG2" s="120"/>
      <c r="JH2" s="120"/>
      <c r="JI2" s="120" t="s">
        <v>51</v>
      </c>
      <c r="JJ2" s="120"/>
      <c r="JK2" s="120"/>
      <c r="JL2" s="120"/>
      <c r="JM2" s="131" t="s">
        <v>52</v>
      </c>
      <c r="JN2" s="131"/>
      <c r="JO2" s="131"/>
      <c r="JP2" s="131"/>
      <c r="JQ2" s="23" t="s">
        <v>35</v>
      </c>
      <c r="JR2" s="10" t="s">
        <v>34</v>
      </c>
      <c r="JS2" s="10" t="s">
        <v>33</v>
      </c>
      <c r="JT2" s="10" t="s">
        <v>28</v>
      </c>
      <c r="JU2" s="121" t="s">
        <v>47</v>
      </c>
      <c r="JV2" s="121"/>
      <c r="JW2" s="121"/>
      <c r="JX2" s="121"/>
      <c r="JY2" s="121" t="s">
        <v>50</v>
      </c>
      <c r="JZ2" s="121"/>
      <c r="KA2" s="121"/>
      <c r="KB2" s="121"/>
      <c r="KC2" s="121" t="s">
        <v>51</v>
      </c>
      <c r="KD2" s="121"/>
      <c r="KE2" s="121"/>
      <c r="KF2" s="121"/>
      <c r="KG2" s="130" t="s">
        <v>52</v>
      </c>
      <c r="KH2" s="130"/>
      <c r="KI2" s="130"/>
      <c r="KJ2" s="130"/>
      <c r="KK2" s="22" t="s">
        <v>35</v>
      </c>
      <c r="KL2" s="13" t="s">
        <v>34</v>
      </c>
      <c r="KM2" s="13" t="s">
        <v>33</v>
      </c>
      <c r="KN2" s="13" t="s">
        <v>28</v>
      </c>
      <c r="KO2" s="120" t="s">
        <v>47</v>
      </c>
      <c r="KP2" s="120"/>
      <c r="KQ2" s="120"/>
      <c r="KR2" s="120"/>
      <c r="KS2" s="120" t="s">
        <v>50</v>
      </c>
      <c r="KT2" s="120"/>
      <c r="KU2" s="120"/>
      <c r="KV2" s="120"/>
      <c r="KW2" s="120" t="s">
        <v>51</v>
      </c>
      <c r="KX2" s="120"/>
      <c r="KY2" s="120"/>
      <c r="KZ2" s="120"/>
      <c r="LA2" s="128" t="s">
        <v>52</v>
      </c>
      <c r="LB2" s="128"/>
      <c r="LC2" s="128"/>
      <c r="LD2" s="128"/>
      <c r="LE2" s="112"/>
      <c r="LF2" s="112" t="s">
        <v>35</v>
      </c>
      <c r="LG2" s="10" t="s">
        <v>34</v>
      </c>
      <c r="LH2" s="10" t="s">
        <v>33</v>
      </c>
      <c r="LI2" s="10" t="s">
        <v>28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0"/>
      <c r="AJ3" s="11"/>
      <c r="AK3" s="11"/>
      <c r="AL3" s="59" t="s">
        <v>25</v>
      </c>
      <c r="AM3" s="59" t="s">
        <v>17</v>
      </c>
      <c r="AN3" s="59" t="s">
        <v>48</v>
      </c>
      <c r="AO3" s="59" t="s">
        <v>49</v>
      </c>
      <c r="AP3" s="59" t="s">
        <v>25</v>
      </c>
      <c r="AQ3" s="59" t="s">
        <v>17</v>
      </c>
      <c r="AR3" s="59" t="s">
        <v>48</v>
      </c>
      <c r="AS3" s="59" t="s">
        <v>49</v>
      </c>
      <c r="AT3" s="59" t="s">
        <v>25</v>
      </c>
      <c r="AU3" s="59" t="s">
        <v>17</v>
      </c>
      <c r="AV3" s="59" t="s">
        <v>48</v>
      </c>
      <c r="AW3" s="59" t="s">
        <v>49</v>
      </c>
      <c r="AX3" s="61" t="s">
        <v>25</v>
      </c>
      <c r="AY3" s="61" t="s">
        <v>17</v>
      </c>
      <c r="AZ3" s="61" t="s">
        <v>48</v>
      </c>
      <c r="BA3" s="61" t="s">
        <v>49</v>
      </c>
      <c r="BB3" s="82" t="s">
        <v>125</v>
      </c>
      <c r="BC3" s="14"/>
      <c r="BD3" s="13"/>
      <c r="BE3" s="14"/>
      <c r="BF3" s="14"/>
      <c r="BG3" s="25"/>
      <c r="BH3" s="25"/>
      <c r="BI3" s="60" t="s">
        <v>25</v>
      </c>
      <c r="BJ3" s="60" t="s">
        <v>17</v>
      </c>
      <c r="BK3" s="60" t="s">
        <v>48</v>
      </c>
      <c r="BL3" s="60" t="s">
        <v>49</v>
      </c>
      <c r="BM3" s="60" t="s">
        <v>25</v>
      </c>
      <c r="BN3" s="60" t="s">
        <v>17</v>
      </c>
      <c r="BO3" s="60" t="s">
        <v>48</v>
      </c>
      <c r="BP3" s="60" t="s">
        <v>49</v>
      </c>
      <c r="BQ3" s="60" t="s">
        <v>25</v>
      </c>
      <c r="BR3" s="60" t="s">
        <v>17</v>
      </c>
      <c r="BS3" s="60" t="s">
        <v>48</v>
      </c>
      <c r="BT3" s="60" t="s">
        <v>49</v>
      </c>
      <c r="BU3" s="62" t="s">
        <v>25</v>
      </c>
      <c r="BV3" s="62" t="s">
        <v>17</v>
      </c>
      <c r="BW3" s="62" t="s">
        <v>48</v>
      </c>
      <c r="BX3" s="62" t="s">
        <v>49</v>
      </c>
      <c r="BY3" s="11"/>
      <c r="BZ3" s="10"/>
      <c r="CA3" s="11"/>
      <c r="CB3" s="11"/>
      <c r="CC3" s="59" t="s">
        <v>25</v>
      </c>
      <c r="CD3" s="59" t="s">
        <v>17</v>
      </c>
      <c r="CE3" s="59" t="s">
        <v>48</v>
      </c>
      <c r="CF3" s="59" t="s">
        <v>49</v>
      </c>
      <c r="CG3" s="59" t="s">
        <v>25</v>
      </c>
      <c r="CH3" s="59" t="s">
        <v>17</v>
      </c>
      <c r="CI3" s="59" t="s">
        <v>48</v>
      </c>
      <c r="CJ3" s="59" t="s">
        <v>49</v>
      </c>
      <c r="CK3" s="59" t="s">
        <v>25</v>
      </c>
      <c r="CL3" s="59" t="s">
        <v>17</v>
      </c>
      <c r="CM3" s="59" t="s">
        <v>48</v>
      </c>
      <c r="CN3" s="59" t="s">
        <v>49</v>
      </c>
      <c r="CO3" s="61" t="s">
        <v>25</v>
      </c>
      <c r="CP3" s="61" t="s">
        <v>17</v>
      </c>
      <c r="CQ3" s="61" t="s">
        <v>48</v>
      </c>
      <c r="CR3" s="61" t="s">
        <v>49</v>
      </c>
      <c r="CS3" s="14"/>
      <c r="CT3" s="13"/>
      <c r="CU3" s="14"/>
      <c r="CV3" s="14"/>
      <c r="CW3" s="60" t="s">
        <v>25</v>
      </c>
      <c r="CX3" s="60" t="s">
        <v>17</v>
      </c>
      <c r="CY3" s="60" t="s">
        <v>48</v>
      </c>
      <c r="CZ3" s="60" t="s">
        <v>49</v>
      </c>
      <c r="DA3" s="60" t="s">
        <v>25</v>
      </c>
      <c r="DB3" s="60" t="s">
        <v>17</v>
      </c>
      <c r="DC3" s="60" t="s">
        <v>48</v>
      </c>
      <c r="DD3" s="60" t="s">
        <v>49</v>
      </c>
      <c r="DE3" s="60" t="s">
        <v>25</v>
      </c>
      <c r="DF3" s="60" t="s">
        <v>17</v>
      </c>
      <c r="DG3" s="60" t="s">
        <v>48</v>
      </c>
      <c r="DH3" s="60" t="s">
        <v>49</v>
      </c>
      <c r="DI3" s="62" t="s">
        <v>25</v>
      </c>
      <c r="DJ3" s="62" t="s">
        <v>17</v>
      </c>
      <c r="DK3" s="62" t="s">
        <v>48</v>
      </c>
      <c r="DL3" s="62" t="s">
        <v>49</v>
      </c>
      <c r="DM3" s="11"/>
      <c r="DN3" s="10"/>
      <c r="DO3" s="11"/>
      <c r="DP3" s="11"/>
      <c r="DQ3" s="30" t="s">
        <v>25</v>
      </c>
      <c r="DR3" s="30" t="s">
        <v>17</v>
      </c>
      <c r="DS3" s="30" t="s">
        <v>48</v>
      </c>
      <c r="DT3" s="30" t="s">
        <v>49</v>
      </c>
      <c r="DU3" s="30" t="s">
        <v>25</v>
      </c>
      <c r="DV3" s="30" t="s">
        <v>17</v>
      </c>
      <c r="DW3" s="30" t="s">
        <v>48</v>
      </c>
      <c r="DX3" s="30" t="s">
        <v>49</v>
      </c>
      <c r="DY3" s="30" t="s">
        <v>25</v>
      </c>
      <c r="DZ3" s="30" t="s">
        <v>17</v>
      </c>
      <c r="EA3" s="30" t="s">
        <v>48</v>
      </c>
      <c r="EB3" s="30" t="s">
        <v>49</v>
      </c>
      <c r="EC3" s="33" t="s">
        <v>25</v>
      </c>
      <c r="ED3" s="33" t="s">
        <v>17</v>
      </c>
      <c r="EE3" s="33" t="s">
        <v>48</v>
      </c>
      <c r="EF3" s="33" t="s">
        <v>49</v>
      </c>
      <c r="EG3" s="14"/>
      <c r="EH3" s="13"/>
      <c r="EI3" s="14"/>
      <c r="EJ3" s="14"/>
      <c r="EK3" s="31" t="s">
        <v>25</v>
      </c>
      <c r="EL3" s="31" t="s">
        <v>17</v>
      </c>
      <c r="EM3" s="31" t="s">
        <v>48</v>
      </c>
      <c r="EN3" s="31" t="s">
        <v>49</v>
      </c>
      <c r="EO3" s="31" t="s">
        <v>25</v>
      </c>
      <c r="EP3" s="31" t="s">
        <v>17</v>
      </c>
      <c r="EQ3" s="31" t="s">
        <v>48</v>
      </c>
      <c r="ER3" s="31" t="s">
        <v>49</v>
      </c>
      <c r="ES3" s="31" t="s">
        <v>25</v>
      </c>
      <c r="ET3" s="31" t="s">
        <v>17</v>
      </c>
      <c r="EU3" s="31" t="s">
        <v>48</v>
      </c>
      <c r="EV3" s="31" t="s">
        <v>49</v>
      </c>
      <c r="EW3" s="32" t="s">
        <v>25</v>
      </c>
      <c r="EX3" s="32" t="s">
        <v>17</v>
      </c>
      <c r="EY3" s="32" t="s">
        <v>48</v>
      </c>
      <c r="EZ3" s="32" t="s">
        <v>49</v>
      </c>
      <c r="FA3" s="11"/>
      <c r="FB3" s="10"/>
      <c r="FC3" s="11"/>
      <c r="FD3" s="11"/>
      <c r="FE3" s="30" t="s">
        <v>25</v>
      </c>
      <c r="FF3" s="30" t="s">
        <v>17</v>
      </c>
      <c r="FG3" s="30" t="s">
        <v>48</v>
      </c>
      <c r="FH3" s="30" t="s">
        <v>49</v>
      </c>
      <c r="FI3" s="30" t="s">
        <v>25</v>
      </c>
      <c r="FJ3" s="30" t="s">
        <v>17</v>
      </c>
      <c r="FK3" s="30" t="s">
        <v>48</v>
      </c>
      <c r="FL3" s="30" t="s">
        <v>49</v>
      </c>
      <c r="FM3" s="30" t="s">
        <v>25</v>
      </c>
      <c r="FN3" s="30" t="s">
        <v>17</v>
      </c>
      <c r="FO3" s="30" t="s">
        <v>48</v>
      </c>
      <c r="FP3" s="30" t="s">
        <v>49</v>
      </c>
      <c r="FQ3" s="33" t="s">
        <v>25</v>
      </c>
      <c r="FR3" s="33" t="s">
        <v>17</v>
      </c>
      <c r="FS3" s="33" t="s">
        <v>48</v>
      </c>
      <c r="FT3" s="33" t="s">
        <v>49</v>
      </c>
      <c r="FU3" s="14"/>
      <c r="FV3" s="13"/>
      <c r="FW3" s="14"/>
      <c r="FX3" s="14"/>
      <c r="FY3" s="31" t="s">
        <v>25</v>
      </c>
      <c r="FZ3" s="31" t="s">
        <v>17</v>
      </c>
      <c r="GA3" s="31" t="s">
        <v>48</v>
      </c>
      <c r="GB3" s="31" t="s">
        <v>49</v>
      </c>
      <c r="GC3" s="31" t="s">
        <v>25</v>
      </c>
      <c r="GD3" s="31" t="s">
        <v>17</v>
      </c>
      <c r="GE3" s="31" t="s">
        <v>48</v>
      </c>
      <c r="GF3" s="31" t="s">
        <v>49</v>
      </c>
      <c r="GG3" s="31" t="s">
        <v>25</v>
      </c>
      <c r="GH3" s="31" t="s">
        <v>17</v>
      </c>
      <c r="GI3" s="31" t="s">
        <v>48</v>
      </c>
      <c r="GJ3" s="31" t="s">
        <v>49</v>
      </c>
      <c r="GK3" s="32" t="s">
        <v>25</v>
      </c>
      <c r="GL3" s="32" t="s">
        <v>17</v>
      </c>
      <c r="GM3" s="32" t="s">
        <v>48</v>
      </c>
      <c r="GN3" s="32" t="s">
        <v>49</v>
      </c>
      <c r="GO3" s="11"/>
      <c r="GP3" s="10"/>
      <c r="GQ3" s="11"/>
      <c r="GR3" s="11"/>
      <c r="GS3" s="30" t="s">
        <v>25</v>
      </c>
      <c r="GT3" s="30" t="s">
        <v>17</v>
      </c>
      <c r="GU3" s="30" t="s">
        <v>48</v>
      </c>
      <c r="GV3" s="30" t="s">
        <v>49</v>
      </c>
      <c r="GW3" s="30" t="s">
        <v>25</v>
      </c>
      <c r="GX3" s="30" t="s">
        <v>17</v>
      </c>
      <c r="GY3" s="30" t="s">
        <v>48</v>
      </c>
      <c r="GZ3" s="30" t="s">
        <v>49</v>
      </c>
      <c r="HA3" s="30" t="s">
        <v>25</v>
      </c>
      <c r="HB3" s="30" t="s">
        <v>17</v>
      </c>
      <c r="HC3" s="30" t="s">
        <v>48</v>
      </c>
      <c r="HD3" s="30" t="s">
        <v>49</v>
      </c>
      <c r="HE3" s="33" t="s">
        <v>25</v>
      </c>
      <c r="HF3" s="33" t="s">
        <v>17</v>
      </c>
      <c r="HG3" s="33" t="s">
        <v>48</v>
      </c>
      <c r="HH3" s="33" t="s">
        <v>49</v>
      </c>
      <c r="HI3" s="14"/>
      <c r="HJ3" s="13"/>
      <c r="HK3" s="14"/>
      <c r="HL3" s="14"/>
      <c r="HM3" s="31" t="s">
        <v>25</v>
      </c>
      <c r="HN3" s="31" t="s">
        <v>17</v>
      </c>
      <c r="HO3" s="31" t="s">
        <v>48</v>
      </c>
      <c r="HP3" s="31" t="s">
        <v>49</v>
      </c>
      <c r="HQ3" s="31" t="s">
        <v>25</v>
      </c>
      <c r="HR3" s="31" t="s">
        <v>17</v>
      </c>
      <c r="HS3" s="31" t="s">
        <v>48</v>
      </c>
      <c r="HT3" s="31" t="s">
        <v>49</v>
      </c>
      <c r="HU3" s="31" t="s">
        <v>25</v>
      </c>
      <c r="HV3" s="31" t="s">
        <v>17</v>
      </c>
      <c r="HW3" s="31" t="s">
        <v>48</v>
      </c>
      <c r="HX3" s="31" t="s">
        <v>49</v>
      </c>
      <c r="HY3" s="32" t="s">
        <v>25</v>
      </c>
      <c r="HZ3" s="32" t="s">
        <v>17</v>
      </c>
      <c r="IA3" s="32" t="s">
        <v>48</v>
      </c>
      <c r="IB3" s="32" t="s">
        <v>49</v>
      </c>
      <c r="IC3" s="11"/>
      <c r="ID3" s="10"/>
      <c r="IE3" s="11"/>
      <c r="IF3" s="11"/>
      <c r="IG3" s="30" t="s">
        <v>25</v>
      </c>
      <c r="IH3" s="30" t="s">
        <v>17</v>
      </c>
      <c r="II3" s="30" t="s">
        <v>48</v>
      </c>
      <c r="IJ3" s="30" t="s">
        <v>49</v>
      </c>
      <c r="IK3" s="30" t="s">
        <v>25</v>
      </c>
      <c r="IL3" s="30" t="s">
        <v>17</v>
      </c>
      <c r="IM3" s="30" t="s">
        <v>48</v>
      </c>
      <c r="IN3" s="30" t="s">
        <v>49</v>
      </c>
      <c r="IO3" s="30" t="s">
        <v>25</v>
      </c>
      <c r="IP3" s="30" t="s">
        <v>17</v>
      </c>
      <c r="IQ3" s="30" t="s">
        <v>48</v>
      </c>
      <c r="IR3" s="30" t="s">
        <v>49</v>
      </c>
      <c r="IS3" s="33" t="s">
        <v>25</v>
      </c>
      <c r="IT3" s="33" t="s">
        <v>17</v>
      </c>
      <c r="IU3" s="33" t="s">
        <v>48</v>
      </c>
      <c r="IV3" s="33" t="s">
        <v>49</v>
      </c>
      <c r="IW3" s="14"/>
      <c r="IX3" s="13"/>
      <c r="IY3" s="14"/>
      <c r="IZ3" s="14"/>
      <c r="JA3" s="31" t="s">
        <v>25</v>
      </c>
      <c r="JB3" s="31" t="s">
        <v>17</v>
      </c>
      <c r="JC3" s="31" t="s">
        <v>48</v>
      </c>
      <c r="JD3" s="31" t="s">
        <v>49</v>
      </c>
      <c r="JE3" s="31" t="s">
        <v>25</v>
      </c>
      <c r="JF3" s="31" t="s">
        <v>17</v>
      </c>
      <c r="JG3" s="31" t="s">
        <v>48</v>
      </c>
      <c r="JH3" s="31" t="s">
        <v>49</v>
      </c>
      <c r="JI3" s="31" t="s">
        <v>25</v>
      </c>
      <c r="JJ3" s="31" t="s">
        <v>17</v>
      </c>
      <c r="JK3" s="31" t="s">
        <v>48</v>
      </c>
      <c r="JL3" s="31" t="s">
        <v>49</v>
      </c>
      <c r="JM3" s="32" t="s">
        <v>25</v>
      </c>
      <c r="JN3" s="32" t="s">
        <v>17</v>
      </c>
      <c r="JO3" s="32" t="s">
        <v>48</v>
      </c>
      <c r="JP3" s="32" t="s">
        <v>49</v>
      </c>
      <c r="JQ3" s="11"/>
      <c r="JR3" s="10"/>
      <c r="JS3" s="11"/>
      <c r="JT3" s="11"/>
      <c r="JU3" s="30" t="s">
        <v>25</v>
      </c>
      <c r="JV3" s="30" t="s">
        <v>17</v>
      </c>
      <c r="JW3" s="30" t="s">
        <v>48</v>
      </c>
      <c r="JX3" s="30" t="s">
        <v>49</v>
      </c>
      <c r="JY3" s="30" t="s">
        <v>25</v>
      </c>
      <c r="JZ3" s="30" t="s">
        <v>17</v>
      </c>
      <c r="KA3" s="30" t="s">
        <v>48</v>
      </c>
      <c r="KB3" s="30" t="s">
        <v>49</v>
      </c>
      <c r="KC3" s="30" t="s">
        <v>25</v>
      </c>
      <c r="KD3" s="30" t="s">
        <v>17</v>
      </c>
      <c r="KE3" s="30" t="s">
        <v>48</v>
      </c>
      <c r="KF3" s="30" t="s">
        <v>49</v>
      </c>
      <c r="KG3" s="33" t="s">
        <v>25</v>
      </c>
      <c r="KH3" s="33" t="s">
        <v>17</v>
      </c>
      <c r="KI3" s="33" t="s">
        <v>48</v>
      </c>
      <c r="KJ3" s="33" t="s">
        <v>49</v>
      </c>
      <c r="KK3" s="14"/>
      <c r="KL3" s="13"/>
      <c r="KM3" s="14"/>
      <c r="KN3" s="14"/>
      <c r="KO3" s="112" t="s">
        <v>25</v>
      </c>
      <c r="KP3" s="112" t="s">
        <v>17</v>
      </c>
      <c r="KQ3" s="112" t="s">
        <v>48</v>
      </c>
      <c r="KR3" s="112" t="s">
        <v>49</v>
      </c>
      <c r="KS3" s="112" t="s">
        <v>25</v>
      </c>
      <c r="KT3" s="112" t="s">
        <v>17</v>
      </c>
      <c r="KU3" s="112" t="s">
        <v>48</v>
      </c>
      <c r="KV3" s="112" t="s">
        <v>49</v>
      </c>
      <c r="KW3" s="112" t="s">
        <v>25</v>
      </c>
      <c r="KX3" s="112" t="s">
        <v>17</v>
      </c>
      <c r="KY3" s="112" t="s">
        <v>48</v>
      </c>
      <c r="KZ3" s="112" t="s">
        <v>49</v>
      </c>
      <c r="LA3" s="113" t="s">
        <v>25</v>
      </c>
      <c r="LB3" s="113" t="s">
        <v>17</v>
      </c>
      <c r="LC3" s="113" t="s">
        <v>48</v>
      </c>
      <c r="LD3" s="113" t="s">
        <v>49</v>
      </c>
      <c r="LE3" s="112" t="s">
        <v>125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56</v>
      </c>
      <c r="C4" s="5" t="s">
        <v>3</v>
      </c>
      <c r="D4" s="29">
        <v>1992</v>
      </c>
      <c r="E4" s="16">
        <f t="shared" ref="E4:E9" si="1">SUM(J4:N4)</f>
        <v>148.9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>P</v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Merit</v>
      </c>
      <c r="J4" s="15">
        <f t="shared" ref="J4:J9" si="6">IF(MAX(AI4,BD4)&gt;0,MAX(AI4,BD4),"")</f>
        <v>73.800000000000011</v>
      </c>
      <c r="K4" s="15" t="str">
        <f t="shared" ref="K4:K9" si="7">IF(J4="","",IF(J4=BD4,$AL$1,IF(J4=AI4,$Q$1,"")))</f>
        <v>2018 Nationals</v>
      </c>
      <c r="L4" s="15">
        <f t="shared" ref="L4:L9" si="8">IF(MAX(AJ4,BE4)&gt;0,MAX(AJ4,BE4),"")</f>
        <v>75.099999999999994</v>
      </c>
      <c r="M4" s="15" t="str">
        <f t="shared" ref="M4:M9" si="9">IF(L4="","",IF(L4=BE4,$AL$1,IF(L4=AJ4,$Q$1,"")))</f>
        <v>2018 Nationals</v>
      </c>
      <c r="N4" s="15" t="str">
        <f t="shared" ref="N4:N9" si="10">IF(MAX(BG4:BH4)&gt;0,MAX(BG4:BH4),"")</f>
        <v/>
      </c>
      <c r="O4" s="27" t="str">
        <f t="shared" ref="O4:O9" si="11"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2">
        <v>27.2</v>
      </c>
      <c r="R4" s="72">
        <v>8.5</v>
      </c>
      <c r="S4" s="72">
        <v>0</v>
      </c>
      <c r="T4" s="72">
        <v>1</v>
      </c>
      <c r="U4" s="72">
        <v>26.2</v>
      </c>
      <c r="V4" s="72">
        <v>9.9</v>
      </c>
      <c r="W4" s="72">
        <v>0</v>
      </c>
      <c r="X4" s="72">
        <v>1</v>
      </c>
      <c r="Y4" s="72">
        <v>28</v>
      </c>
      <c r="Z4" s="72">
        <v>8.8000000000000007</v>
      </c>
      <c r="AA4" s="72">
        <v>0</v>
      </c>
      <c r="AB4" s="72">
        <v>0</v>
      </c>
      <c r="AC4" s="72">
        <v>27.4</v>
      </c>
      <c r="AD4" s="72">
        <v>9.9</v>
      </c>
      <c r="AE4" s="72">
        <v>0</v>
      </c>
      <c r="AF4" s="72">
        <v>1</v>
      </c>
      <c r="AG4" s="83"/>
      <c r="AH4" s="12">
        <f t="shared" ref="AH4:AH9" si="12">IF(SUM(R4,V4)&gt;0,SUM(R4,V4),"")</f>
        <v>18.399999999999999</v>
      </c>
      <c r="AI4" s="12">
        <f t="shared" ref="AI4:AI9" si="13">IF(SUM(Q4:R4,T4:V4,X4)-S4-W4&gt;0,SUM(Q4:R4,T4:V4,X4)-S4-W4,"")</f>
        <v>73.800000000000011</v>
      </c>
      <c r="AJ4" s="12">
        <f t="shared" ref="AJ4:AJ9" si="14">IF(SUM(Y4:Z4,AB4:AD4,AF4)-SUM(AA4,AE4)&gt;0,SUM(Y4:Z4,AB4:AD4,AF4)-SUM(AA4,AE4),"")</f>
        <v>75.099999999999994</v>
      </c>
      <c r="AK4" s="12">
        <f t="shared" ref="AK4:AK9" si="15">IF(SUM(AI4,AJ4)&gt;0,SUM(AI4,AJ4),"")</f>
        <v>148.9</v>
      </c>
      <c r="AL4" s="40">
        <v>28.1</v>
      </c>
      <c r="AM4" s="40">
        <v>5.8</v>
      </c>
      <c r="AN4" s="40">
        <v>0</v>
      </c>
      <c r="AO4" s="40">
        <v>0</v>
      </c>
      <c r="AP4" s="40">
        <v>25.1</v>
      </c>
      <c r="AQ4" s="40">
        <v>8.6999999999999993</v>
      </c>
      <c r="AR4" s="40">
        <v>0</v>
      </c>
      <c r="AS4" s="40">
        <v>1</v>
      </c>
      <c r="AT4" s="40">
        <v>27.3</v>
      </c>
      <c r="AU4" s="40">
        <v>9.1</v>
      </c>
      <c r="AV4" s="40">
        <v>0</v>
      </c>
      <c r="AW4" s="40">
        <v>1</v>
      </c>
      <c r="AX4" s="40">
        <v>13</v>
      </c>
      <c r="AY4" s="40">
        <v>3.5</v>
      </c>
      <c r="AZ4" s="40">
        <v>0</v>
      </c>
      <c r="BA4" s="40">
        <v>0</v>
      </c>
      <c r="BB4" s="84"/>
      <c r="BC4" s="15">
        <f t="shared" ref="BC4:BC9" si="16">IF(SUM(AM4,AQ4)&gt;0,SUM(AM4,AQ4),"")</f>
        <v>14.5</v>
      </c>
      <c r="BD4" s="15">
        <f t="shared" ref="BD4:BD9" si="17">IF(SUM(AL4:AM4,AO4:AQ4,AS4)-AN4-AR4&gt;0,SUM(AL4:AM4,AO4:AQ4,AS4)-AN4-AR4,"")</f>
        <v>68.7</v>
      </c>
      <c r="BE4" s="15">
        <f t="shared" ref="BE4:BE9" si="18">IF(SUM(AT4:AU4,AW4:AY4,BA4)-SUM(AV4,AZ4)&gt;0,SUM(AT4:AU4,AW4:AY4,BA4)-SUM(AV4,AZ4),"")</f>
        <v>53.9</v>
      </c>
      <c r="BF4" s="15">
        <f t="shared" ref="BF4:BF9" si="19">IF(SUM(BD4,BE4)&gt;0,SUM(BD4,BE4),"")</f>
        <v>122.6</v>
      </c>
      <c r="BG4" s="26" t="str">
        <f t="shared" ref="BG4:BG9" si="20">IF(MAX(BY4,CS4,DM4,EG4,FA4,FU4,GO4,HI4,IC4,IW4,JQ4,KK4)-IF(J4="",0,J4)&gt;0.001,MAX(BY4,CS4,DM4,EG4,FA4,FU4,GO4,HI4,IC4,IW4,JQ4,KK4)-IF(J4="",0,J4),"")</f>
        <v/>
      </c>
      <c r="BH4" s="26" t="str">
        <f t="shared" ref="BH4:BH9" si="21"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 t="shared" ref="BY4:BY9" si="22">IF(SUM(BJ4,BN4)&gt;0,SUM(BJ4,BN4),"")</f>
        <v/>
      </c>
      <c r="BZ4" s="12" t="str">
        <f t="shared" ref="BZ4:BZ9" si="23">IF(SUM(BI4:BJ4,BL4:BN4,BP4)-BK4-BO4&gt;0,SUM(BI4:BJ4,BL4:BN4,BP4)-BK4-BO4,"")</f>
        <v/>
      </c>
      <c r="CA4" s="12" t="str">
        <f t="shared" ref="CA4:CA9" si="24">IF(SUM(BQ4:BR4,BT4:BV4,BX4)-SUM(BS4,BW4)&gt;0,SUM(BQ4:BR4,BT4:BV4,BX4)-SUM(BS4,BW4),"")</f>
        <v/>
      </c>
      <c r="CB4" s="12" t="str">
        <f t="shared" ref="CB4:CB9" si="25">IF(SUM(BZ4,CA4)&gt;0,SUM(BZ4,CA4),"")</f>
        <v/>
      </c>
      <c r="CC4" s="40">
        <v>23.7</v>
      </c>
      <c r="CD4" s="40">
        <v>5.5</v>
      </c>
      <c r="CE4" s="40">
        <v>0</v>
      </c>
      <c r="CF4" s="40">
        <v>0</v>
      </c>
      <c r="CG4" s="40">
        <v>26.5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 t="shared" ref="CS4:CS9" si="26">IF(SUM(CD4,CH4)&gt;0,SUM(CD4,CH4),"")</f>
        <v>14.8</v>
      </c>
      <c r="CT4" s="15">
        <f t="shared" ref="CT4:CT9" si="27">IF(SUM(CC4:CD4,CF4:CH4,CJ4)-CE4-CI4&gt;0,SUM(CC4:CD4,CF4:CH4,CJ4)-CE4-CI4,"")</f>
        <v>65</v>
      </c>
      <c r="CU4" s="15" t="str">
        <f t="shared" ref="CU4:CU9" si="28">IF(SUM(CK4:CL4,CN4:CP4,CR4)-SUM(CM4,CQ4)&gt;0,SUM(CK4:CL4,CN4:CP4,CR4)-SUM(CM4,CQ4),"")</f>
        <v/>
      </c>
      <c r="CV4" s="15">
        <f t="shared" ref="CV4:CV9" si="29">IF(SUM(CT4,CU4)&gt;0,SUM(CT4,CU4),"")</f>
        <v>65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 t="shared" ref="DM4:DM9" si="30">IF(SUM(CX4,DB4)&gt;0,SUM(CX4,DB4),"")</f>
        <v/>
      </c>
      <c r="DN4" s="12" t="str">
        <f t="shared" ref="DN4:DN9" si="31">IF(SUM(CW4:CX4,CZ4:DB4,DD4)-CY4-DC4&gt;0,SUM(CW4:CX4,CZ4:DB4,DD4)-CY4-DC4,"")</f>
        <v/>
      </c>
      <c r="DO4" s="12" t="str">
        <f t="shared" ref="DO4:DO9" si="32">IF(SUM(DE4:DF4,DH4:DJ4,DL4)-SUM(DG4,DK4)&gt;0,SUM(DE4:DF4,DH4:DJ4,DL4)-SUM(DG4,DK4),"")</f>
        <v/>
      </c>
      <c r="DP4" s="12" t="str">
        <f t="shared" ref="DP4:DP9" si="33"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 t="shared" ref="EG4:EG9" si="34">IF(SUM(DR4,DV4)&gt;0,SUM(DR4,DV4),"")</f>
        <v/>
      </c>
      <c r="EH4" s="15" t="str">
        <f t="shared" ref="EH4:EH9" si="35">IF(SUM(DQ4:DR4,DT4:DV4,DX4)-DS4-DW4&gt;0,SUM(DQ4:DR4,DT4:DV4,DX4)-DS4-DW4,"")</f>
        <v/>
      </c>
      <c r="EI4" s="15" t="str">
        <f t="shared" ref="EI4:EI9" si="36">IF(SUM(DY4:DZ4,EB4:ED4,EF4)-SUM(EA4,EE4)&gt;0,SUM(DY4:DZ4,EB4:ED4,EF4)-SUM(EA4,EE4),"")</f>
        <v/>
      </c>
      <c r="EJ4" s="15" t="str">
        <f t="shared" ref="EJ4:EJ9" si="37"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 t="shared" ref="FA4:FA9" si="38">IF(SUM(EL4,EP4)&gt;0,SUM(EL4,EP4),"")</f>
        <v/>
      </c>
      <c r="FB4" s="12" t="str">
        <f t="shared" ref="FB4:FB9" si="39">IF(SUM(EK4:EL4,EN4:EP4,ER4)-EM4-EQ4&gt;0,SUM(EK4:EL4,EN4:EP4,ER4)-EM4-EQ4,"")</f>
        <v/>
      </c>
      <c r="FC4" s="12" t="str">
        <f t="shared" ref="FC4:FC9" si="40">IF(SUM(ES4:ET4,EV4:EX4,EZ4)-SUM(EU4,EY4)&gt;0,SUM(ES4:ET4,EV4:EX4,EZ4)-SUM(EU4,EY4),"")</f>
        <v/>
      </c>
      <c r="FD4" s="12" t="str">
        <f t="shared" ref="FD4:FD9" si="41"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 t="shared" ref="FU4:FU9" si="42">IF(SUM(FF4,FJ4)&gt;0,SUM(FF4,FJ4),"")</f>
        <v/>
      </c>
      <c r="FV4" s="15" t="str">
        <f t="shared" ref="FV4:FV9" si="43">IF(SUM(FE4:FF4,FH4:FJ4,FL4)-FG4-FK4&gt;0,SUM(FE4:FF4,FH4:FJ4,FL4)-FG4-FK4,"")</f>
        <v/>
      </c>
      <c r="FW4" s="15" t="str">
        <f t="shared" ref="FW4:FW9" si="44">IF(SUM(FM4:FN4,FP4:FR4,FT4)-SUM(FO4,FS4)&gt;0,SUM(FM4:FN4,FP4:FR4,FT4)-SUM(FO4,FS4),"")</f>
        <v/>
      </c>
      <c r="FX4" s="15" t="str">
        <f t="shared" ref="FX4:FX9" si="45"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 t="shared" ref="GO4:GO9" si="46">IF(SUM(FZ4,GD4)&gt;0,SUM(FZ4,GD4),"")</f>
        <v/>
      </c>
      <c r="GP4" s="12" t="str">
        <f t="shared" ref="GP4:GP9" si="47">IF(SUM(FY4:FZ4,GB4:GD4,GF4)-GA4-GE4&gt;0,SUM(FY4:FZ4,GB4:GD4,GF4)-GA4-GE4,"")</f>
        <v/>
      </c>
      <c r="GQ4" s="12" t="str">
        <f t="shared" ref="GQ4:GQ9" si="48">IF(SUM(GG4:GH4,GJ4:GL4,GN4)-SUM(GI4,GM4)&gt;0,SUM(GG4:GH4,GJ4:GL4,GN4)-SUM(GI4,GM4),"")</f>
        <v/>
      </c>
      <c r="GR4" s="12" t="str">
        <f t="shared" ref="GR4:GR9" si="49"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 t="shared" ref="HI4:HI9" si="50">IF(SUM(GT4,GX4)&gt;0,SUM(GT4,GX4),"")</f>
        <v/>
      </c>
      <c r="HJ4" s="15" t="str">
        <f t="shared" ref="HJ4:HJ9" si="51">IF(SUM(GS4:GT4,GV4:GX4,GZ4)-GU4-GY4&gt;0,SUM(GS4:GT4,GV4:GX4,GZ4)-GU4-GY4,"")</f>
        <v/>
      </c>
      <c r="HK4" s="15" t="str">
        <f t="shared" ref="HK4:HK9" si="52">IF(SUM(HA4:HB4,HD4:HF4,HH4)-SUM(HC4,HG4)&gt;0,SUM(HA4:HB4,HD4:HF4,HH4)-SUM(HC4,HG4),"")</f>
        <v/>
      </c>
      <c r="HL4" s="15" t="str">
        <f t="shared" ref="HL4:HL9" si="53"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 t="shared" ref="IC4:IC9" si="54">IF(SUM(HN4,HR4)&gt;0,SUM(HN4,HR4),"")</f>
        <v/>
      </c>
      <c r="ID4" s="12" t="str">
        <f t="shared" ref="ID4:ID9" si="55">IF(SUM(HM4:HN4,HP4:HR4,HT4)-HO4-HS4&gt;0,SUM(HM4:HN4,HP4:HR4,HT4)-HO4-HS4,"")</f>
        <v/>
      </c>
      <c r="IE4" s="12" t="str">
        <f t="shared" ref="IE4:IE9" si="56">IF(SUM(HU4:HV4,HX4:HZ4,IB4)-SUM(HW4,IA4)&gt;0,SUM(HU4:HV4,HX4:HZ4,IB4)-SUM(HW4,IA4),"")</f>
        <v/>
      </c>
      <c r="IF4" s="12" t="str">
        <f t="shared" ref="IF4:IF9" si="57"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 t="shared" ref="IW4:IW9" si="58">IF(SUM(IH4,IL4)&gt;0,SUM(IH4,IL4),"")</f>
        <v/>
      </c>
      <c r="IX4" s="15" t="str">
        <f t="shared" ref="IX4:IX9" si="59">IF(SUM(IG4:IH4,IJ4:IL4,IN4)-II4-IM4&gt;0,SUM(IG4:IH4,IJ4:IL4,IN4)-II4-IM4,"")</f>
        <v/>
      </c>
      <c r="IY4" s="15" t="str">
        <f t="shared" ref="IY4:IY9" si="60">IF(SUM(IO4:IP4,IR4:IT4,IV4)-SUM(IQ4,IU4)&gt;0,SUM(IO4:IP4,IR4:IT4,IV4)-SUM(IQ4,IU4),"")</f>
        <v/>
      </c>
      <c r="IZ4" s="15" t="str">
        <f t="shared" ref="IZ4:IZ9" si="61"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 t="shared" ref="JQ4:JQ9" si="62">IF(SUM(JB4,JF4)&gt;0,SUM(JB4,JF4),"")</f>
        <v/>
      </c>
      <c r="JR4" s="12" t="str">
        <f t="shared" ref="JR4:JR9" si="63">IF(SUM(JA4:JB4,JD4:JF4,JH4)-JC4-JG4&gt;0,SUM(JA4:JB4,JD4:JF4,JH4)-JC4-JG4,"")</f>
        <v/>
      </c>
      <c r="JS4" s="12" t="str">
        <f t="shared" ref="JS4:JS9" si="64">IF(SUM(JI4:JJ4,JL4:JN4,JP4)-SUM(JK4,JO4)&gt;0,SUM(JI4:JJ4,JL4:JN4,JP4)-SUM(JK4,JO4),"")</f>
        <v/>
      </c>
      <c r="JT4" s="12" t="str">
        <f t="shared" ref="JT4:JT9" si="65"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 t="shared" ref="KK4:KK9" si="66">IF(SUM(JV4,JZ4)&gt;0,SUM(JV4,JZ4),"")</f>
        <v/>
      </c>
      <c r="KL4" s="15" t="str">
        <f t="shared" ref="KL4:KL9" si="67">IF(SUM(JU4:JV4,JX4:JZ4,KB4)-JW4-KA4&gt;0,SUM(JU4:JV4,JX4:JZ4,KB4)-JW4-KA4,"")</f>
        <v/>
      </c>
      <c r="KM4" s="15" t="str">
        <f t="shared" ref="KM4:KM9" si="68">IF(SUM(KC4:KD4,KF4:KH4,KJ4)-SUM(KE4,KI4)&gt;0,SUM(KC4:KD4,KF4:KH4,KJ4)-SUM(KE4,KI4),"")</f>
        <v/>
      </c>
      <c r="KN4" s="15" t="str">
        <f t="shared" ref="KN4:KN9" si="69">IF(SUM(KL4,KM4)&gt;0,SUM(KL4,KM4),"")</f>
        <v/>
      </c>
      <c r="KO4" s="72">
        <f>(Q4+AL4)/2</f>
        <v>27.65</v>
      </c>
      <c r="KP4" s="72">
        <f t="shared" ref="KP4:LD4" si="70">(R4+AM4)/2</f>
        <v>7.15</v>
      </c>
      <c r="KQ4" s="72">
        <f t="shared" si="70"/>
        <v>0</v>
      </c>
      <c r="KR4" s="72">
        <f t="shared" si="70"/>
        <v>0.5</v>
      </c>
      <c r="KS4" s="72">
        <f t="shared" si="70"/>
        <v>25.65</v>
      </c>
      <c r="KT4" s="72">
        <f t="shared" si="70"/>
        <v>9.3000000000000007</v>
      </c>
      <c r="KU4" s="72">
        <f t="shared" si="70"/>
        <v>0</v>
      </c>
      <c r="KV4" s="72">
        <f t="shared" si="70"/>
        <v>1</v>
      </c>
      <c r="KW4" s="72">
        <f t="shared" si="70"/>
        <v>27.65</v>
      </c>
      <c r="KX4" s="72">
        <f t="shared" si="70"/>
        <v>8.9499999999999993</v>
      </c>
      <c r="KY4" s="72">
        <f t="shared" si="70"/>
        <v>0</v>
      </c>
      <c r="KZ4" s="72">
        <f t="shared" si="70"/>
        <v>0.5</v>
      </c>
      <c r="LA4" s="72">
        <f t="shared" si="70"/>
        <v>20.2</v>
      </c>
      <c r="LB4" s="72">
        <f t="shared" si="70"/>
        <v>6.7</v>
      </c>
      <c r="LC4" s="72">
        <f t="shared" si="70"/>
        <v>0</v>
      </c>
      <c r="LD4" s="72">
        <f t="shared" si="70"/>
        <v>0.5</v>
      </c>
      <c r="LE4" s="83" t="s">
        <v>126</v>
      </c>
      <c r="LF4" s="12">
        <f t="shared" ref="LF4" si="71">IF(SUM(KP4,KT4)&gt;0,SUM(KP4,KT4),"")</f>
        <v>16.450000000000003</v>
      </c>
      <c r="LG4" s="12">
        <f t="shared" ref="LG4" si="72">IF(SUM(KO4:KP4,KR4:KT4,KV4)-KQ4-KU4&gt;0,SUM(KO4:KP4,KR4:KT4,KV4)-KQ4-KU4,"")</f>
        <v>71.25</v>
      </c>
      <c r="LH4" s="12">
        <f t="shared" ref="LH4" si="73">IF(SUM(KW4:KX4,KZ4:LB4,LD4)-SUM(KY4,LC4)&gt;0,SUM(KW4:KX4,KZ4:LB4,LD4)-SUM(KY4,LC4),"")</f>
        <v>64.5</v>
      </c>
      <c r="LI4" s="12">
        <f t="shared" ref="LI4" si="74">IF(SUM(LG4,LH4)&gt;0,SUM(LG4,LH4),"")</f>
        <v>135.75</v>
      </c>
    </row>
    <row r="5" spans="1:321" x14ac:dyDescent="0.2">
      <c r="A5" s="6">
        <f t="shared" si="0"/>
        <v>2</v>
      </c>
      <c r="B5" s="7" t="s">
        <v>62</v>
      </c>
      <c r="C5" s="8" t="s">
        <v>3</v>
      </c>
      <c r="D5" s="6">
        <v>1995</v>
      </c>
      <c r="E5" s="16">
        <f t="shared" si="1"/>
        <v>139.69999999999999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72.599999999999994</v>
      </c>
      <c r="K5" s="15" t="str">
        <f t="shared" si="7"/>
        <v>2018 3rd Domestic Trial</v>
      </c>
      <c r="L5" s="15">
        <f t="shared" si="8"/>
        <v>67.099999999999994</v>
      </c>
      <c r="M5" s="15" t="str">
        <f t="shared" si="9"/>
        <v>2018 3rd Domestic Trial</v>
      </c>
      <c r="N5" s="15" t="str">
        <f t="shared" si="10"/>
        <v/>
      </c>
      <c r="O5" s="27" t="str">
        <f t="shared" si="11"/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83"/>
      <c r="AH5" s="12" t="str">
        <f t="shared" si="12"/>
        <v/>
      </c>
      <c r="AI5" s="12" t="str">
        <f t="shared" si="13"/>
        <v/>
      </c>
      <c r="AJ5" s="12" t="str">
        <f t="shared" si="14"/>
        <v/>
      </c>
      <c r="AK5" s="12" t="str">
        <f t="shared" si="15"/>
        <v/>
      </c>
      <c r="AL5" s="40">
        <v>28.4</v>
      </c>
      <c r="AM5" s="40">
        <v>7.8</v>
      </c>
      <c r="AN5" s="40">
        <v>0</v>
      </c>
      <c r="AO5" s="40">
        <v>1</v>
      </c>
      <c r="AP5" s="40">
        <v>28.1</v>
      </c>
      <c r="AQ5" s="40">
        <v>7.3</v>
      </c>
      <c r="AR5" s="40">
        <v>0</v>
      </c>
      <c r="AS5" s="40">
        <v>0</v>
      </c>
      <c r="AT5" s="40">
        <v>28</v>
      </c>
      <c r="AU5" s="40">
        <v>6.6</v>
      </c>
      <c r="AV5" s="40">
        <v>0</v>
      </c>
      <c r="AW5" s="40">
        <v>0</v>
      </c>
      <c r="AX5" s="40">
        <v>25.2</v>
      </c>
      <c r="AY5" s="40">
        <v>7.3</v>
      </c>
      <c r="AZ5" s="40">
        <v>0</v>
      </c>
      <c r="BA5" s="40">
        <v>0</v>
      </c>
      <c r="BB5" s="84"/>
      <c r="BC5" s="15">
        <f t="shared" si="16"/>
        <v>15.1</v>
      </c>
      <c r="BD5" s="15">
        <f t="shared" si="17"/>
        <v>72.599999999999994</v>
      </c>
      <c r="BE5" s="15">
        <f t="shared" si="18"/>
        <v>67.099999999999994</v>
      </c>
      <c r="BF5" s="15">
        <f t="shared" si="19"/>
        <v>139.69999999999999</v>
      </c>
      <c r="BG5" s="26" t="str">
        <f t="shared" si="20"/>
        <v/>
      </c>
      <c r="BH5" s="26" t="str">
        <f t="shared" si="21"/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 t="shared" si="22"/>
        <v/>
      </c>
      <c r="BZ5" s="12" t="str">
        <f t="shared" si="23"/>
        <v/>
      </c>
      <c r="CA5" s="12" t="str">
        <f t="shared" si="24"/>
        <v/>
      </c>
      <c r="CB5" s="12" t="str">
        <f t="shared" si="25"/>
        <v/>
      </c>
      <c r="CC5" s="40">
        <v>26.7</v>
      </c>
      <c r="CD5" s="40">
        <v>5.4</v>
      </c>
      <c r="CE5" s="40">
        <v>0</v>
      </c>
      <c r="CF5" s="40">
        <v>0</v>
      </c>
      <c r="CG5" s="40">
        <v>27</v>
      </c>
      <c r="CH5" s="40">
        <v>7.3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 t="shared" si="26"/>
        <v>12.7</v>
      </c>
      <c r="CT5" s="15">
        <f t="shared" si="27"/>
        <v>66.400000000000006</v>
      </c>
      <c r="CU5" s="15" t="str">
        <f t="shared" si="28"/>
        <v/>
      </c>
      <c r="CV5" s="15">
        <f t="shared" si="29"/>
        <v>66.400000000000006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 t="shared" si="30"/>
        <v/>
      </c>
      <c r="DN5" s="12" t="str">
        <f t="shared" si="31"/>
        <v/>
      </c>
      <c r="DO5" s="12" t="str">
        <f t="shared" si="32"/>
        <v/>
      </c>
      <c r="DP5" s="12" t="str">
        <f t="shared" si="33"/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 t="shared" si="34"/>
        <v/>
      </c>
      <c r="EH5" s="15" t="str">
        <f t="shared" si="35"/>
        <v/>
      </c>
      <c r="EI5" s="15" t="str">
        <f t="shared" si="36"/>
        <v/>
      </c>
      <c r="EJ5" s="15" t="str">
        <f t="shared" si="37"/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 t="shared" si="38"/>
        <v/>
      </c>
      <c r="FB5" s="12" t="str">
        <f t="shared" si="39"/>
        <v/>
      </c>
      <c r="FC5" s="12" t="str">
        <f t="shared" si="40"/>
        <v/>
      </c>
      <c r="FD5" s="12" t="str">
        <f t="shared" si="41"/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 t="shared" si="42"/>
        <v/>
      </c>
      <c r="FV5" s="15" t="str">
        <f t="shared" si="43"/>
        <v/>
      </c>
      <c r="FW5" s="15" t="str">
        <f t="shared" si="44"/>
        <v/>
      </c>
      <c r="FX5" s="15" t="str">
        <f t="shared" si="45"/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 t="shared" si="46"/>
        <v/>
      </c>
      <c r="GP5" s="12" t="str">
        <f t="shared" si="47"/>
        <v/>
      </c>
      <c r="GQ5" s="12" t="str">
        <f t="shared" si="48"/>
        <v/>
      </c>
      <c r="GR5" s="12" t="str">
        <f t="shared" si="49"/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 t="shared" si="50"/>
        <v/>
      </c>
      <c r="HJ5" s="15" t="str">
        <f t="shared" si="51"/>
        <v/>
      </c>
      <c r="HK5" s="15" t="str">
        <f t="shared" si="52"/>
        <v/>
      </c>
      <c r="HL5" s="15" t="str">
        <f t="shared" si="53"/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 t="shared" si="54"/>
        <v/>
      </c>
      <c r="ID5" s="12" t="str">
        <f t="shared" si="55"/>
        <v/>
      </c>
      <c r="IE5" s="12" t="str">
        <f t="shared" si="56"/>
        <v/>
      </c>
      <c r="IF5" s="12" t="str">
        <f t="shared" si="57"/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 t="shared" si="58"/>
        <v/>
      </c>
      <c r="IX5" s="15" t="str">
        <f t="shared" si="59"/>
        <v/>
      </c>
      <c r="IY5" s="15" t="str">
        <f t="shared" si="60"/>
        <v/>
      </c>
      <c r="IZ5" s="15" t="str">
        <f t="shared" si="61"/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 t="shared" si="62"/>
        <v/>
      </c>
      <c r="JR5" s="12" t="str">
        <f t="shared" si="63"/>
        <v/>
      </c>
      <c r="JS5" s="12" t="str">
        <f t="shared" si="64"/>
        <v/>
      </c>
      <c r="JT5" s="12" t="str">
        <f t="shared" si="65"/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 t="shared" si="66"/>
        <v/>
      </c>
      <c r="KL5" s="15" t="str">
        <f t="shared" si="67"/>
        <v/>
      </c>
      <c r="KM5" s="15" t="str">
        <f t="shared" si="68"/>
        <v/>
      </c>
      <c r="KN5" s="15" t="str">
        <f t="shared" si="69"/>
        <v/>
      </c>
      <c r="KO5" s="72">
        <f t="shared" ref="KO5:KO9" si="75">(Q5+AL5)/2</f>
        <v>14.2</v>
      </c>
      <c r="KP5" s="72">
        <f t="shared" ref="KP5:KP9" si="76">(R5+AM5)/2</f>
        <v>3.9</v>
      </c>
      <c r="KQ5" s="72">
        <f t="shared" ref="KQ5:KQ9" si="77">(S5+AN5)/2</f>
        <v>0</v>
      </c>
      <c r="KR5" s="72">
        <f t="shared" ref="KR5:KR9" si="78">(T5+AO5)/2</f>
        <v>0.5</v>
      </c>
      <c r="KS5" s="72">
        <f t="shared" ref="KS5:KS9" si="79">(U5+AP5)/2</f>
        <v>14.05</v>
      </c>
      <c r="KT5" s="72">
        <f t="shared" ref="KT5:KT9" si="80">(V5+AQ5)/2</f>
        <v>3.65</v>
      </c>
      <c r="KU5" s="72">
        <f t="shared" ref="KU5:KU9" si="81">(W5+AR5)/2</f>
        <v>0</v>
      </c>
      <c r="KV5" s="72">
        <f t="shared" ref="KV5:KV9" si="82">(X5+AS5)/2</f>
        <v>0</v>
      </c>
      <c r="KW5" s="72">
        <f t="shared" ref="KW5:KW9" si="83">(Y5+AT5)/2</f>
        <v>14</v>
      </c>
      <c r="KX5" s="72">
        <f t="shared" ref="KX5:KX9" si="84">(Z5+AU5)/2</f>
        <v>3.3</v>
      </c>
      <c r="KY5" s="72">
        <f t="shared" ref="KY5:KY9" si="85">(AA5+AV5)/2</f>
        <v>0</v>
      </c>
      <c r="KZ5" s="72">
        <f t="shared" ref="KZ5:KZ9" si="86">(AB5+AW5)/2</f>
        <v>0</v>
      </c>
      <c r="LA5" s="72">
        <f t="shared" ref="LA5:LA9" si="87">(AC5+AX5)/2</f>
        <v>12.6</v>
      </c>
      <c r="LB5" s="72">
        <f t="shared" ref="LB5:LB9" si="88">(AD5+AY5)/2</f>
        <v>3.65</v>
      </c>
      <c r="LC5" s="72">
        <f t="shared" ref="LC5:LC9" si="89">(AE5+AZ5)/2</f>
        <v>0</v>
      </c>
      <c r="LD5" s="72">
        <f t="shared" ref="LD5:LD9" si="90">(AF5+BA5)/2</f>
        <v>0</v>
      </c>
      <c r="LE5" s="83" t="s">
        <v>126</v>
      </c>
      <c r="LF5" s="12">
        <f t="shared" ref="LF5:LF9" si="91">IF(SUM(KP5,KT5)&gt;0,SUM(KP5,KT5),"")</f>
        <v>7.55</v>
      </c>
      <c r="LG5" s="12">
        <f t="shared" ref="LG5:LG9" si="92">IF(SUM(KO5:KP5,KR5:KT5,KV5)-KQ5-KU5&gt;0,SUM(KO5:KP5,KR5:KT5,KV5)-KQ5-KU5,"")</f>
        <v>36.299999999999997</v>
      </c>
      <c r="LH5" s="12">
        <f t="shared" ref="LH5:LH9" si="93">IF(SUM(KW5:KX5,KZ5:LB5,LD5)-SUM(KY5,LC5)&gt;0,SUM(KW5:KX5,KZ5:LB5,LD5)-SUM(KY5,LC5),"")</f>
        <v>33.549999999999997</v>
      </c>
      <c r="LI5" s="12">
        <f t="shared" ref="LI5:LI9" si="94">IF(SUM(LG5,LH5)&gt;0,SUM(LG5,LH5),"")</f>
        <v>69.849999999999994</v>
      </c>
    </row>
    <row r="6" spans="1:321" x14ac:dyDescent="0.2">
      <c r="A6" s="6">
        <f t="shared" si="0"/>
        <v>3</v>
      </c>
      <c r="B6" s="9" t="s">
        <v>57</v>
      </c>
      <c r="C6" s="5" t="s">
        <v>5</v>
      </c>
      <c r="D6" s="29">
        <v>1998</v>
      </c>
      <c r="E6" s="16">
        <f t="shared" si="1"/>
        <v>129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65.900000000000006</v>
      </c>
      <c r="K6" s="15" t="str">
        <f t="shared" si="7"/>
        <v>2018 Nationals</v>
      </c>
      <c r="L6" s="15">
        <f t="shared" si="8"/>
        <v>63.099999999999994</v>
      </c>
      <c r="M6" s="15" t="str">
        <f t="shared" si="9"/>
        <v>2018 Nationals</v>
      </c>
      <c r="N6" s="15" t="str">
        <f t="shared" si="10"/>
        <v/>
      </c>
      <c r="O6" s="27" t="str">
        <f t="shared" si="11"/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72">
        <v>25</v>
      </c>
      <c r="R6" s="72">
        <v>6.9</v>
      </c>
      <c r="S6" s="72">
        <v>0</v>
      </c>
      <c r="T6" s="72">
        <v>1</v>
      </c>
      <c r="U6" s="72">
        <v>26.4</v>
      </c>
      <c r="V6" s="72">
        <v>6.9</v>
      </c>
      <c r="W6" s="72">
        <v>0.3</v>
      </c>
      <c r="X6" s="72">
        <v>0</v>
      </c>
      <c r="Y6" s="72">
        <v>25.9</v>
      </c>
      <c r="Z6" s="72">
        <v>7.3</v>
      </c>
      <c r="AA6" s="72">
        <v>0</v>
      </c>
      <c r="AB6" s="72">
        <v>1</v>
      </c>
      <c r="AC6" s="72">
        <v>25.2</v>
      </c>
      <c r="AD6" s="72">
        <v>3.7</v>
      </c>
      <c r="AE6" s="72">
        <v>0</v>
      </c>
      <c r="AF6" s="72">
        <v>0</v>
      </c>
      <c r="AG6" s="83"/>
      <c r="AH6" s="12">
        <f t="shared" si="12"/>
        <v>13.8</v>
      </c>
      <c r="AI6" s="12">
        <f t="shared" si="13"/>
        <v>65.900000000000006</v>
      </c>
      <c r="AJ6" s="12">
        <f t="shared" si="14"/>
        <v>63.099999999999994</v>
      </c>
      <c r="AK6" s="12">
        <f t="shared" si="15"/>
        <v>129</v>
      </c>
      <c r="AL6" s="40">
        <v>24.5</v>
      </c>
      <c r="AM6" s="40">
        <v>4.7</v>
      </c>
      <c r="AN6" s="40">
        <v>0</v>
      </c>
      <c r="AO6" s="40">
        <v>1</v>
      </c>
      <c r="AP6" s="40">
        <v>24.6</v>
      </c>
      <c r="AQ6" s="40">
        <v>3.7</v>
      </c>
      <c r="AR6" s="40">
        <v>3</v>
      </c>
      <c r="AS6" s="40">
        <v>0</v>
      </c>
      <c r="AT6" s="40">
        <v>25.7</v>
      </c>
      <c r="AU6" s="40">
        <v>1.3</v>
      </c>
      <c r="AV6" s="40">
        <v>0</v>
      </c>
      <c r="AW6" s="40">
        <v>0</v>
      </c>
      <c r="AX6" s="40">
        <v>21.7</v>
      </c>
      <c r="AY6" s="40">
        <v>4.7</v>
      </c>
      <c r="AZ6" s="40">
        <v>0</v>
      </c>
      <c r="BA6" s="40">
        <v>1</v>
      </c>
      <c r="BB6" s="84"/>
      <c r="BC6" s="15">
        <f t="shared" si="16"/>
        <v>8.4</v>
      </c>
      <c r="BD6" s="15">
        <f t="shared" si="17"/>
        <v>55.5</v>
      </c>
      <c r="BE6" s="15">
        <f t="shared" si="18"/>
        <v>54.400000000000006</v>
      </c>
      <c r="BF6" s="15">
        <f t="shared" si="19"/>
        <v>109.9</v>
      </c>
      <c r="BG6" s="26" t="str">
        <f t="shared" si="20"/>
        <v/>
      </c>
      <c r="BH6" s="26" t="str">
        <f t="shared" si="21"/>
        <v/>
      </c>
      <c r="BI6" s="39">
        <v>24</v>
      </c>
      <c r="BJ6" s="39">
        <v>4.7</v>
      </c>
      <c r="BK6" s="39">
        <v>0</v>
      </c>
      <c r="BL6" s="39">
        <v>0</v>
      </c>
      <c r="BM6" s="39">
        <v>24.7</v>
      </c>
      <c r="BN6" s="39">
        <v>3.7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 t="shared" si="22"/>
        <v>8.4</v>
      </c>
      <c r="BZ6" s="12">
        <f t="shared" si="23"/>
        <v>57.1</v>
      </c>
      <c r="CA6" s="12" t="str">
        <f t="shared" si="24"/>
        <v/>
      </c>
      <c r="CB6" s="12">
        <f t="shared" si="25"/>
        <v>57.1</v>
      </c>
      <c r="CC6" s="40">
        <v>25.9</v>
      </c>
      <c r="CD6" s="40">
        <v>7.3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 t="shared" si="26"/>
        <v>14.2</v>
      </c>
      <c r="CT6" s="15">
        <f t="shared" si="27"/>
        <v>65.900000000000006</v>
      </c>
      <c r="CU6" s="15" t="str">
        <f t="shared" si="28"/>
        <v/>
      </c>
      <c r="CV6" s="15">
        <f t="shared" si="29"/>
        <v>65.900000000000006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 t="shared" si="30"/>
        <v/>
      </c>
      <c r="DN6" s="12" t="str">
        <f t="shared" si="31"/>
        <v/>
      </c>
      <c r="DO6" s="12" t="str">
        <f t="shared" si="32"/>
        <v/>
      </c>
      <c r="DP6" s="12" t="str">
        <f t="shared" si="33"/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 t="shared" si="34"/>
        <v/>
      </c>
      <c r="EH6" s="15" t="str">
        <f t="shared" si="35"/>
        <v/>
      </c>
      <c r="EI6" s="15" t="str">
        <f t="shared" si="36"/>
        <v/>
      </c>
      <c r="EJ6" s="15" t="str">
        <f t="shared" si="37"/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 t="shared" si="38"/>
        <v/>
      </c>
      <c r="FB6" s="12" t="str">
        <f t="shared" si="39"/>
        <v/>
      </c>
      <c r="FC6" s="12" t="str">
        <f t="shared" si="40"/>
        <v/>
      </c>
      <c r="FD6" s="12" t="str">
        <f t="shared" si="41"/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 t="shared" si="42"/>
        <v/>
      </c>
      <c r="FV6" s="15" t="str">
        <f t="shared" si="43"/>
        <v/>
      </c>
      <c r="FW6" s="15" t="str">
        <f t="shared" si="44"/>
        <v/>
      </c>
      <c r="FX6" s="15" t="str">
        <f t="shared" si="45"/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 t="shared" si="46"/>
        <v/>
      </c>
      <c r="GP6" s="12" t="str">
        <f t="shared" si="47"/>
        <v/>
      </c>
      <c r="GQ6" s="12" t="str">
        <f t="shared" si="48"/>
        <v/>
      </c>
      <c r="GR6" s="12" t="str">
        <f t="shared" si="49"/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 t="shared" si="50"/>
        <v/>
      </c>
      <c r="HJ6" s="15" t="str">
        <f t="shared" si="51"/>
        <v/>
      </c>
      <c r="HK6" s="15" t="str">
        <f t="shared" si="52"/>
        <v/>
      </c>
      <c r="HL6" s="15" t="str">
        <f t="shared" si="53"/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 t="shared" si="54"/>
        <v/>
      </c>
      <c r="ID6" s="12" t="str">
        <f t="shared" si="55"/>
        <v/>
      </c>
      <c r="IE6" s="12" t="str">
        <f t="shared" si="56"/>
        <v/>
      </c>
      <c r="IF6" s="12" t="str">
        <f t="shared" si="57"/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 t="shared" si="58"/>
        <v/>
      </c>
      <c r="IX6" s="15" t="str">
        <f t="shared" si="59"/>
        <v/>
      </c>
      <c r="IY6" s="15" t="str">
        <f t="shared" si="60"/>
        <v/>
      </c>
      <c r="IZ6" s="15" t="str">
        <f t="shared" si="61"/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 t="shared" si="62"/>
        <v/>
      </c>
      <c r="JR6" s="12" t="str">
        <f t="shared" si="63"/>
        <v/>
      </c>
      <c r="JS6" s="12" t="str">
        <f t="shared" si="64"/>
        <v/>
      </c>
      <c r="JT6" s="12" t="str">
        <f t="shared" si="65"/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 t="shared" si="66"/>
        <v/>
      </c>
      <c r="KL6" s="15" t="str">
        <f t="shared" si="67"/>
        <v/>
      </c>
      <c r="KM6" s="15" t="str">
        <f t="shared" si="68"/>
        <v/>
      </c>
      <c r="KN6" s="15" t="str">
        <f t="shared" si="69"/>
        <v/>
      </c>
      <c r="KO6" s="72">
        <f t="shared" si="75"/>
        <v>24.75</v>
      </c>
      <c r="KP6" s="72">
        <f t="shared" si="76"/>
        <v>5.8000000000000007</v>
      </c>
      <c r="KQ6" s="72">
        <f t="shared" si="77"/>
        <v>0</v>
      </c>
      <c r="KR6" s="72">
        <f t="shared" si="78"/>
        <v>1</v>
      </c>
      <c r="KS6" s="72">
        <f t="shared" si="79"/>
        <v>25.5</v>
      </c>
      <c r="KT6" s="72">
        <f t="shared" si="80"/>
        <v>5.3000000000000007</v>
      </c>
      <c r="KU6" s="72">
        <f t="shared" si="81"/>
        <v>1.65</v>
      </c>
      <c r="KV6" s="72">
        <f t="shared" si="82"/>
        <v>0</v>
      </c>
      <c r="KW6" s="72">
        <f t="shared" si="83"/>
        <v>25.799999999999997</v>
      </c>
      <c r="KX6" s="72">
        <f t="shared" si="84"/>
        <v>4.3</v>
      </c>
      <c r="KY6" s="72">
        <f t="shared" si="85"/>
        <v>0</v>
      </c>
      <c r="KZ6" s="72">
        <f t="shared" si="86"/>
        <v>0.5</v>
      </c>
      <c r="LA6" s="72">
        <f t="shared" si="87"/>
        <v>23.45</v>
      </c>
      <c r="LB6" s="72">
        <f t="shared" si="88"/>
        <v>4.2</v>
      </c>
      <c r="LC6" s="72">
        <f t="shared" si="89"/>
        <v>0</v>
      </c>
      <c r="LD6" s="72">
        <f t="shared" si="90"/>
        <v>0.5</v>
      </c>
      <c r="LE6" s="83" t="s">
        <v>126</v>
      </c>
      <c r="LF6" s="12">
        <f t="shared" si="91"/>
        <v>11.100000000000001</v>
      </c>
      <c r="LG6" s="12">
        <f t="shared" si="92"/>
        <v>60.699999999999996</v>
      </c>
      <c r="LH6" s="12">
        <f t="shared" si="93"/>
        <v>58.75</v>
      </c>
      <c r="LI6" s="12">
        <f t="shared" si="94"/>
        <v>119.44999999999999</v>
      </c>
    </row>
    <row r="7" spans="1:321" x14ac:dyDescent="0.2">
      <c r="A7" s="6" t="str">
        <f t="shared" si="0"/>
        <v/>
      </c>
      <c r="B7" s="9" t="s">
        <v>104</v>
      </c>
      <c r="C7" s="5" t="s">
        <v>3</v>
      </c>
      <c r="D7" s="29">
        <v>1996</v>
      </c>
      <c r="E7" s="16">
        <f t="shared" si="1"/>
        <v>126.6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61.9</v>
      </c>
      <c r="K7" s="15" t="str">
        <f t="shared" si="7"/>
        <v>2018 3rd Domestic Trial</v>
      </c>
      <c r="L7" s="15">
        <f t="shared" si="8"/>
        <v>64.7</v>
      </c>
      <c r="M7" s="15" t="str">
        <f t="shared" si="9"/>
        <v>2018 Nationals</v>
      </c>
      <c r="N7" s="15" t="str">
        <f t="shared" si="10"/>
        <v/>
      </c>
      <c r="O7" s="27" t="str">
        <f t="shared" si="11"/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2">
        <v>22.9</v>
      </c>
      <c r="R7" s="72">
        <v>4.8</v>
      </c>
      <c r="S7" s="72">
        <v>0</v>
      </c>
      <c r="T7" s="72">
        <v>1</v>
      </c>
      <c r="U7" s="72">
        <v>24.8</v>
      </c>
      <c r="V7" s="72">
        <v>5.9</v>
      </c>
      <c r="W7" s="72">
        <v>0</v>
      </c>
      <c r="X7" s="72">
        <v>0</v>
      </c>
      <c r="Y7" s="72">
        <v>25.2</v>
      </c>
      <c r="Z7" s="72">
        <v>7</v>
      </c>
      <c r="AA7" s="72">
        <v>0</v>
      </c>
      <c r="AB7" s="72">
        <v>1</v>
      </c>
      <c r="AC7" s="72">
        <v>25.6</v>
      </c>
      <c r="AD7" s="72">
        <v>5.9</v>
      </c>
      <c r="AE7" s="72">
        <v>0</v>
      </c>
      <c r="AF7" s="72">
        <v>0</v>
      </c>
      <c r="AG7" s="83"/>
      <c r="AH7" s="12">
        <f t="shared" si="12"/>
        <v>10.7</v>
      </c>
      <c r="AI7" s="12">
        <f t="shared" si="13"/>
        <v>59.4</v>
      </c>
      <c r="AJ7" s="12">
        <f t="shared" si="14"/>
        <v>64.7</v>
      </c>
      <c r="AK7" s="12">
        <f t="shared" si="15"/>
        <v>124.1</v>
      </c>
      <c r="AL7" s="40">
        <v>26.5</v>
      </c>
      <c r="AM7" s="40">
        <v>5.2</v>
      </c>
      <c r="AN7" s="40">
        <v>0</v>
      </c>
      <c r="AO7" s="40">
        <v>0</v>
      </c>
      <c r="AP7" s="40">
        <v>24.3</v>
      </c>
      <c r="AQ7" s="40">
        <v>5.9</v>
      </c>
      <c r="AR7" s="40">
        <v>0</v>
      </c>
      <c r="AS7" s="40">
        <v>0</v>
      </c>
      <c r="AT7" s="40">
        <v>24.2</v>
      </c>
      <c r="AU7" s="40">
        <v>6.8</v>
      </c>
      <c r="AV7" s="40">
        <v>0</v>
      </c>
      <c r="AW7" s="40">
        <v>1</v>
      </c>
      <c r="AX7" s="40">
        <v>23.5</v>
      </c>
      <c r="AY7" s="40">
        <v>3.3</v>
      </c>
      <c r="AZ7" s="40">
        <v>0</v>
      </c>
      <c r="BA7" s="40">
        <v>0</v>
      </c>
      <c r="BB7" s="84"/>
      <c r="BC7" s="15">
        <f t="shared" si="16"/>
        <v>11.100000000000001</v>
      </c>
      <c r="BD7" s="15">
        <f t="shared" si="17"/>
        <v>61.9</v>
      </c>
      <c r="BE7" s="15">
        <f t="shared" si="18"/>
        <v>58.8</v>
      </c>
      <c r="BF7" s="15">
        <f t="shared" si="19"/>
        <v>120.69999999999999</v>
      </c>
      <c r="BG7" s="26" t="str">
        <f t="shared" si="20"/>
        <v/>
      </c>
      <c r="BH7" s="26" t="str">
        <f t="shared" si="21"/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 t="shared" si="22"/>
        <v/>
      </c>
      <c r="BZ7" s="12" t="str">
        <f t="shared" si="23"/>
        <v/>
      </c>
      <c r="CA7" s="12" t="str">
        <f t="shared" si="24"/>
        <v/>
      </c>
      <c r="CB7" s="12" t="str">
        <f t="shared" si="25"/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 t="shared" si="26"/>
        <v/>
      </c>
      <c r="CT7" s="15" t="str">
        <f t="shared" si="27"/>
        <v/>
      </c>
      <c r="CU7" s="15" t="str">
        <f t="shared" si="28"/>
        <v/>
      </c>
      <c r="CV7" s="15" t="str">
        <f t="shared" si="29"/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 t="shared" si="30"/>
        <v/>
      </c>
      <c r="DN7" s="12" t="str">
        <f t="shared" si="31"/>
        <v/>
      </c>
      <c r="DO7" s="12" t="str">
        <f t="shared" si="32"/>
        <v/>
      </c>
      <c r="DP7" s="12" t="str">
        <f t="shared" si="33"/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 t="shared" si="34"/>
        <v/>
      </c>
      <c r="EH7" s="15" t="str">
        <f t="shared" si="35"/>
        <v/>
      </c>
      <c r="EI7" s="15" t="str">
        <f t="shared" si="36"/>
        <v/>
      </c>
      <c r="EJ7" s="15" t="str">
        <f t="shared" si="37"/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 t="shared" si="38"/>
        <v/>
      </c>
      <c r="FB7" s="12" t="str">
        <f t="shared" si="39"/>
        <v/>
      </c>
      <c r="FC7" s="12" t="str">
        <f t="shared" si="40"/>
        <v/>
      </c>
      <c r="FD7" s="12" t="str">
        <f t="shared" si="41"/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 t="shared" si="42"/>
        <v/>
      </c>
      <c r="FV7" s="15" t="str">
        <f t="shared" si="43"/>
        <v/>
      </c>
      <c r="FW7" s="15" t="str">
        <f t="shared" si="44"/>
        <v/>
      </c>
      <c r="FX7" s="15" t="str">
        <f t="shared" si="45"/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 t="shared" si="46"/>
        <v/>
      </c>
      <c r="GP7" s="12" t="str">
        <f t="shared" si="47"/>
        <v/>
      </c>
      <c r="GQ7" s="12" t="str">
        <f t="shared" si="48"/>
        <v/>
      </c>
      <c r="GR7" s="12" t="str">
        <f t="shared" si="49"/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 t="shared" si="50"/>
        <v/>
      </c>
      <c r="HJ7" s="15" t="str">
        <f t="shared" si="51"/>
        <v/>
      </c>
      <c r="HK7" s="15" t="str">
        <f t="shared" si="52"/>
        <v/>
      </c>
      <c r="HL7" s="15" t="str">
        <f t="shared" si="53"/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 t="shared" si="54"/>
        <v/>
      </c>
      <c r="ID7" s="12" t="str">
        <f t="shared" si="55"/>
        <v/>
      </c>
      <c r="IE7" s="12" t="str">
        <f t="shared" si="56"/>
        <v/>
      </c>
      <c r="IF7" s="12" t="str">
        <f t="shared" si="57"/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 t="shared" si="58"/>
        <v/>
      </c>
      <c r="IX7" s="15" t="str">
        <f t="shared" si="59"/>
        <v/>
      </c>
      <c r="IY7" s="15" t="str">
        <f t="shared" si="60"/>
        <v/>
      </c>
      <c r="IZ7" s="15" t="str">
        <f t="shared" si="61"/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 t="shared" si="62"/>
        <v/>
      </c>
      <c r="JR7" s="12" t="str">
        <f t="shared" si="63"/>
        <v/>
      </c>
      <c r="JS7" s="12" t="str">
        <f t="shared" si="64"/>
        <v/>
      </c>
      <c r="JT7" s="12" t="str">
        <f t="shared" si="65"/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 t="shared" si="66"/>
        <v/>
      </c>
      <c r="KL7" s="15" t="str">
        <f t="shared" si="67"/>
        <v/>
      </c>
      <c r="KM7" s="15" t="str">
        <f t="shared" si="68"/>
        <v/>
      </c>
      <c r="KN7" s="15" t="str">
        <f t="shared" si="69"/>
        <v/>
      </c>
      <c r="KO7" s="72">
        <f t="shared" si="75"/>
        <v>24.7</v>
      </c>
      <c r="KP7" s="72">
        <f t="shared" si="76"/>
        <v>5</v>
      </c>
      <c r="KQ7" s="72">
        <f t="shared" si="77"/>
        <v>0</v>
      </c>
      <c r="KR7" s="72">
        <f t="shared" si="78"/>
        <v>0.5</v>
      </c>
      <c r="KS7" s="72">
        <f t="shared" si="79"/>
        <v>24.55</v>
      </c>
      <c r="KT7" s="72">
        <f t="shared" si="80"/>
        <v>5.9</v>
      </c>
      <c r="KU7" s="72">
        <f t="shared" si="81"/>
        <v>0</v>
      </c>
      <c r="KV7" s="72">
        <f t="shared" si="82"/>
        <v>0</v>
      </c>
      <c r="KW7" s="72">
        <f t="shared" si="83"/>
        <v>24.7</v>
      </c>
      <c r="KX7" s="72">
        <f t="shared" si="84"/>
        <v>6.9</v>
      </c>
      <c r="KY7" s="72">
        <f t="shared" si="85"/>
        <v>0</v>
      </c>
      <c r="KZ7" s="72">
        <f t="shared" si="86"/>
        <v>1</v>
      </c>
      <c r="LA7" s="72">
        <f t="shared" si="87"/>
        <v>24.55</v>
      </c>
      <c r="LB7" s="72">
        <f t="shared" si="88"/>
        <v>4.5999999999999996</v>
      </c>
      <c r="LC7" s="72">
        <f t="shared" si="89"/>
        <v>0</v>
      </c>
      <c r="LD7" s="72">
        <f t="shared" si="90"/>
        <v>0</v>
      </c>
      <c r="LE7" s="83" t="s">
        <v>126</v>
      </c>
      <c r="LF7" s="12">
        <f t="shared" si="91"/>
        <v>10.9</v>
      </c>
      <c r="LG7" s="12">
        <f t="shared" si="92"/>
        <v>60.65</v>
      </c>
      <c r="LH7" s="12">
        <f t="shared" si="93"/>
        <v>61.750000000000007</v>
      </c>
      <c r="LI7" s="12">
        <f t="shared" si="94"/>
        <v>122.4</v>
      </c>
    </row>
    <row r="8" spans="1:321" x14ac:dyDescent="0.2">
      <c r="A8" s="6" t="str">
        <f t="shared" si="0"/>
        <v/>
      </c>
      <c r="B8" s="7" t="s">
        <v>63</v>
      </c>
      <c r="C8" s="8" t="s">
        <v>5</v>
      </c>
      <c r="D8" s="29">
        <v>1997</v>
      </c>
      <c r="E8" s="16">
        <f t="shared" si="1"/>
        <v>122.30000000000001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61.5</v>
      </c>
      <c r="K8" s="15" t="str">
        <f t="shared" si="7"/>
        <v>2018 Nationals</v>
      </c>
      <c r="L8" s="15">
        <f t="shared" si="8"/>
        <v>60.800000000000004</v>
      </c>
      <c r="M8" s="15" t="str">
        <f t="shared" si="9"/>
        <v>2018 Nationals</v>
      </c>
      <c r="N8" s="15" t="str">
        <f t="shared" si="10"/>
        <v/>
      </c>
      <c r="O8" s="27" t="str">
        <f t="shared" si="11"/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24.4</v>
      </c>
      <c r="R8" s="47">
        <v>4.9000000000000004</v>
      </c>
      <c r="S8" s="47">
        <v>0</v>
      </c>
      <c r="T8" s="47">
        <v>0</v>
      </c>
      <c r="U8" s="47">
        <v>26.1</v>
      </c>
      <c r="V8" s="47">
        <v>6.1</v>
      </c>
      <c r="W8" s="47">
        <v>0</v>
      </c>
      <c r="X8" s="47">
        <v>0</v>
      </c>
      <c r="Y8" s="47">
        <v>24.8</v>
      </c>
      <c r="Z8" s="47">
        <v>6.9</v>
      </c>
      <c r="AA8" s="47">
        <v>0</v>
      </c>
      <c r="AB8" s="47">
        <v>1</v>
      </c>
      <c r="AC8" s="47">
        <v>24.4</v>
      </c>
      <c r="AD8" s="47">
        <v>3.7</v>
      </c>
      <c r="AE8" s="47">
        <v>0</v>
      </c>
      <c r="AF8" s="47">
        <v>0</v>
      </c>
      <c r="AG8" s="83"/>
      <c r="AH8" s="12">
        <f t="shared" si="12"/>
        <v>11</v>
      </c>
      <c r="AI8" s="12">
        <f t="shared" si="13"/>
        <v>61.5</v>
      </c>
      <c r="AJ8" s="12">
        <f t="shared" si="14"/>
        <v>60.800000000000004</v>
      </c>
      <c r="AK8" s="12">
        <f t="shared" si="15"/>
        <v>122.30000000000001</v>
      </c>
      <c r="AL8" s="40">
        <v>23.95</v>
      </c>
      <c r="AM8" s="40">
        <v>5.9</v>
      </c>
      <c r="AN8" s="40">
        <v>0</v>
      </c>
      <c r="AO8" s="40">
        <v>0.5</v>
      </c>
      <c r="AP8" s="40">
        <v>23.15</v>
      </c>
      <c r="AQ8" s="40">
        <v>4.8</v>
      </c>
      <c r="AR8" s="40">
        <v>0</v>
      </c>
      <c r="AS8" s="40">
        <v>0</v>
      </c>
      <c r="AT8" s="40">
        <v>22.65</v>
      </c>
      <c r="AU8" s="40">
        <v>6.9</v>
      </c>
      <c r="AV8" s="40">
        <v>0</v>
      </c>
      <c r="AW8" s="40">
        <v>0.5</v>
      </c>
      <c r="AX8" s="40">
        <v>24.4</v>
      </c>
      <c r="AY8" s="40">
        <v>4.9000000000000004</v>
      </c>
      <c r="AZ8" s="40">
        <v>0.15</v>
      </c>
      <c r="BA8" s="40">
        <v>0</v>
      </c>
      <c r="BB8" s="84" t="s">
        <v>126</v>
      </c>
      <c r="BC8" s="15">
        <f t="shared" si="16"/>
        <v>10.7</v>
      </c>
      <c r="BD8" s="15">
        <f t="shared" si="17"/>
        <v>58.3</v>
      </c>
      <c r="BE8" s="15">
        <f t="shared" si="18"/>
        <v>59.199999999999996</v>
      </c>
      <c r="BF8" s="15">
        <f t="shared" si="19"/>
        <v>117.5</v>
      </c>
      <c r="BG8" s="26" t="str">
        <f t="shared" si="20"/>
        <v/>
      </c>
      <c r="BH8" s="26" t="str">
        <f t="shared" si="21"/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 t="shared" si="22"/>
        <v/>
      </c>
      <c r="BZ8" s="12" t="str">
        <f t="shared" si="23"/>
        <v/>
      </c>
      <c r="CA8" s="12" t="str">
        <f t="shared" si="24"/>
        <v/>
      </c>
      <c r="CB8" s="12" t="str">
        <f t="shared" si="25"/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 t="shared" si="26"/>
        <v/>
      </c>
      <c r="CT8" s="15" t="str">
        <f t="shared" si="27"/>
        <v/>
      </c>
      <c r="CU8" s="15" t="str">
        <f t="shared" si="28"/>
        <v/>
      </c>
      <c r="CV8" s="15" t="str">
        <f t="shared" si="29"/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 t="shared" si="30"/>
        <v/>
      </c>
      <c r="DN8" s="12" t="str">
        <f t="shared" si="31"/>
        <v/>
      </c>
      <c r="DO8" s="12" t="str">
        <f t="shared" si="32"/>
        <v/>
      </c>
      <c r="DP8" s="12" t="str">
        <f t="shared" si="33"/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 t="shared" si="34"/>
        <v/>
      </c>
      <c r="EH8" s="15" t="str">
        <f t="shared" si="35"/>
        <v/>
      </c>
      <c r="EI8" s="15" t="str">
        <f t="shared" si="36"/>
        <v/>
      </c>
      <c r="EJ8" s="15" t="str">
        <f t="shared" si="37"/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 t="shared" si="38"/>
        <v/>
      </c>
      <c r="FB8" s="12" t="str">
        <f t="shared" si="39"/>
        <v/>
      </c>
      <c r="FC8" s="12" t="str">
        <f t="shared" si="40"/>
        <v/>
      </c>
      <c r="FD8" s="12" t="str">
        <f t="shared" si="41"/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 t="shared" si="42"/>
        <v/>
      </c>
      <c r="FV8" s="15" t="str">
        <f t="shared" si="43"/>
        <v/>
      </c>
      <c r="FW8" s="15" t="str">
        <f t="shared" si="44"/>
        <v/>
      </c>
      <c r="FX8" s="15" t="str">
        <f t="shared" si="45"/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 t="shared" si="46"/>
        <v/>
      </c>
      <c r="GP8" s="12" t="str">
        <f t="shared" si="47"/>
        <v/>
      </c>
      <c r="GQ8" s="12" t="str">
        <f t="shared" si="48"/>
        <v/>
      </c>
      <c r="GR8" s="12" t="str">
        <f t="shared" si="49"/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 t="shared" si="50"/>
        <v/>
      </c>
      <c r="HJ8" s="15" t="str">
        <f t="shared" si="51"/>
        <v/>
      </c>
      <c r="HK8" s="15" t="str">
        <f t="shared" si="52"/>
        <v/>
      </c>
      <c r="HL8" s="15" t="str">
        <f t="shared" si="53"/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 t="shared" si="54"/>
        <v/>
      </c>
      <c r="ID8" s="12" t="str">
        <f t="shared" si="55"/>
        <v/>
      </c>
      <c r="IE8" s="12" t="str">
        <f t="shared" si="56"/>
        <v/>
      </c>
      <c r="IF8" s="12" t="str">
        <f t="shared" si="57"/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 t="shared" si="58"/>
        <v/>
      </c>
      <c r="IX8" s="15" t="str">
        <f t="shared" si="59"/>
        <v/>
      </c>
      <c r="IY8" s="15" t="str">
        <f t="shared" si="60"/>
        <v/>
      </c>
      <c r="IZ8" s="15" t="str">
        <f t="shared" si="61"/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 t="shared" si="62"/>
        <v/>
      </c>
      <c r="JR8" s="12" t="str">
        <f t="shared" si="63"/>
        <v/>
      </c>
      <c r="JS8" s="12" t="str">
        <f t="shared" si="64"/>
        <v/>
      </c>
      <c r="JT8" s="12" t="str">
        <f t="shared" si="65"/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 t="shared" si="66"/>
        <v/>
      </c>
      <c r="KL8" s="15" t="str">
        <f t="shared" si="67"/>
        <v/>
      </c>
      <c r="KM8" s="15" t="str">
        <f t="shared" si="68"/>
        <v/>
      </c>
      <c r="KN8" s="15" t="str">
        <f t="shared" si="69"/>
        <v/>
      </c>
      <c r="KO8" s="72">
        <f t="shared" si="75"/>
        <v>24.174999999999997</v>
      </c>
      <c r="KP8" s="72">
        <f t="shared" si="76"/>
        <v>5.4</v>
      </c>
      <c r="KQ8" s="72">
        <f t="shared" si="77"/>
        <v>0</v>
      </c>
      <c r="KR8" s="72">
        <f t="shared" si="78"/>
        <v>0.25</v>
      </c>
      <c r="KS8" s="72">
        <f t="shared" si="79"/>
        <v>24.625</v>
      </c>
      <c r="KT8" s="72">
        <f t="shared" si="80"/>
        <v>5.4499999999999993</v>
      </c>
      <c r="KU8" s="72">
        <f t="shared" si="81"/>
        <v>0</v>
      </c>
      <c r="KV8" s="72">
        <f t="shared" si="82"/>
        <v>0</v>
      </c>
      <c r="KW8" s="72">
        <f t="shared" si="83"/>
        <v>23.725000000000001</v>
      </c>
      <c r="KX8" s="72">
        <f t="shared" si="84"/>
        <v>6.9</v>
      </c>
      <c r="KY8" s="72">
        <f t="shared" si="85"/>
        <v>0</v>
      </c>
      <c r="KZ8" s="72">
        <f t="shared" si="86"/>
        <v>0.75</v>
      </c>
      <c r="LA8" s="72">
        <f t="shared" si="87"/>
        <v>24.4</v>
      </c>
      <c r="LB8" s="72">
        <f t="shared" si="88"/>
        <v>4.3000000000000007</v>
      </c>
      <c r="LC8" s="72">
        <f t="shared" si="89"/>
        <v>7.4999999999999997E-2</v>
      </c>
      <c r="LD8" s="72">
        <f t="shared" si="90"/>
        <v>0</v>
      </c>
      <c r="LE8" s="83" t="s">
        <v>126</v>
      </c>
      <c r="LF8" s="12">
        <f t="shared" si="91"/>
        <v>10.85</v>
      </c>
      <c r="LG8" s="12">
        <f t="shared" si="92"/>
        <v>59.899999999999991</v>
      </c>
      <c r="LH8" s="12">
        <f t="shared" si="93"/>
        <v>60</v>
      </c>
      <c r="LI8" s="12">
        <f t="shared" si="94"/>
        <v>119.89999999999999</v>
      </c>
    </row>
    <row r="9" spans="1:321" x14ac:dyDescent="0.2">
      <c r="A9" s="6" t="str">
        <f t="shared" si="0"/>
        <v/>
      </c>
      <c r="B9" s="7" t="s">
        <v>120</v>
      </c>
      <c r="C9" s="8" t="s">
        <v>3</v>
      </c>
      <c r="D9" s="29">
        <v>2000</v>
      </c>
      <c r="E9" s="16">
        <f t="shared" si="1"/>
        <v>59.400000000000006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59.400000000000006</v>
      </c>
      <c r="K9" s="15" t="str">
        <f t="shared" si="7"/>
        <v>2018 Nationals</v>
      </c>
      <c r="L9" s="15" t="str">
        <f t="shared" si="8"/>
        <v/>
      </c>
      <c r="M9" s="15" t="str">
        <f t="shared" si="9"/>
        <v/>
      </c>
      <c r="N9" s="15" t="str">
        <f t="shared" si="10"/>
        <v/>
      </c>
      <c r="O9" s="27" t="str">
        <f t="shared" si="11"/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7">
        <v>25.2</v>
      </c>
      <c r="R9" s="47">
        <v>5.8</v>
      </c>
      <c r="S9" s="47">
        <v>0</v>
      </c>
      <c r="T9" s="47">
        <v>0</v>
      </c>
      <c r="U9" s="47">
        <v>24.7</v>
      </c>
      <c r="V9" s="47">
        <v>3.7</v>
      </c>
      <c r="W9" s="47">
        <v>0</v>
      </c>
      <c r="X9" s="47">
        <v>0</v>
      </c>
      <c r="Y9" s="47"/>
      <c r="Z9" s="47"/>
      <c r="AA9" s="47"/>
      <c r="AB9" s="47"/>
      <c r="AC9" s="47"/>
      <c r="AD9" s="47"/>
      <c r="AE9" s="47"/>
      <c r="AF9" s="47"/>
      <c r="AG9" s="83"/>
      <c r="AH9" s="12">
        <f t="shared" si="12"/>
        <v>9.5</v>
      </c>
      <c r="AI9" s="12">
        <f t="shared" si="13"/>
        <v>59.400000000000006</v>
      </c>
      <c r="AJ9" s="12" t="str">
        <f t="shared" si="14"/>
        <v/>
      </c>
      <c r="AK9" s="12">
        <f t="shared" si="15"/>
        <v>59.400000000000006</v>
      </c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84"/>
      <c r="BC9" s="15" t="str">
        <f t="shared" si="16"/>
        <v/>
      </c>
      <c r="BD9" s="15" t="str">
        <f t="shared" si="17"/>
        <v/>
      </c>
      <c r="BE9" s="15" t="str">
        <f t="shared" si="18"/>
        <v/>
      </c>
      <c r="BF9" s="15" t="str">
        <f t="shared" si="19"/>
        <v/>
      </c>
      <c r="BG9" s="26" t="str">
        <f t="shared" si="20"/>
        <v/>
      </c>
      <c r="BH9" s="26" t="str">
        <f t="shared" si="21"/>
        <v/>
      </c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12" t="str">
        <f t="shared" si="22"/>
        <v/>
      </c>
      <c r="BZ9" s="12" t="str">
        <f t="shared" si="23"/>
        <v/>
      </c>
      <c r="CA9" s="12" t="str">
        <f t="shared" si="24"/>
        <v/>
      </c>
      <c r="CB9" s="12" t="str">
        <f t="shared" si="25"/>
        <v/>
      </c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15" t="str">
        <f t="shared" si="26"/>
        <v/>
      </c>
      <c r="CT9" s="15" t="str">
        <f t="shared" si="27"/>
        <v/>
      </c>
      <c r="CU9" s="15" t="str">
        <f t="shared" si="28"/>
        <v/>
      </c>
      <c r="CV9" s="15" t="str">
        <f t="shared" si="29"/>
        <v/>
      </c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12" t="str">
        <f t="shared" si="30"/>
        <v/>
      </c>
      <c r="DN9" s="12" t="str">
        <f t="shared" si="31"/>
        <v/>
      </c>
      <c r="DO9" s="12" t="str">
        <f t="shared" si="32"/>
        <v/>
      </c>
      <c r="DP9" s="12" t="str">
        <f t="shared" si="33"/>
        <v/>
      </c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15" t="str">
        <f t="shared" si="34"/>
        <v/>
      </c>
      <c r="EH9" s="15" t="str">
        <f t="shared" si="35"/>
        <v/>
      </c>
      <c r="EI9" s="15" t="str">
        <f t="shared" si="36"/>
        <v/>
      </c>
      <c r="EJ9" s="15" t="str">
        <f t="shared" si="37"/>
        <v/>
      </c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12" t="str">
        <f t="shared" si="38"/>
        <v/>
      </c>
      <c r="FB9" s="12" t="str">
        <f t="shared" si="39"/>
        <v/>
      </c>
      <c r="FC9" s="12" t="str">
        <f t="shared" si="40"/>
        <v/>
      </c>
      <c r="FD9" s="12" t="str">
        <f t="shared" si="41"/>
        <v/>
      </c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15" t="str">
        <f t="shared" si="42"/>
        <v/>
      </c>
      <c r="FV9" s="15" t="str">
        <f t="shared" si="43"/>
        <v/>
      </c>
      <c r="FW9" s="15" t="str">
        <f t="shared" si="44"/>
        <v/>
      </c>
      <c r="FX9" s="15" t="str">
        <f t="shared" si="45"/>
        <v/>
      </c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12" t="str">
        <f t="shared" si="46"/>
        <v/>
      </c>
      <c r="GP9" s="12" t="str">
        <f t="shared" si="47"/>
        <v/>
      </c>
      <c r="GQ9" s="12" t="str">
        <f t="shared" si="48"/>
        <v/>
      </c>
      <c r="GR9" s="12" t="str">
        <f t="shared" si="49"/>
        <v/>
      </c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15" t="str">
        <f t="shared" si="50"/>
        <v/>
      </c>
      <c r="HJ9" s="15" t="str">
        <f t="shared" si="51"/>
        <v/>
      </c>
      <c r="HK9" s="15" t="str">
        <f t="shared" si="52"/>
        <v/>
      </c>
      <c r="HL9" s="15" t="str">
        <f t="shared" si="53"/>
        <v/>
      </c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12" t="str">
        <f t="shared" si="54"/>
        <v/>
      </c>
      <c r="ID9" s="12" t="str">
        <f t="shared" si="55"/>
        <v/>
      </c>
      <c r="IE9" s="12" t="str">
        <f t="shared" si="56"/>
        <v/>
      </c>
      <c r="IF9" s="12" t="str">
        <f t="shared" si="57"/>
        <v/>
      </c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15" t="str">
        <f t="shared" si="58"/>
        <v/>
      </c>
      <c r="IX9" s="15" t="str">
        <f t="shared" si="59"/>
        <v/>
      </c>
      <c r="IY9" s="15" t="str">
        <f t="shared" si="60"/>
        <v/>
      </c>
      <c r="IZ9" s="15" t="str">
        <f t="shared" si="61"/>
        <v/>
      </c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  <c r="JP9" s="39"/>
      <c r="JQ9" s="12" t="str">
        <f t="shared" si="62"/>
        <v/>
      </c>
      <c r="JR9" s="12" t="str">
        <f t="shared" si="63"/>
        <v/>
      </c>
      <c r="JS9" s="12" t="str">
        <f t="shared" si="64"/>
        <v/>
      </c>
      <c r="JT9" s="12" t="str">
        <f t="shared" si="65"/>
        <v/>
      </c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15" t="str">
        <f t="shared" si="66"/>
        <v/>
      </c>
      <c r="KL9" s="15" t="str">
        <f t="shared" si="67"/>
        <v/>
      </c>
      <c r="KM9" s="15" t="str">
        <f t="shared" si="68"/>
        <v/>
      </c>
      <c r="KN9" s="15" t="str">
        <f t="shared" si="69"/>
        <v/>
      </c>
      <c r="KO9" s="72">
        <f t="shared" si="75"/>
        <v>12.6</v>
      </c>
      <c r="KP9" s="72">
        <f t="shared" si="76"/>
        <v>2.9</v>
      </c>
      <c r="KQ9" s="72">
        <f t="shared" si="77"/>
        <v>0</v>
      </c>
      <c r="KR9" s="72">
        <f t="shared" si="78"/>
        <v>0</v>
      </c>
      <c r="KS9" s="72">
        <f t="shared" si="79"/>
        <v>12.35</v>
      </c>
      <c r="KT9" s="72">
        <f t="shared" si="80"/>
        <v>1.85</v>
      </c>
      <c r="KU9" s="72">
        <f t="shared" si="81"/>
        <v>0</v>
      </c>
      <c r="KV9" s="72">
        <f t="shared" si="82"/>
        <v>0</v>
      </c>
      <c r="KW9" s="72">
        <f t="shared" si="83"/>
        <v>0</v>
      </c>
      <c r="KX9" s="72">
        <f t="shared" si="84"/>
        <v>0</v>
      </c>
      <c r="KY9" s="72">
        <f t="shared" si="85"/>
        <v>0</v>
      </c>
      <c r="KZ9" s="72">
        <f t="shared" si="86"/>
        <v>0</v>
      </c>
      <c r="LA9" s="72">
        <f t="shared" si="87"/>
        <v>0</v>
      </c>
      <c r="LB9" s="72">
        <f t="shared" si="88"/>
        <v>0</v>
      </c>
      <c r="LC9" s="72">
        <f t="shared" si="89"/>
        <v>0</v>
      </c>
      <c r="LD9" s="72">
        <f t="shared" si="90"/>
        <v>0</v>
      </c>
      <c r="LE9" s="83" t="s">
        <v>126</v>
      </c>
      <c r="LF9" s="12">
        <f t="shared" si="91"/>
        <v>4.75</v>
      </c>
      <c r="LG9" s="12">
        <f t="shared" si="92"/>
        <v>29.700000000000003</v>
      </c>
      <c r="LH9" s="12" t="str">
        <f t="shared" si="93"/>
        <v/>
      </c>
      <c r="LI9" s="12">
        <f t="shared" si="94"/>
        <v>29.700000000000003</v>
      </c>
    </row>
    <row r="10" spans="1:321" x14ac:dyDescent="0.2">
      <c r="D10" s="1"/>
    </row>
    <row r="12" spans="1:321" x14ac:dyDescent="0.2">
      <c r="B12" s="73" t="s">
        <v>93</v>
      </c>
      <c r="AH12" s="58"/>
      <c r="AJ12" s="67">
        <v>11.8</v>
      </c>
      <c r="BC12" s="58"/>
      <c r="BE12" s="67">
        <v>11.8</v>
      </c>
      <c r="BY12" s="58"/>
      <c r="CA12" s="67">
        <v>11.8</v>
      </c>
      <c r="CS12" s="58"/>
      <c r="CU12" s="67">
        <v>11.8</v>
      </c>
      <c r="DM12" s="58"/>
      <c r="DO12" s="67">
        <v>11.8</v>
      </c>
      <c r="EG12" s="58"/>
      <c r="EI12" s="67">
        <v>11.8</v>
      </c>
      <c r="FA12" s="58"/>
      <c r="FC12" s="67">
        <v>11.8</v>
      </c>
      <c r="FU12" s="58"/>
      <c r="FW12" s="67">
        <v>11.8</v>
      </c>
      <c r="GO12" s="58"/>
      <c r="GQ12" s="67">
        <v>11.8</v>
      </c>
      <c r="HI12" s="58"/>
      <c r="HK12" s="67">
        <v>11.8</v>
      </c>
      <c r="IC12" s="58"/>
      <c r="IE12" s="67">
        <v>11.8</v>
      </c>
      <c r="IW12" s="58"/>
      <c r="IY12" s="67">
        <v>11.8</v>
      </c>
      <c r="JQ12" s="58"/>
      <c r="JS12" s="67">
        <v>11.8</v>
      </c>
      <c r="KK12" s="58"/>
      <c r="KM12" s="67">
        <v>11.8</v>
      </c>
    </row>
    <row r="13" spans="1:321" x14ac:dyDescent="0.2">
      <c r="A13" s="58"/>
      <c r="B13" s="101" t="s">
        <v>205</v>
      </c>
      <c r="C13" s="57"/>
      <c r="AH13" s="58"/>
      <c r="AJ13" s="103">
        <v>11.8</v>
      </c>
      <c r="BC13" s="58"/>
      <c r="BE13" s="103">
        <v>11.8</v>
      </c>
      <c r="BY13" s="58"/>
      <c r="CA13" s="103">
        <v>11.8</v>
      </c>
      <c r="CS13" s="58"/>
      <c r="CU13" s="103">
        <v>11.8</v>
      </c>
      <c r="DM13" s="58"/>
      <c r="DO13" s="103">
        <v>11.8</v>
      </c>
      <c r="EG13" s="58"/>
      <c r="EI13" s="103">
        <v>11.8</v>
      </c>
      <c r="FA13" s="58"/>
      <c r="FC13" s="103">
        <v>11.8</v>
      </c>
      <c r="FU13" s="58"/>
      <c r="FW13" s="103">
        <v>11.8</v>
      </c>
      <c r="GO13" s="58"/>
      <c r="GQ13" s="103">
        <v>11.8</v>
      </c>
      <c r="HI13" s="58"/>
      <c r="HK13" s="103">
        <v>11.8</v>
      </c>
      <c r="IC13" s="58"/>
      <c r="IE13" s="103">
        <v>11.8</v>
      </c>
      <c r="IW13" s="58"/>
      <c r="IY13" s="103">
        <v>11.8</v>
      </c>
      <c r="JQ13" s="58"/>
      <c r="JS13" s="103">
        <v>11.8</v>
      </c>
      <c r="KK13" s="58"/>
      <c r="KM13" s="103">
        <v>11.8</v>
      </c>
    </row>
    <row r="14" spans="1:321" x14ac:dyDescent="0.2">
      <c r="A14" s="58"/>
      <c r="B14" s="74" t="s">
        <v>90</v>
      </c>
      <c r="C14" s="57"/>
      <c r="AH14" s="58"/>
      <c r="AJ14" s="68">
        <v>62.8</v>
      </c>
      <c r="BC14" s="58"/>
      <c r="BE14" s="68">
        <v>62.8</v>
      </c>
      <c r="BY14" s="58"/>
      <c r="CA14" s="68">
        <v>62.8</v>
      </c>
      <c r="CS14" s="58"/>
      <c r="CU14" s="68">
        <v>62.8</v>
      </c>
      <c r="DM14" s="58"/>
      <c r="DO14" s="68">
        <v>62.8</v>
      </c>
      <c r="EG14" s="58"/>
      <c r="EI14" s="68">
        <v>62.8</v>
      </c>
      <c r="FA14" s="58"/>
      <c r="FC14" s="68">
        <v>62.8</v>
      </c>
      <c r="FU14" s="58"/>
      <c r="FW14" s="68">
        <v>62.8</v>
      </c>
      <c r="GO14" s="58"/>
      <c r="GQ14" s="68">
        <v>62.8</v>
      </c>
      <c r="HI14" s="58"/>
      <c r="HK14" s="68">
        <v>62.8</v>
      </c>
      <c r="IC14" s="58"/>
      <c r="IE14" s="68">
        <v>62.8</v>
      </c>
      <c r="IW14" s="58"/>
      <c r="IY14" s="68">
        <v>62.8</v>
      </c>
      <c r="JQ14" s="58"/>
      <c r="JS14" s="68">
        <v>62.8</v>
      </c>
      <c r="KK14" s="58"/>
      <c r="KM14" s="68">
        <v>62.8</v>
      </c>
    </row>
    <row r="15" spans="1:321" x14ac:dyDescent="0.2">
      <c r="A15" s="58"/>
      <c r="B15" s="75" t="s">
        <v>91</v>
      </c>
      <c r="C15" s="57"/>
      <c r="AH15" s="58"/>
      <c r="AJ15" s="69">
        <v>64.599999999999994</v>
      </c>
      <c r="BC15" s="58"/>
      <c r="BE15" s="69">
        <v>64.599999999999994</v>
      </c>
      <c r="BY15" s="58"/>
      <c r="CA15" s="69">
        <v>64.599999999999994</v>
      </c>
      <c r="CS15" s="58"/>
      <c r="CU15" s="69">
        <v>64.599999999999994</v>
      </c>
      <c r="DM15" s="58"/>
      <c r="DO15" s="69">
        <v>65.900000000000006</v>
      </c>
      <c r="EG15" s="58"/>
      <c r="EI15" s="69">
        <v>65.900000000000006</v>
      </c>
      <c r="FA15" s="58"/>
      <c r="FC15" s="69">
        <v>65.900000000000006</v>
      </c>
      <c r="FU15" s="58"/>
      <c r="FW15" s="69">
        <v>65.900000000000006</v>
      </c>
      <c r="GO15" s="58"/>
      <c r="GQ15" s="69">
        <v>65.900000000000006</v>
      </c>
      <c r="HI15" s="58"/>
      <c r="HK15" s="69">
        <v>65.900000000000006</v>
      </c>
      <c r="IC15" s="58"/>
      <c r="IE15" s="69">
        <v>65.900000000000006</v>
      </c>
      <c r="IW15" s="58"/>
      <c r="IY15" s="69">
        <v>65.900000000000006</v>
      </c>
      <c r="JQ15" s="58"/>
      <c r="JS15" s="69">
        <v>65.900000000000006</v>
      </c>
      <c r="KK15" s="58"/>
      <c r="KM15" s="69">
        <v>65.900000000000006</v>
      </c>
    </row>
    <row r="16" spans="1:321" x14ac:dyDescent="0.2">
      <c r="A16" s="58"/>
      <c r="B16" s="76" t="s">
        <v>196</v>
      </c>
      <c r="C16" s="57"/>
      <c r="AH16" s="58"/>
      <c r="AJ16" s="70">
        <v>68.2</v>
      </c>
      <c r="BC16" s="58"/>
      <c r="BE16" s="70">
        <v>68.2</v>
      </c>
      <c r="BY16" s="58"/>
      <c r="CA16" s="70">
        <v>68.2</v>
      </c>
      <c r="CS16" s="58"/>
      <c r="CU16" s="70">
        <v>68.2</v>
      </c>
      <c r="DM16" s="58"/>
      <c r="DO16" s="70">
        <v>69.7</v>
      </c>
      <c r="EG16" s="58"/>
      <c r="EI16" s="70">
        <v>69.7</v>
      </c>
      <c r="FA16" s="58"/>
      <c r="FC16" s="70">
        <v>69.7</v>
      </c>
      <c r="FU16" s="58"/>
      <c r="FW16" s="70">
        <v>69.7</v>
      </c>
      <c r="GO16" s="58"/>
      <c r="GQ16" s="70">
        <v>69.7</v>
      </c>
      <c r="HI16" s="58"/>
      <c r="HK16" s="70">
        <v>69.7</v>
      </c>
      <c r="IC16" s="58"/>
      <c r="IE16" s="70">
        <v>69.7</v>
      </c>
      <c r="IW16" s="58"/>
      <c r="IY16" s="70">
        <v>69.7</v>
      </c>
      <c r="JQ16" s="58"/>
      <c r="JS16" s="70">
        <v>69.7</v>
      </c>
      <c r="KK16" s="58"/>
      <c r="KM16" s="70">
        <v>69.7</v>
      </c>
    </row>
    <row r="17" spans="1:299" x14ac:dyDescent="0.2">
      <c r="A17" s="58"/>
      <c r="B17" s="77" t="s">
        <v>71</v>
      </c>
      <c r="C17" s="57"/>
      <c r="AH17" s="58"/>
      <c r="AJ17" s="71">
        <v>72.400000000000006</v>
      </c>
      <c r="BC17" s="58"/>
      <c r="BE17" s="71">
        <v>72.400000000000006</v>
      </c>
      <c r="BY17" s="58"/>
      <c r="CA17" s="71">
        <v>72.400000000000006</v>
      </c>
      <c r="CS17" s="58"/>
      <c r="CU17" s="71">
        <v>72.400000000000006</v>
      </c>
      <c r="DM17" s="58"/>
      <c r="DO17" s="71">
        <v>72.2</v>
      </c>
      <c r="EG17" s="58"/>
      <c r="EI17" s="71">
        <v>72.2</v>
      </c>
      <c r="FA17" s="58"/>
      <c r="FC17" s="71">
        <v>72.2</v>
      </c>
      <c r="FU17" s="58"/>
      <c r="FW17" s="71">
        <v>72.2</v>
      </c>
      <c r="GO17" s="58"/>
      <c r="GQ17" s="71">
        <v>72.2</v>
      </c>
      <c r="HI17" s="58"/>
      <c r="HK17" s="71">
        <v>72.2</v>
      </c>
      <c r="IC17" s="58"/>
      <c r="IE17" s="71">
        <v>72.2</v>
      </c>
      <c r="IW17" s="58"/>
      <c r="IY17" s="71">
        <v>72.2</v>
      </c>
      <c r="JQ17" s="58"/>
      <c r="JS17" s="71">
        <v>72.2</v>
      </c>
      <c r="KK17" s="58"/>
      <c r="KM17" s="71">
        <v>72.2</v>
      </c>
    </row>
    <row r="18" spans="1:299" x14ac:dyDescent="0.2">
      <c r="B18" s="85" t="s">
        <v>127</v>
      </c>
      <c r="C18" s="3"/>
    </row>
    <row r="19" spans="1:299" x14ac:dyDescent="0.2">
      <c r="A19" s="58"/>
      <c r="B19" s="58"/>
      <c r="C19" s="57"/>
    </row>
    <row r="20" spans="1:299" ht="17" x14ac:dyDescent="0.2">
      <c r="A20" s="58"/>
      <c r="B20" s="58"/>
      <c r="C20" s="57"/>
      <c r="N20" s="21"/>
      <c r="O20" s="21"/>
      <c r="P20" s="21"/>
    </row>
    <row r="21" spans="1:299" ht="17" x14ac:dyDescent="0.2">
      <c r="A21" s="58"/>
      <c r="B21" s="58"/>
      <c r="C21" s="57"/>
      <c r="N21" s="21"/>
      <c r="O21" s="21"/>
      <c r="P21" s="21"/>
    </row>
    <row r="22" spans="1:299" ht="17" x14ac:dyDescent="0.2">
      <c r="N22" s="21"/>
      <c r="O22" s="21"/>
      <c r="P22" s="21"/>
    </row>
    <row r="23" spans="1:299" ht="17" x14ac:dyDescent="0.2">
      <c r="N23" s="21"/>
      <c r="O23" s="21"/>
      <c r="P23" s="21"/>
    </row>
    <row r="24" spans="1:299" ht="17" x14ac:dyDescent="0.2">
      <c r="N24" s="21"/>
      <c r="O24" s="21"/>
      <c r="P24" s="21"/>
    </row>
    <row r="25" spans="1:299" ht="17" x14ac:dyDescent="0.2">
      <c r="N25" s="21"/>
      <c r="O25" s="21"/>
      <c r="P25" s="21"/>
    </row>
    <row r="26" spans="1:299" ht="17" x14ac:dyDescent="0.2">
      <c r="N26" s="21"/>
      <c r="O26" s="21"/>
      <c r="P26" s="21"/>
    </row>
    <row r="27" spans="1:299" ht="17" x14ac:dyDescent="0.2">
      <c r="N27" s="21"/>
      <c r="O27" s="21"/>
      <c r="P27" s="21"/>
    </row>
    <row r="28" spans="1:299" ht="17" x14ac:dyDescent="0.2">
      <c r="N28" s="21"/>
      <c r="O28" s="21"/>
      <c r="P28" s="21"/>
    </row>
    <row r="29" spans="1:299" ht="17" x14ac:dyDescent="0.2">
      <c r="N29" s="21"/>
      <c r="O29" s="21"/>
      <c r="P29" s="21"/>
    </row>
    <row r="30" spans="1:299" ht="17" x14ac:dyDescent="0.2">
      <c r="N30" s="21"/>
      <c r="O30" s="21"/>
      <c r="P30" s="21"/>
    </row>
    <row r="31" spans="1:299" ht="17" x14ac:dyDescent="0.2">
      <c r="N31" s="21"/>
      <c r="O31" s="21"/>
      <c r="P31" s="21"/>
    </row>
    <row r="32" spans="1:299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  <row r="39" spans="14:16" ht="17" x14ac:dyDescent="0.2">
      <c r="N39" s="21"/>
      <c r="O39" s="21"/>
      <c r="P39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9" t="s">
        <v>194</v>
      </c>
      <c r="G1" s="129" t="s">
        <v>195</v>
      </c>
      <c r="H1" s="129" t="s">
        <v>18</v>
      </c>
      <c r="I1" s="123" t="s">
        <v>19</v>
      </c>
      <c r="J1" s="125" t="s">
        <v>20</v>
      </c>
      <c r="K1" s="125" t="s">
        <v>69</v>
      </c>
      <c r="L1" s="125" t="s">
        <v>23</v>
      </c>
      <c r="M1" s="125" t="s">
        <v>69</v>
      </c>
      <c r="N1" s="126" t="s">
        <v>24</v>
      </c>
      <c r="O1" s="125" t="s">
        <v>70</v>
      </c>
      <c r="P1" s="125" t="s">
        <v>69</v>
      </c>
      <c r="Q1" s="119" t="s">
        <v>108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146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193</v>
      </c>
      <c r="BH1" s="127"/>
      <c r="BI1" s="119" t="s">
        <v>155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163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207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47</v>
      </c>
      <c r="R2" s="120"/>
      <c r="S2" s="120"/>
      <c r="T2" s="120"/>
      <c r="U2" s="120" t="s">
        <v>50</v>
      </c>
      <c r="V2" s="120"/>
      <c r="W2" s="120"/>
      <c r="X2" s="120"/>
      <c r="Y2" s="120" t="s">
        <v>51</v>
      </c>
      <c r="Z2" s="120"/>
      <c r="AA2" s="120"/>
      <c r="AB2" s="120"/>
      <c r="AC2" s="128" t="s">
        <v>52</v>
      </c>
      <c r="AD2" s="128"/>
      <c r="AE2" s="128"/>
      <c r="AF2" s="128"/>
      <c r="AG2" s="81"/>
      <c r="AH2" s="60" t="s">
        <v>35</v>
      </c>
      <c r="AI2" s="10" t="s">
        <v>34</v>
      </c>
      <c r="AJ2" s="10" t="s">
        <v>33</v>
      </c>
      <c r="AK2" s="10" t="s">
        <v>28</v>
      </c>
      <c r="AL2" s="121" t="s">
        <v>47</v>
      </c>
      <c r="AM2" s="121"/>
      <c r="AN2" s="121"/>
      <c r="AO2" s="121"/>
      <c r="AP2" s="121" t="s">
        <v>50</v>
      </c>
      <c r="AQ2" s="121"/>
      <c r="AR2" s="121"/>
      <c r="AS2" s="121"/>
      <c r="AT2" s="121" t="s">
        <v>51</v>
      </c>
      <c r="AU2" s="121"/>
      <c r="AV2" s="121"/>
      <c r="AW2" s="121"/>
      <c r="AX2" s="130" t="s">
        <v>52</v>
      </c>
      <c r="AY2" s="130"/>
      <c r="AZ2" s="130"/>
      <c r="BA2" s="130"/>
      <c r="BB2" s="82"/>
      <c r="BC2" s="59" t="s">
        <v>35</v>
      </c>
      <c r="BD2" s="13" t="s">
        <v>34</v>
      </c>
      <c r="BE2" s="13" t="s">
        <v>33</v>
      </c>
      <c r="BF2" s="13" t="s">
        <v>28</v>
      </c>
      <c r="BG2" s="24" t="s">
        <v>34</v>
      </c>
      <c r="BH2" s="24" t="s">
        <v>33</v>
      </c>
      <c r="BI2" s="120" t="s">
        <v>47</v>
      </c>
      <c r="BJ2" s="120"/>
      <c r="BK2" s="120"/>
      <c r="BL2" s="120"/>
      <c r="BM2" s="120" t="s">
        <v>50</v>
      </c>
      <c r="BN2" s="120"/>
      <c r="BO2" s="120"/>
      <c r="BP2" s="120"/>
      <c r="BQ2" s="120" t="s">
        <v>51</v>
      </c>
      <c r="BR2" s="120"/>
      <c r="BS2" s="120"/>
      <c r="BT2" s="120"/>
      <c r="BU2" s="131" t="s">
        <v>52</v>
      </c>
      <c r="BV2" s="131"/>
      <c r="BW2" s="131"/>
      <c r="BX2" s="131"/>
      <c r="BY2" s="60" t="s">
        <v>35</v>
      </c>
      <c r="BZ2" s="10" t="s">
        <v>34</v>
      </c>
      <c r="CA2" s="10" t="s">
        <v>33</v>
      </c>
      <c r="CB2" s="10" t="s">
        <v>28</v>
      </c>
      <c r="CC2" s="121" t="s">
        <v>47</v>
      </c>
      <c r="CD2" s="121"/>
      <c r="CE2" s="121"/>
      <c r="CF2" s="121"/>
      <c r="CG2" s="121" t="s">
        <v>50</v>
      </c>
      <c r="CH2" s="121"/>
      <c r="CI2" s="121"/>
      <c r="CJ2" s="121"/>
      <c r="CK2" s="121" t="s">
        <v>51</v>
      </c>
      <c r="CL2" s="121"/>
      <c r="CM2" s="121"/>
      <c r="CN2" s="121"/>
      <c r="CO2" s="130" t="s">
        <v>52</v>
      </c>
      <c r="CP2" s="130"/>
      <c r="CQ2" s="130"/>
      <c r="CR2" s="130"/>
      <c r="CS2" s="59" t="s">
        <v>35</v>
      </c>
      <c r="CT2" s="13" t="s">
        <v>34</v>
      </c>
      <c r="CU2" s="13" t="s">
        <v>33</v>
      </c>
      <c r="CV2" s="13" t="s">
        <v>28</v>
      </c>
      <c r="CW2" s="120" t="s">
        <v>47</v>
      </c>
      <c r="CX2" s="120"/>
      <c r="CY2" s="120"/>
      <c r="CZ2" s="120"/>
      <c r="DA2" s="120" t="s">
        <v>50</v>
      </c>
      <c r="DB2" s="120"/>
      <c r="DC2" s="120"/>
      <c r="DD2" s="120"/>
      <c r="DE2" s="120" t="s">
        <v>51</v>
      </c>
      <c r="DF2" s="120"/>
      <c r="DG2" s="120"/>
      <c r="DH2" s="120"/>
      <c r="DI2" s="131" t="s">
        <v>52</v>
      </c>
      <c r="DJ2" s="131"/>
      <c r="DK2" s="131"/>
      <c r="DL2" s="131"/>
      <c r="DM2" s="60" t="s">
        <v>35</v>
      </c>
      <c r="DN2" s="10" t="s">
        <v>34</v>
      </c>
      <c r="DO2" s="10" t="s">
        <v>33</v>
      </c>
      <c r="DP2" s="10" t="s">
        <v>28</v>
      </c>
      <c r="DQ2" s="121" t="s">
        <v>47</v>
      </c>
      <c r="DR2" s="121"/>
      <c r="DS2" s="121"/>
      <c r="DT2" s="121"/>
      <c r="DU2" s="121" t="s">
        <v>50</v>
      </c>
      <c r="DV2" s="121"/>
      <c r="DW2" s="121"/>
      <c r="DX2" s="121"/>
      <c r="DY2" s="121" t="s">
        <v>51</v>
      </c>
      <c r="DZ2" s="121"/>
      <c r="EA2" s="121"/>
      <c r="EB2" s="121"/>
      <c r="EC2" s="130" t="s">
        <v>52</v>
      </c>
      <c r="ED2" s="130"/>
      <c r="EE2" s="130"/>
      <c r="EF2" s="130"/>
      <c r="EG2" s="22" t="s">
        <v>35</v>
      </c>
      <c r="EH2" s="13" t="s">
        <v>34</v>
      </c>
      <c r="EI2" s="13" t="s">
        <v>33</v>
      </c>
      <c r="EJ2" s="13" t="s">
        <v>28</v>
      </c>
      <c r="EK2" s="120" t="s">
        <v>47</v>
      </c>
      <c r="EL2" s="120"/>
      <c r="EM2" s="120"/>
      <c r="EN2" s="120"/>
      <c r="EO2" s="120" t="s">
        <v>50</v>
      </c>
      <c r="EP2" s="120"/>
      <c r="EQ2" s="120"/>
      <c r="ER2" s="120"/>
      <c r="ES2" s="120" t="s">
        <v>51</v>
      </c>
      <c r="ET2" s="120"/>
      <c r="EU2" s="120"/>
      <c r="EV2" s="120"/>
      <c r="EW2" s="131" t="s">
        <v>52</v>
      </c>
      <c r="EX2" s="131"/>
      <c r="EY2" s="131"/>
      <c r="EZ2" s="131"/>
      <c r="FA2" s="23" t="s">
        <v>35</v>
      </c>
      <c r="FB2" s="10" t="s">
        <v>34</v>
      </c>
      <c r="FC2" s="10" t="s">
        <v>33</v>
      </c>
      <c r="FD2" s="10" t="s">
        <v>28</v>
      </c>
      <c r="FE2" s="121" t="s">
        <v>47</v>
      </c>
      <c r="FF2" s="121"/>
      <c r="FG2" s="121"/>
      <c r="FH2" s="121"/>
      <c r="FI2" s="121" t="s">
        <v>50</v>
      </c>
      <c r="FJ2" s="121"/>
      <c r="FK2" s="121"/>
      <c r="FL2" s="121"/>
      <c r="FM2" s="121" t="s">
        <v>51</v>
      </c>
      <c r="FN2" s="121"/>
      <c r="FO2" s="121"/>
      <c r="FP2" s="121"/>
      <c r="FQ2" s="130" t="s">
        <v>52</v>
      </c>
      <c r="FR2" s="130"/>
      <c r="FS2" s="130"/>
      <c r="FT2" s="130"/>
      <c r="FU2" s="22" t="s">
        <v>35</v>
      </c>
      <c r="FV2" s="13" t="s">
        <v>34</v>
      </c>
      <c r="FW2" s="13" t="s">
        <v>33</v>
      </c>
      <c r="FX2" s="13" t="s">
        <v>28</v>
      </c>
      <c r="FY2" s="120" t="s">
        <v>47</v>
      </c>
      <c r="FZ2" s="120"/>
      <c r="GA2" s="120"/>
      <c r="GB2" s="120"/>
      <c r="GC2" s="120" t="s">
        <v>50</v>
      </c>
      <c r="GD2" s="120"/>
      <c r="GE2" s="120"/>
      <c r="GF2" s="120"/>
      <c r="GG2" s="120" t="s">
        <v>51</v>
      </c>
      <c r="GH2" s="120"/>
      <c r="GI2" s="120"/>
      <c r="GJ2" s="120"/>
      <c r="GK2" s="131" t="s">
        <v>52</v>
      </c>
      <c r="GL2" s="131"/>
      <c r="GM2" s="131"/>
      <c r="GN2" s="131"/>
      <c r="GO2" s="23" t="s">
        <v>35</v>
      </c>
      <c r="GP2" s="10" t="s">
        <v>34</v>
      </c>
      <c r="GQ2" s="10" t="s">
        <v>33</v>
      </c>
      <c r="GR2" s="10" t="s">
        <v>28</v>
      </c>
      <c r="GS2" s="121" t="s">
        <v>47</v>
      </c>
      <c r="GT2" s="121"/>
      <c r="GU2" s="121"/>
      <c r="GV2" s="121"/>
      <c r="GW2" s="121" t="s">
        <v>50</v>
      </c>
      <c r="GX2" s="121"/>
      <c r="GY2" s="121"/>
      <c r="GZ2" s="121"/>
      <c r="HA2" s="121" t="s">
        <v>51</v>
      </c>
      <c r="HB2" s="121"/>
      <c r="HC2" s="121"/>
      <c r="HD2" s="121"/>
      <c r="HE2" s="130" t="s">
        <v>52</v>
      </c>
      <c r="HF2" s="130"/>
      <c r="HG2" s="130"/>
      <c r="HH2" s="130"/>
      <c r="HI2" s="22" t="s">
        <v>35</v>
      </c>
      <c r="HJ2" s="13" t="s">
        <v>34</v>
      </c>
      <c r="HK2" s="13" t="s">
        <v>33</v>
      </c>
      <c r="HL2" s="13" t="s">
        <v>28</v>
      </c>
      <c r="HM2" s="120" t="s">
        <v>47</v>
      </c>
      <c r="HN2" s="120"/>
      <c r="HO2" s="120"/>
      <c r="HP2" s="120"/>
      <c r="HQ2" s="120" t="s">
        <v>50</v>
      </c>
      <c r="HR2" s="120"/>
      <c r="HS2" s="120"/>
      <c r="HT2" s="120"/>
      <c r="HU2" s="120" t="s">
        <v>51</v>
      </c>
      <c r="HV2" s="120"/>
      <c r="HW2" s="120"/>
      <c r="HX2" s="120"/>
      <c r="HY2" s="131" t="s">
        <v>52</v>
      </c>
      <c r="HZ2" s="131"/>
      <c r="IA2" s="131"/>
      <c r="IB2" s="131"/>
      <c r="IC2" s="23" t="s">
        <v>35</v>
      </c>
      <c r="ID2" s="10" t="s">
        <v>34</v>
      </c>
      <c r="IE2" s="10" t="s">
        <v>33</v>
      </c>
      <c r="IF2" s="10" t="s">
        <v>28</v>
      </c>
      <c r="IG2" s="121" t="s">
        <v>47</v>
      </c>
      <c r="IH2" s="121"/>
      <c r="II2" s="121"/>
      <c r="IJ2" s="121"/>
      <c r="IK2" s="121" t="s">
        <v>50</v>
      </c>
      <c r="IL2" s="121"/>
      <c r="IM2" s="121"/>
      <c r="IN2" s="121"/>
      <c r="IO2" s="121" t="s">
        <v>51</v>
      </c>
      <c r="IP2" s="121"/>
      <c r="IQ2" s="121"/>
      <c r="IR2" s="121"/>
      <c r="IS2" s="130" t="s">
        <v>52</v>
      </c>
      <c r="IT2" s="130"/>
      <c r="IU2" s="130"/>
      <c r="IV2" s="130"/>
      <c r="IW2" s="22" t="s">
        <v>35</v>
      </c>
      <c r="IX2" s="13" t="s">
        <v>34</v>
      </c>
      <c r="IY2" s="13" t="s">
        <v>33</v>
      </c>
      <c r="IZ2" s="13" t="s">
        <v>28</v>
      </c>
      <c r="JA2" s="120" t="s">
        <v>47</v>
      </c>
      <c r="JB2" s="120"/>
      <c r="JC2" s="120"/>
      <c r="JD2" s="120"/>
      <c r="JE2" s="120" t="s">
        <v>50</v>
      </c>
      <c r="JF2" s="120"/>
      <c r="JG2" s="120"/>
      <c r="JH2" s="120"/>
      <c r="JI2" s="120" t="s">
        <v>51</v>
      </c>
      <c r="JJ2" s="120"/>
      <c r="JK2" s="120"/>
      <c r="JL2" s="120"/>
      <c r="JM2" s="131" t="s">
        <v>52</v>
      </c>
      <c r="JN2" s="131"/>
      <c r="JO2" s="131"/>
      <c r="JP2" s="131"/>
      <c r="JQ2" s="23" t="s">
        <v>35</v>
      </c>
      <c r="JR2" s="10" t="s">
        <v>34</v>
      </c>
      <c r="JS2" s="10" t="s">
        <v>33</v>
      </c>
      <c r="JT2" s="10" t="s">
        <v>28</v>
      </c>
      <c r="JU2" s="121" t="s">
        <v>47</v>
      </c>
      <c r="JV2" s="121"/>
      <c r="JW2" s="121"/>
      <c r="JX2" s="121"/>
      <c r="JY2" s="121" t="s">
        <v>50</v>
      </c>
      <c r="JZ2" s="121"/>
      <c r="KA2" s="121"/>
      <c r="KB2" s="121"/>
      <c r="KC2" s="121" t="s">
        <v>51</v>
      </c>
      <c r="KD2" s="121"/>
      <c r="KE2" s="121"/>
      <c r="KF2" s="121"/>
      <c r="KG2" s="130" t="s">
        <v>52</v>
      </c>
      <c r="KH2" s="130"/>
      <c r="KI2" s="130"/>
      <c r="KJ2" s="130"/>
      <c r="KK2" s="22" t="s">
        <v>35</v>
      </c>
      <c r="KL2" s="13" t="s">
        <v>34</v>
      </c>
      <c r="KM2" s="13" t="s">
        <v>33</v>
      </c>
      <c r="KN2" s="13" t="s">
        <v>28</v>
      </c>
      <c r="KO2" s="120" t="s">
        <v>47</v>
      </c>
      <c r="KP2" s="120"/>
      <c r="KQ2" s="120"/>
      <c r="KR2" s="120"/>
      <c r="KS2" s="120" t="s">
        <v>50</v>
      </c>
      <c r="KT2" s="120"/>
      <c r="KU2" s="120"/>
      <c r="KV2" s="120"/>
      <c r="KW2" s="120" t="s">
        <v>51</v>
      </c>
      <c r="KX2" s="120"/>
      <c r="KY2" s="120"/>
      <c r="KZ2" s="120"/>
      <c r="LA2" s="128" t="s">
        <v>52</v>
      </c>
      <c r="LB2" s="128"/>
      <c r="LC2" s="128"/>
      <c r="LD2" s="128"/>
      <c r="LE2" s="112"/>
      <c r="LF2" s="112" t="s">
        <v>35</v>
      </c>
      <c r="LG2" s="10" t="s">
        <v>34</v>
      </c>
      <c r="LH2" s="10" t="s">
        <v>33</v>
      </c>
      <c r="LI2" s="10" t="s">
        <v>28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0"/>
      <c r="AJ3" s="11"/>
      <c r="AK3" s="11"/>
      <c r="AL3" s="59" t="s">
        <v>25</v>
      </c>
      <c r="AM3" s="59" t="s">
        <v>17</v>
      </c>
      <c r="AN3" s="59" t="s">
        <v>48</v>
      </c>
      <c r="AO3" s="59" t="s">
        <v>49</v>
      </c>
      <c r="AP3" s="59" t="s">
        <v>25</v>
      </c>
      <c r="AQ3" s="59" t="s">
        <v>17</v>
      </c>
      <c r="AR3" s="59" t="s">
        <v>48</v>
      </c>
      <c r="AS3" s="59" t="s">
        <v>49</v>
      </c>
      <c r="AT3" s="59" t="s">
        <v>25</v>
      </c>
      <c r="AU3" s="59" t="s">
        <v>17</v>
      </c>
      <c r="AV3" s="59" t="s">
        <v>48</v>
      </c>
      <c r="AW3" s="59" t="s">
        <v>49</v>
      </c>
      <c r="AX3" s="61" t="s">
        <v>25</v>
      </c>
      <c r="AY3" s="61" t="s">
        <v>17</v>
      </c>
      <c r="AZ3" s="61" t="s">
        <v>48</v>
      </c>
      <c r="BA3" s="61" t="s">
        <v>49</v>
      </c>
      <c r="BB3" s="82" t="s">
        <v>125</v>
      </c>
      <c r="BC3" s="14"/>
      <c r="BD3" s="13"/>
      <c r="BE3" s="14"/>
      <c r="BF3" s="14"/>
      <c r="BG3" s="25"/>
      <c r="BH3" s="25"/>
      <c r="BI3" s="60" t="s">
        <v>25</v>
      </c>
      <c r="BJ3" s="60" t="s">
        <v>17</v>
      </c>
      <c r="BK3" s="60" t="s">
        <v>48</v>
      </c>
      <c r="BL3" s="60" t="s">
        <v>49</v>
      </c>
      <c r="BM3" s="60" t="s">
        <v>25</v>
      </c>
      <c r="BN3" s="60" t="s">
        <v>17</v>
      </c>
      <c r="BO3" s="60" t="s">
        <v>48</v>
      </c>
      <c r="BP3" s="60" t="s">
        <v>49</v>
      </c>
      <c r="BQ3" s="60" t="s">
        <v>25</v>
      </c>
      <c r="BR3" s="60" t="s">
        <v>17</v>
      </c>
      <c r="BS3" s="60" t="s">
        <v>48</v>
      </c>
      <c r="BT3" s="60" t="s">
        <v>49</v>
      </c>
      <c r="BU3" s="62" t="s">
        <v>25</v>
      </c>
      <c r="BV3" s="62" t="s">
        <v>17</v>
      </c>
      <c r="BW3" s="62" t="s">
        <v>48</v>
      </c>
      <c r="BX3" s="62" t="s">
        <v>49</v>
      </c>
      <c r="BY3" s="11"/>
      <c r="BZ3" s="10"/>
      <c r="CA3" s="11"/>
      <c r="CB3" s="11"/>
      <c r="CC3" s="59" t="s">
        <v>25</v>
      </c>
      <c r="CD3" s="59" t="s">
        <v>17</v>
      </c>
      <c r="CE3" s="59" t="s">
        <v>48</v>
      </c>
      <c r="CF3" s="59" t="s">
        <v>49</v>
      </c>
      <c r="CG3" s="59" t="s">
        <v>25</v>
      </c>
      <c r="CH3" s="59" t="s">
        <v>17</v>
      </c>
      <c r="CI3" s="59" t="s">
        <v>48</v>
      </c>
      <c r="CJ3" s="59" t="s">
        <v>49</v>
      </c>
      <c r="CK3" s="59" t="s">
        <v>25</v>
      </c>
      <c r="CL3" s="59" t="s">
        <v>17</v>
      </c>
      <c r="CM3" s="59" t="s">
        <v>48</v>
      </c>
      <c r="CN3" s="59" t="s">
        <v>49</v>
      </c>
      <c r="CO3" s="61" t="s">
        <v>25</v>
      </c>
      <c r="CP3" s="61" t="s">
        <v>17</v>
      </c>
      <c r="CQ3" s="61" t="s">
        <v>48</v>
      </c>
      <c r="CR3" s="61" t="s">
        <v>49</v>
      </c>
      <c r="CS3" s="14"/>
      <c r="CT3" s="13"/>
      <c r="CU3" s="14"/>
      <c r="CV3" s="14"/>
      <c r="CW3" s="60" t="s">
        <v>25</v>
      </c>
      <c r="CX3" s="60" t="s">
        <v>17</v>
      </c>
      <c r="CY3" s="60" t="s">
        <v>48</v>
      </c>
      <c r="CZ3" s="60" t="s">
        <v>49</v>
      </c>
      <c r="DA3" s="60" t="s">
        <v>25</v>
      </c>
      <c r="DB3" s="60" t="s">
        <v>17</v>
      </c>
      <c r="DC3" s="60" t="s">
        <v>48</v>
      </c>
      <c r="DD3" s="60" t="s">
        <v>49</v>
      </c>
      <c r="DE3" s="60" t="s">
        <v>25</v>
      </c>
      <c r="DF3" s="60" t="s">
        <v>17</v>
      </c>
      <c r="DG3" s="60" t="s">
        <v>48</v>
      </c>
      <c r="DH3" s="60" t="s">
        <v>49</v>
      </c>
      <c r="DI3" s="62" t="s">
        <v>25</v>
      </c>
      <c r="DJ3" s="62" t="s">
        <v>17</v>
      </c>
      <c r="DK3" s="62" t="s">
        <v>48</v>
      </c>
      <c r="DL3" s="62" t="s">
        <v>49</v>
      </c>
      <c r="DM3" s="11"/>
      <c r="DN3" s="10"/>
      <c r="DO3" s="11"/>
      <c r="DP3" s="11"/>
      <c r="DQ3" s="30" t="s">
        <v>25</v>
      </c>
      <c r="DR3" s="30" t="s">
        <v>17</v>
      </c>
      <c r="DS3" s="30" t="s">
        <v>48</v>
      </c>
      <c r="DT3" s="30" t="s">
        <v>49</v>
      </c>
      <c r="DU3" s="30" t="s">
        <v>25</v>
      </c>
      <c r="DV3" s="30" t="s">
        <v>17</v>
      </c>
      <c r="DW3" s="30" t="s">
        <v>48</v>
      </c>
      <c r="DX3" s="30" t="s">
        <v>49</v>
      </c>
      <c r="DY3" s="30" t="s">
        <v>25</v>
      </c>
      <c r="DZ3" s="30" t="s">
        <v>17</v>
      </c>
      <c r="EA3" s="30" t="s">
        <v>48</v>
      </c>
      <c r="EB3" s="30" t="s">
        <v>49</v>
      </c>
      <c r="EC3" s="33" t="s">
        <v>25</v>
      </c>
      <c r="ED3" s="33" t="s">
        <v>17</v>
      </c>
      <c r="EE3" s="33" t="s">
        <v>48</v>
      </c>
      <c r="EF3" s="33" t="s">
        <v>49</v>
      </c>
      <c r="EG3" s="14"/>
      <c r="EH3" s="13"/>
      <c r="EI3" s="14"/>
      <c r="EJ3" s="14"/>
      <c r="EK3" s="31" t="s">
        <v>25</v>
      </c>
      <c r="EL3" s="31" t="s">
        <v>17</v>
      </c>
      <c r="EM3" s="31" t="s">
        <v>48</v>
      </c>
      <c r="EN3" s="31" t="s">
        <v>49</v>
      </c>
      <c r="EO3" s="31" t="s">
        <v>25</v>
      </c>
      <c r="EP3" s="31" t="s">
        <v>17</v>
      </c>
      <c r="EQ3" s="31" t="s">
        <v>48</v>
      </c>
      <c r="ER3" s="31" t="s">
        <v>49</v>
      </c>
      <c r="ES3" s="31" t="s">
        <v>25</v>
      </c>
      <c r="ET3" s="31" t="s">
        <v>17</v>
      </c>
      <c r="EU3" s="31" t="s">
        <v>48</v>
      </c>
      <c r="EV3" s="31" t="s">
        <v>49</v>
      </c>
      <c r="EW3" s="32" t="s">
        <v>25</v>
      </c>
      <c r="EX3" s="32" t="s">
        <v>17</v>
      </c>
      <c r="EY3" s="32" t="s">
        <v>48</v>
      </c>
      <c r="EZ3" s="32" t="s">
        <v>49</v>
      </c>
      <c r="FA3" s="11"/>
      <c r="FB3" s="10"/>
      <c r="FC3" s="11"/>
      <c r="FD3" s="11"/>
      <c r="FE3" s="30" t="s">
        <v>25</v>
      </c>
      <c r="FF3" s="30" t="s">
        <v>17</v>
      </c>
      <c r="FG3" s="30" t="s">
        <v>48</v>
      </c>
      <c r="FH3" s="30" t="s">
        <v>49</v>
      </c>
      <c r="FI3" s="30" t="s">
        <v>25</v>
      </c>
      <c r="FJ3" s="30" t="s">
        <v>17</v>
      </c>
      <c r="FK3" s="30" t="s">
        <v>48</v>
      </c>
      <c r="FL3" s="30" t="s">
        <v>49</v>
      </c>
      <c r="FM3" s="30" t="s">
        <v>25</v>
      </c>
      <c r="FN3" s="30" t="s">
        <v>17</v>
      </c>
      <c r="FO3" s="30" t="s">
        <v>48</v>
      </c>
      <c r="FP3" s="30" t="s">
        <v>49</v>
      </c>
      <c r="FQ3" s="33" t="s">
        <v>25</v>
      </c>
      <c r="FR3" s="33" t="s">
        <v>17</v>
      </c>
      <c r="FS3" s="33" t="s">
        <v>48</v>
      </c>
      <c r="FT3" s="33" t="s">
        <v>49</v>
      </c>
      <c r="FU3" s="14"/>
      <c r="FV3" s="13"/>
      <c r="FW3" s="14"/>
      <c r="FX3" s="14"/>
      <c r="FY3" s="31" t="s">
        <v>25</v>
      </c>
      <c r="FZ3" s="31" t="s">
        <v>17</v>
      </c>
      <c r="GA3" s="31" t="s">
        <v>48</v>
      </c>
      <c r="GB3" s="31" t="s">
        <v>49</v>
      </c>
      <c r="GC3" s="31" t="s">
        <v>25</v>
      </c>
      <c r="GD3" s="31" t="s">
        <v>17</v>
      </c>
      <c r="GE3" s="31" t="s">
        <v>48</v>
      </c>
      <c r="GF3" s="31" t="s">
        <v>49</v>
      </c>
      <c r="GG3" s="31" t="s">
        <v>25</v>
      </c>
      <c r="GH3" s="31" t="s">
        <v>17</v>
      </c>
      <c r="GI3" s="31" t="s">
        <v>48</v>
      </c>
      <c r="GJ3" s="31" t="s">
        <v>49</v>
      </c>
      <c r="GK3" s="32" t="s">
        <v>25</v>
      </c>
      <c r="GL3" s="32" t="s">
        <v>17</v>
      </c>
      <c r="GM3" s="32" t="s">
        <v>48</v>
      </c>
      <c r="GN3" s="32" t="s">
        <v>49</v>
      </c>
      <c r="GO3" s="11"/>
      <c r="GP3" s="10"/>
      <c r="GQ3" s="11"/>
      <c r="GR3" s="11"/>
      <c r="GS3" s="30" t="s">
        <v>25</v>
      </c>
      <c r="GT3" s="30" t="s">
        <v>17</v>
      </c>
      <c r="GU3" s="30" t="s">
        <v>48</v>
      </c>
      <c r="GV3" s="30" t="s">
        <v>49</v>
      </c>
      <c r="GW3" s="30" t="s">
        <v>25</v>
      </c>
      <c r="GX3" s="30" t="s">
        <v>17</v>
      </c>
      <c r="GY3" s="30" t="s">
        <v>48</v>
      </c>
      <c r="GZ3" s="30" t="s">
        <v>49</v>
      </c>
      <c r="HA3" s="30" t="s">
        <v>25</v>
      </c>
      <c r="HB3" s="30" t="s">
        <v>17</v>
      </c>
      <c r="HC3" s="30" t="s">
        <v>48</v>
      </c>
      <c r="HD3" s="30" t="s">
        <v>49</v>
      </c>
      <c r="HE3" s="33" t="s">
        <v>25</v>
      </c>
      <c r="HF3" s="33" t="s">
        <v>17</v>
      </c>
      <c r="HG3" s="33" t="s">
        <v>48</v>
      </c>
      <c r="HH3" s="33" t="s">
        <v>49</v>
      </c>
      <c r="HI3" s="14"/>
      <c r="HJ3" s="13"/>
      <c r="HK3" s="14"/>
      <c r="HL3" s="14"/>
      <c r="HM3" s="31" t="s">
        <v>25</v>
      </c>
      <c r="HN3" s="31" t="s">
        <v>17</v>
      </c>
      <c r="HO3" s="31" t="s">
        <v>48</v>
      </c>
      <c r="HP3" s="31" t="s">
        <v>49</v>
      </c>
      <c r="HQ3" s="31" t="s">
        <v>25</v>
      </c>
      <c r="HR3" s="31" t="s">
        <v>17</v>
      </c>
      <c r="HS3" s="31" t="s">
        <v>48</v>
      </c>
      <c r="HT3" s="31" t="s">
        <v>49</v>
      </c>
      <c r="HU3" s="31" t="s">
        <v>25</v>
      </c>
      <c r="HV3" s="31" t="s">
        <v>17</v>
      </c>
      <c r="HW3" s="31" t="s">
        <v>48</v>
      </c>
      <c r="HX3" s="31" t="s">
        <v>49</v>
      </c>
      <c r="HY3" s="32" t="s">
        <v>25</v>
      </c>
      <c r="HZ3" s="32" t="s">
        <v>17</v>
      </c>
      <c r="IA3" s="32" t="s">
        <v>48</v>
      </c>
      <c r="IB3" s="32" t="s">
        <v>49</v>
      </c>
      <c r="IC3" s="11"/>
      <c r="ID3" s="10"/>
      <c r="IE3" s="11"/>
      <c r="IF3" s="11"/>
      <c r="IG3" s="30" t="s">
        <v>25</v>
      </c>
      <c r="IH3" s="30" t="s">
        <v>17</v>
      </c>
      <c r="II3" s="30" t="s">
        <v>48</v>
      </c>
      <c r="IJ3" s="30" t="s">
        <v>49</v>
      </c>
      <c r="IK3" s="30" t="s">
        <v>25</v>
      </c>
      <c r="IL3" s="30" t="s">
        <v>17</v>
      </c>
      <c r="IM3" s="30" t="s">
        <v>48</v>
      </c>
      <c r="IN3" s="30" t="s">
        <v>49</v>
      </c>
      <c r="IO3" s="30" t="s">
        <v>25</v>
      </c>
      <c r="IP3" s="30" t="s">
        <v>17</v>
      </c>
      <c r="IQ3" s="30" t="s">
        <v>48</v>
      </c>
      <c r="IR3" s="30" t="s">
        <v>49</v>
      </c>
      <c r="IS3" s="33" t="s">
        <v>25</v>
      </c>
      <c r="IT3" s="33" t="s">
        <v>17</v>
      </c>
      <c r="IU3" s="33" t="s">
        <v>48</v>
      </c>
      <c r="IV3" s="33" t="s">
        <v>49</v>
      </c>
      <c r="IW3" s="14"/>
      <c r="IX3" s="13"/>
      <c r="IY3" s="14"/>
      <c r="IZ3" s="14"/>
      <c r="JA3" s="31" t="s">
        <v>25</v>
      </c>
      <c r="JB3" s="31" t="s">
        <v>17</v>
      </c>
      <c r="JC3" s="31" t="s">
        <v>48</v>
      </c>
      <c r="JD3" s="31" t="s">
        <v>49</v>
      </c>
      <c r="JE3" s="31" t="s">
        <v>25</v>
      </c>
      <c r="JF3" s="31" t="s">
        <v>17</v>
      </c>
      <c r="JG3" s="31" t="s">
        <v>48</v>
      </c>
      <c r="JH3" s="31" t="s">
        <v>49</v>
      </c>
      <c r="JI3" s="31" t="s">
        <v>25</v>
      </c>
      <c r="JJ3" s="31" t="s">
        <v>17</v>
      </c>
      <c r="JK3" s="31" t="s">
        <v>48</v>
      </c>
      <c r="JL3" s="31" t="s">
        <v>49</v>
      </c>
      <c r="JM3" s="32" t="s">
        <v>25</v>
      </c>
      <c r="JN3" s="32" t="s">
        <v>17</v>
      </c>
      <c r="JO3" s="32" t="s">
        <v>48</v>
      </c>
      <c r="JP3" s="32" t="s">
        <v>49</v>
      </c>
      <c r="JQ3" s="11"/>
      <c r="JR3" s="10"/>
      <c r="JS3" s="11"/>
      <c r="JT3" s="11"/>
      <c r="JU3" s="30" t="s">
        <v>25</v>
      </c>
      <c r="JV3" s="30" t="s">
        <v>17</v>
      </c>
      <c r="JW3" s="30" t="s">
        <v>48</v>
      </c>
      <c r="JX3" s="30" t="s">
        <v>49</v>
      </c>
      <c r="JY3" s="30" t="s">
        <v>25</v>
      </c>
      <c r="JZ3" s="30" t="s">
        <v>17</v>
      </c>
      <c r="KA3" s="30" t="s">
        <v>48</v>
      </c>
      <c r="KB3" s="30" t="s">
        <v>49</v>
      </c>
      <c r="KC3" s="30" t="s">
        <v>25</v>
      </c>
      <c r="KD3" s="30" t="s">
        <v>17</v>
      </c>
      <c r="KE3" s="30" t="s">
        <v>48</v>
      </c>
      <c r="KF3" s="30" t="s">
        <v>49</v>
      </c>
      <c r="KG3" s="33" t="s">
        <v>25</v>
      </c>
      <c r="KH3" s="33" t="s">
        <v>17</v>
      </c>
      <c r="KI3" s="33" t="s">
        <v>48</v>
      </c>
      <c r="KJ3" s="33" t="s">
        <v>49</v>
      </c>
      <c r="KK3" s="14"/>
      <c r="KL3" s="13"/>
      <c r="KM3" s="14"/>
      <c r="KN3" s="14"/>
      <c r="KO3" s="112" t="s">
        <v>25</v>
      </c>
      <c r="KP3" s="112" t="s">
        <v>17</v>
      </c>
      <c r="KQ3" s="112" t="s">
        <v>48</v>
      </c>
      <c r="KR3" s="112" t="s">
        <v>49</v>
      </c>
      <c r="KS3" s="112" t="s">
        <v>25</v>
      </c>
      <c r="KT3" s="112" t="s">
        <v>17</v>
      </c>
      <c r="KU3" s="112" t="s">
        <v>48</v>
      </c>
      <c r="KV3" s="112" t="s">
        <v>49</v>
      </c>
      <c r="KW3" s="112" t="s">
        <v>25</v>
      </c>
      <c r="KX3" s="112" t="s">
        <v>17</v>
      </c>
      <c r="KY3" s="112" t="s">
        <v>48</v>
      </c>
      <c r="KZ3" s="112" t="s">
        <v>49</v>
      </c>
      <c r="LA3" s="113" t="s">
        <v>25</v>
      </c>
      <c r="LB3" s="113" t="s">
        <v>17</v>
      </c>
      <c r="LC3" s="113" t="s">
        <v>48</v>
      </c>
      <c r="LD3" s="113" t="s">
        <v>49</v>
      </c>
      <c r="LE3" s="112" t="s">
        <v>125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103</v>
      </c>
      <c r="C4" s="8" t="s">
        <v>3</v>
      </c>
      <c r="D4" s="29">
        <v>2000</v>
      </c>
      <c r="E4" s="16">
        <f>SUM(J4:N4)</f>
        <v>129.19999999999999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Excellence</v>
      </c>
      <c r="J4" s="15">
        <f>IF(MAX(AI4,BD4)&gt;0,MAX(AI4,BD4),"")</f>
        <v>64.7</v>
      </c>
      <c r="K4" s="15" t="str">
        <f>IF(J4="","",IF(J4=BD4,$AL$1,IF(J4=AI4,$Q$1,"")))</f>
        <v>2018 Nationals</v>
      </c>
      <c r="L4" s="15">
        <f>IF(MAX(AJ4,BE4)&gt;0,MAX(AJ4,BE4),"")</f>
        <v>64.5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>
        <v>28.8</v>
      </c>
      <c r="R4" s="43">
        <v>3.6</v>
      </c>
      <c r="S4" s="43">
        <v>0</v>
      </c>
      <c r="T4" s="43">
        <v>0</v>
      </c>
      <c r="U4" s="43">
        <v>27.8</v>
      </c>
      <c r="V4" s="43">
        <v>4.5</v>
      </c>
      <c r="W4" s="43">
        <v>0</v>
      </c>
      <c r="X4" s="43">
        <v>0</v>
      </c>
      <c r="Y4" s="43">
        <v>28.2</v>
      </c>
      <c r="Z4" s="43">
        <v>3.6</v>
      </c>
      <c r="AA4" s="43">
        <v>0</v>
      </c>
      <c r="AB4" s="43">
        <v>0</v>
      </c>
      <c r="AC4" s="43">
        <v>28.2</v>
      </c>
      <c r="AD4" s="43">
        <v>4.5</v>
      </c>
      <c r="AE4" s="43">
        <v>0</v>
      </c>
      <c r="AF4" s="43">
        <v>0</v>
      </c>
      <c r="AG4" s="83"/>
      <c r="AH4" s="12">
        <f>IF(SUM(R4,V4)&gt;0,SUM(R4,V4),"")</f>
        <v>8.1</v>
      </c>
      <c r="AI4" s="12">
        <f>IF(SUM(Q4:R4,T4:V4,X4)-S4-W4&gt;0,SUM(Q4:R4,T4:V4,X4)-S4-W4,"")</f>
        <v>64.7</v>
      </c>
      <c r="AJ4" s="12">
        <f>IF(SUM(Y4:Z4,AB4:AD4,AF4)-SUM(AA4,AE4)&gt;0,SUM(Y4:Z4,AB4:AD4,AF4)-SUM(AA4,AE4),"")</f>
        <v>64.5</v>
      </c>
      <c r="AK4" s="12">
        <f>IF(SUM(AI4,AJ4)&gt;0,SUM(AI4,AJ4),"")</f>
        <v>129.19999999999999</v>
      </c>
      <c r="AL4" s="40">
        <v>25</v>
      </c>
      <c r="AM4" s="40">
        <v>6.1</v>
      </c>
      <c r="AN4" s="40">
        <v>0</v>
      </c>
      <c r="AO4" s="40">
        <v>1</v>
      </c>
      <c r="AP4" s="40">
        <v>27.7</v>
      </c>
      <c r="AQ4" s="40">
        <v>4.5</v>
      </c>
      <c r="AR4" s="40">
        <v>0</v>
      </c>
      <c r="AS4" s="40">
        <v>0</v>
      </c>
      <c r="AT4" s="40">
        <v>26.2</v>
      </c>
      <c r="AU4" s="40">
        <v>6.1</v>
      </c>
      <c r="AV4" s="40">
        <v>0</v>
      </c>
      <c r="AW4" s="40">
        <v>1</v>
      </c>
      <c r="AX4" s="40">
        <v>26.4</v>
      </c>
      <c r="AY4" s="40">
        <v>1.9</v>
      </c>
      <c r="AZ4" s="40">
        <v>0</v>
      </c>
      <c r="BA4" s="40">
        <v>0</v>
      </c>
      <c r="BB4" s="84"/>
      <c r="BC4" s="15">
        <f>IF(SUM(AM4,AQ4)&gt;0,SUM(AM4,AQ4),"")</f>
        <v>10.6</v>
      </c>
      <c r="BD4" s="15">
        <f>IF(SUM(AL4:AM4,AO4:AQ4,AS4)-AN4-AR4&gt;0,SUM(AL4:AM4,AO4:AQ4,AS4)-AN4-AR4,"")</f>
        <v>64.3</v>
      </c>
      <c r="BE4" s="15">
        <f>IF(SUM(AT4:AU4,AW4:AY4,BA4)-SUM(AV4,AZ4)&gt;0,SUM(AT4:AU4,AW4:AY4,BA4)-SUM(AV4,AZ4),"")</f>
        <v>61.599999999999994</v>
      </c>
      <c r="BF4" s="15">
        <f>IF(SUM(BD4,BE4)&gt;0,SUM(BD4,BE4),"")</f>
        <v>125.89999999999999</v>
      </c>
      <c r="BG4" s="26" t="str">
        <f>IF(MAX(BY4,CS4,DM4,EG4,FA4,FU4,GO4,HI4,IC4,IW4,JQ4,KK4)-IF(J4="",0,J4)&gt;0.001,MAX(BY4,CS4,DM4,EG4,FA4,FU4,GO4,HI4,IC4,IW4,JQ4,KK4)-IF(J4="",0,J4),"")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>
        <v>23.8</v>
      </c>
      <c r="CD4" s="40">
        <v>6.1</v>
      </c>
      <c r="CE4" s="40">
        <v>0</v>
      </c>
      <c r="CF4" s="40">
        <v>0</v>
      </c>
      <c r="CG4" s="40">
        <v>27.7</v>
      </c>
      <c r="CH4" s="40">
        <v>4.5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10.6</v>
      </c>
      <c r="CT4" s="15">
        <f>IF(SUM(CC4:CD4,CF4:CH4,CJ4)-CE4-CI4&gt;0,SUM(CC4:CD4,CF4:CH4,CJ4)-CE4-CI4,"")</f>
        <v>62.099999999999994</v>
      </c>
      <c r="CU4" s="15" t="str">
        <f>IF(SUM(CK4:CL4,CN4:CP4,CR4)-SUM(CM4,CQ4)&gt;0,SUM(CK4:CL4,CN4:CP4,CR4)-SUM(CM4,CQ4),"")</f>
        <v/>
      </c>
      <c r="CV4" s="15">
        <f>IF(SUM(CT4,CU4)&gt;0,SUM(CT4,CU4),"")</f>
        <v>62.099999999999994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2">
        <f>(Q4+AL4)/2</f>
        <v>26.9</v>
      </c>
      <c r="KP4" s="72">
        <f t="shared" ref="KP4:LD4" si="0">(R4+AM4)/2</f>
        <v>4.8499999999999996</v>
      </c>
      <c r="KQ4" s="72">
        <f t="shared" si="0"/>
        <v>0</v>
      </c>
      <c r="KR4" s="72">
        <f t="shared" si="0"/>
        <v>0.5</v>
      </c>
      <c r="KS4" s="72">
        <f t="shared" si="0"/>
        <v>27.75</v>
      </c>
      <c r="KT4" s="72">
        <f t="shared" si="0"/>
        <v>4.5</v>
      </c>
      <c r="KU4" s="72">
        <f t="shared" si="0"/>
        <v>0</v>
      </c>
      <c r="KV4" s="72">
        <f t="shared" si="0"/>
        <v>0</v>
      </c>
      <c r="KW4" s="72">
        <f t="shared" si="0"/>
        <v>27.2</v>
      </c>
      <c r="KX4" s="72">
        <f t="shared" si="0"/>
        <v>4.8499999999999996</v>
      </c>
      <c r="KY4" s="72">
        <f t="shared" si="0"/>
        <v>0</v>
      </c>
      <c r="KZ4" s="72">
        <f t="shared" si="0"/>
        <v>0.5</v>
      </c>
      <c r="LA4" s="72">
        <f t="shared" si="0"/>
        <v>27.299999999999997</v>
      </c>
      <c r="LB4" s="72">
        <f t="shared" si="0"/>
        <v>3.2</v>
      </c>
      <c r="LC4" s="72">
        <f t="shared" si="0"/>
        <v>0</v>
      </c>
      <c r="LD4" s="72">
        <f t="shared" si="0"/>
        <v>0</v>
      </c>
      <c r="LE4" s="83" t="s">
        <v>126</v>
      </c>
      <c r="LF4" s="12">
        <f t="shared" ref="LF4" si="1">IF(SUM(KP4,KT4)&gt;0,SUM(KP4,KT4),"")</f>
        <v>9.35</v>
      </c>
      <c r="LG4" s="12">
        <f t="shared" ref="LG4" si="2">IF(SUM(KO4:KP4,KR4:KT4,KV4)-KQ4-KU4&gt;0,SUM(KO4:KP4,KR4:KT4,KV4)-KQ4-KU4,"")</f>
        <v>64.5</v>
      </c>
      <c r="LH4" s="12">
        <f t="shared" ref="LH4" si="3">IF(SUM(KW4:KX4,KZ4:LB4,LD4)-SUM(KY4,LC4)&gt;0,SUM(KW4:KX4,KZ4:LB4,LD4)-SUM(KY4,LC4),"")</f>
        <v>63.05</v>
      </c>
      <c r="LI4" s="12">
        <f t="shared" ref="LI4" si="4">IF(SUM(LG4,LH4)&gt;0,SUM(LG4,LH4),"")</f>
        <v>127.55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66</v>
      </c>
      <c r="C5" s="5" t="s">
        <v>3</v>
      </c>
      <c r="D5" s="29">
        <v>1991</v>
      </c>
      <c r="E5" s="16">
        <f>SUM(J5:N5)</f>
        <v>117.80000000000001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Worlds Team</v>
      </c>
      <c r="J5" s="15">
        <f>IF(MAX(AI5,BD5)&gt;0,MAX(AI5,BD5),"")</f>
        <v>62.7</v>
      </c>
      <c r="K5" s="15" t="str">
        <f>IF(J5="","",IF(J5=BD5,$AL$1,IF(J5=AI5,$Q$1,"")))</f>
        <v>2018 Nationals</v>
      </c>
      <c r="L5" s="15">
        <f>IF(MAX(AJ5,BE5)&gt;0,MAX(AJ5,BE5),"")</f>
        <v>55.1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25.6</v>
      </c>
      <c r="R5" s="43">
        <v>6.5</v>
      </c>
      <c r="S5" s="43">
        <v>0</v>
      </c>
      <c r="T5" s="43">
        <v>1</v>
      </c>
      <c r="U5" s="43">
        <v>25.3</v>
      </c>
      <c r="V5" s="43">
        <v>4.3</v>
      </c>
      <c r="W5" s="43">
        <v>0</v>
      </c>
      <c r="X5" s="43">
        <v>0</v>
      </c>
      <c r="Y5" s="43">
        <v>23.7</v>
      </c>
      <c r="Z5" s="43">
        <v>3.3</v>
      </c>
      <c r="AA5" s="43">
        <v>0</v>
      </c>
      <c r="AB5" s="43">
        <v>1</v>
      </c>
      <c r="AC5" s="43">
        <v>25.6</v>
      </c>
      <c r="AD5" s="43">
        <v>1.5</v>
      </c>
      <c r="AE5" s="43">
        <v>0</v>
      </c>
      <c r="AF5" s="43">
        <v>0</v>
      </c>
      <c r="AG5" s="83"/>
      <c r="AH5" s="12">
        <f>IF(SUM(R5,V5)&gt;0,SUM(R5,V5),"")</f>
        <v>10.8</v>
      </c>
      <c r="AI5" s="12">
        <f>IF(SUM(Q5:R5,T5:V5,X5)-S5-W5&gt;0,SUM(Q5:R5,T5:V5,X5)-S5-W5,"")</f>
        <v>62.7</v>
      </c>
      <c r="AJ5" s="12">
        <f>IF(SUM(Y5:Z5,AB5:AD5,AF5)-SUM(AA5,AE5)&gt;0,SUM(Y5:Z5,AB5:AD5,AF5)-SUM(AA5,AE5),"")</f>
        <v>55.1</v>
      </c>
      <c r="AK5" s="12">
        <f>IF(SUM(AI5,AJ5)&gt;0,SUM(AI5,AJ5),"")</f>
        <v>117.80000000000001</v>
      </c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84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6" t="str">
        <f>IF(MAX(BY5,CS5,DM5,EG5,FA5,FU5,GO5,HI5,IC5,IW5,JQ5,KK5)-IF(J5="",0,J5)&gt;0.001,MAX(BY5,CS5,DM5,EG5,FA5,FU5,GO5,HI5,IC5,IW5,JQ5,KK5)-IF(J5="",0,J5),"")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24.4</v>
      </c>
      <c r="BJ5" s="39">
        <v>3.9</v>
      </c>
      <c r="BK5" s="39">
        <v>0</v>
      </c>
      <c r="BL5" s="39">
        <v>0</v>
      </c>
      <c r="BM5" s="39">
        <v>22.1</v>
      </c>
      <c r="BN5" s="39">
        <v>4.3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8.1999999999999993</v>
      </c>
      <c r="BZ5" s="12">
        <f>IF(SUM(BI5:BJ5,BL5:BN5,BP5)-BK5-BO5&gt;0,SUM(BI5:BJ5,BL5:BN5,BP5)-BK5-BO5,"")</f>
        <v>54.699999999999996</v>
      </c>
      <c r="CA5" s="12" t="str">
        <f>IF(SUM(BQ5:BR5,BT5:BV5,BX5)-SUM(BS5,BW5)&gt;0,SUM(BQ5:BR5,BT5:BV5,BX5)-SUM(BS5,BW5),"")</f>
        <v/>
      </c>
      <c r="CB5" s="12">
        <f>IF(SUM(BZ5,CA5)&gt;0,SUM(BZ5,CA5),"")</f>
        <v>54.699999999999996</v>
      </c>
      <c r="CC5" s="40">
        <v>26.4</v>
      </c>
      <c r="CD5" s="40">
        <v>3.6</v>
      </c>
      <c r="CE5" s="40">
        <v>0</v>
      </c>
      <c r="CF5" s="40">
        <v>0</v>
      </c>
      <c r="CG5" s="40">
        <v>23.5</v>
      </c>
      <c r="CH5" s="40">
        <v>1.9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5.5</v>
      </c>
      <c r="CT5" s="15">
        <f>IF(SUM(CC5:CD5,CF5:CH5,CJ5)-CE5-CI5&gt;0,SUM(CC5:CD5,CF5:CH5,CJ5)-CE5-CI5,"")</f>
        <v>55.4</v>
      </c>
      <c r="CU5" s="15" t="str">
        <f>IF(SUM(CK5:CL5,CN5:CP5,CR5)-SUM(CM5,CQ5)&gt;0,SUM(CK5:CL5,CN5:CP5,CR5)-SUM(CM5,CQ5),"")</f>
        <v/>
      </c>
      <c r="CV5" s="15">
        <f>IF(SUM(CT5,CU5)&gt;0,SUM(CT5,CU5),"")</f>
        <v>55.4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2">
        <f t="shared" ref="KO5:KO8" si="5">(Q5+AL5)/2</f>
        <v>12.8</v>
      </c>
      <c r="KP5" s="72">
        <f t="shared" ref="KP5:KP8" si="6">(R5+AM5)/2</f>
        <v>3.25</v>
      </c>
      <c r="KQ5" s="72">
        <f t="shared" ref="KQ5:KQ8" si="7">(S5+AN5)/2</f>
        <v>0</v>
      </c>
      <c r="KR5" s="72">
        <f t="shared" ref="KR5:KR8" si="8">(T5+AO5)/2</f>
        <v>0.5</v>
      </c>
      <c r="KS5" s="72">
        <f t="shared" ref="KS5:KS8" si="9">(U5+AP5)/2</f>
        <v>12.65</v>
      </c>
      <c r="KT5" s="72">
        <f t="shared" ref="KT5:KT8" si="10">(V5+AQ5)/2</f>
        <v>2.15</v>
      </c>
      <c r="KU5" s="72">
        <f t="shared" ref="KU5:KU8" si="11">(W5+AR5)/2</f>
        <v>0</v>
      </c>
      <c r="KV5" s="72">
        <f t="shared" ref="KV5:KV8" si="12">(X5+AS5)/2</f>
        <v>0</v>
      </c>
      <c r="KW5" s="72">
        <f t="shared" ref="KW5:KW8" si="13">(Y5+AT5)/2</f>
        <v>11.85</v>
      </c>
      <c r="KX5" s="72">
        <f t="shared" ref="KX5:KX8" si="14">(Z5+AU5)/2</f>
        <v>1.65</v>
      </c>
      <c r="KY5" s="72">
        <f t="shared" ref="KY5:KY8" si="15">(AA5+AV5)/2</f>
        <v>0</v>
      </c>
      <c r="KZ5" s="72">
        <f t="shared" ref="KZ5:KZ8" si="16">(AB5+AW5)/2</f>
        <v>0.5</v>
      </c>
      <c r="LA5" s="72">
        <f t="shared" ref="LA5:LA8" si="17">(AC5+AX5)/2</f>
        <v>12.8</v>
      </c>
      <c r="LB5" s="72">
        <f t="shared" ref="LB5:LB8" si="18">(AD5+AY5)/2</f>
        <v>0.75</v>
      </c>
      <c r="LC5" s="72">
        <f t="shared" ref="LC5:LC8" si="19">(AE5+AZ5)/2</f>
        <v>0</v>
      </c>
      <c r="LD5" s="72">
        <f t="shared" ref="LD5:LD8" si="20">(AF5+BA5)/2</f>
        <v>0</v>
      </c>
      <c r="LE5" s="83" t="s">
        <v>126</v>
      </c>
      <c r="LF5" s="12">
        <f t="shared" ref="LF5:LF8" si="21">IF(SUM(KP5,KT5)&gt;0,SUM(KP5,KT5),"")</f>
        <v>5.4</v>
      </c>
      <c r="LG5" s="12">
        <f t="shared" ref="LG5:LG8" si="22">IF(SUM(KO5:KP5,KR5:KT5,KV5)-KQ5-KU5&gt;0,SUM(KO5:KP5,KR5:KT5,KV5)-KQ5-KU5,"")</f>
        <v>31.35</v>
      </c>
      <c r="LH5" s="12">
        <f t="shared" ref="LH5:LH8" si="23">IF(SUM(KW5:KX5,KZ5:LB5,LD5)-SUM(KY5,LC5)&gt;0,SUM(KW5:KX5,KZ5:LB5,LD5)-SUM(KY5,LC5),"")</f>
        <v>27.55</v>
      </c>
      <c r="LI5" s="12">
        <f t="shared" ref="LI5:LI8" si="24">IF(SUM(LG5,LH5)&gt;0,SUM(LG5,LH5),"")</f>
        <v>58.900000000000006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64</v>
      </c>
      <c r="C6" s="5" t="s">
        <v>3</v>
      </c>
      <c r="D6" s="29">
        <v>1991</v>
      </c>
      <c r="E6" s="16">
        <f>SUM(J6:N6)</f>
        <v>127.9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/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No DD</v>
      </c>
      <c r="J6" s="15">
        <f>IF(MAX(AI6,BD6)&gt;0,MAX(AI6,BD6),"")</f>
        <v>62.9</v>
      </c>
      <c r="K6" s="15" t="str">
        <f>IF(J6="","",IF(J6=BD6,$AL$1,IF(J6=AI6,$Q$1,"")))</f>
        <v>2018 Nationals</v>
      </c>
      <c r="L6" s="15">
        <f>IF(MAX(AJ6,BE6)&gt;0,MAX(AJ6,BE6),"")</f>
        <v>65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43">
        <v>27.8</v>
      </c>
      <c r="R6" s="43">
        <v>3.6</v>
      </c>
      <c r="S6" s="43">
        <v>0</v>
      </c>
      <c r="T6" s="43">
        <v>0</v>
      </c>
      <c r="U6" s="43">
        <v>27.2</v>
      </c>
      <c r="V6" s="43">
        <v>4.3</v>
      </c>
      <c r="W6" s="43">
        <v>0</v>
      </c>
      <c r="X6" s="43">
        <v>0</v>
      </c>
      <c r="Y6" s="43">
        <v>28.6</v>
      </c>
      <c r="Z6" s="43">
        <v>4</v>
      </c>
      <c r="AA6" s="43">
        <v>0</v>
      </c>
      <c r="AB6" s="43">
        <v>0</v>
      </c>
      <c r="AC6" s="43">
        <v>28.4</v>
      </c>
      <c r="AD6" s="43">
        <v>4</v>
      </c>
      <c r="AE6" s="43">
        <v>0</v>
      </c>
      <c r="AF6" s="43">
        <v>0</v>
      </c>
      <c r="AG6" s="83"/>
      <c r="AH6" s="12">
        <f>IF(SUM(R6,V6)&gt;0,SUM(R6,V6),"")</f>
        <v>7.9</v>
      </c>
      <c r="AI6" s="12">
        <f>IF(SUM(Q6:R6,T6:V6,X6)-S6-W6&gt;0,SUM(Q6:R6,T6:V6,X6)-S6-W6,"")</f>
        <v>62.9</v>
      </c>
      <c r="AJ6" s="12">
        <f>IF(SUM(Y6:Z6,AB6:AD6,AF6)-SUM(AA6,AE6)&gt;0,SUM(Y6:Z6,AB6:AD6,AF6)-SUM(AA6,AE6),"")</f>
        <v>65</v>
      </c>
      <c r="AK6" s="12">
        <f>IF(SUM(AI6,AJ6)&gt;0,SUM(AI6,AJ6),"")</f>
        <v>127.9</v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4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 t="str">
        <f>IF(MAX(BY6,CS6,DM6,EG6,FA6,FU6,GO6,HI6,IC6,IW6,JQ6,KK6)-IF(J6="",0,J6)&gt;0.001,MAX(BY6,CS6,DM6,EG6,FA6,FU6,GO6,HI6,IC6,IW6,JQ6,KK6)-IF(J6="",0,J6),"")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2">
        <f t="shared" si="5"/>
        <v>13.9</v>
      </c>
      <c r="KP6" s="72">
        <f t="shared" si="6"/>
        <v>1.8</v>
      </c>
      <c r="KQ6" s="72">
        <f t="shared" si="7"/>
        <v>0</v>
      </c>
      <c r="KR6" s="72">
        <f t="shared" si="8"/>
        <v>0</v>
      </c>
      <c r="KS6" s="72">
        <f t="shared" si="9"/>
        <v>13.6</v>
      </c>
      <c r="KT6" s="72">
        <f t="shared" si="10"/>
        <v>2.15</v>
      </c>
      <c r="KU6" s="72">
        <f t="shared" si="11"/>
        <v>0</v>
      </c>
      <c r="KV6" s="72">
        <f t="shared" si="12"/>
        <v>0</v>
      </c>
      <c r="KW6" s="72">
        <f t="shared" si="13"/>
        <v>14.3</v>
      </c>
      <c r="KX6" s="72">
        <f t="shared" si="14"/>
        <v>2</v>
      </c>
      <c r="KY6" s="72">
        <f t="shared" si="15"/>
        <v>0</v>
      </c>
      <c r="KZ6" s="72">
        <f t="shared" si="16"/>
        <v>0</v>
      </c>
      <c r="LA6" s="72">
        <f t="shared" si="17"/>
        <v>14.2</v>
      </c>
      <c r="LB6" s="72">
        <f t="shared" si="18"/>
        <v>2</v>
      </c>
      <c r="LC6" s="72">
        <f t="shared" si="19"/>
        <v>0</v>
      </c>
      <c r="LD6" s="72">
        <f t="shared" si="20"/>
        <v>0</v>
      </c>
      <c r="LE6" s="83" t="s">
        <v>126</v>
      </c>
      <c r="LF6" s="12">
        <f t="shared" si="21"/>
        <v>3.95</v>
      </c>
      <c r="LG6" s="12">
        <f t="shared" si="22"/>
        <v>31.45</v>
      </c>
      <c r="LH6" s="12">
        <f t="shared" si="23"/>
        <v>32.5</v>
      </c>
      <c r="LI6" s="12">
        <f t="shared" si="24"/>
        <v>63.95</v>
      </c>
    </row>
    <row r="7" spans="1:32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7" t="s">
        <v>121</v>
      </c>
      <c r="C7" s="8" t="s">
        <v>3</v>
      </c>
      <c r="D7" s="6">
        <v>1998</v>
      </c>
      <c r="E7" s="16">
        <f>SUM(J7:N7)</f>
        <v>121.9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>P</v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>No DD</v>
      </c>
      <c r="J7" s="15">
        <f>IF(MAX(AI7,BD7)&gt;0,MAX(AI7,BD7),"")</f>
        <v>61</v>
      </c>
      <c r="K7" s="15" t="str">
        <f>IF(J7="","",IF(J7=BD7,$AL$1,IF(J7=AI7,$Q$1,"")))</f>
        <v>2018 Nationals</v>
      </c>
      <c r="L7" s="15">
        <f>IF(MAX(AJ7,BE7)&gt;0,MAX(AJ7,BE7),"")</f>
        <v>60.9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5">
        <v>27.1</v>
      </c>
      <c r="R7" s="65">
        <v>3.6</v>
      </c>
      <c r="S7" s="65">
        <v>0</v>
      </c>
      <c r="T7" s="65">
        <v>0</v>
      </c>
      <c r="U7" s="65">
        <v>26</v>
      </c>
      <c r="V7" s="65">
        <v>4.3</v>
      </c>
      <c r="W7" s="65">
        <v>0</v>
      </c>
      <c r="X7" s="65">
        <v>0</v>
      </c>
      <c r="Y7" s="65">
        <v>26.9</v>
      </c>
      <c r="Z7" s="65">
        <v>3.6</v>
      </c>
      <c r="AA7" s="65">
        <v>0</v>
      </c>
      <c r="AB7" s="65">
        <v>0</v>
      </c>
      <c r="AC7" s="65">
        <v>26.8</v>
      </c>
      <c r="AD7" s="65">
        <v>3.6</v>
      </c>
      <c r="AE7" s="65">
        <v>0</v>
      </c>
      <c r="AF7" s="65">
        <v>0</v>
      </c>
      <c r="AG7" s="83"/>
      <c r="AH7" s="12">
        <f>IF(SUM(R7,V7)&gt;0,SUM(R7,V7),"")</f>
        <v>7.9</v>
      </c>
      <c r="AI7" s="12">
        <f>IF(SUM(Q7:R7,T7:V7,X7)-S7-W7&gt;0,SUM(Q7:R7,T7:V7,X7)-S7-W7,"")</f>
        <v>61</v>
      </c>
      <c r="AJ7" s="12">
        <f>IF(SUM(Y7:Z7,AB7:AD7,AF7)-SUM(AA7,AE7)&gt;0,SUM(Y7:Z7,AB7:AD7,AF7)-SUM(AA7,AE7),"")</f>
        <v>60.9</v>
      </c>
      <c r="AK7" s="12">
        <f>IF(SUM(AI7,AJ7)&gt;0,SUM(AI7,AJ7),"")</f>
        <v>121.9</v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4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6" t="str">
        <f>IF(MAX(BY7,CS7,DM7,EG7,FA7,FU7,GO7,HI7,IC7,IW7,JQ7,KK7)-IF(J7="",0,J7)&gt;0.001,MAX(BY7,CS7,DM7,EG7,FA7,FU7,GO7,HI7,IC7,IW7,JQ7,KK7)-IF(J7="",0,J7),"")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2">
        <f t="shared" si="5"/>
        <v>13.55</v>
      </c>
      <c r="KP7" s="72">
        <f t="shared" si="6"/>
        <v>1.8</v>
      </c>
      <c r="KQ7" s="72">
        <f t="shared" si="7"/>
        <v>0</v>
      </c>
      <c r="KR7" s="72">
        <f t="shared" si="8"/>
        <v>0</v>
      </c>
      <c r="KS7" s="72">
        <f t="shared" si="9"/>
        <v>13</v>
      </c>
      <c r="KT7" s="72">
        <f t="shared" si="10"/>
        <v>2.15</v>
      </c>
      <c r="KU7" s="72">
        <f t="shared" si="11"/>
        <v>0</v>
      </c>
      <c r="KV7" s="72">
        <f t="shared" si="12"/>
        <v>0</v>
      </c>
      <c r="KW7" s="72">
        <f t="shared" si="13"/>
        <v>13.45</v>
      </c>
      <c r="KX7" s="72">
        <f t="shared" si="14"/>
        <v>1.8</v>
      </c>
      <c r="KY7" s="72">
        <f t="shared" si="15"/>
        <v>0</v>
      </c>
      <c r="KZ7" s="72">
        <f t="shared" si="16"/>
        <v>0</v>
      </c>
      <c r="LA7" s="72">
        <f t="shared" si="17"/>
        <v>13.4</v>
      </c>
      <c r="LB7" s="72">
        <f t="shared" si="18"/>
        <v>1.8</v>
      </c>
      <c r="LC7" s="72">
        <f t="shared" si="19"/>
        <v>0</v>
      </c>
      <c r="LD7" s="72">
        <f t="shared" si="20"/>
        <v>0</v>
      </c>
      <c r="LE7" s="83" t="s">
        <v>126</v>
      </c>
      <c r="LF7" s="12">
        <f t="shared" si="21"/>
        <v>3.95</v>
      </c>
      <c r="LG7" s="12">
        <f t="shared" si="22"/>
        <v>30.5</v>
      </c>
      <c r="LH7" s="12">
        <f t="shared" si="23"/>
        <v>30.45</v>
      </c>
      <c r="LI7" s="12">
        <f t="shared" si="24"/>
        <v>60.95</v>
      </c>
    </row>
    <row r="8" spans="1:321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7" t="s">
        <v>65</v>
      </c>
      <c r="C8" s="8" t="s">
        <v>11</v>
      </c>
      <c r="D8" s="29">
        <v>1995</v>
      </c>
      <c r="E8" s="16">
        <f>SUM(J8:N8)</f>
        <v>92.100000000000009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>P</v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>No DD</v>
      </c>
      <c r="J8" s="15">
        <f>IF(MAX(AI8,BD8)&gt;0,MAX(AI8,BD8),"")</f>
        <v>61.2</v>
      </c>
      <c r="K8" s="15" t="str">
        <f>IF(J8="","",IF(J8=BD8,$AL$1,IF(J8=AI8,$Q$1,"")))</f>
        <v>2018 Nationals</v>
      </c>
      <c r="L8" s="15">
        <f>IF(MAX(AJ8,BE8)&gt;0,MAX(AJ8,BE8),"")</f>
        <v>30.900000000000002</v>
      </c>
      <c r="M8" s="15" t="str">
        <f>IF(L8="","",IF(L8=BE8,$AL$1,IF(L8=AJ8,$Q$1,"")))</f>
        <v>2018 3rd Domestic Trial</v>
      </c>
      <c r="N8" s="15" t="str">
        <f>IF(MAX(BG8:BH8)&gt;0,MAX(BG8:BH8),"")</f>
        <v/>
      </c>
      <c r="O8" s="27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3">
        <v>27.8</v>
      </c>
      <c r="R8" s="43">
        <v>3.6</v>
      </c>
      <c r="S8" s="43">
        <v>0</v>
      </c>
      <c r="T8" s="43">
        <v>0</v>
      </c>
      <c r="U8" s="43">
        <v>25.8</v>
      </c>
      <c r="V8" s="43">
        <v>4.3</v>
      </c>
      <c r="W8" s="43">
        <v>0.3</v>
      </c>
      <c r="X8" s="43">
        <v>0</v>
      </c>
      <c r="Y8" s="43"/>
      <c r="Z8" s="43"/>
      <c r="AA8" s="43"/>
      <c r="AB8" s="43"/>
      <c r="AC8" s="43"/>
      <c r="AD8" s="43"/>
      <c r="AE8" s="43"/>
      <c r="AF8" s="43"/>
      <c r="AG8" s="83"/>
      <c r="AH8" s="12">
        <f>IF(SUM(R8,V8)&gt;0,SUM(R8,V8),"")</f>
        <v>7.9</v>
      </c>
      <c r="AI8" s="12">
        <f>IF(SUM(Q8:R8,T8:V8,X8)-S8-W8&gt;0,SUM(Q8:R8,T8:V8,X8)-S8-W8,"")</f>
        <v>61.2</v>
      </c>
      <c r="AJ8" s="12" t="str">
        <f>IF(SUM(Y8:Z8,AB8:AD8,AF8)-SUM(AA8,AE8)&gt;0,SUM(Y8:Z8,AB8:AD8,AF8)-SUM(AA8,AE8),"")</f>
        <v/>
      </c>
      <c r="AK8" s="12">
        <f>IF(SUM(AI8,AJ8)&gt;0,SUM(AI8,AJ8),"")</f>
        <v>61.2</v>
      </c>
      <c r="AL8" s="40">
        <v>28.3</v>
      </c>
      <c r="AM8" s="40">
        <v>3.6</v>
      </c>
      <c r="AN8" s="40">
        <v>0</v>
      </c>
      <c r="AO8" s="40">
        <v>0</v>
      </c>
      <c r="AP8" s="40">
        <v>26.1</v>
      </c>
      <c r="AQ8" s="40">
        <v>3.0999999999999996</v>
      </c>
      <c r="AR8" s="40">
        <v>1.65</v>
      </c>
      <c r="AS8" s="40">
        <v>0</v>
      </c>
      <c r="AT8" s="40">
        <v>14</v>
      </c>
      <c r="AU8" s="40">
        <v>1.8</v>
      </c>
      <c r="AV8" s="40">
        <v>0</v>
      </c>
      <c r="AW8" s="40">
        <v>0</v>
      </c>
      <c r="AX8" s="40">
        <v>13.3</v>
      </c>
      <c r="AY8" s="40">
        <v>1.8</v>
      </c>
      <c r="AZ8" s="40">
        <v>0</v>
      </c>
      <c r="BA8" s="40">
        <v>0</v>
      </c>
      <c r="BB8" s="84" t="s">
        <v>126</v>
      </c>
      <c r="BC8" s="15">
        <f>IF(SUM(AM8,AQ8)&gt;0,SUM(AM8,AQ8),"")</f>
        <v>6.6999999999999993</v>
      </c>
      <c r="BD8" s="15">
        <f>IF(SUM(AL8:AM8,AO8:AQ8,AS8)-AN8-AR8&gt;0,SUM(AL8:AM8,AO8:AQ8,AS8)-AN8-AR8,"")</f>
        <v>59.45</v>
      </c>
      <c r="BE8" s="15">
        <f>IF(SUM(AT8:AU8,AW8:AY8,BA8)-SUM(AV8,AZ8)&gt;0,SUM(AT8:AU8,AW8:AY8,BA8)-SUM(AV8,AZ8),"")</f>
        <v>30.900000000000002</v>
      </c>
      <c r="BF8" s="15">
        <f>IF(SUM(BD8,BE8)&gt;0,SUM(BD8,BE8),"")</f>
        <v>90.350000000000009</v>
      </c>
      <c r="BG8" s="26" t="str">
        <f>IF(MAX(BY8,CS8,DM8,EG8,FA8,FU8,GO8,HI8,IC8,IW8,JQ8,KK8)-IF(J8="",0,J8)&gt;0.001,MAX(BY8,CS8,DM8,EG8,FA8,FU8,GO8,HI8,IC8,IW8,JQ8,KK8)-IF(J8="",0,J8),"")</f>
        <v/>
      </c>
      <c r="BH8" s="26" t="str">
        <f>IF(MAX(CA8,CU8,DO8,EI8,FC8,FW8,GQ8,HK8,IE8,IY8,JS8,KM8)-IF(L8="",0,L8)&gt;0.001,MAX(CA8,CU8,DO8,EI8,FC8,FW8,GQ8,HK8,IE8,IY8,JS8,KM8)-IF(L8="",0,L8),"")</f>
        <v/>
      </c>
      <c r="BI8" s="39">
        <v>0</v>
      </c>
      <c r="BJ8" s="39">
        <v>0</v>
      </c>
      <c r="BK8" s="39">
        <v>0</v>
      </c>
      <c r="BL8" s="39">
        <v>0</v>
      </c>
      <c r="BM8" s="39">
        <v>0</v>
      </c>
      <c r="BN8" s="39">
        <v>0</v>
      </c>
      <c r="BO8" s="39">
        <v>0</v>
      </c>
      <c r="BP8" s="39">
        <v>0</v>
      </c>
      <c r="BQ8" s="39"/>
      <c r="BR8" s="39"/>
      <c r="BS8" s="39"/>
      <c r="BT8" s="39"/>
      <c r="BU8" s="39"/>
      <c r="BV8" s="39"/>
      <c r="BW8" s="39"/>
      <c r="BX8" s="39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72">
        <f t="shared" si="5"/>
        <v>28.05</v>
      </c>
      <c r="KP8" s="72">
        <f t="shared" si="6"/>
        <v>3.6</v>
      </c>
      <c r="KQ8" s="72">
        <f t="shared" si="7"/>
        <v>0</v>
      </c>
      <c r="KR8" s="72">
        <f t="shared" si="8"/>
        <v>0</v>
      </c>
      <c r="KS8" s="72">
        <f t="shared" si="9"/>
        <v>25.950000000000003</v>
      </c>
      <c r="KT8" s="72">
        <f t="shared" si="10"/>
        <v>3.6999999999999997</v>
      </c>
      <c r="KU8" s="72">
        <f t="shared" si="11"/>
        <v>0.97499999999999998</v>
      </c>
      <c r="KV8" s="72">
        <f t="shared" si="12"/>
        <v>0</v>
      </c>
      <c r="KW8" s="72">
        <f t="shared" si="13"/>
        <v>7</v>
      </c>
      <c r="KX8" s="72">
        <f t="shared" si="14"/>
        <v>0.9</v>
      </c>
      <c r="KY8" s="72">
        <f t="shared" si="15"/>
        <v>0</v>
      </c>
      <c r="KZ8" s="72">
        <f t="shared" si="16"/>
        <v>0</v>
      </c>
      <c r="LA8" s="72">
        <f t="shared" si="17"/>
        <v>6.65</v>
      </c>
      <c r="LB8" s="72">
        <f t="shared" si="18"/>
        <v>0.9</v>
      </c>
      <c r="LC8" s="72">
        <f t="shared" si="19"/>
        <v>0</v>
      </c>
      <c r="LD8" s="72">
        <f t="shared" si="20"/>
        <v>0</v>
      </c>
      <c r="LE8" s="83" t="s">
        <v>126</v>
      </c>
      <c r="LF8" s="12">
        <f t="shared" si="21"/>
        <v>7.3</v>
      </c>
      <c r="LG8" s="12">
        <f t="shared" si="22"/>
        <v>60.32500000000001</v>
      </c>
      <c r="LH8" s="12">
        <f t="shared" si="23"/>
        <v>15.450000000000001</v>
      </c>
      <c r="LI8" s="12">
        <f t="shared" si="24"/>
        <v>75.775000000000006</v>
      </c>
    </row>
    <row r="9" spans="1:321" ht="17" x14ac:dyDescent="0.2">
      <c r="N9" s="21"/>
      <c r="O9" s="21"/>
      <c r="P9" s="21"/>
      <c r="IG9" s="44"/>
      <c r="IH9" s="44"/>
      <c r="II9" s="44"/>
      <c r="IJ9" s="44"/>
      <c r="IK9" s="44"/>
      <c r="IL9" s="44"/>
      <c r="IM9" s="44"/>
      <c r="IN9" s="44"/>
      <c r="IO9" s="44"/>
      <c r="IP9" s="44"/>
      <c r="IQ9" s="44"/>
      <c r="IR9" s="44"/>
      <c r="IS9" s="44"/>
      <c r="IT9" s="44"/>
      <c r="IU9" s="44"/>
      <c r="IV9" s="44"/>
    </row>
    <row r="10" spans="1:321" ht="17" x14ac:dyDescent="0.2">
      <c r="N10" s="21"/>
      <c r="O10" s="21"/>
      <c r="P10" s="21"/>
    </row>
    <row r="11" spans="1:321" ht="17" x14ac:dyDescent="0.2">
      <c r="B11" s="73" t="s">
        <v>93</v>
      </c>
      <c r="N11" s="21"/>
      <c r="O11" s="21"/>
      <c r="P11" s="21"/>
      <c r="AH11" s="58"/>
      <c r="AJ11" s="67">
        <v>8.1</v>
      </c>
      <c r="BC11" s="58"/>
      <c r="BE11" s="67">
        <v>8.1</v>
      </c>
      <c r="BY11" s="58"/>
      <c r="CA11" s="67">
        <v>8.1</v>
      </c>
      <c r="CS11" s="58"/>
      <c r="CU11" s="86">
        <v>8.1</v>
      </c>
      <c r="DM11" s="58"/>
      <c r="DO11" s="67">
        <v>8.1</v>
      </c>
      <c r="EG11" s="58"/>
      <c r="EI11" s="67">
        <v>8.1</v>
      </c>
      <c r="FA11" s="58"/>
      <c r="FC11" s="67">
        <v>8.1</v>
      </c>
      <c r="FU11" s="58"/>
      <c r="FW11" s="67">
        <v>8.1</v>
      </c>
      <c r="GO11" s="58"/>
      <c r="GQ11" s="67">
        <v>8.1</v>
      </c>
      <c r="HI11" s="58"/>
      <c r="HK11" s="67">
        <v>8.1</v>
      </c>
      <c r="IC11" s="58"/>
      <c r="IE11" s="67">
        <v>8.1</v>
      </c>
      <c r="IW11" s="58"/>
      <c r="IY11" s="67">
        <v>8.1</v>
      </c>
      <c r="JQ11" s="58"/>
      <c r="JS11" s="67">
        <v>8.1</v>
      </c>
      <c r="KK11" s="58"/>
      <c r="KM11" s="67">
        <v>8.1</v>
      </c>
    </row>
    <row r="12" spans="1:321" ht="17" x14ac:dyDescent="0.2">
      <c r="A12" s="58"/>
      <c r="B12" s="101" t="s">
        <v>205</v>
      </c>
      <c r="C12" s="57"/>
      <c r="N12" s="21"/>
      <c r="O12" s="21"/>
      <c r="P12" s="21"/>
      <c r="AH12" s="58"/>
      <c r="AJ12" s="103">
        <v>8.1</v>
      </c>
      <c r="BC12" s="58"/>
      <c r="BE12" s="103">
        <v>8.1</v>
      </c>
      <c r="BY12" s="58"/>
      <c r="CA12" s="103">
        <v>8.1</v>
      </c>
      <c r="CS12" s="58"/>
      <c r="CU12" s="104">
        <v>8.1</v>
      </c>
      <c r="DM12" s="58"/>
      <c r="DO12" s="103">
        <v>9.5</v>
      </c>
      <c r="EG12" s="58"/>
      <c r="EI12" s="103">
        <v>9.5</v>
      </c>
      <c r="FA12" s="58"/>
      <c r="FC12" s="103">
        <v>9.5</v>
      </c>
      <c r="FU12" s="58"/>
      <c r="FW12" s="103">
        <v>9.5</v>
      </c>
      <c r="GO12" s="58"/>
      <c r="GQ12" s="103">
        <v>9.5</v>
      </c>
      <c r="HI12" s="58"/>
      <c r="HK12" s="103">
        <v>9.5</v>
      </c>
      <c r="IC12" s="58"/>
      <c r="IE12" s="103">
        <v>9.5</v>
      </c>
      <c r="IW12" s="58"/>
      <c r="IY12" s="103">
        <v>9.5</v>
      </c>
      <c r="JQ12" s="58"/>
      <c r="JS12" s="103">
        <v>9.5</v>
      </c>
      <c r="KK12" s="58"/>
      <c r="KM12" s="103">
        <v>9.5</v>
      </c>
    </row>
    <row r="13" spans="1:321" ht="17" x14ac:dyDescent="0.2">
      <c r="A13" s="58"/>
      <c r="B13" s="74" t="s">
        <v>90</v>
      </c>
      <c r="C13" s="57"/>
      <c r="N13" s="21"/>
      <c r="O13" s="21"/>
      <c r="P13" s="21"/>
      <c r="AH13" s="58"/>
      <c r="AJ13" s="68">
        <v>60</v>
      </c>
      <c r="BC13" s="58"/>
      <c r="BE13" s="68">
        <v>60</v>
      </c>
      <c r="BY13" s="58"/>
      <c r="CA13" s="68">
        <v>60</v>
      </c>
      <c r="CS13" s="58"/>
      <c r="CU13" s="87">
        <v>60</v>
      </c>
      <c r="DM13" s="58"/>
      <c r="DO13" s="68">
        <v>60</v>
      </c>
      <c r="EG13" s="58"/>
      <c r="EI13" s="68">
        <v>60</v>
      </c>
      <c r="FA13" s="58"/>
      <c r="FC13" s="68">
        <v>60</v>
      </c>
      <c r="FU13" s="58"/>
      <c r="FW13" s="68">
        <v>60</v>
      </c>
      <c r="GO13" s="58"/>
      <c r="GQ13" s="68">
        <v>60</v>
      </c>
      <c r="HI13" s="58"/>
      <c r="HK13" s="68">
        <v>60</v>
      </c>
      <c r="IC13" s="58"/>
      <c r="IE13" s="68">
        <v>60</v>
      </c>
      <c r="IW13" s="58"/>
      <c r="IY13" s="68">
        <v>60</v>
      </c>
      <c r="JQ13" s="58"/>
      <c r="JS13" s="68">
        <v>60</v>
      </c>
      <c r="KK13" s="58"/>
      <c r="KM13" s="68">
        <v>60</v>
      </c>
    </row>
    <row r="14" spans="1:321" ht="17" x14ac:dyDescent="0.2">
      <c r="A14" s="58"/>
      <c r="B14" s="75" t="s">
        <v>91</v>
      </c>
      <c r="C14" s="57"/>
      <c r="N14" s="21"/>
      <c r="O14" s="21"/>
      <c r="P14" s="21"/>
      <c r="AH14" s="58"/>
      <c r="AJ14" s="69">
        <v>61.5</v>
      </c>
      <c r="BC14" s="58"/>
      <c r="BE14" s="69">
        <v>61.5</v>
      </c>
      <c r="BY14" s="58"/>
      <c r="CA14" s="69">
        <v>61.5</v>
      </c>
      <c r="CS14" s="58"/>
      <c r="CU14" s="88">
        <v>61.5</v>
      </c>
      <c r="DM14" s="58"/>
      <c r="DO14" s="69">
        <v>61.5</v>
      </c>
      <c r="EG14" s="58"/>
      <c r="EI14" s="69">
        <v>61.5</v>
      </c>
      <c r="FA14" s="58"/>
      <c r="FC14" s="69">
        <v>61.5</v>
      </c>
      <c r="FU14" s="58"/>
      <c r="FW14" s="69">
        <v>61.5</v>
      </c>
      <c r="GO14" s="58"/>
      <c r="GQ14" s="69">
        <v>61.5</v>
      </c>
      <c r="HI14" s="58"/>
      <c r="HK14" s="69">
        <v>61.5</v>
      </c>
      <c r="IC14" s="58"/>
      <c r="IE14" s="69">
        <v>61.5</v>
      </c>
      <c r="IW14" s="58"/>
      <c r="IY14" s="69">
        <v>61.5</v>
      </c>
      <c r="JQ14" s="58"/>
      <c r="JS14" s="69">
        <v>61.5</v>
      </c>
      <c r="KK14" s="58"/>
      <c r="KM14" s="69">
        <v>61.5</v>
      </c>
    </row>
    <row r="15" spans="1:321" ht="17" x14ac:dyDescent="0.2">
      <c r="A15" s="58"/>
      <c r="B15" s="76" t="s">
        <v>196</v>
      </c>
      <c r="C15" s="57"/>
      <c r="N15" s="21"/>
      <c r="O15" s="21"/>
      <c r="P15" s="21"/>
      <c r="AH15" s="58"/>
      <c r="AJ15" s="70">
        <v>64.099999999999994</v>
      </c>
      <c r="BC15" s="58"/>
      <c r="BE15" s="70">
        <v>64.099999999999994</v>
      </c>
      <c r="BY15" s="58"/>
      <c r="CA15" s="70">
        <v>64.099999999999994</v>
      </c>
      <c r="CS15" s="58"/>
      <c r="CU15" s="89">
        <v>64.099999999999994</v>
      </c>
      <c r="DM15" s="58"/>
      <c r="DO15" s="70">
        <v>63.7</v>
      </c>
      <c r="EG15" s="58"/>
      <c r="EI15" s="70">
        <v>63.7</v>
      </c>
      <c r="FA15" s="58"/>
      <c r="FC15" s="70">
        <v>63.7</v>
      </c>
      <c r="FU15" s="58"/>
      <c r="FW15" s="70">
        <v>63.7</v>
      </c>
      <c r="GO15" s="58"/>
      <c r="GQ15" s="70">
        <v>63.7</v>
      </c>
      <c r="HI15" s="58"/>
      <c r="HK15" s="70">
        <v>63.7</v>
      </c>
      <c r="IC15" s="58"/>
      <c r="IE15" s="70">
        <v>63.7</v>
      </c>
      <c r="IW15" s="58"/>
      <c r="IY15" s="70">
        <v>63.7</v>
      </c>
      <c r="JQ15" s="58"/>
      <c r="JS15" s="70">
        <v>63.7</v>
      </c>
      <c r="KK15" s="58"/>
      <c r="KM15" s="70">
        <v>63.7</v>
      </c>
    </row>
    <row r="16" spans="1:321" ht="17" x14ac:dyDescent="0.2">
      <c r="A16" s="58"/>
      <c r="B16" s="77" t="s">
        <v>71</v>
      </c>
      <c r="C16" s="57"/>
      <c r="N16" s="21"/>
      <c r="O16" s="21"/>
      <c r="P16" s="21"/>
      <c r="AH16" s="58"/>
      <c r="AJ16" s="71">
        <v>66.8</v>
      </c>
      <c r="BC16" s="58"/>
      <c r="BE16" s="71">
        <v>66.8</v>
      </c>
      <c r="BY16" s="58"/>
      <c r="CA16" s="71">
        <v>66.8</v>
      </c>
      <c r="CS16" s="58"/>
      <c r="CU16" s="90">
        <v>66.8</v>
      </c>
      <c r="DM16" s="58"/>
      <c r="DO16" s="71">
        <v>65.400000000000006</v>
      </c>
      <c r="EG16" s="58"/>
      <c r="EI16" s="71">
        <v>65.400000000000006</v>
      </c>
      <c r="FA16" s="58"/>
      <c r="FC16" s="71">
        <v>65.400000000000006</v>
      </c>
      <c r="FU16" s="58"/>
      <c r="FW16" s="71">
        <v>65.400000000000006</v>
      </c>
      <c r="GO16" s="58"/>
      <c r="GQ16" s="71">
        <v>65.400000000000006</v>
      </c>
      <c r="HI16" s="58"/>
      <c r="HK16" s="71">
        <v>65.400000000000006</v>
      </c>
      <c r="IC16" s="58"/>
      <c r="IE16" s="71">
        <v>65.400000000000006</v>
      </c>
      <c r="IW16" s="58"/>
      <c r="IY16" s="71">
        <v>65.400000000000006</v>
      </c>
      <c r="JQ16" s="58"/>
      <c r="JS16" s="71">
        <v>65.400000000000006</v>
      </c>
      <c r="KK16" s="58"/>
      <c r="KM16" s="71">
        <v>65.400000000000006</v>
      </c>
    </row>
    <row r="17" spans="1:3" x14ac:dyDescent="0.2">
      <c r="B17" s="85" t="s">
        <v>127</v>
      </c>
      <c r="C17" s="3"/>
    </row>
    <row r="18" spans="1:3" x14ac:dyDescent="0.2">
      <c r="A18" s="58"/>
      <c r="B18" s="58"/>
      <c r="C18" s="57"/>
    </row>
    <row r="19" spans="1:3" x14ac:dyDescent="0.2">
      <c r="A19" s="58"/>
      <c r="B19" s="58"/>
      <c r="C19" s="57"/>
    </row>
    <row r="20" spans="1:3" x14ac:dyDescent="0.2">
      <c r="A20" s="58"/>
      <c r="B20" s="58"/>
      <c r="C20" s="57"/>
    </row>
    <row r="21" spans="1:3" x14ac:dyDescent="0.2">
      <c r="A21" s="7"/>
      <c r="B21" s="7"/>
      <c r="C21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8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8">
    <cfRule type="expression" dxfId="73" priority="31">
      <formula>IF($AG4&lt;&gt;"",1,0)</formula>
    </cfRule>
  </conditionalFormatting>
  <conditionalFormatting sqref="AL4:BF8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9" priority="9779" operator="between">
      <formula>CA$12</formula>
      <formula>100</formula>
    </cfRule>
    <cfRule type="cellIs" dxfId="68" priority="9780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7" priority="9851" operator="between">
      <formula>CA$16</formula>
      <formula>1000</formula>
    </cfRule>
    <cfRule type="cellIs" dxfId="66" priority="9852" operator="between">
      <formula>CA$15</formula>
      <formula>CA$16</formula>
    </cfRule>
    <cfRule type="cellIs" dxfId="65" priority="9853" operator="between">
      <formula>CA$14</formula>
      <formula>CA$15</formula>
    </cfRule>
    <cfRule type="cellIs" dxfId="64" priority="9854" operator="between">
      <formula>CA$13</formula>
      <formula>CA$14</formula>
    </cfRule>
  </conditionalFormatting>
  <conditionalFormatting sqref="AH1:AH1048576 BC1:BC1048576">
    <cfRule type="expression" dxfId="63" priority="9995">
      <formula>IF(AND(AH1&gt;=AJ$12,AH1&lt;1000,AG1=""),1,0)</formula>
    </cfRule>
    <cfRule type="expression" dxfId="62" priority="9996">
      <formula>IF(AND(AH1&gt;=AJ$11,AH1&lt;AJ$12,AG1=""),1,0)</formula>
    </cfRule>
  </conditionalFormatting>
  <conditionalFormatting sqref="BD1:BD1048576 AI1:AI1048576">
    <cfRule type="expression" dxfId="61" priority="10007">
      <formula>IF(AND(AI1&gt;=AJ$16,AI1&lt;1000,AG1=""),1,0)</formula>
    </cfRule>
    <cfRule type="expression" dxfId="60" priority="10008">
      <formula>IF(AND(AI1&gt;=AJ$15,AI1&lt;AJ$16,AG1=""),1,0)</formula>
    </cfRule>
    <cfRule type="expression" dxfId="59" priority="10009">
      <formula>IF(AND(AI1&gt;=AJ$14,AI1&lt;AJ$15,AG1=""),1,0)</formula>
    </cfRule>
    <cfRule type="expression" dxfId="58" priority="10010">
      <formula>IF(AND(AI1&gt;=AJ$13,AI1&lt;AJ$14,AG1=""),1,0)</formula>
    </cfRule>
  </conditionalFormatting>
  <conditionalFormatting sqref="I1:I1048576">
    <cfRule type="containsText" dxfId="57" priority="1" operator="containsText" text="No DD">
      <formula>NOT(ISERROR(SEARCH("No DD",I1)))</formula>
    </cfRule>
    <cfRule type="containsText" dxfId="56" priority="2" operator="containsText" text="Merit">
      <formula>NOT(ISERROR(SEARCH("Merit",I1)))</formula>
    </cfRule>
    <cfRule type="containsText" dxfId="55" priority="3" operator="containsText" text="Excellence">
      <formula>NOT(ISERROR(SEARCH("Excellence",I1)))</formula>
    </cfRule>
    <cfRule type="containsText" dxfId="54" priority="4" operator="containsText" text="Worlds Team">
      <formula>NOT(ISERROR(SEARCH("Worlds Team",I1)))</formula>
    </cfRule>
    <cfRule type="containsText" dxfId="53" priority="5" operator="containsText" text="National Team">
      <formula>NOT(ISERROR(SEARCH("National Team",I1)))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9" t="s">
        <v>194</v>
      </c>
      <c r="G1" s="129" t="s">
        <v>195</v>
      </c>
      <c r="H1" s="129" t="s">
        <v>18</v>
      </c>
      <c r="I1" s="123" t="s">
        <v>19</v>
      </c>
      <c r="J1" s="135" t="s">
        <v>198</v>
      </c>
      <c r="K1" s="125" t="s">
        <v>69</v>
      </c>
      <c r="L1" s="135" t="s">
        <v>197</v>
      </c>
      <c r="M1" s="125" t="s">
        <v>69</v>
      </c>
      <c r="N1" s="126" t="s">
        <v>24</v>
      </c>
      <c r="O1" s="125" t="s">
        <v>70</v>
      </c>
      <c r="P1" s="125" t="s">
        <v>69</v>
      </c>
      <c r="Q1" s="119" t="s">
        <v>108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146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193</v>
      </c>
      <c r="BJ1" s="127"/>
      <c r="BK1" s="133" t="s">
        <v>150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161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163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190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/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207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47</v>
      </c>
      <c r="R2" s="120"/>
      <c r="S2" s="120"/>
      <c r="T2" s="120"/>
      <c r="U2" s="120" t="s">
        <v>50</v>
      </c>
      <c r="V2" s="120"/>
      <c r="W2" s="120"/>
      <c r="X2" s="120"/>
      <c r="Y2" s="120" t="s">
        <v>51</v>
      </c>
      <c r="Z2" s="120"/>
      <c r="AA2" s="120"/>
      <c r="AB2" s="120"/>
      <c r="AC2" s="128" t="s">
        <v>52</v>
      </c>
      <c r="AD2" s="128"/>
      <c r="AE2" s="128"/>
      <c r="AF2" s="128"/>
      <c r="AG2" s="81"/>
      <c r="AH2" s="96" t="s">
        <v>35</v>
      </c>
      <c r="AI2" s="60" t="s">
        <v>206</v>
      </c>
      <c r="AJ2" s="10" t="s">
        <v>34</v>
      </c>
      <c r="AK2" s="10" t="s">
        <v>33</v>
      </c>
      <c r="AL2" s="10" t="s">
        <v>28</v>
      </c>
      <c r="AM2" s="121" t="s">
        <v>47</v>
      </c>
      <c r="AN2" s="121"/>
      <c r="AO2" s="121"/>
      <c r="AP2" s="121"/>
      <c r="AQ2" s="121" t="s">
        <v>50</v>
      </c>
      <c r="AR2" s="121"/>
      <c r="AS2" s="121"/>
      <c r="AT2" s="121"/>
      <c r="AU2" s="121" t="s">
        <v>51</v>
      </c>
      <c r="AV2" s="121"/>
      <c r="AW2" s="121"/>
      <c r="AX2" s="121"/>
      <c r="AY2" s="132" t="s">
        <v>52</v>
      </c>
      <c r="AZ2" s="132"/>
      <c r="BA2" s="132"/>
      <c r="BB2" s="132"/>
      <c r="BC2" s="82"/>
      <c r="BD2" s="97" t="s">
        <v>35</v>
      </c>
      <c r="BE2" s="97" t="s">
        <v>206</v>
      </c>
      <c r="BF2" s="13" t="s">
        <v>34</v>
      </c>
      <c r="BG2" s="13" t="s">
        <v>33</v>
      </c>
      <c r="BH2" s="13" t="s">
        <v>28</v>
      </c>
      <c r="BI2" s="24" t="s">
        <v>200</v>
      </c>
      <c r="BJ2" s="24" t="s">
        <v>199</v>
      </c>
      <c r="BK2" s="120" t="s">
        <v>47</v>
      </c>
      <c r="BL2" s="120"/>
      <c r="BM2" s="120"/>
      <c r="BN2" s="120"/>
      <c r="BO2" s="120" t="s">
        <v>50</v>
      </c>
      <c r="BP2" s="120"/>
      <c r="BQ2" s="120"/>
      <c r="BR2" s="120"/>
      <c r="BS2" s="120" t="s">
        <v>51</v>
      </c>
      <c r="BT2" s="120"/>
      <c r="BU2" s="120"/>
      <c r="BV2" s="120"/>
      <c r="BW2" s="128" t="s">
        <v>52</v>
      </c>
      <c r="BX2" s="128"/>
      <c r="BY2" s="128"/>
      <c r="BZ2" s="128"/>
      <c r="CA2" s="96" t="s">
        <v>35</v>
      </c>
      <c r="CB2" s="96" t="s">
        <v>206</v>
      </c>
      <c r="CC2" s="10" t="s">
        <v>34</v>
      </c>
      <c r="CD2" s="10" t="s">
        <v>33</v>
      </c>
      <c r="CE2" s="10" t="s">
        <v>28</v>
      </c>
      <c r="CF2" s="132" t="s">
        <v>47</v>
      </c>
      <c r="CG2" s="132"/>
      <c r="CH2" s="132"/>
      <c r="CI2" s="132"/>
      <c r="CJ2" s="132" t="s">
        <v>50</v>
      </c>
      <c r="CK2" s="132"/>
      <c r="CL2" s="132"/>
      <c r="CM2" s="132"/>
      <c r="CN2" s="132" t="s">
        <v>51</v>
      </c>
      <c r="CO2" s="132"/>
      <c r="CP2" s="132"/>
      <c r="CQ2" s="132"/>
      <c r="CR2" s="132" t="s">
        <v>52</v>
      </c>
      <c r="CS2" s="132"/>
      <c r="CT2" s="132"/>
      <c r="CU2" s="132"/>
      <c r="CV2" s="97" t="s">
        <v>35</v>
      </c>
      <c r="CW2" s="97" t="s">
        <v>206</v>
      </c>
      <c r="CX2" s="17" t="s">
        <v>34</v>
      </c>
      <c r="CY2" s="17" t="s">
        <v>33</v>
      </c>
      <c r="CZ2" s="17" t="s">
        <v>28</v>
      </c>
      <c r="DA2" s="128" t="s">
        <v>47</v>
      </c>
      <c r="DB2" s="128"/>
      <c r="DC2" s="128"/>
      <c r="DD2" s="128"/>
      <c r="DE2" s="128" t="s">
        <v>50</v>
      </c>
      <c r="DF2" s="128"/>
      <c r="DG2" s="128"/>
      <c r="DH2" s="128"/>
      <c r="DI2" s="128" t="s">
        <v>51</v>
      </c>
      <c r="DJ2" s="128"/>
      <c r="DK2" s="128"/>
      <c r="DL2" s="128"/>
      <c r="DM2" s="128" t="s">
        <v>52</v>
      </c>
      <c r="DN2" s="128"/>
      <c r="DO2" s="128"/>
      <c r="DP2" s="128"/>
      <c r="DQ2" s="96" t="s">
        <v>35</v>
      </c>
      <c r="DR2" s="96" t="s">
        <v>206</v>
      </c>
      <c r="DS2" s="18" t="s">
        <v>34</v>
      </c>
      <c r="DT2" s="18" t="s">
        <v>33</v>
      </c>
      <c r="DU2" s="18" t="s">
        <v>28</v>
      </c>
      <c r="DV2" s="132" t="s">
        <v>47</v>
      </c>
      <c r="DW2" s="132"/>
      <c r="DX2" s="132"/>
      <c r="DY2" s="132"/>
      <c r="DZ2" s="132" t="s">
        <v>50</v>
      </c>
      <c r="EA2" s="132"/>
      <c r="EB2" s="132"/>
      <c r="EC2" s="132"/>
      <c r="ED2" s="132" t="s">
        <v>51</v>
      </c>
      <c r="EE2" s="132"/>
      <c r="EF2" s="132"/>
      <c r="EG2" s="132"/>
      <c r="EH2" s="132" t="s">
        <v>52</v>
      </c>
      <c r="EI2" s="132"/>
      <c r="EJ2" s="132"/>
      <c r="EK2" s="132"/>
      <c r="EL2" s="97" t="s">
        <v>35</v>
      </c>
      <c r="EM2" s="97" t="s">
        <v>206</v>
      </c>
      <c r="EN2" s="17" t="s">
        <v>34</v>
      </c>
      <c r="EO2" s="17" t="s">
        <v>33</v>
      </c>
      <c r="EP2" s="17" t="s">
        <v>28</v>
      </c>
      <c r="EQ2" s="128" t="s">
        <v>47</v>
      </c>
      <c r="ER2" s="128"/>
      <c r="ES2" s="128"/>
      <c r="ET2" s="128"/>
      <c r="EU2" s="128" t="s">
        <v>50</v>
      </c>
      <c r="EV2" s="128"/>
      <c r="EW2" s="128"/>
      <c r="EX2" s="128"/>
      <c r="EY2" s="128" t="s">
        <v>51</v>
      </c>
      <c r="EZ2" s="128"/>
      <c r="FA2" s="128"/>
      <c r="FB2" s="128"/>
      <c r="FC2" s="128" t="s">
        <v>52</v>
      </c>
      <c r="FD2" s="128"/>
      <c r="FE2" s="128"/>
      <c r="FF2" s="128"/>
      <c r="FG2" s="96" t="s">
        <v>35</v>
      </c>
      <c r="FH2" s="96" t="s">
        <v>206</v>
      </c>
      <c r="FI2" s="18" t="s">
        <v>34</v>
      </c>
      <c r="FJ2" s="18" t="s">
        <v>33</v>
      </c>
      <c r="FK2" s="18" t="s">
        <v>28</v>
      </c>
      <c r="FL2" s="132" t="s">
        <v>47</v>
      </c>
      <c r="FM2" s="132"/>
      <c r="FN2" s="132"/>
      <c r="FO2" s="132"/>
      <c r="FP2" s="132" t="s">
        <v>50</v>
      </c>
      <c r="FQ2" s="132"/>
      <c r="FR2" s="132"/>
      <c r="FS2" s="132"/>
      <c r="FT2" s="132" t="s">
        <v>51</v>
      </c>
      <c r="FU2" s="132"/>
      <c r="FV2" s="132"/>
      <c r="FW2" s="132"/>
      <c r="FX2" s="132" t="s">
        <v>52</v>
      </c>
      <c r="FY2" s="132"/>
      <c r="FZ2" s="132"/>
      <c r="GA2" s="132"/>
      <c r="GB2" s="98" t="s">
        <v>35</v>
      </c>
      <c r="GC2" s="98" t="s">
        <v>206</v>
      </c>
      <c r="GD2" s="17" t="s">
        <v>34</v>
      </c>
      <c r="GE2" s="17" t="s">
        <v>33</v>
      </c>
      <c r="GF2" s="17" t="s">
        <v>28</v>
      </c>
      <c r="GG2" s="128" t="s">
        <v>47</v>
      </c>
      <c r="GH2" s="128"/>
      <c r="GI2" s="128"/>
      <c r="GJ2" s="128"/>
      <c r="GK2" s="128" t="s">
        <v>50</v>
      </c>
      <c r="GL2" s="128"/>
      <c r="GM2" s="128"/>
      <c r="GN2" s="128"/>
      <c r="GO2" s="128" t="s">
        <v>51</v>
      </c>
      <c r="GP2" s="128"/>
      <c r="GQ2" s="128"/>
      <c r="GR2" s="128"/>
      <c r="GS2" s="128" t="s">
        <v>52</v>
      </c>
      <c r="GT2" s="128"/>
      <c r="GU2" s="128"/>
      <c r="GV2" s="128"/>
      <c r="GW2" s="99" t="s">
        <v>35</v>
      </c>
      <c r="GX2" s="99" t="s">
        <v>206</v>
      </c>
      <c r="GY2" s="18" t="s">
        <v>34</v>
      </c>
      <c r="GZ2" s="18" t="s">
        <v>33</v>
      </c>
      <c r="HA2" s="18" t="s">
        <v>28</v>
      </c>
      <c r="HB2" s="132" t="s">
        <v>47</v>
      </c>
      <c r="HC2" s="132"/>
      <c r="HD2" s="132"/>
      <c r="HE2" s="132"/>
      <c r="HF2" s="132" t="s">
        <v>50</v>
      </c>
      <c r="HG2" s="132"/>
      <c r="HH2" s="132"/>
      <c r="HI2" s="132"/>
      <c r="HJ2" s="132" t="s">
        <v>51</v>
      </c>
      <c r="HK2" s="132"/>
      <c r="HL2" s="132"/>
      <c r="HM2" s="132"/>
      <c r="HN2" s="132" t="s">
        <v>52</v>
      </c>
      <c r="HO2" s="132"/>
      <c r="HP2" s="132"/>
      <c r="HQ2" s="132"/>
      <c r="HR2" s="98" t="s">
        <v>35</v>
      </c>
      <c r="HS2" s="98" t="s">
        <v>206</v>
      </c>
      <c r="HT2" s="17" t="s">
        <v>34</v>
      </c>
      <c r="HU2" s="17" t="s">
        <v>33</v>
      </c>
      <c r="HV2" s="17" t="s">
        <v>28</v>
      </c>
      <c r="HW2" s="128" t="s">
        <v>47</v>
      </c>
      <c r="HX2" s="128"/>
      <c r="HY2" s="128"/>
      <c r="HZ2" s="128"/>
      <c r="IA2" s="128" t="s">
        <v>50</v>
      </c>
      <c r="IB2" s="128"/>
      <c r="IC2" s="128"/>
      <c r="ID2" s="128"/>
      <c r="IE2" s="128" t="s">
        <v>51</v>
      </c>
      <c r="IF2" s="128"/>
      <c r="IG2" s="128"/>
      <c r="IH2" s="128"/>
      <c r="II2" s="128" t="s">
        <v>52</v>
      </c>
      <c r="IJ2" s="128"/>
      <c r="IK2" s="128"/>
      <c r="IL2" s="128"/>
      <c r="IM2" s="99" t="s">
        <v>35</v>
      </c>
      <c r="IN2" s="99" t="s">
        <v>206</v>
      </c>
      <c r="IO2" s="18" t="s">
        <v>34</v>
      </c>
      <c r="IP2" s="18" t="s">
        <v>33</v>
      </c>
      <c r="IQ2" s="18" t="s">
        <v>28</v>
      </c>
      <c r="IR2" s="132" t="s">
        <v>47</v>
      </c>
      <c r="IS2" s="132"/>
      <c r="IT2" s="132"/>
      <c r="IU2" s="132"/>
      <c r="IV2" s="132" t="s">
        <v>50</v>
      </c>
      <c r="IW2" s="132"/>
      <c r="IX2" s="132"/>
      <c r="IY2" s="132"/>
      <c r="IZ2" s="132" t="s">
        <v>51</v>
      </c>
      <c r="JA2" s="132"/>
      <c r="JB2" s="132"/>
      <c r="JC2" s="132"/>
      <c r="JD2" s="132" t="s">
        <v>52</v>
      </c>
      <c r="JE2" s="132"/>
      <c r="JF2" s="132"/>
      <c r="JG2" s="132"/>
      <c r="JH2" s="98" t="s">
        <v>35</v>
      </c>
      <c r="JI2" s="98" t="s">
        <v>206</v>
      </c>
      <c r="JJ2" s="17" t="s">
        <v>34</v>
      </c>
      <c r="JK2" s="17" t="s">
        <v>33</v>
      </c>
      <c r="JL2" s="17" t="s">
        <v>28</v>
      </c>
      <c r="JM2" s="128" t="s">
        <v>47</v>
      </c>
      <c r="JN2" s="128"/>
      <c r="JO2" s="128"/>
      <c r="JP2" s="128"/>
      <c r="JQ2" s="128" t="s">
        <v>50</v>
      </c>
      <c r="JR2" s="128"/>
      <c r="JS2" s="128"/>
      <c r="JT2" s="128"/>
      <c r="JU2" s="128" t="s">
        <v>51</v>
      </c>
      <c r="JV2" s="128"/>
      <c r="JW2" s="128"/>
      <c r="JX2" s="128"/>
      <c r="JY2" s="128" t="s">
        <v>52</v>
      </c>
      <c r="JZ2" s="128"/>
      <c r="KA2" s="128"/>
      <c r="KB2" s="128"/>
      <c r="KC2" s="99" t="s">
        <v>35</v>
      </c>
      <c r="KD2" s="99" t="s">
        <v>206</v>
      </c>
      <c r="KE2" s="18" t="s">
        <v>34</v>
      </c>
      <c r="KF2" s="18" t="s">
        <v>33</v>
      </c>
      <c r="KG2" s="18" t="s">
        <v>28</v>
      </c>
      <c r="KH2" s="132" t="s">
        <v>47</v>
      </c>
      <c r="KI2" s="132"/>
      <c r="KJ2" s="132"/>
      <c r="KK2" s="132"/>
      <c r="KL2" s="132" t="s">
        <v>50</v>
      </c>
      <c r="KM2" s="132"/>
      <c r="KN2" s="132"/>
      <c r="KO2" s="132"/>
      <c r="KP2" s="132" t="s">
        <v>51</v>
      </c>
      <c r="KQ2" s="132"/>
      <c r="KR2" s="132"/>
      <c r="KS2" s="132"/>
      <c r="KT2" s="132" t="s">
        <v>52</v>
      </c>
      <c r="KU2" s="132"/>
      <c r="KV2" s="132"/>
      <c r="KW2" s="132"/>
      <c r="KX2" s="98" t="s">
        <v>35</v>
      </c>
      <c r="KY2" s="98" t="s">
        <v>206</v>
      </c>
      <c r="KZ2" s="17" t="s">
        <v>34</v>
      </c>
      <c r="LA2" s="17" t="s">
        <v>33</v>
      </c>
      <c r="LB2" s="17" t="s">
        <v>28</v>
      </c>
      <c r="LC2" s="120" t="s">
        <v>47</v>
      </c>
      <c r="LD2" s="120"/>
      <c r="LE2" s="120"/>
      <c r="LF2" s="120"/>
      <c r="LG2" s="120" t="s">
        <v>50</v>
      </c>
      <c r="LH2" s="120"/>
      <c r="LI2" s="120"/>
      <c r="LJ2" s="120"/>
      <c r="LK2" s="120" t="s">
        <v>51</v>
      </c>
      <c r="LL2" s="120"/>
      <c r="LM2" s="120"/>
      <c r="LN2" s="120"/>
      <c r="LO2" s="128" t="s">
        <v>52</v>
      </c>
      <c r="LP2" s="128"/>
      <c r="LQ2" s="128"/>
      <c r="LR2" s="128"/>
      <c r="LS2" s="112"/>
      <c r="LT2" s="112" t="s">
        <v>35</v>
      </c>
      <c r="LU2" s="112" t="s">
        <v>206</v>
      </c>
      <c r="LV2" s="10" t="s">
        <v>34</v>
      </c>
      <c r="LW2" s="10" t="s">
        <v>33</v>
      </c>
      <c r="LX2" s="10" t="s">
        <v>28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60" t="s">
        <v>25</v>
      </c>
      <c r="R3" s="60" t="s">
        <v>17</v>
      </c>
      <c r="S3" s="60" t="s">
        <v>48</v>
      </c>
      <c r="T3" s="60" t="s">
        <v>49</v>
      </c>
      <c r="U3" s="60" t="s">
        <v>25</v>
      </c>
      <c r="V3" s="60" t="s">
        <v>17</v>
      </c>
      <c r="W3" s="60" t="s">
        <v>48</v>
      </c>
      <c r="X3" s="60" t="s">
        <v>49</v>
      </c>
      <c r="Y3" s="60" t="s">
        <v>25</v>
      </c>
      <c r="Z3" s="60" t="s">
        <v>17</v>
      </c>
      <c r="AA3" s="60" t="s">
        <v>48</v>
      </c>
      <c r="AB3" s="60" t="s">
        <v>49</v>
      </c>
      <c r="AC3" s="63" t="s">
        <v>25</v>
      </c>
      <c r="AD3" s="63" t="s">
        <v>17</v>
      </c>
      <c r="AE3" s="63" t="s">
        <v>48</v>
      </c>
      <c r="AF3" s="63" t="s">
        <v>49</v>
      </c>
      <c r="AG3" s="81" t="s">
        <v>125</v>
      </c>
      <c r="AH3" s="11"/>
      <c r="AI3" s="11"/>
      <c r="AJ3" s="10"/>
      <c r="AK3" s="11"/>
      <c r="AL3" s="11"/>
      <c r="AM3" s="59" t="s">
        <v>25</v>
      </c>
      <c r="AN3" s="59" t="s">
        <v>17</v>
      </c>
      <c r="AO3" s="59" t="s">
        <v>48</v>
      </c>
      <c r="AP3" s="59" t="s">
        <v>49</v>
      </c>
      <c r="AQ3" s="59" t="s">
        <v>25</v>
      </c>
      <c r="AR3" s="59" t="s">
        <v>17</v>
      </c>
      <c r="AS3" s="59" t="s">
        <v>48</v>
      </c>
      <c r="AT3" s="59" t="s">
        <v>49</v>
      </c>
      <c r="AU3" s="59" t="s">
        <v>25</v>
      </c>
      <c r="AV3" s="59" t="s">
        <v>17</v>
      </c>
      <c r="AW3" s="59" t="s">
        <v>48</v>
      </c>
      <c r="AX3" s="59" t="s">
        <v>49</v>
      </c>
      <c r="AY3" s="64" t="s">
        <v>25</v>
      </c>
      <c r="AZ3" s="64" t="s">
        <v>17</v>
      </c>
      <c r="BA3" s="64" t="s">
        <v>48</v>
      </c>
      <c r="BB3" s="64" t="s">
        <v>49</v>
      </c>
      <c r="BC3" s="82" t="s">
        <v>125</v>
      </c>
      <c r="BD3" s="14"/>
      <c r="BE3" s="14"/>
      <c r="BF3" s="13"/>
      <c r="BG3" s="14"/>
      <c r="BH3" s="14"/>
      <c r="BI3" s="25"/>
      <c r="BJ3" s="25"/>
      <c r="BK3" s="60" t="s">
        <v>25</v>
      </c>
      <c r="BL3" s="60" t="s">
        <v>17</v>
      </c>
      <c r="BM3" s="60" t="s">
        <v>48</v>
      </c>
      <c r="BN3" s="60" t="s">
        <v>49</v>
      </c>
      <c r="BO3" s="60" t="s">
        <v>25</v>
      </c>
      <c r="BP3" s="60" t="s">
        <v>17</v>
      </c>
      <c r="BQ3" s="60" t="s">
        <v>48</v>
      </c>
      <c r="BR3" s="60" t="s">
        <v>49</v>
      </c>
      <c r="BS3" s="60" t="s">
        <v>25</v>
      </c>
      <c r="BT3" s="60" t="s">
        <v>17</v>
      </c>
      <c r="BU3" s="60" t="s">
        <v>48</v>
      </c>
      <c r="BV3" s="60" t="s">
        <v>49</v>
      </c>
      <c r="BW3" s="63" t="s">
        <v>25</v>
      </c>
      <c r="BX3" s="63" t="s">
        <v>17</v>
      </c>
      <c r="BY3" s="63" t="s">
        <v>48</v>
      </c>
      <c r="BZ3" s="63" t="s">
        <v>49</v>
      </c>
      <c r="CA3" s="11"/>
      <c r="CB3" s="11"/>
      <c r="CC3" s="10"/>
      <c r="CD3" s="11"/>
      <c r="CE3" s="11"/>
      <c r="CF3" s="64" t="s">
        <v>25</v>
      </c>
      <c r="CG3" s="64" t="s">
        <v>17</v>
      </c>
      <c r="CH3" s="64" t="s">
        <v>48</v>
      </c>
      <c r="CI3" s="64" t="s">
        <v>49</v>
      </c>
      <c r="CJ3" s="64" t="s">
        <v>25</v>
      </c>
      <c r="CK3" s="64" t="s">
        <v>17</v>
      </c>
      <c r="CL3" s="64" t="s">
        <v>48</v>
      </c>
      <c r="CM3" s="64" t="s">
        <v>49</v>
      </c>
      <c r="CN3" s="64" t="s">
        <v>25</v>
      </c>
      <c r="CO3" s="64" t="s">
        <v>17</v>
      </c>
      <c r="CP3" s="64" t="s">
        <v>48</v>
      </c>
      <c r="CQ3" s="64" t="s">
        <v>49</v>
      </c>
      <c r="CR3" s="64" t="s">
        <v>25</v>
      </c>
      <c r="CS3" s="64" t="s">
        <v>17</v>
      </c>
      <c r="CT3" s="64" t="s">
        <v>48</v>
      </c>
      <c r="CU3" s="64" t="s">
        <v>49</v>
      </c>
      <c r="CV3" s="14"/>
      <c r="CW3" s="14"/>
      <c r="CX3" s="17"/>
      <c r="CY3" s="17"/>
      <c r="CZ3" s="17"/>
      <c r="DA3" s="63" t="s">
        <v>25</v>
      </c>
      <c r="DB3" s="63" t="s">
        <v>17</v>
      </c>
      <c r="DC3" s="63" t="s">
        <v>48</v>
      </c>
      <c r="DD3" s="63" t="s">
        <v>49</v>
      </c>
      <c r="DE3" s="63" t="s">
        <v>25</v>
      </c>
      <c r="DF3" s="63" t="s">
        <v>17</v>
      </c>
      <c r="DG3" s="63" t="s">
        <v>48</v>
      </c>
      <c r="DH3" s="63" t="s">
        <v>49</v>
      </c>
      <c r="DI3" s="63" t="s">
        <v>25</v>
      </c>
      <c r="DJ3" s="63" t="s">
        <v>17</v>
      </c>
      <c r="DK3" s="63" t="s">
        <v>48</v>
      </c>
      <c r="DL3" s="63" t="s">
        <v>49</v>
      </c>
      <c r="DM3" s="63" t="s">
        <v>25</v>
      </c>
      <c r="DN3" s="63" t="s">
        <v>17</v>
      </c>
      <c r="DO3" s="63" t="s">
        <v>48</v>
      </c>
      <c r="DP3" s="63" t="s">
        <v>49</v>
      </c>
      <c r="DQ3" s="11"/>
      <c r="DR3" s="11"/>
      <c r="DS3" s="18"/>
      <c r="DT3" s="18"/>
      <c r="DU3" s="18"/>
      <c r="DV3" s="64" t="s">
        <v>25</v>
      </c>
      <c r="DW3" s="64" t="s">
        <v>17</v>
      </c>
      <c r="DX3" s="64" t="s">
        <v>48</v>
      </c>
      <c r="DY3" s="64" t="s">
        <v>49</v>
      </c>
      <c r="DZ3" s="64" t="s">
        <v>25</v>
      </c>
      <c r="EA3" s="64" t="s">
        <v>17</v>
      </c>
      <c r="EB3" s="64" t="s">
        <v>48</v>
      </c>
      <c r="EC3" s="64" t="s">
        <v>49</v>
      </c>
      <c r="ED3" s="64" t="s">
        <v>25</v>
      </c>
      <c r="EE3" s="64" t="s">
        <v>17</v>
      </c>
      <c r="EF3" s="64" t="s">
        <v>48</v>
      </c>
      <c r="EG3" s="64" t="s">
        <v>49</v>
      </c>
      <c r="EH3" s="64" t="s">
        <v>25</v>
      </c>
      <c r="EI3" s="64" t="s">
        <v>17</v>
      </c>
      <c r="EJ3" s="64" t="s">
        <v>48</v>
      </c>
      <c r="EK3" s="64" t="s">
        <v>49</v>
      </c>
      <c r="EL3" s="14"/>
      <c r="EM3" s="14"/>
      <c r="EN3" s="17"/>
      <c r="EO3" s="17"/>
      <c r="EP3" s="17"/>
      <c r="EQ3" s="36" t="s">
        <v>25</v>
      </c>
      <c r="ER3" s="36" t="s">
        <v>17</v>
      </c>
      <c r="ES3" s="36" t="s">
        <v>48</v>
      </c>
      <c r="ET3" s="36" t="s">
        <v>49</v>
      </c>
      <c r="EU3" s="36" t="s">
        <v>25</v>
      </c>
      <c r="EV3" s="36" t="s">
        <v>17</v>
      </c>
      <c r="EW3" s="36" t="s">
        <v>48</v>
      </c>
      <c r="EX3" s="36" t="s">
        <v>49</v>
      </c>
      <c r="EY3" s="36" t="s">
        <v>25</v>
      </c>
      <c r="EZ3" s="36" t="s">
        <v>17</v>
      </c>
      <c r="FA3" s="36" t="s">
        <v>48</v>
      </c>
      <c r="FB3" s="36" t="s">
        <v>49</v>
      </c>
      <c r="FC3" s="36" t="s">
        <v>25</v>
      </c>
      <c r="FD3" s="36" t="s">
        <v>17</v>
      </c>
      <c r="FE3" s="36" t="s">
        <v>48</v>
      </c>
      <c r="FF3" s="36" t="s">
        <v>49</v>
      </c>
      <c r="FG3" s="11"/>
      <c r="FH3" s="11"/>
      <c r="FI3" s="18"/>
      <c r="FJ3" s="18"/>
      <c r="FK3" s="18"/>
      <c r="FL3" s="35" t="s">
        <v>25</v>
      </c>
      <c r="FM3" s="35" t="s">
        <v>17</v>
      </c>
      <c r="FN3" s="35" t="s">
        <v>48</v>
      </c>
      <c r="FO3" s="35" t="s">
        <v>49</v>
      </c>
      <c r="FP3" s="35" t="s">
        <v>25</v>
      </c>
      <c r="FQ3" s="35" t="s">
        <v>17</v>
      </c>
      <c r="FR3" s="35" t="s">
        <v>48</v>
      </c>
      <c r="FS3" s="35" t="s">
        <v>49</v>
      </c>
      <c r="FT3" s="35" t="s">
        <v>25</v>
      </c>
      <c r="FU3" s="35" t="s">
        <v>17</v>
      </c>
      <c r="FV3" s="35" t="s">
        <v>48</v>
      </c>
      <c r="FW3" s="35" t="s">
        <v>49</v>
      </c>
      <c r="FX3" s="35" t="s">
        <v>25</v>
      </c>
      <c r="FY3" s="35" t="s">
        <v>17</v>
      </c>
      <c r="FZ3" s="35" t="s">
        <v>48</v>
      </c>
      <c r="GA3" s="35" t="s">
        <v>49</v>
      </c>
      <c r="GB3" s="14"/>
      <c r="GC3" s="14"/>
      <c r="GD3" s="17"/>
      <c r="GE3" s="17"/>
      <c r="GF3" s="17"/>
      <c r="GG3" s="36" t="s">
        <v>25</v>
      </c>
      <c r="GH3" s="36" t="s">
        <v>17</v>
      </c>
      <c r="GI3" s="36" t="s">
        <v>48</v>
      </c>
      <c r="GJ3" s="36" t="s">
        <v>49</v>
      </c>
      <c r="GK3" s="36" t="s">
        <v>25</v>
      </c>
      <c r="GL3" s="36" t="s">
        <v>17</v>
      </c>
      <c r="GM3" s="36" t="s">
        <v>48</v>
      </c>
      <c r="GN3" s="36" t="s">
        <v>49</v>
      </c>
      <c r="GO3" s="36" t="s">
        <v>25</v>
      </c>
      <c r="GP3" s="36" t="s">
        <v>17</v>
      </c>
      <c r="GQ3" s="36" t="s">
        <v>48</v>
      </c>
      <c r="GR3" s="36" t="s">
        <v>49</v>
      </c>
      <c r="GS3" s="36" t="s">
        <v>25</v>
      </c>
      <c r="GT3" s="36" t="s">
        <v>17</v>
      </c>
      <c r="GU3" s="36" t="s">
        <v>48</v>
      </c>
      <c r="GV3" s="36" t="s">
        <v>49</v>
      </c>
      <c r="GW3" s="11"/>
      <c r="GX3" s="11"/>
      <c r="GY3" s="18"/>
      <c r="GZ3" s="18"/>
      <c r="HA3" s="18"/>
      <c r="HB3" s="35" t="s">
        <v>25</v>
      </c>
      <c r="HC3" s="35" t="s">
        <v>17</v>
      </c>
      <c r="HD3" s="35" t="s">
        <v>48</v>
      </c>
      <c r="HE3" s="35" t="s">
        <v>49</v>
      </c>
      <c r="HF3" s="35" t="s">
        <v>25</v>
      </c>
      <c r="HG3" s="35" t="s">
        <v>17</v>
      </c>
      <c r="HH3" s="35" t="s">
        <v>48</v>
      </c>
      <c r="HI3" s="35" t="s">
        <v>49</v>
      </c>
      <c r="HJ3" s="35" t="s">
        <v>25</v>
      </c>
      <c r="HK3" s="35" t="s">
        <v>17</v>
      </c>
      <c r="HL3" s="35" t="s">
        <v>48</v>
      </c>
      <c r="HM3" s="35" t="s">
        <v>49</v>
      </c>
      <c r="HN3" s="35" t="s">
        <v>25</v>
      </c>
      <c r="HO3" s="35" t="s">
        <v>17</v>
      </c>
      <c r="HP3" s="35" t="s">
        <v>48</v>
      </c>
      <c r="HQ3" s="35" t="s">
        <v>49</v>
      </c>
      <c r="HR3" s="14"/>
      <c r="HS3" s="14"/>
      <c r="HT3" s="17"/>
      <c r="HU3" s="17"/>
      <c r="HV3" s="17"/>
      <c r="HW3" s="36" t="s">
        <v>25</v>
      </c>
      <c r="HX3" s="36" t="s">
        <v>17</v>
      </c>
      <c r="HY3" s="36" t="s">
        <v>48</v>
      </c>
      <c r="HZ3" s="36" t="s">
        <v>49</v>
      </c>
      <c r="IA3" s="36" t="s">
        <v>25</v>
      </c>
      <c r="IB3" s="36" t="s">
        <v>17</v>
      </c>
      <c r="IC3" s="36" t="s">
        <v>48</v>
      </c>
      <c r="ID3" s="36" t="s">
        <v>49</v>
      </c>
      <c r="IE3" s="36" t="s">
        <v>25</v>
      </c>
      <c r="IF3" s="36" t="s">
        <v>17</v>
      </c>
      <c r="IG3" s="36" t="s">
        <v>48</v>
      </c>
      <c r="IH3" s="36" t="s">
        <v>49</v>
      </c>
      <c r="II3" s="36" t="s">
        <v>25</v>
      </c>
      <c r="IJ3" s="36" t="s">
        <v>17</v>
      </c>
      <c r="IK3" s="36" t="s">
        <v>48</v>
      </c>
      <c r="IL3" s="36" t="s">
        <v>49</v>
      </c>
      <c r="IM3" s="11"/>
      <c r="IN3" s="11"/>
      <c r="IO3" s="18"/>
      <c r="IP3" s="18"/>
      <c r="IQ3" s="18"/>
      <c r="IR3" s="35" t="s">
        <v>25</v>
      </c>
      <c r="IS3" s="35" t="s">
        <v>17</v>
      </c>
      <c r="IT3" s="35" t="s">
        <v>48</v>
      </c>
      <c r="IU3" s="35" t="s">
        <v>49</v>
      </c>
      <c r="IV3" s="35" t="s">
        <v>25</v>
      </c>
      <c r="IW3" s="35" t="s">
        <v>17</v>
      </c>
      <c r="IX3" s="35" t="s">
        <v>48</v>
      </c>
      <c r="IY3" s="35" t="s">
        <v>49</v>
      </c>
      <c r="IZ3" s="35" t="s">
        <v>25</v>
      </c>
      <c r="JA3" s="35" t="s">
        <v>17</v>
      </c>
      <c r="JB3" s="35" t="s">
        <v>48</v>
      </c>
      <c r="JC3" s="35" t="s">
        <v>49</v>
      </c>
      <c r="JD3" s="35" t="s">
        <v>25</v>
      </c>
      <c r="JE3" s="35" t="s">
        <v>17</v>
      </c>
      <c r="JF3" s="35" t="s">
        <v>48</v>
      </c>
      <c r="JG3" s="35" t="s">
        <v>49</v>
      </c>
      <c r="JH3" s="14"/>
      <c r="JI3" s="14"/>
      <c r="JJ3" s="17"/>
      <c r="JK3" s="17"/>
      <c r="JL3" s="17"/>
      <c r="JM3" s="36" t="s">
        <v>25</v>
      </c>
      <c r="JN3" s="36" t="s">
        <v>17</v>
      </c>
      <c r="JO3" s="36" t="s">
        <v>48</v>
      </c>
      <c r="JP3" s="36" t="s">
        <v>49</v>
      </c>
      <c r="JQ3" s="36" t="s">
        <v>25</v>
      </c>
      <c r="JR3" s="36" t="s">
        <v>17</v>
      </c>
      <c r="JS3" s="36" t="s">
        <v>48</v>
      </c>
      <c r="JT3" s="36" t="s">
        <v>49</v>
      </c>
      <c r="JU3" s="36" t="s">
        <v>25</v>
      </c>
      <c r="JV3" s="36" t="s">
        <v>17</v>
      </c>
      <c r="JW3" s="36" t="s">
        <v>48</v>
      </c>
      <c r="JX3" s="36" t="s">
        <v>49</v>
      </c>
      <c r="JY3" s="36" t="s">
        <v>25</v>
      </c>
      <c r="JZ3" s="36" t="s">
        <v>17</v>
      </c>
      <c r="KA3" s="36" t="s">
        <v>48</v>
      </c>
      <c r="KB3" s="36" t="s">
        <v>49</v>
      </c>
      <c r="KC3" s="11"/>
      <c r="KD3" s="11"/>
      <c r="KE3" s="18"/>
      <c r="KF3" s="18"/>
      <c r="KG3" s="18"/>
      <c r="KH3" s="35" t="s">
        <v>25</v>
      </c>
      <c r="KI3" s="35" t="s">
        <v>17</v>
      </c>
      <c r="KJ3" s="35" t="s">
        <v>48</v>
      </c>
      <c r="KK3" s="35" t="s">
        <v>49</v>
      </c>
      <c r="KL3" s="35" t="s">
        <v>25</v>
      </c>
      <c r="KM3" s="35" t="s">
        <v>17</v>
      </c>
      <c r="KN3" s="35" t="s">
        <v>48</v>
      </c>
      <c r="KO3" s="35" t="s">
        <v>49</v>
      </c>
      <c r="KP3" s="35" t="s">
        <v>25</v>
      </c>
      <c r="KQ3" s="35" t="s">
        <v>17</v>
      </c>
      <c r="KR3" s="35" t="s">
        <v>48</v>
      </c>
      <c r="KS3" s="35" t="s">
        <v>49</v>
      </c>
      <c r="KT3" s="35" t="s">
        <v>25</v>
      </c>
      <c r="KU3" s="35" t="s">
        <v>17</v>
      </c>
      <c r="KV3" s="35" t="s">
        <v>48</v>
      </c>
      <c r="KW3" s="35" t="s">
        <v>49</v>
      </c>
      <c r="KX3" s="14"/>
      <c r="KY3" s="14"/>
      <c r="KZ3" s="17"/>
      <c r="LA3" s="17"/>
      <c r="LB3" s="17"/>
      <c r="LC3" s="112" t="s">
        <v>25</v>
      </c>
      <c r="LD3" s="112" t="s">
        <v>17</v>
      </c>
      <c r="LE3" s="112" t="s">
        <v>48</v>
      </c>
      <c r="LF3" s="112" t="s">
        <v>49</v>
      </c>
      <c r="LG3" s="112" t="s">
        <v>25</v>
      </c>
      <c r="LH3" s="112" t="s">
        <v>17</v>
      </c>
      <c r="LI3" s="112" t="s">
        <v>48</v>
      </c>
      <c r="LJ3" s="112" t="s">
        <v>49</v>
      </c>
      <c r="LK3" s="112" t="s">
        <v>25</v>
      </c>
      <c r="LL3" s="112" t="s">
        <v>17</v>
      </c>
      <c r="LM3" s="112" t="s">
        <v>48</v>
      </c>
      <c r="LN3" s="112" t="s">
        <v>49</v>
      </c>
      <c r="LO3" s="113" t="s">
        <v>25</v>
      </c>
      <c r="LP3" s="113" t="s">
        <v>17</v>
      </c>
      <c r="LQ3" s="113" t="s">
        <v>48</v>
      </c>
      <c r="LR3" s="113" t="s">
        <v>49</v>
      </c>
      <c r="LS3" s="112" t="s">
        <v>125</v>
      </c>
      <c r="LT3" s="11"/>
      <c r="LU3" s="11"/>
      <c r="LV3" s="10"/>
      <c r="LW3" s="11"/>
      <c r="LX3" s="11"/>
    </row>
    <row r="4" spans="1:336" x14ac:dyDescent="0.2">
      <c r="A4" s="6">
        <f t="shared" ref="A4:A15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56</v>
      </c>
      <c r="C4" s="5" t="s">
        <v>3</v>
      </c>
      <c r="D4" s="6">
        <v>1992</v>
      </c>
      <c r="E4" s="16">
        <f t="shared" ref="E4:E15" si="1">SUM(J4:N4)</f>
        <v>216.10000000000002</v>
      </c>
      <c r="F4" s="4" t="str">
        <f t="shared" ref="F4:F15" si="2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 t="shared" ref="G4:G15" si="3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 t="shared" ref="H4:H15" si="4"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 t="shared" ref="I4:I15" si="5"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 t="shared" ref="J4:J15" si="6">IF(MAX(AL4,BH4)&gt;0,MAX(AL4,BH4),"")</f>
        <v>145</v>
      </c>
      <c r="K4" s="15" t="str">
        <f t="shared" ref="K4:K15" si="7">IF(J4="","",IF(J4=BH4,$AM$1,IF(J4=AL4,$Q$1,"")))</f>
        <v>2018 Nationals</v>
      </c>
      <c r="L4" s="15" t="str">
        <f t="shared" ref="L4:L15" si="8">IF(J4=AL4,IF(MAX(BF4,BG4)&gt;0,MAX(BF4,BG4),""),IF(J4=BH4,IF(MAX(AJ4,AK4)&gt;0,MAX(AJ4,AK4),""),MAX(AJ4,AK4,BF4,BG4)))</f>
        <v/>
      </c>
      <c r="M4" s="15" t="str">
        <f t="shared" ref="M4:M15" si="9">IF(L4="","",IF(AND(J4&lt;&gt;BH4,OR(L4=BG4,L4=BF4)),$AM$1,IF(OR(L4=AK4,L4=AJ4),$Q$1,"")))</f>
        <v/>
      </c>
      <c r="N4" s="15">
        <f t="shared" ref="N4:N15" si="10">IF(MAX(BI4:BJ4)&gt;0,MAX(BI4:BJ4),"")</f>
        <v>71.100000000000009</v>
      </c>
      <c r="O4" s="27" t="str">
        <f t="shared" ref="O4:O15" si="11">IF(N4="","",IF(N4=BI4,"(4 Pass)",IF(N4=BJ4,"(2 Pass)")))</f>
        <v>(2 Pass)</v>
      </c>
      <c r="P4" s="15" t="str">
        <f t="shared" ref="P4:P15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2">
        <v>28.4</v>
      </c>
      <c r="R4" s="72">
        <v>8</v>
      </c>
      <c r="S4" s="72">
        <v>0.9</v>
      </c>
      <c r="T4" s="72">
        <v>0</v>
      </c>
      <c r="U4" s="72">
        <v>28.2</v>
      </c>
      <c r="V4" s="72">
        <v>9.3000000000000007</v>
      </c>
      <c r="W4" s="72">
        <v>0.3</v>
      </c>
      <c r="X4" s="72">
        <v>0</v>
      </c>
      <c r="Y4" s="72">
        <v>28.3</v>
      </c>
      <c r="Z4" s="72">
        <v>8</v>
      </c>
      <c r="AA4" s="72">
        <v>0.9</v>
      </c>
      <c r="AB4" s="72">
        <v>0</v>
      </c>
      <c r="AC4" s="72">
        <v>28.5</v>
      </c>
      <c r="AD4" s="72">
        <v>8.4</v>
      </c>
      <c r="AE4" s="72">
        <v>0</v>
      </c>
      <c r="AF4" s="72">
        <v>0</v>
      </c>
      <c r="AG4" s="83"/>
      <c r="AH4" s="12">
        <f t="shared" ref="AH4:AH15" si="13">IF(SUM(R4,V4)&gt;0,SUM(R4,V4),"")</f>
        <v>17.3</v>
      </c>
      <c r="AI4" s="12">
        <f t="shared" ref="AI4:AI15" si="14">IF(SUM(R4,V4,Z4,AD4)&gt;0,SUM(R4,V4,Z4,AD4),"")</f>
        <v>33.700000000000003</v>
      </c>
      <c r="AJ4" s="12">
        <f t="shared" ref="AJ4:AJ15" si="15">IF(SUM(Q4:R4,T4:V4,X4)-SUM(S4,W4)&gt;0,SUM(Q4:R4,T4:V4,X4)-SUM(S4,W4),"")</f>
        <v>72.699999999999989</v>
      </c>
      <c r="AK4" s="12">
        <f t="shared" ref="AK4:AK15" si="16">IF(SUM(Y4:Z4,AB4:AD4,AF4)-SUM(AA4,AE4)&gt;0,SUM(Y4:Z4,AB4:AD4,AF4)-SUM(AA4,AE4),"")</f>
        <v>72.3</v>
      </c>
      <c r="AL4" s="12">
        <f t="shared" ref="AL4:AL15" si="17">IF(SUM(AJ4,AK4)&gt;0,SUM(AJ4,AK4),"")</f>
        <v>145</v>
      </c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84"/>
      <c r="BD4" s="15" t="str">
        <f t="shared" ref="BD4:BD15" si="18">IF(SUM(AN4,AR4)&gt;0,SUM(AN4,AR4),"")</f>
        <v/>
      </c>
      <c r="BE4" s="15" t="str">
        <f t="shared" ref="BE4:BE15" si="19">IF(SUM(AN4,AR4,AV4,AZ4)&gt;0,SUM(AN4,AR4,AV4,AZ4),"")</f>
        <v/>
      </c>
      <c r="BF4" s="15" t="str">
        <f t="shared" ref="BF4:BF15" si="20">IF(SUM(AM4:AN4,AP4:AR4,AT4)-SUM(AO4,AS4)&gt;0,SUM(AM4:AN4,AP4:AR4,AT4)-SUM(AO4,AS4),"")</f>
        <v/>
      </c>
      <c r="BG4" s="15" t="str">
        <f t="shared" ref="BG4:BG15" si="21">IF(SUM(AU4:AV4,AX4:AZ4,BB4)-SUM(AW4,BA4)&gt;0,SUM(AU4:AV4,AX4:AZ4,BB4)-SUM(AW4,BA4),"")</f>
        <v/>
      </c>
      <c r="BH4" s="15" t="str">
        <f t="shared" ref="BH4:BH15" si="22">IF(SUM(BF4,BG4)&gt;0,SUM(BF4,BG4),"")</f>
        <v/>
      </c>
      <c r="BI4" s="26" t="str">
        <f t="shared" ref="BI4:BI15" si="23">IF(MAX(CE4,CZ4,DU4,EP4,FK4,GF4,HA4,HV4,IQ4,JL4,KG4,LB4)-IF(J4="",0,J4)&gt;0.001,MAX(CE4,CZ4,DU4,EP4,FK4,GF4,HA4,HV4,IQ4,JL4,KG4,LB4)-IF(J4="",0,J4),"")</f>
        <v/>
      </c>
      <c r="BJ4" s="26">
        <f t="shared" ref="BJ4:BJ15" si="24">IF(MAX(CC4,CD4,CX4,CY4,DS4,DT4,EN4,EO4,FI4,FJ4,GD4,GE4,GY4,GZ4,HT4,HU4,IO4,IP4,JJ4,JK4,KE4,KF4,KZ4,LA4)-IF(L4="",0,L4)&gt;0.001,MAX(CC4,CD4,CX4,CY4,DS4,DT4,EN4,EO4,FI4,FJ4,GD4,GE4,GY4,GZ4,HT4,HU4,IO4,IP4,JJ4,JK4,KE4,KF4,KZ4,LA4)-IF(L4="",0,L4),"")</f>
        <v>71.100000000000009</v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5" si="25">IF(SUM(BL4,BP4)&gt;0,SUM(BL4,BP4),"")</f>
        <v/>
      </c>
      <c r="CB4" s="12" t="str">
        <f t="shared" ref="CB4:CB15" si="26">IF(SUM(BL4,BP4,BT4,BX4)&gt;0,SUM(BL4,BP4,BT4,BX4),"")</f>
        <v/>
      </c>
      <c r="CC4" s="12" t="str">
        <f t="shared" ref="CC4:CC15" si="27">IF(SUM(BK4:BL4,BN4:BP4,BR4)-SUM(BM4,BQ4)&gt;0,SUM(BK4:BL4,BN4:BP4,BR4)-SUM(BM4,BQ4),"")</f>
        <v/>
      </c>
      <c r="CD4" s="12" t="str">
        <f t="shared" ref="CD4:CD15" si="28">IF(SUM(BS4:BT4,BV4:BX4,BZ4)-SUM(BU4,BY4)&gt;0,SUM(BS4:BT4,BV4:BX4,BZ4)-SUM(BU4,BY4),"")</f>
        <v/>
      </c>
      <c r="CE4" s="12" t="str">
        <f t="shared" ref="CE4:CE15" si="29">IF(SUM(CC4,CD4)&gt;0,SUM(CC4,CD4),"")</f>
        <v/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5" si="30">IF(SUM(CG4,CK4)&gt;0,SUM(CG4,CK4),"")</f>
        <v/>
      </c>
      <c r="CW4" s="15" t="str">
        <f t="shared" ref="CW4:CW15" si="31">IF(SUM(CG4,CK4,CO4,CS4)&gt;0,SUM(CG4,CK4,CO4,CS4),"")</f>
        <v/>
      </c>
      <c r="CX4" s="15" t="str">
        <f t="shared" ref="CX4:CX15" si="32">IF(SUM(CF4:CG4,CI4:CK4,CM4)-SUM(CH4,CL4)&gt;0,SUM(CF4:CG4,CI4:CK4,CM4)-SUM(CH4,CL4),"")</f>
        <v/>
      </c>
      <c r="CY4" s="15" t="str">
        <f t="shared" ref="CY4:CY15" si="33">IF(SUM(CN4:CO4,CQ4:CS4,CU4)-SUM(CP4,CT4)&gt;0,SUM(CN4:CO4,CQ4:CS4,CU4)-SUM(CP4,CT4),"")</f>
        <v/>
      </c>
      <c r="CZ4" s="15" t="str">
        <f t="shared" ref="CZ4:CZ15" si="34">IF(SUM(CX4,CY4)&gt;0,SUM(CX4,CY4),"")</f>
        <v/>
      </c>
      <c r="DA4" s="46">
        <v>27.2</v>
      </c>
      <c r="DB4" s="46">
        <v>9.1999999999999993</v>
      </c>
      <c r="DC4" s="46">
        <v>1.2</v>
      </c>
      <c r="DD4" s="46">
        <v>0</v>
      </c>
      <c r="DE4" s="46">
        <v>27.6</v>
      </c>
      <c r="DF4" s="46">
        <v>9.1999999999999993</v>
      </c>
      <c r="DG4" s="46">
        <v>0.9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 t="shared" ref="DQ4:DQ15" si="35">IF(SUM(DB4,DF4)&gt;0,SUM(DB4,DF4),"")</f>
        <v>18.399999999999999</v>
      </c>
      <c r="DR4" s="12">
        <f t="shared" ref="DR4:DR15" si="36">IF(SUM(DB4,DF4,DJ4,DN4)&gt;0,SUM(DB4,DF4,DJ4,DN4),"")</f>
        <v>18.399999999999999</v>
      </c>
      <c r="DS4" s="12">
        <f t="shared" ref="DS4:DS15" si="37">IF(SUM(DA4:DB4,DD4:DF4,DH4)-SUM(DC4,DG4)&gt;0,SUM(DA4:DB4,DD4:DF4,DH4)-SUM(DC4,DG4),"")</f>
        <v>71.100000000000009</v>
      </c>
      <c r="DT4" s="12" t="str">
        <f t="shared" ref="DT4:DT15" si="38">IF(SUM(DI4:DJ4,DL4:DN4,DP4)-SUM(DK4,DO4)&gt;0,SUM(DI4:DJ4,DL4:DN4,DP4)-SUM(DK4,DO4),"")</f>
        <v/>
      </c>
      <c r="DU4" s="12">
        <f t="shared" ref="DU4:DU15" si="39">IF(SUM(DS4,DT4)&gt;0,SUM(DS4,DT4),"")</f>
        <v>71.100000000000009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5" si="40">IF(SUM(DW4,EA4)&gt;0,SUM(DW4,EA4),"")</f>
        <v/>
      </c>
      <c r="EM4" s="15" t="str">
        <f t="shared" ref="EM4:EM15" si="41">IF(SUM(DW4,EA4,EE4,EI4)&gt;0,SUM(DW4,EA4,EE4,EI4),"")</f>
        <v/>
      </c>
      <c r="EN4" s="15" t="str">
        <f t="shared" ref="EN4:EN15" si="42">IF(SUM(DV4:DW4,DY4:EA4,EC4)-SUM(DX4,EB4)&gt;0,SUM(DV4:DW4,DY4:EA4,EC4)-SUM(DX4,EB4),"")</f>
        <v/>
      </c>
      <c r="EO4" s="15" t="str">
        <f t="shared" ref="EO4:EO15" si="43">IF(SUM(ED4:EE4,EG4:EI4,EK4)-SUM(EF4,EJ4)&gt;0,SUM(ED4:EE4,EG4:EI4,EK4)-SUM(EF4,EJ4),"")</f>
        <v/>
      </c>
      <c r="EP4" s="15" t="str">
        <f t="shared" ref="EP4:EP15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5" si="45">IF(SUM(ER4,EV4)&gt;0,SUM(ER4,EV4),"")</f>
        <v/>
      </c>
      <c r="FH4" s="12" t="str">
        <f t="shared" ref="FH4:FH15" si="46">IF(SUM(ER4,EV4,EZ4,FD4)&gt;0,SUM(ER4,EV4,EZ4,FD4),"")</f>
        <v/>
      </c>
      <c r="FI4" s="12" t="str">
        <f t="shared" ref="FI4:FI15" si="47">IF(SUM(EQ4:ER4,ET4:EV4,EX4)-SUM(ES4,EW4)&gt;0,SUM(EQ4:ER4,ET4:EV4,EX4)-SUM(ES4,EW4),"")</f>
        <v/>
      </c>
      <c r="FJ4" s="12" t="str">
        <f t="shared" ref="FJ4:FJ15" si="48">IF(SUM(EY4:EZ4,FB4:FD4,FF4)-SUM(FA4,FE4)&gt;0,SUM(EY4:EZ4,FB4:FD4,FF4)-SUM(FA4,FE4),"")</f>
        <v/>
      </c>
      <c r="FK4" s="12" t="str">
        <f t="shared" ref="FK4:FK15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5" si="50">IF(SUM(FM4,FQ4)&gt;0,SUM(FM4,FQ4),"")</f>
        <v/>
      </c>
      <c r="GC4" s="15" t="str">
        <f t="shared" ref="GC4:GC15" si="51">IF(SUM(FM4,FQ4,FU4,FY4)&gt;0,SUM(FM4,FQ4,FU4,FY4),"")</f>
        <v/>
      </c>
      <c r="GD4" s="15" t="str">
        <f t="shared" ref="GD4:GD15" si="52">IF(SUM(FL4:FM4,FO4:FQ4,FS4)-SUM(FN4,FR4)&gt;0,SUM(FL4:FM4,FO4:FQ4,FS4)-SUM(FN4,FR4),"")</f>
        <v/>
      </c>
      <c r="GE4" s="15" t="str">
        <f t="shared" ref="GE4:GE15" si="53">IF(SUM(FT4:FU4,FW4:FY4,GA4)-SUM(FV4,FZ4)&gt;0,SUM(FT4:FU4,FW4:FY4,GA4)-SUM(FV4,FZ4),"")</f>
        <v/>
      </c>
      <c r="GF4" s="15" t="str">
        <f t="shared" ref="GF4:GF15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5" si="55">IF(SUM(GH4,GL4)&gt;0,SUM(GH4,GL4),"")</f>
        <v/>
      </c>
      <c r="GX4" s="12" t="str">
        <f t="shared" ref="GX4:GX15" si="56">IF(SUM(GH4,GL4,GP4,GT4)&gt;0,SUM(GH4,GL4,GP4,GT4),"")</f>
        <v/>
      </c>
      <c r="GY4" s="12" t="str">
        <f t="shared" ref="GY4:GY15" si="57">IF(SUM(GG4:GH4,GJ4:GL4,GN4)-SUM(GI4,GM4)&gt;0,SUM(GG4:GH4,GJ4:GL4,GN4)-SUM(GI4,GM4),"")</f>
        <v/>
      </c>
      <c r="GZ4" s="12" t="str">
        <f t="shared" ref="GZ4:GZ15" si="58">IF(SUM(GO4:GP4,GR4:GT4,GV4)-SUM(GQ4,GU4)&gt;0,SUM(GO4:GP4,GR4:GT4,GV4)-SUM(GQ4,GU4),"")</f>
        <v/>
      </c>
      <c r="HA4" s="12" t="str">
        <f t="shared" ref="HA4:HA15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5" si="60">IF(SUM(HC4,HG4)&gt;0,SUM(HC4,HG4),"")</f>
        <v/>
      </c>
      <c r="HS4" s="15" t="str">
        <f t="shared" ref="HS4:HS15" si="61">IF(SUM(HC4,HG4,HK4,HO4)&gt;0,SUM(HC4,HG4,HK4,HO4),"")</f>
        <v/>
      </c>
      <c r="HT4" s="15" t="str">
        <f t="shared" ref="HT4:HT15" si="62">IF(SUM(HB4:HC4,HE4:HG4,HI4)-SUM(HD4,HH4)&gt;0,SUM(HB4:HC4,HE4:HG4,HI4)-SUM(HD4,HH4),"")</f>
        <v/>
      </c>
      <c r="HU4" s="15" t="str">
        <f t="shared" ref="HU4:HU15" si="63">IF(SUM(HJ4:HK4,HM4:HO4,HQ4)-SUM(HL4,HP4)&gt;0,SUM(HJ4:HK4,HM4:HO4,HQ4)-SUM(HL4,HP4),"")</f>
        <v/>
      </c>
      <c r="HV4" s="15" t="str">
        <f t="shared" ref="HV4:HV15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5" si="65">IF(SUM(HX4,IB4)&gt;0,SUM(HX4,IB4),"")</f>
        <v/>
      </c>
      <c r="IN4" s="12" t="str">
        <f t="shared" ref="IN4:IN15" si="66">IF(SUM(HX4,IB4,IF4,IJ4)&gt;0,SUM(HX4,IB4,IF4,IJ4),"")</f>
        <v/>
      </c>
      <c r="IO4" s="12" t="str">
        <f t="shared" ref="IO4:IO15" si="67">IF(SUM(HW4:HX4,HZ4:IB4,ID4)-SUM(HY4,IC4)&gt;0,SUM(HW4:HX4,HZ4:IB4,ID4)-SUM(HY4,IC4),"")</f>
        <v/>
      </c>
      <c r="IP4" s="12" t="str">
        <f t="shared" ref="IP4:IP15" si="68">IF(SUM(IE4:IF4,IH4:IJ4,IL4)-SUM(IG4,IK4)&gt;0,SUM(IE4:IF4,IH4:IJ4,IL4)-SUM(IG4,IK4),"")</f>
        <v/>
      </c>
      <c r="IQ4" s="12" t="str">
        <f t="shared" ref="IQ4:IQ15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5" si="70">IF(SUM(IS4,IW4)&gt;0,SUM(IS4,IW4),"")</f>
        <v/>
      </c>
      <c r="JI4" s="15" t="str">
        <f t="shared" ref="JI4:JI15" si="71">IF(SUM(IS4,IW4,JA4,JE4)&gt;0,SUM(IS4,IW4,JA4,JE4),"")</f>
        <v/>
      </c>
      <c r="JJ4" s="15" t="str">
        <f t="shared" ref="JJ4:JJ15" si="72">IF(SUM(IR4:IS4,IU4:IW4,IY4)-SUM(IT4,IX4)&gt;0,SUM(IR4:IS4,IU4:IW4,IY4)-SUM(IT4,IX4),"")</f>
        <v/>
      </c>
      <c r="JK4" s="15" t="str">
        <f t="shared" ref="JK4:JK15" si="73">IF(SUM(IZ4:JA4,JC4:JE4,JG4)-SUM(JB4,JF4)&gt;0,SUM(IZ4:JA4,JC4:JE4,JG4)-SUM(JB4,JF4),"")</f>
        <v/>
      </c>
      <c r="JL4" s="15" t="str">
        <f t="shared" ref="JL4:JL15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5" si="75">IF(SUM(JN4,JR4)&gt;0,SUM(JN4,JR4),"")</f>
        <v/>
      </c>
      <c r="KD4" s="12" t="str">
        <f t="shared" ref="KD4:KD15" si="76">IF(SUM(JN4,JR4,JV4,JZ4)&gt;0,SUM(JN4,JR4,JV4,JZ4),"")</f>
        <v/>
      </c>
      <c r="KE4" s="12" t="str">
        <f t="shared" ref="KE4:KE15" si="77">IF(SUM(JM4:JN4,JP4:JR4,JT4)-SUM(JO4,JS4)&gt;0,SUM(JM4:JN4,JP4:JR4,JT4)-SUM(JO4,JS4),"")</f>
        <v/>
      </c>
      <c r="KF4" s="12" t="str">
        <f t="shared" ref="KF4:KF15" si="78">IF(SUM(JU4:JV4,JX4:JZ4,KB4)-SUM(JW4,KA4)&gt;0,SUM(JU4:JV4,JX4:JZ4,KB4)-SUM(JW4,KA4),"")</f>
        <v/>
      </c>
      <c r="KG4" s="12" t="str">
        <f t="shared" ref="KG4:KG15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5" si="80">IF(SUM(KI4,KM4)&gt;0,SUM(KI4,KM4),"")</f>
        <v/>
      </c>
      <c r="KY4" s="15" t="str">
        <f t="shared" ref="KY4:KY15" si="81">IF(SUM(KI4,KM4,KQ4,KU4)&gt;0,SUM(KI4,KM4,KQ4,KU4),"")</f>
        <v/>
      </c>
      <c r="KZ4" s="15" t="str">
        <f t="shared" ref="KZ4:KZ15" si="82">IF(SUM(KH4:KI4,KK4:KM4,KO4)-SUM(KJ4,KN4)&gt;0,SUM(KH4:KI4,KK4:KM4,KO4)-SUM(KJ4,KN4),"")</f>
        <v/>
      </c>
      <c r="LA4" s="15" t="str">
        <f t="shared" ref="LA4:LA15" si="83">IF(SUM(KP4:KQ4,KS4:KU4,KW4)-SUM(KR4,KV4)&gt;0,SUM(KP4:KQ4,KS4:KU4,KW4)-SUM(KR4,KV4),"")</f>
        <v/>
      </c>
      <c r="LB4" s="15" t="str">
        <f t="shared" ref="LB4:LB15" si="84">IF(SUM(KZ4,LA4)&gt;0,SUM(KZ4,LA4),"")</f>
        <v/>
      </c>
      <c r="LC4" s="72">
        <f>(Q4+AM4)/2</f>
        <v>14.2</v>
      </c>
      <c r="LD4" s="72">
        <f t="shared" ref="LD4:LR4" si="85">(R4+AN4)/2</f>
        <v>4</v>
      </c>
      <c r="LE4" s="72">
        <f t="shared" si="85"/>
        <v>0.45</v>
      </c>
      <c r="LF4" s="72">
        <f t="shared" si="85"/>
        <v>0</v>
      </c>
      <c r="LG4" s="72">
        <f t="shared" si="85"/>
        <v>14.1</v>
      </c>
      <c r="LH4" s="72">
        <f t="shared" si="85"/>
        <v>4.6500000000000004</v>
      </c>
      <c r="LI4" s="72">
        <f t="shared" si="85"/>
        <v>0.15</v>
      </c>
      <c r="LJ4" s="72">
        <f t="shared" si="85"/>
        <v>0</v>
      </c>
      <c r="LK4" s="72">
        <f t="shared" si="85"/>
        <v>14.15</v>
      </c>
      <c r="LL4" s="72">
        <f t="shared" si="85"/>
        <v>4</v>
      </c>
      <c r="LM4" s="72">
        <f t="shared" si="85"/>
        <v>0.45</v>
      </c>
      <c r="LN4" s="72">
        <f t="shared" si="85"/>
        <v>0</v>
      </c>
      <c r="LO4" s="72">
        <f t="shared" si="85"/>
        <v>14.25</v>
      </c>
      <c r="LP4" s="72">
        <f t="shared" si="85"/>
        <v>4.2</v>
      </c>
      <c r="LQ4" s="72">
        <f t="shared" si="85"/>
        <v>0</v>
      </c>
      <c r="LR4" s="72">
        <f t="shared" si="85"/>
        <v>0</v>
      </c>
      <c r="LS4" s="83" t="s">
        <v>126</v>
      </c>
      <c r="LT4" s="12">
        <f t="shared" ref="LT4" si="86">IF(SUM(LD4,LH4)&gt;0,SUM(LD4,LH4),"")</f>
        <v>8.65</v>
      </c>
      <c r="LU4" s="12">
        <f t="shared" ref="LU4" si="87">IF(SUM(LD4,LH4,LL4,LP4)&gt;0,SUM(LD4,LH4,LL4,LP4),"")</f>
        <v>16.850000000000001</v>
      </c>
      <c r="LV4" s="12">
        <f t="shared" ref="LV4" si="88">IF(SUM(LC4:LD4,LF4:LH4,LJ4)-SUM(LE4,LI4)&gt;0,SUM(LC4:LD4,LF4:LH4,LJ4)-SUM(LE4,LI4),"")</f>
        <v>36.349999999999994</v>
      </c>
      <c r="LW4" s="12">
        <f t="shared" ref="LW4" si="89">IF(SUM(LK4:LL4,LN4:LP4,LR4)-SUM(LM4,LQ4)&gt;0,SUM(LK4:LL4,LN4:LP4,LR4)-SUM(LM4,LQ4),"")</f>
        <v>36.15</v>
      </c>
      <c r="LX4" s="12">
        <f t="shared" ref="LX4" si="90">IF(SUM(LV4,LW4)&gt;0,SUM(LV4,LW4),"")</f>
        <v>72.5</v>
      </c>
    </row>
    <row r="5" spans="1:336" x14ac:dyDescent="0.2">
      <c r="A5" s="6">
        <f t="shared" si="0"/>
        <v>2</v>
      </c>
      <c r="B5" s="9" t="s">
        <v>57</v>
      </c>
      <c r="C5" s="5" t="s">
        <v>5</v>
      </c>
      <c r="D5" s="6">
        <v>1998</v>
      </c>
      <c r="E5" s="16">
        <f t="shared" si="1"/>
        <v>214.9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Excellence</v>
      </c>
      <c r="J5" s="15">
        <f t="shared" si="6"/>
        <v>142.9</v>
      </c>
      <c r="K5" s="15" t="str">
        <f t="shared" si="7"/>
        <v>2018 3rd Domestic Trial</v>
      </c>
      <c r="L5" s="15">
        <f t="shared" si="8"/>
        <v>70.400000000000006</v>
      </c>
      <c r="M5" s="15" t="str">
        <f t="shared" si="9"/>
        <v>2018 Nationals</v>
      </c>
      <c r="N5" s="15">
        <f t="shared" si="10"/>
        <v>1.5999999999999943</v>
      </c>
      <c r="O5" s="27" t="str">
        <f t="shared" si="11"/>
        <v>(2 Pass)</v>
      </c>
      <c r="P5" s="15" t="str">
        <f t="shared" si="12"/>
        <v>2018 Senior Pan American Championships (Sept 9)</v>
      </c>
      <c r="Q5" s="72">
        <v>27.8</v>
      </c>
      <c r="R5" s="72">
        <v>8.4</v>
      </c>
      <c r="S5" s="72">
        <v>0.3</v>
      </c>
      <c r="T5" s="72">
        <v>0</v>
      </c>
      <c r="U5" s="72">
        <v>26.7</v>
      </c>
      <c r="V5" s="72">
        <v>8.1</v>
      </c>
      <c r="W5" s="72">
        <v>0.3</v>
      </c>
      <c r="X5" s="72">
        <v>0</v>
      </c>
      <c r="Y5" s="72">
        <v>0</v>
      </c>
      <c r="Z5" s="72">
        <v>0</v>
      </c>
      <c r="AA5" s="72">
        <v>0</v>
      </c>
      <c r="AB5" s="72">
        <v>0</v>
      </c>
      <c r="AC5" s="72">
        <v>28.1</v>
      </c>
      <c r="AD5" s="72">
        <v>6.8</v>
      </c>
      <c r="AE5" s="72">
        <v>0</v>
      </c>
      <c r="AF5" s="72">
        <v>0</v>
      </c>
      <c r="AG5" s="83"/>
      <c r="AH5" s="12">
        <f t="shared" si="13"/>
        <v>16.5</v>
      </c>
      <c r="AI5" s="12">
        <f t="shared" si="14"/>
        <v>23.3</v>
      </c>
      <c r="AJ5" s="12">
        <f t="shared" si="15"/>
        <v>70.400000000000006</v>
      </c>
      <c r="AK5" s="12">
        <f t="shared" si="16"/>
        <v>34.9</v>
      </c>
      <c r="AL5" s="12">
        <f t="shared" si="17"/>
        <v>105.30000000000001</v>
      </c>
      <c r="AM5" s="40">
        <v>27.5</v>
      </c>
      <c r="AN5" s="40">
        <v>8.4</v>
      </c>
      <c r="AO5" s="40">
        <v>0.3</v>
      </c>
      <c r="AP5" s="40">
        <v>0</v>
      </c>
      <c r="AQ5" s="40">
        <v>27.5</v>
      </c>
      <c r="AR5" s="40">
        <v>8.1</v>
      </c>
      <c r="AS5" s="40">
        <v>0.3</v>
      </c>
      <c r="AT5" s="40">
        <v>0</v>
      </c>
      <c r="AU5" s="40">
        <v>28.5</v>
      </c>
      <c r="AV5" s="40">
        <v>6.8</v>
      </c>
      <c r="AW5" s="40">
        <v>0.3</v>
      </c>
      <c r="AX5" s="40">
        <v>0</v>
      </c>
      <c r="AY5" s="40">
        <v>28.9</v>
      </c>
      <c r="AZ5" s="40">
        <v>8.4</v>
      </c>
      <c r="BA5" s="40">
        <v>0.3</v>
      </c>
      <c r="BB5" s="40">
        <v>0</v>
      </c>
      <c r="BC5" s="84"/>
      <c r="BD5" s="15">
        <f t="shared" si="18"/>
        <v>16.5</v>
      </c>
      <c r="BE5" s="15">
        <f t="shared" si="19"/>
        <v>31.700000000000003</v>
      </c>
      <c r="BF5" s="15">
        <f t="shared" si="20"/>
        <v>70.900000000000006</v>
      </c>
      <c r="BG5" s="15">
        <f t="shared" si="21"/>
        <v>72</v>
      </c>
      <c r="BH5" s="15">
        <f t="shared" si="22"/>
        <v>142.9</v>
      </c>
      <c r="BI5" s="26">
        <f t="shared" si="23"/>
        <v>0.59999999999999432</v>
      </c>
      <c r="BJ5" s="26">
        <f t="shared" si="24"/>
        <v>1.5999999999999943</v>
      </c>
      <c r="BK5" s="46">
        <v>28.2</v>
      </c>
      <c r="BL5" s="46">
        <v>8.4</v>
      </c>
      <c r="BM5" s="46">
        <v>0</v>
      </c>
      <c r="BN5" s="46">
        <v>0</v>
      </c>
      <c r="BO5" s="46">
        <v>27.3</v>
      </c>
      <c r="BP5" s="46">
        <v>8.1</v>
      </c>
      <c r="BQ5" s="46">
        <v>0</v>
      </c>
      <c r="BR5" s="46">
        <v>0</v>
      </c>
      <c r="BS5" s="46">
        <v>28</v>
      </c>
      <c r="BT5" s="46">
        <v>6.8</v>
      </c>
      <c r="BU5" s="46">
        <v>0.3</v>
      </c>
      <c r="BV5" s="46">
        <v>0</v>
      </c>
      <c r="BW5" s="46">
        <v>28.6</v>
      </c>
      <c r="BX5" s="46">
        <v>8.4</v>
      </c>
      <c r="BY5" s="46">
        <v>0</v>
      </c>
      <c r="BZ5" s="46">
        <v>0</v>
      </c>
      <c r="CA5" s="12">
        <f t="shared" si="25"/>
        <v>16.5</v>
      </c>
      <c r="CB5" s="12">
        <f t="shared" si="26"/>
        <v>31.700000000000003</v>
      </c>
      <c r="CC5" s="12">
        <f t="shared" si="27"/>
        <v>72</v>
      </c>
      <c r="CD5" s="12">
        <f t="shared" si="28"/>
        <v>71.5</v>
      </c>
      <c r="CE5" s="12">
        <f t="shared" si="29"/>
        <v>143.5</v>
      </c>
      <c r="CF5" s="45">
        <v>27.8</v>
      </c>
      <c r="CG5" s="45">
        <v>8.4</v>
      </c>
      <c r="CH5" s="45">
        <v>0.3</v>
      </c>
      <c r="CI5" s="45">
        <v>0</v>
      </c>
      <c r="CJ5" s="45">
        <v>19.899999999999999</v>
      </c>
      <c r="CK5" s="45">
        <v>4.8</v>
      </c>
      <c r="CL5" s="45">
        <v>0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 t="shared" si="30"/>
        <v>13.2</v>
      </c>
      <c r="CW5" s="15">
        <f t="shared" si="31"/>
        <v>13.2</v>
      </c>
      <c r="CX5" s="15">
        <f t="shared" si="32"/>
        <v>60.6</v>
      </c>
      <c r="CY5" s="15" t="str">
        <f t="shared" si="33"/>
        <v/>
      </c>
      <c r="CZ5" s="15">
        <f t="shared" si="34"/>
        <v>60.6</v>
      </c>
      <c r="DA5" s="46">
        <v>27.2</v>
      </c>
      <c r="DB5" s="46">
        <v>8.4</v>
      </c>
      <c r="DC5" s="46">
        <v>1.2</v>
      </c>
      <c r="DD5" s="46">
        <v>0</v>
      </c>
      <c r="DE5" s="46">
        <v>27.6</v>
      </c>
      <c r="DF5" s="46">
        <v>8.4</v>
      </c>
      <c r="DG5" s="46">
        <v>1.2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16.8</v>
      </c>
      <c r="DR5" s="12">
        <f t="shared" si="36"/>
        <v>16.8</v>
      </c>
      <c r="DS5" s="12">
        <f t="shared" si="37"/>
        <v>69.2</v>
      </c>
      <c r="DT5" s="12" t="str">
        <f t="shared" si="38"/>
        <v/>
      </c>
      <c r="DU5" s="12">
        <f t="shared" si="39"/>
        <v>69.2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2">
        <f t="shared" ref="LC5:LC15" si="91">(Q5+AM5)/2</f>
        <v>27.65</v>
      </c>
      <c r="LD5" s="72">
        <f t="shared" ref="LD5:LD15" si="92">(R5+AN5)/2</f>
        <v>8.4</v>
      </c>
      <c r="LE5" s="72">
        <f t="shared" ref="LE5:LE15" si="93">(S5+AO5)/2</f>
        <v>0.3</v>
      </c>
      <c r="LF5" s="72">
        <f t="shared" ref="LF5:LF15" si="94">(T5+AP5)/2</f>
        <v>0</v>
      </c>
      <c r="LG5" s="72">
        <f t="shared" ref="LG5:LG15" si="95">(U5+AQ5)/2</f>
        <v>27.1</v>
      </c>
      <c r="LH5" s="72">
        <f t="shared" ref="LH5:LH15" si="96">(V5+AR5)/2</f>
        <v>8.1</v>
      </c>
      <c r="LI5" s="72">
        <f t="shared" ref="LI5:LI15" si="97">(W5+AS5)/2</f>
        <v>0.3</v>
      </c>
      <c r="LJ5" s="72">
        <f t="shared" ref="LJ5:LJ15" si="98">(X5+AT5)/2</f>
        <v>0</v>
      </c>
      <c r="LK5" s="72">
        <f t="shared" ref="LK5:LK15" si="99">(Y5+AU5)/2</f>
        <v>14.25</v>
      </c>
      <c r="LL5" s="72">
        <f t="shared" ref="LL5:LL15" si="100">(Z5+AV5)/2</f>
        <v>3.4</v>
      </c>
      <c r="LM5" s="72">
        <f t="shared" ref="LM5:LM15" si="101">(AA5+AW5)/2</f>
        <v>0.15</v>
      </c>
      <c r="LN5" s="72">
        <f t="shared" ref="LN5:LN15" si="102">(AB5+AX5)/2</f>
        <v>0</v>
      </c>
      <c r="LO5" s="72">
        <f t="shared" ref="LO5:LO15" si="103">(AC5+AY5)/2</f>
        <v>28.5</v>
      </c>
      <c r="LP5" s="72">
        <f t="shared" ref="LP5:LP15" si="104">(AD5+AZ5)/2</f>
        <v>7.6</v>
      </c>
      <c r="LQ5" s="72">
        <f t="shared" ref="LQ5:LQ15" si="105">(AE5+BA5)/2</f>
        <v>0.15</v>
      </c>
      <c r="LR5" s="72">
        <f t="shared" ref="LR5:LR15" si="106">(AF5+BB5)/2</f>
        <v>0</v>
      </c>
      <c r="LS5" s="83" t="s">
        <v>126</v>
      </c>
      <c r="LT5" s="12">
        <f t="shared" ref="LT5:LT15" si="107">IF(SUM(LD5,LH5)&gt;0,SUM(LD5,LH5),"")</f>
        <v>16.5</v>
      </c>
      <c r="LU5" s="12">
        <f t="shared" ref="LU5:LU15" si="108">IF(SUM(LD5,LH5,LL5,LP5)&gt;0,SUM(LD5,LH5,LL5,LP5),"")</f>
        <v>27.5</v>
      </c>
      <c r="LV5" s="12">
        <f t="shared" ref="LV5:LV15" si="109">IF(SUM(LC5:LD5,LF5:LH5,LJ5)-SUM(LE5,LI5)&gt;0,SUM(LC5:LD5,LF5:LH5,LJ5)-SUM(LE5,LI5),"")</f>
        <v>70.650000000000006</v>
      </c>
      <c r="LW5" s="12">
        <f t="shared" ref="LW5:LW15" si="110">IF(SUM(LK5:LL5,LN5:LP5,LR5)-SUM(LM5,LQ5)&gt;0,SUM(LK5:LL5,LN5:LP5,LR5)-SUM(LM5,LQ5),"")</f>
        <v>53.45</v>
      </c>
      <c r="LX5" s="12">
        <f t="shared" ref="LX5:LX15" si="111">IF(SUM(LV5,LW5)&gt;0,SUM(LV5,LW5),"")</f>
        <v>124.10000000000001</v>
      </c>
    </row>
    <row r="6" spans="1:336" x14ac:dyDescent="0.2">
      <c r="A6" s="6">
        <f t="shared" si="0"/>
        <v>3</v>
      </c>
      <c r="B6" s="9" t="s">
        <v>15</v>
      </c>
      <c r="C6" s="5" t="s">
        <v>7</v>
      </c>
      <c r="D6" s="6">
        <v>1996</v>
      </c>
      <c r="E6" s="16">
        <f t="shared" si="1"/>
        <v>211.40000000000003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5">
        <f t="shared" si="6"/>
        <v>139.60000000000002</v>
      </c>
      <c r="K6" s="15" t="str">
        <f t="shared" si="7"/>
        <v>2018 3rd Domestic Trial</v>
      </c>
      <c r="L6" s="15">
        <f t="shared" si="8"/>
        <v>69.400000000000006</v>
      </c>
      <c r="M6" s="15" t="str">
        <f t="shared" si="9"/>
        <v>2018 Nationals</v>
      </c>
      <c r="N6" s="15">
        <f t="shared" si="10"/>
        <v>2.3999999999999915</v>
      </c>
      <c r="O6" s="27" t="str">
        <f t="shared" si="11"/>
        <v>(2 Pass)</v>
      </c>
      <c r="P6" s="15" t="str">
        <f t="shared" si="12"/>
        <v>2018 Loulé Cup (Oct 6)</v>
      </c>
      <c r="Q6" s="72">
        <v>25.5</v>
      </c>
      <c r="R6" s="72">
        <v>6.8</v>
      </c>
      <c r="S6" s="72">
        <v>1.2</v>
      </c>
      <c r="T6" s="72">
        <v>0</v>
      </c>
      <c r="U6" s="72">
        <v>27.8</v>
      </c>
      <c r="V6" s="72">
        <v>7.3</v>
      </c>
      <c r="W6" s="72">
        <v>0.3</v>
      </c>
      <c r="X6" s="72">
        <v>0</v>
      </c>
      <c r="Y6" s="72">
        <v>28.2</v>
      </c>
      <c r="Z6" s="72">
        <v>7.6</v>
      </c>
      <c r="AA6" s="72">
        <v>0.9</v>
      </c>
      <c r="AB6" s="72">
        <v>0</v>
      </c>
      <c r="AC6" s="72">
        <v>28.2</v>
      </c>
      <c r="AD6" s="72">
        <v>7.2</v>
      </c>
      <c r="AE6" s="72">
        <v>0.9</v>
      </c>
      <c r="AF6" s="72">
        <v>0</v>
      </c>
      <c r="AG6" s="83"/>
      <c r="AH6" s="12">
        <f t="shared" si="13"/>
        <v>14.1</v>
      </c>
      <c r="AI6" s="12">
        <f t="shared" si="14"/>
        <v>28.9</v>
      </c>
      <c r="AJ6" s="12">
        <f t="shared" si="15"/>
        <v>65.899999999999991</v>
      </c>
      <c r="AK6" s="12">
        <f t="shared" si="16"/>
        <v>69.400000000000006</v>
      </c>
      <c r="AL6" s="12">
        <f t="shared" si="17"/>
        <v>135.30000000000001</v>
      </c>
      <c r="AM6" s="40">
        <v>28.5</v>
      </c>
      <c r="AN6" s="40">
        <v>7.6</v>
      </c>
      <c r="AO6" s="40">
        <v>1.2</v>
      </c>
      <c r="AP6" s="40">
        <v>0</v>
      </c>
      <c r="AQ6" s="40">
        <v>28.3</v>
      </c>
      <c r="AR6" s="40">
        <v>7.3</v>
      </c>
      <c r="AS6" s="40">
        <v>0.3</v>
      </c>
      <c r="AT6" s="40">
        <v>0</v>
      </c>
      <c r="AU6" s="40">
        <v>28.2</v>
      </c>
      <c r="AV6" s="40">
        <v>7.6</v>
      </c>
      <c r="AW6" s="40">
        <v>0.6</v>
      </c>
      <c r="AX6" s="40">
        <v>0</v>
      </c>
      <c r="AY6" s="40">
        <v>28.2</v>
      </c>
      <c r="AZ6" s="40">
        <v>7.2</v>
      </c>
      <c r="BA6" s="40">
        <v>1.2</v>
      </c>
      <c r="BB6" s="40">
        <v>0</v>
      </c>
      <c r="BC6" s="84"/>
      <c r="BD6" s="15">
        <f t="shared" si="18"/>
        <v>14.899999999999999</v>
      </c>
      <c r="BE6" s="15">
        <f t="shared" si="19"/>
        <v>29.7</v>
      </c>
      <c r="BF6" s="15">
        <f t="shared" si="20"/>
        <v>70.2</v>
      </c>
      <c r="BG6" s="15">
        <f t="shared" si="21"/>
        <v>69.400000000000006</v>
      </c>
      <c r="BH6" s="15">
        <f t="shared" si="22"/>
        <v>139.60000000000002</v>
      </c>
      <c r="BI6" s="26" t="str">
        <f t="shared" si="23"/>
        <v/>
      </c>
      <c r="BJ6" s="26">
        <f t="shared" si="24"/>
        <v>2.3999999999999915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>
        <v>28.2</v>
      </c>
      <c r="CG6" s="45">
        <v>8</v>
      </c>
      <c r="CH6" s="45">
        <v>0.9</v>
      </c>
      <c r="CI6" s="45">
        <v>0</v>
      </c>
      <c r="CJ6" s="45">
        <v>28.5</v>
      </c>
      <c r="CK6" s="45">
        <v>8</v>
      </c>
      <c r="CL6" s="45">
        <v>0</v>
      </c>
      <c r="CM6" s="45">
        <v>0</v>
      </c>
      <c r="CN6" s="45">
        <v>20.6</v>
      </c>
      <c r="CO6" s="45">
        <v>2.4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15">
        <f t="shared" si="30"/>
        <v>16</v>
      </c>
      <c r="CW6" s="15">
        <f t="shared" si="31"/>
        <v>18.399999999999999</v>
      </c>
      <c r="CX6" s="15">
        <f t="shared" si="32"/>
        <v>71.8</v>
      </c>
      <c r="CY6" s="15">
        <f t="shared" si="33"/>
        <v>23</v>
      </c>
      <c r="CZ6" s="15">
        <f t="shared" si="34"/>
        <v>94.8</v>
      </c>
      <c r="DA6" s="46">
        <v>28</v>
      </c>
      <c r="DB6" s="46">
        <v>8</v>
      </c>
      <c r="DC6" s="46">
        <v>0.3</v>
      </c>
      <c r="DD6" s="46">
        <v>0</v>
      </c>
      <c r="DE6" s="46">
        <v>27.2</v>
      </c>
      <c r="DF6" s="46">
        <v>8</v>
      </c>
      <c r="DG6" s="46">
        <v>0.9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 t="shared" si="35"/>
        <v>16</v>
      </c>
      <c r="DR6" s="12">
        <f t="shared" si="36"/>
        <v>16</v>
      </c>
      <c r="DS6" s="12">
        <f t="shared" si="37"/>
        <v>70</v>
      </c>
      <c r="DT6" s="12" t="str">
        <f t="shared" si="38"/>
        <v/>
      </c>
      <c r="DU6" s="12">
        <f t="shared" si="39"/>
        <v>70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2">
        <f t="shared" si="91"/>
        <v>27</v>
      </c>
      <c r="LD6" s="72">
        <f t="shared" si="92"/>
        <v>7.1999999999999993</v>
      </c>
      <c r="LE6" s="72">
        <f t="shared" si="93"/>
        <v>1.2</v>
      </c>
      <c r="LF6" s="72">
        <f t="shared" si="94"/>
        <v>0</v>
      </c>
      <c r="LG6" s="72">
        <f t="shared" si="95"/>
        <v>28.05</v>
      </c>
      <c r="LH6" s="72">
        <f t="shared" si="96"/>
        <v>7.3</v>
      </c>
      <c r="LI6" s="72">
        <f t="shared" si="97"/>
        <v>0.3</v>
      </c>
      <c r="LJ6" s="72">
        <f t="shared" si="98"/>
        <v>0</v>
      </c>
      <c r="LK6" s="72">
        <f t="shared" si="99"/>
        <v>28.2</v>
      </c>
      <c r="LL6" s="72">
        <f t="shared" si="100"/>
        <v>7.6</v>
      </c>
      <c r="LM6" s="72">
        <f t="shared" si="101"/>
        <v>0.75</v>
      </c>
      <c r="LN6" s="72">
        <f t="shared" si="102"/>
        <v>0</v>
      </c>
      <c r="LO6" s="72">
        <f t="shared" si="103"/>
        <v>28.2</v>
      </c>
      <c r="LP6" s="72">
        <f t="shared" si="104"/>
        <v>7.2</v>
      </c>
      <c r="LQ6" s="72">
        <f t="shared" si="105"/>
        <v>1.05</v>
      </c>
      <c r="LR6" s="72">
        <f t="shared" si="106"/>
        <v>0</v>
      </c>
      <c r="LS6" s="83" t="s">
        <v>126</v>
      </c>
      <c r="LT6" s="12">
        <f t="shared" si="107"/>
        <v>14.5</v>
      </c>
      <c r="LU6" s="12">
        <f t="shared" si="108"/>
        <v>29.3</v>
      </c>
      <c r="LV6" s="12">
        <f t="shared" si="109"/>
        <v>68.05</v>
      </c>
      <c r="LW6" s="12">
        <f t="shared" si="110"/>
        <v>69.400000000000006</v>
      </c>
      <c r="LX6" s="12">
        <f t="shared" si="111"/>
        <v>137.44999999999999</v>
      </c>
    </row>
    <row r="7" spans="1:336" x14ac:dyDescent="0.2">
      <c r="A7" s="6">
        <f t="shared" si="0"/>
        <v>4</v>
      </c>
      <c r="B7" s="9" t="s">
        <v>149</v>
      </c>
      <c r="C7" s="5" t="s">
        <v>7</v>
      </c>
      <c r="D7" s="6">
        <v>2001</v>
      </c>
      <c r="E7" s="16">
        <f t="shared" si="1"/>
        <v>208.65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139.80000000000001</v>
      </c>
      <c r="K7" s="15" t="str">
        <f t="shared" si="7"/>
        <v>2018 Nationals</v>
      </c>
      <c r="L7" s="15">
        <f t="shared" si="8"/>
        <v>68.849999999999994</v>
      </c>
      <c r="M7" s="15" t="str">
        <f t="shared" si="9"/>
        <v>2018 3rd Domestic Trial</v>
      </c>
      <c r="N7" s="15" t="str">
        <f t="shared" si="10"/>
        <v/>
      </c>
      <c r="O7" s="27" t="str">
        <f t="shared" si="11"/>
        <v/>
      </c>
      <c r="P7" s="15" t="str">
        <f t="shared" si="12"/>
        <v/>
      </c>
      <c r="Q7" s="72">
        <v>27.5</v>
      </c>
      <c r="R7" s="72">
        <v>7.6</v>
      </c>
      <c r="S7" s="72">
        <v>1.2</v>
      </c>
      <c r="T7" s="72">
        <v>0</v>
      </c>
      <c r="U7" s="72">
        <v>28.1</v>
      </c>
      <c r="V7" s="72">
        <v>7.6</v>
      </c>
      <c r="W7" s="72">
        <v>0</v>
      </c>
      <c r="X7" s="72">
        <v>0</v>
      </c>
      <c r="Y7" s="72">
        <v>27.8</v>
      </c>
      <c r="Z7" s="72">
        <v>7.3</v>
      </c>
      <c r="AA7" s="72">
        <v>0.3</v>
      </c>
      <c r="AB7" s="72">
        <v>0</v>
      </c>
      <c r="AC7" s="72">
        <v>28.2</v>
      </c>
      <c r="AD7" s="72">
        <v>7.2</v>
      </c>
      <c r="AE7" s="72">
        <v>0</v>
      </c>
      <c r="AF7" s="72">
        <v>0</v>
      </c>
      <c r="AG7" s="83"/>
      <c r="AH7" s="12">
        <f t="shared" si="13"/>
        <v>15.2</v>
      </c>
      <c r="AI7" s="12">
        <f t="shared" si="14"/>
        <v>29.7</v>
      </c>
      <c r="AJ7" s="12">
        <f t="shared" si="15"/>
        <v>69.599999999999994</v>
      </c>
      <c r="AK7" s="12">
        <f t="shared" si="16"/>
        <v>70.2</v>
      </c>
      <c r="AL7" s="12">
        <f t="shared" si="17"/>
        <v>139.80000000000001</v>
      </c>
      <c r="AM7" s="40">
        <v>28</v>
      </c>
      <c r="AN7" s="40">
        <v>7.6</v>
      </c>
      <c r="AO7" s="40">
        <v>1.05</v>
      </c>
      <c r="AP7" s="40">
        <v>0</v>
      </c>
      <c r="AQ7" s="40">
        <v>27.5</v>
      </c>
      <c r="AR7" s="40">
        <v>7.4</v>
      </c>
      <c r="AS7" s="40">
        <v>0.6</v>
      </c>
      <c r="AT7" s="40">
        <v>0</v>
      </c>
      <c r="AU7" s="40">
        <v>24.1</v>
      </c>
      <c r="AV7" s="40">
        <v>5.05</v>
      </c>
      <c r="AW7" s="40">
        <v>0.15</v>
      </c>
      <c r="AX7" s="40">
        <v>0</v>
      </c>
      <c r="AY7" s="40">
        <v>28</v>
      </c>
      <c r="AZ7" s="40">
        <v>7.4</v>
      </c>
      <c r="BA7" s="40">
        <v>0</v>
      </c>
      <c r="BB7" s="40">
        <v>0</v>
      </c>
      <c r="BC7" s="84" t="s">
        <v>126</v>
      </c>
      <c r="BD7" s="15">
        <f t="shared" si="18"/>
        <v>15</v>
      </c>
      <c r="BE7" s="15">
        <f t="shared" si="19"/>
        <v>27.450000000000003</v>
      </c>
      <c r="BF7" s="15">
        <f t="shared" si="20"/>
        <v>68.849999999999994</v>
      </c>
      <c r="BG7" s="15">
        <f t="shared" si="21"/>
        <v>64.400000000000006</v>
      </c>
      <c r="BH7" s="15">
        <f t="shared" si="22"/>
        <v>133.25</v>
      </c>
      <c r="BI7" s="26" t="str">
        <f t="shared" si="23"/>
        <v/>
      </c>
      <c r="BJ7" s="26" t="str">
        <f t="shared" si="24"/>
        <v/>
      </c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12" t="str">
        <f t="shared" si="25"/>
        <v/>
      </c>
      <c r="CB7" s="12" t="str">
        <f t="shared" si="26"/>
        <v/>
      </c>
      <c r="CC7" s="12" t="str">
        <f t="shared" si="27"/>
        <v/>
      </c>
      <c r="CD7" s="12" t="str">
        <f t="shared" si="28"/>
        <v/>
      </c>
      <c r="CE7" s="12" t="str">
        <f t="shared" si="29"/>
        <v/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12" t="str">
        <f t="shared" si="35"/>
        <v/>
      </c>
      <c r="DR7" s="12" t="str">
        <f t="shared" si="36"/>
        <v/>
      </c>
      <c r="DS7" s="12" t="str">
        <f t="shared" si="37"/>
        <v/>
      </c>
      <c r="DT7" s="12" t="str">
        <f t="shared" si="38"/>
        <v/>
      </c>
      <c r="DU7" s="12" t="str">
        <f t="shared" si="39"/>
        <v/>
      </c>
      <c r="DV7" s="45">
        <v>27.7</v>
      </c>
      <c r="DW7" s="45">
        <v>7.2</v>
      </c>
      <c r="DX7" s="45">
        <v>1.2</v>
      </c>
      <c r="DY7" s="45">
        <v>0</v>
      </c>
      <c r="DZ7" s="45">
        <v>27</v>
      </c>
      <c r="EA7" s="45">
        <v>6.8</v>
      </c>
      <c r="EB7" s="45">
        <v>1.2</v>
      </c>
      <c r="EC7" s="45">
        <v>0</v>
      </c>
      <c r="ED7" s="45"/>
      <c r="EE7" s="45"/>
      <c r="EF7" s="45"/>
      <c r="EG7" s="45"/>
      <c r="EH7" s="45"/>
      <c r="EI7" s="45"/>
      <c r="EJ7" s="45"/>
      <c r="EK7" s="45"/>
      <c r="EL7" s="15">
        <f t="shared" si="40"/>
        <v>14</v>
      </c>
      <c r="EM7" s="15">
        <f t="shared" si="41"/>
        <v>14</v>
      </c>
      <c r="EN7" s="15">
        <f t="shared" si="42"/>
        <v>66.3</v>
      </c>
      <c r="EO7" s="15" t="str">
        <f t="shared" si="43"/>
        <v/>
      </c>
      <c r="EP7" s="15">
        <f t="shared" si="44"/>
        <v>66.3</v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2">
        <f t="shared" si="91"/>
        <v>27.75</v>
      </c>
      <c r="LD7" s="72">
        <f t="shared" si="92"/>
        <v>7.6</v>
      </c>
      <c r="LE7" s="72">
        <f t="shared" si="93"/>
        <v>1.125</v>
      </c>
      <c r="LF7" s="72">
        <f t="shared" si="94"/>
        <v>0</v>
      </c>
      <c r="LG7" s="72">
        <f t="shared" si="95"/>
        <v>27.8</v>
      </c>
      <c r="LH7" s="72">
        <f t="shared" si="96"/>
        <v>7.5</v>
      </c>
      <c r="LI7" s="72">
        <f t="shared" si="97"/>
        <v>0.3</v>
      </c>
      <c r="LJ7" s="72">
        <f t="shared" si="98"/>
        <v>0</v>
      </c>
      <c r="LK7" s="72">
        <f t="shared" si="99"/>
        <v>25.950000000000003</v>
      </c>
      <c r="LL7" s="72">
        <f t="shared" si="100"/>
        <v>6.1749999999999998</v>
      </c>
      <c r="LM7" s="72">
        <f t="shared" si="101"/>
        <v>0.22499999999999998</v>
      </c>
      <c r="LN7" s="72">
        <f t="shared" si="102"/>
        <v>0</v>
      </c>
      <c r="LO7" s="72">
        <f t="shared" si="103"/>
        <v>28.1</v>
      </c>
      <c r="LP7" s="72">
        <f t="shared" si="104"/>
        <v>7.3000000000000007</v>
      </c>
      <c r="LQ7" s="72">
        <f t="shared" si="105"/>
        <v>0</v>
      </c>
      <c r="LR7" s="72">
        <f t="shared" si="106"/>
        <v>0</v>
      </c>
      <c r="LS7" s="83" t="s">
        <v>126</v>
      </c>
      <c r="LT7" s="12">
        <f t="shared" si="107"/>
        <v>15.1</v>
      </c>
      <c r="LU7" s="12">
        <f t="shared" si="108"/>
        <v>28.574999999999999</v>
      </c>
      <c r="LV7" s="12">
        <f t="shared" si="109"/>
        <v>69.225000000000009</v>
      </c>
      <c r="LW7" s="12">
        <f t="shared" si="110"/>
        <v>67.300000000000011</v>
      </c>
      <c r="LX7" s="12">
        <f t="shared" si="111"/>
        <v>136.52500000000003</v>
      </c>
    </row>
    <row r="8" spans="1:336" x14ac:dyDescent="0.2">
      <c r="A8" s="6">
        <f t="shared" si="0"/>
        <v>5</v>
      </c>
      <c r="B8" s="9" t="s">
        <v>61</v>
      </c>
      <c r="C8" s="5" t="s">
        <v>5</v>
      </c>
      <c r="D8" s="6">
        <v>1993</v>
      </c>
      <c r="E8" s="16">
        <f t="shared" si="1"/>
        <v>208.5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5">
        <f t="shared" si="6"/>
        <v>138.30000000000001</v>
      </c>
      <c r="K8" s="15" t="str">
        <f t="shared" si="7"/>
        <v>2018 Nationals</v>
      </c>
      <c r="L8" s="15">
        <f t="shared" si="8"/>
        <v>69.099999999999994</v>
      </c>
      <c r="M8" s="15" t="str">
        <f t="shared" si="9"/>
        <v>2018 3rd Domestic Trial</v>
      </c>
      <c r="N8" s="15">
        <f t="shared" si="10"/>
        <v>1.0999999999999943</v>
      </c>
      <c r="O8" s="27" t="str">
        <f t="shared" si="11"/>
        <v>(2 Pass)</v>
      </c>
      <c r="P8" s="15" t="str">
        <f t="shared" si="12"/>
        <v>2018 Loulé Cup (Oct 6)</v>
      </c>
      <c r="Q8" s="72">
        <v>28.7</v>
      </c>
      <c r="R8" s="72">
        <v>7.6</v>
      </c>
      <c r="S8" s="72">
        <v>0.9</v>
      </c>
      <c r="T8" s="72">
        <v>0</v>
      </c>
      <c r="U8" s="72">
        <v>27.4</v>
      </c>
      <c r="V8" s="72">
        <v>7.6</v>
      </c>
      <c r="W8" s="72">
        <v>0.9</v>
      </c>
      <c r="X8" s="72">
        <v>0</v>
      </c>
      <c r="Y8" s="72">
        <v>27.6</v>
      </c>
      <c r="Z8" s="72">
        <v>7.2</v>
      </c>
      <c r="AA8" s="72">
        <v>0.9</v>
      </c>
      <c r="AB8" s="72">
        <v>0</v>
      </c>
      <c r="AC8" s="72">
        <v>28.4</v>
      </c>
      <c r="AD8" s="72">
        <v>6.8</v>
      </c>
      <c r="AE8" s="72">
        <v>0.3</v>
      </c>
      <c r="AF8" s="72">
        <v>0</v>
      </c>
      <c r="AG8" s="83"/>
      <c r="AH8" s="12">
        <f t="shared" si="13"/>
        <v>15.2</v>
      </c>
      <c r="AI8" s="12">
        <f t="shared" si="14"/>
        <v>29.2</v>
      </c>
      <c r="AJ8" s="12">
        <f t="shared" si="15"/>
        <v>69.5</v>
      </c>
      <c r="AK8" s="12">
        <f t="shared" si="16"/>
        <v>68.8</v>
      </c>
      <c r="AL8" s="12">
        <f t="shared" si="17"/>
        <v>138.30000000000001</v>
      </c>
      <c r="AM8" s="40">
        <v>28</v>
      </c>
      <c r="AN8" s="40">
        <v>7.2</v>
      </c>
      <c r="AO8" s="40">
        <v>1.5</v>
      </c>
      <c r="AP8" s="40">
        <v>0</v>
      </c>
      <c r="AQ8" s="40">
        <v>27.1</v>
      </c>
      <c r="AR8" s="40">
        <v>6.8</v>
      </c>
      <c r="AS8" s="40">
        <v>1.2</v>
      </c>
      <c r="AT8" s="40">
        <v>0</v>
      </c>
      <c r="AU8" s="40">
        <v>27.9</v>
      </c>
      <c r="AV8" s="40">
        <v>7.2</v>
      </c>
      <c r="AW8" s="40">
        <v>0.9</v>
      </c>
      <c r="AX8" s="40">
        <v>0</v>
      </c>
      <c r="AY8" s="40">
        <v>28.5</v>
      </c>
      <c r="AZ8" s="40">
        <v>6.4</v>
      </c>
      <c r="BA8" s="40">
        <v>0</v>
      </c>
      <c r="BB8" s="40">
        <v>0</v>
      </c>
      <c r="BC8" s="84"/>
      <c r="BD8" s="15">
        <f t="shared" si="18"/>
        <v>14</v>
      </c>
      <c r="BE8" s="15">
        <f t="shared" si="19"/>
        <v>27.6</v>
      </c>
      <c r="BF8" s="15">
        <f t="shared" si="20"/>
        <v>66.400000000000006</v>
      </c>
      <c r="BG8" s="15">
        <f t="shared" si="21"/>
        <v>69.099999999999994</v>
      </c>
      <c r="BH8" s="15">
        <f t="shared" si="22"/>
        <v>135.5</v>
      </c>
      <c r="BI8" s="26" t="str">
        <f t="shared" si="23"/>
        <v/>
      </c>
      <c r="BJ8" s="26">
        <f t="shared" si="24"/>
        <v>1.0999999999999943</v>
      </c>
      <c r="BK8" s="46">
        <v>27.3</v>
      </c>
      <c r="BL8" s="46">
        <v>7.2</v>
      </c>
      <c r="BM8" s="46">
        <v>0.9</v>
      </c>
      <c r="BN8" s="46">
        <v>0</v>
      </c>
      <c r="BO8" s="46">
        <v>28.8</v>
      </c>
      <c r="BP8" s="46">
        <v>7.6</v>
      </c>
      <c r="BQ8" s="46">
        <v>0</v>
      </c>
      <c r="BR8" s="46">
        <v>0</v>
      </c>
      <c r="BS8" s="46">
        <v>28.1</v>
      </c>
      <c r="BT8" s="46">
        <v>5.6</v>
      </c>
      <c r="BU8" s="46">
        <v>0</v>
      </c>
      <c r="BV8" s="46">
        <v>0</v>
      </c>
      <c r="BW8" s="46">
        <v>25.6</v>
      </c>
      <c r="BX8" s="46">
        <v>7.2</v>
      </c>
      <c r="BY8" s="46">
        <v>1.5</v>
      </c>
      <c r="BZ8" s="46">
        <v>0</v>
      </c>
      <c r="CA8" s="12">
        <f t="shared" si="25"/>
        <v>14.8</v>
      </c>
      <c r="CB8" s="12">
        <f t="shared" si="26"/>
        <v>27.599999999999998</v>
      </c>
      <c r="CC8" s="12">
        <f t="shared" si="27"/>
        <v>69.999999999999986</v>
      </c>
      <c r="CD8" s="12">
        <f t="shared" si="28"/>
        <v>65</v>
      </c>
      <c r="CE8" s="12">
        <f t="shared" si="29"/>
        <v>135</v>
      </c>
      <c r="CF8" s="45">
        <v>27.6</v>
      </c>
      <c r="CG8" s="45">
        <v>7.6</v>
      </c>
      <c r="CH8" s="45">
        <v>0.9</v>
      </c>
      <c r="CI8" s="45">
        <v>0</v>
      </c>
      <c r="CJ8" s="45">
        <v>28.3</v>
      </c>
      <c r="CK8" s="45">
        <v>7.6</v>
      </c>
      <c r="CL8" s="45">
        <v>0</v>
      </c>
      <c r="CM8" s="45">
        <v>0</v>
      </c>
      <c r="CN8" s="45"/>
      <c r="CO8" s="45"/>
      <c r="CP8" s="45"/>
      <c r="CQ8" s="45"/>
      <c r="CR8" s="45"/>
      <c r="CS8" s="45"/>
      <c r="CT8" s="45"/>
      <c r="CU8" s="45"/>
      <c r="CV8" s="15">
        <f t="shared" si="30"/>
        <v>15.2</v>
      </c>
      <c r="CW8" s="15">
        <f t="shared" si="31"/>
        <v>15.2</v>
      </c>
      <c r="CX8" s="15">
        <f t="shared" si="32"/>
        <v>70.199999999999989</v>
      </c>
      <c r="CY8" s="15" t="str">
        <f t="shared" si="33"/>
        <v/>
      </c>
      <c r="CZ8" s="15">
        <f t="shared" si="34"/>
        <v>70.199999999999989</v>
      </c>
      <c r="DA8" s="46">
        <v>26.8</v>
      </c>
      <c r="DB8" s="46">
        <v>6</v>
      </c>
      <c r="DC8" s="46">
        <v>1.5</v>
      </c>
      <c r="DD8" s="46">
        <v>0</v>
      </c>
      <c r="DE8" s="46">
        <v>27.2</v>
      </c>
      <c r="DF8" s="46">
        <v>8</v>
      </c>
      <c r="DG8" s="46">
        <v>0.3</v>
      </c>
      <c r="DH8" s="46">
        <v>0</v>
      </c>
      <c r="DI8" s="46"/>
      <c r="DJ8" s="46"/>
      <c r="DK8" s="46"/>
      <c r="DL8" s="46"/>
      <c r="DM8" s="46"/>
      <c r="DN8" s="46"/>
      <c r="DO8" s="46"/>
      <c r="DP8" s="46"/>
      <c r="DQ8" s="12">
        <f t="shared" si="35"/>
        <v>14</v>
      </c>
      <c r="DR8" s="12">
        <f t="shared" si="36"/>
        <v>14</v>
      </c>
      <c r="DS8" s="12">
        <f t="shared" si="37"/>
        <v>66.2</v>
      </c>
      <c r="DT8" s="12" t="str">
        <f t="shared" si="38"/>
        <v/>
      </c>
      <c r="DU8" s="12">
        <f t="shared" si="39"/>
        <v>66.2</v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 t="shared" si="40"/>
        <v/>
      </c>
      <c r="EM8" s="15" t="str">
        <f t="shared" si="41"/>
        <v/>
      </c>
      <c r="EN8" s="15" t="str">
        <f t="shared" si="42"/>
        <v/>
      </c>
      <c r="EO8" s="15" t="str">
        <f t="shared" si="43"/>
        <v/>
      </c>
      <c r="EP8" s="15" t="str">
        <f t="shared" si="44"/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2">
        <f t="shared" si="91"/>
        <v>28.35</v>
      </c>
      <c r="LD8" s="72">
        <f t="shared" si="92"/>
        <v>7.4</v>
      </c>
      <c r="LE8" s="72">
        <f t="shared" si="93"/>
        <v>1.2</v>
      </c>
      <c r="LF8" s="72">
        <f t="shared" si="94"/>
        <v>0</v>
      </c>
      <c r="LG8" s="72">
        <f t="shared" si="95"/>
        <v>27.25</v>
      </c>
      <c r="LH8" s="72">
        <f t="shared" si="96"/>
        <v>7.1999999999999993</v>
      </c>
      <c r="LI8" s="72">
        <f t="shared" si="97"/>
        <v>1.05</v>
      </c>
      <c r="LJ8" s="72">
        <f t="shared" si="98"/>
        <v>0</v>
      </c>
      <c r="LK8" s="72">
        <f t="shared" si="99"/>
        <v>27.75</v>
      </c>
      <c r="LL8" s="72">
        <f t="shared" si="100"/>
        <v>7.2</v>
      </c>
      <c r="LM8" s="72">
        <f t="shared" si="101"/>
        <v>0.9</v>
      </c>
      <c r="LN8" s="72">
        <f t="shared" si="102"/>
        <v>0</v>
      </c>
      <c r="LO8" s="72">
        <f t="shared" si="103"/>
        <v>28.45</v>
      </c>
      <c r="LP8" s="72">
        <f t="shared" si="104"/>
        <v>6.6</v>
      </c>
      <c r="LQ8" s="72">
        <f t="shared" si="105"/>
        <v>0.15</v>
      </c>
      <c r="LR8" s="72">
        <f t="shared" si="106"/>
        <v>0</v>
      </c>
      <c r="LS8" s="83" t="s">
        <v>126</v>
      </c>
      <c r="LT8" s="12">
        <f t="shared" si="107"/>
        <v>14.6</v>
      </c>
      <c r="LU8" s="12">
        <f t="shared" si="108"/>
        <v>28.4</v>
      </c>
      <c r="LV8" s="12">
        <f t="shared" si="109"/>
        <v>67.95</v>
      </c>
      <c r="LW8" s="12">
        <f t="shared" si="110"/>
        <v>68.95</v>
      </c>
      <c r="LX8" s="12">
        <f t="shared" si="111"/>
        <v>136.9</v>
      </c>
    </row>
    <row r="9" spans="1:336" x14ac:dyDescent="0.2">
      <c r="A9" s="6">
        <f t="shared" si="0"/>
        <v>6</v>
      </c>
      <c r="B9" s="9" t="s">
        <v>97</v>
      </c>
      <c r="C9" s="5" t="s">
        <v>5</v>
      </c>
      <c r="D9" s="6">
        <v>1999</v>
      </c>
      <c r="E9" s="16">
        <f t="shared" si="1"/>
        <v>207.8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137</v>
      </c>
      <c r="K9" s="15" t="str">
        <f t="shared" si="7"/>
        <v>2018 3rd Domestic Trial</v>
      </c>
      <c r="L9" s="15" t="str">
        <f t="shared" si="8"/>
        <v/>
      </c>
      <c r="M9" s="15" t="str">
        <f t="shared" si="9"/>
        <v/>
      </c>
      <c r="N9" s="15">
        <f t="shared" si="10"/>
        <v>70.8</v>
      </c>
      <c r="O9" s="27" t="str">
        <f t="shared" si="11"/>
        <v>(2 Pass)</v>
      </c>
      <c r="P9" s="15" t="str">
        <f t="shared" si="12"/>
        <v>2018 World Age Groups (Nov 18)</v>
      </c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83"/>
      <c r="AH9" s="12" t="str">
        <f t="shared" si="13"/>
        <v/>
      </c>
      <c r="AI9" s="12" t="str">
        <f t="shared" si="14"/>
        <v/>
      </c>
      <c r="AJ9" s="12" t="str">
        <f t="shared" si="15"/>
        <v/>
      </c>
      <c r="AK9" s="12" t="str">
        <f t="shared" si="16"/>
        <v/>
      </c>
      <c r="AL9" s="12" t="str">
        <f t="shared" si="17"/>
        <v/>
      </c>
      <c r="AM9" s="40">
        <v>28.6</v>
      </c>
      <c r="AN9" s="40">
        <v>6.8</v>
      </c>
      <c r="AO9" s="40">
        <v>0</v>
      </c>
      <c r="AP9" s="40">
        <v>0</v>
      </c>
      <c r="AQ9" s="40">
        <v>28</v>
      </c>
      <c r="AR9" s="40">
        <v>6.4</v>
      </c>
      <c r="AS9" s="40">
        <v>0</v>
      </c>
      <c r="AT9" s="40">
        <v>0</v>
      </c>
      <c r="AU9" s="40">
        <v>28.1</v>
      </c>
      <c r="AV9" s="40">
        <v>6.4</v>
      </c>
      <c r="AW9" s="40">
        <v>0</v>
      </c>
      <c r="AX9" s="40">
        <v>0</v>
      </c>
      <c r="AY9" s="40">
        <v>27.6</v>
      </c>
      <c r="AZ9" s="40">
        <v>6</v>
      </c>
      <c r="BA9" s="40">
        <v>0.9</v>
      </c>
      <c r="BB9" s="40">
        <v>0</v>
      </c>
      <c r="BC9" s="84"/>
      <c r="BD9" s="15">
        <f t="shared" si="18"/>
        <v>13.2</v>
      </c>
      <c r="BE9" s="15">
        <f t="shared" si="19"/>
        <v>25.6</v>
      </c>
      <c r="BF9" s="15">
        <f t="shared" si="20"/>
        <v>69.8</v>
      </c>
      <c r="BG9" s="15">
        <f t="shared" si="21"/>
        <v>67.199999999999989</v>
      </c>
      <c r="BH9" s="15">
        <f t="shared" si="22"/>
        <v>137</v>
      </c>
      <c r="BI9" s="26">
        <f t="shared" si="23"/>
        <v>0.30000000000001137</v>
      </c>
      <c r="BJ9" s="26">
        <f t="shared" si="24"/>
        <v>70.8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 t="shared" si="25"/>
        <v/>
      </c>
      <c r="CB9" s="12" t="str">
        <f t="shared" si="26"/>
        <v/>
      </c>
      <c r="CC9" s="12" t="str">
        <f t="shared" si="27"/>
        <v/>
      </c>
      <c r="CD9" s="12" t="str">
        <f t="shared" si="28"/>
        <v/>
      </c>
      <c r="CE9" s="12" t="str">
        <f t="shared" si="29"/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 t="shared" si="30"/>
        <v/>
      </c>
      <c r="CW9" s="15" t="str">
        <f t="shared" si="31"/>
        <v/>
      </c>
      <c r="CX9" s="15" t="str">
        <f t="shared" si="32"/>
        <v/>
      </c>
      <c r="CY9" s="15" t="str">
        <f t="shared" si="33"/>
        <v/>
      </c>
      <c r="CZ9" s="15" t="str">
        <f t="shared" si="34"/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>
        <v>28.3</v>
      </c>
      <c r="DW9" s="45">
        <v>7.2</v>
      </c>
      <c r="DX9" s="45">
        <v>0</v>
      </c>
      <c r="DY9" s="45">
        <v>0</v>
      </c>
      <c r="DZ9" s="45">
        <v>28.5</v>
      </c>
      <c r="EA9" s="45">
        <v>6.8</v>
      </c>
      <c r="EB9" s="45">
        <v>0</v>
      </c>
      <c r="EC9" s="45">
        <v>0</v>
      </c>
      <c r="ED9" s="45">
        <v>26.7</v>
      </c>
      <c r="EE9" s="45">
        <v>6.4</v>
      </c>
      <c r="EF9" s="45">
        <v>1.5</v>
      </c>
      <c r="EG9" s="45">
        <v>0</v>
      </c>
      <c r="EH9" s="45">
        <v>28</v>
      </c>
      <c r="EI9" s="45">
        <v>6.9</v>
      </c>
      <c r="EJ9" s="45">
        <v>0</v>
      </c>
      <c r="EK9" s="45">
        <v>0</v>
      </c>
      <c r="EL9" s="15">
        <f t="shared" si="40"/>
        <v>14</v>
      </c>
      <c r="EM9" s="15">
        <f t="shared" si="41"/>
        <v>27.299999999999997</v>
      </c>
      <c r="EN9" s="15">
        <f t="shared" si="42"/>
        <v>70.8</v>
      </c>
      <c r="EO9" s="15">
        <f t="shared" si="43"/>
        <v>66.5</v>
      </c>
      <c r="EP9" s="15">
        <f t="shared" si="44"/>
        <v>137.30000000000001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2">
        <f t="shared" si="91"/>
        <v>14.3</v>
      </c>
      <c r="LD9" s="72">
        <f t="shared" si="92"/>
        <v>3.4</v>
      </c>
      <c r="LE9" s="72">
        <f t="shared" si="93"/>
        <v>0</v>
      </c>
      <c r="LF9" s="72">
        <f t="shared" si="94"/>
        <v>0</v>
      </c>
      <c r="LG9" s="72">
        <f t="shared" si="95"/>
        <v>14</v>
      </c>
      <c r="LH9" s="72">
        <f t="shared" si="96"/>
        <v>3.2</v>
      </c>
      <c r="LI9" s="72">
        <f t="shared" si="97"/>
        <v>0</v>
      </c>
      <c r="LJ9" s="72">
        <f t="shared" si="98"/>
        <v>0</v>
      </c>
      <c r="LK9" s="72">
        <f t="shared" si="99"/>
        <v>14.05</v>
      </c>
      <c r="LL9" s="72">
        <f t="shared" si="100"/>
        <v>3.2</v>
      </c>
      <c r="LM9" s="72">
        <f t="shared" si="101"/>
        <v>0</v>
      </c>
      <c r="LN9" s="72">
        <f t="shared" si="102"/>
        <v>0</v>
      </c>
      <c r="LO9" s="72">
        <f t="shared" si="103"/>
        <v>13.8</v>
      </c>
      <c r="LP9" s="72">
        <f t="shared" si="104"/>
        <v>3</v>
      </c>
      <c r="LQ9" s="72">
        <f t="shared" si="105"/>
        <v>0.45</v>
      </c>
      <c r="LR9" s="72">
        <f t="shared" si="106"/>
        <v>0</v>
      </c>
      <c r="LS9" s="83" t="s">
        <v>126</v>
      </c>
      <c r="LT9" s="12">
        <f t="shared" si="107"/>
        <v>6.6</v>
      </c>
      <c r="LU9" s="12">
        <f t="shared" si="108"/>
        <v>12.8</v>
      </c>
      <c r="LV9" s="12">
        <f t="shared" si="109"/>
        <v>34.9</v>
      </c>
      <c r="LW9" s="12">
        <f t="shared" si="110"/>
        <v>33.599999999999994</v>
      </c>
      <c r="LX9" s="12">
        <f t="shared" si="111"/>
        <v>68.5</v>
      </c>
    </row>
    <row r="10" spans="1:336" x14ac:dyDescent="0.2">
      <c r="A10" s="6" t="str">
        <f t="shared" si="0"/>
        <v/>
      </c>
      <c r="B10" s="9" t="s">
        <v>60</v>
      </c>
      <c r="C10" s="5" t="s">
        <v>7</v>
      </c>
      <c r="D10" s="6">
        <v>1993</v>
      </c>
      <c r="E10" s="16">
        <f t="shared" si="1"/>
        <v>206.2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136.5</v>
      </c>
      <c r="K10" s="15" t="str">
        <f t="shared" si="7"/>
        <v>2018 Nationals</v>
      </c>
      <c r="L10" s="15">
        <f t="shared" si="8"/>
        <v>64.2</v>
      </c>
      <c r="M10" s="15" t="str">
        <f t="shared" si="9"/>
        <v>2018 3rd Domestic Trial</v>
      </c>
      <c r="N10" s="15">
        <f t="shared" si="10"/>
        <v>5.5</v>
      </c>
      <c r="O10" s="27" t="str">
        <f t="shared" si="11"/>
        <v>(2 Pass)</v>
      </c>
      <c r="P10" s="15" t="str">
        <f t="shared" si="12"/>
        <v>2018 Senior Pan American Championships (Sept 9)</v>
      </c>
      <c r="Q10" s="72">
        <v>27.7</v>
      </c>
      <c r="R10" s="72">
        <v>6</v>
      </c>
      <c r="S10" s="72">
        <v>0</v>
      </c>
      <c r="T10" s="72">
        <v>0</v>
      </c>
      <c r="U10" s="72">
        <v>28.1</v>
      </c>
      <c r="V10" s="72">
        <v>6.4</v>
      </c>
      <c r="W10" s="72">
        <v>0.9</v>
      </c>
      <c r="X10" s="72">
        <v>0</v>
      </c>
      <c r="Y10" s="72">
        <v>27.7</v>
      </c>
      <c r="Z10" s="72">
        <v>6.8</v>
      </c>
      <c r="AA10" s="72">
        <v>0.9</v>
      </c>
      <c r="AB10" s="72">
        <v>0</v>
      </c>
      <c r="AC10" s="72">
        <v>28</v>
      </c>
      <c r="AD10" s="72">
        <v>7.6</v>
      </c>
      <c r="AE10" s="72">
        <v>0</v>
      </c>
      <c r="AF10" s="72">
        <v>0</v>
      </c>
      <c r="AG10" s="83"/>
      <c r="AH10" s="12">
        <f t="shared" si="13"/>
        <v>12.4</v>
      </c>
      <c r="AI10" s="12">
        <f t="shared" si="14"/>
        <v>26.799999999999997</v>
      </c>
      <c r="AJ10" s="12">
        <f t="shared" si="15"/>
        <v>67.3</v>
      </c>
      <c r="AK10" s="12">
        <f t="shared" si="16"/>
        <v>69.199999999999989</v>
      </c>
      <c r="AL10" s="12">
        <f t="shared" si="17"/>
        <v>136.5</v>
      </c>
      <c r="AM10" s="40">
        <v>23.1</v>
      </c>
      <c r="AN10" s="40">
        <v>2.8</v>
      </c>
      <c r="AO10" s="40">
        <v>0</v>
      </c>
      <c r="AP10" s="40">
        <v>0</v>
      </c>
      <c r="AQ10" s="40">
        <v>27.7</v>
      </c>
      <c r="AR10" s="40">
        <v>7.6</v>
      </c>
      <c r="AS10" s="40">
        <v>0.3</v>
      </c>
      <c r="AT10" s="40">
        <v>0</v>
      </c>
      <c r="AU10" s="40">
        <v>24.8</v>
      </c>
      <c r="AV10" s="40">
        <v>6.8</v>
      </c>
      <c r="AW10" s="40">
        <v>1.2</v>
      </c>
      <c r="AX10" s="40">
        <v>0</v>
      </c>
      <c r="AY10" s="40">
        <v>27.8</v>
      </c>
      <c r="AZ10" s="40">
        <v>7.2</v>
      </c>
      <c r="BA10" s="40">
        <v>1.2</v>
      </c>
      <c r="BB10" s="40">
        <v>0</v>
      </c>
      <c r="BC10" s="84"/>
      <c r="BD10" s="15">
        <f t="shared" si="18"/>
        <v>10.399999999999999</v>
      </c>
      <c r="BE10" s="15">
        <f t="shared" si="19"/>
        <v>24.4</v>
      </c>
      <c r="BF10" s="15">
        <f t="shared" si="20"/>
        <v>60.900000000000006</v>
      </c>
      <c r="BG10" s="15">
        <f t="shared" si="21"/>
        <v>64.2</v>
      </c>
      <c r="BH10" s="15">
        <f t="shared" si="22"/>
        <v>125.10000000000001</v>
      </c>
      <c r="BI10" s="26" t="str">
        <f t="shared" si="23"/>
        <v/>
      </c>
      <c r="BJ10" s="26">
        <f t="shared" si="24"/>
        <v>5.5</v>
      </c>
      <c r="BK10" s="46">
        <v>28.3</v>
      </c>
      <c r="BL10" s="46">
        <v>7.6</v>
      </c>
      <c r="BM10" s="46">
        <v>0.9</v>
      </c>
      <c r="BN10" s="46">
        <v>0</v>
      </c>
      <c r="BO10" s="46">
        <v>28</v>
      </c>
      <c r="BP10" s="46">
        <v>7.6</v>
      </c>
      <c r="BQ10" s="46">
        <v>0.9</v>
      </c>
      <c r="BR10" s="46">
        <v>0</v>
      </c>
      <c r="BS10" s="46"/>
      <c r="BT10" s="46"/>
      <c r="BU10" s="46"/>
      <c r="BV10" s="46"/>
      <c r="BW10" s="46"/>
      <c r="BX10" s="46"/>
      <c r="BY10" s="46"/>
      <c r="BZ10" s="46"/>
      <c r="CA10" s="12">
        <f t="shared" si="25"/>
        <v>15.2</v>
      </c>
      <c r="CB10" s="12">
        <f t="shared" si="26"/>
        <v>15.2</v>
      </c>
      <c r="CC10" s="12">
        <f t="shared" si="27"/>
        <v>69.7</v>
      </c>
      <c r="CD10" s="12" t="str">
        <f t="shared" si="28"/>
        <v/>
      </c>
      <c r="CE10" s="12">
        <f t="shared" si="29"/>
        <v>69.7</v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2">
        <f t="shared" si="91"/>
        <v>25.4</v>
      </c>
      <c r="LD10" s="72">
        <f t="shared" si="92"/>
        <v>4.4000000000000004</v>
      </c>
      <c r="LE10" s="72">
        <f t="shared" si="93"/>
        <v>0</v>
      </c>
      <c r="LF10" s="72">
        <f t="shared" si="94"/>
        <v>0</v>
      </c>
      <c r="LG10" s="72">
        <f t="shared" si="95"/>
        <v>27.9</v>
      </c>
      <c r="LH10" s="72">
        <f t="shared" si="96"/>
        <v>7</v>
      </c>
      <c r="LI10" s="72">
        <f t="shared" si="97"/>
        <v>0.6</v>
      </c>
      <c r="LJ10" s="72">
        <f t="shared" si="98"/>
        <v>0</v>
      </c>
      <c r="LK10" s="72">
        <f t="shared" si="99"/>
        <v>26.25</v>
      </c>
      <c r="LL10" s="72">
        <f t="shared" si="100"/>
        <v>6.8</v>
      </c>
      <c r="LM10" s="72">
        <f t="shared" si="101"/>
        <v>1.05</v>
      </c>
      <c r="LN10" s="72">
        <f t="shared" si="102"/>
        <v>0</v>
      </c>
      <c r="LO10" s="72">
        <f t="shared" si="103"/>
        <v>27.9</v>
      </c>
      <c r="LP10" s="72">
        <f t="shared" si="104"/>
        <v>7.4</v>
      </c>
      <c r="LQ10" s="72">
        <f t="shared" si="105"/>
        <v>0.6</v>
      </c>
      <c r="LR10" s="72">
        <f t="shared" si="106"/>
        <v>0</v>
      </c>
      <c r="LS10" s="83" t="s">
        <v>126</v>
      </c>
      <c r="LT10" s="12">
        <f t="shared" si="107"/>
        <v>11.4</v>
      </c>
      <c r="LU10" s="12">
        <f t="shared" si="108"/>
        <v>25.6</v>
      </c>
      <c r="LV10" s="12">
        <f t="shared" si="109"/>
        <v>64.099999999999994</v>
      </c>
      <c r="LW10" s="12">
        <f t="shared" si="110"/>
        <v>66.699999999999989</v>
      </c>
      <c r="LX10" s="12">
        <f t="shared" si="111"/>
        <v>130.79999999999998</v>
      </c>
    </row>
    <row r="11" spans="1:336" x14ac:dyDescent="0.2">
      <c r="A11" s="6" t="str">
        <f t="shared" si="0"/>
        <v/>
      </c>
      <c r="B11" s="9" t="s">
        <v>12</v>
      </c>
      <c r="C11" s="5" t="s">
        <v>5</v>
      </c>
      <c r="D11" s="6">
        <v>1994</v>
      </c>
      <c r="E11" s="16">
        <f t="shared" si="1"/>
        <v>199.29999999999995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128.39999999999998</v>
      </c>
      <c r="K11" s="15" t="str">
        <f t="shared" si="7"/>
        <v>2018 Nationals</v>
      </c>
      <c r="L11" s="15">
        <f t="shared" si="8"/>
        <v>70.899999999999991</v>
      </c>
      <c r="M11" s="15" t="str">
        <f t="shared" si="9"/>
        <v>2018 3rd Domestic Trial</v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2">
        <v>28.1</v>
      </c>
      <c r="R11" s="72">
        <v>7.3</v>
      </c>
      <c r="S11" s="72">
        <v>0</v>
      </c>
      <c r="T11" s="72">
        <v>0</v>
      </c>
      <c r="U11" s="72">
        <v>20</v>
      </c>
      <c r="V11" s="72">
        <v>3.6</v>
      </c>
      <c r="W11" s="72">
        <v>0</v>
      </c>
      <c r="X11" s="72">
        <v>0</v>
      </c>
      <c r="Y11" s="72">
        <v>28.4</v>
      </c>
      <c r="Z11" s="72">
        <v>7.6</v>
      </c>
      <c r="AA11" s="72">
        <v>0</v>
      </c>
      <c r="AB11" s="72">
        <v>0</v>
      </c>
      <c r="AC11" s="72">
        <v>27.5</v>
      </c>
      <c r="AD11" s="72">
        <v>6.8</v>
      </c>
      <c r="AE11" s="72">
        <v>0.9</v>
      </c>
      <c r="AF11" s="72">
        <v>0</v>
      </c>
      <c r="AG11" s="83"/>
      <c r="AH11" s="12">
        <f t="shared" si="13"/>
        <v>10.9</v>
      </c>
      <c r="AI11" s="12">
        <f t="shared" si="14"/>
        <v>25.3</v>
      </c>
      <c r="AJ11" s="12">
        <f t="shared" si="15"/>
        <v>59</v>
      </c>
      <c r="AK11" s="12">
        <f t="shared" si="16"/>
        <v>69.399999999999991</v>
      </c>
      <c r="AL11" s="12">
        <f t="shared" si="17"/>
        <v>128.39999999999998</v>
      </c>
      <c r="AM11" s="40">
        <v>20.399999999999999</v>
      </c>
      <c r="AN11" s="40">
        <v>2.8</v>
      </c>
      <c r="AO11" s="40">
        <v>0</v>
      </c>
      <c r="AP11" s="40">
        <v>0</v>
      </c>
      <c r="AQ11" s="40">
        <v>0</v>
      </c>
      <c r="AR11" s="40">
        <v>0</v>
      </c>
      <c r="AS11" s="40">
        <v>0</v>
      </c>
      <c r="AT11" s="40">
        <v>0</v>
      </c>
      <c r="AU11" s="40">
        <v>28.9</v>
      </c>
      <c r="AV11" s="40">
        <v>7.6</v>
      </c>
      <c r="AW11" s="40">
        <v>0</v>
      </c>
      <c r="AX11" s="40">
        <v>0</v>
      </c>
      <c r="AY11" s="40">
        <v>28</v>
      </c>
      <c r="AZ11" s="40">
        <v>7.6</v>
      </c>
      <c r="BA11" s="40">
        <v>1.2</v>
      </c>
      <c r="BB11" s="40">
        <v>0</v>
      </c>
      <c r="BC11" s="84"/>
      <c r="BD11" s="15">
        <f t="shared" si="18"/>
        <v>2.8</v>
      </c>
      <c r="BE11" s="15">
        <f t="shared" si="19"/>
        <v>18</v>
      </c>
      <c r="BF11" s="15">
        <f t="shared" si="20"/>
        <v>23.2</v>
      </c>
      <c r="BG11" s="15">
        <f t="shared" si="21"/>
        <v>70.899999999999991</v>
      </c>
      <c r="BH11" s="15">
        <f t="shared" si="22"/>
        <v>94.1</v>
      </c>
      <c r="BI11" s="26" t="str">
        <f t="shared" si="23"/>
        <v/>
      </c>
      <c r="BJ11" s="26" t="str">
        <f t="shared" si="24"/>
        <v/>
      </c>
      <c r="BK11" s="46">
        <v>28.2</v>
      </c>
      <c r="BL11" s="46">
        <v>6.8</v>
      </c>
      <c r="BM11" s="46">
        <v>0</v>
      </c>
      <c r="BN11" s="46">
        <v>0</v>
      </c>
      <c r="BO11" s="46">
        <v>27.2</v>
      </c>
      <c r="BP11" s="46">
        <v>7.6</v>
      </c>
      <c r="BQ11" s="46">
        <v>1.2</v>
      </c>
      <c r="BR11" s="46">
        <v>0</v>
      </c>
      <c r="BS11" s="46"/>
      <c r="BT11" s="46"/>
      <c r="BU11" s="46"/>
      <c r="BV11" s="46"/>
      <c r="BW11" s="46"/>
      <c r="BX11" s="46"/>
      <c r="BY11" s="46"/>
      <c r="BZ11" s="46"/>
      <c r="CA11" s="12">
        <f t="shared" si="25"/>
        <v>14.399999999999999</v>
      </c>
      <c r="CB11" s="12">
        <f t="shared" si="26"/>
        <v>14.399999999999999</v>
      </c>
      <c r="CC11" s="12">
        <f t="shared" si="27"/>
        <v>68.599999999999994</v>
      </c>
      <c r="CD11" s="12" t="str">
        <f t="shared" si="28"/>
        <v/>
      </c>
      <c r="CE11" s="12">
        <f t="shared" si="29"/>
        <v>68.599999999999994</v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2">
        <f t="shared" si="91"/>
        <v>24.25</v>
      </c>
      <c r="LD11" s="72">
        <f t="shared" si="92"/>
        <v>5.05</v>
      </c>
      <c r="LE11" s="72">
        <f t="shared" si="93"/>
        <v>0</v>
      </c>
      <c r="LF11" s="72">
        <f t="shared" si="94"/>
        <v>0</v>
      </c>
      <c r="LG11" s="72">
        <f t="shared" si="95"/>
        <v>10</v>
      </c>
      <c r="LH11" s="72">
        <f t="shared" si="96"/>
        <v>1.8</v>
      </c>
      <c r="LI11" s="72">
        <f t="shared" si="97"/>
        <v>0</v>
      </c>
      <c r="LJ11" s="72">
        <f t="shared" si="98"/>
        <v>0</v>
      </c>
      <c r="LK11" s="72">
        <f t="shared" si="99"/>
        <v>28.65</v>
      </c>
      <c r="LL11" s="72">
        <f t="shared" si="100"/>
        <v>7.6</v>
      </c>
      <c r="LM11" s="72">
        <f t="shared" si="101"/>
        <v>0</v>
      </c>
      <c r="LN11" s="72">
        <f t="shared" si="102"/>
        <v>0</v>
      </c>
      <c r="LO11" s="72">
        <f t="shared" si="103"/>
        <v>27.75</v>
      </c>
      <c r="LP11" s="72">
        <f t="shared" si="104"/>
        <v>7.1999999999999993</v>
      </c>
      <c r="LQ11" s="72">
        <f t="shared" si="105"/>
        <v>1.05</v>
      </c>
      <c r="LR11" s="72">
        <f t="shared" si="106"/>
        <v>0</v>
      </c>
      <c r="LS11" s="83" t="s">
        <v>126</v>
      </c>
      <c r="LT11" s="12">
        <f t="shared" si="107"/>
        <v>6.85</v>
      </c>
      <c r="LU11" s="12">
        <f t="shared" si="108"/>
        <v>21.65</v>
      </c>
      <c r="LV11" s="12">
        <f t="shared" si="109"/>
        <v>41.099999999999994</v>
      </c>
      <c r="LW11" s="12">
        <f t="shared" si="110"/>
        <v>70.150000000000006</v>
      </c>
      <c r="LX11" s="12">
        <f t="shared" si="111"/>
        <v>111.25</v>
      </c>
    </row>
    <row r="12" spans="1:336" x14ac:dyDescent="0.2">
      <c r="A12" s="6" t="str">
        <f t="shared" si="0"/>
        <v/>
      </c>
      <c r="B12" s="9" t="s">
        <v>99</v>
      </c>
      <c r="C12" s="5" t="s">
        <v>5</v>
      </c>
      <c r="D12" s="6">
        <v>1999</v>
      </c>
      <c r="E12" s="16">
        <f t="shared" si="1"/>
        <v>194.8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126.7</v>
      </c>
      <c r="K12" s="15" t="str">
        <f t="shared" si="7"/>
        <v>2018 Nationals</v>
      </c>
      <c r="L12" s="15">
        <f t="shared" si="8"/>
        <v>68.099999999999994</v>
      </c>
      <c r="M12" s="15" t="str">
        <f t="shared" si="9"/>
        <v>2018 3rd Domestic Trial</v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2">
        <v>28.3</v>
      </c>
      <c r="R12" s="72">
        <v>7.2</v>
      </c>
      <c r="S12" s="72">
        <v>0</v>
      </c>
      <c r="T12" s="72">
        <v>0</v>
      </c>
      <c r="U12" s="72">
        <v>28.5</v>
      </c>
      <c r="V12" s="72">
        <v>5.2</v>
      </c>
      <c r="W12" s="72">
        <v>0</v>
      </c>
      <c r="X12" s="72">
        <v>0</v>
      </c>
      <c r="Y12" s="72">
        <v>27.5</v>
      </c>
      <c r="Z12" s="72">
        <v>7.2</v>
      </c>
      <c r="AA12" s="72">
        <v>0</v>
      </c>
      <c r="AB12" s="72">
        <v>0</v>
      </c>
      <c r="AC12" s="72">
        <v>20.399999999999999</v>
      </c>
      <c r="AD12" s="72">
        <v>2.4</v>
      </c>
      <c r="AE12" s="72">
        <v>0</v>
      </c>
      <c r="AF12" s="72">
        <v>0</v>
      </c>
      <c r="AG12" s="83"/>
      <c r="AH12" s="12">
        <f t="shared" si="13"/>
        <v>12.4</v>
      </c>
      <c r="AI12" s="12">
        <f t="shared" si="14"/>
        <v>22</v>
      </c>
      <c r="AJ12" s="12">
        <f t="shared" si="15"/>
        <v>69.2</v>
      </c>
      <c r="AK12" s="12">
        <f t="shared" si="16"/>
        <v>57.5</v>
      </c>
      <c r="AL12" s="12">
        <f t="shared" si="17"/>
        <v>126.7</v>
      </c>
      <c r="AM12" s="40">
        <v>27.6</v>
      </c>
      <c r="AN12" s="40">
        <v>6.4</v>
      </c>
      <c r="AO12" s="40">
        <v>0</v>
      </c>
      <c r="AP12" s="40">
        <v>0</v>
      </c>
      <c r="AQ12" s="40">
        <v>28.2</v>
      </c>
      <c r="AR12" s="40">
        <v>6.8</v>
      </c>
      <c r="AS12" s="40">
        <v>0.9</v>
      </c>
      <c r="AT12" s="40">
        <v>0</v>
      </c>
      <c r="AU12" s="40">
        <v>26.4</v>
      </c>
      <c r="AV12" s="40">
        <v>5.2</v>
      </c>
      <c r="AW12" s="40">
        <v>0.3</v>
      </c>
      <c r="AX12" s="40">
        <v>0</v>
      </c>
      <c r="AY12" s="40">
        <v>19.8</v>
      </c>
      <c r="AZ12" s="40">
        <v>3.6</v>
      </c>
      <c r="BA12" s="40">
        <v>0</v>
      </c>
      <c r="BB12" s="40">
        <v>0</v>
      </c>
      <c r="BC12" s="84"/>
      <c r="BD12" s="15">
        <f t="shared" si="18"/>
        <v>13.2</v>
      </c>
      <c r="BE12" s="15">
        <f t="shared" si="19"/>
        <v>22</v>
      </c>
      <c r="BF12" s="15">
        <f t="shared" si="20"/>
        <v>68.099999999999994</v>
      </c>
      <c r="BG12" s="15">
        <f t="shared" si="21"/>
        <v>54.7</v>
      </c>
      <c r="BH12" s="15">
        <f t="shared" si="22"/>
        <v>122.8</v>
      </c>
      <c r="BI12" s="26" t="str">
        <f t="shared" si="23"/>
        <v/>
      </c>
      <c r="BJ12" s="26" t="str">
        <f t="shared" si="24"/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2">
        <f t="shared" si="91"/>
        <v>27.950000000000003</v>
      </c>
      <c r="LD12" s="72">
        <f t="shared" si="92"/>
        <v>6.8000000000000007</v>
      </c>
      <c r="LE12" s="72">
        <f t="shared" si="93"/>
        <v>0</v>
      </c>
      <c r="LF12" s="72">
        <f t="shared" si="94"/>
        <v>0</v>
      </c>
      <c r="LG12" s="72">
        <f t="shared" si="95"/>
        <v>28.35</v>
      </c>
      <c r="LH12" s="72">
        <f t="shared" si="96"/>
        <v>6</v>
      </c>
      <c r="LI12" s="72">
        <f t="shared" si="97"/>
        <v>0.45</v>
      </c>
      <c r="LJ12" s="72">
        <f t="shared" si="98"/>
        <v>0</v>
      </c>
      <c r="LK12" s="72">
        <f t="shared" si="99"/>
        <v>26.95</v>
      </c>
      <c r="LL12" s="72">
        <f t="shared" si="100"/>
        <v>6.2</v>
      </c>
      <c r="LM12" s="72">
        <f t="shared" si="101"/>
        <v>0.15</v>
      </c>
      <c r="LN12" s="72">
        <f t="shared" si="102"/>
        <v>0</v>
      </c>
      <c r="LO12" s="72">
        <f t="shared" si="103"/>
        <v>20.100000000000001</v>
      </c>
      <c r="LP12" s="72">
        <f t="shared" si="104"/>
        <v>3</v>
      </c>
      <c r="LQ12" s="72">
        <f t="shared" si="105"/>
        <v>0</v>
      </c>
      <c r="LR12" s="72">
        <f t="shared" si="106"/>
        <v>0</v>
      </c>
      <c r="LS12" s="83" t="s">
        <v>126</v>
      </c>
      <c r="LT12" s="12">
        <f t="shared" si="107"/>
        <v>12.8</v>
      </c>
      <c r="LU12" s="12">
        <f t="shared" si="108"/>
        <v>22</v>
      </c>
      <c r="LV12" s="12">
        <f t="shared" si="109"/>
        <v>68.649999999999991</v>
      </c>
      <c r="LW12" s="12">
        <f t="shared" si="110"/>
        <v>56.1</v>
      </c>
      <c r="LX12" s="12">
        <f t="shared" si="111"/>
        <v>124.75</v>
      </c>
    </row>
    <row r="13" spans="1:336" x14ac:dyDescent="0.2">
      <c r="A13" s="6" t="str">
        <f t="shared" si="0"/>
        <v/>
      </c>
      <c r="B13" s="9" t="s">
        <v>58</v>
      </c>
      <c r="C13" s="5" t="s">
        <v>5</v>
      </c>
      <c r="D13" s="6">
        <v>1996</v>
      </c>
      <c r="E13" s="16">
        <f t="shared" si="1"/>
        <v>128.9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128.9</v>
      </c>
      <c r="K13" s="15" t="str">
        <f t="shared" si="7"/>
        <v>2018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27" t="str">
        <f t="shared" si="11"/>
        <v/>
      </c>
      <c r="P13" s="15" t="str">
        <f t="shared" si="12"/>
        <v/>
      </c>
      <c r="Q13" s="72">
        <v>27.6</v>
      </c>
      <c r="R13" s="72">
        <v>5.6</v>
      </c>
      <c r="S13" s="72">
        <v>0.3</v>
      </c>
      <c r="T13" s="72">
        <v>0</v>
      </c>
      <c r="U13" s="72">
        <v>27.6</v>
      </c>
      <c r="V13" s="72">
        <v>5.6</v>
      </c>
      <c r="W13" s="72">
        <v>0.3</v>
      </c>
      <c r="X13" s="72">
        <v>0</v>
      </c>
      <c r="Y13" s="72">
        <v>27.7</v>
      </c>
      <c r="Z13" s="72">
        <v>5.2</v>
      </c>
      <c r="AA13" s="72">
        <v>0</v>
      </c>
      <c r="AB13" s="72">
        <v>0</v>
      </c>
      <c r="AC13" s="72">
        <v>26.5</v>
      </c>
      <c r="AD13" s="72">
        <v>5.2</v>
      </c>
      <c r="AE13" s="72">
        <v>1.5</v>
      </c>
      <c r="AF13" s="72">
        <v>0</v>
      </c>
      <c r="AG13" s="83"/>
      <c r="AH13" s="12">
        <f t="shared" si="13"/>
        <v>11.2</v>
      </c>
      <c r="AI13" s="12">
        <f t="shared" si="14"/>
        <v>21.599999999999998</v>
      </c>
      <c r="AJ13" s="12">
        <f t="shared" si="15"/>
        <v>65.800000000000011</v>
      </c>
      <c r="AK13" s="12">
        <f t="shared" si="16"/>
        <v>63.099999999999994</v>
      </c>
      <c r="AL13" s="12">
        <f t="shared" si="17"/>
        <v>128.9</v>
      </c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84"/>
      <c r="BD13" s="15" t="str">
        <f t="shared" si="18"/>
        <v/>
      </c>
      <c r="BE13" s="15" t="str">
        <f t="shared" si="19"/>
        <v/>
      </c>
      <c r="BF13" s="15" t="str">
        <f t="shared" si="20"/>
        <v/>
      </c>
      <c r="BG13" s="15" t="str">
        <f t="shared" si="21"/>
        <v/>
      </c>
      <c r="BH13" s="15" t="str">
        <f t="shared" si="22"/>
        <v/>
      </c>
      <c r="BI13" s="26" t="str">
        <f t="shared" si="23"/>
        <v/>
      </c>
      <c r="BJ13" s="26" t="str">
        <f t="shared" si="24"/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 t="shared" si="25"/>
        <v/>
      </c>
      <c r="CB13" s="12" t="str">
        <f t="shared" si="26"/>
        <v/>
      </c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 t="shared" si="30"/>
        <v/>
      </c>
      <c r="CW13" s="15" t="str">
        <f t="shared" si="31"/>
        <v/>
      </c>
      <c r="CX13" s="15" t="str">
        <f t="shared" si="32"/>
        <v/>
      </c>
      <c r="CY13" s="15" t="str">
        <f t="shared" si="33"/>
        <v/>
      </c>
      <c r="CZ13" s="15" t="str">
        <f t="shared" si="34"/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 t="shared" si="35"/>
        <v/>
      </c>
      <c r="DR13" s="12" t="str">
        <f t="shared" si="36"/>
        <v/>
      </c>
      <c r="DS13" s="12" t="str">
        <f t="shared" si="37"/>
        <v/>
      </c>
      <c r="DT13" s="12" t="str">
        <f t="shared" si="38"/>
        <v/>
      </c>
      <c r="DU13" s="12" t="str">
        <f t="shared" si="39"/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 t="shared" si="40"/>
        <v/>
      </c>
      <c r="EM13" s="15" t="str">
        <f t="shared" si="41"/>
        <v/>
      </c>
      <c r="EN13" s="15" t="str">
        <f t="shared" si="42"/>
        <v/>
      </c>
      <c r="EO13" s="15" t="str">
        <f t="shared" si="43"/>
        <v/>
      </c>
      <c r="EP13" s="15" t="str">
        <f t="shared" si="44"/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 t="shared" si="45"/>
        <v/>
      </c>
      <c r="FH13" s="12" t="str">
        <f t="shared" si="46"/>
        <v/>
      </c>
      <c r="FI13" s="12" t="str">
        <f t="shared" si="47"/>
        <v/>
      </c>
      <c r="FJ13" s="12" t="str">
        <f t="shared" si="48"/>
        <v/>
      </c>
      <c r="FK13" s="12" t="str">
        <f t="shared" si="49"/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 t="shared" si="50"/>
        <v/>
      </c>
      <c r="GC13" s="15" t="str">
        <f t="shared" si="51"/>
        <v/>
      </c>
      <c r="GD13" s="15" t="str">
        <f t="shared" si="52"/>
        <v/>
      </c>
      <c r="GE13" s="15" t="str">
        <f t="shared" si="53"/>
        <v/>
      </c>
      <c r="GF13" s="15" t="str">
        <f t="shared" si="54"/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 t="shared" si="55"/>
        <v/>
      </c>
      <c r="GX13" s="12" t="str">
        <f t="shared" si="56"/>
        <v/>
      </c>
      <c r="GY13" s="12" t="str">
        <f t="shared" si="57"/>
        <v/>
      </c>
      <c r="GZ13" s="12" t="str">
        <f t="shared" si="58"/>
        <v/>
      </c>
      <c r="HA13" s="12" t="str">
        <f t="shared" si="59"/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 t="shared" si="60"/>
        <v/>
      </c>
      <c r="HS13" s="15" t="str">
        <f t="shared" si="61"/>
        <v/>
      </c>
      <c r="HT13" s="15" t="str">
        <f t="shared" si="62"/>
        <v/>
      </c>
      <c r="HU13" s="15" t="str">
        <f t="shared" si="63"/>
        <v/>
      </c>
      <c r="HV13" s="15" t="str">
        <f t="shared" si="64"/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 t="shared" si="65"/>
        <v/>
      </c>
      <c r="IN13" s="12" t="str">
        <f t="shared" si="66"/>
        <v/>
      </c>
      <c r="IO13" s="12" t="str">
        <f t="shared" si="67"/>
        <v/>
      </c>
      <c r="IP13" s="12" t="str">
        <f t="shared" si="68"/>
        <v/>
      </c>
      <c r="IQ13" s="12" t="str">
        <f t="shared" si="69"/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 t="shared" si="70"/>
        <v/>
      </c>
      <c r="JI13" s="15" t="str">
        <f t="shared" si="71"/>
        <v/>
      </c>
      <c r="JJ13" s="15" t="str">
        <f t="shared" si="72"/>
        <v/>
      </c>
      <c r="JK13" s="15" t="str">
        <f t="shared" si="73"/>
        <v/>
      </c>
      <c r="JL13" s="15" t="str">
        <f t="shared" si="74"/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 t="shared" si="75"/>
        <v/>
      </c>
      <c r="KD13" s="12" t="str">
        <f t="shared" si="76"/>
        <v/>
      </c>
      <c r="KE13" s="12" t="str">
        <f t="shared" si="77"/>
        <v/>
      </c>
      <c r="KF13" s="12" t="str">
        <f t="shared" si="78"/>
        <v/>
      </c>
      <c r="KG13" s="12" t="str">
        <f t="shared" si="79"/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 t="shared" si="80"/>
        <v/>
      </c>
      <c r="KY13" s="15" t="str">
        <f t="shared" si="81"/>
        <v/>
      </c>
      <c r="KZ13" s="15" t="str">
        <f t="shared" si="82"/>
        <v/>
      </c>
      <c r="LA13" s="15" t="str">
        <f t="shared" si="83"/>
        <v/>
      </c>
      <c r="LB13" s="15" t="str">
        <f t="shared" si="84"/>
        <v/>
      </c>
      <c r="LC13" s="72">
        <f t="shared" si="91"/>
        <v>13.8</v>
      </c>
      <c r="LD13" s="72">
        <f t="shared" si="92"/>
        <v>2.8</v>
      </c>
      <c r="LE13" s="72">
        <f t="shared" si="93"/>
        <v>0.15</v>
      </c>
      <c r="LF13" s="72">
        <f t="shared" si="94"/>
        <v>0</v>
      </c>
      <c r="LG13" s="72">
        <f t="shared" si="95"/>
        <v>13.8</v>
      </c>
      <c r="LH13" s="72">
        <f t="shared" si="96"/>
        <v>2.8</v>
      </c>
      <c r="LI13" s="72">
        <f t="shared" si="97"/>
        <v>0.15</v>
      </c>
      <c r="LJ13" s="72">
        <f t="shared" si="98"/>
        <v>0</v>
      </c>
      <c r="LK13" s="72">
        <f t="shared" si="99"/>
        <v>13.85</v>
      </c>
      <c r="LL13" s="72">
        <f t="shared" si="100"/>
        <v>2.6</v>
      </c>
      <c r="LM13" s="72">
        <f t="shared" si="101"/>
        <v>0</v>
      </c>
      <c r="LN13" s="72">
        <f t="shared" si="102"/>
        <v>0</v>
      </c>
      <c r="LO13" s="72">
        <f t="shared" si="103"/>
        <v>13.25</v>
      </c>
      <c r="LP13" s="72">
        <f t="shared" si="104"/>
        <v>2.6</v>
      </c>
      <c r="LQ13" s="72">
        <f t="shared" si="105"/>
        <v>0.75</v>
      </c>
      <c r="LR13" s="72">
        <f t="shared" si="106"/>
        <v>0</v>
      </c>
      <c r="LS13" s="83" t="s">
        <v>126</v>
      </c>
      <c r="LT13" s="12">
        <f t="shared" si="107"/>
        <v>5.6</v>
      </c>
      <c r="LU13" s="12">
        <f t="shared" si="108"/>
        <v>10.799999999999999</v>
      </c>
      <c r="LV13" s="12">
        <f t="shared" si="109"/>
        <v>32.900000000000006</v>
      </c>
      <c r="LW13" s="12">
        <f t="shared" si="110"/>
        <v>31.549999999999997</v>
      </c>
      <c r="LX13" s="12">
        <f t="shared" si="111"/>
        <v>64.45</v>
      </c>
    </row>
    <row r="14" spans="1:336" x14ac:dyDescent="0.2">
      <c r="A14" s="6" t="str">
        <f t="shared" si="0"/>
        <v/>
      </c>
      <c r="B14" s="9" t="s">
        <v>102</v>
      </c>
      <c r="C14" s="5" t="s">
        <v>3</v>
      </c>
      <c r="D14" s="6">
        <v>1999</v>
      </c>
      <c r="E14" s="16">
        <f t="shared" si="1"/>
        <v>128.69999999999999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128.69999999999999</v>
      </c>
      <c r="K14" s="15" t="str">
        <f t="shared" si="7"/>
        <v>2018 Nationals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27" t="str">
        <f t="shared" si="11"/>
        <v/>
      </c>
      <c r="P14" s="15" t="str">
        <f t="shared" si="12"/>
        <v/>
      </c>
      <c r="Q14" s="72">
        <v>27.7</v>
      </c>
      <c r="R14" s="72">
        <v>6</v>
      </c>
      <c r="S14" s="72">
        <v>0.9</v>
      </c>
      <c r="T14" s="72">
        <v>0</v>
      </c>
      <c r="U14" s="72">
        <v>27.7</v>
      </c>
      <c r="V14" s="72">
        <v>5.6</v>
      </c>
      <c r="W14" s="72">
        <v>0</v>
      </c>
      <c r="X14" s="72">
        <v>0</v>
      </c>
      <c r="Y14" s="72">
        <v>27.1</v>
      </c>
      <c r="Z14" s="72">
        <v>5.2</v>
      </c>
      <c r="AA14" s="72">
        <v>1.2</v>
      </c>
      <c r="AB14" s="72">
        <v>0</v>
      </c>
      <c r="AC14" s="72">
        <v>27.4</v>
      </c>
      <c r="AD14" s="72">
        <v>5.6</v>
      </c>
      <c r="AE14" s="72">
        <v>1.5</v>
      </c>
      <c r="AF14" s="72">
        <v>0</v>
      </c>
      <c r="AG14" s="83"/>
      <c r="AH14" s="12">
        <f t="shared" si="13"/>
        <v>11.6</v>
      </c>
      <c r="AI14" s="12">
        <f t="shared" si="14"/>
        <v>22.4</v>
      </c>
      <c r="AJ14" s="12">
        <f t="shared" si="15"/>
        <v>66.099999999999994</v>
      </c>
      <c r="AK14" s="12">
        <f t="shared" si="16"/>
        <v>62.599999999999994</v>
      </c>
      <c r="AL14" s="12">
        <f t="shared" si="17"/>
        <v>128.69999999999999</v>
      </c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84"/>
      <c r="BD14" s="15" t="str">
        <f t="shared" si="18"/>
        <v/>
      </c>
      <c r="BE14" s="15" t="str">
        <f t="shared" si="19"/>
        <v/>
      </c>
      <c r="BF14" s="15" t="str">
        <f t="shared" si="20"/>
        <v/>
      </c>
      <c r="BG14" s="15" t="str">
        <f t="shared" si="21"/>
        <v/>
      </c>
      <c r="BH14" s="15" t="str">
        <f t="shared" si="22"/>
        <v/>
      </c>
      <c r="BI14" s="26" t="str">
        <f t="shared" si="23"/>
        <v/>
      </c>
      <c r="BJ14" s="26" t="str">
        <f t="shared" si="24"/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 t="shared" si="25"/>
        <v/>
      </c>
      <c r="CB14" s="12" t="str">
        <f t="shared" si="26"/>
        <v/>
      </c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 t="shared" si="30"/>
        <v/>
      </c>
      <c r="CW14" s="15" t="str">
        <f t="shared" si="31"/>
        <v/>
      </c>
      <c r="CX14" s="15" t="str">
        <f t="shared" si="32"/>
        <v/>
      </c>
      <c r="CY14" s="15" t="str">
        <f t="shared" si="33"/>
        <v/>
      </c>
      <c r="CZ14" s="15" t="str">
        <f t="shared" si="34"/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 t="shared" si="35"/>
        <v/>
      </c>
      <c r="DR14" s="12" t="str">
        <f t="shared" si="36"/>
        <v/>
      </c>
      <c r="DS14" s="12" t="str">
        <f t="shared" si="37"/>
        <v/>
      </c>
      <c r="DT14" s="12" t="str">
        <f t="shared" si="38"/>
        <v/>
      </c>
      <c r="DU14" s="12" t="str">
        <f t="shared" si="39"/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 t="shared" si="40"/>
        <v/>
      </c>
      <c r="EM14" s="15" t="str">
        <f t="shared" si="41"/>
        <v/>
      </c>
      <c r="EN14" s="15" t="str">
        <f t="shared" si="42"/>
        <v/>
      </c>
      <c r="EO14" s="15" t="str">
        <f t="shared" si="43"/>
        <v/>
      </c>
      <c r="EP14" s="15" t="str">
        <f t="shared" si="44"/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 t="shared" si="45"/>
        <v/>
      </c>
      <c r="FH14" s="12" t="str">
        <f t="shared" si="46"/>
        <v/>
      </c>
      <c r="FI14" s="12" t="str">
        <f t="shared" si="47"/>
        <v/>
      </c>
      <c r="FJ14" s="12" t="str">
        <f t="shared" si="48"/>
        <v/>
      </c>
      <c r="FK14" s="12" t="str">
        <f t="shared" si="49"/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 t="shared" si="50"/>
        <v/>
      </c>
      <c r="GC14" s="15" t="str">
        <f t="shared" si="51"/>
        <v/>
      </c>
      <c r="GD14" s="15" t="str">
        <f t="shared" si="52"/>
        <v/>
      </c>
      <c r="GE14" s="15" t="str">
        <f t="shared" si="53"/>
        <v/>
      </c>
      <c r="GF14" s="15" t="str">
        <f t="shared" si="54"/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 t="shared" si="55"/>
        <v/>
      </c>
      <c r="GX14" s="12" t="str">
        <f t="shared" si="56"/>
        <v/>
      </c>
      <c r="GY14" s="12" t="str">
        <f t="shared" si="57"/>
        <v/>
      </c>
      <c r="GZ14" s="12" t="str">
        <f t="shared" si="58"/>
        <v/>
      </c>
      <c r="HA14" s="12" t="str">
        <f t="shared" si="59"/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 t="shared" si="60"/>
        <v/>
      </c>
      <c r="HS14" s="15" t="str">
        <f t="shared" si="61"/>
        <v/>
      </c>
      <c r="HT14" s="15" t="str">
        <f t="shared" si="62"/>
        <v/>
      </c>
      <c r="HU14" s="15" t="str">
        <f t="shared" si="63"/>
        <v/>
      </c>
      <c r="HV14" s="15" t="str">
        <f t="shared" si="64"/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 t="shared" si="65"/>
        <v/>
      </c>
      <c r="IN14" s="12" t="str">
        <f t="shared" si="66"/>
        <v/>
      </c>
      <c r="IO14" s="12" t="str">
        <f t="shared" si="67"/>
        <v/>
      </c>
      <c r="IP14" s="12" t="str">
        <f t="shared" si="68"/>
        <v/>
      </c>
      <c r="IQ14" s="12" t="str">
        <f t="shared" si="69"/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 t="shared" si="70"/>
        <v/>
      </c>
      <c r="JI14" s="15" t="str">
        <f t="shared" si="71"/>
        <v/>
      </c>
      <c r="JJ14" s="15" t="str">
        <f t="shared" si="72"/>
        <v/>
      </c>
      <c r="JK14" s="15" t="str">
        <f t="shared" si="73"/>
        <v/>
      </c>
      <c r="JL14" s="15" t="str">
        <f t="shared" si="74"/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 t="shared" si="75"/>
        <v/>
      </c>
      <c r="KD14" s="12" t="str">
        <f t="shared" si="76"/>
        <v/>
      </c>
      <c r="KE14" s="12" t="str">
        <f t="shared" si="77"/>
        <v/>
      </c>
      <c r="KF14" s="12" t="str">
        <f t="shared" si="78"/>
        <v/>
      </c>
      <c r="KG14" s="12" t="str">
        <f t="shared" si="79"/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 t="shared" si="80"/>
        <v/>
      </c>
      <c r="KY14" s="15" t="str">
        <f t="shared" si="81"/>
        <v/>
      </c>
      <c r="KZ14" s="15" t="str">
        <f t="shared" si="82"/>
        <v/>
      </c>
      <c r="LA14" s="15" t="str">
        <f t="shared" si="83"/>
        <v/>
      </c>
      <c r="LB14" s="15" t="str">
        <f t="shared" si="84"/>
        <v/>
      </c>
      <c r="LC14" s="72">
        <f t="shared" si="91"/>
        <v>13.85</v>
      </c>
      <c r="LD14" s="72">
        <f t="shared" si="92"/>
        <v>3</v>
      </c>
      <c r="LE14" s="72">
        <f t="shared" si="93"/>
        <v>0.45</v>
      </c>
      <c r="LF14" s="72">
        <f t="shared" si="94"/>
        <v>0</v>
      </c>
      <c r="LG14" s="72">
        <f t="shared" si="95"/>
        <v>13.85</v>
      </c>
      <c r="LH14" s="72">
        <f t="shared" si="96"/>
        <v>2.8</v>
      </c>
      <c r="LI14" s="72">
        <f t="shared" si="97"/>
        <v>0</v>
      </c>
      <c r="LJ14" s="72">
        <f t="shared" si="98"/>
        <v>0</v>
      </c>
      <c r="LK14" s="72">
        <f t="shared" si="99"/>
        <v>13.55</v>
      </c>
      <c r="LL14" s="72">
        <f t="shared" si="100"/>
        <v>2.6</v>
      </c>
      <c r="LM14" s="72">
        <f t="shared" si="101"/>
        <v>0.6</v>
      </c>
      <c r="LN14" s="72">
        <f t="shared" si="102"/>
        <v>0</v>
      </c>
      <c r="LO14" s="72">
        <f t="shared" si="103"/>
        <v>13.7</v>
      </c>
      <c r="LP14" s="72">
        <f t="shared" si="104"/>
        <v>2.8</v>
      </c>
      <c r="LQ14" s="72">
        <f t="shared" si="105"/>
        <v>0.75</v>
      </c>
      <c r="LR14" s="72">
        <f t="shared" si="106"/>
        <v>0</v>
      </c>
      <c r="LS14" s="83" t="s">
        <v>126</v>
      </c>
      <c r="LT14" s="12">
        <f t="shared" si="107"/>
        <v>5.8</v>
      </c>
      <c r="LU14" s="12">
        <f t="shared" si="108"/>
        <v>11.2</v>
      </c>
      <c r="LV14" s="12">
        <f t="shared" si="109"/>
        <v>33.049999999999997</v>
      </c>
      <c r="LW14" s="12">
        <f t="shared" si="110"/>
        <v>31.299999999999997</v>
      </c>
      <c r="LX14" s="12">
        <f t="shared" si="111"/>
        <v>64.349999999999994</v>
      </c>
    </row>
    <row r="15" spans="1:336" x14ac:dyDescent="0.2">
      <c r="A15" s="6" t="str">
        <f t="shared" si="0"/>
        <v/>
      </c>
      <c r="B15" s="9" t="s">
        <v>59</v>
      </c>
      <c r="C15" s="5" t="s">
        <v>11</v>
      </c>
      <c r="D15" s="6">
        <v>1998</v>
      </c>
      <c r="E15" s="16">
        <f t="shared" si="1"/>
        <v>123.2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123.2</v>
      </c>
      <c r="K15" s="15" t="str">
        <f t="shared" si="7"/>
        <v>2018 Nationals</v>
      </c>
      <c r="L15" s="15" t="str">
        <f t="shared" si="8"/>
        <v/>
      </c>
      <c r="M15" s="15" t="str">
        <f t="shared" si="9"/>
        <v/>
      </c>
      <c r="N15" s="15" t="str">
        <f t="shared" si="10"/>
        <v/>
      </c>
      <c r="O15" s="27" t="str">
        <f t="shared" si="11"/>
        <v/>
      </c>
      <c r="P15" s="15" t="str">
        <f t="shared" si="12"/>
        <v/>
      </c>
      <c r="Q15" s="72">
        <v>27.8</v>
      </c>
      <c r="R15" s="72">
        <v>6</v>
      </c>
      <c r="S15" s="72">
        <v>0</v>
      </c>
      <c r="T15" s="72">
        <v>0</v>
      </c>
      <c r="U15" s="72">
        <v>27.6</v>
      </c>
      <c r="V15" s="72">
        <v>6</v>
      </c>
      <c r="W15" s="72">
        <v>0.9</v>
      </c>
      <c r="X15" s="72">
        <v>0</v>
      </c>
      <c r="Y15" s="72">
        <v>27.5</v>
      </c>
      <c r="Z15" s="72">
        <v>5.2</v>
      </c>
      <c r="AA15" s="72">
        <v>1.2</v>
      </c>
      <c r="AB15" s="72">
        <v>0</v>
      </c>
      <c r="AC15" s="72">
        <v>27.6</v>
      </c>
      <c r="AD15" s="72">
        <v>0.6</v>
      </c>
      <c r="AE15" s="72">
        <v>3</v>
      </c>
      <c r="AF15" s="72">
        <v>0</v>
      </c>
      <c r="AG15" s="83"/>
      <c r="AH15" s="12">
        <f t="shared" si="13"/>
        <v>12</v>
      </c>
      <c r="AI15" s="12">
        <f t="shared" si="14"/>
        <v>17.8</v>
      </c>
      <c r="AJ15" s="12">
        <f t="shared" si="15"/>
        <v>66.5</v>
      </c>
      <c r="AK15" s="12">
        <f t="shared" si="16"/>
        <v>56.7</v>
      </c>
      <c r="AL15" s="12">
        <f t="shared" si="17"/>
        <v>123.2</v>
      </c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84"/>
      <c r="BD15" s="15" t="str">
        <f t="shared" si="18"/>
        <v/>
      </c>
      <c r="BE15" s="15" t="str">
        <f t="shared" si="19"/>
        <v/>
      </c>
      <c r="BF15" s="15" t="str">
        <f t="shared" si="20"/>
        <v/>
      </c>
      <c r="BG15" s="15" t="str">
        <f t="shared" si="21"/>
        <v/>
      </c>
      <c r="BH15" s="15" t="str">
        <f t="shared" si="22"/>
        <v/>
      </c>
      <c r="BI15" s="26" t="str">
        <f t="shared" si="23"/>
        <v/>
      </c>
      <c r="BJ15" s="26" t="str">
        <f t="shared" si="24"/>
        <v/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 t="shared" si="25"/>
        <v/>
      </c>
      <c r="CB15" s="12" t="str">
        <f t="shared" si="26"/>
        <v/>
      </c>
      <c r="CC15" s="12" t="str">
        <f t="shared" si="27"/>
        <v/>
      </c>
      <c r="CD15" s="12" t="str">
        <f t="shared" si="28"/>
        <v/>
      </c>
      <c r="CE15" s="12" t="str">
        <f t="shared" si="29"/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 t="shared" si="30"/>
        <v/>
      </c>
      <c r="CW15" s="15" t="str">
        <f t="shared" si="31"/>
        <v/>
      </c>
      <c r="CX15" s="15" t="str">
        <f t="shared" si="32"/>
        <v/>
      </c>
      <c r="CY15" s="15" t="str">
        <f t="shared" si="33"/>
        <v/>
      </c>
      <c r="CZ15" s="15" t="str">
        <f t="shared" si="34"/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 t="shared" si="35"/>
        <v/>
      </c>
      <c r="DR15" s="12" t="str">
        <f t="shared" si="36"/>
        <v/>
      </c>
      <c r="DS15" s="12" t="str">
        <f t="shared" si="37"/>
        <v/>
      </c>
      <c r="DT15" s="12" t="str">
        <f t="shared" si="38"/>
        <v/>
      </c>
      <c r="DU15" s="12" t="str">
        <f t="shared" si="39"/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 t="shared" si="40"/>
        <v/>
      </c>
      <c r="EM15" s="15" t="str">
        <f t="shared" si="41"/>
        <v/>
      </c>
      <c r="EN15" s="15" t="str">
        <f t="shared" si="42"/>
        <v/>
      </c>
      <c r="EO15" s="15" t="str">
        <f t="shared" si="43"/>
        <v/>
      </c>
      <c r="EP15" s="15" t="str">
        <f t="shared" si="44"/>
        <v/>
      </c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12" t="str">
        <f t="shared" si="45"/>
        <v/>
      </c>
      <c r="FH15" s="12" t="str">
        <f t="shared" si="46"/>
        <v/>
      </c>
      <c r="FI15" s="12" t="str">
        <f t="shared" si="47"/>
        <v/>
      </c>
      <c r="FJ15" s="12" t="str">
        <f t="shared" si="48"/>
        <v/>
      </c>
      <c r="FK15" s="12" t="str">
        <f t="shared" si="49"/>
        <v/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 t="shared" si="50"/>
        <v/>
      </c>
      <c r="GC15" s="15" t="str">
        <f t="shared" si="51"/>
        <v/>
      </c>
      <c r="GD15" s="15" t="str">
        <f t="shared" si="52"/>
        <v/>
      </c>
      <c r="GE15" s="15" t="str">
        <f t="shared" si="53"/>
        <v/>
      </c>
      <c r="GF15" s="15" t="str">
        <f t="shared" si="54"/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 t="shared" si="55"/>
        <v/>
      </c>
      <c r="GX15" s="12" t="str">
        <f t="shared" si="56"/>
        <v/>
      </c>
      <c r="GY15" s="12" t="str">
        <f t="shared" si="57"/>
        <v/>
      </c>
      <c r="GZ15" s="12" t="str">
        <f t="shared" si="58"/>
        <v/>
      </c>
      <c r="HA15" s="12" t="str">
        <f t="shared" si="59"/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 t="shared" si="60"/>
        <v/>
      </c>
      <c r="HS15" s="15" t="str">
        <f t="shared" si="61"/>
        <v/>
      </c>
      <c r="HT15" s="15" t="str">
        <f t="shared" si="62"/>
        <v/>
      </c>
      <c r="HU15" s="15" t="str">
        <f t="shared" si="63"/>
        <v/>
      </c>
      <c r="HV15" s="15" t="str">
        <f t="shared" si="64"/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 t="shared" si="65"/>
        <v/>
      </c>
      <c r="IN15" s="12" t="str">
        <f t="shared" si="66"/>
        <v/>
      </c>
      <c r="IO15" s="12" t="str">
        <f t="shared" si="67"/>
        <v/>
      </c>
      <c r="IP15" s="12" t="str">
        <f t="shared" si="68"/>
        <v/>
      </c>
      <c r="IQ15" s="12" t="str">
        <f t="shared" si="69"/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 t="shared" si="70"/>
        <v/>
      </c>
      <c r="JI15" s="15" t="str">
        <f t="shared" si="71"/>
        <v/>
      </c>
      <c r="JJ15" s="15" t="str">
        <f t="shared" si="72"/>
        <v/>
      </c>
      <c r="JK15" s="15" t="str">
        <f t="shared" si="73"/>
        <v/>
      </c>
      <c r="JL15" s="15" t="str">
        <f t="shared" si="74"/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 t="shared" si="75"/>
        <v/>
      </c>
      <c r="KD15" s="12" t="str">
        <f t="shared" si="76"/>
        <v/>
      </c>
      <c r="KE15" s="12" t="str">
        <f t="shared" si="77"/>
        <v/>
      </c>
      <c r="KF15" s="12" t="str">
        <f t="shared" si="78"/>
        <v/>
      </c>
      <c r="KG15" s="12" t="str">
        <f t="shared" si="79"/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 t="shared" si="80"/>
        <v/>
      </c>
      <c r="KY15" s="15" t="str">
        <f t="shared" si="81"/>
        <v/>
      </c>
      <c r="KZ15" s="15" t="str">
        <f t="shared" si="82"/>
        <v/>
      </c>
      <c r="LA15" s="15" t="str">
        <f t="shared" si="83"/>
        <v/>
      </c>
      <c r="LB15" s="15" t="str">
        <f t="shared" si="84"/>
        <v/>
      </c>
      <c r="LC15" s="72">
        <f t="shared" si="91"/>
        <v>13.9</v>
      </c>
      <c r="LD15" s="72">
        <f t="shared" si="92"/>
        <v>3</v>
      </c>
      <c r="LE15" s="72">
        <f t="shared" si="93"/>
        <v>0</v>
      </c>
      <c r="LF15" s="72">
        <f t="shared" si="94"/>
        <v>0</v>
      </c>
      <c r="LG15" s="72">
        <f t="shared" si="95"/>
        <v>13.8</v>
      </c>
      <c r="LH15" s="72">
        <f t="shared" si="96"/>
        <v>3</v>
      </c>
      <c r="LI15" s="72">
        <f t="shared" si="97"/>
        <v>0.45</v>
      </c>
      <c r="LJ15" s="72">
        <f t="shared" si="98"/>
        <v>0</v>
      </c>
      <c r="LK15" s="72">
        <f t="shared" si="99"/>
        <v>13.75</v>
      </c>
      <c r="LL15" s="72">
        <f t="shared" si="100"/>
        <v>2.6</v>
      </c>
      <c r="LM15" s="72">
        <f t="shared" si="101"/>
        <v>0.6</v>
      </c>
      <c r="LN15" s="72">
        <f t="shared" si="102"/>
        <v>0</v>
      </c>
      <c r="LO15" s="72">
        <f t="shared" si="103"/>
        <v>13.8</v>
      </c>
      <c r="LP15" s="72">
        <f t="shared" si="104"/>
        <v>0.3</v>
      </c>
      <c r="LQ15" s="72">
        <f t="shared" si="105"/>
        <v>1.5</v>
      </c>
      <c r="LR15" s="72">
        <f t="shared" si="106"/>
        <v>0</v>
      </c>
      <c r="LS15" s="83" t="s">
        <v>126</v>
      </c>
      <c r="LT15" s="12">
        <f t="shared" si="107"/>
        <v>6</v>
      </c>
      <c r="LU15" s="12">
        <f t="shared" si="108"/>
        <v>8.9</v>
      </c>
      <c r="LV15" s="12">
        <f t="shared" si="109"/>
        <v>33.25</v>
      </c>
      <c r="LW15" s="12">
        <f t="shared" si="110"/>
        <v>28.35</v>
      </c>
      <c r="LX15" s="12">
        <f t="shared" si="111"/>
        <v>61.6</v>
      </c>
    </row>
    <row r="18" spans="1:313" x14ac:dyDescent="0.2">
      <c r="B18" s="73" t="s">
        <v>93</v>
      </c>
      <c r="AH18" s="58"/>
      <c r="AI18" s="58"/>
      <c r="AK18" s="67">
        <v>14.1</v>
      </c>
      <c r="BD18" s="58"/>
      <c r="BE18" s="58"/>
      <c r="BG18" s="67">
        <v>14.1</v>
      </c>
      <c r="CA18" s="58"/>
      <c r="CB18" s="58"/>
      <c r="CD18" s="67">
        <v>28.8</v>
      </c>
      <c r="CV18" s="58"/>
      <c r="CW18" s="58"/>
      <c r="CY18" s="67">
        <v>28.8</v>
      </c>
      <c r="DQ18" s="58"/>
      <c r="DR18" s="58"/>
      <c r="DT18" s="67">
        <v>28.8</v>
      </c>
      <c r="EL18" s="58"/>
      <c r="EM18" s="58"/>
      <c r="EO18" s="67">
        <v>28.8</v>
      </c>
      <c r="FG18" s="58"/>
      <c r="FH18" s="58"/>
      <c r="FJ18" s="67">
        <v>15.6</v>
      </c>
      <c r="GB18" s="58"/>
      <c r="GC18" s="58"/>
      <c r="GE18" s="67">
        <v>15.6</v>
      </c>
      <c r="GW18" s="58"/>
      <c r="GX18" s="58"/>
      <c r="GZ18" s="67">
        <v>15.6</v>
      </c>
      <c r="HR18" s="58"/>
      <c r="HS18" s="58"/>
      <c r="HU18" s="67">
        <v>15.6</v>
      </c>
      <c r="IM18" s="58"/>
      <c r="IN18" s="58"/>
      <c r="IP18" s="67">
        <v>15.6</v>
      </c>
      <c r="JH18" s="58"/>
      <c r="JI18" s="58"/>
      <c r="JK18" s="67">
        <v>15.6</v>
      </c>
      <c r="KC18" s="58"/>
      <c r="KD18" s="58"/>
      <c r="KF18" s="67">
        <v>15.6</v>
      </c>
      <c r="KX18" s="58"/>
      <c r="KY18" s="58"/>
      <c r="LA18" s="67">
        <v>15.6</v>
      </c>
    </row>
    <row r="19" spans="1:313" x14ac:dyDescent="0.2">
      <c r="B19" s="100" t="s">
        <v>92</v>
      </c>
      <c r="AH19" s="58"/>
      <c r="AI19" s="58"/>
      <c r="AK19" s="114">
        <v>14.1</v>
      </c>
      <c r="BD19" s="58"/>
      <c r="BE19" s="58"/>
      <c r="BG19" s="116">
        <v>14.1</v>
      </c>
      <c r="CA19" s="58"/>
      <c r="CB19" s="58"/>
      <c r="CD19" s="116">
        <v>28.8</v>
      </c>
      <c r="CV19" s="58"/>
      <c r="CW19" s="58"/>
      <c r="CY19" s="116">
        <v>28.8</v>
      </c>
      <c r="DQ19" s="58"/>
      <c r="DR19" s="58"/>
      <c r="DT19" s="116">
        <v>28.8</v>
      </c>
      <c r="EL19" s="58"/>
      <c r="EM19" s="58"/>
      <c r="EO19" s="116">
        <v>28.8</v>
      </c>
      <c r="FG19" s="58"/>
      <c r="FH19" s="58"/>
      <c r="FJ19" s="116">
        <v>16</v>
      </c>
      <c r="GB19" s="58"/>
      <c r="GC19" s="58"/>
      <c r="GE19" s="116">
        <v>16</v>
      </c>
      <c r="GW19" s="58"/>
      <c r="GX19" s="58"/>
      <c r="GZ19" s="116">
        <v>16</v>
      </c>
      <c r="HR19" s="58"/>
      <c r="HS19" s="58"/>
      <c r="HU19" s="116">
        <v>16</v>
      </c>
      <c r="IM19" s="58"/>
      <c r="IN19" s="58"/>
      <c r="IP19" s="116">
        <v>16</v>
      </c>
      <c r="JH19" s="58"/>
      <c r="JI19" s="58"/>
      <c r="JK19" s="116">
        <v>16</v>
      </c>
      <c r="KC19" s="58"/>
      <c r="KD19" s="58"/>
      <c r="KF19" s="116">
        <v>16</v>
      </c>
      <c r="KX19" s="58"/>
      <c r="KY19" s="58"/>
      <c r="LA19" s="116">
        <v>16</v>
      </c>
    </row>
    <row r="20" spans="1:313" x14ac:dyDescent="0.2">
      <c r="A20" s="58"/>
      <c r="B20" s="101" t="s">
        <v>205</v>
      </c>
      <c r="C20" s="57"/>
      <c r="AH20" s="58"/>
      <c r="AI20" s="58"/>
      <c r="AK20" s="115">
        <v>33</v>
      </c>
      <c r="BD20" s="58"/>
      <c r="BE20" s="58"/>
      <c r="BG20" s="104">
        <v>32</v>
      </c>
      <c r="CA20" s="58"/>
      <c r="CB20" s="58"/>
      <c r="CD20" s="104">
        <v>28.8</v>
      </c>
      <c r="CV20" s="58"/>
      <c r="CW20" s="58"/>
      <c r="CY20" s="104">
        <v>28.8</v>
      </c>
      <c r="DQ20" s="58"/>
      <c r="DR20" s="58"/>
      <c r="DT20" s="104">
        <v>28.8</v>
      </c>
      <c r="EL20" s="58"/>
      <c r="EM20" s="58"/>
      <c r="EO20" s="104">
        <v>28.8</v>
      </c>
      <c r="FG20" s="58"/>
      <c r="FH20" s="58"/>
      <c r="FJ20" s="104">
        <v>31.2</v>
      </c>
      <c r="GB20" s="58"/>
      <c r="GC20" s="58"/>
      <c r="GE20" s="104">
        <v>31.2</v>
      </c>
      <c r="GW20" s="58"/>
      <c r="GX20" s="58"/>
      <c r="GZ20" s="104">
        <v>31.2</v>
      </c>
      <c r="HR20" s="58"/>
      <c r="HS20" s="58"/>
      <c r="HU20" s="104">
        <v>31.2</v>
      </c>
      <c r="IM20" s="58"/>
      <c r="IN20" s="58"/>
      <c r="IP20" s="104">
        <v>31.2</v>
      </c>
      <c r="JH20" s="58"/>
      <c r="JI20" s="58"/>
      <c r="JK20" s="104">
        <v>31.2</v>
      </c>
      <c r="KC20" s="58"/>
      <c r="KD20" s="58"/>
      <c r="KF20" s="104">
        <v>31.2</v>
      </c>
      <c r="KX20" s="58"/>
      <c r="KY20" s="58"/>
      <c r="LA20" s="104">
        <v>31.2</v>
      </c>
    </row>
    <row r="21" spans="1:313" x14ac:dyDescent="0.2">
      <c r="A21" s="58"/>
      <c r="B21" s="74" t="s">
        <v>90</v>
      </c>
      <c r="C21" s="57"/>
      <c r="AH21" s="58"/>
      <c r="AI21" s="58"/>
      <c r="AK21" s="68">
        <v>69.5</v>
      </c>
      <c r="BD21" s="58"/>
      <c r="BE21" s="58"/>
      <c r="BG21" s="68">
        <v>69</v>
      </c>
      <c r="CA21" s="58"/>
      <c r="CB21" s="58"/>
      <c r="CD21" s="68">
        <v>136</v>
      </c>
      <c r="CV21" s="58"/>
      <c r="CW21" s="58"/>
      <c r="CY21" s="68">
        <v>136</v>
      </c>
      <c r="DQ21" s="58"/>
      <c r="DR21" s="58"/>
      <c r="DT21" s="68">
        <v>136</v>
      </c>
      <c r="EL21" s="58"/>
      <c r="EM21" s="58"/>
      <c r="EO21" s="68">
        <v>136</v>
      </c>
      <c r="FG21" s="58"/>
      <c r="FH21" s="58"/>
      <c r="FJ21" s="68">
        <v>69.5</v>
      </c>
      <c r="GB21" s="58"/>
      <c r="GC21" s="58"/>
      <c r="GE21" s="68">
        <v>69.5</v>
      </c>
      <c r="GW21" s="58"/>
      <c r="GX21" s="58"/>
      <c r="GZ21" s="68">
        <v>69.5</v>
      </c>
      <c r="HR21" s="58"/>
      <c r="HS21" s="58"/>
      <c r="HU21" s="68">
        <v>69.5</v>
      </c>
      <c r="IM21" s="58"/>
      <c r="IN21" s="58"/>
      <c r="IP21" s="68">
        <v>69.5</v>
      </c>
      <c r="JH21" s="58"/>
      <c r="JI21" s="58"/>
      <c r="JK21" s="68">
        <v>69.5</v>
      </c>
      <c r="KC21" s="58"/>
      <c r="KD21" s="58"/>
      <c r="KF21" s="68">
        <v>69.5</v>
      </c>
      <c r="KX21" s="58"/>
      <c r="KY21" s="58"/>
      <c r="LA21" s="68">
        <v>69.5</v>
      </c>
    </row>
    <row r="22" spans="1:313" x14ac:dyDescent="0.2">
      <c r="A22" s="58"/>
      <c r="B22" s="75" t="s">
        <v>91</v>
      </c>
      <c r="C22" s="57"/>
      <c r="AH22" s="58"/>
      <c r="AI22" s="58"/>
      <c r="AK22" s="69">
        <v>69.5</v>
      </c>
      <c r="BD22" s="58"/>
      <c r="BE22" s="58"/>
      <c r="BG22" s="69">
        <v>70</v>
      </c>
      <c r="CA22" s="58"/>
      <c r="CB22" s="58"/>
      <c r="CD22" s="69">
        <v>138</v>
      </c>
      <c r="CV22" s="58"/>
      <c r="CW22" s="58"/>
      <c r="CY22" s="69">
        <v>138</v>
      </c>
      <c r="DQ22" s="58"/>
      <c r="DR22" s="58"/>
      <c r="DT22" s="69">
        <v>138</v>
      </c>
      <c r="EL22" s="58"/>
      <c r="EM22" s="58"/>
      <c r="EO22" s="69">
        <v>138</v>
      </c>
      <c r="FG22" s="58"/>
      <c r="FH22" s="58"/>
      <c r="FJ22" s="69">
        <v>71</v>
      </c>
      <c r="GB22" s="58"/>
      <c r="GC22" s="58"/>
      <c r="GE22" s="69">
        <v>71</v>
      </c>
      <c r="GW22" s="58"/>
      <c r="GX22" s="58"/>
      <c r="GZ22" s="69">
        <v>71</v>
      </c>
      <c r="HR22" s="58"/>
      <c r="HS22" s="58"/>
      <c r="HU22" s="69">
        <v>71</v>
      </c>
      <c r="IM22" s="58"/>
      <c r="IN22" s="58"/>
      <c r="IP22" s="69">
        <v>71</v>
      </c>
      <c r="JH22" s="58"/>
      <c r="JI22" s="58"/>
      <c r="JK22" s="69">
        <v>71</v>
      </c>
      <c r="KC22" s="58"/>
      <c r="KD22" s="58"/>
      <c r="KF22" s="69">
        <v>71</v>
      </c>
      <c r="KX22" s="58"/>
      <c r="KY22" s="58"/>
      <c r="LA22" s="69">
        <v>71</v>
      </c>
    </row>
    <row r="23" spans="1:313" x14ac:dyDescent="0.2">
      <c r="A23" s="58"/>
      <c r="B23" s="76" t="s">
        <v>196</v>
      </c>
      <c r="C23" s="57"/>
      <c r="AH23" s="58"/>
      <c r="AI23" s="58"/>
      <c r="AK23" s="70">
        <v>143</v>
      </c>
      <c r="BD23" s="58"/>
      <c r="BE23" s="58"/>
      <c r="BG23" s="70">
        <v>143</v>
      </c>
      <c r="CA23" s="58"/>
      <c r="CB23" s="58"/>
      <c r="CD23" s="70">
        <v>143</v>
      </c>
      <c r="CV23" s="58"/>
      <c r="CW23" s="58"/>
      <c r="CY23" s="70">
        <v>143</v>
      </c>
      <c r="DQ23" s="58"/>
      <c r="DR23" s="58"/>
      <c r="DT23" s="70">
        <v>143</v>
      </c>
      <c r="EL23" s="58"/>
      <c r="EM23" s="58"/>
      <c r="EO23" s="70">
        <v>143</v>
      </c>
      <c r="FG23" s="58"/>
      <c r="FH23" s="58"/>
      <c r="FJ23" s="70">
        <v>143</v>
      </c>
      <c r="GB23" s="58"/>
      <c r="GC23" s="58"/>
      <c r="GE23" s="70">
        <v>143</v>
      </c>
      <c r="GW23" s="58"/>
      <c r="GX23" s="58"/>
      <c r="GZ23" s="70">
        <v>143</v>
      </c>
      <c r="HR23" s="58"/>
      <c r="HS23" s="58"/>
      <c r="HU23" s="70">
        <v>143</v>
      </c>
      <c r="IM23" s="58"/>
      <c r="IN23" s="58"/>
      <c r="IP23" s="70">
        <v>143</v>
      </c>
      <c r="JH23" s="58"/>
      <c r="JI23" s="58"/>
      <c r="JK23" s="70">
        <v>143</v>
      </c>
      <c r="KC23" s="58"/>
      <c r="KD23" s="58"/>
      <c r="KF23" s="70">
        <v>143</v>
      </c>
      <c r="KX23" s="58"/>
      <c r="KY23" s="58"/>
      <c r="LA23" s="70">
        <v>143</v>
      </c>
    </row>
    <row r="24" spans="1:313" x14ac:dyDescent="0.2">
      <c r="A24" s="58"/>
      <c r="B24" s="77" t="s">
        <v>71</v>
      </c>
      <c r="C24" s="57"/>
      <c r="AH24" s="58"/>
      <c r="AI24" s="58"/>
      <c r="AK24" s="71">
        <v>146</v>
      </c>
      <c r="BD24" s="58"/>
      <c r="BE24" s="58"/>
      <c r="BG24" s="71">
        <v>146</v>
      </c>
      <c r="CA24" s="58"/>
      <c r="CB24" s="58"/>
      <c r="CD24" s="71">
        <v>146</v>
      </c>
      <c r="CV24" s="58"/>
      <c r="CW24" s="58"/>
      <c r="CY24" s="71">
        <v>146</v>
      </c>
      <c r="DQ24" s="58"/>
      <c r="DR24" s="58"/>
      <c r="DT24" s="71">
        <v>146</v>
      </c>
      <c r="EL24" s="58"/>
      <c r="EM24" s="58"/>
      <c r="EO24" s="71">
        <v>146</v>
      </c>
      <c r="FG24" s="58"/>
      <c r="FH24" s="58"/>
      <c r="FJ24" s="71">
        <v>145</v>
      </c>
      <c r="GB24" s="58"/>
      <c r="GC24" s="58"/>
      <c r="GE24" s="71">
        <v>145</v>
      </c>
      <c r="GW24" s="58"/>
      <c r="GX24" s="58"/>
      <c r="GZ24" s="71">
        <v>145</v>
      </c>
      <c r="HR24" s="58"/>
      <c r="HS24" s="58"/>
      <c r="HU24" s="71">
        <v>145</v>
      </c>
      <c r="IM24" s="58"/>
      <c r="IN24" s="58"/>
      <c r="IP24" s="71">
        <v>145</v>
      </c>
      <c r="JH24" s="58"/>
      <c r="JI24" s="58"/>
      <c r="JK24" s="71">
        <v>145</v>
      </c>
      <c r="KC24" s="58"/>
      <c r="KD24" s="58"/>
      <c r="KF24" s="71">
        <v>145</v>
      </c>
      <c r="KX24" s="58"/>
      <c r="KY24" s="58"/>
      <c r="LA24" s="71">
        <v>145</v>
      </c>
    </row>
    <row r="25" spans="1:313" x14ac:dyDescent="0.2">
      <c r="B25" s="85" t="s">
        <v>127</v>
      </c>
      <c r="C25" s="3"/>
      <c r="AK25" t="s">
        <v>201</v>
      </c>
      <c r="BG25" t="s">
        <v>201</v>
      </c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5">
      <sortCondition descending="1" ref="F1:F13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44</v>
      </c>
      <c r="C1" s="123" t="s">
        <v>0</v>
      </c>
      <c r="D1" s="123" t="s">
        <v>128</v>
      </c>
      <c r="E1" s="123" t="s">
        <v>2</v>
      </c>
      <c r="F1" s="129" t="s">
        <v>194</v>
      </c>
      <c r="G1" s="129" t="s">
        <v>195</v>
      </c>
      <c r="H1" s="129" t="s">
        <v>18</v>
      </c>
      <c r="I1" s="123" t="s">
        <v>19</v>
      </c>
      <c r="J1" s="135" t="s">
        <v>198</v>
      </c>
      <c r="K1" s="125" t="s">
        <v>69</v>
      </c>
      <c r="L1" s="135" t="s">
        <v>197</v>
      </c>
      <c r="M1" s="125" t="s">
        <v>69</v>
      </c>
      <c r="N1" s="126" t="s">
        <v>24</v>
      </c>
      <c r="O1" s="125" t="s">
        <v>70</v>
      </c>
      <c r="P1" s="125" t="s">
        <v>69</v>
      </c>
      <c r="Q1" s="119" t="s">
        <v>108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146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193</v>
      </c>
      <c r="BJ1" s="127"/>
      <c r="BK1" s="133" t="s">
        <v>150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161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163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190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/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207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47</v>
      </c>
      <c r="R2" s="120"/>
      <c r="S2" s="120"/>
      <c r="T2" s="120"/>
      <c r="U2" s="120" t="s">
        <v>50</v>
      </c>
      <c r="V2" s="120"/>
      <c r="W2" s="120"/>
      <c r="X2" s="120"/>
      <c r="Y2" s="120" t="s">
        <v>51</v>
      </c>
      <c r="Z2" s="120"/>
      <c r="AA2" s="120"/>
      <c r="AB2" s="120"/>
      <c r="AC2" s="128" t="s">
        <v>52</v>
      </c>
      <c r="AD2" s="128"/>
      <c r="AE2" s="128"/>
      <c r="AF2" s="128"/>
      <c r="AG2" s="93"/>
      <c r="AH2" s="96" t="s">
        <v>35</v>
      </c>
      <c r="AI2" s="96" t="s">
        <v>206</v>
      </c>
      <c r="AJ2" s="10" t="s">
        <v>34</v>
      </c>
      <c r="AK2" s="10" t="s">
        <v>33</v>
      </c>
      <c r="AL2" s="10" t="s">
        <v>28</v>
      </c>
      <c r="AM2" s="121" t="s">
        <v>47</v>
      </c>
      <c r="AN2" s="121"/>
      <c r="AO2" s="121"/>
      <c r="AP2" s="121"/>
      <c r="AQ2" s="121" t="s">
        <v>50</v>
      </c>
      <c r="AR2" s="121"/>
      <c r="AS2" s="121"/>
      <c r="AT2" s="121"/>
      <c r="AU2" s="121" t="s">
        <v>51</v>
      </c>
      <c r="AV2" s="121"/>
      <c r="AW2" s="121"/>
      <c r="AX2" s="121"/>
      <c r="AY2" s="132" t="s">
        <v>52</v>
      </c>
      <c r="AZ2" s="132"/>
      <c r="BA2" s="132"/>
      <c r="BB2" s="132"/>
      <c r="BC2" s="92"/>
      <c r="BD2" s="97" t="s">
        <v>35</v>
      </c>
      <c r="BE2" s="97" t="s">
        <v>206</v>
      </c>
      <c r="BF2" s="13" t="s">
        <v>34</v>
      </c>
      <c r="BG2" s="13" t="s">
        <v>33</v>
      </c>
      <c r="BH2" s="13" t="s">
        <v>28</v>
      </c>
      <c r="BI2" s="24" t="s">
        <v>200</v>
      </c>
      <c r="BJ2" s="24" t="s">
        <v>199</v>
      </c>
      <c r="BK2" s="120" t="s">
        <v>47</v>
      </c>
      <c r="BL2" s="120"/>
      <c r="BM2" s="120"/>
      <c r="BN2" s="120"/>
      <c r="BO2" s="120" t="s">
        <v>50</v>
      </c>
      <c r="BP2" s="120"/>
      <c r="BQ2" s="120"/>
      <c r="BR2" s="120"/>
      <c r="BS2" s="120" t="s">
        <v>51</v>
      </c>
      <c r="BT2" s="120"/>
      <c r="BU2" s="120"/>
      <c r="BV2" s="120"/>
      <c r="BW2" s="128" t="s">
        <v>52</v>
      </c>
      <c r="BX2" s="128"/>
      <c r="BY2" s="128"/>
      <c r="BZ2" s="128"/>
      <c r="CA2" s="96" t="s">
        <v>35</v>
      </c>
      <c r="CB2" s="96" t="s">
        <v>206</v>
      </c>
      <c r="CC2" s="10" t="s">
        <v>34</v>
      </c>
      <c r="CD2" s="10" t="s">
        <v>33</v>
      </c>
      <c r="CE2" s="10" t="s">
        <v>28</v>
      </c>
      <c r="CF2" s="132" t="s">
        <v>47</v>
      </c>
      <c r="CG2" s="132"/>
      <c r="CH2" s="132"/>
      <c r="CI2" s="132"/>
      <c r="CJ2" s="132" t="s">
        <v>50</v>
      </c>
      <c r="CK2" s="132"/>
      <c r="CL2" s="132"/>
      <c r="CM2" s="132"/>
      <c r="CN2" s="132" t="s">
        <v>51</v>
      </c>
      <c r="CO2" s="132"/>
      <c r="CP2" s="132"/>
      <c r="CQ2" s="132"/>
      <c r="CR2" s="132" t="s">
        <v>52</v>
      </c>
      <c r="CS2" s="132"/>
      <c r="CT2" s="132"/>
      <c r="CU2" s="132"/>
      <c r="CV2" s="97" t="s">
        <v>35</v>
      </c>
      <c r="CW2" s="97" t="s">
        <v>206</v>
      </c>
      <c r="CX2" s="17" t="s">
        <v>34</v>
      </c>
      <c r="CY2" s="17" t="s">
        <v>33</v>
      </c>
      <c r="CZ2" s="17" t="s">
        <v>28</v>
      </c>
      <c r="DA2" s="128" t="s">
        <v>47</v>
      </c>
      <c r="DB2" s="128"/>
      <c r="DC2" s="128"/>
      <c r="DD2" s="128"/>
      <c r="DE2" s="128" t="s">
        <v>50</v>
      </c>
      <c r="DF2" s="128"/>
      <c r="DG2" s="128"/>
      <c r="DH2" s="128"/>
      <c r="DI2" s="128" t="s">
        <v>51</v>
      </c>
      <c r="DJ2" s="128"/>
      <c r="DK2" s="128"/>
      <c r="DL2" s="128"/>
      <c r="DM2" s="128" t="s">
        <v>52</v>
      </c>
      <c r="DN2" s="128"/>
      <c r="DO2" s="128"/>
      <c r="DP2" s="128"/>
      <c r="DQ2" s="96" t="s">
        <v>35</v>
      </c>
      <c r="DR2" s="96" t="s">
        <v>206</v>
      </c>
      <c r="DS2" s="18" t="s">
        <v>34</v>
      </c>
      <c r="DT2" s="18" t="s">
        <v>33</v>
      </c>
      <c r="DU2" s="18" t="s">
        <v>28</v>
      </c>
      <c r="DV2" s="132" t="s">
        <v>47</v>
      </c>
      <c r="DW2" s="132"/>
      <c r="DX2" s="132"/>
      <c r="DY2" s="132"/>
      <c r="DZ2" s="132" t="s">
        <v>50</v>
      </c>
      <c r="EA2" s="132"/>
      <c r="EB2" s="132"/>
      <c r="EC2" s="132"/>
      <c r="ED2" s="132" t="s">
        <v>51</v>
      </c>
      <c r="EE2" s="132"/>
      <c r="EF2" s="132"/>
      <c r="EG2" s="132"/>
      <c r="EH2" s="132" t="s">
        <v>52</v>
      </c>
      <c r="EI2" s="132"/>
      <c r="EJ2" s="132"/>
      <c r="EK2" s="132"/>
      <c r="EL2" s="97" t="s">
        <v>35</v>
      </c>
      <c r="EM2" s="97" t="s">
        <v>206</v>
      </c>
      <c r="EN2" s="17" t="s">
        <v>34</v>
      </c>
      <c r="EO2" s="17" t="s">
        <v>33</v>
      </c>
      <c r="EP2" s="17" t="s">
        <v>28</v>
      </c>
      <c r="EQ2" s="128" t="s">
        <v>47</v>
      </c>
      <c r="ER2" s="128"/>
      <c r="ES2" s="128"/>
      <c r="ET2" s="128"/>
      <c r="EU2" s="128" t="s">
        <v>50</v>
      </c>
      <c r="EV2" s="128"/>
      <c r="EW2" s="128"/>
      <c r="EX2" s="128"/>
      <c r="EY2" s="128" t="s">
        <v>51</v>
      </c>
      <c r="EZ2" s="128"/>
      <c r="FA2" s="128"/>
      <c r="FB2" s="128"/>
      <c r="FC2" s="128" t="s">
        <v>52</v>
      </c>
      <c r="FD2" s="128"/>
      <c r="FE2" s="128"/>
      <c r="FF2" s="128"/>
      <c r="FG2" s="96" t="s">
        <v>35</v>
      </c>
      <c r="FH2" s="96" t="s">
        <v>206</v>
      </c>
      <c r="FI2" s="18" t="s">
        <v>34</v>
      </c>
      <c r="FJ2" s="18" t="s">
        <v>33</v>
      </c>
      <c r="FK2" s="18" t="s">
        <v>28</v>
      </c>
      <c r="FL2" s="132" t="s">
        <v>47</v>
      </c>
      <c r="FM2" s="132"/>
      <c r="FN2" s="132"/>
      <c r="FO2" s="132"/>
      <c r="FP2" s="132" t="s">
        <v>50</v>
      </c>
      <c r="FQ2" s="132"/>
      <c r="FR2" s="132"/>
      <c r="FS2" s="132"/>
      <c r="FT2" s="132" t="s">
        <v>51</v>
      </c>
      <c r="FU2" s="132"/>
      <c r="FV2" s="132"/>
      <c r="FW2" s="132"/>
      <c r="FX2" s="132" t="s">
        <v>52</v>
      </c>
      <c r="FY2" s="132"/>
      <c r="FZ2" s="132"/>
      <c r="GA2" s="132"/>
      <c r="GB2" s="97" t="s">
        <v>35</v>
      </c>
      <c r="GC2" s="97" t="s">
        <v>206</v>
      </c>
      <c r="GD2" s="17" t="s">
        <v>34</v>
      </c>
      <c r="GE2" s="17" t="s">
        <v>33</v>
      </c>
      <c r="GF2" s="17" t="s">
        <v>28</v>
      </c>
      <c r="GG2" s="128" t="s">
        <v>47</v>
      </c>
      <c r="GH2" s="128"/>
      <c r="GI2" s="128"/>
      <c r="GJ2" s="128"/>
      <c r="GK2" s="128" t="s">
        <v>50</v>
      </c>
      <c r="GL2" s="128"/>
      <c r="GM2" s="128"/>
      <c r="GN2" s="128"/>
      <c r="GO2" s="128" t="s">
        <v>51</v>
      </c>
      <c r="GP2" s="128"/>
      <c r="GQ2" s="128"/>
      <c r="GR2" s="128"/>
      <c r="GS2" s="128" t="s">
        <v>52</v>
      </c>
      <c r="GT2" s="128"/>
      <c r="GU2" s="128"/>
      <c r="GV2" s="128"/>
      <c r="GW2" s="96" t="s">
        <v>35</v>
      </c>
      <c r="GX2" s="96" t="s">
        <v>206</v>
      </c>
      <c r="GY2" s="18" t="s">
        <v>34</v>
      </c>
      <c r="GZ2" s="18" t="s">
        <v>33</v>
      </c>
      <c r="HA2" s="18" t="s">
        <v>28</v>
      </c>
      <c r="HB2" s="132" t="s">
        <v>47</v>
      </c>
      <c r="HC2" s="132"/>
      <c r="HD2" s="132"/>
      <c r="HE2" s="132"/>
      <c r="HF2" s="132" t="s">
        <v>50</v>
      </c>
      <c r="HG2" s="132"/>
      <c r="HH2" s="132"/>
      <c r="HI2" s="132"/>
      <c r="HJ2" s="132" t="s">
        <v>51</v>
      </c>
      <c r="HK2" s="132"/>
      <c r="HL2" s="132"/>
      <c r="HM2" s="132"/>
      <c r="HN2" s="132" t="s">
        <v>52</v>
      </c>
      <c r="HO2" s="132"/>
      <c r="HP2" s="132"/>
      <c r="HQ2" s="132"/>
      <c r="HR2" s="97" t="s">
        <v>35</v>
      </c>
      <c r="HS2" s="97" t="s">
        <v>206</v>
      </c>
      <c r="HT2" s="17" t="s">
        <v>34</v>
      </c>
      <c r="HU2" s="17" t="s">
        <v>33</v>
      </c>
      <c r="HV2" s="17" t="s">
        <v>28</v>
      </c>
      <c r="HW2" s="128" t="s">
        <v>47</v>
      </c>
      <c r="HX2" s="128"/>
      <c r="HY2" s="128"/>
      <c r="HZ2" s="128"/>
      <c r="IA2" s="128" t="s">
        <v>50</v>
      </c>
      <c r="IB2" s="128"/>
      <c r="IC2" s="128"/>
      <c r="ID2" s="128"/>
      <c r="IE2" s="128" t="s">
        <v>51</v>
      </c>
      <c r="IF2" s="128"/>
      <c r="IG2" s="128"/>
      <c r="IH2" s="128"/>
      <c r="II2" s="128" t="s">
        <v>52</v>
      </c>
      <c r="IJ2" s="128"/>
      <c r="IK2" s="128"/>
      <c r="IL2" s="128"/>
      <c r="IM2" s="96" t="s">
        <v>35</v>
      </c>
      <c r="IN2" s="96" t="s">
        <v>206</v>
      </c>
      <c r="IO2" s="18" t="s">
        <v>34</v>
      </c>
      <c r="IP2" s="18" t="s">
        <v>33</v>
      </c>
      <c r="IQ2" s="18" t="s">
        <v>28</v>
      </c>
      <c r="IR2" s="132" t="s">
        <v>47</v>
      </c>
      <c r="IS2" s="132"/>
      <c r="IT2" s="132"/>
      <c r="IU2" s="132"/>
      <c r="IV2" s="132" t="s">
        <v>50</v>
      </c>
      <c r="IW2" s="132"/>
      <c r="IX2" s="132"/>
      <c r="IY2" s="132"/>
      <c r="IZ2" s="132" t="s">
        <v>51</v>
      </c>
      <c r="JA2" s="132"/>
      <c r="JB2" s="132"/>
      <c r="JC2" s="132"/>
      <c r="JD2" s="132" t="s">
        <v>52</v>
      </c>
      <c r="JE2" s="132"/>
      <c r="JF2" s="132"/>
      <c r="JG2" s="132"/>
      <c r="JH2" s="97" t="s">
        <v>35</v>
      </c>
      <c r="JI2" s="97" t="s">
        <v>206</v>
      </c>
      <c r="JJ2" s="17" t="s">
        <v>34</v>
      </c>
      <c r="JK2" s="17" t="s">
        <v>33</v>
      </c>
      <c r="JL2" s="17" t="s">
        <v>28</v>
      </c>
      <c r="JM2" s="128" t="s">
        <v>47</v>
      </c>
      <c r="JN2" s="128"/>
      <c r="JO2" s="128"/>
      <c r="JP2" s="128"/>
      <c r="JQ2" s="128" t="s">
        <v>50</v>
      </c>
      <c r="JR2" s="128"/>
      <c r="JS2" s="128"/>
      <c r="JT2" s="128"/>
      <c r="JU2" s="128" t="s">
        <v>51</v>
      </c>
      <c r="JV2" s="128"/>
      <c r="JW2" s="128"/>
      <c r="JX2" s="128"/>
      <c r="JY2" s="128" t="s">
        <v>52</v>
      </c>
      <c r="JZ2" s="128"/>
      <c r="KA2" s="128"/>
      <c r="KB2" s="128"/>
      <c r="KC2" s="96" t="s">
        <v>35</v>
      </c>
      <c r="KD2" s="96" t="s">
        <v>206</v>
      </c>
      <c r="KE2" s="18" t="s">
        <v>34</v>
      </c>
      <c r="KF2" s="18" t="s">
        <v>33</v>
      </c>
      <c r="KG2" s="18" t="s">
        <v>28</v>
      </c>
      <c r="KH2" s="132" t="s">
        <v>47</v>
      </c>
      <c r="KI2" s="132"/>
      <c r="KJ2" s="132"/>
      <c r="KK2" s="132"/>
      <c r="KL2" s="132" t="s">
        <v>50</v>
      </c>
      <c r="KM2" s="132"/>
      <c r="KN2" s="132"/>
      <c r="KO2" s="132"/>
      <c r="KP2" s="132" t="s">
        <v>51</v>
      </c>
      <c r="KQ2" s="132"/>
      <c r="KR2" s="132"/>
      <c r="KS2" s="132"/>
      <c r="KT2" s="132" t="s">
        <v>52</v>
      </c>
      <c r="KU2" s="132"/>
      <c r="KV2" s="132"/>
      <c r="KW2" s="132"/>
      <c r="KX2" s="97" t="s">
        <v>35</v>
      </c>
      <c r="KY2" s="97" t="s">
        <v>206</v>
      </c>
      <c r="KZ2" s="17" t="s">
        <v>34</v>
      </c>
      <c r="LA2" s="17" t="s">
        <v>33</v>
      </c>
      <c r="LB2" s="17" t="s">
        <v>28</v>
      </c>
      <c r="LC2" s="120" t="s">
        <v>47</v>
      </c>
      <c r="LD2" s="120"/>
      <c r="LE2" s="120"/>
      <c r="LF2" s="120"/>
      <c r="LG2" s="120" t="s">
        <v>50</v>
      </c>
      <c r="LH2" s="120"/>
      <c r="LI2" s="120"/>
      <c r="LJ2" s="120"/>
      <c r="LK2" s="120" t="s">
        <v>51</v>
      </c>
      <c r="LL2" s="120"/>
      <c r="LM2" s="120"/>
      <c r="LN2" s="120"/>
      <c r="LO2" s="128" t="s">
        <v>52</v>
      </c>
      <c r="LP2" s="128"/>
      <c r="LQ2" s="128"/>
      <c r="LR2" s="128"/>
      <c r="LS2" s="112"/>
      <c r="LT2" s="112" t="s">
        <v>35</v>
      </c>
      <c r="LU2" s="112" t="s">
        <v>206</v>
      </c>
      <c r="LV2" s="10" t="s">
        <v>34</v>
      </c>
      <c r="LW2" s="10" t="s">
        <v>33</v>
      </c>
      <c r="LX2" s="10" t="s">
        <v>28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93" t="s">
        <v>25</v>
      </c>
      <c r="R3" s="93" t="s">
        <v>17</v>
      </c>
      <c r="S3" s="93" t="s">
        <v>48</v>
      </c>
      <c r="T3" s="93" t="s">
        <v>49</v>
      </c>
      <c r="U3" s="93" t="s">
        <v>25</v>
      </c>
      <c r="V3" s="93" t="s">
        <v>17</v>
      </c>
      <c r="W3" s="93" t="s">
        <v>48</v>
      </c>
      <c r="X3" s="93" t="s">
        <v>49</v>
      </c>
      <c r="Y3" s="93" t="s">
        <v>25</v>
      </c>
      <c r="Z3" s="93" t="s">
        <v>17</v>
      </c>
      <c r="AA3" s="93" t="s">
        <v>48</v>
      </c>
      <c r="AB3" s="93" t="s">
        <v>49</v>
      </c>
      <c r="AC3" s="94" t="s">
        <v>25</v>
      </c>
      <c r="AD3" s="94" t="s">
        <v>17</v>
      </c>
      <c r="AE3" s="94" t="s">
        <v>48</v>
      </c>
      <c r="AF3" s="94" t="s">
        <v>49</v>
      </c>
      <c r="AG3" s="93" t="s">
        <v>125</v>
      </c>
      <c r="AH3" s="11"/>
      <c r="AI3" s="11"/>
      <c r="AJ3" s="10"/>
      <c r="AK3" s="11"/>
      <c r="AL3" s="11"/>
      <c r="AM3" s="92" t="s">
        <v>25</v>
      </c>
      <c r="AN3" s="92" t="s">
        <v>17</v>
      </c>
      <c r="AO3" s="92" t="s">
        <v>48</v>
      </c>
      <c r="AP3" s="92" t="s">
        <v>49</v>
      </c>
      <c r="AQ3" s="92" t="s">
        <v>25</v>
      </c>
      <c r="AR3" s="92" t="s">
        <v>17</v>
      </c>
      <c r="AS3" s="92" t="s">
        <v>48</v>
      </c>
      <c r="AT3" s="92" t="s">
        <v>49</v>
      </c>
      <c r="AU3" s="92" t="s">
        <v>25</v>
      </c>
      <c r="AV3" s="92" t="s">
        <v>17</v>
      </c>
      <c r="AW3" s="92" t="s">
        <v>48</v>
      </c>
      <c r="AX3" s="92" t="s">
        <v>49</v>
      </c>
      <c r="AY3" s="95" t="s">
        <v>25</v>
      </c>
      <c r="AZ3" s="95" t="s">
        <v>17</v>
      </c>
      <c r="BA3" s="95" t="s">
        <v>48</v>
      </c>
      <c r="BB3" s="95" t="s">
        <v>49</v>
      </c>
      <c r="BC3" s="92" t="s">
        <v>125</v>
      </c>
      <c r="BD3" s="14"/>
      <c r="BE3" s="14"/>
      <c r="BF3" s="13"/>
      <c r="BG3" s="14"/>
      <c r="BH3" s="14"/>
      <c r="BI3" s="25"/>
      <c r="BJ3" s="25"/>
      <c r="BK3" s="93" t="s">
        <v>25</v>
      </c>
      <c r="BL3" s="93" t="s">
        <v>17</v>
      </c>
      <c r="BM3" s="93" t="s">
        <v>48</v>
      </c>
      <c r="BN3" s="93" t="s">
        <v>49</v>
      </c>
      <c r="BO3" s="93" t="s">
        <v>25</v>
      </c>
      <c r="BP3" s="93" t="s">
        <v>17</v>
      </c>
      <c r="BQ3" s="93" t="s">
        <v>48</v>
      </c>
      <c r="BR3" s="93" t="s">
        <v>49</v>
      </c>
      <c r="BS3" s="93" t="s">
        <v>25</v>
      </c>
      <c r="BT3" s="93" t="s">
        <v>17</v>
      </c>
      <c r="BU3" s="93" t="s">
        <v>48</v>
      </c>
      <c r="BV3" s="93" t="s">
        <v>49</v>
      </c>
      <c r="BW3" s="94" t="s">
        <v>25</v>
      </c>
      <c r="BX3" s="94" t="s">
        <v>17</v>
      </c>
      <c r="BY3" s="94" t="s">
        <v>48</v>
      </c>
      <c r="BZ3" s="94" t="s">
        <v>49</v>
      </c>
      <c r="CA3" s="11"/>
      <c r="CB3" s="11"/>
      <c r="CC3" s="10"/>
      <c r="CD3" s="11"/>
      <c r="CE3" s="11"/>
      <c r="CF3" s="95" t="s">
        <v>25</v>
      </c>
      <c r="CG3" s="95" t="s">
        <v>17</v>
      </c>
      <c r="CH3" s="95" t="s">
        <v>48</v>
      </c>
      <c r="CI3" s="95" t="s">
        <v>49</v>
      </c>
      <c r="CJ3" s="95" t="s">
        <v>25</v>
      </c>
      <c r="CK3" s="95" t="s">
        <v>17</v>
      </c>
      <c r="CL3" s="95" t="s">
        <v>48</v>
      </c>
      <c r="CM3" s="95" t="s">
        <v>49</v>
      </c>
      <c r="CN3" s="95" t="s">
        <v>25</v>
      </c>
      <c r="CO3" s="95" t="s">
        <v>17</v>
      </c>
      <c r="CP3" s="95" t="s">
        <v>48</v>
      </c>
      <c r="CQ3" s="95" t="s">
        <v>49</v>
      </c>
      <c r="CR3" s="95" t="s">
        <v>25</v>
      </c>
      <c r="CS3" s="95" t="s">
        <v>17</v>
      </c>
      <c r="CT3" s="95" t="s">
        <v>48</v>
      </c>
      <c r="CU3" s="95" t="s">
        <v>49</v>
      </c>
      <c r="CV3" s="14"/>
      <c r="CW3" s="14"/>
      <c r="CX3" s="17"/>
      <c r="CY3" s="17"/>
      <c r="CZ3" s="17"/>
      <c r="DA3" s="94" t="s">
        <v>25</v>
      </c>
      <c r="DB3" s="94" t="s">
        <v>17</v>
      </c>
      <c r="DC3" s="94" t="s">
        <v>48</v>
      </c>
      <c r="DD3" s="94" t="s">
        <v>49</v>
      </c>
      <c r="DE3" s="94" t="s">
        <v>25</v>
      </c>
      <c r="DF3" s="94" t="s">
        <v>17</v>
      </c>
      <c r="DG3" s="94" t="s">
        <v>48</v>
      </c>
      <c r="DH3" s="94" t="s">
        <v>49</v>
      </c>
      <c r="DI3" s="94" t="s">
        <v>25</v>
      </c>
      <c r="DJ3" s="94" t="s">
        <v>17</v>
      </c>
      <c r="DK3" s="94" t="s">
        <v>48</v>
      </c>
      <c r="DL3" s="94" t="s">
        <v>49</v>
      </c>
      <c r="DM3" s="94" t="s">
        <v>25</v>
      </c>
      <c r="DN3" s="94" t="s">
        <v>17</v>
      </c>
      <c r="DO3" s="94" t="s">
        <v>48</v>
      </c>
      <c r="DP3" s="94" t="s">
        <v>49</v>
      </c>
      <c r="DQ3" s="11"/>
      <c r="DR3" s="11"/>
      <c r="DS3" s="18"/>
      <c r="DT3" s="18"/>
      <c r="DU3" s="18"/>
      <c r="DV3" s="95" t="s">
        <v>25</v>
      </c>
      <c r="DW3" s="95" t="s">
        <v>17</v>
      </c>
      <c r="DX3" s="95" t="s">
        <v>48</v>
      </c>
      <c r="DY3" s="95" t="s">
        <v>49</v>
      </c>
      <c r="DZ3" s="95" t="s">
        <v>25</v>
      </c>
      <c r="EA3" s="95" t="s">
        <v>17</v>
      </c>
      <c r="EB3" s="95" t="s">
        <v>48</v>
      </c>
      <c r="EC3" s="95" t="s">
        <v>49</v>
      </c>
      <c r="ED3" s="95" t="s">
        <v>25</v>
      </c>
      <c r="EE3" s="95" t="s">
        <v>17</v>
      </c>
      <c r="EF3" s="95" t="s">
        <v>48</v>
      </c>
      <c r="EG3" s="95" t="s">
        <v>49</v>
      </c>
      <c r="EH3" s="95" t="s">
        <v>25</v>
      </c>
      <c r="EI3" s="95" t="s">
        <v>17</v>
      </c>
      <c r="EJ3" s="95" t="s">
        <v>48</v>
      </c>
      <c r="EK3" s="95" t="s">
        <v>49</v>
      </c>
      <c r="EL3" s="14"/>
      <c r="EM3" s="14"/>
      <c r="EN3" s="17"/>
      <c r="EO3" s="17"/>
      <c r="EP3" s="17"/>
      <c r="EQ3" s="94" t="s">
        <v>25</v>
      </c>
      <c r="ER3" s="94" t="s">
        <v>17</v>
      </c>
      <c r="ES3" s="94" t="s">
        <v>48</v>
      </c>
      <c r="ET3" s="94" t="s">
        <v>49</v>
      </c>
      <c r="EU3" s="94" t="s">
        <v>25</v>
      </c>
      <c r="EV3" s="94" t="s">
        <v>17</v>
      </c>
      <c r="EW3" s="94" t="s">
        <v>48</v>
      </c>
      <c r="EX3" s="94" t="s">
        <v>49</v>
      </c>
      <c r="EY3" s="94" t="s">
        <v>25</v>
      </c>
      <c r="EZ3" s="94" t="s">
        <v>17</v>
      </c>
      <c r="FA3" s="94" t="s">
        <v>48</v>
      </c>
      <c r="FB3" s="94" t="s">
        <v>49</v>
      </c>
      <c r="FC3" s="94" t="s">
        <v>25</v>
      </c>
      <c r="FD3" s="94" t="s">
        <v>17</v>
      </c>
      <c r="FE3" s="94" t="s">
        <v>48</v>
      </c>
      <c r="FF3" s="94" t="s">
        <v>49</v>
      </c>
      <c r="FG3" s="11"/>
      <c r="FH3" s="11"/>
      <c r="FI3" s="18"/>
      <c r="FJ3" s="18"/>
      <c r="FK3" s="18"/>
      <c r="FL3" s="95" t="s">
        <v>25</v>
      </c>
      <c r="FM3" s="95" t="s">
        <v>17</v>
      </c>
      <c r="FN3" s="95" t="s">
        <v>48</v>
      </c>
      <c r="FO3" s="95" t="s">
        <v>49</v>
      </c>
      <c r="FP3" s="95" t="s">
        <v>25</v>
      </c>
      <c r="FQ3" s="95" t="s">
        <v>17</v>
      </c>
      <c r="FR3" s="95" t="s">
        <v>48</v>
      </c>
      <c r="FS3" s="95" t="s">
        <v>49</v>
      </c>
      <c r="FT3" s="95" t="s">
        <v>25</v>
      </c>
      <c r="FU3" s="95" t="s">
        <v>17</v>
      </c>
      <c r="FV3" s="95" t="s">
        <v>48</v>
      </c>
      <c r="FW3" s="95" t="s">
        <v>49</v>
      </c>
      <c r="FX3" s="95" t="s">
        <v>25</v>
      </c>
      <c r="FY3" s="95" t="s">
        <v>17</v>
      </c>
      <c r="FZ3" s="95" t="s">
        <v>48</v>
      </c>
      <c r="GA3" s="95" t="s">
        <v>49</v>
      </c>
      <c r="GB3" s="14"/>
      <c r="GC3" s="14"/>
      <c r="GD3" s="17"/>
      <c r="GE3" s="17"/>
      <c r="GF3" s="17"/>
      <c r="GG3" s="94" t="s">
        <v>25</v>
      </c>
      <c r="GH3" s="94" t="s">
        <v>17</v>
      </c>
      <c r="GI3" s="94" t="s">
        <v>48</v>
      </c>
      <c r="GJ3" s="94" t="s">
        <v>49</v>
      </c>
      <c r="GK3" s="94" t="s">
        <v>25</v>
      </c>
      <c r="GL3" s="94" t="s">
        <v>17</v>
      </c>
      <c r="GM3" s="94" t="s">
        <v>48</v>
      </c>
      <c r="GN3" s="94" t="s">
        <v>49</v>
      </c>
      <c r="GO3" s="94" t="s">
        <v>25</v>
      </c>
      <c r="GP3" s="94" t="s">
        <v>17</v>
      </c>
      <c r="GQ3" s="94" t="s">
        <v>48</v>
      </c>
      <c r="GR3" s="94" t="s">
        <v>49</v>
      </c>
      <c r="GS3" s="94" t="s">
        <v>25</v>
      </c>
      <c r="GT3" s="94" t="s">
        <v>17</v>
      </c>
      <c r="GU3" s="94" t="s">
        <v>48</v>
      </c>
      <c r="GV3" s="94" t="s">
        <v>49</v>
      </c>
      <c r="GW3" s="11"/>
      <c r="GX3" s="11"/>
      <c r="GY3" s="18"/>
      <c r="GZ3" s="18"/>
      <c r="HA3" s="18"/>
      <c r="HB3" s="95" t="s">
        <v>25</v>
      </c>
      <c r="HC3" s="95" t="s">
        <v>17</v>
      </c>
      <c r="HD3" s="95" t="s">
        <v>48</v>
      </c>
      <c r="HE3" s="95" t="s">
        <v>49</v>
      </c>
      <c r="HF3" s="95" t="s">
        <v>25</v>
      </c>
      <c r="HG3" s="95" t="s">
        <v>17</v>
      </c>
      <c r="HH3" s="95" t="s">
        <v>48</v>
      </c>
      <c r="HI3" s="95" t="s">
        <v>49</v>
      </c>
      <c r="HJ3" s="95" t="s">
        <v>25</v>
      </c>
      <c r="HK3" s="95" t="s">
        <v>17</v>
      </c>
      <c r="HL3" s="95" t="s">
        <v>48</v>
      </c>
      <c r="HM3" s="95" t="s">
        <v>49</v>
      </c>
      <c r="HN3" s="95" t="s">
        <v>25</v>
      </c>
      <c r="HO3" s="95" t="s">
        <v>17</v>
      </c>
      <c r="HP3" s="95" t="s">
        <v>48</v>
      </c>
      <c r="HQ3" s="95" t="s">
        <v>49</v>
      </c>
      <c r="HR3" s="14"/>
      <c r="HS3" s="14"/>
      <c r="HT3" s="17"/>
      <c r="HU3" s="17"/>
      <c r="HV3" s="17"/>
      <c r="HW3" s="94" t="s">
        <v>25</v>
      </c>
      <c r="HX3" s="94" t="s">
        <v>17</v>
      </c>
      <c r="HY3" s="94" t="s">
        <v>48</v>
      </c>
      <c r="HZ3" s="94" t="s">
        <v>49</v>
      </c>
      <c r="IA3" s="94" t="s">
        <v>25</v>
      </c>
      <c r="IB3" s="94" t="s">
        <v>17</v>
      </c>
      <c r="IC3" s="94" t="s">
        <v>48</v>
      </c>
      <c r="ID3" s="94" t="s">
        <v>49</v>
      </c>
      <c r="IE3" s="94" t="s">
        <v>25</v>
      </c>
      <c r="IF3" s="94" t="s">
        <v>17</v>
      </c>
      <c r="IG3" s="94" t="s">
        <v>48</v>
      </c>
      <c r="IH3" s="94" t="s">
        <v>49</v>
      </c>
      <c r="II3" s="94" t="s">
        <v>25</v>
      </c>
      <c r="IJ3" s="94" t="s">
        <v>17</v>
      </c>
      <c r="IK3" s="94" t="s">
        <v>48</v>
      </c>
      <c r="IL3" s="94" t="s">
        <v>49</v>
      </c>
      <c r="IM3" s="11"/>
      <c r="IN3" s="11"/>
      <c r="IO3" s="18"/>
      <c r="IP3" s="18"/>
      <c r="IQ3" s="18"/>
      <c r="IR3" s="95" t="s">
        <v>25</v>
      </c>
      <c r="IS3" s="95" t="s">
        <v>17</v>
      </c>
      <c r="IT3" s="95" t="s">
        <v>48</v>
      </c>
      <c r="IU3" s="95" t="s">
        <v>49</v>
      </c>
      <c r="IV3" s="95" t="s">
        <v>25</v>
      </c>
      <c r="IW3" s="95" t="s">
        <v>17</v>
      </c>
      <c r="IX3" s="95" t="s">
        <v>48</v>
      </c>
      <c r="IY3" s="95" t="s">
        <v>49</v>
      </c>
      <c r="IZ3" s="95" t="s">
        <v>25</v>
      </c>
      <c r="JA3" s="95" t="s">
        <v>17</v>
      </c>
      <c r="JB3" s="95" t="s">
        <v>48</v>
      </c>
      <c r="JC3" s="95" t="s">
        <v>49</v>
      </c>
      <c r="JD3" s="95" t="s">
        <v>25</v>
      </c>
      <c r="JE3" s="95" t="s">
        <v>17</v>
      </c>
      <c r="JF3" s="95" t="s">
        <v>48</v>
      </c>
      <c r="JG3" s="95" t="s">
        <v>49</v>
      </c>
      <c r="JH3" s="14"/>
      <c r="JI3" s="14"/>
      <c r="JJ3" s="17"/>
      <c r="JK3" s="17"/>
      <c r="JL3" s="17"/>
      <c r="JM3" s="94" t="s">
        <v>25</v>
      </c>
      <c r="JN3" s="94" t="s">
        <v>17</v>
      </c>
      <c r="JO3" s="94" t="s">
        <v>48</v>
      </c>
      <c r="JP3" s="94" t="s">
        <v>49</v>
      </c>
      <c r="JQ3" s="94" t="s">
        <v>25</v>
      </c>
      <c r="JR3" s="94" t="s">
        <v>17</v>
      </c>
      <c r="JS3" s="94" t="s">
        <v>48</v>
      </c>
      <c r="JT3" s="94" t="s">
        <v>49</v>
      </c>
      <c r="JU3" s="94" t="s">
        <v>25</v>
      </c>
      <c r="JV3" s="94" t="s">
        <v>17</v>
      </c>
      <c r="JW3" s="94" t="s">
        <v>48</v>
      </c>
      <c r="JX3" s="94" t="s">
        <v>49</v>
      </c>
      <c r="JY3" s="94" t="s">
        <v>25</v>
      </c>
      <c r="JZ3" s="94" t="s">
        <v>17</v>
      </c>
      <c r="KA3" s="94" t="s">
        <v>48</v>
      </c>
      <c r="KB3" s="94" t="s">
        <v>49</v>
      </c>
      <c r="KC3" s="11"/>
      <c r="KD3" s="11"/>
      <c r="KE3" s="18"/>
      <c r="KF3" s="18"/>
      <c r="KG3" s="18"/>
      <c r="KH3" s="95" t="s">
        <v>25</v>
      </c>
      <c r="KI3" s="95" t="s">
        <v>17</v>
      </c>
      <c r="KJ3" s="95" t="s">
        <v>48</v>
      </c>
      <c r="KK3" s="95" t="s">
        <v>49</v>
      </c>
      <c r="KL3" s="95" t="s">
        <v>25</v>
      </c>
      <c r="KM3" s="95" t="s">
        <v>17</v>
      </c>
      <c r="KN3" s="95" t="s">
        <v>48</v>
      </c>
      <c r="KO3" s="95" t="s">
        <v>49</v>
      </c>
      <c r="KP3" s="95" t="s">
        <v>25</v>
      </c>
      <c r="KQ3" s="95" t="s">
        <v>17</v>
      </c>
      <c r="KR3" s="95" t="s">
        <v>48</v>
      </c>
      <c r="KS3" s="95" t="s">
        <v>49</v>
      </c>
      <c r="KT3" s="95" t="s">
        <v>25</v>
      </c>
      <c r="KU3" s="95" t="s">
        <v>17</v>
      </c>
      <c r="KV3" s="95" t="s">
        <v>48</v>
      </c>
      <c r="KW3" s="95" t="s">
        <v>49</v>
      </c>
      <c r="KX3" s="14"/>
      <c r="KY3" s="14"/>
      <c r="KZ3" s="17"/>
      <c r="LA3" s="17"/>
      <c r="LB3" s="17"/>
      <c r="LC3" s="112" t="s">
        <v>25</v>
      </c>
      <c r="LD3" s="112" t="s">
        <v>17</v>
      </c>
      <c r="LE3" s="112" t="s">
        <v>48</v>
      </c>
      <c r="LF3" s="112" t="s">
        <v>49</v>
      </c>
      <c r="LG3" s="112" t="s">
        <v>25</v>
      </c>
      <c r="LH3" s="112" t="s">
        <v>17</v>
      </c>
      <c r="LI3" s="112" t="s">
        <v>48</v>
      </c>
      <c r="LJ3" s="112" t="s">
        <v>49</v>
      </c>
      <c r="LK3" s="112" t="s">
        <v>25</v>
      </c>
      <c r="LL3" s="112" t="s">
        <v>17</v>
      </c>
      <c r="LM3" s="112" t="s">
        <v>48</v>
      </c>
      <c r="LN3" s="112" t="s">
        <v>49</v>
      </c>
      <c r="LO3" s="113" t="s">
        <v>25</v>
      </c>
      <c r="LP3" s="113" t="s">
        <v>17</v>
      </c>
      <c r="LQ3" s="113" t="s">
        <v>48</v>
      </c>
      <c r="LR3" s="113" t="s">
        <v>49</v>
      </c>
      <c r="LS3" s="112" t="s">
        <v>125</v>
      </c>
      <c r="LT3" s="11"/>
      <c r="LU3" s="11"/>
      <c r="LV3" s="10"/>
      <c r="LW3" s="11"/>
      <c r="LX3" s="11"/>
    </row>
    <row r="4" spans="1:336" x14ac:dyDescent="0.2">
      <c r="A4" s="6">
        <f t="shared" ref="A4:A12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95</v>
      </c>
      <c r="C4" s="5" t="s">
        <v>5</v>
      </c>
      <c r="D4" s="6">
        <v>1999</v>
      </c>
      <c r="E4" s="16">
        <f t="shared" ref="E4:E12" si="1">SUM(J4:N4)</f>
        <v>205.5</v>
      </c>
      <c r="F4" s="4" t="str">
        <f t="shared" ref="F4:F12" si="2"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G4" s="4" t="str">
        <f t="shared" ref="G4:G12" si="3"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H4" s="4" t="str">
        <f t="shared" ref="H4:H12" si="4">IF(OR(AND(AJ4&gt;=AK$18,AJ4&lt;&gt;"",AG4=""),AND(BF4&gt;=BG$18,BF4&lt;&gt;"",BC4=""),AND(CC4&gt;=CD$18,CC4&lt;&gt;""),AND(CX4&gt;=CY$18,CX4&lt;&gt;""),AND(DS4&gt;=DT$18,DS4&lt;&gt;""),AND(EN4&gt;=EO$18,EN4&lt;&gt;""),AND(FI4&gt;=FJ$18,FI4&lt;&gt;""),AND(GD4&gt;=GE$18,GD4&lt;&gt;""),AND(GY4&gt;=GZ$18,GY4&lt;&gt;""),AND(HT4&gt;=HU$18,HT4&lt;&gt;""),AND(IO4&gt;=IP$18,IO4&lt;&gt;""),AND(JJ4&gt;=JK$18,JJ4&lt;&gt;""),AND(KE4&gt;=KF$18,KE4&lt;&gt;""),AND(KZ4&gt;=LA$18,KZ4&lt;&gt;"")),"P","")</f>
        <v>P</v>
      </c>
      <c r="I4" t="str">
        <f t="shared" ref="I4:I12" si="5">IF(AND(H4="P",F4=""),"No DD",IF(OR(AND(AI4&gt;=AK$17,AI4&lt;&gt;"",AL4&gt;=AK$21,AL4&lt;&gt;"",AG4=""),AND(BE4&gt;=BG$17,BE4&lt;&gt;"",BH4&gt;=BG$21,BH4&lt;&gt;"",BC4=""),AND(CB4&gt;=CD$17,CB4&lt;&gt;"",CE4&gt;=CD$21,CE4&lt;&gt;""),AND(CW4&gt;=CY$17,CW4&lt;&gt;"",CZ4&gt;=CY$21,CZ4&lt;&gt;""),AND(DR4&gt;=DT$17,DR4&lt;&gt;"",DU4&gt;=DT$21,DU4&lt;&gt;""),AND(EM4&gt;=EO$17,EM4&lt;&gt;"",EP4&gt;=EO$21,EP4&lt;&gt;""),AND(FH4&gt;=FJ$17,FH4&lt;&gt;"",FK4&gt;=FJ$21,FK4&lt;&gt;""),AND(GC4&gt;=GE$17,GC4&lt;&gt;"",GF4&gt;=GE$21,GF4&lt;&gt;""),AND(GX4&gt;=GZ$17,GX4&lt;&gt;"",HA4&gt;=GZ$21,HA4&lt;&gt;""),AND(HS4&gt;=HU$17,HS4&lt;&gt;"",HV4&gt;=HU$21,HV4&lt;&gt;""),AND(IN4&gt;=IP$17,IN4&lt;&gt;"",IQ4&gt;=IP$21,IQ4&lt;&gt;""),AND(JI4&gt;=JK$17,JI4&lt;&gt;"",JL4&gt;=JK$21,JL4&lt;&gt;""),AND(KD4&gt;=KF$17,KD4&lt;&gt;"",KG4&gt;=KF$21,KG4&lt;&gt;""),AND(KY4&gt;=LA$17,KY4&lt;&gt;"",LB4&gt;=LA$21,LB4&lt;&gt;"")),"Merit",IF(OR(AND(AI4&gt;=AK$17,AI4&lt;&gt;"",AL4&gt;=AK$20,AL4&lt;&gt;"",AG4=""),AND(BE4&gt;=BG$17,BE4&lt;&gt;"",BH4&gt;=BG$20,BH4&lt;&gt;"",BC4=""),AND(CB4&gt;=CD$17,CB4&lt;&gt;"",CE4&gt;=CD$20,CE4&lt;&gt;""),AND(CW4&gt;=CY$17,CW4&lt;&gt;"",CZ4&gt;=CY$20,CZ4&lt;&gt;""),AND(DR4&gt;=DT$17,DR4&lt;&gt;"",DU4&gt;=DT$20,DU4&lt;&gt;""),AND(EM4&gt;=EO$17,EM4&lt;&gt;"",EP4&gt;=EO$20,EP4&lt;&gt;""),AND(FH4&gt;=FJ$17,FH4&lt;&gt;"",FK4&gt;=FJ$20,FK4&lt;&gt;""),AND(GC4&gt;=GE$17,GC4&lt;&gt;"",GF4&gt;=GE$20,GF4&lt;&gt;""),AND(GX4&gt;=GZ$17,GX4&lt;&gt;"",HA4&gt;=GZ$20,HA4&lt;&gt;""),AND(HS4&gt;=HU$17,HS4&lt;&gt;"",HV4&gt;=HU$20,HV4&lt;&gt;""),AND(IN4&gt;=IP$17,IN4&lt;&gt;"",IQ4&gt;=IP$20,IQ4&lt;&gt;""),AND(JI4&gt;=JK$17,JI4&lt;&gt;"",JL4&gt;=JK$20,JL4&lt;&gt;""),AND(KD4&gt;=KF$17,KD4&lt;&gt;"",KG4&gt;=KF$20,KG4&lt;&gt;""),AND(KY4&gt;=LA$17,KY4&lt;&gt;"",LB4&gt;=LA$20,LB4&lt;&gt;"")),"Excellence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Worlds Team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National Team","")))))</f>
        <v>Merit</v>
      </c>
      <c r="J4" s="15">
        <f t="shared" ref="J4:J12" si="6">IF(MAX(AL4,BH4)&gt;0,MAX(AL4,BH4),"")</f>
        <v>137</v>
      </c>
      <c r="K4" s="15" t="str">
        <f t="shared" ref="K4:K12" si="7">IF(J4="","",IF(J4=BH4,$AM$1,IF(J4=AL4,$Q$1,"")))</f>
        <v>2018 Nationals</v>
      </c>
      <c r="L4" s="15">
        <f t="shared" ref="L4:L12" si="8">IF(J4=AL4,IF(MAX(BF4,BG4)&gt;0,MAX(BF4,BG4),""),IF(J4=BH4,IF(MAX(AJ4,AK4)&gt;0,MAX(AJ4,AK4),""),MAX(AJ4,AK4,BF4,BG4)))</f>
        <v>68</v>
      </c>
      <c r="M4" s="15" t="str">
        <f t="shared" ref="M4:M12" si="9">IF(L4="","",IF(AND(J4&lt;&gt;BH4,OR(L4=BG4,L4=BF4)),$AM$1,IF(OR(L4=AK4,L4=AJ4),$Q$1,"")))</f>
        <v>2018 3rd Domestic Trial</v>
      </c>
      <c r="N4" s="15">
        <f t="shared" ref="N4:N12" si="10">IF(MAX(BI4:BJ4)&gt;0,MAX(BI4:BJ4),"")</f>
        <v>0.5</v>
      </c>
      <c r="O4" s="27" t="str">
        <f t="shared" ref="O4:O12" si="11">IF(N4="","",IF(N4=BI4,"(4 Pass)",IF(N4=BJ4,"(2 Pass)")))</f>
        <v>(2 Pass)</v>
      </c>
      <c r="P4" s="15" t="str">
        <f t="shared" ref="P4:P12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2">
        <v>28.5</v>
      </c>
      <c r="R4" s="72">
        <v>5.6</v>
      </c>
      <c r="S4" s="72">
        <v>0</v>
      </c>
      <c r="T4" s="72">
        <v>0</v>
      </c>
      <c r="U4" s="72">
        <v>28.4</v>
      </c>
      <c r="V4" s="72">
        <v>5.6</v>
      </c>
      <c r="W4" s="72">
        <v>0</v>
      </c>
      <c r="X4" s="72">
        <v>0</v>
      </c>
      <c r="Y4" s="72">
        <v>28.7</v>
      </c>
      <c r="Z4" s="72">
        <v>5.2</v>
      </c>
      <c r="AA4" s="72">
        <v>0</v>
      </c>
      <c r="AB4" s="72">
        <v>0.5</v>
      </c>
      <c r="AC4" s="72">
        <v>28.9</v>
      </c>
      <c r="AD4" s="72">
        <v>5.6</v>
      </c>
      <c r="AE4" s="72">
        <v>0</v>
      </c>
      <c r="AF4" s="72">
        <v>0</v>
      </c>
      <c r="AG4" s="83"/>
      <c r="AH4" s="12">
        <f t="shared" ref="AH4:AH12" si="13">IF(SUM(R4,V4)&gt;0,SUM(R4,V4),"")</f>
        <v>11.2</v>
      </c>
      <c r="AI4" s="12">
        <f t="shared" ref="AI4:AI12" si="14">IF(SUM(R4,V4,Z4,AD4)&gt;0,SUM(R4,V4,Z4,AD4),"")</f>
        <v>22</v>
      </c>
      <c r="AJ4" s="12">
        <f t="shared" ref="AJ4:AJ12" si="15">IF(SUM(Q4:R4,T4:V4,X4)-SUM(S4,W4)&gt;0,SUM(Q4:R4,T4:V4,X4)-SUM(S4,W4),"")</f>
        <v>68.099999999999994</v>
      </c>
      <c r="AK4" s="12">
        <f t="shared" ref="AK4:AK12" si="16">IF(SUM(Y4:Z4,AB4:AD4,AF4)-SUM(AA4,AE4)&gt;0,SUM(Y4:Z4,AB4:AD4,AF4)-SUM(AA4,AE4),"")</f>
        <v>68.899999999999991</v>
      </c>
      <c r="AL4" s="12">
        <f t="shared" ref="AL4:AL12" si="17">IF(SUM(AJ4,AK4)&gt;0,SUM(AJ4,AK4),"")</f>
        <v>137</v>
      </c>
      <c r="AM4" s="40">
        <v>28.2</v>
      </c>
      <c r="AN4" s="40">
        <v>5.6</v>
      </c>
      <c r="AO4" s="40">
        <v>0</v>
      </c>
      <c r="AP4" s="40">
        <v>0</v>
      </c>
      <c r="AQ4" s="40">
        <v>28.6</v>
      </c>
      <c r="AR4" s="40">
        <v>5.6</v>
      </c>
      <c r="AS4" s="40">
        <v>0</v>
      </c>
      <c r="AT4" s="40">
        <v>0</v>
      </c>
      <c r="AU4" s="40">
        <v>28.5</v>
      </c>
      <c r="AV4" s="40">
        <v>5.2</v>
      </c>
      <c r="AW4" s="40">
        <v>0</v>
      </c>
      <c r="AX4" s="40">
        <v>0</v>
      </c>
      <c r="AY4" s="40">
        <v>28.4</v>
      </c>
      <c r="AZ4" s="40">
        <v>5.2</v>
      </c>
      <c r="BA4" s="40">
        <v>0.9</v>
      </c>
      <c r="BB4" s="40">
        <v>0</v>
      </c>
      <c r="BC4" s="84"/>
      <c r="BD4" s="15">
        <f t="shared" ref="BD4:BD12" si="18">IF(SUM(AN4,AR4)&gt;0,SUM(AN4,AR4),"")</f>
        <v>11.2</v>
      </c>
      <c r="BE4" s="15">
        <f t="shared" ref="BE4:BE12" si="19">IF(SUM(AN4,AR4,AV4,AZ4)&gt;0,SUM(AN4,AR4,AV4,AZ4),"")</f>
        <v>21.599999999999998</v>
      </c>
      <c r="BF4" s="15">
        <f t="shared" ref="BF4:BF12" si="20">IF(SUM(AM4:AN4,AP4:AR4,AT4)-SUM(AO4,AS4)&gt;0,SUM(AM4:AN4,AP4:AR4,AT4)-SUM(AO4,AS4),"")</f>
        <v>68</v>
      </c>
      <c r="BG4" s="15">
        <f t="shared" ref="BG4:BG12" si="21">IF(SUM(AU4:AV4,AX4:AZ4,BB4)-SUM(AW4,BA4)&gt;0,SUM(AU4:AV4,AX4:AZ4,BB4)-SUM(AW4,BA4),"")</f>
        <v>66.399999999999991</v>
      </c>
      <c r="BH4" s="15">
        <f t="shared" ref="BH4:BH12" si="22">IF(SUM(BF4,BG4)&gt;0,SUM(BF4,BG4),"")</f>
        <v>134.39999999999998</v>
      </c>
      <c r="BI4" s="26" t="str">
        <f t="shared" ref="BI4:BI12" si="23">IF(MAX(CE4,CZ4,DU4,EP4,FK4,GF4,HA4,HV4,IQ4,JL4,KG4,LB4)-IF(J4="",0,J4)&gt;0.001,MAX(CE4,CZ4,DU4,EP4,FK4,GF4,HA4,HV4,IQ4,JL4,KG4,LB4)-IF(J4="",0,J4),"")</f>
        <v/>
      </c>
      <c r="BJ4" s="26">
        <f t="shared" ref="BJ4:BJ12" si="24">IF(MAX(CC4,CD4,CX4,CY4,DS4,DT4,EN4,EO4,FI4,FJ4,GD4,GE4,GY4,GZ4,HT4,HU4,IO4,IP4,JJ4,JK4,KE4,KF4,KZ4,LA4)-IF(L4="",0,L4)&gt;0.001,MAX(CC4,CD4,CX4,CY4,DS4,DT4,EN4,EO4,FI4,FJ4,GD4,GE4,GY4,GZ4,HT4,HU4,IO4,IP4,JJ4,JK4,KE4,KF4,KZ4,LA4)-IF(L4="",0,L4),"")</f>
        <v>0.5</v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 t="shared" ref="CA4:CA12" si="25">IF(SUM(BL4,BP4)&gt;0,SUM(BL4,BP4),"")</f>
        <v/>
      </c>
      <c r="CB4" s="12" t="str">
        <f t="shared" ref="CB4:CB12" si="26">IF(SUM(BL4,BP4,BT4,BX4)&gt;0,SUM(BL4,BP4,BT4,BX4),"")</f>
        <v/>
      </c>
      <c r="CC4" s="12" t="str">
        <f t="shared" ref="CC4:CC12" si="27">IF(SUM(BK4:BL4,BN4:BP4,BR4)-SUM(BM4,BQ4)&gt;0,SUM(BK4:BL4,BN4:BP4,BR4)-SUM(BM4,BQ4),"")</f>
        <v/>
      </c>
      <c r="CD4" s="12" t="str">
        <f t="shared" ref="CD4:CD12" si="28">IF(SUM(BS4:BT4,BV4:BX4,BZ4)-SUM(BU4,BY4)&gt;0,SUM(BS4:BT4,BV4:BX4,BZ4)-SUM(BU4,BY4),"")</f>
        <v/>
      </c>
      <c r="CE4" s="12" t="str">
        <f t="shared" ref="CE4:CE12" si="29">IF(SUM(CC4,CD4)&gt;0,SUM(CC4,CD4),"")</f>
        <v/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 t="shared" ref="CV4:CV12" si="30">IF(SUM(CG4,CK4)&gt;0,SUM(CG4,CK4),"")</f>
        <v/>
      </c>
      <c r="CW4" s="15" t="str">
        <f t="shared" ref="CW4:CW12" si="31">IF(SUM(CG4,CK4,CO4,CS4)&gt;0,SUM(CG4,CK4,CO4,CS4),"")</f>
        <v/>
      </c>
      <c r="CX4" s="15" t="str">
        <f t="shared" ref="CX4:CX12" si="32">IF(SUM(CF4:CG4,CI4:CK4,CM4)-SUM(CH4,CL4)&gt;0,SUM(CF4:CG4,CI4:CK4,CM4)-SUM(CH4,CL4),"")</f>
        <v/>
      </c>
      <c r="CY4" s="15" t="str">
        <f t="shared" ref="CY4:CY12" si="33">IF(SUM(CN4:CO4,CQ4:CS4,CU4)-SUM(CP4,CT4)&gt;0,SUM(CN4:CO4,CQ4:CS4,CU4)-SUM(CP4,CT4),"")</f>
        <v/>
      </c>
      <c r="CZ4" s="15" t="str">
        <f t="shared" ref="CZ4:CZ12" si="34">IF(SUM(CX4,CY4)&gt;0,SUM(CX4,CY4),"")</f>
        <v/>
      </c>
      <c r="DA4" s="46">
        <v>28.5</v>
      </c>
      <c r="DB4" s="46">
        <v>5.6</v>
      </c>
      <c r="DC4" s="46">
        <v>0</v>
      </c>
      <c r="DD4" s="46">
        <v>0</v>
      </c>
      <c r="DE4" s="46">
        <v>28.8</v>
      </c>
      <c r="DF4" s="46">
        <v>5.6</v>
      </c>
      <c r="DG4" s="46">
        <v>0</v>
      </c>
      <c r="DH4" s="46">
        <v>0</v>
      </c>
      <c r="DI4" s="46">
        <v>27.5</v>
      </c>
      <c r="DJ4" s="46">
        <v>5.6</v>
      </c>
      <c r="DK4" s="46">
        <v>0</v>
      </c>
      <c r="DL4" s="46">
        <v>0</v>
      </c>
      <c r="DM4" s="46">
        <v>28.5</v>
      </c>
      <c r="DN4" s="46">
        <v>5.6</v>
      </c>
      <c r="DO4" s="46">
        <v>0</v>
      </c>
      <c r="DP4" s="46">
        <v>0</v>
      </c>
      <c r="DQ4" s="12">
        <f t="shared" ref="DQ4:DQ12" si="35">IF(SUM(DB4,DF4)&gt;0,SUM(DB4,DF4),"")</f>
        <v>11.2</v>
      </c>
      <c r="DR4" s="12">
        <f t="shared" ref="DR4:DR12" si="36">IF(SUM(DB4,DF4,DJ4,DN4)&gt;0,SUM(DB4,DF4,DJ4,DN4),"")</f>
        <v>22.4</v>
      </c>
      <c r="DS4" s="12">
        <f t="shared" ref="DS4:DS12" si="37">IF(SUM(DA4:DB4,DD4:DF4,DH4)-SUM(DC4,DG4)&gt;0,SUM(DA4:DB4,DD4:DF4,DH4)-SUM(DC4,DG4),"")</f>
        <v>68.5</v>
      </c>
      <c r="DT4" s="12">
        <f t="shared" ref="DT4:DT12" si="38">IF(SUM(DI4:DJ4,DL4:DN4,DP4)-SUM(DK4,DO4)&gt;0,SUM(DI4:DJ4,DL4:DN4,DP4)-SUM(DK4,DO4),"")</f>
        <v>67.2</v>
      </c>
      <c r="DU4" s="12">
        <f t="shared" ref="DU4:DU12" si="39">IF(SUM(DS4,DT4)&gt;0,SUM(DS4,DT4),"")</f>
        <v>135.69999999999999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 t="shared" ref="EL4:EL12" si="40">IF(SUM(DW4,EA4)&gt;0,SUM(DW4,EA4),"")</f>
        <v/>
      </c>
      <c r="EM4" s="15" t="str">
        <f t="shared" ref="EM4:EM12" si="41">IF(SUM(DW4,EA4,EE4,EI4)&gt;0,SUM(DW4,EA4,EE4,EI4),"")</f>
        <v/>
      </c>
      <c r="EN4" s="15" t="str">
        <f t="shared" ref="EN4:EN12" si="42">IF(SUM(DV4:DW4,DY4:EA4,EC4)-SUM(DX4,EB4)&gt;0,SUM(DV4:DW4,DY4:EA4,EC4)-SUM(DX4,EB4),"")</f>
        <v/>
      </c>
      <c r="EO4" s="15" t="str">
        <f t="shared" ref="EO4:EO12" si="43">IF(SUM(ED4:EE4,EG4:EI4,EK4)-SUM(EF4,EJ4)&gt;0,SUM(ED4:EE4,EG4:EI4,EK4)-SUM(EF4,EJ4),"")</f>
        <v/>
      </c>
      <c r="EP4" s="15" t="str">
        <f t="shared" ref="EP4:EP12" si="44"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 t="shared" ref="FG4:FG12" si="45">IF(SUM(ER4,EV4)&gt;0,SUM(ER4,EV4),"")</f>
        <v/>
      </c>
      <c r="FH4" s="12" t="str">
        <f t="shared" ref="FH4:FH12" si="46">IF(SUM(ER4,EV4,EZ4,FD4)&gt;0,SUM(ER4,EV4,EZ4,FD4),"")</f>
        <v/>
      </c>
      <c r="FI4" s="12" t="str">
        <f t="shared" ref="FI4:FI12" si="47">IF(SUM(EQ4:ER4,ET4:EV4,EX4)-SUM(ES4,EW4)&gt;0,SUM(EQ4:ER4,ET4:EV4,EX4)-SUM(ES4,EW4),"")</f>
        <v/>
      </c>
      <c r="FJ4" s="12" t="str">
        <f t="shared" ref="FJ4:FJ12" si="48">IF(SUM(EY4:EZ4,FB4:FD4,FF4)-SUM(FA4,FE4)&gt;0,SUM(EY4:EZ4,FB4:FD4,FF4)-SUM(FA4,FE4),"")</f>
        <v/>
      </c>
      <c r="FK4" s="12" t="str">
        <f t="shared" ref="FK4:FK12" si="49"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 t="shared" ref="GB4:GB12" si="50">IF(SUM(FM4,FQ4)&gt;0,SUM(FM4,FQ4),"")</f>
        <v/>
      </c>
      <c r="GC4" s="15" t="str">
        <f t="shared" ref="GC4:GC12" si="51">IF(SUM(FM4,FQ4,FU4,FY4)&gt;0,SUM(FM4,FQ4,FU4,FY4),"")</f>
        <v/>
      </c>
      <c r="GD4" s="15" t="str">
        <f t="shared" ref="GD4:GD12" si="52">IF(SUM(FL4:FM4,FO4:FQ4,FS4)-SUM(FN4,FR4)&gt;0,SUM(FL4:FM4,FO4:FQ4,FS4)-SUM(FN4,FR4),"")</f>
        <v/>
      </c>
      <c r="GE4" s="15" t="str">
        <f t="shared" ref="GE4:GE12" si="53">IF(SUM(FT4:FU4,FW4:FY4,GA4)-SUM(FV4,FZ4)&gt;0,SUM(FT4:FU4,FW4:FY4,GA4)-SUM(FV4,FZ4),"")</f>
        <v/>
      </c>
      <c r="GF4" s="15" t="str">
        <f t="shared" ref="GF4:GF12" si="54"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 t="shared" ref="GW4:GW12" si="55">IF(SUM(GH4,GL4)&gt;0,SUM(GH4,GL4),"")</f>
        <v/>
      </c>
      <c r="GX4" s="12" t="str">
        <f t="shared" ref="GX4:GX12" si="56">IF(SUM(GH4,GL4,GP4,GT4)&gt;0,SUM(GH4,GL4,GP4,GT4),"")</f>
        <v/>
      </c>
      <c r="GY4" s="12" t="str">
        <f t="shared" ref="GY4:GY12" si="57">IF(SUM(GG4:GH4,GJ4:GL4,GN4)-SUM(GI4,GM4)&gt;0,SUM(GG4:GH4,GJ4:GL4,GN4)-SUM(GI4,GM4),"")</f>
        <v/>
      </c>
      <c r="GZ4" s="12" t="str">
        <f t="shared" ref="GZ4:GZ12" si="58">IF(SUM(GO4:GP4,GR4:GT4,GV4)-SUM(GQ4,GU4)&gt;0,SUM(GO4:GP4,GR4:GT4,GV4)-SUM(GQ4,GU4),"")</f>
        <v/>
      </c>
      <c r="HA4" s="12" t="str">
        <f t="shared" ref="HA4:HA12" si="59"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 t="shared" ref="HR4:HR12" si="60">IF(SUM(HC4,HG4)&gt;0,SUM(HC4,HG4),"")</f>
        <v/>
      </c>
      <c r="HS4" s="15" t="str">
        <f t="shared" ref="HS4:HS12" si="61">IF(SUM(HC4,HG4,HK4,HO4)&gt;0,SUM(HC4,HG4,HK4,HO4),"")</f>
        <v/>
      </c>
      <c r="HT4" s="15" t="str">
        <f t="shared" ref="HT4:HT12" si="62">IF(SUM(HB4:HC4,HE4:HG4,HI4)-SUM(HD4,HH4)&gt;0,SUM(HB4:HC4,HE4:HG4,HI4)-SUM(HD4,HH4),"")</f>
        <v/>
      </c>
      <c r="HU4" s="15" t="str">
        <f t="shared" ref="HU4:HU12" si="63">IF(SUM(HJ4:HK4,HM4:HO4,HQ4)-SUM(HL4,HP4)&gt;0,SUM(HJ4:HK4,HM4:HO4,HQ4)-SUM(HL4,HP4),"")</f>
        <v/>
      </c>
      <c r="HV4" s="15" t="str">
        <f t="shared" ref="HV4:HV12" si="64"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 t="shared" ref="IM4:IM12" si="65">IF(SUM(HX4,IB4)&gt;0,SUM(HX4,IB4),"")</f>
        <v/>
      </c>
      <c r="IN4" s="12" t="str">
        <f t="shared" ref="IN4:IN12" si="66">IF(SUM(HX4,IB4,IF4,IJ4)&gt;0,SUM(HX4,IB4,IF4,IJ4),"")</f>
        <v/>
      </c>
      <c r="IO4" s="12" t="str">
        <f t="shared" ref="IO4:IO12" si="67">IF(SUM(HW4:HX4,HZ4:IB4,ID4)-SUM(HY4,IC4)&gt;0,SUM(HW4:HX4,HZ4:IB4,ID4)-SUM(HY4,IC4),"")</f>
        <v/>
      </c>
      <c r="IP4" s="12" t="str">
        <f t="shared" ref="IP4:IP12" si="68">IF(SUM(IE4:IF4,IH4:IJ4,IL4)-SUM(IG4,IK4)&gt;0,SUM(IE4:IF4,IH4:IJ4,IL4)-SUM(IG4,IK4),"")</f>
        <v/>
      </c>
      <c r="IQ4" s="12" t="str">
        <f t="shared" ref="IQ4:IQ12" si="69"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 t="shared" ref="JH4:JH12" si="70">IF(SUM(IS4,IW4)&gt;0,SUM(IS4,IW4),"")</f>
        <v/>
      </c>
      <c r="JI4" s="15" t="str">
        <f t="shared" ref="JI4:JI12" si="71">IF(SUM(IS4,IW4,JA4,JE4)&gt;0,SUM(IS4,IW4,JA4,JE4),"")</f>
        <v/>
      </c>
      <c r="JJ4" s="15" t="str">
        <f t="shared" ref="JJ4:JJ12" si="72">IF(SUM(IR4:IS4,IU4:IW4,IY4)-SUM(IT4,IX4)&gt;0,SUM(IR4:IS4,IU4:IW4,IY4)-SUM(IT4,IX4),"")</f>
        <v/>
      </c>
      <c r="JK4" s="15" t="str">
        <f t="shared" ref="JK4:JK12" si="73">IF(SUM(IZ4:JA4,JC4:JE4,JG4)-SUM(JB4,JF4)&gt;0,SUM(IZ4:JA4,JC4:JE4,JG4)-SUM(JB4,JF4),"")</f>
        <v/>
      </c>
      <c r="JL4" s="15" t="str">
        <f t="shared" ref="JL4:JL12" si="74"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 t="shared" ref="KC4:KC12" si="75">IF(SUM(JN4,JR4)&gt;0,SUM(JN4,JR4),"")</f>
        <v/>
      </c>
      <c r="KD4" s="12" t="str">
        <f t="shared" ref="KD4:KD12" si="76">IF(SUM(JN4,JR4,JV4,JZ4)&gt;0,SUM(JN4,JR4,JV4,JZ4),"")</f>
        <v/>
      </c>
      <c r="KE4" s="12" t="str">
        <f t="shared" ref="KE4:KE12" si="77">IF(SUM(JM4:JN4,JP4:JR4,JT4)-SUM(JO4,JS4)&gt;0,SUM(JM4:JN4,JP4:JR4,JT4)-SUM(JO4,JS4),"")</f>
        <v/>
      </c>
      <c r="KF4" s="12" t="str">
        <f t="shared" ref="KF4:KF12" si="78">IF(SUM(JU4:JV4,JX4:JZ4,KB4)-SUM(JW4,KA4)&gt;0,SUM(JU4:JV4,JX4:JZ4,KB4)-SUM(JW4,KA4),"")</f>
        <v/>
      </c>
      <c r="KG4" s="12" t="str">
        <f t="shared" ref="KG4:KG12" si="79"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 t="shared" ref="KX4:KX12" si="80">IF(SUM(KI4,KM4)&gt;0,SUM(KI4,KM4),"")</f>
        <v/>
      </c>
      <c r="KY4" s="15" t="str">
        <f t="shared" ref="KY4:KY12" si="81">IF(SUM(KI4,KM4,KQ4,KU4)&gt;0,SUM(KI4,KM4,KQ4,KU4),"")</f>
        <v/>
      </c>
      <c r="KZ4" s="15" t="str">
        <f t="shared" ref="KZ4:KZ12" si="82">IF(SUM(KH4:KI4,KK4:KM4,KO4)-SUM(KJ4,KN4)&gt;0,SUM(KH4:KI4,KK4:KM4,KO4)-SUM(KJ4,KN4),"")</f>
        <v/>
      </c>
      <c r="LA4" s="15" t="str">
        <f t="shared" ref="LA4:LA12" si="83">IF(SUM(KP4:KQ4,KS4:KU4,KW4)-SUM(KR4,KV4)&gt;0,SUM(KP4:KQ4,KS4:KU4,KW4)-SUM(KR4,KV4),"")</f>
        <v/>
      </c>
      <c r="LB4" s="15" t="str">
        <f t="shared" ref="LB4:LB12" si="84">IF(SUM(KZ4,LA4)&gt;0,SUM(KZ4,LA4),"")</f>
        <v/>
      </c>
      <c r="LC4" s="72">
        <f>(Q4+AM4)/2</f>
        <v>28.35</v>
      </c>
      <c r="LD4" s="72">
        <f t="shared" ref="LD4:LR4" si="85">(R4+AN4)/2</f>
        <v>5.6</v>
      </c>
      <c r="LE4" s="72">
        <f t="shared" si="85"/>
        <v>0</v>
      </c>
      <c r="LF4" s="72">
        <f t="shared" si="85"/>
        <v>0</v>
      </c>
      <c r="LG4" s="72">
        <f t="shared" si="85"/>
        <v>28.5</v>
      </c>
      <c r="LH4" s="72">
        <f t="shared" si="85"/>
        <v>5.6</v>
      </c>
      <c r="LI4" s="72">
        <f t="shared" si="85"/>
        <v>0</v>
      </c>
      <c r="LJ4" s="72">
        <f t="shared" si="85"/>
        <v>0</v>
      </c>
      <c r="LK4" s="72">
        <f t="shared" si="85"/>
        <v>28.6</v>
      </c>
      <c r="LL4" s="72">
        <f t="shared" si="85"/>
        <v>5.2</v>
      </c>
      <c r="LM4" s="72">
        <f t="shared" si="85"/>
        <v>0</v>
      </c>
      <c r="LN4" s="72">
        <f t="shared" si="85"/>
        <v>0.25</v>
      </c>
      <c r="LO4" s="72">
        <f t="shared" si="85"/>
        <v>28.65</v>
      </c>
      <c r="LP4" s="72">
        <f t="shared" si="85"/>
        <v>5.4</v>
      </c>
      <c r="LQ4" s="72">
        <f t="shared" si="85"/>
        <v>0.45</v>
      </c>
      <c r="LR4" s="72">
        <f t="shared" si="85"/>
        <v>0</v>
      </c>
      <c r="LS4" s="83" t="s">
        <v>126</v>
      </c>
      <c r="LT4" s="12">
        <f t="shared" ref="LT4" si="86">IF(SUM(LD4,LH4)&gt;0,SUM(LD4,LH4),"")</f>
        <v>11.2</v>
      </c>
      <c r="LU4" s="12">
        <f t="shared" ref="LU4" si="87">IF(SUM(LD4,LH4,LL4,LP4)&gt;0,SUM(LD4,LH4,LL4,LP4),"")</f>
        <v>21.799999999999997</v>
      </c>
      <c r="LV4" s="12">
        <f t="shared" ref="LV4" si="88">IF(SUM(LC4:LD4,LF4:LH4,LJ4)-SUM(LE4,LI4)&gt;0,SUM(LC4:LD4,LF4:LH4,LJ4)-SUM(LE4,LI4),"")</f>
        <v>68.05</v>
      </c>
      <c r="LW4" s="12">
        <f t="shared" ref="LW4" si="89">IF(SUM(LK4:LL4,LN4:LP4,LR4)-SUM(LM4,LQ4)&gt;0,SUM(LK4:LL4,LN4:LP4,LR4)-SUM(LM4,LQ4),"")</f>
        <v>67.650000000000006</v>
      </c>
      <c r="LX4" s="12">
        <f t="shared" ref="LX4" si="90">IF(SUM(LV4,LW4)&gt;0,SUM(LV4,LW4),"")</f>
        <v>135.69999999999999</v>
      </c>
    </row>
    <row r="5" spans="1:336" x14ac:dyDescent="0.2">
      <c r="A5" s="6">
        <f t="shared" si="0"/>
        <v>2</v>
      </c>
      <c r="B5" s="9" t="s">
        <v>54</v>
      </c>
      <c r="C5" s="5" t="s">
        <v>3</v>
      </c>
      <c r="D5" s="6">
        <v>1994</v>
      </c>
      <c r="E5" s="16">
        <f t="shared" si="1"/>
        <v>203.60000000000002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5">
        <f t="shared" si="6"/>
        <v>137.60000000000002</v>
      </c>
      <c r="K5" s="15" t="str">
        <f t="shared" si="7"/>
        <v>2018 Nationals</v>
      </c>
      <c r="L5" s="15">
        <f t="shared" si="8"/>
        <v>33</v>
      </c>
      <c r="M5" s="15" t="str">
        <f t="shared" si="9"/>
        <v>2018 3rd Domestic Trial</v>
      </c>
      <c r="N5" s="15">
        <f t="shared" si="10"/>
        <v>33</v>
      </c>
      <c r="O5" s="27" t="str">
        <f t="shared" si="11"/>
        <v>(2 Pass)</v>
      </c>
      <c r="P5" s="15" t="str">
        <f t="shared" si="12"/>
        <v>2018 World Championships (Nov 7)</v>
      </c>
      <c r="Q5" s="72">
        <v>28.2</v>
      </c>
      <c r="R5" s="72">
        <v>6.8</v>
      </c>
      <c r="S5" s="72">
        <v>0.9</v>
      </c>
      <c r="T5" s="72">
        <v>0.3</v>
      </c>
      <c r="U5" s="72">
        <v>28.2</v>
      </c>
      <c r="V5" s="72">
        <v>6.4</v>
      </c>
      <c r="W5" s="72">
        <v>0.9</v>
      </c>
      <c r="X5" s="72">
        <v>0.3</v>
      </c>
      <c r="Y5" s="72">
        <v>27.9</v>
      </c>
      <c r="Z5" s="72">
        <v>6.8</v>
      </c>
      <c r="AA5" s="72">
        <v>0.9</v>
      </c>
      <c r="AB5" s="72">
        <v>0.5</v>
      </c>
      <c r="AC5" s="72">
        <v>28.5</v>
      </c>
      <c r="AD5" s="72">
        <v>6.8</v>
      </c>
      <c r="AE5" s="72">
        <v>0.9</v>
      </c>
      <c r="AF5" s="72">
        <v>0.5</v>
      </c>
      <c r="AG5" s="83"/>
      <c r="AH5" s="12">
        <f t="shared" si="13"/>
        <v>13.2</v>
      </c>
      <c r="AI5" s="12">
        <f t="shared" si="14"/>
        <v>26.8</v>
      </c>
      <c r="AJ5" s="12">
        <f t="shared" si="15"/>
        <v>68.400000000000006</v>
      </c>
      <c r="AK5" s="12">
        <f t="shared" si="16"/>
        <v>69.2</v>
      </c>
      <c r="AL5" s="12">
        <f t="shared" si="17"/>
        <v>137.60000000000002</v>
      </c>
      <c r="AM5" s="40">
        <v>27.8</v>
      </c>
      <c r="AN5" s="40">
        <v>5.2</v>
      </c>
      <c r="AO5" s="40">
        <v>0</v>
      </c>
      <c r="AP5" s="40">
        <v>0</v>
      </c>
      <c r="AQ5" s="40">
        <v>0</v>
      </c>
      <c r="AR5" s="40">
        <v>0</v>
      </c>
      <c r="AS5" s="40">
        <v>0</v>
      </c>
      <c r="AT5" s="40">
        <v>0</v>
      </c>
      <c r="AU5" s="40"/>
      <c r="AV5" s="40"/>
      <c r="AW5" s="40"/>
      <c r="AX5" s="40"/>
      <c r="AY5" s="40"/>
      <c r="AZ5" s="40"/>
      <c r="BA5" s="40"/>
      <c r="BB5" s="40"/>
      <c r="BC5" s="84"/>
      <c r="BD5" s="15">
        <f t="shared" si="18"/>
        <v>5.2</v>
      </c>
      <c r="BE5" s="15">
        <f t="shared" si="19"/>
        <v>5.2</v>
      </c>
      <c r="BF5" s="15">
        <f t="shared" si="20"/>
        <v>33</v>
      </c>
      <c r="BG5" s="15" t="str">
        <f t="shared" si="21"/>
        <v/>
      </c>
      <c r="BH5" s="15">
        <f t="shared" si="22"/>
        <v>33</v>
      </c>
      <c r="BI5" s="26" t="str">
        <f t="shared" si="23"/>
        <v/>
      </c>
      <c r="BJ5" s="26">
        <f t="shared" si="24"/>
        <v>33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 t="shared" si="25"/>
        <v/>
      </c>
      <c r="CB5" s="12" t="str">
        <f t="shared" si="26"/>
        <v/>
      </c>
      <c r="CC5" s="12" t="str">
        <f t="shared" si="27"/>
        <v/>
      </c>
      <c r="CD5" s="12" t="str">
        <f t="shared" si="28"/>
        <v/>
      </c>
      <c r="CE5" s="12" t="str">
        <f t="shared" si="29"/>
        <v/>
      </c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15" t="str">
        <f t="shared" si="30"/>
        <v/>
      </c>
      <c r="CW5" s="15" t="str">
        <f t="shared" si="31"/>
        <v/>
      </c>
      <c r="CX5" s="15" t="str">
        <f t="shared" si="32"/>
        <v/>
      </c>
      <c r="CY5" s="15" t="str">
        <f t="shared" si="33"/>
        <v/>
      </c>
      <c r="CZ5" s="15" t="str">
        <f t="shared" si="34"/>
        <v/>
      </c>
      <c r="DA5" s="46">
        <v>25.3</v>
      </c>
      <c r="DB5" s="46">
        <v>6.8</v>
      </c>
      <c r="DC5" s="46">
        <v>0</v>
      </c>
      <c r="DD5" s="46">
        <v>0</v>
      </c>
      <c r="DE5" s="46">
        <v>27.5</v>
      </c>
      <c r="DF5" s="46">
        <v>6.4</v>
      </c>
      <c r="DG5" s="46">
        <v>0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 t="shared" si="35"/>
        <v>13.2</v>
      </c>
      <c r="DR5" s="12">
        <f t="shared" si="36"/>
        <v>13.2</v>
      </c>
      <c r="DS5" s="12">
        <f t="shared" si="37"/>
        <v>66</v>
      </c>
      <c r="DT5" s="12" t="str">
        <f t="shared" si="38"/>
        <v/>
      </c>
      <c r="DU5" s="12">
        <f t="shared" si="39"/>
        <v>66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 t="shared" si="40"/>
        <v/>
      </c>
      <c r="EM5" s="15" t="str">
        <f t="shared" si="41"/>
        <v/>
      </c>
      <c r="EN5" s="15" t="str">
        <f t="shared" si="42"/>
        <v/>
      </c>
      <c r="EO5" s="15" t="str">
        <f t="shared" si="43"/>
        <v/>
      </c>
      <c r="EP5" s="15" t="str">
        <f t="shared" si="44"/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 t="shared" si="45"/>
        <v/>
      </c>
      <c r="FH5" s="12" t="str">
        <f t="shared" si="46"/>
        <v/>
      </c>
      <c r="FI5" s="12" t="str">
        <f t="shared" si="47"/>
        <v/>
      </c>
      <c r="FJ5" s="12" t="str">
        <f t="shared" si="48"/>
        <v/>
      </c>
      <c r="FK5" s="12" t="str">
        <f t="shared" si="49"/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 t="shared" si="50"/>
        <v/>
      </c>
      <c r="GC5" s="15" t="str">
        <f t="shared" si="51"/>
        <v/>
      </c>
      <c r="GD5" s="15" t="str">
        <f t="shared" si="52"/>
        <v/>
      </c>
      <c r="GE5" s="15" t="str">
        <f t="shared" si="53"/>
        <v/>
      </c>
      <c r="GF5" s="15" t="str">
        <f t="shared" si="54"/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 t="shared" si="55"/>
        <v/>
      </c>
      <c r="GX5" s="12" t="str">
        <f t="shared" si="56"/>
        <v/>
      </c>
      <c r="GY5" s="12" t="str">
        <f t="shared" si="57"/>
        <v/>
      </c>
      <c r="GZ5" s="12" t="str">
        <f t="shared" si="58"/>
        <v/>
      </c>
      <c r="HA5" s="12" t="str">
        <f t="shared" si="59"/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 t="shared" si="60"/>
        <v/>
      </c>
      <c r="HS5" s="15" t="str">
        <f t="shared" si="61"/>
        <v/>
      </c>
      <c r="HT5" s="15" t="str">
        <f t="shared" si="62"/>
        <v/>
      </c>
      <c r="HU5" s="15" t="str">
        <f t="shared" si="63"/>
        <v/>
      </c>
      <c r="HV5" s="15" t="str">
        <f t="shared" si="64"/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 t="shared" si="65"/>
        <v/>
      </c>
      <c r="IN5" s="12" t="str">
        <f t="shared" si="66"/>
        <v/>
      </c>
      <c r="IO5" s="12" t="str">
        <f t="shared" si="67"/>
        <v/>
      </c>
      <c r="IP5" s="12" t="str">
        <f t="shared" si="68"/>
        <v/>
      </c>
      <c r="IQ5" s="12" t="str">
        <f t="shared" si="69"/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 t="shared" si="70"/>
        <v/>
      </c>
      <c r="JI5" s="15" t="str">
        <f t="shared" si="71"/>
        <v/>
      </c>
      <c r="JJ5" s="15" t="str">
        <f t="shared" si="72"/>
        <v/>
      </c>
      <c r="JK5" s="15" t="str">
        <f t="shared" si="73"/>
        <v/>
      </c>
      <c r="JL5" s="15" t="str">
        <f t="shared" si="74"/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 t="shared" si="75"/>
        <v/>
      </c>
      <c r="KD5" s="12" t="str">
        <f t="shared" si="76"/>
        <v/>
      </c>
      <c r="KE5" s="12" t="str">
        <f t="shared" si="77"/>
        <v/>
      </c>
      <c r="KF5" s="12" t="str">
        <f t="shared" si="78"/>
        <v/>
      </c>
      <c r="KG5" s="12" t="str">
        <f t="shared" si="79"/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 t="shared" si="80"/>
        <v/>
      </c>
      <c r="KY5" s="15" t="str">
        <f t="shared" si="81"/>
        <v/>
      </c>
      <c r="KZ5" s="15" t="str">
        <f t="shared" si="82"/>
        <v/>
      </c>
      <c r="LA5" s="15" t="str">
        <f t="shared" si="83"/>
        <v/>
      </c>
      <c r="LB5" s="15" t="str">
        <f t="shared" si="84"/>
        <v/>
      </c>
      <c r="LC5" s="72">
        <f t="shared" ref="LC5:LC12" si="91">(Q5+AM5)/2</f>
        <v>28</v>
      </c>
      <c r="LD5" s="72">
        <f t="shared" ref="LD5:LD12" si="92">(R5+AN5)/2</f>
        <v>6</v>
      </c>
      <c r="LE5" s="72">
        <f t="shared" ref="LE5:LE12" si="93">(S5+AO5)/2</f>
        <v>0.45</v>
      </c>
      <c r="LF5" s="72">
        <f t="shared" ref="LF5:LF12" si="94">(T5+AP5)/2</f>
        <v>0.15</v>
      </c>
      <c r="LG5" s="72">
        <f t="shared" ref="LG5:LG12" si="95">(U5+AQ5)/2</f>
        <v>14.1</v>
      </c>
      <c r="LH5" s="72">
        <f t="shared" ref="LH5:LH12" si="96">(V5+AR5)/2</f>
        <v>3.2</v>
      </c>
      <c r="LI5" s="72">
        <f t="shared" ref="LI5:LI12" si="97">(W5+AS5)/2</f>
        <v>0.45</v>
      </c>
      <c r="LJ5" s="72">
        <f t="shared" ref="LJ5:LJ12" si="98">(X5+AT5)/2</f>
        <v>0.15</v>
      </c>
      <c r="LK5" s="72">
        <f t="shared" ref="LK5:LK12" si="99">(Y5+AU5)/2</f>
        <v>13.95</v>
      </c>
      <c r="LL5" s="72">
        <f t="shared" ref="LL5:LL12" si="100">(Z5+AV5)/2</f>
        <v>3.4</v>
      </c>
      <c r="LM5" s="72">
        <f t="shared" ref="LM5:LM12" si="101">(AA5+AW5)/2</f>
        <v>0.45</v>
      </c>
      <c r="LN5" s="72">
        <f t="shared" ref="LN5:LN12" si="102">(AB5+AX5)/2</f>
        <v>0.25</v>
      </c>
      <c r="LO5" s="72">
        <f t="shared" ref="LO5:LO12" si="103">(AC5+AY5)/2</f>
        <v>14.25</v>
      </c>
      <c r="LP5" s="72">
        <f t="shared" ref="LP5:LP12" si="104">(AD5+AZ5)/2</f>
        <v>3.4</v>
      </c>
      <c r="LQ5" s="72">
        <f t="shared" ref="LQ5:LQ12" si="105">(AE5+BA5)/2</f>
        <v>0.45</v>
      </c>
      <c r="LR5" s="72">
        <f t="shared" ref="LR5:LR12" si="106">(AF5+BB5)/2</f>
        <v>0.25</v>
      </c>
      <c r="LS5" s="83" t="s">
        <v>126</v>
      </c>
      <c r="LT5" s="12">
        <f t="shared" ref="LT5:LT12" si="107">IF(SUM(LD5,LH5)&gt;0,SUM(LD5,LH5),"")</f>
        <v>9.1999999999999993</v>
      </c>
      <c r="LU5" s="12">
        <f t="shared" ref="LU5:LU12" si="108">IF(SUM(LD5,LH5,LL5,LP5)&gt;0,SUM(LD5,LH5,LL5,LP5),"")</f>
        <v>16</v>
      </c>
      <c r="LV5" s="12">
        <f t="shared" ref="LV5:LV12" si="109">IF(SUM(LC5:LD5,LF5:LH5,LJ5)-SUM(LE5,LI5)&gt;0,SUM(LC5:LD5,LF5:LH5,LJ5)-SUM(LE5,LI5),"")</f>
        <v>50.7</v>
      </c>
      <c r="LW5" s="12">
        <f t="shared" ref="LW5:LW12" si="110">IF(SUM(LK5:LL5,LN5:LP5,LR5)-SUM(LM5,LQ5)&gt;0,SUM(LK5:LL5,LN5:LP5,LR5)-SUM(LM5,LQ5),"")</f>
        <v>34.6</v>
      </c>
      <c r="LX5" s="12">
        <f t="shared" ref="LX5:LX12" si="111">IF(SUM(LV5,LW5)&gt;0,SUM(LV5,LW5),"")</f>
        <v>85.300000000000011</v>
      </c>
    </row>
    <row r="6" spans="1:336" x14ac:dyDescent="0.2">
      <c r="A6" s="6">
        <f t="shared" si="0"/>
        <v>3</v>
      </c>
      <c r="B6" s="9" t="s">
        <v>100</v>
      </c>
      <c r="C6" s="5" t="s">
        <v>5</v>
      </c>
      <c r="D6" s="6">
        <v>2000</v>
      </c>
      <c r="E6" s="16">
        <f t="shared" si="1"/>
        <v>202.7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Excellence</v>
      </c>
      <c r="J6" s="15">
        <f t="shared" si="6"/>
        <v>134.69999999999999</v>
      </c>
      <c r="K6" s="15" t="str">
        <f t="shared" si="7"/>
        <v>2018 Nationals</v>
      </c>
      <c r="L6" s="15">
        <f t="shared" si="8"/>
        <v>67.8</v>
      </c>
      <c r="M6" s="15" t="str">
        <f t="shared" si="9"/>
        <v>2018 3rd Domestic Trial</v>
      </c>
      <c r="N6" s="15">
        <f t="shared" si="10"/>
        <v>0.20000000000000284</v>
      </c>
      <c r="O6" s="27" t="str">
        <f t="shared" si="11"/>
        <v>(2 Pass)</v>
      </c>
      <c r="P6" s="15" t="str">
        <f t="shared" si="12"/>
        <v>2018 World Championships (Nov 7)</v>
      </c>
      <c r="Q6" s="72">
        <v>28.2</v>
      </c>
      <c r="R6" s="72">
        <v>6</v>
      </c>
      <c r="S6" s="72">
        <v>0</v>
      </c>
      <c r="T6" s="72">
        <v>0</v>
      </c>
      <c r="U6" s="72">
        <v>28.5</v>
      </c>
      <c r="V6" s="72">
        <v>5.6</v>
      </c>
      <c r="W6" s="72">
        <v>0.9</v>
      </c>
      <c r="X6" s="72">
        <v>0</v>
      </c>
      <c r="Y6" s="72">
        <v>27.8</v>
      </c>
      <c r="Z6" s="72">
        <v>5.6</v>
      </c>
      <c r="AA6" s="72">
        <v>0</v>
      </c>
      <c r="AB6" s="72">
        <v>0</v>
      </c>
      <c r="AC6" s="72">
        <v>28.7</v>
      </c>
      <c r="AD6" s="72">
        <v>5.2</v>
      </c>
      <c r="AE6" s="72">
        <v>0</v>
      </c>
      <c r="AF6" s="72">
        <v>0</v>
      </c>
      <c r="AG6" s="83"/>
      <c r="AH6" s="12">
        <f t="shared" si="13"/>
        <v>11.6</v>
      </c>
      <c r="AI6" s="12">
        <f t="shared" si="14"/>
        <v>22.4</v>
      </c>
      <c r="AJ6" s="12">
        <f t="shared" si="15"/>
        <v>67.399999999999991</v>
      </c>
      <c r="AK6" s="12">
        <f t="shared" si="16"/>
        <v>67.3</v>
      </c>
      <c r="AL6" s="12">
        <f t="shared" si="17"/>
        <v>134.69999999999999</v>
      </c>
      <c r="AM6" s="40">
        <v>27.5</v>
      </c>
      <c r="AN6" s="40">
        <v>6</v>
      </c>
      <c r="AO6" s="40">
        <v>0</v>
      </c>
      <c r="AP6" s="40">
        <v>0</v>
      </c>
      <c r="AQ6" s="40">
        <v>28.7</v>
      </c>
      <c r="AR6" s="40">
        <v>5.6</v>
      </c>
      <c r="AS6" s="40">
        <v>0</v>
      </c>
      <c r="AT6" s="40">
        <v>0</v>
      </c>
      <c r="AU6" s="40">
        <v>20.100000000000001</v>
      </c>
      <c r="AV6" s="40">
        <v>2.4</v>
      </c>
      <c r="AW6" s="40">
        <v>0</v>
      </c>
      <c r="AX6" s="40">
        <v>0</v>
      </c>
      <c r="AY6" s="40">
        <v>28.3</v>
      </c>
      <c r="AZ6" s="40">
        <v>5.2</v>
      </c>
      <c r="BA6" s="40">
        <v>0</v>
      </c>
      <c r="BB6" s="40">
        <v>0</v>
      </c>
      <c r="BC6" s="84"/>
      <c r="BD6" s="15">
        <f t="shared" si="18"/>
        <v>11.6</v>
      </c>
      <c r="BE6" s="15">
        <f t="shared" si="19"/>
        <v>19.2</v>
      </c>
      <c r="BF6" s="15">
        <f t="shared" si="20"/>
        <v>67.8</v>
      </c>
      <c r="BG6" s="15">
        <f t="shared" si="21"/>
        <v>56</v>
      </c>
      <c r="BH6" s="15">
        <f t="shared" si="22"/>
        <v>123.8</v>
      </c>
      <c r="BI6" s="26" t="str">
        <f t="shared" si="23"/>
        <v/>
      </c>
      <c r="BJ6" s="26">
        <f t="shared" si="24"/>
        <v>0.20000000000000284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 t="shared" si="25"/>
        <v/>
      </c>
      <c r="CB6" s="12" t="str">
        <f t="shared" si="26"/>
        <v/>
      </c>
      <c r="CC6" s="12" t="str">
        <f t="shared" si="27"/>
        <v/>
      </c>
      <c r="CD6" s="12" t="str">
        <f t="shared" si="28"/>
        <v/>
      </c>
      <c r="CE6" s="12" t="str">
        <f t="shared" si="29"/>
        <v/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 t="str">
        <f t="shared" si="30"/>
        <v/>
      </c>
      <c r="CW6" s="15" t="str">
        <f t="shared" si="31"/>
        <v/>
      </c>
      <c r="CX6" s="15" t="str">
        <f t="shared" si="32"/>
        <v/>
      </c>
      <c r="CY6" s="15" t="str">
        <f t="shared" si="33"/>
        <v/>
      </c>
      <c r="CZ6" s="15" t="str">
        <f t="shared" si="34"/>
        <v/>
      </c>
      <c r="DA6" s="46">
        <v>27.9</v>
      </c>
      <c r="DB6" s="46">
        <v>6.4</v>
      </c>
      <c r="DC6" s="46">
        <v>0</v>
      </c>
      <c r="DD6" s="46">
        <v>0</v>
      </c>
      <c r="DE6" s="46">
        <v>28.1</v>
      </c>
      <c r="DF6" s="46">
        <v>5.6</v>
      </c>
      <c r="DG6" s="46">
        <v>0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 t="shared" si="35"/>
        <v>12</v>
      </c>
      <c r="DR6" s="12">
        <f t="shared" si="36"/>
        <v>12</v>
      </c>
      <c r="DS6" s="12">
        <f t="shared" si="37"/>
        <v>68</v>
      </c>
      <c r="DT6" s="12" t="str">
        <f t="shared" si="38"/>
        <v/>
      </c>
      <c r="DU6" s="12">
        <f t="shared" si="39"/>
        <v>68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 t="shared" si="40"/>
        <v/>
      </c>
      <c r="EM6" s="15" t="str">
        <f t="shared" si="41"/>
        <v/>
      </c>
      <c r="EN6" s="15" t="str">
        <f t="shared" si="42"/>
        <v/>
      </c>
      <c r="EO6" s="15" t="str">
        <f t="shared" si="43"/>
        <v/>
      </c>
      <c r="EP6" s="15" t="str">
        <f t="shared" si="44"/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 t="shared" si="45"/>
        <v/>
      </c>
      <c r="FH6" s="12" t="str">
        <f t="shared" si="46"/>
        <v/>
      </c>
      <c r="FI6" s="12" t="str">
        <f t="shared" si="47"/>
        <v/>
      </c>
      <c r="FJ6" s="12" t="str">
        <f t="shared" si="48"/>
        <v/>
      </c>
      <c r="FK6" s="12" t="str">
        <f t="shared" si="49"/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 t="shared" si="50"/>
        <v/>
      </c>
      <c r="GC6" s="15" t="str">
        <f t="shared" si="51"/>
        <v/>
      </c>
      <c r="GD6" s="15" t="str">
        <f t="shared" si="52"/>
        <v/>
      </c>
      <c r="GE6" s="15" t="str">
        <f t="shared" si="53"/>
        <v/>
      </c>
      <c r="GF6" s="15" t="str">
        <f t="shared" si="54"/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 t="shared" si="55"/>
        <v/>
      </c>
      <c r="GX6" s="12" t="str">
        <f t="shared" si="56"/>
        <v/>
      </c>
      <c r="GY6" s="12" t="str">
        <f t="shared" si="57"/>
        <v/>
      </c>
      <c r="GZ6" s="12" t="str">
        <f t="shared" si="58"/>
        <v/>
      </c>
      <c r="HA6" s="12" t="str">
        <f t="shared" si="59"/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 t="shared" si="60"/>
        <v/>
      </c>
      <c r="HS6" s="15" t="str">
        <f t="shared" si="61"/>
        <v/>
      </c>
      <c r="HT6" s="15" t="str">
        <f t="shared" si="62"/>
        <v/>
      </c>
      <c r="HU6" s="15" t="str">
        <f t="shared" si="63"/>
        <v/>
      </c>
      <c r="HV6" s="15" t="str">
        <f t="shared" si="64"/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 t="shared" si="65"/>
        <v/>
      </c>
      <c r="IN6" s="12" t="str">
        <f t="shared" si="66"/>
        <v/>
      </c>
      <c r="IO6" s="12" t="str">
        <f t="shared" si="67"/>
        <v/>
      </c>
      <c r="IP6" s="12" t="str">
        <f t="shared" si="68"/>
        <v/>
      </c>
      <c r="IQ6" s="12" t="str">
        <f t="shared" si="69"/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 t="shared" si="70"/>
        <v/>
      </c>
      <c r="JI6" s="15" t="str">
        <f t="shared" si="71"/>
        <v/>
      </c>
      <c r="JJ6" s="15" t="str">
        <f t="shared" si="72"/>
        <v/>
      </c>
      <c r="JK6" s="15" t="str">
        <f t="shared" si="73"/>
        <v/>
      </c>
      <c r="JL6" s="15" t="str">
        <f t="shared" si="74"/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 t="shared" si="75"/>
        <v/>
      </c>
      <c r="KD6" s="12" t="str">
        <f t="shared" si="76"/>
        <v/>
      </c>
      <c r="KE6" s="12" t="str">
        <f t="shared" si="77"/>
        <v/>
      </c>
      <c r="KF6" s="12" t="str">
        <f t="shared" si="78"/>
        <v/>
      </c>
      <c r="KG6" s="12" t="str">
        <f t="shared" si="79"/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 t="shared" si="80"/>
        <v/>
      </c>
      <c r="KY6" s="15" t="str">
        <f t="shared" si="81"/>
        <v/>
      </c>
      <c r="KZ6" s="15" t="str">
        <f t="shared" si="82"/>
        <v/>
      </c>
      <c r="LA6" s="15" t="str">
        <f t="shared" si="83"/>
        <v/>
      </c>
      <c r="LB6" s="15" t="str">
        <f t="shared" si="84"/>
        <v/>
      </c>
      <c r="LC6" s="72">
        <f t="shared" si="91"/>
        <v>27.85</v>
      </c>
      <c r="LD6" s="72">
        <f t="shared" si="92"/>
        <v>6</v>
      </c>
      <c r="LE6" s="72">
        <f t="shared" si="93"/>
        <v>0</v>
      </c>
      <c r="LF6" s="72">
        <f t="shared" si="94"/>
        <v>0</v>
      </c>
      <c r="LG6" s="72">
        <f t="shared" si="95"/>
        <v>28.6</v>
      </c>
      <c r="LH6" s="72">
        <f t="shared" si="96"/>
        <v>5.6</v>
      </c>
      <c r="LI6" s="72">
        <f t="shared" si="97"/>
        <v>0.45</v>
      </c>
      <c r="LJ6" s="72">
        <f t="shared" si="98"/>
        <v>0</v>
      </c>
      <c r="LK6" s="72">
        <f t="shared" si="99"/>
        <v>23.950000000000003</v>
      </c>
      <c r="LL6" s="72">
        <f t="shared" si="100"/>
        <v>4</v>
      </c>
      <c r="LM6" s="72">
        <f t="shared" si="101"/>
        <v>0</v>
      </c>
      <c r="LN6" s="72">
        <f t="shared" si="102"/>
        <v>0</v>
      </c>
      <c r="LO6" s="72">
        <f t="shared" si="103"/>
        <v>28.5</v>
      </c>
      <c r="LP6" s="72">
        <f t="shared" si="104"/>
        <v>5.2</v>
      </c>
      <c r="LQ6" s="72">
        <f t="shared" si="105"/>
        <v>0</v>
      </c>
      <c r="LR6" s="72">
        <f t="shared" si="106"/>
        <v>0</v>
      </c>
      <c r="LS6" s="83" t="s">
        <v>126</v>
      </c>
      <c r="LT6" s="12">
        <f t="shared" si="107"/>
        <v>11.6</v>
      </c>
      <c r="LU6" s="12">
        <f t="shared" si="108"/>
        <v>20.8</v>
      </c>
      <c r="LV6" s="12">
        <f t="shared" si="109"/>
        <v>67.599999999999994</v>
      </c>
      <c r="LW6" s="12">
        <f t="shared" si="110"/>
        <v>61.650000000000006</v>
      </c>
      <c r="LX6" s="12">
        <f t="shared" si="111"/>
        <v>129.25</v>
      </c>
    </row>
    <row r="7" spans="1:336" x14ac:dyDescent="0.2">
      <c r="A7" s="6">
        <f t="shared" si="0"/>
        <v>4</v>
      </c>
      <c r="B7" s="9" t="s">
        <v>42</v>
      </c>
      <c r="C7" s="5" t="s">
        <v>11</v>
      </c>
      <c r="D7" s="6">
        <v>1998</v>
      </c>
      <c r="E7" s="16">
        <f t="shared" si="1"/>
        <v>202.34999999999997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5">
        <f t="shared" si="6"/>
        <v>132.44999999999999</v>
      </c>
      <c r="K7" s="15" t="str">
        <f t="shared" si="7"/>
        <v>2018 3rd Domestic Trial</v>
      </c>
      <c r="L7" s="15">
        <f t="shared" si="8"/>
        <v>67.45</v>
      </c>
      <c r="M7" s="15" t="str">
        <f t="shared" si="9"/>
        <v>2018 Nationals</v>
      </c>
      <c r="N7" s="15">
        <f t="shared" si="10"/>
        <v>2.4499999999999886</v>
      </c>
      <c r="O7" s="27" t="str">
        <f t="shared" si="11"/>
        <v>(4 Pass)</v>
      </c>
      <c r="P7" s="15" t="str">
        <f t="shared" si="12"/>
        <v>2018 Senior Pan American Championships (Sept 9)</v>
      </c>
      <c r="Q7" s="72">
        <v>28.05</v>
      </c>
      <c r="R7" s="72">
        <v>5.8</v>
      </c>
      <c r="S7" s="72">
        <v>0</v>
      </c>
      <c r="T7" s="72">
        <v>0</v>
      </c>
      <c r="U7" s="72">
        <v>28.1</v>
      </c>
      <c r="V7" s="72">
        <v>5.8</v>
      </c>
      <c r="W7" s="72">
        <v>0.45</v>
      </c>
      <c r="X7" s="72">
        <v>0.15</v>
      </c>
      <c r="Y7" s="72">
        <v>27.75</v>
      </c>
      <c r="Z7" s="72">
        <v>4.8000000000000007</v>
      </c>
      <c r="AA7" s="72">
        <v>0.9</v>
      </c>
      <c r="AB7" s="72">
        <v>0.25</v>
      </c>
      <c r="AC7" s="72">
        <v>28.15</v>
      </c>
      <c r="AD7" s="72">
        <v>5.4</v>
      </c>
      <c r="AE7" s="72">
        <v>0.45</v>
      </c>
      <c r="AF7" s="72">
        <v>0</v>
      </c>
      <c r="AG7" s="83" t="s">
        <v>126</v>
      </c>
      <c r="AH7" s="12">
        <f t="shared" si="13"/>
        <v>11.6</v>
      </c>
      <c r="AI7" s="12">
        <f t="shared" si="14"/>
        <v>21.799999999999997</v>
      </c>
      <c r="AJ7" s="12">
        <f t="shared" si="15"/>
        <v>67.45</v>
      </c>
      <c r="AK7" s="12">
        <f t="shared" si="16"/>
        <v>65</v>
      </c>
      <c r="AL7" s="12">
        <f t="shared" si="17"/>
        <v>132.44999999999999</v>
      </c>
      <c r="AM7" s="40">
        <v>28.05</v>
      </c>
      <c r="AN7" s="40">
        <v>5.8</v>
      </c>
      <c r="AO7" s="40">
        <v>0</v>
      </c>
      <c r="AP7" s="40">
        <v>0</v>
      </c>
      <c r="AQ7" s="40">
        <v>28.1</v>
      </c>
      <c r="AR7" s="40">
        <v>5.8</v>
      </c>
      <c r="AS7" s="40">
        <v>0.45</v>
      </c>
      <c r="AT7" s="40">
        <v>0.15</v>
      </c>
      <c r="AU7" s="40">
        <v>27.75</v>
      </c>
      <c r="AV7" s="40">
        <v>4.8000000000000007</v>
      </c>
      <c r="AW7" s="40">
        <v>0.9</v>
      </c>
      <c r="AX7" s="40">
        <v>0.25</v>
      </c>
      <c r="AY7" s="40">
        <v>28.15</v>
      </c>
      <c r="AZ7" s="40">
        <v>5.4</v>
      </c>
      <c r="BA7" s="40">
        <v>0.45</v>
      </c>
      <c r="BB7" s="40">
        <v>0</v>
      </c>
      <c r="BC7" s="84" t="s">
        <v>126</v>
      </c>
      <c r="BD7" s="15">
        <f t="shared" si="18"/>
        <v>11.6</v>
      </c>
      <c r="BE7" s="15">
        <f t="shared" si="19"/>
        <v>21.799999999999997</v>
      </c>
      <c r="BF7" s="15">
        <f t="shared" si="20"/>
        <v>67.45</v>
      </c>
      <c r="BG7" s="15">
        <f t="shared" si="21"/>
        <v>65</v>
      </c>
      <c r="BH7" s="15">
        <f t="shared" si="22"/>
        <v>132.44999999999999</v>
      </c>
      <c r="BI7" s="26">
        <f t="shared" si="23"/>
        <v>2.4499999999999886</v>
      </c>
      <c r="BJ7" s="26">
        <f t="shared" si="24"/>
        <v>1.75</v>
      </c>
      <c r="BK7" s="46">
        <v>28.4</v>
      </c>
      <c r="BL7" s="46">
        <v>6</v>
      </c>
      <c r="BM7" s="46">
        <v>0</v>
      </c>
      <c r="BN7" s="46">
        <v>0</v>
      </c>
      <c r="BO7" s="46">
        <v>29</v>
      </c>
      <c r="BP7" s="46">
        <v>5.2</v>
      </c>
      <c r="BQ7" s="46">
        <v>0</v>
      </c>
      <c r="BR7" s="46">
        <v>0</v>
      </c>
      <c r="BS7" s="46">
        <v>28.2</v>
      </c>
      <c r="BT7" s="46">
        <v>5.2</v>
      </c>
      <c r="BU7" s="46">
        <v>0</v>
      </c>
      <c r="BV7" s="46">
        <v>0</v>
      </c>
      <c r="BW7" s="46">
        <v>28.5</v>
      </c>
      <c r="BX7" s="46">
        <v>4.4000000000000004</v>
      </c>
      <c r="BY7" s="46">
        <v>0</v>
      </c>
      <c r="BZ7" s="46">
        <v>0</v>
      </c>
      <c r="CA7" s="12">
        <f t="shared" si="25"/>
        <v>11.2</v>
      </c>
      <c r="CB7" s="12">
        <f t="shared" si="26"/>
        <v>20.799999999999997</v>
      </c>
      <c r="CC7" s="12">
        <f t="shared" si="27"/>
        <v>68.599999999999994</v>
      </c>
      <c r="CD7" s="12">
        <f t="shared" si="28"/>
        <v>66.3</v>
      </c>
      <c r="CE7" s="12">
        <f t="shared" si="29"/>
        <v>134.89999999999998</v>
      </c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15" t="str">
        <f t="shared" si="30"/>
        <v/>
      </c>
      <c r="CW7" s="15" t="str">
        <f t="shared" si="31"/>
        <v/>
      </c>
      <c r="CX7" s="15" t="str">
        <f t="shared" si="32"/>
        <v/>
      </c>
      <c r="CY7" s="15" t="str">
        <f t="shared" si="33"/>
        <v/>
      </c>
      <c r="CZ7" s="15" t="str">
        <f t="shared" si="34"/>
        <v/>
      </c>
      <c r="DA7" s="46">
        <v>28.4</v>
      </c>
      <c r="DB7" s="46">
        <v>6.8</v>
      </c>
      <c r="DC7" s="46">
        <v>0</v>
      </c>
      <c r="DD7" s="46">
        <v>0</v>
      </c>
      <c r="DE7" s="46">
        <v>27.6</v>
      </c>
      <c r="DF7" s="46">
        <v>6.4</v>
      </c>
      <c r="DG7" s="46">
        <v>0</v>
      </c>
      <c r="DH7" s="46">
        <v>0</v>
      </c>
      <c r="DI7" s="46">
        <v>27.8</v>
      </c>
      <c r="DJ7" s="46">
        <v>6</v>
      </c>
      <c r="DK7" s="46">
        <v>0</v>
      </c>
      <c r="DL7" s="46">
        <v>0</v>
      </c>
      <c r="DM7" s="46">
        <v>27.4</v>
      </c>
      <c r="DN7" s="46">
        <v>2.8</v>
      </c>
      <c r="DO7" s="46">
        <v>0.9</v>
      </c>
      <c r="DP7" s="46">
        <v>0</v>
      </c>
      <c r="DQ7" s="12">
        <f t="shared" si="35"/>
        <v>13.2</v>
      </c>
      <c r="DR7" s="12">
        <f t="shared" si="36"/>
        <v>22</v>
      </c>
      <c r="DS7" s="12">
        <f t="shared" si="37"/>
        <v>69.2</v>
      </c>
      <c r="DT7" s="12">
        <f t="shared" si="38"/>
        <v>63.099999999999994</v>
      </c>
      <c r="DU7" s="12">
        <f t="shared" si="39"/>
        <v>132.30000000000001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 t="shared" si="40"/>
        <v/>
      </c>
      <c r="EM7" s="15" t="str">
        <f t="shared" si="41"/>
        <v/>
      </c>
      <c r="EN7" s="15" t="str">
        <f t="shared" si="42"/>
        <v/>
      </c>
      <c r="EO7" s="15" t="str">
        <f t="shared" si="43"/>
        <v/>
      </c>
      <c r="EP7" s="15" t="str">
        <f t="shared" si="44"/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 t="shared" si="45"/>
        <v/>
      </c>
      <c r="FH7" s="12" t="str">
        <f t="shared" si="46"/>
        <v/>
      </c>
      <c r="FI7" s="12" t="str">
        <f t="shared" si="47"/>
        <v/>
      </c>
      <c r="FJ7" s="12" t="str">
        <f t="shared" si="48"/>
        <v/>
      </c>
      <c r="FK7" s="12" t="str">
        <f t="shared" si="49"/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 t="shared" si="50"/>
        <v/>
      </c>
      <c r="GC7" s="15" t="str">
        <f t="shared" si="51"/>
        <v/>
      </c>
      <c r="GD7" s="15" t="str">
        <f t="shared" si="52"/>
        <v/>
      </c>
      <c r="GE7" s="15" t="str">
        <f t="shared" si="53"/>
        <v/>
      </c>
      <c r="GF7" s="15" t="str">
        <f t="shared" si="54"/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 t="shared" si="55"/>
        <v/>
      </c>
      <c r="GX7" s="12" t="str">
        <f t="shared" si="56"/>
        <v/>
      </c>
      <c r="GY7" s="12" t="str">
        <f t="shared" si="57"/>
        <v/>
      </c>
      <c r="GZ7" s="12" t="str">
        <f t="shared" si="58"/>
        <v/>
      </c>
      <c r="HA7" s="12" t="str">
        <f t="shared" si="59"/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 t="shared" si="60"/>
        <v/>
      </c>
      <c r="HS7" s="15" t="str">
        <f t="shared" si="61"/>
        <v/>
      </c>
      <c r="HT7" s="15" t="str">
        <f t="shared" si="62"/>
        <v/>
      </c>
      <c r="HU7" s="15" t="str">
        <f t="shared" si="63"/>
        <v/>
      </c>
      <c r="HV7" s="15" t="str">
        <f t="shared" si="64"/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 t="shared" si="65"/>
        <v/>
      </c>
      <c r="IN7" s="12" t="str">
        <f t="shared" si="66"/>
        <v/>
      </c>
      <c r="IO7" s="12" t="str">
        <f t="shared" si="67"/>
        <v/>
      </c>
      <c r="IP7" s="12" t="str">
        <f t="shared" si="68"/>
        <v/>
      </c>
      <c r="IQ7" s="12" t="str">
        <f t="shared" si="69"/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 t="shared" si="70"/>
        <v/>
      </c>
      <c r="JI7" s="15" t="str">
        <f t="shared" si="71"/>
        <v/>
      </c>
      <c r="JJ7" s="15" t="str">
        <f t="shared" si="72"/>
        <v/>
      </c>
      <c r="JK7" s="15" t="str">
        <f t="shared" si="73"/>
        <v/>
      </c>
      <c r="JL7" s="15" t="str">
        <f t="shared" si="74"/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 t="shared" si="75"/>
        <v/>
      </c>
      <c r="KD7" s="12" t="str">
        <f t="shared" si="76"/>
        <v/>
      </c>
      <c r="KE7" s="12" t="str">
        <f t="shared" si="77"/>
        <v/>
      </c>
      <c r="KF7" s="12" t="str">
        <f t="shared" si="78"/>
        <v/>
      </c>
      <c r="KG7" s="12" t="str">
        <f t="shared" si="79"/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 t="shared" si="80"/>
        <v/>
      </c>
      <c r="KY7" s="15" t="str">
        <f t="shared" si="81"/>
        <v/>
      </c>
      <c r="KZ7" s="15" t="str">
        <f t="shared" si="82"/>
        <v/>
      </c>
      <c r="LA7" s="15" t="str">
        <f t="shared" si="83"/>
        <v/>
      </c>
      <c r="LB7" s="15" t="str">
        <f t="shared" si="84"/>
        <v/>
      </c>
      <c r="LC7" s="72">
        <f t="shared" si="91"/>
        <v>28.05</v>
      </c>
      <c r="LD7" s="72">
        <f t="shared" si="92"/>
        <v>5.8</v>
      </c>
      <c r="LE7" s="72">
        <f t="shared" si="93"/>
        <v>0</v>
      </c>
      <c r="LF7" s="72">
        <f t="shared" si="94"/>
        <v>0</v>
      </c>
      <c r="LG7" s="72">
        <f t="shared" si="95"/>
        <v>28.1</v>
      </c>
      <c r="LH7" s="72">
        <f t="shared" si="96"/>
        <v>5.8</v>
      </c>
      <c r="LI7" s="72">
        <f t="shared" si="97"/>
        <v>0.45</v>
      </c>
      <c r="LJ7" s="72">
        <f t="shared" si="98"/>
        <v>0.15</v>
      </c>
      <c r="LK7" s="72">
        <f t="shared" si="99"/>
        <v>27.75</v>
      </c>
      <c r="LL7" s="72">
        <f t="shared" si="100"/>
        <v>4.8000000000000007</v>
      </c>
      <c r="LM7" s="72">
        <f t="shared" si="101"/>
        <v>0.9</v>
      </c>
      <c r="LN7" s="72">
        <f t="shared" si="102"/>
        <v>0.25</v>
      </c>
      <c r="LO7" s="72">
        <f t="shared" si="103"/>
        <v>28.15</v>
      </c>
      <c r="LP7" s="72">
        <f t="shared" si="104"/>
        <v>5.4</v>
      </c>
      <c r="LQ7" s="72">
        <f t="shared" si="105"/>
        <v>0.45</v>
      </c>
      <c r="LR7" s="72">
        <f t="shared" si="106"/>
        <v>0</v>
      </c>
      <c r="LS7" s="83" t="s">
        <v>126</v>
      </c>
      <c r="LT7" s="12">
        <f t="shared" si="107"/>
        <v>11.6</v>
      </c>
      <c r="LU7" s="12">
        <f t="shared" si="108"/>
        <v>21.799999999999997</v>
      </c>
      <c r="LV7" s="12">
        <f t="shared" si="109"/>
        <v>67.45</v>
      </c>
      <c r="LW7" s="12">
        <f t="shared" si="110"/>
        <v>65</v>
      </c>
      <c r="LX7" s="12">
        <f t="shared" si="111"/>
        <v>132.44999999999999</v>
      </c>
    </row>
    <row r="8" spans="1:336" x14ac:dyDescent="0.2">
      <c r="A8" s="6">
        <f t="shared" si="0"/>
        <v>5</v>
      </c>
      <c r="B8" s="9" t="s">
        <v>77</v>
      </c>
      <c r="C8" s="5" t="s">
        <v>76</v>
      </c>
      <c r="D8" s="6">
        <v>1999</v>
      </c>
      <c r="E8" s="16">
        <f t="shared" si="1"/>
        <v>198.60000000000002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131.10000000000002</v>
      </c>
      <c r="K8" s="15" t="str">
        <f t="shared" si="7"/>
        <v>2018 Nationals</v>
      </c>
      <c r="L8" s="15">
        <f t="shared" si="8"/>
        <v>67.5</v>
      </c>
      <c r="M8" s="15" t="str">
        <f t="shared" si="9"/>
        <v>2018 3rd Domestic Trial</v>
      </c>
      <c r="N8" s="15" t="str">
        <f t="shared" si="10"/>
        <v/>
      </c>
      <c r="O8" s="27" t="str">
        <f t="shared" si="11"/>
        <v/>
      </c>
      <c r="P8" s="15" t="str">
        <f t="shared" si="12"/>
        <v/>
      </c>
      <c r="Q8" s="72">
        <v>28.2</v>
      </c>
      <c r="R8" s="72">
        <v>5.6</v>
      </c>
      <c r="S8" s="72">
        <v>0</v>
      </c>
      <c r="T8" s="72">
        <v>0</v>
      </c>
      <c r="U8" s="72">
        <v>27.5</v>
      </c>
      <c r="V8" s="72">
        <v>5.2</v>
      </c>
      <c r="W8" s="72">
        <v>0.3</v>
      </c>
      <c r="X8" s="72">
        <v>0.5</v>
      </c>
      <c r="Y8" s="72">
        <v>25.6</v>
      </c>
      <c r="Z8" s="72">
        <v>6</v>
      </c>
      <c r="AA8" s="72">
        <v>0.3</v>
      </c>
      <c r="AB8" s="72">
        <v>0</v>
      </c>
      <c r="AC8" s="72">
        <v>27.9</v>
      </c>
      <c r="AD8" s="72">
        <v>5.2</v>
      </c>
      <c r="AE8" s="72">
        <v>0</v>
      </c>
      <c r="AF8" s="72">
        <v>0</v>
      </c>
      <c r="AG8" s="83"/>
      <c r="AH8" s="12">
        <f t="shared" si="13"/>
        <v>10.8</v>
      </c>
      <c r="AI8" s="12">
        <f t="shared" si="14"/>
        <v>22</v>
      </c>
      <c r="AJ8" s="12">
        <f t="shared" si="15"/>
        <v>66.7</v>
      </c>
      <c r="AK8" s="12">
        <f t="shared" si="16"/>
        <v>64.400000000000006</v>
      </c>
      <c r="AL8" s="12">
        <f t="shared" si="17"/>
        <v>131.10000000000002</v>
      </c>
      <c r="AM8" s="40">
        <v>20.100000000000001</v>
      </c>
      <c r="AN8" s="40">
        <v>2.8</v>
      </c>
      <c r="AO8" s="40">
        <v>0</v>
      </c>
      <c r="AP8" s="40">
        <v>0</v>
      </c>
      <c r="AQ8" s="40">
        <v>19.7</v>
      </c>
      <c r="AR8" s="40">
        <v>3.2</v>
      </c>
      <c r="AS8" s="40">
        <v>0</v>
      </c>
      <c r="AT8" s="40">
        <v>0</v>
      </c>
      <c r="AU8" s="40">
        <v>28.1</v>
      </c>
      <c r="AV8" s="40">
        <v>6</v>
      </c>
      <c r="AW8" s="40">
        <v>0.3</v>
      </c>
      <c r="AX8" s="40">
        <v>0</v>
      </c>
      <c r="AY8" s="40">
        <v>28.5</v>
      </c>
      <c r="AZ8" s="40">
        <v>5.2</v>
      </c>
      <c r="BA8" s="40">
        <v>0</v>
      </c>
      <c r="BB8" s="40">
        <v>0</v>
      </c>
      <c r="BC8" s="84"/>
      <c r="BD8" s="15">
        <f t="shared" si="18"/>
        <v>6</v>
      </c>
      <c r="BE8" s="15">
        <f t="shared" si="19"/>
        <v>17.2</v>
      </c>
      <c r="BF8" s="15">
        <f t="shared" si="20"/>
        <v>45.800000000000004</v>
      </c>
      <c r="BG8" s="15">
        <f t="shared" si="21"/>
        <v>67.5</v>
      </c>
      <c r="BH8" s="15">
        <f t="shared" si="22"/>
        <v>113.30000000000001</v>
      </c>
      <c r="BI8" s="26" t="str">
        <f t="shared" si="23"/>
        <v/>
      </c>
      <c r="BJ8" s="26" t="str">
        <f t="shared" si="24"/>
        <v/>
      </c>
      <c r="BK8" s="46">
        <v>25.4</v>
      </c>
      <c r="BL8" s="46">
        <v>6.4</v>
      </c>
      <c r="BM8" s="46">
        <v>0.3</v>
      </c>
      <c r="BN8" s="46">
        <v>0</v>
      </c>
      <c r="BO8" s="46">
        <v>27.7</v>
      </c>
      <c r="BP8" s="46">
        <v>6</v>
      </c>
      <c r="BQ8" s="46">
        <v>0.3</v>
      </c>
      <c r="BR8" s="46">
        <v>0</v>
      </c>
      <c r="BS8" s="46"/>
      <c r="BT8" s="46"/>
      <c r="BU8" s="46"/>
      <c r="BV8" s="46"/>
      <c r="BW8" s="46"/>
      <c r="BX8" s="46"/>
      <c r="BY8" s="46"/>
      <c r="BZ8" s="46"/>
      <c r="CA8" s="12">
        <f t="shared" si="25"/>
        <v>12.4</v>
      </c>
      <c r="CB8" s="12">
        <f t="shared" si="26"/>
        <v>12.4</v>
      </c>
      <c r="CC8" s="12">
        <f t="shared" si="27"/>
        <v>64.900000000000006</v>
      </c>
      <c r="CD8" s="12" t="str">
        <f t="shared" si="28"/>
        <v/>
      </c>
      <c r="CE8" s="12">
        <f t="shared" si="29"/>
        <v>64.900000000000006</v>
      </c>
      <c r="CF8" s="45">
        <v>27.6</v>
      </c>
      <c r="CG8" s="45">
        <v>6</v>
      </c>
      <c r="CH8" s="45">
        <v>0</v>
      </c>
      <c r="CI8" s="45">
        <v>0</v>
      </c>
      <c r="CJ8" s="45">
        <v>19.7</v>
      </c>
      <c r="CK8" s="45">
        <v>3.2</v>
      </c>
      <c r="CL8" s="45">
        <v>0</v>
      </c>
      <c r="CM8" s="45">
        <v>0</v>
      </c>
      <c r="CN8" s="45"/>
      <c r="CO8" s="45"/>
      <c r="CP8" s="45"/>
      <c r="CQ8" s="45"/>
      <c r="CR8" s="45"/>
      <c r="CS8" s="45"/>
      <c r="CT8" s="45"/>
      <c r="CU8" s="45"/>
      <c r="CV8" s="15">
        <f t="shared" si="30"/>
        <v>9.1999999999999993</v>
      </c>
      <c r="CW8" s="15">
        <f t="shared" si="31"/>
        <v>9.1999999999999993</v>
      </c>
      <c r="CX8" s="15">
        <f t="shared" si="32"/>
        <v>56.5</v>
      </c>
      <c r="CY8" s="15" t="str">
        <f t="shared" si="33"/>
        <v/>
      </c>
      <c r="CZ8" s="15">
        <f t="shared" si="34"/>
        <v>56.5</v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 t="shared" si="35"/>
        <v/>
      </c>
      <c r="DR8" s="12" t="str">
        <f t="shared" si="36"/>
        <v/>
      </c>
      <c r="DS8" s="12" t="str">
        <f t="shared" si="37"/>
        <v/>
      </c>
      <c r="DT8" s="12" t="str">
        <f t="shared" si="38"/>
        <v/>
      </c>
      <c r="DU8" s="12" t="str">
        <f t="shared" si="39"/>
        <v/>
      </c>
      <c r="DV8" s="45">
        <v>27.8</v>
      </c>
      <c r="DW8" s="45">
        <v>5.6</v>
      </c>
      <c r="DX8" s="45">
        <v>0.3</v>
      </c>
      <c r="DY8" s="45">
        <v>0</v>
      </c>
      <c r="DZ8" s="45">
        <v>27.9</v>
      </c>
      <c r="EA8" s="45">
        <v>6</v>
      </c>
      <c r="EB8" s="45">
        <v>0.3</v>
      </c>
      <c r="EC8" s="45">
        <v>0</v>
      </c>
      <c r="ED8" s="45">
        <v>27.1</v>
      </c>
      <c r="EE8" s="45">
        <v>5.6</v>
      </c>
      <c r="EF8" s="45">
        <v>1.2</v>
      </c>
      <c r="EG8" s="45">
        <v>0</v>
      </c>
      <c r="EH8" s="45">
        <v>27.4</v>
      </c>
      <c r="EI8" s="45">
        <v>5.2</v>
      </c>
      <c r="EJ8" s="45">
        <v>0.9</v>
      </c>
      <c r="EK8" s="45">
        <v>0</v>
      </c>
      <c r="EL8" s="15">
        <f t="shared" si="40"/>
        <v>11.6</v>
      </c>
      <c r="EM8" s="15">
        <f t="shared" si="41"/>
        <v>22.4</v>
      </c>
      <c r="EN8" s="15">
        <f t="shared" si="42"/>
        <v>66.7</v>
      </c>
      <c r="EO8" s="15">
        <f t="shared" si="43"/>
        <v>63.199999999999996</v>
      </c>
      <c r="EP8" s="15">
        <f t="shared" si="44"/>
        <v>129.9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 t="shared" si="45"/>
        <v/>
      </c>
      <c r="FH8" s="12" t="str">
        <f t="shared" si="46"/>
        <v/>
      </c>
      <c r="FI8" s="12" t="str">
        <f t="shared" si="47"/>
        <v/>
      </c>
      <c r="FJ8" s="12" t="str">
        <f t="shared" si="48"/>
        <v/>
      </c>
      <c r="FK8" s="12" t="str">
        <f t="shared" si="49"/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 t="shared" si="50"/>
        <v/>
      </c>
      <c r="GC8" s="15" t="str">
        <f t="shared" si="51"/>
        <v/>
      </c>
      <c r="GD8" s="15" t="str">
        <f t="shared" si="52"/>
        <v/>
      </c>
      <c r="GE8" s="15" t="str">
        <f t="shared" si="53"/>
        <v/>
      </c>
      <c r="GF8" s="15" t="str">
        <f t="shared" si="54"/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 t="shared" si="55"/>
        <v/>
      </c>
      <c r="GX8" s="12" t="str">
        <f t="shared" si="56"/>
        <v/>
      </c>
      <c r="GY8" s="12" t="str">
        <f t="shared" si="57"/>
        <v/>
      </c>
      <c r="GZ8" s="12" t="str">
        <f t="shared" si="58"/>
        <v/>
      </c>
      <c r="HA8" s="12" t="str">
        <f t="shared" si="59"/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 t="shared" si="60"/>
        <v/>
      </c>
      <c r="HS8" s="15" t="str">
        <f t="shared" si="61"/>
        <v/>
      </c>
      <c r="HT8" s="15" t="str">
        <f t="shared" si="62"/>
        <v/>
      </c>
      <c r="HU8" s="15" t="str">
        <f t="shared" si="63"/>
        <v/>
      </c>
      <c r="HV8" s="15" t="str">
        <f t="shared" si="64"/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 t="shared" si="65"/>
        <v/>
      </c>
      <c r="IN8" s="12" t="str">
        <f t="shared" si="66"/>
        <v/>
      </c>
      <c r="IO8" s="12" t="str">
        <f t="shared" si="67"/>
        <v/>
      </c>
      <c r="IP8" s="12" t="str">
        <f t="shared" si="68"/>
        <v/>
      </c>
      <c r="IQ8" s="12" t="str">
        <f t="shared" si="69"/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 t="shared" si="70"/>
        <v/>
      </c>
      <c r="JI8" s="15" t="str">
        <f t="shared" si="71"/>
        <v/>
      </c>
      <c r="JJ8" s="15" t="str">
        <f t="shared" si="72"/>
        <v/>
      </c>
      <c r="JK8" s="15" t="str">
        <f t="shared" si="73"/>
        <v/>
      </c>
      <c r="JL8" s="15" t="str">
        <f t="shared" si="74"/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 t="shared" si="75"/>
        <v/>
      </c>
      <c r="KD8" s="12" t="str">
        <f t="shared" si="76"/>
        <v/>
      </c>
      <c r="KE8" s="12" t="str">
        <f t="shared" si="77"/>
        <v/>
      </c>
      <c r="KF8" s="12" t="str">
        <f t="shared" si="78"/>
        <v/>
      </c>
      <c r="KG8" s="12" t="str">
        <f t="shared" si="79"/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 t="shared" si="80"/>
        <v/>
      </c>
      <c r="KY8" s="15" t="str">
        <f t="shared" si="81"/>
        <v/>
      </c>
      <c r="KZ8" s="15" t="str">
        <f t="shared" si="82"/>
        <v/>
      </c>
      <c r="LA8" s="15" t="str">
        <f t="shared" si="83"/>
        <v/>
      </c>
      <c r="LB8" s="15" t="str">
        <f t="shared" si="84"/>
        <v/>
      </c>
      <c r="LC8" s="72">
        <f t="shared" si="91"/>
        <v>24.15</v>
      </c>
      <c r="LD8" s="72">
        <f t="shared" si="92"/>
        <v>4.1999999999999993</v>
      </c>
      <c r="LE8" s="72">
        <f t="shared" si="93"/>
        <v>0</v>
      </c>
      <c r="LF8" s="72">
        <f t="shared" si="94"/>
        <v>0</v>
      </c>
      <c r="LG8" s="72">
        <f t="shared" si="95"/>
        <v>23.6</v>
      </c>
      <c r="LH8" s="72">
        <f t="shared" si="96"/>
        <v>4.2</v>
      </c>
      <c r="LI8" s="72">
        <f t="shared" si="97"/>
        <v>0.15</v>
      </c>
      <c r="LJ8" s="72">
        <f t="shared" si="98"/>
        <v>0.25</v>
      </c>
      <c r="LK8" s="72">
        <f t="shared" si="99"/>
        <v>26.85</v>
      </c>
      <c r="LL8" s="72">
        <f t="shared" si="100"/>
        <v>6</v>
      </c>
      <c r="LM8" s="72">
        <f t="shared" si="101"/>
        <v>0.3</v>
      </c>
      <c r="LN8" s="72">
        <f t="shared" si="102"/>
        <v>0</v>
      </c>
      <c r="LO8" s="72">
        <f t="shared" si="103"/>
        <v>28.2</v>
      </c>
      <c r="LP8" s="72">
        <f t="shared" si="104"/>
        <v>5.2</v>
      </c>
      <c r="LQ8" s="72">
        <f t="shared" si="105"/>
        <v>0</v>
      </c>
      <c r="LR8" s="72">
        <f t="shared" si="106"/>
        <v>0</v>
      </c>
      <c r="LS8" s="83" t="s">
        <v>126</v>
      </c>
      <c r="LT8" s="12">
        <f t="shared" si="107"/>
        <v>8.3999999999999986</v>
      </c>
      <c r="LU8" s="12">
        <f t="shared" si="108"/>
        <v>19.599999999999998</v>
      </c>
      <c r="LV8" s="12">
        <f t="shared" si="109"/>
        <v>56.250000000000007</v>
      </c>
      <c r="LW8" s="12">
        <f t="shared" si="110"/>
        <v>65.95</v>
      </c>
      <c r="LX8" s="12">
        <f t="shared" si="111"/>
        <v>122.20000000000002</v>
      </c>
    </row>
    <row r="9" spans="1:336" x14ac:dyDescent="0.2">
      <c r="A9" s="6">
        <f t="shared" si="0"/>
        <v>6</v>
      </c>
      <c r="B9" s="9" t="s">
        <v>75</v>
      </c>
      <c r="C9" s="5" t="s">
        <v>76</v>
      </c>
      <c r="D9" s="6">
        <v>1998</v>
      </c>
      <c r="E9" s="16">
        <f t="shared" si="1"/>
        <v>198.7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130.4</v>
      </c>
      <c r="K9" s="15" t="str">
        <f t="shared" si="7"/>
        <v>2018 Nationals</v>
      </c>
      <c r="L9" s="15">
        <f t="shared" si="8"/>
        <v>57.6</v>
      </c>
      <c r="M9" s="15" t="str">
        <f t="shared" si="9"/>
        <v>2018 3rd Domestic Trial</v>
      </c>
      <c r="N9" s="15">
        <f t="shared" si="10"/>
        <v>10.699999999999996</v>
      </c>
      <c r="O9" s="27" t="str">
        <f t="shared" si="11"/>
        <v>(2 Pass)</v>
      </c>
      <c r="P9" s="15" t="str">
        <f t="shared" si="12"/>
        <v>2018 Senior Pan American Championships (Sept 9)</v>
      </c>
      <c r="Q9" s="72">
        <f>27.7+3</f>
        <v>30.7</v>
      </c>
      <c r="R9" s="72">
        <f>6.4-3</f>
        <v>3.4000000000000004</v>
      </c>
      <c r="S9" s="72">
        <v>1.2</v>
      </c>
      <c r="T9" s="72">
        <v>0</v>
      </c>
      <c r="U9" s="72">
        <v>28</v>
      </c>
      <c r="V9" s="72">
        <v>6.8</v>
      </c>
      <c r="W9" s="72">
        <v>0</v>
      </c>
      <c r="X9" s="72">
        <v>0.3</v>
      </c>
      <c r="Y9" s="72">
        <v>28.3</v>
      </c>
      <c r="Z9" s="72">
        <v>5.2</v>
      </c>
      <c r="AA9" s="72">
        <v>0.9</v>
      </c>
      <c r="AB9" s="72">
        <v>0.5</v>
      </c>
      <c r="AC9" s="72">
        <v>26.9</v>
      </c>
      <c r="AD9" s="72">
        <v>2.4</v>
      </c>
      <c r="AE9" s="72">
        <v>0</v>
      </c>
      <c r="AF9" s="72">
        <v>0</v>
      </c>
      <c r="AG9" s="83"/>
      <c r="AH9" s="12">
        <f t="shared" si="13"/>
        <v>10.199999999999999</v>
      </c>
      <c r="AI9" s="12">
        <f t="shared" si="14"/>
        <v>17.799999999999997</v>
      </c>
      <c r="AJ9" s="12">
        <f t="shared" si="15"/>
        <v>68</v>
      </c>
      <c r="AK9" s="12">
        <f t="shared" si="16"/>
        <v>62.4</v>
      </c>
      <c r="AL9" s="12">
        <f t="shared" si="17"/>
        <v>130.4</v>
      </c>
      <c r="AM9" s="40">
        <v>27.9</v>
      </c>
      <c r="AN9" s="40">
        <v>6.4</v>
      </c>
      <c r="AO9" s="40">
        <v>0</v>
      </c>
      <c r="AP9" s="40">
        <v>0</v>
      </c>
      <c r="AQ9" s="40">
        <v>20.100000000000001</v>
      </c>
      <c r="AR9" s="40">
        <v>3.2</v>
      </c>
      <c r="AS9" s="40">
        <v>0</v>
      </c>
      <c r="AT9" s="40">
        <v>0</v>
      </c>
      <c r="AU9" s="40">
        <v>25.5</v>
      </c>
      <c r="AV9" s="40">
        <v>5.2</v>
      </c>
      <c r="AW9" s="40">
        <v>1.2</v>
      </c>
      <c r="AX9" s="40">
        <v>0</v>
      </c>
      <c r="AY9" s="40">
        <v>0</v>
      </c>
      <c r="AZ9" s="40">
        <v>0</v>
      </c>
      <c r="BA9" s="40">
        <v>0</v>
      </c>
      <c r="BB9" s="40">
        <v>0</v>
      </c>
      <c r="BC9" s="84"/>
      <c r="BD9" s="15">
        <f t="shared" si="18"/>
        <v>9.6000000000000014</v>
      </c>
      <c r="BE9" s="15">
        <f t="shared" si="19"/>
        <v>14.8</v>
      </c>
      <c r="BF9" s="15">
        <f t="shared" si="20"/>
        <v>57.6</v>
      </c>
      <c r="BG9" s="15">
        <f t="shared" si="21"/>
        <v>29.5</v>
      </c>
      <c r="BH9" s="15">
        <f t="shared" si="22"/>
        <v>87.1</v>
      </c>
      <c r="BI9" s="26" t="str">
        <f t="shared" si="23"/>
        <v/>
      </c>
      <c r="BJ9" s="26">
        <f t="shared" si="24"/>
        <v>10.699999999999996</v>
      </c>
      <c r="BK9" s="46">
        <v>27.9</v>
      </c>
      <c r="BL9" s="46">
        <v>6.4</v>
      </c>
      <c r="BM9" s="46">
        <v>0.3</v>
      </c>
      <c r="BN9" s="46">
        <v>0</v>
      </c>
      <c r="BO9" s="46">
        <v>27.8</v>
      </c>
      <c r="BP9" s="46">
        <v>6.8</v>
      </c>
      <c r="BQ9" s="46">
        <v>0.3</v>
      </c>
      <c r="BR9" s="46">
        <v>0</v>
      </c>
      <c r="BS9" s="46">
        <v>27.4</v>
      </c>
      <c r="BT9" s="46">
        <v>5.2</v>
      </c>
      <c r="BU9" s="46">
        <v>1.5</v>
      </c>
      <c r="BV9" s="46">
        <v>0</v>
      </c>
      <c r="BW9" s="46">
        <v>27</v>
      </c>
      <c r="BX9" s="46">
        <v>2.4</v>
      </c>
      <c r="BY9" s="46">
        <v>1.2</v>
      </c>
      <c r="BZ9" s="46">
        <v>0</v>
      </c>
      <c r="CA9" s="12">
        <f t="shared" si="25"/>
        <v>13.2</v>
      </c>
      <c r="CB9" s="12">
        <f t="shared" si="26"/>
        <v>20.799999999999997</v>
      </c>
      <c r="CC9" s="12">
        <f t="shared" si="27"/>
        <v>68.3</v>
      </c>
      <c r="CD9" s="12">
        <f t="shared" si="28"/>
        <v>59.3</v>
      </c>
      <c r="CE9" s="12">
        <f t="shared" si="29"/>
        <v>127.6</v>
      </c>
      <c r="CF9" s="45">
        <v>26.7</v>
      </c>
      <c r="CG9" s="45">
        <v>6.4</v>
      </c>
      <c r="CH9" s="45">
        <v>1.2</v>
      </c>
      <c r="CI9" s="45">
        <v>0</v>
      </c>
      <c r="CJ9" s="45">
        <v>25</v>
      </c>
      <c r="CK9" s="45">
        <v>6.8</v>
      </c>
      <c r="CL9" s="45">
        <v>0.9</v>
      </c>
      <c r="CM9" s="45">
        <v>0</v>
      </c>
      <c r="CN9" s="45"/>
      <c r="CO9" s="45"/>
      <c r="CP9" s="45"/>
      <c r="CQ9" s="45"/>
      <c r="CR9" s="45"/>
      <c r="CS9" s="45"/>
      <c r="CT9" s="45"/>
      <c r="CU9" s="45"/>
      <c r="CV9" s="15">
        <f t="shared" si="30"/>
        <v>13.2</v>
      </c>
      <c r="CW9" s="15">
        <f t="shared" si="31"/>
        <v>13.2</v>
      </c>
      <c r="CX9" s="15">
        <f t="shared" si="32"/>
        <v>62.800000000000004</v>
      </c>
      <c r="CY9" s="15" t="str">
        <f t="shared" si="33"/>
        <v/>
      </c>
      <c r="CZ9" s="15">
        <f t="shared" si="34"/>
        <v>62.800000000000004</v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 t="shared" si="35"/>
        <v/>
      </c>
      <c r="DR9" s="12" t="str">
        <f t="shared" si="36"/>
        <v/>
      </c>
      <c r="DS9" s="12" t="str">
        <f t="shared" si="37"/>
        <v/>
      </c>
      <c r="DT9" s="12" t="str">
        <f t="shared" si="38"/>
        <v/>
      </c>
      <c r="DU9" s="12" t="str">
        <f t="shared" si="39"/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 t="shared" si="40"/>
        <v/>
      </c>
      <c r="EM9" s="15" t="str">
        <f t="shared" si="41"/>
        <v/>
      </c>
      <c r="EN9" s="15" t="str">
        <f t="shared" si="42"/>
        <v/>
      </c>
      <c r="EO9" s="15" t="str">
        <f t="shared" si="43"/>
        <v/>
      </c>
      <c r="EP9" s="15" t="str">
        <f t="shared" si="44"/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 t="shared" si="45"/>
        <v/>
      </c>
      <c r="FH9" s="12" t="str">
        <f t="shared" si="46"/>
        <v/>
      </c>
      <c r="FI9" s="12" t="str">
        <f t="shared" si="47"/>
        <v/>
      </c>
      <c r="FJ9" s="12" t="str">
        <f t="shared" si="48"/>
        <v/>
      </c>
      <c r="FK9" s="12" t="str">
        <f t="shared" si="49"/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 t="shared" si="50"/>
        <v/>
      </c>
      <c r="GC9" s="15" t="str">
        <f t="shared" si="51"/>
        <v/>
      </c>
      <c r="GD9" s="15" t="str">
        <f t="shared" si="52"/>
        <v/>
      </c>
      <c r="GE9" s="15" t="str">
        <f t="shared" si="53"/>
        <v/>
      </c>
      <c r="GF9" s="15" t="str">
        <f t="shared" si="54"/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 t="shared" si="55"/>
        <v/>
      </c>
      <c r="GX9" s="12" t="str">
        <f t="shared" si="56"/>
        <v/>
      </c>
      <c r="GY9" s="12" t="str">
        <f t="shared" si="57"/>
        <v/>
      </c>
      <c r="GZ9" s="12" t="str">
        <f t="shared" si="58"/>
        <v/>
      </c>
      <c r="HA9" s="12" t="str">
        <f t="shared" si="59"/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 t="shared" si="60"/>
        <v/>
      </c>
      <c r="HS9" s="15" t="str">
        <f t="shared" si="61"/>
        <v/>
      </c>
      <c r="HT9" s="15" t="str">
        <f t="shared" si="62"/>
        <v/>
      </c>
      <c r="HU9" s="15" t="str">
        <f t="shared" si="63"/>
        <v/>
      </c>
      <c r="HV9" s="15" t="str">
        <f t="shared" si="64"/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 t="shared" si="65"/>
        <v/>
      </c>
      <c r="IN9" s="12" t="str">
        <f t="shared" si="66"/>
        <v/>
      </c>
      <c r="IO9" s="12" t="str">
        <f t="shared" si="67"/>
        <v/>
      </c>
      <c r="IP9" s="12" t="str">
        <f t="shared" si="68"/>
        <v/>
      </c>
      <c r="IQ9" s="12" t="str">
        <f t="shared" si="69"/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 t="shared" si="70"/>
        <v/>
      </c>
      <c r="JI9" s="15" t="str">
        <f t="shared" si="71"/>
        <v/>
      </c>
      <c r="JJ9" s="15" t="str">
        <f t="shared" si="72"/>
        <v/>
      </c>
      <c r="JK9" s="15" t="str">
        <f t="shared" si="73"/>
        <v/>
      </c>
      <c r="JL9" s="15" t="str">
        <f t="shared" si="74"/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 t="shared" si="75"/>
        <v/>
      </c>
      <c r="KD9" s="12" t="str">
        <f t="shared" si="76"/>
        <v/>
      </c>
      <c r="KE9" s="12" t="str">
        <f t="shared" si="77"/>
        <v/>
      </c>
      <c r="KF9" s="12" t="str">
        <f t="shared" si="78"/>
        <v/>
      </c>
      <c r="KG9" s="12" t="str">
        <f t="shared" si="79"/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 t="shared" si="80"/>
        <v/>
      </c>
      <c r="KY9" s="15" t="str">
        <f t="shared" si="81"/>
        <v/>
      </c>
      <c r="KZ9" s="15" t="str">
        <f t="shared" si="82"/>
        <v/>
      </c>
      <c r="LA9" s="15" t="str">
        <f t="shared" si="83"/>
        <v/>
      </c>
      <c r="LB9" s="15" t="str">
        <f t="shared" si="84"/>
        <v/>
      </c>
      <c r="LC9" s="72">
        <f t="shared" si="91"/>
        <v>29.299999999999997</v>
      </c>
      <c r="LD9" s="72">
        <f t="shared" si="92"/>
        <v>4.9000000000000004</v>
      </c>
      <c r="LE9" s="72">
        <f t="shared" si="93"/>
        <v>0.6</v>
      </c>
      <c r="LF9" s="72">
        <f t="shared" si="94"/>
        <v>0</v>
      </c>
      <c r="LG9" s="72">
        <f t="shared" si="95"/>
        <v>24.05</v>
      </c>
      <c r="LH9" s="72">
        <f t="shared" si="96"/>
        <v>5</v>
      </c>
      <c r="LI9" s="72">
        <f t="shared" si="97"/>
        <v>0</v>
      </c>
      <c r="LJ9" s="72">
        <f t="shared" si="98"/>
        <v>0.15</v>
      </c>
      <c r="LK9" s="72">
        <f t="shared" si="99"/>
        <v>26.9</v>
      </c>
      <c r="LL9" s="72">
        <f t="shared" si="100"/>
        <v>5.2</v>
      </c>
      <c r="LM9" s="72">
        <f t="shared" si="101"/>
        <v>1.05</v>
      </c>
      <c r="LN9" s="72">
        <f t="shared" si="102"/>
        <v>0.25</v>
      </c>
      <c r="LO9" s="72">
        <f t="shared" si="103"/>
        <v>13.45</v>
      </c>
      <c r="LP9" s="72">
        <f t="shared" si="104"/>
        <v>1.2</v>
      </c>
      <c r="LQ9" s="72">
        <f t="shared" si="105"/>
        <v>0</v>
      </c>
      <c r="LR9" s="72">
        <f t="shared" si="106"/>
        <v>0</v>
      </c>
      <c r="LS9" s="83" t="s">
        <v>126</v>
      </c>
      <c r="LT9" s="12">
        <f t="shared" si="107"/>
        <v>9.9</v>
      </c>
      <c r="LU9" s="12">
        <f t="shared" si="108"/>
        <v>16.3</v>
      </c>
      <c r="LV9" s="12">
        <f t="shared" si="109"/>
        <v>62.8</v>
      </c>
      <c r="LW9" s="12">
        <f t="shared" si="110"/>
        <v>45.95</v>
      </c>
      <c r="LX9" s="12">
        <f t="shared" si="111"/>
        <v>108.75</v>
      </c>
    </row>
    <row r="10" spans="1:336" x14ac:dyDescent="0.2">
      <c r="A10" s="6" t="str">
        <f t="shared" si="0"/>
        <v/>
      </c>
      <c r="B10" s="9" t="s">
        <v>53</v>
      </c>
      <c r="C10" s="5" t="s">
        <v>7</v>
      </c>
      <c r="D10" s="6">
        <v>1996</v>
      </c>
      <c r="E10" s="16">
        <f t="shared" si="1"/>
        <v>196.92500000000001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129.07500000000002</v>
      </c>
      <c r="K10" s="15" t="str">
        <f t="shared" si="7"/>
        <v>2018 3rd Domestic Trial</v>
      </c>
      <c r="L10" s="15">
        <f t="shared" si="8"/>
        <v>67.850000000000009</v>
      </c>
      <c r="M10" s="15" t="str">
        <f t="shared" si="9"/>
        <v>2018 Nationals</v>
      </c>
      <c r="N10" s="15" t="str">
        <f t="shared" si="10"/>
        <v/>
      </c>
      <c r="O10" s="27" t="str">
        <f t="shared" si="11"/>
        <v/>
      </c>
      <c r="P10" s="15" t="str">
        <f t="shared" si="12"/>
        <v/>
      </c>
      <c r="Q10" s="72">
        <v>30.037500000000001</v>
      </c>
      <c r="R10" s="72">
        <v>3.4</v>
      </c>
      <c r="S10" s="72">
        <v>0</v>
      </c>
      <c r="T10" s="72">
        <v>0.15</v>
      </c>
      <c r="U10" s="72">
        <v>25.787500000000001</v>
      </c>
      <c r="V10" s="72">
        <v>1.6</v>
      </c>
      <c r="W10" s="72">
        <v>0</v>
      </c>
      <c r="X10" s="72">
        <v>0.25</v>
      </c>
      <c r="Y10" s="72">
        <v>31.3</v>
      </c>
      <c r="Z10" s="72">
        <v>3</v>
      </c>
      <c r="AA10" s="72">
        <v>0.45</v>
      </c>
      <c r="AB10" s="72">
        <v>0.25</v>
      </c>
      <c r="AC10" s="72">
        <v>30.85</v>
      </c>
      <c r="AD10" s="72">
        <v>3.2</v>
      </c>
      <c r="AE10" s="72">
        <v>0.45</v>
      </c>
      <c r="AF10" s="72">
        <v>0.15</v>
      </c>
      <c r="AG10" s="83" t="s">
        <v>126</v>
      </c>
      <c r="AH10" s="12">
        <f t="shared" si="13"/>
        <v>5</v>
      </c>
      <c r="AI10" s="12">
        <f t="shared" si="14"/>
        <v>11.2</v>
      </c>
      <c r="AJ10" s="12">
        <f t="shared" si="15"/>
        <v>61.225000000000001</v>
      </c>
      <c r="AK10" s="12">
        <f t="shared" si="16"/>
        <v>67.850000000000009</v>
      </c>
      <c r="AL10" s="12">
        <f t="shared" si="17"/>
        <v>129.07500000000002</v>
      </c>
      <c r="AM10" s="40">
        <v>30.037500000000001</v>
      </c>
      <c r="AN10" s="40">
        <v>3.4</v>
      </c>
      <c r="AO10" s="40">
        <v>0</v>
      </c>
      <c r="AP10" s="40">
        <v>0.15</v>
      </c>
      <c r="AQ10" s="40">
        <v>25.787500000000001</v>
      </c>
      <c r="AR10" s="40">
        <v>1.6</v>
      </c>
      <c r="AS10" s="40">
        <v>0</v>
      </c>
      <c r="AT10" s="40">
        <v>0.25</v>
      </c>
      <c r="AU10" s="40">
        <v>31.3</v>
      </c>
      <c r="AV10" s="40">
        <v>3</v>
      </c>
      <c r="AW10" s="40">
        <v>0.45</v>
      </c>
      <c r="AX10" s="40">
        <v>0.25</v>
      </c>
      <c r="AY10" s="40">
        <v>30.85</v>
      </c>
      <c r="AZ10" s="40">
        <v>3.2</v>
      </c>
      <c r="BA10" s="40">
        <v>0.45</v>
      </c>
      <c r="BB10" s="40">
        <v>0.15</v>
      </c>
      <c r="BC10" s="84" t="s">
        <v>126</v>
      </c>
      <c r="BD10" s="15">
        <f t="shared" si="18"/>
        <v>5</v>
      </c>
      <c r="BE10" s="15">
        <f t="shared" si="19"/>
        <v>11.2</v>
      </c>
      <c r="BF10" s="15">
        <f t="shared" si="20"/>
        <v>61.225000000000001</v>
      </c>
      <c r="BG10" s="15">
        <f t="shared" si="21"/>
        <v>67.850000000000009</v>
      </c>
      <c r="BH10" s="15">
        <f t="shared" si="22"/>
        <v>129.07500000000002</v>
      </c>
      <c r="BI10" s="26" t="str">
        <f t="shared" si="23"/>
        <v/>
      </c>
      <c r="BJ10" s="26" t="str">
        <f t="shared" si="24"/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 t="shared" si="25"/>
        <v/>
      </c>
      <c r="CB10" s="12" t="str">
        <f t="shared" si="26"/>
        <v/>
      </c>
      <c r="CC10" s="12" t="str">
        <f t="shared" si="27"/>
        <v/>
      </c>
      <c r="CD10" s="12" t="str">
        <f t="shared" si="28"/>
        <v/>
      </c>
      <c r="CE10" s="12" t="str">
        <f t="shared" si="29"/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 t="shared" si="30"/>
        <v/>
      </c>
      <c r="CW10" s="15" t="str">
        <f t="shared" si="31"/>
        <v/>
      </c>
      <c r="CX10" s="15" t="str">
        <f t="shared" si="32"/>
        <v/>
      </c>
      <c r="CY10" s="15" t="str">
        <f t="shared" si="33"/>
        <v/>
      </c>
      <c r="CZ10" s="15" t="str">
        <f t="shared" si="34"/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 t="shared" si="35"/>
        <v/>
      </c>
      <c r="DR10" s="12" t="str">
        <f t="shared" si="36"/>
        <v/>
      </c>
      <c r="DS10" s="12" t="str">
        <f t="shared" si="37"/>
        <v/>
      </c>
      <c r="DT10" s="12" t="str">
        <f t="shared" si="38"/>
        <v/>
      </c>
      <c r="DU10" s="12" t="str">
        <f t="shared" si="39"/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 t="shared" si="40"/>
        <v/>
      </c>
      <c r="EM10" s="15" t="str">
        <f t="shared" si="41"/>
        <v/>
      </c>
      <c r="EN10" s="15" t="str">
        <f t="shared" si="42"/>
        <v/>
      </c>
      <c r="EO10" s="15" t="str">
        <f t="shared" si="43"/>
        <v/>
      </c>
      <c r="EP10" s="15" t="str">
        <f t="shared" si="44"/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 t="shared" si="45"/>
        <v/>
      </c>
      <c r="FH10" s="12" t="str">
        <f t="shared" si="46"/>
        <v/>
      </c>
      <c r="FI10" s="12" t="str">
        <f t="shared" si="47"/>
        <v/>
      </c>
      <c r="FJ10" s="12" t="str">
        <f t="shared" si="48"/>
        <v/>
      </c>
      <c r="FK10" s="12" t="str">
        <f t="shared" si="49"/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 t="shared" si="50"/>
        <v/>
      </c>
      <c r="GC10" s="15" t="str">
        <f t="shared" si="51"/>
        <v/>
      </c>
      <c r="GD10" s="15" t="str">
        <f t="shared" si="52"/>
        <v/>
      </c>
      <c r="GE10" s="15" t="str">
        <f t="shared" si="53"/>
        <v/>
      </c>
      <c r="GF10" s="15" t="str">
        <f t="shared" si="54"/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 t="shared" si="55"/>
        <v/>
      </c>
      <c r="GX10" s="12" t="str">
        <f t="shared" si="56"/>
        <v/>
      </c>
      <c r="GY10" s="12" t="str">
        <f t="shared" si="57"/>
        <v/>
      </c>
      <c r="GZ10" s="12" t="str">
        <f t="shared" si="58"/>
        <v/>
      </c>
      <c r="HA10" s="12" t="str">
        <f t="shared" si="59"/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 t="shared" si="60"/>
        <v/>
      </c>
      <c r="HS10" s="15" t="str">
        <f t="shared" si="61"/>
        <v/>
      </c>
      <c r="HT10" s="15" t="str">
        <f t="shared" si="62"/>
        <v/>
      </c>
      <c r="HU10" s="15" t="str">
        <f t="shared" si="63"/>
        <v/>
      </c>
      <c r="HV10" s="15" t="str">
        <f t="shared" si="64"/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 t="shared" si="65"/>
        <v/>
      </c>
      <c r="IN10" s="12" t="str">
        <f t="shared" si="66"/>
        <v/>
      </c>
      <c r="IO10" s="12" t="str">
        <f t="shared" si="67"/>
        <v/>
      </c>
      <c r="IP10" s="12" t="str">
        <f t="shared" si="68"/>
        <v/>
      </c>
      <c r="IQ10" s="12" t="str">
        <f t="shared" si="69"/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 t="shared" si="70"/>
        <v/>
      </c>
      <c r="JI10" s="15" t="str">
        <f t="shared" si="71"/>
        <v/>
      </c>
      <c r="JJ10" s="15" t="str">
        <f t="shared" si="72"/>
        <v/>
      </c>
      <c r="JK10" s="15" t="str">
        <f t="shared" si="73"/>
        <v/>
      </c>
      <c r="JL10" s="15" t="str">
        <f t="shared" si="74"/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 t="shared" si="75"/>
        <v/>
      </c>
      <c r="KD10" s="12" t="str">
        <f t="shared" si="76"/>
        <v/>
      </c>
      <c r="KE10" s="12" t="str">
        <f t="shared" si="77"/>
        <v/>
      </c>
      <c r="KF10" s="12" t="str">
        <f t="shared" si="78"/>
        <v/>
      </c>
      <c r="KG10" s="12" t="str">
        <f t="shared" si="79"/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 t="shared" si="80"/>
        <v/>
      </c>
      <c r="KY10" s="15" t="str">
        <f t="shared" si="81"/>
        <v/>
      </c>
      <c r="KZ10" s="15" t="str">
        <f t="shared" si="82"/>
        <v/>
      </c>
      <c r="LA10" s="15" t="str">
        <f t="shared" si="83"/>
        <v/>
      </c>
      <c r="LB10" s="15" t="str">
        <f t="shared" si="84"/>
        <v/>
      </c>
      <c r="LC10" s="72">
        <f t="shared" si="91"/>
        <v>30.037500000000001</v>
      </c>
      <c r="LD10" s="72">
        <f t="shared" si="92"/>
        <v>3.4</v>
      </c>
      <c r="LE10" s="72">
        <f t="shared" si="93"/>
        <v>0</v>
      </c>
      <c r="LF10" s="72">
        <f t="shared" si="94"/>
        <v>0.15</v>
      </c>
      <c r="LG10" s="72">
        <f t="shared" si="95"/>
        <v>25.787500000000001</v>
      </c>
      <c r="LH10" s="72">
        <f t="shared" si="96"/>
        <v>1.6</v>
      </c>
      <c r="LI10" s="72">
        <f t="shared" si="97"/>
        <v>0</v>
      </c>
      <c r="LJ10" s="72">
        <f t="shared" si="98"/>
        <v>0.25</v>
      </c>
      <c r="LK10" s="72">
        <f t="shared" si="99"/>
        <v>31.3</v>
      </c>
      <c r="LL10" s="72">
        <f t="shared" si="100"/>
        <v>3</v>
      </c>
      <c r="LM10" s="72">
        <f t="shared" si="101"/>
        <v>0.45</v>
      </c>
      <c r="LN10" s="72">
        <f t="shared" si="102"/>
        <v>0.25</v>
      </c>
      <c r="LO10" s="72">
        <f t="shared" si="103"/>
        <v>30.85</v>
      </c>
      <c r="LP10" s="72">
        <f t="shared" si="104"/>
        <v>3.2</v>
      </c>
      <c r="LQ10" s="72">
        <f t="shared" si="105"/>
        <v>0.45</v>
      </c>
      <c r="LR10" s="72">
        <f t="shared" si="106"/>
        <v>0.15</v>
      </c>
      <c r="LS10" s="83" t="s">
        <v>126</v>
      </c>
      <c r="LT10" s="12">
        <f t="shared" si="107"/>
        <v>5</v>
      </c>
      <c r="LU10" s="12">
        <f t="shared" si="108"/>
        <v>11.2</v>
      </c>
      <c r="LV10" s="12">
        <f t="shared" si="109"/>
        <v>61.225000000000001</v>
      </c>
      <c r="LW10" s="12">
        <f t="shared" si="110"/>
        <v>67.850000000000009</v>
      </c>
      <c r="LX10" s="12">
        <f t="shared" si="111"/>
        <v>129.07500000000002</v>
      </c>
    </row>
    <row r="11" spans="1:336" x14ac:dyDescent="0.2">
      <c r="A11" s="6" t="str">
        <f t="shared" si="0"/>
        <v/>
      </c>
      <c r="B11" s="9" t="s">
        <v>101</v>
      </c>
      <c r="C11" s="5" t="s">
        <v>7</v>
      </c>
      <c r="D11" s="6">
        <v>1991</v>
      </c>
      <c r="E11" s="16">
        <f t="shared" si="1"/>
        <v>179.6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125.19999999999999</v>
      </c>
      <c r="K11" s="15" t="str">
        <f t="shared" si="7"/>
        <v>2018 3rd Domestic Trial</v>
      </c>
      <c r="L11" s="15">
        <f t="shared" si="8"/>
        <v>54.4</v>
      </c>
      <c r="M11" s="15" t="str">
        <f t="shared" si="9"/>
        <v>2018 Nationals</v>
      </c>
      <c r="N11" s="15" t="str">
        <f t="shared" si="10"/>
        <v/>
      </c>
      <c r="O11" s="27" t="str">
        <f t="shared" si="11"/>
        <v/>
      </c>
      <c r="P11" s="15" t="str">
        <f t="shared" si="12"/>
        <v/>
      </c>
      <c r="Q11" s="72">
        <v>27</v>
      </c>
      <c r="R11" s="72">
        <v>6</v>
      </c>
      <c r="S11" s="72">
        <v>0.9</v>
      </c>
      <c r="T11" s="72">
        <v>0</v>
      </c>
      <c r="U11" s="72">
        <v>19.5</v>
      </c>
      <c r="V11" s="72">
        <v>2.8</v>
      </c>
      <c r="W11" s="72">
        <v>0</v>
      </c>
      <c r="X11" s="72">
        <v>0</v>
      </c>
      <c r="Y11" s="72">
        <v>19.600000000000001</v>
      </c>
      <c r="Z11" s="72">
        <v>2.4</v>
      </c>
      <c r="AA11" s="72">
        <v>0</v>
      </c>
      <c r="AB11" s="72">
        <v>0</v>
      </c>
      <c r="AC11" s="72">
        <v>26.9</v>
      </c>
      <c r="AD11" s="72">
        <v>4.4000000000000004</v>
      </c>
      <c r="AE11" s="72">
        <v>0.9</v>
      </c>
      <c r="AF11" s="72">
        <v>0</v>
      </c>
      <c r="AG11" s="83"/>
      <c r="AH11" s="12">
        <f t="shared" si="13"/>
        <v>8.8000000000000007</v>
      </c>
      <c r="AI11" s="12">
        <f t="shared" si="14"/>
        <v>15.600000000000001</v>
      </c>
      <c r="AJ11" s="12">
        <f t="shared" si="15"/>
        <v>54.4</v>
      </c>
      <c r="AK11" s="12">
        <f t="shared" si="16"/>
        <v>52.4</v>
      </c>
      <c r="AL11" s="12">
        <f t="shared" si="17"/>
        <v>106.8</v>
      </c>
      <c r="AM11" s="40">
        <v>27.1</v>
      </c>
      <c r="AN11" s="40">
        <v>6</v>
      </c>
      <c r="AO11" s="40">
        <v>0.3</v>
      </c>
      <c r="AP11" s="40">
        <v>0</v>
      </c>
      <c r="AQ11" s="40">
        <v>24.2</v>
      </c>
      <c r="AR11" s="40">
        <v>5.2</v>
      </c>
      <c r="AS11" s="40">
        <v>0.3</v>
      </c>
      <c r="AT11" s="40">
        <v>0</v>
      </c>
      <c r="AU11" s="40">
        <v>27.6</v>
      </c>
      <c r="AV11" s="40">
        <v>5.2</v>
      </c>
      <c r="AW11" s="40">
        <v>0.9</v>
      </c>
      <c r="AX11" s="40">
        <v>0</v>
      </c>
      <c r="AY11" s="40">
        <v>26.5</v>
      </c>
      <c r="AZ11" s="40">
        <v>5.2</v>
      </c>
      <c r="BA11" s="40">
        <v>0.3</v>
      </c>
      <c r="BB11" s="40">
        <v>0</v>
      </c>
      <c r="BC11" s="84"/>
      <c r="BD11" s="15">
        <f t="shared" si="18"/>
        <v>11.2</v>
      </c>
      <c r="BE11" s="15">
        <f t="shared" si="19"/>
        <v>21.599999999999998</v>
      </c>
      <c r="BF11" s="15">
        <f t="shared" si="20"/>
        <v>61.9</v>
      </c>
      <c r="BG11" s="15">
        <f t="shared" si="21"/>
        <v>63.3</v>
      </c>
      <c r="BH11" s="15">
        <f t="shared" si="22"/>
        <v>125.19999999999999</v>
      </c>
      <c r="BI11" s="26" t="str">
        <f t="shared" si="23"/>
        <v/>
      </c>
      <c r="BJ11" s="26" t="str">
        <f t="shared" si="24"/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 t="shared" si="25"/>
        <v/>
      </c>
      <c r="CB11" s="12" t="str">
        <f t="shared" si="26"/>
        <v/>
      </c>
      <c r="CC11" s="12" t="str">
        <f t="shared" si="27"/>
        <v/>
      </c>
      <c r="CD11" s="12" t="str">
        <f t="shared" si="28"/>
        <v/>
      </c>
      <c r="CE11" s="12" t="str">
        <f t="shared" si="29"/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 t="shared" si="30"/>
        <v/>
      </c>
      <c r="CW11" s="15" t="str">
        <f t="shared" si="31"/>
        <v/>
      </c>
      <c r="CX11" s="15" t="str">
        <f t="shared" si="32"/>
        <v/>
      </c>
      <c r="CY11" s="15" t="str">
        <f t="shared" si="33"/>
        <v/>
      </c>
      <c r="CZ11" s="15" t="str">
        <f t="shared" si="34"/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 t="shared" si="35"/>
        <v/>
      </c>
      <c r="DR11" s="12" t="str">
        <f t="shared" si="36"/>
        <v/>
      </c>
      <c r="DS11" s="12" t="str">
        <f t="shared" si="37"/>
        <v/>
      </c>
      <c r="DT11" s="12" t="str">
        <f t="shared" si="38"/>
        <v/>
      </c>
      <c r="DU11" s="12" t="str">
        <f t="shared" si="39"/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 t="shared" si="40"/>
        <v/>
      </c>
      <c r="EM11" s="15" t="str">
        <f t="shared" si="41"/>
        <v/>
      </c>
      <c r="EN11" s="15" t="str">
        <f t="shared" si="42"/>
        <v/>
      </c>
      <c r="EO11" s="15" t="str">
        <f t="shared" si="43"/>
        <v/>
      </c>
      <c r="EP11" s="15" t="str">
        <f t="shared" si="44"/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 t="shared" si="45"/>
        <v/>
      </c>
      <c r="FH11" s="12" t="str">
        <f t="shared" si="46"/>
        <v/>
      </c>
      <c r="FI11" s="12" t="str">
        <f t="shared" si="47"/>
        <v/>
      </c>
      <c r="FJ11" s="12" t="str">
        <f t="shared" si="48"/>
        <v/>
      </c>
      <c r="FK11" s="12" t="str">
        <f t="shared" si="49"/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 t="shared" si="50"/>
        <v/>
      </c>
      <c r="GC11" s="15" t="str">
        <f t="shared" si="51"/>
        <v/>
      </c>
      <c r="GD11" s="15" t="str">
        <f t="shared" si="52"/>
        <v/>
      </c>
      <c r="GE11" s="15" t="str">
        <f t="shared" si="53"/>
        <v/>
      </c>
      <c r="GF11" s="15" t="str">
        <f t="shared" si="54"/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 t="shared" si="55"/>
        <v/>
      </c>
      <c r="GX11" s="12" t="str">
        <f t="shared" si="56"/>
        <v/>
      </c>
      <c r="GY11" s="12" t="str">
        <f t="shared" si="57"/>
        <v/>
      </c>
      <c r="GZ11" s="12" t="str">
        <f t="shared" si="58"/>
        <v/>
      </c>
      <c r="HA11" s="12" t="str">
        <f t="shared" si="59"/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 t="shared" si="60"/>
        <v/>
      </c>
      <c r="HS11" s="15" t="str">
        <f t="shared" si="61"/>
        <v/>
      </c>
      <c r="HT11" s="15" t="str">
        <f t="shared" si="62"/>
        <v/>
      </c>
      <c r="HU11" s="15" t="str">
        <f t="shared" si="63"/>
        <v/>
      </c>
      <c r="HV11" s="15" t="str">
        <f t="shared" si="64"/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 t="shared" si="65"/>
        <v/>
      </c>
      <c r="IN11" s="12" t="str">
        <f t="shared" si="66"/>
        <v/>
      </c>
      <c r="IO11" s="12" t="str">
        <f t="shared" si="67"/>
        <v/>
      </c>
      <c r="IP11" s="12" t="str">
        <f t="shared" si="68"/>
        <v/>
      </c>
      <c r="IQ11" s="12" t="str">
        <f t="shared" si="69"/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 t="shared" si="70"/>
        <v/>
      </c>
      <c r="JI11" s="15" t="str">
        <f t="shared" si="71"/>
        <v/>
      </c>
      <c r="JJ11" s="15" t="str">
        <f t="shared" si="72"/>
        <v/>
      </c>
      <c r="JK11" s="15" t="str">
        <f t="shared" si="73"/>
        <v/>
      </c>
      <c r="JL11" s="15" t="str">
        <f t="shared" si="74"/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 t="shared" si="75"/>
        <v/>
      </c>
      <c r="KD11" s="12" t="str">
        <f t="shared" si="76"/>
        <v/>
      </c>
      <c r="KE11" s="12" t="str">
        <f t="shared" si="77"/>
        <v/>
      </c>
      <c r="KF11" s="12" t="str">
        <f t="shared" si="78"/>
        <v/>
      </c>
      <c r="KG11" s="12" t="str">
        <f t="shared" si="79"/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 t="shared" si="80"/>
        <v/>
      </c>
      <c r="KY11" s="15" t="str">
        <f t="shared" si="81"/>
        <v/>
      </c>
      <c r="KZ11" s="15" t="str">
        <f t="shared" si="82"/>
        <v/>
      </c>
      <c r="LA11" s="15" t="str">
        <f t="shared" si="83"/>
        <v/>
      </c>
      <c r="LB11" s="15" t="str">
        <f t="shared" si="84"/>
        <v/>
      </c>
      <c r="LC11" s="72">
        <f t="shared" si="91"/>
        <v>27.05</v>
      </c>
      <c r="LD11" s="72">
        <f t="shared" si="92"/>
        <v>6</v>
      </c>
      <c r="LE11" s="72">
        <f t="shared" si="93"/>
        <v>0.6</v>
      </c>
      <c r="LF11" s="72">
        <f t="shared" si="94"/>
        <v>0</v>
      </c>
      <c r="LG11" s="72">
        <f t="shared" si="95"/>
        <v>21.85</v>
      </c>
      <c r="LH11" s="72">
        <f t="shared" si="96"/>
        <v>4</v>
      </c>
      <c r="LI11" s="72">
        <f t="shared" si="97"/>
        <v>0.15</v>
      </c>
      <c r="LJ11" s="72">
        <f t="shared" si="98"/>
        <v>0</v>
      </c>
      <c r="LK11" s="72">
        <f t="shared" si="99"/>
        <v>23.6</v>
      </c>
      <c r="LL11" s="72">
        <f t="shared" si="100"/>
        <v>3.8</v>
      </c>
      <c r="LM11" s="72">
        <f t="shared" si="101"/>
        <v>0.45</v>
      </c>
      <c r="LN11" s="72">
        <f t="shared" si="102"/>
        <v>0</v>
      </c>
      <c r="LO11" s="72">
        <f t="shared" si="103"/>
        <v>26.7</v>
      </c>
      <c r="LP11" s="72">
        <f t="shared" si="104"/>
        <v>4.8000000000000007</v>
      </c>
      <c r="LQ11" s="72">
        <f t="shared" si="105"/>
        <v>0.6</v>
      </c>
      <c r="LR11" s="72">
        <f t="shared" si="106"/>
        <v>0</v>
      </c>
      <c r="LS11" s="83" t="s">
        <v>126</v>
      </c>
      <c r="LT11" s="12">
        <f t="shared" si="107"/>
        <v>10</v>
      </c>
      <c r="LU11" s="12">
        <f t="shared" si="108"/>
        <v>18.600000000000001</v>
      </c>
      <c r="LV11" s="12">
        <f t="shared" si="109"/>
        <v>58.15</v>
      </c>
      <c r="LW11" s="12">
        <f t="shared" si="110"/>
        <v>57.850000000000009</v>
      </c>
      <c r="LX11" s="12">
        <f t="shared" si="111"/>
        <v>116</v>
      </c>
    </row>
    <row r="12" spans="1:336" x14ac:dyDescent="0.2">
      <c r="A12" s="6" t="str">
        <f t="shared" si="0"/>
        <v/>
      </c>
      <c r="B12" s="9" t="s">
        <v>55</v>
      </c>
      <c r="C12" s="5" t="s">
        <v>5</v>
      </c>
      <c r="D12" s="6">
        <v>1993</v>
      </c>
      <c r="E12" s="16">
        <f t="shared" si="1"/>
        <v>106.8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75.599999999999994</v>
      </c>
      <c r="K12" s="15" t="str">
        <f t="shared" si="7"/>
        <v>2018 Nationals</v>
      </c>
      <c r="L12" s="15">
        <f t="shared" si="8"/>
        <v>31.200000000000003</v>
      </c>
      <c r="M12" s="15" t="str">
        <f t="shared" si="9"/>
        <v>2018 3rd Domestic Trial</v>
      </c>
      <c r="N12" s="15" t="str">
        <f t="shared" si="10"/>
        <v/>
      </c>
      <c r="O12" s="27" t="str">
        <f t="shared" si="11"/>
        <v/>
      </c>
      <c r="P12" s="15" t="str">
        <f t="shared" si="12"/>
        <v/>
      </c>
      <c r="Q12" s="72">
        <v>19.7</v>
      </c>
      <c r="R12" s="72">
        <v>2.8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19.7</v>
      </c>
      <c r="Z12" s="72">
        <v>2</v>
      </c>
      <c r="AA12" s="72">
        <v>0</v>
      </c>
      <c r="AB12" s="72">
        <v>0</v>
      </c>
      <c r="AC12" s="72">
        <v>27.5</v>
      </c>
      <c r="AD12" s="72">
        <v>4.8</v>
      </c>
      <c r="AE12" s="72">
        <v>0.9</v>
      </c>
      <c r="AF12" s="72">
        <v>0</v>
      </c>
      <c r="AG12" s="83"/>
      <c r="AH12" s="12">
        <f t="shared" si="13"/>
        <v>2.8</v>
      </c>
      <c r="AI12" s="12">
        <f t="shared" si="14"/>
        <v>9.6</v>
      </c>
      <c r="AJ12" s="12">
        <f t="shared" si="15"/>
        <v>22.5</v>
      </c>
      <c r="AK12" s="12">
        <f t="shared" si="16"/>
        <v>53.1</v>
      </c>
      <c r="AL12" s="12">
        <f t="shared" si="17"/>
        <v>75.599999999999994</v>
      </c>
      <c r="AM12" s="40">
        <v>0</v>
      </c>
      <c r="AN12" s="40">
        <v>0</v>
      </c>
      <c r="AO12" s="40">
        <v>0</v>
      </c>
      <c r="AP12" s="40">
        <v>0</v>
      </c>
      <c r="AQ12" s="40">
        <v>27.3</v>
      </c>
      <c r="AR12" s="40">
        <v>4.8</v>
      </c>
      <c r="AS12" s="40">
        <v>0.9</v>
      </c>
      <c r="AT12" s="40">
        <v>0</v>
      </c>
      <c r="AU12" s="40">
        <v>19.7</v>
      </c>
      <c r="AV12" s="40">
        <v>2.4</v>
      </c>
      <c r="AW12" s="40">
        <v>0</v>
      </c>
      <c r="AX12" s="40"/>
      <c r="AY12" s="40"/>
      <c r="AZ12" s="40"/>
      <c r="BA12" s="40"/>
      <c r="BB12" s="40"/>
      <c r="BC12" s="84"/>
      <c r="BD12" s="15">
        <f t="shared" si="18"/>
        <v>4.8</v>
      </c>
      <c r="BE12" s="15">
        <f t="shared" si="19"/>
        <v>7.1999999999999993</v>
      </c>
      <c r="BF12" s="15">
        <f t="shared" si="20"/>
        <v>31.200000000000003</v>
      </c>
      <c r="BG12" s="15">
        <f t="shared" si="21"/>
        <v>22.099999999999998</v>
      </c>
      <c r="BH12" s="15">
        <f t="shared" si="22"/>
        <v>53.3</v>
      </c>
      <c r="BI12" s="26" t="str">
        <f t="shared" si="23"/>
        <v/>
      </c>
      <c r="BJ12" s="26" t="str">
        <f t="shared" si="24"/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 t="shared" si="25"/>
        <v/>
      </c>
      <c r="CB12" s="12" t="str">
        <f t="shared" si="26"/>
        <v/>
      </c>
      <c r="CC12" s="12" t="str">
        <f t="shared" si="27"/>
        <v/>
      </c>
      <c r="CD12" s="12" t="str">
        <f t="shared" si="28"/>
        <v/>
      </c>
      <c r="CE12" s="12" t="str">
        <f t="shared" si="29"/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 t="shared" si="30"/>
        <v/>
      </c>
      <c r="CW12" s="15" t="str">
        <f t="shared" si="31"/>
        <v/>
      </c>
      <c r="CX12" s="15" t="str">
        <f t="shared" si="32"/>
        <v/>
      </c>
      <c r="CY12" s="15" t="str">
        <f t="shared" si="33"/>
        <v/>
      </c>
      <c r="CZ12" s="15" t="str">
        <f t="shared" si="34"/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 t="shared" si="35"/>
        <v/>
      </c>
      <c r="DR12" s="12" t="str">
        <f t="shared" si="36"/>
        <v/>
      </c>
      <c r="DS12" s="12" t="str">
        <f t="shared" si="37"/>
        <v/>
      </c>
      <c r="DT12" s="12" t="str">
        <f t="shared" si="38"/>
        <v/>
      </c>
      <c r="DU12" s="12" t="str">
        <f t="shared" si="39"/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 t="shared" si="40"/>
        <v/>
      </c>
      <c r="EM12" s="15" t="str">
        <f t="shared" si="41"/>
        <v/>
      </c>
      <c r="EN12" s="15" t="str">
        <f t="shared" si="42"/>
        <v/>
      </c>
      <c r="EO12" s="15" t="str">
        <f t="shared" si="43"/>
        <v/>
      </c>
      <c r="EP12" s="15" t="str">
        <f t="shared" si="44"/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 t="shared" si="45"/>
        <v/>
      </c>
      <c r="FH12" s="12" t="str">
        <f t="shared" si="46"/>
        <v/>
      </c>
      <c r="FI12" s="12" t="str">
        <f t="shared" si="47"/>
        <v/>
      </c>
      <c r="FJ12" s="12" t="str">
        <f t="shared" si="48"/>
        <v/>
      </c>
      <c r="FK12" s="12" t="str">
        <f t="shared" si="49"/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 t="shared" si="50"/>
        <v/>
      </c>
      <c r="GC12" s="15" t="str">
        <f t="shared" si="51"/>
        <v/>
      </c>
      <c r="GD12" s="15" t="str">
        <f t="shared" si="52"/>
        <v/>
      </c>
      <c r="GE12" s="15" t="str">
        <f t="shared" si="53"/>
        <v/>
      </c>
      <c r="GF12" s="15" t="str">
        <f t="shared" si="54"/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 t="shared" si="55"/>
        <v/>
      </c>
      <c r="GX12" s="12" t="str">
        <f t="shared" si="56"/>
        <v/>
      </c>
      <c r="GY12" s="12" t="str">
        <f t="shared" si="57"/>
        <v/>
      </c>
      <c r="GZ12" s="12" t="str">
        <f t="shared" si="58"/>
        <v/>
      </c>
      <c r="HA12" s="12" t="str">
        <f t="shared" si="59"/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 t="shared" si="60"/>
        <v/>
      </c>
      <c r="HS12" s="15" t="str">
        <f t="shared" si="61"/>
        <v/>
      </c>
      <c r="HT12" s="15" t="str">
        <f t="shared" si="62"/>
        <v/>
      </c>
      <c r="HU12" s="15" t="str">
        <f t="shared" si="63"/>
        <v/>
      </c>
      <c r="HV12" s="15" t="str">
        <f t="shared" si="64"/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 t="shared" si="65"/>
        <v/>
      </c>
      <c r="IN12" s="12" t="str">
        <f t="shared" si="66"/>
        <v/>
      </c>
      <c r="IO12" s="12" t="str">
        <f t="shared" si="67"/>
        <v/>
      </c>
      <c r="IP12" s="12" t="str">
        <f t="shared" si="68"/>
        <v/>
      </c>
      <c r="IQ12" s="12" t="str">
        <f t="shared" si="69"/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 t="shared" si="70"/>
        <v/>
      </c>
      <c r="JI12" s="15" t="str">
        <f t="shared" si="71"/>
        <v/>
      </c>
      <c r="JJ12" s="15" t="str">
        <f t="shared" si="72"/>
        <v/>
      </c>
      <c r="JK12" s="15" t="str">
        <f t="shared" si="73"/>
        <v/>
      </c>
      <c r="JL12" s="15" t="str">
        <f t="shared" si="74"/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 t="shared" si="75"/>
        <v/>
      </c>
      <c r="KD12" s="12" t="str">
        <f t="shared" si="76"/>
        <v/>
      </c>
      <c r="KE12" s="12" t="str">
        <f t="shared" si="77"/>
        <v/>
      </c>
      <c r="KF12" s="12" t="str">
        <f t="shared" si="78"/>
        <v/>
      </c>
      <c r="KG12" s="12" t="str">
        <f t="shared" si="79"/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 t="shared" si="80"/>
        <v/>
      </c>
      <c r="KY12" s="15" t="str">
        <f t="shared" si="81"/>
        <v/>
      </c>
      <c r="KZ12" s="15" t="str">
        <f t="shared" si="82"/>
        <v/>
      </c>
      <c r="LA12" s="15" t="str">
        <f t="shared" si="83"/>
        <v/>
      </c>
      <c r="LB12" s="15" t="str">
        <f t="shared" si="84"/>
        <v/>
      </c>
      <c r="LC12" s="72">
        <f t="shared" si="91"/>
        <v>9.85</v>
      </c>
      <c r="LD12" s="72">
        <f t="shared" si="92"/>
        <v>1.4</v>
      </c>
      <c r="LE12" s="72">
        <f t="shared" si="93"/>
        <v>0</v>
      </c>
      <c r="LF12" s="72">
        <f t="shared" si="94"/>
        <v>0</v>
      </c>
      <c r="LG12" s="72">
        <f t="shared" si="95"/>
        <v>13.65</v>
      </c>
      <c r="LH12" s="72">
        <f t="shared" si="96"/>
        <v>2.4</v>
      </c>
      <c r="LI12" s="72">
        <f t="shared" si="97"/>
        <v>0.45</v>
      </c>
      <c r="LJ12" s="72">
        <f t="shared" si="98"/>
        <v>0</v>
      </c>
      <c r="LK12" s="72">
        <f t="shared" si="99"/>
        <v>19.7</v>
      </c>
      <c r="LL12" s="72">
        <f t="shared" si="100"/>
        <v>2.2000000000000002</v>
      </c>
      <c r="LM12" s="72">
        <f t="shared" si="101"/>
        <v>0</v>
      </c>
      <c r="LN12" s="72">
        <f t="shared" si="102"/>
        <v>0</v>
      </c>
      <c r="LO12" s="72">
        <f t="shared" si="103"/>
        <v>13.75</v>
      </c>
      <c r="LP12" s="72">
        <f t="shared" si="104"/>
        <v>2.4</v>
      </c>
      <c r="LQ12" s="72">
        <f t="shared" si="105"/>
        <v>0.45</v>
      </c>
      <c r="LR12" s="72">
        <f t="shared" si="106"/>
        <v>0</v>
      </c>
      <c r="LS12" s="83" t="s">
        <v>126</v>
      </c>
      <c r="LT12" s="12">
        <f t="shared" si="107"/>
        <v>3.8</v>
      </c>
      <c r="LU12" s="12">
        <f t="shared" si="108"/>
        <v>8.4</v>
      </c>
      <c r="LV12" s="12">
        <f t="shared" si="109"/>
        <v>26.849999999999998</v>
      </c>
      <c r="LW12" s="12">
        <f t="shared" si="110"/>
        <v>37.599999999999994</v>
      </c>
      <c r="LX12" s="12">
        <f t="shared" si="111"/>
        <v>64.449999999999989</v>
      </c>
    </row>
    <row r="13" spans="1:336" s="55" customFormat="1" x14ac:dyDescent="0.2">
      <c r="A13" s="8"/>
      <c r="B13" s="9"/>
      <c r="C13" s="5"/>
      <c r="D13" s="8"/>
      <c r="E13" s="105"/>
      <c r="F13" s="106"/>
      <c r="G13" s="106"/>
      <c r="H13" s="106"/>
      <c r="J13" s="56"/>
      <c r="K13" s="56"/>
      <c r="L13" s="56"/>
      <c r="M13" s="56"/>
      <c r="N13" s="56"/>
      <c r="O13" s="107"/>
      <c r="P13" s="56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9"/>
      <c r="AH13" s="56"/>
      <c r="AI13" s="56"/>
      <c r="AJ13" s="56"/>
      <c r="AK13" s="56"/>
      <c r="AL13" s="56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09"/>
      <c r="BD13" s="56"/>
      <c r="BE13" s="56"/>
      <c r="BF13" s="56"/>
      <c r="BG13" s="56"/>
      <c r="BH13" s="56"/>
      <c r="BI13" s="56"/>
      <c r="BJ13" s="56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56"/>
      <c r="CB13" s="56"/>
      <c r="CC13" s="56"/>
      <c r="CD13" s="56"/>
      <c r="CE13" s="56"/>
      <c r="CF13" s="111"/>
      <c r="CG13" s="111"/>
      <c r="CH13" s="111"/>
      <c r="CI13" s="111"/>
      <c r="CJ13" s="111"/>
      <c r="CK13" s="111"/>
      <c r="CL13" s="111"/>
      <c r="CM13" s="111"/>
      <c r="CN13" s="111"/>
      <c r="CO13" s="111"/>
      <c r="CP13" s="111"/>
      <c r="CQ13" s="111"/>
      <c r="CR13" s="111"/>
      <c r="CS13" s="111"/>
      <c r="CT13" s="111"/>
      <c r="CU13" s="111"/>
      <c r="CV13" s="56"/>
      <c r="CW13" s="56"/>
      <c r="CX13" s="56"/>
      <c r="CY13" s="56"/>
      <c r="CZ13" s="56"/>
      <c r="DA13" s="111"/>
      <c r="DB13" s="111"/>
      <c r="DC13" s="111"/>
      <c r="DD13" s="111"/>
      <c r="DE13" s="111"/>
      <c r="DF13" s="111"/>
      <c r="DG13" s="111"/>
      <c r="DH13" s="111"/>
      <c r="DI13" s="111"/>
      <c r="DJ13" s="111"/>
      <c r="DK13" s="111"/>
      <c r="DL13" s="111"/>
      <c r="DM13" s="111"/>
      <c r="DN13" s="111"/>
      <c r="DO13" s="111"/>
      <c r="DP13" s="111"/>
      <c r="DQ13" s="56"/>
      <c r="DR13" s="56"/>
      <c r="DS13" s="56"/>
      <c r="DT13" s="56"/>
      <c r="DU13" s="56"/>
      <c r="DV13" s="111"/>
      <c r="DW13" s="111"/>
      <c r="DX13" s="111"/>
      <c r="DY13" s="111"/>
      <c r="DZ13" s="111"/>
      <c r="EA13" s="111"/>
      <c r="EB13" s="111"/>
      <c r="EC13" s="111"/>
      <c r="ED13" s="111"/>
      <c r="EE13" s="111"/>
      <c r="EF13" s="111"/>
      <c r="EG13" s="111"/>
      <c r="EH13" s="111"/>
      <c r="EI13" s="111"/>
      <c r="EJ13" s="111"/>
      <c r="EK13" s="111"/>
      <c r="EL13" s="56"/>
      <c r="EM13" s="56"/>
      <c r="EN13" s="56"/>
      <c r="EO13" s="56"/>
      <c r="EP13" s="56"/>
      <c r="EQ13" s="111"/>
      <c r="ER13" s="111"/>
      <c r="ES13" s="111"/>
      <c r="ET13" s="111"/>
      <c r="EU13" s="111"/>
      <c r="EV13" s="111"/>
      <c r="EW13" s="111"/>
      <c r="EX13" s="111"/>
      <c r="EY13" s="111"/>
      <c r="EZ13" s="111"/>
      <c r="FA13" s="111"/>
      <c r="FB13" s="111"/>
      <c r="FC13" s="111"/>
      <c r="FD13" s="111"/>
      <c r="FE13" s="111"/>
      <c r="FF13" s="111"/>
      <c r="FG13" s="56"/>
      <c r="FH13" s="56"/>
      <c r="FI13" s="56"/>
      <c r="FJ13" s="56"/>
      <c r="FK13" s="56"/>
      <c r="FL13" s="111"/>
      <c r="FM13" s="111"/>
      <c r="FN13" s="111"/>
      <c r="FO13" s="111"/>
      <c r="FP13" s="111"/>
      <c r="FQ13" s="111"/>
      <c r="FR13" s="111"/>
      <c r="FS13" s="111"/>
      <c r="FT13" s="111"/>
      <c r="FU13" s="111"/>
      <c r="FV13" s="111"/>
      <c r="FW13" s="111"/>
      <c r="FX13" s="111"/>
      <c r="FY13" s="111"/>
      <c r="FZ13" s="111"/>
      <c r="GA13" s="111"/>
      <c r="GB13" s="56"/>
      <c r="GC13" s="56"/>
      <c r="GD13" s="56"/>
      <c r="GE13" s="56"/>
      <c r="GF13" s="56"/>
      <c r="GG13" s="111"/>
      <c r="GH13" s="111"/>
      <c r="GI13" s="111"/>
      <c r="GJ13" s="111"/>
      <c r="GK13" s="111"/>
      <c r="GL13" s="111"/>
      <c r="GM13" s="111"/>
      <c r="GN13" s="111"/>
      <c r="GO13" s="111"/>
      <c r="GP13" s="111"/>
      <c r="GQ13" s="111"/>
      <c r="GR13" s="111"/>
      <c r="GS13" s="111"/>
      <c r="GT13" s="111"/>
      <c r="GU13" s="111"/>
      <c r="GV13" s="111"/>
      <c r="GW13" s="56"/>
      <c r="GX13" s="56"/>
      <c r="GY13" s="56"/>
      <c r="GZ13" s="56"/>
      <c r="HA13" s="56"/>
      <c r="HB13" s="111"/>
      <c r="HC13" s="111"/>
      <c r="HD13" s="111"/>
      <c r="HE13" s="111"/>
      <c r="HF13" s="111"/>
      <c r="HG13" s="111"/>
      <c r="HH13" s="111"/>
      <c r="HI13" s="111"/>
      <c r="HJ13" s="111"/>
      <c r="HK13" s="111"/>
      <c r="HL13" s="111"/>
      <c r="HM13" s="111"/>
      <c r="HN13" s="111"/>
      <c r="HO13" s="111"/>
      <c r="HP13" s="111"/>
      <c r="HQ13" s="111"/>
      <c r="HR13" s="56"/>
      <c r="HS13" s="56"/>
      <c r="HT13" s="56"/>
      <c r="HU13" s="56"/>
      <c r="HV13" s="56"/>
      <c r="HW13" s="111"/>
      <c r="HX13" s="111"/>
      <c r="HY13" s="111"/>
      <c r="HZ13" s="111"/>
      <c r="IA13" s="111"/>
      <c r="IB13" s="111"/>
      <c r="IC13" s="111"/>
      <c r="ID13" s="111"/>
      <c r="IE13" s="111"/>
      <c r="IF13" s="111"/>
      <c r="IG13" s="111"/>
      <c r="IH13" s="111"/>
      <c r="II13" s="111"/>
      <c r="IJ13" s="111"/>
      <c r="IK13" s="111"/>
      <c r="IL13" s="111"/>
      <c r="IM13" s="56"/>
      <c r="IN13" s="56"/>
      <c r="IO13" s="56"/>
      <c r="IP13" s="56"/>
      <c r="IQ13" s="56"/>
      <c r="IR13" s="111"/>
      <c r="IS13" s="111"/>
      <c r="IT13" s="111"/>
      <c r="IU13" s="111"/>
      <c r="IV13" s="111"/>
      <c r="IW13" s="111"/>
      <c r="IX13" s="111"/>
      <c r="IY13" s="111"/>
      <c r="IZ13" s="111"/>
      <c r="JA13" s="111"/>
      <c r="JB13" s="111"/>
      <c r="JC13" s="111"/>
      <c r="JD13" s="111"/>
      <c r="JE13" s="111"/>
      <c r="JF13" s="111"/>
      <c r="JG13" s="111"/>
      <c r="JH13" s="56"/>
      <c r="JI13" s="56"/>
      <c r="JJ13" s="56"/>
      <c r="JK13" s="56"/>
      <c r="JL13" s="56"/>
      <c r="JM13" s="111"/>
      <c r="JN13" s="111"/>
      <c r="JO13" s="111"/>
      <c r="JP13" s="111"/>
      <c r="JQ13" s="111"/>
      <c r="JR13" s="111"/>
      <c r="JS13" s="111"/>
      <c r="JT13" s="111"/>
      <c r="JU13" s="111"/>
      <c r="JV13" s="111"/>
      <c r="JW13" s="111"/>
      <c r="JX13" s="111"/>
      <c r="JY13" s="111"/>
      <c r="JZ13" s="111"/>
      <c r="KA13" s="111"/>
      <c r="KB13" s="111"/>
      <c r="KC13" s="56"/>
      <c r="KD13" s="56"/>
      <c r="KE13" s="56"/>
      <c r="KF13" s="56"/>
      <c r="KG13" s="56"/>
      <c r="KH13" s="111"/>
      <c r="KI13" s="111"/>
      <c r="KJ13" s="111"/>
      <c r="KK13" s="111"/>
      <c r="KL13" s="111"/>
      <c r="KM13" s="111"/>
      <c r="KN13" s="111"/>
      <c r="KO13" s="111"/>
      <c r="KP13" s="111"/>
      <c r="KQ13" s="111"/>
      <c r="KR13" s="111"/>
      <c r="KS13" s="111"/>
      <c r="KT13" s="111"/>
      <c r="KU13" s="111"/>
      <c r="KV13" s="111"/>
      <c r="KW13" s="111"/>
      <c r="KX13" s="56"/>
      <c r="KY13" s="56"/>
      <c r="KZ13" s="56"/>
      <c r="LA13" s="56"/>
      <c r="LB13" s="56"/>
    </row>
    <row r="14" spans="1:336" x14ac:dyDescent="0.2">
      <c r="AH14" s="56"/>
      <c r="AI14" s="56"/>
      <c r="BD14" s="56"/>
      <c r="BE14" s="56"/>
      <c r="CA14" s="56"/>
      <c r="CB14" s="56"/>
      <c r="CV14" s="56"/>
      <c r="CW14" s="56"/>
      <c r="DQ14" s="56"/>
      <c r="DR14" s="56"/>
      <c r="EL14" s="56"/>
      <c r="EM14" s="56"/>
      <c r="FG14" s="56"/>
      <c r="FH14" s="56"/>
      <c r="GB14" s="56"/>
      <c r="GC14" s="56"/>
      <c r="GW14" s="56"/>
      <c r="GX14" s="56"/>
      <c r="HR14" s="56"/>
      <c r="HS14" s="56"/>
      <c r="IM14" s="56"/>
      <c r="IN14" s="56"/>
      <c r="JH14" s="56"/>
      <c r="JI14" s="56"/>
      <c r="KC14" s="56"/>
      <c r="KD14" s="56"/>
      <c r="KX14" s="56"/>
      <c r="KY14" s="56"/>
    </row>
    <row r="15" spans="1:336" x14ac:dyDescent="0.2">
      <c r="B15" s="73" t="s">
        <v>93</v>
      </c>
      <c r="AH15" s="56"/>
      <c r="AI15" s="56"/>
      <c r="AK15" s="67">
        <v>10.8</v>
      </c>
      <c r="BD15" s="56"/>
      <c r="BE15" s="56"/>
      <c r="BG15" s="67">
        <v>22</v>
      </c>
      <c r="CA15" s="56"/>
      <c r="CB15" s="56"/>
      <c r="CD15" s="67">
        <v>22</v>
      </c>
      <c r="CV15" s="56"/>
      <c r="CW15" s="56"/>
      <c r="CY15" s="67">
        <v>22</v>
      </c>
      <c r="DQ15" s="56"/>
      <c r="DR15" s="56"/>
      <c r="DT15" s="67">
        <v>11.2</v>
      </c>
      <c r="EL15" s="56"/>
      <c r="EM15" s="56"/>
      <c r="EO15" s="67">
        <v>22</v>
      </c>
      <c r="FG15" s="56"/>
      <c r="FH15" s="56"/>
      <c r="FJ15" s="67">
        <v>11.6</v>
      </c>
      <c r="GB15" s="56"/>
      <c r="GC15" s="56"/>
      <c r="GE15" s="67">
        <v>11.6</v>
      </c>
      <c r="GW15" s="56"/>
      <c r="GX15" s="56"/>
      <c r="GZ15" s="67">
        <v>11.6</v>
      </c>
      <c r="HR15" s="56"/>
      <c r="HS15" s="56"/>
      <c r="HU15" s="67">
        <v>11.6</v>
      </c>
      <c r="IM15" s="56"/>
      <c r="IN15" s="56"/>
      <c r="IP15" s="67">
        <v>11.6</v>
      </c>
      <c r="JH15" s="56"/>
      <c r="JI15" s="56"/>
      <c r="JK15" s="67">
        <v>11.6</v>
      </c>
      <c r="KC15" s="56"/>
      <c r="KD15" s="56"/>
      <c r="KF15" s="67">
        <v>11.6</v>
      </c>
      <c r="KX15" s="56"/>
      <c r="KY15" s="56"/>
      <c r="LA15" s="67">
        <v>11.6</v>
      </c>
    </row>
    <row r="16" spans="1:336" x14ac:dyDescent="0.2">
      <c r="B16" s="100" t="s">
        <v>92</v>
      </c>
      <c r="AH16" s="56"/>
      <c r="AI16" s="56"/>
      <c r="AK16" s="102">
        <v>10.8</v>
      </c>
      <c r="BD16" s="56"/>
      <c r="BE16" s="56"/>
      <c r="BG16" s="102">
        <v>22</v>
      </c>
      <c r="CA16" s="56"/>
      <c r="CB16" s="56"/>
      <c r="CD16" s="102">
        <v>22</v>
      </c>
      <c r="CV16" s="56"/>
      <c r="CW16" s="56"/>
      <c r="CY16" s="102">
        <v>22</v>
      </c>
      <c r="DQ16" s="56"/>
      <c r="DR16" s="56"/>
      <c r="DT16" s="102">
        <v>11.2</v>
      </c>
      <c r="EL16" s="56"/>
      <c r="EM16" s="56"/>
      <c r="EO16" s="102">
        <v>22</v>
      </c>
      <c r="FG16" s="56"/>
      <c r="FH16" s="56"/>
      <c r="FJ16" s="102">
        <v>11.6</v>
      </c>
      <c r="GB16" s="56"/>
      <c r="GC16" s="56"/>
      <c r="GE16" s="102">
        <v>11.6</v>
      </c>
      <c r="GW16" s="56"/>
      <c r="GX16" s="56"/>
      <c r="GZ16" s="102">
        <v>11.6</v>
      </c>
      <c r="HR16" s="56"/>
      <c r="HS16" s="56"/>
      <c r="HU16" s="102">
        <v>11.6</v>
      </c>
      <c r="IM16" s="56"/>
      <c r="IN16" s="56"/>
      <c r="IP16" s="102">
        <v>11.6</v>
      </c>
      <c r="JH16" s="56"/>
      <c r="JI16" s="56"/>
      <c r="JK16" s="102">
        <v>11.6</v>
      </c>
      <c r="KC16" s="56"/>
      <c r="KD16" s="56"/>
      <c r="KF16" s="102">
        <v>11.6</v>
      </c>
      <c r="KX16" s="56"/>
      <c r="KY16" s="56"/>
      <c r="LA16" s="102">
        <v>11.6</v>
      </c>
    </row>
    <row r="17" spans="1:313" x14ac:dyDescent="0.2">
      <c r="A17" s="58"/>
      <c r="B17" s="101" t="s">
        <v>92</v>
      </c>
      <c r="C17" s="57"/>
      <c r="AK17" s="103">
        <v>22</v>
      </c>
      <c r="BG17" s="103">
        <v>22</v>
      </c>
      <c r="CD17" s="103">
        <v>22</v>
      </c>
      <c r="CY17" s="103">
        <v>22</v>
      </c>
      <c r="DT17" s="103">
        <v>22</v>
      </c>
      <c r="EO17" s="103">
        <v>22</v>
      </c>
      <c r="FJ17" s="103">
        <v>22.8</v>
      </c>
      <c r="GE17" s="103">
        <v>22.8</v>
      </c>
      <c r="GZ17" s="103">
        <v>22.8</v>
      </c>
      <c r="HU17" s="103">
        <v>22.8</v>
      </c>
      <c r="IP17" s="103">
        <v>22.8</v>
      </c>
      <c r="JK17" s="103">
        <v>22.8</v>
      </c>
      <c r="KF17" s="103">
        <v>22.8</v>
      </c>
      <c r="LA17" s="103">
        <v>22.8</v>
      </c>
    </row>
    <row r="18" spans="1:313" x14ac:dyDescent="0.2">
      <c r="A18" s="58"/>
      <c r="B18" s="74" t="s">
        <v>90</v>
      </c>
      <c r="C18" s="57"/>
      <c r="AK18" s="68">
        <v>66.7</v>
      </c>
      <c r="BG18" s="68">
        <v>130.5</v>
      </c>
      <c r="CD18" s="68">
        <v>130.5</v>
      </c>
      <c r="CY18" s="68">
        <v>130.5</v>
      </c>
      <c r="DT18" s="68">
        <v>68.5</v>
      </c>
      <c r="EO18" s="68">
        <v>130.5</v>
      </c>
      <c r="FJ18" s="68">
        <v>67</v>
      </c>
      <c r="GE18" s="68">
        <v>67</v>
      </c>
      <c r="GZ18" s="68">
        <v>67</v>
      </c>
      <c r="HU18" s="68">
        <v>67</v>
      </c>
      <c r="IP18" s="68">
        <v>67</v>
      </c>
      <c r="JK18" s="68">
        <v>67</v>
      </c>
      <c r="KF18" s="68">
        <v>67</v>
      </c>
      <c r="LA18" s="68">
        <v>67</v>
      </c>
    </row>
    <row r="19" spans="1:313" x14ac:dyDescent="0.2">
      <c r="A19" s="58"/>
      <c r="B19" s="75" t="s">
        <v>91</v>
      </c>
      <c r="C19" s="57"/>
      <c r="AH19" s="58"/>
      <c r="AI19" s="58"/>
      <c r="AK19" s="69">
        <v>67.400000000000006</v>
      </c>
      <c r="BD19" s="58"/>
      <c r="BE19" s="58"/>
      <c r="BG19" s="69">
        <v>132</v>
      </c>
      <c r="CA19" s="58"/>
      <c r="CB19" s="58"/>
      <c r="CD19" s="69">
        <v>132</v>
      </c>
      <c r="CV19" s="58"/>
      <c r="CW19" s="58"/>
      <c r="CY19" s="69">
        <v>132</v>
      </c>
      <c r="DQ19" s="58"/>
      <c r="DR19" s="58"/>
      <c r="DT19" s="69">
        <v>68.5</v>
      </c>
      <c r="EL19" s="58"/>
      <c r="EM19" s="58"/>
      <c r="EO19" s="69">
        <v>132</v>
      </c>
      <c r="FG19" s="58"/>
      <c r="FH19" s="58"/>
      <c r="FJ19" s="69">
        <v>68.2</v>
      </c>
      <c r="GB19" s="58"/>
      <c r="GC19" s="58"/>
      <c r="GE19" s="69">
        <v>68.2</v>
      </c>
      <c r="GW19" s="58"/>
      <c r="GX19" s="58"/>
      <c r="GZ19" s="69">
        <v>68.2</v>
      </c>
      <c r="HR19" s="58"/>
      <c r="HS19" s="58"/>
      <c r="HU19" s="69">
        <v>68.2</v>
      </c>
      <c r="IM19" s="58"/>
      <c r="IN19" s="58"/>
      <c r="IP19" s="69">
        <v>68.2</v>
      </c>
      <c r="JH19" s="58"/>
      <c r="JI19" s="58"/>
      <c r="JK19" s="69">
        <v>68.2</v>
      </c>
      <c r="KC19" s="58"/>
      <c r="KD19" s="58"/>
      <c r="KF19" s="69">
        <v>68.2</v>
      </c>
      <c r="KX19" s="58"/>
      <c r="KY19" s="58"/>
      <c r="LA19" s="69">
        <v>68.2</v>
      </c>
    </row>
    <row r="20" spans="1:313" x14ac:dyDescent="0.2">
      <c r="A20" s="58"/>
      <c r="B20" s="76" t="s">
        <v>196</v>
      </c>
      <c r="C20" s="57"/>
      <c r="AH20" s="58"/>
      <c r="AI20" s="58"/>
      <c r="AK20" s="70">
        <v>134</v>
      </c>
      <c r="BD20" s="58"/>
      <c r="BE20" s="58"/>
      <c r="BG20" s="70">
        <v>134</v>
      </c>
      <c r="CA20" s="58"/>
      <c r="CB20" s="58"/>
      <c r="CD20" s="70">
        <v>134</v>
      </c>
      <c r="CV20" s="58"/>
      <c r="CW20" s="58"/>
      <c r="CY20" s="70">
        <v>134</v>
      </c>
      <c r="DQ20" s="58"/>
      <c r="DR20" s="58"/>
      <c r="DT20" s="70">
        <v>134</v>
      </c>
      <c r="EL20" s="58"/>
      <c r="EM20" s="58"/>
      <c r="EO20" s="70">
        <v>134</v>
      </c>
      <c r="FG20" s="58"/>
      <c r="FH20" s="58"/>
      <c r="FJ20" s="70">
        <v>135.80000000000001</v>
      </c>
      <c r="GB20" s="58"/>
      <c r="GC20" s="58"/>
      <c r="GE20" s="70">
        <v>135.80000000000001</v>
      </c>
      <c r="GW20" s="58"/>
      <c r="GX20" s="58"/>
      <c r="GZ20" s="70">
        <v>135.80000000000001</v>
      </c>
      <c r="HR20" s="58"/>
      <c r="HS20" s="58"/>
      <c r="HU20" s="70">
        <v>135.80000000000001</v>
      </c>
      <c r="IM20" s="58"/>
      <c r="IN20" s="58"/>
      <c r="IP20" s="70">
        <v>135.80000000000001</v>
      </c>
      <c r="JH20" s="58"/>
      <c r="JI20" s="58"/>
      <c r="JK20" s="70">
        <v>135.80000000000001</v>
      </c>
      <c r="KC20" s="58"/>
      <c r="KD20" s="58"/>
      <c r="KF20" s="70">
        <v>135.80000000000001</v>
      </c>
      <c r="KX20" s="58"/>
      <c r="KY20" s="58"/>
      <c r="LA20" s="70">
        <v>135.80000000000001</v>
      </c>
    </row>
    <row r="21" spans="1:313" x14ac:dyDescent="0.2">
      <c r="A21" s="58"/>
      <c r="B21" s="77" t="s">
        <v>71</v>
      </c>
      <c r="C21" s="57"/>
      <c r="AH21" s="58"/>
      <c r="AI21" s="58"/>
      <c r="AK21" s="71">
        <v>137</v>
      </c>
      <c r="BD21" s="58"/>
      <c r="BE21" s="58"/>
      <c r="BG21" s="71">
        <v>137</v>
      </c>
      <c r="CA21" s="58"/>
      <c r="CB21" s="58"/>
      <c r="CD21" s="71">
        <v>137</v>
      </c>
      <c r="CV21" s="58"/>
      <c r="CW21" s="58"/>
      <c r="CY21" s="71">
        <v>137</v>
      </c>
      <c r="DQ21" s="58"/>
      <c r="DR21" s="58"/>
      <c r="DT21" s="71">
        <v>137</v>
      </c>
      <c r="EL21" s="58"/>
      <c r="EM21" s="58"/>
      <c r="EO21" s="71">
        <v>137</v>
      </c>
      <c r="FG21" s="58"/>
      <c r="FH21" s="58"/>
      <c r="FJ21" s="71">
        <v>136.69999999999999</v>
      </c>
      <c r="GB21" s="58"/>
      <c r="GC21" s="58"/>
      <c r="GE21" s="71">
        <v>136.69999999999999</v>
      </c>
      <c r="GW21" s="58"/>
      <c r="GX21" s="58"/>
      <c r="GZ21" s="71">
        <v>136.69999999999999</v>
      </c>
      <c r="HR21" s="58"/>
      <c r="HS21" s="58"/>
      <c r="HU21" s="71">
        <v>136.69999999999999</v>
      </c>
      <c r="IM21" s="58"/>
      <c r="IN21" s="58"/>
      <c r="IP21" s="71">
        <v>136.69999999999999</v>
      </c>
      <c r="JH21" s="58"/>
      <c r="JI21" s="58"/>
      <c r="JK21" s="71">
        <v>136.69999999999999</v>
      </c>
      <c r="KC21" s="58"/>
      <c r="KD21" s="58"/>
      <c r="KF21" s="71">
        <v>136.69999999999999</v>
      </c>
      <c r="KX21" s="58"/>
      <c r="KY21" s="58"/>
      <c r="LA21" s="71">
        <v>136.69999999999999</v>
      </c>
    </row>
    <row r="22" spans="1:313" x14ac:dyDescent="0.2">
      <c r="B22" s="85" t="s">
        <v>127</v>
      </c>
      <c r="C22" s="3"/>
      <c r="AH22" s="58"/>
      <c r="AI22" s="58"/>
      <c r="AK22" t="s">
        <v>201</v>
      </c>
      <c r="BD22" s="58"/>
      <c r="BE22" s="58"/>
      <c r="CA22" s="58"/>
      <c r="CB22" s="58"/>
      <c r="CC22" s="7"/>
      <c r="CV22" s="58"/>
      <c r="CW22" s="58"/>
      <c r="DQ22" s="58"/>
      <c r="DR22" s="58"/>
      <c r="DT22" t="s">
        <v>202</v>
      </c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JJ22" s="7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  <c r="AH24" s="58"/>
      <c r="AI24" s="58"/>
      <c r="BD24" s="58"/>
      <c r="BE24" s="58"/>
      <c r="CA24" s="58"/>
      <c r="CB24" s="58"/>
      <c r="CV24" s="58"/>
      <c r="CW24" s="58"/>
      <c r="DQ24" s="58"/>
      <c r="DR24" s="58"/>
      <c r="EL24" s="58"/>
      <c r="EM24" s="58"/>
      <c r="FG24" s="58"/>
      <c r="FH24" s="58"/>
      <c r="GB24" s="58"/>
      <c r="GC24" s="58"/>
      <c r="GW24" s="58"/>
      <c r="GX24" s="58"/>
      <c r="HR24" s="58"/>
      <c r="HS24" s="58"/>
      <c r="IM24" s="58"/>
      <c r="IN24" s="58"/>
      <c r="JH24" s="58"/>
      <c r="JI24" s="58"/>
      <c r="KC24" s="58"/>
      <c r="KD24" s="58"/>
      <c r="KX24" s="58"/>
      <c r="KY24" s="58"/>
    </row>
    <row r="25" spans="1:313" x14ac:dyDescent="0.2">
      <c r="A25" s="58"/>
      <c r="B25" s="58"/>
      <c r="C25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2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3:I1048576">
    <cfRule type="containsText" dxfId="23" priority="55" operator="containsText" text="No DD">
      <formula>NOT(ISERROR(SEARCH("No DD",I13)))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3">
    <cfRule type="expression" dxfId="20" priority="78">
      <formula>IF($BC4&lt;&gt;"",1,0)</formula>
    </cfRule>
  </conditionalFormatting>
  <conditionalFormatting sqref="Q4:AL13">
    <cfRule type="expression" dxfId="19" priority="56">
      <formula>IF($AG4&lt;&gt;"",1,0)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8" priority="10326">
      <formula>IF(AND(CC1&gt;=CD$19,CC1&lt;CD$20),1,0)</formula>
    </cfRule>
    <cfRule type="expression" dxfId="17" priority="10327">
      <formula>IF(AND(CC1&gt;=CD$18,CC1&lt;CD$19),1,0)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6" priority="10398">
      <formula>IF(AND(CE1&gt;=CD$21,CE1&lt;1000),1,0)</formula>
    </cfRule>
    <cfRule type="expression" dxfId="15" priority="10399">
      <formula>IF(AND(CE1&gt;=CD$20,CE1&lt;CD$21),1,0)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14" priority="10471">
      <formula>IF(AND(CB1&gt;=CD$17,CB1&lt;1000),1,0)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13" priority="10507">
      <formula>IF(AND(CA1&gt;=CD$16,CA1&lt;1000),1,0)</formula>
    </cfRule>
    <cfRule type="expression" dxfId="12" priority="10508">
      <formula>IF(AND(CA1&gt;=CD$15,CA1&lt;CD$16),1,0)</formula>
    </cfRule>
  </conditionalFormatting>
  <conditionalFormatting sqref="AH1:AH1048576 BD1:BD1048576">
    <cfRule type="expression" dxfId="11" priority="10579">
      <formula>IF(AND(AH1&gt;=AK$16,AH1&lt;1000,AG1=""),1,0)</formula>
    </cfRule>
    <cfRule type="expression" dxfId="10" priority="10580">
      <formula>IF(AND(AH1&gt;=AK$15,AH1&lt;AK$16,AG1=""),1,0)</formula>
    </cfRule>
  </conditionalFormatting>
  <conditionalFormatting sqref="BF1:BF1048576 AJ1:AJ1048576">
    <cfRule type="expression" dxfId="9" priority="10591">
      <formula>IF(AND(AJ1&gt;=AK$19,AJ1&lt;AK$20,AG1=""),1,0)</formula>
    </cfRule>
    <cfRule type="expression" dxfId="8" priority="10592">
      <formula>IF(AND(AJ1&gt;=AK$18,AJ1&lt;AK$19,AG1=""),1,0)</formula>
    </cfRule>
  </conditionalFormatting>
  <conditionalFormatting sqref="BH1:BH1048576 AL1:AL1048576">
    <cfRule type="expression" dxfId="7" priority="10603">
      <formula>IF(AND(AL1&gt;=AK$21,AL1&lt;1000,AG1=""),1,0)</formula>
    </cfRule>
    <cfRule type="expression" dxfId="6" priority="10604">
      <formula>IF(AND(AL1&gt;=AK$20,AL1&lt;AK$21,AG1=""),1,0)</formula>
    </cfRule>
  </conditionalFormatting>
  <conditionalFormatting sqref="AI1:AI1048576 BE1:BE1048576">
    <cfRule type="expression" dxfId="5" priority="10615">
      <formula>IF(AND(AI1&gt;=AK$17,AI1&lt;1000,AG1=""),1,0)</formula>
    </cfRule>
  </conditionalFormatting>
  <conditionalFormatting sqref="I1:I1048576">
    <cfRule type="containsText" dxfId="4" priority="1" operator="containsText" text="No DD">
      <formula>NOT(ISERROR(SEARCH("No DD",I1)))</formula>
    </cfRule>
    <cfRule type="containsText" dxfId="3" priority="2" operator="containsText" text="Merit">
      <formula>NOT(ISERROR(SEARCH("Merit",I1)))</formula>
    </cfRule>
    <cfRule type="containsText" dxfId="2" priority="3" operator="containsText" text="Excellence">
      <formula>NOT(ISERROR(SEARCH("Excellence",I1)))</formula>
    </cfRule>
    <cfRule type="containsText" dxfId="1" priority="4" operator="containsText" text="Worlds Team">
      <formula>NOT(ISERROR(SEARCH("Worlds Team",I1)))</formula>
    </cfRule>
    <cfRule type="containsText" dxfId="0" priority="5" operator="containsText" text="National Team">
      <formula>NOT(ISERROR(SEARCH("National Team",I1)))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2019-11-19T23:19:46Z</dcterms:modified>
</cp:coreProperties>
</file>